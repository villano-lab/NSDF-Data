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7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3502b019e9cf5b9/Documents/"/>
    </mc:Choice>
  </mc:AlternateContent>
  <xr:revisionPtr revIDLastSave="0" documentId="8_{BB52CF23-71CC-423C-8C6E-C8B665DDA8F5}" xr6:coauthVersionLast="47" xr6:coauthVersionMax="47" xr10:uidLastSave="{00000000-0000-0000-0000-000000000000}"/>
  <bookViews>
    <workbookView xWindow="-108" yWindow="-108" windowWidth="23256" windowHeight="12576" firstSheet="17" activeTab="17" xr2:uid="{00000000-000D-0000-FFFF-FFFF00000000}"/>
  </bookViews>
  <sheets>
    <sheet name="Run55" sheetId="1" r:id="rId1"/>
    <sheet name="Sheet2" sheetId="2" r:id="rId2"/>
    <sheet name="Sheet3" sheetId="3" r:id="rId3"/>
    <sheet name="Run56" sheetId="4" r:id="rId4"/>
    <sheet name="Run58" sheetId="6" r:id="rId5"/>
    <sheet name="Run59" sheetId="7" r:id="rId6"/>
    <sheet name="Run60" sheetId="8" r:id="rId7"/>
    <sheet name="Run66" sheetId="14" r:id="rId8"/>
    <sheet name="Sheet1" sheetId="22" r:id="rId9"/>
    <sheet name="Run61" sheetId="9" r:id="rId10"/>
    <sheet name="Run62" sheetId="11" r:id="rId11"/>
    <sheet name="Run63" sheetId="12" r:id="rId12"/>
    <sheet name="Run69" sheetId="17" r:id="rId13"/>
    <sheet name="datasets" sheetId="10" r:id="rId14"/>
    <sheet name="Run65" sheetId="13" r:id="rId15"/>
    <sheet name="temp" sheetId="5" r:id="rId16"/>
    <sheet name="Run67" sheetId="15" r:id="rId17"/>
    <sheet name="Run68" sheetId="16" r:id="rId18"/>
    <sheet name="Run70" sheetId="18" r:id="rId19"/>
    <sheet name="Position Labels" sheetId="20" r:id="rId20"/>
    <sheet name="Run71" sheetId="19" r:id="rId21"/>
    <sheet name="Run72" sheetId="21" r:id="rId22"/>
    <sheet name="Run73" sheetId="23" r:id="rId23"/>
    <sheet name="Run73notes" sheetId="24" r:id="rId24"/>
    <sheet name="Run74" sheetId="25" r:id="rId25"/>
    <sheet name="Run75" sheetId="26" r:id="rId26"/>
    <sheet name="Run76" sheetId="27" r:id="rId27"/>
    <sheet name="Run79" sheetId="28" r:id="rId28"/>
  </sheets>
  <definedNames>
    <definedName name="_xlnm._FilterDatabase" localSheetId="3" hidden="1">'Run56'!$A$2:$X$917</definedName>
    <definedName name="_xlnm._FilterDatabase" localSheetId="4" hidden="1">'Run58'!$A$1:$N$107</definedName>
    <definedName name="_xlnm._FilterDatabase" localSheetId="26" hidden="1">'Run76'!$A$1:$AN$237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94" i="27" l="1"/>
  <c r="AK192" i="27"/>
  <c r="L235" i="27"/>
  <c r="U162" i="27"/>
  <c r="K101" i="27"/>
  <c r="L101" i="27" s="1"/>
  <c r="K102" i="27"/>
  <c r="K103" i="27"/>
  <c r="K104" i="27"/>
  <c r="K105" i="27"/>
  <c r="K106" i="27"/>
  <c r="K107" i="27"/>
  <c r="K108" i="27"/>
  <c r="M213" i="27"/>
  <c r="L206" i="27"/>
  <c r="P173" i="27"/>
  <c r="P171" i="27"/>
  <c r="P160" i="27"/>
  <c r="P159" i="27"/>
  <c r="P130" i="27"/>
  <c r="M101" i="27"/>
  <c r="P131" i="27"/>
  <c r="H235" i="27"/>
  <c r="L237" i="27"/>
  <c r="L236" i="27"/>
  <c r="L234" i="27"/>
  <c r="L233" i="27"/>
  <c r="L232" i="27"/>
  <c r="L231" i="27"/>
  <c r="L230" i="27"/>
  <c r="L229" i="27"/>
  <c r="L228" i="27"/>
  <c r="L227" i="27"/>
  <c r="P181" i="27"/>
  <c r="L2" i="27"/>
  <c r="L226" i="27"/>
  <c r="L224" i="27"/>
  <c r="L223" i="27"/>
  <c r="L222" i="27"/>
  <c r="L221" i="27"/>
  <c r="L220" i="27"/>
  <c r="L215" i="27"/>
  <c r="L213" i="27"/>
  <c r="L212" i="27"/>
  <c r="L211" i="27"/>
  <c r="N132" i="27"/>
  <c r="N131" i="27"/>
  <c r="M129" i="27"/>
  <c r="K128" i="27"/>
  <c r="M124" i="27"/>
  <c r="M123" i="27"/>
  <c r="M61" i="27"/>
  <c r="M60" i="27"/>
  <c r="M59" i="27"/>
  <c r="M58" i="27"/>
  <c r="M57" i="27"/>
  <c r="M56" i="27"/>
  <c r="M36" i="27"/>
  <c r="M55" i="27"/>
  <c r="M54" i="27"/>
  <c r="M53" i="27"/>
  <c r="M52" i="27"/>
  <c r="M51" i="27"/>
  <c r="M50" i="27"/>
  <c r="M49" i="27"/>
  <c r="M48" i="27"/>
  <c r="M46" i="27"/>
  <c r="M45" i="27"/>
  <c r="M44" i="27"/>
  <c r="M43" i="27"/>
  <c r="M42" i="27"/>
  <c r="M41" i="27"/>
  <c r="M40" i="27"/>
  <c r="M38" i="27"/>
  <c r="M37" i="27"/>
  <c r="P26" i="26"/>
  <c r="O26" i="26"/>
  <c r="P18" i="26"/>
  <c r="P19" i="26" s="1"/>
  <c r="P20" i="26" s="1"/>
  <c r="P21" i="26" s="1"/>
  <c r="O21" i="26"/>
  <c r="O20" i="26"/>
  <c r="O19" i="26"/>
  <c r="O18" i="26"/>
  <c r="AE5400" i="16"/>
  <c r="AE5399" i="16"/>
  <c r="AE5398" i="16"/>
  <c r="AE5397" i="16"/>
  <c r="AD5399" i="16"/>
  <c r="AD5398" i="16"/>
  <c r="AD5397" i="16"/>
  <c r="AC5399" i="16"/>
  <c r="AC5398" i="16"/>
  <c r="AC5397" i="16"/>
  <c r="AB5399" i="16"/>
  <c r="AB5398" i="16"/>
  <c r="AB5397" i="16"/>
  <c r="AA5399" i="16"/>
  <c r="AA5398" i="16"/>
  <c r="AA5397" i="16"/>
  <c r="AD4214" i="16"/>
  <c r="AD4117" i="16"/>
  <c r="AD3861" i="16"/>
  <c r="AC4213" i="16"/>
  <c r="AC4212" i="16"/>
  <c r="AC4211" i="16"/>
  <c r="AC4210" i="16"/>
  <c r="AC4209" i="16"/>
  <c r="AC4208" i="16"/>
  <c r="AC4207" i="16"/>
  <c r="AC4206" i="16"/>
  <c r="AC4205" i="16"/>
  <c r="AC4204" i="16"/>
  <c r="AC4203" i="16"/>
  <c r="AC4202" i="16"/>
  <c r="AD4213" i="16" s="1"/>
  <c r="Z4202" i="16"/>
  <c r="Z4203" i="16" s="1"/>
  <c r="Z4204" i="16" s="1"/>
  <c r="Z4205" i="16" s="1"/>
  <c r="Z4206" i="16" s="1"/>
  <c r="Z4207" i="16" s="1"/>
  <c r="Z4208" i="16" s="1"/>
  <c r="Z4209" i="16" s="1"/>
  <c r="Z4210" i="16" s="1"/>
  <c r="Z4211" i="16" s="1"/>
  <c r="Z4212" i="16" s="1"/>
  <c r="Z4213" i="16" s="1"/>
  <c r="AA4213" i="16" s="1"/>
  <c r="AC4201" i="16"/>
  <c r="AC4200" i="16"/>
  <c r="AC4199" i="16"/>
  <c r="AC4198" i="16"/>
  <c r="AC4197" i="16"/>
  <c r="AC4196" i="16"/>
  <c r="AC4195" i="16"/>
  <c r="AC4194" i="16"/>
  <c r="AC4193" i="16"/>
  <c r="AC4192" i="16"/>
  <c r="AC4191" i="16"/>
  <c r="AC4190" i="16"/>
  <c r="AD4201" i="16" s="1"/>
  <c r="Z4190" i="16"/>
  <c r="Z4191" i="16" s="1"/>
  <c r="Z4192" i="16" s="1"/>
  <c r="Z4193" i="16" s="1"/>
  <c r="Z4194" i="16" s="1"/>
  <c r="Z4195" i="16" s="1"/>
  <c r="Z4196" i="16" s="1"/>
  <c r="Z4197" i="16" s="1"/>
  <c r="Z4198" i="16" s="1"/>
  <c r="Z4199" i="16" s="1"/>
  <c r="Z4200" i="16" s="1"/>
  <c r="Z4201" i="16" s="1"/>
  <c r="AA4201" i="16" s="1"/>
  <c r="AC4116" i="16"/>
  <c r="AC4115" i="16"/>
  <c r="AC4114" i="16"/>
  <c r="AC4113" i="16"/>
  <c r="AC4112" i="16"/>
  <c r="AC4111" i="16"/>
  <c r="AC4110" i="16"/>
  <c r="AC4109" i="16"/>
  <c r="AC4108" i="16"/>
  <c r="AC4107" i="16"/>
  <c r="AC4106" i="16"/>
  <c r="AC4105" i="16"/>
  <c r="AD4116" i="16" s="1"/>
  <c r="Z4105" i="16"/>
  <c r="Z4106" i="16" s="1"/>
  <c r="Z4107" i="16" s="1"/>
  <c r="Z4108" i="16" s="1"/>
  <c r="Z4109" i="16" s="1"/>
  <c r="Z4110" i="16" s="1"/>
  <c r="Z4111" i="16" s="1"/>
  <c r="Z4112" i="16" s="1"/>
  <c r="Z4113" i="16" s="1"/>
  <c r="Z4114" i="16" s="1"/>
  <c r="Z4115" i="16" s="1"/>
  <c r="Z4116" i="16" s="1"/>
  <c r="AA4116" i="16" s="1"/>
  <c r="AC4104" i="16"/>
  <c r="AC4103" i="16"/>
  <c r="AC4102" i="16"/>
  <c r="AC4101" i="16"/>
  <c r="AC4100" i="16"/>
  <c r="AC4099" i="16"/>
  <c r="AC4098" i="16"/>
  <c r="AC4097" i="16"/>
  <c r="AC4096" i="16"/>
  <c r="AC4095" i="16"/>
  <c r="AC4094" i="16"/>
  <c r="AC4093" i="16"/>
  <c r="AD4104" i="16" s="1"/>
  <c r="Z4093" i="16"/>
  <c r="Z4094" i="16" s="1"/>
  <c r="Z4095" i="16" s="1"/>
  <c r="Z4096" i="16" s="1"/>
  <c r="Z4097" i="16" s="1"/>
  <c r="Z4098" i="16" s="1"/>
  <c r="Z4099" i="16" s="1"/>
  <c r="Z4100" i="16" s="1"/>
  <c r="Z4101" i="16" s="1"/>
  <c r="Z4102" i="16" s="1"/>
  <c r="Z4103" i="16" s="1"/>
  <c r="Z4104" i="16" s="1"/>
  <c r="AA4104" i="16" s="1"/>
  <c r="AC3860" i="16"/>
  <c r="AC3859" i="16"/>
  <c r="AC3858" i="16"/>
  <c r="AC3857" i="16"/>
  <c r="AC3856" i="16"/>
  <c r="AC3855" i="16"/>
  <c r="AC3854" i="16"/>
  <c r="AC3853" i="16"/>
  <c r="AC3852" i="16"/>
  <c r="AC3851" i="16"/>
  <c r="AC3850" i="16"/>
  <c r="AC3849" i="16"/>
  <c r="AD3860" i="16" s="1"/>
  <c r="Z3849" i="16"/>
  <c r="Z3850" i="16" s="1"/>
  <c r="Z3851" i="16" s="1"/>
  <c r="Z3852" i="16" s="1"/>
  <c r="Z3853" i="16" s="1"/>
  <c r="Z3854" i="16" s="1"/>
  <c r="Z3855" i="16" s="1"/>
  <c r="Z3856" i="16" s="1"/>
  <c r="Z3857" i="16" s="1"/>
  <c r="Z3858" i="16" s="1"/>
  <c r="Z3859" i="16" s="1"/>
  <c r="Z3860" i="16" s="1"/>
  <c r="AA3860" i="16" s="1"/>
  <c r="AD3848" i="16"/>
  <c r="AC3848" i="16"/>
  <c r="AC3847" i="16"/>
  <c r="AC3846" i="16"/>
  <c r="AC3845" i="16"/>
  <c r="AC3844" i="16"/>
  <c r="AC3843" i="16"/>
  <c r="AC3842" i="16"/>
  <c r="AC3841" i="16"/>
  <c r="AC3840" i="16"/>
  <c r="AC3839" i="16"/>
  <c r="AC3838" i="16"/>
  <c r="AC3837" i="16"/>
  <c r="AA3848" i="16"/>
  <c r="Z3839" i="16"/>
  <c r="Z3840" i="16" s="1"/>
  <c r="Z3841" i="16" s="1"/>
  <c r="Z3842" i="16" s="1"/>
  <c r="Z3843" i="16" s="1"/>
  <c r="Z3844" i="16" s="1"/>
  <c r="Z3845" i="16" s="1"/>
  <c r="Z3846" i="16" s="1"/>
  <c r="Z3847" i="16" s="1"/>
  <c r="Z3848" i="16" s="1"/>
  <c r="Z3838" i="16"/>
  <c r="Z3837" i="16"/>
  <c r="N224" i="25"/>
  <c r="N223" i="25"/>
  <c r="N222" i="25"/>
  <c r="N221" i="25"/>
  <c r="N220" i="25"/>
  <c r="N219" i="25"/>
  <c r="N218" i="25"/>
  <c r="N217" i="25"/>
  <c r="N216" i="25"/>
  <c r="N215" i="25"/>
  <c r="N214" i="25"/>
  <c r="N213" i="25"/>
  <c r="N212" i="25"/>
  <c r="N211" i="25"/>
  <c r="N210" i="25"/>
  <c r="N209" i="25"/>
  <c r="N208" i="25"/>
  <c r="N207" i="25"/>
  <c r="N206" i="25"/>
  <c r="N205" i="25"/>
  <c r="N204" i="25"/>
  <c r="N203" i="25"/>
  <c r="N202" i="25"/>
  <c r="N201" i="25"/>
  <c r="N133" i="27" l="1"/>
  <c r="N200" i="25"/>
  <c r="N199" i="25"/>
  <c r="N198" i="25"/>
  <c r="N197" i="25"/>
  <c r="N196" i="25"/>
  <c r="N195" i="25"/>
  <c r="N194" i="25"/>
  <c r="N193" i="25"/>
  <c r="N192" i="25"/>
  <c r="N191" i="25"/>
  <c r="N190" i="25"/>
  <c r="N189" i="25"/>
  <c r="N187" i="25"/>
  <c r="N186" i="25"/>
  <c r="N188" i="25"/>
  <c r="N185" i="25"/>
  <c r="N184" i="25"/>
  <c r="N183" i="25"/>
  <c r="N182" i="25"/>
  <c r="N181" i="25"/>
  <c r="N180" i="25"/>
  <c r="N179" i="25"/>
  <c r="N178" i="25"/>
  <c r="N177" i="25"/>
  <c r="N176" i="25"/>
  <c r="N175" i="25"/>
  <c r="N174" i="25"/>
  <c r="N173" i="25"/>
  <c r="N172" i="25"/>
  <c r="N171" i="25"/>
  <c r="N170" i="25"/>
  <c r="N169" i="25"/>
  <c r="N168" i="25"/>
  <c r="N167" i="25"/>
  <c r="N166" i="25"/>
  <c r="N165" i="25"/>
  <c r="N164" i="25"/>
  <c r="N163" i="25" l="1"/>
  <c r="N162" i="25"/>
  <c r="N161" i="25"/>
  <c r="N160" i="25"/>
  <c r="N159" i="25"/>
  <c r="N158" i="25"/>
  <c r="N157" i="25"/>
  <c r="N156" i="25"/>
  <c r="N155" i="25"/>
  <c r="N154" i="25"/>
  <c r="N153" i="25"/>
  <c r="N152" i="25"/>
  <c r="N151" i="25"/>
  <c r="N150" i="25"/>
  <c r="N149" i="25"/>
  <c r="N148" i="25"/>
  <c r="N147" i="25"/>
  <c r="N146" i="25"/>
  <c r="N145" i="25"/>
  <c r="N144" i="25"/>
  <c r="N143" i="25"/>
  <c r="N142" i="25"/>
  <c r="N141" i="25"/>
  <c r="N140" i="25"/>
  <c r="N139" i="25"/>
  <c r="N138" i="25"/>
  <c r="N137" i="25"/>
  <c r="N136" i="25"/>
  <c r="N135" i="25" l="1"/>
  <c r="N134" i="25"/>
  <c r="N133" i="25"/>
  <c r="N132" i="25"/>
  <c r="N131" i="25"/>
  <c r="N130" i="25"/>
  <c r="N129" i="25"/>
  <c r="N128" i="25"/>
  <c r="N127" i="25"/>
  <c r="N126" i="25"/>
  <c r="N125" i="25"/>
  <c r="N124" i="25"/>
  <c r="N123" i="25"/>
  <c r="N122" i="25"/>
  <c r="N121" i="25"/>
  <c r="N120" i="25"/>
  <c r="N119" i="25"/>
  <c r="N118" i="25"/>
  <c r="N117" i="25"/>
  <c r="N116" i="25"/>
  <c r="N115" i="25"/>
  <c r="N114" i="25"/>
  <c r="N113" i="25"/>
  <c r="N112" i="25"/>
  <c r="N110" i="25"/>
  <c r="N111" i="25"/>
  <c r="N109" i="25"/>
  <c r="N108" i="25"/>
  <c r="N107" i="25"/>
  <c r="N106" i="25"/>
  <c r="N105" i="25"/>
  <c r="N104" i="25"/>
  <c r="N103" i="25"/>
  <c r="N102" i="25"/>
  <c r="N101" i="25"/>
  <c r="N100" i="25"/>
  <c r="N99" i="25"/>
  <c r="N98" i="25" l="1"/>
  <c r="N97" i="25"/>
  <c r="N96" i="25"/>
  <c r="N95" i="25"/>
  <c r="N94" i="25"/>
  <c r="N93" i="25"/>
  <c r="N92" i="25"/>
  <c r="N91" i="25"/>
  <c r="N90" i="25"/>
  <c r="N89" i="25"/>
  <c r="N88" i="25"/>
  <c r="F87" i="25"/>
  <c r="N87" i="25"/>
  <c r="N86" i="25" l="1"/>
  <c r="N85" i="25"/>
  <c r="N84" i="25"/>
  <c r="N83" i="25"/>
  <c r="N82" i="25"/>
  <c r="N81" i="25"/>
  <c r="N80" i="25" l="1"/>
  <c r="N79" i="25"/>
  <c r="N78" i="25"/>
  <c r="N77" i="25"/>
  <c r="N76" i="25"/>
  <c r="N75" i="25" l="1"/>
  <c r="N74" i="25"/>
  <c r="N73" i="25"/>
  <c r="N72" i="25"/>
  <c r="N71" i="25"/>
  <c r="N70" i="25"/>
  <c r="N69" i="25"/>
  <c r="N68" i="25"/>
  <c r="N67" i="25"/>
  <c r="N66" i="25"/>
  <c r="N65" i="25" l="1"/>
  <c r="N64" i="25"/>
  <c r="N63" i="25"/>
  <c r="N62" i="25"/>
  <c r="N61" i="25"/>
  <c r="N60" i="25" l="1"/>
  <c r="N59" i="25" l="1"/>
  <c r="N58" i="25" l="1"/>
  <c r="N57" i="25"/>
  <c r="N56" i="25"/>
  <c r="N55" i="25"/>
  <c r="N54" i="25"/>
  <c r="N53" i="25" l="1"/>
  <c r="N52" i="25"/>
  <c r="N51" i="25"/>
  <c r="N50" i="25" l="1"/>
  <c r="N49" i="25"/>
  <c r="N48" i="25"/>
  <c r="N47" i="25"/>
  <c r="N46" i="25"/>
  <c r="N45" i="25"/>
  <c r="Y46" i="25"/>
  <c r="Y41" i="25"/>
  <c r="Y42" i="25" s="1"/>
  <c r="N43" i="25"/>
  <c r="Z46" i="25" l="1"/>
  <c r="Z44" i="25"/>
  <c r="Z45" i="25"/>
  <c r="AA46" i="25" l="1"/>
  <c r="N42" i="25"/>
  <c r="N41" i="25"/>
  <c r="N40" i="25" l="1"/>
  <c r="N39" i="25" l="1"/>
  <c r="N38" i="25"/>
  <c r="N37" i="25" l="1"/>
  <c r="N36" i="25" l="1"/>
  <c r="N35" i="25" l="1"/>
  <c r="N34" i="25" l="1"/>
  <c r="N33" i="25"/>
  <c r="N32" i="25" l="1"/>
  <c r="N31" i="25" l="1"/>
  <c r="N30" i="25"/>
  <c r="N29" i="25" l="1"/>
  <c r="N28" i="25"/>
  <c r="N27" i="25"/>
  <c r="N26" i="25"/>
  <c r="S14" i="24"/>
  <c r="R14" i="24"/>
  <c r="Q14" i="24"/>
  <c r="P14" i="24"/>
  <c r="O14" i="24"/>
  <c r="N24" i="25"/>
  <c r="N23" i="25" l="1"/>
  <c r="N21" i="25"/>
  <c r="N20" i="25" l="1"/>
  <c r="N19" i="25"/>
  <c r="K169" i="23"/>
  <c r="K168" i="23"/>
  <c r="S13" i="24"/>
  <c r="R13" i="24"/>
  <c r="Q13" i="24"/>
  <c r="P13" i="24"/>
  <c r="O13" i="24"/>
  <c r="S9" i="24"/>
  <c r="S12" i="24"/>
  <c r="R12" i="24"/>
  <c r="Q12" i="24"/>
  <c r="P12" i="24"/>
  <c r="O12" i="24"/>
  <c r="S11" i="24"/>
  <c r="R11" i="24"/>
  <c r="Q11" i="24"/>
  <c r="P11" i="24"/>
  <c r="O11" i="24"/>
  <c r="N18" i="25"/>
  <c r="N17" i="25"/>
  <c r="N16" i="25"/>
  <c r="N15" i="25"/>
  <c r="N14" i="25"/>
  <c r="N13" i="25"/>
  <c r="S6" i="24" l="1"/>
  <c r="R6" i="24"/>
  <c r="Q6" i="24"/>
  <c r="P6" i="24"/>
  <c r="O6" i="24"/>
  <c r="O2" i="24"/>
  <c r="S5" i="24"/>
  <c r="R5" i="24"/>
  <c r="Q5" i="24"/>
  <c r="P5" i="24"/>
  <c r="O5" i="24"/>
  <c r="S4" i="24"/>
  <c r="R4" i="24"/>
  <c r="Q4" i="24"/>
  <c r="P4" i="24"/>
  <c r="O4" i="24"/>
  <c r="S10" i="24"/>
  <c r="S8" i="24"/>
  <c r="S7" i="24"/>
  <c r="S3" i="24"/>
  <c r="S2" i="24"/>
  <c r="R10" i="24"/>
  <c r="Q10" i="24"/>
  <c r="P10" i="24"/>
  <c r="O10" i="24"/>
  <c r="R9" i="24"/>
  <c r="Q9" i="24"/>
  <c r="P9" i="24"/>
  <c r="O9" i="24"/>
  <c r="R8" i="24"/>
  <c r="Q8" i="24"/>
  <c r="P8" i="24"/>
  <c r="O8" i="24"/>
  <c r="R7" i="24"/>
  <c r="Q7" i="24"/>
  <c r="P7" i="24"/>
  <c r="O7" i="24"/>
  <c r="R3" i="24"/>
  <c r="Q3" i="24"/>
  <c r="P3" i="24"/>
  <c r="O3" i="24"/>
  <c r="R2" i="24"/>
  <c r="Q2" i="24"/>
  <c r="P2" i="24"/>
  <c r="K176" i="23" l="1"/>
  <c r="K175" i="23" l="1"/>
  <c r="K174" i="23"/>
  <c r="K173" i="23"/>
  <c r="K172" i="23" l="1"/>
  <c r="K171" i="23" l="1"/>
  <c r="K170" i="23"/>
  <c r="K167" i="23" l="1"/>
  <c r="K166" i="23"/>
  <c r="K163" i="23"/>
  <c r="K165" i="23"/>
  <c r="K164" i="23"/>
  <c r="K162" i="23"/>
  <c r="K161" i="23" l="1"/>
  <c r="K160" i="23"/>
  <c r="K159" i="23" l="1"/>
  <c r="K158" i="23" l="1"/>
  <c r="K156" i="23" l="1"/>
  <c r="K155" i="23"/>
  <c r="K147" i="23" l="1"/>
  <c r="K146" i="23"/>
  <c r="K154" i="23" l="1"/>
  <c r="K153" i="23"/>
  <c r="K152" i="23"/>
  <c r="K151" i="23"/>
  <c r="K150" i="23"/>
  <c r="K149" i="23"/>
  <c r="K148" i="23"/>
  <c r="K145" i="23"/>
  <c r="K144" i="23"/>
  <c r="K143" i="23"/>
  <c r="K142" i="23"/>
  <c r="K141" i="23"/>
  <c r="K140" i="23"/>
  <c r="K139" i="23" l="1"/>
  <c r="K138" i="23"/>
  <c r="K137" i="23" l="1"/>
  <c r="K136" i="23" l="1"/>
  <c r="K135" i="23"/>
  <c r="K134" i="23"/>
  <c r="K133" i="23"/>
  <c r="K132" i="23"/>
  <c r="K131" i="23"/>
  <c r="K130" i="23"/>
  <c r="K129" i="23"/>
  <c r="K128" i="23"/>
  <c r="K127" i="23"/>
  <c r="K126" i="23" l="1"/>
  <c r="K125" i="23"/>
  <c r="K124" i="23"/>
  <c r="K123" i="23" l="1"/>
  <c r="K122" i="23"/>
  <c r="K121" i="23" l="1"/>
  <c r="K120" i="23"/>
  <c r="K119" i="23"/>
  <c r="K118" i="23"/>
  <c r="K117" i="23"/>
  <c r="K116" i="23"/>
  <c r="K115" i="23"/>
  <c r="K114" i="23"/>
  <c r="K113" i="23" l="1"/>
  <c r="K112" i="23"/>
  <c r="K111" i="23"/>
  <c r="K110" i="23"/>
  <c r="K109" i="23"/>
  <c r="K108" i="23"/>
  <c r="K107" i="23"/>
  <c r="K106" i="23"/>
  <c r="K105" i="23" l="1"/>
  <c r="K104" i="23"/>
  <c r="K103" i="23"/>
  <c r="K102" i="23"/>
  <c r="K101" i="23"/>
  <c r="K100" i="23" l="1"/>
  <c r="K99" i="23"/>
  <c r="K98" i="23"/>
  <c r="K97" i="23"/>
  <c r="K96" i="23"/>
  <c r="K95" i="23" l="1"/>
  <c r="K94" i="23" l="1"/>
  <c r="K93" i="23"/>
  <c r="K92" i="23"/>
  <c r="K91" i="23"/>
  <c r="K90" i="23"/>
  <c r="K89" i="23" l="1"/>
  <c r="K88" i="23" l="1"/>
  <c r="K87" i="23" l="1"/>
  <c r="K86" i="23"/>
  <c r="K85" i="23"/>
  <c r="K84" i="23" l="1"/>
  <c r="K83" i="23" l="1"/>
  <c r="K82" i="23"/>
  <c r="K81" i="23"/>
  <c r="K80" i="23" l="1"/>
  <c r="K79" i="23" l="1"/>
  <c r="K78" i="23"/>
  <c r="K77" i="23"/>
  <c r="K76" i="23"/>
  <c r="K75" i="23"/>
  <c r="K74" i="23" l="1"/>
  <c r="K73" i="23"/>
  <c r="K72" i="23"/>
  <c r="K71" i="23"/>
  <c r="K70" i="23"/>
  <c r="K69" i="23"/>
  <c r="K68" i="23"/>
  <c r="K67" i="23"/>
  <c r="K66" i="23"/>
  <c r="K65" i="23"/>
  <c r="K64" i="23" l="1"/>
  <c r="K63" i="23"/>
  <c r="K62" i="23"/>
  <c r="K61" i="23"/>
  <c r="K60" i="23"/>
  <c r="K59" i="23" l="1"/>
  <c r="K58" i="23"/>
  <c r="K57" i="23"/>
  <c r="K56" i="23" l="1"/>
  <c r="K55" i="23"/>
  <c r="K54" i="23"/>
  <c r="K53" i="23" l="1"/>
  <c r="K52" i="23"/>
  <c r="K51" i="23"/>
  <c r="K50" i="23"/>
  <c r="K49" i="23"/>
  <c r="K48" i="23"/>
  <c r="K47" i="23"/>
  <c r="K46" i="23" l="1"/>
  <c r="K45" i="23"/>
  <c r="K44" i="23" l="1"/>
  <c r="K43" i="23"/>
  <c r="K42" i="23"/>
  <c r="K41" i="23"/>
  <c r="K40" i="23"/>
  <c r="K39" i="23"/>
  <c r="K38" i="23"/>
  <c r="K37" i="23"/>
  <c r="K36" i="23"/>
  <c r="K35" i="23"/>
  <c r="K34" i="23"/>
  <c r="K33" i="23"/>
  <c r="K32" i="23"/>
  <c r="K31" i="23"/>
  <c r="K30" i="23"/>
  <c r="K29" i="23"/>
  <c r="K28" i="23"/>
  <c r="K27" i="23"/>
  <c r="K26" i="23"/>
  <c r="K25" i="23"/>
  <c r="K24" i="23"/>
  <c r="K23" i="23"/>
  <c r="K22" i="23" l="1"/>
  <c r="K21" i="23"/>
  <c r="K20" i="23"/>
  <c r="K19" i="23"/>
  <c r="K18" i="23"/>
  <c r="K17" i="23" l="1"/>
  <c r="K16" i="23" l="1"/>
  <c r="O70" i="14" l="1"/>
  <c r="O71" i="14" s="1"/>
  <c r="O72" i="14" s="1"/>
  <c r="O73" i="14" s="1"/>
  <c r="O74" i="14" s="1"/>
  <c r="O75" i="14" s="1"/>
  <c r="O76" i="14" s="1"/>
  <c r="O77" i="14" s="1"/>
  <c r="O78" i="14" s="1"/>
  <c r="E115" i="19" l="1"/>
  <c r="E114" i="19"/>
  <c r="E113" i="19"/>
  <c r="E112" i="19"/>
  <c r="E111" i="19"/>
  <c r="E110" i="19"/>
  <c r="E109" i="19"/>
  <c r="E108" i="19"/>
  <c r="E107" i="19"/>
  <c r="E106" i="19"/>
  <c r="E105" i="19"/>
  <c r="E104" i="19"/>
  <c r="E103" i="19"/>
  <c r="E102" i="19"/>
  <c r="E100" i="19"/>
  <c r="E99" i="19"/>
  <c r="E98" i="19"/>
  <c r="E97" i="19"/>
  <c r="E96" i="19"/>
  <c r="E95" i="19"/>
  <c r="E94" i="19"/>
  <c r="E93" i="19"/>
  <c r="E92" i="19"/>
  <c r="E91" i="19"/>
  <c r="E90" i="19"/>
  <c r="E89" i="19"/>
  <c r="E88" i="19"/>
  <c r="E87" i="19"/>
  <c r="E86" i="19"/>
  <c r="E85" i="19"/>
  <c r="E84" i="19"/>
  <c r="E83" i="19"/>
  <c r="E82" i="19"/>
  <c r="E81" i="19"/>
  <c r="E80" i="19"/>
  <c r="E79" i="19"/>
  <c r="E78" i="19"/>
  <c r="E77" i="19"/>
  <c r="E76" i="19"/>
  <c r="E75" i="19"/>
  <c r="E74" i="19"/>
  <c r="E73" i="19"/>
  <c r="E72" i="19"/>
  <c r="E71" i="19"/>
  <c r="E70" i="19"/>
  <c r="E69" i="19"/>
  <c r="E68" i="19"/>
  <c r="E67" i="19"/>
  <c r="E66" i="19"/>
  <c r="E65" i="19"/>
  <c r="E64" i="19"/>
  <c r="E63" i="19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2" i="19"/>
  <c r="E101" i="19"/>
  <c r="L115" i="19" l="1"/>
  <c r="L114" i="19"/>
  <c r="L113" i="19"/>
  <c r="L112" i="19"/>
  <c r="L111" i="19"/>
  <c r="L110" i="19"/>
  <c r="L109" i="19"/>
  <c r="L108" i="19"/>
  <c r="L107" i="19"/>
  <c r="L106" i="19"/>
  <c r="L105" i="19"/>
  <c r="L104" i="19"/>
  <c r="L103" i="19"/>
  <c r="L102" i="19"/>
  <c r="L101" i="19"/>
  <c r="L100" i="19"/>
  <c r="L99" i="19"/>
  <c r="L98" i="19"/>
  <c r="L90" i="19" l="1"/>
  <c r="L89" i="19"/>
  <c r="L88" i="19"/>
  <c r="L87" i="19"/>
  <c r="L86" i="19"/>
  <c r="L85" i="19"/>
  <c r="L84" i="19"/>
  <c r="L83" i="19"/>
  <c r="L82" i="19"/>
  <c r="L81" i="19"/>
  <c r="L80" i="19"/>
  <c r="L79" i="19"/>
  <c r="L64" i="19"/>
  <c r="L63" i="19"/>
  <c r="L62" i="19"/>
  <c r="L61" i="19"/>
  <c r="L60" i="19"/>
  <c r="L59" i="19"/>
  <c r="L58" i="19"/>
  <c r="L57" i="19"/>
  <c r="L56" i="19"/>
  <c r="L55" i="19"/>
  <c r="L54" i="19"/>
  <c r="L53" i="19"/>
  <c r="L52" i="19"/>
  <c r="L51" i="19"/>
  <c r="L50" i="19"/>
  <c r="L49" i="19"/>
  <c r="L48" i="19"/>
  <c r="L47" i="19"/>
  <c r="L46" i="19"/>
  <c r="L45" i="19"/>
  <c r="L44" i="19"/>
  <c r="L43" i="19"/>
  <c r="L42" i="19"/>
  <c r="L41" i="19"/>
  <c r="L40" i="19"/>
  <c r="L39" i="19"/>
  <c r="L38" i="19"/>
  <c r="L37" i="19"/>
  <c r="L36" i="19"/>
  <c r="L35" i="19"/>
  <c r="L34" i="19"/>
  <c r="L33" i="19"/>
  <c r="L32" i="19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97" i="19"/>
  <c r="L96" i="19" l="1"/>
  <c r="L94" i="19"/>
  <c r="L95" i="19"/>
  <c r="L93" i="19" l="1"/>
  <c r="L92" i="19" l="1"/>
  <c r="L91" i="19"/>
  <c r="L78" i="19" l="1"/>
  <c r="L77" i="19"/>
  <c r="L76" i="19"/>
  <c r="L75" i="19"/>
  <c r="L74" i="19"/>
  <c r="L73" i="19"/>
  <c r="L65" i="19" l="1"/>
  <c r="L72" i="19"/>
  <c r="L71" i="19"/>
  <c r="L70" i="19"/>
  <c r="L69" i="19"/>
  <c r="L68" i="19"/>
  <c r="L67" i="19"/>
  <c r="L66" i="19"/>
  <c r="L651" i="18" l="1"/>
  <c r="L652" i="18" s="1"/>
  <c r="L653" i="18" s="1"/>
  <c r="L654" i="18" s="1"/>
  <c r="L655" i="18" s="1"/>
  <c r="L656" i="18" s="1"/>
  <c r="L657" i="18" s="1"/>
  <c r="L658" i="18" s="1"/>
  <c r="L328" i="18" l="1"/>
  <c r="L329" i="18"/>
  <c r="L330" i="18"/>
  <c r="L331" i="18"/>
  <c r="L332" i="18" s="1"/>
  <c r="L334" i="18" s="1"/>
  <c r="L335" i="18" s="1"/>
  <c r="L336" i="18" s="1"/>
  <c r="L337" i="18" s="1"/>
  <c r="L338" i="18" s="1"/>
  <c r="L339" i="18" s="1"/>
  <c r="L340" i="18" s="1"/>
  <c r="L341" i="18" s="1"/>
  <c r="L342" i="18" s="1"/>
  <c r="L343" i="18" s="1"/>
  <c r="L344" i="18" s="1"/>
  <c r="L345" i="18" s="1"/>
  <c r="L346" i="18" s="1"/>
  <c r="L347" i="18" s="1"/>
  <c r="L348" i="18" s="1"/>
  <c r="L349" i="18" s="1"/>
  <c r="L350" i="18" s="1"/>
  <c r="L351" i="18" s="1"/>
  <c r="L352" i="18" s="1"/>
  <c r="L354" i="18" s="1"/>
  <c r="L355" i="18" s="1"/>
  <c r="L357" i="18" s="1"/>
  <c r="L358" i="18" s="1"/>
  <c r="L359" i="18" s="1"/>
  <c r="L361" i="18" s="1"/>
  <c r="L362" i="18" s="1"/>
  <c r="L363" i="18" s="1"/>
  <c r="L364" i="18" s="1"/>
  <c r="L365" i="18" s="1"/>
  <c r="L366" i="18" s="1"/>
  <c r="L367" i="18" s="1"/>
  <c r="L368" i="18" s="1"/>
  <c r="L369" i="18" s="1"/>
  <c r="L370" i="18" s="1"/>
  <c r="L371" i="18" s="1"/>
  <c r="L372" i="18" s="1"/>
  <c r="L373" i="18" s="1"/>
  <c r="L374" i="18" s="1"/>
  <c r="L375" i="18" s="1"/>
  <c r="L376" i="18" s="1"/>
  <c r="L377" i="18" s="1"/>
  <c r="L378" i="18" s="1"/>
  <c r="L379" i="18" s="1"/>
  <c r="L380" i="18" s="1"/>
  <c r="L381" i="18" s="1"/>
  <c r="L382" i="18" s="1"/>
  <c r="L383" i="18" s="1"/>
  <c r="L384" i="18" s="1"/>
  <c r="L385" i="18" s="1"/>
  <c r="L386" i="18" s="1"/>
  <c r="L387" i="18" s="1"/>
  <c r="L388" i="18" s="1"/>
  <c r="L389" i="18" s="1"/>
  <c r="L390" i="18" s="1"/>
  <c r="L391" i="18" s="1"/>
  <c r="L392" i="18" s="1"/>
  <c r="L393" i="18" s="1"/>
  <c r="L394" i="18" s="1"/>
  <c r="L395" i="18" s="1"/>
  <c r="L396" i="18" s="1"/>
  <c r="L397" i="18" s="1"/>
  <c r="L398" i="18" s="1"/>
  <c r="L399" i="18" s="1"/>
  <c r="L400" i="18" s="1"/>
  <c r="L401" i="18" s="1"/>
  <c r="L402" i="18" s="1"/>
  <c r="L403" i="18" s="1"/>
  <c r="L404" i="18" s="1"/>
  <c r="L405" i="18" s="1"/>
  <c r="L406" i="18" s="1"/>
  <c r="L407" i="18" s="1"/>
  <c r="L408" i="18" s="1"/>
  <c r="L409" i="18" s="1"/>
  <c r="L411" i="18" s="1"/>
  <c r="L412" i="18" s="1"/>
  <c r="L413" i="18" s="1"/>
  <c r="L414" i="18" s="1"/>
  <c r="L415" i="18" s="1"/>
  <c r="L416" i="18" s="1"/>
  <c r="L417" i="18" s="1"/>
  <c r="L418" i="18" s="1"/>
  <c r="L419" i="18" s="1"/>
  <c r="L420" i="18" s="1"/>
  <c r="L421" i="18" s="1"/>
  <c r="L422" i="18" s="1"/>
  <c r="L423" i="18" s="1"/>
  <c r="L424" i="18" s="1"/>
  <c r="L426" i="18" s="1"/>
  <c r="L427" i="18" s="1"/>
  <c r="L428" i="18" s="1"/>
  <c r="L429" i="18" s="1"/>
  <c r="L430" i="18" s="1"/>
  <c r="L431" i="18" s="1"/>
  <c r="L267" i="18"/>
  <c r="L269" i="18"/>
  <c r="L273" i="18"/>
  <c r="L274" i="18" s="1"/>
  <c r="L275" i="18" s="1"/>
  <c r="L276" i="18" s="1"/>
  <c r="L277" i="18" s="1"/>
  <c r="L278" i="18" s="1"/>
  <c r="L279" i="18" s="1"/>
  <c r="L218" i="18"/>
  <c r="L219" i="18"/>
  <c r="L220" i="18" s="1"/>
  <c r="L221" i="18" s="1"/>
  <c r="L222" i="18" s="1"/>
  <c r="L223" i="18" s="1"/>
  <c r="L224" i="18" s="1"/>
  <c r="L225" i="18" s="1"/>
  <c r="L226" i="18" s="1"/>
  <c r="L227" i="18" s="1"/>
  <c r="L228" i="18" s="1"/>
  <c r="L229" i="18" s="1"/>
  <c r="L230" i="18" s="1"/>
  <c r="L231" i="18" s="1"/>
  <c r="L232" i="18" s="1"/>
  <c r="L233" i="18" s="1"/>
  <c r="L234" i="18" s="1"/>
  <c r="L235" i="18" s="1"/>
  <c r="L236" i="18" s="1"/>
  <c r="L237" i="18" s="1"/>
  <c r="L238" i="18" s="1"/>
  <c r="L239" i="18" s="1"/>
  <c r="L240" i="18" s="1"/>
  <c r="L241" i="18" s="1"/>
  <c r="L194" i="18"/>
  <c r="L195" i="18"/>
  <c r="L196" i="18" s="1"/>
  <c r="L197" i="18" s="1"/>
  <c r="L198" i="18" s="1"/>
  <c r="L199" i="18" s="1"/>
  <c r="L200" i="18" s="1"/>
  <c r="L201" i="18" s="1"/>
  <c r="L202" i="18" s="1"/>
  <c r="L203" i="18" s="1"/>
  <c r="L204" i="18" s="1"/>
  <c r="L205" i="18" s="1"/>
  <c r="L206" i="18" s="1"/>
  <c r="L207" i="18" s="1"/>
  <c r="L208" i="18" s="1"/>
  <c r="L209" i="18" s="1"/>
  <c r="L186" i="18"/>
  <c r="L187" i="18"/>
  <c r="L188" i="18" s="1"/>
  <c r="L189" i="18" s="1"/>
  <c r="L190" i="18" s="1"/>
  <c r="L191" i="18" s="1"/>
  <c r="L192" i="18" s="1"/>
  <c r="L193" i="18" s="1"/>
  <c r="R5404" i="16"/>
  <c r="R5403" i="16"/>
  <c r="R5402" i="16"/>
  <c r="R5401" i="16"/>
  <c r="R5400" i="16"/>
  <c r="R5399" i="16"/>
  <c r="R5398" i="16"/>
  <c r="R5397" i="16"/>
  <c r="R5396" i="16"/>
  <c r="R5395" i="16"/>
  <c r="R5394" i="16"/>
  <c r="R5393" i="16"/>
  <c r="R5392" i="16"/>
  <c r="R5391" i="16"/>
  <c r="R5390" i="16"/>
  <c r="R5389" i="16"/>
  <c r="R5388" i="16"/>
  <c r="R5387" i="16"/>
  <c r="R5386" i="16"/>
  <c r="R5385" i="16"/>
  <c r="R5384" i="16"/>
  <c r="R5383" i="16"/>
  <c r="R5380" i="16"/>
  <c r="R5379" i="16"/>
  <c r="R5378" i="16"/>
  <c r="R5377" i="16"/>
  <c r="R5376" i="16"/>
  <c r="R5375" i="16"/>
  <c r="R5374" i="16"/>
  <c r="R5373" i="16"/>
  <c r="R5372" i="16"/>
  <c r="R5371" i="16"/>
  <c r="R5370" i="16"/>
  <c r="R5369" i="16"/>
  <c r="R5368" i="16"/>
  <c r="R5367" i="16"/>
  <c r="R5366" i="16"/>
  <c r="R5365" i="16"/>
  <c r="R5364" i="16"/>
  <c r="R5363" i="16"/>
  <c r="R5362" i="16"/>
  <c r="R5361" i="16"/>
  <c r="R5360" i="16"/>
  <c r="R5359" i="16"/>
  <c r="R5358" i="16"/>
  <c r="R5357" i="16"/>
  <c r="R5356" i="16"/>
  <c r="R5355" i="16"/>
  <c r="R5354" i="16"/>
  <c r="R5353" i="16"/>
  <c r="R5352" i="16"/>
  <c r="R5351" i="16"/>
  <c r="R5350" i="16"/>
  <c r="R5349" i="16"/>
  <c r="R5348" i="16"/>
  <c r="R5347" i="16"/>
  <c r="R5339" i="16"/>
  <c r="R5338" i="16"/>
  <c r="R5337" i="16"/>
  <c r="R5336" i="16"/>
  <c r="R5335" i="16"/>
  <c r="R5334" i="16"/>
  <c r="R5333" i="16"/>
  <c r="B15" i="10"/>
  <c r="C15" i="10" s="1"/>
  <c r="B16" i="10"/>
  <c r="C16" i="10" s="1"/>
  <c r="B17" i="10"/>
  <c r="C17" i="10" s="1"/>
  <c r="B18" i="10"/>
  <c r="C18" i="10" s="1"/>
  <c r="B20" i="10"/>
  <c r="C20" i="10" s="1"/>
  <c r="B19" i="10"/>
  <c r="C19" i="10"/>
  <c r="D20" i="10" s="1"/>
  <c r="B22" i="10"/>
  <c r="C22" i="10" s="1"/>
  <c r="B21" i="10"/>
  <c r="C21" i="10"/>
  <c r="B24" i="10"/>
  <c r="R4341" i="16"/>
  <c r="R4340" i="16"/>
  <c r="R4339" i="16"/>
  <c r="R4338" i="16"/>
  <c r="R4337" i="16"/>
  <c r="R4336" i="16"/>
  <c r="R4335" i="16"/>
  <c r="R4334" i="16"/>
  <c r="R4333" i="16"/>
  <c r="R4332" i="16"/>
  <c r="R4331" i="16"/>
  <c r="R4330" i="16"/>
  <c r="R4329" i="16"/>
  <c r="R4328" i="16"/>
  <c r="R4327" i="16"/>
  <c r="R4326" i="16"/>
  <c r="R4325" i="16"/>
  <c r="R4324" i="16"/>
  <c r="R4323" i="16"/>
  <c r="R4322" i="16"/>
  <c r="R4321" i="16"/>
  <c r="R4320" i="16"/>
  <c r="R4319" i="16"/>
  <c r="R4318" i="16"/>
  <c r="R4317" i="16"/>
  <c r="R4316" i="16"/>
  <c r="R4315" i="16"/>
  <c r="R4314" i="16"/>
  <c r="R4313" i="16"/>
  <c r="R4312" i="16"/>
  <c r="R4311" i="16"/>
  <c r="R4310" i="16"/>
  <c r="R4309" i="16"/>
  <c r="R4308" i="16"/>
  <c r="R4307" i="16"/>
  <c r="R4306" i="16"/>
  <c r="R4305" i="16"/>
  <c r="R4304" i="16"/>
  <c r="R4303" i="16"/>
  <c r="R4302" i="16"/>
  <c r="R4301" i="16"/>
  <c r="R4300" i="16"/>
  <c r="R4299" i="16"/>
  <c r="R4298" i="16"/>
  <c r="R4297" i="16"/>
  <c r="R4296" i="16"/>
  <c r="R4295" i="16"/>
  <c r="R4294" i="16"/>
  <c r="R4293" i="16"/>
  <c r="R4292" i="16"/>
  <c r="R4291" i="16"/>
  <c r="R4290" i="16"/>
  <c r="R4289" i="16"/>
  <c r="R4288" i="16"/>
  <c r="R4287" i="16"/>
  <c r="R4286" i="16"/>
  <c r="R4285" i="16"/>
  <c r="R4284" i="16"/>
  <c r="R4283" i="16"/>
  <c r="R4282" i="16"/>
  <c r="R4281" i="16"/>
  <c r="R4280" i="16"/>
  <c r="R4279" i="16"/>
  <c r="R4278" i="16"/>
  <c r="R4277" i="16"/>
  <c r="R4276" i="16"/>
  <c r="R4275" i="16"/>
  <c r="R4274" i="16"/>
  <c r="R4273" i="16"/>
  <c r="R4272" i="16"/>
  <c r="R4271" i="16"/>
  <c r="R4270" i="16"/>
  <c r="R4269" i="16"/>
  <c r="R4268" i="16"/>
  <c r="R4267" i="16"/>
  <c r="R4266" i="16"/>
  <c r="R4265" i="16"/>
  <c r="R4264" i="16"/>
  <c r="R4263" i="16"/>
  <c r="R4262" i="16"/>
  <c r="R4261" i="16"/>
  <c r="R4260" i="16"/>
  <c r="R4259" i="16"/>
  <c r="R4258" i="16"/>
  <c r="R4257" i="16"/>
  <c r="R4256" i="16"/>
  <c r="R4255" i="16"/>
  <c r="R4254" i="16"/>
  <c r="R4253" i="16"/>
  <c r="R4252" i="16"/>
  <c r="R4251" i="16"/>
  <c r="R4250" i="16"/>
  <c r="R4249" i="16"/>
  <c r="R4248" i="16"/>
  <c r="R4247" i="16"/>
  <c r="R4246" i="16"/>
  <c r="R4245" i="16"/>
  <c r="R4244" i="16"/>
  <c r="R4243" i="16"/>
  <c r="R4242" i="16"/>
  <c r="R4241" i="16"/>
  <c r="R4240" i="16"/>
  <c r="R4239" i="16"/>
  <c r="R4238" i="16"/>
  <c r="R4237" i="16"/>
  <c r="R4236" i="16"/>
  <c r="R4235" i="16"/>
  <c r="R4234" i="16"/>
  <c r="R4233" i="16"/>
  <c r="R4232" i="16"/>
  <c r="R4231" i="16"/>
  <c r="R4230" i="16"/>
  <c r="R4229" i="16"/>
  <c r="R4228" i="16"/>
  <c r="R4227" i="16"/>
  <c r="R4226" i="16"/>
  <c r="R4225" i="16"/>
  <c r="R4224" i="16"/>
  <c r="R4223" i="16"/>
  <c r="R4222" i="16"/>
  <c r="R4221" i="16"/>
  <c r="R4220" i="16"/>
  <c r="R4219" i="16"/>
  <c r="R4218" i="16"/>
  <c r="R4217" i="16"/>
  <c r="R4216" i="16"/>
  <c r="R4215" i="16"/>
  <c r="R4214" i="16"/>
  <c r="R4213" i="16"/>
  <c r="R4212" i="16"/>
  <c r="R4211" i="16"/>
  <c r="R4210" i="16"/>
  <c r="R4209" i="16"/>
  <c r="R4208" i="16"/>
  <c r="R4207" i="16"/>
  <c r="R4206" i="16"/>
  <c r="R4205" i="16"/>
  <c r="R4204" i="16"/>
  <c r="R4203" i="16"/>
  <c r="R4202" i="16"/>
  <c r="R4201" i="16"/>
  <c r="R4200" i="16"/>
  <c r="R4199" i="16"/>
  <c r="R4198" i="16"/>
  <c r="R4197" i="16"/>
  <c r="R4196" i="16"/>
  <c r="R4195" i="16"/>
  <c r="R4194" i="16"/>
  <c r="R4193" i="16"/>
  <c r="R4192" i="16"/>
  <c r="R4191" i="16"/>
  <c r="R4190" i="16"/>
  <c r="R4188" i="16"/>
  <c r="R4187" i="16"/>
  <c r="R4186" i="16"/>
  <c r="R4185" i="16"/>
  <c r="R4184" i="16"/>
  <c r="R4183" i="16"/>
  <c r="R4182" i="16"/>
  <c r="R4181" i="16"/>
  <c r="R4180" i="16"/>
  <c r="R4179" i="16"/>
  <c r="R4178" i="16"/>
  <c r="R4177" i="16"/>
  <c r="R4176" i="16"/>
  <c r="R4175" i="16"/>
  <c r="R4174" i="16"/>
  <c r="R4173" i="16"/>
  <c r="R4172" i="16"/>
  <c r="R4171" i="16"/>
  <c r="R4170" i="16"/>
  <c r="R4169" i="16"/>
  <c r="R4168" i="16"/>
  <c r="R4167" i="16"/>
  <c r="R4166" i="16"/>
  <c r="R4165" i="16"/>
  <c r="R4164" i="16"/>
  <c r="R4163" i="16"/>
  <c r="R4162" i="16"/>
  <c r="R4161" i="16"/>
  <c r="R4160" i="16"/>
  <c r="R4159" i="16"/>
  <c r="R4158" i="16"/>
  <c r="R4157" i="16"/>
  <c r="R4156" i="16"/>
  <c r="R4155" i="16"/>
  <c r="R4154" i="16"/>
  <c r="R4153" i="16"/>
  <c r="R4152" i="16"/>
  <c r="R4151" i="16"/>
  <c r="R4150" i="16"/>
  <c r="R4149" i="16"/>
  <c r="R4148" i="16"/>
  <c r="R4147" i="16"/>
  <c r="R4146" i="16"/>
  <c r="R4145" i="16"/>
  <c r="R4144" i="16"/>
  <c r="R4143" i="16"/>
  <c r="R4142" i="16"/>
  <c r="R4141" i="16"/>
  <c r="R4140" i="16"/>
  <c r="R4139" i="16"/>
  <c r="R4138" i="16"/>
  <c r="R4137" i="16"/>
  <c r="R4136" i="16"/>
  <c r="R4135" i="16"/>
  <c r="R4134" i="16"/>
  <c r="R4133" i="16"/>
  <c r="R4132" i="16"/>
  <c r="R4131" i="16"/>
  <c r="R4130" i="16"/>
  <c r="R4129" i="16"/>
  <c r="R4128" i="16"/>
  <c r="R4127" i="16"/>
  <c r="R4126" i="16"/>
  <c r="R4125" i="16"/>
  <c r="R4124" i="16"/>
  <c r="R4123" i="16"/>
  <c r="R4122" i="16"/>
  <c r="R4121" i="16"/>
  <c r="R4120" i="16"/>
  <c r="R4119" i="16"/>
  <c r="R4118" i="16"/>
  <c r="R4117" i="16"/>
  <c r="R4116" i="16"/>
  <c r="R4115" i="16"/>
  <c r="R4114" i="16"/>
  <c r="R4113" i="16"/>
  <c r="R4112" i="16"/>
  <c r="R4111" i="16"/>
  <c r="R4110" i="16"/>
  <c r="R4109" i="16"/>
  <c r="R4108" i="16"/>
  <c r="R4107" i="16"/>
  <c r="R4106" i="16"/>
  <c r="R4105" i="16"/>
  <c r="R4104" i="16"/>
  <c r="R4103" i="16"/>
  <c r="R4102" i="16"/>
  <c r="R4101" i="16"/>
  <c r="R4100" i="16"/>
  <c r="R4099" i="16"/>
  <c r="R4098" i="16"/>
  <c r="R4097" i="16"/>
  <c r="R4096" i="16"/>
  <c r="R4095" i="16"/>
  <c r="R4094" i="16"/>
  <c r="R4093" i="16"/>
  <c r="R4092" i="16"/>
  <c r="R4091" i="16"/>
  <c r="R4090" i="16"/>
  <c r="R4089" i="16"/>
  <c r="R4088" i="16"/>
  <c r="R4087" i="16"/>
  <c r="R4086" i="16"/>
  <c r="R4085" i="16"/>
  <c r="R4084" i="16"/>
  <c r="R4083" i="16"/>
  <c r="R4082" i="16"/>
  <c r="R4081" i="16"/>
  <c r="R4079" i="16"/>
  <c r="R4078" i="16"/>
  <c r="R4077" i="16"/>
  <c r="R4076" i="16"/>
  <c r="R4075" i="16"/>
  <c r="R4074" i="16"/>
  <c r="R4073" i="16"/>
  <c r="R4072" i="16"/>
  <c r="R4071" i="16"/>
  <c r="R4070" i="16"/>
  <c r="R4069" i="16"/>
  <c r="R4068" i="16"/>
  <c r="R4067" i="16"/>
  <c r="R4066" i="16"/>
  <c r="R4065" i="16"/>
  <c r="R4064" i="16"/>
  <c r="R4063" i="16"/>
  <c r="R4062" i="16"/>
  <c r="R4061" i="16"/>
  <c r="R4060" i="16"/>
  <c r="R4059" i="16"/>
  <c r="R4058" i="16"/>
  <c r="R4057" i="16"/>
  <c r="R4056" i="16"/>
  <c r="R4055" i="16"/>
  <c r="R4054" i="16"/>
  <c r="R4053" i="16"/>
  <c r="R4052" i="16"/>
  <c r="R4051" i="16"/>
  <c r="R4050" i="16"/>
  <c r="R4049" i="16"/>
  <c r="R4048" i="16"/>
  <c r="R4047" i="16"/>
  <c r="R4046" i="16"/>
  <c r="R4045" i="16"/>
  <c r="R4044" i="16"/>
  <c r="R4043" i="16"/>
  <c r="R4042" i="16"/>
  <c r="R4041" i="16"/>
  <c r="R4040" i="16"/>
  <c r="R4039" i="16"/>
  <c r="R4038" i="16"/>
  <c r="R4037" i="16"/>
  <c r="R4036" i="16"/>
  <c r="R4035" i="16"/>
  <c r="R4034" i="16"/>
  <c r="R4033" i="16"/>
  <c r="R4032" i="16"/>
  <c r="R4031" i="16"/>
  <c r="R4030" i="16"/>
  <c r="R4029" i="16"/>
  <c r="R4028" i="16"/>
  <c r="R4027" i="16"/>
  <c r="R4026" i="16"/>
  <c r="R4025" i="16"/>
  <c r="R4024" i="16"/>
  <c r="R4023" i="16"/>
  <c r="R4022" i="16"/>
  <c r="R4021" i="16"/>
  <c r="R4020" i="16"/>
  <c r="R4019" i="16"/>
  <c r="R4018" i="16"/>
  <c r="R4017" i="16"/>
  <c r="R4016" i="16"/>
  <c r="R4015" i="16"/>
  <c r="R4014" i="16"/>
  <c r="R4013" i="16"/>
  <c r="R4012" i="16"/>
  <c r="R4011" i="16"/>
  <c r="R4010" i="16"/>
  <c r="R4009" i="16"/>
  <c r="R4008" i="16"/>
  <c r="R4007" i="16"/>
  <c r="R4006" i="16"/>
  <c r="R4005" i="16"/>
  <c r="R4004" i="16"/>
  <c r="R4003" i="16"/>
  <c r="R4002" i="16"/>
  <c r="R4001" i="16"/>
  <c r="R4000" i="16"/>
  <c r="R3999" i="16"/>
  <c r="R3998" i="16"/>
  <c r="R3997" i="16"/>
  <c r="R3996" i="16"/>
  <c r="R3994" i="16"/>
  <c r="R3993" i="16"/>
  <c r="R3992" i="16"/>
  <c r="R3991" i="16"/>
  <c r="R3990" i="16"/>
  <c r="R3989" i="16"/>
  <c r="R3988" i="16"/>
  <c r="R3987" i="16"/>
  <c r="R3986" i="16"/>
  <c r="R3985" i="16"/>
  <c r="R3984" i="16"/>
  <c r="R3983" i="16"/>
  <c r="R3932" i="16"/>
  <c r="R3931" i="16"/>
  <c r="R3930" i="16"/>
  <c r="R3929" i="16"/>
  <c r="R3928" i="16"/>
  <c r="R3927" i="16"/>
  <c r="R3926" i="16"/>
  <c r="R3925" i="16"/>
  <c r="R3924" i="16"/>
  <c r="R3923" i="16"/>
  <c r="R3922" i="16"/>
  <c r="R3921" i="16"/>
  <c r="R3920" i="16"/>
  <c r="R3919" i="16"/>
  <c r="R3918" i="16"/>
  <c r="R3917" i="16"/>
  <c r="R3916" i="16"/>
  <c r="R3915" i="16"/>
  <c r="R3914" i="16"/>
  <c r="R3913" i="16"/>
  <c r="R3912" i="16"/>
  <c r="R3911" i="16"/>
  <c r="R3910" i="16"/>
  <c r="R3909" i="16"/>
  <c r="R3908" i="16"/>
  <c r="R3907" i="16"/>
  <c r="R3906" i="16"/>
  <c r="R3905" i="16"/>
  <c r="R3904" i="16"/>
  <c r="R3903" i="16"/>
  <c r="R3902" i="16"/>
  <c r="R3901" i="16"/>
  <c r="R3900" i="16"/>
  <c r="R3899" i="16"/>
  <c r="R3898" i="16"/>
  <c r="R3897" i="16"/>
  <c r="R3896" i="16"/>
  <c r="R3895" i="16"/>
  <c r="R3894" i="16"/>
  <c r="R3893" i="16"/>
  <c r="R3892" i="16"/>
  <c r="R3891" i="16"/>
  <c r="R3890" i="16"/>
  <c r="R3889" i="16"/>
  <c r="R3888" i="16"/>
  <c r="R3887" i="16"/>
  <c r="R3886" i="16"/>
  <c r="R3885" i="16"/>
  <c r="R3884" i="16"/>
  <c r="R3883" i="16"/>
  <c r="R3882" i="16"/>
  <c r="R3881" i="16"/>
  <c r="R3880" i="16"/>
  <c r="R3879" i="16"/>
  <c r="R3878" i="16"/>
  <c r="R3877" i="16"/>
  <c r="R3876" i="16"/>
  <c r="R3875" i="16"/>
  <c r="R3874" i="16"/>
  <c r="R3873" i="16"/>
  <c r="R3872" i="16"/>
  <c r="R3871" i="16"/>
  <c r="R3870" i="16"/>
  <c r="R3869" i="16"/>
  <c r="R3868" i="16"/>
  <c r="R3867" i="16"/>
  <c r="R3866" i="16"/>
  <c r="R3865" i="16"/>
  <c r="R3864" i="16"/>
  <c r="R3863" i="16"/>
  <c r="R3862" i="16"/>
  <c r="R3861" i="16"/>
  <c r="R3860" i="16"/>
  <c r="R3859" i="16"/>
  <c r="R3858" i="16"/>
  <c r="R3857" i="16"/>
  <c r="R3856" i="16"/>
  <c r="R3855" i="16"/>
  <c r="R3854" i="16"/>
  <c r="R3853" i="16"/>
  <c r="R3852" i="16"/>
  <c r="R3851" i="16"/>
  <c r="R3850" i="16"/>
  <c r="R3849" i="16"/>
  <c r="R3848" i="16"/>
  <c r="R3847" i="16"/>
  <c r="R3846" i="16"/>
  <c r="R3845" i="16"/>
  <c r="R3844" i="16"/>
  <c r="R3843" i="16"/>
  <c r="R3842" i="16"/>
  <c r="R3841" i="16"/>
  <c r="R3840" i="16"/>
  <c r="R3839" i="16"/>
  <c r="R3838" i="16"/>
  <c r="R3837" i="16"/>
  <c r="R5236" i="16"/>
  <c r="R5235" i="16"/>
  <c r="R5234" i="16"/>
  <c r="R5233" i="16"/>
  <c r="R5232" i="16"/>
  <c r="R5231" i="16"/>
  <c r="R5230" i="16"/>
  <c r="R5229" i="16"/>
  <c r="R5228" i="16"/>
  <c r="R5227" i="16"/>
  <c r="R5226" i="16"/>
  <c r="R5225" i="16"/>
  <c r="R5224" i="16"/>
  <c r="R5223" i="16"/>
  <c r="R5222" i="16"/>
  <c r="R5221" i="16"/>
  <c r="R5220" i="16"/>
  <c r="R5219" i="16"/>
  <c r="R5218" i="16"/>
  <c r="R5217" i="16"/>
  <c r="R5216" i="16"/>
  <c r="R5215" i="16"/>
  <c r="R5214" i="16"/>
  <c r="R5213" i="16"/>
  <c r="R5212" i="16"/>
  <c r="R5211" i="16"/>
  <c r="R5210" i="16"/>
  <c r="R5209" i="16"/>
  <c r="R5208" i="16"/>
  <c r="R5207" i="16"/>
  <c r="R5206" i="16"/>
  <c r="R5205" i="16"/>
  <c r="R5204" i="16"/>
  <c r="R5203" i="16"/>
  <c r="R5202" i="16"/>
  <c r="R5201" i="16"/>
  <c r="R5200" i="16"/>
  <c r="R5199" i="16"/>
  <c r="R5198" i="16"/>
  <c r="R5197" i="16"/>
  <c r="R5196" i="16"/>
  <c r="R5195" i="16"/>
  <c r="R5194" i="16"/>
  <c r="R5193" i="16"/>
  <c r="R5192" i="16"/>
  <c r="R5191" i="16"/>
  <c r="R5190" i="16"/>
  <c r="R5189" i="16"/>
  <c r="R5188" i="16"/>
  <c r="R5187" i="16"/>
  <c r="R5186" i="16"/>
  <c r="R5185" i="16"/>
  <c r="R5184" i="16"/>
  <c r="R5183" i="16"/>
  <c r="R5182" i="16"/>
  <c r="R5181" i="16"/>
  <c r="R5180" i="16"/>
  <c r="R5179" i="16"/>
  <c r="R5178" i="16"/>
  <c r="R5177" i="16"/>
  <c r="R5176" i="16"/>
  <c r="R5175" i="16"/>
  <c r="R5174" i="16"/>
  <c r="R5173" i="16"/>
  <c r="R5172" i="16"/>
  <c r="R5171" i="16"/>
  <c r="R5170" i="16"/>
  <c r="R5169" i="16"/>
  <c r="R5168" i="16"/>
  <c r="R5167" i="16"/>
  <c r="R5166" i="16"/>
  <c r="R5165" i="16"/>
  <c r="R5164" i="16"/>
  <c r="R5163" i="16"/>
  <c r="R5162" i="16"/>
  <c r="R5161" i="16"/>
  <c r="R5160" i="16"/>
  <c r="R5159" i="16"/>
  <c r="R5158" i="16"/>
  <c r="R5157" i="16"/>
  <c r="R5156" i="16"/>
  <c r="R5155" i="16"/>
  <c r="R5154" i="16"/>
  <c r="R5153" i="16"/>
  <c r="R5152" i="16"/>
  <c r="R5151" i="16"/>
  <c r="R5150" i="16"/>
  <c r="R5149" i="16"/>
  <c r="R5148" i="16"/>
  <c r="R5147" i="16"/>
  <c r="R5146" i="16"/>
  <c r="R5145" i="16"/>
  <c r="R5144" i="16"/>
  <c r="R5143" i="16"/>
  <c r="R5142" i="16"/>
  <c r="R5141" i="16"/>
  <c r="R5140" i="16"/>
  <c r="R5139" i="16"/>
  <c r="R5138" i="16"/>
  <c r="R5137" i="16"/>
  <c r="R5136" i="16"/>
  <c r="R5135" i="16"/>
  <c r="R5134" i="16"/>
  <c r="R5133" i="16"/>
  <c r="R5132" i="16"/>
  <c r="R5131" i="16"/>
  <c r="R5130" i="16"/>
  <c r="R5129" i="16"/>
  <c r="R5128" i="16"/>
  <c r="R5127" i="16"/>
  <c r="R5126" i="16"/>
  <c r="R5125" i="16"/>
  <c r="R5124" i="16"/>
  <c r="R5123" i="16"/>
  <c r="R5122" i="16"/>
  <c r="R5121" i="16"/>
  <c r="R5120" i="16"/>
  <c r="R5119" i="16"/>
  <c r="R5118" i="16"/>
  <c r="R5117" i="16"/>
  <c r="R5116" i="16"/>
  <c r="R5115" i="16"/>
  <c r="R5114" i="16"/>
  <c r="R5113" i="16"/>
  <c r="R5112" i="16"/>
  <c r="R5111" i="16"/>
  <c r="R5110" i="16"/>
  <c r="R5109" i="16"/>
  <c r="R5108" i="16"/>
  <c r="R5107" i="16"/>
  <c r="R5106" i="16"/>
  <c r="R5105" i="16"/>
  <c r="R5104" i="16"/>
  <c r="R5103" i="16"/>
  <c r="R5102" i="16"/>
  <c r="R5101" i="16"/>
  <c r="R5100" i="16"/>
  <c r="R5099" i="16"/>
  <c r="R5098" i="16"/>
  <c r="R5097" i="16"/>
  <c r="R5096" i="16"/>
  <c r="R5095" i="16"/>
  <c r="R5094" i="16"/>
  <c r="R5093" i="16"/>
  <c r="R5092" i="16"/>
  <c r="R5091" i="16"/>
  <c r="R5090" i="16"/>
  <c r="R5089" i="16"/>
  <c r="R5088" i="16"/>
  <c r="R5087" i="16"/>
  <c r="R5086" i="16"/>
  <c r="R5085" i="16"/>
  <c r="R5084" i="16"/>
  <c r="R5083" i="16"/>
  <c r="R5082" i="16"/>
  <c r="R5081" i="16"/>
  <c r="R5080" i="16"/>
  <c r="R5079" i="16"/>
  <c r="R5078" i="16"/>
  <c r="R5077" i="16"/>
  <c r="R5076" i="16"/>
  <c r="R5075" i="16"/>
  <c r="R5074" i="16"/>
  <c r="R5073" i="16"/>
  <c r="R5072" i="16"/>
  <c r="R5071" i="16"/>
  <c r="R5070" i="16"/>
  <c r="R5069" i="16"/>
  <c r="R5068" i="16"/>
  <c r="R5067" i="16"/>
  <c r="R5066" i="16"/>
  <c r="R5065" i="16"/>
  <c r="R5064" i="16"/>
  <c r="R5063" i="16"/>
  <c r="R5056" i="16"/>
  <c r="R5055" i="16"/>
  <c r="R5054" i="16"/>
  <c r="R5053" i="16"/>
  <c r="R5052" i="16"/>
  <c r="R5051" i="16"/>
  <c r="R5050" i="16"/>
  <c r="R5049" i="16"/>
  <c r="R5048" i="16"/>
  <c r="R5047" i="16"/>
  <c r="R5046" i="16"/>
  <c r="R5045" i="16"/>
  <c r="R5044" i="16"/>
  <c r="R5043" i="16"/>
  <c r="R5042" i="16"/>
  <c r="R5041" i="16"/>
  <c r="R5040" i="16"/>
  <c r="R5039" i="16"/>
  <c r="R5038" i="16"/>
  <c r="R5037" i="16"/>
  <c r="R5036" i="16"/>
  <c r="R5035" i="16"/>
  <c r="R5034" i="16"/>
  <c r="R5033" i="16"/>
  <c r="R5032" i="16"/>
  <c r="R5031" i="16"/>
  <c r="R5030" i="16"/>
  <c r="R5029" i="16"/>
  <c r="R5028" i="16"/>
  <c r="R5027" i="16"/>
  <c r="R5026" i="16"/>
  <c r="R5025" i="16"/>
  <c r="R5024" i="16"/>
  <c r="R5023" i="16"/>
  <c r="R5022" i="16"/>
  <c r="R5021" i="16"/>
  <c r="R5020" i="16"/>
  <c r="R5019" i="16"/>
  <c r="R5018" i="16"/>
  <c r="R5017" i="16"/>
  <c r="R5016" i="16"/>
  <c r="R5015" i="16"/>
  <c r="R5014" i="16"/>
  <c r="R5013" i="16"/>
  <c r="R5012" i="16"/>
  <c r="R5011" i="16"/>
  <c r="R5010" i="16"/>
  <c r="R5009" i="16"/>
  <c r="R5008" i="16"/>
  <c r="R5007" i="16"/>
  <c r="R5006" i="16"/>
  <c r="R5005" i="16"/>
  <c r="R5004" i="16"/>
  <c r="R5003" i="16"/>
  <c r="R5002" i="16"/>
  <c r="R5001" i="16"/>
  <c r="R5000" i="16"/>
  <c r="R4999" i="16"/>
  <c r="R4998" i="16"/>
  <c r="R4997" i="16"/>
  <c r="R4996" i="16"/>
  <c r="R4995" i="16"/>
  <c r="R4994" i="16"/>
  <c r="R4993" i="16"/>
  <c r="R4992" i="16"/>
  <c r="R4991" i="16"/>
  <c r="R4990" i="16"/>
  <c r="R4989" i="16"/>
  <c r="R4988" i="16"/>
  <c r="R4987" i="16"/>
  <c r="R4986" i="16"/>
  <c r="R4985" i="16"/>
  <c r="R4984" i="16"/>
  <c r="R4983" i="16"/>
  <c r="R4982" i="16"/>
  <c r="R4981" i="16"/>
  <c r="R4980" i="16"/>
  <c r="R4979" i="16"/>
  <c r="R4978" i="16"/>
  <c r="R4977" i="16"/>
  <c r="R4976" i="16"/>
  <c r="R4975" i="16"/>
  <c r="R4974" i="16"/>
  <c r="R4973" i="16"/>
  <c r="R4972" i="16"/>
  <c r="R4971" i="16"/>
  <c r="R4970" i="16"/>
  <c r="R4969" i="16"/>
  <c r="R4968" i="16"/>
  <c r="R4967" i="16"/>
  <c r="R4958" i="16"/>
  <c r="R4957" i="16"/>
  <c r="R4956" i="16"/>
  <c r="R4955" i="16"/>
  <c r="R4954" i="16"/>
  <c r="R4953" i="16"/>
  <c r="R4952" i="16"/>
  <c r="R4951" i="16"/>
  <c r="R4950" i="16"/>
  <c r="R4949" i="16"/>
  <c r="R4948" i="16"/>
  <c r="R4947" i="16"/>
  <c r="R4946" i="16"/>
  <c r="R4945" i="16"/>
  <c r="R4944" i="16"/>
  <c r="R4943" i="16"/>
  <c r="R4942" i="16"/>
  <c r="R4941" i="16"/>
  <c r="R4940" i="16"/>
  <c r="R4939" i="16"/>
  <c r="R4938" i="16"/>
  <c r="R4937" i="16"/>
  <c r="R4936" i="16"/>
  <c r="R4935" i="16"/>
  <c r="R4934" i="16"/>
  <c r="R4933" i="16"/>
  <c r="R4932" i="16"/>
  <c r="R4931" i="16"/>
  <c r="R4930" i="16"/>
  <c r="R4929" i="16"/>
  <c r="R4928" i="16"/>
  <c r="R4757" i="16"/>
  <c r="R4756" i="16"/>
  <c r="R4755" i="16"/>
  <c r="R4754" i="16"/>
  <c r="R4753" i="16"/>
  <c r="R4752" i="16"/>
  <c r="R4751" i="16"/>
  <c r="R4750" i="16"/>
  <c r="R4749" i="16"/>
  <c r="R4748" i="16"/>
  <c r="R4747" i="16"/>
  <c r="R4746" i="16"/>
  <c r="R4745" i="16"/>
  <c r="R4744" i="16"/>
  <c r="R4743" i="16"/>
  <c r="R4742" i="16"/>
  <c r="R4741" i="16"/>
  <c r="R4740" i="16"/>
  <c r="R4739" i="16"/>
  <c r="R4738" i="16"/>
  <c r="R4737" i="16"/>
  <c r="R4736" i="16"/>
  <c r="R4735" i="16"/>
  <c r="R4734" i="16"/>
  <c r="R4733" i="16"/>
  <c r="R4732" i="16"/>
  <c r="R4731" i="16"/>
  <c r="R4730" i="16"/>
  <c r="R4729" i="16"/>
  <c r="R4728" i="16"/>
  <c r="R4727" i="16"/>
  <c r="R4726" i="16"/>
  <c r="R4725" i="16"/>
  <c r="R4724" i="16"/>
  <c r="R4723" i="16"/>
  <c r="R4722" i="16"/>
  <c r="R4721" i="16"/>
  <c r="R4720" i="16"/>
  <c r="R4719" i="16"/>
  <c r="R4718" i="16"/>
  <c r="R4717" i="16"/>
  <c r="R4716" i="16"/>
  <c r="R4715" i="16"/>
  <c r="R4714" i="16"/>
  <c r="R4713" i="16"/>
  <c r="R4712" i="16"/>
  <c r="R4711" i="16"/>
  <c r="R4710" i="16"/>
  <c r="R4709" i="16"/>
  <c r="R4708" i="16"/>
  <c r="R4707" i="16"/>
  <c r="R4706" i="16"/>
  <c r="R4705" i="16"/>
  <c r="R4704" i="16"/>
  <c r="R4703" i="16"/>
  <c r="R4702" i="16"/>
  <c r="R4701" i="16"/>
  <c r="R4700" i="16"/>
  <c r="R4699" i="16"/>
  <c r="R4698" i="16"/>
  <c r="R4697" i="16"/>
  <c r="R4696" i="16"/>
  <c r="R4695" i="16"/>
  <c r="R4694" i="16"/>
  <c r="R4693" i="16"/>
  <c r="R4692" i="16"/>
  <c r="R4691" i="16"/>
  <c r="R4690" i="16"/>
  <c r="R4689" i="16"/>
  <c r="R4688" i="16"/>
  <c r="R4662" i="16"/>
  <c r="R4661" i="16"/>
  <c r="R4660" i="16"/>
  <c r="R4659" i="16"/>
  <c r="R4658" i="16"/>
  <c r="R4657" i="16"/>
  <c r="R4656" i="16"/>
  <c r="R4655" i="16"/>
  <c r="R4654" i="16"/>
  <c r="R4653" i="16"/>
  <c r="R4652" i="16"/>
  <c r="R4651" i="16"/>
  <c r="R4638" i="16"/>
  <c r="R4637" i="16"/>
  <c r="R4636" i="16"/>
  <c r="R4635" i="16"/>
  <c r="R4634" i="16"/>
  <c r="R4633" i="16"/>
  <c r="R4632" i="16"/>
  <c r="R4631" i="16"/>
  <c r="R4630" i="16"/>
  <c r="R4629" i="16"/>
  <c r="R4628" i="16"/>
  <c r="R4627" i="16"/>
  <c r="R4620" i="16"/>
  <c r="R4619" i="16"/>
  <c r="R4618" i="16"/>
  <c r="R4617" i="16"/>
  <c r="R4616" i="16"/>
  <c r="R4615" i="16"/>
  <c r="R4614" i="16"/>
  <c r="R4613" i="16"/>
  <c r="R4612" i="16"/>
  <c r="R4611" i="16"/>
  <c r="R4610" i="16"/>
  <c r="R4609" i="16"/>
  <c r="R4608" i="16"/>
  <c r="R4607" i="16"/>
  <c r="R4606" i="16"/>
  <c r="R4605" i="16"/>
  <c r="R4604" i="16"/>
  <c r="R4603" i="16"/>
  <c r="R4602" i="16"/>
  <c r="R4601" i="16"/>
  <c r="R4600" i="16"/>
  <c r="R4599" i="16"/>
  <c r="R4598" i="16"/>
  <c r="R4597" i="16"/>
  <c r="R4596" i="16"/>
  <c r="R4595" i="16"/>
  <c r="R4594" i="16"/>
  <c r="R4593" i="16"/>
  <c r="R4592" i="16"/>
  <c r="R4591" i="16"/>
  <c r="R4590" i="16"/>
  <c r="R4589" i="16"/>
  <c r="R4588" i="16"/>
  <c r="R4587" i="16"/>
  <c r="R4586" i="16"/>
  <c r="R4585" i="16"/>
  <c r="R4584" i="16"/>
  <c r="R4583" i="16"/>
  <c r="R4582" i="16"/>
  <c r="R4581" i="16"/>
  <c r="R4580" i="16"/>
  <c r="R4579" i="16"/>
  <c r="R4578" i="16"/>
  <c r="R4577" i="16"/>
  <c r="R4576" i="16"/>
  <c r="R4575" i="16"/>
  <c r="R4574" i="16"/>
  <c r="R4573" i="16"/>
  <c r="R4572" i="16"/>
  <c r="R4571" i="16"/>
  <c r="R4570" i="16"/>
  <c r="R4569" i="16"/>
  <c r="R4568" i="16"/>
  <c r="R4567" i="16"/>
  <c r="R4566" i="16"/>
  <c r="R4565" i="16"/>
  <c r="R4564" i="16"/>
  <c r="R4563" i="16"/>
  <c r="R4562" i="16"/>
  <c r="R4561" i="16"/>
  <c r="R4560" i="16"/>
  <c r="R4559" i="16"/>
  <c r="R4558" i="16"/>
  <c r="R4557" i="16"/>
  <c r="R4556" i="16"/>
  <c r="R4555" i="16"/>
  <c r="R4554" i="16"/>
  <c r="R4553" i="16"/>
  <c r="R4552" i="16"/>
  <c r="R4551" i="16"/>
  <c r="R4550" i="16"/>
  <c r="R4542" i="16"/>
  <c r="R4541" i="16"/>
  <c r="R4540" i="16"/>
  <c r="R4539" i="16"/>
  <c r="R4538" i="16"/>
  <c r="R4537" i="16"/>
  <c r="R4536" i="16"/>
  <c r="R4535" i="16"/>
  <c r="R4534" i="16"/>
  <c r="R4533" i="16"/>
  <c r="R4532" i="16"/>
  <c r="R4531" i="16"/>
  <c r="R4530" i="16"/>
  <c r="R4529" i="16"/>
  <c r="R4528" i="16"/>
  <c r="R4527" i="16"/>
  <c r="R4526" i="16"/>
  <c r="R4525" i="16"/>
  <c r="R4524" i="16"/>
  <c r="R4523" i="16"/>
  <c r="R4522" i="16"/>
  <c r="R4521" i="16"/>
  <c r="R4520" i="16"/>
  <c r="R4519" i="16"/>
  <c r="R4518" i="16"/>
  <c r="R4517" i="16"/>
  <c r="R4516" i="16"/>
  <c r="R4515" i="16"/>
  <c r="R4514" i="16"/>
  <c r="R4513" i="16"/>
  <c r="R4512" i="16"/>
  <c r="R4511" i="16"/>
  <c r="R4510" i="16"/>
  <c r="R4509" i="16"/>
  <c r="R4508" i="16"/>
  <c r="R4507" i="16"/>
  <c r="R4506" i="16"/>
  <c r="R4505" i="16"/>
  <c r="R4504" i="16"/>
  <c r="R4503" i="16"/>
  <c r="R4502" i="16"/>
  <c r="R4501" i="16"/>
  <c r="R4500" i="16"/>
  <c r="R4499" i="16"/>
  <c r="R4498" i="16"/>
  <c r="R4497" i="16"/>
  <c r="R4496" i="16"/>
  <c r="R4495" i="16"/>
  <c r="R5332" i="16"/>
  <c r="R5331" i="16"/>
  <c r="R5330" i="16"/>
  <c r="R5329" i="16"/>
  <c r="R5328" i="16"/>
  <c r="R5327" i="16"/>
  <c r="R5326" i="16"/>
  <c r="R5325" i="16"/>
  <c r="R5324" i="16"/>
  <c r="R5323" i="16"/>
  <c r="R5322" i="16"/>
  <c r="R5321" i="16"/>
  <c r="R5320" i="16"/>
  <c r="R5319" i="16"/>
  <c r="R5318" i="16"/>
  <c r="R5317" i="16"/>
  <c r="R5316" i="16"/>
  <c r="R5315" i="16"/>
  <c r="R5314" i="16"/>
  <c r="R5313" i="16"/>
  <c r="R5312" i="16"/>
  <c r="R5311" i="16"/>
  <c r="R5310" i="16"/>
  <c r="R5309" i="16"/>
  <c r="R5308" i="16"/>
  <c r="R5307" i="16"/>
  <c r="R5306" i="16"/>
  <c r="R5305" i="16"/>
  <c r="R5304" i="16"/>
  <c r="R5303" i="16"/>
  <c r="R5302" i="16"/>
  <c r="R5301" i="16"/>
  <c r="R5300" i="16"/>
  <c r="R5299" i="16"/>
  <c r="R5298" i="16"/>
  <c r="R5297" i="16"/>
  <c r="R5296" i="16"/>
  <c r="R5295" i="16"/>
  <c r="R5294" i="16"/>
  <c r="R5293" i="16"/>
  <c r="R5292" i="16"/>
  <c r="R5291" i="16"/>
  <c r="R5290" i="16"/>
  <c r="R5289" i="16"/>
  <c r="R5288" i="16"/>
  <c r="R5287" i="16"/>
  <c r="R5286" i="16"/>
  <c r="R5285" i="16"/>
  <c r="R4927" i="16"/>
  <c r="R4926" i="16"/>
  <c r="R4925" i="16"/>
  <c r="R4924" i="16"/>
  <c r="R4923" i="16"/>
  <c r="R4922" i="16"/>
  <c r="R4921" i="16"/>
  <c r="R4920" i="16"/>
  <c r="R4919" i="16"/>
  <c r="R4918" i="16"/>
  <c r="R4917" i="16"/>
  <c r="R4916" i="16"/>
  <c r="R4915" i="16"/>
  <c r="R4914" i="16"/>
  <c r="R4913" i="16"/>
  <c r="R4912" i="16"/>
  <c r="R4911" i="16"/>
  <c r="R4910" i="16"/>
  <c r="R4909" i="16"/>
  <c r="R4908" i="16"/>
  <c r="R4907" i="16"/>
  <c r="R4906" i="16"/>
  <c r="R4905" i="16"/>
  <c r="R4904" i="16"/>
  <c r="R4903" i="16"/>
  <c r="R4902" i="16"/>
  <c r="R4901" i="16"/>
  <c r="R4900" i="16"/>
  <c r="R4899" i="16"/>
  <c r="R4898" i="16"/>
  <c r="R4897" i="16"/>
  <c r="R4896" i="16"/>
  <c r="R4895" i="16"/>
  <c r="R4894" i="16"/>
  <c r="R4893" i="16"/>
  <c r="R4892" i="16"/>
  <c r="R4891" i="16"/>
  <c r="R4890" i="16"/>
  <c r="R4889" i="16"/>
  <c r="R4888" i="16"/>
  <c r="R4887" i="16"/>
  <c r="R4886" i="16"/>
  <c r="R4885" i="16"/>
  <c r="R4884" i="16"/>
  <c r="R4883" i="16"/>
  <c r="R4882" i="16"/>
  <c r="R4881" i="16"/>
  <c r="R4880" i="16"/>
  <c r="R4879" i="16"/>
  <c r="R4878" i="16"/>
  <c r="R4877" i="16"/>
  <c r="R4876" i="16"/>
  <c r="R4875" i="16"/>
  <c r="R4874" i="16"/>
  <c r="R4873" i="16"/>
  <c r="R4872" i="16"/>
  <c r="R4871" i="16"/>
  <c r="R4870" i="16"/>
  <c r="R4869" i="16"/>
  <c r="R4868" i="16"/>
  <c r="R4867" i="16"/>
  <c r="R4866" i="16"/>
  <c r="R4865" i="16"/>
  <c r="R4864" i="16"/>
  <c r="R4863" i="16"/>
  <c r="R4862" i="16"/>
  <c r="R4861" i="16"/>
  <c r="R4860" i="16"/>
  <c r="R4859" i="16"/>
  <c r="R4858" i="16"/>
  <c r="R4857" i="16"/>
  <c r="R4856" i="16"/>
  <c r="R4494" i="16"/>
  <c r="R4493" i="16"/>
  <c r="R4492" i="16"/>
  <c r="R4491" i="16"/>
  <c r="R4490" i="16"/>
  <c r="R4489" i="16"/>
  <c r="R4488" i="16"/>
  <c r="R4487" i="16"/>
  <c r="R4486" i="16"/>
  <c r="R4485" i="16"/>
  <c r="R4484" i="16"/>
  <c r="R4483" i="16"/>
  <c r="R4482" i="16"/>
  <c r="R4481" i="16"/>
  <c r="R4480" i="16"/>
  <c r="R4479" i="16"/>
  <c r="R4478" i="16"/>
  <c r="R4477" i="16"/>
  <c r="R4476" i="16"/>
  <c r="R4475" i="16"/>
  <c r="R4474" i="16"/>
  <c r="R4473" i="16"/>
  <c r="R4472" i="16"/>
  <c r="R4471" i="16"/>
  <c r="R4470" i="16"/>
  <c r="R4469" i="16"/>
  <c r="R4468" i="16"/>
  <c r="R4467" i="16"/>
  <c r="R4466" i="16"/>
  <c r="R4465" i="16"/>
  <c r="R4464" i="16"/>
  <c r="R4463" i="16"/>
  <c r="R4462" i="16"/>
  <c r="R4461" i="16"/>
  <c r="R4460" i="16"/>
  <c r="R4459" i="16"/>
  <c r="R4458" i="16"/>
  <c r="R4457" i="16"/>
  <c r="R4456" i="16"/>
  <c r="R4455" i="16"/>
  <c r="R4454" i="16"/>
  <c r="R4453" i="16"/>
  <c r="R4452" i="16"/>
  <c r="R4451" i="16"/>
  <c r="R4450" i="16"/>
  <c r="R4449" i="16"/>
  <c r="R4448" i="16"/>
  <c r="R4447" i="16"/>
  <c r="R4446" i="16"/>
  <c r="R4445" i="16"/>
  <c r="R4444" i="16"/>
  <c r="R4443" i="16"/>
  <c r="R4442" i="16"/>
  <c r="R4441" i="16"/>
  <c r="R4440" i="16"/>
  <c r="R4439" i="16"/>
  <c r="R4438" i="16"/>
  <c r="R4437" i="16"/>
  <c r="R4436" i="16"/>
  <c r="R4435" i="16"/>
  <c r="R4434" i="16"/>
  <c r="R4433" i="16"/>
  <c r="R4432" i="16"/>
  <c r="R4431" i="16"/>
  <c r="R4430" i="16"/>
  <c r="R4429" i="16"/>
  <c r="R4428" i="16"/>
  <c r="R4427" i="16"/>
  <c r="R4426" i="16"/>
  <c r="R4425" i="16"/>
  <c r="R4424" i="16"/>
  <c r="R4423" i="16"/>
  <c r="R5284" i="16"/>
  <c r="R5283" i="16"/>
  <c r="R5282" i="16"/>
  <c r="R5281" i="16"/>
  <c r="R5280" i="16"/>
  <c r="R5279" i="16"/>
  <c r="R5278" i="16"/>
  <c r="R5277" i="16"/>
  <c r="R5276" i="16"/>
  <c r="R5275" i="16"/>
  <c r="R5274" i="16"/>
  <c r="R5273" i="16"/>
  <c r="R5272" i="16"/>
  <c r="R5271" i="16"/>
  <c r="R5270" i="16"/>
  <c r="R5269" i="16"/>
  <c r="R5268" i="16"/>
  <c r="R5267" i="16"/>
  <c r="R5266" i="16"/>
  <c r="R5265" i="16"/>
  <c r="R5264" i="16"/>
  <c r="R5263" i="16"/>
  <c r="R5262" i="16"/>
  <c r="R5261" i="16"/>
  <c r="R5260" i="16"/>
  <c r="R5259" i="16"/>
  <c r="R5258" i="16"/>
  <c r="R5257" i="16"/>
  <c r="R5256" i="16"/>
  <c r="R5255" i="16"/>
  <c r="R5254" i="16"/>
  <c r="R5253" i="16"/>
  <c r="R5252" i="16"/>
  <c r="R5251" i="16"/>
  <c r="R5250" i="16"/>
  <c r="R5249" i="16"/>
  <c r="R5248" i="16"/>
  <c r="R5247" i="16"/>
  <c r="R5246" i="16"/>
  <c r="R5245" i="16"/>
  <c r="R5244" i="16"/>
  <c r="R5243" i="16"/>
  <c r="R5242" i="16"/>
  <c r="R5241" i="16"/>
  <c r="R5240" i="16"/>
  <c r="R5239" i="16"/>
  <c r="R5238" i="16"/>
  <c r="R5237" i="16"/>
  <c r="R4855" i="16"/>
  <c r="R4854" i="16"/>
  <c r="R4853" i="16"/>
  <c r="R4852" i="16"/>
  <c r="R4851" i="16"/>
  <c r="R4850" i="16"/>
  <c r="R4849" i="16"/>
  <c r="R4848" i="16"/>
  <c r="R4847" i="16"/>
  <c r="R4846" i="16"/>
  <c r="R4845" i="16"/>
  <c r="R4844" i="16"/>
  <c r="R4843" i="16"/>
  <c r="R4842" i="16"/>
  <c r="R4841" i="16"/>
  <c r="R4840" i="16"/>
  <c r="R4839" i="16"/>
  <c r="R4838" i="16"/>
  <c r="R4837" i="16"/>
  <c r="R4836" i="16"/>
  <c r="R4835" i="16"/>
  <c r="R4834" i="16"/>
  <c r="R4833" i="16"/>
  <c r="R4832" i="16"/>
  <c r="R4831" i="16"/>
  <c r="R4830" i="16"/>
  <c r="R4829" i="16"/>
  <c r="R4828" i="16"/>
  <c r="R4827" i="16"/>
  <c r="R4826" i="16"/>
  <c r="R4825" i="16"/>
  <c r="R4824" i="16"/>
  <c r="R4823" i="16"/>
  <c r="R4822" i="16"/>
  <c r="R4821" i="16"/>
  <c r="R4820" i="16"/>
  <c r="R4819" i="16"/>
  <c r="R4818" i="16"/>
  <c r="R4817" i="16"/>
  <c r="R4816" i="16"/>
  <c r="R4815" i="16"/>
  <c r="R4814" i="16"/>
  <c r="R4813" i="16"/>
  <c r="R4812" i="16"/>
  <c r="R4811" i="16"/>
  <c r="R4810" i="16"/>
  <c r="R4809" i="16"/>
  <c r="R4808" i="16"/>
  <c r="R4807" i="16"/>
  <c r="R4806" i="16"/>
  <c r="R4805" i="16"/>
  <c r="R4804" i="16"/>
  <c r="R4803" i="16"/>
  <c r="R4802" i="16"/>
  <c r="R4801" i="16"/>
  <c r="R4800" i="16"/>
  <c r="R4799" i="16"/>
  <c r="R4798" i="16"/>
  <c r="R4797" i="16"/>
  <c r="R4796" i="16"/>
  <c r="R4795" i="16"/>
  <c r="R4794" i="16"/>
  <c r="R4793" i="16"/>
  <c r="R4792" i="16"/>
  <c r="R4791" i="16"/>
  <c r="R4790" i="16"/>
  <c r="R4789" i="16"/>
  <c r="R4788" i="16"/>
  <c r="R4787" i="16"/>
  <c r="R4786" i="16"/>
  <c r="R4785" i="16"/>
  <c r="R4784" i="16"/>
  <c r="R4783" i="16"/>
  <c r="R4782" i="16"/>
  <c r="R4781" i="16"/>
  <c r="R4780" i="16"/>
  <c r="R4779" i="16"/>
  <c r="R4778" i="16"/>
  <c r="R4777" i="16"/>
  <c r="R4776" i="16"/>
  <c r="R4775" i="16"/>
  <c r="R4774" i="16"/>
  <c r="R4773" i="16"/>
  <c r="R4772" i="16"/>
  <c r="R4771" i="16"/>
  <c r="R4770" i="16"/>
  <c r="R4769" i="16"/>
  <c r="R4768" i="16"/>
  <c r="R4767" i="16"/>
  <c r="R4766" i="16"/>
  <c r="R4765" i="16"/>
  <c r="R4764" i="16"/>
  <c r="R4763" i="16"/>
  <c r="R4762" i="16"/>
  <c r="R4761" i="16"/>
  <c r="R4760" i="16"/>
  <c r="R4759" i="16"/>
  <c r="R4422" i="16"/>
  <c r="R4421" i="16"/>
  <c r="R4420" i="16"/>
  <c r="R4419" i="16"/>
  <c r="R4418" i="16"/>
  <c r="R4417" i="16"/>
  <c r="R4416" i="16"/>
  <c r="R4415" i="16"/>
  <c r="R4414" i="16"/>
  <c r="R4413" i="16"/>
  <c r="R4412" i="16"/>
  <c r="R4411" i="16"/>
  <c r="R4410" i="16"/>
  <c r="R4409" i="16"/>
  <c r="R4408" i="16"/>
  <c r="R4407" i="16"/>
  <c r="R4406" i="16"/>
  <c r="R4405" i="16"/>
  <c r="R4403" i="16"/>
  <c r="R4402" i="16"/>
  <c r="R4401" i="16"/>
  <c r="R4400" i="16"/>
  <c r="R4399" i="16"/>
  <c r="R4398" i="16"/>
  <c r="R4397" i="16"/>
  <c r="R4396" i="16"/>
  <c r="R4395" i="16"/>
  <c r="R4394" i="16"/>
  <c r="R4393" i="16"/>
  <c r="R4392" i="16"/>
  <c r="R4391" i="16"/>
  <c r="R4390" i="16"/>
  <c r="R4389" i="16"/>
  <c r="R4388" i="16"/>
  <c r="R4387" i="16"/>
  <c r="R4386" i="16"/>
  <c r="R4385" i="16"/>
  <c r="R4384" i="16"/>
  <c r="R4383" i="16"/>
  <c r="R4382" i="16"/>
  <c r="R4381" i="16"/>
  <c r="R4380" i="16"/>
  <c r="R4379" i="16"/>
  <c r="R4378" i="16"/>
  <c r="R4377" i="16"/>
  <c r="R4376" i="16"/>
  <c r="R4375" i="16"/>
  <c r="R4374" i="16"/>
  <c r="R4373" i="16"/>
  <c r="R4372" i="16"/>
  <c r="R4371" i="16"/>
  <c r="R4370" i="16"/>
  <c r="R4369" i="16"/>
  <c r="R4368" i="16"/>
  <c r="R4367" i="16"/>
  <c r="R4366" i="16"/>
  <c r="R4365" i="16"/>
  <c r="R4364" i="16"/>
  <c r="R4363" i="16"/>
  <c r="R4362" i="16"/>
  <c r="R4361" i="16"/>
  <c r="R4360" i="16"/>
  <c r="R4359" i="16"/>
  <c r="R4358" i="16"/>
  <c r="R4357" i="16"/>
  <c r="R4356" i="16"/>
  <c r="R4355" i="16"/>
  <c r="R4354" i="16"/>
  <c r="R4353" i="16"/>
  <c r="R4352" i="16"/>
  <c r="R4351" i="16"/>
  <c r="Q4081" i="16"/>
  <c r="Q5404" i="16"/>
  <c r="Q5403" i="16"/>
  <c r="Q5402" i="16"/>
  <c r="Q5401" i="16"/>
  <c r="Q5400" i="16"/>
  <c r="Q5399" i="16"/>
  <c r="Q5398" i="16"/>
  <c r="Q5397" i="16"/>
  <c r="Q5396" i="16"/>
  <c r="Q5395" i="16"/>
  <c r="Q5394" i="16"/>
  <c r="Q5393" i="16"/>
  <c r="L5404" i="16"/>
  <c r="Q5392" i="16"/>
  <c r="Q5391" i="16"/>
  <c r="Q5390" i="16"/>
  <c r="Q5389" i="16"/>
  <c r="Q5388" i="16"/>
  <c r="Q5387" i="16"/>
  <c r="Q5386" i="16"/>
  <c r="Q5385" i="16"/>
  <c r="Q5384" i="16"/>
  <c r="Q5383" i="16"/>
  <c r="Q5380" i="16"/>
  <c r="Q5379" i="16"/>
  <c r="Q5378" i="16"/>
  <c r="Q5377" i="16"/>
  <c r="Q5376" i="16"/>
  <c r="Q5375" i="16"/>
  <c r="Q5374" i="16"/>
  <c r="Q5373" i="16"/>
  <c r="Q5372" i="16"/>
  <c r="Q5371" i="16"/>
  <c r="Q5370" i="16"/>
  <c r="Q5369" i="16"/>
  <c r="Q5368" i="16"/>
  <c r="Q5367" i="16"/>
  <c r="Q5366" i="16"/>
  <c r="Q5365" i="16"/>
  <c r="Q5364" i="16"/>
  <c r="Q5363" i="16"/>
  <c r="Q5362" i="16"/>
  <c r="Q5361" i="16"/>
  <c r="Q5360" i="16"/>
  <c r="Q5359" i="16"/>
  <c r="Q5358" i="16"/>
  <c r="Q5357" i="16"/>
  <c r="Q5356" i="16"/>
  <c r="Q5355" i="16"/>
  <c r="Q5354" i="16"/>
  <c r="Q5353" i="16"/>
  <c r="Q5352" i="16"/>
  <c r="Q5351" i="16"/>
  <c r="Q5350" i="16"/>
  <c r="Q5349" i="16"/>
  <c r="Q5348" i="16"/>
  <c r="Q5347" i="16"/>
  <c r="Q5339" i="16"/>
  <c r="Q5338" i="16"/>
  <c r="Q5337" i="16"/>
  <c r="Q5336" i="16"/>
  <c r="Q5335" i="16"/>
  <c r="Q5334" i="16"/>
  <c r="Q5333" i="16"/>
  <c r="Q5332" i="16"/>
  <c r="Q5331" i="16"/>
  <c r="Q5330" i="16"/>
  <c r="Q5329" i="16"/>
  <c r="Q5328" i="16"/>
  <c r="Q5327" i="16"/>
  <c r="Q5326" i="16"/>
  <c r="Q5325" i="16"/>
  <c r="Q5324" i="16"/>
  <c r="Q5323" i="16"/>
  <c r="Q5322" i="16"/>
  <c r="Q5321" i="16"/>
  <c r="Q5320" i="16"/>
  <c r="Q5319" i="16"/>
  <c r="Q5318" i="16"/>
  <c r="Q5317" i="16"/>
  <c r="Q5316" i="16"/>
  <c r="Q5315" i="16"/>
  <c r="Q5314" i="16"/>
  <c r="Q5313" i="16"/>
  <c r="Q5312" i="16"/>
  <c r="Q5311" i="16"/>
  <c r="Q5310" i="16"/>
  <c r="Q5309" i="16"/>
  <c r="Q5308" i="16"/>
  <c r="Q5307" i="16"/>
  <c r="Q5306" i="16"/>
  <c r="Q5305" i="16"/>
  <c r="Q5304" i="16"/>
  <c r="Q5303" i="16"/>
  <c r="Q5302" i="16"/>
  <c r="Q5301" i="16"/>
  <c r="Q5300" i="16"/>
  <c r="Q5299" i="16"/>
  <c r="Q5298" i="16"/>
  <c r="Q5297" i="16"/>
  <c r="Q5296" i="16"/>
  <c r="Q5295" i="16"/>
  <c r="Q5294" i="16"/>
  <c r="Q5293" i="16"/>
  <c r="Q5292" i="16"/>
  <c r="Q5291" i="16"/>
  <c r="Q5290" i="16"/>
  <c r="Q5289" i="16"/>
  <c r="Q5288" i="16"/>
  <c r="Q5287" i="16"/>
  <c r="Q5286" i="16"/>
  <c r="Q5285" i="16"/>
  <c r="Q5284" i="16"/>
  <c r="Q5283" i="16"/>
  <c r="Q5282" i="16"/>
  <c r="Q5281" i="16"/>
  <c r="Q5280" i="16"/>
  <c r="Q5279" i="16"/>
  <c r="Q5278" i="16"/>
  <c r="Q5277" i="16"/>
  <c r="Q5276" i="16"/>
  <c r="Q5275" i="16"/>
  <c r="Q5274" i="16"/>
  <c r="Q5273" i="16"/>
  <c r="Q5272" i="16"/>
  <c r="Q5271" i="16"/>
  <c r="Q5270" i="16"/>
  <c r="Q5269" i="16"/>
  <c r="Q5268" i="16"/>
  <c r="Q5267" i="16"/>
  <c r="Q5266" i="16"/>
  <c r="Q5265" i="16"/>
  <c r="Q5264" i="16"/>
  <c r="Q5263" i="16"/>
  <c r="Q5262" i="16"/>
  <c r="Q5249" i="16"/>
  <c r="Q5261" i="16"/>
  <c r="Q5260" i="16"/>
  <c r="Q5259" i="16"/>
  <c r="Q5258" i="16"/>
  <c r="Q5257" i="16"/>
  <c r="Q5256" i="16"/>
  <c r="Q5255" i="16"/>
  <c r="Q5254" i="16"/>
  <c r="Q5253" i="16"/>
  <c r="Q5252" i="16"/>
  <c r="Q5251" i="16"/>
  <c r="Q5250" i="16"/>
  <c r="L5256" i="16"/>
  <c r="Q5248" i="16"/>
  <c r="Q5247" i="16"/>
  <c r="Q5246" i="16"/>
  <c r="Q5245" i="16"/>
  <c r="Q5244" i="16"/>
  <c r="Q5243" i="16"/>
  <c r="Q5242" i="16"/>
  <c r="Q5241" i="16"/>
  <c r="Q5240" i="16"/>
  <c r="Q5239" i="16"/>
  <c r="Q5238" i="16"/>
  <c r="Q5237" i="16"/>
  <c r="Q5236" i="16"/>
  <c r="Q5235" i="16"/>
  <c r="Q5234" i="16"/>
  <c r="Q5233" i="16"/>
  <c r="Q5232" i="16"/>
  <c r="Q5231" i="16"/>
  <c r="Q5230" i="16"/>
  <c r="Q5229" i="16"/>
  <c r="Q5228" i="16"/>
  <c r="Q5227" i="16"/>
  <c r="Q5226" i="16"/>
  <c r="Q5225" i="16"/>
  <c r="Q5224" i="16"/>
  <c r="Q5223" i="16"/>
  <c r="Q5222" i="16"/>
  <c r="Q5221" i="16"/>
  <c r="Q5220" i="16"/>
  <c r="Q5219" i="16"/>
  <c r="Q5218" i="16"/>
  <c r="Q5217" i="16"/>
  <c r="Q5216" i="16"/>
  <c r="Q5215" i="16"/>
  <c r="Q5214" i="16"/>
  <c r="Q5213" i="16"/>
  <c r="L5248" i="16"/>
  <c r="L5246" i="16"/>
  <c r="Q5212" i="16"/>
  <c r="Q5211" i="16"/>
  <c r="Q5210" i="16"/>
  <c r="Q5209" i="16"/>
  <c r="Q5208" i="16"/>
  <c r="Q5207" i="16"/>
  <c r="Q5206" i="16"/>
  <c r="Q5205" i="16"/>
  <c r="Q5204" i="16"/>
  <c r="Q5203" i="16"/>
  <c r="Q5202" i="16"/>
  <c r="Q5201" i="16"/>
  <c r="Q5200" i="16"/>
  <c r="Q5199" i="16"/>
  <c r="Q5198" i="16"/>
  <c r="Q5197" i="16"/>
  <c r="Q5196" i="16"/>
  <c r="Q5195" i="16"/>
  <c r="Q5194" i="16"/>
  <c r="Q5193" i="16"/>
  <c r="Q5192" i="16"/>
  <c r="Q5191" i="16"/>
  <c r="Q5190" i="16"/>
  <c r="Q5189" i="16"/>
  <c r="Q5188" i="16"/>
  <c r="Q5187" i="16"/>
  <c r="Q5186" i="16"/>
  <c r="Q5185" i="16"/>
  <c r="Q5184" i="16"/>
  <c r="Q5183" i="16"/>
  <c r="Q5182" i="16"/>
  <c r="Q5181" i="16"/>
  <c r="Q5180" i="16"/>
  <c r="Q5179" i="16"/>
  <c r="Q5178" i="16"/>
  <c r="Q5177" i="16"/>
  <c r="Q5176" i="16"/>
  <c r="Q5175" i="16"/>
  <c r="Q5174" i="16"/>
  <c r="Q5173" i="16"/>
  <c r="Q5172" i="16"/>
  <c r="Q5171" i="16"/>
  <c r="Q5170" i="16"/>
  <c r="Q5169" i="16"/>
  <c r="Q5168" i="16"/>
  <c r="Q5167" i="16"/>
  <c r="Q5166" i="16"/>
  <c r="Q5165" i="16"/>
  <c r="Q5164" i="16"/>
  <c r="Q5163" i="16"/>
  <c r="Q5162" i="16"/>
  <c r="Q5161" i="16"/>
  <c r="Q5160" i="16"/>
  <c r="Q5159" i="16"/>
  <c r="Q5158" i="16"/>
  <c r="Q5157" i="16"/>
  <c r="Q5156" i="16"/>
  <c r="Q5155" i="16"/>
  <c r="Q5154" i="16"/>
  <c r="Q5153" i="16"/>
  <c r="L5224" i="16"/>
  <c r="Q5152" i="16"/>
  <c r="Q5151" i="16"/>
  <c r="Q5150" i="16"/>
  <c r="Q5149" i="16"/>
  <c r="Q5148" i="16"/>
  <c r="Q5147" i="16"/>
  <c r="Q5146" i="16"/>
  <c r="Q5145" i="16"/>
  <c r="Q5144" i="16"/>
  <c r="Q5143" i="16"/>
  <c r="Q5142" i="16"/>
  <c r="Q5141" i="16"/>
  <c r="Q5140" i="16"/>
  <c r="Q5139" i="16"/>
  <c r="Q5138" i="16"/>
  <c r="Q5137" i="16"/>
  <c r="Q5136" i="16"/>
  <c r="Q5135" i="16"/>
  <c r="Q5134" i="16"/>
  <c r="Q5133" i="16"/>
  <c r="Q5132" i="16"/>
  <c r="Q5131" i="16"/>
  <c r="Q5130" i="16"/>
  <c r="Q5129" i="16"/>
  <c r="Q5128" i="16"/>
  <c r="Q5127" i="16"/>
  <c r="Q5126" i="16"/>
  <c r="Q5125" i="16"/>
  <c r="Q5124" i="16"/>
  <c r="Q5123" i="16"/>
  <c r="Q5122" i="16"/>
  <c r="Q5121" i="16"/>
  <c r="Q5120" i="16"/>
  <c r="Q5119" i="16"/>
  <c r="Q5118" i="16"/>
  <c r="Q5117" i="16"/>
  <c r="L5152" i="16"/>
  <c r="Q5116" i="16"/>
  <c r="Q5115" i="16"/>
  <c r="Q5114" i="16"/>
  <c r="Q5113" i="16"/>
  <c r="Q5112" i="16"/>
  <c r="Q5111" i="16"/>
  <c r="Q5110" i="16"/>
  <c r="Q5109" i="16"/>
  <c r="Q5108" i="16"/>
  <c r="Q5107" i="16"/>
  <c r="Q5106" i="16"/>
  <c r="Q5105" i="16"/>
  <c r="L5141" i="16"/>
  <c r="Q5104" i="16"/>
  <c r="Q5103" i="16"/>
  <c r="Q5102" i="16"/>
  <c r="Q5101" i="16"/>
  <c r="Q5100" i="16"/>
  <c r="Q5099" i="16"/>
  <c r="Q5098" i="16"/>
  <c r="Q5097" i="16"/>
  <c r="Q5096" i="16"/>
  <c r="Q5095" i="16"/>
  <c r="Q5094" i="16"/>
  <c r="Q5093" i="16"/>
  <c r="Q5092" i="16"/>
  <c r="Q5091" i="16"/>
  <c r="Q5090" i="16"/>
  <c r="Q5089" i="16"/>
  <c r="Q5088" i="16"/>
  <c r="Q5087" i="16"/>
  <c r="Q5086" i="16"/>
  <c r="Q5085" i="16"/>
  <c r="Q5084" i="16"/>
  <c r="Q5083" i="16"/>
  <c r="Q5082" i="16"/>
  <c r="Q5081" i="16"/>
  <c r="Q5080" i="16"/>
  <c r="Q5079" i="16"/>
  <c r="Q5078" i="16"/>
  <c r="Q5077" i="16"/>
  <c r="Q5076" i="16"/>
  <c r="Q5075" i="16"/>
  <c r="Q5074" i="16"/>
  <c r="Q5073" i="16"/>
  <c r="Q5072" i="16"/>
  <c r="Q5071" i="16"/>
  <c r="Q5070" i="16"/>
  <c r="Q5069" i="16"/>
  <c r="L5117" i="16"/>
  <c r="Q5068" i="16"/>
  <c r="Q5067" i="16"/>
  <c r="Q5066" i="16"/>
  <c r="Q5065" i="16"/>
  <c r="Q5064" i="16"/>
  <c r="Q5063" i="16"/>
  <c r="L5083" i="16"/>
  <c r="Q5056" i="16"/>
  <c r="Q5055" i="16"/>
  <c r="Q5054" i="16"/>
  <c r="Q5053" i="16"/>
  <c r="Q5052" i="16"/>
  <c r="Q5051" i="16"/>
  <c r="Q5050" i="16"/>
  <c r="Q5049" i="16"/>
  <c r="Q5048" i="16"/>
  <c r="Q5047" i="16"/>
  <c r="Q5046" i="16"/>
  <c r="Q5045" i="16"/>
  <c r="L5062" i="16"/>
  <c r="L5057" i="16"/>
  <c r="L5061" i="16"/>
  <c r="L5056" i="16"/>
  <c r="Q5044" i="16"/>
  <c r="Q5043" i="16"/>
  <c r="Q5042" i="16"/>
  <c r="Q5041" i="16"/>
  <c r="Q5040" i="16"/>
  <c r="Q5039" i="16"/>
  <c r="Q5038" i="16"/>
  <c r="Q5037" i="16"/>
  <c r="Q5036" i="16"/>
  <c r="Q5035" i="16"/>
  <c r="Q5034" i="16"/>
  <c r="Q5033" i="16"/>
  <c r="Q5032" i="16"/>
  <c r="Q5031" i="16"/>
  <c r="Q5030" i="16"/>
  <c r="Q5029" i="16"/>
  <c r="Q5028" i="16"/>
  <c r="Q5027" i="16"/>
  <c r="Q5026" i="16"/>
  <c r="Q5025" i="16"/>
  <c r="Q5024" i="16"/>
  <c r="Q5023" i="16"/>
  <c r="Q5022" i="16"/>
  <c r="Q5021" i="16"/>
  <c r="Q5020" i="16"/>
  <c r="Q5019" i="16"/>
  <c r="Q5018" i="16"/>
  <c r="Q5017" i="16"/>
  <c r="Q5016" i="16"/>
  <c r="Q5015" i="16"/>
  <c r="Q5014" i="16"/>
  <c r="Q5013" i="16"/>
  <c r="Q5012" i="16"/>
  <c r="Q5011" i="16"/>
  <c r="Q5010" i="16"/>
  <c r="Q5009" i="16"/>
  <c r="Q4997" i="16"/>
  <c r="Q4998" i="16"/>
  <c r="Q4999" i="16"/>
  <c r="Q5000" i="16"/>
  <c r="Q5001" i="16"/>
  <c r="Q5002" i="16"/>
  <c r="Q5003" i="16"/>
  <c r="Q5004" i="16"/>
  <c r="Q5005" i="16"/>
  <c r="Q5006" i="16"/>
  <c r="Q5007" i="16"/>
  <c r="Q5008" i="16"/>
  <c r="L5033" i="16"/>
  <c r="L5036" i="16" s="1"/>
  <c r="L5034" i="16"/>
  <c r="L5035" i="16" s="1"/>
  <c r="L5032" i="16"/>
  <c r="L5021" i="16"/>
  <c r="L5022" i="16" s="1"/>
  <c r="L5023" i="16" s="1"/>
  <c r="L5024" i="16"/>
  <c r="L5009" i="16"/>
  <c r="L5010" i="16" s="1"/>
  <c r="L5011" i="16" s="1"/>
  <c r="L5012" i="16"/>
  <c r="L4997" i="16"/>
  <c r="L4998" i="16" s="1"/>
  <c r="L4999" i="16" s="1"/>
  <c r="L5000" i="16"/>
  <c r="L4985" i="16"/>
  <c r="L4986" i="16" s="1"/>
  <c r="L4987" i="16" s="1"/>
  <c r="L4988" i="16"/>
  <c r="Q4996" i="16"/>
  <c r="Q4995" i="16"/>
  <c r="Q4994" i="16"/>
  <c r="Q4993" i="16"/>
  <c r="Q4992" i="16"/>
  <c r="Q4991" i="16"/>
  <c r="Q4990" i="16"/>
  <c r="Q4989" i="16"/>
  <c r="Q4988" i="16"/>
  <c r="Q4987" i="16"/>
  <c r="Q4986" i="16"/>
  <c r="Q4985" i="16"/>
  <c r="Q4984" i="16"/>
  <c r="Q4983" i="16"/>
  <c r="Q4982" i="16"/>
  <c r="Q4981" i="16"/>
  <c r="Q4980" i="16"/>
  <c r="Q4979" i="16"/>
  <c r="Q4978" i="16"/>
  <c r="Q4977" i="16"/>
  <c r="Q4976" i="16"/>
  <c r="Q4975" i="16"/>
  <c r="Q4974" i="16"/>
  <c r="Q4973" i="16"/>
  <c r="L4984" i="16"/>
  <c r="L4973" i="16"/>
  <c r="Q4972" i="16"/>
  <c r="Q4971" i="16"/>
  <c r="Q4970" i="16"/>
  <c r="Q4969" i="16"/>
  <c r="Q4968" i="16"/>
  <c r="Q4967" i="16"/>
  <c r="L4972" i="16"/>
  <c r="L4521" i="16"/>
  <c r="L4519" i="16"/>
  <c r="L4520" i="16"/>
  <c r="Q4958" i="16"/>
  <c r="Q4957" i="16"/>
  <c r="Q4956" i="16"/>
  <c r="Q4955" i="16"/>
  <c r="Q4954" i="16"/>
  <c r="Q4953" i="16"/>
  <c r="Q4952" i="16"/>
  <c r="Q4951" i="16"/>
  <c r="Q4950" i="16"/>
  <c r="Q4949" i="16"/>
  <c r="Q4948" i="16"/>
  <c r="Q4947" i="16"/>
  <c r="Q4946" i="16"/>
  <c r="Q4945" i="16"/>
  <c r="Q4944" i="16"/>
  <c r="Q4943" i="16"/>
  <c r="Q4942" i="16"/>
  <c r="Q4941" i="16"/>
  <c r="Q4940" i="16"/>
  <c r="Q4939" i="16"/>
  <c r="Q4938" i="16"/>
  <c r="Q4937" i="16"/>
  <c r="Q4936" i="16"/>
  <c r="Q4935" i="16"/>
  <c r="Q4934" i="16"/>
  <c r="Q4933" i="16"/>
  <c r="Q4932" i="16"/>
  <c r="Q4931" i="16"/>
  <c r="Q4930" i="16"/>
  <c r="Q4929" i="16"/>
  <c r="Q4928" i="16"/>
  <c r="Q4927" i="16"/>
  <c r="Q4926" i="16"/>
  <c r="Q4925" i="16"/>
  <c r="Q4924" i="16"/>
  <c r="Q4923" i="16"/>
  <c r="Q4922" i="16"/>
  <c r="Q4921" i="16"/>
  <c r="Q4920" i="16"/>
  <c r="Q4919" i="16"/>
  <c r="Q4918" i="16"/>
  <c r="Q4917" i="16"/>
  <c r="Q4916" i="16"/>
  <c r="Q4915" i="16"/>
  <c r="Q4914" i="16"/>
  <c r="Q4913" i="16"/>
  <c r="Q4912" i="16"/>
  <c r="Q4911" i="16"/>
  <c r="Q4910" i="16"/>
  <c r="Q4909" i="16"/>
  <c r="Q4908" i="16"/>
  <c r="Q4907" i="16"/>
  <c r="Q4906" i="16"/>
  <c r="Q4905" i="16"/>
  <c r="Q4904" i="16"/>
  <c r="Q4903" i="16"/>
  <c r="Q4902" i="16"/>
  <c r="Q4901" i="16"/>
  <c r="Q4900" i="16"/>
  <c r="Q4899" i="16"/>
  <c r="Q4898" i="16"/>
  <c r="Q4897" i="16"/>
  <c r="Q4896" i="16"/>
  <c r="Q4895" i="16"/>
  <c r="Q4894" i="16"/>
  <c r="Q4893" i="16"/>
  <c r="Q4892" i="16"/>
  <c r="Q4891" i="16"/>
  <c r="Q4890" i="16"/>
  <c r="Q4889" i="16"/>
  <c r="Q4888" i="16"/>
  <c r="Q4887" i="16"/>
  <c r="Q4886" i="16"/>
  <c r="Q4885" i="16"/>
  <c r="Q4884" i="16"/>
  <c r="Q4883" i="16"/>
  <c r="Q4882" i="16"/>
  <c r="Q4881" i="16"/>
  <c r="Q4880" i="16"/>
  <c r="Q4879" i="16"/>
  <c r="Q4878" i="16"/>
  <c r="Q4877" i="16"/>
  <c r="Q4876" i="16"/>
  <c r="Q4875" i="16"/>
  <c r="Q4874" i="16"/>
  <c r="Q4873" i="16"/>
  <c r="Q4872" i="16"/>
  <c r="Q4871" i="16"/>
  <c r="Q4870" i="16"/>
  <c r="Q4869" i="16"/>
  <c r="Q4868" i="16"/>
  <c r="Q4867" i="16"/>
  <c r="Q4866" i="16"/>
  <c r="Q4865" i="16"/>
  <c r="Q4864" i="16"/>
  <c r="Q4863" i="16"/>
  <c r="Q4862" i="16"/>
  <c r="Q4861" i="16"/>
  <c r="Q4860" i="16"/>
  <c r="Q4859" i="16"/>
  <c r="Q4858" i="16"/>
  <c r="Q4857" i="16"/>
  <c r="Q4856" i="16"/>
  <c r="Q4855" i="16"/>
  <c r="Q4854" i="16"/>
  <c r="Q4853" i="16"/>
  <c r="Q4852" i="16"/>
  <c r="Q4851" i="16"/>
  <c r="Q4850" i="16"/>
  <c r="Q4849" i="16"/>
  <c r="Q4848" i="16"/>
  <c r="Q4847" i="16"/>
  <c r="Q4846" i="16"/>
  <c r="Q4845" i="16"/>
  <c r="Q4844" i="16"/>
  <c r="Q4843" i="16"/>
  <c r="Q4842" i="16"/>
  <c r="Q4841" i="16"/>
  <c r="Q4840" i="16"/>
  <c r="Q4839" i="16"/>
  <c r="Q4838" i="16"/>
  <c r="Q4837" i="16"/>
  <c r="Q4836" i="16"/>
  <c r="Q4835" i="16"/>
  <c r="Q4834" i="16"/>
  <c r="Q4833" i="16"/>
  <c r="Q4832" i="16"/>
  <c r="Q4831" i="16"/>
  <c r="Q4830" i="16"/>
  <c r="Q4829" i="16"/>
  <c r="Q4828" i="16"/>
  <c r="Q4827" i="16"/>
  <c r="Q4826" i="16"/>
  <c r="Q4825" i="16"/>
  <c r="Q4824" i="16"/>
  <c r="Q4823" i="16"/>
  <c r="Q4822" i="16"/>
  <c r="Q4821" i="16"/>
  <c r="Q4820" i="16"/>
  <c r="Q4819" i="16"/>
  <c r="Q4818" i="16"/>
  <c r="Q4817" i="16"/>
  <c r="Q4816" i="16"/>
  <c r="Q4815" i="16"/>
  <c r="Q4814" i="16"/>
  <c r="Q4813" i="16"/>
  <c r="Q4812" i="16"/>
  <c r="Q4811" i="16"/>
  <c r="Q4810" i="16"/>
  <c r="Q4809" i="16"/>
  <c r="Q4808" i="16"/>
  <c r="Q4807" i="16"/>
  <c r="Q4806" i="16"/>
  <c r="Q4805" i="16"/>
  <c r="Q4804" i="16"/>
  <c r="Q4803" i="16"/>
  <c r="Q4802" i="16"/>
  <c r="Q4801" i="16"/>
  <c r="Q4800" i="16"/>
  <c r="Q4799" i="16"/>
  <c r="Q4798" i="16"/>
  <c r="Q4797" i="16"/>
  <c r="Q4796" i="16"/>
  <c r="Q4795" i="16"/>
  <c r="Q4794" i="16"/>
  <c r="Q4793" i="16"/>
  <c r="Q4792" i="16"/>
  <c r="Q4791" i="16"/>
  <c r="Q4790" i="16"/>
  <c r="Q4789" i="16"/>
  <c r="Q4788" i="16"/>
  <c r="Q4787" i="16"/>
  <c r="Q4786" i="16"/>
  <c r="Q4785" i="16"/>
  <c r="Q4784" i="16"/>
  <c r="Q4783" i="16"/>
  <c r="Q4782" i="16"/>
  <c r="Q4781" i="16"/>
  <c r="Q4780" i="16"/>
  <c r="Q4779" i="16"/>
  <c r="Q4778" i="16"/>
  <c r="Q4777" i="16"/>
  <c r="Q4776" i="16"/>
  <c r="Q4775" i="16"/>
  <c r="Q4774" i="16"/>
  <c r="Q4773" i="16"/>
  <c r="Q4772" i="16"/>
  <c r="Q4771" i="16"/>
  <c r="Q4770" i="16"/>
  <c r="Q4769" i="16"/>
  <c r="Q4768" i="16"/>
  <c r="Q4767" i="16"/>
  <c r="Q4766" i="16"/>
  <c r="Q4765" i="16"/>
  <c r="Q4764" i="16"/>
  <c r="Q4763" i="16"/>
  <c r="Q4762" i="16"/>
  <c r="Q4761" i="16"/>
  <c r="Q4760" i="16"/>
  <c r="Q4759" i="16"/>
  <c r="Q4758" i="16"/>
  <c r="Q4757" i="16"/>
  <c r="Q4756" i="16"/>
  <c r="Q4755" i="16"/>
  <c r="Q4754" i="16"/>
  <c r="Q4753" i="16"/>
  <c r="Q4752" i="16"/>
  <c r="Q4751" i="16"/>
  <c r="Q4750" i="16"/>
  <c r="Q4749" i="16"/>
  <c r="Q4748" i="16"/>
  <c r="Q4747" i="16"/>
  <c r="Q4746" i="16"/>
  <c r="Q4745" i="16"/>
  <c r="Q4744" i="16"/>
  <c r="Q4743" i="16"/>
  <c r="Q4742" i="16"/>
  <c r="Q4741" i="16"/>
  <c r="Q4740" i="16"/>
  <c r="Q4739" i="16"/>
  <c r="Q4738" i="16"/>
  <c r="Q4737" i="16"/>
  <c r="Q4736" i="16"/>
  <c r="Q4735" i="16"/>
  <c r="Q4734" i="16"/>
  <c r="Q4733" i="16"/>
  <c r="Q4732" i="16"/>
  <c r="Q4731" i="16"/>
  <c r="Q4730" i="16"/>
  <c r="Q4729" i="16"/>
  <c r="Q4728" i="16"/>
  <c r="Q4727" i="16"/>
  <c r="Q4726" i="16"/>
  <c r="Q4725" i="16"/>
  <c r="Q4724" i="16"/>
  <c r="Q4723" i="16"/>
  <c r="Q4722" i="16"/>
  <c r="Q4721" i="16"/>
  <c r="Q4720" i="16"/>
  <c r="Q4719" i="16"/>
  <c r="Q4718" i="16"/>
  <c r="Q4717" i="16"/>
  <c r="Q4716" i="16"/>
  <c r="Q4715" i="16"/>
  <c r="Q4714" i="16"/>
  <c r="Q4713" i="16"/>
  <c r="Q4712" i="16"/>
  <c r="Q4711" i="16"/>
  <c r="Q4710" i="16"/>
  <c r="Q4709" i="16"/>
  <c r="Q4708" i="16"/>
  <c r="Q4707" i="16"/>
  <c r="Q4706" i="16"/>
  <c r="Q4705" i="16"/>
  <c r="Q4704" i="16"/>
  <c r="Q4703" i="16"/>
  <c r="Q4702" i="16"/>
  <c r="Q4701" i="16"/>
  <c r="Q4700" i="16"/>
  <c r="Q4699" i="16"/>
  <c r="Q4698" i="16"/>
  <c r="Q4697" i="16"/>
  <c r="Q4696" i="16"/>
  <c r="Q4695" i="16"/>
  <c r="Q4694" i="16"/>
  <c r="Q4693" i="16"/>
  <c r="Q4692" i="16"/>
  <c r="Q4691" i="16"/>
  <c r="Q4690" i="16"/>
  <c r="Q4689" i="16"/>
  <c r="Q4688" i="16"/>
  <c r="Q4686" i="16"/>
  <c r="Q4685" i="16"/>
  <c r="Q4684" i="16"/>
  <c r="Q4683" i="16"/>
  <c r="Q4682" i="16"/>
  <c r="Q4681" i="16"/>
  <c r="Q4680" i="16"/>
  <c r="Q4679" i="16"/>
  <c r="Q4678" i="16"/>
  <c r="Q4677" i="16"/>
  <c r="Q4676" i="16"/>
  <c r="Q4675" i="16"/>
  <c r="Q4674" i="16"/>
  <c r="Q4673" i="16"/>
  <c r="Q4672" i="16"/>
  <c r="Q4671" i="16"/>
  <c r="Q4670" i="16"/>
  <c r="Q4669" i="16"/>
  <c r="Q4668" i="16"/>
  <c r="Q4667" i="16"/>
  <c r="Q4666" i="16"/>
  <c r="Q4665" i="16"/>
  <c r="Q4664" i="16"/>
  <c r="Q4663" i="16"/>
  <c r="Q4662" i="16"/>
  <c r="Q4661" i="16"/>
  <c r="Q4660" i="16"/>
  <c r="Q4659" i="16"/>
  <c r="Q4658" i="16"/>
  <c r="Q4657" i="16"/>
  <c r="Q4656" i="16"/>
  <c r="Q4655" i="16"/>
  <c r="Q4654" i="16"/>
  <c r="Q4653" i="16"/>
  <c r="Q4652" i="16"/>
  <c r="Q4651" i="16"/>
  <c r="Q4650" i="16"/>
  <c r="Q4649" i="16"/>
  <c r="Q4648" i="16"/>
  <c r="Q4647" i="16"/>
  <c r="Q4646" i="16"/>
  <c r="Q4645" i="16"/>
  <c r="Q4644" i="16"/>
  <c r="Q4643" i="16"/>
  <c r="Q4642" i="16"/>
  <c r="Q4641" i="16"/>
  <c r="Q4640" i="16"/>
  <c r="Q4639" i="16"/>
  <c r="Q4638" i="16"/>
  <c r="Q4637" i="16"/>
  <c r="Q4636" i="16"/>
  <c r="Q4635" i="16"/>
  <c r="Q4634" i="16"/>
  <c r="Q4633" i="16"/>
  <c r="Q4632" i="16"/>
  <c r="Q4631" i="16"/>
  <c r="Q4630" i="16"/>
  <c r="Q4629" i="16"/>
  <c r="Q4628" i="16"/>
  <c r="Q4627" i="16"/>
  <c r="Q4620" i="16"/>
  <c r="Q4619" i="16"/>
  <c r="Q4618" i="16"/>
  <c r="Q4617" i="16"/>
  <c r="Q4616" i="16"/>
  <c r="Q4615" i="16"/>
  <c r="Q4614" i="16"/>
  <c r="Q4613" i="16"/>
  <c r="Q4612" i="16"/>
  <c r="Q4611" i="16"/>
  <c r="Q4610" i="16"/>
  <c r="Q4609" i="16"/>
  <c r="Q4608" i="16"/>
  <c r="Q4607" i="16"/>
  <c r="Q4606" i="16"/>
  <c r="Q4605" i="16"/>
  <c r="Q4604" i="16"/>
  <c r="Q4603" i="16"/>
  <c r="Q4602" i="16"/>
  <c r="Q4601" i="16"/>
  <c r="Q4600" i="16"/>
  <c r="Q4599" i="16"/>
  <c r="Q4598" i="16"/>
  <c r="Q4597" i="16"/>
  <c r="Q4596" i="16"/>
  <c r="Q4595" i="16"/>
  <c r="Q4594" i="16"/>
  <c r="Q4593" i="16"/>
  <c r="Q4592" i="16"/>
  <c r="Q4591" i="16"/>
  <c r="Q4590" i="16"/>
  <c r="Q4589" i="16"/>
  <c r="Q4588" i="16"/>
  <c r="Q4587" i="16"/>
  <c r="Q4586" i="16"/>
  <c r="Q4585" i="16"/>
  <c r="Q4584" i="16"/>
  <c r="Q4583" i="16"/>
  <c r="Q4582" i="16"/>
  <c r="Q4581" i="16"/>
  <c r="Q4580" i="16"/>
  <c r="Q4579" i="16"/>
  <c r="Q4578" i="16"/>
  <c r="Q4577" i="16"/>
  <c r="Q4576" i="16"/>
  <c r="Q4575" i="16"/>
  <c r="Q4574" i="16"/>
  <c r="Q4573" i="16"/>
  <c r="Q4572" i="16"/>
  <c r="Q4571" i="16"/>
  <c r="Q4570" i="16"/>
  <c r="Q4569" i="16"/>
  <c r="Q4568" i="16"/>
  <c r="Q4567" i="16"/>
  <c r="Q4566" i="16"/>
  <c r="Q4565" i="16"/>
  <c r="Q4564" i="16"/>
  <c r="Q4563" i="16"/>
  <c r="Q4562" i="16"/>
  <c r="Q4561" i="16"/>
  <c r="Q4560" i="16"/>
  <c r="Q4559" i="16"/>
  <c r="Q4558" i="16"/>
  <c r="Q4557" i="16"/>
  <c r="Q4556" i="16"/>
  <c r="Q4555" i="16"/>
  <c r="Q4554" i="16"/>
  <c r="Q4553" i="16"/>
  <c r="Q4552" i="16"/>
  <c r="Q4551" i="16"/>
  <c r="Q4550" i="16"/>
  <c r="Q4542" i="16"/>
  <c r="Q4541" i="16"/>
  <c r="Q4540" i="16"/>
  <c r="Q4539" i="16"/>
  <c r="Q4538" i="16"/>
  <c r="Q4537" i="16"/>
  <c r="Q4536" i="16"/>
  <c r="Q4535" i="16"/>
  <c r="Q4534" i="16"/>
  <c r="Q4533" i="16"/>
  <c r="Q4532" i="16"/>
  <c r="Q4531" i="16"/>
  <c r="Q4530" i="16"/>
  <c r="Q4529" i="16"/>
  <c r="Q4528" i="16"/>
  <c r="Q4527" i="16"/>
  <c r="Q4526" i="16"/>
  <c r="Q4525" i="16"/>
  <c r="Q4524" i="16"/>
  <c r="Q4523" i="16"/>
  <c r="Q4522" i="16"/>
  <c r="Q4521" i="16"/>
  <c r="Q4520" i="16"/>
  <c r="Q4519" i="16"/>
  <c r="Q4518" i="16"/>
  <c r="Q4517" i="16"/>
  <c r="Q4516" i="16"/>
  <c r="Q4515" i="16"/>
  <c r="Q4514" i="16"/>
  <c r="Q4513" i="16"/>
  <c r="Q4512" i="16"/>
  <c r="Q4511" i="16"/>
  <c r="Q4510" i="16"/>
  <c r="Q4509" i="16"/>
  <c r="Q4508" i="16"/>
  <c r="Q4507" i="16"/>
  <c r="Q4506" i="16"/>
  <c r="Q4505" i="16"/>
  <c r="Q4504" i="16"/>
  <c r="Q4503" i="16"/>
  <c r="Q4502" i="16"/>
  <c r="Q4501" i="16"/>
  <c r="Q4500" i="16"/>
  <c r="Q4499" i="16"/>
  <c r="Q4498" i="16"/>
  <c r="Q4497" i="16"/>
  <c r="Q4496" i="16"/>
  <c r="Q4495" i="16"/>
  <c r="Q4494" i="16"/>
  <c r="Q4493" i="16"/>
  <c r="Q4492" i="16"/>
  <c r="Q4491" i="16"/>
  <c r="Q4490" i="16"/>
  <c r="Q4489" i="16"/>
  <c r="Q4488" i="16"/>
  <c r="Q4487" i="16"/>
  <c r="Q4486" i="16"/>
  <c r="Q4485" i="16"/>
  <c r="Q4484" i="16"/>
  <c r="Q4483" i="16"/>
  <c r="L4506" i="16"/>
  <c r="L4473" i="16"/>
  <c r="L4494" i="16"/>
  <c r="L4482" i="16"/>
  <c r="L4458" i="16"/>
  <c r="Q4482" i="16"/>
  <c r="Q4481" i="16"/>
  <c r="Q4480" i="16"/>
  <c r="Q4479" i="16"/>
  <c r="Q4478" i="16"/>
  <c r="Q4477" i="16"/>
  <c r="Q4476" i="16"/>
  <c r="Q4475" i="16"/>
  <c r="Q4474" i="16"/>
  <c r="Q4473" i="16"/>
  <c r="Q4472" i="16"/>
  <c r="Q4471" i="16"/>
  <c r="Q4470" i="16"/>
  <c r="Q4469" i="16"/>
  <c r="Q4468" i="16"/>
  <c r="Q4467" i="16"/>
  <c r="Q4466" i="16"/>
  <c r="Q4465" i="16"/>
  <c r="Q4464" i="16"/>
  <c r="Q4463" i="16"/>
  <c r="Q4462" i="16"/>
  <c r="Q4461" i="16"/>
  <c r="Q4460" i="16"/>
  <c r="Q4459" i="16"/>
  <c r="L4470" i="16"/>
  <c r="L4471" i="16" s="1"/>
  <c r="L4472" i="16" s="1"/>
  <c r="Q4458" i="16"/>
  <c r="Q4457" i="16"/>
  <c r="Q4456" i="16"/>
  <c r="Q4455" i="16"/>
  <c r="Q4454" i="16"/>
  <c r="Q4453" i="16"/>
  <c r="Q4452" i="16"/>
  <c r="Q4451" i="16"/>
  <c r="Q4450" i="16"/>
  <c r="Q4449" i="16"/>
  <c r="Q4448" i="16"/>
  <c r="Q4447" i="16"/>
  <c r="Q4446" i="16"/>
  <c r="Q4445" i="16"/>
  <c r="Q4444" i="16"/>
  <c r="Q4443" i="16"/>
  <c r="Q4442" i="16"/>
  <c r="Q4441" i="16"/>
  <c r="Q4440" i="16"/>
  <c r="Q4439" i="16"/>
  <c r="Q4438" i="16"/>
  <c r="Q4437" i="16"/>
  <c r="Q4436" i="16"/>
  <c r="Q4435" i="16"/>
  <c r="Q4434" i="16"/>
  <c r="Q4433" i="16"/>
  <c r="Q4432" i="16"/>
  <c r="Q4431" i="16"/>
  <c r="Q4430" i="16"/>
  <c r="Q4429" i="16"/>
  <c r="Q4428" i="16"/>
  <c r="Q4427" i="16"/>
  <c r="Q4426" i="16"/>
  <c r="Q4425" i="16"/>
  <c r="Q4424" i="16"/>
  <c r="Q4423" i="16"/>
  <c r="Q4422" i="16"/>
  <c r="Q4421" i="16"/>
  <c r="Q4420" i="16"/>
  <c r="Q4419" i="16"/>
  <c r="Q4418" i="16"/>
  <c r="Q4417" i="16"/>
  <c r="Q4416" i="16"/>
  <c r="Q4415" i="16"/>
  <c r="Q4414" i="16"/>
  <c r="Q4413" i="16"/>
  <c r="Q4412" i="16"/>
  <c r="Q4411" i="16"/>
  <c r="Q4410" i="16"/>
  <c r="Q4409" i="16"/>
  <c r="Q4408" i="16"/>
  <c r="Q4407" i="16"/>
  <c r="Q4406" i="16"/>
  <c r="Q4405" i="16"/>
  <c r="Q4404" i="16"/>
  <c r="Q4403" i="16"/>
  <c r="Q4402" i="16"/>
  <c r="Q4401" i="16"/>
  <c r="Q4400" i="16"/>
  <c r="Q4399" i="16"/>
  <c r="Q4398" i="16"/>
  <c r="Q4397" i="16"/>
  <c r="Q4396" i="16"/>
  <c r="Q4395" i="16"/>
  <c r="Q4394" i="16"/>
  <c r="Q4393" i="16"/>
  <c r="Q4392" i="16"/>
  <c r="Q4391" i="16"/>
  <c r="Q4390" i="16"/>
  <c r="Q4389" i="16"/>
  <c r="Q4388" i="16"/>
  <c r="Q4387" i="16"/>
  <c r="Q4386" i="16"/>
  <c r="Q4385" i="16"/>
  <c r="Q4384" i="16"/>
  <c r="Q4383" i="16"/>
  <c r="Q4382" i="16"/>
  <c r="Q4381" i="16"/>
  <c r="Q4380" i="16"/>
  <c r="Q4379" i="16"/>
  <c r="Q4378" i="16"/>
  <c r="Q4377" i="16"/>
  <c r="Q4376" i="16"/>
  <c r="Q4375" i="16"/>
  <c r="Q4374" i="16"/>
  <c r="Q4373" i="16"/>
  <c r="Q4372" i="16"/>
  <c r="Q4371" i="16"/>
  <c r="Q4370" i="16"/>
  <c r="Q4369" i="16"/>
  <c r="Q4368" i="16"/>
  <c r="Q4367" i="16"/>
  <c r="Q4366" i="16"/>
  <c r="Q4365" i="16"/>
  <c r="Q4364" i="16"/>
  <c r="Q4363" i="16"/>
  <c r="Q4362" i="16"/>
  <c r="Q4361" i="16"/>
  <c r="Q4360" i="16"/>
  <c r="Q4359" i="16"/>
  <c r="Q4358" i="16"/>
  <c r="Q4357" i="16"/>
  <c r="Q4356" i="16"/>
  <c r="Q4355" i="16"/>
  <c r="Q4354" i="16"/>
  <c r="Q4353" i="16"/>
  <c r="Q4352" i="16"/>
  <c r="Q4351" i="16"/>
  <c r="Q4341" i="16"/>
  <c r="Q4340" i="16"/>
  <c r="Q4339" i="16"/>
  <c r="Q4338" i="16"/>
  <c r="Q4337" i="16"/>
  <c r="Q4336" i="16"/>
  <c r="Q4335" i="16"/>
  <c r="Q4334" i="16"/>
  <c r="Q4333" i="16"/>
  <c r="Q4332" i="16"/>
  <c r="Q4331" i="16"/>
  <c r="Q4330" i="16"/>
  <c r="Q4329" i="16"/>
  <c r="Q4328" i="16"/>
  <c r="Q4327" i="16"/>
  <c r="Q4326" i="16"/>
  <c r="Q4325" i="16"/>
  <c r="Q4324" i="16"/>
  <c r="Q4323" i="16"/>
  <c r="Q4322" i="16"/>
  <c r="Q4321" i="16"/>
  <c r="Q4320" i="16"/>
  <c r="Q4319" i="16"/>
  <c r="Q4318" i="16"/>
  <c r="Q4317" i="16"/>
  <c r="Q4316" i="16"/>
  <c r="Q4315" i="16"/>
  <c r="Q4314" i="16"/>
  <c r="Q4313" i="16"/>
  <c r="Q4312" i="16"/>
  <c r="Q4311" i="16"/>
  <c r="Q4310" i="16"/>
  <c r="B13" i="10"/>
  <c r="C13" i="10"/>
  <c r="D14" i="10" s="1"/>
  <c r="B14" i="10"/>
  <c r="C14" i="10" s="1"/>
  <c r="B11" i="10"/>
  <c r="C11" i="10"/>
  <c r="D12" i="10" s="1"/>
  <c r="B12" i="10"/>
  <c r="C12" i="10"/>
  <c r="B5" i="10"/>
  <c r="C5" i="10" s="1"/>
  <c r="D7" i="10" s="1"/>
  <c r="B6" i="10"/>
  <c r="C6" i="10"/>
  <c r="B7" i="10"/>
  <c r="C7" i="10" s="1"/>
  <c r="B2" i="10"/>
  <c r="C2" i="10"/>
  <c r="D3" i="10" s="1"/>
  <c r="B3" i="10"/>
  <c r="C3" i="10"/>
  <c r="Q4309" i="16"/>
  <c r="Q4308" i="16"/>
  <c r="Q4307" i="16"/>
  <c r="Q4306" i="16"/>
  <c r="Q4305" i="16"/>
  <c r="Q4304" i="16"/>
  <c r="Q4303" i="16"/>
  <c r="Q4302" i="16"/>
  <c r="Q4301" i="16"/>
  <c r="Q4300" i="16"/>
  <c r="Q4299" i="16"/>
  <c r="Q4298" i="16"/>
  <c r="Q4297" i="16"/>
  <c r="Q4296" i="16"/>
  <c r="Q4295" i="16"/>
  <c r="Q4294" i="16"/>
  <c r="Q4293" i="16"/>
  <c r="Q4292" i="16"/>
  <c r="Q4291" i="16"/>
  <c r="Q4290" i="16"/>
  <c r="Q4289" i="16"/>
  <c r="Q4288" i="16"/>
  <c r="Q4287" i="16"/>
  <c r="Q4286" i="16"/>
  <c r="Q4285" i="16"/>
  <c r="Q4284" i="16"/>
  <c r="Q4283" i="16"/>
  <c r="Q4282" i="16"/>
  <c r="Q4281" i="16"/>
  <c r="Q4280" i="16"/>
  <c r="Q4279" i="16"/>
  <c r="Q4278" i="16"/>
  <c r="Q4277" i="16"/>
  <c r="Q4276" i="16"/>
  <c r="Q4275" i="16"/>
  <c r="Q4274" i="16"/>
  <c r="Q4273" i="16"/>
  <c r="Q4272" i="16"/>
  <c r="Q4271" i="16"/>
  <c r="Q4270" i="16"/>
  <c r="Q4269" i="16"/>
  <c r="Q4268" i="16"/>
  <c r="Q4267" i="16"/>
  <c r="Q4266" i="16"/>
  <c r="Q4265" i="16"/>
  <c r="Q4264" i="16"/>
  <c r="Q4263" i="16"/>
  <c r="Q4262" i="16"/>
  <c r="Q4261" i="16"/>
  <c r="Q4260" i="16"/>
  <c r="Q4259" i="16"/>
  <c r="Q4258" i="16"/>
  <c r="Q4257" i="16"/>
  <c r="Q4256" i="16"/>
  <c r="Q4255" i="16"/>
  <c r="Q4254" i="16"/>
  <c r="Q4253" i="16"/>
  <c r="Q4252" i="16"/>
  <c r="Q4251" i="16"/>
  <c r="Q4250" i="16"/>
  <c r="Q4249" i="16"/>
  <c r="Q4248" i="16"/>
  <c r="Q4247" i="16"/>
  <c r="Q4246" i="16"/>
  <c r="Q4245" i="16"/>
  <c r="Q4244" i="16"/>
  <c r="Q4243" i="16"/>
  <c r="Q4242" i="16"/>
  <c r="Q4241" i="16"/>
  <c r="Q4240" i="16"/>
  <c r="Q4239" i="16"/>
  <c r="Q4238" i="16"/>
  <c r="Q4237" i="16"/>
  <c r="Q4236" i="16"/>
  <c r="Q4235" i="16"/>
  <c r="Q4234" i="16"/>
  <c r="Q4233" i="16"/>
  <c r="Q4232" i="16"/>
  <c r="Q4231" i="16"/>
  <c r="Q4230" i="16"/>
  <c r="Q4229" i="16"/>
  <c r="Q4228" i="16"/>
  <c r="Q4227" i="16"/>
  <c r="Q4226" i="16"/>
  <c r="Q4225" i="16"/>
  <c r="Q4224" i="16"/>
  <c r="Q4223" i="16"/>
  <c r="Q4222" i="16"/>
  <c r="Q4221" i="16"/>
  <c r="Q4220" i="16"/>
  <c r="Q4219" i="16"/>
  <c r="Q4218" i="16"/>
  <c r="Q4217" i="16"/>
  <c r="Q4216" i="16"/>
  <c r="Q4215" i="16"/>
  <c r="Q4214" i="16"/>
  <c r="Q4213" i="16"/>
  <c r="Q4212" i="16"/>
  <c r="Q4211" i="16"/>
  <c r="Q4210" i="16"/>
  <c r="Q4209" i="16"/>
  <c r="Q4208" i="16"/>
  <c r="Q4207" i="16"/>
  <c r="Q4206" i="16"/>
  <c r="Q4205" i="16"/>
  <c r="Q4204" i="16"/>
  <c r="Q4203" i="16"/>
  <c r="Q4202" i="16"/>
  <c r="Q4201" i="16"/>
  <c r="Q4200" i="16"/>
  <c r="Q4199" i="16"/>
  <c r="Q4198" i="16"/>
  <c r="Q4197" i="16"/>
  <c r="Q4196" i="16"/>
  <c r="Q4195" i="16"/>
  <c r="Q4194" i="16"/>
  <c r="Q4193" i="16"/>
  <c r="Q4192" i="16"/>
  <c r="Q4191" i="16"/>
  <c r="Q4190" i="16"/>
  <c r="Q4189" i="16"/>
  <c r="Q4188" i="16"/>
  <c r="Q4187" i="16"/>
  <c r="Q4186" i="16"/>
  <c r="Q4185" i="16"/>
  <c r="Q4184" i="16"/>
  <c r="Q4183" i="16"/>
  <c r="Q4182" i="16"/>
  <c r="Q4181" i="16"/>
  <c r="Q4180" i="16"/>
  <c r="Q4179" i="16"/>
  <c r="Q4178" i="16"/>
  <c r="Q4177" i="16"/>
  <c r="Q4176" i="16"/>
  <c r="Q4175" i="16"/>
  <c r="Q4174" i="16"/>
  <c r="Q4173" i="16"/>
  <c r="Q4172" i="16"/>
  <c r="Q4171" i="16"/>
  <c r="Q4170" i="16"/>
  <c r="Q4169" i="16"/>
  <c r="Q4168" i="16"/>
  <c r="Q4167" i="16"/>
  <c r="Q4166" i="16"/>
  <c r="Q4165" i="16"/>
  <c r="Q4164" i="16"/>
  <c r="Q4163" i="16"/>
  <c r="Q4162" i="16"/>
  <c r="Q4161" i="16"/>
  <c r="Q4160" i="16"/>
  <c r="Q4159" i="16"/>
  <c r="Q4158" i="16"/>
  <c r="Q4157" i="16"/>
  <c r="Q4156" i="16"/>
  <c r="Q4155" i="16"/>
  <c r="Q4154" i="16"/>
  <c r="Q4153" i="16"/>
  <c r="Q4152" i="16"/>
  <c r="Q4151" i="16"/>
  <c r="Q4150" i="16"/>
  <c r="Q4149" i="16"/>
  <c r="Q4148" i="16"/>
  <c r="Q4147" i="16"/>
  <c r="Q4146" i="16"/>
  <c r="Q4145" i="16"/>
  <c r="Q4144" i="16"/>
  <c r="Q4143" i="16"/>
  <c r="Q4142" i="16"/>
  <c r="Q4141" i="16"/>
  <c r="Q4140" i="16"/>
  <c r="Q4139" i="16"/>
  <c r="Q4138" i="16"/>
  <c r="Q4137" i="16"/>
  <c r="Q4136" i="16"/>
  <c r="Q4135" i="16"/>
  <c r="Q4134" i="16"/>
  <c r="Q4133" i="16"/>
  <c r="Q4132" i="16"/>
  <c r="Q4131" i="16"/>
  <c r="Q4130" i="16"/>
  <c r="Q4129" i="16"/>
  <c r="Q4128" i="16"/>
  <c r="Q4127" i="16"/>
  <c r="Q4126" i="16"/>
  <c r="Q4125" i="16"/>
  <c r="Q4124" i="16"/>
  <c r="Q4123" i="16"/>
  <c r="Q4122" i="16"/>
  <c r="Q4121" i="16"/>
  <c r="Q4120" i="16"/>
  <c r="Q4119" i="16"/>
  <c r="Q4118" i="16"/>
  <c r="Q4117" i="16"/>
  <c r="Q4116" i="16"/>
  <c r="Q4115" i="16"/>
  <c r="Q4114" i="16"/>
  <c r="Q4113" i="16"/>
  <c r="Q4112" i="16"/>
  <c r="Q4111" i="16"/>
  <c r="Q4110" i="16"/>
  <c r="Q4109" i="16"/>
  <c r="Q4108" i="16"/>
  <c r="Q4107" i="16"/>
  <c r="Q4106" i="16"/>
  <c r="Q4105" i="16"/>
  <c r="Q4104" i="16"/>
  <c r="Q4103" i="16"/>
  <c r="Q4102" i="16"/>
  <c r="Q4101" i="16"/>
  <c r="Q4100" i="16"/>
  <c r="Q4099" i="16"/>
  <c r="Q4098" i="16"/>
  <c r="Q4097" i="16"/>
  <c r="Q4096" i="16"/>
  <c r="Q4095" i="16"/>
  <c r="Q4094" i="16"/>
  <c r="Q4093" i="16"/>
  <c r="Q4092" i="16"/>
  <c r="Q4091" i="16"/>
  <c r="Q4090" i="16"/>
  <c r="Q4089" i="16"/>
  <c r="Q4088" i="16"/>
  <c r="Q4087" i="16"/>
  <c r="Q4086" i="16"/>
  <c r="Q4085" i="16"/>
  <c r="Q4084" i="16"/>
  <c r="Q4083" i="16"/>
  <c r="Q4082" i="16"/>
  <c r="Q4080" i="16"/>
  <c r="Q4079" i="16"/>
  <c r="Q4078" i="16"/>
  <c r="Q4077" i="16"/>
  <c r="Q4076" i="16"/>
  <c r="Q4075" i="16"/>
  <c r="Q4074" i="16"/>
  <c r="Q4073" i="16"/>
  <c r="Q4072" i="16"/>
  <c r="Q4071" i="16"/>
  <c r="Q4070" i="16"/>
  <c r="Q4069" i="16"/>
  <c r="Q4068" i="16"/>
  <c r="Q4067" i="16"/>
  <c r="Q4066" i="16"/>
  <c r="Q4065" i="16"/>
  <c r="Q4064" i="16"/>
  <c r="Q4063" i="16"/>
  <c r="Q4062" i="16"/>
  <c r="Q4061" i="16"/>
  <c r="Q4060" i="16"/>
  <c r="Q4059" i="16"/>
  <c r="Q4058" i="16"/>
  <c r="Q4057" i="16"/>
  <c r="Q4056" i="16"/>
  <c r="Q4055" i="16"/>
  <c r="Q4054" i="16"/>
  <c r="Q4053" i="16"/>
  <c r="Q4052" i="16"/>
  <c r="Q4051" i="16"/>
  <c r="Q4050" i="16"/>
  <c r="Q4049" i="16"/>
  <c r="Q4048" i="16"/>
  <c r="Q4047" i="16"/>
  <c r="Q4046" i="16"/>
  <c r="Q4045" i="16"/>
  <c r="Q4044" i="16"/>
  <c r="Q4043" i="16"/>
  <c r="Q4042" i="16"/>
  <c r="Q4041" i="16"/>
  <c r="Q4040" i="16"/>
  <c r="Q4039" i="16"/>
  <c r="Q4038" i="16"/>
  <c r="Q4037" i="16"/>
  <c r="Q4036" i="16"/>
  <c r="Q4035" i="16"/>
  <c r="Q4034" i="16"/>
  <c r="Q4033" i="16"/>
  <c r="Q4032" i="16"/>
  <c r="Q4031" i="16"/>
  <c r="Q4030" i="16"/>
  <c r="Q4029" i="16"/>
  <c r="Q4028" i="16"/>
  <c r="Q4027" i="16"/>
  <c r="Q4026" i="16"/>
  <c r="Q4025" i="16"/>
  <c r="Q4024" i="16"/>
  <c r="Q4023" i="16"/>
  <c r="Q4022" i="16"/>
  <c r="Q4021" i="16"/>
  <c r="Q4020" i="16"/>
  <c r="Q4019" i="16"/>
  <c r="Q4018" i="16"/>
  <c r="Q4017" i="16"/>
  <c r="Q4016" i="16"/>
  <c r="Q4015" i="16"/>
  <c r="Q4014" i="16"/>
  <c r="Q4013" i="16"/>
  <c r="Q4012" i="16"/>
  <c r="Q4011" i="16"/>
  <c r="Q4010" i="16"/>
  <c r="Q4009" i="16"/>
  <c r="Q4008" i="16"/>
  <c r="Q4007" i="16"/>
  <c r="Q4006" i="16"/>
  <c r="Q4005" i="16"/>
  <c r="Q4004" i="16"/>
  <c r="Q4003" i="16"/>
  <c r="Q4002" i="16"/>
  <c r="Q4001" i="16"/>
  <c r="Q4000" i="16"/>
  <c r="Q3999" i="16"/>
  <c r="Q3998" i="16"/>
  <c r="Q3997" i="16"/>
  <c r="Q3996" i="16"/>
  <c r="Q3994" i="16"/>
  <c r="Q3993" i="16"/>
  <c r="Q3992" i="16"/>
  <c r="Q3991" i="16"/>
  <c r="Q3990" i="16"/>
  <c r="Q3989" i="16"/>
  <c r="Q3988" i="16"/>
  <c r="Q3987" i="16"/>
  <c r="Q3986" i="16"/>
  <c r="Q3985" i="16"/>
  <c r="Q3984" i="16"/>
  <c r="Q3983" i="16"/>
  <c r="Q3932" i="16"/>
  <c r="Q3931" i="16"/>
  <c r="Q3930" i="16"/>
  <c r="Q3929" i="16"/>
  <c r="Q3928" i="16"/>
  <c r="Q3927" i="16"/>
  <c r="Q3926" i="16"/>
  <c r="Q3925" i="16"/>
  <c r="Q3924" i="16"/>
  <c r="Q3923" i="16"/>
  <c r="Q3922" i="16"/>
  <c r="Q3921" i="16"/>
  <c r="Q3920" i="16"/>
  <c r="Q3919" i="16"/>
  <c r="Q3918" i="16"/>
  <c r="Q3917" i="16"/>
  <c r="Q3916" i="16"/>
  <c r="Q3915" i="16"/>
  <c r="Q3914" i="16"/>
  <c r="Q3913" i="16"/>
  <c r="Q3912" i="16"/>
  <c r="Q3911" i="16"/>
  <c r="Q3910" i="16"/>
  <c r="Q3909" i="16"/>
  <c r="Q3908" i="16"/>
  <c r="Q3907" i="16"/>
  <c r="Q3906" i="16"/>
  <c r="Q3905" i="16"/>
  <c r="Q3904" i="16"/>
  <c r="Q3903" i="16"/>
  <c r="Q3902" i="16"/>
  <c r="Q3901" i="16"/>
  <c r="Q3900" i="16"/>
  <c r="Q3899" i="16"/>
  <c r="Q3898" i="16"/>
  <c r="Q3897" i="16"/>
  <c r="Q3896" i="16"/>
  <c r="Q3895" i="16"/>
  <c r="Q3894" i="16"/>
  <c r="Q3893" i="16"/>
  <c r="Q3892" i="16"/>
  <c r="Q3891" i="16"/>
  <c r="Q3890" i="16"/>
  <c r="Q3889" i="16"/>
  <c r="Q3888" i="16"/>
  <c r="Q3887" i="16"/>
  <c r="Q3886" i="16"/>
  <c r="Q3885" i="16"/>
  <c r="Q3884" i="16"/>
  <c r="Q3883" i="16"/>
  <c r="Q3882" i="16"/>
  <c r="Q3881" i="16"/>
  <c r="Q3880" i="16"/>
  <c r="Q3879" i="16"/>
  <c r="Q3878" i="16"/>
  <c r="Q3877" i="16"/>
  <c r="Q3876" i="16"/>
  <c r="Q3875" i="16"/>
  <c r="Q3874" i="16"/>
  <c r="Q3873" i="16"/>
  <c r="Q3872" i="16"/>
  <c r="Q3871" i="16"/>
  <c r="Q3870" i="16"/>
  <c r="Q3869" i="16"/>
  <c r="Q3868" i="16"/>
  <c r="Q3867" i="16"/>
  <c r="Q3866" i="16"/>
  <c r="Q3865" i="16"/>
  <c r="Q3864" i="16"/>
  <c r="Q3863" i="16"/>
  <c r="Q3862" i="16"/>
  <c r="Q3861" i="16"/>
  <c r="Q3860" i="16"/>
  <c r="Q3859" i="16"/>
  <c r="Q3858" i="16"/>
  <c r="Q3857" i="16"/>
  <c r="Q3856" i="16"/>
  <c r="Q3855" i="16"/>
  <c r="Q3854" i="16"/>
  <c r="Q3853" i="16"/>
  <c r="Q3852" i="16"/>
  <c r="Q3851" i="16"/>
  <c r="Q3850" i="16"/>
  <c r="Q3849" i="16"/>
  <c r="Q3848" i="16"/>
  <c r="Q3847" i="16"/>
  <c r="Q3846" i="16"/>
  <c r="Q3845" i="16"/>
  <c r="Q3844" i="16"/>
  <c r="Q3843" i="16"/>
  <c r="Q3842" i="16"/>
  <c r="Q3841" i="16"/>
  <c r="Q3840" i="16"/>
  <c r="Q3839" i="16"/>
  <c r="Q3838" i="16"/>
  <c r="Q3837" i="16"/>
  <c r="Q3836" i="16"/>
  <c r="Q3835" i="16"/>
  <c r="Q3834" i="16"/>
  <c r="Q3833" i="16"/>
  <c r="Q3832" i="16"/>
  <c r="Q3831" i="16"/>
  <c r="Q3830" i="16"/>
  <c r="Q3829" i="16"/>
  <c r="Q3828" i="16"/>
  <c r="Q3827" i="16"/>
  <c r="Q3826" i="16"/>
  <c r="Q3825" i="16"/>
  <c r="Q3824" i="16"/>
  <c r="Q3823" i="16"/>
  <c r="Q3822" i="16"/>
  <c r="Q3821" i="16"/>
  <c r="Q3820" i="16"/>
  <c r="Q3819" i="16"/>
  <c r="Q3818" i="16"/>
  <c r="Q3817" i="16"/>
  <c r="Q3816" i="16"/>
  <c r="Q3815" i="16"/>
  <c r="Q3814" i="16"/>
  <c r="Q3813" i="16"/>
  <c r="Q3812" i="16"/>
  <c r="Q3811" i="16"/>
  <c r="Q3810" i="16"/>
  <c r="Q3809" i="16"/>
  <c r="Q3808" i="16"/>
  <c r="Q3807" i="16"/>
  <c r="Q3806" i="16"/>
  <c r="Q3805" i="16"/>
  <c r="Q3804" i="16"/>
  <c r="Q3803" i="16"/>
  <c r="Q3802" i="16"/>
  <c r="Q3801" i="16"/>
  <c r="Q3800" i="16"/>
  <c r="Q3799" i="16"/>
  <c r="Q3798" i="16"/>
  <c r="Q3797" i="16"/>
  <c r="Q3796" i="16"/>
  <c r="Q3795" i="16"/>
  <c r="Q3794" i="16"/>
  <c r="Q3793" i="16"/>
  <c r="Q3792" i="16"/>
  <c r="Q3791" i="16"/>
  <c r="Q3790" i="16"/>
  <c r="Q3789" i="16"/>
  <c r="Q3788" i="16"/>
  <c r="Q3787" i="16"/>
  <c r="Q3786" i="16"/>
  <c r="Q3785" i="16"/>
  <c r="Q3784" i="16"/>
  <c r="Q3783" i="16"/>
  <c r="Q3776" i="16"/>
  <c r="Q3775" i="16"/>
  <c r="Q3774" i="16"/>
  <c r="Q3773" i="16"/>
  <c r="Q3772" i="16"/>
  <c r="Q3771" i="16"/>
  <c r="Q3770" i="16"/>
  <c r="Q3769" i="16"/>
  <c r="Q3768" i="16"/>
  <c r="Q3767" i="16"/>
  <c r="Q3766" i="16"/>
  <c r="Q3765" i="16"/>
  <c r="Q3764" i="16"/>
  <c r="Q3763" i="16"/>
  <c r="Q3762" i="16"/>
  <c r="Q3748" i="16"/>
  <c r="Q3747" i="16"/>
  <c r="Q3746" i="16"/>
  <c r="Q3745" i="16"/>
  <c r="Q3744" i="16"/>
  <c r="Q3743" i="16"/>
  <c r="Q3742" i="16"/>
  <c r="Q3741" i="16"/>
  <c r="Q3739" i="16"/>
  <c r="Q3782" i="16"/>
  <c r="Q3781" i="16"/>
  <c r="Q3780" i="16"/>
  <c r="Q3779" i="16"/>
  <c r="Q3778" i="16"/>
  <c r="Q3777" i="16"/>
  <c r="R3741" i="16"/>
  <c r="R3742" i="16"/>
  <c r="R3743" i="16"/>
  <c r="R3744" i="16"/>
  <c r="R3745" i="16" s="1"/>
  <c r="R3746" i="16" s="1"/>
  <c r="R3747" i="16" s="1"/>
  <c r="R3748" i="16" s="1"/>
  <c r="Q3740" i="16"/>
  <c r="Q3738" i="16"/>
  <c r="Q3737" i="16"/>
  <c r="Q3736" i="16"/>
  <c r="Q3735" i="16"/>
  <c r="Q3734" i="16"/>
  <c r="Q3733" i="16"/>
  <c r="Q3732" i="16"/>
  <c r="Q3731" i="16"/>
  <c r="Q3730" i="16"/>
  <c r="Q3729" i="16"/>
  <c r="Q3728" i="16"/>
  <c r="Q3727" i="16"/>
  <c r="Q3726" i="16"/>
  <c r="Q3725" i="16"/>
  <c r="Q3724" i="16"/>
  <c r="Q3723" i="16"/>
  <c r="Q3722" i="16"/>
  <c r="Q3721" i="16"/>
  <c r="Q3720" i="16"/>
  <c r="Q3719" i="16"/>
  <c r="Q3718" i="16"/>
  <c r="Q3717" i="16"/>
  <c r="Q3716" i="16"/>
  <c r="Q3715" i="16"/>
  <c r="Q3714" i="16"/>
  <c r="Q3713" i="16"/>
  <c r="Q3712" i="16"/>
  <c r="Q3711" i="16"/>
  <c r="Q3710" i="16"/>
  <c r="Q3709" i="16"/>
  <c r="Q3708" i="16"/>
  <c r="Q3707" i="16"/>
  <c r="Q3706" i="16"/>
  <c r="Q3705" i="16"/>
  <c r="Q3704" i="16"/>
  <c r="Q3703" i="16"/>
  <c r="Q3702" i="16"/>
  <c r="Q3701" i="16"/>
  <c r="Q3700" i="16"/>
  <c r="Q3699" i="16"/>
  <c r="Q3698" i="16"/>
  <c r="Q3697" i="16"/>
  <c r="Q3696" i="16"/>
  <c r="Q3695" i="16"/>
  <c r="Q3694" i="16"/>
  <c r="Q3693" i="16"/>
  <c r="Q3692" i="16"/>
  <c r="Q3691" i="16"/>
  <c r="Q3690" i="16"/>
  <c r="Q3689" i="16"/>
  <c r="Q3688" i="16"/>
  <c r="Q3687" i="16"/>
  <c r="Q3686" i="16"/>
  <c r="Q3685" i="16"/>
  <c r="Q3684" i="16"/>
  <c r="Q3683" i="16"/>
  <c r="Q3682" i="16"/>
  <c r="Q3681" i="16"/>
  <c r="Q3680" i="16"/>
  <c r="Q3679" i="16"/>
  <c r="Q3678" i="16"/>
  <c r="Q3677" i="16"/>
  <c r="Q3676" i="16"/>
  <c r="Q3675" i="16"/>
  <c r="Q3674" i="16"/>
  <c r="Q3673" i="16"/>
  <c r="Q3672" i="16"/>
  <c r="Q3671" i="16"/>
  <c r="Q3670" i="16"/>
  <c r="Q3669" i="16"/>
  <c r="Q3668" i="16"/>
  <c r="Q3667" i="16"/>
  <c r="Q3666" i="16"/>
  <c r="Q3665" i="16"/>
  <c r="Q3664" i="16"/>
  <c r="Q3663" i="16"/>
  <c r="Q3662" i="16"/>
  <c r="Q3661" i="16"/>
  <c r="Q3660" i="16"/>
  <c r="Q3659" i="16"/>
  <c r="Q3658" i="16"/>
  <c r="Q3657" i="16"/>
  <c r="Q3656" i="16"/>
  <c r="Q3655" i="16"/>
  <c r="Q3654" i="16"/>
  <c r="Q3653" i="16"/>
  <c r="Q3652" i="16"/>
  <c r="Q3651" i="16"/>
  <c r="Q3650" i="16"/>
  <c r="Q3649" i="16"/>
  <c r="Q3648" i="16"/>
  <c r="Q3647" i="16"/>
  <c r="Q3646" i="16"/>
  <c r="Q3645" i="16"/>
  <c r="Q3644" i="16"/>
  <c r="Q3643" i="16"/>
  <c r="Q3642" i="16"/>
  <c r="Q3641" i="16"/>
  <c r="Q3640" i="16"/>
  <c r="Q3639" i="16"/>
  <c r="Q3638" i="16"/>
  <c r="Q3637" i="16"/>
  <c r="Q3636" i="16"/>
  <c r="Q3635" i="16"/>
  <c r="Q3634" i="16"/>
  <c r="Q3633" i="16"/>
  <c r="Q3632" i="16"/>
  <c r="Q3631" i="16"/>
  <c r="Q3630" i="16"/>
  <c r="Q3629" i="16"/>
  <c r="Q3628" i="16"/>
  <c r="Q3627" i="16"/>
  <c r="Q3626" i="16"/>
  <c r="Q3625" i="16"/>
  <c r="Q3624" i="16"/>
  <c r="Q3623" i="16"/>
  <c r="Q3622" i="16"/>
  <c r="Q3621" i="16"/>
  <c r="Q3620" i="16"/>
  <c r="Q3619" i="16"/>
  <c r="Q3618" i="16"/>
  <c r="Q3617" i="16"/>
  <c r="Q3616" i="16"/>
  <c r="Q3615" i="16"/>
  <c r="Q3614" i="16"/>
  <c r="Q3613" i="16"/>
  <c r="Q3612" i="16"/>
  <c r="Q3611" i="16"/>
  <c r="Q3610" i="16"/>
  <c r="Q3609" i="16"/>
  <c r="Q3608" i="16"/>
  <c r="Q3607" i="16"/>
  <c r="Q3606" i="16"/>
  <c r="Q3605" i="16"/>
  <c r="Q3604" i="16"/>
  <c r="Q3603" i="16"/>
  <c r="Q3602" i="16"/>
  <c r="Q3601" i="16"/>
  <c r="Q3600" i="16"/>
  <c r="Q3599" i="16"/>
  <c r="Q3598" i="16"/>
  <c r="Q3597" i="16"/>
  <c r="Q3596" i="16"/>
  <c r="Q3595" i="16"/>
  <c r="Q3594" i="16"/>
  <c r="Q3593" i="16"/>
  <c r="Q3592" i="16"/>
  <c r="Q3591" i="16"/>
  <c r="Q3590" i="16"/>
  <c r="Q3589" i="16"/>
  <c r="Q3588" i="16"/>
  <c r="Q3587" i="16"/>
  <c r="Q3586" i="16"/>
  <c r="Q3585" i="16"/>
  <c r="Q3584" i="16"/>
  <c r="Q3583" i="16"/>
  <c r="Q3582" i="16"/>
  <c r="Q3581" i="16"/>
  <c r="Q3580" i="16"/>
  <c r="Q3579" i="16"/>
  <c r="Q3578" i="16"/>
  <c r="Q3577" i="16"/>
  <c r="Q3576" i="16"/>
  <c r="Q3575" i="16"/>
  <c r="Q3574" i="16"/>
  <c r="Q3573" i="16"/>
  <c r="Q3572" i="16"/>
  <c r="Q3571" i="16"/>
  <c r="Q3570" i="16"/>
  <c r="Q3569" i="16"/>
  <c r="Q3568" i="16"/>
  <c r="Q3567" i="16"/>
  <c r="Q3566" i="16"/>
  <c r="Q3565" i="16"/>
  <c r="Q3564" i="16"/>
  <c r="Q3563" i="16"/>
  <c r="Q3562" i="16"/>
  <c r="Q3561" i="16"/>
  <c r="Q3560" i="16"/>
  <c r="Q3559" i="16"/>
  <c r="Q3558" i="16"/>
  <c r="Q3557" i="16"/>
  <c r="Q3556" i="16"/>
  <c r="Q3555" i="16"/>
  <c r="Q3554" i="16"/>
  <c r="Q3553" i="16"/>
  <c r="Q3552" i="16"/>
  <c r="Q3551" i="16"/>
  <c r="Q3550" i="16"/>
  <c r="Q3549" i="16"/>
  <c r="Q3548" i="16"/>
  <c r="Q3547" i="16"/>
  <c r="Q3546" i="16"/>
  <c r="Q3545" i="16"/>
  <c r="Q3544" i="16"/>
  <c r="Q3543" i="16"/>
  <c r="Q3542" i="16"/>
  <c r="Q3541" i="16"/>
  <c r="Q3540" i="16"/>
  <c r="Q3539" i="16"/>
  <c r="Q3538" i="16"/>
  <c r="Q3537" i="16"/>
  <c r="Q3536" i="16"/>
  <c r="Q3535" i="16"/>
  <c r="Q3534" i="16"/>
  <c r="Q3533" i="16"/>
  <c r="Q3532" i="16"/>
  <c r="Q3531" i="16"/>
  <c r="Q3530" i="16"/>
  <c r="Q3529" i="16"/>
  <c r="Q3528" i="16"/>
  <c r="Q3527" i="16"/>
  <c r="Q3526" i="16"/>
  <c r="Q3525" i="16"/>
  <c r="Q3524" i="16"/>
  <c r="Q3523" i="16"/>
  <c r="Q3522" i="16"/>
  <c r="Q3521" i="16"/>
  <c r="Q3520" i="16"/>
  <c r="L3244" i="16"/>
  <c r="L3247" i="16"/>
  <c r="L3242" i="16"/>
  <c r="Q3519" i="16"/>
  <c r="Q3518" i="16"/>
  <c r="Q3517" i="16"/>
  <c r="Q3516" i="16"/>
  <c r="Q3515" i="16"/>
  <c r="Q3514" i="16"/>
  <c r="Q3513" i="16"/>
  <c r="Q3512" i="16"/>
  <c r="Q3511" i="16"/>
  <c r="Q3510" i="16"/>
  <c r="Q3509" i="16"/>
  <c r="Q3508" i="16"/>
  <c r="Q3507" i="16"/>
  <c r="Q3506" i="16"/>
  <c r="Q3505" i="16"/>
  <c r="Q3504" i="16"/>
  <c r="Q3503" i="16"/>
  <c r="Q3502" i="16"/>
  <c r="Q3501" i="16"/>
  <c r="Q3500" i="16"/>
  <c r="Q3499" i="16"/>
  <c r="Q3498" i="16"/>
  <c r="Q3497" i="16"/>
  <c r="Q3496" i="16"/>
  <c r="Q3495" i="16"/>
  <c r="Q3494" i="16"/>
  <c r="Q3493" i="16"/>
  <c r="Q3492" i="16"/>
  <c r="Q3491" i="16"/>
  <c r="Q3490" i="16"/>
  <c r="Q3489" i="16"/>
  <c r="Q3488" i="16"/>
  <c r="Q3487" i="16"/>
  <c r="Q3486" i="16"/>
  <c r="Q3485" i="16"/>
  <c r="Q3484" i="16"/>
  <c r="Q3483" i="16"/>
  <c r="Q3482" i="16"/>
  <c r="Q3481" i="16"/>
  <c r="Q3480" i="16"/>
  <c r="Q3479" i="16"/>
  <c r="Q3478" i="16"/>
  <c r="Q3477" i="16"/>
  <c r="Q3476" i="16"/>
  <c r="Q3475" i="16"/>
  <c r="Q3474" i="16"/>
  <c r="Q3473" i="16"/>
  <c r="Q3472" i="16"/>
  <c r="Q3471" i="16"/>
  <c r="Q3470" i="16"/>
  <c r="Q3469" i="16"/>
  <c r="Q3468" i="16"/>
  <c r="Q3467" i="16"/>
  <c r="Q3466" i="16"/>
  <c r="Q3465" i="16"/>
  <c r="Q3464" i="16"/>
  <c r="Q3463" i="16"/>
  <c r="Q3462" i="16"/>
  <c r="Q3461" i="16"/>
  <c r="Q3460" i="16"/>
  <c r="Q3459" i="16"/>
  <c r="Q3458" i="16"/>
  <c r="Q3457" i="16"/>
  <c r="Q3456" i="16"/>
  <c r="Q3455" i="16"/>
  <c r="Q3454" i="16"/>
  <c r="Q3453" i="16"/>
  <c r="Q3452" i="16"/>
  <c r="Q3451" i="16"/>
  <c r="Q3450" i="16"/>
  <c r="Q3449" i="16"/>
  <c r="Q3448" i="16"/>
  <c r="Q3447" i="16"/>
  <c r="Q3446" i="16"/>
  <c r="Q3445" i="16"/>
  <c r="Q3444" i="16"/>
  <c r="Q3443" i="16"/>
  <c r="Q3442" i="16"/>
  <c r="Q3441" i="16"/>
  <c r="Q3440" i="16"/>
  <c r="Q3439" i="16"/>
  <c r="Q3438" i="16"/>
  <c r="Q3437" i="16"/>
  <c r="Q3436" i="16"/>
  <c r="Q3435" i="16"/>
  <c r="Q3434" i="16"/>
  <c r="Q3433" i="16"/>
  <c r="Q3432" i="16"/>
  <c r="Q3431" i="16"/>
  <c r="Q3430" i="16"/>
  <c r="Q3429" i="16"/>
  <c r="Q3428" i="16"/>
  <c r="Q3427" i="16"/>
  <c r="Q3426" i="16"/>
  <c r="Q3425" i="16"/>
  <c r="Q3424" i="16"/>
  <c r="Q3423" i="16"/>
  <c r="Q3422" i="16"/>
  <c r="Q3421" i="16"/>
  <c r="Q3420" i="16"/>
  <c r="Q3419" i="16"/>
  <c r="Q3418" i="16"/>
  <c r="Q3417" i="16"/>
  <c r="Q3416" i="16"/>
  <c r="Q3415" i="16"/>
  <c r="Q3414" i="16"/>
  <c r="Q3413" i="16"/>
  <c r="Q3412" i="16"/>
  <c r="Q3411" i="16"/>
  <c r="Q3410" i="16"/>
  <c r="Q3409" i="16"/>
  <c r="Q3408" i="16"/>
  <c r="Q3407" i="16"/>
  <c r="Q3406" i="16"/>
  <c r="Q3405" i="16"/>
  <c r="Q3404" i="16"/>
  <c r="Q3403" i="16"/>
  <c r="Q3402" i="16"/>
  <c r="Q3401" i="16"/>
  <c r="Q3400" i="16"/>
  <c r="Q3399" i="16"/>
  <c r="Q3398" i="16"/>
  <c r="Q3397" i="16"/>
  <c r="Q3396" i="16"/>
  <c r="Q3395" i="16"/>
  <c r="Q3394" i="16"/>
  <c r="Q3393" i="16"/>
  <c r="Q3392" i="16"/>
  <c r="Q3391" i="16"/>
  <c r="Q3390" i="16"/>
  <c r="Q3389" i="16"/>
  <c r="Q3388" i="16"/>
  <c r="Q3387" i="16"/>
  <c r="Q3386" i="16"/>
  <c r="Q3385" i="16"/>
  <c r="Q3384" i="16"/>
  <c r="Q3383" i="16"/>
  <c r="Q3382" i="16"/>
  <c r="Q3381" i="16"/>
  <c r="Q3380" i="16"/>
  <c r="Q3379" i="16"/>
  <c r="Q3378" i="16"/>
  <c r="Q3377" i="16"/>
  <c r="Q3376" i="16"/>
  <c r="Q3375" i="16"/>
  <c r="Q3374" i="16"/>
  <c r="Q3373" i="16"/>
  <c r="Q3372" i="16"/>
  <c r="Q3371" i="16"/>
  <c r="Q3370" i="16"/>
  <c r="Q3369" i="16"/>
  <c r="Q3368" i="16"/>
  <c r="Q3367" i="16"/>
  <c r="Q3366" i="16"/>
  <c r="Q3365" i="16"/>
  <c r="Q3364" i="16"/>
  <c r="Q3363" i="16"/>
  <c r="Q3362" i="16"/>
  <c r="Q3361" i="16"/>
  <c r="Q3360" i="16"/>
  <c r="Q3359" i="16"/>
  <c r="Q3358" i="16"/>
  <c r="Q3357" i="16"/>
  <c r="Q3356" i="16"/>
  <c r="Q3355" i="16"/>
  <c r="Q3354" i="16"/>
  <c r="Q3353" i="16"/>
  <c r="Q3352" i="16"/>
  <c r="Q3351" i="16"/>
  <c r="Q3350" i="16"/>
  <c r="Q3349" i="16"/>
  <c r="Q3348" i="16"/>
  <c r="Q3347" i="16"/>
  <c r="Q3346" i="16"/>
  <c r="Q3345" i="16"/>
  <c r="Q3344" i="16"/>
  <c r="Q3343" i="16"/>
  <c r="Q3342" i="16"/>
  <c r="Q3341" i="16"/>
  <c r="Q3340" i="16"/>
  <c r="Q3339" i="16"/>
  <c r="Q3338" i="16"/>
  <c r="Q3337" i="16"/>
  <c r="Q3336" i="16"/>
  <c r="Q3335" i="16"/>
  <c r="Q3334" i="16"/>
  <c r="Q3333" i="16"/>
  <c r="Q3332" i="16"/>
  <c r="Q3331" i="16"/>
  <c r="Q3330" i="16"/>
  <c r="Q3329" i="16"/>
  <c r="Q3328" i="16"/>
  <c r="Q3327" i="16"/>
  <c r="Q3326" i="16"/>
  <c r="Q3325" i="16"/>
  <c r="Q3324" i="16"/>
  <c r="Q3323" i="16"/>
  <c r="Q3322" i="16"/>
  <c r="Q3321" i="16"/>
  <c r="Q3320" i="16"/>
  <c r="Q3319" i="16"/>
  <c r="Q3318" i="16"/>
  <c r="Q3317" i="16"/>
  <c r="Q3316" i="16"/>
  <c r="Q3315" i="16"/>
  <c r="Q3314" i="16"/>
  <c r="Q3313" i="16"/>
  <c r="Q3312" i="16"/>
  <c r="Q3311" i="16"/>
  <c r="Q3310" i="16"/>
  <c r="Q3309" i="16"/>
  <c r="Q3308" i="16"/>
  <c r="Q3307" i="16"/>
  <c r="Q3306" i="16"/>
  <c r="Q3305" i="16"/>
  <c r="Q3304" i="16"/>
  <c r="Q3303" i="16"/>
  <c r="Q3302" i="16"/>
  <c r="Q3301" i="16"/>
  <c r="Q3300" i="16"/>
  <c r="Q3299" i="16"/>
  <c r="Q3298" i="16"/>
  <c r="Q3297" i="16"/>
  <c r="Q3296" i="16"/>
  <c r="Q3295" i="16"/>
  <c r="Q3294" i="16"/>
  <c r="Q3293" i="16"/>
  <c r="Q3292" i="16"/>
  <c r="Q3291" i="16"/>
  <c r="Q3290" i="16"/>
  <c r="Q3289" i="16"/>
  <c r="Q3288" i="16"/>
  <c r="Q3287" i="16"/>
  <c r="Q3286" i="16"/>
  <c r="Q3285" i="16"/>
  <c r="Q3284" i="16"/>
  <c r="Q3283" i="16"/>
  <c r="Q3282" i="16"/>
  <c r="Q3281" i="16"/>
  <c r="Q3280" i="16"/>
  <c r="Q3279" i="16"/>
  <c r="Q3278" i="16"/>
  <c r="Q3277" i="16"/>
  <c r="Q3276" i="16"/>
  <c r="Q3275" i="16"/>
  <c r="Q3274" i="16"/>
  <c r="Q3273" i="16"/>
  <c r="Q3272" i="16"/>
  <c r="Q3271" i="16"/>
  <c r="Q3270" i="16"/>
  <c r="Q3269" i="16"/>
  <c r="Q3268" i="16"/>
  <c r="Q3267" i="16"/>
  <c r="Q3266" i="16"/>
  <c r="Q3265" i="16"/>
  <c r="Q3264" i="16"/>
  <c r="Q3263" i="16"/>
  <c r="Q3262" i="16"/>
  <c r="Q3261" i="16"/>
  <c r="Q3260" i="16"/>
  <c r="Q3259" i="16"/>
  <c r="Q3258" i="16"/>
  <c r="Q3257" i="16"/>
  <c r="Q3256" i="16"/>
  <c r="Q3255" i="16"/>
  <c r="Q3254" i="16"/>
  <c r="Q3253" i="16"/>
  <c r="Q3252" i="16"/>
  <c r="Q3251" i="16"/>
  <c r="Q3250" i="16"/>
  <c r="Q3249" i="16"/>
  <c r="Q3248" i="16"/>
  <c r="Q3247" i="16"/>
  <c r="Q3246" i="16"/>
  <c r="Q3245" i="16"/>
  <c r="Q3244" i="16"/>
  <c r="Q3243" i="16"/>
  <c r="Q3242" i="16"/>
  <c r="Q3241" i="16"/>
  <c r="Q3240" i="16"/>
  <c r="Q3239" i="16"/>
  <c r="Q3238" i="16"/>
  <c r="Q3237" i="16"/>
  <c r="Q3236" i="16"/>
  <c r="Q3235" i="16"/>
  <c r="Q3234" i="16"/>
  <c r="Q3233" i="16"/>
  <c r="Q3212" i="16"/>
  <c r="Q3211" i="16"/>
  <c r="Q3210" i="16"/>
  <c r="Q3209" i="16"/>
  <c r="Q3208" i="16"/>
  <c r="Q3207" i="16"/>
  <c r="Q3206" i="16"/>
  <c r="Q3205" i="16"/>
  <c r="Q3204" i="16"/>
  <c r="Q3203" i="16"/>
  <c r="Q3202" i="16"/>
  <c r="Q3201" i="16"/>
  <c r="Q3200" i="16"/>
  <c r="Q3199" i="16"/>
  <c r="Q3198" i="16"/>
  <c r="Q3197" i="16"/>
  <c r="Q3196" i="16"/>
  <c r="Q3195" i="16"/>
  <c r="Q3194" i="16"/>
  <c r="Q3193" i="16"/>
  <c r="Q3192" i="16"/>
  <c r="Q3191" i="16"/>
  <c r="Q3190" i="16"/>
  <c r="Q3189" i="16"/>
  <c r="Q3188" i="16"/>
  <c r="Q3187" i="16"/>
  <c r="Q3186" i="16"/>
  <c r="Q3185" i="16"/>
  <c r="Q3184" i="16"/>
  <c r="Q3183" i="16"/>
  <c r="Q3182" i="16"/>
  <c r="Q3181" i="16"/>
  <c r="Q3180" i="16"/>
  <c r="Q3179" i="16"/>
  <c r="Q3178" i="16"/>
  <c r="Q3177" i="16"/>
  <c r="Q3176" i="16"/>
  <c r="Q3175" i="16"/>
  <c r="Q3174" i="16"/>
  <c r="Q3173" i="16"/>
  <c r="Q3172" i="16"/>
  <c r="Q3171" i="16"/>
  <c r="Q3170" i="16"/>
  <c r="Q3169" i="16"/>
  <c r="Q3168" i="16"/>
  <c r="Q3167" i="16"/>
  <c r="Q3166" i="16"/>
  <c r="Q3165" i="16"/>
  <c r="Q3164" i="16"/>
  <c r="Q3163" i="16"/>
  <c r="Q3162" i="16"/>
  <c r="Q3161" i="16"/>
  <c r="Q3148" i="16"/>
  <c r="Q3147" i="16"/>
  <c r="Q3140" i="16"/>
  <c r="Q3139" i="16"/>
  <c r="Q3138" i="16"/>
  <c r="Q3137" i="16"/>
  <c r="Q3136" i="16"/>
  <c r="Q3135" i="16"/>
  <c r="Q3134" i="16"/>
  <c r="Q3133" i="16"/>
  <c r="Q3132" i="16"/>
  <c r="Q3131" i="16"/>
  <c r="Q3130" i="16"/>
  <c r="Q3129" i="16"/>
  <c r="Q3128" i="16"/>
  <c r="Q3127" i="16"/>
  <c r="Q3126" i="16"/>
  <c r="Q3125" i="16"/>
  <c r="Q3160" i="16"/>
  <c r="Q3159" i="16"/>
  <c r="Q3158" i="16"/>
  <c r="Q3157" i="16"/>
  <c r="Q3156" i="16"/>
  <c r="Q3155" i="16"/>
  <c r="Q3154" i="16"/>
  <c r="Q3153" i="16"/>
  <c r="Q3152" i="16"/>
  <c r="Q3151" i="16"/>
  <c r="Q3150" i="16"/>
  <c r="Q3149" i="16"/>
  <c r="Q3124" i="16"/>
  <c r="Q771" i="16"/>
  <c r="Z771" i="16"/>
  <c r="Q770" i="16"/>
  <c r="Z770" i="16" s="1"/>
  <c r="Q3123" i="16"/>
  <c r="Q3122" i="16"/>
  <c r="Q3121" i="16"/>
  <c r="Q3120" i="16"/>
  <c r="Q3119" i="16"/>
  <c r="Q3118" i="16"/>
  <c r="Q3117" i="16"/>
  <c r="Q3116" i="16"/>
  <c r="Q3115" i="16"/>
  <c r="Q3114" i="16"/>
  <c r="Q3113" i="16"/>
  <c r="Q3112" i="16"/>
  <c r="Q3111" i="16"/>
  <c r="Q3110" i="16"/>
  <c r="Q3109" i="16"/>
  <c r="Q3108" i="16"/>
  <c r="Q3107" i="16"/>
  <c r="Q3106" i="16"/>
  <c r="Q3105" i="16"/>
  <c r="Q3104" i="16"/>
  <c r="Q3103" i="16"/>
  <c r="Q3102" i="16"/>
  <c r="Q3101" i="16"/>
  <c r="Q3100" i="16"/>
  <c r="Q3099" i="16"/>
  <c r="Q3098" i="16"/>
  <c r="Q3097" i="16"/>
  <c r="Q3096" i="16"/>
  <c r="Q3095" i="16"/>
  <c r="Q3094" i="16"/>
  <c r="Q3093" i="16"/>
  <c r="Q3092" i="16"/>
  <c r="Q3091" i="16"/>
  <c r="Q3090" i="16"/>
  <c r="Q3089" i="16"/>
  <c r="Q3088" i="16"/>
  <c r="Q3087" i="16"/>
  <c r="Q3086" i="16"/>
  <c r="Q3085" i="16"/>
  <c r="Q3084" i="16"/>
  <c r="Q3083" i="16"/>
  <c r="Q3082" i="16"/>
  <c r="Q3081" i="16"/>
  <c r="Q3080" i="16"/>
  <c r="Q3079" i="16"/>
  <c r="Q3078" i="16"/>
  <c r="Q3077" i="16"/>
  <c r="Q3076" i="16"/>
  <c r="Q3075" i="16"/>
  <c r="Q3074" i="16"/>
  <c r="Q3073" i="16"/>
  <c r="Q3072" i="16"/>
  <c r="Q3071" i="16"/>
  <c r="Q3070" i="16"/>
  <c r="Q3069" i="16"/>
  <c r="Q3068" i="16"/>
  <c r="Q3067" i="16"/>
  <c r="Q3066" i="16"/>
  <c r="Q3065" i="16"/>
  <c r="B10" i="10"/>
  <c r="C10" i="10" s="1"/>
  <c r="B9" i="10"/>
  <c r="C9" i="10" s="1"/>
  <c r="B8" i="10"/>
  <c r="C8" i="10" s="1"/>
  <c r="B4" i="10"/>
  <c r="C4" i="10"/>
  <c r="Q3064" i="16"/>
  <c r="Q3063" i="16"/>
  <c r="Q3062" i="16"/>
  <c r="Q3061" i="16"/>
  <c r="Q3060" i="16"/>
  <c r="Q3059" i="16"/>
  <c r="Q3058" i="16"/>
  <c r="Q3057" i="16"/>
  <c r="Q3056" i="16"/>
  <c r="Q3055" i="16"/>
  <c r="Q3054" i="16"/>
  <c r="Q3053" i="16"/>
  <c r="Q3046" i="16"/>
  <c r="Q3045" i="16"/>
  <c r="Q3044" i="16"/>
  <c r="Q3043" i="16"/>
  <c r="Q3042" i="16"/>
  <c r="Q3041" i="16"/>
  <c r="Q3040" i="16"/>
  <c r="Q3038" i="16"/>
  <c r="Q3037" i="16"/>
  <c r="Q3036" i="16"/>
  <c r="Q3035" i="16"/>
  <c r="Q3034" i="16"/>
  <c r="Q3033" i="16"/>
  <c r="Q3032" i="16"/>
  <c r="Q3031" i="16"/>
  <c r="Q3030" i="16"/>
  <c r="Q3029" i="16"/>
  <c r="Q3028" i="16"/>
  <c r="Q3027" i="16"/>
  <c r="Q3026" i="16"/>
  <c r="Q3025" i="16"/>
  <c r="Q3024" i="16"/>
  <c r="Q3023" i="16"/>
  <c r="Q3022" i="16"/>
  <c r="Q3021" i="16"/>
  <c r="Q3020" i="16"/>
  <c r="Q3019" i="16"/>
  <c r="Q3018" i="16"/>
  <c r="Q3017" i="16"/>
  <c r="Q3016" i="16"/>
  <c r="Q3015" i="16"/>
  <c r="Q3014" i="16"/>
  <c r="Q3013" i="16"/>
  <c r="Q3012" i="16"/>
  <c r="Q3011" i="16"/>
  <c r="Q3010" i="16"/>
  <c r="Q3009" i="16"/>
  <c r="Q3008" i="16"/>
  <c r="Q3007" i="16"/>
  <c r="Q3006" i="16"/>
  <c r="Q3005" i="16"/>
  <c r="Q3004" i="16"/>
  <c r="Q3003" i="16"/>
  <c r="Q3002" i="16"/>
  <c r="Q3001" i="16"/>
  <c r="Q3000" i="16"/>
  <c r="Q2999" i="16"/>
  <c r="Q2998" i="16"/>
  <c r="Q2997" i="16"/>
  <c r="Q2996" i="16"/>
  <c r="Q2995" i="16"/>
  <c r="Q2994" i="16"/>
  <c r="Q2993" i="16"/>
  <c r="Q2992" i="16"/>
  <c r="Q2991" i="16"/>
  <c r="Q2990" i="16"/>
  <c r="Q2989" i="16"/>
  <c r="Q2988" i="16"/>
  <c r="Q2987" i="16"/>
  <c r="Q2986" i="16"/>
  <c r="Q2985" i="16"/>
  <c r="Q2984" i="16"/>
  <c r="Q2983" i="16"/>
  <c r="Q2982" i="16"/>
  <c r="Q2981" i="16"/>
  <c r="Q2980" i="16"/>
  <c r="Q2979" i="16"/>
  <c r="Q2978" i="16"/>
  <c r="Q2977" i="16"/>
  <c r="Q2976" i="16"/>
  <c r="Q2975" i="16"/>
  <c r="Q2974" i="16"/>
  <c r="Q2973" i="16"/>
  <c r="Q2972" i="16"/>
  <c r="Q2971" i="16"/>
  <c r="Q2970" i="16"/>
  <c r="Q2969" i="16"/>
  <c r="Q2968" i="16"/>
  <c r="Q2967" i="16"/>
  <c r="Q2966" i="16"/>
  <c r="Q2965" i="16"/>
  <c r="Q2964" i="16"/>
  <c r="Q2962" i="16"/>
  <c r="Q2961" i="16"/>
  <c r="Q2960" i="16"/>
  <c r="Q2959" i="16"/>
  <c r="Q2958" i="16"/>
  <c r="Q2957" i="16"/>
  <c r="Q2956" i="16"/>
  <c r="Q2955" i="16"/>
  <c r="Q2954" i="16"/>
  <c r="Q2953" i="16"/>
  <c r="Q2952" i="16"/>
  <c r="Q2951" i="16"/>
  <c r="Q2950" i="16"/>
  <c r="Q2949" i="16"/>
  <c r="Q2948" i="16"/>
  <c r="Q2947" i="16"/>
  <c r="Q2946" i="16"/>
  <c r="Q2945" i="16"/>
  <c r="Q2944" i="16"/>
  <c r="Q2943" i="16"/>
  <c r="Q2942" i="16"/>
  <c r="Q2941" i="16"/>
  <c r="Q2940" i="16"/>
  <c r="Q2939" i="16"/>
  <c r="Q2938" i="16"/>
  <c r="Q2937" i="16"/>
  <c r="Q2936" i="16"/>
  <c r="Q2935" i="16"/>
  <c r="Q2934" i="16"/>
  <c r="Q2933" i="16"/>
  <c r="Q2932" i="16"/>
  <c r="Q2931" i="16"/>
  <c r="Q2930" i="16"/>
  <c r="Q2929" i="16"/>
  <c r="Q2928" i="16"/>
  <c r="Q2927" i="16"/>
  <c r="Q2926" i="16"/>
  <c r="Q2925" i="16"/>
  <c r="Q2924" i="16"/>
  <c r="Q2923" i="16"/>
  <c r="Q2922" i="16"/>
  <c r="Q2921" i="16"/>
  <c r="Q2920" i="16"/>
  <c r="Q2919" i="16"/>
  <c r="Q2918" i="16"/>
  <c r="Q2917" i="16"/>
  <c r="Q2916" i="16"/>
  <c r="Q2915" i="16"/>
  <c r="Q2914" i="16"/>
  <c r="Q2913" i="16"/>
  <c r="Q2912" i="16"/>
  <c r="Q2911" i="16"/>
  <c r="Q2910" i="16"/>
  <c r="Q2909" i="16"/>
  <c r="Q2908" i="16"/>
  <c r="Q2907" i="16"/>
  <c r="Q2906" i="16"/>
  <c r="Q2905" i="16"/>
  <c r="Q2904" i="16"/>
  <c r="Q2902" i="16"/>
  <c r="Q2901" i="16"/>
  <c r="Q2900" i="16"/>
  <c r="Q2899" i="16"/>
  <c r="Q2898" i="16"/>
  <c r="Q2897" i="16"/>
  <c r="Q2896" i="16"/>
  <c r="Q2895" i="16"/>
  <c r="Q2894" i="16"/>
  <c r="Q2893" i="16"/>
  <c r="Q2892" i="16"/>
  <c r="Q2891" i="16"/>
  <c r="Q2890" i="16"/>
  <c r="Q2889" i="16"/>
  <c r="Q2888" i="16"/>
  <c r="Q2887" i="16"/>
  <c r="Q2886" i="16"/>
  <c r="Q2885" i="16"/>
  <c r="Q2884" i="16"/>
  <c r="Q2883" i="16"/>
  <c r="Q2882" i="16"/>
  <c r="Q2881" i="16"/>
  <c r="Q2880" i="16"/>
  <c r="Q2879" i="16"/>
  <c r="Q2867" i="16"/>
  <c r="Q2878" i="16"/>
  <c r="Q2877" i="16"/>
  <c r="Q2876" i="16"/>
  <c r="Q2875" i="16"/>
  <c r="Q2874" i="16"/>
  <c r="Q2873" i="16"/>
  <c r="Q2872" i="16"/>
  <c r="Q2871" i="16"/>
  <c r="Q2870" i="16"/>
  <c r="Q2869" i="16"/>
  <c r="Q2868" i="16"/>
  <c r="Q2866" i="16"/>
  <c r="Q2865" i="16"/>
  <c r="Q2864" i="16"/>
  <c r="Q2863" i="16"/>
  <c r="Q2862" i="16"/>
  <c r="Q2861" i="16"/>
  <c r="Q2860" i="16"/>
  <c r="Q2859" i="16"/>
  <c r="Q2858" i="16"/>
  <c r="Q2857" i="16"/>
  <c r="Q2856" i="16"/>
  <c r="Q2855" i="16"/>
  <c r="Q2854" i="16"/>
  <c r="Q2853" i="16"/>
  <c r="Q2852" i="16"/>
  <c r="Q2851" i="16"/>
  <c r="Q2850" i="16"/>
  <c r="Q2849" i="16"/>
  <c r="Q2848" i="16"/>
  <c r="Q2847" i="16"/>
  <c r="Q2846" i="16"/>
  <c r="Q2845" i="16"/>
  <c r="Q2844" i="16"/>
  <c r="Q2843" i="16"/>
  <c r="Q2842" i="16"/>
  <c r="Q2841" i="16"/>
  <c r="Q2840" i="16"/>
  <c r="Q2839" i="16"/>
  <c r="Q2838" i="16"/>
  <c r="Q2837" i="16"/>
  <c r="Q2836" i="16"/>
  <c r="Q2835" i="16"/>
  <c r="Q2834" i="16"/>
  <c r="Q2833" i="16"/>
  <c r="Q2832" i="16"/>
  <c r="Q2831" i="16"/>
  <c r="L2827" i="16"/>
  <c r="L2828" i="16"/>
  <c r="Q2819" i="16"/>
  <c r="L2819" i="16"/>
  <c r="L2820" i="16" s="1"/>
  <c r="Q2818" i="16"/>
  <c r="Q2817" i="16"/>
  <c r="Q2816" i="16"/>
  <c r="Q2815" i="16"/>
  <c r="Q2814" i="16"/>
  <c r="Q2813" i="16"/>
  <c r="Q2812" i="16"/>
  <c r="Q2811" i="16"/>
  <c r="Q2810" i="16"/>
  <c r="Q2809" i="16"/>
  <c r="Q2808" i="16"/>
  <c r="Q2807" i="16"/>
  <c r="L2807" i="16"/>
  <c r="L2808" i="16"/>
  <c r="L2795" i="16"/>
  <c r="L2796" i="16" s="1"/>
  <c r="L2699" i="16"/>
  <c r="L2700" i="16" s="1"/>
  <c r="L2771" i="16"/>
  <c r="L2772" i="16" s="1"/>
  <c r="L2783" i="16"/>
  <c r="L2784" i="16"/>
  <c r="Q2806" i="16"/>
  <c r="Q2805" i="16"/>
  <c r="Q2804" i="16"/>
  <c r="Q2803" i="16"/>
  <c r="Q2802" i="16"/>
  <c r="Q2801" i="16"/>
  <c r="Q2800" i="16"/>
  <c r="Q2799" i="16"/>
  <c r="Q2798" i="16"/>
  <c r="Q2797" i="16"/>
  <c r="Q2796" i="16"/>
  <c r="Q2795" i="16"/>
  <c r="Q2794" i="16"/>
  <c r="Q2793" i="16"/>
  <c r="Q2792" i="16"/>
  <c r="Q2791" i="16"/>
  <c r="Q2790" i="16"/>
  <c r="Q2789" i="16"/>
  <c r="Q2788" i="16"/>
  <c r="Q2787" i="16"/>
  <c r="Q2786" i="16"/>
  <c r="Q2785" i="16"/>
  <c r="Q2784" i="16"/>
  <c r="Q2783" i="16"/>
  <c r="Q2782" i="16"/>
  <c r="Q2781" i="16"/>
  <c r="Q2780" i="16"/>
  <c r="Q2779" i="16"/>
  <c r="Q2778" i="16"/>
  <c r="Q2777" i="16"/>
  <c r="Q2776" i="16"/>
  <c r="Q2775" i="16"/>
  <c r="Q2774" i="16"/>
  <c r="Q2773" i="16"/>
  <c r="Q2772" i="16"/>
  <c r="Q2771" i="16"/>
  <c r="Q2770" i="16"/>
  <c r="Q2769" i="16"/>
  <c r="Q2768" i="16"/>
  <c r="Q2767" i="16"/>
  <c r="Q2766" i="16"/>
  <c r="Q2765" i="16"/>
  <c r="Q2764" i="16"/>
  <c r="Q2763" i="16"/>
  <c r="Q2762" i="16"/>
  <c r="Q2761" i="16"/>
  <c r="Q2760" i="16"/>
  <c r="Q2759" i="16"/>
  <c r="Q2758" i="16"/>
  <c r="Q2757" i="16"/>
  <c r="Q2756" i="16"/>
  <c r="Q2755" i="16"/>
  <c r="Q2754" i="16"/>
  <c r="Q2753" i="16"/>
  <c r="Q2752" i="16"/>
  <c r="Q2751" i="16"/>
  <c r="Q2750" i="16"/>
  <c r="Q2749" i="16"/>
  <c r="Q2748" i="16"/>
  <c r="Q2747" i="16"/>
  <c r="Q2746" i="16"/>
  <c r="Q2745" i="16"/>
  <c r="Q2744" i="16"/>
  <c r="Q2743" i="16"/>
  <c r="Q2742" i="16"/>
  <c r="Q2741" i="16"/>
  <c r="Q2740" i="16"/>
  <c r="Q2739" i="16"/>
  <c r="Q2738" i="16"/>
  <c r="Q2737" i="16"/>
  <c r="Q2734" i="16"/>
  <c r="Q2733" i="16"/>
  <c r="Q2732" i="16"/>
  <c r="Q2731" i="16"/>
  <c r="Q2730" i="16"/>
  <c r="Q2729" i="16"/>
  <c r="Q2728" i="16"/>
  <c r="Q2727" i="16"/>
  <c r="Q2726" i="16"/>
  <c r="Q2725" i="16"/>
  <c r="Q2724" i="16"/>
  <c r="Q2723" i="16"/>
  <c r="Q2722" i="16"/>
  <c r="Q2721" i="16"/>
  <c r="Q2720" i="16"/>
  <c r="Q2719" i="16"/>
  <c r="Q2718" i="16"/>
  <c r="Q2717" i="16"/>
  <c r="Q2716" i="16"/>
  <c r="Q2715" i="16"/>
  <c r="Q2714" i="16"/>
  <c r="Q2713" i="16"/>
  <c r="Q2712" i="16"/>
  <c r="Q2711" i="16"/>
  <c r="L2299" i="16"/>
  <c r="L2711" i="16"/>
  <c r="L2712" i="16" s="1"/>
  <c r="Q2710" i="16"/>
  <c r="Q2709" i="16"/>
  <c r="Q2708" i="16"/>
  <c r="Q2707" i="16"/>
  <c r="Q2706" i="16"/>
  <c r="Q2705" i="16"/>
  <c r="Q2704" i="16"/>
  <c r="Q2703" i="16"/>
  <c r="Q2702" i="16"/>
  <c r="Q2701" i="16"/>
  <c r="Q2700" i="16"/>
  <c r="Q2699" i="16"/>
  <c r="Q2698" i="16"/>
  <c r="Q2697" i="16"/>
  <c r="Q2696" i="16"/>
  <c r="Q2695" i="16"/>
  <c r="Q2694" i="16"/>
  <c r="Q2693" i="16"/>
  <c r="Q2692" i="16"/>
  <c r="Q2691" i="16"/>
  <c r="Q2690" i="16"/>
  <c r="Q2689" i="16"/>
  <c r="Q2688" i="16"/>
  <c r="Q2687" i="16"/>
  <c r="Q2686" i="16"/>
  <c r="Q2685" i="16"/>
  <c r="Q2684" i="16"/>
  <c r="Q2683" i="16"/>
  <c r="Q2682" i="16"/>
  <c r="Q2681" i="16"/>
  <c r="Q2680" i="16"/>
  <c r="Q2679" i="16"/>
  <c r="Q2678" i="16"/>
  <c r="Q2677" i="16"/>
  <c r="Q2676" i="16"/>
  <c r="Q2675" i="16"/>
  <c r="Q2674" i="16"/>
  <c r="Q2673" i="16"/>
  <c r="Q2672" i="16"/>
  <c r="Q2671" i="16"/>
  <c r="Q2670" i="16"/>
  <c r="Q2669" i="16"/>
  <c r="Q2668" i="16"/>
  <c r="Q2667" i="16"/>
  <c r="Q2666" i="16"/>
  <c r="Q2665" i="16"/>
  <c r="Q2664" i="16"/>
  <c r="Q2663" i="16"/>
  <c r="L2687" i="16"/>
  <c r="L2688" i="16"/>
  <c r="L2689" i="16" s="1"/>
  <c r="L2690" i="16" s="1"/>
  <c r="L2675" i="16"/>
  <c r="L2691" i="16"/>
  <c r="Q2662" i="16"/>
  <c r="Q2661" i="16"/>
  <c r="Q2660" i="16"/>
  <c r="Q2659" i="16"/>
  <c r="Q2658" i="16"/>
  <c r="Q2657" i="16"/>
  <c r="Q2656" i="16"/>
  <c r="Q2655" i="16"/>
  <c r="Q2654" i="16"/>
  <c r="Q2653" i="16"/>
  <c r="Q2652" i="16"/>
  <c r="Q2651" i="16"/>
  <c r="Q2650" i="16"/>
  <c r="Q2649" i="16"/>
  <c r="Q2648" i="16"/>
  <c r="Q2647" i="16"/>
  <c r="Q2646" i="16"/>
  <c r="Q2645" i="16"/>
  <c r="Q2644" i="16"/>
  <c r="Q2643" i="16"/>
  <c r="Q2642" i="16"/>
  <c r="Q2641" i="16"/>
  <c r="Q2640" i="16"/>
  <c r="Q2639" i="16"/>
  <c r="Q2638" i="16"/>
  <c r="Q2637" i="16"/>
  <c r="Q2636" i="16"/>
  <c r="Q2635" i="16"/>
  <c r="Q2634" i="16"/>
  <c r="Q2633" i="16"/>
  <c r="L2638" i="16"/>
  <c r="Q2632" i="16"/>
  <c r="Q2631" i="16"/>
  <c r="Q2630" i="16"/>
  <c r="Q2629" i="16"/>
  <c r="Q2628" i="16"/>
  <c r="Q2627" i="16"/>
  <c r="L2633" i="16"/>
  <c r="L2627" i="16"/>
  <c r="L2628" i="16"/>
  <c r="L2629" i="16"/>
  <c r="L2630" i="16" s="1"/>
  <c r="L2631" i="16" s="1"/>
  <c r="L2632" i="16" s="1"/>
  <c r="L2634" i="16" s="1"/>
  <c r="L2635" i="16" s="1"/>
  <c r="L2636" i="16" s="1"/>
  <c r="Q2626" i="16"/>
  <c r="Q2625" i="16"/>
  <c r="Q2624" i="16"/>
  <c r="Q2623" i="16"/>
  <c r="Q2622" i="16"/>
  <c r="Q2621" i="16"/>
  <c r="Q2620" i="16"/>
  <c r="Q2619" i="16"/>
  <c r="Q2618" i="16"/>
  <c r="Q2617" i="16"/>
  <c r="Q2616" i="16"/>
  <c r="Q2615" i="16"/>
  <c r="L2615" i="16"/>
  <c r="L2616" i="16" s="1"/>
  <c r="L2617" i="16" s="1"/>
  <c r="L2618" i="16" s="1"/>
  <c r="L2619" i="16" s="1"/>
  <c r="L2620" i="16" s="1"/>
  <c r="L2621" i="16" s="1"/>
  <c r="L2622" i="16" s="1"/>
  <c r="L2623" i="16" s="1"/>
  <c r="L2624" i="16" s="1"/>
  <c r="Q2614" i="16"/>
  <c r="Q2613" i="16"/>
  <c r="Q2612" i="16"/>
  <c r="Q2611" i="16"/>
  <c r="Q2610" i="16"/>
  <c r="Q2609" i="16"/>
  <c r="Q2608" i="16"/>
  <c r="Q2607" i="16"/>
  <c r="Q2606" i="16"/>
  <c r="Q2605" i="16"/>
  <c r="Q2604" i="16"/>
  <c r="Q2603" i="16"/>
  <c r="Q2597" i="16"/>
  <c r="Q2596" i="16"/>
  <c r="Q2595" i="16"/>
  <c r="Q2594" i="16"/>
  <c r="Q2593" i="16"/>
  <c r="Q2592" i="16"/>
  <c r="Q2591" i="16"/>
  <c r="Q2590" i="16"/>
  <c r="Q2589" i="16"/>
  <c r="L2608" i="16"/>
  <c r="L2597" i="16"/>
  <c r="L2598" i="16" s="1"/>
  <c r="Q2588" i="16"/>
  <c r="Q2587" i="16"/>
  <c r="Q2586" i="16"/>
  <c r="Q2585" i="16"/>
  <c r="Q2584" i="16"/>
  <c r="Q2583" i="16"/>
  <c r="Q2582" i="16"/>
  <c r="Q2581" i="16"/>
  <c r="Q2580" i="16"/>
  <c r="Q2579" i="16"/>
  <c r="Q2578" i="16"/>
  <c r="Q2577" i="16"/>
  <c r="Q2576" i="16"/>
  <c r="Q2575" i="16"/>
  <c r="Q2574" i="16"/>
  <c r="Q2573" i="16"/>
  <c r="Q2572" i="16"/>
  <c r="Q2571" i="16"/>
  <c r="Q2570" i="16"/>
  <c r="Q2569" i="16"/>
  <c r="Q2568" i="16"/>
  <c r="Q2567" i="16"/>
  <c r="Q2566" i="16"/>
  <c r="Q2565" i="16"/>
  <c r="Q2564" i="16"/>
  <c r="Q2563" i="16"/>
  <c r="Q2562" i="16"/>
  <c r="Q2561" i="16"/>
  <c r="Q2560" i="16"/>
  <c r="Q2559" i="16"/>
  <c r="Q2558" i="16"/>
  <c r="Q2557" i="16"/>
  <c r="Q2556" i="16"/>
  <c r="Q2555" i="16"/>
  <c r="Q2554" i="16"/>
  <c r="Q2553" i="16"/>
  <c r="Q2552" i="16"/>
  <c r="Q2551" i="16"/>
  <c r="Q2550" i="16"/>
  <c r="Q2549" i="16"/>
  <c r="Q2548" i="16"/>
  <c r="Q2547" i="16"/>
  <c r="Q2546" i="16"/>
  <c r="Q2545" i="16"/>
  <c r="Q2544" i="16"/>
  <c r="Q2543" i="16"/>
  <c r="Q2542" i="16"/>
  <c r="Q2541" i="16"/>
  <c r="Q2540" i="16"/>
  <c r="Q2539" i="16"/>
  <c r="Q2538" i="16"/>
  <c r="Q2537" i="16"/>
  <c r="Q2536" i="16"/>
  <c r="Q2535" i="16"/>
  <c r="Q2534" i="16"/>
  <c r="Q2533" i="16"/>
  <c r="Q2532" i="16"/>
  <c r="Q2531" i="16"/>
  <c r="Q2530" i="16"/>
  <c r="Q2529" i="16"/>
  <c r="Q2528" i="16"/>
  <c r="Q2527" i="16"/>
  <c r="Q2526" i="16"/>
  <c r="Q2525" i="16"/>
  <c r="Q2524" i="16"/>
  <c r="Q2523" i="16"/>
  <c r="Q2522" i="16"/>
  <c r="Q2521" i="16"/>
  <c r="Q2520" i="16"/>
  <c r="Q2519" i="16"/>
  <c r="Q2518" i="16"/>
  <c r="Q2517" i="16"/>
  <c r="Q2516" i="16"/>
  <c r="Q2515" i="16"/>
  <c r="Q2514" i="16"/>
  <c r="Q2513" i="16"/>
  <c r="Q2512" i="16"/>
  <c r="Q2511" i="16"/>
  <c r="Q2510" i="16"/>
  <c r="Q2509" i="16"/>
  <c r="Q2508" i="16"/>
  <c r="Q2507" i="16"/>
  <c r="Q2506" i="16"/>
  <c r="Q2505" i="16"/>
  <c r="Q2504" i="16"/>
  <c r="Q2503" i="16"/>
  <c r="Q2502" i="16"/>
  <c r="Q2501" i="16"/>
  <c r="Q2500" i="16"/>
  <c r="Q2499" i="16"/>
  <c r="Q2498" i="16"/>
  <c r="Q2497" i="16"/>
  <c r="Q2496" i="16"/>
  <c r="L2496" i="16"/>
  <c r="L2484" i="16"/>
  <c r="Q2495" i="16"/>
  <c r="Q2494" i="16"/>
  <c r="Q2493" i="16"/>
  <c r="Q2492" i="16"/>
  <c r="Q2491" i="16"/>
  <c r="Q2490" i="16"/>
  <c r="Q2489" i="16"/>
  <c r="Q2488" i="16"/>
  <c r="Q2487" i="16"/>
  <c r="Q2486" i="16"/>
  <c r="Q2485" i="16"/>
  <c r="Q2484" i="16"/>
  <c r="Q2483" i="16"/>
  <c r="Q2482" i="16"/>
  <c r="Q2481" i="16"/>
  <c r="Q2480" i="16"/>
  <c r="Q2479" i="16"/>
  <c r="Q2478" i="16"/>
  <c r="Q2477" i="16"/>
  <c r="Q2476" i="16"/>
  <c r="Q2475" i="16"/>
  <c r="Q2474" i="16"/>
  <c r="Q2473" i="16"/>
  <c r="Q2472" i="16"/>
  <c r="Q2471" i="16"/>
  <c r="Q2470" i="16"/>
  <c r="Q2469" i="16"/>
  <c r="Q2468" i="16"/>
  <c r="Q2467" i="16"/>
  <c r="Q2466" i="16"/>
  <c r="Q2465" i="16"/>
  <c r="Q2464" i="16"/>
  <c r="Q2463" i="16"/>
  <c r="Q2462" i="16"/>
  <c r="Q2461" i="16"/>
  <c r="Q2460" i="16"/>
  <c r="Q2459" i="16"/>
  <c r="Q2458" i="16"/>
  <c r="Q2457" i="16"/>
  <c r="Q2456" i="16"/>
  <c r="Q2455" i="16"/>
  <c r="Q2454" i="16"/>
  <c r="Q2453" i="16"/>
  <c r="Q2452" i="16"/>
  <c r="Q2451" i="16"/>
  <c r="Q2450" i="16"/>
  <c r="Q2449" i="16"/>
  <c r="Q2448" i="16"/>
  <c r="Q2447" i="16"/>
  <c r="Q2446" i="16"/>
  <c r="Q2445" i="16"/>
  <c r="Q2444" i="16"/>
  <c r="Q2443" i="16"/>
  <c r="Q2442" i="16"/>
  <c r="Q2441" i="16"/>
  <c r="Q2440" i="16"/>
  <c r="Q2439" i="16"/>
  <c r="Q2438" i="16"/>
  <c r="Q2437" i="16"/>
  <c r="Q2436" i="16"/>
  <c r="Q2435" i="16"/>
  <c r="Q2434" i="16"/>
  <c r="Q2433" i="16"/>
  <c r="Q2432" i="16"/>
  <c r="Q2431" i="16"/>
  <c r="Q2430" i="16"/>
  <c r="Q2429" i="16"/>
  <c r="Q2428" i="16"/>
  <c r="Q2427" i="16"/>
  <c r="Q2426" i="16"/>
  <c r="Q2425" i="16"/>
  <c r="Q2424" i="16"/>
  <c r="L2435" i="16"/>
  <c r="L2114" i="16"/>
  <c r="L2308" i="16"/>
  <c r="L2423" i="16"/>
  <c r="L2425" i="16" s="1"/>
  <c r="Q2423" i="16"/>
  <c r="Q2422" i="16"/>
  <c r="Q2421" i="16"/>
  <c r="Q2420" i="16"/>
  <c r="Q2419" i="16"/>
  <c r="Q2418" i="16"/>
  <c r="Q2417" i="16"/>
  <c r="Q2416" i="16"/>
  <c r="Q2415" i="16"/>
  <c r="Q2414" i="16"/>
  <c r="Q2413" i="16"/>
  <c r="Q2412" i="16"/>
  <c r="Q2411" i="16"/>
  <c r="Q2410" i="16"/>
  <c r="Q2409" i="16"/>
  <c r="Q2408" i="16"/>
  <c r="Q2407" i="16"/>
  <c r="Q2406" i="16"/>
  <c r="L2417" i="16"/>
  <c r="Q2405" i="16"/>
  <c r="Q2404" i="16"/>
  <c r="Q2403" i="16"/>
  <c r="Q2402" i="16"/>
  <c r="Q2401" i="16"/>
  <c r="Q2400" i="16"/>
  <c r="Q2399" i="16"/>
  <c r="Q2398" i="16"/>
  <c r="Q2397" i="16"/>
  <c r="Q2396" i="16"/>
  <c r="Q2395" i="16"/>
  <c r="Q2394" i="16"/>
  <c r="R1735" i="16"/>
  <c r="R1736" i="16" s="1"/>
  <c r="R1737" i="16"/>
  <c r="R1738" i="16" s="1"/>
  <c r="R1739" i="16"/>
  <c r="R1740" i="16" s="1"/>
  <c r="R1741" i="16" s="1"/>
  <c r="R1742" i="16" s="1"/>
  <c r="R1743" i="16" s="1"/>
  <c r="R1744" i="16" s="1"/>
  <c r="R1745" i="16" s="1"/>
  <c r="R1746" i="16" s="1"/>
  <c r="R1747" i="16" s="1"/>
  <c r="R1748" i="16" s="1"/>
  <c r="R1749" i="16" s="1"/>
  <c r="R1750" i="16" s="1"/>
  <c r="R1751" i="16" s="1"/>
  <c r="R1752" i="16" s="1"/>
  <c r="R1753" i="16" s="1"/>
  <c r="R1754" i="16" s="1"/>
  <c r="R1755" i="16" s="1"/>
  <c r="R1756" i="16" s="1"/>
  <c r="R1757" i="16" s="1"/>
  <c r="R1758" i="16" s="1"/>
  <c r="R1759" i="16" s="1"/>
  <c r="R1760" i="16" s="1"/>
  <c r="R1761" i="16" s="1"/>
  <c r="R1762" i="16" s="1"/>
  <c r="R1763" i="16" s="1"/>
  <c r="R1764" i="16" s="1"/>
  <c r="R1765" i="16" s="1"/>
  <c r="R1766" i="16" s="1"/>
  <c r="R1767" i="16" s="1"/>
  <c r="R1768" i="16" s="1"/>
  <c r="R1769" i="16" s="1"/>
  <c r="R1770" i="16" s="1"/>
  <c r="R1771" i="16" s="1"/>
  <c r="R1772" i="16" s="1"/>
  <c r="R1773" i="16" s="1"/>
  <c r="R1774" i="16" s="1"/>
  <c r="R1775" i="16" s="1"/>
  <c r="R1776" i="16" s="1"/>
  <c r="R1777" i="16" s="1"/>
  <c r="R1778" i="16" s="1"/>
  <c r="R1779" i="16" s="1"/>
  <c r="R1780" i="16" s="1"/>
  <c r="R1781" i="16" s="1"/>
  <c r="R1782" i="16" s="1"/>
  <c r="R1783" i="16" s="1"/>
  <c r="R1784" i="16" s="1"/>
  <c r="R1785" i="16" s="1"/>
  <c r="R1786" i="16" s="1"/>
  <c r="R1787" i="16" s="1"/>
  <c r="R1788" i="16" s="1"/>
  <c r="R1789" i="16" s="1"/>
  <c r="R1790" i="16" s="1"/>
  <c r="R1791" i="16" s="1"/>
  <c r="R1792" i="16" s="1"/>
  <c r="R1793" i="16" s="1"/>
  <c r="R1794" i="16" s="1"/>
  <c r="R1795" i="16" s="1"/>
  <c r="R1796" i="16" s="1"/>
  <c r="R1797" i="16" s="1"/>
  <c r="R1798" i="16" s="1"/>
  <c r="R1799" i="16" s="1"/>
  <c r="R1800" i="16" s="1"/>
  <c r="R1801" i="16" s="1"/>
  <c r="R1802" i="16" s="1"/>
  <c r="R1803" i="16" s="1"/>
  <c r="R1804" i="16" s="1"/>
  <c r="R1805" i="16" s="1"/>
  <c r="R1806" i="16" s="1"/>
  <c r="R1807" i="16" s="1"/>
  <c r="R1808" i="16" s="1"/>
  <c r="R1809" i="16" s="1"/>
  <c r="R1810" i="16" s="1"/>
  <c r="R1811" i="16" s="1"/>
  <c r="R1812" i="16" s="1"/>
  <c r="R1813" i="16" s="1"/>
  <c r="R1814" i="16" s="1"/>
  <c r="R1815" i="16" s="1"/>
  <c r="R1816" i="16" s="1"/>
  <c r="R1817" i="16" s="1"/>
  <c r="R1818" i="16" s="1"/>
  <c r="R1819" i="16" s="1"/>
  <c r="R1820" i="16" s="1"/>
  <c r="R1821" i="16" s="1"/>
  <c r="R1822" i="16" s="1"/>
  <c r="R1823" i="16" s="1"/>
  <c r="R1824" i="16" s="1"/>
  <c r="R1825" i="16" s="1"/>
  <c r="R1826" i="16" s="1"/>
  <c r="R1827" i="16" s="1"/>
  <c r="R1828" i="16" s="1"/>
  <c r="R1829" i="16" s="1"/>
  <c r="R1830" i="16" s="1"/>
  <c r="R1855" i="16"/>
  <c r="R1856" i="16" s="1"/>
  <c r="R1857" i="16" s="1"/>
  <c r="R1858" i="16" s="1"/>
  <c r="R1859" i="16" s="1"/>
  <c r="R1860" i="16" s="1"/>
  <c r="R1861" i="16" s="1"/>
  <c r="R1862" i="16" s="1"/>
  <c r="R1863" i="16" s="1"/>
  <c r="R1864" i="16" s="1"/>
  <c r="R1865" i="16" s="1"/>
  <c r="R1866" i="16" s="1"/>
  <c r="R1867" i="16" s="1"/>
  <c r="R1868" i="16" s="1"/>
  <c r="R1869" i="16" s="1"/>
  <c r="R1870" i="16" s="1"/>
  <c r="R1871" i="16" s="1"/>
  <c r="R1872" i="16" s="1"/>
  <c r="R1873" i="16" s="1"/>
  <c r="R1874" i="16" s="1"/>
  <c r="R1875" i="16" s="1"/>
  <c r="R1876" i="16" s="1"/>
  <c r="R1877" i="16" s="1"/>
  <c r="R1878" i="16" s="1"/>
  <c r="R1879" i="16" s="1"/>
  <c r="R1880" i="16" s="1"/>
  <c r="R1881" i="16" s="1"/>
  <c r="R1882" i="16" s="1"/>
  <c r="R1883" i="16" s="1"/>
  <c r="R1884" i="16" s="1"/>
  <c r="R1885" i="16" s="1"/>
  <c r="R1886" i="16" s="1"/>
  <c r="R1887" i="16" s="1"/>
  <c r="R1888" i="16" s="1"/>
  <c r="R1889" i="16" s="1"/>
  <c r="R1890" i="16" s="1"/>
  <c r="R1891" i="16" s="1"/>
  <c r="R1892" i="16" s="1"/>
  <c r="R1893" i="16" s="1"/>
  <c r="R1894" i="16" s="1"/>
  <c r="R1895" i="16" s="1"/>
  <c r="R1896" i="16" s="1"/>
  <c r="R1897" i="16" s="1"/>
  <c r="R1898" i="16" s="1"/>
  <c r="R1899" i="16" s="1"/>
  <c r="R1900" i="16" s="1"/>
  <c r="R1901" i="16" s="1"/>
  <c r="R1902" i="16" s="1"/>
  <c r="L2411" i="16"/>
  <c r="Q2393" i="16"/>
  <c r="Q2392" i="16"/>
  <c r="Q2391" i="16"/>
  <c r="Q2390" i="16"/>
  <c r="Q2389" i="16"/>
  <c r="Q2388" i="16"/>
  <c r="Q2387" i="16"/>
  <c r="Q2386" i="16"/>
  <c r="Q2385" i="16"/>
  <c r="Q2384" i="16"/>
  <c r="Q2383" i="16"/>
  <c r="Q2382" i="16"/>
  <c r="Q2381" i="16"/>
  <c r="Q2380" i="16"/>
  <c r="Q2379" i="16"/>
  <c r="Q2378" i="16"/>
  <c r="Q2377" i="16"/>
  <c r="Q2376" i="16"/>
  <c r="Q2375" i="16"/>
  <c r="Q2374" i="16"/>
  <c r="Q2373" i="16"/>
  <c r="Q2372" i="16"/>
  <c r="Q2371" i="16"/>
  <c r="Q2370" i="16"/>
  <c r="R2119" i="16"/>
  <c r="R2120" i="16"/>
  <c r="R2121" i="16"/>
  <c r="R2122" i="16"/>
  <c r="R2123" i="16" s="1"/>
  <c r="R2124" i="16"/>
  <c r="R2125" i="16" s="1"/>
  <c r="R2126" i="16"/>
  <c r="R2127" i="16" s="1"/>
  <c r="R2128" i="16" s="1"/>
  <c r="R2129" i="16" s="1"/>
  <c r="R2130" i="16" s="1"/>
  <c r="R2131" i="16" s="1"/>
  <c r="R2132" i="16" s="1"/>
  <c r="R2133" i="16" s="1"/>
  <c r="R2134" i="16" s="1"/>
  <c r="R2135" i="16" s="1"/>
  <c r="R2136" i="16" s="1"/>
  <c r="R2137" i="16" s="1"/>
  <c r="R2138" i="16" s="1"/>
  <c r="R2139" i="16" s="1"/>
  <c r="R2140" i="16" s="1"/>
  <c r="R2141" i="16" s="1"/>
  <c r="R2142" i="16" s="1"/>
  <c r="R2143" i="16" s="1"/>
  <c r="R2144" i="16" s="1"/>
  <c r="R2145" i="16" s="1"/>
  <c r="R2146" i="16" s="1"/>
  <c r="R2147" i="16" s="1"/>
  <c r="R2148" i="16" s="1"/>
  <c r="R2149" i="16" s="1"/>
  <c r="R2150" i="16" s="1"/>
  <c r="R2151" i="16" s="1"/>
  <c r="R2152" i="16" s="1"/>
  <c r="R2153" i="16" s="1"/>
  <c r="R2154" i="16" s="1"/>
  <c r="R2155" i="16" s="1"/>
  <c r="R2156" i="16" s="1"/>
  <c r="R2157" i="16" s="1"/>
  <c r="R2158" i="16" s="1"/>
  <c r="R2159" i="16" s="1"/>
  <c r="R2160" i="16" s="1"/>
  <c r="R2161" i="16" s="1"/>
  <c r="R2162" i="16" s="1"/>
  <c r="R2163" i="16" s="1"/>
  <c r="R2164" i="16" s="1"/>
  <c r="R2165" i="16" s="1"/>
  <c r="R2166" i="16" s="1"/>
  <c r="R2167" i="16" s="1"/>
  <c r="R2168" i="16" s="1"/>
  <c r="R2169" i="16" s="1"/>
  <c r="R2170" i="16" s="1"/>
  <c r="R2171" i="16" s="1"/>
  <c r="R2172" i="16" s="1"/>
  <c r="R2173" i="16" s="1"/>
  <c r="R2174" i="16" s="1"/>
  <c r="R2175" i="16" s="1"/>
  <c r="R2176" i="16" s="1"/>
  <c r="R2177" i="16" s="1"/>
  <c r="R2178" i="16" s="1"/>
  <c r="R2179" i="16" s="1"/>
  <c r="R2180" i="16" s="1"/>
  <c r="R2181" i="16" s="1"/>
  <c r="R2182" i="16" s="1"/>
  <c r="R2183" i="16" s="1"/>
  <c r="R2184" i="16" s="1"/>
  <c r="R2185" i="16" s="1"/>
  <c r="R2186" i="16" s="1"/>
  <c r="R2187" i="16" s="1"/>
  <c r="R2188" i="16" s="1"/>
  <c r="R2189" i="16" s="1"/>
  <c r="R2190" i="16" s="1"/>
  <c r="R2191" i="16" s="1"/>
  <c r="R2192" i="16" s="1"/>
  <c r="R2193" i="16" s="1"/>
  <c r="R2194" i="16" s="1"/>
  <c r="R2195" i="16" s="1"/>
  <c r="R2196" i="16" s="1"/>
  <c r="R2197" i="16" s="1"/>
  <c r="R2198" i="16" s="1"/>
  <c r="R2199" i="16" s="1"/>
  <c r="R2200" i="16" s="1"/>
  <c r="R2201" i="16" s="1"/>
  <c r="R2202" i="16" s="1"/>
  <c r="L2394" i="16"/>
  <c r="L2396" i="16" s="1"/>
  <c r="L2398" i="16" s="1"/>
  <c r="L2401" i="16" s="1"/>
  <c r="L2382" i="16"/>
  <c r="L2395" i="16"/>
  <c r="Q2369" i="16"/>
  <c r="Q2368" i="16"/>
  <c r="Q2367" i="16"/>
  <c r="Q2366" i="16"/>
  <c r="Q2365" i="16"/>
  <c r="Q2364" i="16"/>
  <c r="Q2363" i="16"/>
  <c r="Q2362" i="16"/>
  <c r="Q2361" i="16"/>
  <c r="Q2360" i="16"/>
  <c r="Q2359" i="16"/>
  <c r="Q2358" i="16"/>
  <c r="L2393" i="16"/>
  <c r="Q2357" i="16"/>
  <c r="Q2356" i="16"/>
  <c r="Q2355" i="16"/>
  <c r="Q2354" i="16"/>
  <c r="Q2353" i="16"/>
  <c r="Q2352" i="16"/>
  <c r="Q2351" i="16"/>
  <c r="Q2350" i="16"/>
  <c r="Q2349" i="16"/>
  <c r="Q2348" i="16"/>
  <c r="Q2347" i="16"/>
  <c r="Q2346" i="16"/>
  <c r="Q2345" i="16"/>
  <c r="Q2344" i="16"/>
  <c r="Q2343" i="16"/>
  <c r="Q2342" i="16"/>
  <c r="Q2341" i="16"/>
  <c r="Q2340" i="16"/>
  <c r="Q2339" i="16"/>
  <c r="Q2338" i="16"/>
  <c r="Q2337" i="16"/>
  <c r="Q2336" i="16"/>
  <c r="Q2335" i="16"/>
  <c r="Q2334" i="16"/>
  <c r="L2381" i="16"/>
  <c r="Q2333" i="16"/>
  <c r="Q2332" i="16"/>
  <c r="Q2331" i="16"/>
  <c r="Q2330" i="16"/>
  <c r="Q2329" i="16"/>
  <c r="Q2328" i="16"/>
  <c r="Q2327" i="16"/>
  <c r="Q2326" i="16"/>
  <c r="Q2325" i="16"/>
  <c r="Q2324" i="16"/>
  <c r="Q2323" i="16"/>
  <c r="Q2322" i="16"/>
  <c r="Q2321" i="16"/>
  <c r="Q2320" i="16"/>
  <c r="Q2319" i="16"/>
  <c r="Q2318" i="16"/>
  <c r="Q2317" i="16"/>
  <c r="Q2316" i="16"/>
  <c r="Q2315" i="16"/>
  <c r="Q2314" i="16"/>
  <c r="Q2313" i="16"/>
  <c r="L2339" i="16"/>
  <c r="L2319" i="16"/>
  <c r="Q2308" i="16"/>
  <c r="Q2307" i="16"/>
  <c r="Q2306" i="16"/>
  <c r="Q2305" i="16"/>
  <c r="Q2304" i="16"/>
  <c r="Q2303" i="16"/>
  <c r="Q2302" i="16"/>
  <c r="Q2301" i="16"/>
  <c r="Q2300" i="16"/>
  <c r="Q2299" i="16"/>
  <c r="R2023" i="16"/>
  <c r="R2024" i="16"/>
  <c r="R2025" i="16"/>
  <c r="R2026" i="16" s="1"/>
  <c r="R2027" i="16" s="1"/>
  <c r="R2028" i="16" s="1"/>
  <c r="R2029" i="16" s="1"/>
  <c r="R2030" i="16" s="1"/>
  <c r="R2031" i="16" s="1"/>
  <c r="R2032" i="16" s="1"/>
  <c r="R2033" i="16" s="1"/>
  <c r="R2034" i="16" s="1"/>
  <c r="R2035" i="16" s="1"/>
  <c r="R2036" i="16" s="1"/>
  <c r="R2037" i="16" s="1"/>
  <c r="R2038" i="16" s="1"/>
  <c r="R2039" i="16" s="1"/>
  <c r="R2040" i="16" s="1"/>
  <c r="R2041" i="16" s="1"/>
  <c r="R2042" i="16" s="1"/>
  <c r="R2043" i="16" s="1"/>
  <c r="R2044" i="16" s="1"/>
  <c r="R2045" i="16" s="1"/>
  <c r="R2046" i="16" s="1"/>
  <c r="R2047" i="16" s="1"/>
  <c r="R2048" i="16" s="1"/>
  <c r="R2049" i="16" s="1"/>
  <c r="R2050" i="16" s="1"/>
  <c r="R2051" i="16" s="1"/>
  <c r="R2052" i="16" s="1"/>
  <c r="R2053" i="16" s="1"/>
  <c r="R2054" i="16" s="1"/>
  <c r="R2055" i="16" s="1"/>
  <c r="R2056" i="16" s="1"/>
  <c r="R2057" i="16" s="1"/>
  <c r="R2058" i="16" s="1"/>
  <c r="R2059" i="16" s="1"/>
  <c r="R2060" i="16" s="1"/>
  <c r="R2061" i="16" s="1"/>
  <c r="R2062" i="16" s="1"/>
  <c r="R2063" i="16" s="1"/>
  <c r="R2064" i="16" s="1"/>
  <c r="R2065" i="16" s="1"/>
  <c r="R2066" i="16" s="1"/>
  <c r="R2067" i="16" s="1"/>
  <c r="R2068" i="16" s="1"/>
  <c r="R2069" i="16" s="1"/>
  <c r="R2070" i="16" s="1"/>
  <c r="R2071" i="16" s="1"/>
  <c r="R2072" i="16" s="1"/>
  <c r="R2073" i="16" s="1"/>
  <c r="R2074" i="16" s="1"/>
  <c r="R2075" i="16" s="1"/>
  <c r="R2076" i="16" s="1"/>
  <c r="R2077" i="16" s="1"/>
  <c r="R2078" i="16" s="1"/>
  <c r="R2079" i="16" s="1"/>
  <c r="R2080" i="16" s="1"/>
  <c r="R2081" i="16" s="1"/>
  <c r="R2082" i="16" s="1"/>
  <c r="R2083" i="16" s="1"/>
  <c r="R2084" i="16" s="1"/>
  <c r="R2085" i="16" s="1"/>
  <c r="R2086" i="16" s="1"/>
  <c r="R2087" i="16" s="1"/>
  <c r="R2088" i="16" s="1"/>
  <c r="R2089" i="16" s="1"/>
  <c r="R2090" i="16" s="1"/>
  <c r="R2091" i="16" s="1"/>
  <c r="R2092" i="16" s="1"/>
  <c r="R2093" i="16" s="1"/>
  <c r="R2094" i="16" s="1"/>
  <c r="R2095" i="16" s="1"/>
  <c r="R2096" i="16" s="1"/>
  <c r="R2097" i="16" s="1"/>
  <c r="R2098" i="16" s="1"/>
  <c r="R2099" i="16" s="1"/>
  <c r="R2100" i="16" s="1"/>
  <c r="R2101" i="16" s="1"/>
  <c r="R2102" i="16" s="1"/>
  <c r="R2103" i="16" s="1"/>
  <c r="R2104" i="16" s="1"/>
  <c r="R2105" i="16" s="1"/>
  <c r="R2106" i="16" s="1"/>
  <c r="Q2298" i="16"/>
  <c r="Q2297" i="16"/>
  <c r="Q2296" i="16"/>
  <c r="Q2295" i="16"/>
  <c r="Q2294" i="16"/>
  <c r="Q2293" i="16"/>
  <c r="Q2292" i="16"/>
  <c r="Q2291" i="16"/>
  <c r="Q2290" i="16"/>
  <c r="Q2289" i="16"/>
  <c r="Q2288" i="16"/>
  <c r="Q2287" i="16"/>
  <c r="Q2286" i="16"/>
  <c r="Q2285" i="16"/>
  <c r="Q2284" i="16"/>
  <c r="Q2283" i="16"/>
  <c r="Q2282" i="16"/>
  <c r="Q2281" i="16"/>
  <c r="Q2280" i="16"/>
  <c r="Q2279" i="16"/>
  <c r="Q2278" i="16"/>
  <c r="Q2277" i="16"/>
  <c r="Q2276" i="16"/>
  <c r="Q2275" i="16"/>
  <c r="R1702" i="16"/>
  <c r="R1703" i="16"/>
  <c r="R1704" i="16"/>
  <c r="R1705" i="16" s="1"/>
  <c r="R1706" i="16" s="1"/>
  <c r="R1707" i="16" s="1"/>
  <c r="R1708" i="16" s="1"/>
  <c r="R1709" i="16" s="1"/>
  <c r="R1710" i="16" s="1"/>
  <c r="R1711" i="16" s="1"/>
  <c r="R1712" i="16" s="1"/>
  <c r="R1713" i="16" s="1"/>
  <c r="Q2274" i="16"/>
  <c r="Q2273" i="16"/>
  <c r="Q2272" i="16"/>
  <c r="Q2271" i="16"/>
  <c r="Q2270" i="16"/>
  <c r="Q2269" i="16"/>
  <c r="Q2268" i="16"/>
  <c r="Q2267" i="16"/>
  <c r="Q2266" i="16"/>
  <c r="Q2265" i="16"/>
  <c r="Q2264" i="16"/>
  <c r="Q2263" i="16"/>
  <c r="Q2262" i="16"/>
  <c r="Q2261" i="16"/>
  <c r="Q2260" i="16"/>
  <c r="Q2259" i="16"/>
  <c r="Q2258" i="16"/>
  <c r="Q2257" i="16"/>
  <c r="Q2256" i="16"/>
  <c r="Q2255" i="16"/>
  <c r="Q2254" i="16"/>
  <c r="Q2253" i="16"/>
  <c r="Q2252" i="16"/>
  <c r="Q2251" i="16"/>
  <c r="Q2250" i="16"/>
  <c r="Q2249" i="16"/>
  <c r="Q2248" i="16"/>
  <c r="Q2247" i="16"/>
  <c r="Q2246" i="16"/>
  <c r="Q2245" i="16"/>
  <c r="L2250" i="16"/>
  <c r="Q2244" i="16"/>
  <c r="Q2243" i="16"/>
  <c r="Q2242" i="16"/>
  <c r="Q2241" i="16"/>
  <c r="Q2240" i="16"/>
  <c r="Q2239" i="16"/>
  <c r="L2244" i="16"/>
  <c r="Q2238" i="16"/>
  <c r="Q2237" i="16"/>
  <c r="Q2236" i="16"/>
  <c r="Q2235" i="16"/>
  <c r="Q2234" i="16"/>
  <c r="Q2233" i="16"/>
  <c r="Q2232" i="16"/>
  <c r="Q2231" i="16"/>
  <c r="Q2230" i="16"/>
  <c r="Q2229" i="16"/>
  <c r="Q2228" i="16"/>
  <c r="Q2227" i="16"/>
  <c r="L2238" i="16"/>
  <c r="Q2226" i="16"/>
  <c r="Q2225" i="16"/>
  <c r="Q2224" i="16"/>
  <c r="Q2223" i="16"/>
  <c r="Q2222" i="16"/>
  <c r="Q2221" i="16"/>
  <c r="Q2220" i="16"/>
  <c r="Q2219" i="16"/>
  <c r="Q2218" i="16"/>
  <c r="Q2217" i="16"/>
  <c r="Q2216" i="16"/>
  <c r="Q2215" i="16"/>
  <c r="Q2214" i="16"/>
  <c r="Q2213" i="16"/>
  <c r="Q2212" i="16"/>
  <c r="Q2211" i="16"/>
  <c r="Q2210" i="16"/>
  <c r="Q2209" i="16"/>
  <c r="Q2208" i="16"/>
  <c r="Q2207" i="16"/>
  <c r="Q2206" i="16"/>
  <c r="Q2205" i="16"/>
  <c r="Q2204" i="16"/>
  <c r="Q2203" i="16"/>
  <c r="L2226" i="16"/>
  <c r="Q2202" i="16"/>
  <c r="Q2201" i="16"/>
  <c r="Q2200" i="16"/>
  <c r="Q2199" i="16"/>
  <c r="Q2198" i="16"/>
  <c r="Q2197" i="16"/>
  <c r="Q2196" i="16"/>
  <c r="Q2195" i="16"/>
  <c r="Q2194" i="16"/>
  <c r="Q2193" i="16"/>
  <c r="Q2192" i="16"/>
  <c r="Q2191" i="16"/>
  <c r="L2202" i="16"/>
  <c r="Q2190" i="16"/>
  <c r="Q2189" i="16"/>
  <c r="Q2188" i="16"/>
  <c r="Q2187" i="16"/>
  <c r="Q2186" i="16"/>
  <c r="Q2185" i="16"/>
  <c r="Q2184" i="16"/>
  <c r="Q2183" i="16"/>
  <c r="Q2182" i="16"/>
  <c r="Q2181" i="16"/>
  <c r="Q2180" i="16"/>
  <c r="Q2179" i="16"/>
  <c r="Q2178" i="16"/>
  <c r="Q2177" i="16"/>
  <c r="Q2176" i="16"/>
  <c r="Q2175" i="16"/>
  <c r="Q2174" i="16"/>
  <c r="Q2173" i="16"/>
  <c r="Q2172" i="16"/>
  <c r="Q2171" i="16"/>
  <c r="Q2170" i="16"/>
  <c r="Q2169" i="16"/>
  <c r="Q2168" i="16"/>
  <c r="Q2167" i="16"/>
  <c r="Q2166" i="16"/>
  <c r="Q2165" i="16"/>
  <c r="Q2164" i="16"/>
  <c r="Q2163" i="16"/>
  <c r="Q2162" i="16"/>
  <c r="Q2161" i="16"/>
  <c r="L2190" i="16"/>
  <c r="Q2160" i="16"/>
  <c r="Q2159" i="16"/>
  <c r="Q2158" i="16"/>
  <c r="Q2157" i="16"/>
  <c r="Q2156" i="16"/>
  <c r="Q2155" i="16"/>
  <c r="L2160" i="16"/>
  <c r="Q2154" i="16"/>
  <c r="Q2153" i="16"/>
  <c r="Q2152" i="16"/>
  <c r="Q2151" i="16"/>
  <c r="Q2150" i="16"/>
  <c r="Q2149" i="16"/>
  <c r="L2154" i="16"/>
  <c r="Q2148" i="16"/>
  <c r="Q2147" i="16"/>
  <c r="Q2146" i="16"/>
  <c r="Q2145" i="16"/>
  <c r="Q2144" i="16"/>
  <c r="Q2143" i="16"/>
  <c r="L2148" i="16"/>
  <c r="Q2142" i="16"/>
  <c r="Q2141" i="16"/>
  <c r="Q2140" i="16"/>
  <c r="Q2139" i="16"/>
  <c r="Q2138" i="16"/>
  <c r="Q2137" i="16"/>
  <c r="Q2136" i="16"/>
  <c r="Q2135" i="16"/>
  <c r="Q2134" i="16"/>
  <c r="Q2133" i="16"/>
  <c r="Q2132" i="16"/>
  <c r="Q2131" i="16"/>
  <c r="L2142" i="16"/>
  <c r="Q2130" i="16"/>
  <c r="Q2129" i="16"/>
  <c r="Q2128" i="16"/>
  <c r="Q2127" i="16"/>
  <c r="Q2126" i="16"/>
  <c r="Q2125" i="16"/>
  <c r="Q2124" i="16"/>
  <c r="Q2123" i="16"/>
  <c r="Q2122" i="16"/>
  <c r="Q2121" i="16"/>
  <c r="Q2120" i="16"/>
  <c r="Q2119" i="16"/>
  <c r="Q2118" i="16"/>
  <c r="Q2117" i="16"/>
  <c r="Q2116" i="16"/>
  <c r="Q2115" i="16"/>
  <c r="Q2114" i="16"/>
  <c r="Q2113" i="16"/>
  <c r="Q2112" i="16"/>
  <c r="Q2111" i="16"/>
  <c r="Q2110" i="16"/>
  <c r="Q2109" i="16"/>
  <c r="Q2108" i="16"/>
  <c r="Q2107" i="16"/>
  <c r="L2130" i="16"/>
  <c r="Q2106" i="16"/>
  <c r="Q2105" i="16"/>
  <c r="Q2104" i="16"/>
  <c r="Q2103" i="16"/>
  <c r="Q2102" i="16"/>
  <c r="Q2101" i="16"/>
  <c r="Q2100" i="16"/>
  <c r="Q2099" i="16"/>
  <c r="Q2098" i="16"/>
  <c r="Q2097" i="16"/>
  <c r="Q2096" i="16"/>
  <c r="Q2095" i="16"/>
  <c r="L2106" i="16"/>
  <c r="Q2094" i="16"/>
  <c r="Q2093" i="16"/>
  <c r="Q2092" i="16"/>
  <c r="Q2091" i="16"/>
  <c r="Q2090" i="16"/>
  <c r="Q2089" i="16"/>
  <c r="Q2088" i="16"/>
  <c r="Q2087" i="16"/>
  <c r="Q2086" i="16"/>
  <c r="Q2085" i="16"/>
  <c r="Q2084" i="16"/>
  <c r="Q2083" i="16"/>
  <c r="L2094" i="16"/>
  <c r="Q2082" i="16"/>
  <c r="Q2081" i="16"/>
  <c r="Q2080" i="16"/>
  <c r="Q2079" i="16"/>
  <c r="Q2078" i="16"/>
  <c r="Q2077" i="16"/>
  <c r="Q2076" i="16"/>
  <c r="Q2075" i="16"/>
  <c r="Q2074" i="16"/>
  <c r="Q2073" i="16"/>
  <c r="Q2072" i="16"/>
  <c r="Q2071" i="16"/>
  <c r="Q2070" i="16"/>
  <c r="Q2069" i="16"/>
  <c r="Q2068" i="16"/>
  <c r="Q2067" i="16"/>
  <c r="Q2066" i="16"/>
  <c r="Q2065" i="16"/>
  <c r="Q2064" i="16"/>
  <c r="Q2063" i="16"/>
  <c r="Q2062" i="16"/>
  <c r="Q2061" i="16"/>
  <c r="Q2060" i="16"/>
  <c r="Q2059" i="16"/>
  <c r="Q2058" i="16"/>
  <c r="Q2057" i="16"/>
  <c r="Q2056" i="16"/>
  <c r="Q2055" i="16"/>
  <c r="Q2054" i="16"/>
  <c r="Q2053" i="16"/>
  <c r="L2082" i="16"/>
  <c r="Q2052" i="16"/>
  <c r="Q2051" i="16"/>
  <c r="Q2050" i="16"/>
  <c r="Q2049" i="16"/>
  <c r="Q2048" i="16"/>
  <c r="Q2047" i="16"/>
  <c r="L2052" i="16"/>
  <c r="Q2046" i="16"/>
  <c r="Q2045" i="16"/>
  <c r="Q2044" i="16"/>
  <c r="Q2043" i="16"/>
  <c r="Q2042" i="16"/>
  <c r="Q2041" i="16"/>
  <c r="L2046" i="16"/>
  <c r="Q2040" i="16"/>
  <c r="Q2039" i="16"/>
  <c r="Q2038" i="16"/>
  <c r="Q2037" i="16"/>
  <c r="Q2036" i="16"/>
  <c r="Q2035" i="16"/>
  <c r="L2040" i="16"/>
  <c r="Q2034" i="16"/>
  <c r="Q2033" i="16"/>
  <c r="Q2032" i="16"/>
  <c r="Q2031" i="16"/>
  <c r="Q2030" i="16"/>
  <c r="Q2029" i="16"/>
  <c r="L2034" i="16"/>
  <c r="Q2028" i="16"/>
  <c r="Q2027" i="16"/>
  <c r="Q2026" i="16"/>
  <c r="Q2025" i="16"/>
  <c r="Q2024" i="16"/>
  <c r="Q2023" i="16"/>
  <c r="L2028" i="16"/>
  <c r="Q2022" i="16"/>
  <c r="Q2021" i="16"/>
  <c r="Q2020" i="16"/>
  <c r="L2022" i="16"/>
  <c r="L2010" i="16"/>
  <c r="Q1998" i="16"/>
  <c r="Q1997" i="16"/>
  <c r="Q1996" i="16"/>
  <c r="Q1995" i="16"/>
  <c r="Q1994" i="16"/>
  <c r="Q1993" i="16"/>
  <c r="Q1992" i="16"/>
  <c r="Q1991" i="16"/>
  <c r="Q1990" i="16"/>
  <c r="Q1989" i="16"/>
  <c r="Q1988" i="16"/>
  <c r="Q1987" i="16"/>
  <c r="Q1986" i="16"/>
  <c r="Q1985" i="16"/>
  <c r="Q1984" i="16"/>
  <c r="Q1983" i="16"/>
  <c r="Q1982" i="16"/>
  <c r="Q1981" i="16"/>
  <c r="Q1980" i="16"/>
  <c r="Q1979" i="16"/>
  <c r="Q1978" i="16"/>
  <c r="Q1977" i="16"/>
  <c r="Q1976" i="16"/>
  <c r="Q1975" i="16"/>
  <c r="Q1974" i="16"/>
  <c r="Q1973" i="16"/>
  <c r="Q1972" i="16"/>
  <c r="Q1971" i="16"/>
  <c r="Q1970" i="16"/>
  <c r="Q1969" i="16"/>
  <c r="Q1968" i="16"/>
  <c r="Q1967" i="16"/>
  <c r="Q1966" i="16"/>
  <c r="Q1965" i="16"/>
  <c r="Q1964" i="16"/>
  <c r="Q1963" i="16"/>
  <c r="X1859" i="16"/>
  <c r="R1927" i="16"/>
  <c r="R1928" i="16" s="1"/>
  <c r="R1929" i="16"/>
  <c r="R1930" i="16" s="1"/>
  <c r="R1931" i="16" s="1"/>
  <c r="R1932" i="16" s="1"/>
  <c r="R1933" i="16" s="1"/>
  <c r="R1934" i="16" s="1"/>
  <c r="R1935" i="16" s="1"/>
  <c r="R1936" i="16" s="1"/>
  <c r="R1937" i="16" s="1"/>
  <c r="R1938" i="16" s="1"/>
  <c r="Q1962" i="16"/>
  <c r="Q1961" i="16"/>
  <c r="Q1960" i="16"/>
  <c r="Q1959" i="16"/>
  <c r="Q1958" i="16"/>
  <c r="Q1957" i="16"/>
  <c r="Q1956" i="16"/>
  <c r="Q1955" i="16"/>
  <c r="Q1954" i="16"/>
  <c r="Q1953" i="16"/>
  <c r="Q1952" i="16"/>
  <c r="Q1951" i="16"/>
  <c r="Q1950" i="16"/>
  <c r="Q1949" i="16"/>
  <c r="Q1948" i="16"/>
  <c r="Q1947" i="16"/>
  <c r="Q1946" i="16"/>
  <c r="Q1945" i="16"/>
  <c r="Q1944" i="16"/>
  <c r="Q1943" i="16"/>
  <c r="Q1942" i="16"/>
  <c r="Q1941" i="16"/>
  <c r="Q1940" i="16"/>
  <c r="Q1939" i="16"/>
  <c r="Q1938" i="16"/>
  <c r="Q1937" i="16"/>
  <c r="Q1936" i="16"/>
  <c r="Q1935" i="16"/>
  <c r="Q1934" i="16"/>
  <c r="Q1933" i="16"/>
  <c r="Q1932" i="16"/>
  <c r="Q1931" i="16"/>
  <c r="Q1930" i="16"/>
  <c r="Q1929" i="16"/>
  <c r="Q1928" i="16"/>
  <c r="Q1927" i="16"/>
  <c r="R1915" i="16"/>
  <c r="R1916" i="16"/>
  <c r="R1917" i="16"/>
  <c r="R1918" i="16" s="1"/>
  <c r="R1919" i="16" s="1"/>
  <c r="R1920" i="16" s="1"/>
  <c r="R1921" i="16" s="1"/>
  <c r="R1922" i="16" s="1"/>
  <c r="R1923" i="16" s="1"/>
  <c r="R1924" i="16" s="1"/>
  <c r="R1925" i="16" s="1"/>
  <c r="R1926" i="16" s="1"/>
  <c r="Z1857" i="16"/>
  <c r="Z1856" i="16"/>
  <c r="X1858" i="16"/>
  <c r="Q1926" i="16"/>
  <c r="Q1925" i="16"/>
  <c r="Q1924" i="16"/>
  <c r="Q1923" i="16"/>
  <c r="Q1922" i="16"/>
  <c r="Q1921" i="16"/>
  <c r="X1857" i="16"/>
  <c r="X1856" i="16"/>
  <c r="X1855" i="16"/>
  <c r="Q1920" i="16"/>
  <c r="Q1919" i="16"/>
  <c r="Q1918" i="16"/>
  <c r="Q1917" i="16"/>
  <c r="Q1916" i="16"/>
  <c r="Q1915" i="16"/>
  <c r="Q1904" i="16"/>
  <c r="Q1903" i="16"/>
  <c r="R1843" i="16"/>
  <c r="R1844" i="16"/>
  <c r="R1845" i="16" s="1"/>
  <c r="R1846" i="16" s="1"/>
  <c r="R1847" i="16" s="1"/>
  <c r="R1848" i="16" s="1"/>
  <c r="R1849" i="16" s="1"/>
  <c r="R1850" i="16" s="1"/>
  <c r="R1851" i="16" s="1"/>
  <c r="R1852" i="16" s="1"/>
  <c r="R1853" i="16" s="1"/>
  <c r="R1854" i="16" s="1"/>
  <c r="R1831" i="16"/>
  <c r="R1832" i="16" s="1"/>
  <c r="R1833" i="16" s="1"/>
  <c r="R1834" i="16" s="1"/>
  <c r="R1835" i="16" s="1"/>
  <c r="R1836" i="16" s="1"/>
  <c r="R1837" i="16" s="1"/>
  <c r="R1838" i="16" s="1"/>
  <c r="R1839" i="16" s="1"/>
  <c r="R1840" i="16" s="1"/>
  <c r="R1841" i="16" s="1"/>
  <c r="R1842" i="16" s="1"/>
  <c r="L332" i="16"/>
  <c r="L523" i="16" s="1"/>
  <c r="L697" i="16"/>
  <c r="L1228" i="16" s="1"/>
  <c r="L1330" i="16" s="1"/>
  <c r="L1345" i="16" s="1"/>
  <c r="L1431" i="16" s="1"/>
  <c r="Q1902" i="16"/>
  <c r="Q1901" i="16"/>
  <c r="Q1900" i="16"/>
  <c r="Q1899" i="16"/>
  <c r="Q1898" i="16"/>
  <c r="Q1897" i="16"/>
  <c r="Q1896" i="16"/>
  <c r="Q1895" i="16"/>
  <c r="Q1894" i="16"/>
  <c r="Q1893" i="16"/>
  <c r="Q1892" i="16"/>
  <c r="Q1891" i="16"/>
  <c r="Q1890" i="16"/>
  <c r="Q1889" i="16"/>
  <c r="Q1888" i="16"/>
  <c r="Q1887" i="16"/>
  <c r="Q1886" i="16"/>
  <c r="Q1885" i="16"/>
  <c r="Q1884" i="16"/>
  <c r="Q1883" i="16"/>
  <c r="Q1882" i="16"/>
  <c r="Q1881" i="16"/>
  <c r="Q1880" i="16"/>
  <c r="Q1879" i="16"/>
  <c r="Q1878" i="16"/>
  <c r="Q1877" i="16"/>
  <c r="Q1876" i="16"/>
  <c r="Q1875" i="16"/>
  <c r="Q1874" i="16"/>
  <c r="Q1873" i="16"/>
  <c r="Q1872" i="16"/>
  <c r="Q1871" i="16"/>
  <c r="Q1870" i="16"/>
  <c r="Q1869" i="16"/>
  <c r="Q1868" i="16"/>
  <c r="Q1867" i="16"/>
  <c r="Q1866" i="16"/>
  <c r="Q1865" i="16"/>
  <c r="Q1864" i="16"/>
  <c r="Q1863" i="16"/>
  <c r="Q1862" i="16"/>
  <c r="Q1861" i="16"/>
  <c r="Q1860" i="16"/>
  <c r="Q1859" i="16"/>
  <c r="Q1858" i="16"/>
  <c r="Q1857" i="16"/>
  <c r="Q1856" i="16"/>
  <c r="Q1855" i="16"/>
  <c r="Q1854" i="16"/>
  <c r="Q1853" i="16"/>
  <c r="Q1852" i="16"/>
  <c r="Q1851" i="16"/>
  <c r="Q1850" i="16"/>
  <c r="Q1849" i="16"/>
  <c r="Q1848" i="16"/>
  <c r="Q1847" i="16"/>
  <c r="Q1846" i="16"/>
  <c r="Q1845" i="16"/>
  <c r="Q1844" i="16"/>
  <c r="Q1843" i="16"/>
  <c r="Q1842" i="16"/>
  <c r="Q1841" i="16"/>
  <c r="Q1840" i="16"/>
  <c r="Q1839" i="16"/>
  <c r="Q1838" i="16"/>
  <c r="Q1837" i="16"/>
  <c r="Q1836" i="16"/>
  <c r="Q1835" i="16"/>
  <c r="Q1834" i="16"/>
  <c r="Q1833" i="16"/>
  <c r="Q1832" i="16"/>
  <c r="Q1831" i="16"/>
  <c r="R1714" i="16"/>
  <c r="R1715" i="16"/>
  <c r="R1716" i="16"/>
  <c r="R1717" i="16" s="1"/>
  <c r="R1718" i="16" s="1"/>
  <c r="R1719" i="16" s="1"/>
  <c r="R1720" i="16" s="1"/>
  <c r="R1721" i="16" s="1"/>
  <c r="R1722" i="16" s="1"/>
  <c r="Q1830" i="16"/>
  <c r="Q1829" i="16"/>
  <c r="Q1828" i="16"/>
  <c r="Q1827" i="16"/>
  <c r="Q1826" i="16"/>
  <c r="Q1825" i="16"/>
  <c r="Q1824" i="16"/>
  <c r="Q1823" i="16"/>
  <c r="Q1822" i="16"/>
  <c r="Q1821" i="16"/>
  <c r="Q1820" i="16"/>
  <c r="Q1819" i="16"/>
  <c r="Q1818" i="16"/>
  <c r="Q1817" i="16"/>
  <c r="Q1816" i="16"/>
  <c r="Q1815" i="16"/>
  <c r="Q1814" i="16"/>
  <c r="Q1813" i="16"/>
  <c r="Q1812" i="16"/>
  <c r="Q1811" i="16"/>
  <c r="Q1810" i="16"/>
  <c r="Q1809" i="16"/>
  <c r="Q1808" i="16"/>
  <c r="Q1807" i="16"/>
  <c r="Q1806" i="16"/>
  <c r="Q1805" i="16"/>
  <c r="Q1804" i="16"/>
  <c r="Q1803" i="16"/>
  <c r="Q1802" i="16"/>
  <c r="Q1801" i="16"/>
  <c r="Q1800" i="16"/>
  <c r="Q1799" i="16"/>
  <c r="Q1798" i="16"/>
  <c r="Q1797" i="16"/>
  <c r="Q1796" i="16"/>
  <c r="Q1795" i="16"/>
  <c r="Q1794" i="16"/>
  <c r="Q1793" i="16"/>
  <c r="Q1792" i="16"/>
  <c r="Q1791" i="16"/>
  <c r="Q1790" i="16"/>
  <c r="Q1789" i="16"/>
  <c r="Q1788" i="16"/>
  <c r="Q1787" i="16"/>
  <c r="Q1786" i="16"/>
  <c r="Q1785" i="16"/>
  <c r="Q1784" i="16"/>
  <c r="Q1783" i="16"/>
  <c r="Q1782" i="16"/>
  <c r="Q1781" i="16"/>
  <c r="Q1780" i="16"/>
  <c r="Q1779" i="16"/>
  <c r="Q1778" i="16"/>
  <c r="Q1777" i="16"/>
  <c r="Q1776" i="16"/>
  <c r="Q1775" i="16"/>
  <c r="Q1774" i="16"/>
  <c r="Q1773" i="16"/>
  <c r="Q1772" i="16"/>
  <c r="Q1771" i="16"/>
  <c r="Q1770" i="16"/>
  <c r="Q1769" i="16"/>
  <c r="Q1768" i="16"/>
  <c r="Q1767" i="16"/>
  <c r="Q1766" i="16"/>
  <c r="Q1765" i="16"/>
  <c r="Q1764" i="16"/>
  <c r="Q1763" i="16"/>
  <c r="Q1762" i="16"/>
  <c r="Q1761" i="16"/>
  <c r="Q1760" i="16"/>
  <c r="Q1759" i="16"/>
  <c r="Q1758" i="16"/>
  <c r="Q1757" i="16"/>
  <c r="Q1756" i="16"/>
  <c r="Q1755" i="16"/>
  <c r="Q1754" i="16"/>
  <c r="Q1753" i="16"/>
  <c r="Q1752" i="16"/>
  <c r="Q1751" i="16"/>
  <c r="Q1750" i="16"/>
  <c r="Q1749" i="16"/>
  <c r="Q1748" i="16"/>
  <c r="Q1747" i="16"/>
  <c r="Q1746" i="16"/>
  <c r="Q1745" i="16"/>
  <c r="Q1744" i="16"/>
  <c r="Q1743" i="16"/>
  <c r="Q1742" i="16"/>
  <c r="Q1741" i="16"/>
  <c r="Q1740" i="16"/>
  <c r="Q1739" i="16"/>
  <c r="Q1738" i="16"/>
  <c r="Q1737" i="16"/>
  <c r="Q1736" i="16"/>
  <c r="Q1735" i="16"/>
  <c r="L1736" i="16"/>
  <c r="L1737" i="16" s="1"/>
  <c r="R1723" i="16"/>
  <c r="R1724" i="16"/>
  <c r="R1725" i="16" s="1"/>
  <c r="R1726" i="16" s="1"/>
  <c r="R1727" i="16" s="1"/>
  <c r="R1728" i="16" s="1"/>
  <c r="R1729" i="16" s="1"/>
  <c r="R1730" i="16" s="1"/>
  <c r="R1731" i="16" s="1"/>
  <c r="R1732" i="16" s="1"/>
  <c r="R1733" i="16" s="1"/>
  <c r="R1734" i="16" s="1"/>
  <c r="Q1734" i="16"/>
  <c r="Q1733" i="16"/>
  <c r="Q1732" i="16"/>
  <c r="Q1731" i="16"/>
  <c r="Q1730" i="16"/>
  <c r="Q1729" i="16"/>
  <c r="Q1728" i="16"/>
  <c r="Q1727" i="16"/>
  <c r="Q1726" i="16"/>
  <c r="Q1725" i="16"/>
  <c r="Q1724" i="16"/>
  <c r="Q1723" i="16"/>
  <c r="Q1722" i="16"/>
  <c r="Q1721" i="16"/>
  <c r="Q1720" i="16"/>
  <c r="Q1719" i="16"/>
  <c r="Q1718" i="16"/>
  <c r="Q1717" i="16"/>
  <c r="Q1716" i="16"/>
  <c r="Q1715" i="16"/>
  <c r="Q1714" i="16"/>
  <c r="Q1713" i="16"/>
  <c r="Q1712" i="16"/>
  <c r="Q1711" i="16"/>
  <c r="Q1710" i="16"/>
  <c r="Q1709" i="16"/>
  <c r="Q1708" i="16"/>
  <c r="Q1707" i="16"/>
  <c r="Q1706" i="16"/>
  <c r="Q1705" i="16"/>
  <c r="Q1704" i="16"/>
  <c r="Q1703" i="16"/>
  <c r="Q1702" i="16"/>
  <c r="Q1701" i="16"/>
  <c r="Q1700" i="16"/>
  <c r="Q1699" i="16"/>
  <c r="Q1698" i="16"/>
  <c r="Q1697" i="16"/>
  <c r="Q1696" i="16"/>
  <c r="Q1695" i="16"/>
  <c r="Q1694" i="16"/>
  <c r="Q1693" i="16"/>
  <c r="Q1692" i="16"/>
  <c r="Q1691" i="16"/>
  <c r="Q1690" i="16"/>
  <c r="I1628" i="16"/>
  <c r="Q1605" i="16"/>
  <c r="Q1604" i="16"/>
  <c r="Q1603" i="16"/>
  <c r="Q1602" i="16"/>
  <c r="Q1601" i="16"/>
  <c r="Q1600" i="16"/>
  <c r="Q1599" i="16"/>
  <c r="Q1598" i="16"/>
  <c r="Q1597" i="16"/>
  <c r="Q1596" i="16"/>
  <c r="Q1595" i="16"/>
  <c r="Q1594" i="16"/>
  <c r="Q1593" i="16"/>
  <c r="Q1592" i="16"/>
  <c r="Q1591" i="16"/>
  <c r="Q1590" i="16"/>
  <c r="Q1589" i="16"/>
  <c r="Q1588" i="16"/>
  <c r="Q1587" i="16"/>
  <c r="Q1586" i="16"/>
  <c r="Q1585" i="16"/>
  <c r="Q1584" i="16"/>
  <c r="Q1583" i="16"/>
  <c r="Q1582" i="16"/>
  <c r="Q1581" i="16"/>
  <c r="Q1580" i="16"/>
  <c r="Q1579" i="16"/>
  <c r="Q1578" i="16"/>
  <c r="Q1577" i="16"/>
  <c r="Q1576" i="16"/>
  <c r="Q1575" i="16"/>
  <c r="Q1574" i="16"/>
  <c r="Q1573" i="16"/>
  <c r="Q1572" i="16"/>
  <c r="Q1571" i="16"/>
  <c r="Q1570" i="16"/>
  <c r="Q1569" i="16"/>
  <c r="Q1568" i="16"/>
  <c r="Q1567" i="16"/>
  <c r="Q1566" i="16"/>
  <c r="Q1565" i="16"/>
  <c r="Q1564" i="16"/>
  <c r="Q1563" i="16"/>
  <c r="Q1562" i="16"/>
  <c r="Q1561" i="16"/>
  <c r="Q1560" i="16"/>
  <c r="Q1559" i="16"/>
  <c r="Q1558" i="16"/>
  <c r="Q1557" i="16"/>
  <c r="Q1556" i="16"/>
  <c r="Q1555" i="16"/>
  <c r="Q1554" i="16"/>
  <c r="Q1553" i="16"/>
  <c r="Q1552" i="16"/>
  <c r="Q1551" i="16"/>
  <c r="Q1550" i="16"/>
  <c r="Q1549" i="16"/>
  <c r="Q1548" i="16"/>
  <c r="Q1547" i="16"/>
  <c r="Q1546" i="16"/>
  <c r="Q1545" i="16"/>
  <c r="Q1544" i="16"/>
  <c r="Q1543" i="16"/>
  <c r="Q1542" i="16"/>
  <c r="Q1541" i="16"/>
  <c r="Q1540" i="16"/>
  <c r="Q1539" i="16"/>
  <c r="Q1538" i="16"/>
  <c r="Q1537" i="16"/>
  <c r="Q1536" i="16"/>
  <c r="Q1535" i="16"/>
  <c r="Q1534" i="16"/>
  <c r="Q1533" i="16"/>
  <c r="Q1532" i="16"/>
  <c r="Q1531" i="16"/>
  <c r="Q1530" i="16"/>
  <c r="Q1529" i="16"/>
  <c r="Q1528" i="16"/>
  <c r="Q1527" i="16"/>
  <c r="Q1526" i="16"/>
  <c r="Q1525" i="16"/>
  <c r="Q1524" i="16"/>
  <c r="Q1523" i="16"/>
  <c r="Q1522" i="16"/>
  <c r="Q1521" i="16"/>
  <c r="Q1520" i="16"/>
  <c r="Q1519" i="16"/>
  <c r="Q1518" i="16"/>
  <c r="Q1517" i="16"/>
  <c r="Q1516" i="16"/>
  <c r="Q1515" i="16"/>
  <c r="Q1514" i="16"/>
  <c r="Q1513" i="16"/>
  <c r="Q1512" i="16"/>
  <c r="Q1511" i="16"/>
  <c r="Q1510" i="16"/>
  <c r="Q1509" i="16"/>
  <c r="Q1508" i="16"/>
  <c r="Q1507" i="16"/>
  <c r="Q1506" i="16"/>
  <c r="Q1505" i="16"/>
  <c r="Q1504" i="16"/>
  <c r="Q1503" i="16"/>
  <c r="Q1502" i="16"/>
  <c r="Q1501" i="16"/>
  <c r="Q1500" i="16"/>
  <c r="Q1499" i="16"/>
  <c r="Q1498" i="16"/>
  <c r="Q1497" i="16"/>
  <c r="Q1496" i="16"/>
  <c r="Q1495" i="16"/>
  <c r="Q1494" i="16"/>
  <c r="Q1493" i="16"/>
  <c r="Q1492" i="16"/>
  <c r="Q1491" i="16"/>
  <c r="Q1490" i="16"/>
  <c r="Q1489" i="16"/>
  <c r="Q1488" i="16"/>
  <c r="Q1487" i="16"/>
  <c r="Q1486" i="16"/>
  <c r="Q1485" i="16"/>
  <c r="Q1484" i="16"/>
  <c r="Q1483" i="16"/>
  <c r="Q1482" i="16"/>
  <c r="Q1481" i="16"/>
  <c r="Q1480" i="16"/>
  <c r="Q1479" i="16"/>
  <c r="Q1478" i="16"/>
  <c r="Q1477" i="16"/>
  <c r="Q1476" i="16"/>
  <c r="Q1475" i="16"/>
  <c r="Q1474" i="16"/>
  <c r="Q1473" i="16"/>
  <c r="Q1472" i="16"/>
  <c r="Q1471" i="16"/>
  <c r="Q1470" i="16"/>
  <c r="Q1469" i="16"/>
  <c r="Q1468" i="16"/>
  <c r="Q1467" i="16"/>
  <c r="Q1466" i="16"/>
  <c r="Q1465" i="16"/>
  <c r="Q1464" i="16"/>
  <c r="Q1463" i="16"/>
  <c r="Q1462" i="16"/>
  <c r="Q1461" i="16"/>
  <c r="Q1460" i="16"/>
  <c r="Q1459" i="16"/>
  <c r="Q1458" i="16"/>
  <c r="Q1457" i="16"/>
  <c r="Q1456" i="16"/>
  <c r="Q1455" i="16"/>
  <c r="Q1454" i="16"/>
  <c r="Q1453" i="16"/>
  <c r="Q1452" i="16"/>
  <c r="Q1451" i="16"/>
  <c r="Q1450" i="16"/>
  <c r="Q1449" i="16"/>
  <c r="Q1448" i="16"/>
  <c r="Q1447" i="16"/>
  <c r="Q1446" i="16"/>
  <c r="Q1445" i="16"/>
  <c r="Q1444" i="16"/>
  <c r="Q1443" i="16"/>
  <c r="Q1442" i="16"/>
  <c r="Q1441" i="16"/>
  <c r="Q1440" i="16"/>
  <c r="Q1439" i="16"/>
  <c r="Q1438" i="16"/>
  <c r="Q1433" i="16"/>
  <c r="Q1432" i="16"/>
  <c r="Q1431" i="16"/>
  <c r="Q1430" i="16"/>
  <c r="Q1429" i="16"/>
  <c r="Q1428" i="16"/>
  <c r="Q1427" i="16"/>
  <c r="Q1426" i="16"/>
  <c r="Q1425" i="16"/>
  <c r="Q1424" i="16"/>
  <c r="Q1423" i="16"/>
  <c r="Q1422" i="16"/>
  <c r="Q1421" i="16"/>
  <c r="Q1420" i="16"/>
  <c r="Q1419" i="16"/>
  <c r="Q1418" i="16"/>
  <c r="Q1417" i="16"/>
  <c r="Q1416" i="16"/>
  <c r="Q1415" i="16"/>
  <c r="Q1414" i="16"/>
  <c r="Q1413" i="16"/>
  <c r="Q1412" i="16"/>
  <c r="Q1411" i="16"/>
  <c r="Q1410" i="16"/>
  <c r="Q1409" i="16"/>
  <c r="Q1408" i="16"/>
  <c r="Q1407" i="16"/>
  <c r="Q1406" i="16"/>
  <c r="Q1405" i="16"/>
  <c r="Q1404" i="16"/>
  <c r="Q1403" i="16"/>
  <c r="Q1402" i="16"/>
  <c r="Q1401" i="16"/>
  <c r="Q1400" i="16"/>
  <c r="Q1399" i="16"/>
  <c r="Q1398" i="16"/>
  <c r="Q1397" i="16"/>
  <c r="Q1396" i="16"/>
  <c r="Q1395" i="16"/>
  <c r="Q1394" i="16"/>
  <c r="Q1393" i="16"/>
  <c r="Q1392" i="16"/>
  <c r="Q1391" i="16"/>
  <c r="Q1390" i="16"/>
  <c r="Q1389" i="16"/>
  <c r="Q1388" i="16"/>
  <c r="Q1387" i="16"/>
  <c r="Q1386" i="16"/>
  <c r="Q1385" i="16"/>
  <c r="Q1384" i="16"/>
  <c r="Q1383" i="16"/>
  <c r="Q1382" i="16"/>
  <c r="Q1381" i="16"/>
  <c r="Q1380" i="16"/>
  <c r="Q1379" i="16"/>
  <c r="Q1378" i="16"/>
  <c r="Q1377" i="16"/>
  <c r="Q1376" i="16"/>
  <c r="Q1375" i="16"/>
  <c r="Q1374" i="16"/>
  <c r="Q1373" i="16"/>
  <c r="Q1372" i="16"/>
  <c r="Q1371" i="16"/>
  <c r="Q1370" i="16"/>
  <c r="Q1369" i="16"/>
  <c r="Q1368" i="16"/>
  <c r="Q1367" i="16"/>
  <c r="Q1366" i="16"/>
  <c r="Q1365" i="16"/>
  <c r="Q1364" i="16"/>
  <c r="Q1363" i="16"/>
  <c r="Q1362" i="16"/>
  <c r="Q1361" i="16"/>
  <c r="Q1360" i="16"/>
  <c r="Q1359" i="16"/>
  <c r="Q1358" i="16"/>
  <c r="Q1357" i="16"/>
  <c r="Q1356" i="16"/>
  <c r="Q1355" i="16"/>
  <c r="Q1354" i="16"/>
  <c r="Q1353" i="16"/>
  <c r="Q1352" i="16"/>
  <c r="Q1351" i="16"/>
  <c r="Q1350" i="16"/>
  <c r="Q1349" i="16"/>
  <c r="Q1348" i="16"/>
  <c r="Q1347" i="16"/>
  <c r="L1448" i="16"/>
  <c r="L1527" i="16"/>
  <c r="L1430" i="16"/>
  <c r="Q1344" i="16"/>
  <c r="Q1343" i="16"/>
  <c r="Q1342" i="16"/>
  <c r="Q1341" i="16"/>
  <c r="Q1340" i="16"/>
  <c r="Q1339" i="16"/>
  <c r="Q1338" i="16"/>
  <c r="Q1337" i="16"/>
  <c r="Q1336" i="16"/>
  <c r="Q1335" i="16"/>
  <c r="Q1334" i="16"/>
  <c r="Q1333" i="16"/>
  <c r="Q1332" i="16"/>
  <c r="L1344" i="16"/>
  <c r="Q1331" i="16"/>
  <c r="Q1330" i="16"/>
  <c r="Q1329" i="16"/>
  <c r="Q1328" i="16"/>
  <c r="Q1327" i="16"/>
  <c r="Q1326" i="16"/>
  <c r="Q1325" i="16"/>
  <c r="Q1324" i="16"/>
  <c r="Q1323" i="16"/>
  <c r="Q1322" i="16"/>
  <c r="Q1321" i="16"/>
  <c r="Q1320" i="16"/>
  <c r="Q1319" i="16"/>
  <c r="Q1318" i="16"/>
  <c r="Q1317" i="16"/>
  <c r="Q1316" i="16"/>
  <c r="Q1315" i="16"/>
  <c r="Q1314" i="16"/>
  <c r="Q1313" i="16"/>
  <c r="Q1312" i="16"/>
  <c r="Q1311" i="16"/>
  <c r="Q1310" i="16"/>
  <c r="Q1309" i="16"/>
  <c r="Q1308" i="16"/>
  <c r="Q1307" i="16"/>
  <c r="Q1306" i="16"/>
  <c r="Q1305" i="16"/>
  <c r="Q1304" i="16"/>
  <c r="Q1303" i="16"/>
  <c r="Q1302" i="16"/>
  <c r="Q1301" i="16"/>
  <c r="U1300" i="16"/>
  <c r="U1299" i="16"/>
  <c r="U1298" i="16"/>
  <c r="U1297" i="16"/>
  <c r="U1296" i="16"/>
  <c r="U1295" i="16"/>
  <c r="U1294" i="16"/>
  <c r="U1293" i="16"/>
  <c r="U1292" i="16"/>
  <c r="U1291" i="16"/>
  <c r="U1290" i="16"/>
  <c r="U1289" i="16"/>
  <c r="U1228" i="16"/>
  <c r="U1227" i="16"/>
  <c r="U1226" i="16"/>
  <c r="U1225" i="16"/>
  <c r="U1224" i="16"/>
  <c r="U1223" i="16"/>
  <c r="U1222" i="16"/>
  <c r="U1221" i="16"/>
  <c r="U1220" i="16"/>
  <c r="U1219" i="16"/>
  <c r="U1218" i="16"/>
  <c r="U1217" i="16"/>
  <c r="T1228" i="16"/>
  <c r="T1227" i="16"/>
  <c r="T1226" i="16"/>
  <c r="T1225" i="16"/>
  <c r="T1224" i="16"/>
  <c r="T1223" i="16"/>
  <c r="T1222" i="16"/>
  <c r="T1221" i="16"/>
  <c r="T1220" i="16"/>
  <c r="T1219" i="16"/>
  <c r="T1218" i="16"/>
  <c r="T1217" i="16"/>
  <c r="Q1300" i="16"/>
  <c r="Q1299" i="16"/>
  <c r="Q1298" i="16"/>
  <c r="Q1297" i="16"/>
  <c r="Q1296" i="16"/>
  <c r="Q1295" i="16"/>
  <c r="Q1294" i="16"/>
  <c r="Q1293" i="16"/>
  <c r="Q1292" i="16"/>
  <c r="Q1291" i="16"/>
  <c r="Q1290" i="16"/>
  <c r="Q1289" i="16"/>
  <c r="R1169" i="16"/>
  <c r="R1170" i="16"/>
  <c r="R1171" i="16" s="1"/>
  <c r="R1172" i="16" s="1"/>
  <c r="R1173" i="16" s="1"/>
  <c r="R1174" i="16" s="1"/>
  <c r="R1175" i="16" s="1"/>
  <c r="R1176" i="16" s="1"/>
  <c r="R1177" i="16" s="1"/>
  <c r="R1178" i="16" s="1"/>
  <c r="R1179" i="16" s="1"/>
  <c r="R1180" i="16" s="1"/>
  <c r="R1181" i="16" s="1"/>
  <c r="R1182" i="16" s="1"/>
  <c r="R1183" i="16" s="1"/>
  <c r="R1184" i="16" s="1"/>
  <c r="R1185" i="16" s="1"/>
  <c r="R1186" i="16" s="1"/>
  <c r="R1187" i="16" s="1"/>
  <c r="R1188" i="16" s="1"/>
  <c r="R1189" i="16" s="1"/>
  <c r="R1190" i="16" s="1"/>
  <c r="R1191" i="16" s="1"/>
  <c r="R1192" i="16" s="1"/>
  <c r="R1193" i="16" s="1"/>
  <c r="R1194" i="16" s="1"/>
  <c r="R1195" i="16" s="1"/>
  <c r="R1196" i="16" s="1"/>
  <c r="R1197" i="16" s="1"/>
  <c r="R1198" i="16" s="1"/>
  <c r="R1199" i="16" s="1"/>
  <c r="R1200" i="16" s="1"/>
  <c r="R1201" i="16" s="1"/>
  <c r="R1202" i="16" s="1"/>
  <c r="R1203" i="16" s="1"/>
  <c r="R1204" i="16" s="1"/>
  <c r="R1205" i="16" s="1"/>
  <c r="R1206" i="16" s="1"/>
  <c r="R1207" i="16" s="1"/>
  <c r="R1208" i="16" s="1"/>
  <c r="R1209" i="16" s="1"/>
  <c r="R1210" i="16" s="1"/>
  <c r="R1211" i="16" s="1"/>
  <c r="R1212" i="16" s="1"/>
  <c r="R1213" i="16" s="1"/>
  <c r="R1214" i="16" s="1"/>
  <c r="R1215" i="16" s="1"/>
  <c r="R1216" i="16" s="1"/>
  <c r="R1217" i="16" s="1"/>
  <c r="R1218" i="16" s="1"/>
  <c r="R1219" i="16" s="1"/>
  <c r="R1220" i="16" s="1"/>
  <c r="R1221" i="16" s="1"/>
  <c r="R1222" i="16" s="1"/>
  <c r="R1223" i="16" s="1"/>
  <c r="R1224" i="16" s="1"/>
  <c r="R1225" i="16" s="1"/>
  <c r="R1226" i="16" s="1"/>
  <c r="R1227" i="16" s="1"/>
  <c r="R1228" i="16" s="1"/>
  <c r="L1281" i="16"/>
  <c r="L1282" i="16"/>
  <c r="L1284" i="16"/>
  <c r="L1285" i="16" s="1"/>
  <c r="Q1228" i="16"/>
  <c r="Q1227" i="16"/>
  <c r="Q1226" i="16"/>
  <c r="Q1225" i="16"/>
  <c r="Q1224" i="16"/>
  <c r="Q1223" i="16"/>
  <c r="Q1222" i="16"/>
  <c r="Q1221" i="16"/>
  <c r="Q1220" i="16"/>
  <c r="Q1219" i="16"/>
  <c r="Q1218" i="16"/>
  <c r="Q1217" i="16"/>
  <c r="L1288" i="16"/>
  <c r="U1204" i="16"/>
  <c r="U1203" i="16"/>
  <c r="T1204" i="16"/>
  <c r="T1203" i="16"/>
  <c r="Q1216" i="16"/>
  <c r="Q1215" i="16"/>
  <c r="Q1214" i="16"/>
  <c r="Q1213" i="16"/>
  <c r="Q1212" i="16"/>
  <c r="Q1211" i="16"/>
  <c r="Q1210" i="16"/>
  <c r="Q1209" i="16"/>
  <c r="Q1208" i="16"/>
  <c r="Q1207" i="16"/>
  <c r="Q1206" i="16"/>
  <c r="Q1205" i="16"/>
  <c r="R1062" i="16"/>
  <c r="R1063" i="16"/>
  <c r="R1064" i="16" s="1"/>
  <c r="R1065" i="16" s="1"/>
  <c r="R1066" i="16" s="1"/>
  <c r="R1067" i="16" s="1"/>
  <c r="R1068" i="16" s="1"/>
  <c r="R1069" i="16" s="1"/>
  <c r="R1070" i="16" s="1"/>
  <c r="R1071" i="16" s="1"/>
  <c r="R1072" i="16" s="1"/>
  <c r="R1073" i="16" s="1"/>
  <c r="R1074" i="16" s="1"/>
  <c r="R1075" i="16" s="1"/>
  <c r="R1076" i="16" s="1"/>
  <c r="R1077" i="16" s="1"/>
  <c r="R1078" i="16" s="1"/>
  <c r="R1079" i="16" s="1"/>
  <c r="R1080" i="16" s="1"/>
  <c r="R1081" i="16" s="1"/>
  <c r="R1082" i="16" s="1"/>
  <c r="R1083" i="16" s="1"/>
  <c r="R1084" i="16" s="1"/>
  <c r="R1085" i="16" s="1"/>
  <c r="R1086" i="16" s="1"/>
  <c r="R1087" i="16" s="1"/>
  <c r="R1088" i="16" s="1"/>
  <c r="R1089" i="16" s="1"/>
  <c r="R1090" i="16" s="1"/>
  <c r="R1091" i="16" s="1"/>
  <c r="R1092" i="16" s="1"/>
  <c r="R1093" i="16" s="1"/>
  <c r="R1094" i="16" s="1"/>
  <c r="R1095" i="16" s="1"/>
  <c r="R1096" i="16" s="1"/>
  <c r="R1097" i="16" s="1"/>
  <c r="R1098" i="16" s="1"/>
  <c r="R1099" i="16" s="1"/>
  <c r="R1100" i="16" s="1"/>
  <c r="R1101" i="16" s="1"/>
  <c r="R1102" i="16" s="1"/>
  <c r="R1103" i="16" s="1"/>
  <c r="R1104" i="16" s="1"/>
  <c r="R1105" i="16" s="1"/>
  <c r="R1106" i="16" s="1"/>
  <c r="R1107" i="16" s="1"/>
  <c r="R1108" i="16" s="1"/>
  <c r="R1109" i="16" s="1"/>
  <c r="R1110" i="16" s="1"/>
  <c r="R1111" i="16" s="1"/>
  <c r="R1112" i="16" s="1"/>
  <c r="R1113" i="16" s="1"/>
  <c r="R1114" i="16" s="1"/>
  <c r="R1115" i="16" s="1"/>
  <c r="R1116" i="16" s="1"/>
  <c r="R1117" i="16" s="1"/>
  <c r="R1118" i="16" s="1"/>
  <c r="R1119" i="16" s="1"/>
  <c r="R1120" i="16" s="1"/>
  <c r="R1121" i="16" s="1"/>
  <c r="Q1204" i="16"/>
  <c r="Q1203" i="16"/>
  <c r="Q1202" i="16"/>
  <c r="Q1201" i="16"/>
  <c r="Q1200" i="16"/>
  <c r="Q1199" i="16"/>
  <c r="Q1198" i="16"/>
  <c r="Q1197" i="16"/>
  <c r="Q1196" i="16"/>
  <c r="Q1195" i="16"/>
  <c r="Q1194" i="16"/>
  <c r="Q1193" i="16"/>
  <c r="Q1192" i="16"/>
  <c r="Q1191" i="16"/>
  <c r="Q1190" i="16"/>
  <c r="Q1189" i="16"/>
  <c r="Q1188" i="16"/>
  <c r="Q1187" i="16"/>
  <c r="Q1186" i="16"/>
  <c r="Q1185" i="16"/>
  <c r="Q1184" i="16"/>
  <c r="Q1183" i="16"/>
  <c r="Q1182" i="16"/>
  <c r="Q1181" i="16"/>
  <c r="Q1180" i="16"/>
  <c r="Q1179" i="16"/>
  <c r="Q1178" i="16"/>
  <c r="Q1177" i="16"/>
  <c r="Q1176" i="16"/>
  <c r="Q1175" i="16"/>
  <c r="Q1174" i="16"/>
  <c r="Q1173" i="16"/>
  <c r="Q1172" i="16"/>
  <c r="Q1171" i="16"/>
  <c r="Q1170" i="16"/>
  <c r="Q1169" i="16"/>
  <c r="Q1168" i="16"/>
  <c r="Q1167" i="16"/>
  <c r="Q1166" i="16"/>
  <c r="Q1165" i="16"/>
  <c r="Q1164" i="16"/>
  <c r="Q1163" i="16"/>
  <c r="Q1162" i="16"/>
  <c r="Q1161" i="16"/>
  <c r="Q1160" i="16"/>
  <c r="Q1159" i="16"/>
  <c r="Q1158" i="16"/>
  <c r="Q1157" i="16"/>
  <c r="Q1156" i="16"/>
  <c r="Q1155" i="16"/>
  <c r="Q1154" i="16"/>
  <c r="Q1153" i="16"/>
  <c r="Q1152" i="16"/>
  <c r="Q1151" i="16"/>
  <c r="Q1150" i="16"/>
  <c r="Q1149" i="16"/>
  <c r="Q1148" i="16"/>
  <c r="Q1147" i="16"/>
  <c r="Q1146" i="16"/>
  <c r="Q1145" i="16"/>
  <c r="Q1144" i="16"/>
  <c r="Q1143" i="16"/>
  <c r="Q1142" i="16"/>
  <c r="Q1141" i="16"/>
  <c r="Q1140" i="16"/>
  <c r="Q1139" i="16"/>
  <c r="Q1138" i="16"/>
  <c r="Q1137" i="16"/>
  <c r="Q1136" i="16"/>
  <c r="Q1135" i="16"/>
  <c r="Q1134" i="16"/>
  <c r="Q1133" i="16"/>
  <c r="Q1131" i="16"/>
  <c r="Q1130" i="16"/>
  <c r="Q1129" i="16"/>
  <c r="Q1128" i="16"/>
  <c r="Q1127" i="16"/>
  <c r="Q1126" i="16"/>
  <c r="Q1125" i="16"/>
  <c r="Q1124" i="16"/>
  <c r="Q1123" i="16"/>
  <c r="Q1122" i="16"/>
  <c r="T979" i="16"/>
  <c r="Q1121" i="16"/>
  <c r="Q1120" i="16"/>
  <c r="Q1119" i="16"/>
  <c r="Q1118" i="16"/>
  <c r="Q1117" i="16"/>
  <c r="Q1116" i="16"/>
  <c r="Q1115" i="16"/>
  <c r="Q1114" i="16"/>
  <c r="Q1113" i="16"/>
  <c r="Q1112" i="16"/>
  <c r="Q1111" i="16"/>
  <c r="Q1110" i="16"/>
  <c r="Q1109" i="16"/>
  <c r="Q1108" i="16"/>
  <c r="Q1107" i="16"/>
  <c r="Q1106" i="16"/>
  <c r="Q1105" i="16"/>
  <c r="Q1104" i="16"/>
  <c r="Q1103" i="16"/>
  <c r="Q1102" i="16"/>
  <c r="Q1101" i="16"/>
  <c r="Q1100" i="16"/>
  <c r="Q1099" i="16"/>
  <c r="Q1098" i="16"/>
  <c r="Q1097" i="16"/>
  <c r="Q1096" i="16"/>
  <c r="Q1095" i="16"/>
  <c r="Q1094" i="16"/>
  <c r="Q1093" i="16"/>
  <c r="Q1092" i="16"/>
  <c r="Q1091" i="16"/>
  <c r="Q1090" i="16"/>
  <c r="Q1089" i="16"/>
  <c r="Q1088" i="16"/>
  <c r="Q1087" i="16"/>
  <c r="Q1086" i="16"/>
  <c r="Q1085" i="16"/>
  <c r="Q1084" i="16"/>
  <c r="Q1083" i="16"/>
  <c r="Q1082" i="16"/>
  <c r="Q1081" i="16"/>
  <c r="Q1080" i="16"/>
  <c r="Q1079" i="16"/>
  <c r="Q1078" i="16"/>
  <c r="Q1077" i="16"/>
  <c r="Q1076" i="16"/>
  <c r="Q1075" i="16"/>
  <c r="Q1074" i="16"/>
  <c r="Q1073" i="16"/>
  <c r="Q1072" i="16"/>
  <c r="Q1071" i="16"/>
  <c r="Q1070" i="16"/>
  <c r="Q1069" i="16"/>
  <c r="Q1068" i="16"/>
  <c r="Q1067" i="16"/>
  <c r="Q1066" i="16"/>
  <c r="Q1065" i="16"/>
  <c r="Q1064" i="16"/>
  <c r="Q1063" i="16"/>
  <c r="Q1062" i="16"/>
  <c r="Q1061" i="16"/>
  <c r="Q1060" i="16"/>
  <c r="Q1059" i="16"/>
  <c r="Q1058" i="16"/>
  <c r="Q1057" i="16"/>
  <c r="Q1056" i="16"/>
  <c r="Q1055" i="16"/>
  <c r="Q1054" i="16"/>
  <c r="Q1053" i="16"/>
  <c r="Q1052" i="16"/>
  <c r="Q1051" i="16"/>
  <c r="Q1050" i="16"/>
  <c r="Q1049" i="16"/>
  <c r="Q1048" i="16"/>
  <c r="Q1047" i="16"/>
  <c r="Q1046" i="16"/>
  <c r="Q1045" i="16"/>
  <c r="Q1044" i="16"/>
  <c r="Q1043" i="16"/>
  <c r="Q1042" i="16"/>
  <c r="Q1041" i="16"/>
  <c r="Q1040" i="16"/>
  <c r="Q1039" i="16"/>
  <c r="Q1038" i="16"/>
  <c r="Q1037" i="16"/>
  <c r="Q1036" i="16"/>
  <c r="Q1035" i="16"/>
  <c r="Q1034" i="16"/>
  <c r="Q1033" i="16"/>
  <c r="Q1032" i="16"/>
  <c r="Q1031" i="16"/>
  <c r="Q1030" i="16"/>
  <c r="Q1029" i="16"/>
  <c r="Q1028" i="16"/>
  <c r="Q1027" i="16"/>
  <c r="Q1026" i="16"/>
  <c r="Q1025" i="16"/>
  <c r="Q1024" i="16"/>
  <c r="Q1023" i="16"/>
  <c r="Q1022" i="16"/>
  <c r="Q1021" i="16"/>
  <c r="Q1020" i="16"/>
  <c r="Q1019" i="16"/>
  <c r="Q1018" i="16"/>
  <c r="Q1017" i="16"/>
  <c r="Q1016" i="16"/>
  <c r="Q1015" i="16"/>
  <c r="Q1014" i="16"/>
  <c r="Q1013" i="16"/>
  <c r="Q1012" i="16"/>
  <c r="Q1011" i="16"/>
  <c r="Q1010" i="16"/>
  <c r="Q1009" i="16"/>
  <c r="Q1008" i="16"/>
  <c r="Q1007" i="16"/>
  <c r="Q1006" i="16"/>
  <c r="Q1005" i="16"/>
  <c r="Q1004" i="16"/>
  <c r="Q1003" i="16"/>
  <c r="Q1002" i="16"/>
  <c r="Q1001" i="16"/>
  <c r="Q1000" i="16"/>
  <c r="Q999" i="16"/>
  <c r="Q998" i="16"/>
  <c r="Q997" i="16"/>
  <c r="Q996" i="16"/>
  <c r="Q995" i="16"/>
  <c r="Q994" i="16"/>
  <c r="Q993" i="16"/>
  <c r="Q992" i="16"/>
  <c r="Q991" i="16"/>
  <c r="Q990" i="16"/>
  <c r="Q989" i="16"/>
  <c r="Q988" i="16"/>
  <c r="Q987" i="16"/>
  <c r="Q986" i="16"/>
  <c r="Q985" i="16"/>
  <c r="Q984" i="16"/>
  <c r="Q983" i="16"/>
  <c r="Q982" i="16"/>
  <c r="Q981" i="16"/>
  <c r="Q980" i="16"/>
  <c r="Q979" i="16"/>
  <c r="Q978" i="16"/>
  <c r="Q977" i="16"/>
  <c r="Q976" i="16"/>
  <c r="Q975" i="16"/>
  <c r="Q974" i="16"/>
  <c r="Q973" i="16"/>
  <c r="Q972" i="16"/>
  <c r="Q971" i="16"/>
  <c r="Q970" i="16"/>
  <c r="Q969" i="16"/>
  <c r="Q968" i="16"/>
  <c r="Q967" i="16"/>
  <c r="Q966" i="16"/>
  <c r="Q965" i="16"/>
  <c r="Q964" i="16"/>
  <c r="Q963" i="16"/>
  <c r="Q962" i="16"/>
  <c r="Q961" i="16"/>
  <c r="Q960" i="16"/>
  <c r="Q959" i="16"/>
  <c r="Q958" i="16"/>
  <c r="Q957" i="16"/>
  <c r="Q956" i="16"/>
  <c r="Q955" i="16"/>
  <c r="Q954" i="16"/>
  <c r="Q953" i="16"/>
  <c r="Q952" i="16"/>
  <c r="Q951" i="16"/>
  <c r="Q950" i="16"/>
  <c r="Q949" i="16"/>
  <c r="Q948" i="16"/>
  <c r="Q947" i="16"/>
  <c r="Q946" i="16"/>
  <c r="Q945" i="16"/>
  <c r="Q944" i="16"/>
  <c r="Q943" i="16"/>
  <c r="Q942" i="16"/>
  <c r="Q941" i="16"/>
  <c r="Q940" i="16"/>
  <c r="Q939" i="16"/>
  <c r="Q938" i="16"/>
  <c r="Q937" i="16"/>
  <c r="Q936" i="16"/>
  <c r="Q935" i="16"/>
  <c r="Q934" i="16"/>
  <c r="Q933" i="16"/>
  <c r="Q932" i="16"/>
  <c r="Q931" i="16"/>
  <c r="Q930" i="16"/>
  <c r="Q929" i="16"/>
  <c r="Q928" i="16"/>
  <c r="Q927" i="16"/>
  <c r="Q926" i="16"/>
  <c r="Q925" i="16"/>
  <c r="Q924" i="16"/>
  <c r="Q923" i="16"/>
  <c r="Q922" i="16"/>
  <c r="Q921" i="16"/>
  <c r="Q920" i="16"/>
  <c r="Q919" i="16"/>
  <c r="Q918" i="16"/>
  <c r="Q917" i="16"/>
  <c r="Q916" i="16"/>
  <c r="Q915" i="16"/>
  <c r="Q914" i="16"/>
  <c r="Q913" i="16"/>
  <c r="Q912" i="16"/>
  <c r="Q911" i="16"/>
  <c r="Q910" i="16"/>
  <c r="Q909" i="16"/>
  <c r="Q908" i="16"/>
  <c r="Q907" i="16"/>
  <c r="Q906" i="16"/>
  <c r="Q905" i="16"/>
  <c r="Q904" i="16"/>
  <c r="Q903" i="16"/>
  <c r="Q902" i="16"/>
  <c r="Q901" i="16"/>
  <c r="Q900" i="16"/>
  <c r="Q899" i="16"/>
  <c r="Q898" i="16"/>
  <c r="Q897" i="16"/>
  <c r="Q896" i="16"/>
  <c r="Q895" i="16"/>
  <c r="Q894" i="16"/>
  <c r="D16" i="5"/>
  <c r="D17" i="5"/>
  <c r="D18" i="5" s="1"/>
  <c r="Q893" i="16"/>
  <c r="Q892" i="16"/>
  <c r="Q891" i="16"/>
  <c r="Q890" i="16"/>
  <c r="Q889" i="16"/>
  <c r="Q888" i="16"/>
  <c r="Q887" i="16"/>
  <c r="Q886" i="16"/>
  <c r="Q885" i="16"/>
  <c r="Q884" i="16"/>
  <c r="Q883" i="16"/>
  <c r="Q882" i="16"/>
  <c r="Q881" i="16"/>
  <c r="Q880" i="16"/>
  <c r="Q879" i="16"/>
  <c r="Q878" i="16"/>
  <c r="Q877" i="16"/>
  <c r="Q876" i="16"/>
  <c r="Q875" i="16"/>
  <c r="Q874" i="16"/>
  <c r="Q873" i="16"/>
  <c r="Q872" i="16"/>
  <c r="Q871" i="16"/>
  <c r="Q870" i="16"/>
  <c r="Q869" i="16"/>
  <c r="Q868" i="16"/>
  <c r="Q867" i="16"/>
  <c r="Q866" i="16"/>
  <c r="Q865" i="16"/>
  <c r="Q864" i="16"/>
  <c r="Q863" i="16"/>
  <c r="Q862" i="16"/>
  <c r="Q861" i="16"/>
  <c r="Q860" i="16"/>
  <c r="Q859" i="16"/>
  <c r="Q858" i="16"/>
  <c r="Q857" i="16"/>
  <c r="Q856" i="16"/>
  <c r="Q855" i="16"/>
  <c r="Q854" i="16"/>
  <c r="Q853" i="16"/>
  <c r="Q852" i="16"/>
  <c r="Q851" i="16"/>
  <c r="Q850" i="16"/>
  <c r="Q849" i="16"/>
  <c r="Q848" i="16"/>
  <c r="Q847" i="16"/>
  <c r="Q846" i="16"/>
  <c r="Q845" i="16"/>
  <c r="Q844" i="16"/>
  <c r="Q843" i="16"/>
  <c r="Q842" i="16"/>
  <c r="Q841" i="16"/>
  <c r="Q840" i="16"/>
  <c r="Q839" i="16"/>
  <c r="Q838" i="16"/>
  <c r="Q837" i="16"/>
  <c r="Q836" i="16"/>
  <c r="Q835" i="16"/>
  <c r="Q834" i="16"/>
  <c r="Q833" i="16"/>
  <c r="Q832" i="16"/>
  <c r="Q831" i="16"/>
  <c r="Q830" i="16"/>
  <c r="Q829" i="16"/>
  <c r="Q828" i="16"/>
  <c r="Q827" i="16"/>
  <c r="Q826" i="16"/>
  <c r="Q825" i="16"/>
  <c r="Q824" i="16"/>
  <c r="Q823" i="16"/>
  <c r="Q822" i="16"/>
  <c r="Q821" i="16"/>
  <c r="Q820" i="16"/>
  <c r="Q819" i="16"/>
  <c r="Q818" i="16"/>
  <c r="Q817" i="16"/>
  <c r="Q816" i="16"/>
  <c r="Q815" i="16"/>
  <c r="Q814" i="16"/>
  <c r="U801" i="16"/>
  <c r="U800" i="16"/>
  <c r="U799" i="16"/>
  <c r="U798" i="16"/>
  <c r="U797" i="16"/>
  <c r="U796" i="16"/>
  <c r="U795" i="16"/>
  <c r="U794" i="16"/>
  <c r="U793" i="16"/>
  <c r="U792" i="16"/>
  <c r="U791" i="16"/>
  <c r="U790" i="16"/>
  <c r="U789" i="16"/>
  <c r="U788" i="16"/>
  <c r="U787" i="16"/>
  <c r="U786" i="16"/>
  <c r="U785" i="16"/>
  <c r="U784" i="16"/>
  <c r="U783" i="16"/>
  <c r="U782" i="16"/>
  <c r="U781" i="16"/>
  <c r="U780" i="16"/>
  <c r="U779" i="16"/>
  <c r="U778" i="16"/>
  <c r="U777" i="16"/>
  <c r="U776" i="16"/>
  <c r="U775" i="16"/>
  <c r="U774" i="16"/>
  <c r="U773" i="16"/>
  <c r="U772" i="16"/>
  <c r="U769" i="16"/>
  <c r="U768" i="16"/>
  <c r="U767" i="16"/>
  <c r="U766" i="16"/>
  <c r="U765" i="16"/>
  <c r="U764" i="16"/>
  <c r="U763" i="16"/>
  <c r="U762" i="16"/>
  <c r="U761" i="16"/>
  <c r="U760" i="16"/>
  <c r="U759" i="16"/>
  <c r="U758" i="16"/>
  <c r="Q802" i="16"/>
  <c r="Q813" i="16"/>
  <c r="Q812" i="16"/>
  <c r="Q811" i="16"/>
  <c r="Q810" i="16"/>
  <c r="Q809" i="16"/>
  <c r="Q808" i="16"/>
  <c r="Q807" i="16"/>
  <c r="Q806" i="16"/>
  <c r="Q805" i="16"/>
  <c r="Q804" i="16"/>
  <c r="Q803" i="16"/>
  <c r="Q801" i="16"/>
  <c r="Q800" i="16"/>
  <c r="Q799" i="16"/>
  <c r="Q798" i="16"/>
  <c r="Q797" i="16"/>
  <c r="Q796" i="16"/>
  <c r="Q795" i="16"/>
  <c r="Q794" i="16"/>
  <c r="Q793" i="16"/>
  <c r="Q792" i="16"/>
  <c r="Q791" i="16"/>
  <c r="Q790" i="16"/>
  <c r="U757" i="16"/>
  <c r="U756" i="16"/>
  <c r="U755" i="16"/>
  <c r="U754" i="16"/>
  <c r="U753" i="16"/>
  <c r="U752" i="16"/>
  <c r="U751" i="16"/>
  <c r="U750" i="16"/>
  <c r="U749" i="16"/>
  <c r="U748" i="16"/>
  <c r="U747" i="16"/>
  <c r="U746" i="16"/>
  <c r="U745" i="16"/>
  <c r="U744" i="16"/>
  <c r="U743" i="16"/>
  <c r="U742" i="16"/>
  <c r="U741" i="16"/>
  <c r="U740" i="16"/>
  <c r="U739" i="16"/>
  <c r="U738" i="16"/>
  <c r="U737" i="16"/>
  <c r="U736" i="16"/>
  <c r="U735" i="16"/>
  <c r="U734" i="16"/>
  <c r="U733" i="16"/>
  <c r="U732" i="16"/>
  <c r="U731" i="16"/>
  <c r="U730" i="16"/>
  <c r="U729" i="16"/>
  <c r="U728" i="16"/>
  <c r="U727" i="16"/>
  <c r="U726" i="16"/>
  <c r="U725" i="16"/>
  <c r="U724" i="16"/>
  <c r="U723" i="16"/>
  <c r="U722" i="16"/>
  <c r="U721" i="16"/>
  <c r="U720" i="16"/>
  <c r="U719" i="16"/>
  <c r="U718" i="16"/>
  <c r="U717" i="16"/>
  <c r="U716" i="16"/>
  <c r="U715" i="16"/>
  <c r="U714" i="16"/>
  <c r="U713" i="16"/>
  <c r="U712" i="16"/>
  <c r="U711" i="16"/>
  <c r="U710" i="16"/>
  <c r="U709" i="16"/>
  <c r="U708" i="16"/>
  <c r="U707" i="16"/>
  <c r="U706" i="16"/>
  <c r="U705" i="16"/>
  <c r="U704" i="16"/>
  <c r="U703" i="16"/>
  <c r="U702" i="16"/>
  <c r="U701" i="16"/>
  <c r="U700" i="16"/>
  <c r="U699" i="16"/>
  <c r="U698" i="16"/>
  <c r="U697" i="16"/>
  <c r="U696" i="16"/>
  <c r="U695" i="16"/>
  <c r="U694" i="16"/>
  <c r="U693" i="16"/>
  <c r="U692" i="16"/>
  <c r="U691" i="16"/>
  <c r="U690" i="16"/>
  <c r="U689" i="16"/>
  <c r="U688" i="16"/>
  <c r="U687" i="16"/>
  <c r="U686" i="16"/>
  <c r="U685" i="16"/>
  <c r="U684" i="16"/>
  <c r="U683" i="16"/>
  <c r="U682" i="16"/>
  <c r="U681" i="16"/>
  <c r="U680" i="16"/>
  <c r="U679" i="16"/>
  <c r="U678" i="16"/>
  <c r="U677" i="16"/>
  <c r="U676" i="16"/>
  <c r="U675" i="16"/>
  <c r="U674" i="16"/>
  <c r="U673" i="16"/>
  <c r="U672" i="16"/>
  <c r="U671" i="16"/>
  <c r="U670" i="16"/>
  <c r="U669" i="16"/>
  <c r="U668" i="16"/>
  <c r="U667" i="16"/>
  <c r="U666" i="16"/>
  <c r="U665" i="16"/>
  <c r="U664" i="16"/>
  <c r="U663" i="16"/>
  <c r="U662" i="16"/>
  <c r="U661" i="16"/>
  <c r="U660" i="16"/>
  <c r="U659" i="16"/>
  <c r="U658" i="16"/>
  <c r="U657" i="16"/>
  <c r="U656" i="16"/>
  <c r="U655" i="16"/>
  <c r="U654" i="16"/>
  <c r="U653" i="16"/>
  <c r="U652" i="16"/>
  <c r="U651" i="16"/>
  <c r="U650" i="16"/>
  <c r="U649" i="16"/>
  <c r="U648" i="16"/>
  <c r="U647" i="16"/>
  <c r="U646" i="16"/>
  <c r="U645" i="16"/>
  <c r="U644" i="16"/>
  <c r="U643" i="16"/>
  <c r="U642" i="16"/>
  <c r="U641" i="16"/>
  <c r="U640" i="16"/>
  <c r="U639" i="16"/>
  <c r="U638" i="16"/>
  <c r="U637" i="16"/>
  <c r="U636" i="16"/>
  <c r="U635" i="16"/>
  <c r="U634" i="16"/>
  <c r="U633" i="16"/>
  <c r="U632" i="16"/>
  <c r="U631" i="16"/>
  <c r="U630" i="16"/>
  <c r="U629" i="16"/>
  <c r="U628" i="16"/>
  <c r="U627" i="16"/>
  <c r="U626" i="16"/>
  <c r="Q789" i="16"/>
  <c r="Q788" i="16"/>
  <c r="Q787" i="16"/>
  <c r="Q786" i="16"/>
  <c r="Q785" i="16"/>
  <c r="Q784" i="16"/>
  <c r="Q783" i="16"/>
  <c r="Q782" i="16"/>
  <c r="Q781" i="16"/>
  <c r="Q780" i="16"/>
  <c r="Q779" i="16"/>
  <c r="Q778" i="16"/>
  <c r="U625" i="16"/>
  <c r="U624" i="16"/>
  <c r="U623" i="16"/>
  <c r="U622" i="16"/>
  <c r="U621" i="16"/>
  <c r="U620" i="16"/>
  <c r="U619" i="16"/>
  <c r="U618" i="16"/>
  <c r="U617" i="16"/>
  <c r="U616" i="16"/>
  <c r="U615" i="16"/>
  <c r="U614" i="16"/>
  <c r="U613" i="16"/>
  <c r="U612" i="16"/>
  <c r="U611" i="16"/>
  <c r="U610" i="16"/>
  <c r="U609" i="16"/>
  <c r="U608" i="16"/>
  <c r="U607" i="16"/>
  <c r="U606" i="16"/>
  <c r="U605" i="16"/>
  <c r="U604" i="16"/>
  <c r="U603" i="16"/>
  <c r="U602" i="16"/>
  <c r="Q777" i="16"/>
  <c r="Q776" i="16"/>
  <c r="Q775" i="16"/>
  <c r="Q774" i="16"/>
  <c r="Q773" i="16"/>
  <c r="Q772" i="16"/>
  <c r="Q769" i="16"/>
  <c r="Q768" i="16"/>
  <c r="Q767" i="16"/>
  <c r="Q766" i="16"/>
  <c r="Q765" i="16"/>
  <c r="Q764" i="16"/>
  <c r="Q763" i="16"/>
  <c r="Q762" i="16"/>
  <c r="Q761" i="16"/>
  <c r="Q760" i="16"/>
  <c r="Q759" i="16"/>
  <c r="Q758" i="16"/>
  <c r="U601" i="16"/>
  <c r="U600" i="16"/>
  <c r="U599" i="16"/>
  <c r="U598" i="16"/>
  <c r="U597" i="16"/>
  <c r="U596" i="16"/>
  <c r="U595" i="16"/>
  <c r="U594" i="16"/>
  <c r="U593" i="16"/>
  <c r="U592" i="16"/>
  <c r="U591" i="16"/>
  <c r="U590" i="16"/>
  <c r="Q757" i="16"/>
  <c r="Q756" i="16"/>
  <c r="Q755" i="16"/>
  <c r="Q754" i="16"/>
  <c r="Q753" i="16"/>
  <c r="Q752" i="16"/>
  <c r="Q751" i="16"/>
  <c r="Q750" i="16"/>
  <c r="Q749" i="16"/>
  <c r="Q748" i="16"/>
  <c r="Q747" i="16"/>
  <c r="Q746" i="16"/>
  <c r="U523" i="16"/>
  <c r="U522" i="16"/>
  <c r="U521" i="16"/>
  <c r="U520" i="16"/>
  <c r="U519" i="16"/>
  <c r="U518" i="16"/>
  <c r="U517" i="16"/>
  <c r="U516" i="16"/>
  <c r="U515" i="16"/>
  <c r="U514" i="16"/>
  <c r="U513" i="16"/>
  <c r="U512" i="16"/>
  <c r="U511" i="16"/>
  <c r="U510" i="16"/>
  <c r="U509" i="16"/>
  <c r="U508" i="16"/>
  <c r="U507" i="16"/>
  <c r="U506" i="16"/>
  <c r="U505" i="16"/>
  <c r="U504" i="16"/>
  <c r="U503" i="16"/>
  <c r="U502" i="16"/>
  <c r="U501" i="16"/>
  <c r="U500" i="16"/>
  <c r="U499" i="16"/>
  <c r="U498" i="16"/>
  <c r="U497" i="16"/>
  <c r="U496" i="16"/>
  <c r="U495" i="16"/>
  <c r="U494" i="16"/>
  <c r="Q745" i="16"/>
  <c r="Q744" i="16"/>
  <c r="Q743" i="16"/>
  <c r="Q742" i="16"/>
  <c r="Q741" i="16"/>
  <c r="Q740" i="16"/>
  <c r="Q739" i="16"/>
  <c r="Q738" i="16"/>
  <c r="Q737" i="16"/>
  <c r="Q736" i="16"/>
  <c r="Q735" i="16"/>
  <c r="Q734" i="16"/>
  <c r="U493" i="16"/>
  <c r="U492" i="16"/>
  <c r="U491" i="16"/>
  <c r="U490" i="16"/>
  <c r="U489" i="16"/>
  <c r="U488" i="16"/>
  <c r="U487" i="16"/>
  <c r="U486" i="16"/>
  <c r="U485" i="16"/>
  <c r="U484" i="16"/>
  <c r="U483" i="16"/>
  <c r="U482" i="16"/>
  <c r="Q733" i="16"/>
  <c r="Q732" i="16"/>
  <c r="Q731" i="16"/>
  <c r="Q730" i="16"/>
  <c r="Q729" i="16"/>
  <c r="Q728" i="16"/>
  <c r="Q727" i="16"/>
  <c r="Q726" i="16"/>
  <c r="Q725" i="16"/>
  <c r="Q724" i="16"/>
  <c r="Q723" i="16"/>
  <c r="Q722" i="16"/>
  <c r="U481" i="16"/>
  <c r="U480" i="16"/>
  <c r="U479" i="16"/>
  <c r="U478" i="16"/>
  <c r="U477" i="16"/>
  <c r="U476" i="16"/>
  <c r="U475" i="16"/>
  <c r="U474" i="16"/>
  <c r="U473" i="16"/>
  <c r="U472" i="16"/>
  <c r="U471" i="16"/>
  <c r="U470" i="16"/>
  <c r="Q721" i="16"/>
  <c r="Q720" i="16"/>
  <c r="Q719" i="16"/>
  <c r="Q718" i="16"/>
  <c r="Q717" i="16"/>
  <c r="Q716" i="16"/>
  <c r="Q715" i="16"/>
  <c r="Q714" i="16"/>
  <c r="Q713" i="16"/>
  <c r="Q712" i="16"/>
  <c r="Q711" i="16"/>
  <c r="Q710" i="16"/>
  <c r="Q709" i="16"/>
  <c r="Q708" i="16"/>
  <c r="Q707" i="16"/>
  <c r="Q706" i="16"/>
  <c r="Q705" i="16"/>
  <c r="Q704" i="16"/>
  <c r="Q703" i="16"/>
  <c r="Q702" i="16"/>
  <c r="Q701" i="16"/>
  <c r="Q700" i="16"/>
  <c r="Q699" i="16"/>
  <c r="Q698" i="16"/>
  <c r="U469" i="16"/>
  <c r="U468" i="16"/>
  <c r="U467" i="16"/>
  <c r="U466" i="16"/>
  <c r="U465" i="16"/>
  <c r="U464" i="16"/>
  <c r="U463" i="16"/>
  <c r="U462" i="16"/>
  <c r="U461" i="16"/>
  <c r="U460" i="16"/>
  <c r="U459" i="16"/>
  <c r="U458" i="16"/>
  <c r="U457" i="16"/>
  <c r="U456" i="16"/>
  <c r="U455" i="16"/>
  <c r="U454" i="16"/>
  <c r="U453" i="16"/>
  <c r="U452" i="16"/>
  <c r="U451" i="16"/>
  <c r="U450" i="16"/>
  <c r="U449" i="16"/>
  <c r="U448" i="16"/>
  <c r="U447" i="16"/>
  <c r="U446" i="16"/>
  <c r="U445" i="16"/>
  <c r="U444" i="16"/>
  <c r="U443" i="16"/>
  <c r="U442" i="16"/>
  <c r="U441" i="16"/>
  <c r="U440" i="16"/>
  <c r="U439" i="16"/>
  <c r="U438" i="16"/>
  <c r="U437" i="16"/>
  <c r="U436" i="16"/>
  <c r="U435" i="16"/>
  <c r="U434" i="16"/>
  <c r="U433" i="16"/>
  <c r="U432" i="16"/>
  <c r="U431" i="16"/>
  <c r="U430" i="16"/>
  <c r="U429" i="16"/>
  <c r="U428" i="16"/>
  <c r="U427" i="16"/>
  <c r="U426" i="16"/>
  <c r="U425" i="16"/>
  <c r="U424" i="16"/>
  <c r="U423" i="16"/>
  <c r="U422" i="16"/>
  <c r="U421" i="16"/>
  <c r="U420" i="16"/>
  <c r="U419" i="16"/>
  <c r="U418" i="16"/>
  <c r="U417" i="16"/>
  <c r="U416" i="16"/>
  <c r="U415" i="16"/>
  <c r="U414" i="16"/>
  <c r="U413" i="16"/>
  <c r="U412" i="16"/>
  <c r="U411" i="16"/>
  <c r="U410" i="16"/>
  <c r="U409" i="16"/>
  <c r="U408" i="16"/>
  <c r="U407" i="16"/>
  <c r="U406" i="16"/>
  <c r="U405" i="16"/>
  <c r="U404" i="16"/>
  <c r="U403" i="16"/>
  <c r="U402" i="16"/>
  <c r="U401" i="16"/>
  <c r="U400" i="16"/>
  <c r="U399" i="16"/>
  <c r="U398" i="16"/>
  <c r="Q697" i="16"/>
  <c r="Q696" i="16"/>
  <c r="Q695" i="16"/>
  <c r="Q694" i="16"/>
  <c r="Q693" i="16"/>
  <c r="Q692" i="16"/>
  <c r="Q691" i="16"/>
  <c r="Q690" i="16"/>
  <c r="Q689" i="16"/>
  <c r="Q688" i="16"/>
  <c r="Q687" i="16"/>
  <c r="Q686" i="16"/>
  <c r="U397" i="16"/>
  <c r="U396" i="16"/>
  <c r="U395" i="16"/>
  <c r="U394" i="16"/>
  <c r="U393" i="16"/>
  <c r="U392" i="16"/>
  <c r="U391" i="16"/>
  <c r="U390" i="16"/>
  <c r="U389" i="16"/>
  <c r="U388" i="16"/>
  <c r="U387" i="16"/>
  <c r="U386" i="16"/>
  <c r="U385" i="16"/>
  <c r="U384" i="16"/>
  <c r="U383" i="16"/>
  <c r="U382" i="16"/>
  <c r="U381" i="16"/>
  <c r="U380" i="16"/>
  <c r="U379" i="16"/>
  <c r="U378" i="16"/>
  <c r="U377" i="16"/>
  <c r="U376" i="16"/>
  <c r="U375" i="16"/>
  <c r="U374" i="16"/>
  <c r="U373" i="16"/>
  <c r="U372" i="16"/>
  <c r="U371" i="16"/>
  <c r="U370" i="16"/>
  <c r="U369" i="16"/>
  <c r="U368" i="16"/>
  <c r="U367" i="16"/>
  <c r="U366" i="16"/>
  <c r="U365" i="16"/>
  <c r="U364" i="16"/>
  <c r="U363" i="16"/>
  <c r="U362" i="16"/>
  <c r="R253" i="16"/>
  <c r="R254" i="16" s="1"/>
  <c r="R255" i="16"/>
  <c r="R256" i="16" s="1"/>
  <c r="R257" i="16" s="1"/>
  <c r="R258" i="16" s="1"/>
  <c r="R259" i="16" s="1"/>
  <c r="R260" i="16" s="1"/>
  <c r="R261" i="16" s="1"/>
  <c r="R262" i="16" s="1"/>
  <c r="R263" i="16" s="1"/>
  <c r="R264" i="16" s="1"/>
  <c r="R265" i="16" s="1"/>
  <c r="R266" i="16" s="1"/>
  <c r="R267" i="16" s="1"/>
  <c r="R268" i="16" s="1"/>
  <c r="R269" i="16" s="1"/>
  <c r="R270" i="16" s="1"/>
  <c r="R271" i="16" s="1"/>
  <c r="R272" i="16" s="1"/>
  <c r="R273" i="16" s="1"/>
  <c r="R274" i="16" s="1"/>
  <c r="R275" i="16" s="1"/>
  <c r="R276" i="16" s="1"/>
  <c r="R277" i="16" s="1"/>
  <c r="R278" i="16" s="1"/>
  <c r="R279" i="16" s="1"/>
  <c r="R280" i="16" s="1"/>
  <c r="R281" i="16" s="1"/>
  <c r="R282" i="16" s="1"/>
  <c r="R283" i="16" s="1"/>
  <c r="R284" i="16" s="1"/>
  <c r="R285" i="16" s="1"/>
  <c r="R286" i="16" s="1"/>
  <c r="R287" i="16" s="1"/>
  <c r="R288" i="16" s="1"/>
  <c r="R289" i="16" s="1"/>
  <c r="R290" i="16" s="1"/>
  <c r="R291" i="16" s="1"/>
  <c r="R292" i="16" s="1"/>
  <c r="R293" i="16" s="1"/>
  <c r="R294" i="16" s="1"/>
  <c r="R295" i="16" s="1"/>
  <c r="R296" i="16" s="1"/>
  <c r="R297" i="16" s="1"/>
  <c r="R298" i="16" s="1"/>
  <c r="R299" i="16" s="1"/>
  <c r="R300" i="16" s="1"/>
  <c r="R301" i="16" s="1"/>
  <c r="R302" i="16" s="1"/>
  <c r="R303" i="16" s="1"/>
  <c r="R304" i="16" s="1"/>
  <c r="R305" i="16" s="1"/>
  <c r="R306" i="16" s="1"/>
  <c r="R307" i="16" s="1"/>
  <c r="R308" i="16" s="1"/>
  <c r="R309" i="16" s="1"/>
  <c r="R310" i="16" s="1"/>
  <c r="R311" i="16" s="1"/>
  <c r="R312" i="16" s="1"/>
  <c r="Q685" i="16"/>
  <c r="Q684" i="16"/>
  <c r="Q683" i="16"/>
  <c r="Q682" i="16"/>
  <c r="Q681" i="16"/>
  <c r="Q680" i="16"/>
  <c r="Q679" i="16"/>
  <c r="Q678" i="16"/>
  <c r="Q677" i="16"/>
  <c r="Q676" i="16"/>
  <c r="Q675" i="16"/>
  <c r="Q674" i="16"/>
  <c r="U332" i="16"/>
  <c r="U331" i="16"/>
  <c r="U330" i="16"/>
  <c r="U329" i="16"/>
  <c r="U328" i="16"/>
  <c r="U327" i="16"/>
  <c r="U326" i="16"/>
  <c r="U325" i="16"/>
  <c r="U324" i="16"/>
  <c r="U323" i="16"/>
  <c r="U322" i="16"/>
  <c r="U321" i="16"/>
  <c r="U320" i="16"/>
  <c r="U319" i="16"/>
  <c r="U318" i="16"/>
  <c r="U317" i="16"/>
  <c r="U316" i="16"/>
  <c r="U315" i="16"/>
  <c r="U314" i="16"/>
  <c r="U313" i="16"/>
  <c r="Q673" i="16"/>
  <c r="Q672" i="16"/>
  <c r="Q671" i="16"/>
  <c r="Q670" i="16"/>
  <c r="Q669" i="16"/>
  <c r="Q668" i="16"/>
  <c r="Q667" i="16"/>
  <c r="Q666" i="16"/>
  <c r="Q665" i="16"/>
  <c r="Q664" i="16"/>
  <c r="Q663" i="16"/>
  <c r="Q662" i="16"/>
  <c r="U312" i="16"/>
  <c r="U311" i="16"/>
  <c r="U310" i="16"/>
  <c r="U309" i="16"/>
  <c r="U308" i="16"/>
  <c r="U307" i="16"/>
  <c r="U306" i="16"/>
  <c r="U305" i="16"/>
  <c r="U304" i="16"/>
  <c r="U303" i="16"/>
  <c r="U302" i="16"/>
  <c r="U301" i="16"/>
  <c r="U300" i="16"/>
  <c r="U299" i="16"/>
  <c r="U298" i="16"/>
  <c r="U297" i="16"/>
  <c r="U296" i="16"/>
  <c r="U295" i="16"/>
  <c r="U294" i="16"/>
  <c r="U293" i="16"/>
  <c r="U292" i="16"/>
  <c r="U291" i="16"/>
  <c r="U290" i="16"/>
  <c r="U289" i="16"/>
  <c r="U288" i="16"/>
  <c r="U287" i="16"/>
  <c r="U286" i="16"/>
  <c r="U285" i="16"/>
  <c r="U284" i="16"/>
  <c r="U283" i="16"/>
  <c r="U282" i="16"/>
  <c r="U281" i="16"/>
  <c r="U280" i="16"/>
  <c r="U279" i="16"/>
  <c r="U278" i="16"/>
  <c r="U277" i="16"/>
  <c r="Q661" i="16"/>
  <c r="Q660" i="16"/>
  <c r="Q659" i="16"/>
  <c r="Q658" i="16"/>
  <c r="Q657" i="16"/>
  <c r="Q656" i="16"/>
  <c r="Q655" i="16"/>
  <c r="Q654" i="16"/>
  <c r="Q653" i="16"/>
  <c r="Q652" i="16"/>
  <c r="Q651" i="16"/>
  <c r="Q650" i="16"/>
  <c r="U276" i="16"/>
  <c r="U275" i="16"/>
  <c r="U274" i="16"/>
  <c r="U273" i="16"/>
  <c r="U272" i="16"/>
  <c r="U271" i="16"/>
  <c r="U270" i="16"/>
  <c r="U269" i="16"/>
  <c r="U268" i="16"/>
  <c r="U267" i="16"/>
  <c r="U266" i="16"/>
  <c r="U265" i="16"/>
  <c r="U264" i="16"/>
  <c r="U263" i="16"/>
  <c r="U262" i="16"/>
  <c r="U261" i="16"/>
  <c r="U260" i="16"/>
  <c r="U259" i="16"/>
  <c r="U258" i="16"/>
  <c r="U257" i="16"/>
  <c r="U256" i="16"/>
  <c r="U255" i="16"/>
  <c r="U254" i="16"/>
  <c r="U253" i="16"/>
  <c r="U252" i="16"/>
  <c r="U251" i="16"/>
  <c r="U250" i="16"/>
  <c r="U249" i="16"/>
  <c r="U248" i="16"/>
  <c r="U247" i="16"/>
  <c r="U246" i="16"/>
  <c r="U245" i="16"/>
  <c r="U244" i="16"/>
  <c r="U243" i="16"/>
  <c r="U242" i="16"/>
  <c r="U241" i="16"/>
  <c r="U240" i="16"/>
  <c r="U239" i="16"/>
  <c r="U238" i="16"/>
  <c r="U237" i="16"/>
  <c r="U236" i="16"/>
  <c r="U235" i="16"/>
  <c r="U234" i="16"/>
  <c r="U233" i="16"/>
  <c r="U232" i="16"/>
  <c r="U231" i="16"/>
  <c r="U230" i="16"/>
  <c r="U229" i="16"/>
  <c r="U228" i="16"/>
  <c r="U227" i="16"/>
  <c r="U226" i="16"/>
  <c r="U225" i="16"/>
  <c r="U224" i="16"/>
  <c r="U223" i="16"/>
  <c r="U222" i="16"/>
  <c r="U221" i="16"/>
  <c r="U220" i="16"/>
  <c r="U219" i="16"/>
  <c r="U218" i="16"/>
  <c r="U217" i="16"/>
  <c r="U216" i="16"/>
  <c r="U215" i="16"/>
  <c r="U214" i="16"/>
  <c r="U213" i="16"/>
  <c r="U212" i="16"/>
  <c r="U211" i="16"/>
  <c r="U210" i="16"/>
  <c r="U209" i="16"/>
  <c r="U208" i="16"/>
  <c r="U207" i="16"/>
  <c r="U206" i="16"/>
  <c r="U205" i="16"/>
  <c r="Q649" i="16"/>
  <c r="Q648" i="16"/>
  <c r="Q647" i="16"/>
  <c r="Q646" i="16"/>
  <c r="Q645" i="16"/>
  <c r="Q644" i="16"/>
  <c r="Q643" i="16"/>
  <c r="Q642" i="16"/>
  <c r="Q641" i="16"/>
  <c r="Q640" i="16"/>
  <c r="Q639" i="16"/>
  <c r="Q638" i="16"/>
  <c r="U204" i="16"/>
  <c r="U203" i="16"/>
  <c r="U202" i="16"/>
  <c r="U201" i="16"/>
  <c r="U200" i="16"/>
  <c r="U199" i="16"/>
  <c r="U198" i="16"/>
  <c r="U197" i="16"/>
  <c r="U196" i="16"/>
  <c r="U195" i="16"/>
  <c r="U194" i="16"/>
  <c r="U193" i="16"/>
  <c r="U192" i="16"/>
  <c r="U191" i="16"/>
  <c r="U190" i="16"/>
  <c r="U189" i="16"/>
  <c r="U188" i="16"/>
  <c r="U187" i="16"/>
  <c r="U186" i="16"/>
  <c r="U185" i="16"/>
  <c r="U184" i="16"/>
  <c r="U183" i="16"/>
  <c r="U182" i="16"/>
  <c r="U181" i="16"/>
  <c r="U180" i="16"/>
  <c r="U179" i="16"/>
  <c r="U178" i="16"/>
  <c r="U177" i="16"/>
  <c r="U176" i="16"/>
  <c r="U175" i="16"/>
  <c r="Q637" i="16"/>
  <c r="Q636" i="16"/>
  <c r="Q635" i="16"/>
  <c r="Q634" i="16"/>
  <c r="Q633" i="16"/>
  <c r="Q632" i="16"/>
  <c r="Q631" i="16"/>
  <c r="Q630" i="16"/>
  <c r="Q629" i="16"/>
  <c r="Q628" i="16"/>
  <c r="Q627" i="16"/>
  <c r="Q626" i="16"/>
  <c r="T625" i="16"/>
  <c r="Q625" i="16"/>
  <c r="Q624" i="16"/>
  <c r="Q623" i="16"/>
  <c r="Q622" i="16"/>
  <c r="Q621" i="16"/>
  <c r="Q620" i="16"/>
  <c r="Q619" i="16"/>
  <c r="Q618" i="16"/>
  <c r="Q617" i="16"/>
  <c r="Q616" i="16"/>
  <c r="Q615" i="16"/>
  <c r="Q614" i="16"/>
  <c r="D20" i="5"/>
  <c r="D22" i="5"/>
  <c r="E22" i="5" s="1"/>
  <c r="Q613" i="16"/>
  <c r="Q612" i="16"/>
  <c r="Q611" i="16"/>
  <c r="Q610" i="16"/>
  <c r="Q609" i="16"/>
  <c r="Q608" i="16"/>
  <c r="Q607" i="16"/>
  <c r="Q606" i="16"/>
  <c r="Q605" i="16"/>
  <c r="Q604" i="16"/>
  <c r="Q603" i="16"/>
  <c r="Q602" i="16"/>
  <c r="Q601" i="16"/>
  <c r="Q600" i="16"/>
  <c r="Q599" i="16"/>
  <c r="Q598" i="16"/>
  <c r="Q597" i="16"/>
  <c r="Q596" i="16"/>
  <c r="Q595" i="16"/>
  <c r="Q594" i="16"/>
  <c r="Q593" i="16"/>
  <c r="Q592" i="16"/>
  <c r="Q591" i="16"/>
  <c r="Q590" i="16"/>
  <c r="Q524" i="16"/>
  <c r="T433" i="16"/>
  <c r="T432" i="16"/>
  <c r="T431" i="16"/>
  <c r="T430" i="16"/>
  <c r="T429" i="16"/>
  <c r="T428" i="16"/>
  <c r="T427" i="16"/>
  <c r="T426" i="16"/>
  <c r="T425" i="16"/>
  <c r="T424" i="16"/>
  <c r="T423" i="16"/>
  <c r="T422" i="1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T421" i="16"/>
  <c r="T420" i="16"/>
  <c r="T419" i="16"/>
  <c r="T418" i="16"/>
  <c r="T417" i="16"/>
  <c r="T416" i="16"/>
  <c r="T415" i="16"/>
  <c r="T414" i="16"/>
  <c r="T413" i="16"/>
  <c r="T412" i="16"/>
  <c r="T411" i="16"/>
  <c r="T410" i="16"/>
  <c r="T409" i="16"/>
  <c r="T408" i="16"/>
  <c r="T407" i="16"/>
  <c r="T406" i="16"/>
  <c r="T405" i="16"/>
  <c r="T404" i="16"/>
  <c r="T403" i="16"/>
  <c r="T402" i="16"/>
  <c r="T401" i="16"/>
  <c r="T400" i="16"/>
  <c r="T399" i="16"/>
  <c r="T398" i="16"/>
  <c r="T397" i="16"/>
  <c r="T396" i="16"/>
  <c r="T395" i="16"/>
  <c r="T394" i="16"/>
  <c r="T393" i="16"/>
  <c r="T392" i="16"/>
  <c r="T391" i="16"/>
  <c r="T390" i="16"/>
  <c r="T389" i="16"/>
  <c r="T388" i="16"/>
  <c r="T387" i="16"/>
  <c r="T386" i="16"/>
  <c r="T385" i="16"/>
  <c r="T384" i="16"/>
  <c r="T383" i="16"/>
  <c r="T382" i="16"/>
  <c r="T381" i="16"/>
  <c r="T380" i="16"/>
  <c r="T379" i="16"/>
  <c r="T378" i="16"/>
  <c r="T377" i="16"/>
  <c r="T376" i="16"/>
  <c r="T375" i="16"/>
  <c r="T374" i="16"/>
  <c r="C54" i="5"/>
  <c r="C53" i="5"/>
  <c r="C52" i="5"/>
  <c r="C51" i="5"/>
  <c r="C50" i="5"/>
  <c r="C49" i="5"/>
  <c r="C48" i="5"/>
  <c r="C47" i="5"/>
  <c r="C46" i="5"/>
  <c r="C45" i="5"/>
  <c r="C44" i="5"/>
  <c r="C43" i="5"/>
  <c r="T373" i="16"/>
  <c r="T372" i="16"/>
  <c r="T371" i="16"/>
  <c r="T370" i="16"/>
  <c r="T369" i="16"/>
  <c r="T368" i="16"/>
  <c r="T367" i="16"/>
  <c r="T366" i="16"/>
  <c r="T365" i="16"/>
  <c r="T364" i="16"/>
  <c r="T363" i="16"/>
  <c r="T362" i="16"/>
  <c r="T332" i="16"/>
  <c r="T331" i="16"/>
  <c r="T330" i="16"/>
  <c r="T329" i="16"/>
  <c r="T328" i="16"/>
  <c r="T327" i="16"/>
  <c r="T326" i="16"/>
  <c r="T325" i="16"/>
  <c r="T324" i="16"/>
  <c r="T323" i="16"/>
  <c r="T322" i="16"/>
  <c r="T321" i="16"/>
  <c r="T320" i="16"/>
  <c r="T319" i="16"/>
  <c r="T318" i="16"/>
  <c r="T317" i="16"/>
  <c r="T316" i="16"/>
  <c r="T315" i="16"/>
  <c r="T314" i="16"/>
  <c r="T313" i="16"/>
  <c r="Q523" i="16"/>
  <c r="Q522" i="16"/>
  <c r="Q521" i="16"/>
  <c r="Q520" i="16"/>
  <c r="Q519" i="16"/>
  <c r="Q518" i="16"/>
  <c r="T312" i="16"/>
  <c r="T311" i="16"/>
  <c r="T310" i="16"/>
  <c r="T309" i="16"/>
  <c r="T308" i="16"/>
  <c r="T307" i="16"/>
  <c r="T306" i="16"/>
  <c r="T305" i="16"/>
  <c r="T304" i="16"/>
  <c r="T303" i="16"/>
  <c r="T302" i="16"/>
  <c r="T301" i="16"/>
  <c r="Q517" i="16"/>
  <c r="Q516" i="16"/>
  <c r="Q515" i="16"/>
  <c r="Q514" i="16"/>
  <c r="Q513" i="16"/>
  <c r="Q512" i="16"/>
  <c r="Q511" i="16"/>
  <c r="Q510" i="16"/>
  <c r="Q509" i="16"/>
  <c r="Q508" i="16"/>
  <c r="Q507" i="16"/>
  <c r="Q506" i="16"/>
  <c r="T300" i="16"/>
  <c r="T299" i="16"/>
  <c r="T298" i="16"/>
  <c r="T297" i="16"/>
  <c r="T296" i="16"/>
  <c r="T295" i="16"/>
  <c r="T294" i="16"/>
  <c r="T293" i="16"/>
  <c r="T292" i="16"/>
  <c r="T291" i="16"/>
  <c r="T290" i="16"/>
  <c r="T289" i="16"/>
  <c r="Q505" i="16"/>
  <c r="Q504" i="16"/>
  <c r="Q503" i="16"/>
  <c r="Q502" i="16"/>
  <c r="Q501" i="16"/>
  <c r="Q500" i="16"/>
  <c r="Q499" i="16"/>
  <c r="Q498" i="16"/>
  <c r="Q497" i="16"/>
  <c r="Q496" i="16"/>
  <c r="Q495" i="16"/>
  <c r="Q494" i="16"/>
  <c r="T288" i="16"/>
  <c r="T287" i="16"/>
  <c r="T286" i="16"/>
  <c r="T285" i="16"/>
  <c r="T284" i="16"/>
  <c r="T283" i="16"/>
  <c r="T282" i="16"/>
  <c r="T281" i="16"/>
  <c r="T280" i="16"/>
  <c r="T279" i="16"/>
  <c r="T278" i="16"/>
  <c r="T277" i="16"/>
  <c r="T276" i="16"/>
  <c r="T275" i="16"/>
  <c r="T274" i="16"/>
  <c r="T273" i="16"/>
  <c r="T272" i="16"/>
  <c r="T271" i="16"/>
  <c r="T270" i="16"/>
  <c r="T269" i="16"/>
  <c r="T268" i="16"/>
  <c r="T267" i="16"/>
  <c r="T266" i="16"/>
  <c r="T265" i="16"/>
  <c r="Q493" i="16"/>
  <c r="Q492" i="16"/>
  <c r="Q491" i="16"/>
  <c r="Q490" i="16"/>
  <c r="Q489" i="16"/>
  <c r="Q488" i="16"/>
  <c r="Q487" i="16"/>
  <c r="Q486" i="16"/>
  <c r="Q485" i="16"/>
  <c r="Q484" i="16"/>
  <c r="Q483" i="16"/>
  <c r="Q482" i="16"/>
  <c r="T264" i="16"/>
  <c r="T263" i="16"/>
  <c r="T262" i="16"/>
  <c r="T261" i="16"/>
  <c r="T260" i="16"/>
  <c r="T259" i="16"/>
  <c r="T258" i="16"/>
  <c r="T257" i="16"/>
  <c r="T256" i="16"/>
  <c r="T255" i="16"/>
  <c r="T254" i="16"/>
  <c r="T253" i="16"/>
  <c r="Q481" i="16"/>
  <c r="Q480" i="16"/>
  <c r="Q479" i="16"/>
  <c r="Q478" i="16"/>
  <c r="Q477" i="16"/>
  <c r="Q476" i="16"/>
  <c r="Q475" i="16"/>
  <c r="Q474" i="16"/>
  <c r="Q473" i="16"/>
  <c r="Q472" i="16"/>
  <c r="Q471" i="16"/>
  <c r="Q470" i="16"/>
  <c r="T252" i="16"/>
  <c r="T251" i="16"/>
  <c r="T250" i="16"/>
  <c r="T249" i="16"/>
  <c r="T248" i="16"/>
  <c r="T247" i="16"/>
  <c r="T246" i="16"/>
  <c r="T245" i="16"/>
  <c r="T244" i="16"/>
  <c r="T243" i="16"/>
  <c r="T242" i="16"/>
  <c r="T241" i="16"/>
  <c r="Q469" i="16"/>
  <c r="Q468" i="16"/>
  <c r="Q467" i="16"/>
  <c r="Q466" i="16"/>
  <c r="Q465" i="16"/>
  <c r="Q464" i="16"/>
  <c r="Q463" i="16"/>
  <c r="Q462" i="16"/>
  <c r="Q461" i="16"/>
  <c r="Q460" i="16"/>
  <c r="Q459" i="16"/>
  <c r="Q458" i="16"/>
  <c r="T240" i="16"/>
  <c r="T239" i="16"/>
  <c r="T238" i="16"/>
  <c r="T237" i="16"/>
  <c r="T236" i="16"/>
  <c r="T235" i="16"/>
  <c r="T234" i="16"/>
  <c r="T233" i="16"/>
  <c r="T232" i="16"/>
  <c r="T231" i="16"/>
  <c r="T230" i="16"/>
  <c r="T229" i="16"/>
  <c r="Q457" i="16"/>
  <c r="Q456" i="16"/>
  <c r="Q455" i="16"/>
  <c r="Q454" i="16"/>
  <c r="Q453" i="16"/>
  <c r="Q452" i="16"/>
  <c r="Q451" i="16"/>
  <c r="Q450" i="16"/>
  <c r="Q449" i="16"/>
  <c r="Q448" i="16"/>
  <c r="Q447" i="16"/>
  <c r="Q446" i="16"/>
  <c r="T228" i="16"/>
  <c r="T227" i="16"/>
  <c r="T226" i="16"/>
  <c r="T225" i="16"/>
  <c r="T224" i="16"/>
  <c r="T223" i="16"/>
  <c r="T222" i="16"/>
  <c r="T221" i="16"/>
  <c r="T220" i="16"/>
  <c r="T219" i="16"/>
  <c r="T218" i="16"/>
  <c r="T217" i="16"/>
  <c r="Q445" i="16"/>
  <c r="Q444" i="16"/>
  <c r="Q443" i="16"/>
  <c r="Q442" i="16"/>
  <c r="Q441" i="16"/>
  <c r="Q440" i="16"/>
  <c r="Q439" i="16"/>
  <c r="Q438" i="16"/>
  <c r="Q437" i="16"/>
  <c r="Q436" i="16"/>
  <c r="Q435" i="16"/>
  <c r="Q434" i="16"/>
  <c r="T216" i="16"/>
  <c r="T215" i="16"/>
  <c r="T214" i="16"/>
  <c r="T213" i="16"/>
  <c r="T212" i="16"/>
  <c r="T211" i="16"/>
  <c r="T210" i="16"/>
  <c r="T209" i="16"/>
  <c r="T208" i="16"/>
  <c r="T207" i="16"/>
  <c r="T206" i="16"/>
  <c r="T205" i="16"/>
  <c r="Q433" i="16"/>
  <c r="Q432" i="16"/>
  <c r="Q431" i="16"/>
  <c r="Q430" i="16"/>
  <c r="Q429" i="16"/>
  <c r="Q428" i="16"/>
  <c r="Q427" i="16"/>
  <c r="Q426" i="16"/>
  <c r="Q425" i="16"/>
  <c r="Q424" i="16"/>
  <c r="Q423" i="16"/>
  <c r="Q422" i="16"/>
  <c r="T204" i="16"/>
  <c r="T203" i="16"/>
  <c r="T202" i="16"/>
  <c r="T201" i="16"/>
  <c r="T200" i="16"/>
  <c r="T199" i="16"/>
  <c r="T198" i="16"/>
  <c r="T197" i="16"/>
  <c r="T196" i="16"/>
  <c r="T195" i="16"/>
  <c r="T194" i="16"/>
  <c r="T193" i="16"/>
  <c r="Q421" i="16"/>
  <c r="Q420" i="16"/>
  <c r="Q419" i="16"/>
  <c r="Q418" i="16"/>
  <c r="Q417" i="16"/>
  <c r="Q416" i="16"/>
  <c r="Q415" i="16"/>
  <c r="Q414" i="16"/>
  <c r="Q413" i="16"/>
  <c r="Q412" i="16"/>
  <c r="Q411" i="16"/>
  <c r="Q410" i="16"/>
  <c r="T192" i="16"/>
  <c r="T191" i="16"/>
  <c r="T190" i="16"/>
  <c r="T189" i="16"/>
  <c r="T188" i="16"/>
  <c r="T187" i="16"/>
  <c r="T186" i="16"/>
  <c r="T185" i="16"/>
  <c r="T184" i="16"/>
  <c r="T183" i="16"/>
  <c r="T182" i="16"/>
  <c r="T181" i="16"/>
  <c r="T180" i="16"/>
  <c r="T179" i="16"/>
  <c r="T178" i="16"/>
  <c r="T177" i="16"/>
  <c r="T176" i="16"/>
  <c r="T175" i="16"/>
  <c r="T174" i="16"/>
  <c r="T173" i="16"/>
  <c r="T172" i="16"/>
  <c r="T171" i="16"/>
  <c r="T170" i="16"/>
  <c r="T169" i="16"/>
  <c r="B3" i="5"/>
  <c r="T167" i="16"/>
  <c r="T166" i="16"/>
  <c r="T165" i="16"/>
  <c r="Q409" i="16"/>
  <c r="Q408" i="16"/>
  <c r="Q407" i="16"/>
  <c r="Q406" i="16"/>
  <c r="Q405" i="16"/>
  <c r="Q404" i="16"/>
  <c r="Q403" i="16"/>
  <c r="Q402" i="16"/>
  <c r="Q401" i="16"/>
  <c r="Q400" i="16"/>
  <c r="Q399" i="16"/>
  <c r="Q398" i="16"/>
  <c r="Q166" i="16"/>
  <c r="R374" i="16"/>
  <c r="R375" i="16"/>
  <c r="R376" i="16" s="1"/>
  <c r="R377" i="16" s="1"/>
  <c r="R378" i="16" s="1"/>
  <c r="R379" i="16" s="1"/>
  <c r="R380" i="16"/>
  <c r="R381" i="16" s="1"/>
  <c r="R382" i="16" s="1"/>
  <c r="R383" i="16" s="1"/>
  <c r="R384" i="16" s="1"/>
  <c r="R385" i="16" s="1"/>
  <c r="Q397" i="16"/>
  <c r="Q396" i="16"/>
  <c r="Q395" i="16"/>
  <c r="Q394" i="16"/>
  <c r="Q393" i="16"/>
  <c r="Q392" i="16"/>
  <c r="Q391" i="16"/>
  <c r="Q390" i="16"/>
  <c r="Q389" i="16"/>
  <c r="Q388" i="16"/>
  <c r="Q387" i="16"/>
  <c r="Q386" i="16"/>
  <c r="Q385" i="16"/>
  <c r="Q384" i="16"/>
  <c r="Q383" i="16"/>
  <c r="Q382" i="16"/>
  <c r="Q381" i="16"/>
  <c r="Q380" i="16"/>
  <c r="Q379" i="16"/>
  <c r="Q378" i="16"/>
  <c r="Q377" i="16"/>
  <c r="Q376" i="16"/>
  <c r="Q375" i="16"/>
  <c r="Q374" i="16"/>
  <c r="Q373" i="16"/>
  <c r="Q372" i="16"/>
  <c r="Q371" i="16"/>
  <c r="Q370" i="16"/>
  <c r="Q369" i="16"/>
  <c r="Q368" i="16"/>
  <c r="Q367" i="16"/>
  <c r="Q366" i="16"/>
  <c r="Q365" i="16"/>
  <c r="Q364" i="16"/>
  <c r="Q363" i="16"/>
  <c r="Q362" i="16"/>
  <c r="Q332" i="16"/>
  <c r="Q331" i="16"/>
  <c r="Q330" i="16"/>
  <c r="Q329" i="16"/>
  <c r="Q328" i="16"/>
  <c r="Q327" i="16"/>
  <c r="Q326" i="16"/>
  <c r="Q325" i="16"/>
  <c r="Q324" i="16"/>
  <c r="Q323" i="16"/>
  <c r="Q322" i="16"/>
  <c r="Q321" i="16"/>
  <c r="Q320" i="16"/>
  <c r="Q319" i="16"/>
  <c r="Q318" i="16"/>
  <c r="Q317" i="16"/>
  <c r="Q316" i="16"/>
  <c r="Q315" i="16"/>
  <c r="Q314" i="16"/>
  <c r="Q313" i="16"/>
  <c r="Q312" i="16"/>
  <c r="Q311" i="16"/>
  <c r="Q310" i="16"/>
  <c r="Q309" i="16"/>
  <c r="Q308" i="16"/>
  <c r="Q307" i="16"/>
  <c r="Q306" i="16"/>
  <c r="Q305" i="16"/>
  <c r="Q304" i="16"/>
  <c r="Q303" i="16"/>
  <c r="Q302" i="16"/>
  <c r="Q301" i="16"/>
  <c r="Q300" i="16"/>
  <c r="Q299" i="16"/>
  <c r="Q298" i="16"/>
  <c r="Q297" i="16"/>
  <c r="Q296" i="16"/>
  <c r="Q295" i="16"/>
  <c r="Q294" i="16"/>
  <c r="Q293" i="16"/>
  <c r="Q292" i="16"/>
  <c r="Q291" i="16"/>
  <c r="Q290" i="16"/>
  <c r="Q289" i="16"/>
  <c r="Q288" i="16"/>
  <c r="Q287" i="16"/>
  <c r="Q286" i="16"/>
  <c r="Q285" i="16"/>
  <c r="Q284" i="16"/>
  <c r="Q283" i="16"/>
  <c r="Q282" i="16"/>
  <c r="Q281" i="16"/>
  <c r="Q280" i="16"/>
  <c r="Q279" i="16"/>
  <c r="Q278" i="16"/>
  <c r="Q277" i="16"/>
  <c r="Q276" i="16"/>
  <c r="Q275" i="16"/>
  <c r="Q274" i="16"/>
  <c r="Q273" i="16"/>
  <c r="Q272" i="16"/>
  <c r="Q271" i="16"/>
  <c r="Q270" i="16"/>
  <c r="Q269" i="16"/>
  <c r="Q268" i="16"/>
  <c r="Q267" i="16"/>
  <c r="Q266" i="16"/>
  <c r="Q265" i="16"/>
  <c r="Q264" i="16"/>
  <c r="Q263" i="16"/>
  <c r="Q262" i="16"/>
  <c r="Q261" i="16"/>
  <c r="Q260" i="16"/>
  <c r="Q259" i="16"/>
  <c r="Q258" i="16"/>
  <c r="Q257" i="16"/>
  <c r="Q256" i="16"/>
  <c r="Q255" i="16"/>
  <c r="Q254" i="16"/>
  <c r="Q253" i="16"/>
  <c r="Q252" i="16"/>
  <c r="Q251" i="16"/>
  <c r="Q250" i="16"/>
  <c r="Q249" i="16"/>
  <c r="Q248" i="16"/>
  <c r="Q247" i="16"/>
  <c r="Q246" i="16"/>
  <c r="Q245" i="16"/>
  <c r="Q244" i="16"/>
  <c r="Q243" i="16"/>
  <c r="Q242" i="16"/>
  <c r="Q241" i="16"/>
  <c r="Q240" i="16"/>
  <c r="Q239" i="16"/>
  <c r="Q238" i="16"/>
  <c r="Q237" i="16"/>
  <c r="Q236" i="16"/>
  <c r="Q235" i="16"/>
  <c r="Q234" i="16"/>
  <c r="Q233" i="16"/>
  <c r="Q232" i="16"/>
  <c r="Q231" i="16"/>
  <c r="Q230" i="16"/>
  <c r="Q229" i="16"/>
  <c r="Q228" i="16"/>
  <c r="Q227" i="16"/>
  <c r="Q226" i="16"/>
  <c r="Q225" i="16"/>
  <c r="Q224" i="16"/>
  <c r="Q223" i="16"/>
  <c r="Q222" i="16"/>
  <c r="Q221" i="16"/>
  <c r="Q220" i="16"/>
  <c r="Q219" i="16"/>
  <c r="Q218" i="16"/>
  <c r="Q217" i="16"/>
  <c r="Q216" i="16"/>
  <c r="Q215" i="16"/>
  <c r="Q214" i="16"/>
  <c r="Q213" i="16"/>
  <c r="Q212" i="16"/>
  <c r="Q211" i="16"/>
  <c r="Q210" i="16"/>
  <c r="Q209" i="16"/>
  <c r="Q208" i="16"/>
  <c r="Q207" i="16"/>
  <c r="Q206" i="16"/>
  <c r="Q205" i="16"/>
  <c r="Q204" i="16"/>
  <c r="Q203" i="16"/>
  <c r="Q202" i="16"/>
  <c r="Q201" i="16"/>
  <c r="Q200" i="16"/>
  <c r="Q199" i="16"/>
  <c r="Q198" i="16"/>
  <c r="Q197" i="16"/>
  <c r="Q196" i="16"/>
  <c r="Q195" i="16"/>
  <c r="Q194" i="16"/>
  <c r="Q193" i="16"/>
  <c r="T101" i="16"/>
  <c r="T100" i="16"/>
  <c r="T99" i="16"/>
  <c r="T98" i="16"/>
  <c r="T97" i="16"/>
  <c r="T96" i="16"/>
  <c r="Q192" i="16"/>
  <c r="Q191" i="16"/>
  <c r="Q190" i="16"/>
  <c r="Q189" i="16"/>
  <c r="Q188" i="16"/>
  <c r="Q187" i="16"/>
  <c r="Q186" i="16"/>
  <c r="Q185" i="16"/>
  <c r="Q184" i="16"/>
  <c r="Q183" i="16"/>
  <c r="Q182" i="16"/>
  <c r="Q181" i="16"/>
  <c r="Q180" i="16"/>
  <c r="Q179" i="16"/>
  <c r="Q178" i="16"/>
  <c r="Q177" i="16"/>
  <c r="Q176" i="16"/>
  <c r="Q175" i="16"/>
  <c r="Q174" i="16"/>
  <c r="Q173" i="16"/>
  <c r="Q172" i="16"/>
  <c r="Q171" i="16"/>
  <c r="Q170" i="16"/>
  <c r="Q169" i="16"/>
  <c r="Q167" i="16"/>
  <c r="Q165" i="16"/>
  <c r="Q152" i="16"/>
  <c r="Q151" i="16"/>
  <c r="Q150" i="16"/>
  <c r="Q148" i="16"/>
  <c r="Q147" i="16"/>
  <c r="Q146" i="16"/>
  <c r="Q145" i="16"/>
  <c r="Q144" i="16"/>
  <c r="Q143" i="16"/>
  <c r="Q142" i="16"/>
  <c r="Q141" i="16"/>
  <c r="Q134" i="16"/>
  <c r="Q133" i="16"/>
  <c r="Q132" i="16"/>
  <c r="Q131" i="16"/>
  <c r="Q130" i="16"/>
  <c r="Q129" i="16"/>
  <c r="Q128" i="16"/>
  <c r="Q127" i="16"/>
  <c r="Q126" i="16"/>
  <c r="Q125" i="16"/>
  <c r="Q124" i="16"/>
  <c r="Q123" i="16"/>
  <c r="Q122" i="16"/>
  <c r="Q121" i="16"/>
  <c r="Q120" i="16"/>
  <c r="Q119" i="16"/>
  <c r="Q118" i="16"/>
  <c r="Q117" i="16"/>
  <c r="Q116" i="16"/>
  <c r="Q115" i="16"/>
  <c r="Q114" i="16"/>
  <c r="Q113" i="16"/>
  <c r="Q112" i="16"/>
  <c r="Q111" i="16"/>
  <c r="Q110" i="16"/>
  <c r="Q109" i="16"/>
  <c r="Q108" i="16"/>
  <c r="Q107" i="16"/>
  <c r="Q106" i="16"/>
  <c r="Q105" i="16"/>
  <c r="Q104" i="16"/>
  <c r="Q103" i="16"/>
  <c r="Q102" i="16"/>
  <c r="Q101" i="16"/>
  <c r="Q100" i="16"/>
  <c r="Q99" i="16"/>
  <c r="Q98" i="16"/>
  <c r="Q97" i="16"/>
  <c r="Q96" i="16"/>
  <c r="Q95" i="16"/>
  <c r="R89" i="16"/>
  <c r="R90" i="16"/>
  <c r="R91" i="16"/>
  <c r="R92" i="16" s="1"/>
  <c r="R93" i="16" s="1"/>
  <c r="R94" i="16" s="1"/>
  <c r="Q94" i="16"/>
  <c r="Q93" i="16"/>
  <c r="Q92" i="16"/>
  <c r="Q91" i="16"/>
  <c r="Q90" i="16"/>
  <c r="Q89" i="16"/>
  <c r="R95" i="16"/>
  <c r="R96" i="16"/>
  <c r="R97" i="16"/>
  <c r="R98" i="16"/>
  <c r="R99" i="16" s="1"/>
  <c r="R100" i="16" s="1"/>
  <c r="R101" i="16" s="1"/>
  <c r="R102" i="16" s="1"/>
  <c r="R103" i="16" s="1"/>
  <c r="R104" i="16" s="1"/>
  <c r="R105" i="16" s="1"/>
  <c r="R106" i="16" s="1"/>
  <c r="R107" i="16" s="1"/>
  <c r="R108" i="16" s="1"/>
  <c r="R109" i="16" s="1"/>
  <c r="R110" i="16" s="1"/>
  <c r="R111" i="16" s="1"/>
  <c r="R112" i="16" s="1"/>
  <c r="R113" i="16" s="1"/>
  <c r="R114" i="16" s="1"/>
  <c r="R115" i="16" s="1"/>
  <c r="R116" i="16" s="1"/>
  <c r="R117" i="16" s="1"/>
  <c r="R118" i="16" s="1"/>
  <c r="R119" i="16" s="1"/>
  <c r="R120" i="16" s="1"/>
  <c r="R121" i="16" s="1"/>
  <c r="R122" i="16" s="1"/>
  <c r="R123" i="16" s="1"/>
  <c r="R124" i="16" s="1"/>
  <c r="R125" i="16" s="1"/>
  <c r="R126" i="16" s="1"/>
  <c r="R127" i="16" s="1"/>
  <c r="R128" i="16" s="1"/>
  <c r="R129" i="16" s="1"/>
  <c r="R130" i="16" s="1"/>
  <c r="R131" i="16" s="1"/>
  <c r="R132" i="16" s="1"/>
  <c r="R133" i="16" s="1"/>
  <c r="R134" i="16" s="1"/>
  <c r="Q88" i="16"/>
  <c r="Q87" i="16"/>
  <c r="Q86" i="16"/>
  <c r="Q85" i="16"/>
  <c r="Q84" i="16"/>
  <c r="Q83" i="16"/>
  <c r="Q82" i="16"/>
  <c r="Q81" i="16"/>
  <c r="Q80" i="16"/>
  <c r="Q79" i="16"/>
  <c r="Q78" i="16"/>
  <c r="Q77" i="16"/>
  <c r="Q76" i="16"/>
  <c r="Q75" i="16"/>
  <c r="Q74" i="16"/>
  <c r="Q73" i="16"/>
  <c r="Q72" i="16"/>
  <c r="Q71" i="16"/>
  <c r="Q70" i="16"/>
  <c r="Q69" i="16"/>
  <c r="Q68" i="16"/>
  <c r="Q44" i="16"/>
  <c r="T43" i="16"/>
  <c r="T42" i="16"/>
  <c r="T41" i="16"/>
  <c r="T40" i="16"/>
  <c r="T39" i="16"/>
  <c r="T38" i="16"/>
  <c r="T37" i="16"/>
  <c r="T36" i="16"/>
  <c r="T35" i="16"/>
  <c r="T34" i="16"/>
  <c r="T33" i="16"/>
  <c r="T32" i="16"/>
  <c r="T31" i="16"/>
  <c r="T30" i="16"/>
  <c r="T29" i="16"/>
  <c r="T28" i="16"/>
  <c r="T27" i="16"/>
  <c r="T26" i="16"/>
  <c r="T25" i="16"/>
  <c r="T24" i="16"/>
  <c r="T23" i="16"/>
  <c r="T22" i="16"/>
  <c r="T21" i="16"/>
  <c r="T20" i="16"/>
  <c r="T19" i="16"/>
  <c r="T18" i="16"/>
  <c r="T17" i="16"/>
  <c r="T16" i="16"/>
  <c r="T15" i="16"/>
  <c r="T14" i="16"/>
  <c r="T13" i="16"/>
  <c r="T12" i="16"/>
  <c r="T11" i="16"/>
  <c r="T10" i="16"/>
  <c r="T9" i="16"/>
  <c r="T8" i="16"/>
  <c r="S43" i="16"/>
  <c r="S42" i="16"/>
  <c r="S41" i="16"/>
  <c r="S40" i="16"/>
  <c r="S39" i="16"/>
  <c r="S38" i="16"/>
  <c r="S37" i="16"/>
  <c r="S36" i="16"/>
  <c r="S35" i="16"/>
  <c r="S34" i="16"/>
  <c r="S33" i="16"/>
  <c r="S32" i="16"/>
  <c r="S31" i="16"/>
  <c r="S30" i="16"/>
  <c r="S29" i="16"/>
  <c r="S28" i="16"/>
  <c r="S27" i="16"/>
  <c r="S26" i="16"/>
  <c r="S25" i="16"/>
  <c r="S24" i="16"/>
  <c r="S23" i="16"/>
  <c r="S22" i="16"/>
  <c r="S21" i="16"/>
  <c r="S20" i="16"/>
  <c r="S19" i="16"/>
  <c r="S18" i="16"/>
  <c r="S17" i="16"/>
  <c r="S16" i="16"/>
  <c r="S15" i="16"/>
  <c r="S14" i="16"/>
  <c r="S13" i="16"/>
  <c r="S12" i="16"/>
  <c r="S11" i="16"/>
  <c r="S10" i="16"/>
  <c r="S9" i="16"/>
  <c r="S8" i="16"/>
  <c r="Q43" i="16"/>
  <c r="Q42" i="16"/>
  <c r="Q41" i="16"/>
  <c r="Q40" i="16"/>
  <c r="Q39" i="16"/>
  <c r="Q38" i="16"/>
  <c r="Q37" i="16"/>
  <c r="Q36" i="16"/>
  <c r="Q35" i="16"/>
  <c r="Q34" i="16"/>
  <c r="Q33" i="16"/>
  <c r="Q32" i="16"/>
  <c r="Q31" i="16"/>
  <c r="Q30" i="16"/>
  <c r="Q29" i="16"/>
  <c r="Q28" i="16"/>
  <c r="Q27" i="16"/>
  <c r="Q26" i="16"/>
  <c r="R8" i="16"/>
  <c r="R9" i="16"/>
  <c r="R10" i="16" s="1"/>
  <c r="R11" i="16"/>
  <c r="R12" i="16" s="1"/>
  <c r="R13" i="16" s="1"/>
  <c r="R14" i="16" s="1"/>
  <c r="R15" i="16" s="1"/>
  <c r="R16" i="16" s="1"/>
  <c r="R17" i="16"/>
  <c r="R18" i="16" s="1"/>
  <c r="R19" i="16" s="1"/>
  <c r="Q25" i="16"/>
  <c r="Q24" i="16"/>
  <c r="Q23" i="16"/>
  <c r="Q22" i="16"/>
  <c r="Q21" i="16"/>
  <c r="Q20" i="16"/>
  <c r="Q19" i="16"/>
  <c r="Q18" i="16"/>
  <c r="Q17" i="16"/>
  <c r="Q16" i="16"/>
  <c r="Q15" i="16"/>
  <c r="Q14" i="16"/>
  <c r="Q13" i="16"/>
  <c r="Q12" i="16"/>
  <c r="Q11" i="16"/>
  <c r="Q10" i="16"/>
  <c r="Q9" i="16"/>
  <c r="Q8" i="16"/>
  <c r="U136" i="15"/>
  <c r="U137" i="15" s="1"/>
  <c r="R136" i="15"/>
  <c r="R137" i="15" s="1"/>
  <c r="R138" i="15" s="1"/>
  <c r="R139" i="15"/>
  <c r="R140" i="15" s="1"/>
  <c r="R141" i="15" s="1"/>
  <c r="R142" i="15" s="1"/>
  <c r="R143" i="15" s="1"/>
  <c r="Q136" i="15"/>
  <c r="Q137" i="15" s="1"/>
  <c r="Q138" i="15" s="1"/>
  <c r="Q139" i="15" s="1"/>
  <c r="Q140" i="15" s="1"/>
  <c r="Q141" i="15" s="1"/>
  <c r="Q142" i="15" s="1"/>
  <c r="Q143" i="15" s="1"/>
  <c r="U133" i="15"/>
  <c r="U87" i="15"/>
  <c r="U181" i="15"/>
  <c r="U180" i="15"/>
  <c r="U132" i="15"/>
  <c r="U51" i="15"/>
  <c r="U30" i="15"/>
  <c r="U31" i="15" s="1"/>
  <c r="U86" i="15"/>
  <c r="U37" i="15"/>
  <c r="U85" i="15"/>
  <c r="U50" i="15"/>
  <c r="U84" i="15"/>
  <c r="U81" i="15"/>
  <c r="U35" i="15"/>
  <c r="U48" i="15"/>
  <c r="U67" i="15"/>
  <c r="U34" i="15"/>
  <c r="U79" i="15"/>
  <c r="U66" i="15"/>
  <c r="U47" i="15"/>
  <c r="U33" i="15"/>
  <c r="U64" i="15"/>
  <c r="U46" i="15"/>
  <c r="U63" i="15"/>
  <c r="U32" i="15"/>
  <c r="U123" i="15"/>
  <c r="U124" i="15"/>
  <c r="U125" i="15" s="1"/>
  <c r="U126" i="15" s="1"/>
  <c r="U127" i="15" s="1"/>
  <c r="U128" i="15" s="1"/>
  <c r="U167" i="15"/>
  <c r="U168" i="15" s="1"/>
  <c r="U169" i="15" s="1"/>
  <c r="U170" i="15" s="1"/>
  <c r="U171" i="15" s="1"/>
  <c r="U172" i="15"/>
  <c r="U173" i="15" s="1"/>
  <c r="U174" i="15" s="1"/>
  <c r="U149" i="15"/>
  <c r="U150" i="15"/>
  <c r="U151" i="15" s="1"/>
  <c r="U152" i="15" s="1"/>
  <c r="U153" i="15" s="1"/>
  <c r="U154" i="15" s="1"/>
  <c r="U155" i="15" s="1"/>
  <c r="U156" i="15" s="1"/>
  <c r="U157" i="15"/>
  <c r="U158" i="15"/>
  <c r="U159" i="15" s="1"/>
  <c r="U160" i="15" s="1"/>
  <c r="U161" i="15" s="1"/>
  <c r="U162" i="15"/>
  <c r="U163" i="15" s="1"/>
  <c r="U164" i="15" s="1"/>
  <c r="U138" i="15"/>
  <c r="U139" i="15" s="1"/>
  <c r="U140" i="15" s="1"/>
  <c r="U141" i="15"/>
  <c r="U142" i="15" s="1"/>
  <c r="U143" i="15" s="1"/>
  <c r="T136" i="15"/>
  <c r="T137" i="15"/>
  <c r="T138" i="15" s="1"/>
  <c r="T139" i="15"/>
  <c r="T140" i="15" s="1"/>
  <c r="T141" i="15" s="1"/>
  <c r="T142" i="15" s="1"/>
  <c r="T143" i="15" s="1"/>
  <c r="P136" i="15"/>
  <c r="P137" i="15"/>
  <c r="P138" i="15"/>
  <c r="P139" i="15" s="1"/>
  <c r="P140" i="15" s="1"/>
  <c r="P141" i="15" s="1"/>
  <c r="P142" i="15" s="1"/>
  <c r="P143" i="15" s="1"/>
  <c r="O181" i="15"/>
  <c r="O180" i="15"/>
  <c r="O174" i="15"/>
  <c r="O173" i="15"/>
  <c r="O172" i="15"/>
  <c r="O171" i="15"/>
  <c r="O170" i="15"/>
  <c r="O169" i="15"/>
  <c r="O168" i="15"/>
  <c r="O167" i="15"/>
  <c r="O166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V136" i="15"/>
  <c r="V137" i="15" s="1"/>
  <c r="V138" i="15" s="1"/>
  <c r="V139" i="15" s="1"/>
  <c r="V140" i="15" s="1"/>
  <c r="V141" i="15" s="1"/>
  <c r="V142" i="15" s="1"/>
  <c r="V143" i="15" s="1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28" i="15"/>
  <c r="O127" i="15"/>
  <c r="O126" i="15"/>
  <c r="O125" i="15"/>
  <c r="O124" i="15"/>
  <c r="O123" i="15"/>
  <c r="O122" i="15"/>
  <c r="O121" i="15"/>
  <c r="O120" i="15"/>
  <c r="O119" i="15"/>
  <c r="O118" i="15"/>
  <c r="O115" i="15"/>
  <c r="F120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P45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U36" i="15"/>
  <c r="U83" i="15"/>
  <c r="U118" i="15"/>
  <c r="U41" i="15"/>
  <c r="U54" i="15"/>
  <c r="P15" i="15"/>
  <c r="P16" i="15"/>
  <c r="P17" i="15" s="1"/>
  <c r="P18" i="15"/>
  <c r="P19" i="15" s="1"/>
  <c r="P20" i="15" s="1"/>
  <c r="P21" i="15" s="1"/>
  <c r="P22" i="15" s="1"/>
  <c r="P23" i="15" s="1"/>
  <c r="P24" i="15" s="1"/>
  <c r="P25" i="15" s="1"/>
  <c r="P26" i="15" s="1"/>
  <c r="U55" i="15"/>
  <c r="U58" i="15"/>
  <c r="U59" i="15" s="1"/>
  <c r="U60" i="15"/>
  <c r="U61" i="15" s="1"/>
  <c r="U74" i="15"/>
  <c r="U88" i="15"/>
  <c r="U80" i="15"/>
  <c r="U57" i="15"/>
  <c r="U73" i="15"/>
  <c r="U68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Q11" i="15"/>
  <c r="O6" i="15"/>
  <c r="O5" i="15"/>
  <c r="O2" i="15"/>
  <c r="H26" i="15"/>
  <c r="H25" i="15"/>
  <c r="H24" i="15"/>
  <c r="H23" i="15"/>
  <c r="H22" i="15"/>
  <c r="H21" i="15"/>
  <c r="O10" i="6"/>
  <c r="O293" i="14"/>
  <c r="O294" i="14" s="1"/>
  <c r="O295" i="14" s="1"/>
  <c r="O296" i="14" s="1"/>
  <c r="O297" i="14" s="1"/>
  <c r="O298" i="14" s="1"/>
  <c r="O299" i="14" s="1"/>
  <c r="O300" i="14" s="1"/>
  <c r="O301" i="14" s="1"/>
  <c r="O302" i="14" s="1"/>
  <c r="O303" i="14" s="1"/>
  <c r="O304" i="14" s="1"/>
  <c r="O283" i="14"/>
  <c r="O284" i="14"/>
  <c r="O285" i="14" s="1"/>
  <c r="O286" i="14" s="1"/>
  <c r="O287" i="14" s="1"/>
  <c r="O288" i="14" s="1"/>
  <c r="O289" i="14" s="1"/>
  <c r="O290" i="14"/>
  <c r="O291" i="14" s="1"/>
  <c r="O292" i="14" s="1"/>
  <c r="O271" i="14"/>
  <c r="O272" i="14"/>
  <c r="O273" i="14" s="1"/>
  <c r="O274" i="14"/>
  <c r="O275" i="14" s="1"/>
  <c r="O276" i="14" s="1"/>
  <c r="O277" i="14" s="1"/>
  <c r="O278" i="14" s="1"/>
  <c r="O279" i="14" s="1"/>
  <c r="O280" i="14" s="1"/>
  <c r="O281" i="14" s="1"/>
  <c r="O282" i="14" s="1"/>
  <c r="O259" i="14"/>
  <c r="O260" i="14"/>
  <c r="O261" i="14" s="1"/>
  <c r="O262" i="14"/>
  <c r="O263" i="14" s="1"/>
  <c r="O264" i="14" s="1"/>
  <c r="O265" i="14" s="1"/>
  <c r="O266" i="14" s="1"/>
  <c r="O267" i="14" s="1"/>
  <c r="O268" i="14" s="1"/>
  <c r="O269" i="14" s="1"/>
  <c r="O270" i="14" s="1"/>
  <c r="O247" i="14"/>
  <c r="O248" i="14"/>
  <c r="O249" i="14" s="1"/>
  <c r="O250" i="14"/>
  <c r="O251" i="14" s="1"/>
  <c r="O252" i="14" s="1"/>
  <c r="O253" i="14" s="1"/>
  <c r="O254" i="14" s="1"/>
  <c r="O255" i="14" s="1"/>
  <c r="O256" i="14" s="1"/>
  <c r="O257" i="14" s="1"/>
  <c r="O258" i="14" s="1"/>
  <c r="O235" i="14"/>
  <c r="O236" i="14"/>
  <c r="O237" i="14" s="1"/>
  <c r="O238" i="14"/>
  <c r="O239" i="14" s="1"/>
  <c r="O240" i="14" s="1"/>
  <c r="O241" i="14" s="1"/>
  <c r="O242" i="14" s="1"/>
  <c r="O243" i="14" s="1"/>
  <c r="O244" i="14"/>
  <c r="O245" i="14" s="1"/>
  <c r="O246" i="14" s="1"/>
  <c r="O223" i="14"/>
  <c r="O224" i="14"/>
  <c r="O225" i="14" s="1"/>
  <c r="O226" i="14"/>
  <c r="O227" i="14" s="1"/>
  <c r="O228" i="14" s="1"/>
  <c r="O229" i="14" s="1"/>
  <c r="O230" i="14" s="1"/>
  <c r="O231" i="14" s="1"/>
  <c r="O232" i="14" s="1"/>
  <c r="O233" i="14" s="1"/>
  <c r="O234" i="14" s="1"/>
  <c r="O211" i="14"/>
  <c r="O212" i="14"/>
  <c r="O213" i="14" s="1"/>
  <c r="O214" i="14"/>
  <c r="O215" i="14" s="1"/>
  <c r="O216" i="14" s="1"/>
  <c r="O217" i="14" s="1"/>
  <c r="O218" i="14" s="1"/>
  <c r="O219" i="14" s="1"/>
  <c r="O220" i="14" s="1"/>
  <c r="O221" i="14" s="1"/>
  <c r="O222" i="14" s="1"/>
  <c r="O209" i="14"/>
  <c r="O210" i="14"/>
  <c r="H222" i="14"/>
  <c r="H211" i="14"/>
  <c r="H210" i="14"/>
  <c r="H209" i="14"/>
  <c r="H208" i="14"/>
  <c r="H207" i="14"/>
  <c r="H206" i="14"/>
  <c r="H205" i="14"/>
  <c r="O182" i="14"/>
  <c r="O183" i="14"/>
  <c r="O184" i="14" s="1"/>
  <c r="O185" i="14" s="1"/>
  <c r="H180" i="14"/>
  <c r="H179" i="14"/>
  <c r="H172" i="14"/>
  <c r="H171" i="14"/>
  <c r="H170" i="14"/>
  <c r="H169" i="14"/>
  <c r="H168" i="14"/>
  <c r="H167" i="14"/>
  <c r="H166" i="14"/>
  <c r="U40" i="15"/>
  <c r="U39" i="15"/>
  <c r="U52" i="15"/>
  <c r="U69" i="15"/>
  <c r="U56" i="15"/>
  <c r="U53" i="15"/>
  <c r="U71" i="15"/>
  <c r="O153" i="14"/>
  <c r="O154" i="14" s="1"/>
  <c r="O155" i="14" s="1"/>
  <c r="O156" i="14" s="1"/>
  <c r="O157" i="14" s="1"/>
  <c r="O158" i="14" s="1"/>
  <c r="O127" i="14"/>
  <c r="O128" i="14"/>
  <c r="O129" i="14" s="1"/>
  <c r="O130" i="14" s="1"/>
  <c r="O131" i="14" s="1"/>
  <c r="O132" i="14" s="1"/>
  <c r="O133" i="14"/>
  <c r="H124" i="14"/>
  <c r="U72" i="15"/>
  <c r="U119" i="15"/>
  <c r="U49" i="15"/>
  <c r="U70" i="15"/>
  <c r="U42" i="15"/>
  <c r="U65" i="15"/>
  <c r="U115" i="15"/>
  <c r="U43" i="15"/>
  <c r="U62" i="15"/>
  <c r="H120" i="14"/>
  <c r="U38" i="15"/>
  <c r="U120" i="15"/>
  <c r="O108" i="14"/>
  <c r="O109" i="14"/>
  <c r="O110" i="14"/>
  <c r="O111" i="14" s="1"/>
  <c r="O112" i="14" s="1"/>
  <c r="O113" i="14" s="1"/>
  <c r="O114" i="14" s="1"/>
  <c r="O115" i="14" s="1"/>
  <c r="O116" i="14" s="1"/>
  <c r="O117" i="14" s="1"/>
  <c r="O118" i="14" s="1"/>
  <c r="O119" i="14" s="1"/>
  <c r="H112" i="14"/>
  <c r="H113" i="14"/>
  <c r="H111" i="14"/>
  <c r="H110" i="14"/>
  <c r="O101" i="14"/>
  <c r="O102" i="14"/>
  <c r="O103" i="14"/>
  <c r="O104" i="14" s="1"/>
  <c r="O105" i="14" s="1"/>
  <c r="O106" i="14" s="1"/>
  <c r="O107" i="14" s="1"/>
  <c r="H109" i="14"/>
  <c r="H108" i="14"/>
  <c r="H100" i="14"/>
  <c r="O63" i="14"/>
  <c r="O64" i="14"/>
  <c r="O65" i="14" s="1"/>
  <c r="O66" i="14" s="1"/>
  <c r="O67" i="14" s="1"/>
  <c r="O68" i="14" s="1"/>
  <c r="O69" i="14" s="1"/>
  <c r="H79" i="14"/>
  <c r="H62" i="14"/>
  <c r="H61" i="14"/>
  <c r="H59" i="14"/>
  <c r="O58" i="14"/>
  <c r="H58" i="14"/>
  <c r="H56" i="14"/>
  <c r="H55" i="14"/>
  <c r="H54" i="14"/>
  <c r="S37" i="14"/>
  <c r="R37" i="14"/>
  <c r="O53" i="14"/>
  <c r="U45" i="14"/>
  <c r="U44" i="14"/>
  <c r="U43" i="14"/>
  <c r="U42" i="14"/>
  <c r="U41" i="14"/>
  <c r="U40" i="14"/>
  <c r="T40" i="14"/>
  <c r="T41" i="14" s="1"/>
  <c r="T42" i="14" s="1"/>
  <c r="T43" i="14" s="1"/>
  <c r="T44" i="14" s="1"/>
  <c r="T45" i="14" s="1"/>
  <c r="S40" i="14"/>
  <c r="S41" i="14" s="1"/>
  <c r="S42" i="14" s="1"/>
  <c r="S43" i="14" s="1"/>
  <c r="S44" i="14" s="1"/>
  <c r="S45" i="14" s="1"/>
  <c r="H50" i="14"/>
  <c r="H49" i="14"/>
  <c r="H48" i="14"/>
  <c r="O48" i="14"/>
  <c r="O49" i="14"/>
  <c r="O50" i="14"/>
  <c r="O51" i="14"/>
  <c r="X11" i="13"/>
  <c r="W49" i="12"/>
  <c r="W50" i="12" s="1"/>
  <c r="W51" i="12"/>
  <c r="W52" i="12" s="1"/>
  <c r="W53" i="12" s="1"/>
  <c r="W54" i="12" s="1"/>
  <c r="W55" i="12" s="1"/>
  <c r="W56" i="12"/>
  <c r="W57" i="12" s="1"/>
  <c r="W58" i="12" s="1"/>
  <c r="W59" i="12" s="1"/>
  <c r="W60" i="12" s="1"/>
  <c r="V49" i="12"/>
  <c r="V50" i="12" s="1"/>
  <c r="V51" i="12" s="1"/>
  <c r="V52" i="12" s="1"/>
  <c r="V53" i="12" s="1"/>
  <c r="V54" i="12" s="1"/>
  <c r="V55" i="12" s="1"/>
  <c r="V56" i="12" s="1"/>
  <c r="V57" i="12" s="1"/>
  <c r="V58" i="12" s="1"/>
  <c r="V59" i="12" s="1"/>
  <c r="V60" i="12" s="1"/>
  <c r="O48" i="12"/>
  <c r="O49" i="12" s="1"/>
  <c r="O50" i="12"/>
  <c r="O51" i="12" s="1"/>
  <c r="O52" i="12" s="1"/>
  <c r="O53" i="12" s="1"/>
  <c r="O54" i="12" s="1"/>
  <c r="O55" i="12" s="1"/>
  <c r="O56" i="12" s="1"/>
  <c r="O57" i="12" s="1"/>
  <c r="O58" i="12" s="1"/>
  <c r="P544" i="11"/>
  <c r="P545" i="11"/>
  <c r="P546" i="11" s="1"/>
  <c r="P547" i="11" s="1"/>
  <c r="P548" i="11"/>
  <c r="O548" i="11"/>
  <c r="O547" i="11"/>
  <c r="O546" i="11"/>
  <c r="O545" i="11"/>
  <c r="O544" i="11"/>
  <c r="N58" i="12"/>
  <c r="N57" i="12"/>
  <c r="N56" i="12"/>
  <c r="N55" i="12"/>
  <c r="N54" i="12"/>
  <c r="N53" i="12"/>
  <c r="N52" i="12"/>
  <c r="N51" i="12"/>
  <c r="N50" i="12"/>
  <c r="N49" i="12"/>
  <c r="N48" i="12"/>
  <c r="Q120" i="12"/>
  <c r="N94" i="12"/>
  <c r="N93" i="12"/>
  <c r="N92" i="12"/>
  <c r="N91" i="12"/>
  <c r="N90" i="12"/>
  <c r="N89" i="12"/>
  <c r="N88" i="12"/>
  <c r="N87" i="12"/>
  <c r="N86" i="12"/>
  <c r="N85" i="12"/>
  <c r="N84" i="12"/>
  <c r="N83" i="12"/>
  <c r="N70" i="12"/>
  <c r="N69" i="12"/>
  <c r="N68" i="12"/>
  <c r="N67" i="12"/>
  <c r="N66" i="12"/>
  <c r="N65" i="12"/>
  <c r="N64" i="12"/>
  <c r="N63" i="12"/>
  <c r="N62" i="12"/>
  <c r="N61" i="12"/>
  <c r="N60" i="12"/>
  <c r="N59" i="12"/>
  <c r="V95" i="12"/>
  <c r="V99" i="12"/>
  <c r="N108" i="12"/>
  <c r="N107" i="12"/>
  <c r="N106" i="12"/>
  <c r="N105" i="12"/>
  <c r="N104" i="12"/>
  <c r="N103" i="12"/>
  <c r="N102" i="12"/>
  <c r="N101" i="12"/>
  <c r="N100" i="12"/>
  <c r="O97" i="12"/>
  <c r="O98" i="12" s="1"/>
  <c r="O99" i="12"/>
  <c r="O100" i="12" s="1"/>
  <c r="O101" i="12" s="1"/>
  <c r="O102" i="12" s="1"/>
  <c r="O103" i="12" s="1"/>
  <c r="O104" i="12" s="1"/>
  <c r="O105" i="12" s="1"/>
  <c r="O106" i="12" s="1"/>
  <c r="O107" i="12" s="1"/>
  <c r="O108" i="12" s="1"/>
  <c r="N99" i="12"/>
  <c r="N98" i="12"/>
  <c r="N97" i="12"/>
  <c r="O135" i="12"/>
  <c r="O136" i="12"/>
  <c r="O137" i="12" s="1"/>
  <c r="O138" i="12" s="1"/>
  <c r="O139" i="12" s="1"/>
  <c r="O140" i="12" s="1"/>
  <c r="O141" i="12" s="1"/>
  <c r="O142" i="12" s="1"/>
  <c r="O143" i="12" s="1"/>
  <c r="O144" i="12" s="1"/>
  <c r="O145" i="12" s="1"/>
  <c r="O146" i="12" s="1"/>
  <c r="N146" i="12"/>
  <c r="N145" i="12"/>
  <c r="N144" i="12"/>
  <c r="N143" i="12"/>
  <c r="N142" i="12"/>
  <c r="N141" i="12"/>
  <c r="N140" i="12"/>
  <c r="N139" i="12"/>
  <c r="N138" i="12"/>
  <c r="N137" i="12"/>
  <c r="N136" i="12"/>
  <c r="N135" i="12"/>
  <c r="N80" i="12"/>
  <c r="N79" i="12"/>
  <c r="N78" i="12"/>
  <c r="N77" i="12"/>
  <c r="N76" i="12"/>
  <c r="N75" i="12"/>
  <c r="N74" i="12"/>
  <c r="N73" i="12"/>
  <c r="N72" i="12"/>
  <c r="N71" i="12"/>
  <c r="P80" i="12"/>
  <c r="P79" i="12"/>
  <c r="P78" i="12"/>
  <c r="P77" i="12"/>
  <c r="P76" i="12"/>
  <c r="P75" i="12"/>
  <c r="P74" i="12"/>
  <c r="P73" i="12"/>
  <c r="P72" i="12"/>
  <c r="P71" i="12"/>
  <c r="R80" i="12"/>
  <c r="R79" i="12"/>
  <c r="R78" i="12"/>
  <c r="R77" i="12"/>
  <c r="R76" i="12"/>
  <c r="Q75" i="12"/>
  <c r="Q74" i="12"/>
  <c r="Q73" i="12"/>
  <c r="Q72" i="12"/>
  <c r="Q71" i="12"/>
  <c r="O2" i="12"/>
  <c r="O3" i="12" s="1"/>
  <c r="O4" i="12" s="1"/>
  <c r="O5" i="12" s="1"/>
  <c r="O6" i="12" s="1"/>
  <c r="O7" i="12" s="1"/>
  <c r="O8" i="12" s="1"/>
  <c r="O9" i="12" s="1"/>
  <c r="O10" i="12" s="1"/>
  <c r="O11" i="12" s="1"/>
  <c r="O12" i="12" s="1"/>
  <c r="O13" i="12" s="1"/>
  <c r="O14" i="12" s="1"/>
  <c r="O15" i="12" s="1"/>
  <c r="O16" i="12" s="1"/>
  <c r="N16" i="12"/>
  <c r="N15" i="12"/>
  <c r="N14" i="12"/>
  <c r="N13" i="12"/>
  <c r="N12" i="12"/>
  <c r="N11" i="12"/>
  <c r="N10" i="12"/>
  <c r="N9" i="12"/>
  <c r="N8" i="12"/>
  <c r="N7" i="12"/>
  <c r="N6" i="12"/>
  <c r="N5" i="12"/>
  <c r="N4" i="12"/>
  <c r="N3" i="12"/>
  <c r="N2" i="12"/>
  <c r="P930" i="11"/>
  <c r="P931" i="11" s="1"/>
  <c r="P932" i="11"/>
  <c r="P933" i="11" s="1"/>
  <c r="P934" i="11" s="1"/>
  <c r="P935" i="11" s="1"/>
  <c r="P936" i="11" s="1"/>
  <c r="P937" i="11" s="1"/>
  <c r="P938" i="11" s="1"/>
  <c r="P939" i="11" s="1"/>
  <c r="P940" i="11" s="1"/>
  <c r="P941" i="11" s="1"/>
  <c r="P942" i="11" s="1"/>
  <c r="P943" i="11" s="1"/>
  <c r="P944" i="11" s="1"/>
  <c r="P945" i="11" s="1"/>
  <c r="P946" i="11" s="1"/>
  <c r="P947" i="11" s="1"/>
  <c r="P951" i="11"/>
  <c r="P952" i="11" s="1"/>
  <c r="P953" i="11" s="1"/>
  <c r="P954" i="11" s="1"/>
  <c r="P955" i="11"/>
  <c r="P956" i="11" s="1"/>
  <c r="P957" i="11" s="1"/>
  <c r="P958" i="11" s="1"/>
  <c r="P959" i="11" s="1"/>
  <c r="P960" i="11" s="1"/>
  <c r="P961" i="11" s="1"/>
  <c r="P962" i="11" s="1"/>
  <c r="P963" i="11" s="1"/>
  <c r="P964" i="11" s="1"/>
  <c r="P965" i="11" s="1"/>
  <c r="P968" i="11"/>
  <c r="P969" i="11"/>
  <c r="P970" i="11" s="1"/>
  <c r="P971" i="11"/>
  <c r="P972" i="11" s="1"/>
  <c r="P973" i="11" s="1"/>
  <c r="P974" i="11" s="1"/>
  <c r="P975" i="11" s="1"/>
  <c r="P976" i="11" s="1"/>
  <c r="P977" i="11" s="1"/>
  <c r="P978" i="11" s="1"/>
  <c r="P979" i="11" s="1"/>
  <c r="P980" i="11" s="1"/>
  <c r="P981" i="11" s="1"/>
  <c r="P982" i="11" s="1"/>
  <c r="P983" i="11" s="1"/>
  <c r="O983" i="11"/>
  <c r="O982" i="11"/>
  <c r="O981" i="11"/>
  <c r="O980" i="11"/>
  <c r="O979" i="11"/>
  <c r="O978" i="11"/>
  <c r="O977" i="11"/>
  <c r="O976" i="11"/>
  <c r="O975" i="11"/>
  <c r="O974" i="11"/>
  <c r="O973" i="11"/>
  <c r="O972" i="11"/>
  <c r="O971" i="11"/>
  <c r="O970" i="11"/>
  <c r="O969" i="11"/>
  <c r="O968" i="11"/>
  <c r="U982" i="11"/>
  <c r="U983" i="11"/>
  <c r="U984" i="11" s="1"/>
  <c r="O965" i="11"/>
  <c r="O964" i="11"/>
  <c r="O963" i="11"/>
  <c r="O962" i="11"/>
  <c r="O961" i="11"/>
  <c r="O960" i="11"/>
  <c r="O959" i="11"/>
  <c r="O958" i="11"/>
  <c r="O957" i="11"/>
  <c r="O956" i="11"/>
  <c r="O955" i="11"/>
  <c r="O954" i="11"/>
  <c r="O953" i="11"/>
  <c r="O952" i="11"/>
  <c r="O951" i="11"/>
  <c r="O947" i="11"/>
  <c r="O946" i="11"/>
  <c r="O945" i="11"/>
  <c r="O944" i="11"/>
  <c r="O943" i="11"/>
  <c r="O942" i="11"/>
  <c r="O941" i="11"/>
  <c r="O940" i="11"/>
  <c r="O939" i="11"/>
  <c r="O938" i="11"/>
  <c r="O937" i="11"/>
  <c r="O936" i="11"/>
  <c r="O935" i="11"/>
  <c r="O934" i="11"/>
  <c r="O933" i="11"/>
  <c r="O932" i="11"/>
  <c r="O931" i="11"/>
  <c r="O930" i="11"/>
  <c r="O911" i="11"/>
  <c r="O912" i="11"/>
  <c r="O913" i="11"/>
  <c r="O914" i="11"/>
  <c r="O915" i="11"/>
  <c r="O916" i="11"/>
  <c r="O928" i="11"/>
  <c r="O927" i="11"/>
  <c r="O926" i="11"/>
  <c r="O925" i="11"/>
  <c r="O924" i="11"/>
  <c r="O923" i="11"/>
  <c r="O922" i="11"/>
  <c r="O921" i="11"/>
  <c r="O920" i="11"/>
  <c r="O919" i="11"/>
  <c r="O918" i="11"/>
  <c r="O917" i="11"/>
  <c r="O910" i="11"/>
  <c r="O909" i="11"/>
  <c r="O908" i="11"/>
  <c r="O904" i="11"/>
  <c r="P880" i="11"/>
  <c r="P881" i="11"/>
  <c r="P882" i="11" s="1"/>
  <c r="P883" i="11"/>
  <c r="P884" i="11" s="1"/>
  <c r="P885" i="11" s="1"/>
  <c r="P886" i="11" s="1"/>
  <c r="P887" i="11" s="1"/>
  <c r="O887" i="11"/>
  <c r="O886" i="11"/>
  <c r="O885" i="11"/>
  <c r="O884" i="11"/>
  <c r="O883" i="11"/>
  <c r="O882" i="11"/>
  <c r="O881" i="11"/>
  <c r="O880" i="11"/>
  <c r="P574" i="11"/>
  <c r="P575" i="11"/>
  <c r="P576" i="11" s="1"/>
  <c r="P577" i="11" s="1"/>
  <c r="P578" i="11" s="1"/>
  <c r="P579" i="11" s="1"/>
  <c r="P580" i="11" s="1"/>
  <c r="P581" i="11" s="1"/>
  <c r="P582" i="11" s="1"/>
  <c r="P583" i="11" s="1"/>
  <c r="P584" i="11" s="1"/>
  <c r="P585" i="11" s="1"/>
  <c r="P586" i="11" s="1"/>
  <c r="P587" i="11" s="1"/>
  <c r="P588" i="11" s="1"/>
  <c r="P589" i="11" s="1"/>
  <c r="P590" i="11" s="1"/>
  <c r="P591" i="11" s="1"/>
  <c r="P592" i="11" s="1"/>
  <c r="O813" i="11"/>
  <c r="O592" i="11"/>
  <c r="O591" i="11"/>
  <c r="O590" i="11"/>
  <c r="O589" i="11"/>
  <c r="O588" i="11"/>
  <c r="O587" i="11"/>
  <c r="O586" i="11"/>
  <c r="O585" i="11"/>
  <c r="O584" i="11"/>
  <c r="O583" i="11"/>
  <c r="O582" i="11"/>
  <c r="O581" i="11"/>
  <c r="O580" i="11"/>
  <c r="O579" i="11"/>
  <c r="O578" i="11"/>
  <c r="O577" i="11"/>
  <c r="O576" i="11"/>
  <c r="O575" i="11"/>
  <c r="O574" i="11"/>
  <c r="O796" i="11"/>
  <c r="O795" i="11"/>
  <c r="O736" i="11"/>
  <c r="O716" i="11"/>
  <c r="O715" i="11"/>
  <c r="O573" i="11"/>
  <c r="O570" i="11"/>
  <c r="T289" i="11"/>
  <c r="P431" i="11"/>
  <c r="P432" i="11" s="1"/>
  <c r="P433" i="11"/>
  <c r="P434" i="11" s="1"/>
  <c r="P435" i="11" s="1"/>
  <c r="P436" i="11" s="1"/>
  <c r="P437" i="11" s="1"/>
  <c r="P438" i="11" s="1"/>
  <c r="P439" i="11" s="1"/>
  <c r="P440" i="11" s="1"/>
  <c r="P441" i="11" s="1"/>
  <c r="P442" i="11" s="1"/>
  <c r="O697" i="11"/>
  <c r="O696" i="11"/>
  <c r="O676" i="11"/>
  <c r="O675" i="11"/>
  <c r="O616" i="11"/>
  <c r="O614" i="11"/>
  <c r="O594" i="11"/>
  <c r="O593" i="11"/>
  <c r="O442" i="11"/>
  <c r="O441" i="11"/>
  <c r="O440" i="11"/>
  <c r="O439" i="11"/>
  <c r="O438" i="11"/>
  <c r="O437" i="11"/>
  <c r="O436" i="11"/>
  <c r="O435" i="11"/>
  <c r="O434" i="11"/>
  <c r="O433" i="11"/>
  <c r="O432" i="11"/>
  <c r="O431" i="11"/>
  <c r="O572" i="11"/>
  <c r="O571" i="11"/>
  <c r="O561" i="11"/>
  <c r="O560" i="11"/>
  <c r="O542" i="11"/>
  <c r="O541" i="11"/>
  <c r="O480" i="11"/>
  <c r="O478" i="11"/>
  <c r="O463" i="11"/>
  <c r="O462" i="11"/>
  <c r="P409" i="11"/>
  <c r="P410" i="11" s="1"/>
  <c r="P411" i="11"/>
  <c r="P412" i="11" s="1"/>
  <c r="P413" i="11" s="1"/>
  <c r="P414" i="11" s="1"/>
  <c r="P415" i="11" s="1"/>
  <c r="P416" i="11" s="1"/>
  <c r="P417" i="11" s="1"/>
  <c r="P418" i="11" s="1"/>
  <c r="P419" i="11" s="1"/>
  <c r="P420" i="11" s="1"/>
  <c r="P421" i="11" s="1"/>
  <c r="P422" i="11" s="1"/>
  <c r="P423" i="11" s="1"/>
  <c r="P424" i="11" s="1"/>
  <c r="P425" i="11" s="1"/>
  <c r="P426" i="11" s="1"/>
  <c r="P427" i="11" s="1"/>
  <c r="P428" i="11" s="1"/>
  <c r="P429" i="11" s="1"/>
  <c r="O429" i="11"/>
  <c r="O428" i="11"/>
  <c r="O427" i="11"/>
  <c r="O426" i="11"/>
  <c r="O425" i="11"/>
  <c r="O424" i="11"/>
  <c r="O423" i="11"/>
  <c r="O422" i="11"/>
  <c r="O421" i="11"/>
  <c r="O420" i="11"/>
  <c r="O419" i="11"/>
  <c r="O418" i="11"/>
  <c r="O417" i="11"/>
  <c r="O416" i="11"/>
  <c r="O415" i="11"/>
  <c r="O414" i="11"/>
  <c r="O413" i="11"/>
  <c r="O412" i="11"/>
  <c r="O411" i="11"/>
  <c r="O410" i="11"/>
  <c r="O409" i="11"/>
  <c r="AD396" i="11"/>
  <c r="AC396" i="11"/>
  <c r="AB396" i="11"/>
  <c r="Y396" i="11"/>
  <c r="Y397" i="11"/>
  <c r="AE400" i="11" s="1"/>
  <c r="Y398" i="11"/>
  <c r="Y399" i="11"/>
  <c r="Y400" i="11"/>
  <c r="AE396" i="11"/>
  <c r="W396" i="11"/>
  <c r="AB400" i="11"/>
  <c r="AB399" i="11"/>
  <c r="AB397" i="11"/>
  <c r="AB398" i="11"/>
  <c r="AC400" i="11"/>
  <c r="AC399" i="11"/>
  <c r="AC398" i="11"/>
  <c r="AC397" i="11"/>
  <c r="X394" i="11"/>
  <c r="AD400" i="11"/>
  <c r="AD399" i="11"/>
  <c r="AD398" i="11"/>
  <c r="AD397" i="11"/>
  <c r="AF400" i="11"/>
  <c r="W400" i="11"/>
  <c r="W399" i="11"/>
  <c r="W398" i="11"/>
  <c r="Z398" i="11"/>
  <c r="AA398" i="11" s="1"/>
  <c r="W397" i="11"/>
  <c r="Z397" i="11" s="1"/>
  <c r="AA397" i="11" s="1"/>
  <c r="T404" i="11"/>
  <c r="T402" i="11"/>
  <c r="T400" i="11"/>
  <c r="T398" i="11"/>
  <c r="T396" i="11"/>
  <c r="S396" i="11"/>
  <c r="S397" i="11" s="1"/>
  <c r="S398" i="11"/>
  <c r="S399" i="11" s="1"/>
  <c r="S400" i="11" s="1"/>
  <c r="S401" i="11" s="1"/>
  <c r="S402" i="11" s="1"/>
  <c r="S403" i="11" s="1"/>
  <c r="S404" i="11" s="1"/>
  <c r="S405" i="11" s="1"/>
  <c r="O407" i="11"/>
  <c r="O406" i="11"/>
  <c r="O405" i="11"/>
  <c r="O404" i="11"/>
  <c r="O403" i="11"/>
  <c r="O402" i="11"/>
  <c r="O401" i="11"/>
  <c r="O400" i="11"/>
  <c r="O397" i="11"/>
  <c r="O396" i="11"/>
  <c r="P373" i="11"/>
  <c r="P374" i="11" s="1"/>
  <c r="P375" i="11"/>
  <c r="P376" i="11" s="1"/>
  <c r="P377" i="11" s="1"/>
  <c r="P378" i="11" s="1"/>
  <c r="P379" i="11" s="1"/>
  <c r="P380" i="11" s="1"/>
  <c r="P381" i="11" s="1"/>
  <c r="P382" i="11" s="1"/>
  <c r="P383" i="11" s="1"/>
  <c r="P384" i="11" s="1"/>
  <c r="P385" i="11" s="1"/>
  <c r="P386" i="11" s="1"/>
  <c r="P387" i="11" s="1"/>
  <c r="P388" i="11" s="1"/>
  <c r="O388" i="11"/>
  <c r="O387" i="11"/>
  <c r="O386" i="11"/>
  <c r="O385" i="11"/>
  <c r="O384" i="11"/>
  <c r="O383" i="11"/>
  <c r="O382" i="11"/>
  <c r="O381" i="11"/>
  <c r="O380" i="11"/>
  <c r="O379" i="11"/>
  <c r="O378" i="11"/>
  <c r="O377" i="11"/>
  <c r="O376" i="11"/>
  <c r="O375" i="11"/>
  <c r="O374" i="11"/>
  <c r="O373" i="11"/>
  <c r="L368" i="11"/>
  <c r="L369" i="11" s="1"/>
  <c r="P357" i="11"/>
  <c r="P358" i="11" s="1"/>
  <c r="P359" i="11" s="1"/>
  <c r="P360" i="11" s="1"/>
  <c r="P361" i="11" s="1"/>
  <c r="P362" i="11" s="1"/>
  <c r="P363" i="11" s="1"/>
  <c r="P364" i="11" s="1"/>
  <c r="P365" i="11" s="1"/>
  <c r="P366" i="11" s="1"/>
  <c r="P367" i="11" s="1"/>
  <c r="P368" i="11" s="1"/>
  <c r="P369" i="11" s="1"/>
  <c r="P370" i="11" s="1"/>
  <c r="P371" i="11" s="1"/>
  <c r="P372" i="11" s="1"/>
  <c r="Z400" i="11"/>
  <c r="AA400" i="11" s="1"/>
  <c r="Z399" i="11"/>
  <c r="AA399" i="11"/>
  <c r="Z396" i="11"/>
  <c r="AA396" i="11" s="1"/>
  <c r="AE397" i="11"/>
  <c r="O372" i="11"/>
  <c r="O371" i="11"/>
  <c r="O370" i="11"/>
  <c r="O369" i="11"/>
  <c r="O368" i="11"/>
  <c r="O367" i="11"/>
  <c r="O366" i="11"/>
  <c r="O365" i="11"/>
  <c r="O364" i="11"/>
  <c r="O363" i="11"/>
  <c r="O362" i="11"/>
  <c r="O361" i="11"/>
  <c r="O360" i="11"/>
  <c r="O359" i="11"/>
  <c r="O358" i="11"/>
  <c r="O357" i="11"/>
  <c r="P341" i="11"/>
  <c r="P342" i="11"/>
  <c r="P343" i="11" s="1"/>
  <c r="P344" i="11" s="1"/>
  <c r="P345" i="11" s="1"/>
  <c r="P346" i="11" s="1"/>
  <c r="P347" i="11" s="1"/>
  <c r="P348" i="11" s="1"/>
  <c r="P349" i="11" s="1"/>
  <c r="P350" i="11" s="1"/>
  <c r="P351" i="11" s="1"/>
  <c r="P352" i="11" s="1"/>
  <c r="P353" i="11" s="1"/>
  <c r="P354" i="11" s="1"/>
  <c r="P355" i="11" s="1"/>
  <c r="P356" i="11" s="1"/>
  <c r="O356" i="11"/>
  <c r="O355" i="11"/>
  <c r="O354" i="11"/>
  <c r="O353" i="11"/>
  <c r="O352" i="11"/>
  <c r="O351" i="11"/>
  <c r="O350" i="11"/>
  <c r="O349" i="11"/>
  <c r="O348" i="11"/>
  <c r="O347" i="11"/>
  <c r="O346" i="11"/>
  <c r="O345" i="11"/>
  <c r="O344" i="11"/>
  <c r="O343" i="11"/>
  <c r="O342" i="11"/>
  <c r="O341" i="11"/>
  <c r="P313" i="11"/>
  <c r="P314" i="11"/>
  <c r="P315" i="11"/>
  <c r="P316" i="11" s="1"/>
  <c r="P317" i="11" s="1"/>
  <c r="P318" i="11"/>
  <c r="P319" i="11" s="1"/>
  <c r="P320" i="11" s="1"/>
  <c r="P321" i="11" s="1"/>
  <c r="P322" i="11" s="1"/>
  <c r="P323" i="11"/>
  <c r="P324" i="11" s="1"/>
  <c r="P325" i="11" s="1"/>
  <c r="P326" i="11" s="1"/>
  <c r="O326" i="11"/>
  <c r="O325" i="11"/>
  <c r="O324" i="11"/>
  <c r="O323" i="11"/>
  <c r="O322" i="11"/>
  <c r="O321" i="11"/>
  <c r="O320" i="11"/>
  <c r="O319" i="11"/>
  <c r="O318" i="11"/>
  <c r="O317" i="11"/>
  <c r="O316" i="11"/>
  <c r="O315" i="11"/>
  <c r="O314" i="11"/>
  <c r="O313" i="11"/>
  <c r="P309" i="11"/>
  <c r="P310" i="11"/>
  <c r="P311" i="11" s="1"/>
  <c r="P312" i="11" s="1"/>
  <c r="O312" i="11"/>
  <c r="O311" i="11"/>
  <c r="O310" i="11"/>
  <c r="O309" i="11"/>
  <c r="T292" i="11"/>
  <c r="T291" i="11"/>
  <c r="T290" i="11"/>
  <c r="O308" i="11"/>
  <c r="O307" i="11"/>
  <c r="O306" i="11"/>
  <c r="O305" i="11"/>
  <c r="O304" i="11"/>
  <c r="O303" i="11"/>
  <c r="O302" i="11"/>
  <c r="O301" i="11"/>
  <c r="O300" i="11"/>
  <c r="O299" i="11"/>
  <c r="O298" i="11"/>
  <c r="O297" i="11"/>
  <c r="O296" i="11"/>
  <c r="O295" i="11"/>
  <c r="P187" i="11"/>
  <c r="P188" i="11" s="1"/>
  <c r="P189" i="11"/>
  <c r="P190" i="11" s="1"/>
  <c r="P191" i="11" s="1"/>
  <c r="P192" i="11" s="1"/>
  <c r="P193" i="11" s="1"/>
  <c r="P194" i="11" s="1"/>
  <c r="P195" i="11" s="1"/>
  <c r="P196" i="11" s="1"/>
  <c r="P197" i="11" s="1"/>
  <c r="P198" i="11" s="1"/>
  <c r="P199" i="11" s="1"/>
  <c r="P200" i="11" s="1"/>
  <c r="O212" i="11"/>
  <c r="O211" i="11"/>
  <c r="O210" i="11"/>
  <c r="O209" i="11"/>
  <c r="O208" i="11"/>
  <c r="O207" i="11"/>
  <c r="O206" i="11"/>
  <c r="O205" i="11"/>
  <c r="O204" i="11"/>
  <c r="O203" i="11"/>
  <c r="O202" i="11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P124" i="11"/>
  <c r="P125" i="11"/>
  <c r="P126" i="11" s="1"/>
  <c r="P127" i="11" s="1"/>
  <c r="P128" i="11" s="1"/>
  <c r="P129" i="11" s="1"/>
  <c r="P130" i="11" s="1"/>
  <c r="P131" i="11" s="1"/>
  <c r="P132" i="11" s="1"/>
  <c r="P133" i="11" s="1"/>
  <c r="P134" i="11" s="1"/>
  <c r="P135" i="11" s="1"/>
  <c r="P136" i="11" s="1"/>
  <c r="P137" i="11" s="1"/>
  <c r="P138" i="11" s="1"/>
  <c r="P139" i="11" s="1"/>
  <c r="P140" i="11" s="1"/>
  <c r="P141" i="11" s="1"/>
  <c r="P142" i="11" s="1"/>
  <c r="P143" i="11" s="1"/>
  <c r="P144" i="11" s="1"/>
  <c r="P145" i="11" s="1"/>
  <c r="P146" i="11" s="1"/>
  <c r="P147" i="11" s="1"/>
  <c r="P148" i="11" s="1"/>
  <c r="P149" i="11" s="1"/>
  <c r="P150" i="11" s="1"/>
  <c r="P151" i="11" s="1"/>
  <c r="P152" i="11" s="1"/>
  <c r="P153" i="11" s="1"/>
  <c r="P154" i="11" s="1"/>
  <c r="P155" i="11" s="1"/>
  <c r="P156" i="11" s="1"/>
  <c r="P157" i="11" s="1"/>
  <c r="P158" i="11" s="1"/>
  <c r="P159" i="11" s="1"/>
  <c r="P160" i="11" s="1"/>
  <c r="P161" i="11" s="1"/>
  <c r="P162" i="11" s="1"/>
  <c r="P163" i="11" s="1"/>
  <c r="P164" i="11" s="1"/>
  <c r="P165" i="11" s="1"/>
  <c r="P166" i="11" s="1"/>
  <c r="P167" i="11" s="1"/>
  <c r="P168" i="11" s="1"/>
  <c r="P169" i="11" s="1"/>
  <c r="P170" i="11" s="1"/>
  <c r="P171" i="11" s="1"/>
  <c r="P172" i="11" s="1"/>
  <c r="P173" i="11" s="1"/>
  <c r="P174" i="11" s="1"/>
  <c r="P175" i="11" s="1"/>
  <c r="P176" i="11" s="1"/>
  <c r="P177" i="11" s="1"/>
  <c r="P178" i="11" s="1"/>
  <c r="P179" i="11" s="1"/>
  <c r="P180" i="11" s="1"/>
  <c r="P181" i="11" s="1"/>
  <c r="P182" i="11" s="1"/>
  <c r="P183" i="11" s="1"/>
  <c r="P184" i="11" s="1"/>
  <c r="P185" i="11" s="1"/>
  <c r="P186" i="11" s="1"/>
  <c r="O186" i="11"/>
  <c r="O185" i="11"/>
  <c r="O184" i="11"/>
  <c r="O183" i="11"/>
  <c r="O182" i="11"/>
  <c r="O181" i="11"/>
  <c r="O180" i="11"/>
  <c r="O112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P98" i="11"/>
  <c r="P99" i="11"/>
  <c r="P100" i="11" s="1"/>
  <c r="P101" i="11" s="1"/>
  <c r="P102" i="11" s="1"/>
  <c r="P103" i="11" s="1"/>
  <c r="P104" i="11"/>
  <c r="P105" i="11" s="1"/>
  <c r="P106" i="11" s="1"/>
  <c r="P107" i="11" s="1"/>
  <c r="P108" i="11" s="1"/>
  <c r="P109" i="11" s="1"/>
  <c r="P110" i="11" s="1"/>
  <c r="P111" i="11" s="1"/>
  <c r="P112" i="11" s="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15" i="11"/>
  <c r="O14" i="11"/>
  <c r="O13" i="11"/>
  <c r="O12" i="11"/>
  <c r="O11" i="11"/>
  <c r="O10" i="11"/>
  <c r="O9" i="11"/>
  <c r="O8" i="11"/>
  <c r="O7" i="11"/>
  <c r="O6" i="11"/>
  <c r="O5" i="11"/>
  <c r="O4" i="11"/>
  <c r="M599" i="9"/>
  <c r="M600" i="9"/>
  <c r="M601" i="9"/>
  <c r="M602" i="9" s="1"/>
  <c r="M603" i="9" s="1"/>
  <c r="M604" i="9" s="1"/>
  <c r="M605" i="9" s="1"/>
  <c r="M606" i="9" s="1"/>
  <c r="M607" i="9" s="1"/>
  <c r="M608" i="9" s="1"/>
  <c r="M609" i="9" s="1"/>
  <c r="M610" i="9" s="1"/>
  <c r="M611" i="9" s="1"/>
  <c r="M612" i="9" s="1"/>
  <c r="O612" i="9"/>
  <c r="O611" i="9"/>
  <c r="O610" i="9"/>
  <c r="O609" i="9"/>
  <c r="O608" i="9"/>
  <c r="O607" i="9"/>
  <c r="O606" i="9"/>
  <c r="O605" i="9"/>
  <c r="O604" i="9"/>
  <c r="O603" i="9"/>
  <c r="O602" i="9"/>
  <c r="O601" i="9"/>
  <c r="O600" i="9"/>
  <c r="O510" i="9"/>
  <c r="O509" i="9"/>
  <c r="O508" i="9"/>
  <c r="O507" i="9"/>
  <c r="O506" i="9"/>
  <c r="O505" i="9"/>
  <c r="O504" i="9"/>
  <c r="O503" i="9"/>
  <c r="O65" i="9"/>
  <c r="O66" i="9" s="1"/>
  <c r="O67" i="9" s="1"/>
  <c r="O68" i="9" s="1"/>
  <c r="L74" i="8"/>
  <c r="L75" i="8"/>
  <c r="L76" i="8"/>
  <c r="L77" i="8"/>
  <c r="Y77" i="8" s="1"/>
  <c r="L78" i="8"/>
  <c r="L79" i="8"/>
  <c r="L80" i="8"/>
  <c r="L81" i="8"/>
  <c r="L132" i="8"/>
  <c r="L131" i="8"/>
  <c r="L130" i="8"/>
  <c r="L129" i="8"/>
  <c r="L128" i="8"/>
  <c r="K128" i="8" s="1"/>
  <c r="L150" i="8"/>
  <c r="Y150" i="8" s="1"/>
  <c r="Q150" i="8"/>
  <c r="Q155" i="8"/>
  <c r="Q154" i="8"/>
  <c r="Q153" i="8"/>
  <c r="Q152" i="8"/>
  <c r="Q151" i="8"/>
  <c r="Q149" i="8"/>
  <c r="Y149" i="8" s="1"/>
  <c r="Q148" i="8"/>
  <c r="Q147" i="8"/>
  <c r="Q146" i="8"/>
  <c r="Q145" i="8"/>
  <c r="Q144" i="8"/>
  <c r="L155" i="8"/>
  <c r="Y155" i="8" s="1"/>
  <c r="L154" i="8"/>
  <c r="Y154" i="8"/>
  <c r="L153" i="8"/>
  <c r="Y153" i="8" s="1"/>
  <c r="L152" i="8"/>
  <c r="Y152" i="8" s="1"/>
  <c r="L151" i="8"/>
  <c r="Y151" i="8" s="1"/>
  <c r="L149" i="8"/>
  <c r="L148" i="8"/>
  <c r="Y148" i="8" s="1"/>
  <c r="L147" i="8"/>
  <c r="Y147" i="8" s="1"/>
  <c r="L146" i="8"/>
  <c r="Y146" i="8" s="1"/>
  <c r="L145" i="8"/>
  <c r="Y145" i="8"/>
  <c r="L144" i="8"/>
  <c r="Y144" i="8" s="1"/>
  <c r="Q143" i="8"/>
  <c r="L143" i="8"/>
  <c r="Q125" i="8"/>
  <c r="L125" i="8"/>
  <c r="Q102" i="8"/>
  <c r="Q101" i="8"/>
  <c r="Q100" i="8"/>
  <c r="Q99" i="8"/>
  <c r="Q98" i="8"/>
  <c r="Q97" i="8"/>
  <c r="Q96" i="8"/>
  <c r="Q95" i="8"/>
  <c r="Q94" i="8"/>
  <c r="Q93" i="8"/>
  <c r="Q89" i="8"/>
  <c r="Y89" i="8" s="1"/>
  <c r="Q88" i="8"/>
  <c r="Q87" i="8"/>
  <c r="Q86" i="8"/>
  <c r="Q82" i="8"/>
  <c r="Y82" i="8" s="1"/>
  <c r="Q81" i="8"/>
  <c r="Q80" i="8"/>
  <c r="Y80" i="8" s="1"/>
  <c r="Q79" i="8"/>
  <c r="Q78" i="8"/>
  <c r="Q77" i="8"/>
  <c r="Q76" i="8"/>
  <c r="Y76" i="8"/>
  <c r="Y73" i="8"/>
  <c r="Y72" i="8"/>
  <c r="Y71" i="8"/>
  <c r="Q122" i="8"/>
  <c r="Y122" i="8" s="1"/>
  <c r="L122" i="8"/>
  <c r="Q121" i="8"/>
  <c r="L121" i="8"/>
  <c r="Q120" i="8"/>
  <c r="Y120" i="8" s="1"/>
  <c r="L120" i="8"/>
  <c r="Q119" i="8"/>
  <c r="Y119" i="8" s="1"/>
  <c r="L119" i="8"/>
  <c r="Q118" i="8"/>
  <c r="Y118" i="8" s="1"/>
  <c r="L118" i="8"/>
  <c r="Q117" i="8"/>
  <c r="L117" i="8"/>
  <c r="Y117" i="8" s="1"/>
  <c r="Q116" i="8"/>
  <c r="Y116" i="8" s="1"/>
  <c r="L116" i="8"/>
  <c r="Q115" i="8"/>
  <c r="L115" i="8"/>
  <c r="Q114" i="8"/>
  <c r="Y114" i="8" s="1"/>
  <c r="L114" i="8"/>
  <c r="Q113" i="8"/>
  <c r="L113" i="8"/>
  <c r="Q112" i="8"/>
  <c r="Y112" i="8" s="1"/>
  <c r="L112" i="8"/>
  <c r="Q111" i="8"/>
  <c r="L111" i="8"/>
  <c r="Y111" i="8" s="1"/>
  <c r="Q110" i="8"/>
  <c r="L110" i="8"/>
  <c r="Q109" i="8"/>
  <c r="Y109" i="8" s="1"/>
  <c r="L109" i="8"/>
  <c r="Q108" i="8"/>
  <c r="Y108" i="8" s="1"/>
  <c r="L108" i="8"/>
  <c r="Q107" i="8"/>
  <c r="L107" i="8"/>
  <c r="Q106" i="8"/>
  <c r="Y106" i="8" s="1"/>
  <c r="L106" i="8"/>
  <c r="Q105" i="8"/>
  <c r="L105" i="8"/>
  <c r="Q104" i="8"/>
  <c r="Y104" i="8" s="1"/>
  <c r="L104" i="8"/>
  <c r="Q103" i="8"/>
  <c r="Y103" i="8" s="1"/>
  <c r="L103" i="8"/>
  <c r="L102" i="8"/>
  <c r="Y102" i="8" s="1"/>
  <c r="L101" i="8"/>
  <c r="Y101" i="8"/>
  <c r="L100" i="8"/>
  <c r="L99" i="8"/>
  <c r="Y99" i="8" s="1"/>
  <c r="L98" i="8"/>
  <c r="Y98" i="8" s="1"/>
  <c r="L97" i="8"/>
  <c r="Y97" i="8"/>
  <c r="L96" i="8"/>
  <c r="L95" i="8"/>
  <c r="Y95" i="8" s="1"/>
  <c r="L94" i="8"/>
  <c r="Y94" i="8" s="1"/>
  <c r="L93" i="8"/>
  <c r="Y93" i="8"/>
  <c r="Q92" i="8"/>
  <c r="L92" i="8"/>
  <c r="Q91" i="8"/>
  <c r="L91" i="8"/>
  <c r="Y91" i="8" s="1"/>
  <c r="Q90" i="8"/>
  <c r="Y90" i="8" s="1"/>
  <c r="L90" i="8"/>
  <c r="L89" i="8"/>
  <c r="L88" i="8"/>
  <c r="L87" i="8"/>
  <c r="L86" i="8"/>
  <c r="Q85" i="8"/>
  <c r="L85" i="8"/>
  <c r="Q84" i="8"/>
  <c r="L84" i="8"/>
  <c r="Q83" i="8"/>
  <c r="L83" i="8"/>
  <c r="L82" i="8"/>
  <c r="Y78" i="8"/>
  <c r="Q75" i="8"/>
  <c r="Y75" i="8" s="1"/>
  <c r="Q74" i="8"/>
  <c r="Y87" i="8"/>
  <c r="K129" i="8"/>
  <c r="K130" i="8"/>
  <c r="K131" i="8" s="1"/>
  <c r="K132" i="8" s="1"/>
  <c r="Y83" i="8"/>
  <c r="Y84" i="8"/>
  <c r="Y85" i="8"/>
  <c r="Y92" i="8"/>
  <c r="Y105" i="8"/>
  <c r="Y107" i="8"/>
  <c r="Y110" i="8"/>
  <c r="Y113" i="8"/>
  <c r="Y115" i="8"/>
  <c r="Y121" i="8"/>
  <c r="Y88" i="8"/>
  <c r="Y81" i="8"/>
  <c r="Y79" i="8"/>
  <c r="Q48" i="8"/>
  <c r="Q47" i="8"/>
  <c r="Q46" i="8"/>
  <c r="Y46" i="8" s="1"/>
  <c r="Q45" i="8"/>
  <c r="Q44" i="8"/>
  <c r="Q41" i="8"/>
  <c r="Q42" i="8"/>
  <c r="Q43" i="8"/>
  <c r="L48" i="8"/>
  <c r="Y48" i="8"/>
  <c r="L47" i="8"/>
  <c r="Y47" i="8" s="1"/>
  <c r="L46" i="8"/>
  <c r="L45" i="8"/>
  <c r="Y45" i="8" s="1"/>
  <c r="L44" i="8"/>
  <c r="Y44" i="8"/>
  <c r="L43" i="8"/>
  <c r="Y43" i="8" s="1"/>
  <c r="L42" i="8"/>
  <c r="L41" i="8"/>
  <c r="Y41" i="8" s="1"/>
  <c r="L40" i="8"/>
  <c r="Y40" i="8" s="1"/>
  <c r="L39" i="8"/>
  <c r="Y39" i="8"/>
  <c r="L38" i="8"/>
  <c r="Y38" i="8" s="1"/>
  <c r="L37" i="8"/>
  <c r="Y37" i="8" s="1"/>
  <c r="L36" i="8"/>
  <c r="Y36" i="8" s="1"/>
  <c r="L35" i="8"/>
  <c r="Y35" i="8"/>
  <c r="L34" i="8"/>
  <c r="Y34" i="8" s="1"/>
  <c r="L33" i="8"/>
  <c r="Y33" i="8" s="1"/>
  <c r="L32" i="8"/>
  <c r="Y32" i="8" s="1"/>
  <c r="L31" i="8"/>
  <c r="Y31" i="8"/>
  <c r="L30" i="8"/>
  <c r="Y30" i="8" s="1"/>
  <c r="L29" i="8"/>
  <c r="Y29" i="8" s="1"/>
  <c r="L28" i="8"/>
  <c r="Y28" i="8" s="1"/>
  <c r="L27" i="8"/>
  <c r="Y27" i="8"/>
  <c r="L26" i="8"/>
  <c r="Y26" i="8" s="1"/>
  <c r="L25" i="8"/>
  <c r="Y25" i="8" s="1"/>
  <c r="L24" i="8"/>
  <c r="Y24" i="8" s="1"/>
  <c r="L23" i="8"/>
  <c r="Y23" i="8"/>
  <c r="L22" i="8"/>
  <c r="Y22" i="8" s="1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2" i="7"/>
  <c r="L3" i="7" s="1"/>
  <c r="L4" i="7" s="1"/>
  <c r="L5" i="7" s="1"/>
  <c r="L6" i="7" s="1"/>
  <c r="L7" i="7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L84" i="7" s="1"/>
  <c r="L85" i="7" s="1"/>
  <c r="L86" i="7" s="1"/>
  <c r="L87" i="7" s="1"/>
  <c r="L88" i="7" s="1"/>
  <c r="L89" i="7" s="1"/>
  <c r="L90" i="7" s="1"/>
  <c r="L91" i="7" s="1"/>
  <c r="L92" i="7" s="1"/>
  <c r="L93" i="7" s="1"/>
  <c r="L94" i="7" s="1"/>
  <c r="L95" i="7" s="1"/>
  <c r="L96" i="7" s="1"/>
  <c r="L97" i="7" s="1"/>
  <c r="L98" i="7" s="1"/>
  <c r="L99" i="7" s="1"/>
  <c r="L100" i="7" s="1"/>
  <c r="L101" i="7" s="1"/>
  <c r="L102" i="7" s="1"/>
  <c r="L103" i="7" s="1"/>
  <c r="L104" i="7" s="1"/>
  <c r="L105" i="7" s="1"/>
  <c r="L106" i="7" s="1"/>
  <c r="L107" i="7" s="1"/>
  <c r="L108" i="7" s="1"/>
  <c r="L109" i="7" s="1"/>
  <c r="L110" i="7" s="1"/>
  <c r="L111" i="7" s="1"/>
  <c r="L112" i="7" s="1"/>
  <c r="L113" i="7" s="1"/>
  <c r="L114" i="7" s="1"/>
  <c r="L115" i="7" s="1"/>
  <c r="L116" i="7" s="1"/>
  <c r="L117" i="7" s="1"/>
  <c r="L118" i="7" s="1"/>
  <c r="L119" i="7" s="1"/>
  <c r="L120" i="7" s="1"/>
  <c r="L121" i="7" s="1"/>
  <c r="L122" i="7" s="1"/>
  <c r="L123" i="7" s="1"/>
  <c r="L124" i="7" s="1"/>
  <c r="L125" i="7" s="1"/>
  <c r="L126" i="7" s="1"/>
  <c r="L127" i="7" s="1"/>
  <c r="L128" i="7" s="1"/>
  <c r="L129" i="7" s="1"/>
  <c r="L130" i="7" s="1"/>
  <c r="L131" i="7" s="1"/>
  <c r="L132" i="7" s="1"/>
  <c r="L133" i="7" s="1"/>
  <c r="L134" i="7" s="1"/>
  <c r="L135" i="7" s="1"/>
  <c r="L136" i="7" s="1"/>
  <c r="L137" i="7" s="1"/>
  <c r="L138" i="7" s="1"/>
  <c r="L139" i="7" s="1"/>
  <c r="L140" i="7" s="1"/>
  <c r="L141" i="7" s="1"/>
  <c r="L142" i="7" s="1"/>
  <c r="L143" i="7" s="1"/>
  <c r="L144" i="7" s="1"/>
  <c r="L145" i="7" s="1"/>
  <c r="L146" i="7" s="1"/>
  <c r="L147" i="7" s="1"/>
  <c r="L148" i="7" s="1"/>
  <c r="L149" i="7" s="1"/>
  <c r="L150" i="7" s="1"/>
  <c r="L151" i="7" s="1"/>
  <c r="L152" i="7" s="1"/>
  <c r="L153" i="7" s="1"/>
  <c r="L154" i="7" s="1"/>
  <c r="L155" i="7" s="1"/>
  <c r="L156" i="7" s="1"/>
  <c r="L157" i="7" s="1"/>
  <c r="L158" i="7" s="1"/>
  <c r="L159" i="7" s="1"/>
  <c r="L160" i="7" s="1"/>
  <c r="L161" i="7" s="1"/>
  <c r="L162" i="7" s="1"/>
  <c r="L163" i="7" s="1"/>
  <c r="L164" i="7" s="1"/>
  <c r="L165" i="7" s="1"/>
  <c r="L166" i="7" s="1"/>
  <c r="L167" i="7" s="1"/>
  <c r="L168" i="7" s="1"/>
  <c r="L169" i="7" s="1"/>
  <c r="L170" i="7" s="1"/>
  <c r="L171" i="7" s="1"/>
  <c r="L172" i="7" s="1"/>
  <c r="L173" i="7" s="1"/>
  <c r="L174" i="7" s="1"/>
  <c r="L175" i="7" s="1"/>
  <c r="L176" i="7" s="1"/>
  <c r="L177" i="7" s="1"/>
  <c r="L178" i="7" s="1"/>
  <c r="L179" i="7" s="1"/>
  <c r="L180" i="7" s="1"/>
  <c r="L181" i="7" s="1"/>
  <c r="L182" i="7" s="1"/>
  <c r="L183" i="7" s="1"/>
  <c r="L184" i="7" s="1"/>
  <c r="L185" i="7" s="1"/>
  <c r="L186" i="7" s="1"/>
  <c r="L187" i="7" s="1"/>
  <c r="L188" i="7" s="1"/>
  <c r="L189" i="7" s="1"/>
  <c r="L190" i="7" s="1"/>
  <c r="L191" i="7" s="1"/>
  <c r="L192" i="7" s="1"/>
  <c r="L193" i="7" s="1"/>
  <c r="L194" i="7" s="1"/>
  <c r="L195" i="7" s="1"/>
  <c r="L196" i="7" s="1"/>
  <c r="L197" i="7" s="1"/>
  <c r="L198" i="7" s="1"/>
  <c r="L199" i="7" s="1"/>
  <c r="L200" i="7" s="1"/>
  <c r="L201" i="7" s="1"/>
  <c r="L202" i="7" s="1"/>
  <c r="L203" i="7" s="1"/>
  <c r="L204" i="7" s="1"/>
  <c r="L205" i="7" s="1"/>
  <c r="L206" i="7" s="1"/>
  <c r="L207" i="7" s="1"/>
  <c r="L208" i="7" s="1"/>
  <c r="L209" i="7" s="1"/>
  <c r="L210" i="7" s="1"/>
  <c r="L211" i="7" s="1"/>
  <c r="L212" i="7" s="1"/>
  <c r="L213" i="7" s="1"/>
  <c r="L214" i="7" s="1"/>
  <c r="L215" i="7" s="1"/>
  <c r="L216" i="7" s="1"/>
  <c r="O214" i="7"/>
  <c r="O215" i="7" s="1"/>
  <c r="O216" i="7" s="1"/>
  <c r="K216" i="7"/>
  <c r="K215" i="7"/>
  <c r="K214" i="7"/>
  <c r="O211" i="7"/>
  <c r="O212" i="7"/>
  <c r="O213" i="7" s="1"/>
  <c r="K213" i="7"/>
  <c r="K212" i="7"/>
  <c r="K211" i="7"/>
  <c r="O208" i="7"/>
  <c r="O209" i="7" s="1"/>
  <c r="O210" i="7" s="1"/>
  <c r="K208" i="7"/>
  <c r="K209" i="7"/>
  <c r="K210" i="7"/>
  <c r="O205" i="7"/>
  <c r="O206" i="7"/>
  <c r="O207" i="7" s="1"/>
  <c r="K207" i="7"/>
  <c r="K206" i="7"/>
  <c r="K205" i="7"/>
  <c r="K204" i="7"/>
  <c r="K203" i="7"/>
  <c r="K202" i="7"/>
  <c r="K201" i="7"/>
  <c r="K200" i="7"/>
  <c r="O196" i="7"/>
  <c r="O197" i="7"/>
  <c r="O198" i="7"/>
  <c r="O199" i="7" s="1"/>
  <c r="K199" i="7"/>
  <c r="K198" i="7"/>
  <c r="K197" i="7"/>
  <c r="K196" i="7"/>
  <c r="K195" i="7"/>
  <c r="K194" i="7"/>
  <c r="K193" i="7"/>
  <c r="K192" i="7"/>
  <c r="K189" i="7"/>
  <c r="K190" i="7"/>
  <c r="K191" i="7"/>
  <c r="K188" i="7"/>
  <c r="K187" i="7"/>
  <c r="K186" i="7"/>
  <c r="O174" i="7"/>
  <c r="O175" i="7"/>
  <c r="O176" i="7" s="1"/>
  <c r="O177" i="7" s="1"/>
  <c r="O178" i="7" s="1"/>
  <c r="O179" i="7" s="1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O161" i="7"/>
  <c r="O162" i="7"/>
  <c r="O163" i="7"/>
  <c r="K163" i="7"/>
  <c r="K162" i="7"/>
  <c r="O150" i="7"/>
  <c r="O151" i="7"/>
  <c r="O152" i="7" s="1"/>
  <c r="O138" i="7"/>
  <c r="O139" i="7"/>
  <c r="O140" i="7"/>
  <c r="O141" i="7" s="1"/>
  <c r="O142" i="7" s="1"/>
  <c r="O143" i="7" s="1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O130" i="7"/>
  <c r="O131" i="7"/>
  <c r="O132" i="7" s="1"/>
  <c r="O133" i="7"/>
  <c r="O134" i="7" s="1"/>
  <c r="O135" i="7" s="1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O71" i="7"/>
  <c r="O72" i="7"/>
  <c r="O73" i="7"/>
  <c r="O74" i="7" s="1"/>
  <c r="O75" i="7" s="1"/>
  <c r="O76" i="7"/>
  <c r="O77" i="7" s="1"/>
  <c r="O78" i="7" s="1"/>
  <c r="O79" i="7" s="1"/>
  <c r="O80" i="7" s="1"/>
  <c r="O81" i="7" s="1"/>
  <c r="O82" i="7" s="1"/>
  <c r="O83" i="7" s="1"/>
  <c r="O84" i="7" s="1"/>
  <c r="O85" i="7" s="1"/>
  <c r="O86" i="7" s="1"/>
  <c r="O87" i="7" s="1"/>
  <c r="O88" i="7" s="1"/>
  <c r="O89" i="7" s="1"/>
  <c r="O90" i="7" s="1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O42" i="7"/>
  <c r="O43" i="7" s="1"/>
  <c r="O44" i="7"/>
  <c r="O45" i="7" s="1"/>
  <c r="O46" i="7" s="1"/>
  <c r="O47" i="7" s="1"/>
  <c r="O48" i="7" s="1"/>
  <c r="O49" i="7"/>
  <c r="O50" i="7" s="1"/>
  <c r="O51" i="7" s="1"/>
  <c r="O52" i="7" s="1"/>
  <c r="O53" i="7" s="1"/>
  <c r="O54" i="7" s="1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O27" i="7"/>
  <c r="O28" i="7"/>
  <c r="O29" i="7" s="1"/>
  <c r="O30" i="7" s="1"/>
  <c r="O31" i="7" s="1"/>
  <c r="O32" i="7" s="1"/>
  <c r="O33" i="7" s="1"/>
  <c r="O34" i="7"/>
  <c r="O35" i="7" s="1"/>
  <c r="O36" i="7" s="1"/>
  <c r="O37" i="7" s="1"/>
  <c r="O38" i="7" s="1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2" i="7"/>
  <c r="K3" i="7"/>
  <c r="K4" i="7"/>
  <c r="K5" i="7"/>
  <c r="K6" i="7"/>
  <c r="K7" i="7"/>
  <c r="K8" i="7"/>
  <c r="K9" i="7"/>
  <c r="Q62" i="6"/>
  <c r="Q63" i="6"/>
  <c r="Q64" i="6" s="1"/>
  <c r="Q65" i="6" s="1"/>
  <c r="Q66" i="6" s="1"/>
  <c r="Q67" i="6" s="1"/>
  <c r="Q68" i="6"/>
  <c r="Q69" i="6" s="1"/>
  <c r="Q70" i="6" s="1"/>
  <c r="Q71" i="6" s="1"/>
  <c r="Q72" i="6" s="1"/>
  <c r="Q73" i="6" s="1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Q84" i="6" s="1"/>
  <c r="Q85" i="6" s="1"/>
  <c r="Q86" i="6" s="1"/>
  <c r="Q87" i="6" s="1"/>
  <c r="Q88" i="6" s="1"/>
  <c r="Q89" i="6" s="1"/>
  <c r="Q90" i="6" s="1"/>
  <c r="Q91" i="6" s="1"/>
  <c r="Q92" i="6" s="1"/>
  <c r="Q93" i="6" s="1"/>
  <c r="Q94" i="6" s="1"/>
  <c r="O107" i="6"/>
  <c r="O106" i="6"/>
  <c r="O105" i="6"/>
  <c r="O104" i="6"/>
  <c r="O103" i="6"/>
  <c r="O102" i="6"/>
  <c r="O101" i="6"/>
  <c r="O100" i="6"/>
  <c r="O96" i="6"/>
  <c r="O95" i="6"/>
  <c r="O82" i="6"/>
  <c r="P82" i="6"/>
  <c r="O99" i="6"/>
  <c r="O97" i="6"/>
  <c r="O98" i="6"/>
  <c r="O81" i="6"/>
  <c r="P81" i="6"/>
  <c r="O83" i="6"/>
  <c r="P83" i="6" s="1"/>
  <c r="O84" i="6"/>
  <c r="P84" i="6"/>
  <c r="O85" i="6"/>
  <c r="P85" i="6" s="1"/>
  <c r="O86" i="6"/>
  <c r="P86" i="6" s="1"/>
  <c r="O87" i="6"/>
  <c r="P87" i="6" s="1"/>
  <c r="O88" i="6"/>
  <c r="P88" i="6" s="1"/>
  <c r="O89" i="6"/>
  <c r="P89" i="6" s="1"/>
  <c r="O90" i="6"/>
  <c r="P90" i="6"/>
  <c r="O91" i="6"/>
  <c r="P91" i="6" s="1"/>
  <c r="O92" i="6"/>
  <c r="P92" i="6"/>
  <c r="O93" i="6"/>
  <c r="P93" i="6" s="1"/>
  <c r="O94" i="6"/>
  <c r="P94" i="6" s="1"/>
  <c r="O80" i="6"/>
  <c r="P80" i="6" s="1"/>
  <c r="O79" i="6"/>
  <c r="P79" i="6" s="1"/>
  <c r="O78" i="6"/>
  <c r="P78" i="6" s="1"/>
  <c r="O77" i="6"/>
  <c r="P77" i="6"/>
  <c r="O70" i="6"/>
  <c r="P70" i="6" s="1"/>
  <c r="O69" i="6"/>
  <c r="P69" i="6"/>
  <c r="O68" i="6"/>
  <c r="P68" i="6" s="1"/>
  <c r="O67" i="6"/>
  <c r="P67" i="6" s="1"/>
  <c r="O66" i="6"/>
  <c r="P66" i="6" s="1"/>
  <c r="O65" i="6"/>
  <c r="P65" i="6" s="1"/>
  <c r="O64" i="6"/>
  <c r="P64" i="6" s="1"/>
  <c r="O63" i="6"/>
  <c r="P63" i="6"/>
  <c r="O62" i="6"/>
  <c r="R62" i="6" s="1"/>
  <c r="O76" i="6"/>
  <c r="P76" i="6"/>
  <c r="O75" i="6"/>
  <c r="P75" i="6" s="1"/>
  <c r="O74" i="6"/>
  <c r="P74" i="6" s="1"/>
  <c r="O73" i="6"/>
  <c r="P73" i="6" s="1"/>
  <c r="O72" i="6"/>
  <c r="P72" i="6" s="1"/>
  <c r="O71" i="6"/>
  <c r="P71" i="6" s="1"/>
  <c r="Q9" i="6"/>
  <c r="Q10" i="6"/>
  <c r="O33" i="6"/>
  <c r="P33" i="6" s="1"/>
  <c r="O35" i="6"/>
  <c r="P35" i="6"/>
  <c r="O37" i="6"/>
  <c r="P37" i="6" s="1"/>
  <c r="O39" i="6"/>
  <c r="P39" i="6" s="1"/>
  <c r="O42" i="6"/>
  <c r="P42" i="6" s="1"/>
  <c r="O45" i="6"/>
  <c r="P45" i="6" s="1"/>
  <c r="O48" i="6"/>
  <c r="P48" i="6" s="1"/>
  <c r="O51" i="6"/>
  <c r="P51" i="6"/>
  <c r="O53" i="6"/>
  <c r="P53" i="6" s="1"/>
  <c r="O55" i="6"/>
  <c r="P55" i="6"/>
  <c r="O57" i="6"/>
  <c r="P57" i="6" s="1"/>
  <c r="O59" i="6"/>
  <c r="P59" i="6" s="1"/>
  <c r="O61" i="6"/>
  <c r="P61" i="6" s="1"/>
  <c r="O26" i="6"/>
  <c r="P26" i="6" s="1"/>
  <c r="O24" i="6"/>
  <c r="P24" i="6" s="1"/>
  <c r="O22" i="6"/>
  <c r="P22" i="6"/>
  <c r="O20" i="6"/>
  <c r="P20" i="6" s="1"/>
  <c r="O18" i="6"/>
  <c r="P18" i="6"/>
  <c r="O16" i="6"/>
  <c r="P16" i="6" s="1"/>
  <c r="O14" i="6"/>
  <c r="P14" i="6" s="1"/>
  <c r="O12" i="6"/>
  <c r="P12" i="6" s="1"/>
  <c r="P10" i="6"/>
  <c r="O41" i="6"/>
  <c r="P41" i="6" s="1"/>
  <c r="O44" i="6"/>
  <c r="P44" i="6"/>
  <c r="O47" i="6"/>
  <c r="P47" i="6" s="1"/>
  <c r="O50" i="6"/>
  <c r="P50" i="6"/>
  <c r="O52" i="6"/>
  <c r="P52" i="6" s="1"/>
  <c r="O54" i="6"/>
  <c r="P54" i="6"/>
  <c r="O56" i="6"/>
  <c r="P56" i="6" s="1"/>
  <c r="O58" i="6"/>
  <c r="P58" i="6"/>
  <c r="O60" i="6"/>
  <c r="P60" i="6" s="1"/>
  <c r="O31" i="6"/>
  <c r="P31" i="6"/>
  <c r="O29" i="6"/>
  <c r="P29" i="6" s="1"/>
  <c r="O28" i="6"/>
  <c r="P28" i="6"/>
  <c r="O27" i="6"/>
  <c r="P27" i="6" s="1"/>
  <c r="O25" i="6"/>
  <c r="P25" i="6"/>
  <c r="O23" i="6"/>
  <c r="P23" i="6" s="1"/>
  <c r="O21" i="6"/>
  <c r="P21" i="6"/>
  <c r="O19" i="6"/>
  <c r="P19" i="6" s="1"/>
  <c r="O17" i="6"/>
  <c r="P17" i="6"/>
  <c r="O15" i="6"/>
  <c r="P15" i="6" s="1"/>
  <c r="O13" i="6"/>
  <c r="P13" i="6"/>
  <c r="O11" i="6"/>
  <c r="P11" i="6" s="1"/>
  <c r="O9" i="6"/>
  <c r="O32" i="6"/>
  <c r="P32" i="6" s="1"/>
  <c r="O34" i="6"/>
  <c r="P34" i="6" s="1"/>
  <c r="O36" i="6"/>
  <c r="P36" i="6"/>
  <c r="O38" i="6"/>
  <c r="P38" i="6" s="1"/>
  <c r="O40" i="6"/>
  <c r="P40" i="6"/>
  <c r="O43" i="6"/>
  <c r="P43" i="6" s="1"/>
  <c r="O46" i="6"/>
  <c r="P46" i="6" s="1"/>
  <c r="O49" i="6"/>
  <c r="P49" i="6" s="1"/>
  <c r="O30" i="6"/>
  <c r="P30" i="6" s="1"/>
  <c r="M107" i="6"/>
  <c r="M106" i="6"/>
  <c r="M105" i="6"/>
  <c r="M104" i="6"/>
  <c r="M103" i="6"/>
  <c r="M102" i="6"/>
  <c r="M101" i="6"/>
  <c r="M100" i="6"/>
  <c r="M96" i="6"/>
  <c r="M95" i="6"/>
  <c r="M82" i="6"/>
  <c r="M99" i="6"/>
  <c r="M97" i="6"/>
  <c r="M98" i="6"/>
  <c r="M81" i="6"/>
  <c r="M83" i="6"/>
  <c r="M84" i="6"/>
  <c r="M85" i="6"/>
  <c r="M86" i="6"/>
  <c r="M87" i="6"/>
  <c r="M88" i="6"/>
  <c r="M89" i="6"/>
  <c r="M90" i="6"/>
  <c r="M91" i="6"/>
  <c r="M92" i="6"/>
  <c r="M93" i="6"/>
  <c r="M94" i="6"/>
  <c r="M80" i="6"/>
  <c r="M79" i="6"/>
  <c r="M78" i="6"/>
  <c r="M77" i="6"/>
  <c r="M70" i="6"/>
  <c r="M69" i="6"/>
  <c r="M68" i="6"/>
  <c r="M67" i="6"/>
  <c r="M66" i="6"/>
  <c r="M65" i="6"/>
  <c r="M64" i="6"/>
  <c r="M63" i="6"/>
  <c r="M62" i="6"/>
  <c r="M76" i="6"/>
  <c r="M75" i="6"/>
  <c r="M74" i="6"/>
  <c r="M73" i="6"/>
  <c r="M72" i="6"/>
  <c r="M71" i="6"/>
  <c r="M33" i="6"/>
  <c r="M35" i="6"/>
  <c r="M37" i="6"/>
  <c r="M39" i="6"/>
  <c r="M42" i="6"/>
  <c r="M45" i="6"/>
  <c r="M48" i="6"/>
  <c r="M51" i="6"/>
  <c r="M53" i="6"/>
  <c r="M55" i="6"/>
  <c r="M57" i="6"/>
  <c r="M59" i="6"/>
  <c r="M61" i="6"/>
  <c r="M26" i="6"/>
  <c r="M24" i="6"/>
  <c r="M22" i="6"/>
  <c r="M20" i="6"/>
  <c r="M18" i="6"/>
  <c r="M16" i="6"/>
  <c r="M14" i="6"/>
  <c r="M12" i="6"/>
  <c r="M10" i="6"/>
  <c r="M41" i="6"/>
  <c r="M44" i="6"/>
  <c r="M47" i="6"/>
  <c r="M50" i="6"/>
  <c r="M52" i="6"/>
  <c r="M54" i="6"/>
  <c r="M56" i="6"/>
  <c r="M58" i="6"/>
  <c r="M60" i="6"/>
  <c r="M31" i="6"/>
  <c r="M29" i="6"/>
  <c r="M28" i="6"/>
  <c r="M27" i="6"/>
  <c r="M25" i="6"/>
  <c r="M23" i="6"/>
  <c r="M21" i="6"/>
  <c r="M19" i="6"/>
  <c r="M17" i="6"/>
  <c r="M15" i="6"/>
  <c r="M13" i="6"/>
  <c r="M11" i="6"/>
  <c r="M9" i="6"/>
  <c r="M32" i="6"/>
  <c r="M34" i="6"/>
  <c r="M36" i="6"/>
  <c r="M38" i="6"/>
  <c r="M40" i="6"/>
  <c r="M43" i="6"/>
  <c r="M46" i="6"/>
  <c r="M49" i="6"/>
  <c r="M30" i="6"/>
  <c r="M2" i="6"/>
  <c r="M3" i="6"/>
  <c r="M4" i="6"/>
  <c r="M5" i="6"/>
  <c r="M6" i="6"/>
  <c r="M7" i="6"/>
  <c r="M8" i="6"/>
  <c r="K107" i="6"/>
  <c r="K106" i="6"/>
  <c r="K105" i="6"/>
  <c r="K104" i="6"/>
  <c r="K103" i="6"/>
  <c r="K102" i="6"/>
  <c r="K101" i="6"/>
  <c r="K100" i="6"/>
  <c r="K96" i="6"/>
  <c r="K95" i="6"/>
  <c r="K82" i="6"/>
  <c r="S82" i="6" s="1"/>
  <c r="K99" i="6"/>
  <c r="K97" i="6"/>
  <c r="K98" i="6"/>
  <c r="K81" i="6"/>
  <c r="S81" i="6"/>
  <c r="K83" i="6"/>
  <c r="S83" i="6" s="1"/>
  <c r="K84" i="6"/>
  <c r="S84" i="6"/>
  <c r="K85" i="6"/>
  <c r="S85" i="6" s="1"/>
  <c r="K86" i="6"/>
  <c r="S86" i="6"/>
  <c r="K87" i="6"/>
  <c r="S87" i="6" s="1"/>
  <c r="K88" i="6"/>
  <c r="S88" i="6"/>
  <c r="K89" i="6"/>
  <c r="S89" i="6" s="1"/>
  <c r="K90" i="6"/>
  <c r="S90" i="6"/>
  <c r="K91" i="6"/>
  <c r="S91" i="6" s="1"/>
  <c r="K92" i="6"/>
  <c r="S92" i="6"/>
  <c r="K93" i="6"/>
  <c r="S93" i="6" s="1"/>
  <c r="K94" i="6"/>
  <c r="S94" i="6"/>
  <c r="K80" i="6"/>
  <c r="S80" i="6" s="1"/>
  <c r="K79" i="6"/>
  <c r="S79" i="6"/>
  <c r="K78" i="6"/>
  <c r="S78" i="6" s="1"/>
  <c r="K77" i="6"/>
  <c r="S77" i="6"/>
  <c r="K70" i="6"/>
  <c r="S70" i="6" s="1"/>
  <c r="K69" i="6"/>
  <c r="S69" i="6"/>
  <c r="K68" i="6"/>
  <c r="S68" i="6" s="1"/>
  <c r="K67" i="6"/>
  <c r="S67" i="6"/>
  <c r="K66" i="6"/>
  <c r="S66" i="6" s="1"/>
  <c r="K65" i="6"/>
  <c r="S65" i="6"/>
  <c r="K64" i="6"/>
  <c r="S64" i="6" s="1"/>
  <c r="K63" i="6"/>
  <c r="S63" i="6"/>
  <c r="K62" i="6"/>
  <c r="S62" i="6" s="1"/>
  <c r="K76" i="6"/>
  <c r="S76" i="6"/>
  <c r="K75" i="6"/>
  <c r="S75" i="6" s="1"/>
  <c r="K74" i="6"/>
  <c r="S74" i="6"/>
  <c r="K73" i="6"/>
  <c r="S73" i="6" s="1"/>
  <c r="K72" i="6"/>
  <c r="S72" i="6" s="1"/>
  <c r="K71" i="6"/>
  <c r="S71" i="6"/>
  <c r="K33" i="6"/>
  <c r="S33" i="6" s="1"/>
  <c r="K35" i="6"/>
  <c r="S35" i="6" s="1"/>
  <c r="K37" i="6"/>
  <c r="S37" i="6" s="1"/>
  <c r="K39" i="6"/>
  <c r="S39" i="6"/>
  <c r="K42" i="6"/>
  <c r="S42" i="6" s="1"/>
  <c r="K45" i="6"/>
  <c r="S45" i="6" s="1"/>
  <c r="K48" i="6"/>
  <c r="S48" i="6" s="1"/>
  <c r="K51" i="6"/>
  <c r="S51" i="6"/>
  <c r="K53" i="6"/>
  <c r="S53" i="6" s="1"/>
  <c r="K55" i="6"/>
  <c r="S55" i="6" s="1"/>
  <c r="K57" i="6"/>
  <c r="S57" i="6" s="1"/>
  <c r="K59" i="6"/>
  <c r="S59" i="6"/>
  <c r="K61" i="6"/>
  <c r="S61" i="6" s="1"/>
  <c r="K26" i="6"/>
  <c r="S26" i="6" s="1"/>
  <c r="K24" i="6"/>
  <c r="S24" i="6" s="1"/>
  <c r="K22" i="6"/>
  <c r="S22" i="6"/>
  <c r="K20" i="6"/>
  <c r="S20" i="6" s="1"/>
  <c r="K18" i="6"/>
  <c r="S18" i="6" s="1"/>
  <c r="K16" i="6"/>
  <c r="S16" i="6" s="1"/>
  <c r="K14" i="6"/>
  <c r="S14" i="6"/>
  <c r="K12" i="6"/>
  <c r="S12" i="6" s="1"/>
  <c r="K10" i="6"/>
  <c r="S10" i="6" s="1"/>
  <c r="K41" i="6"/>
  <c r="S41" i="6" s="1"/>
  <c r="K44" i="6"/>
  <c r="S44" i="6"/>
  <c r="K47" i="6"/>
  <c r="S47" i="6" s="1"/>
  <c r="K50" i="6"/>
  <c r="S50" i="6" s="1"/>
  <c r="K52" i="6"/>
  <c r="S52" i="6" s="1"/>
  <c r="K54" i="6"/>
  <c r="S54" i="6"/>
  <c r="K56" i="6"/>
  <c r="S56" i="6" s="1"/>
  <c r="K58" i="6"/>
  <c r="S58" i="6" s="1"/>
  <c r="K60" i="6"/>
  <c r="S60" i="6" s="1"/>
  <c r="K31" i="6"/>
  <c r="S31" i="6"/>
  <c r="K29" i="6"/>
  <c r="S29" i="6" s="1"/>
  <c r="K28" i="6"/>
  <c r="S28" i="6" s="1"/>
  <c r="K27" i="6"/>
  <c r="S27" i="6" s="1"/>
  <c r="K25" i="6"/>
  <c r="S25" i="6"/>
  <c r="K23" i="6"/>
  <c r="S23" i="6" s="1"/>
  <c r="K21" i="6"/>
  <c r="S21" i="6" s="1"/>
  <c r="K19" i="6"/>
  <c r="S19" i="6" s="1"/>
  <c r="K17" i="6"/>
  <c r="S17" i="6"/>
  <c r="K15" i="6"/>
  <c r="S15" i="6" s="1"/>
  <c r="K13" i="6"/>
  <c r="S13" i="6" s="1"/>
  <c r="K11" i="6"/>
  <c r="S11" i="6" s="1"/>
  <c r="K9" i="6"/>
  <c r="S9" i="6"/>
  <c r="T9" i="6" s="1"/>
  <c r="T10" i="6" s="1"/>
  <c r="T11" i="6" s="1"/>
  <c r="T12" i="6" s="1"/>
  <c r="T13" i="6" s="1"/>
  <c r="T14" i="6" s="1"/>
  <c r="T15" i="6" s="1"/>
  <c r="T16" i="6" s="1"/>
  <c r="T17" i="6" s="1"/>
  <c r="T18" i="6" s="1"/>
  <c r="T19" i="6" s="1"/>
  <c r="T20" i="6" s="1"/>
  <c r="T21" i="6" s="1"/>
  <c r="T22" i="6" s="1"/>
  <c r="T23" i="6" s="1"/>
  <c r="T24" i="6" s="1"/>
  <c r="T25" i="6" s="1"/>
  <c r="T26" i="6" s="1"/>
  <c r="T27" i="6" s="1"/>
  <c r="T28" i="6" s="1"/>
  <c r="T29" i="6" s="1"/>
  <c r="T30" i="6" s="1"/>
  <c r="T31" i="6" s="1"/>
  <c r="T32" i="6" s="1"/>
  <c r="T33" i="6" s="1"/>
  <c r="T34" i="6" s="1"/>
  <c r="T35" i="6" s="1"/>
  <c r="T36" i="6" s="1"/>
  <c r="T37" i="6" s="1"/>
  <c r="T38" i="6" s="1"/>
  <c r="T39" i="6" s="1"/>
  <c r="T40" i="6" s="1"/>
  <c r="K30" i="6"/>
  <c r="S30" i="6"/>
  <c r="K32" i="6"/>
  <c r="S32" i="6"/>
  <c r="K34" i="6"/>
  <c r="S34" i="6"/>
  <c r="K36" i="6"/>
  <c r="S36" i="6"/>
  <c r="K38" i="6"/>
  <c r="S38" i="6"/>
  <c r="K40" i="6"/>
  <c r="S40" i="6"/>
  <c r="T41" i="6"/>
  <c r="T42" i="6" s="1"/>
  <c r="T43" i="6" s="1"/>
  <c r="T44" i="6" s="1"/>
  <c r="T45" i="6" s="1"/>
  <c r="T46" i="6" s="1"/>
  <c r="T47" i="6" s="1"/>
  <c r="T48" i="6" s="1"/>
  <c r="T49" i="6" s="1"/>
  <c r="T50" i="6" s="1"/>
  <c r="T51" i="6" s="1"/>
  <c r="T52" i="6" s="1"/>
  <c r="T53" i="6" s="1"/>
  <c r="T54" i="6" s="1"/>
  <c r="T55" i="6" s="1"/>
  <c r="T56" i="6" s="1"/>
  <c r="T57" i="6" s="1"/>
  <c r="T58" i="6" s="1"/>
  <c r="T59" i="6" s="1"/>
  <c r="T60" i="6" s="1"/>
  <c r="T61" i="6" s="1"/>
  <c r="K43" i="6"/>
  <c r="S43" i="6"/>
  <c r="K46" i="6"/>
  <c r="S46" i="6" s="1"/>
  <c r="K49" i="6"/>
  <c r="S49" i="6"/>
  <c r="K2" i="6"/>
  <c r="K3" i="6"/>
  <c r="K4" i="6"/>
  <c r="K5" i="6"/>
  <c r="K6" i="6"/>
  <c r="K7" i="6"/>
  <c r="K8" i="6"/>
  <c r="R63" i="6"/>
  <c r="R64" i="6"/>
  <c r="R65" i="6" s="1"/>
  <c r="R66" i="6"/>
  <c r="R67" i="6" s="1"/>
  <c r="R68" i="6" s="1"/>
  <c r="R69" i="6" s="1"/>
  <c r="R70" i="6" s="1"/>
  <c r="R71" i="6" s="1"/>
  <c r="R72" i="6" s="1"/>
  <c r="R73" i="6" s="1"/>
  <c r="R74" i="6" s="1"/>
  <c r="R75" i="6" s="1"/>
  <c r="R76" i="6" s="1"/>
  <c r="R77" i="6" s="1"/>
  <c r="R78" i="6" s="1"/>
  <c r="R79" i="6" s="1"/>
  <c r="R80" i="6" s="1"/>
  <c r="R81" i="6" s="1"/>
  <c r="R82" i="6" s="1"/>
  <c r="R83" i="6" s="1"/>
  <c r="R84" i="6" s="1"/>
  <c r="R85" i="6" s="1"/>
  <c r="R86" i="6" s="1"/>
  <c r="R87" i="6" s="1"/>
  <c r="R88" i="6" s="1"/>
  <c r="R89" i="6" s="1"/>
  <c r="R90" i="6" s="1"/>
  <c r="R91" i="6" s="1"/>
  <c r="R92" i="6" s="1"/>
  <c r="R93" i="6" s="1"/>
  <c r="R94" i="6" s="1"/>
  <c r="P62" i="6"/>
  <c r="R9" i="6"/>
  <c r="R10" i="6" s="1"/>
  <c r="P9" i="6"/>
  <c r="K932" i="4"/>
  <c r="K933" i="4"/>
  <c r="J933" i="4"/>
  <c r="L759" i="4"/>
  <c r="L760" i="4" s="1"/>
  <c r="L761" i="4"/>
  <c r="L762" i="4" s="1"/>
  <c r="L763" i="4"/>
  <c r="L764" i="4" s="1"/>
  <c r="L765" i="4"/>
  <c r="L766" i="4" s="1"/>
  <c r="L767" i="4" s="1"/>
  <c r="L768" i="4" s="1"/>
  <c r="L769" i="4" s="1"/>
  <c r="L770" i="4" s="1"/>
  <c r="L771" i="4" s="1"/>
  <c r="L772" i="4" s="1"/>
  <c r="L773" i="4"/>
  <c r="L774" i="4" s="1"/>
  <c r="L811" i="4"/>
  <c r="L812" i="4" s="1"/>
  <c r="L813" i="4"/>
  <c r="L814" i="4" s="1"/>
  <c r="L815" i="4"/>
  <c r="L816" i="4" s="1"/>
  <c r="L817" i="4"/>
  <c r="L818" i="4" s="1"/>
  <c r="L788" i="4"/>
  <c r="L789" i="4" s="1"/>
  <c r="L790" i="4"/>
  <c r="L791" i="4" s="1"/>
  <c r="L792" i="4"/>
  <c r="L793" i="4" s="1"/>
  <c r="L794" i="4"/>
  <c r="L795" i="4" s="1"/>
  <c r="L796" i="4" s="1"/>
  <c r="L797" i="4" s="1"/>
  <c r="L798" i="4" s="1"/>
  <c r="L799" i="4" s="1"/>
  <c r="L800" i="4" s="1"/>
  <c r="L801" i="4" s="1"/>
  <c r="L802" i="4" s="1"/>
  <c r="L567" i="4"/>
  <c r="L568" i="4"/>
  <c r="L569" i="4" s="1"/>
  <c r="L570" i="4"/>
  <c r="L571" i="4" s="1"/>
  <c r="L572" i="4"/>
  <c r="L573" i="4" s="1"/>
  <c r="L574" i="4" s="1"/>
  <c r="L575" i="4" s="1"/>
  <c r="L576" i="4" s="1"/>
  <c r="L577" i="4" s="1"/>
  <c r="L578" i="4" s="1"/>
  <c r="L579" i="4" s="1"/>
  <c r="L580" i="4"/>
  <c r="L581" i="4" s="1"/>
  <c r="M19" i="4"/>
  <c r="M20" i="4" s="1"/>
  <c r="M21" i="4"/>
  <c r="M22" i="4" s="1"/>
  <c r="M23" i="4"/>
  <c r="M24" i="4" s="1"/>
  <c r="M25" i="4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L547" i="4"/>
  <c r="L548" i="4" s="1"/>
  <c r="L549" i="4" s="1"/>
  <c r="L550" i="4" s="1"/>
  <c r="L551" i="4" s="1"/>
  <c r="L552" i="4" s="1"/>
  <c r="L553" i="4" s="1"/>
  <c r="L554" i="4" s="1"/>
  <c r="L555" i="4" s="1"/>
  <c r="L556" i="4" s="1"/>
  <c r="L557" i="4" s="1"/>
  <c r="L558" i="4" s="1"/>
  <c r="L559" i="4" s="1"/>
  <c r="L560" i="4" s="1"/>
  <c r="L561" i="4" s="1"/>
  <c r="L562" i="4" s="1"/>
  <c r="Q477" i="4"/>
  <c r="Q478" i="4" s="1"/>
  <c r="Q479" i="4" s="1"/>
  <c r="Q480" i="4" s="1"/>
  <c r="Q481" i="4" s="1"/>
  <c r="Q482" i="4" s="1"/>
  <c r="Q483" i="4" s="1"/>
  <c r="Q484" i="4" s="1"/>
  <c r="Q485" i="4" s="1"/>
  <c r="Q486" i="4" s="1"/>
  <c r="Q487" i="4" s="1"/>
  <c r="Q488" i="4" s="1"/>
  <c r="Q489" i="4" s="1"/>
  <c r="Q475" i="4"/>
  <c r="Q440" i="4"/>
  <c r="Q441" i="4" s="1"/>
  <c r="Q434" i="4"/>
  <c r="Q430" i="4"/>
  <c r="Q414" i="4"/>
  <c r="Q411" i="4"/>
  <c r="Q407" i="4"/>
  <c r="Q405" i="4"/>
  <c r="P406" i="4"/>
  <c r="P408" i="4"/>
  <c r="P409" i="4"/>
  <c r="P410" i="4" s="1"/>
  <c r="P412" i="4"/>
  <c r="P413" i="4" s="1"/>
  <c r="P415" i="4"/>
  <c r="P416" i="4" s="1"/>
  <c r="P417" i="4"/>
  <c r="P418" i="4" s="1"/>
  <c r="P419" i="4"/>
  <c r="P420" i="4" s="1"/>
  <c r="P421" i="4"/>
  <c r="P422" i="4" s="1"/>
  <c r="P423" i="4" s="1"/>
  <c r="P424" i="4" s="1"/>
  <c r="P425" i="4" s="1"/>
  <c r="P426" i="4" s="1"/>
  <c r="P427" i="4" s="1"/>
  <c r="P428" i="4" s="1"/>
  <c r="P429" i="4" s="1"/>
  <c r="P431" i="4"/>
  <c r="P432" i="4"/>
  <c r="P433" i="4" s="1"/>
  <c r="P435" i="4"/>
  <c r="P436" i="4" s="1"/>
  <c r="P437" i="4"/>
  <c r="P438" i="4" s="1"/>
  <c r="P439" i="4" s="1"/>
  <c r="P441" i="4"/>
  <c r="P442" i="4"/>
  <c r="P443" i="4" s="1"/>
  <c r="P444" i="4"/>
  <c r="P445" i="4" s="1"/>
  <c r="P446" i="4" s="1"/>
  <c r="P447" i="4" s="1"/>
  <c r="P448" i="4" s="1"/>
  <c r="P449" i="4" s="1"/>
  <c r="P450" i="4" s="1"/>
  <c r="P451" i="4" s="1"/>
  <c r="P452" i="4" s="1"/>
  <c r="P453" i="4" s="1"/>
  <c r="P454" i="4" s="1"/>
  <c r="P455" i="4" s="1"/>
  <c r="P456" i="4" s="1"/>
  <c r="P457" i="4" s="1"/>
  <c r="P458" i="4" s="1"/>
  <c r="P459" i="4" s="1"/>
  <c r="P460" i="4" s="1"/>
  <c r="P461" i="4" s="1"/>
  <c r="P462" i="4" s="1"/>
  <c r="P463" i="4" s="1"/>
  <c r="P464" i="4" s="1"/>
  <c r="P465" i="4" s="1"/>
  <c r="P466" i="4" s="1"/>
  <c r="P467" i="4" s="1"/>
  <c r="P468" i="4" s="1"/>
  <c r="P469" i="4" s="1"/>
  <c r="P470" i="4" s="1"/>
  <c r="P471" i="4" s="1"/>
  <c r="P472" i="4" s="1"/>
  <c r="P473" i="4" s="1"/>
  <c r="P474" i="4" s="1"/>
  <c r="P476" i="4"/>
  <c r="P478" i="4"/>
  <c r="P479" i="4" s="1"/>
  <c r="P480" i="4"/>
  <c r="P481" i="4" s="1"/>
  <c r="P482" i="4"/>
  <c r="P483" i="4" s="1"/>
  <c r="P484" i="4"/>
  <c r="P485" i="4" s="1"/>
  <c r="P486" i="4" s="1"/>
  <c r="P487" i="4" s="1"/>
  <c r="P488" i="4" s="1"/>
  <c r="P489" i="4" s="1"/>
  <c r="P490" i="4" s="1"/>
  <c r="P491" i="4" s="1"/>
  <c r="P492" i="4" s="1"/>
  <c r="P493" i="4" s="1"/>
  <c r="P494" i="4" s="1"/>
  <c r="P495" i="4" s="1"/>
  <c r="P496" i="4" s="1"/>
  <c r="P497" i="4" s="1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N407" i="4" s="1"/>
  <c r="L406" i="4"/>
  <c r="L405" i="4"/>
  <c r="Q408" i="4"/>
  <c r="Q409" i="4"/>
  <c r="Q410" i="4" s="1"/>
  <c r="Q412" i="4"/>
  <c r="Q413" i="4" s="1"/>
  <c r="Q415" i="4"/>
  <c r="Q416" i="4" s="1"/>
  <c r="Q417" i="4" s="1"/>
  <c r="Q418" i="4" s="1"/>
  <c r="Q419" i="4" s="1"/>
  <c r="Q420" i="4" s="1"/>
  <c r="Q421" i="4" s="1"/>
  <c r="Q422" i="4" s="1"/>
  <c r="Q423" i="4"/>
  <c r="Q424" i="4" s="1"/>
  <c r="Q425" i="4" s="1"/>
  <c r="Q426" i="4" s="1"/>
  <c r="Q427" i="4" s="1"/>
  <c r="Q428" i="4" s="1"/>
  <c r="Q429" i="4" s="1"/>
  <c r="Q435" i="4"/>
  <c r="Q436" i="4" s="1"/>
  <c r="Q437" i="4" s="1"/>
  <c r="Q438" i="4" s="1"/>
  <c r="Q439" i="4" s="1"/>
  <c r="Q442" i="4"/>
  <c r="Q443" i="4" s="1"/>
  <c r="Q444" i="4" s="1"/>
  <c r="Q445" i="4" s="1"/>
  <c r="Q446" i="4" s="1"/>
  <c r="Q447" i="4" s="1"/>
  <c r="Q448" i="4" s="1"/>
  <c r="Q449" i="4" s="1"/>
  <c r="Q450" i="4" s="1"/>
  <c r="Q451" i="4" s="1"/>
  <c r="Q452" i="4" s="1"/>
  <c r="Q453" i="4" s="1"/>
  <c r="Q454" i="4" s="1"/>
  <c r="Q455" i="4" s="1"/>
  <c r="Q456" i="4" s="1"/>
  <c r="Q457" i="4" s="1"/>
  <c r="Q458" i="4" s="1"/>
  <c r="Q459" i="4" s="1"/>
  <c r="Q460" i="4" s="1"/>
  <c r="Q461" i="4" s="1"/>
  <c r="Q462" i="4" s="1"/>
  <c r="Q463" i="4" s="1"/>
  <c r="Q464" i="4" s="1"/>
  <c r="Q465" i="4" s="1"/>
  <c r="Q466" i="4" s="1"/>
  <c r="Q467" i="4" s="1"/>
  <c r="Q468" i="4" s="1"/>
  <c r="Q469" i="4" s="1"/>
  <c r="Q470" i="4" s="1"/>
  <c r="Q471" i="4" s="1"/>
  <c r="Q472" i="4" s="1"/>
  <c r="Q473" i="4" s="1"/>
  <c r="Q474" i="4" s="1"/>
  <c r="Q476" i="4"/>
  <c r="Q490" i="4"/>
  <c r="Q491" i="4" s="1"/>
  <c r="Q492" i="4" s="1"/>
  <c r="Q493" i="4" s="1"/>
  <c r="Q494" i="4" s="1"/>
  <c r="Q495" i="4" s="1"/>
  <c r="Q496" i="4" s="1"/>
  <c r="Q497" i="4" s="1"/>
  <c r="O406" i="4"/>
  <c r="M325" i="4"/>
  <c r="P390" i="4"/>
  <c r="O390" i="4"/>
  <c r="Q389" i="4"/>
  <c r="Q390" i="4" s="1"/>
  <c r="Q391" i="4"/>
  <c r="Q392" i="4" s="1"/>
  <c r="Q393" i="4" s="1"/>
  <c r="Q394" i="4" s="1"/>
  <c r="Q395" i="4" s="1"/>
  <c r="Q396" i="4" s="1"/>
  <c r="Q397" i="4" s="1"/>
  <c r="Q398" i="4" s="1"/>
  <c r="Q399" i="4" s="1"/>
  <c r="Q400" i="4" s="1"/>
  <c r="Q401" i="4" s="1"/>
  <c r="Q402" i="4" s="1"/>
  <c r="Q403" i="4" s="1"/>
  <c r="Q404" i="4" s="1"/>
  <c r="Q388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N389" i="4" s="1"/>
  <c r="L388" i="4"/>
  <c r="N388" i="4" s="1"/>
  <c r="K388" i="4" s="1"/>
  <c r="O391" i="4"/>
  <c r="O392" i="4" s="1"/>
  <c r="K407" i="4"/>
  <c r="O408" i="4"/>
  <c r="N408" i="4"/>
  <c r="K408" i="4" s="1"/>
  <c r="O409" i="4"/>
  <c r="N411" i="4"/>
  <c r="K411" i="4" s="1"/>
  <c r="O412" i="4"/>
  <c r="P369" i="4"/>
  <c r="P370" i="4" s="1"/>
  <c r="P371" i="4"/>
  <c r="P372" i="4" s="1"/>
  <c r="P373" i="4"/>
  <c r="P374" i="4" s="1"/>
  <c r="P375" i="4" s="1"/>
  <c r="P376" i="4" s="1"/>
  <c r="P377" i="4" s="1"/>
  <c r="P378" i="4" s="1"/>
  <c r="P379" i="4" s="1"/>
  <c r="P380" i="4" s="1"/>
  <c r="P381" i="4" s="1"/>
  <c r="P382" i="4" s="1"/>
  <c r="P383" i="4" s="1"/>
  <c r="P384" i="4" s="1"/>
  <c r="P385" i="4" s="1"/>
  <c r="P386" i="4" s="1"/>
  <c r="P387" i="4" s="1"/>
  <c r="O369" i="4"/>
  <c r="Q368" i="4"/>
  <c r="Q369" i="4" s="1"/>
  <c r="Q370" i="4" s="1"/>
  <c r="Q371" i="4" s="1"/>
  <c r="Q372" i="4"/>
  <c r="Q373" i="4" s="1"/>
  <c r="Q374" i="4" s="1"/>
  <c r="Q375" i="4" s="1"/>
  <c r="Q376" i="4" s="1"/>
  <c r="Q377" i="4" s="1"/>
  <c r="Q378" i="4" s="1"/>
  <c r="Q379" i="4" s="1"/>
  <c r="Q380" i="4" s="1"/>
  <c r="Q381" i="4" s="1"/>
  <c r="Q382" i="4" s="1"/>
  <c r="Q383" i="4" s="1"/>
  <c r="Q384" i="4" s="1"/>
  <c r="Q385" i="4" s="1"/>
  <c r="Q386" i="4" s="1"/>
  <c r="Q387" i="4" s="1"/>
  <c r="P349" i="4"/>
  <c r="P350" i="4" s="1"/>
  <c r="P351" i="4" s="1"/>
  <c r="O349" i="4"/>
  <c r="O350" i="4" s="1"/>
  <c r="Q348" i="4"/>
  <c r="Q349" i="4" s="1"/>
  <c r="Q350" i="4"/>
  <c r="Q351" i="4" s="1"/>
  <c r="Q352" i="4" s="1"/>
  <c r="Q353" i="4" s="1"/>
  <c r="Q354" i="4" s="1"/>
  <c r="Q355" i="4" s="1"/>
  <c r="Q356" i="4" s="1"/>
  <c r="Q357" i="4" s="1"/>
  <c r="Q358" i="4"/>
  <c r="Q359" i="4" s="1"/>
  <c r="Q360" i="4" s="1"/>
  <c r="Q361" i="4" s="1"/>
  <c r="Q362" i="4" s="1"/>
  <c r="Q363" i="4" s="1"/>
  <c r="Q364" i="4" s="1"/>
  <c r="Q365" i="4" s="1"/>
  <c r="Q366" i="4" s="1"/>
  <c r="Q367" i="4" s="1"/>
  <c r="P329" i="4"/>
  <c r="P330" i="4" s="1"/>
  <c r="P331" i="4" s="1"/>
  <c r="P332" i="4" s="1"/>
  <c r="P333" i="4" s="1"/>
  <c r="P334" i="4" s="1"/>
  <c r="P335" i="4"/>
  <c r="P336" i="4" s="1"/>
  <c r="P337" i="4" s="1"/>
  <c r="P338" i="4" s="1"/>
  <c r="P339" i="4" s="1"/>
  <c r="P340" i="4" s="1"/>
  <c r="P341" i="4" s="1"/>
  <c r="P342" i="4" s="1"/>
  <c r="P343" i="4" s="1"/>
  <c r="P344" i="4" s="1"/>
  <c r="P345" i="4" s="1"/>
  <c r="P346" i="4" s="1"/>
  <c r="P347" i="4" s="1"/>
  <c r="O329" i="4"/>
  <c r="Q328" i="4"/>
  <c r="Q329" i="4" s="1"/>
  <c r="Q330" i="4"/>
  <c r="Q331" i="4" s="1"/>
  <c r="Q332" i="4" s="1"/>
  <c r="Q333" i="4" s="1"/>
  <c r="Q334" i="4" s="1"/>
  <c r="Q335" i="4" s="1"/>
  <c r="Q336" i="4" s="1"/>
  <c r="Q337" i="4" s="1"/>
  <c r="Q338" i="4" s="1"/>
  <c r="Q339" i="4" s="1"/>
  <c r="Q340" i="4" s="1"/>
  <c r="Q341" i="4" s="1"/>
  <c r="Q342" i="4" s="1"/>
  <c r="Q343" i="4" s="1"/>
  <c r="Q344" i="4" s="1"/>
  <c r="Q345" i="4" s="1"/>
  <c r="Q346" i="4" s="1"/>
  <c r="Q347" i="4" s="1"/>
  <c r="Q327" i="4"/>
  <c r="P325" i="4"/>
  <c r="P326" i="4"/>
  <c r="O325" i="4"/>
  <c r="Q324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N368" i="4"/>
  <c r="K368" i="4" s="1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N349" i="4" s="1"/>
  <c r="K349" i="4" s="1"/>
  <c r="L348" i="4"/>
  <c r="N348" i="4" s="1"/>
  <c r="K348" i="4" s="1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N328" i="4" s="1"/>
  <c r="L327" i="4"/>
  <c r="L326" i="4"/>
  <c r="L325" i="4"/>
  <c r="L324" i="4"/>
  <c r="N327" i="4"/>
  <c r="K327" i="4"/>
  <c r="N414" i="4"/>
  <c r="K414" i="4" s="1"/>
  <c r="O415" i="4"/>
  <c r="O416" i="4" s="1"/>
  <c r="N329" i="4"/>
  <c r="N369" i="4"/>
  <c r="K369" i="4"/>
  <c r="O370" i="4"/>
  <c r="O330" i="4"/>
  <c r="N330" i="4" s="1"/>
  <c r="O326" i="4"/>
  <c r="O351" i="4"/>
  <c r="O352" i="4" s="1"/>
  <c r="O331" i="4"/>
  <c r="O431" i="4"/>
  <c r="O432" i="4"/>
  <c r="O433" i="4"/>
  <c r="Q307" i="4"/>
  <c r="Q308" i="4" s="1"/>
  <c r="Q309" i="4" s="1"/>
  <c r="Q310" i="4" s="1"/>
  <c r="P293" i="4"/>
  <c r="P294" i="4" s="1"/>
  <c r="P295" i="4"/>
  <c r="P296" i="4"/>
  <c r="P297" i="4"/>
  <c r="P298" i="4" s="1"/>
  <c r="P299" i="4" s="1"/>
  <c r="P300" i="4" s="1"/>
  <c r="P301" i="4" s="1"/>
  <c r="P302" i="4" s="1"/>
  <c r="P303" i="4" s="1"/>
  <c r="P304" i="4" s="1"/>
  <c r="P305" i="4" s="1"/>
  <c r="P306" i="4" s="1"/>
  <c r="P308" i="4"/>
  <c r="P309" i="4"/>
  <c r="P310" i="4" s="1"/>
  <c r="P311" i="4" s="1"/>
  <c r="P312" i="4" s="1"/>
  <c r="P313" i="4" s="1"/>
  <c r="P314" i="4" s="1"/>
  <c r="P315" i="4" s="1"/>
  <c r="P316" i="4" s="1"/>
  <c r="P317" i="4" s="1"/>
  <c r="P318" i="4" s="1"/>
  <c r="P319" i="4" s="1"/>
  <c r="P320" i="4" s="1"/>
  <c r="P321" i="4" s="1"/>
  <c r="P322" i="4" s="1"/>
  <c r="P323" i="4" s="1"/>
  <c r="O293" i="4"/>
  <c r="O294" i="4" s="1"/>
  <c r="Q292" i="4"/>
  <c r="Q293" i="4" s="1"/>
  <c r="Q294" i="4" s="1"/>
  <c r="Q295" i="4" s="1"/>
  <c r="Q296" i="4" s="1"/>
  <c r="Q297" i="4"/>
  <c r="Q298" i="4" s="1"/>
  <c r="Q299" i="4" s="1"/>
  <c r="Q300" i="4" s="1"/>
  <c r="Q301" i="4" s="1"/>
  <c r="Q302" i="4" s="1"/>
  <c r="Q303" i="4" s="1"/>
  <c r="Q304" i="4" s="1"/>
  <c r="Q305" i="4" s="1"/>
  <c r="Q306" i="4" s="1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48" i="4"/>
  <c r="L247" i="4"/>
  <c r="L246" i="4"/>
  <c r="L245" i="4"/>
  <c r="L244" i="4"/>
  <c r="L243" i="4"/>
  <c r="L242" i="4"/>
  <c r="P276" i="4"/>
  <c r="P277" i="4" s="1"/>
  <c r="P278" i="4" s="1"/>
  <c r="N278" i="4" s="1"/>
  <c r="O276" i="4"/>
  <c r="O277" i="4"/>
  <c r="O278" i="4" s="1"/>
  <c r="O279" i="4" s="1"/>
  <c r="Q275" i="4"/>
  <c r="Q276" i="4" s="1"/>
  <c r="Q277" i="4"/>
  <c r="Q278" i="4"/>
  <c r="Q279" i="4" s="1"/>
  <c r="Q280" i="4" s="1"/>
  <c r="Q281" i="4" s="1"/>
  <c r="Q282" i="4" s="1"/>
  <c r="Q283" i="4"/>
  <c r="Q284" i="4" s="1"/>
  <c r="Q285" i="4" s="1"/>
  <c r="Q286" i="4" s="1"/>
  <c r="Q287" i="4" s="1"/>
  <c r="Q288" i="4" s="1"/>
  <c r="Q289" i="4" s="1"/>
  <c r="Q290" i="4" s="1"/>
  <c r="Q291" i="4" s="1"/>
  <c r="P250" i="4"/>
  <c r="P251" i="4"/>
  <c r="P252" i="4" s="1"/>
  <c r="P253" i="4" s="1"/>
  <c r="P254" i="4" s="1"/>
  <c r="P255" i="4" s="1"/>
  <c r="P256" i="4" s="1"/>
  <c r="P257" i="4" s="1"/>
  <c r="P258" i="4" s="1"/>
  <c r="P259" i="4" s="1"/>
  <c r="P260" i="4" s="1"/>
  <c r="P261" i="4" s="1"/>
  <c r="P262" i="4" s="1"/>
  <c r="P263" i="4" s="1"/>
  <c r="P264" i="4" s="1"/>
  <c r="P265" i="4" s="1"/>
  <c r="P266" i="4" s="1"/>
  <c r="P267" i="4" s="1"/>
  <c r="P268" i="4" s="1"/>
  <c r="P269" i="4" s="1"/>
  <c r="P270" i="4" s="1"/>
  <c r="P271" i="4" s="1"/>
  <c r="P272" i="4" s="1"/>
  <c r="P273" i="4" s="1"/>
  <c r="P274" i="4" s="1"/>
  <c r="O250" i="4"/>
  <c r="Q249" i="4"/>
  <c r="Q250" i="4"/>
  <c r="Q251" i="4" s="1"/>
  <c r="Q252" i="4" s="1"/>
  <c r="Q253" i="4" s="1"/>
  <c r="Q254" i="4" s="1"/>
  <c r="Q255" i="4" s="1"/>
  <c r="Q256" i="4" s="1"/>
  <c r="Q257" i="4"/>
  <c r="Q258" i="4" s="1"/>
  <c r="Q259" i="4" s="1"/>
  <c r="Q260" i="4" s="1"/>
  <c r="Q261" i="4" s="1"/>
  <c r="Q262" i="4" s="1"/>
  <c r="Q263" i="4" s="1"/>
  <c r="Q264" i="4" s="1"/>
  <c r="Q265" i="4" s="1"/>
  <c r="Q266" i="4" s="1"/>
  <c r="Q267" i="4" s="1"/>
  <c r="Q268" i="4"/>
  <c r="Q269" i="4" s="1"/>
  <c r="Q270" i="4" s="1"/>
  <c r="Q271" i="4" s="1"/>
  <c r="Q272" i="4" s="1"/>
  <c r="Q273" i="4" s="1"/>
  <c r="Q274" i="4" s="1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N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N250" i="4" s="1"/>
  <c r="L249" i="4"/>
  <c r="N249" i="4" s="1"/>
  <c r="L241" i="4"/>
  <c r="L240" i="4"/>
  <c r="L239" i="4"/>
  <c r="L238" i="4"/>
  <c r="L237" i="4"/>
  <c r="L236" i="4"/>
  <c r="L235" i="4"/>
  <c r="L234" i="4"/>
  <c r="L233" i="4"/>
  <c r="L232" i="4"/>
  <c r="L231" i="4"/>
  <c r="O230" i="4"/>
  <c r="O231" i="4" s="1"/>
  <c r="O232" i="4" s="1"/>
  <c r="P230" i="4"/>
  <c r="P231" i="4"/>
  <c r="P232" i="4"/>
  <c r="P233" i="4" s="1"/>
  <c r="P234" i="4" s="1"/>
  <c r="P235" i="4" s="1"/>
  <c r="P236" i="4" s="1"/>
  <c r="P237" i="4" s="1"/>
  <c r="P238" i="4" s="1"/>
  <c r="P239" i="4" s="1"/>
  <c r="P240" i="4" s="1"/>
  <c r="P241" i="4" s="1"/>
  <c r="P242" i="4"/>
  <c r="P243" i="4" s="1"/>
  <c r="P244" i="4" s="1"/>
  <c r="P245" i="4" s="1"/>
  <c r="P246" i="4" s="1"/>
  <c r="P247" i="4" s="1"/>
  <c r="P248" i="4" s="1"/>
  <c r="Q229" i="4"/>
  <c r="Q230" i="4"/>
  <c r="Q231" i="4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6" i="4" s="1"/>
  <c r="Q247" i="4" s="1"/>
  <c r="Q248" i="4" s="1"/>
  <c r="P211" i="4"/>
  <c r="P212" i="4"/>
  <c r="P213" i="4"/>
  <c r="P214" i="4"/>
  <c r="P215" i="4" s="1"/>
  <c r="P216" i="4" s="1"/>
  <c r="P217" i="4" s="1"/>
  <c r="P218" i="4" s="1"/>
  <c r="P219" i="4" s="1"/>
  <c r="P220" i="4" s="1"/>
  <c r="P221" i="4" s="1"/>
  <c r="P222" i="4" s="1"/>
  <c r="P223" i="4" s="1"/>
  <c r="P224" i="4" s="1"/>
  <c r="P225" i="4" s="1"/>
  <c r="P226" i="4" s="1"/>
  <c r="P227" i="4" s="1"/>
  <c r="P228" i="4" s="1"/>
  <c r="O211" i="4"/>
  <c r="O212" i="4" s="1"/>
  <c r="Q210" i="4"/>
  <c r="Q211" i="4"/>
  <c r="Q212" i="4"/>
  <c r="Q213" i="4" s="1"/>
  <c r="Q214" i="4" s="1"/>
  <c r="Q215" i="4" s="1"/>
  <c r="Q216" i="4" s="1"/>
  <c r="Q217" i="4"/>
  <c r="Q218" i="4" s="1"/>
  <c r="Q219" i="4"/>
  <c r="Q220" i="4" s="1"/>
  <c r="Q221" i="4" s="1"/>
  <c r="Q222" i="4" s="1"/>
  <c r="Q223" i="4" s="1"/>
  <c r="Q224" i="4" s="1"/>
  <c r="Q225" i="4" s="1"/>
  <c r="Q226" i="4" s="1"/>
  <c r="Q227" i="4" s="1"/>
  <c r="Q228" i="4" s="1"/>
  <c r="L230" i="4"/>
  <c r="N230" i="4" s="1"/>
  <c r="K230" i="4" s="1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N210" i="4" s="1"/>
  <c r="P193" i="4"/>
  <c r="P194" i="4"/>
  <c r="P195" i="4"/>
  <c r="P196" i="4" s="1"/>
  <c r="P197" i="4" s="1"/>
  <c r="P198" i="4" s="1"/>
  <c r="P199" i="4" s="1"/>
  <c r="P200" i="4" s="1"/>
  <c r="P201" i="4" s="1"/>
  <c r="P202" i="4" s="1"/>
  <c r="P203" i="4" s="1"/>
  <c r="P204" i="4" s="1"/>
  <c r="P205" i="4" s="1"/>
  <c r="P206" i="4" s="1"/>
  <c r="P207" i="4" s="1"/>
  <c r="P208" i="4" s="1"/>
  <c r="P209" i="4" s="1"/>
  <c r="O193" i="4"/>
  <c r="O194" i="4"/>
  <c r="Q192" i="4"/>
  <c r="P191" i="4"/>
  <c r="O191" i="4"/>
  <c r="Q190" i="4"/>
  <c r="Q191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N190" i="4" s="1"/>
  <c r="K190" i="4" s="1"/>
  <c r="Q311" i="4"/>
  <c r="Q312" i="4" s="1"/>
  <c r="Q313" i="4" s="1"/>
  <c r="Q314" i="4" s="1"/>
  <c r="Q315" i="4" s="1"/>
  <c r="Q316" i="4" s="1"/>
  <c r="Q317" i="4" s="1"/>
  <c r="Q318" i="4" s="1"/>
  <c r="Q319" i="4" s="1"/>
  <c r="Q320" i="4" s="1"/>
  <c r="Q321" i="4" s="1"/>
  <c r="Q322" i="4" s="1"/>
  <c r="Q323" i="4" s="1"/>
  <c r="N231" i="4"/>
  <c r="K231" i="4" s="1"/>
  <c r="N211" i="4"/>
  <c r="N229" i="4"/>
  <c r="K229" i="4"/>
  <c r="P279" i="4"/>
  <c r="P280" i="4" s="1"/>
  <c r="P281" i="4" s="1"/>
  <c r="P282" i="4" s="1"/>
  <c r="P283" i="4" s="1"/>
  <c r="P284" i="4" s="1"/>
  <c r="P285" i="4" s="1"/>
  <c r="P286" i="4" s="1"/>
  <c r="P287" i="4" s="1"/>
  <c r="P288" i="4" s="1"/>
  <c r="P289" i="4" s="1"/>
  <c r="P290" i="4" s="1"/>
  <c r="P291" i="4" s="1"/>
  <c r="O251" i="4"/>
  <c r="O252" i="4" s="1"/>
  <c r="P170" i="4"/>
  <c r="P171" i="4" s="1"/>
  <c r="P172" i="4" s="1"/>
  <c r="P173" i="4" s="1"/>
  <c r="P174" i="4" s="1"/>
  <c r="P175" i="4" s="1"/>
  <c r="P176" i="4" s="1"/>
  <c r="P177" i="4" s="1"/>
  <c r="P178" i="4" s="1"/>
  <c r="P179" i="4" s="1"/>
  <c r="P180" i="4" s="1"/>
  <c r="P181" i="4" s="1"/>
  <c r="P182" i="4" s="1"/>
  <c r="P183" i="4" s="1"/>
  <c r="P184" i="4" s="1"/>
  <c r="P185" i="4" s="1"/>
  <c r="P186" i="4" s="1"/>
  <c r="P187" i="4" s="1"/>
  <c r="P188" i="4" s="1"/>
  <c r="P189" i="4" s="1"/>
  <c r="O170" i="4"/>
  <c r="O171" i="4"/>
  <c r="Q169" i="4"/>
  <c r="Q170" i="4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P166" i="4"/>
  <c r="P167" i="4" s="1"/>
  <c r="P168" i="4"/>
  <c r="O166" i="4"/>
  <c r="Q165" i="4"/>
  <c r="Q166" i="4"/>
  <c r="Q167" i="4" s="1"/>
  <c r="Q168" i="4" s="1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N434" i="4"/>
  <c r="O435" i="4"/>
  <c r="O436" i="4" s="1"/>
  <c r="O437" i="4" s="1"/>
  <c r="O438" i="4" s="1"/>
  <c r="O439" i="4" s="1"/>
  <c r="N439" i="4" s="1"/>
  <c r="O295" i="4"/>
  <c r="N232" i="4"/>
  <c r="K232" i="4" s="1"/>
  <c r="O233" i="4"/>
  <c r="N165" i="4"/>
  <c r="K165" i="4"/>
  <c r="N435" i="4"/>
  <c r="O253" i="4"/>
  <c r="N233" i="4"/>
  <c r="K233" i="4" s="1"/>
  <c r="O234" i="4"/>
  <c r="N436" i="4"/>
  <c r="O235" i="4"/>
  <c r="N169" i="4"/>
  <c r="N437" i="4"/>
  <c r="O236" i="4"/>
  <c r="N438" i="4"/>
  <c r="N440" i="4"/>
  <c r="O441" i="4"/>
  <c r="N441" i="4"/>
  <c r="O442" i="4"/>
  <c r="N442" i="4" s="1"/>
  <c r="N307" i="4"/>
  <c r="O308" i="4"/>
  <c r="O309" i="4" s="1"/>
  <c r="P148" i="4"/>
  <c r="P149" i="4"/>
  <c r="P150" i="4"/>
  <c r="P151" i="4" s="1"/>
  <c r="P152" i="4" s="1"/>
  <c r="P153" i="4"/>
  <c r="P154" i="4" s="1"/>
  <c r="P155" i="4" s="1"/>
  <c r="P156" i="4" s="1"/>
  <c r="P157" i="4" s="1"/>
  <c r="P158" i="4" s="1"/>
  <c r="P159" i="4" s="1"/>
  <c r="P160" i="4" s="1"/>
  <c r="P161" i="4" s="1"/>
  <c r="P162" i="4" s="1"/>
  <c r="P163" i="4" s="1"/>
  <c r="P164" i="4" s="1"/>
  <c r="O148" i="4"/>
  <c r="O149" i="4"/>
  <c r="Q147" i="4"/>
  <c r="Q148" i="4" s="1"/>
  <c r="Q149" i="4" s="1"/>
  <c r="Q150" i="4" s="1"/>
  <c r="Q151" i="4" s="1"/>
  <c r="P144" i="4"/>
  <c r="P145" i="4" s="1"/>
  <c r="P146" i="4" s="1"/>
  <c r="O144" i="4"/>
  <c r="O145" i="4"/>
  <c r="Q143" i="4"/>
  <c r="P129" i="4"/>
  <c r="P130" i="4" s="1"/>
  <c r="O129" i="4"/>
  <c r="O130" i="4"/>
  <c r="O131" i="4" s="1"/>
  <c r="O132" i="4" s="1"/>
  <c r="Q128" i="4"/>
  <c r="Q129" i="4"/>
  <c r="Q130" i="4"/>
  <c r="Q131" i="4" s="1"/>
  <c r="Q132" i="4" s="1"/>
  <c r="Q133" i="4"/>
  <c r="Q134" i="4" s="1"/>
  <c r="Q135" i="4" s="1"/>
  <c r="Q136" i="4" s="1"/>
  <c r="Q137" i="4" s="1"/>
  <c r="Q138" i="4" s="1"/>
  <c r="Q139" i="4" s="1"/>
  <c r="Q140" i="4" s="1"/>
  <c r="Q141" i="4" s="1"/>
  <c r="Q142" i="4" s="1"/>
  <c r="P103" i="4"/>
  <c r="P104" i="4" s="1"/>
  <c r="P105" i="4"/>
  <c r="P106" i="4"/>
  <c r="P107" i="4" s="1"/>
  <c r="P108" i="4" s="1"/>
  <c r="P109" i="4" s="1"/>
  <c r="P110" i="4" s="1"/>
  <c r="P111" i="4" s="1"/>
  <c r="P112" i="4" s="1"/>
  <c r="P113" i="4" s="1"/>
  <c r="P114" i="4" s="1"/>
  <c r="P115" i="4" s="1"/>
  <c r="P116" i="4" s="1"/>
  <c r="P117" i="4" s="1"/>
  <c r="P118" i="4" s="1"/>
  <c r="P119" i="4" s="1"/>
  <c r="P120" i="4" s="1"/>
  <c r="P121" i="4" s="1"/>
  <c r="P122" i="4" s="1"/>
  <c r="P123" i="4" s="1"/>
  <c r="P124" i="4" s="1"/>
  <c r="P125" i="4" s="1"/>
  <c r="P126" i="4" s="1"/>
  <c r="P127" i="4" s="1"/>
  <c r="O103" i="4"/>
  <c r="O104" i="4"/>
  <c r="N104" i="4" s="1"/>
  <c r="K104" i="4" s="1"/>
  <c r="Q102" i="4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P83" i="4"/>
  <c r="P84" i="4"/>
  <c r="P85" i="4"/>
  <c r="P86" i="4" s="1"/>
  <c r="P87" i="4" s="1"/>
  <c r="P88" i="4" s="1"/>
  <c r="P89" i="4" s="1"/>
  <c r="P90" i="4" s="1"/>
  <c r="P91" i="4" s="1"/>
  <c r="P92" i="4" s="1"/>
  <c r="P93" i="4" s="1"/>
  <c r="P94" i="4" s="1"/>
  <c r="P95" i="4" s="1"/>
  <c r="P96" i="4" s="1"/>
  <c r="P97" i="4" s="1"/>
  <c r="P98" i="4" s="1"/>
  <c r="P99" i="4" s="1"/>
  <c r="P100" i="4" s="1"/>
  <c r="P101" i="4" s="1"/>
  <c r="O83" i="4"/>
  <c r="O84" i="4" s="1"/>
  <c r="N84" i="4" s="1"/>
  <c r="K84" i="4" s="1"/>
  <c r="Q82" i="4"/>
  <c r="Q83" i="4"/>
  <c r="Q84" i="4" s="1"/>
  <c r="Q85" i="4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N149" i="4" s="1"/>
  <c r="K149" i="4" s="1"/>
  <c r="L148" i="4"/>
  <c r="L147" i="4"/>
  <c r="N147" i="4" s="1"/>
  <c r="K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N130" i="4" s="1"/>
  <c r="K130" i="4" s="1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Q64" i="4"/>
  <c r="Q65" i="4" s="1"/>
  <c r="Q43" i="4"/>
  <c r="Q44" i="4"/>
  <c r="Q45" i="4" s="1"/>
  <c r="Q41" i="4"/>
  <c r="Q42" i="4"/>
  <c r="Q24" i="4"/>
  <c r="Q25" i="4" s="1"/>
  <c r="Q26" i="4" s="1"/>
  <c r="Q19" i="4"/>
  <c r="Q20" i="4" s="1"/>
  <c r="Q3" i="4"/>
  <c r="Q4" i="4"/>
  <c r="Q5" i="4"/>
  <c r="Q6" i="4" s="1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N44" i="4"/>
  <c r="K44" i="4" s="1"/>
  <c r="L43" i="4"/>
  <c r="N43" i="4"/>
  <c r="K43" i="4"/>
  <c r="L42" i="4"/>
  <c r="N42" i="4" s="1"/>
  <c r="K42" i="4" s="1"/>
  <c r="L41" i="4"/>
  <c r="N41" i="4"/>
  <c r="K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N25" i="4" s="1"/>
  <c r="K25" i="4" s="1"/>
  <c r="L24" i="4"/>
  <c r="N24" i="4"/>
  <c r="K24" i="4" s="1"/>
  <c r="L23" i="4"/>
  <c r="L22" i="4"/>
  <c r="L21" i="4"/>
  <c r="L20" i="4"/>
  <c r="L19" i="4"/>
  <c r="N19" i="4" s="1"/>
  <c r="K19" i="4" s="1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N5" i="4" s="1"/>
  <c r="K5" i="4" s="1"/>
  <c r="L4" i="4"/>
  <c r="L3" i="4"/>
  <c r="AA54" i="4"/>
  <c r="Z54" i="4"/>
  <c r="AA53" i="4"/>
  <c r="Z53" i="4"/>
  <c r="AA29" i="4"/>
  <c r="Z29" i="4"/>
  <c r="AA28" i="4"/>
  <c r="Z28" i="4"/>
  <c r="V25" i="4"/>
  <c r="N82" i="4"/>
  <c r="K82" i="4" s="1"/>
  <c r="N128" i="4"/>
  <c r="K128" i="4" s="1"/>
  <c r="N148" i="4"/>
  <c r="K148" i="4" s="1"/>
  <c r="N64" i="4"/>
  <c r="K64" i="4"/>
  <c r="N4" i="4"/>
  <c r="K4" i="4"/>
  <c r="N143" i="4"/>
  <c r="K143" i="4"/>
  <c r="N102" i="4"/>
  <c r="K102" i="4" s="1"/>
  <c r="Q144" i="4"/>
  <c r="N144" i="4" s="1"/>
  <c r="K144" i="4" s="1"/>
  <c r="O150" i="4"/>
  <c r="N150" i="4" s="1"/>
  <c r="K150" i="4" s="1"/>
  <c r="O146" i="4"/>
  <c r="P131" i="4"/>
  <c r="P132" i="4"/>
  <c r="P133" i="4" s="1"/>
  <c r="P134" i="4" s="1"/>
  <c r="P135" i="4" s="1"/>
  <c r="P136" i="4" s="1"/>
  <c r="P137" i="4" s="1"/>
  <c r="P138" i="4" s="1"/>
  <c r="P139" i="4" s="1"/>
  <c r="P140" i="4" s="1"/>
  <c r="P141" i="4" s="1"/>
  <c r="P142" i="4" s="1"/>
  <c r="N129" i="4"/>
  <c r="K129" i="4" s="1"/>
  <c r="O105" i="4"/>
  <c r="O106" i="4" s="1"/>
  <c r="N103" i="4"/>
  <c r="K103" i="4"/>
  <c r="N83" i="4"/>
  <c r="K83" i="4" s="1"/>
  <c r="N3" i="4"/>
  <c r="K3" i="4" s="1"/>
  <c r="N131" i="4"/>
  <c r="K131" i="4" s="1"/>
  <c r="O151" i="4"/>
  <c r="O152" i="4" s="1"/>
  <c r="P3" i="3"/>
  <c r="O3" i="3"/>
  <c r="P2" i="3"/>
  <c r="O2" i="3"/>
  <c r="Q159" i="1"/>
  <c r="Q147" i="1"/>
  <c r="Q133" i="1"/>
  <c r="Q76" i="1"/>
  <c r="L165" i="1"/>
  <c r="L166" i="1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  <c r="D35" i="3"/>
  <c r="O151" i="1" s="1"/>
  <c r="P151" i="1" s="1"/>
  <c r="D34" i="3"/>
  <c r="D33" i="3"/>
  <c r="O135" i="1" s="1"/>
  <c r="P135" i="1" s="1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" i="3"/>
  <c r="N475" i="4"/>
  <c r="O476" i="4"/>
  <c r="N476" i="4" s="1"/>
  <c r="K62" i="1"/>
  <c r="J62" i="1"/>
  <c r="K41" i="1"/>
  <c r="J41" i="1"/>
  <c r="K40" i="1"/>
  <c r="J40" i="1"/>
  <c r="K39" i="1"/>
  <c r="J39" i="1"/>
  <c r="K61" i="1"/>
  <c r="J61" i="1"/>
  <c r="K60" i="1"/>
  <c r="J60" i="1"/>
  <c r="K59" i="1"/>
  <c r="J59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60" i="1"/>
  <c r="J160" i="1"/>
  <c r="K135" i="1"/>
  <c r="J135" i="1"/>
  <c r="K134" i="1"/>
  <c r="J134" i="1"/>
  <c r="K149" i="1"/>
  <c r="J149" i="1"/>
  <c r="O149" i="1"/>
  <c r="P149" i="1" s="1"/>
  <c r="L149" i="1"/>
  <c r="L134" i="1"/>
  <c r="L135" i="1"/>
  <c r="L160" i="1"/>
  <c r="O150" i="1"/>
  <c r="P150" i="1" s="1"/>
  <c r="L150" i="1"/>
  <c r="L151" i="1"/>
  <c r="O152" i="1"/>
  <c r="P152" i="1" s="1"/>
  <c r="L152" i="1"/>
  <c r="L153" i="1"/>
  <c r="O154" i="1"/>
  <c r="P154" i="1" s="1"/>
  <c r="L154" i="1"/>
  <c r="L155" i="1"/>
  <c r="O156" i="1"/>
  <c r="P156" i="1" s="1"/>
  <c r="L156" i="1"/>
  <c r="L157" i="1"/>
  <c r="O158" i="1"/>
  <c r="P158" i="1" s="1"/>
  <c r="L158" i="1"/>
  <c r="L159" i="1"/>
  <c r="O59" i="1"/>
  <c r="P59" i="1" s="1"/>
  <c r="L59" i="1"/>
  <c r="L60" i="1"/>
  <c r="O61" i="1"/>
  <c r="P61" i="1" s="1"/>
  <c r="L61" i="1"/>
  <c r="L39" i="1"/>
  <c r="O40" i="1"/>
  <c r="P40" i="1" s="1"/>
  <c r="L40" i="1"/>
  <c r="L41" i="1"/>
  <c r="O62" i="1"/>
  <c r="P62" i="1" s="1"/>
  <c r="L62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58" i="1"/>
  <c r="J58" i="1"/>
  <c r="K57" i="1"/>
  <c r="J57" i="1"/>
  <c r="K56" i="1"/>
  <c r="J56" i="1"/>
  <c r="K55" i="1"/>
  <c r="J55" i="1"/>
  <c r="K23" i="1"/>
  <c r="J23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62" i="1"/>
  <c r="J162" i="1"/>
  <c r="K161" i="1"/>
  <c r="J161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110" i="1"/>
  <c r="J110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52" i="1"/>
  <c r="J52" i="1"/>
  <c r="K51" i="1"/>
  <c r="J51" i="1"/>
  <c r="K50" i="1"/>
  <c r="J50" i="1"/>
  <c r="K49" i="1"/>
  <c r="J49" i="1"/>
  <c r="K48" i="1"/>
  <c r="J48" i="1"/>
  <c r="K30" i="1"/>
  <c r="J30" i="1"/>
  <c r="K29" i="1"/>
  <c r="J29" i="1"/>
  <c r="K164" i="1"/>
  <c r="J164" i="1"/>
  <c r="K28" i="1"/>
  <c r="J28" i="1"/>
  <c r="K27" i="1"/>
  <c r="J27" i="1"/>
  <c r="K26" i="1"/>
  <c r="J26" i="1"/>
  <c r="K163" i="1"/>
  <c r="J163" i="1"/>
  <c r="K25" i="1"/>
  <c r="J25" i="1"/>
  <c r="K24" i="1"/>
  <c r="J24" i="1"/>
  <c r="K47" i="1"/>
  <c r="J47" i="1"/>
  <c r="K148" i="1"/>
  <c r="J148" i="1"/>
  <c r="K45" i="1"/>
  <c r="J45" i="1"/>
  <c r="K44" i="1"/>
  <c r="J44" i="1"/>
  <c r="K43" i="1"/>
  <c r="J43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54" i="1"/>
  <c r="J54" i="1"/>
  <c r="K53" i="1"/>
  <c r="J53" i="1"/>
  <c r="K46" i="1"/>
  <c r="J46" i="1"/>
  <c r="K42" i="1"/>
  <c r="J42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22" i="1"/>
  <c r="L22" i="1"/>
  <c r="J22" i="1"/>
  <c r="K21" i="1"/>
  <c r="L21" i="1" s="1"/>
  <c r="J21" i="1"/>
  <c r="K20" i="1"/>
  <c r="L20" i="1"/>
  <c r="J20" i="1"/>
  <c r="K19" i="1"/>
  <c r="L19" i="1" s="1"/>
  <c r="J19" i="1"/>
  <c r="K18" i="1"/>
  <c r="L18" i="1"/>
  <c r="J18" i="1"/>
  <c r="K17" i="1"/>
  <c r="L17" i="1" s="1"/>
  <c r="J17" i="1"/>
  <c r="K16" i="1"/>
  <c r="L16" i="1"/>
  <c r="J16" i="1"/>
  <c r="K15" i="1"/>
  <c r="L15" i="1" s="1"/>
  <c r="J15" i="1"/>
  <c r="K14" i="1"/>
  <c r="L14" i="1"/>
  <c r="J14" i="1"/>
  <c r="K13" i="1"/>
  <c r="L13" i="1" s="1"/>
  <c r="J13" i="1"/>
  <c r="K12" i="1"/>
  <c r="L12" i="1"/>
  <c r="J12" i="1"/>
  <c r="K11" i="1"/>
  <c r="L11" i="1" s="1"/>
  <c r="J11" i="1"/>
  <c r="K10" i="1"/>
  <c r="L10" i="1"/>
  <c r="J10" i="1"/>
  <c r="K9" i="1"/>
  <c r="L9" i="1" s="1"/>
  <c r="J9" i="1"/>
  <c r="K8" i="1"/>
  <c r="L8" i="1"/>
  <c r="J8" i="1"/>
  <c r="K7" i="1"/>
  <c r="L7" i="1" s="1"/>
  <c r="J7" i="1"/>
  <c r="K6" i="1"/>
  <c r="L6" i="1"/>
  <c r="J6" i="1"/>
  <c r="K5" i="1"/>
  <c r="L5" i="1" s="1"/>
  <c r="J5" i="1"/>
  <c r="K5" i="2"/>
  <c r="J5" i="2"/>
  <c r="K6" i="2"/>
  <c r="J6" i="2"/>
  <c r="K7" i="2"/>
  <c r="J7" i="2"/>
  <c r="K8" i="2"/>
  <c r="J8" i="2"/>
  <c r="K9" i="2"/>
  <c r="J9" i="2"/>
  <c r="K10" i="2"/>
  <c r="J10" i="2"/>
  <c r="K11" i="2"/>
  <c r="J11" i="2"/>
  <c r="K12" i="2"/>
  <c r="J12" i="2"/>
  <c r="K13" i="2"/>
  <c r="J13" i="2"/>
  <c r="K14" i="2"/>
  <c r="J14" i="2"/>
  <c r="K15" i="2"/>
  <c r="J15" i="2"/>
  <c r="K16" i="2"/>
  <c r="J16" i="2"/>
  <c r="K17" i="2"/>
  <c r="J17" i="2"/>
  <c r="K18" i="2"/>
  <c r="J18" i="2"/>
  <c r="K19" i="2"/>
  <c r="J19" i="2"/>
  <c r="K20" i="2"/>
  <c r="J20" i="2"/>
  <c r="K21" i="2"/>
  <c r="J21" i="2"/>
  <c r="K22" i="2"/>
  <c r="J22" i="2"/>
  <c r="K23" i="2"/>
  <c r="J23" i="2"/>
  <c r="K24" i="2"/>
  <c r="J24" i="2"/>
  <c r="K25" i="2"/>
  <c r="J25" i="2"/>
  <c r="K26" i="2"/>
  <c r="J26" i="2"/>
  <c r="K27" i="2"/>
  <c r="J27" i="2"/>
  <c r="K28" i="2"/>
  <c r="J28" i="2"/>
  <c r="K29" i="2"/>
  <c r="J29" i="2"/>
  <c r="K30" i="2"/>
  <c r="J30" i="2"/>
  <c r="K31" i="2"/>
  <c r="J31" i="2"/>
  <c r="K32" i="2"/>
  <c r="J32" i="2"/>
  <c r="K33" i="2"/>
  <c r="J33" i="2"/>
  <c r="K34" i="2"/>
  <c r="J34" i="2"/>
  <c r="K35" i="2"/>
  <c r="J35" i="2"/>
  <c r="K36" i="2"/>
  <c r="J36" i="2"/>
  <c r="K37" i="2"/>
  <c r="J37" i="2"/>
  <c r="K38" i="2"/>
  <c r="J38" i="2"/>
  <c r="K39" i="2"/>
  <c r="J39" i="2"/>
  <c r="K40" i="2"/>
  <c r="J40" i="2"/>
  <c r="K41" i="2"/>
  <c r="J41" i="2"/>
  <c r="K42" i="2"/>
  <c r="J42" i="2"/>
  <c r="K43" i="2"/>
  <c r="J43" i="2"/>
  <c r="K44" i="2"/>
  <c r="J44" i="2"/>
  <c r="K45" i="2"/>
  <c r="J45" i="2"/>
  <c r="K46" i="2"/>
  <c r="J46" i="2"/>
  <c r="K47" i="2"/>
  <c r="J47" i="2"/>
  <c r="K48" i="2"/>
  <c r="J48" i="2"/>
  <c r="K49" i="2"/>
  <c r="J49" i="2"/>
  <c r="K50" i="2"/>
  <c r="J50" i="2"/>
  <c r="K51" i="2"/>
  <c r="J51" i="2"/>
  <c r="K52" i="2"/>
  <c r="J52" i="2"/>
  <c r="K53" i="2"/>
  <c r="J53" i="2"/>
  <c r="K54" i="2"/>
  <c r="J54" i="2"/>
  <c r="K55" i="2"/>
  <c r="J55" i="2"/>
  <c r="K56" i="2"/>
  <c r="J56" i="2"/>
  <c r="K57" i="2"/>
  <c r="J57" i="2"/>
  <c r="K58" i="2"/>
  <c r="J58" i="2"/>
  <c r="K59" i="2"/>
  <c r="J59" i="2"/>
  <c r="K60" i="2"/>
  <c r="J60" i="2"/>
  <c r="K61" i="2"/>
  <c r="J61" i="2"/>
  <c r="K62" i="2"/>
  <c r="J62" i="2"/>
  <c r="K63" i="2"/>
  <c r="J63" i="2"/>
  <c r="K64" i="2"/>
  <c r="J64" i="2"/>
  <c r="K65" i="2"/>
  <c r="J65" i="2"/>
  <c r="K66" i="2"/>
  <c r="J66" i="2"/>
  <c r="K67" i="2"/>
  <c r="J67" i="2"/>
  <c r="K68" i="2"/>
  <c r="J68" i="2"/>
  <c r="K69" i="2"/>
  <c r="J69" i="2"/>
  <c r="K70" i="2"/>
  <c r="J70" i="2"/>
  <c r="K71" i="2"/>
  <c r="J71" i="2"/>
  <c r="K72" i="2"/>
  <c r="J72" i="2"/>
  <c r="K73" i="2"/>
  <c r="J73" i="2"/>
  <c r="K74" i="2"/>
  <c r="J74" i="2"/>
  <c r="K75" i="2"/>
  <c r="J75" i="2"/>
  <c r="K76" i="2"/>
  <c r="J76" i="2"/>
  <c r="K77" i="2"/>
  <c r="J77" i="2"/>
  <c r="K78" i="2"/>
  <c r="J78" i="2"/>
  <c r="K79" i="2"/>
  <c r="J79" i="2"/>
  <c r="K80" i="2"/>
  <c r="J80" i="2"/>
  <c r="K81" i="2"/>
  <c r="J81" i="2"/>
  <c r="K82" i="2"/>
  <c r="J82" i="2"/>
  <c r="K83" i="2"/>
  <c r="J83" i="2"/>
  <c r="K84" i="2"/>
  <c r="J84" i="2"/>
  <c r="K85" i="2"/>
  <c r="J85" i="2"/>
  <c r="K86" i="2"/>
  <c r="J86" i="2"/>
  <c r="K87" i="2"/>
  <c r="J87" i="2"/>
  <c r="K88" i="2"/>
  <c r="J88" i="2"/>
  <c r="K89" i="2"/>
  <c r="J89" i="2"/>
  <c r="K90" i="2"/>
  <c r="J90" i="2"/>
  <c r="K91" i="2"/>
  <c r="J91" i="2"/>
  <c r="K92" i="2"/>
  <c r="J92" i="2"/>
  <c r="K93" i="2"/>
  <c r="J93" i="2"/>
  <c r="K94" i="2"/>
  <c r="J94" i="2"/>
  <c r="K95" i="2"/>
  <c r="J95" i="2"/>
  <c r="K96" i="2"/>
  <c r="J96" i="2"/>
  <c r="K97" i="2"/>
  <c r="J97" i="2"/>
  <c r="K98" i="2"/>
  <c r="J98" i="2"/>
  <c r="K99" i="2"/>
  <c r="J99" i="2"/>
  <c r="K100" i="2"/>
  <c r="J100" i="2"/>
  <c r="K101" i="2"/>
  <c r="J101" i="2"/>
  <c r="K102" i="2"/>
  <c r="J102" i="2"/>
  <c r="K103" i="2"/>
  <c r="J103" i="2"/>
  <c r="K104" i="2"/>
  <c r="J104" i="2"/>
  <c r="K105" i="2"/>
  <c r="J105" i="2"/>
  <c r="K106" i="2"/>
  <c r="J106" i="2"/>
  <c r="K107" i="2"/>
  <c r="J107" i="2"/>
  <c r="K108" i="2"/>
  <c r="J108" i="2"/>
  <c r="K109" i="2"/>
  <c r="J109" i="2"/>
  <c r="K110" i="2"/>
  <c r="J110" i="2"/>
  <c r="K111" i="2"/>
  <c r="J111" i="2"/>
  <c r="K112" i="2"/>
  <c r="J112" i="2"/>
  <c r="K113" i="2"/>
  <c r="J113" i="2"/>
  <c r="K114" i="2"/>
  <c r="J114" i="2"/>
  <c r="K115" i="2"/>
  <c r="J115" i="2"/>
  <c r="K116" i="2"/>
  <c r="J116" i="2"/>
  <c r="K117" i="2"/>
  <c r="J117" i="2"/>
  <c r="K118" i="2"/>
  <c r="J118" i="2"/>
  <c r="K119" i="2"/>
  <c r="J119" i="2"/>
  <c r="K120" i="2"/>
  <c r="J120" i="2"/>
  <c r="K121" i="2"/>
  <c r="J121" i="2"/>
  <c r="K122" i="2"/>
  <c r="J122" i="2"/>
  <c r="K123" i="2"/>
  <c r="J123" i="2"/>
  <c r="K124" i="2"/>
  <c r="J124" i="2"/>
  <c r="K125" i="2"/>
  <c r="J125" i="2"/>
  <c r="K126" i="2"/>
  <c r="J126" i="2"/>
  <c r="N477" i="4"/>
  <c r="O478" i="4"/>
  <c r="N478" i="4" s="1"/>
  <c r="O63" i="1"/>
  <c r="P63" i="1" s="1"/>
  <c r="L63" i="1"/>
  <c r="O64" i="1"/>
  <c r="P64" i="1"/>
  <c r="L64" i="1"/>
  <c r="O65" i="1"/>
  <c r="P65" i="1" s="1"/>
  <c r="L65" i="1"/>
  <c r="O66" i="1"/>
  <c r="P66" i="1"/>
  <c r="L66" i="1"/>
  <c r="O67" i="1"/>
  <c r="P67" i="1" s="1"/>
  <c r="L67" i="1"/>
  <c r="O68" i="1"/>
  <c r="P68" i="1"/>
  <c r="L68" i="1"/>
  <c r="O69" i="1"/>
  <c r="P69" i="1" s="1"/>
  <c r="L69" i="1"/>
  <c r="O70" i="1"/>
  <c r="P70" i="1"/>
  <c r="L70" i="1"/>
  <c r="O71" i="1"/>
  <c r="P71" i="1" s="1"/>
  <c r="L71" i="1"/>
  <c r="O72" i="1"/>
  <c r="P72" i="1"/>
  <c r="L72" i="1"/>
  <c r="O73" i="1"/>
  <c r="P73" i="1" s="1"/>
  <c r="L73" i="1"/>
  <c r="O74" i="1"/>
  <c r="P74" i="1"/>
  <c r="L74" i="1"/>
  <c r="O75" i="1"/>
  <c r="P75" i="1" s="1"/>
  <c r="L75" i="1"/>
  <c r="O76" i="1"/>
  <c r="P76" i="1"/>
  <c r="L76" i="1"/>
  <c r="O42" i="1"/>
  <c r="P42" i="1" s="1"/>
  <c r="L42" i="1"/>
  <c r="O46" i="1"/>
  <c r="P46" i="1"/>
  <c r="L46" i="1"/>
  <c r="O53" i="1"/>
  <c r="P53" i="1" s="1"/>
  <c r="L53" i="1"/>
  <c r="O54" i="1"/>
  <c r="P54" i="1"/>
  <c r="L54" i="1"/>
  <c r="O96" i="1"/>
  <c r="P96" i="1" s="1"/>
  <c r="L96" i="1"/>
  <c r="O97" i="1"/>
  <c r="P97" i="1"/>
  <c r="L97" i="1"/>
  <c r="O98" i="1"/>
  <c r="P98" i="1" s="1"/>
  <c r="L98" i="1"/>
  <c r="O99" i="1"/>
  <c r="P99" i="1"/>
  <c r="L99" i="1"/>
  <c r="O100" i="1"/>
  <c r="P100" i="1" s="1"/>
  <c r="L100" i="1"/>
  <c r="O101" i="1"/>
  <c r="P101" i="1"/>
  <c r="L101" i="1"/>
  <c r="O102" i="1"/>
  <c r="P102" i="1" s="1"/>
  <c r="L102" i="1"/>
  <c r="O103" i="1"/>
  <c r="P103" i="1"/>
  <c r="L103" i="1"/>
  <c r="O104" i="1"/>
  <c r="P104" i="1" s="1"/>
  <c r="L104" i="1"/>
  <c r="O105" i="1"/>
  <c r="P105" i="1"/>
  <c r="L105" i="1"/>
  <c r="O106" i="1"/>
  <c r="P106" i="1" s="1"/>
  <c r="L106" i="1"/>
  <c r="O107" i="1"/>
  <c r="P107" i="1"/>
  <c r="L107" i="1"/>
  <c r="O108" i="1"/>
  <c r="P108" i="1" s="1"/>
  <c r="L108" i="1"/>
  <c r="O109" i="1"/>
  <c r="P109" i="1"/>
  <c r="L109" i="1"/>
  <c r="O43" i="1"/>
  <c r="P43" i="1" s="1"/>
  <c r="L43" i="1"/>
  <c r="O44" i="1"/>
  <c r="P44" i="1"/>
  <c r="L44" i="1"/>
  <c r="O45" i="1"/>
  <c r="P45" i="1" s="1"/>
  <c r="L45" i="1"/>
  <c r="O148" i="1"/>
  <c r="P148" i="1"/>
  <c r="L148" i="1"/>
  <c r="O47" i="1"/>
  <c r="P47" i="1" s="1"/>
  <c r="L47" i="1"/>
  <c r="O24" i="1"/>
  <c r="P24" i="1"/>
  <c r="L24" i="1"/>
  <c r="O25" i="1"/>
  <c r="P25" i="1" s="1"/>
  <c r="L25" i="1"/>
  <c r="O163" i="1"/>
  <c r="P163" i="1"/>
  <c r="L163" i="1"/>
  <c r="O26" i="1"/>
  <c r="P26" i="1" s="1"/>
  <c r="L26" i="1"/>
  <c r="O27" i="1"/>
  <c r="P27" i="1"/>
  <c r="L27" i="1"/>
  <c r="O28" i="1"/>
  <c r="P28" i="1" s="1"/>
  <c r="L28" i="1"/>
  <c r="O164" i="1"/>
  <c r="P164" i="1"/>
  <c r="L164" i="1"/>
  <c r="O29" i="1"/>
  <c r="P29" i="1" s="1"/>
  <c r="L29" i="1"/>
  <c r="O30" i="1"/>
  <c r="P30" i="1"/>
  <c r="L30" i="1"/>
  <c r="O48" i="1"/>
  <c r="P48" i="1" s="1"/>
  <c r="L48" i="1"/>
  <c r="O49" i="1"/>
  <c r="P49" i="1"/>
  <c r="L49" i="1"/>
  <c r="O50" i="1"/>
  <c r="P50" i="1"/>
  <c r="L50" i="1"/>
  <c r="O51" i="1"/>
  <c r="P51" i="1"/>
  <c r="L51" i="1"/>
  <c r="O52" i="1"/>
  <c r="P52" i="1" s="1"/>
  <c r="L52" i="1"/>
  <c r="O77" i="1"/>
  <c r="P77" i="1"/>
  <c r="L77" i="1"/>
  <c r="O78" i="1"/>
  <c r="P78" i="1"/>
  <c r="L78" i="1"/>
  <c r="O79" i="1"/>
  <c r="P79" i="1"/>
  <c r="L79" i="1"/>
  <c r="O80" i="1"/>
  <c r="P80" i="1" s="1"/>
  <c r="L80" i="1"/>
  <c r="O81" i="1"/>
  <c r="P81" i="1"/>
  <c r="L81" i="1"/>
  <c r="O82" i="1"/>
  <c r="P82" i="1" s="1"/>
  <c r="L82" i="1"/>
  <c r="O83" i="1"/>
  <c r="P83" i="1"/>
  <c r="L83" i="1"/>
  <c r="O84" i="1"/>
  <c r="P84" i="1" s="1"/>
  <c r="L84" i="1"/>
  <c r="O85" i="1"/>
  <c r="P85" i="1" s="1"/>
  <c r="L85" i="1"/>
  <c r="O86" i="1"/>
  <c r="P86" i="1" s="1"/>
  <c r="L86" i="1"/>
  <c r="O87" i="1"/>
  <c r="P87" i="1"/>
  <c r="L87" i="1"/>
  <c r="O88" i="1"/>
  <c r="P88" i="1" s="1"/>
  <c r="L88" i="1"/>
  <c r="O89" i="1"/>
  <c r="P89" i="1" s="1"/>
  <c r="L89" i="1"/>
  <c r="O90" i="1"/>
  <c r="P90" i="1"/>
  <c r="L90" i="1"/>
  <c r="O91" i="1"/>
  <c r="P91" i="1"/>
  <c r="L91" i="1"/>
  <c r="O92" i="1"/>
  <c r="P92" i="1" s="1"/>
  <c r="L92" i="1"/>
  <c r="O93" i="1"/>
  <c r="P93" i="1"/>
  <c r="L93" i="1"/>
  <c r="O94" i="1"/>
  <c r="P94" i="1"/>
  <c r="L94" i="1"/>
  <c r="O95" i="1"/>
  <c r="P95" i="1"/>
  <c r="L95" i="1"/>
  <c r="O110" i="1"/>
  <c r="P110" i="1" s="1"/>
  <c r="L110" i="1"/>
  <c r="O31" i="1"/>
  <c r="P31" i="1"/>
  <c r="L31" i="1"/>
  <c r="O32" i="1"/>
  <c r="P32" i="1" s="1"/>
  <c r="L32" i="1"/>
  <c r="O33" i="1"/>
  <c r="P33" i="1"/>
  <c r="L33" i="1"/>
  <c r="O34" i="1"/>
  <c r="P34" i="1" s="1"/>
  <c r="L34" i="1"/>
  <c r="O35" i="1"/>
  <c r="P35" i="1" s="1"/>
  <c r="L35" i="1"/>
  <c r="O36" i="1"/>
  <c r="P36" i="1" s="1"/>
  <c r="L36" i="1"/>
  <c r="O37" i="1"/>
  <c r="P37" i="1"/>
  <c r="L37" i="1"/>
  <c r="O38" i="1"/>
  <c r="P38" i="1" s="1"/>
  <c r="L38" i="1"/>
  <c r="O161" i="1"/>
  <c r="P161" i="1" s="1"/>
  <c r="L161" i="1"/>
  <c r="O162" i="1"/>
  <c r="P162" i="1" s="1"/>
  <c r="L162" i="1"/>
  <c r="O111" i="1"/>
  <c r="P111" i="1"/>
  <c r="L111" i="1"/>
  <c r="O112" i="1"/>
  <c r="P112" i="1" s="1"/>
  <c r="L112" i="1"/>
  <c r="O113" i="1"/>
  <c r="P113" i="1"/>
  <c r="L113" i="1"/>
  <c r="O114" i="1"/>
  <c r="P114" i="1"/>
  <c r="L114" i="1"/>
  <c r="O115" i="1"/>
  <c r="P115" i="1"/>
  <c r="L115" i="1"/>
  <c r="O116" i="1"/>
  <c r="P116" i="1" s="1"/>
  <c r="L116" i="1"/>
  <c r="O117" i="1"/>
  <c r="P117" i="1"/>
  <c r="L117" i="1"/>
  <c r="O118" i="1"/>
  <c r="P118" i="1" s="1"/>
  <c r="L118" i="1"/>
  <c r="O119" i="1"/>
  <c r="P119" i="1"/>
  <c r="L119" i="1"/>
  <c r="O120" i="1"/>
  <c r="P120" i="1" s="1"/>
  <c r="L120" i="1"/>
  <c r="O121" i="1"/>
  <c r="P121" i="1" s="1"/>
  <c r="L121" i="1"/>
  <c r="O122" i="1"/>
  <c r="P122" i="1" s="1"/>
  <c r="L122" i="1"/>
  <c r="O123" i="1"/>
  <c r="P123" i="1"/>
  <c r="L123" i="1"/>
  <c r="O124" i="1"/>
  <c r="P124" i="1" s="1"/>
  <c r="L124" i="1"/>
  <c r="O125" i="1"/>
  <c r="P125" i="1" s="1"/>
  <c r="L125" i="1"/>
  <c r="O126" i="1"/>
  <c r="P126" i="1"/>
  <c r="L126" i="1"/>
  <c r="O127" i="1"/>
  <c r="P127" i="1"/>
  <c r="L127" i="1"/>
  <c r="O128" i="1"/>
  <c r="P128" i="1" s="1"/>
  <c r="L128" i="1"/>
  <c r="O129" i="1"/>
  <c r="P129" i="1"/>
  <c r="L129" i="1"/>
  <c r="O130" i="1"/>
  <c r="P130" i="1"/>
  <c r="L130" i="1"/>
  <c r="O131" i="1"/>
  <c r="P131" i="1"/>
  <c r="L131" i="1"/>
  <c r="O132" i="1"/>
  <c r="P132" i="1" s="1"/>
  <c r="L132" i="1"/>
  <c r="O133" i="1"/>
  <c r="P133" i="1"/>
  <c r="L133" i="1"/>
  <c r="O23" i="1"/>
  <c r="P23" i="1" s="1"/>
  <c r="L23" i="1"/>
  <c r="O55" i="1"/>
  <c r="P55" i="1"/>
  <c r="L55" i="1"/>
  <c r="O56" i="1"/>
  <c r="P56" i="1" s="1"/>
  <c r="L56" i="1"/>
  <c r="O57" i="1"/>
  <c r="P57" i="1" s="1"/>
  <c r="L57" i="1"/>
  <c r="O58" i="1"/>
  <c r="P58" i="1" s="1"/>
  <c r="L58" i="1"/>
  <c r="O136" i="1"/>
  <c r="P136" i="1"/>
  <c r="L136" i="1"/>
  <c r="O137" i="1"/>
  <c r="P137" i="1" s="1"/>
  <c r="L137" i="1"/>
  <c r="O138" i="1"/>
  <c r="P138" i="1" s="1"/>
  <c r="L138" i="1"/>
  <c r="O139" i="1"/>
  <c r="P139" i="1"/>
  <c r="L139" i="1"/>
  <c r="O140" i="1"/>
  <c r="P140" i="1"/>
  <c r="L140" i="1"/>
  <c r="O141" i="1"/>
  <c r="P141" i="1" s="1"/>
  <c r="L141" i="1"/>
  <c r="O142" i="1"/>
  <c r="P142" i="1"/>
  <c r="L142" i="1"/>
  <c r="O143" i="1"/>
  <c r="P143" i="1"/>
  <c r="L143" i="1"/>
  <c r="O144" i="1"/>
  <c r="P144" i="1"/>
  <c r="L144" i="1"/>
  <c r="O145" i="1"/>
  <c r="P145" i="1" s="1"/>
  <c r="L145" i="1"/>
  <c r="O146" i="1"/>
  <c r="P146" i="1"/>
  <c r="L146" i="1"/>
  <c r="O147" i="1"/>
  <c r="P147" i="1" s="1"/>
  <c r="L147" i="1"/>
  <c r="O479" i="4"/>
  <c r="O480" i="4" s="1"/>
  <c r="N480" i="4" s="1"/>
  <c r="O481" i="4"/>
  <c r="O482" i="4" s="1"/>
  <c r="N482" i="4" s="1"/>
  <c r="R11" i="6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R29" i="6" s="1"/>
  <c r="R30" i="6" s="1"/>
  <c r="R31" i="6" s="1"/>
  <c r="R32" i="6" s="1"/>
  <c r="R33" i="6" s="1"/>
  <c r="R34" i="6" s="1"/>
  <c r="R35" i="6" s="1"/>
  <c r="R36" i="6" s="1"/>
  <c r="R37" i="6" s="1"/>
  <c r="R38" i="6" s="1"/>
  <c r="R39" i="6" s="1"/>
  <c r="R40" i="6" s="1"/>
  <c r="R41" i="6" s="1"/>
  <c r="R42" i="6" s="1"/>
  <c r="R43" i="6" s="1"/>
  <c r="R44" i="6" s="1"/>
  <c r="R45" i="6" s="1"/>
  <c r="R46" i="6" s="1"/>
  <c r="R47" i="6" s="1"/>
  <c r="R48" i="6" s="1"/>
  <c r="R49" i="6" s="1"/>
  <c r="R50" i="6" s="1"/>
  <c r="R51" i="6" s="1"/>
  <c r="R52" i="6" s="1"/>
  <c r="R53" i="6" s="1"/>
  <c r="R54" i="6" s="1"/>
  <c r="R55" i="6" s="1"/>
  <c r="R56" i="6" s="1"/>
  <c r="R57" i="6" s="1"/>
  <c r="R58" i="6" s="1"/>
  <c r="R59" i="6" s="1"/>
  <c r="R60" i="6" s="1"/>
  <c r="R61" i="6" s="1"/>
  <c r="Q11" i="6"/>
  <c r="Q12" i="6"/>
  <c r="Q13" i="6" s="1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Q57" i="6" s="1"/>
  <c r="Q58" i="6" s="1"/>
  <c r="Q59" i="6" s="1"/>
  <c r="Q60" i="6" s="1"/>
  <c r="Q61" i="6" s="1"/>
  <c r="R149" i="15"/>
  <c r="R150" i="15" s="1"/>
  <c r="R151" i="15" s="1"/>
  <c r="R152" i="15" s="1"/>
  <c r="R153" i="15" s="1"/>
  <c r="R154" i="15" s="1"/>
  <c r="R155" i="15" s="1"/>
  <c r="R156" i="15" s="1"/>
  <c r="R157" i="15" s="1"/>
  <c r="R158" i="15" s="1"/>
  <c r="R159" i="15" s="1"/>
  <c r="R160" i="15" s="1"/>
  <c r="R161" i="15" s="1"/>
  <c r="R162" i="15" s="1"/>
  <c r="R163" i="15" s="1"/>
  <c r="R164" i="15" s="1"/>
  <c r="R123" i="15"/>
  <c r="R124" i="15" s="1"/>
  <c r="R125" i="15" s="1"/>
  <c r="R126" i="15" s="1"/>
  <c r="R127" i="15" s="1"/>
  <c r="R128" i="15" s="1"/>
  <c r="R167" i="15"/>
  <c r="R168" i="15" s="1"/>
  <c r="R169" i="15"/>
  <c r="R170" i="15"/>
  <c r="R171" i="15" s="1"/>
  <c r="R172" i="15" s="1"/>
  <c r="R173" i="15" s="1"/>
  <c r="R174" i="15" s="1"/>
  <c r="R46" i="15"/>
  <c r="R47" i="15" s="1"/>
  <c r="R48" i="15" s="1"/>
  <c r="R49" i="15" s="1"/>
  <c r="R50" i="15" s="1"/>
  <c r="R51" i="15" s="1"/>
  <c r="R52" i="15" s="1"/>
  <c r="R53" i="15" s="1"/>
  <c r="R54" i="15" s="1"/>
  <c r="R55" i="15" s="1"/>
  <c r="R56" i="15" s="1"/>
  <c r="R57" i="15" s="1"/>
  <c r="R58" i="15" s="1"/>
  <c r="R59" i="15" s="1"/>
  <c r="R60" i="15" s="1"/>
  <c r="R61" i="15" s="1"/>
  <c r="R62" i="15" s="1"/>
  <c r="R63" i="15" s="1"/>
  <c r="R64" i="15" s="1"/>
  <c r="R65" i="15" s="1"/>
  <c r="R66" i="15" s="1"/>
  <c r="R67" i="15" s="1"/>
  <c r="R68" i="15" s="1"/>
  <c r="R69" i="15" s="1"/>
  <c r="R70" i="15" s="1"/>
  <c r="R71" i="15" s="1"/>
  <c r="R72" i="15" s="1"/>
  <c r="R73" i="15" s="1"/>
  <c r="R74" i="15" s="1"/>
  <c r="R115" i="15"/>
  <c r="R79" i="15"/>
  <c r="R80" i="15"/>
  <c r="R81" i="15" s="1"/>
  <c r="R83" i="15"/>
  <c r="R118" i="15"/>
  <c r="R119" i="15"/>
  <c r="R120" i="15" s="1"/>
  <c r="R84" i="15"/>
  <c r="R85" i="15"/>
  <c r="R86" i="15"/>
  <c r="R87" i="15" s="1"/>
  <c r="R88" i="15" s="1"/>
  <c r="R30" i="15"/>
  <c r="R31" i="15"/>
  <c r="R32" i="15"/>
  <c r="R33" i="15" s="1"/>
  <c r="R34" i="15" s="1"/>
  <c r="R35" i="15" s="1"/>
  <c r="R36" i="15" s="1"/>
  <c r="R37" i="15" s="1"/>
  <c r="R38" i="15" s="1"/>
  <c r="R39" i="15" s="1"/>
  <c r="R40" i="15" s="1"/>
  <c r="R41" i="15" s="1"/>
  <c r="R42" i="15" s="1"/>
  <c r="R43" i="15" s="1"/>
  <c r="R132" i="15"/>
  <c r="R180" i="15"/>
  <c r="R181" i="15"/>
  <c r="R133" i="15"/>
  <c r="P46" i="15"/>
  <c r="P115" i="15"/>
  <c r="P47" i="15"/>
  <c r="P48" i="15"/>
  <c r="P49" i="15" s="1"/>
  <c r="P50" i="15" s="1"/>
  <c r="P51" i="15" s="1"/>
  <c r="P52" i="15" s="1"/>
  <c r="P53" i="15" s="1"/>
  <c r="P54" i="15" s="1"/>
  <c r="P55" i="15" s="1"/>
  <c r="P56" i="15" s="1"/>
  <c r="P57" i="15" s="1"/>
  <c r="P58" i="15" s="1"/>
  <c r="P59" i="15" s="1"/>
  <c r="P60" i="15" s="1"/>
  <c r="P61" i="15" s="1"/>
  <c r="P62" i="15" s="1"/>
  <c r="P63" i="15" s="1"/>
  <c r="P64" i="15" s="1"/>
  <c r="P65" i="15" s="1"/>
  <c r="P66" i="15" s="1"/>
  <c r="P67" i="15" s="1"/>
  <c r="P68" i="15" s="1"/>
  <c r="P69" i="15" s="1"/>
  <c r="P70" i="15" s="1"/>
  <c r="P71" i="15" s="1"/>
  <c r="P72" i="15" s="1"/>
  <c r="P73" i="15" s="1"/>
  <c r="P74" i="15" s="1"/>
  <c r="P79" i="15"/>
  <c r="P80" i="15" s="1"/>
  <c r="P81" i="15" s="1"/>
  <c r="P83" i="15"/>
  <c r="P118" i="15"/>
  <c r="P119" i="15" s="1"/>
  <c r="P120" i="15" s="1"/>
  <c r="P84" i="15"/>
  <c r="P85" i="15"/>
  <c r="P86" i="15" s="1"/>
  <c r="P87" i="15" s="1"/>
  <c r="P88" i="15" s="1"/>
  <c r="P30" i="15"/>
  <c r="P31" i="15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P43" i="15" s="1"/>
  <c r="P132" i="15"/>
  <c r="P180" i="15"/>
  <c r="P181" i="15"/>
  <c r="V149" i="15"/>
  <c r="V150" i="15" s="1"/>
  <c r="V151" i="15" s="1"/>
  <c r="V152" i="15" s="1"/>
  <c r="V153" i="15" s="1"/>
  <c r="V154" i="15" s="1"/>
  <c r="V155" i="15" s="1"/>
  <c r="V156" i="15" s="1"/>
  <c r="V157" i="15" s="1"/>
  <c r="V158" i="15" s="1"/>
  <c r="V159" i="15" s="1"/>
  <c r="V160" i="15" s="1"/>
  <c r="V161" i="15" s="1"/>
  <c r="V162" i="15" s="1"/>
  <c r="V163" i="15" s="1"/>
  <c r="V164" i="15" s="1"/>
  <c r="V123" i="15"/>
  <c r="V124" i="15" s="1"/>
  <c r="V125" i="15" s="1"/>
  <c r="V126" i="15" s="1"/>
  <c r="V127" i="15" s="1"/>
  <c r="V128" i="15" s="1"/>
  <c r="V167" i="15"/>
  <c r="V168" i="15"/>
  <c r="V169" i="15"/>
  <c r="V170" i="15" s="1"/>
  <c r="V171" i="15" s="1"/>
  <c r="V172" i="15" s="1"/>
  <c r="V173" i="15" s="1"/>
  <c r="V174" i="15" s="1"/>
  <c r="Q149" i="15"/>
  <c r="Q150" i="15"/>
  <c r="Q151" i="15"/>
  <c r="Q152" i="15"/>
  <c r="Q153" i="15" s="1"/>
  <c r="Q154" i="15" s="1"/>
  <c r="Q155" i="15" s="1"/>
  <c r="Q156" i="15" s="1"/>
  <c r="Q157" i="15" s="1"/>
  <c r="Q158" i="15" s="1"/>
  <c r="Q159" i="15" s="1"/>
  <c r="Q160" i="15" s="1"/>
  <c r="Q161" i="15" s="1"/>
  <c r="Q162" i="15" s="1"/>
  <c r="Q163" i="15" s="1"/>
  <c r="Q164" i="15" s="1"/>
  <c r="Q123" i="15"/>
  <c r="Q124" i="15"/>
  <c r="Q125" i="15"/>
  <c r="Q126" i="15" s="1"/>
  <c r="Q127" i="15" s="1"/>
  <c r="Q128" i="15" s="1"/>
  <c r="Q167" i="15"/>
  <c r="Q168" i="15"/>
  <c r="Q169" i="15" s="1"/>
  <c r="Q170" i="15" s="1"/>
  <c r="Q171" i="15" s="1"/>
  <c r="Q172" i="15" s="1"/>
  <c r="Q173" i="15" s="1"/>
  <c r="Q174" i="15" s="1"/>
  <c r="Q46" i="15"/>
  <c r="Q47" i="15" s="1"/>
  <c r="Q115" i="15"/>
  <c r="Q48" i="15"/>
  <c r="Q49" i="15"/>
  <c r="Q50" i="15" s="1"/>
  <c r="Q51" i="15" s="1"/>
  <c r="Q52" i="15" s="1"/>
  <c r="Q53" i="15" s="1"/>
  <c r="Q54" i="15" s="1"/>
  <c r="Q55" i="15" s="1"/>
  <c r="Q56" i="15" s="1"/>
  <c r="Q57" i="15" s="1"/>
  <c r="Q58" i="15" s="1"/>
  <c r="Q59" i="15" s="1"/>
  <c r="Q60" i="15" s="1"/>
  <c r="Q61" i="15" s="1"/>
  <c r="Q62" i="15" s="1"/>
  <c r="Q63" i="15" s="1"/>
  <c r="Q64" i="15" s="1"/>
  <c r="Q65" i="15" s="1"/>
  <c r="Q66" i="15" s="1"/>
  <c r="Q67" i="15" s="1"/>
  <c r="Q68" i="15" s="1"/>
  <c r="Q69" i="15" s="1"/>
  <c r="Q70" i="15" s="1"/>
  <c r="Q71" i="15" s="1"/>
  <c r="Q72" i="15" s="1"/>
  <c r="Q73" i="15" s="1"/>
  <c r="Q74" i="15" s="1"/>
  <c r="Q79" i="15"/>
  <c r="Q80" i="15"/>
  <c r="Q81" i="15" s="1"/>
  <c r="Q83" i="15"/>
  <c r="Q84" i="15" s="1"/>
  <c r="Q85" i="15" s="1"/>
  <c r="Q86" i="15" s="1"/>
  <c r="Q87" i="15" s="1"/>
  <c r="Q88" i="15" s="1"/>
  <c r="Q118" i="15"/>
  <c r="Q119" i="15"/>
  <c r="Q120" i="15" s="1"/>
  <c r="Q30" i="15"/>
  <c r="Q31" i="15"/>
  <c r="Q32" i="15" s="1"/>
  <c r="Q33" i="15" s="1"/>
  <c r="Q34" i="15" s="1"/>
  <c r="Q35" i="15" s="1"/>
  <c r="Q36" i="15" s="1"/>
  <c r="Q37" i="15" s="1"/>
  <c r="Q38" i="15" s="1"/>
  <c r="Q39" i="15" s="1"/>
  <c r="Q40" i="15" s="1"/>
  <c r="Q41" i="15" s="1"/>
  <c r="Q42" i="15" s="1"/>
  <c r="Q43" i="15" s="1"/>
  <c r="Q132" i="15"/>
  <c r="Q180" i="15"/>
  <c r="Q181" i="15" s="1"/>
  <c r="Q133" i="15"/>
  <c r="V46" i="15"/>
  <c r="V47" i="15" s="1"/>
  <c r="V115" i="15"/>
  <c r="V48" i="15"/>
  <c r="V49" i="15"/>
  <c r="V50" i="15" s="1"/>
  <c r="V51" i="15" s="1"/>
  <c r="V52" i="15" s="1"/>
  <c r="V53" i="15" s="1"/>
  <c r="V54" i="15" s="1"/>
  <c r="V55" i="15" s="1"/>
  <c r="V56" i="15" s="1"/>
  <c r="V57" i="15" s="1"/>
  <c r="V58" i="15" s="1"/>
  <c r="V59" i="15" s="1"/>
  <c r="V60" i="15" s="1"/>
  <c r="V61" i="15" s="1"/>
  <c r="V62" i="15" s="1"/>
  <c r="V63" i="15" s="1"/>
  <c r="V64" i="15" s="1"/>
  <c r="V65" i="15" s="1"/>
  <c r="V66" i="15" s="1"/>
  <c r="V67" i="15" s="1"/>
  <c r="V68" i="15" s="1"/>
  <c r="V69" i="15" s="1"/>
  <c r="V70" i="15" s="1"/>
  <c r="V71" i="15" s="1"/>
  <c r="V72" i="15" s="1"/>
  <c r="V73" i="15" s="1"/>
  <c r="V74" i="15" s="1"/>
  <c r="V79" i="15"/>
  <c r="V80" i="15"/>
  <c r="V81" i="15" s="1"/>
  <c r="V83" i="15"/>
  <c r="V118" i="15"/>
  <c r="V119" i="15"/>
  <c r="V120" i="15" s="1"/>
  <c r="V84" i="15"/>
  <c r="V85" i="15" s="1"/>
  <c r="V86" i="15"/>
  <c r="V87" i="15" s="1"/>
  <c r="V88" i="15" s="1"/>
  <c r="V30" i="15"/>
  <c r="V31" i="15"/>
  <c r="V32" i="15" s="1"/>
  <c r="V33" i="15" s="1"/>
  <c r="V34" i="15" s="1"/>
  <c r="V35" i="15" s="1"/>
  <c r="V36" i="15" s="1"/>
  <c r="V37" i="15" s="1"/>
  <c r="V38" i="15" s="1"/>
  <c r="V39" i="15" s="1"/>
  <c r="V40" i="15" s="1"/>
  <c r="V41" i="15" s="1"/>
  <c r="V42" i="15" s="1"/>
  <c r="V43" i="15" s="1"/>
  <c r="V132" i="15"/>
  <c r="V133" i="15" s="1"/>
  <c r="V180" i="15"/>
  <c r="V181" i="15" s="1"/>
  <c r="P133" i="15"/>
  <c r="P149" i="15"/>
  <c r="P150" i="15" s="1"/>
  <c r="P151" i="15" s="1"/>
  <c r="P152" i="15" s="1"/>
  <c r="P153" i="15" s="1"/>
  <c r="P154" i="15" s="1"/>
  <c r="P155" i="15" s="1"/>
  <c r="P156" i="15" s="1"/>
  <c r="P157" i="15" s="1"/>
  <c r="P158" i="15" s="1"/>
  <c r="P159" i="15" s="1"/>
  <c r="P160" i="15" s="1"/>
  <c r="P161" i="15" s="1"/>
  <c r="P162" i="15" s="1"/>
  <c r="P163" i="15" s="1"/>
  <c r="P164" i="15" s="1"/>
  <c r="P123" i="15"/>
  <c r="P124" i="15" s="1"/>
  <c r="P125" i="15" s="1"/>
  <c r="P126" i="15" s="1"/>
  <c r="P127" i="15" s="1"/>
  <c r="P128" i="15" s="1"/>
  <c r="P167" i="15"/>
  <c r="P168" i="15"/>
  <c r="P169" i="15" s="1"/>
  <c r="P170" i="15" s="1"/>
  <c r="P171" i="15" s="1"/>
  <c r="P172" i="15" s="1"/>
  <c r="P173" i="15" s="1"/>
  <c r="P174" i="15" s="1"/>
  <c r="T149" i="15"/>
  <c r="T150" i="15"/>
  <c r="T151" i="15" s="1"/>
  <c r="T152" i="15" s="1"/>
  <c r="T153" i="15" s="1"/>
  <c r="T154" i="15" s="1"/>
  <c r="T155" i="15" s="1"/>
  <c r="T156" i="15" s="1"/>
  <c r="T157" i="15" s="1"/>
  <c r="T158" i="15" s="1"/>
  <c r="T159" i="15" s="1"/>
  <c r="T160" i="15" s="1"/>
  <c r="T161" i="15" s="1"/>
  <c r="T162" i="15" s="1"/>
  <c r="T163" i="15" s="1"/>
  <c r="T164" i="15" s="1"/>
  <c r="T123" i="15"/>
  <c r="T124" i="15"/>
  <c r="T125" i="15" s="1"/>
  <c r="T126" i="15" s="1"/>
  <c r="T127" i="15" s="1"/>
  <c r="T128" i="15" s="1"/>
  <c r="T167" i="15"/>
  <c r="T168" i="15" s="1"/>
  <c r="T169" i="15" s="1"/>
  <c r="T170" i="15" s="1"/>
  <c r="T171" i="15" s="1"/>
  <c r="T172" i="15" s="1"/>
  <c r="T173" i="15" s="1"/>
  <c r="T174" i="15" s="1"/>
  <c r="T46" i="15"/>
  <c r="T47" i="15" s="1"/>
  <c r="T48" i="15" s="1"/>
  <c r="T49" i="15" s="1"/>
  <c r="T50" i="15" s="1"/>
  <c r="T51" i="15" s="1"/>
  <c r="T52" i="15" s="1"/>
  <c r="T53" i="15" s="1"/>
  <c r="T54" i="15" s="1"/>
  <c r="T55" i="15" s="1"/>
  <c r="T56" i="15" s="1"/>
  <c r="T57" i="15" s="1"/>
  <c r="T58" i="15" s="1"/>
  <c r="T59" i="15" s="1"/>
  <c r="T60" i="15" s="1"/>
  <c r="T61" i="15" s="1"/>
  <c r="T62" i="15" s="1"/>
  <c r="T63" i="15" s="1"/>
  <c r="T64" i="15" s="1"/>
  <c r="T65" i="15" s="1"/>
  <c r="T66" i="15" s="1"/>
  <c r="T67" i="15" s="1"/>
  <c r="T68" i="15" s="1"/>
  <c r="T69" i="15" s="1"/>
  <c r="T70" i="15" s="1"/>
  <c r="T71" i="15" s="1"/>
  <c r="T72" i="15" s="1"/>
  <c r="T73" i="15" s="1"/>
  <c r="T74" i="15" s="1"/>
  <c r="T30" i="15"/>
  <c r="T31" i="15" s="1"/>
  <c r="T32" i="15" s="1"/>
  <c r="T33" i="15" s="1"/>
  <c r="T34" i="15" s="1"/>
  <c r="T35" i="15" s="1"/>
  <c r="T36" i="15" s="1"/>
  <c r="T37" i="15" s="1"/>
  <c r="T38" i="15" s="1"/>
  <c r="T39" i="15" s="1"/>
  <c r="T40" i="15" s="1"/>
  <c r="T41" i="15" s="1"/>
  <c r="T42" i="15" s="1"/>
  <c r="T43" i="15" s="1"/>
  <c r="T118" i="15"/>
  <c r="T119" i="15"/>
  <c r="T120" i="15" s="1"/>
  <c r="T115" i="15"/>
  <c r="T79" i="15"/>
  <c r="T80" i="15" s="1"/>
  <c r="T81" i="15" s="1"/>
  <c r="T83" i="15"/>
  <c r="T84" i="15" s="1"/>
  <c r="T85" i="15" s="1"/>
  <c r="T86" i="15" s="1"/>
  <c r="T87" i="15" s="1"/>
  <c r="T88" i="15" s="1"/>
  <c r="T132" i="15"/>
  <c r="T180" i="15"/>
  <c r="T181" i="15"/>
  <c r="T133" i="15"/>
  <c r="N20" i="4" l="1"/>
  <c r="K20" i="4" s="1"/>
  <c r="Q21" i="4"/>
  <c r="Q22" i="4" s="1"/>
  <c r="Q46" i="4"/>
  <c r="N45" i="4"/>
  <c r="K45" i="4" s="1"/>
  <c r="N132" i="4"/>
  <c r="K132" i="4" s="1"/>
  <c r="O133" i="4"/>
  <c r="N481" i="4"/>
  <c r="O153" i="4"/>
  <c r="N479" i="4"/>
  <c r="Q7" i="4"/>
  <c r="Q8" i="4" s="1"/>
  <c r="N6" i="4"/>
  <c r="K6" i="4" s="1"/>
  <c r="N26" i="4"/>
  <c r="K26" i="4" s="1"/>
  <c r="Q27" i="4"/>
  <c r="Q28" i="4" s="1"/>
  <c r="O483" i="4"/>
  <c r="O107" i="4"/>
  <c r="N106" i="4"/>
  <c r="K106" i="4" s="1"/>
  <c r="N21" i="4"/>
  <c r="K21" i="4" s="1"/>
  <c r="N65" i="4"/>
  <c r="K65" i="4" s="1"/>
  <c r="Q66" i="4"/>
  <c r="N309" i="4"/>
  <c r="O310" i="4"/>
  <c r="Q152" i="4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N151" i="4"/>
  <c r="K151" i="4" s="1"/>
  <c r="O41" i="1"/>
  <c r="P41" i="1" s="1"/>
  <c r="O60" i="1"/>
  <c r="P60" i="1" s="1"/>
  <c r="O157" i="1"/>
  <c r="P157" i="1" s="1"/>
  <c r="O153" i="1"/>
  <c r="P153" i="1" s="1"/>
  <c r="O160" i="1"/>
  <c r="P160" i="1" s="1"/>
  <c r="N105" i="4"/>
  <c r="K105" i="4" s="1"/>
  <c r="Q145" i="4"/>
  <c r="Q146" i="4" s="1"/>
  <c r="N146" i="4" s="1"/>
  <c r="K146" i="4" s="1"/>
  <c r="O85" i="4"/>
  <c r="N308" i="4"/>
  <c r="N331" i="4"/>
  <c r="O332" i="4"/>
  <c r="Q406" i="4"/>
  <c r="N405" i="4"/>
  <c r="K405" i="4" s="1"/>
  <c r="Q431" i="4"/>
  <c r="N430" i="4"/>
  <c r="K430" i="4" s="1"/>
  <c r="N236" i="4"/>
  <c r="K236" i="4" s="1"/>
  <c r="O371" i="4"/>
  <c r="N370" i="4"/>
  <c r="K370" i="4" s="1"/>
  <c r="O39" i="1"/>
  <c r="P39" i="1" s="1"/>
  <c r="O159" i="1"/>
  <c r="P159" i="1" s="1"/>
  <c r="O155" i="1"/>
  <c r="P155" i="1" s="1"/>
  <c r="O134" i="1"/>
  <c r="P134" i="1" s="1"/>
  <c r="O443" i="4"/>
  <c r="N253" i="4"/>
  <c r="N166" i="4"/>
  <c r="K166" i="4" s="1"/>
  <c r="O167" i="4"/>
  <c r="N276" i="4"/>
  <c r="N192" i="4"/>
  <c r="K192" i="4" s="1"/>
  <c r="Q193" i="4"/>
  <c r="N212" i="4"/>
  <c r="O213" i="4"/>
  <c r="N279" i="4"/>
  <c r="O280" i="4"/>
  <c r="P352" i="4"/>
  <c r="P353" i="4" s="1"/>
  <c r="P354" i="4" s="1"/>
  <c r="P355" i="4" s="1"/>
  <c r="P356" i="4" s="1"/>
  <c r="P357" i="4" s="1"/>
  <c r="P358" i="4" s="1"/>
  <c r="P359" i="4" s="1"/>
  <c r="P360" i="4" s="1"/>
  <c r="P361" i="4" s="1"/>
  <c r="P362" i="4" s="1"/>
  <c r="P363" i="4" s="1"/>
  <c r="P364" i="4" s="1"/>
  <c r="P365" i="4" s="1"/>
  <c r="P366" i="4" s="1"/>
  <c r="P367" i="4" s="1"/>
  <c r="N351" i="4"/>
  <c r="K351" i="4" s="1"/>
  <c r="O237" i="4"/>
  <c r="O254" i="4"/>
  <c r="N295" i="4"/>
  <c r="K295" i="4" s="1"/>
  <c r="O296" i="4"/>
  <c r="O172" i="4"/>
  <c r="N171" i="4"/>
  <c r="N251" i="4"/>
  <c r="N170" i="4"/>
  <c r="O195" i="4"/>
  <c r="N292" i="4"/>
  <c r="K292" i="4" s="1"/>
  <c r="O353" i="4"/>
  <c r="N415" i="4"/>
  <c r="K415" i="4" s="1"/>
  <c r="N350" i="4"/>
  <c r="K350" i="4" s="1"/>
  <c r="N412" i="4"/>
  <c r="K412" i="4" s="1"/>
  <c r="O413" i="4"/>
  <c r="N413" i="4" s="1"/>
  <c r="K413" i="4" s="1"/>
  <c r="N406" i="4"/>
  <c r="K406" i="4" s="1"/>
  <c r="N235" i="4"/>
  <c r="K235" i="4" s="1"/>
  <c r="N234" i="4"/>
  <c r="K234" i="4" s="1"/>
  <c r="N252" i="4"/>
  <c r="N293" i="4"/>
  <c r="K293" i="4" s="1"/>
  <c r="N277" i="4"/>
  <c r="O393" i="4"/>
  <c r="N294" i="4"/>
  <c r="K294" i="4" s="1"/>
  <c r="O417" i="4"/>
  <c r="N416" i="4"/>
  <c r="K416" i="4" s="1"/>
  <c r="N391" i="4"/>
  <c r="N191" i="4"/>
  <c r="K191" i="4" s="1"/>
  <c r="P391" i="4"/>
  <c r="P392" i="4" s="1"/>
  <c r="P393" i="4" s="1"/>
  <c r="P394" i="4" s="1"/>
  <c r="P395" i="4" s="1"/>
  <c r="P396" i="4" s="1"/>
  <c r="P397" i="4" s="1"/>
  <c r="P398" i="4" s="1"/>
  <c r="P399" i="4" s="1"/>
  <c r="P400" i="4" s="1"/>
  <c r="P401" i="4" s="1"/>
  <c r="P402" i="4" s="1"/>
  <c r="P403" i="4" s="1"/>
  <c r="P404" i="4" s="1"/>
  <c r="N390" i="4"/>
  <c r="Q325" i="4"/>
  <c r="Q326" i="4" s="1"/>
  <c r="N326" i="4" s="1"/>
  <c r="K326" i="4" s="1"/>
  <c r="N324" i="4"/>
  <c r="K324" i="4" s="1"/>
  <c r="O410" i="4"/>
  <c r="N410" i="4" s="1"/>
  <c r="K410" i="4" s="1"/>
  <c r="N409" i="4"/>
  <c r="K409" i="4" s="1"/>
  <c r="Y74" i="8"/>
  <c r="Y100" i="8"/>
  <c r="Y143" i="8"/>
  <c r="Y42" i="8"/>
  <c r="Y86" i="8"/>
  <c r="Y96" i="8"/>
  <c r="AE398" i="11"/>
  <c r="AF398" i="11" s="1"/>
  <c r="AE399" i="11"/>
  <c r="AF399" i="11" s="1"/>
  <c r="L1605" i="16"/>
  <c r="L1432" i="16"/>
  <c r="E17" i="5"/>
  <c r="F16" i="5" s="1"/>
  <c r="L2676" i="16"/>
  <c r="L2677" i="16" s="1"/>
  <c r="L2678" i="16" s="1"/>
  <c r="L2679" i="16" s="1"/>
  <c r="L2681" i="16"/>
  <c r="L4474" i="16"/>
  <c r="L4475" i="16" s="1"/>
  <c r="L4476" i="16" s="1"/>
  <c r="D18" i="10"/>
  <c r="E22" i="10" s="1"/>
  <c r="F22" i="10" s="1"/>
  <c r="G22" i="10" s="1"/>
  <c r="L5039" i="16"/>
  <c r="L5037" i="16"/>
  <c r="L5038" i="16" s="1"/>
  <c r="L4976" i="16"/>
  <c r="L4974" i="16"/>
  <c r="L4975" i="16" s="1"/>
  <c r="D22" i="10"/>
  <c r="L5142" i="16"/>
  <c r="L5143" i="16" s="1"/>
  <c r="L5144" i="16"/>
  <c r="N443" i="4" l="1"/>
  <c r="O444" i="4"/>
  <c r="L1606" i="16"/>
  <c r="L1701" i="16"/>
  <c r="N213" i="4"/>
  <c r="O214" i="4"/>
  <c r="N332" i="4"/>
  <c r="O333" i="4"/>
  <c r="N28" i="4"/>
  <c r="K28" i="4" s="1"/>
  <c r="Q29" i="4"/>
  <c r="N27" i="4"/>
  <c r="K27" i="4" s="1"/>
  <c r="L5040" i="16"/>
  <c r="L5041" i="16" s="1"/>
  <c r="L5042" i="16"/>
  <c r="O394" i="4"/>
  <c r="N393" i="4"/>
  <c r="N353" i="4"/>
  <c r="K353" i="4" s="1"/>
  <c r="O354" i="4"/>
  <c r="O196" i="4"/>
  <c r="O255" i="4"/>
  <c r="N254" i="4"/>
  <c r="N325" i="4"/>
  <c r="K325" i="4" s="1"/>
  <c r="N167" i="4"/>
  <c r="K167" i="4" s="1"/>
  <c r="O168" i="4"/>
  <c r="N168" i="4" s="1"/>
  <c r="K168" i="4" s="1"/>
  <c r="Q432" i="4"/>
  <c r="N431" i="4"/>
  <c r="K431" i="4" s="1"/>
  <c r="O311" i="4"/>
  <c r="N310" i="4"/>
  <c r="N7" i="4"/>
  <c r="K7" i="4" s="1"/>
  <c r="N145" i="4"/>
  <c r="K145" i="4" s="1"/>
  <c r="Q47" i="4"/>
  <c r="N46" i="4"/>
  <c r="K46" i="4" s="1"/>
  <c r="N371" i="4"/>
  <c r="K371" i="4" s="1"/>
  <c r="O372" i="4"/>
  <c r="O108" i="4"/>
  <c r="N107" i="4"/>
  <c r="K107" i="4" s="1"/>
  <c r="N152" i="4"/>
  <c r="K152" i="4" s="1"/>
  <c r="O134" i="4"/>
  <c r="N133" i="4"/>
  <c r="K133" i="4" s="1"/>
  <c r="N22" i="4"/>
  <c r="K22" i="4" s="1"/>
  <c r="Q23" i="4"/>
  <c r="N23" i="4" s="1"/>
  <c r="K23" i="4" s="1"/>
  <c r="N392" i="4"/>
  <c r="N352" i="4"/>
  <c r="K352" i="4" s="1"/>
  <c r="O173" i="4"/>
  <c r="N172" i="4"/>
  <c r="N237" i="4"/>
  <c r="K237" i="4" s="1"/>
  <c r="O238" i="4"/>
  <c r="O281" i="4"/>
  <c r="N280" i="4"/>
  <c r="Q194" i="4"/>
  <c r="N193" i="4"/>
  <c r="K193" i="4" s="1"/>
  <c r="L4979" i="16"/>
  <c r="L4977" i="16"/>
  <c r="L4978" i="16" s="1"/>
  <c r="N417" i="4"/>
  <c r="K417" i="4" s="1"/>
  <c r="O418" i="4"/>
  <c r="N296" i="4"/>
  <c r="K296" i="4" s="1"/>
  <c r="O297" i="4"/>
  <c r="N85" i="4"/>
  <c r="K85" i="4" s="1"/>
  <c r="O86" i="4"/>
  <c r="Q67" i="4"/>
  <c r="N66" i="4"/>
  <c r="K66" i="4" s="1"/>
  <c r="N483" i="4"/>
  <c r="O484" i="4"/>
  <c r="N8" i="4"/>
  <c r="K8" i="4" s="1"/>
  <c r="Q9" i="4"/>
  <c r="N153" i="4"/>
  <c r="K153" i="4" s="1"/>
  <c r="O154" i="4"/>
  <c r="L4980" i="16" l="1"/>
  <c r="L4981" i="16" s="1"/>
  <c r="L4982" i="16"/>
  <c r="L4983" i="16" s="1"/>
  <c r="N173" i="4"/>
  <c r="O174" i="4"/>
  <c r="O87" i="4"/>
  <c r="N86" i="4"/>
  <c r="K86" i="4" s="1"/>
  <c r="N418" i="4"/>
  <c r="K418" i="4" s="1"/>
  <c r="O419" i="4"/>
  <c r="N238" i="4"/>
  <c r="K238" i="4" s="1"/>
  <c r="O239" i="4"/>
  <c r="O109" i="4"/>
  <c r="N108" i="4"/>
  <c r="K108" i="4" s="1"/>
  <c r="Q48" i="4"/>
  <c r="N47" i="4"/>
  <c r="K47" i="4" s="1"/>
  <c r="O312" i="4"/>
  <c r="N311" i="4"/>
  <c r="Q68" i="4"/>
  <c r="N67" i="4"/>
  <c r="K67" i="4" s="1"/>
  <c r="O282" i="4"/>
  <c r="N281" i="4"/>
  <c r="O334" i="4"/>
  <c r="N333" i="4"/>
  <c r="O485" i="4"/>
  <c r="N484" i="4"/>
  <c r="Q195" i="4"/>
  <c r="N194" i="4"/>
  <c r="K194" i="4" s="1"/>
  <c r="N134" i="4"/>
  <c r="K134" i="4" s="1"/>
  <c r="O135" i="4"/>
  <c r="N372" i="4"/>
  <c r="K372" i="4" s="1"/>
  <c r="O373" i="4"/>
  <c r="O197" i="4"/>
  <c r="O395" i="4"/>
  <c r="N394" i="4"/>
  <c r="Q30" i="4"/>
  <c r="N29" i="4"/>
  <c r="K29" i="4" s="1"/>
  <c r="N214" i="4"/>
  <c r="O215" i="4"/>
  <c r="N444" i="4"/>
  <c r="O445" i="4"/>
  <c r="N255" i="4"/>
  <c r="O256" i="4"/>
  <c r="L1702" i="16"/>
  <c r="L1830" i="16"/>
  <c r="L1901" i="16" s="1"/>
  <c r="L1899" i="16" s="1"/>
  <c r="O155" i="4"/>
  <c r="N154" i="4"/>
  <c r="K154" i="4" s="1"/>
  <c r="Q10" i="4"/>
  <c r="N9" i="4"/>
  <c r="K9" i="4" s="1"/>
  <c r="O298" i="4"/>
  <c r="N297" i="4"/>
  <c r="K297" i="4" s="1"/>
  <c r="Q433" i="4"/>
  <c r="N433" i="4" s="1"/>
  <c r="K433" i="4" s="1"/>
  <c r="N432" i="4"/>
  <c r="K432" i="4" s="1"/>
  <c r="O355" i="4"/>
  <c r="N354" i="4"/>
  <c r="K354" i="4" s="1"/>
  <c r="Q11" i="4" l="1"/>
  <c r="N10" i="4"/>
  <c r="K10" i="4" s="1"/>
  <c r="N30" i="4"/>
  <c r="K30" i="4" s="1"/>
  <c r="Q31" i="4"/>
  <c r="O198" i="4"/>
  <c r="O486" i="4"/>
  <c r="N485" i="4"/>
  <c r="N282" i="4"/>
  <c r="O283" i="4"/>
  <c r="O313" i="4"/>
  <c r="N312" i="4"/>
  <c r="O110" i="4"/>
  <c r="N109" i="4"/>
  <c r="K109" i="4" s="1"/>
  <c r="N445" i="4"/>
  <c r="O446" i="4"/>
  <c r="O136" i="4"/>
  <c r="N135" i="4"/>
  <c r="K135" i="4" s="1"/>
  <c r="O257" i="4"/>
  <c r="N256" i="4"/>
  <c r="O216" i="4"/>
  <c r="N215" i="4"/>
  <c r="O374" i="4"/>
  <c r="N373" i="4"/>
  <c r="K373" i="4" s="1"/>
  <c r="N239" i="4"/>
  <c r="K239" i="4" s="1"/>
  <c r="O240" i="4"/>
  <c r="N419" i="4"/>
  <c r="K419" i="4" s="1"/>
  <c r="O420" i="4"/>
  <c r="O175" i="4"/>
  <c r="N174" i="4"/>
  <c r="N355" i="4"/>
  <c r="K355" i="4" s="1"/>
  <c r="O356" i="4"/>
  <c r="O299" i="4"/>
  <c r="N298" i="4"/>
  <c r="K298" i="4" s="1"/>
  <c r="N155" i="4"/>
  <c r="K155" i="4" s="1"/>
  <c r="O156" i="4"/>
  <c r="N395" i="4"/>
  <c r="O396" i="4"/>
  <c r="Q196" i="4"/>
  <c r="N195" i="4"/>
  <c r="K195" i="4" s="1"/>
  <c r="N334" i="4"/>
  <c r="O335" i="4"/>
  <c r="N68" i="4"/>
  <c r="K68" i="4" s="1"/>
  <c r="Q69" i="4"/>
  <c r="Q49" i="4"/>
  <c r="N48" i="4"/>
  <c r="K48" i="4" s="1"/>
  <c r="N87" i="4"/>
  <c r="K87" i="4" s="1"/>
  <c r="O88" i="4"/>
  <c r="O89" i="4" l="1"/>
  <c r="N88" i="4"/>
  <c r="K88" i="4" s="1"/>
  <c r="N356" i="4"/>
  <c r="K356" i="4" s="1"/>
  <c r="O357" i="4"/>
  <c r="N420" i="4"/>
  <c r="K420" i="4" s="1"/>
  <c r="O421" i="4"/>
  <c r="O447" i="4"/>
  <c r="N446" i="4"/>
  <c r="Q32" i="4"/>
  <c r="N31" i="4"/>
  <c r="K31" i="4" s="1"/>
  <c r="N69" i="4"/>
  <c r="K69" i="4" s="1"/>
  <c r="Q70" i="4"/>
  <c r="Q197" i="4"/>
  <c r="N196" i="4"/>
  <c r="K196" i="4" s="1"/>
  <c r="N335" i="4"/>
  <c r="O336" i="4"/>
  <c r="O397" i="4"/>
  <c r="N396" i="4"/>
  <c r="N240" i="4"/>
  <c r="K240" i="4" s="1"/>
  <c r="O241" i="4"/>
  <c r="O284" i="4"/>
  <c r="N283" i="4"/>
  <c r="O157" i="4"/>
  <c r="N156" i="4"/>
  <c r="K156" i="4" s="1"/>
  <c r="N374" i="4"/>
  <c r="K374" i="4" s="1"/>
  <c r="O375" i="4"/>
  <c r="N257" i="4"/>
  <c r="O258" i="4"/>
  <c r="O314" i="4"/>
  <c r="N313" i="4"/>
  <c r="N486" i="4"/>
  <c r="O487" i="4"/>
  <c r="Q50" i="4"/>
  <c r="N49" i="4"/>
  <c r="K49" i="4" s="1"/>
  <c r="N299" i="4"/>
  <c r="K299" i="4" s="1"/>
  <c r="O300" i="4"/>
  <c r="O176" i="4"/>
  <c r="N175" i="4"/>
  <c r="O217" i="4"/>
  <c r="N216" i="4"/>
  <c r="N136" i="4"/>
  <c r="K136" i="4" s="1"/>
  <c r="O137" i="4"/>
  <c r="O111" i="4"/>
  <c r="N110" i="4"/>
  <c r="K110" i="4" s="1"/>
  <c r="O199" i="4"/>
  <c r="Q12" i="4"/>
  <c r="N11" i="4"/>
  <c r="K11" i="4" s="1"/>
  <c r="O488" i="4" l="1"/>
  <c r="N487" i="4"/>
  <c r="O337" i="4"/>
  <c r="N336" i="4"/>
  <c r="N447" i="4"/>
  <c r="O448" i="4"/>
  <c r="N157" i="4"/>
  <c r="K157" i="4" s="1"/>
  <c r="O158" i="4"/>
  <c r="O138" i="4"/>
  <c r="N137" i="4"/>
  <c r="K137" i="4" s="1"/>
  <c r="O376" i="4"/>
  <c r="N375" i="4"/>
  <c r="K375" i="4" s="1"/>
  <c r="O422" i="4"/>
  <c r="N421" i="4"/>
  <c r="K421" i="4" s="1"/>
  <c r="N300" i="4"/>
  <c r="K300" i="4" s="1"/>
  <c r="O301" i="4"/>
  <c r="O259" i="4"/>
  <c r="N258" i="4"/>
  <c r="O242" i="4"/>
  <c r="N241" i="4"/>
  <c r="K241" i="4" s="1"/>
  <c r="Q71" i="4"/>
  <c r="N70" i="4"/>
  <c r="K70" i="4" s="1"/>
  <c r="N357" i="4"/>
  <c r="K357" i="4" s="1"/>
  <c r="O358" i="4"/>
  <c r="N12" i="4"/>
  <c r="K12" i="4" s="1"/>
  <c r="Q13" i="4"/>
  <c r="O112" i="4"/>
  <c r="N111" i="4"/>
  <c r="K111" i="4" s="1"/>
  <c r="O218" i="4"/>
  <c r="N217" i="4"/>
  <c r="O200" i="4"/>
  <c r="N176" i="4"/>
  <c r="O177" i="4"/>
  <c r="Q51" i="4"/>
  <c r="N50" i="4"/>
  <c r="K50" i="4" s="1"/>
  <c r="O315" i="4"/>
  <c r="N314" i="4"/>
  <c r="N284" i="4"/>
  <c r="O285" i="4"/>
  <c r="O398" i="4"/>
  <c r="N397" i="4"/>
  <c r="Q198" i="4"/>
  <c r="N197" i="4"/>
  <c r="K197" i="4" s="1"/>
  <c r="N32" i="4"/>
  <c r="K32" i="4" s="1"/>
  <c r="Q33" i="4"/>
  <c r="N89" i="4"/>
  <c r="K89" i="4" s="1"/>
  <c r="O90" i="4"/>
  <c r="O201" i="4" l="1"/>
  <c r="O243" i="4"/>
  <c r="N242" i="4"/>
  <c r="K242" i="4" s="1"/>
  <c r="O377" i="4"/>
  <c r="N376" i="4"/>
  <c r="K376" i="4" s="1"/>
  <c r="O338" i="4"/>
  <c r="N337" i="4"/>
  <c r="O91" i="4"/>
  <c r="N90" i="4"/>
  <c r="K90" i="4" s="1"/>
  <c r="N285" i="4"/>
  <c r="O286" i="4"/>
  <c r="N301" i="4"/>
  <c r="K301" i="4" s="1"/>
  <c r="O302" i="4"/>
  <c r="O159" i="4"/>
  <c r="N158" i="4"/>
  <c r="K158" i="4" s="1"/>
  <c r="Q52" i="4"/>
  <c r="N51" i="4"/>
  <c r="K51" i="4" s="1"/>
  <c r="O113" i="4"/>
  <c r="N112" i="4"/>
  <c r="K112" i="4" s="1"/>
  <c r="Q34" i="4"/>
  <c r="N33" i="4"/>
  <c r="K33" i="4" s="1"/>
  <c r="O178" i="4"/>
  <c r="N177" i="4"/>
  <c r="N448" i="4"/>
  <c r="O449" i="4"/>
  <c r="O359" i="4"/>
  <c r="N358" i="4"/>
  <c r="K358" i="4" s="1"/>
  <c r="Q199" i="4"/>
  <c r="N198" i="4"/>
  <c r="K198" i="4" s="1"/>
  <c r="Q14" i="4"/>
  <c r="N13" i="4"/>
  <c r="K13" i="4" s="1"/>
  <c r="N398" i="4"/>
  <c r="O399" i="4"/>
  <c r="N315" i="4"/>
  <c r="O316" i="4"/>
  <c r="O219" i="4"/>
  <c r="N218" i="4"/>
  <c r="N71" i="4"/>
  <c r="K71" i="4" s="1"/>
  <c r="Q72" i="4"/>
  <c r="O260" i="4"/>
  <c r="N259" i="4"/>
  <c r="N422" i="4"/>
  <c r="K422" i="4" s="1"/>
  <c r="O423" i="4"/>
  <c r="N138" i="4"/>
  <c r="K138" i="4" s="1"/>
  <c r="O139" i="4"/>
  <c r="O489" i="4"/>
  <c r="N488" i="4"/>
  <c r="O287" i="4" l="1"/>
  <c r="N286" i="4"/>
  <c r="O490" i="4"/>
  <c r="N489" i="4"/>
  <c r="Q15" i="4"/>
  <c r="N14" i="4"/>
  <c r="K14" i="4" s="1"/>
  <c r="N359" i="4"/>
  <c r="K359" i="4" s="1"/>
  <c r="O360" i="4"/>
  <c r="N178" i="4"/>
  <c r="O179" i="4"/>
  <c r="O114" i="4"/>
  <c r="N113" i="4"/>
  <c r="K113" i="4" s="1"/>
  <c r="O160" i="4"/>
  <c r="N159" i="4"/>
  <c r="K159" i="4" s="1"/>
  <c r="O339" i="4"/>
  <c r="N338" i="4"/>
  <c r="O244" i="4"/>
  <c r="N243" i="4"/>
  <c r="K243" i="4" s="1"/>
  <c r="N423" i="4"/>
  <c r="K423" i="4" s="1"/>
  <c r="O424" i="4"/>
  <c r="N302" i="4"/>
  <c r="K302" i="4" s="1"/>
  <c r="O303" i="4"/>
  <c r="O202" i="4"/>
  <c r="N72" i="4"/>
  <c r="K72" i="4" s="1"/>
  <c r="Q73" i="4"/>
  <c r="N316" i="4"/>
  <c r="O317" i="4"/>
  <c r="O140" i="4"/>
  <c r="N139" i="4"/>
  <c r="K139" i="4" s="1"/>
  <c r="N399" i="4"/>
  <c r="O400" i="4"/>
  <c r="O450" i="4"/>
  <c r="N449" i="4"/>
  <c r="K449" i="4" s="1"/>
  <c r="O261" i="4"/>
  <c r="N260" i="4"/>
  <c r="N219" i="4"/>
  <c r="O220" i="4"/>
  <c r="Q200" i="4"/>
  <c r="N199" i="4"/>
  <c r="K199" i="4" s="1"/>
  <c r="N34" i="4"/>
  <c r="K34" i="4" s="1"/>
  <c r="Q35" i="4"/>
  <c r="Q53" i="4"/>
  <c r="N52" i="4"/>
  <c r="K52" i="4" s="1"/>
  <c r="N91" i="4"/>
  <c r="K91" i="4" s="1"/>
  <c r="O92" i="4"/>
  <c r="N377" i="4"/>
  <c r="K377" i="4" s="1"/>
  <c r="O378" i="4"/>
  <c r="N400" i="4" l="1"/>
  <c r="O401" i="4"/>
  <c r="O318" i="4"/>
  <c r="N317" i="4"/>
  <c r="N424" i="4"/>
  <c r="K424" i="4" s="1"/>
  <c r="O425" i="4"/>
  <c r="N360" i="4"/>
  <c r="K360" i="4" s="1"/>
  <c r="O361" i="4"/>
  <c r="Q54" i="4"/>
  <c r="N53" i="4"/>
  <c r="K53" i="4" s="1"/>
  <c r="Q201" i="4"/>
  <c r="N200" i="4"/>
  <c r="K200" i="4" s="1"/>
  <c r="O262" i="4"/>
  <c r="N261" i="4"/>
  <c r="O203" i="4"/>
  <c r="N339" i="4"/>
  <c r="O340" i="4"/>
  <c r="N114" i="4"/>
  <c r="K114" i="4" s="1"/>
  <c r="O115" i="4"/>
  <c r="O491" i="4"/>
  <c r="N490" i="4"/>
  <c r="O93" i="4"/>
  <c r="N92" i="4"/>
  <c r="K92" i="4" s="1"/>
  <c r="Q36" i="4"/>
  <c r="N35" i="4"/>
  <c r="K35" i="4" s="1"/>
  <c r="O221" i="4"/>
  <c r="N220" i="4"/>
  <c r="N73" i="4"/>
  <c r="K73" i="4" s="1"/>
  <c r="Q74" i="4"/>
  <c r="O304" i="4"/>
  <c r="N303" i="4"/>
  <c r="K303" i="4" s="1"/>
  <c r="N179" i="4"/>
  <c r="K179" i="4" s="1"/>
  <c r="O180" i="4"/>
  <c r="O379" i="4"/>
  <c r="N378" i="4"/>
  <c r="K378" i="4" s="1"/>
  <c r="N450" i="4"/>
  <c r="K450" i="4" s="1"/>
  <c r="O451" i="4"/>
  <c r="N140" i="4"/>
  <c r="K140" i="4" s="1"/>
  <c r="O141" i="4"/>
  <c r="O245" i="4"/>
  <c r="N244" i="4"/>
  <c r="K244" i="4" s="1"/>
  <c r="O161" i="4"/>
  <c r="N160" i="4"/>
  <c r="K160" i="4" s="1"/>
  <c r="Q16" i="4"/>
  <c r="N15" i="4"/>
  <c r="K15" i="4" s="1"/>
  <c r="N287" i="4"/>
  <c r="O288" i="4"/>
  <c r="N161" i="4" l="1"/>
  <c r="K161" i="4" s="1"/>
  <c r="O162" i="4"/>
  <c r="O380" i="4"/>
  <c r="N379" i="4"/>
  <c r="K379" i="4" s="1"/>
  <c r="O305" i="4"/>
  <c r="N304" i="4"/>
  <c r="K304" i="4" s="1"/>
  <c r="N221" i="4"/>
  <c r="O222" i="4"/>
  <c r="N93" i="4"/>
  <c r="K93" i="4" s="1"/>
  <c r="O94" i="4"/>
  <c r="O204" i="4"/>
  <c r="Q202" i="4"/>
  <c r="N201" i="4"/>
  <c r="K201" i="4" s="1"/>
  <c r="O319" i="4"/>
  <c r="N318" i="4"/>
  <c r="O142" i="4"/>
  <c r="N142" i="4" s="1"/>
  <c r="K142" i="4" s="1"/>
  <c r="N141" i="4"/>
  <c r="K141" i="4" s="1"/>
  <c r="N361" i="4"/>
  <c r="K361" i="4" s="1"/>
  <c r="O362" i="4"/>
  <c r="N451" i="4"/>
  <c r="K451" i="4" s="1"/>
  <c r="O452" i="4"/>
  <c r="O181" i="4"/>
  <c r="N180" i="4"/>
  <c r="K180" i="4" s="1"/>
  <c r="Q75" i="4"/>
  <c r="N74" i="4"/>
  <c r="K74" i="4" s="1"/>
  <c r="O341" i="4"/>
  <c r="N340" i="4"/>
  <c r="O426" i="4"/>
  <c r="N425" i="4"/>
  <c r="K425" i="4" s="1"/>
  <c r="N401" i="4"/>
  <c r="O402" i="4"/>
  <c r="N288" i="4"/>
  <c r="O289" i="4"/>
  <c r="N115" i="4"/>
  <c r="K115" i="4" s="1"/>
  <c r="O116" i="4"/>
  <c r="N16" i="4"/>
  <c r="K16" i="4" s="1"/>
  <c r="Q17" i="4"/>
  <c r="N245" i="4"/>
  <c r="K245" i="4" s="1"/>
  <c r="O246" i="4"/>
  <c r="N36" i="4"/>
  <c r="K36" i="4" s="1"/>
  <c r="Q37" i="4"/>
  <c r="O492" i="4"/>
  <c r="N491" i="4"/>
  <c r="N262" i="4"/>
  <c r="O263" i="4"/>
  <c r="Q55" i="4"/>
  <c r="N54" i="4"/>
  <c r="K54" i="4" s="1"/>
  <c r="Q56" i="4" l="1"/>
  <c r="N55" i="4"/>
  <c r="K55" i="4" s="1"/>
  <c r="N341" i="4"/>
  <c r="O342" i="4"/>
  <c r="N181" i="4"/>
  <c r="K181" i="4" s="1"/>
  <c r="O182" i="4"/>
  <c r="O320" i="4"/>
  <c r="N319" i="4"/>
  <c r="O205" i="4"/>
  <c r="O381" i="4"/>
  <c r="N380" i="4"/>
  <c r="K380" i="4" s="1"/>
  <c r="N246" i="4"/>
  <c r="K246" i="4" s="1"/>
  <c r="O247" i="4"/>
  <c r="O403" i="4"/>
  <c r="N402" i="4"/>
  <c r="N492" i="4"/>
  <c r="O493" i="4"/>
  <c r="N263" i="4"/>
  <c r="O264" i="4"/>
  <c r="N37" i="4"/>
  <c r="K37" i="4" s="1"/>
  <c r="Q38" i="4"/>
  <c r="Q18" i="4"/>
  <c r="N18" i="4" s="1"/>
  <c r="K18" i="4" s="1"/>
  <c r="N17" i="4"/>
  <c r="K17" i="4" s="1"/>
  <c r="O290" i="4"/>
  <c r="N289" i="4"/>
  <c r="N452" i="4"/>
  <c r="K452" i="4" s="1"/>
  <c r="O453" i="4"/>
  <c r="O95" i="4"/>
  <c r="N94" i="4"/>
  <c r="K94" i="4" s="1"/>
  <c r="N162" i="4"/>
  <c r="K162" i="4" s="1"/>
  <c r="O163" i="4"/>
  <c r="O117" i="4"/>
  <c r="N116" i="4"/>
  <c r="K116" i="4" s="1"/>
  <c r="O363" i="4"/>
  <c r="N362" i="4"/>
  <c r="K362" i="4" s="1"/>
  <c r="N222" i="4"/>
  <c r="O223" i="4"/>
  <c r="N426" i="4"/>
  <c r="K426" i="4" s="1"/>
  <c r="O427" i="4"/>
  <c r="N75" i="4"/>
  <c r="K75" i="4" s="1"/>
  <c r="Q76" i="4"/>
  <c r="Q203" i="4"/>
  <c r="N202" i="4"/>
  <c r="K202" i="4" s="1"/>
  <c r="O306" i="4"/>
  <c r="N306" i="4" s="1"/>
  <c r="K306" i="4" s="1"/>
  <c r="N305" i="4"/>
  <c r="K305" i="4" s="1"/>
  <c r="N427" i="4" l="1"/>
  <c r="K427" i="4" s="1"/>
  <c r="O428" i="4"/>
  <c r="O164" i="4"/>
  <c r="N164" i="4" s="1"/>
  <c r="K164" i="4" s="1"/>
  <c r="N163" i="4"/>
  <c r="K163" i="4" s="1"/>
  <c r="N453" i="4"/>
  <c r="K453" i="4" s="1"/>
  <c r="O454" i="4"/>
  <c r="O265" i="4"/>
  <c r="N264" i="4"/>
  <c r="Q204" i="4"/>
  <c r="N203" i="4"/>
  <c r="K203" i="4" s="1"/>
  <c r="O364" i="4"/>
  <c r="N363" i="4"/>
  <c r="K363" i="4" s="1"/>
  <c r="N403" i="4"/>
  <c r="O404" i="4"/>
  <c r="N404" i="4" s="1"/>
  <c r="N381" i="4"/>
  <c r="K381" i="4" s="1"/>
  <c r="O382" i="4"/>
  <c r="O321" i="4"/>
  <c r="N320" i="4"/>
  <c r="N342" i="4"/>
  <c r="O343" i="4"/>
  <c r="N76" i="4"/>
  <c r="K76" i="4" s="1"/>
  <c r="Q77" i="4"/>
  <c r="N223" i="4"/>
  <c r="O224" i="4"/>
  <c r="Q39" i="4"/>
  <c r="N38" i="4"/>
  <c r="K38" i="4" s="1"/>
  <c r="O494" i="4"/>
  <c r="N493" i="4"/>
  <c r="O248" i="4"/>
  <c r="N248" i="4" s="1"/>
  <c r="K248" i="4" s="1"/>
  <c r="N247" i="4"/>
  <c r="K247" i="4" s="1"/>
  <c r="O206" i="4"/>
  <c r="O183" i="4"/>
  <c r="N182" i="4"/>
  <c r="K182" i="4" s="1"/>
  <c r="O118" i="4"/>
  <c r="N117" i="4"/>
  <c r="K117" i="4" s="1"/>
  <c r="O96" i="4"/>
  <c r="N95" i="4"/>
  <c r="K95" i="4" s="1"/>
  <c r="N290" i="4"/>
  <c r="O291" i="4"/>
  <c r="N291" i="4" s="1"/>
  <c r="Q57" i="4"/>
  <c r="N56" i="4"/>
  <c r="K56" i="4" s="1"/>
  <c r="O225" i="4" l="1"/>
  <c r="N224" i="4"/>
  <c r="N343" i="4"/>
  <c r="O344" i="4"/>
  <c r="N382" i="4"/>
  <c r="K382" i="4" s="1"/>
  <c r="O383" i="4"/>
  <c r="N118" i="4"/>
  <c r="K118" i="4" s="1"/>
  <c r="O119" i="4"/>
  <c r="N494" i="4"/>
  <c r="O495" i="4"/>
  <c r="N364" i="4"/>
  <c r="K364" i="4" s="1"/>
  <c r="O365" i="4"/>
  <c r="O266" i="4"/>
  <c r="N265" i="4"/>
  <c r="K265" i="4" s="1"/>
  <c r="O207" i="4"/>
  <c r="Q78" i="4"/>
  <c r="N77" i="4"/>
  <c r="K77" i="4" s="1"/>
  <c r="N454" i="4"/>
  <c r="K454" i="4" s="1"/>
  <c r="O455" i="4"/>
  <c r="N428" i="4"/>
  <c r="K428" i="4" s="1"/>
  <c r="O429" i="4"/>
  <c r="N429" i="4" s="1"/>
  <c r="K429" i="4" s="1"/>
  <c r="Q58" i="4"/>
  <c r="N57" i="4"/>
  <c r="K57" i="4" s="1"/>
  <c r="O97" i="4"/>
  <c r="N96" i="4"/>
  <c r="K96" i="4" s="1"/>
  <c r="N183" i="4"/>
  <c r="K183" i="4" s="1"/>
  <c r="O184" i="4"/>
  <c r="N39" i="4"/>
  <c r="K39" i="4" s="1"/>
  <c r="Q40" i="4"/>
  <c r="N40" i="4" s="1"/>
  <c r="K40" i="4" s="1"/>
  <c r="O322" i="4"/>
  <c r="N321" i="4"/>
  <c r="Q205" i="4"/>
  <c r="N204" i="4"/>
  <c r="K204" i="4" s="1"/>
  <c r="O345" i="4" l="1"/>
  <c r="N344" i="4"/>
  <c r="K344" i="4" s="1"/>
  <c r="N119" i="4"/>
  <c r="K119" i="4" s="1"/>
  <c r="O120" i="4"/>
  <c r="O323" i="4"/>
  <c r="N323" i="4" s="1"/>
  <c r="K323" i="4" s="1"/>
  <c r="N322" i="4"/>
  <c r="O208" i="4"/>
  <c r="N495" i="4"/>
  <c r="K495" i="4" s="1"/>
  <c r="O496" i="4"/>
  <c r="O384" i="4"/>
  <c r="N383" i="4"/>
  <c r="K383" i="4" s="1"/>
  <c r="O185" i="4"/>
  <c r="N184" i="4"/>
  <c r="K184" i="4" s="1"/>
  <c r="N455" i="4"/>
  <c r="O456" i="4"/>
  <c r="O366" i="4"/>
  <c r="N365" i="4"/>
  <c r="K365" i="4" s="1"/>
  <c r="Q59" i="4"/>
  <c r="N58" i="4"/>
  <c r="K58" i="4" s="1"/>
  <c r="Q206" i="4"/>
  <c r="N205" i="4"/>
  <c r="K205" i="4" s="1"/>
  <c r="O98" i="4"/>
  <c r="N97" i="4"/>
  <c r="K97" i="4" s="1"/>
  <c r="Q79" i="4"/>
  <c r="N78" i="4"/>
  <c r="K78" i="4" s="1"/>
  <c r="N266" i="4"/>
  <c r="K266" i="4" s="1"/>
  <c r="O267" i="4"/>
  <c r="O226" i="4"/>
  <c r="N225" i="4"/>
  <c r="K225" i="4" s="1"/>
  <c r="Q60" i="4" l="1"/>
  <c r="N59" i="4"/>
  <c r="K59" i="4" s="1"/>
  <c r="N226" i="4"/>
  <c r="K226" i="4" s="1"/>
  <c r="O227" i="4"/>
  <c r="N267" i="4"/>
  <c r="K267" i="4" s="1"/>
  <c r="O268" i="4"/>
  <c r="O457" i="4"/>
  <c r="N456" i="4"/>
  <c r="N120" i="4"/>
  <c r="K120" i="4" s="1"/>
  <c r="O121" i="4"/>
  <c r="N98" i="4"/>
  <c r="K98" i="4" s="1"/>
  <c r="O99" i="4"/>
  <c r="N384" i="4"/>
  <c r="K384" i="4" s="1"/>
  <c r="O385" i="4"/>
  <c r="O209" i="4"/>
  <c r="O497" i="4"/>
  <c r="N497" i="4" s="1"/>
  <c r="K497" i="4" s="1"/>
  <c r="N496" i="4"/>
  <c r="K496" i="4" s="1"/>
  <c r="Q80" i="4"/>
  <c r="N79" i="4"/>
  <c r="K79" i="4" s="1"/>
  <c r="Q207" i="4"/>
  <c r="N206" i="4"/>
  <c r="K206" i="4" s="1"/>
  <c r="N366" i="4"/>
  <c r="K366" i="4" s="1"/>
  <c r="O367" i="4"/>
  <c r="N367" i="4" s="1"/>
  <c r="K367" i="4" s="1"/>
  <c r="O186" i="4"/>
  <c r="N185" i="4"/>
  <c r="K185" i="4" s="1"/>
  <c r="O346" i="4"/>
  <c r="N345" i="4"/>
  <c r="K345" i="4" s="1"/>
  <c r="N457" i="4" l="1"/>
  <c r="K457" i="4" s="1"/>
  <c r="O458" i="4"/>
  <c r="N99" i="4"/>
  <c r="K99" i="4" s="1"/>
  <c r="O100" i="4"/>
  <c r="N385" i="4"/>
  <c r="K385" i="4" s="1"/>
  <c r="O386" i="4"/>
  <c r="N121" i="4"/>
  <c r="K121" i="4" s="1"/>
  <c r="O122" i="4"/>
  <c r="N268" i="4"/>
  <c r="K268" i="4" s="1"/>
  <c r="O269" i="4"/>
  <c r="O228" i="4"/>
  <c r="N228" i="4" s="1"/>
  <c r="K228" i="4" s="1"/>
  <c r="N227" i="4"/>
  <c r="K227" i="4" s="1"/>
  <c r="O347" i="4"/>
  <c r="N347" i="4" s="1"/>
  <c r="K347" i="4" s="1"/>
  <c r="N346" i="4"/>
  <c r="K346" i="4" s="1"/>
  <c r="Q81" i="4"/>
  <c r="N81" i="4" s="1"/>
  <c r="K81" i="4" s="1"/>
  <c r="N80" i="4"/>
  <c r="K80" i="4" s="1"/>
  <c r="N186" i="4"/>
  <c r="K186" i="4" s="1"/>
  <c r="O187" i="4"/>
  <c r="Q208" i="4"/>
  <c r="N207" i="4"/>
  <c r="K207" i="4" s="1"/>
  <c r="Q61" i="4"/>
  <c r="N60" i="4"/>
  <c r="K60" i="4" s="1"/>
  <c r="Q209" i="4" l="1"/>
  <c r="N209" i="4" s="1"/>
  <c r="K209" i="4" s="1"/>
  <c r="N208" i="4"/>
  <c r="K208" i="4" s="1"/>
  <c r="O101" i="4"/>
  <c r="N101" i="4" s="1"/>
  <c r="K101" i="4" s="1"/>
  <c r="N100" i="4"/>
  <c r="K100" i="4" s="1"/>
  <c r="N187" i="4"/>
  <c r="K187" i="4" s="1"/>
  <c r="O188" i="4"/>
  <c r="N269" i="4"/>
  <c r="K269" i="4" s="1"/>
  <c r="O270" i="4"/>
  <c r="N386" i="4"/>
  <c r="K386" i="4" s="1"/>
  <c r="O387" i="4"/>
  <c r="N387" i="4" s="1"/>
  <c r="K387" i="4" s="1"/>
  <c r="Q62" i="4"/>
  <c r="N61" i="4"/>
  <c r="K61" i="4" s="1"/>
  <c r="N458" i="4"/>
  <c r="O459" i="4"/>
  <c r="O123" i="4"/>
  <c r="N122" i="4"/>
  <c r="K122" i="4" s="1"/>
  <c r="N459" i="4" l="1"/>
  <c r="O460" i="4"/>
  <c r="N270" i="4"/>
  <c r="K270" i="4" s="1"/>
  <c r="O271" i="4"/>
  <c r="N123" i="4"/>
  <c r="K123" i="4" s="1"/>
  <c r="O124" i="4"/>
  <c r="N62" i="4"/>
  <c r="K62" i="4" s="1"/>
  <c r="Q63" i="4"/>
  <c r="N63" i="4" s="1"/>
  <c r="K63" i="4" s="1"/>
  <c r="O189" i="4"/>
  <c r="N189" i="4" s="1"/>
  <c r="K189" i="4" s="1"/>
  <c r="N188" i="4"/>
  <c r="K188" i="4" s="1"/>
  <c r="O125" i="4" l="1"/>
  <c r="N124" i="4"/>
  <c r="K124" i="4" s="1"/>
  <c r="N460" i="4"/>
  <c r="O461" i="4"/>
  <c r="N271" i="4"/>
  <c r="K271" i="4" s="1"/>
  <c r="O272" i="4"/>
  <c r="N461" i="4" l="1"/>
  <c r="O462" i="4"/>
  <c r="N272" i="4"/>
  <c r="K272" i="4" s="1"/>
  <c r="O273" i="4"/>
  <c r="N125" i="4"/>
  <c r="K125" i="4" s="1"/>
  <c r="O126" i="4"/>
  <c r="O274" i="4" l="1"/>
  <c r="N274" i="4" s="1"/>
  <c r="K274" i="4" s="1"/>
  <c r="N273" i="4"/>
  <c r="K273" i="4" s="1"/>
  <c r="N126" i="4"/>
  <c r="K126" i="4" s="1"/>
  <c r="O127" i="4"/>
  <c r="N127" i="4" s="1"/>
  <c r="K127" i="4" s="1"/>
  <c r="N462" i="4"/>
  <c r="O463" i="4"/>
  <c r="O464" i="4" l="1"/>
  <c r="N463" i="4"/>
  <c r="O465" i="4" l="1"/>
  <c r="N464" i="4"/>
  <c r="K464" i="4" s="1"/>
  <c r="O466" i="4" l="1"/>
  <c r="N465" i="4"/>
  <c r="K465" i="4" s="1"/>
  <c r="O467" i="4" l="1"/>
  <c r="N466" i="4"/>
  <c r="K466" i="4" s="1"/>
  <c r="O468" i="4" l="1"/>
  <c r="N467" i="4"/>
  <c r="K467" i="4" s="1"/>
  <c r="O469" i="4" l="1"/>
  <c r="N468" i="4"/>
  <c r="K468" i="4" s="1"/>
  <c r="O470" i="4" l="1"/>
  <c r="N469" i="4"/>
  <c r="K469" i="4" s="1"/>
  <c r="O471" i="4" l="1"/>
  <c r="N470" i="4"/>
  <c r="K470" i="4" s="1"/>
  <c r="O472" i="4" l="1"/>
  <c r="N471" i="4"/>
  <c r="K471" i="4" s="1"/>
  <c r="O473" i="4" l="1"/>
  <c r="N472" i="4"/>
  <c r="K472" i="4" s="1"/>
  <c r="O474" i="4" l="1"/>
  <c r="N474" i="4" s="1"/>
  <c r="K474" i="4" s="1"/>
  <c r="N473" i="4"/>
  <c r="K473" i="4" s="1"/>
  <c r="L102" i="27"/>
  <c r="L103" i="27" s="1"/>
  <c r="L104" i="27" s="1"/>
  <c r="L105" i="27" s="1"/>
  <c r="L106" i="27" s="1"/>
  <c r="L107" i="27" s="1"/>
  <c r="L108" i="27" s="1"/>
  <c r="U163" i="27"/>
  <c r="U164" i="27" s="1"/>
  <c r="U165" i="27" s="1"/>
  <c r="U166" i="27" s="1"/>
  <c r="U167" i="27" s="1"/>
  <c r="U168" i="27" s="1"/>
  <c r="U169" i="27" s="1"/>
  <c r="U170" i="27" s="1"/>
  <c r="U171" i="2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fritts</author>
  </authors>
  <commentList>
    <comment ref="J2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fritts:</t>
        </r>
        <r>
          <rPr>
            <sz val="8"/>
            <color indexed="81"/>
            <rFont val="Tahoma"/>
            <family val="2"/>
          </rPr>
          <t>colored cells indicate series diagnostic has been uploaded to dbon db "bad" means didn't process, "bad_ph" means something is bad about one or more phonon channels (including taconis noise)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fritts</author>
  </authors>
  <commentList>
    <comment ref="J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fritts:</t>
        </r>
        <r>
          <rPr>
            <sz val="8"/>
            <color indexed="81"/>
            <rFont val="Tahoma"/>
            <family val="2"/>
          </rPr>
          <t>colored cells indicate series diagnostic has been uploaded to dbon db "bad" means didn't process, "bad_ph" means something is bad about one or more phonon channels (including taconis noise)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F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this indicates bias and temperature RQ files have been generated.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N1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this indicates bias and temperature RQ files have been generated.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I1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this indicates bias and temperature RQ files have been generated.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L1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this indicates bias and temperature RQ files have been generated.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tc={3DF33A8A-074C-440D-9694-4CBBD88E0C64}</author>
    <author>tc={8254BB9D-187D-4B08-B184-EABF902A3436}</author>
    <author>Himangshu Neog</author>
  </authors>
  <commentList>
    <comment ref="J2" authorId="0" shapeId="0" xr:uid="{3DF33A8A-074C-440D-9694-4CBBD88E0C64}">
      <text>
        <t>[Threaded comment]
Your version of Excel allows you to read this threaded comment; however, any edits to it will get removed if the file is opened in a newer version of Excel. Learn more: https://go.microsoft.com/fwlink/?linkid=870924
Comment:
    /data/chocula/fritts/data/k100proc/midasrq/byseries/</t>
      </text>
    </comment>
    <comment ref="S9" authorId="1" shapeId="0" xr:uid="{8254BB9D-187D-4B08-B184-EABF902A3436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18000 for all baseline corrections unless stated otherwise. (At time of writing this was true for all baseline corrections, no exceptions.)</t>
      </text>
    </comment>
    <comment ref="J161" authorId="2" shapeId="0" xr:uid="{9BD81E0F-0EEE-434F-AED1-9188CC8D9A0E}">
      <text>
        <r>
          <rPr>
            <sz val="11"/>
            <color theme="1"/>
            <rFont val="Calibri"/>
            <family val="2"/>
            <scheme val="minor"/>
          </rPr>
          <t>Himangshu Neog:
/data/chocula/neog/rq/</t>
        </r>
      </text>
    </comment>
  </commentList>
</comments>
</file>

<file path=xl/sharedStrings.xml><?xml version="1.0" encoding="utf-8"?>
<sst xmlns="http://schemas.openxmlformats.org/spreadsheetml/2006/main" count="55102" uniqueCount="13386">
  <si>
    <t xml:space="preserve">series </t>
  </si>
  <si>
    <t xml:space="preserve">facility </t>
  </si>
  <si>
    <t xml:space="preserve">run number </t>
  </si>
  <si>
    <t xml:space="preserve">events per file </t>
  </si>
  <si>
    <t xml:space="preserve">randoms </t>
  </si>
  <si>
    <t xml:space="preserve">duration </t>
  </si>
  <si>
    <t xml:space="preserve">data type </t>
  </si>
  <si>
    <t xml:space="preserve">bias </t>
  </si>
  <si>
    <t>diagnosis</t>
  </si>
  <si>
    <t>seriesid string</t>
  </si>
  <si>
    <t>date/time</t>
  </si>
  <si>
    <t>unixtime (min)</t>
  </si>
  <si>
    <t>my diag</t>
  </si>
  <si>
    <t>notes</t>
  </si>
  <si>
    <t>level</t>
  </si>
  <si>
    <t>levdiag</t>
  </si>
  <si>
    <t>07151208_1609</t>
  </si>
  <si>
    <t>UMN</t>
  </si>
  <si>
    <t>bg</t>
  </si>
  <si>
    <t>side 1: -4, side 2: 4</t>
  </si>
  <si>
    <t>good</t>
  </si>
  <si>
    <t>labview</t>
  </si>
  <si>
    <t>07151208_1623</t>
  </si>
  <si>
    <t>07151208_1644</t>
  </si>
  <si>
    <t>07151208_1744</t>
  </si>
  <si>
    <t>side 1: 4, side 2: -4</t>
  </si>
  <si>
    <t>07151208_1843</t>
  </si>
  <si>
    <t>07151208_1949</t>
  </si>
  <si>
    <t>07151208_2049</t>
  </si>
  <si>
    <t>07151208_2148</t>
  </si>
  <si>
    <t>07151208_2248</t>
  </si>
  <si>
    <t>07151208_2348</t>
  </si>
  <si>
    <t>07151209_0048</t>
  </si>
  <si>
    <t>07151209_0147</t>
  </si>
  <si>
    <t>07151209_0250</t>
  </si>
  <si>
    <t>07151209_0350</t>
  </si>
  <si>
    <t>07151209_0451</t>
  </si>
  <si>
    <t>07151209_0550</t>
  </si>
  <si>
    <t>07151209_0651</t>
  </si>
  <si>
    <t>07151209_0750</t>
  </si>
  <si>
    <t>07151216_1700</t>
  </si>
  <si>
    <t>null</t>
  </si>
  <si>
    <t>side 1: 0, side 2: 0</t>
  </si>
  <si>
    <t>np</t>
  </si>
  <si>
    <t>pulse viewer accident?</t>
  </si>
  <si>
    <t>07151211_1835</t>
  </si>
  <si>
    <t>side 1: -3.999, side 2: 4.4872</t>
  </si>
  <si>
    <t>not sure</t>
  </si>
  <si>
    <t>07151211_1932</t>
  </si>
  <si>
    <t>07151211_2125</t>
  </si>
  <si>
    <t>07151211_2222</t>
  </si>
  <si>
    <t>07151211_2318</t>
  </si>
  <si>
    <t>07151212_0112</t>
  </si>
  <si>
    <t>07151212_0208</t>
  </si>
  <si>
    <t>07151214_1704</t>
  </si>
  <si>
    <t>side 1: 4.014, side 2: -3.9293</t>
  </si>
  <si>
    <t>wrong trace length</t>
  </si>
  <si>
    <t>07151214_1801</t>
  </si>
  <si>
    <t>07151214_1858</t>
  </si>
  <si>
    <t>07151214_1955</t>
  </si>
  <si>
    <t>07151214_2051</t>
  </si>
  <si>
    <t>07151214_2148</t>
  </si>
  <si>
    <t>07151214_2245</t>
  </si>
  <si>
    <t>07151214_2341</t>
  </si>
  <si>
    <t>07151218_0501</t>
  </si>
  <si>
    <t>cf</t>
  </si>
  <si>
    <r>
      <t>side 1</t>
    </r>
    <r>
      <rPr>
        <sz val="11"/>
        <color theme="1"/>
        <rFont val="Calibri"/>
        <family val="2"/>
        <scheme val="minor"/>
      </rPr>
      <t xml:space="preserve">: 4.014, </t>
    </r>
    <r>
      <rPr>
        <i/>
        <sz val="11"/>
        <color theme="1"/>
        <rFont val="Calibri"/>
        <family val="2"/>
        <scheme val="minor"/>
      </rPr>
      <t>side 2</t>
    </r>
    <r>
      <rPr>
        <sz val="11"/>
        <color theme="1"/>
        <rFont val="Calibri"/>
        <family val="2"/>
        <scheme val="minor"/>
      </rPr>
      <t>: -3.9293</t>
    </r>
  </si>
  <si>
    <t>07151218_0557</t>
  </si>
  <si>
    <t>07151218_0654</t>
  </si>
  <si>
    <t>07151210_1319</t>
  </si>
  <si>
    <t>short, not in run diary</t>
  </si>
  <si>
    <t>07151211_1052</t>
  </si>
  <si>
    <t>07151211_1151</t>
  </si>
  <si>
    <t>07151211_1303</t>
  </si>
  <si>
    <t>07151210_1644</t>
  </si>
  <si>
    <t>ok</t>
  </si>
  <si>
    <t>07151211_1739</t>
  </si>
  <si>
    <t>07151212_0305</t>
  </si>
  <si>
    <t>07151212_0401</t>
  </si>
  <si>
    <t>07151212_0458</t>
  </si>
  <si>
    <t>07151212_0555</t>
  </si>
  <si>
    <t>07151212_0651</t>
  </si>
  <si>
    <t>07151210_1703</t>
  </si>
  <si>
    <t>07151210_1906</t>
  </si>
  <si>
    <t>07151216_1749</t>
  </si>
  <si>
    <t>07151216_1845</t>
  </si>
  <si>
    <t>07151216_1942</t>
  </si>
  <si>
    <t>07151216_2038</t>
  </si>
  <si>
    <t>07151218_0211</t>
  </si>
  <si>
    <t>07151218_0307</t>
  </si>
  <si>
    <t>07151218_0404</t>
  </si>
  <si>
    <t>07151218_0750</t>
  </si>
  <si>
    <t>07151209_1516</t>
  </si>
  <si>
    <t>07151209_1613</t>
  </si>
  <si>
    <t>07151209_1728</t>
  </si>
  <si>
    <t>07151209_1824</t>
  </si>
  <si>
    <t>07151209_1921</t>
  </si>
  <si>
    <t>07151209_2018</t>
  </si>
  <si>
    <t>07151209_2114</t>
  </si>
  <si>
    <t>07151209_2211</t>
  </si>
  <si>
    <t>07151209_2308</t>
  </si>
  <si>
    <t>07151210_0005</t>
  </si>
  <si>
    <t>07151210_0101</t>
  </si>
  <si>
    <t>07151210_0158</t>
  </si>
  <si>
    <t>07151210_0255</t>
  </si>
  <si>
    <t>07151210_0351</t>
  </si>
  <si>
    <t>07151212_0748</t>
  </si>
  <si>
    <t>07151212_0845</t>
  </si>
  <si>
    <t>07151212_0941</t>
  </si>
  <si>
    <t>07151212_1038</t>
  </si>
  <si>
    <t>07151212_1135</t>
  </si>
  <si>
    <t>07151212_1231</t>
  </si>
  <si>
    <t>07151212_1328</t>
  </si>
  <si>
    <t>07151212_1424</t>
  </si>
  <si>
    <t>07151212_1521</t>
  </si>
  <si>
    <t>07151212_1618</t>
  </si>
  <si>
    <t>07151212_1714</t>
  </si>
  <si>
    <t>07151212_1811</t>
  </si>
  <si>
    <t>07151212_1908</t>
  </si>
  <si>
    <t>07151212_2004</t>
  </si>
  <si>
    <t>07151212_2101</t>
  </si>
  <si>
    <t>07151212_2158</t>
  </si>
  <si>
    <t>07151212_2254</t>
  </si>
  <si>
    <t>07151212_2351</t>
  </si>
  <si>
    <t>07151213_0047</t>
  </si>
  <si>
    <t>07151210_2003</t>
  </si>
  <si>
    <t>07151210_2059</t>
  </si>
  <si>
    <t>07151210_2156</t>
  </si>
  <si>
    <t>07151210_2253</t>
  </si>
  <si>
    <t>07151210_2349</t>
  </si>
  <si>
    <t>07151211_0046</t>
  </si>
  <si>
    <t>07151211_0142</t>
  </si>
  <si>
    <t>07151211_0239</t>
  </si>
  <si>
    <t>07151211_0336</t>
  </si>
  <si>
    <t>07151211_0432</t>
  </si>
  <si>
    <t>07151211_0529</t>
  </si>
  <si>
    <t>07151211_0626</t>
  </si>
  <si>
    <t>07151211_0722</t>
  </si>
  <si>
    <t>07151211_0819</t>
  </si>
  <si>
    <t>07151214_1207</t>
  </si>
  <si>
    <t>07151215_1231</t>
  </si>
  <si>
    <t>07151215_1328</t>
  </si>
  <si>
    <t>07151215_1424</t>
  </si>
  <si>
    <t>07151215_1520</t>
  </si>
  <si>
    <t>07151215_1633</t>
  </si>
  <si>
    <t>07151215_1725</t>
  </si>
  <si>
    <t>07151215_1816</t>
  </si>
  <si>
    <t>07151215_1907</t>
  </si>
  <si>
    <t>07151215_1958</t>
  </si>
  <si>
    <t>07151215_2050</t>
  </si>
  <si>
    <t>07151215_2141</t>
  </si>
  <si>
    <t>07151215_2232</t>
  </si>
  <si>
    <t>07151215_2323</t>
  </si>
  <si>
    <t>07151216_0015</t>
  </si>
  <si>
    <t>07151216_0106</t>
  </si>
  <si>
    <t>07151216_0157</t>
  </si>
  <si>
    <t>07151216_0248</t>
  </si>
  <si>
    <t>07151216_0340</t>
  </si>
  <si>
    <t>07151216_0431</t>
  </si>
  <si>
    <t>07151216_0522</t>
  </si>
  <si>
    <t>07151216_0613</t>
  </si>
  <si>
    <t>07151216_0705</t>
  </si>
  <si>
    <t>07151216_0756</t>
  </si>
  <si>
    <t>07151217_1120</t>
  </si>
  <si>
    <r>
      <t>side 1</t>
    </r>
    <r>
      <rPr>
        <sz val="11"/>
        <color theme="1"/>
        <rFont val="Calibri"/>
        <family val="2"/>
        <scheme val="minor"/>
      </rPr>
      <t xml:space="preserve">: 0, </t>
    </r>
    <r>
      <rPr>
        <i/>
        <sz val="11"/>
        <color theme="1"/>
        <rFont val="Calibri"/>
        <family val="2"/>
        <scheme val="minor"/>
      </rPr>
      <t>side 2</t>
    </r>
    <r>
      <rPr>
        <sz val="11"/>
        <color theme="1"/>
        <rFont val="Calibri"/>
        <family val="2"/>
        <scheme val="minor"/>
      </rPr>
      <t>: 0</t>
    </r>
  </si>
  <si>
    <t>07151217_1123</t>
  </si>
  <si>
    <t>07151216_2135</t>
  </si>
  <si>
    <t>07151216_2232</t>
  </si>
  <si>
    <t>07151216_2328</t>
  </si>
  <si>
    <t>07151217_0025</t>
  </si>
  <si>
    <t>07151217_0121</t>
  </si>
  <si>
    <t>07151217_0218</t>
  </si>
  <si>
    <t>07151217_0314</t>
  </si>
  <si>
    <t>07151217_0411</t>
  </si>
  <si>
    <t>07151217_0507</t>
  </si>
  <si>
    <t>07151217_0604</t>
  </si>
  <si>
    <t>07151217_0701</t>
  </si>
  <si>
    <t>07151217_0757</t>
  </si>
  <si>
    <t>07151211_1416</t>
  </si>
  <si>
    <t>07151217_1038</t>
  </si>
  <si>
    <t>07151217_1321</t>
  </si>
  <si>
    <t>07151217_1741</t>
  </si>
  <si>
    <t>07151217_1837</t>
  </si>
  <si>
    <t>07151217_1934</t>
  </si>
  <si>
    <t>07151217_2031</t>
  </si>
  <si>
    <t>07151217_2127</t>
  </si>
  <si>
    <t>07151217_2224</t>
  </si>
  <si>
    <t>07151217_2321</t>
  </si>
  <si>
    <t>07151218_0017</t>
  </si>
  <si>
    <t>07151218_0114</t>
  </si>
  <si>
    <t>07151217_1218</t>
  </si>
  <si>
    <t>test</t>
  </si>
  <si>
    <t>07151215_1146</t>
  </si>
  <si>
    <t>07151215_1147</t>
  </si>
  <si>
    <t>07151211_2029</t>
  </si>
  <si>
    <t>weird</t>
  </si>
  <si>
    <t>07151212_0015</t>
  </si>
  <si>
    <t>list</t>
  </si>
  <si>
    <t>SERIES</t>
  </si>
  <si>
    <t>FACILITY</t>
  </si>
  <si>
    <t>RUN NUMBER</t>
  </si>
  <si>
    <t>EVENTS PER FILE</t>
  </si>
  <si>
    <t>RANDOMS</t>
  </si>
  <si>
    <t>DURATION</t>
  </si>
  <si>
    <t>DATA TYPE</t>
  </si>
  <si>
    <t>BIAS</t>
  </si>
  <si>
    <t>DIAGNOSIS</t>
  </si>
  <si>
    <t>lev diag</t>
  </si>
  <si>
    <t>level meas</t>
  </si>
  <si>
    <t>lev meas time</t>
  </si>
  <si>
    <t>boiloff rate</t>
  </si>
  <si>
    <t>lev after</t>
  </si>
  <si>
    <t>lev time after</t>
  </si>
  <si>
    <t>pbs1</t>
  </si>
  <si>
    <t>07160104_1511</t>
  </si>
  <si>
    <r>
      <t>side 1</t>
    </r>
    <r>
      <rPr>
        <sz val="11"/>
        <color theme="1"/>
        <rFont val="Arial"/>
        <family val="2"/>
      </rPr>
      <t>: -3.999, </t>
    </r>
    <r>
      <rPr>
        <i/>
        <sz val="11"/>
        <color theme="1"/>
        <rFont val="Arial"/>
        <family val="2"/>
      </rPr>
      <t>side 2</t>
    </r>
    <r>
      <rPr>
        <sz val="11"/>
        <color theme="1"/>
        <rFont val="Arial"/>
        <family val="2"/>
      </rPr>
      <t>: 4.4872</t>
    </r>
  </si>
  <si>
    <t>single</t>
  </si>
  <si>
    <t>07160104_1614</t>
  </si>
  <si>
    <r>
      <t>side 1</t>
    </r>
    <r>
      <rPr>
        <sz val="11"/>
        <color theme="1"/>
        <rFont val="Arial"/>
        <family val="2"/>
      </rPr>
      <t>: 4.014, </t>
    </r>
    <r>
      <rPr>
        <i/>
        <sz val="11"/>
        <color theme="1"/>
        <rFont val="Arial"/>
        <family val="2"/>
      </rPr>
      <t>side 2</t>
    </r>
    <r>
      <rPr>
        <sz val="11"/>
        <color theme="1"/>
        <rFont val="Arial"/>
        <family val="2"/>
      </rPr>
      <t>: -3.9293</t>
    </r>
  </si>
  <si>
    <t>07160104_1726</t>
  </si>
  <si>
    <r>
      <t>side 1</t>
    </r>
    <r>
      <rPr>
        <sz val="11"/>
        <color theme="1"/>
        <rFont val="Arial"/>
        <family val="2"/>
      </rPr>
      <t>: 4.014, </t>
    </r>
    <r>
      <rPr>
        <i/>
        <sz val="11"/>
        <color theme="1"/>
        <rFont val="Arial"/>
        <family val="2"/>
      </rPr>
      <t>side 2</t>
    </r>
    <r>
      <rPr>
        <sz val="11"/>
        <color theme="1"/>
        <rFont val="Arial"/>
        <family val="2"/>
      </rPr>
      <t>: -3.929</t>
    </r>
  </si>
  <si>
    <t>block 1</t>
  </si>
  <si>
    <t>07160104_1822</t>
  </si>
  <si>
    <t>07160104_1919</t>
  </si>
  <si>
    <t>07160104_2016</t>
  </si>
  <si>
    <t>07160104_2112</t>
  </si>
  <si>
    <t>07160104_2209</t>
  </si>
  <si>
    <t>07160104_2306</t>
  </si>
  <si>
    <t>07160105_0002</t>
  </si>
  <si>
    <r>
      <t>side 1</t>
    </r>
    <r>
      <rPr>
        <sz val="11"/>
        <rFont val="Arial"/>
        <family val="2"/>
      </rPr>
      <t>: 4.014, </t>
    </r>
    <r>
      <rPr>
        <i/>
        <sz val="11"/>
        <rFont val="Arial"/>
        <family val="2"/>
      </rPr>
      <t>side 2</t>
    </r>
    <r>
      <rPr>
        <sz val="11"/>
        <rFont val="Arial"/>
        <family val="2"/>
      </rPr>
      <t>: -3.929</t>
    </r>
  </si>
  <si>
    <t>07160105_0059</t>
  </si>
  <si>
    <t>07160105_0156</t>
  </si>
  <si>
    <t>07160105_0253</t>
  </si>
  <si>
    <t>07160105_0349</t>
  </si>
  <si>
    <t>07160105_0446</t>
  </si>
  <si>
    <t>07160105_0543</t>
  </si>
  <si>
    <t>07160105_1029</t>
  </si>
  <si>
    <r>
      <t>side 1</t>
    </r>
    <r>
      <rPr>
        <sz val="11"/>
        <rFont val="Arial"/>
        <family val="2"/>
      </rPr>
      <t>: -3.999, </t>
    </r>
    <r>
      <rPr>
        <i/>
        <sz val="11"/>
        <rFont val="Arial"/>
        <family val="2"/>
      </rPr>
      <t>side 2</t>
    </r>
    <r>
      <rPr>
        <sz val="11"/>
        <rFont val="Arial"/>
        <family val="2"/>
      </rPr>
      <t>: 4.4872</t>
    </r>
  </si>
  <si>
    <t>07160105_1127</t>
  </si>
  <si>
    <t>07160105_1234</t>
  </si>
  <si>
    <t>07160105_1333</t>
  </si>
  <si>
    <t>no PAS2</t>
  </si>
  <si>
    <t>07160105_1429</t>
  </si>
  <si>
    <t>07160105_1709</t>
  </si>
  <si>
    <t>07160105_1806</t>
  </si>
  <si>
    <t>no phonons</t>
  </si>
  <si>
    <t>07160105_1902</t>
  </si>
  <si>
    <t>07160105_1959</t>
  </si>
  <si>
    <t>07160105_2056</t>
  </si>
  <si>
    <t>07160105_2152</t>
  </si>
  <si>
    <t>07160105_2249</t>
  </si>
  <si>
    <t>07160105_2346</t>
  </si>
  <si>
    <t>07160106_0043</t>
  </si>
  <si>
    <t>07160106_0139</t>
  </si>
  <si>
    <t>07160106_0236</t>
  </si>
  <si>
    <t>07160106_0333</t>
  </si>
  <si>
    <t>07160106_0429</t>
  </si>
  <si>
    <t>07160106_0526</t>
  </si>
  <si>
    <t>07160106_0623</t>
  </si>
  <si>
    <t>07160106_0720</t>
  </si>
  <si>
    <t>07160106_0816</t>
  </si>
  <si>
    <t>07160106_1058</t>
  </si>
  <si>
    <t>double</t>
  </si>
  <si>
    <t>07160106_1155</t>
  </si>
  <si>
    <t>07160106_1736</t>
  </si>
  <si>
    <r>
      <t>side 1</t>
    </r>
    <r>
      <rPr>
        <sz val="11"/>
        <color theme="1"/>
        <rFont val="Arial"/>
        <family val="2"/>
      </rPr>
      <t>: 0, </t>
    </r>
    <r>
      <rPr>
        <i/>
        <sz val="11"/>
        <color theme="1"/>
        <rFont val="Arial"/>
        <family val="2"/>
      </rPr>
      <t>side 2</t>
    </r>
    <r>
      <rPr>
        <sz val="11"/>
        <color theme="1"/>
        <rFont val="Arial"/>
        <family val="2"/>
      </rPr>
      <t>: 0</t>
    </r>
  </si>
  <si>
    <t>07160106_1739</t>
  </si>
  <si>
    <t>07160106_1802</t>
  </si>
  <si>
    <t>88-Y</t>
  </si>
  <si>
    <t>07160106_1840</t>
  </si>
  <si>
    <t>block 3</t>
  </si>
  <si>
    <t>07160106_1936</t>
  </si>
  <si>
    <t>failed</t>
  </si>
  <si>
    <t>07160106_2033</t>
  </si>
  <si>
    <t>07160106_2130</t>
  </si>
  <si>
    <t>07160106_2227</t>
  </si>
  <si>
    <t>07160106_2323</t>
  </si>
  <si>
    <t>07160107_0020</t>
  </si>
  <si>
    <t>07160107_0117</t>
  </si>
  <si>
    <t>07160107_0213</t>
  </si>
  <si>
    <t>07160107_0310</t>
  </si>
  <si>
    <t>07160107_0407</t>
  </si>
  <si>
    <t>07160107_0503</t>
  </si>
  <si>
    <t>07160107_0600</t>
  </si>
  <si>
    <t>07160107_0657</t>
  </si>
  <si>
    <t>07160107_0754</t>
  </si>
  <si>
    <t>07160107_0850</t>
  </si>
  <si>
    <t>07160107_0947</t>
  </si>
  <si>
    <t>07160107_1044</t>
  </si>
  <si>
    <t>07160107_1216</t>
  </si>
  <si>
    <t>07160107_1655</t>
  </si>
  <si>
    <r>
      <t>side 1</t>
    </r>
    <r>
      <rPr>
        <sz val="11"/>
        <color theme="1"/>
        <rFont val="Arial"/>
        <family val="2"/>
      </rPr>
      <t>: 4, </t>
    </r>
    <r>
      <rPr>
        <i/>
        <sz val="11"/>
        <color theme="1"/>
        <rFont val="Arial"/>
        <family val="2"/>
      </rPr>
      <t>side 2</t>
    </r>
    <r>
      <rPr>
        <sz val="11"/>
        <color theme="1"/>
        <rFont val="Arial"/>
        <family val="2"/>
      </rPr>
      <t>: 0</t>
    </r>
  </si>
  <si>
    <t>no PES2</t>
  </si>
  <si>
    <t>07160107_1749</t>
  </si>
  <si>
    <t>07160107_1853</t>
  </si>
  <si>
    <t>07160107_1951</t>
  </si>
  <si>
    <t>side 1: 4.014, side 2: -3.929</t>
  </si>
  <si>
    <t>07160107_2048</t>
  </si>
  <si>
    <t>07160107_2145</t>
  </si>
  <si>
    <t>07160107_2241</t>
  </si>
  <si>
    <t>07160107_2338</t>
  </si>
  <si>
    <t>07160108_0035</t>
  </si>
  <si>
    <t>07160108_0132</t>
  </si>
  <si>
    <t>07160108_0228</t>
  </si>
  <si>
    <t>07160108_0325</t>
  </si>
  <si>
    <t>07160108_0422</t>
  </si>
  <si>
    <t>07160108_0519</t>
  </si>
  <si>
    <t>07160108_0615</t>
  </si>
  <si>
    <t>07160108_0712</t>
  </si>
  <si>
    <t>07160108_0809</t>
  </si>
  <si>
    <t>07160108_2004</t>
  </si>
  <si>
    <t>07160108_2101</t>
  </si>
  <si>
    <t>07160108_2158</t>
  </si>
  <si>
    <t>07160108_2255</t>
  </si>
  <si>
    <t>07160108_2351</t>
  </si>
  <si>
    <t>07160109_0048</t>
  </si>
  <si>
    <t>07160109_0145</t>
  </si>
  <si>
    <t>07160109_0242</t>
  </si>
  <si>
    <t>07160109_0338</t>
  </si>
  <si>
    <t>07160109_0435</t>
  </si>
  <si>
    <t>07160109_0532</t>
  </si>
  <si>
    <t>07160109_0628</t>
  </si>
  <si>
    <t>07160109_0725</t>
  </si>
  <si>
    <t>07160109_0822</t>
  </si>
  <si>
    <t>07160109_0919</t>
  </si>
  <si>
    <t>07160109_1015</t>
  </si>
  <si>
    <t>07160109_1112</t>
  </si>
  <si>
    <t>07160109_1209</t>
  </si>
  <si>
    <t>07160109_1305</t>
  </si>
  <si>
    <t>07160109_1727</t>
  </si>
  <si>
    <t>07160109_1820</t>
  </si>
  <si>
    <t>side 1: 4, side 2: 0</t>
  </si>
  <si>
    <t>07160109_1825</t>
  </si>
  <si>
    <t>07160109_1915</t>
  </si>
  <si>
    <t>07160109_2011</t>
  </si>
  <si>
    <t>07160109_2107</t>
  </si>
  <si>
    <t>07160109_2203</t>
  </si>
  <si>
    <t>07160109_2258</t>
  </si>
  <si>
    <t>07160110_0028</t>
  </si>
  <si>
    <t>side 1: -3.999, side 2: 0</t>
  </si>
  <si>
    <t>no PB/FS2</t>
  </si>
  <si>
    <t>07160110_0125</t>
  </si>
  <si>
    <t>07160110_0222</t>
  </si>
  <si>
    <t>07160110_0318</t>
  </si>
  <si>
    <t>07160110_0415</t>
  </si>
  <si>
    <t>07160110_0512</t>
  </si>
  <si>
    <t>07160110_0609</t>
  </si>
  <si>
    <t>07160110_0705</t>
  </si>
  <si>
    <t>07160110_0802</t>
  </si>
  <si>
    <t>07160110_0859</t>
  </si>
  <si>
    <t>07160110_0956</t>
  </si>
  <si>
    <t>07160110_1052</t>
  </si>
  <si>
    <t>07160110_1149</t>
  </si>
  <si>
    <t>07160110_1246</t>
  </si>
  <si>
    <t>07160110_1412</t>
  </si>
  <si>
    <t>07160110_1449</t>
  </si>
  <si>
    <t>07160110_1545</t>
  </si>
  <si>
    <t>07160110_1642</t>
  </si>
  <si>
    <t>07160110_1739</t>
  </si>
  <si>
    <t>07160110_1835</t>
  </si>
  <si>
    <t>07160110_1932</t>
  </si>
  <si>
    <t>07160110_2028</t>
  </si>
  <si>
    <t>07160110_2125</t>
  </si>
  <si>
    <t>07160110_2222</t>
  </si>
  <si>
    <t>07160110_2318</t>
  </si>
  <si>
    <t>07160111_0015</t>
  </si>
  <si>
    <t>07160111_0112</t>
  </si>
  <si>
    <t>07160111_0208</t>
  </si>
  <si>
    <t>07160111_0305</t>
  </si>
  <si>
    <t>07160111_0402</t>
  </si>
  <si>
    <t>07160111_0458</t>
  </si>
  <si>
    <t>07160111_0555</t>
  </si>
  <si>
    <t>07160111_0652</t>
  </si>
  <si>
    <t>07160111_0749</t>
  </si>
  <si>
    <t>07160111_1107</t>
  </si>
  <si>
    <t>07160111_1203</t>
  </si>
  <si>
    <t>07160111_1300</t>
  </si>
  <si>
    <t>07160111_1357</t>
  </si>
  <si>
    <t>07160111_1707</t>
  </si>
  <si>
    <t>07160111_1804</t>
  </si>
  <si>
    <t>07160111_1901</t>
  </si>
  <si>
    <t>07160111_1958</t>
  </si>
  <si>
    <t>07160111_2054</t>
  </si>
  <si>
    <t>07160111_2151</t>
  </si>
  <si>
    <t>07160111_2248</t>
  </si>
  <si>
    <t>07160111_2345</t>
  </si>
  <si>
    <t>07160112_0042</t>
  </si>
  <si>
    <t>07160112_0138</t>
  </si>
  <si>
    <t>07160112_0235</t>
  </si>
  <si>
    <t>07160112_0332</t>
  </si>
  <si>
    <t>07160112_0429</t>
  </si>
  <si>
    <t>07160112_0526</t>
  </si>
  <si>
    <t>07160112_0622</t>
  </si>
  <si>
    <t>07160112_0719</t>
  </si>
  <si>
    <t>07160112_0816</t>
  </si>
  <si>
    <t>07160112_0913</t>
  </si>
  <si>
    <t>07160112_1220</t>
  </si>
  <si>
    <t>side 1: -3.9987, side 2: 4.4872</t>
  </si>
  <si>
    <t>07160112_1317</t>
  </si>
  <si>
    <t>07160112_1414</t>
  </si>
  <si>
    <t>07160112_1511</t>
  </si>
  <si>
    <t>07160113_1345</t>
  </si>
  <si>
    <t>lev OK</t>
  </si>
  <si>
    <t>07160113_1442</t>
  </si>
  <si>
    <t>07160113_1539</t>
  </si>
  <si>
    <t>07160113_1635</t>
  </si>
  <si>
    <t>07160113_1732</t>
  </si>
  <si>
    <t>07160113_1829</t>
  </si>
  <si>
    <t>07160113_1926</t>
  </si>
  <si>
    <t>07160113_2022</t>
  </si>
  <si>
    <t>07160113_2119</t>
  </si>
  <si>
    <t>07160113_2216</t>
  </si>
  <si>
    <t>07160113_2313</t>
  </si>
  <si>
    <t>07160114_0009</t>
  </si>
  <si>
    <t>07160114_0106</t>
  </si>
  <si>
    <t>07160114_0203</t>
  </si>
  <si>
    <t>07160114_0259</t>
  </si>
  <si>
    <t>07160114_0356</t>
  </si>
  <si>
    <t>07160114_0453</t>
  </si>
  <si>
    <t>07160114_0550</t>
  </si>
  <si>
    <t>07160114_0646</t>
  </si>
  <si>
    <t>07160114_0743</t>
  </si>
  <si>
    <t>07160114_0840</t>
  </si>
  <si>
    <t>07160114_1126</t>
  </si>
  <si>
    <t>07160114_1222</t>
  </si>
  <si>
    <t>07160114_1515</t>
  </si>
  <si>
    <t>07160114_1648</t>
  </si>
  <si>
    <t>07160114_1745</t>
  </si>
  <si>
    <t>07160114_1842</t>
  </si>
  <si>
    <t>07160114_1939</t>
  </si>
  <si>
    <t>07160114_2036</t>
  </si>
  <si>
    <t>07160114_2132</t>
  </si>
  <si>
    <t>07160114_2229</t>
  </si>
  <si>
    <t>07160114_2326</t>
  </si>
  <si>
    <t>07160115_0023</t>
  </si>
  <si>
    <t>07160115_0119</t>
  </si>
  <si>
    <t>07160115_0216</t>
  </si>
  <si>
    <t>07160115_0313</t>
  </si>
  <si>
    <t>07160115_0410</t>
  </si>
  <si>
    <t>07160115_0506</t>
  </si>
  <si>
    <t>07160115_0603</t>
  </si>
  <si>
    <t>07160115_0700</t>
  </si>
  <si>
    <t>07160115_0757</t>
  </si>
  <si>
    <t>07160115_1833</t>
  </si>
  <si>
    <t>07160115_1930</t>
  </si>
  <si>
    <t>07160115_2026</t>
  </si>
  <si>
    <t>07160115_2123</t>
  </si>
  <si>
    <t>07160115_2220</t>
  </si>
  <si>
    <t>07160115_2317</t>
  </si>
  <si>
    <t>07160116_0013</t>
  </si>
  <si>
    <t>07160116_0110</t>
  </si>
  <si>
    <t>07160116_0207</t>
  </si>
  <si>
    <t>07160116_0303</t>
  </si>
  <si>
    <t>07160116_0400</t>
  </si>
  <si>
    <t>07160116_0457</t>
  </si>
  <si>
    <t>07160116_0554</t>
  </si>
  <si>
    <t>07160116_0650</t>
  </si>
  <si>
    <t>07160116_0747</t>
  </si>
  <si>
    <t>07160116_0844</t>
  </si>
  <si>
    <t>07160116_0940</t>
  </si>
  <si>
    <t>07160116_1037</t>
  </si>
  <si>
    <t>07160116_1134</t>
  </si>
  <si>
    <t>no PCS1</t>
  </si>
  <si>
    <t>07160116_1231</t>
  </si>
  <si>
    <t>07160116_1327</t>
  </si>
  <si>
    <t>07160116_1424</t>
  </si>
  <si>
    <t>07160116_1521</t>
  </si>
  <si>
    <t>07160116_1618</t>
  </si>
  <si>
    <t>07160116_1714</t>
  </si>
  <si>
    <t>07160116_1811</t>
  </si>
  <si>
    <t>07160116_1908</t>
  </si>
  <si>
    <t>07160116_2004</t>
  </si>
  <si>
    <t>07160116_2101</t>
  </si>
  <si>
    <t>07160116_2158</t>
  </si>
  <si>
    <t>07160116_2255</t>
  </si>
  <si>
    <t>07160116_2351</t>
  </si>
  <si>
    <t>07160117_0048</t>
  </si>
  <si>
    <t>07160117_0145</t>
  </si>
  <si>
    <t>07160117_0242</t>
  </si>
  <si>
    <t>07160117_0338</t>
  </si>
  <si>
    <t>07160117_0435</t>
  </si>
  <si>
    <t>07160117_0532</t>
  </si>
  <si>
    <t>07160117_0629</t>
  </si>
  <si>
    <t>07160117_1305</t>
  </si>
  <si>
    <t>no filter file</t>
  </si>
  <si>
    <t>07160117_1402</t>
  </si>
  <si>
    <t>07160117_1459</t>
  </si>
  <si>
    <t>07160117_1555</t>
  </si>
  <si>
    <t>07160117_1652</t>
  </si>
  <si>
    <t>07160117_1749</t>
  </si>
  <si>
    <t>07160117_1846</t>
  </si>
  <si>
    <t>07160117_1942</t>
  </si>
  <si>
    <t>07160117_2039</t>
  </si>
  <si>
    <t>07160117_2136</t>
  </si>
  <si>
    <t>07160117_2232</t>
  </si>
  <si>
    <t>07160117_2329</t>
  </si>
  <si>
    <t>07160118_0026</t>
  </si>
  <si>
    <t>07160118_0122</t>
  </si>
  <si>
    <t>07160118_0219</t>
  </si>
  <si>
    <t>07160118_0316</t>
  </si>
  <si>
    <t>07160118_0413</t>
  </si>
  <si>
    <t>07160118_0509</t>
  </si>
  <si>
    <t>07160118_0606</t>
  </si>
  <si>
    <t>07160118_0703</t>
  </si>
  <si>
    <t>07160118_0759</t>
  </si>
  <si>
    <t>07160118_0856</t>
  </si>
  <si>
    <t>07160118_0953</t>
  </si>
  <si>
    <t>07160118_1050</t>
  </si>
  <si>
    <t>07160118_1146</t>
  </si>
  <si>
    <t>07160118_1243</t>
  </si>
  <si>
    <t>07160118_1550</t>
  </si>
  <si>
    <t>ok, PFS2 noisy</t>
  </si>
  <si>
    <t>07160118_1647</t>
  </si>
  <si>
    <t>07160118_1744</t>
  </si>
  <si>
    <t>07160118_1840</t>
  </si>
  <si>
    <t>07160118_1937</t>
  </si>
  <si>
    <t>07160118_2034</t>
  </si>
  <si>
    <t>07160118_2130</t>
  </si>
  <si>
    <t>07160118_2227</t>
  </si>
  <si>
    <t>07160118_2324</t>
  </si>
  <si>
    <t>07160119_0021</t>
  </si>
  <si>
    <t>07160119_0117</t>
  </si>
  <si>
    <t>07160119_0214</t>
  </si>
  <si>
    <t>07160119_0311</t>
  </si>
  <si>
    <t>07160119_0407</t>
  </si>
  <si>
    <t>07160119_0504</t>
  </si>
  <si>
    <t>07160119_0601</t>
  </si>
  <si>
    <t>07160119_0657</t>
  </si>
  <si>
    <t>07160119_1213</t>
  </si>
  <si>
    <t>DIB2 wrong gain</t>
  </si>
  <si>
    <t>07160119_1310</t>
  </si>
  <si>
    <t>07160119_1406</t>
  </si>
  <si>
    <t>07160119_1503</t>
  </si>
  <si>
    <t>07160119_1600</t>
  </si>
  <si>
    <t>07160119_1656</t>
  </si>
  <si>
    <t>07160119_1753</t>
  </si>
  <si>
    <t>07160119_1850</t>
  </si>
  <si>
    <t>07160119_1947</t>
  </si>
  <si>
    <t>07160119_2043</t>
  </si>
  <si>
    <t>07160119_2140</t>
  </si>
  <si>
    <t>07160119_2237</t>
  </si>
  <si>
    <t>07160119_2333</t>
  </si>
  <si>
    <t>07160120_1009</t>
  </si>
  <si>
    <t>07160120_1107</t>
  </si>
  <si>
    <t>07160120_1722</t>
  </si>
  <si>
    <t>07160120_1819</t>
  </si>
  <si>
    <t>07160120_1916</t>
  </si>
  <si>
    <t>07160120_2013</t>
  </si>
  <si>
    <t>07160120_2110</t>
  </si>
  <si>
    <t>07160120_2207</t>
  </si>
  <si>
    <t>07160120_2303</t>
  </si>
  <si>
    <t>07160121_0000</t>
  </si>
  <si>
    <t>07160121_0057</t>
  </si>
  <si>
    <t>07160121_0154</t>
  </si>
  <si>
    <t>07160121_0250</t>
  </si>
  <si>
    <t>07160121_0347</t>
  </si>
  <si>
    <t>07160121_0444</t>
  </si>
  <si>
    <t>07160121_0540</t>
  </si>
  <si>
    <t>07160121_0637</t>
  </si>
  <si>
    <t>07160121_0734</t>
  </si>
  <si>
    <t>07160121_0830</t>
  </si>
  <si>
    <t>07160121_0927</t>
  </si>
  <si>
    <t>07160121_1158</t>
  </si>
  <si>
    <t>07160121_1319</t>
  </si>
  <si>
    <t>07160122_1441</t>
  </si>
  <si>
    <t>07160122_1736</t>
  </si>
  <si>
    <t>Y-Be</t>
  </si>
  <si>
    <t>Ybe box outside of lead shield, 1 Be target</t>
  </si>
  <si>
    <t>07160122_1833</t>
  </si>
  <si>
    <t>07160122_1930</t>
  </si>
  <si>
    <t>07160122_2027</t>
  </si>
  <si>
    <t>07160122_2123</t>
  </si>
  <si>
    <t>07160122_2220</t>
  </si>
  <si>
    <t>07160122_2317</t>
  </si>
  <si>
    <t>07160123_0013</t>
  </si>
  <si>
    <t>07160123_0110</t>
  </si>
  <si>
    <t>07160123_0207</t>
  </si>
  <si>
    <t>07160123_0303</t>
  </si>
  <si>
    <t>07160123_0400</t>
  </si>
  <si>
    <t>07160123_0457</t>
  </si>
  <si>
    <t>07160123_0554</t>
  </si>
  <si>
    <t>07160123_0650</t>
  </si>
  <si>
    <t>07160123_0747</t>
  </si>
  <si>
    <t>07160123_0844</t>
  </si>
  <si>
    <t>07160123_0940</t>
  </si>
  <si>
    <t>07160123_1037</t>
  </si>
  <si>
    <t>07160123_1134</t>
  </si>
  <si>
    <t>07160123_1230</t>
  </si>
  <si>
    <t>07160123_1325</t>
  </si>
  <si>
    <t>07160123_1421</t>
  </si>
  <si>
    <t>07160123_1858</t>
  </si>
  <si>
    <t>07160123_1955</t>
  </si>
  <si>
    <t>07160123_2052</t>
  </si>
  <si>
    <t>07160123_2149</t>
  </si>
  <si>
    <t>07160123_2246</t>
  </si>
  <si>
    <t>07160123_2342</t>
  </si>
  <si>
    <t>07160124_0039</t>
  </si>
  <si>
    <t>07160124_0136</t>
  </si>
  <si>
    <t>07160124_0233</t>
  </si>
  <si>
    <t>07160124_0330</t>
  </si>
  <si>
    <t>07160124_0427</t>
  </si>
  <si>
    <t>07160124_0524</t>
  </si>
  <si>
    <t>07160124_0620</t>
  </si>
  <si>
    <t>07160124_0717</t>
  </si>
  <si>
    <t>07160124_0814</t>
  </si>
  <si>
    <t>07160124_0911</t>
  </si>
  <si>
    <t>07160124_1007</t>
  </si>
  <si>
    <t>07160124_1428</t>
  </si>
  <si>
    <t>07160124_1525</t>
  </si>
  <si>
    <t>not processed</t>
  </si>
  <si>
    <t>07160124_1622</t>
  </si>
  <si>
    <t>07160124_1718</t>
  </si>
  <si>
    <t>07160124_1815</t>
  </si>
  <si>
    <t>07160124_1912</t>
  </si>
  <si>
    <t>07160124_2009</t>
  </si>
  <si>
    <t>07160124_2105</t>
  </si>
  <si>
    <t>07160124_2202</t>
  </si>
  <si>
    <t>07160124_2259</t>
  </si>
  <si>
    <t>07160124_2356</t>
  </si>
  <si>
    <t>07160125_0052</t>
  </si>
  <si>
    <t>07160125_0149</t>
  </si>
  <si>
    <t>07160125_0246</t>
  </si>
  <si>
    <t>07160125_0343</t>
  </si>
  <si>
    <t>07160125_0439</t>
  </si>
  <si>
    <t>07160125_0536</t>
  </si>
  <si>
    <t>07160125_0633</t>
  </si>
  <si>
    <t>07160125_0730</t>
  </si>
  <si>
    <t>07160125_0826</t>
  </si>
  <si>
    <t>07160125_1537</t>
  </si>
  <si>
    <t>ba</t>
  </si>
  <si>
    <t>07160125_1738</t>
  </si>
  <si>
    <t>6 Be targets</t>
  </si>
  <si>
    <t>07160125_1835</t>
  </si>
  <si>
    <t>07160125_1934</t>
  </si>
  <si>
    <t>07160125_2031</t>
  </si>
  <si>
    <t>07160125_2129</t>
  </si>
  <si>
    <t>07160125_2226</t>
  </si>
  <si>
    <t>07160125_2323</t>
  </si>
  <si>
    <t>07160126_0020</t>
  </si>
  <si>
    <t>07160126_0118</t>
  </si>
  <si>
    <t>07160126_0215</t>
  </si>
  <si>
    <t>07160126_0311</t>
  </si>
  <si>
    <t>07160126_0408</t>
  </si>
  <si>
    <t>07160126_0505</t>
  </si>
  <si>
    <t>07160126_0602</t>
  </si>
  <si>
    <t>07160126_0659</t>
  </si>
  <si>
    <t>07160126_0756</t>
  </si>
  <si>
    <t>07160126_1432</t>
  </si>
  <si>
    <t>07160126_1529</t>
  </si>
  <si>
    <t>07160126_1813</t>
  </si>
  <si>
    <t>07160126_1910</t>
  </si>
  <si>
    <t>07160126_2006</t>
  </si>
  <si>
    <t>07160126_2103</t>
  </si>
  <si>
    <t>07160127_1026</t>
  </si>
  <si>
    <t>no PB/ES2</t>
  </si>
  <si>
    <t>07160127_1123</t>
  </si>
  <si>
    <t>07160127_1220</t>
  </si>
  <si>
    <t>07160127_1718</t>
  </si>
  <si>
    <t>Y-Be box at cryostat, trig thresh reduced</t>
  </si>
  <si>
    <t>07160127_1814</t>
  </si>
  <si>
    <t>07160127_1911</t>
  </si>
  <si>
    <t>07160127_2007</t>
  </si>
  <si>
    <t>07160127_2104</t>
  </si>
  <si>
    <t>07160127_2201</t>
  </si>
  <si>
    <t>07160127_2257</t>
  </si>
  <si>
    <t>07160127_2354</t>
  </si>
  <si>
    <t>07160128_0051</t>
  </si>
  <si>
    <t>07160128_0147</t>
  </si>
  <si>
    <t>07160128_0244</t>
  </si>
  <si>
    <t>07160128_0341</t>
  </si>
  <si>
    <t>07160128_0437</t>
  </si>
  <si>
    <t>07160128_0534</t>
  </si>
  <si>
    <t>07160128_0631</t>
  </si>
  <si>
    <t>07160128_0727</t>
  </si>
  <si>
    <t>07160128_1038</t>
  </si>
  <si>
    <t>07160128_1551</t>
  </si>
  <si>
    <t>07160128_1722</t>
  </si>
  <si>
    <t>07160128_1818</t>
  </si>
  <si>
    <t>07160130_1502</t>
  </si>
  <si>
    <t>hi low-f noise</t>
  </si>
  <si>
    <t>07160130_1518</t>
  </si>
  <si>
    <t>07160130_1824</t>
  </si>
  <si>
    <t>07160130_1902</t>
  </si>
  <si>
    <t>07160130_1906</t>
  </si>
  <si>
    <t>07160130_1913</t>
  </si>
  <si>
    <t>07160130_2004</t>
  </si>
  <si>
    <t>07160130_2005</t>
  </si>
  <si>
    <t>07160130_2012</t>
  </si>
  <si>
    <t>07160130_2022</t>
  </si>
  <si>
    <t>07160130_2025</t>
  </si>
  <si>
    <t>07160130_2042</t>
  </si>
  <si>
    <t>07160130_2136</t>
  </si>
  <si>
    <t>07160130_2137</t>
  </si>
  <si>
    <t>07160130_2143</t>
  </si>
  <si>
    <t>07160130_2149</t>
  </si>
  <si>
    <t>07160130_2150</t>
  </si>
  <si>
    <t>07160130_2151</t>
  </si>
  <si>
    <t>07160130_2153</t>
  </si>
  <si>
    <t>07160130_2154</t>
  </si>
  <si>
    <t>07160130_2155</t>
  </si>
  <si>
    <t>07160130_2156</t>
  </si>
  <si>
    <t>07160130_2157</t>
  </si>
  <si>
    <t>07160130_2200</t>
  </si>
  <si>
    <t>07160130_2208</t>
  </si>
  <si>
    <t>07160130_2212</t>
  </si>
  <si>
    <t>07160130_2217</t>
  </si>
  <si>
    <t>07160130_2222</t>
  </si>
  <si>
    <t>07160130_2236</t>
  </si>
  <si>
    <t>07160130_2245</t>
  </si>
  <si>
    <t>07160130_2317</t>
  </si>
  <si>
    <t>Y-Be_test</t>
  </si>
  <si>
    <t>07160131_0013</t>
  </si>
  <si>
    <t>07160131_0110</t>
  </si>
  <si>
    <t>07160131_0206</t>
  </si>
  <si>
    <t>07160131_0303</t>
  </si>
  <si>
    <t>07160131_0359</t>
  </si>
  <si>
    <t>07160131_0456</t>
  </si>
  <si>
    <t>07160131_0552</t>
  </si>
  <si>
    <t>07160131_0649</t>
  </si>
  <si>
    <t>07160131_1048</t>
  </si>
  <si>
    <t>07160131_1101</t>
  </si>
  <si>
    <t>07160131_1114</t>
  </si>
  <si>
    <t>lev BAD</t>
  </si>
  <si>
    <t>07160131_1151</t>
  </si>
  <si>
    <t>07160131_1248</t>
  </si>
  <si>
    <t>07160131_1345</t>
  </si>
  <si>
    <t>07160131_1441</t>
  </si>
  <si>
    <t>07160131_1538</t>
  </si>
  <si>
    <t>07160131_1634</t>
  </si>
  <si>
    <t>07160131_1731</t>
  </si>
  <si>
    <t>07160131_1828</t>
  </si>
  <si>
    <t>07160131_1924</t>
  </si>
  <si>
    <t>07160131_2021</t>
  </si>
  <si>
    <t>07160131_2117</t>
  </si>
  <si>
    <t>07160131_2214</t>
  </si>
  <si>
    <t>07160131_2311</t>
  </si>
  <si>
    <t>07160201_0007</t>
  </si>
  <si>
    <t>07160201_0104</t>
  </si>
  <si>
    <t>07160201_0200</t>
  </si>
  <si>
    <t>07160201_0257</t>
  </si>
  <si>
    <t>07160201_0353</t>
  </si>
  <si>
    <t>07160201_0450</t>
  </si>
  <si>
    <t>07160201_0547</t>
  </si>
  <si>
    <t>07160201_0643</t>
  </si>
  <si>
    <t>07160201_0740</t>
  </si>
  <si>
    <t>07160201_1249</t>
  </si>
  <si>
    <t>07160201_1527</t>
  </si>
  <si>
    <t>07160201_1803</t>
  </si>
  <si>
    <t>07160201_1900</t>
  </si>
  <si>
    <t>07160201_1956</t>
  </si>
  <si>
    <t>07160201_2053</t>
  </si>
  <si>
    <t>07160201_2150</t>
  </si>
  <si>
    <t>07160201_2246</t>
  </si>
  <si>
    <t>07160201_2343</t>
  </si>
  <si>
    <t>07160202_0040</t>
  </si>
  <si>
    <t>07160202_0136</t>
  </si>
  <si>
    <t>07160202_0233</t>
  </si>
  <si>
    <t>07160202_0330</t>
  </si>
  <si>
    <t>07160202_0427</t>
  </si>
  <si>
    <t>07160202_0523</t>
  </si>
  <si>
    <t>07160202_0620</t>
  </si>
  <si>
    <t>07160202_0717</t>
  </si>
  <si>
    <t>07160202_1052</t>
  </si>
  <si>
    <t>07160202_1136</t>
  </si>
  <si>
    <t>07160202_1140</t>
  </si>
  <si>
    <t>07160202_1143</t>
  </si>
  <si>
    <t>07160202_1205</t>
  </si>
  <si>
    <t>07160202_1221</t>
  </si>
  <si>
    <t>07160202_1328</t>
  </si>
  <si>
    <t>07160202_1443</t>
  </si>
  <si>
    <t>07160202_1543</t>
  </si>
  <si>
    <t>07160202_1545</t>
  </si>
  <si>
    <t>07160202_1745</t>
  </si>
  <si>
    <t>07160202_1749</t>
  </si>
  <si>
    <t>07160202_1758</t>
  </si>
  <si>
    <t>07160202_1833</t>
  </si>
  <si>
    <t>07160202_1930</t>
  </si>
  <si>
    <t>07160202_2027</t>
  </si>
  <si>
    <t>07160202_2124</t>
  </si>
  <si>
    <t>07160202_2220</t>
  </si>
  <si>
    <t>07160202_2317</t>
  </si>
  <si>
    <t>07160203_0014</t>
  </si>
  <si>
    <t>07160203_0111</t>
  </si>
  <si>
    <t>07160203_0207</t>
  </si>
  <si>
    <t>07160203_0304</t>
  </si>
  <si>
    <t>07160203_0401</t>
  </si>
  <si>
    <t>07160203_0458</t>
  </si>
  <si>
    <t>07160203_0554</t>
  </si>
  <si>
    <t>07160203_0651</t>
  </si>
  <si>
    <t>07160203_0748</t>
  </si>
  <si>
    <t>07160203_1036</t>
  </si>
  <si>
    <t>07160203_1252</t>
  </si>
  <si>
    <t>07160203_1411</t>
  </si>
  <si>
    <t>07160203_1450</t>
  </si>
  <si>
    <t>07160203_1714</t>
  </si>
  <si>
    <t>first Y-Be set with wide high-energy rejection</t>
  </si>
  <si>
    <t>07160203_1811</t>
  </si>
  <si>
    <t>07160203_1907</t>
  </si>
  <si>
    <t>07160203_2004</t>
  </si>
  <si>
    <t>07160203_2101</t>
  </si>
  <si>
    <t>07160203_2158</t>
  </si>
  <si>
    <t>07160203_2254</t>
  </si>
  <si>
    <t>07160203_2351</t>
  </si>
  <si>
    <t>07160204_0048</t>
  </si>
  <si>
    <t>07160204_0144</t>
  </si>
  <si>
    <t>07160204_0241</t>
  </si>
  <si>
    <t>07160204_0338</t>
  </si>
  <si>
    <t>07160204_0434</t>
  </si>
  <si>
    <t>07160204_0531</t>
  </si>
  <si>
    <t>07160204_0628</t>
  </si>
  <si>
    <t>noisy</t>
  </si>
  <si>
    <t>07160204_0724</t>
  </si>
  <si>
    <t>07160204_0959</t>
  </si>
  <si>
    <t>low-high 20/210/150</t>
  </si>
  <si>
    <t>07160204_1121</t>
  </si>
  <si>
    <t>low-high 20/315/100</t>
  </si>
  <si>
    <t>07160204_1249</t>
  </si>
  <si>
    <t>low only, 20</t>
  </si>
  <si>
    <t>07160204_1500</t>
  </si>
  <si>
    <t>07160204_1836</t>
  </si>
  <si>
    <t>low-high 20/105/150</t>
  </si>
  <si>
    <t>07160204_1933</t>
  </si>
  <si>
    <t>07160204_2029</t>
  </si>
  <si>
    <t>07160204_2126</t>
  </si>
  <si>
    <t>07160204_2223</t>
  </si>
  <si>
    <t>07160204_2319</t>
  </si>
  <si>
    <t>07160205_0016</t>
  </si>
  <si>
    <t>07160205_0113</t>
  </si>
  <si>
    <t>07160205_0210</t>
  </si>
  <si>
    <t>07160205_0306</t>
  </si>
  <si>
    <t>07160205_0403</t>
  </si>
  <si>
    <t>07160205_0500</t>
  </si>
  <si>
    <t>07160205_0556</t>
  </si>
  <si>
    <t>07160205_0653</t>
  </si>
  <si>
    <t>07160205_0750</t>
  </si>
  <si>
    <t>07160205_1233</t>
  </si>
  <si>
    <t>07160205_1357</t>
  </si>
  <si>
    <t>low-high 20/210/150 (no Be bg check)</t>
  </si>
  <si>
    <t>07160205_1636</t>
  </si>
  <si>
    <t>07160205_1733</t>
  </si>
  <si>
    <t>07160205_1830</t>
  </si>
  <si>
    <t>07160205_1927</t>
  </si>
  <si>
    <t>07160205_2023</t>
  </si>
  <si>
    <t>07160205_2120</t>
  </si>
  <si>
    <t>07160206_0951</t>
  </si>
  <si>
    <t>07160206_1048</t>
  </si>
  <si>
    <t>07160206_1145</t>
  </si>
  <si>
    <t>07160206_1241</t>
  </si>
  <si>
    <t>07160206_1338</t>
  </si>
  <si>
    <t>07160206_1526</t>
  </si>
  <si>
    <t>07160206_1623</t>
  </si>
  <si>
    <t>07160206_1720</t>
  </si>
  <si>
    <t>07160206_1816</t>
  </si>
  <si>
    <t>07160206_1913</t>
  </si>
  <si>
    <t>07160206_2010</t>
  </si>
  <si>
    <t>07160206_2108</t>
  </si>
  <si>
    <t>07160207_1257</t>
  </si>
  <si>
    <t>07160207_1353</t>
  </si>
  <si>
    <t>07160207_1450</t>
  </si>
  <si>
    <t>07160207_1547</t>
  </si>
  <si>
    <t>07160207_1644</t>
  </si>
  <si>
    <t>07160207_1740</t>
  </si>
  <si>
    <t>07160207_1837</t>
  </si>
  <si>
    <t>07160207_1933</t>
  </si>
  <si>
    <t>07160207_2030</t>
  </si>
  <si>
    <t>07160207_2127</t>
  </si>
  <si>
    <t>07160207_2223</t>
  </si>
  <si>
    <t>07160207_2320</t>
  </si>
  <si>
    <t>07160208_0017</t>
  </si>
  <si>
    <t>07160208_0114</t>
  </si>
  <si>
    <t>07160208_0210</t>
  </si>
  <si>
    <t>07160208_0307</t>
  </si>
  <si>
    <t>07160208_0403</t>
  </si>
  <si>
    <t>07160208_0500</t>
  </si>
  <si>
    <t>07160208_0557</t>
  </si>
  <si>
    <t>07160208_0653</t>
  </si>
  <si>
    <t>07160208_0750</t>
  </si>
  <si>
    <t>07160208_0938</t>
  </si>
  <si>
    <t>standard setup</t>
  </si>
  <si>
    <t>07160208_1017</t>
  </si>
  <si>
    <t>no-filter DIB1</t>
  </si>
  <si>
    <t>07160208_1352</t>
  </si>
  <si>
    <t>pi-filter board DIB1 all off, no shield</t>
  </si>
  <si>
    <t>07160208_1411</t>
  </si>
  <si>
    <t>some railed</t>
  </si>
  <si>
    <t>pi-filter board DIB1 all on, no shield</t>
  </si>
  <si>
    <t>07160208_1535</t>
  </si>
  <si>
    <t>pi-filter board DIB1 all on</t>
  </si>
  <si>
    <t>07160208_1754</t>
  </si>
  <si>
    <t>07160208_1851</t>
  </si>
  <si>
    <t>07160208_1948</t>
  </si>
  <si>
    <t>07160208_2044</t>
  </si>
  <si>
    <t>07160208_2141</t>
  </si>
  <si>
    <t>07160208_2238</t>
  </si>
  <si>
    <t>07160208_2334</t>
  </si>
  <si>
    <t>07160209_0031</t>
  </si>
  <si>
    <t>07160209_0128</t>
  </si>
  <si>
    <t>07160209_0225</t>
  </si>
  <si>
    <t>07160209_0321</t>
  </si>
  <si>
    <t>07160209_0418</t>
  </si>
  <si>
    <t>07160209_0515</t>
  </si>
  <si>
    <t>07160209_0611</t>
  </si>
  <si>
    <t>07160209_0708</t>
  </si>
  <si>
    <t>07160209_0805</t>
  </si>
  <si>
    <t>07160209_0902</t>
  </si>
  <si>
    <t>07160209_0959</t>
  </si>
  <si>
    <t>07160209_1203</t>
  </si>
  <si>
    <t>07160209_1309</t>
  </si>
  <si>
    <t>pi-filter board DIB1 all off</t>
  </si>
  <si>
    <t>07160209_1355</t>
  </si>
  <si>
    <t>PAS1 railed</t>
  </si>
  <si>
    <t>pi-filter board DIB1 pA-related switches on</t>
  </si>
  <si>
    <t>07160209_1516</t>
  </si>
  <si>
    <t>bg in standard lo-hi 20/210/150</t>
  </si>
  <si>
    <t>07160209_1537</t>
  </si>
  <si>
    <t>bg in standard lo 20</t>
  </si>
  <si>
    <t>07160210_0940</t>
  </si>
  <si>
    <t>bg in lo 20 with qpre=250</t>
  </si>
  <si>
    <t>07160210_0957</t>
  </si>
  <si>
    <t>bg in lo-hi 20/210/150 with qpre=250</t>
  </si>
  <si>
    <t>07160210_1812</t>
  </si>
  <si>
    <t>07160210_1909</t>
  </si>
  <si>
    <t>07160210_2006</t>
  </si>
  <si>
    <t>07160210_2103</t>
  </si>
  <si>
    <t>07160210_2159</t>
  </si>
  <si>
    <t>07160210_2257</t>
  </si>
  <si>
    <t>07160210_2354</t>
  </si>
  <si>
    <t>07160211_0050</t>
  </si>
  <si>
    <t>07160211_0147</t>
  </si>
  <si>
    <t>07160211_0244</t>
  </si>
  <si>
    <t>07160211_0341</t>
  </si>
  <si>
    <t>07160211_0437</t>
  </si>
  <si>
    <t>07160211_0534</t>
  </si>
  <si>
    <t>07160211_0631</t>
  </si>
  <si>
    <t>07160211_0728</t>
  </si>
  <si>
    <t>07160211_1129</t>
  </si>
  <si>
    <t>07160211_1220</t>
  </si>
  <si>
    <t>pi-filter board DIB1 p-related switches on, no shield</t>
  </si>
  <si>
    <t>07160211_1242</t>
  </si>
  <si>
    <t>pi-filter board DIB1 p-related switches on</t>
  </si>
  <si>
    <t>07160211_1542</t>
  </si>
  <si>
    <t>pi-filter board DIB1 p&amp;q-related switches on</t>
  </si>
  <si>
    <t>07160211_1819</t>
  </si>
  <si>
    <t>07160211_1916</t>
  </si>
  <si>
    <t>07160211_2013</t>
  </si>
  <si>
    <t>07160211_2109</t>
  </si>
  <si>
    <t>07160211_2206</t>
  </si>
  <si>
    <t>07160211_2303</t>
  </si>
  <si>
    <t>07160212_0000</t>
  </si>
  <si>
    <t>07160212_0056</t>
  </si>
  <si>
    <t>07160212_0153</t>
  </si>
  <si>
    <t>07160212_0250</t>
  </si>
  <si>
    <t>07160212_0346</t>
  </si>
  <si>
    <t>07160212_0443</t>
  </si>
  <si>
    <t>07160212_0540</t>
  </si>
  <si>
    <t>07160212_0636</t>
  </si>
  <si>
    <t>07160212_0733</t>
  </si>
  <si>
    <t>07160212_1153</t>
  </si>
  <si>
    <t>07160212_1238</t>
  </si>
  <si>
    <t>pi-filter board DIB1 all filtered</t>
  </si>
  <si>
    <t>07160212_1309</t>
  </si>
  <si>
    <t>pi-filter board DIB1 all unfiltered</t>
  </si>
  <si>
    <t>07160212_1615</t>
  </si>
  <si>
    <t>pi-filter board DIB1 q-related filtered</t>
  </si>
  <si>
    <t>07160212_1807</t>
  </si>
  <si>
    <t>07160212_1904</t>
  </si>
  <si>
    <t>07160212_2001</t>
  </si>
  <si>
    <t>07160212_2057</t>
  </si>
  <si>
    <t>07160212_2154</t>
  </si>
  <si>
    <t>07160212_2251</t>
  </si>
  <si>
    <t>07160212_2347</t>
  </si>
  <si>
    <t>07160213_0044</t>
  </si>
  <si>
    <t>07160213_0141</t>
  </si>
  <si>
    <t>07160213_0238</t>
  </si>
  <si>
    <t>07160213_0335</t>
  </si>
  <si>
    <t>07160213_0431</t>
  </si>
  <si>
    <t>07160213_0528</t>
  </si>
  <si>
    <t>07160213_0625</t>
  </si>
  <si>
    <t>07160213_0721</t>
  </si>
  <si>
    <t>07160213_0818</t>
  </si>
  <si>
    <t>07160213_0915</t>
  </si>
  <si>
    <t>07160213_1012</t>
  </si>
  <si>
    <t>07160213_1108</t>
  </si>
  <si>
    <t>07160213_1205</t>
  </si>
  <si>
    <t>07160213_1302</t>
  </si>
  <si>
    <t>07160213_1359</t>
  </si>
  <si>
    <t>07160213_1456</t>
  </si>
  <si>
    <t>07160213_1552</t>
  </si>
  <si>
    <t>07160213_1649</t>
  </si>
  <si>
    <t>07160213_1746</t>
  </si>
  <si>
    <t>07160213_1842</t>
  </si>
  <si>
    <t>07160213_1939</t>
  </si>
  <si>
    <t>07160213_2036</t>
  </si>
  <si>
    <t>07160213_2133</t>
  </si>
  <si>
    <t>07160213_2230</t>
  </si>
  <si>
    <t>07160213_2326</t>
  </si>
  <si>
    <t>07160214_0023</t>
  </si>
  <si>
    <t>07160214_0120</t>
  </si>
  <si>
    <t>07160214_0217</t>
  </si>
  <si>
    <t>07160214_0313</t>
  </si>
  <si>
    <t>07160214_0410</t>
  </si>
  <si>
    <t>07160214_0507</t>
  </si>
  <si>
    <t>07160214_0604</t>
  </si>
  <si>
    <t>07160214_0700</t>
  </si>
  <si>
    <t>07160214_0757</t>
  </si>
  <si>
    <t>07160214_0854</t>
  </si>
  <si>
    <t>07160214_0951</t>
  </si>
  <si>
    <t>07160214_1048</t>
  </si>
  <si>
    <t>07160214_1145</t>
  </si>
  <si>
    <t>07160214_1443</t>
  </si>
  <si>
    <t>07160214_1637</t>
  </si>
  <si>
    <t>07160214_1733</t>
  </si>
  <si>
    <t>07160214_1830</t>
  </si>
  <si>
    <t>07160214_1927</t>
  </si>
  <si>
    <t>07160214_2024</t>
  </si>
  <si>
    <t>07160214_2121</t>
  </si>
  <si>
    <t>07160214_2217</t>
  </si>
  <si>
    <t>07160214_2314</t>
  </si>
  <si>
    <t>07160215_0011</t>
  </si>
  <si>
    <t>07160215_0108</t>
  </si>
  <si>
    <t>07160215_0205</t>
  </si>
  <si>
    <t>07160215_0301</t>
  </si>
  <si>
    <t>07160215_0358</t>
  </si>
  <si>
    <t>07160215_0455</t>
  </si>
  <si>
    <t>07160215_0552</t>
  </si>
  <si>
    <t>07160215_0648</t>
  </si>
  <si>
    <t>07160215_0745</t>
  </si>
  <si>
    <t>07160215_1024</t>
  </si>
  <si>
    <t>07160215_1259</t>
  </si>
  <si>
    <t>07160215_1325</t>
  </si>
  <si>
    <t>07160215_1407</t>
  </si>
  <si>
    <t>pi-filter board DIB3 all unfiltered</t>
  </si>
  <si>
    <t>07160215_1452</t>
  </si>
  <si>
    <t>pi-filter board DIB3 all filtered</t>
  </si>
  <si>
    <t>07160215_1725</t>
  </si>
  <si>
    <t>07160215_1821</t>
  </si>
  <si>
    <t>07160215_1918</t>
  </si>
  <si>
    <t>07160215_2014</t>
  </si>
  <si>
    <t>07160215_2110</t>
  </si>
  <si>
    <t>07160215_2207</t>
  </si>
  <si>
    <t>07160215_2303</t>
  </si>
  <si>
    <t>07160215_2359</t>
  </si>
  <si>
    <t>07160216_0056</t>
  </si>
  <si>
    <t>07160216_0152</t>
  </si>
  <si>
    <t>07160216_0249</t>
  </si>
  <si>
    <t>07160216_0345</t>
  </si>
  <si>
    <t>07160216_0441</t>
  </si>
  <si>
    <t>07160216_0538</t>
  </si>
  <si>
    <t>07160216_0634</t>
  </si>
  <si>
    <t>07160216_0731</t>
  </si>
  <si>
    <t>07160216_0843</t>
  </si>
  <si>
    <t>07160216_0902</t>
  </si>
  <si>
    <t>07160216_0909</t>
  </si>
  <si>
    <t>07160216_0916</t>
  </si>
  <si>
    <t>no PBS1, PCS2, PES2</t>
  </si>
  <si>
    <t>07160216_1113</t>
  </si>
  <si>
    <t>07160216_1126</t>
  </si>
  <si>
    <t>07160216_1132</t>
  </si>
  <si>
    <t>07160216_1144</t>
  </si>
  <si>
    <t>07160216_1154</t>
  </si>
  <si>
    <t>07160216_1201</t>
  </si>
  <si>
    <t>07160216_1309</t>
  </si>
  <si>
    <t>07160216_1458</t>
  </si>
  <si>
    <t>pi-filter board DIB3 all p filtered</t>
  </si>
  <si>
    <t>07160216_1602</t>
  </si>
  <si>
    <t>pi-filter board DIB3 all q filtered</t>
  </si>
  <si>
    <t>07160216_1801</t>
  </si>
  <si>
    <t>07160216_1858</t>
  </si>
  <si>
    <t>07160216_1955</t>
  </si>
  <si>
    <t>07160216_2051</t>
  </si>
  <si>
    <t>07160216_2148</t>
  </si>
  <si>
    <t>07160216_2244</t>
  </si>
  <si>
    <t>07160216_2341</t>
  </si>
  <si>
    <t>07160217_0038</t>
  </si>
  <si>
    <t>07160217_0134</t>
  </si>
  <si>
    <t>07160217_0231</t>
  </si>
  <si>
    <t>07160217_0327</t>
  </si>
  <si>
    <t>07160217_0424</t>
  </si>
  <si>
    <t>07160217_0521</t>
  </si>
  <si>
    <t>07160217_0617</t>
  </si>
  <si>
    <t>07160217_0714</t>
  </si>
  <si>
    <t>07160217_1127</t>
  </si>
  <si>
    <t>07160217_1240</t>
  </si>
  <si>
    <t>07160217_1255</t>
  </si>
  <si>
    <t>07160217_1349</t>
  </si>
  <si>
    <t>07160217_1409</t>
  </si>
  <si>
    <t>07160217_1433</t>
  </si>
  <si>
    <t>07160217_1522</t>
  </si>
  <si>
    <t>07160217_1730</t>
  </si>
  <si>
    <t>07160217_1833</t>
  </si>
  <si>
    <t>07160217_1929</t>
  </si>
  <si>
    <t>07160217_2026</t>
  </si>
  <si>
    <t>07160217_2123</t>
  </si>
  <si>
    <t>07160217_2219</t>
  </si>
  <si>
    <t>07160217_2316</t>
  </si>
  <si>
    <t>07160218_0013</t>
  </si>
  <si>
    <t>07160218_0109</t>
  </si>
  <si>
    <t>07160218_0206</t>
  </si>
  <si>
    <t>07160218_0303</t>
  </si>
  <si>
    <t>no PBS2, PCS2, PFS2</t>
  </si>
  <si>
    <t>07160218_0359</t>
  </si>
  <si>
    <t>07160218_0456</t>
  </si>
  <si>
    <t>07160218_0552</t>
  </si>
  <si>
    <t>07160218_0649</t>
  </si>
  <si>
    <t>07160218_0746</t>
  </si>
  <si>
    <t>07160218_1245</t>
  </si>
  <si>
    <t>07160218_1358</t>
  </si>
  <si>
    <t>pi-filter board DIB3 all pB filtered</t>
  </si>
  <si>
    <t>07160218_1455</t>
  </si>
  <si>
    <t>pi-filter board DIB3 all pB-QET filtered</t>
  </si>
  <si>
    <t>07160218_1519</t>
  </si>
  <si>
    <t>pi-filter board DIB3 all pB-SQUID&amp;FB filtered</t>
  </si>
  <si>
    <t>07160218_1711</t>
  </si>
  <si>
    <t>07160218_1807</t>
  </si>
  <si>
    <t>07160218_1904</t>
  </si>
  <si>
    <t>07160218_2001</t>
  </si>
  <si>
    <t>07160218_2057</t>
  </si>
  <si>
    <t>07160218_2154</t>
  </si>
  <si>
    <t>07160218_2250</t>
  </si>
  <si>
    <t>07160218_2347</t>
  </si>
  <si>
    <t>07160219_0044</t>
  </si>
  <si>
    <t>07160219_0140</t>
  </si>
  <si>
    <t>07160219_0237</t>
  </si>
  <si>
    <t>07160219_0334</t>
  </si>
  <si>
    <t>07160219_0430</t>
  </si>
  <si>
    <t>07160219_0527</t>
  </si>
  <si>
    <t>07160219_0624</t>
  </si>
  <si>
    <t>07160219_0720</t>
  </si>
  <si>
    <t>07160219_1306</t>
  </si>
  <si>
    <t>07160219_1313</t>
  </si>
  <si>
    <t>only DIB1 powered</t>
  </si>
  <si>
    <t>07160219_1344</t>
  </si>
  <si>
    <t>07160219_1351</t>
  </si>
  <si>
    <t>07160219_1514</t>
  </si>
  <si>
    <t>pi-filter board DIB2 all filtered</t>
  </si>
  <si>
    <t>07160219_1545</t>
  </si>
  <si>
    <t>pi-filter board DIB2 all unfiltered</t>
  </si>
  <si>
    <t>07160219_1704</t>
  </si>
  <si>
    <t>pi-filter board DIB2 all p filtered</t>
  </si>
  <si>
    <t>07160219_1758</t>
  </si>
  <si>
    <t>07160219_1820</t>
  </si>
  <si>
    <t>07160219_1937</t>
  </si>
  <si>
    <t>07160219_2056</t>
  </si>
  <si>
    <t>07160219_2153</t>
  </si>
  <si>
    <t>07160219_2250</t>
  </si>
  <si>
    <t>07160219_2346</t>
  </si>
  <si>
    <t>07160220_0043</t>
  </si>
  <si>
    <t>07160220_0140</t>
  </si>
  <si>
    <t>07160220_0236</t>
  </si>
  <si>
    <t>07160220_0333</t>
  </si>
  <si>
    <t>07160220_0430</t>
  </si>
  <si>
    <t>07160220_0526</t>
  </si>
  <si>
    <t>07160220_0623</t>
  </si>
  <si>
    <t>07160220_0720</t>
  </si>
  <si>
    <t>07160220_0816</t>
  </si>
  <si>
    <t>07160220_0913</t>
  </si>
  <si>
    <t>07160220_1010</t>
  </si>
  <si>
    <t>07160220_1106</t>
  </si>
  <si>
    <t>07160220_1203</t>
  </si>
  <si>
    <t>07160220_1300</t>
  </si>
  <si>
    <t>07160220_1356</t>
  </si>
  <si>
    <t>07160220_1453</t>
  </si>
  <si>
    <t>07160220_1550</t>
  </si>
  <si>
    <t>07160220_1825</t>
  </si>
  <si>
    <t>1.6/0.4 ms p/q traces</t>
  </si>
  <si>
    <t>07160220_1922</t>
  </si>
  <si>
    <t>07160220_2018</t>
  </si>
  <si>
    <t>07160220_2115</t>
  </si>
  <si>
    <t>07160220_2212</t>
  </si>
  <si>
    <t>07160220_2308</t>
  </si>
  <si>
    <t>07160221_0005</t>
  </si>
  <si>
    <t>07160221_0102</t>
  </si>
  <si>
    <t>07160221_0159</t>
  </si>
  <si>
    <t>07160221_0255</t>
  </si>
  <si>
    <t>07160221_0352</t>
  </si>
  <si>
    <t>07160221_0449</t>
  </si>
  <si>
    <t>07160221_0545</t>
  </si>
  <si>
    <t>07160221_0642</t>
  </si>
  <si>
    <t>07160221_0738</t>
  </si>
  <si>
    <t>07160221_0835</t>
  </si>
  <si>
    <t>07160221_0932</t>
  </si>
  <si>
    <t>07160221_1028</t>
  </si>
  <si>
    <t>07160221_1125</t>
  </si>
  <si>
    <t>07160221_1222</t>
  </si>
  <si>
    <t>07160221_1318</t>
  </si>
  <si>
    <t>07160221_1415</t>
  </si>
  <si>
    <t>07160221_1512</t>
  </si>
  <si>
    <t>07160221_1608</t>
  </si>
  <si>
    <t>07160221_1705</t>
  </si>
  <si>
    <t>07160221_1802</t>
  </si>
  <si>
    <t>07160221_1858</t>
  </si>
  <si>
    <t>07160221_1955</t>
  </si>
  <si>
    <t>07160221_2051</t>
  </si>
  <si>
    <t>07160221_2148</t>
  </si>
  <si>
    <t>07160221_2245</t>
  </si>
  <si>
    <t>07160221_2341</t>
  </si>
  <si>
    <t>07160222_0038</t>
  </si>
  <si>
    <t>07160222_0135</t>
  </si>
  <si>
    <t>07160222_0231</t>
  </si>
  <si>
    <t>07160222_0328</t>
  </si>
  <si>
    <t>07160222_0425</t>
  </si>
  <si>
    <t>07160222_0521</t>
  </si>
  <si>
    <t>07160222_0618</t>
  </si>
  <si>
    <t>07160222_0714</t>
  </si>
  <si>
    <t>07160222_0811</t>
  </si>
  <si>
    <t>ok, but source removed</t>
  </si>
  <si>
    <t>1.6/0.4 ms p/q traces. Source removed</t>
  </si>
  <si>
    <t>07160222_1059</t>
  </si>
  <si>
    <t>1.6/0.4 ms p/q traces, 20 trigger</t>
  </si>
  <si>
    <t>07160222_1203</t>
  </si>
  <si>
    <t>20 trigger</t>
  </si>
  <si>
    <t>07160222_1849</t>
  </si>
  <si>
    <t>20/210/150 trigger</t>
  </si>
  <si>
    <t>07160222_1946</t>
  </si>
  <si>
    <t>07160222_2042</t>
  </si>
  <si>
    <t>07160222_2139</t>
  </si>
  <si>
    <t>07160222_2236</t>
  </si>
  <si>
    <t>07160222_2332</t>
  </si>
  <si>
    <t>07160223_0029</t>
  </si>
  <si>
    <t>07160223_0126</t>
  </si>
  <si>
    <t>07160223_0222</t>
  </si>
  <si>
    <t>07160223_0319</t>
  </si>
  <si>
    <t>07160223_0416</t>
  </si>
  <si>
    <t>07160223_0512</t>
  </si>
  <si>
    <t>07160223_0609</t>
  </si>
  <si>
    <t>07160223_0706</t>
  </si>
  <si>
    <t>07160223_1354</t>
  </si>
  <si>
    <t>ba, .8/.2 ms p/q traces, 20 trigger</t>
  </si>
  <si>
    <t>07160223_1637</t>
  </si>
  <si>
    <t>ba, .4/.1 ms p/q traces, 20 trigger</t>
  </si>
  <si>
    <t>07160223_1712</t>
  </si>
  <si>
    <t>ba, 6.5/6.5 ms p/q traces, 20 trigger</t>
  </si>
  <si>
    <t>07160223_1818</t>
  </si>
  <si>
    <t>07160223_1915</t>
  </si>
  <si>
    <t>07160223_2011</t>
  </si>
  <si>
    <t>07160223_2108</t>
  </si>
  <si>
    <t>07160223_2205</t>
  </si>
  <si>
    <t>07160223_2301</t>
  </si>
  <si>
    <t>07160223_2358</t>
  </si>
  <si>
    <t>07160224_0055</t>
  </si>
  <si>
    <t>07160224_0151</t>
  </si>
  <si>
    <t>07160224_0248</t>
  </si>
  <si>
    <t>07160224_0345</t>
  </si>
  <si>
    <t>07160224_0441</t>
  </si>
  <si>
    <t>07160224_0538</t>
  </si>
  <si>
    <t>07160224_0634</t>
  </si>
  <si>
    <t>07160224_0731</t>
  </si>
  <si>
    <t>07160226_1811</t>
  </si>
  <si>
    <t>30 trigger</t>
  </si>
  <si>
    <t>07160226_1908</t>
  </si>
  <si>
    <t>07160226_2024</t>
  </si>
  <si>
    <t>07160226_2228</t>
  </si>
  <si>
    <t>07160226_2325</t>
  </si>
  <si>
    <t>07160227_0022</t>
  </si>
  <si>
    <t>07160227_0118</t>
  </si>
  <si>
    <t>07160227_0215</t>
  </si>
  <si>
    <t>07160227_0312</t>
  </si>
  <si>
    <t>07160227_0409</t>
  </si>
  <si>
    <t>07160227_0505</t>
  </si>
  <si>
    <t>07160227_0602</t>
  </si>
  <si>
    <t>07160227_0659</t>
  </si>
  <si>
    <t>07160227_0756</t>
  </si>
  <si>
    <t>07160227_0852</t>
  </si>
  <si>
    <t>07160227_0949</t>
  </si>
  <si>
    <t>07160227_1046</t>
  </si>
  <si>
    <t>07160227_1143</t>
  </si>
  <si>
    <t>07160227_1239</t>
  </si>
  <si>
    <t>07160227_1336</t>
  </si>
  <si>
    <t>07160227_1433</t>
  </si>
  <si>
    <t>07160227_1529</t>
  </si>
  <si>
    <t>07160227_1626</t>
  </si>
  <si>
    <t>07160227_1723</t>
  </si>
  <si>
    <t>07160227_1801</t>
  </si>
  <si>
    <t>?</t>
  </si>
  <si>
    <t>07160227_1804</t>
  </si>
  <si>
    <t>07160227_1808</t>
  </si>
  <si>
    <t>07160227_1811</t>
  </si>
  <si>
    <t>07160227_1815</t>
  </si>
  <si>
    <t>07160227_1819</t>
  </si>
  <si>
    <t>07160227_1823</t>
  </si>
  <si>
    <t>07160227_1826</t>
  </si>
  <si>
    <t>07160227_1830</t>
  </si>
  <si>
    <t>07160227_1834</t>
  </si>
  <si>
    <t>07160227_1837</t>
  </si>
  <si>
    <t>07160227_1841</t>
  </si>
  <si>
    <t>07160227_1845</t>
  </si>
  <si>
    <t>07160227_1849</t>
  </si>
  <si>
    <t>07160227_1853</t>
  </si>
  <si>
    <t>07160227_1857</t>
  </si>
  <si>
    <t>07160227_1901</t>
  </si>
  <si>
    <t>07160227_1905</t>
  </si>
  <si>
    <t>07160227_1909</t>
  </si>
  <si>
    <t>07160227_1913</t>
  </si>
  <si>
    <t>07160227_1916</t>
  </si>
  <si>
    <t>07160227_1920</t>
  </si>
  <si>
    <t>07160227_1924</t>
  </si>
  <si>
    <t>07160227_1928</t>
  </si>
  <si>
    <t>07160227_2024</t>
  </si>
  <si>
    <t>ratetest</t>
  </si>
  <si>
    <t>07160227_2053</t>
  </si>
  <si>
    <t>07160227_2122</t>
  </si>
  <si>
    <t>07160227_2152</t>
  </si>
  <si>
    <t>07160227_2221</t>
  </si>
  <si>
    <t>07160227_2251</t>
  </si>
  <si>
    <t>07160227_2320</t>
  </si>
  <si>
    <t>07160227_2349</t>
  </si>
  <si>
    <t>07160228_0019</t>
  </si>
  <si>
    <t>07160228_0048</t>
  </si>
  <si>
    <t>07160228_0118</t>
  </si>
  <si>
    <t>07160228_0148</t>
  </si>
  <si>
    <t>07160228_0217</t>
  </si>
  <si>
    <t>07160228_0246</t>
  </si>
  <si>
    <t>07160228_0316</t>
  </si>
  <si>
    <t>07160228_0345</t>
  </si>
  <si>
    <t>07160228_0415</t>
  </si>
  <si>
    <t>07160228_0444</t>
  </si>
  <si>
    <t>07160228_0514</t>
  </si>
  <si>
    <t>07160228_0543</t>
  </si>
  <si>
    <t>07160228_0612</t>
  </si>
  <si>
    <t>07160228_0641</t>
  </si>
  <si>
    <t>07160228_0710</t>
  </si>
  <si>
    <t>07160228_0739</t>
  </si>
  <si>
    <t>07160228_0808</t>
  </si>
  <si>
    <t>07160228_0837</t>
  </si>
  <si>
    <t>07160228_0905</t>
  </si>
  <si>
    <t>07160228_0934</t>
  </si>
  <si>
    <t>07160228_1003</t>
  </si>
  <si>
    <t>07160228_1032</t>
  </si>
  <si>
    <t>07160228_1101</t>
  </si>
  <si>
    <t>07160228_1130</t>
  </si>
  <si>
    <t>07160228_1159</t>
  </si>
  <si>
    <t>07160228_1228</t>
  </si>
  <si>
    <t>07160228_1257</t>
  </si>
  <si>
    <t>07160228_1327</t>
  </si>
  <si>
    <t>07160228_1641</t>
  </si>
  <si>
    <t>07160228_1738</t>
  </si>
  <si>
    <t>07160228_1834</t>
  </si>
  <si>
    <t>07160228_1931</t>
  </si>
  <si>
    <t>07160228_2028</t>
  </si>
  <si>
    <t>07160228_2125</t>
  </si>
  <si>
    <t>07160228_2221</t>
  </si>
  <si>
    <t>07160228_2318</t>
  </si>
  <si>
    <t>07160229_0015</t>
  </si>
  <si>
    <t>07160229_0112</t>
  </si>
  <si>
    <t>07160229_0208</t>
  </si>
  <si>
    <t>07160229_0305</t>
  </si>
  <si>
    <t>07160229_0402</t>
  </si>
  <si>
    <t>07160229_0459</t>
  </si>
  <si>
    <t>07160229_0555</t>
  </si>
  <si>
    <t>07160229_0652</t>
  </si>
  <si>
    <t>07160229_0749</t>
  </si>
  <si>
    <t>07160229_1639</t>
  </si>
  <si>
    <t>ratetest_ba</t>
  </si>
  <si>
    <t>07160229_1708</t>
  </si>
  <si>
    <t>07160229_1737</t>
  </si>
  <si>
    <t>07160229_1806</t>
  </si>
  <si>
    <t>07160229_1835</t>
  </si>
  <si>
    <t>07160229_1904</t>
  </si>
  <si>
    <t>07160229_1933</t>
  </si>
  <si>
    <t>07160229_2002</t>
  </si>
  <si>
    <t>07160229_2032</t>
  </si>
  <si>
    <t>07160229_2101</t>
  </si>
  <si>
    <t>07160229_2130</t>
  </si>
  <si>
    <t>07160229_2159</t>
  </si>
  <si>
    <t>07160229_2228</t>
  </si>
  <si>
    <t>07160229_2258</t>
  </si>
  <si>
    <t>07160229_2327</t>
  </si>
  <si>
    <t>07160229_2356</t>
  </si>
  <si>
    <t>07160301_0025</t>
  </si>
  <si>
    <t>07160301_0054</t>
  </si>
  <si>
    <t>07160301_0123</t>
  </si>
  <si>
    <t>07160301_0153</t>
  </si>
  <si>
    <t>07160301_0223</t>
  </si>
  <si>
    <t>07160301_0252</t>
  </si>
  <si>
    <t>07160301_0322</t>
  </si>
  <si>
    <t>07160301_0351</t>
  </si>
  <si>
    <t>07160301_0420</t>
  </si>
  <si>
    <t>07160301_0449</t>
  </si>
  <si>
    <t>07160301_0518</t>
  </si>
  <si>
    <t>07160301_0547</t>
  </si>
  <si>
    <t>07160301_0616</t>
  </si>
  <si>
    <t>07160301_0645</t>
  </si>
  <si>
    <t>07160301_0714</t>
  </si>
  <si>
    <t>07160301_0743</t>
  </si>
  <si>
    <t>07160301_0812</t>
  </si>
  <si>
    <t>07160301_0841</t>
  </si>
  <si>
    <t>07160301_0910</t>
  </si>
  <si>
    <t>07160301_0939</t>
  </si>
  <si>
    <t>07160303_1712</t>
  </si>
  <si>
    <t>07160304_1820</t>
  </si>
  <si>
    <t>07160304_1917</t>
  </si>
  <si>
    <t>07160309_1805</t>
  </si>
  <si>
    <t>07160309_1901</t>
  </si>
  <si>
    <t>07160309_1958</t>
  </si>
  <si>
    <t>07160309_2055</t>
  </si>
  <si>
    <t>07160309_2153</t>
  </si>
  <si>
    <t>07160310_0942</t>
  </si>
  <si>
    <t>07160310_1046</t>
  </si>
  <si>
    <t>07160310_1246</t>
  </si>
  <si>
    <t>bg-test</t>
  </si>
  <si>
    <t>07160310_1410</t>
  </si>
  <si>
    <t>ba-test</t>
  </si>
  <si>
    <t>07160310_1522</t>
  </si>
  <si>
    <t>07160310_1752</t>
  </si>
  <si>
    <t>cf-test</t>
  </si>
  <si>
    <t>07160310_1849</t>
  </si>
  <si>
    <t>07160310_1946</t>
  </si>
  <si>
    <t>07160310_2042</t>
  </si>
  <si>
    <t>07160310_2139</t>
  </si>
  <si>
    <t>07160310_2236</t>
  </si>
  <si>
    <t>07160310_2332</t>
  </si>
  <si>
    <t>07160311_0029</t>
  </si>
  <si>
    <t>07160311_0126</t>
  </si>
  <si>
    <t>07160311_0223</t>
  </si>
  <si>
    <t>07160311_0319</t>
  </si>
  <si>
    <t>07160311_0416</t>
  </si>
  <si>
    <t>07160311_0513</t>
  </si>
  <si>
    <t>07160311_0610</t>
  </si>
  <si>
    <t>07160311_1517</t>
  </si>
  <si>
    <t>07160314_1841</t>
  </si>
  <si>
    <t>07160314_1938</t>
  </si>
  <si>
    <t>07160314_2035</t>
  </si>
  <si>
    <t>07160314_2131</t>
  </si>
  <si>
    <t>07160315_1151</t>
  </si>
  <si>
    <t>07160315_1254</t>
  </si>
  <si>
    <t>07160315_1810</t>
  </si>
  <si>
    <t>07160315_1907</t>
  </si>
  <si>
    <t>07160315_2004</t>
  </si>
  <si>
    <t>07160315_2100</t>
  </si>
  <si>
    <t>07160315_2157</t>
  </si>
  <si>
    <t>07160315_2254</t>
  </si>
  <si>
    <t>07160315_2351</t>
  </si>
  <si>
    <t>07160316_0047</t>
  </si>
  <si>
    <t>07160316_0144</t>
  </si>
  <si>
    <t>07160316_0241</t>
  </si>
  <si>
    <t>07160316_0337</t>
  </si>
  <si>
    <t>07160316_0434</t>
  </si>
  <si>
    <t>07160316_0531</t>
  </si>
  <si>
    <t>07160316_0627</t>
  </si>
  <si>
    <t>07160316_0724</t>
  </si>
  <si>
    <t>size</t>
  </si>
  <si>
    <t>Bias</t>
  </si>
  <si>
    <t>07160613_0209</t>
  </si>
  <si>
    <t>side 1: -2, side 2: 0</t>
  </si>
  <si>
    <t>proc</t>
  </si>
  <si>
    <t>elevated temp</t>
  </si>
  <si>
    <t>9.5M</t>
  </si>
  <si>
    <t>07160613_0306</t>
  </si>
  <si>
    <t>side 1: -3, side 2: 0</t>
  </si>
  <si>
    <t>13M</t>
  </si>
  <si>
    <t>07160613_0402</t>
  </si>
  <si>
    <t>side 1: -4, side 2: 0</t>
  </si>
  <si>
    <t>17M</t>
  </si>
  <si>
    <t>07160613_0459</t>
  </si>
  <si>
    <t>side 1: -5, side 2: 0</t>
  </si>
  <si>
    <t>21M</t>
  </si>
  <si>
    <t>07160613_0555</t>
  </si>
  <si>
    <t>side 1: -6, side 2: 0</t>
  </si>
  <si>
    <t>25M</t>
  </si>
  <si>
    <t>07160613_0652</t>
  </si>
  <si>
    <t>side 1: -7, side 2: 0</t>
  </si>
  <si>
    <t>29M</t>
  </si>
  <si>
    <t>07160613_0748</t>
  </si>
  <si>
    <t>side 1: -8, side 2: 0</t>
  </si>
  <si>
    <t>31M</t>
  </si>
  <si>
    <t>07160612_1056</t>
  </si>
  <si>
    <t>side 1: -13, side 2: 0</t>
  </si>
  <si>
    <t>36M</t>
  </si>
  <si>
    <t>07160611_1413</t>
  </si>
  <si>
    <t>35M</t>
  </si>
  <si>
    <t>07160612_1000</t>
  </si>
  <si>
    <t>side 1: -12, side 2: 0</t>
  </si>
  <si>
    <t>07160611_1317</t>
  </si>
  <si>
    <t>34M</t>
  </si>
  <si>
    <t>07160612_0903</t>
  </si>
  <si>
    <t>side 1: -11, side 2: 0</t>
  </si>
  <si>
    <t>07160611_1220</t>
  </si>
  <si>
    <t>07160612_0807</t>
  </si>
  <si>
    <t>side 1: -10, side 2: 0</t>
  </si>
  <si>
    <t>33M</t>
  </si>
  <si>
    <t>07160611_1124</t>
  </si>
  <si>
    <t>07160612_0710</t>
  </si>
  <si>
    <t>side 1: -9, side 2: 0</t>
  </si>
  <si>
    <t>32M</t>
  </si>
  <si>
    <t>07160611_1027</t>
  </si>
  <si>
    <t>07160612_0614</t>
  </si>
  <si>
    <t>07160611_0931</t>
  </si>
  <si>
    <t>30M</t>
  </si>
  <si>
    <t>07160612_0517</t>
  </si>
  <si>
    <t>28M</t>
  </si>
  <si>
    <t>07160611_0834</t>
  </si>
  <si>
    <t>fail</t>
  </si>
  <si>
    <t>1.3M</t>
  </si>
  <si>
    <t>07160612_0421</t>
  </si>
  <si>
    <t>24M</t>
  </si>
  <si>
    <t>07160611_0738</t>
  </si>
  <si>
    <t>23M</t>
  </si>
  <si>
    <t>07160612_0324</t>
  </si>
  <si>
    <t>20M</t>
  </si>
  <si>
    <t>07160611_0641</t>
  </si>
  <si>
    <t>19M</t>
  </si>
  <si>
    <t>07160612_0228</t>
  </si>
  <si>
    <t>16M</t>
  </si>
  <si>
    <t>07160612_0131</t>
  </si>
  <si>
    <t>07160612_0035</t>
  </si>
  <si>
    <t>8.9M</t>
  </si>
  <si>
    <t>07160613_0113</t>
  </si>
  <si>
    <t>side 1: -1, side 2: 0</t>
  </si>
  <si>
    <t>6.0M</t>
  </si>
  <si>
    <t>07160611_2338</t>
  </si>
  <si>
    <t>5.9M</t>
  </si>
  <si>
    <t>07160612_1741</t>
  </si>
  <si>
    <t>side 1: 1, side 2: 0</t>
  </si>
  <si>
    <t>4.5M</t>
  </si>
  <si>
    <t>07160610_1826</t>
  </si>
  <si>
    <t>4.3M</t>
  </si>
  <si>
    <t>07160612_1837</t>
  </si>
  <si>
    <t>side 1: 2, side 2: 0</t>
  </si>
  <si>
    <t>6.6M</t>
  </si>
  <si>
    <t>07160610_1923</t>
  </si>
  <si>
    <t>07160612_1934</t>
  </si>
  <si>
    <t>side 1: 3, side 2: 0</t>
  </si>
  <si>
    <t>8.8M</t>
  </si>
  <si>
    <t>07160610_2019</t>
  </si>
  <si>
    <t>7.9M</t>
  </si>
  <si>
    <t>07160612_2030</t>
  </si>
  <si>
    <t>11M</t>
  </si>
  <si>
    <t>07160610_2116</t>
  </si>
  <si>
    <t>07160612_2127</t>
  </si>
  <si>
    <t>side 1: 5, side 2: 0</t>
  </si>
  <si>
    <t>14M</t>
  </si>
  <si>
    <t>07160611_1510</t>
  </si>
  <si>
    <t>07160610_2212</t>
  </si>
  <si>
    <t>07160612_2223</t>
  </si>
  <si>
    <t>side 1: 6, side 2: 0</t>
  </si>
  <si>
    <t>07160611_1606</t>
  </si>
  <si>
    <t>15M</t>
  </si>
  <si>
    <t>07160610_2309</t>
  </si>
  <si>
    <t>07160612_2320</t>
  </si>
  <si>
    <t>side 1: 7, side 2: 0</t>
  </si>
  <si>
    <t>18M</t>
  </si>
  <si>
    <t>07160611_1703</t>
  </si>
  <si>
    <t>07160611_0005</t>
  </si>
  <si>
    <t>07160613_0016</t>
  </si>
  <si>
    <t>side 1: 8, side 2: 0</t>
  </si>
  <si>
    <t>07160611_1759</t>
  </si>
  <si>
    <t>07160611_0102</t>
  </si>
  <si>
    <t>07160611_1856</t>
  </si>
  <si>
    <t>side 1: 9, side 2: 0</t>
  </si>
  <si>
    <t>07160611_0158</t>
  </si>
  <si>
    <t>07160611_1952</t>
  </si>
  <si>
    <t>side 1: 10, side 2: 0</t>
  </si>
  <si>
    <t>07160611_0255</t>
  </si>
  <si>
    <t>22M</t>
  </si>
  <si>
    <t>07160611_2049</t>
  </si>
  <si>
    <t>side 1: 11, side 2: 0</t>
  </si>
  <si>
    <t>07160611_0351</t>
  </si>
  <si>
    <t>07160611_2145</t>
  </si>
  <si>
    <t>side 1: 12, side 2: 0</t>
  </si>
  <si>
    <t>26M</t>
  </si>
  <si>
    <t>07160611_0448</t>
  </si>
  <si>
    <t>07160611_2242</t>
  </si>
  <si>
    <t>side 1: 13, side 2: 0</t>
  </si>
  <si>
    <t>07160611_0544</t>
  </si>
  <si>
    <t>27M</t>
  </si>
  <si>
    <t>07160609_1627</t>
  </si>
  <si>
    <t>1.4M</t>
  </si>
  <si>
    <t>07160609_1531</t>
  </si>
  <si>
    <t>07160609_1434</t>
  </si>
  <si>
    <t>07160609_1337</t>
  </si>
  <si>
    <t>07160609_1232</t>
  </si>
  <si>
    <t>07160609_1136</t>
  </si>
  <si>
    <t>07160609_1039</t>
  </si>
  <si>
    <t>07160609_0943</t>
  </si>
  <si>
    <t>07160609_0846</t>
  </si>
  <si>
    <t>07160610_0611</t>
  </si>
  <si>
    <t>5.2M</t>
  </si>
  <si>
    <t>07160610_0340</t>
  </si>
  <si>
    <t>07160610_0109</t>
  </si>
  <si>
    <t>07160609_2238</t>
  </si>
  <si>
    <t>07160609_2007</t>
  </si>
  <si>
    <t>07160609_1736</t>
  </si>
  <si>
    <t>07160609_0750</t>
  </si>
  <si>
    <t>07160609_0653</t>
  </si>
  <si>
    <t>07160609_0557</t>
  </si>
  <si>
    <t>07160609_0500</t>
  </si>
  <si>
    <t>07160608_1645</t>
  </si>
  <si>
    <t>07160607_1626</t>
  </si>
  <si>
    <t>07160608_1742</t>
  </si>
  <si>
    <t>07160608_1838</t>
  </si>
  <si>
    <t>07160608_1935</t>
  </si>
  <si>
    <t>07160608_2031</t>
  </si>
  <si>
    <t>07160608_2128</t>
  </si>
  <si>
    <t>07160608_2225</t>
  </si>
  <si>
    <t>07160608_2321</t>
  </si>
  <si>
    <t>07160609_0018</t>
  </si>
  <si>
    <t>07160609_0114</t>
  </si>
  <si>
    <t>07160609_0211</t>
  </si>
  <si>
    <t>07160609_0307</t>
  </si>
  <si>
    <t>07160609_0404</t>
  </si>
  <si>
    <t>07160607_1317</t>
  </si>
  <si>
    <t>60K</t>
  </si>
  <si>
    <t>07160607_1316</t>
  </si>
  <si>
    <t>07160608_1429</t>
  </si>
  <si>
    <t>07160608_1525</t>
  </si>
  <si>
    <t>07160608_0954</t>
  </si>
  <si>
    <t>4.2M</t>
  </si>
  <si>
    <t>07160607_0633</t>
  </si>
  <si>
    <t>07160607_0402</t>
  </si>
  <si>
    <t>07160607_0131</t>
  </si>
  <si>
    <t>07160606_2300</t>
  </si>
  <si>
    <t>07160606_2029</t>
  </si>
  <si>
    <t>07160606_1758</t>
  </si>
  <si>
    <t>07160606_1626</t>
  </si>
  <si>
    <t>07160606_1434</t>
  </si>
  <si>
    <t>1.6M</t>
  </si>
  <si>
    <t xml:space="preserve">diagnosis </t>
  </si>
  <si>
    <t>ODBrun</t>
  </si>
  <si>
    <t>issues</t>
  </si>
  <si>
    <t>07160715_1345</t>
  </si>
  <si>
    <t xml:space="preserve">shield dh=0 cm. </t>
  </si>
  <si>
    <t>failed to set bias</t>
  </si>
  <si>
    <t>07160715_1740</t>
  </si>
  <si>
    <t>HPGe</t>
  </si>
  <si>
    <t>07160715_1748</t>
  </si>
  <si>
    <t>07160717_1155</t>
  </si>
  <si>
    <t>test?</t>
  </si>
  <si>
    <t>07160717_1227</t>
  </si>
  <si>
    <t>shield dh= 23.2 cm</t>
  </si>
  <si>
    <t>DIB2pA,B O.G.s = 8, should be 3. Also timing link seems to have not been working.</t>
  </si>
  <si>
    <t>07160717_1324</t>
  </si>
  <si>
    <t>07160717_1421</t>
  </si>
  <si>
    <t>07160717_1517</t>
  </si>
  <si>
    <t>07160718_1322</t>
  </si>
  <si>
    <t>bad noise</t>
  </si>
  <si>
    <t>07160718_1409</t>
  </si>
  <si>
    <t>07160718_1422</t>
  </si>
  <si>
    <t>07160718_1455</t>
  </si>
  <si>
    <r>
      <t>side 1</t>
    </r>
    <r>
      <rPr>
        <sz val="11"/>
        <color theme="1"/>
        <rFont val="Calibri"/>
        <family val="2"/>
        <scheme val="minor"/>
      </rPr>
      <t xml:space="preserve">: -4, </t>
    </r>
    <r>
      <rPr>
        <i/>
        <sz val="11"/>
        <color theme="1"/>
        <rFont val="Calibri"/>
        <family val="2"/>
        <scheme val="minor"/>
      </rPr>
      <t>side 2</t>
    </r>
    <r>
      <rPr>
        <sz val="11"/>
        <color theme="1"/>
        <rFont val="Calibri"/>
        <family val="2"/>
        <scheme val="minor"/>
      </rPr>
      <t>: 4</t>
    </r>
  </si>
  <si>
    <t>07160719_0811</t>
  </si>
  <si>
    <t>accident</t>
  </si>
  <si>
    <t>07160719_0812</t>
  </si>
  <si>
    <t>07160719_0937</t>
  </si>
  <si>
    <t>shield dh = 0 cm</t>
  </si>
  <si>
    <t>07160719_1038</t>
  </si>
  <si>
    <t>07160719_1446</t>
  </si>
  <si>
    <t>shield dh= 27.7 cm</t>
  </si>
  <si>
    <t>shield was low for most of series</t>
  </si>
  <si>
    <t>07160719_1551</t>
  </si>
  <si>
    <t>07160719_1650</t>
  </si>
  <si>
    <t>07160719_1730</t>
  </si>
  <si>
    <t>07160720_1102</t>
  </si>
  <si>
    <t>shield dh= 32.3 cm</t>
  </si>
  <si>
    <t>no timing link</t>
  </si>
  <si>
    <t>07160720_1140</t>
  </si>
  <si>
    <t>07160720_1212</t>
  </si>
  <si>
    <t>fridge failure before data began</t>
  </si>
  <si>
    <t>07160720_1536</t>
  </si>
  <si>
    <t>07160720_1635</t>
  </si>
  <si>
    <t>07160720_1734</t>
  </si>
  <si>
    <t>07160720_1830</t>
  </si>
  <si>
    <t>07160720_1927</t>
  </si>
  <si>
    <t>07160720_2024</t>
  </si>
  <si>
    <t>07160720_2120</t>
  </si>
  <si>
    <t>07160720_2217</t>
  </si>
  <si>
    <t>07160720_2313</t>
  </si>
  <si>
    <t>07160721_0010</t>
  </si>
  <si>
    <t>07160721_0107</t>
  </si>
  <si>
    <t>07160721_0203</t>
  </si>
  <si>
    <t>07160721_0300</t>
  </si>
  <si>
    <t>07160721_0356</t>
  </si>
  <si>
    <t>07160721_0453</t>
  </si>
  <si>
    <t>elevated temperature</t>
  </si>
  <si>
    <t>07160721_0550</t>
  </si>
  <si>
    <t>07160721_1340</t>
  </si>
  <si>
    <t>shield dh= 37.8 cm</t>
  </si>
  <si>
    <t>07160721_1836</t>
  </si>
  <si>
    <t>shield dh=0 cm</t>
  </si>
  <si>
    <t>07160721_1933</t>
  </si>
  <si>
    <t>07160721_2029</t>
  </si>
  <si>
    <t>07160721_2126</t>
  </si>
  <si>
    <t>07160721_2223</t>
  </si>
  <si>
    <t>07160721_2319</t>
  </si>
  <si>
    <t>07160722_0016</t>
  </si>
  <si>
    <t>07160722_0112</t>
  </si>
  <si>
    <t>07160722_0209</t>
  </si>
  <si>
    <t>07160722_0306</t>
  </si>
  <si>
    <t>07160722_0402</t>
  </si>
  <si>
    <t>07160722_0459</t>
  </si>
  <si>
    <t>07160722_0555</t>
  </si>
  <si>
    <t>07160722_1702</t>
  </si>
  <si>
    <t>2 railed p's</t>
  </si>
  <si>
    <t>shield dh=45.9 cm</t>
  </si>
  <si>
    <t>07160722_1758</t>
  </si>
  <si>
    <t>07160722_1855</t>
  </si>
  <si>
    <t>07160722_1951</t>
  </si>
  <si>
    <t>07160722_2048</t>
  </si>
  <si>
    <t>07160722_2145</t>
  </si>
  <si>
    <t>07160722_2241</t>
  </si>
  <si>
    <t>07160722_2338</t>
  </si>
  <si>
    <t>07160723_0034</t>
  </si>
  <si>
    <t>07160723_0131</t>
  </si>
  <si>
    <t>07160723_0228</t>
  </si>
  <si>
    <t>07160723_0324</t>
  </si>
  <si>
    <t>07160723_0421</t>
  </si>
  <si>
    <t>07160723_0517</t>
  </si>
  <si>
    <t>07160723_0614</t>
  </si>
  <si>
    <t>07160723_0711</t>
  </si>
  <si>
    <t>07160723_1048</t>
  </si>
  <si>
    <r>
      <t>side 1</t>
    </r>
    <r>
      <rPr>
        <sz val="11"/>
        <color theme="1"/>
        <rFont val="Calibri"/>
        <family val="2"/>
        <scheme val="minor"/>
      </rPr>
      <t xml:space="preserve">: 4, </t>
    </r>
    <r>
      <rPr>
        <i/>
        <sz val="11"/>
        <color theme="1"/>
        <rFont val="Calibri"/>
        <family val="2"/>
        <scheme val="minor"/>
      </rPr>
      <t>side 2</t>
    </r>
    <r>
      <rPr>
        <sz val="11"/>
        <color theme="1"/>
        <rFont val="Calibri"/>
        <family val="2"/>
        <scheme val="minor"/>
      </rPr>
      <t>: -4</t>
    </r>
  </si>
  <si>
    <t>07160723_1145</t>
  </si>
  <si>
    <t>07160723_1241</t>
  </si>
  <si>
    <t>07160723_1338</t>
  </si>
  <si>
    <t>07160723_1434</t>
  </si>
  <si>
    <t>07160723_1531</t>
  </si>
  <si>
    <t>07160723_1628</t>
  </si>
  <si>
    <t>07160723_1724</t>
  </si>
  <si>
    <t>07160723_1821</t>
  </si>
  <si>
    <t>07160723_1917</t>
  </si>
  <si>
    <t>07160723_2014</t>
  </si>
  <si>
    <t>07160723_2111</t>
  </si>
  <si>
    <t>07160723_2207</t>
  </si>
  <si>
    <t>07160723_2304</t>
  </si>
  <si>
    <t>07160724_0000</t>
  </si>
  <si>
    <t>07160724_0057</t>
  </si>
  <si>
    <t>07160724_0153</t>
  </si>
  <si>
    <t>07160724_0250</t>
  </si>
  <si>
    <t>07160724_0347</t>
  </si>
  <si>
    <t>07160724_0443</t>
  </si>
  <si>
    <t>07160724_1724</t>
  </si>
  <si>
    <t>07160724_1753</t>
  </si>
  <si>
    <t>1 p railed</t>
  </si>
  <si>
    <t>07160724_1849</t>
  </si>
  <si>
    <t>07160724_1946</t>
  </si>
  <si>
    <t>07160724_2043</t>
  </si>
  <si>
    <t>07160724_2139</t>
  </si>
  <si>
    <t>07160724_2236</t>
  </si>
  <si>
    <t>07160724_2332</t>
  </si>
  <si>
    <t>07160725_0029</t>
  </si>
  <si>
    <t>07160725_0126</t>
  </si>
  <si>
    <t>07160725_0222</t>
  </si>
  <si>
    <t>07160725_0319</t>
  </si>
  <si>
    <t>07160725_0416</t>
  </si>
  <si>
    <t>07160725_0512</t>
  </si>
  <si>
    <t>07160725_0609</t>
  </si>
  <si>
    <t>07160725_1222</t>
  </si>
  <si>
    <t>07160725_1318</t>
  </si>
  <si>
    <t>07160725_1434</t>
  </si>
  <si>
    <t>side 1: -6, side 2: 6</t>
  </si>
  <si>
    <t>07160725_1607</t>
  </si>
  <si>
    <t>07160725_1826</t>
  </si>
  <si>
    <t>side 1: -2, side 2: 2</t>
  </si>
  <si>
    <t>07160725_1923</t>
  </si>
  <si>
    <t>07160725_2020</t>
  </si>
  <si>
    <t>07160725_2116</t>
  </si>
  <si>
    <t>07160727_1025</t>
  </si>
  <si>
    <t>after overnight bake</t>
  </si>
  <si>
    <t>07160727_1129</t>
  </si>
  <si>
    <t>07160727_1240</t>
  </si>
  <si>
    <t>07160728_0938</t>
  </si>
  <si>
    <t>analyze me</t>
  </si>
  <si>
    <t>after another overnight bake</t>
  </si>
  <si>
    <t>07160728_1126</t>
  </si>
  <si>
    <t>temperature increasing due to He</t>
  </si>
  <si>
    <t>07160728_1230</t>
  </si>
  <si>
    <t>07160731_1340</t>
  </si>
  <si>
    <t>weekend tests, anthony</t>
  </si>
  <si>
    <t>07160731_1410</t>
  </si>
  <si>
    <t>07160805_1418</t>
  </si>
  <si>
    <t>07160805_1429</t>
  </si>
  <si>
    <t>07160805_1435</t>
  </si>
  <si>
    <t>07160805_1450</t>
  </si>
  <si>
    <t>07160805_1507</t>
  </si>
  <si>
    <t>07160805_1633</t>
  </si>
  <si>
    <t>07160805_1642</t>
  </si>
  <si>
    <t>07160805_1655</t>
  </si>
  <si>
    <t>07160808_1732</t>
  </si>
  <si>
    <t>no Side2 qInner</t>
  </si>
  <si>
    <t>07160808_1823</t>
  </si>
  <si>
    <t>07160808_1914</t>
  </si>
  <si>
    <t>07160808_2005</t>
  </si>
  <si>
    <t>07160808_2056</t>
  </si>
  <si>
    <t>07160808_2147</t>
  </si>
  <si>
    <t>07160809_1429</t>
  </si>
  <si>
    <t>07160809_1438</t>
  </si>
  <si>
    <t>07160809_1813</t>
  </si>
  <si>
    <t>shield dh=180 cm</t>
  </si>
  <si>
    <t>DIB2qI noise too high to process with standard settings</t>
  </si>
  <si>
    <t>07160809_1909</t>
  </si>
  <si>
    <t>07160809_2006</t>
  </si>
  <si>
    <t>07160809_2102</t>
  </si>
  <si>
    <t>07160809_2159</t>
  </si>
  <si>
    <t>07160809_2256</t>
  </si>
  <si>
    <t>07160809_2352</t>
  </si>
  <si>
    <t>07160810_0049</t>
  </si>
  <si>
    <t>07160810_0837</t>
  </si>
  <si>
    <t>07160810_0849</t>
  </si>
  <si>
    <t>07160810_0939</t>
  </si>
  <si>
    <t>07160810_1028</t>
  </si>
  <si>
    <t>aborted</t>
  </si>
  <si>
    <t>07160810_1133</t>
  </si>
  <si>
    <t>manual, DIB2 FETs off</t>
  </si>
  <si>
    <t>07160810_1256</t>
  </si>
  <si>
    <t>07160810_1402</t>
  </si>
  <si>
    <t>07160810_2010</t>
  </si>
  <si>
    <t>4 railed p's</t>
  </si>
  <si>
    <t>07160810_2107</t>
  </si>
  <si>
    <t>07160810_2203</t>
  </si>
  <si>
    <t>07160810_2300</t>
  </si>
  <si>
    <t>07160810_2357</t>
  </si>
  <si>
    <t>07160811_0053</t>
  </si>
  <si>
    <t>07160811_0150</t>
  </si>
  <si>
    <t>07160811_0246</t>
  </si>
  <si>
    <t>07160811_0828</t>
  </si>
  <si>
    <t>07160811_0944</t>
  </si>
  <si>
    <t>07160811_1048</t>
  </si>
  <si>
    <t>07160811_1316</t>
  </si>
  <si>
    <t>FETs on</t>
  </si>
  <si>
    <t>07160811_1613</t>
  </si>
  <si>
    <t>manual, DIB2 FETs off, after bake</t>
  </si>
  <si>
    <t>07160811_1717</t>
  </si>
  <si>
    <t>07160811_1814</t>
  </si>
  <si>
    <t>07160811_1910</t>
  </si>
  <si>
    <t>07160811_2007</t>
  </si>
  <si>
    <t>07160811_2103</t>
  </si>
  <si>
    <t>07160811_2200</t>
  </si>
  <si>
    <t>07160811_2256</t>
  </si>
  <si>
    <t>07160811_2353</t>
  </si>
  <si>
    <t>07160813_1239</t>
  </si>
  <si>
    <t>FETs on, after overnight bake</t>
  </si>
  <si>
    <t>07160813_1335</t>
  </si>
  <si>
    <t>07160813_1432</t>
  </si>
  <si>
    <t>07160813_1528</t>
  </si>
  <si>
    <t>07160813_1625</t>
  </si>
  <si>
    <t>side 1: -4, side 2: 6</t>
  </si>
  <si>
    <t>07160813_1721</t>
  </si>
  <si>
    <t>07160814_2239</t>
  </si>
  <si>
    <t>07160814_2336</t>
  </si>
  <si>
    <t>d2pD railed</t>
  </si>
  <si>
    <t>07160815_0032</t>
  </si>
  <si>
    <t>3 p's railed</t>
  </si>
  <si>
    <t>07160815_0129</t>
  </si>
  <si>
    <t>07160815_0225</t>
  </si>
  <si>
    <t>07160815_0322</t>
  </si>
  <si>
    <t>07160816_0926</t>
  </si>
  <si>
    <t>D2FETs off, after overnight bake</t>
  </si>
  <si>
    <t>07160816_1037</t>
  </si>
  <si>
    <t>D2FETs off</t>
  </si>
  <si>
    <t>07160816_1136</t>
  </si>
  <si>
    <t>07160817_0917</t>
  </si>
  <si>
    <t>07160817_1013</t>
  </si>
  <si>
    <t>07160817_1113</t>
  </si>
  <si>
    <t>07160818_0929</t>
  </si>
  <si>
    <t>mistake</t>
  </si>
  <si>
    <t>07160818_0931</t>
  </si>
  <si>
    <t>07160818_1033</t>
  </si>
  <si>
    <t>07160818_1136</t>
  </si>
  <si>
    <t>07160819_0856</t>
  </si>
  <si>
    <t>shield dh=56.8 cm</t>
  </si>
  <si>
    <t>07160819_0957</t>
  </si>
  <si>
    <t>07160819_1143</t>
  </si>
  <si>
    <t>no bias</t>
  </si>
  <si>
    <t>07160819_1240</t>
  </si>
  <si>
    <t>07160820_1103</t>
  </si>
  <si>
    <r>
      <t>side 1</t>
    </r>
    <r>
      <rPr>
        <sz val="11"/>
        <color theme="1"/>
        <rFont val="Calibri"/>
        <family val="2"/>
        <scheme val="minor"/>
      </rPr>
      <t xml:space="preserve">: -6, </t>
    </r>
    <r>
      <rPr>
        <i/>
        <sz val="11"/>
        <color theme="1"/>
        <rFont val="Calibri"/>
        <family val="2"/>
        <scheme val="minor"/>
      </rPr>
      <t>side 2</t>
    </r>
    <r>
      <rPr>
        <sz val="11"/>
        <color theme="1"/>
        <rFont val="Calibri"/>
        <family val="2"/>
        <scheme val="minor"/>
      </rPr>
      <t>: 6</t>
    </r>
  </si>
  <si>
    <t>no link</t>
  </si>
  <si>
    <t>07160820_1200</t>
  </si>
  <si>
    <t>07160820_1256</t>
  </si>
  <si>
    <t>07160821_1240</t>
  </si>
  <si>
    <t>07160822_0844</t>
  </si>
  <si>
    <t>07160822_0916</t>
  </si>
  <si>
    <t>shield dh=48.4 cm</t>
  </si>
  <si>
    <t>07160822_1046</t>
  </si>
  <si>
    <t>D2FETs off, possible long bias time</t>
  </si>
  <si>
    <t>07160822_1142</t>
  </si>
  <si>
    <t>07160823_0915</t>
  </si>
  <si>
    <t>shield dh=43.9 cm</t>
  </si>
  <si>
    <t>07160823_1012</t>
  </si>
  <si>
    <t>07160823_1109</t>
  </si>
  <si>
    <t>07160824_0926</t>
  </si>
  <si>
    <t>shield dh=37.8 cm</t>
  </si>
  <si>
    <t>07160824_1022</t>
  </si>
  <si>
    <t>07160824_1119</t>
  </si>
  <si>
    <t>07160826_1206</t>
  </si>
  <si>
    <t>Level 1</t>
  </si>
  <si>
    <t>shield dh=27.7 cm</t>
  </si>
  <si>
    <t>07160826_1303</t>
  </si>
  <si>
    <t>07160826_1359</t>
  </si>
  <si>
    <t>07160826_1524</t>
  </si>
  <si>
    <t xml:space="preserve">Series Name </t>
  </si>
  <si>
    <t xml:space="preserve">Voltage on HV </t>
  </si>
  <si>
    <t xml:space="preserve">Voltage on Readout </t>
  </si>
  <si>
    <t xml:space="preserve">Qo Trigger Threshold </t>
  </si>
  <si>
    <t xml:space="preserve">Sources </t>
  </si>
  <si>
    <t xml:space="preserve">Length (mins) </t>
  </si>
  <si>
    <t xml:space="preserve"># of Events </t>
  </si>
  <si>
    <t xml:space="preserve"># of Events in first 2 minutes / 5 minutes (no randoms) </t>
  </si>
  <si>
    <t xml:space="preserve"># Randoms </t>
  </si>
  <si>
    <t xml:space="preserve">Bake Before? </t>
  </si>
  <si>
    <t xml:space="preserve">Flash Before? </t>
  </si>
  <si>
    <t>Notes</t>
  </si>
  <si>
    <t>07160914_1455</t>
  </si>
  <si>
    <t>07160914_1456</t>
  </si>
  <si>
    <t>07160916_1659</t>
  </si>
  <si>
    <t>07160916_1711</t>
  </si>
  <si>
    <t>07160917_1114</t>
  </si>
  <si>
    <t>07160917_1458</t>
  </si>
  <si>
    <t>07160919_1545</t>
  </si>
  <si>
    <t>07160919_1607</t>
  </si>
  <si>
    <t>07160919_1648</t>
  </si>
  <si>
    <t>07160919_1729</t>
  </si>
  <si>
    <t>07160919_1759</t>
  </si>
  <si>
    <t>07160919_1817</t>
  </si>
  <si>
    <t>07160919_1846</t>
  </si>
  <si>
    <t>07160919_1927</t>
  </si>
  <si>
    <t>07160919_2007</t>
  </si>
  <si>
    <t>07160919_2216</t>
  </si>
  <si>
    <t>07160919_2257</t>
  </si>
  <si>
    <t>07160919_2338</t>
  </si>
  <si>
    <t>07160920_1011</t>
  </si>
  <si>
    <t>07160920_1058</t>
  </si>
  <si>
    <t>07160920_1155</t>
  </si>
  <si>
    <t xml:space="preserve">+10 V </t>
  </si>
  <si>
    <t xml:space="preserve">0 V </t>
  </si>
  <si>
    <t xml:space="preserve">Am-241 </t>
  </si>
  <si>
    <t xml:space="preserve">5919 / 18303 </t>
  </si>
  <si>
    <t xml:space="preserve">1000 start/1000 end </t>
  </si>
  <si>
    <t xml:space="preserve">Post 30 sec UV flash </t>
  </si>
  <si>
    <t>33 kΩ resistor on QoFB line</t>
  </si>
  <si>
    <t>07160920_1242</t>
  </si>
  <si>
    <t xml:space="preserve">4081 / 16590 </t>
  </si>
  <si>
    <t>07160920_1414</t>
  </si>
  <si>
    <t xml:space="preserve">-10 V </t>
  </si>
  <si>
    <t xml:space="preserve">5877 / 18984 </t>
  </si>
  <si>
    <t>07160920_1452</t>
  </si>
  <si>
    <t xml:space="preserve">6295 / 19437 </t>
  </si>
  <si>
    <t>07160920_1633</t>
  </si>
  <si>
    <t xml:space="preserve">3273 / 16275 </t>
  </si>
  <si>
    <t xml:space="preserve">~1 hour post 20 min IR bake </t>
  </si>
  <si>
    <t xml:space="preserve">No flash </t>
  </si>
  <si>
    <t>07160920_1710</t>
  </si>
  <si>
    <t xml:space="preserve">4195 / 17090 </t>
  </si>
  <si>
    <t xml:space="preserve">Post 30 sec IR flash </t>
  </si>
  <si>
    <t>07160920_1747</t>
  </si>
  <si>
    <t>07160920_1825</t>
  </si>
  <si>
    <t xml:space="preserve">+12 V </t>
  </si>
  <si>
    <t xml:space="preserve">4543 / 17684 </t>
  </si>
  <si>
    <t>07160920_1852</t>
  </si>
  <si>
    <t>07160920_1918</t>
  </si>
  <si>
    <t xml:space="preserve">4181 / 16947 </t>
  </si>
  <si>
    <t>07160920_1945</t>
  </si>
  <si>
    <t xml:space="preserve">6216 / 19086 </t>
  </si>
  <si>
    <t>07160920_2011</t>
  </si>
  <si>
    <t xml:space="preserve">3964 / 16844 </t>
  </si>
  <si>
    <t>07160920_2038</t>
  </si>
  <si>
    <t xml:space="preserve">6054 / 18941 </t>
  </si>
  <si>
    <t>07160920_2104</t>
  </si>
  <si>
    <t xml:space="preserve">3832 / 16685 </t>
  </si>
  <si>
    <t>07160920_2131</t>
  </si>
  <si>
    <t xml:space="preserve">5864 / 18721 </t>
  </si>
  <si>
    <t>07160920_2157</t>
  </si>
  <si>
    <t xml:space="preserve">3523 / 16391 </t>
  </si>
  <si>
    <t>07160921_1021</t>
  </si>
  <si>
    <t xml:space="preserve">10 V </t>
  </si>
  <si>
    <t xml:space="preserve">4440 / 17552 </t>
  </si>
  <si>
    <t xml:space="preserve">~3 hours post 9 hour UV bake </t>
  </si>
  <si>
    <t>07160921_1058</t>
  </si>
  <si>
    <t xml:space="preserve">3807 / 16435 </t>
  </si>
  <si>
    <t>07160921_1135</t>
  </si>
  <si>
    <t>07160921_1206</t>
  </si>
  <si>
    <t>07160921_1226</t>
  </si>
  <si>
    <t>07160921_1229</t>
  </si>
  <si>
    <t>No added resistance</t>
  </si>
  <si>
    <t>07160921_1306</t>
  </si>
  <si>
    <t>07160921_1346</t>
  </si>
  <si>
    <t>07160921_1637</t>
  </si>
  <si>
    <t xml:space="preserve">12 V </t>
  </si>
  <si>
    <t>-12 V</t>
  </si>
  <si>
    <t xml:space="preserve">~1 hours post 1.5 hour UV bake </t>
  </si>
  <si>
    <t>07160921_1713</t>
  </si>
  <si>
    <t>07160921_1749</t>
  </si>
  <si>
    <t>07160922_1020</t>
  </si>
  <si>
    <t xml:space="preserve">07160922_1020 </t>
  </si>
  <si>
    <t xml:space="preserve">-12 V </t>
  </si>
  <si>
    <t xml:space="preserve">Post 12hr IR bake </t>
  </si>
  <si>
    <t xml:space="preserve">33 kΩ resistor on QoFB line </t>
  </si>
  <si>
    <t>07160922_1058</t>
  </si>
  <si>
    <t xml:space="preserve">07160922_1058 </t>
  </si>
  <si>
    <t xml:space="preserve">Am-241, Ba-133 </t>
  </si>
  <si>
    <t>07160922_1136</t>
  </si>
  <si>
    <t xml:space="preserve">07160922_1136 </t>
  </si>
  <si>
    <t xml:space="preserve">-11 V </t>
  </si>
  <si>
    <t xml:space="preserve">11 V </t>
  </si>
  <si>
    <t>07160922_1220</t>
  </si>
  <si>
    <t xml:space="preserve">07160922_1220 </t>
  </si>
  <si>
    <t>07160922_1301</t>
  </si>
  <si>
    <t xml:space="preserve">07160922_1301 </t>
  </si>
  <si>
    <t>07160922_1318</t>
  </si>
  <si>
    <t xml:space="preserve">07160922_1318 </t>
  </si>
  <si>
    <t xml:space="preserve">mistake </t>
  </si>
  <si>
    <t>07160922_1517</t>
  </si>
  <si>
    <t xml:space="preserve">07160922_1517 </t>
  </si>
  <si>
    <t xml:space="preserve">36 V </t>
  </si>
  <si>
    <t>07160922_1559</t>
  </si>
  <si>
    <t xml:space="preserve">07160922_1559 </t>
  </si>
  <si>
    <t>07160922_1634</t>
  </si>
  <si>
    <t xml:space="preserve">07160922_1634 </t>
  </si>
  <si>
    <t xml:space="preserve">-9 V </t>
  </si>
  <si>
    <t xml:space="preserve">9 V </t>
  </si>
  <si>
    <t>07160922_1714</t>
  </si>
  <si>
    <t xml:space="preserve">07160922_1714 </t>
  </si>
  <si>
    <t>07160922_1755</t>
  </si>
  <si>
    <t xml:space="preserve">07160922_1755 - 07160922_2135 </t>
  </si>
  <si>
    <t xml:space="preserve">8*21 </t>
  </si>
  <si>
    <t>07160922_1826</t>
  </si>
  <si>
    <t>07160922_1858</t>
  </si>
  <si>
    <t>Seen in QOF in first ~10 mins</t>
  </si>
  <si>
    <t>07160922_1929</t>
  </si>
  <si>
    <t>07160922_2001</t>
  </si>
  <si>
    <t>07160922_2032</t>
  </si>
  <si>
    <t xml:space="preserve">33 kΩ resistor on QoFB line, long trace </t>
  </si>
  <si>
    <t>07160922_2104</t>
  </si>
  <si>
    <t>07160922_2135</t>
  </si>
  <si>
    <t>07160923_1008</t>
  </si>
  <si>
    <t xml:space="preserve">07160923_1008 </t>
  </si>
  <si>
    <t>07160923_1016</t>
  </si>
  <si>
    <t xml:space="preserve">07160923_1016 </t>
  </si>
  <si>
    <t xml:space="preserve">8 V </t>
  </si>
  <si>
    <t xml:space="preserve">-8 V </t>
  </si>
  <si>
    <t>07160923_1045</t>
  </si>
  <si>
    <t xml:space="preserve">07160923_1045 </t>
  </si>
  <si>
    <t>07160923_1115</t>
  </si>
  <si>
    <t xml:space="preserve">07160923_1115 </t>
  </si>
  <si>
    <t xml:space="preserve">7 V </t>
  </si>
  <si>
    <t xml:space="preserve">-7 V </t>
  </si>
  <si>
    <t>07160923_1308</t>
  </si>
  <si>
    <t xml:space="preserve">07160923_1308 </t>
  </si>
  <si>
    <t>all</t>
  </si>
  <si>
    <t>mistake - 50 ms traces, all randoms.</t>
  </si>
  <si>
    <t>07160923_1339</t>
  </si>
  <si>
    <t xml:space="preserve">07160923_1339 </t>
  </si>
  <si>
    <t xml:space="preserve">6 V </t>
  </si>
  <si>
    <t xml:space="preserve">-6 V </t>
  </si>
  <si>
    <t>07160923_1411</t>
  </si>
  <si>
    <t xml:space="preserve">07160923_1411 </t>
  </si>
  <si>
    <t>07160923_1445</t>
  </si>
  <si>
    <t>4 V</t>
  </si>
  <si>
    <t>-4 V</t>
  </si>
  <si>
    <t>07160923_1711</t>
  </si>
  <si>
    <t>no added resistor</t>
  </si>
  <si>
    <t>07160923_1742</t>
  </si>
  <si>
    <t>07160923_1814</t>
  </si>
  <si>
    <t>07160923_1845</t>
  </si>
  <si>
    <t>07160923_1917</t>
  </si>
  <si>
    <t xml:space="preserve">Am-241, Na-22 </t>
  </si>
  <si>
    <t>07160923_1948</t>
  </si>
  <si>
    <t>07160923_2020</t>
  </si>
  <si>
    <t>07160923_2051</t>
  </si>
  <si>
    <t>07160924_1008</t>
  </si>
  <si>
    <t xml:space="preserve">~1 hours post 12 hour UV bake </t>
  </si>
  <si>
    <t>07160924_1043</t>
  </si>
  <si>
    <t>07160924_1339</t>
  </si>
  <si>
    <t>07160924_1413</t>
  </si>
  <si>
    <t>07160924_1450</t>
  </si>
  <si>
    <t>07160924_1522</t>
  </si>
  <si>
    <t>-10 V</t>
  </si>
  <si>
    <t>07160924_1555</t>
  </si>
  <si>
    <t>07160924_1627</t>
  </si>
  <si>
    <t>-9 V</t>
  </si>
  <si>
    <t>07160924_1700</t>
  </si>
  <si>
    <t>Am-241, Y-88</t>
  </si>
  <si>
    <t>07160924_1735</t>
  </si>
  <si>
    <t>-8 V</t>
  </si>
  <si>
    <t>07160924_1808</t>
  </si>
  <si>
    <t>07160924_1840</t>
  </si>
  <si>
    <t>-7 V</t>
  </si>
  <si>
    <t>07160924_1912</t>
  </si>
  <si>
    <t>07160924_1949</t>
  </si>
  <si>
    <t>-6 V</t>
  </si>
  <si>
    <t>07160924_2021</t>
  </si>
  <si>
    <t>5 V</t>
  </si>
  <si>
    <t>07160924_2053</t>
  </si>
  <si>
    <t>-5 V</t>
  </si>
  <si>
    <t>07160924_2126</t>
  </si>
  <si>
    <t>07160924_2159</t>
  </si>
  <si>
    <t>07160924_2231</t>
  </si>
  <si>
    <t>3 V</t>
  </si>
  <si>
    <t>07160924_2304</t>
  </si>
  <si>
    <t>-3 V</t>
  </si>
  <si>
    <t>07160924_2337</t>
  </si>
  <si>
    <t>2 V</t>
  </si>
  <si>
    <t>07160925_0010</t>
  </si>
  <si>
    <t>-2 V</t>
  </si>
  <si>
    <t>07160925_1213</t>
  </si>
  <si>
    <t xml:space="preserve">~2 hours post 10 hour UV bake </t>
  </si>
  <si>
    <t>07160925_1241</t>
  </si>
  <si>
    <t>07160925_1423</t>
  </si>
  <si>
    <t>33 kΩ resistor on QoFB line. 50 ms trace length by accident</t>
  </si>
  <si>
    <t>07160925_1452</t>
  </si>
  <si>
    <t>07160925_1617</t>
  </si>
  <si>
    <t>07160925_1646</t>
  </si>
  <si>
    <t>07160925_1719</t>
  </si>
  <si>
    <t>07160925_1815</t>
  </si>
  <si>
    <t>07160925_1843</t>
  </si>
  <si>
    <t>07160925_1921</t>
  </si>
  <si>
    <t>-11 V</t>
  </si>
  <si>
    <t>07160925_1948</t>
  </si>
  <si>
    <t>07160925_2018</t>
  </si>
  <si>
    <t>07160925_2046</t>
  </si>
  <si>
    <t>07160925_2116</t>
  </si>
  <si>
    <t>07160925_2145</t>
  </si>
  <si>
    <t>07160925_2213</t>
  </si>
  <si>
    <t>07160925_2243</t>
  </si>
  <si>
    <t>07160925_2311</t>
  </si>
  <si>
    <t>07160926_1101</t>
  </si>
  <si>
    <t xml:space="preserve">07160926_1101 </t>
  </si>
  <si>
    <t xml:space="preserve">Post 10hr UV bake </t>
  </si>
  <si>
    <t xml:space="preserve">no added resistor </t>
  </si>
  <si>
    <t>07160926_1145</t>
  </si>
  <si>
    <t xml:space="preserve">07160926_1145 </t>
  </si>
  <si>
    <t>07160926_1231</t>
  </si>
  <si>
    <t>07160926_1246</t>
  </si>
  <si>
    <t xml:space="preserve">07160926_1246 </t>
  </si>
  <si>
    <t xml:space="preserve">20 V </t>
  </si>
  <si>
    <t xml:space="preserve">33 kΩ resistor soldered on QoFB line. Higher noise present. </t>
  </si>
  <si>
    <t>07160926_1333</t>
  </si>
  <si>
    <t xml:space="preserve">07160926_1333 </t>
  </si>
  <si>
    <t>07160927_1151</t>
  </si>
  <si>
    <t xml:space="preserve">33 kΩ resistor on QoFB line. </t>
  </si>
  <si>
    <t>07160927_1238</t>
  </si>
  <si>
    <t>07160927_1326</t>
  </si>
  <si>
    <t xml:space="preserve">40 V </t>
  </si>
  <si>
    <t>07160927_1418</t>
  </si>
  <si>
    <t>07160927_1519</t>
  </si>
  <si>
    <t xml:space="preserve">60 V </t>
  </si>
  <si>
    <t>07160927_1637</t>
  </si>
  <si>
    <t>Coincident_test</t>
  </si>
  <si>
    <t>Lots of noise, baseline is erratic. Trouble getting a good OF from randoms.</t>
  </si>
  <si>
    <t>07160927_1706</t>
  </si>
  <si>
    <t>07160927_1710</t>
  </si>
  <si>
    <t>07160927_1829</t>
  </si>
  <si>
    <t xml:space="preserve">07160927_1829 </t>
  </si>
  <si>
    <t xml:space="preserve">33 kΩ resistor on QoFB line. Wrong prepulse length </t>
  </si>
  <si>
    <t>07160927_2002</t>
  </si>
  <si>
    <t xml:space="preserve">07160927_2002 </t>
  </si>
  <si>
    <t xml:space="preserve">80 V </t>
  </si>
  <si>
    <t xml:space="preserve">33 kΩ resistor on QoFB line. Aborted, wrong trace length? </t>
  </si>
  <si>
    <t>07160927_2059</t>
  </si>
  <si>
    <t xml:space="preserve">07160927_2059 </t>
  </si>
  <si>
    <t xml:space="preserve">0 start/0 end ? </t>
  </si>
  <si>
    <t>07160927_2150</t>
  </si>
  <si>
    <t>07160927_2223</t>
  </si>
  <si>
    <t>07160927_2250</t>
  </si>
  <si>
    <t xml:space="preserve">07160927_2250 </t>
  </si>
  <si>
    <t>07160927_2333</t>
  </si>
  <si>
    <t xml:space="preserve">07160927_2333 </t>
  </si>
  <si>
    <t xml:space="preserve">100 V </t>
  </si>
  <si>
    <t>07160928_0910</t>
  </si>
  <si>
    <t>start</t>
  </si>
  <si>
    <t>12 V</t>
  </si>
  <si>
    <t xml:space="preserve">~1 hour post 8 hour IR bake </t>
  </si>
  <si>
    <t>07160928_0951</t>
  </si>
  <si>
    <t>07160928_1026</t>
  </si>
  <si>
    <t>07160928_1100</t>
  </si>
  <si>
    <t>07160928_1135</t>
  </si>
  <si>
    <t>33 kΩ resistor on QoFB line. Threshold initially at 300, adjusted near beginning of series</t>
  </si>
  <si>
    <t>07160928_1210</t>
  </si>
  <si>
    <t>07160928_1445</t>
  </si>
  <si>
    <t>-20 V</t>
  </si>
  <si>
    <t>10 V</t>
  </si>
  <si>
    <t>Am-241, Co-57 (1 m)</t>
  </si>
  <si>
    <t>07160928_1524</t>
  </si>
  <si>
    <t>Am-241, Co-57 (1.5-2 m)</t>
  </si>
  <si>
    <t>33 kΩ resistor on QoFB line. Source was moved further out after 15 min</t>
  </si>
  <si>
    <t>07160928_1733</t>
  </si>
  <si>
    <t>20 V</t>
  </si>
  <si>
    <t>Am-241, Co-57 (2 m)</t>
  </si>
  <si>
    <t>not noted, maybe neglected</t>
  </si>
  <si>
    <t>07160928_1757</t>
  </si>
  <si>
    <t>07160928_1815</t>
  </si>
  <si>
    <t>250-300</t>
  </si>
  <si>
    <t>none</t>
  </si>
  <si>
    <t>33 kΩ resistor on QoFB line. Threshold adjusted after 10 minutes</t>
  </si>
  <si>
    <t>07160928_1900</t>
  </si>
  <si>
    <t>-40 V</t>
  </si>
  <si>
    <t>Am-241, Co-57 (2 ft, blocked)</t>
  </si>
  <si>
    <t>33 kΩ resistor on QoFB line. Opening of the lead castle was blocked by lead brick.</t>
  </si>
  <si>
    <t>07160928_1938</t>
  </si>
  <si>
    <t>200-275</t>
  </si>
  <si>
    <t>Am-241, Co-57 (3 ft)</t>
  </si>
  <si>
    <t>type</t>
  </si>
  <si>
    <t>notes2</t>
  </si>
  <si>
    <t>analysis</t>
  </si>
  <si>
    <t>07171117_2500</t>
  </si>
  <si>
    <t>07171118_2500</t>
  </si>
  <si>
    <t>07171119_2500</t>
  </si>
  <si>
    <t>07171119_2600</t>
  </si>
  <si>
    <t>07171120_2500</t>
  </si>
  <si>
    <t>07171121_2500</t>
  </si>
  <si>
    <t>07171122_1158</t>
  </si>
  <si>
    <t>07171122_1300</t>
  </si>
  <si>
    <t>07171122_2207</t>
  </si>
  <si>
    <t>07171122_2500</t>
  </si>
  <si>
    <t>07171123_1032</t>
  </si>
  <si>
    <t>07171123_1306</t>
  </si>
  <si>
    <t>07171123_2500</t>
  </si>
  <si>
    <t>07171123_2600</t>
  </si>
  <si>
    <t>07171124_0713</t>
  </si>
  <si>
    <t>07171124_2500</t>
  </si>
  <si>
    <t>07171125_2500</t>
  </si>
  <si>
    <t>07171126_0817</t>
  </si>
  <si>
    <t>07171126_1428</t>
  </si>
  <si>
    <t>07171126_1457</t>
  </si>
  <si>
    <t>07171126_2500</t>
  </si>
  <si>
    <t>07171127_2500</t>
  </si>
  <si>
    <t>07171128_2500</t>
  </si>
  <si>
    <t>07171129_1115</t>
  </si>
  <si>
    <t>07171129_2500</t>
  </si>
  <si>
    <t>07171201_1626</t>
  </si>
  <si>
    <t>07171201_1648</t>
  </si>
  <si>
    <t>07171201_1800</t>
  </si>
  <si>
    <t>07171201_1912</t>
  </si>
  <si>
    <t>07171202_0953</t>
  </si>
  <si>
    <t>07171202_1106</t>
  </si>
  <si>
    <t>07171202_1221</t>
  </si>
  <si>
    <t>07171203_1137</t>
  </si>
  <si>
    <t>07171203_1254</t>
  </si>
  <si>
    <t>07171203_1411</t>
  </si>
  <si>
    <t>07171203_1647</t>
  </si>
  <si>
    <t>07171203_1758</t>
  </si>
  <si>
    <t>07171203_1911</t>
  </si>
  <si>
    <t>07171204_1132</t>
  </si>
  <si>
    <t>PA</t>
  </si>
  <si>
    <t>07171204_1249</t>
  </si>
  <si>
    <t>PB</t>
  </si>
  <si>
    <t>07171204_1809</t>
  </si>
  <si>
    <t>PC</t>
  </si>
  <si>
    <t>07171204_1947</t>
  </si>
  <si>
    <t>PD</t>
  </si>
  <si>
    <t>07171204_2128</t>
  </si>
  <si>
    <t>PE</t>
  </si>
  <si>
    <t>07171204_2311</t>
  </si>
  <si>
    <t>PF</t>
  </si>
  <si>
    <t>07171205_0054</t>
  </si>
  <si>
    <t>07171205_2500</t>
  </si>
  <si>
    <t>07171206_0952</t>
  </si>
  <si>
    <t>mf</t>
  </si>
  <si>
    <t>07171206_1122</t>
  </si>
  <si>
    <t>PuBe</t>
  </si>
  <si>
    <t>PA rail @ 5+ min</t>
  </si>
  <si>
    <t>07171206_1231</t>
  </si>
  <si>
    <t>PA near rail @ 16+ min</t>
  </si>
  <si>
    <t>07171206_1555</t>
  </si>
  <si>
    <t>PA offset adjusted, threshold adjusted</t>
  </si>
  <si>
    <t>07171206_1726</t>
  </si>
  <si>
    <t>PA rail @ 37+ min</t>
  </si>
  <si>
    <t>07171206_2256</t>
  </si>
  <si>
    <t>07171207_1117</t>
  </si>
  <si>
    <t xml:space="preserve">PA rail, aborted </t>
  </si>
  <si>
    <t>07171207_1133</t>
  </si>
  <si>
    <t>07171207_1143</t>
  </si>
  <si>
    <t>PA rail @ 16+ min</t>
  </si>
  <si>
    <t>07171207_1333</t>
  </si>
  <si>
    <t>PA rail @ 2+ min</t>
  </si>
  <si>
    <t>07171207_1410</t>
  </si>
  <si>
    <t>mostly OK</t>
  </si>
  <si>
    <t>DCRC1pB trigger, seems to have high cutoff</t>
  </si>
  <si>
    <t>07171208_0929</t>
  </si>
  <si>
    <t>nm</t>
  </si>
  <si>
    <t>07171208_1034</t>
  </si>
  <si>
    <t>07171208_1521</t>
  </si>
  <si>
    <t>07171209_1123</t>
  </si>
  <si>
    <t>PA railed several times</t>
  </si>
  <si>
    <t>07171209_1915</t>
  </si>
  <si>
    <t>trigger DCRC1pA</t>
  </si>
  <si>
    <t>07171209_1931</t>
  </si>
  <si>
    <t>trigger DCRC1pB</t>
  </si>
  <si>
    <t>07171209_1946</t>
  </si>
  <si>
    <t>trigger DCRC1pC</t>
  </si>
  <si>
    <t>07171209_2001</t>
  </si>
  <si>
    <t>trigger DCRC3pB</t>
  </si>
  <si>
    <t>07171209_2017</t>
  </si>
  <si>
    <t>overtriggered</t>
  </si>
  <si>
    <t>trigger DCRC3pC</t>
  </si>
  <si>
    <t>07171209_2036</t>
  </si>
  <si>
    <t>trigger DCRC3pD</t>
  </si>
  <si>
    <t>07171209_2052</t>
  </si>
  <si>
    <t>07171210_0709</t>
  </si>
  <si>
    <t>randoms</t>
  </si>
  <si>
    <t>5 Hz</t>
  </si>
  <si>
    <t>07171210_0721</t>
  </si>
  <si>
    <t>10 Hz</t>
  </si>
  <si>
    <t>07171210_0732</t>
  </si>
  <si>
    <t>20 Hz</t>
  </si>
  <si>
    <t>07171210_0743</t>
  </si>
  <si>
    <t>30 Hz</t>
  </si>
  <si>
    <t>07171210_0754</t>
  </si>
  <si>
    <t>40 Hz</t>
  </si>
  <si>
    <t>07171210_0804</t>
  </si>
  <si>
    <t>50 Hz</t>
  </si>
  <si>
    <t>07171210_0815</t>
  </si>
  <si>
    <t>60 Hz</t>
  </si>
  <si>
    <t>07171210_0827</t>
  </si>
  <si>
    <t>80 Hz</t>
  </si>
  <si>
    <t>07171210_0838</t>
  </si>
  <si>
    <t>100 Hz</t>
  </si>
  <si>
    <t>07171210_1043</t>
  </si>
  <si>
    <t>07171210_1250</t>
  </si>
  <si>
    <t>trigger on test signal</t>
  </si>
  <si>
    <t>07171210_1300</t>
  </si>
  <si>
    <t>07171210_1310</t>
  </si>
  <si>
    <t>07171210_1321</t>
  </si>
  <si>
    <t>07171210_1331</t>
  </si>
  <si>
    <t>07171210_1341</t>
  </si>
  <si>
    <t>07171210_1351</t>
  </si>
  <si>
    <t>70 Hz</t>
  </si>
  <si>
    <t>07171210_1401</t>
  </si>
  <si>
    <t>07171210_1411</t>
  </si>
  <si>
    <t>90 Hz</t>
  </si>
  <si>
    <t>07171210_1421</t>
  </si>
  <si>
    <t>07171210_1741</t>
  </si>
  <si>
    <t>3 Hz</t>
  </si>
  <si>
    <t>07171210_1751</t>
  </si>
  <si>
    <t>4 Hz</t>
  </si>
  <si>
    <t>07171210_1801</t>
  </si>
  <si>
    <t>07171210_1811</t>
  </si>
  <si>
    <t>6 Hz</t>
  </si>
  <si>
    <t>07171210_1821</t>
  </si>
  <si>
    <t>7 Hz</t>
  </si>
  <si>
    <t>07171210_1831</t>
  </si>
  <si>
    <t>8 Hz</t>
  </si>
  <si>
    <t>07171210_1842</t>
  </si>
  <si>
    <t>9 Hz</t>
  </si>
  <si>
    <t>07171210_1852</t>
  </si>
  <si>
    <t>07171210_1902</t>
  </si>
  <si>
    <t>11 Hz</t>
  </si>
  <si>
    <t>07171210_1912</t>
  </si>
  <si>
    <t>12 Hz</t>
  </si>
  <si>
    <t>07171211_1049</t>
  </si>
  <si>
    <t>07171211_1224</t>
  </si>
  <si>
    <t>07171211_1241</t>
  </si>
  <si>
    <t>3chans railed at 8+min</t>
  </si>
  <si>
    <t>07171211_1311</t>
  </si>
  <si>
    <t>07171211_1324</t>
  </si>
  <si>
    <t>07171211_1353</t>
  </si>
  <si>
    <t>07171211_1404</t>
  </si>
  <si>
    <t>07171211_1420</t>
  </si>
  <si>
    <t>07171211_1715</t>
  </si>
  <si>
    <t>07171211_1815</t>
  </si>
  <si>
    <t>07171211_1915</t>
  </si>
  <si>
    <t>07171211_2015</t>
  </si>
  <si>
    <t>07171211_2214</t>
  </si>
  <si>
    <t>07171211_2223</t>
  </si>
  <si>
    <t>07171211_2323</t>
  </si>
  <si>
    <t>07171212_0023</t>
  </si>
  <si>
    <t>07171212_0123</t>
  </si>
  <si>
    <t>07171212_0224</t>
  </si>
  <si>
    <t>07171212_0324</t>
  </si>
  <si>
    <t>07171212_0424</t>
  </si>
  <si>
    <t>07171212_1314</t>
  </si>
  <si>
    <t>07171212_1531</t>
  </si>
  <si>
    <t>20Hz randoms</t>
  </si>
  <si>
    <t>07171212_1631</t>
  </si>
  <si>
    <t>07171212_1731</t>
  </si>
  <si>
    <t>07171212_1843</t>
  </si>
  <si>
    <t>DCRC1pA threshold: 12, 10@19:17, 8@19:22</t>
  </si>
  <si>
    <t>07171212_1928</t>
  </si>
  <si>
    <t>DCRC1pA threshold: 8</t>
  </si>
  <si>
    <t>07171212_2028</t>
  </si>
  <si>
    <t>07171212_2231</t>
  </si>
  <si>
    <t>Hvset 22:20</t>
  </si>
  <si>
    <t>07171212_2332</t>
  </si>
  <si>
    <t>07171213_0032</t>
  </si>
  <si>
    <t>07171213_0132</t>
  </si>
  <si>
    <t>07171213_0232</t>
  </si>
  <si>
    <t>07171213_0332</t>
  </si>
  <si>
    <t>07171213_0432</t>
  </si>
  <si>
    <t>07171213_1001</t>
  </si>
  <si>
    <t>DCRC3pC threshold 10, 12@10:10</t>
  </si>
  <si>
    <t>07171213_1101</t>
  </si>
  <si>
    <t>DCRC3pC threshold 12</t>
  </si>
  <si>
    <t>07171213_1301</t>
  </si>
  <si>
    <t>07171213_1738</t>
  </si>
  <si>
    <t>Na-22</t>
  </si>
  <si>
    <t>NaI data</t>
  </si>
  <si>
    <t>NaI detector pulse output connected to DCRC4pA</t>
  </si>
  <si>
    <t>07171213_1946</t>
  </si>
  <si>
    <t>error</t>
  </si>
  <si>
    <t>bad: HV not working</t>
  </si>
  <si>
    <t>HV scan</t>
  </si>
  <si>
    <t>07171213_2124</t>
  </si>
  <si>
    <t>07171214_1027</t>
  </si>
  <si>
    <t>bad: HV not plugged in</t>
  </si>
  <si>
    <t>07171214_1205</t>
  </si>
  <si>
    <t>07171214_1354</t>
  </si>
  <si>
    <t>07171214_1535</t>
  </si>
  <si>
    <t>07171214_1718</t>
  </si>
  <si>
    <t>07171214_1902</t>
  </si>
  <si>
    <t>07171214_2043</t>
  </si>
  <si>
    <t xml:space="preserve">accidentally had </t>
  </si>
  <si>
    <t>07171214_2046</t>
  </si>
  <si>
    <t>DCRC3pD trigger on</t>
  </si>
  <si>
    <t>07171214_2050</t>
  </si>
  <si>
    <t>07171214_2053</t>
  </si>
  <si>
    <t>120 Hz</t>
  </si>
  <si>
    <t>07171214_2056</t>
  </si>
  <si>
    <t>140 Hz</t>
  </si>
  <si>
    <t>07171214_2059</t>
  </si>
  <si>
    <t>160 Hz</t>
  </si>
  <si>
    <t>07171214_2102</t>
  </si>
  <si>
    <t>180 Hz</t>
  </si>
  <si>
    <t>07171214_2236</t>
  </si>
  <si>
    <t>pileup rejection = 0 s</t>
  </si>
  <si>
    <t>07171214_2336</t>
  </si>
  <si>
    <t>07171215_0036</t>
  </si>
  <si>
    <t>07171215_0136</t>
  </si>
  <si>
    <t>pileup rejection = 150 us, standard</t>
  </si>
  <si>
    <t>07171215_0236</t>
  </si>
  <si>
    <t>07171215_0336</t>
  </si>
  <si>
    <t>07171215_0621</t>
  </si>
  <si>
    <t>07171215_0624</t>
  </si>
  <si>
    <t>07171215_0627</t>
  </si>
  <si>
    <t>07171215_0630</t>
  </si>
  <si>
    <t>07171215_0633</t>
  </si>
  <si>
    <t>07171215_0636</t>
  </si>
  <si>
    <t>07171215_0639</t>
  </si>
  <si>
    <t>07171215_1705</t>
  </si>
  <si>
    <t>flipped pulses on pA, pE, pF</t>
  </si>
  <si>
    <t>07171215_1805</t>
  </si>
  <si>
    <t>07171215_1905</t>
  </si>
  <si>
    <t>07171215_2226</t>
  </si>
  <si>
    <t>DCRC3pB railed</t>
  </si>
  <si>
    <t>07171215_2327</t>
  </si>
  <si>
    <t>07171216_0027</t>
  </si>
  <si>
    <t>07171216_0127</t>
  </si>
  <si>
    <t>07171216_0722</t>
  </si>
  <si>
    <t>07171216_0741</t>
  </si>
  <si>
    <t>07171216_0841</t>
  </si>
  <si>
    <t>07171216_0941</t>
  </si>
  <si>
    <t>07171216_1041</t>
  </si>
  <si>
    <t>07171216_2042</t>
  </si>
  <si>
    <t>noise</t>
  </si>
  <si>
    <t>20Hz randoms, long trace, DCRC1pA s/c</t>
  </si>
  <si>
    <t>07171216_2108</t>
  </si>
  <si>
    <t>07171216_2114</t>
  </si>
  <si>
    <t>07171216_2307</t>
  </si>
  <si>
    <t>07171218_1550</t>
  </si>
  <si>
    <t>Tower = 55 mK</t>
  </si>
  <si>
    <t>07171218_1650</t>
  </si>
  <si>
    <t>07171218_1750</t>
  </si>
  <si>
    <t>07171218_1850</t>
  </si>
  <si>
    <t>07171218_2223</t>
  </si>
  <si>
    <t>07171218_2230</t>
  </si>
  <si>
    <t>07171218_2242</t>
  </si>
  <si>
    <t>07171219_1119</t>
  </si>
  <si>
    <t>07171219_1151</t>
  </si>
  <si>
    <t>07171219_1202</t>
  </si>
  <si>
    <t>07171220_1203</t>
  </si>
  <si>
    <t>DCRC3pB railed @&lt;1206</t>
  </si>
  <si>
    <t>07171220_1223</t>
  </si>
  <si>
    <t>test with modified triggerfe</t>
  </si>
  <si>
    <t>07171220_1522</t>
  </si>
  <si>
    <t>07171220_1541</t>
  </si>
  <si>
    <t>07171220_1607</t>
  </si>
  <si>
    <t>07171220_1627</t>
  </si>
  <si>
    <t>07171220_1647</t>
  </si>
  <si>
    <t>07171220_1707</t>
  </si>
  <si>
    <t>07171220_1730</t>
  </si>
  <si>
    <t>07171220_1750</t>
  </si>
  <si>
    <t>07171221_0613</t>
  </si>
  <si>
    <t xml:space="preserve">adjust D.O.s </t>
  </si>
  <si>
    <t>07171221_0712</t>
  </si>
  <si>
    <t>07171221_0812</t>
  </si>
  <si>
    <t>07171221_0912</t>
  </si>
  <si>
    <t>07171221_1042</t>
  </si>
  <si>
    <t>07171221_1142</t>
  </si>
  <si>
    <t>07171221_1242</t>
  </si>
  <si>
    <t>07171221_1525</t>
  </si>
  <si>
    <t>HV applied at 15:10</t>
  </si>
  <si>
    <t>07171221_1625</t>
  </si>
  <si>
    <t>07171221_1912</t>
  </si>
  <si>
    <t>HV applied at 19:00</t>
  </si>
  <si>
    <t>07171221_1922</t>
  </si>
  <si>
    <t>07171221_1932</t>
  </si>
  <si>
    <t>07171221_1942</t>
  </si>
  <si>
    <t>07171221_1953</t>
  </si>
  <si>
    <t>07171221_2003</t>
  </si>
  <si>
    <t>07171221_2013</t>
  </si>
  <si>
    <t>07171221_2023</t>
  </si>
  <si>
    <t>07171221_2033</t>
  </si>
  <si>
    <t>07171221_2043</t>
  </si>
  <si>
    <t>07171221_2053</t>
  </si>
  <si>
    <t>07171221_2103</t>
  </si>
  <si>
    <t>07171222_1728</t>
  </si>
  <si>
    <t>trigger DCRC3pC thresh 12</t>
  </si>
  <si>
    <t>07171222_1843</t>
  </si>
  <si>
    <t>flash between series</t>
  </si>
  <si>
    <t>07171222_1959</t>
  </si>
  <si>
    <t>07171222_2114</t>
  </si>
  <si>
    <t>07171222_2230</t>
  </si>
  <si>
    <t>07171222_2345</t>
  </si>
  <si>
    <t>07171223_0100</t>
  </si>
  <si>
    <t>07171223_0216</t>
  </si>
  <si>
    <t>07171223_0331</t>
  </si>
  <si>
    <t>07171223_0447</t>
  </si>
  <si>
    <t>07171223_0602</t>
  </si>
  <si>
    <t>07171223_0718</t>
  </si>
  <si>
    <t>07171223_1904</t>
  </si>
  <si>
    <t>trigger DCRC3pC thresh 11</t>
  </si>
  <si>
    <t>07171223_2020</t>
  </si>
  <si>
    <t>07171223_2136</t>
  </si>
  <si>
    <t>07171223_2252</t>
  </si>
  <si>
    <t>07171224_0008</t>
  </si>
  <si>
    <t>07171224_0124</t>
  </si>
  <si>
    <t>07171224_0240</t>
  </si>
  <si>
    <t>07171224_0356</t>
  </si>
  <si>
    <t>07171224_0512</t>
  </si>
  <si>
    <t>07171224_0628</t>
  </si>
  <si>
    <t>07171224_0744</t>
  </si>
  <si>
    <t>07171224_0900</t>
  </si>
  <si>
    <t>07171224_1248</t>
  </si>
  <si>
    <t>trigger DCRC1pA thresh 8</t>
  </si>
  <si>
    <t>07171224_1404</t>
  </si>
  <si>
    <t>07171224_1520</t>
  </si>
  <si>
    <t>07171224_1636</t>
  </si>
  <si>
    <t>07171224_1752</t>
  </si>
  <si>
    <t>07171224_1908</t>
  </si>
  <si>
    <t>07171224_2024</t>
  </si>
  <si>
    <t>07171224_2140</t>
  </si>
  <si>
    <t>07171224_2256</t>
  </si>
  <si>
    <t>07171225_0012</t>
  </si>
  <si>
    <t>07171225_0128</t>
  </si>
  <si>
    <t>07171225_0244</t>
  </si>
  <si>
    <t>07171225_1913</t>
  </si>
  <si>
    <t>07171225_2029</t>
  </si>
  <si>
    <t>07171225_2144</t>
  </si>
  <si>
    <t>07171225_2300</t>
  </si>
  <si>
    <t>07171226_0015</t>
  </si>
  <si>
    <t>07171226_0131</t>
  </si>
  <si>
    <t>07171226_0246</t>
  </si>
  <si>
    <t>07171226_0402</t>
  </si>
  <si>
    <t>07171226_0517</t>
  </si>
  <si>
    <t>07171226_0633</t>
  </si>
  <si>
    <t>07171226_0748</t>
  </si>
  <si>
    <t>07171226_0904</t>
  </si>
  <si>
    <t>07171226_1941</t>
  </si>
  <si>
    <t>07171226_2057</t>
  </si>
  <si>
    <t>07171226_2213</t>
  </si>
  <si>
    <t>07171226_2329</t>
  </si>
  <si>
    <t>07171227_0045</t>
  </si>
  <si>
    <t>07171227_0201</t>
  </si>
  <si>
    <t>07171227_0317</t>
  </si>
  <si>
    <t>07171227_0433</t>
  </si>
  <si>
    <t>07171227_0549</t>
  </si>
  <si>
    <t>07171227_0705</t>
  </si>
  <si>
    <t>07171227_0821</t>
  </si>
  <si>
    <t>07171227_0937</t>
  </si>
  <si>
    <t>07171227_1937</t>
  </si>
  <si>
    <t>07171227_2053</t>
  </si>
  <si>
    <t>07171227_2209</t>
  </si>
  <si>
    <t>5Hz in-series randoms</t>
  </si>
  <si>
    <t>07171227_2325</t>
  </si>
  <si>
    <t>07171228_0040</t>
  </si>
  <si>
    <t>07171228_0156</t>
  </si>
  <si>
    <t>07171228_0311</t>
  </si>
  <si>
    <t>07171228_0427</t>
  </si>
  <si>
    <t>07171228_0542</t>
  </si>
  <si>
    <t>07171228_0658</t>
  </si>
  <si>
    <t>07171228_1542</t>
  </si>
  <si>
    <t>trigger DCRC1pA, DCRC1pB, DCRC3pC</t>
  </si>
  <si>
    <t>07171228_1658</t>
  </si>
  <si>
    <t>thresh 8/11/11</t>
  </si>
  <si>
    <t>07171228_1814</t>
  </si>
  <si>
    <t>07171228_1930</t>
  </si>
  <si>
    <t>07171228_2047</t>
  </si>
  <si>
    <t>07171228_2203</t>
  </si>
  <si>
    <t>07171228_2319</t>
  </si>
  <si>
    <t>07171229_0035</t>
  </si>
  <si>
    <t>07171229_0151</t>
  </si>
  <si>
    <t>07171229_0307</t>
  </si>
  <si>
    <t>07171229_0423</t>
  </si>
  <si>
    <t>07171229_0539</t>
  </si>
  <si>
    <t>07171229_1147</t>
  </si>
  <si>
    <t>07171229_1148</t>
  </si>
  <si>
    <t>07171229_1246</t>
  </si>
  <si>
    <t>07171229_1404</t>
  </si>
  <si>
    <t>07180103_1351</t>
  </si>
  <si>
    <t>07180103_1403</t>
  </si>
  <si>
    <t>07180103_1500</t>
  </si>
  <si>
    <t>07180117_1411</t>
  </si>
  <si>
    <t>07180117_1445</t>
  </si>
  <si>
    <t>07180117_1502</t>
  </si>
  <si>
    <t>07180117_1513</t>
  </si>
  <si>
    <t>07180117_1520</t>
  </si>
  <si>
    <t>07180206_1643</t>
  </si>
  <si>
    <t>07180206_1644</t>
  </si>
  <si>
    <t>07180206_1657</t>
  </si>
  <si>
    <t>07180206_1701</t>
  </si>
  <si>
    <t>07180206_1712</t>
  </si>
  <si>
    <t>07180206_1713</t>
  </si>
  <si>
    <t>07180206_1716</t>
  </si>
  <si>
    <t>07180206_1719</t>
  </si>
  <si>
    <t>07180206_1721</t>
  </si>
  <si>
    <t>07180206_1725</t>
  </si>
  <si>
    <t>07180207_1059</t>
  </si>
  <si>
    <t>07180207_1103</t>
  </si>
  <si>
    <t>07180207_1135</t>
  </si>
  <si>
    <t>07180207_1139</t>
  </si>
  <si>
    <t>07180207_1141</t>
  </si>
  <si>
    <t>07180207_1145</t>
  </si>
  <si>
    <t>07180207_1150</t>
  </si>
  <si>
    <t>07180207_1153</t>
  </si>
  <si>
    <t>07180207_1157</t>
  </si>
  <si>
    <t>07180207_1200</t>
  </si>
  <si>
    <t>Vc</t>
  </si>
  <si>
    <t>07161019_1530</t>
  </si>
  <si>
    <t>07161019_1540</t>
  </si>
  <si>
    <t>full</t>
  </si>
  <si>
    <t>trigger too low</t>
  </si>
  <si>
    <t>07161019_1630</t>
  </si>
  <si>
    <t>07161019_1731</t>
  </si>
  <si>
    <t>07161019_1813</t>
  </si>
  <si>
    <t>07161019_1820</t>
  </si>
  <si>
    <t>07161019_1825</t>
  </si>
  <si>
    <t>07161019_1925</t>
  </si>
  <si>
    <t>07161019_2025</t>
  </si>
  <si>
    <t>07161019_2125</t>
  </si>
  <si>
    <t>07161019_2225</t>
  </si>
  <si>
    <t>07161019_2325</t>
  </si>
  <si>
    <t>07161020_0026</t>
  </si>
  <si>
    <t>07161020_0126</t>
  </si>
  <si>
    <t>07161020_0226</t>
  </si>
  <si>
    <t>07161020_0326</t>
  </si>
  <si>
    <t>07161020_0426</t>
  </si>
  <si>
    <t>07161020_0526</t>
  </si>
  <si>
    <t>07161020_0627</t>
  </si>
  <si>
    <t>07161020_0727</t>
  </si>
  <si>
    <t>07161020_0827</t>
  </si>
  <si>
    <t>07161020_1341</t>
  </si>
  <si>
    <t>test different trigger</t>
  </si>
  <si>
    <t>07161020_1707</t>
  </si>
  <si>
    <t>BEGIN lower QET biases</t>
  </si>
  <si>
    <t>07161020_1751</t>
  </si>
  <si>
    <t>07161020_1755</t>
  </si>
  <si>
    <t>07161020_1759</t>
  </si>
  <si>
    <t>DIB4pD railed</t>
  </si>
  <si>
    <t>07161020_1900</t>
  </si>
  <si>
    <t>07161020_2001</t>
  </si>
  <si>
    <t>07161020_2102</t>
  </si>
  <si>
    <t>07161020_2203</t>
  </si>
  <si>
    <t>07161020_2304</t>
  </si>
  <si>
    <t>07161021_0005</t>
  </si>
  <si>
    <t>07161021_0106</t>
  </si>
  <si>
    <t>07161021_0207</t>
  </si>
  <si>
    <t>07161021_0308</t>
  </si>
  <si>
    <t>07161021_0409</t>
  </si>
  <si>
    <t>07161021_0510</t>
  </si>
  <si>
    <t>07161021_0611</t>
  </si>
  <si>
    <t>07161021_0712</t>
  </si>
  <si>
    <t>07161021_0813</t>
  </si>
  <si>
    <t>DIB4pD et al railed</t>
  </si>
  <si>
    <t>07161021_0913</t>
  </si>
  <si>
    <t>?railed</t>
  </si>
  <si>
    <t>07161021_1014</t>
  </si>
  <si>
    <t>DIB2pC railed</t>
  </si>
  <si>
    <t>07161021_1117</t>
  </si>
  <si>
    <t>07161021_1218</t>
  </si>
  <si>
    <t>07161021_1319</t>
  </si>
  <si>
    <t>07161021_1420</t>
  </si>
  <si>
    <t>07161021_1521</t>
  </si>
  <si>
    <t>07161022_1628</t>
  </si>
  <si>
    <t>DIB1pD railed</t>
  </si>
  <si>
    <t>07161022_1728</t>
  </si>
  <si>
    <t>07161022_1828</t>
  </si>
  <si>
    <t>07161022_1928</t>
  </si>
  <si>
    <t>DIB1pD,DIB2pC railed</t>
  </si>
  <si>
    <t>07161022_2028</t>
  </si>
  <si>
    <t>07161022_2128</t>
  </si>
  <si>
    <t>07161022_2228</t>
  </si>
  <si>
    <t>07161022_2328</t>
  </si>
  <si>
    <t>07161023_0029</t>
  </si>
  <si>
    <t>07161023_0129</t>
  </si>
  <si>
    <t>07161023_0229</t>
  </si>
  <si>
    <t>07161023_0329</t>
  </si>
  <si>
    <t>07161023_0429</t>
  </si>
  <si>
    <t>07161023_0529</t>
  </si>
  <si>
    <t>07161023_0629</t>
  </si>
  <si>
    <t>07161024_0922</t>
  </si>
  <si>
    <t>07161024_0930</t>
  </si>
  <si>
    <t>07161024_1031</t>
  </si>
  <si>
    <t>07161024_1132</t>
  </si>
  <si>
    <t>07161024_1233</t>
  </si>
  <si>
    <t>transfer started 12:55</t>
  </si>
  <si>
    <t>07161024_1630</t>
  </si>
  <si>
    <t>full, long trace</t>
  </si>
  <si>
    <t>07161025_1635</t>
  </si>
  <si>
    <t>test (HVs1)</t>
  </si>
  <si>
    <t>07161025_1652</t>
  </si>
  <si>
    <t>07161025_1710</t>
  </si>
  <si>
    <t>HVs1, long trace</t>
  </si>
  <si>
    <t>07161025_1730</t>
  </si>
  <si>
    <t>HVs1</t>
  </si>
  <si>
    <t>07161025_1831</t>
  </si>
  <si>
    <t>07161025_1932</t>
  </si>
  <si>
    <t>very long series</t>
  </si>
  <si>
    <t>07161026_0844</t>
  </si>
  <si>
    <t>DCRC1pC railed</t>
  </si>
  <si>
    <t>07161026_0852</t>
  </si>
  <si>
    <t>07161027_1246</t>
  </si>
  <si>
    <t>NaI trigger</t>
  </si>
  <si>
    <t>07161027_1251</t>
  </si>
  <si>
    <t>07161027_1557</t>
  </si>
  <si>
    <t>07161027_1601</t>
  </si>
  <si>
    <t>07161027_1627</t>
  </si>
  <si>
    <t>07161027_1630</t>
  </si>
  <si>
    <t>07161027_1632</t>
  </si>
  <si>
    <t>07161027_1633</t>
  </si>
  <si>
    <t>07161027_1634</t>
  </si>
  <si>
    <t>07161027_1636</t>
  </si>
  <si>
    <t>07161027_1637</t>
  </si>
  <si>
    <t>07161028_1106</t>
  </si>
  <si>
    <t>07161028_1114</t>
  </si>
  <si>
    <t>07161028_1127</t>
  </si>
  <si>
    <t>07161028_1133</t>
  </si>
  <si>
    <t>07161028_1136</t>
  </si>
  <si>
    <t>07161028_1139</t>
  </si>
  <si>
    <t>07161028_1347</t>
  </si>
  <si>
    <t>07161102_1537</t>
  </si>
  <si>
    <t>07161102_1544</t>
  </si>
  <si>
    <t>s/c (QET bias=0)</t>
  </si>
  <si>
    <t>07161102_1556</t>
  </si>
  <si>
    <t>07161102_1621</t>
  </si>
  <si>
    <t>normal (MC heater on)</t>
  </si>
  <si>
    <t>07161102_1630</t>
  </si>
  <si>
    <t>07161102_1907</t>
  </si>
  <si>
    <t>07161102_2104</t>
  </si>
  <si>
    <t>07161102_2108</t>
  </si>
  <si>
    <t>one channel railed</t>
  </si>
  <si>
    <t>07161102_2117</t>
  </si>
  <si>
    <t>07161102_2333</t>
  </si>
  <si>
    <t>normal (? - heater?)</t>
  </si>
  <si>
    <t>07161103_1031</t>
  </si>
  <si>
    <t>HVs1, dIdV</t>
  </si>
  <si>
    <t>07161103_1208</t>
  </si>
  <si>
    <t>07161103_1212</t>
  </si>
  <si>
    <t>07161103_1224</t>
  </si>
  <si>
    <t>07161103_1251</t>
  </si>
  <si>
    <t>07161103_1256</t>
  </si>
  <si>
    <t>07161103_1510</t>
  </si>
  <si>
    <t>DCRC1pA railed</t>
  </si>
  <si>
    <t>07161103_1522</t>
  </si>
  <si>
    <t>07161103_1526</t>
  </si>
  <si>
    <t>07161103_1937</t>
  </si>
  <si>
    <t>HVs1 randoms</t>
  </si>
  <si>
    <t>07161103_2017</t>
  </si>
  <si>
    <t>07161103_2155</t>
  </si>
  <si>
    <t>07161103_2158</t>
  </si>
  <si>
    <t>07161103_2228</t>
  </si>
  <si>
    <t>07161103_2236</t>
  </si>
  <si>
    <t>07161103_2306</t>
  </si>
  <si>
    <t>07161103_2314</t>
  </si>
  <si>
    <t>later in run one railed, sample glitch</t>
  </si>
  <si>
    <t>07161104_1657</t>
  </si>
  <si>
    <t>07161105_1328</t>
  </si>
  <si>
    <t>07161105_1343</t>
  </si>
  <si>
    <t>5 V HV applied after 30 sec</t>
  </si>
  <si>
    <t>07161105_1430</t>
  </si>
  <si>
    <t>HV 0-&gt;15 V 5 starting @ 5 s</t>
  </si>
  <si>
    <t>07161105_1453</t>
  </si>
  <si>
    <t>HV 15-&gt;0 V</t>
  </si>
  <si>
    <t>07161105_1525</t>
  </si>
  <si>
    <t>30 V HV applied after 5 s</t>
  </si>
  <si>
    <t>07161105_1547</t>
  </si>
  <si>
    <t>HV 30-&gt;0 V</t>
  </si>
  <si>
    <t>07161105_1607</t>
  </si>
  <si>
    <t>07161105_1616</t>
  </si>
  <si>
    <t>60 V HV applied after 5 s</t>
  </si>
  <si>
    <t>07161105_1635</t>
  </si>
  <si>
    <t>HV 60-&gt;0 V</t>
  </si>
  <si>
    <t>07161105_1657</t>
  </si>
  <si>
    <t>07161105_1658</t>
  </si>
  <si>
    <t>45 V HV applied after 5 s</t>
  </si>
  <si>
    <t>07161106_1307</t>
  </si>
  <si>
    <t>07161106_1310</t>
  </si>
  <si>
    <t>07161106_1328</t>
  </si>
  <si>
    <t>07161106_1330</t>
  </si>
  <si>
    <t>HV = -5V</t>
  </si>
  <si>
    <t>07161106_1418</t>
  </si>
  <si>
    <t>HV = -15V</t>
  </si>
  <si>
    <t>07161106_1506</t>
  </si>
  <si>
    <t>HV = -30V</t>
  </si>
  <si>
    <t>07161106_1553</t>
  </si>
  <si>
    <t>HV = -45V</t>
  </si>
  <si>
    <t>07161106_1616</t>
  </si>
  <si>
    <t>HV -45-&gt;0</t>
  </si>
  <si>
    <t>07161106_1648</t>
  </si>
  <si>
    <t>HV = -60V</t>
  </si>
  <si>
    <t>07161106_1712</t>
  </si>
  <si>
    <t>07161107_1047</t>
  </si>
  <si>
    <t>HV = 0V</t>
  </si>
  <si>
    <t>07161107_1059</t>
  </si>
  <si>
    <t>HV = 30V w/overshoot</t>
  </si>
  <si>
    <t>07161107_1142</t>
  </si>
  <si>
    <t>HV = -30V w/overshoot</t>
  </si>
  <si>
    <t>07161107_1227</t>
  </si>
  <si>
    <t>HV = 45V w/overshoot</t>
  </si>
  <si>
    <t>07161107_1310</t>
  </si>
  <si>
    <t>HV = -45V w/overshoot</t>
  </si>
  <si>
    <t>07161107_1353</t>
  </si>
  <si>
    <t>HV = 60V w/overshoot</t>
  </si>
  <si>
    <t>07161107_1438</t>
  </si>
  <si>
    <t>HV = -60V w/overshoot</t>
  </si>
  <si>
    <t>07161108_1400</t>
  </si>
  <si>
    <t>PuBe activation</t>
  </si>
  <si>
    <t>07161108_1615</t>
  </si>
  <si>
    <t>HV = 60V</t>
  </si>
  <si>
    <t>07161109_1523</t>
  </si>
  <si>
    <t>07161109_1606</t>
  </si>
  <si>
    <t>07161109_1706</t>
  </si>
  <si>
    <t>mostly noise</t>
  </si>
  <si>
    <t>07161109_1806</t>
  </si>
  <si>
    <t>07161109_1906</t>
  </si>
  <si>
    <t>07161109_2006</t>
  </si>
  <si>
    <t>07161109_2107</t>
  </si>
  <si>
    <t>07161109_2207</t>
  </si>
  <si>
    <t>07161109_2307</t>
  </si>
  <si>
    <t>mostly noise, DCRC1pD railed</t>
  </si>
  <si>
    <t>07161110_0007</t>
  </si>
  <si>
    <t>07161110_0107</t>
  </si>
  <si>
    <t>07161110_0207</t>
  </si>
  <si>
    <t>07161110_0307</t>
  </si>
  <si>
    <t>07161110_0408</t>
  </si>
  <si>
    <t>07161110_0508</t>
  </si>
  <si>
    <t>07161110_0608</t>
  </si>
  <si>
    <t>07161110_1428</t>
  </si>
  <si>
    <t>processed using relative calibration inversely proportional to QET bias</t>
  </si>
  <si>
    <t>07161110_1528</t>
  </si>
  <si>
    <t>07161110_1628</t>
  </si>
  <si>
    <t>07161110_1728</t>
  </si>
  <si>
    <t>07161110_1828</t>
  </si>
  <si>
    <t>07161110_1928</t>
  </si>
  <si>
    <t>07161110_2029</t>
  </si>
  <si>
    <t>07161110_2129</t>
  </si>
  <si>
    <t>07161110_2229</t>
  </si>
  <si>
    <t>07161110_2329</t>
  </si>
  <si>
    <t>07161111_0029</t>
  </si>
  <si>
    <t>07161111_0129</t>
  </si>
  <si>
    <t>07161111_0229</t>
  </si>
  <si>
    <t>07161111_0330</t>
  </si>
  <si>
    <t>07161111_0430</t>
  </si>
  <si>
    <t>07161111_1243</t>
  </si>
  <si>
    <t>07161111_1555</t>
  </si>
  <si>
    <t>07161111_1656</t>
  </si>
  <si>
    <t>07161111_1756</t>
  </si>
  <si>
    <t>07161111_1857</t>
  </si>
  <si>
    <t>07161111_1958</t>
  </si>
  <si>
    <t>07161111_2059</t>
  </si>
  <si>
    <t>07161111_2200</t>
  </si>
  <si>
    <t>07161111_2301</t>
  </si>
  <si>
    <t>07161112_0002</t>
  </si>
  <si>
    <t>07161112_0103</t>
  </si>
  <si>
    <t>07161112_0204</t>
  </si>
  <si>
    <t>07161112_0305</t>
  </si>
  <si>
    <t>07161112_0406</t>
  </si>
  <si>
    <t>07161112_0507</t>
  </si>
  <si>
    <t>07161112_0608</t>
  </si>
  <si>
    <t>07161112_1920</t>
  </si>
  <si>
    <t>07161112_1930</t>
  </si>
  <si>
    <t>07161112_1933</t>
  </si>
  <si>
    <t>trigger on NaI detector, Y source</t>
  </si>
  <si>
    <t>07161112_2033</t>
  </si>
  <si>
    <t>NaI trigger, Y source</t>
  </si>
  <si>
    <t>07161112_2134</t>
  </si>
  <si>
    <t>07161112_2234</t>
  </si>
  <si>
    <t>07161112_2334</t>
  </si>
  <si>
    <t>07161113_0034</t>
  </si>
  <si>
    <t>07161113_0134</t>
  </si>
  <si>
    <t>07161113_0234</t>
  </si>
  <si>
    <t>07161113_0334</t>
  </si>
  <si>
    <t>07161113_0435</t>
  </si>
  <si>
    <t>07161113_0535</t>
  </si>
  <si>
    <t>07161113_0635</t>
  </si>
  <si>
    <t>07161113_0735</t>
  </si>
  <si>
    <t>07161113_0835</t>
  </si>
  <si>
    <t>07161113_0935</t>
  </si>
  <si>
    <t>07161113_1036</t>
  </si>
  <si>
    <t>07161113_1136</t>
  </si>
  <si>
    <t>07161113_1236</t>
  </si>
  <si>
    <t>07161113_1336</t>
  </si>
  <si>
    <t>07161113_1436</t>
  </si>
  <si>
    <t>07161113_1536</t>
  </si>
  <si>
    <t>07161113_1636</t>
  </si>
  <si>
    <t>07161113_1737</t>
  </si>
  <si>
    <t>07161113_1837</t>
  </si>
  <si>
    <t>07161113_1937</t>
  </si>
  <si>
    <t>07161113_2037</t>
  </si>
  <si>
    <t>07161113_2137</t>
  </si>
  <si>
    <t>07161113_2237</t>
  </si>
  <si>
    <t>07161113_2337</t>
  </si>
  <si>
    <t>07161114_0038</t>
  </si>
  <si>
    <t>07161114_0138</t>
  </si>
  <si>
    <t>07161114_0238</t>
  </si>
  <si>
    <t>07161114_0338</t>
  </si>
  <si>
    <t>07161114_0438</t>
  </si>
  <si>
    <t>07161114_0538</t>
  </si>
  <si>
    <t>07161114_0639</t>
  </si>
  <si>
    <t>07161114_1755</t>
  </si>
  <si>
    <t>07161114_1759</t>
  </si>
  <si>
    <t>07161114_1900</t>
  </si>
  <si>
    <t>07161114_2000</t>
  </si>
  <si>
    <t>07161114_2100</t>
  </si>
  <si>
    <t>07161114_2200</t>
  </si>
  <si>
    <t>07161114_2300</t>
  </si>
  <si>
    <t>07161115_0000</t>
  </si>
  <si>
    <t>07161115_0100</t>
  </si>
  <si>
    <t>07161115_0200</t>
  </si>
  <si>
    <t>07161115_0300</t>
  </si>
  <si>
    <t>07161115_0400</t>
  </si>
  <si>
    <t>07161115_0500</t>
  </si>
  <si>
    <t>07161115_0600</t>
  </si>
  <si>
    <t>07161115_0700</t>
  </si>
  <si>
    <t>07161115_0801</t>
  </si>
  <si>
    <t>07161115_1655</t>
  </si>
  <si>
    <t>07161115_1659</t>
  </si>
  <si>
    <t>07161115_1710</t>
  </si>
  <si>
    <t>07161115_1811</t>
  </si>
  <si>
    <t>07161115_1911</t>
  </si>
  <si>
    <t>07161115_2011</t>
  </si>
  <si>
    <t>07161115_2111</t>
  </si>
  <si>
    <t>07161115_2211</t>
  </si>
  <si>
    <t>07161115_2311</t>
  </si>
  <si>
    <t>07161116_0012</t>
  </si>
  <si>
    <t>07161116_0112</t>
  </si>
  <si>
    <t>07161116_0212</t>
  </si>
  <si>
    <t>07161116_0312</t>
  </si>
  <si>
    <t>07161116_0412</t>
  </si>
  <si>
    <t>07161116_0512</t>
  </si>
  <si>
    <t>07161116_0612</t>
  </si>
  <si>
    <t>07161116_0713</t>
  </si>
  <si>
    <t>07161117_1741</t>
  </si>
  <si>
    <t>07161117_1748</t>
  </si>
  <si>
    <t>07161117_1749</t>
  </si>
  <si>
    <t>07161117_1849</t>
  </si>
  <si>
    <t>07161117_1950</t>
  </si>
  <si>
    <t>07161117_2050</t>
  </si>
  <si>
    <t>07161117_2150</t>
  </si>
  <si>
    <t>07161117_2250</t>
  </si>
  <si>
    <t>07161117_2350</t>
  </si>
  <si>
    <t>07161118_0050</t>
  </si>
  <si>
    <t>07161118_0150</t>
  </si>
  <si>
    <t>07161118_0251</t>
  </si>
  <si>
    <t>07161118_0351</t>
  </si>
  <si>
    <t>07161118_0451</t>
  </si>
  <si>
    <t>07161118_0551</t>
  </si>
  <si>
    <t>07161118_0651</t>
  </si>
  <si>
    <t>07161118_0752</t>
  </si>
  <si>
    <t>07161120_1327</t>
  </si>
  <si>
    <t>07161120_1333</t>
  </si>
  <si>
    <t>07161121_1104</t>
  </si>
  <si>
    <t>07161121_1107</t>
  </si>
  <si>
    <t>07161121_1207</t>
  </si>
  <si>
    <t>07161121_1307</t>
  </si>
  <si>
    <t>07161121_1408</t>
  </si>
  <si>
    <t>07161121_1508</t>
  </si>
  <si>
    <t>07161121_1608</t>
  </si>
  <si>
    <t>07161121_1732</t>
  </si>
  <si>
    <t>07161121_1810</t>
  </si>
  <si>
    <t>07161121_1811</t>
  </si>
  <si>
    <t>07161121_1817</t>
  </si>
  <si>
    <t>07161121_1821</t>
  </si>
  <si>
    <t>07161121_1921</t>
  </si>
  <si>
    <t>07161121_2021</t>
  </si>
  <si>
    <t>07161121_2121</t>
  </si>
  <si>
    <t>07161121_2221</t>
  </si>
  <si>
    <t>07161121_2321</t>
  </si>
  <si>
    <t>07161122_0021</t>
  </si>
  <si>
    <t>07161122_0121</t>
  </si>
  <si>
    <t>07161122_0221</t>
  </si>
  <si>
    <t>07161122_0321</t>
  </si>
  <si>
    <t>07161122_0422</t>
  </si>
  <si>
    <t>07161122_0522</t>
  </si>
  <si>
    <t>07161122_0622</t>
  </si>
  <si>
    <t>07161122_0722</t>
  </si>
  <si>
    <t>07161122_0822</t>
  </si>
  <si>
    <t>07161122_0926</t>
  </si>
  <si>
    <t>PuBeAct</t>
  </si>
  <si>
    <t>07161122_0937</t>
  </si>
  <si>
    <t>07161122_1025</t>
  </si>
  <si>
    <t>07161122_1129</t>
  </si>
  <si>
    <t>07161122_1318</t>
  </si>
  <si>
    <t>07161122_1324</t>
  </si>
  <si>
    <t>07161122_1325</t>
  </si>
  <si>
    <t>07161122_1425</t>
  </si>
  <si>
    <t>07161122_1526</t>
  </si>
  <si>
    <t>07161122_1626</t>
  </si>
  <si>
    <t>07161122_1729</t>
  </si>
  <si>
    <t>07161122_1830</t>
  </si>
  <si>
    <t>07161122_1930</t>
  </si>
  <si>
    <t>07161122_2030</t>
  </si>
  <si>
    <t>07161122_2130</t>
  </si>
  <si>
    <t>07161122_2230</t>
  </si>
  <si>
    <t>07161122_2330</t>
  </si>
  <si>
    <t>07161123_0030</t>
  </si>
  <si>
    <t>07161123_0131</t>
  </si>
  <si>
    <t>07161123_0231</t>
  </si>
  <si>
    <t>07161123_0331</t>
  </si>
  <si>
    <t>07161123_0431</t>
  </si>
  <si>
    <t>07161123_0531</t>
  </si>
  <si>
    <t>07161123_0631</t>
  </si>
  <si>
    <t>07161123_0731</t>
  </si>
  <si>
    <t>07161123_1006</t>
  </si>
  <si>
    <t>07161123_1106</t>
  </si>
  <si>
    <t>07161123_1206</t>
  </si>
  <si>
    <t>07161123_1319</t>
  </si>
  <si>
    <t>07161123_1419</t>
  </si>
  <si>
    <t>07161123_1535</t>
  </si>
  <si>
    <t>07161123_1600</t>
  </si>
  <si>
    <t>07161123_1629</t>
  </si>
  <si>
    <t>07161123_1729</t>
  </si>
  <si>
    <t>07161123_1829</t>
  </si>
  <si>
    <t>07161123_1929</t>
  </si>
  <si>
    <t>07161123_2029</t>
  </si>
  <si>
    <t>07161123_2129</t>
  </si>
  <si>
    <t>07161123_2229</t>
  </si>
  <si>
    <t>07161123_2330</t>
  </si>
  <si>
    <t>07161124_0030</t>
  </si>
  <si>
    <t>07161124_0130</t>
  </si>
  <si>
    <t>07161124_0230</t>
  </si>
  <si>
    <t>07161124_0331</t>
  </si>
  <si>
    <t>07161124_0431</t>
  </si>
  <si>
    <t>07161124_0531</t>
  </si>
  <si>
    <t>07161124_0631</t>
  </si>
  <si>
    <t>07161124_0731</t>
  </si>
  <si>
    <t>07161124_0831</t>
  </si>
  <si>
    <t>07161124_0932</t>
  </si>
  <si>
    <t>07161124_1032</t>
  </si>
  <si>
    <t>07161124_1132</t>
  </si>
  <si>
    <t>07161124_1232</t>
  </si>
  <si>
    <t>07161124_1333</t>
  </si>
  <si>
    <t>07161124_1433</t>
  </si>
  <si>
    <t>07161124_1533</t>
  </si>
  <si>
    <t>07161124_1633</t>
  </si>
  <si>
    <t>07161124_1733</t>
  </si>
  <si>
    <t>07161124_1834</t>
  </si>
  <si>
    <t>07161124_1934</t>
  </si>
  <si>
    <t>07161124_2034</t>
  </si>
  <si>
    <t>07161124_2134</t>
  </si>
  <si>
    <t>07161124_2235</t>
  </si>
  <si>
    <t>07161124_2335</t>
  </si>
  <si>
    <t>07161125_0035</t>
  </si>
  <si>
    <t>07161125_0135</t>
  </si>
  <si>
    <t>07161125_0236</t>
  </si>
  <si>
    <t>07161125_0336</t>
  </si>
  <si>
    <t>07161125_0436</t>
  </si>
  <si>
    <t>07161125_0536</t>
  </si>
  <si>
    <t>07161125_0636</t>
  </si>
  <si>
    <t>07161125_0737</t>
  </si>
  <si>
    <t>07161125_0837</t>
  </si>
  <si>
    <t>07161125_0937</t>
  </si>
  <si>
    <t>07161125_1037</t>
  </si>
  <si>
    <t>07161125_1327</t>
  </si>
  <si>
    <t>07161125_1353</t>
  </si>
  <si>
    <t>88Y</t>
  </si>
  <si>
    <t>07161125_1453</t>
  </si>
  <si>
    <t>07161125_1554</t>
  </si>
  <si>
    <t>07161125_1654</t>
  </si>
  <si>
    <t>07161125_1755</t>
  </si>
  <si>
    <t>07161125_1855</t>
  </si>
  <si>
    <t>07161125_1955</t>
  </si>
  <si>
    <t>07161125_2056</t>
  </si>
  <si>
    <t>07161125_2156</t>
  </si>
  <si>
    <t>07161125_2256</t>
  </si>
  <si>
    <t>07161125_2357</t>
  </si>
  <si>
    <t>07161126_0057</t>
  </si>
  <si>
    <t>07161126_0157</t>
  </si>
  <si>
    <t>07161126_0257</t>
  </si>
  <si>
    <t>07161126_0357</t>
  </si>
  <si>
    <t>07161126_0458</t>
  </si>
  <si>
    <t>07161126_0558</t>
  </si>
  <si>
    <t>07161126_0658</t>
  </si>
  <si>
    <t>07161126_0759</t>
  </si>
  <si>
    <t>07161126_0859</t>
  </si>
  <si>
    <t>07161126_0959</t>
  </si>
  <si>
    <t>07161126_1100</t>
  </si>
  <si>
    <t>07161126_1200</t>
  </si>
  <si>
    <t>07161126_1300</t>
  </si>
  <si>
    <t>07161126_1400</t>
  </si>
  <si>
    <t>07161126_1501</t>
  </si>
  <si>
    <t>07161126_1601</t>
  </si>
  <si>
    <t>07161126_1701</t>
  </si>
  <si>
    <t>07161126_1802</t>
  </si>
  <si>
    <t>07161126_1902</t>
  </si>
  <si>
    <t>07161126_2002</t>
  </si>
  <si>
    <t>07161126_2102</t>
  </si>
  <si>
    <t>07161126_2202</t>
  </si>
  <si>
    <t>07161126_2302</t>
  </si>
  <si>
    <t>07161127_0002</t>
  </si>
  <si>
    <t>07161127_0102</t>
  </si>
  <si>
    <t>07161127_0202</t>
  </si>
  <si>
    <t>07161127_0302</t>
  </si>
  <si>
    <t>07161127_0402</t>
  </si>
  <si>
    <t>07161127_0502</t>
  </si>
  <si>
    <t>07161127_0602</t>
  </si>
  <si>
    <t>07161127_0702</t>
  </si>
  <si>
    <t>07161127_0803</t>
  </si>
  <si>
    <t>07161127_0903</t>
  </si>
  <si>
    <t>07161127_1003</t>
  </si>
  <si>
    <t>07161127_1103</t>
  </si>
  <si>
    <t>07161127_1203</t>
  </si>
  <si>
    <t>07161127_1303</t>
  </si>
  <si>
    <t>07161127_1403</t>
  </si>
  <si>
    <t>07161127_1503</t>
  </si>
  <si>
    <t>07161127_1603</t>
  </si>
  <si>
    <t>07161127_1703</t>
  </si>
  <si>
    <t>07161127_1803</t>
  </si>
  <si>
    <t>07161127_1903</t>
  </si>
  <si>
    <t>07161127_2003</t>
  </si>
  <si>
    <t>07161127_2103</t>
  </si>
  <si>
    <t>07161127_2203</t>
  </si>
  <si>
    <t>07161127_2304</t>
  </si>
  <si>
    <t>07161128_0004</t>
  </si>
  <si>
    <t>07161128_0104</t>
  </si>
  <si>
    <t>07161128_0204</t>
  </si>
  <si>
    <t>07161128_0304</t>
  </si>
  <si>
    <t>07161128_0404</t>
  </si>
  <si>
    <t>07161128_0504</t>
  </si>
  <si>
    <t>07161129_2046</t>
  </si>
  <si>
    <t>07161129_2058</t>
  </si>
  <si>
    <t>07161129_2112</t>
  </si>
  <si>
    <t>07161129_2123</t>
  </si>
  <si>
    <t>07161129_2138</t>
  </si>
  <si>
    <t>07161129_2154</t>
  </si>
  <si>
    <t>07161129_2254</t>
  </si>
  <si>
    <t>07161129_2354</t>
  </si>
  <si>
    <t>07161130_0054</t>
  </si>
  <si>
    <t>07161130_0154</t>
  </si>
  <si>
    <t>07161130_0254</t>
  </si>
  <si>
    <t>07161130_0354</t>
  </si>
  <si>
    <t>07161130_0454</t>
  </si>
  <si>
    <t>07161130_0554</t>
  </si>
  <si>
    <t>07161130_0655</t>
  </si>
  <si>
    <t>07161130_1525</t>
  </si>
  <si>
    <t>PuBeCoin</t>
  </si>
  <si>
    <t>07161130_1701</t>
  </si>
  <si>
    <t>07161130_1802</t>
  </si>
  <si>
    <t>07161130_1902</t>
  </si>
  <si>
    <t>07161130_2002</t>
  </si>
  <si>
    <t>07161130_2102</t>
  </si>
  <si>
    <t>07161130_2202</t>
  </si>
  <si>
    <t>07161130_2302</t>
  </si>
  <si>
    <t>07161201_0002</t>
  </si>
  <si>
    <t>07161201_0102</t>
  </si>
  <si>
    <t>07161201_0202</t>
  </si>
  <si>
    <t>07161201_0302</t>
  </si>
  <si>
    <t>07161201_0402</t>
  </si>
  <si>
    <t>07161201_0858</t>
  </si>
  <si>
    <t>07161201_1359</t>
  </si>
  <si>
    <t>07161201_1622</t>
  </si>
  <si>
    <t>07161201_1632</t>
  </si>
  <si>
    <t>07161201_1732</t>
  </si>
  <si>
    <t>07161201_1832</t>
  </si>
  <si>
    <t>07161201_1932</t>
  </si>
  <si>
    <t>07161201_2033</t>
  </si>
  <si>
    <t>07161201_2133</t>
  </si>
  <si>
    <t>07161201_2233</t>
  </si>
  <si>
    <t>07161201_2333</t>
  </si>
  <si>
    <t>07161202_0033</t>
  </si>
  <si>
    <t>07161202_0133</t>
  </si>
  <si>
    <t>07161202_0233</t>
  </si>
  <si>
    <t>07161202_0333</t>
  </si>
  <si>
    <t>07161202_0834</t>
  </si>
  <si>
    <t>07161202_0934</t>
  </si>
  <si>
    <t>07161202_1035</t>
  </si>
  <si>
    <t>07161202_1511</t>
  </si>
  <si>
    <t>higher QET biases</t>
  </si>
  <si>
    <t>07161202_1611</t>
  </si>
  <si>
    <t>07161202_1711</t>
  </si>
  <si>
    <t>07161202_1811</t>
  </si>
  <si>
    <t>07161202_1911</t>
  </si>
  <si>
    <t>07161202_2012</t>
  </si>
  <si>
    <t>07161202_2112</t>
  </si>
  <si>
    <t>07161202_2212</t>
  </si>
  <si>
    <t>07161202_2312</t>
  </si>
  <si>
    <t>DIB4pD railed after 18min</t>
  </si>
  <si>
    <t>07161203_0012</t>
  </si>
  <si>
    <t>07161203_0112</t>
  </si>
  <si>
    <t>07161203_0212</t>
  </si>
  <si>
    <t>07161203_1505</t>
  </si>
  <si>
    <t>07161203_1507</t>
  </si>
  <si>
    <t>07161203_1517</t>
  </si>
  <si>
    <t>na</t>
  </si>
  <si>
    <t>07161203_1617</t>
  </si>
  <si>
    <t>07161203_1717</t>
  </si>
  <si>
    <t>07161203_1817</t>
  </si>
  <si>
    <t>07161203_1917</t>
  </si>
  <si>
    <t>07161203_2017</t>
  </si>
  <si>
    <t>07161203_2118</t>
  </si>
  <si>
    <t>07161203_2218</t>
  </si>
  <si>
    <t>07161203_2318</t>
  </si>
  <si>
    <t>07161204_0018</t>
  </si>
  <si>
    <t>07161204_0118</t>
  </si>
  <si>
    <t>07161204_0218</t>
  </si>
  <si>
    <t>07161204_0319</t>
  </si>
  <si>
    <t>07161204_0419</t>
  </si>
  <si>
    <t>07161204_0519</t>
  </si>
  <si>
    <t>07161204_0619</t>
  </si>
  <si>
    <t>07161204_1050</t>
  </si>
  <si>
    <t>naCoin</t>
  </si>
  <si>
    <t>07161204_1058</t>
  </si>
  <si>
    <t>07161204_1158</t>
  </si>
  <si>
    <t>07161204_1258</t>
  </si>
  <si>
    <t>07161204_1358</t>
  </si>
  <si>
    <t>07161204_1459</t>
  </si>
  <si>
    <t>07161204_1559</t>
  </si>
  <si>
    <t>07161204_1659</t>
  </si>
  <si>
    <t>07161204_1759</t>
  </si>
  <si>
    <t>07161204_1859</t>
  </si>
  <si>
    <t>07161204_1959</t>
  </si>
  <si>
    <t>07161204_2059</t>
  </si>
  <si>
    <t>07161204_2159</t>
  </si>
  <si>
    <t>07161204_2259</t>
  </si>
  <si>
    <t>07161204_2359</t>
  </si>
  <si>
    <t>07161205_0059</t>
  </si>
  <si>
    <t>07161205_0159</t>
  </si>
  <si>
    <t>07161205_0259</t>
  </si>
  <si>
    <t>07161205_0400</t>
  </si>
  <si>
    <t>07161205_0500</t>
  </si>
  <si>
    <t>07161205_0600</t>
  </si>
  <si>
    <t>07161205_0700</t>
  </si>
  <si>
    <t>07161206_1245</t>
  </si>
  <si>
    <t>07161206_1345</t>
  </si>
  <si>
    <t>@ 13 min, all rail. @ 19 min only DCRC3pC railed</t>
  </si>
  <si>
    <t>07161206_1635</t>
  </si>
  <si>
    <t>stopped early</t>
  </si>
  <si>
    <t>driver gain reduced to 4x</t>
  </si>
  <si>
    <t>07161206_1641</t>
  </si>
  <si>
    <t>07161206_1648</t>
  </si>
  <si>
    <t>07161206_1713</t>
  </si>
  <si>
    <t>@ 17 min DCRC1pC railed (event 1563)</t>
  </si>
  <si>
    <t>07161206_1814</t>
  </si>
  <si>
    <t>07161206_1914</t>
  </si>
  <si>
    <t>07161206_2014</t>
  </si>
  <si>
    <t>07161206_2114</t>
  </si>
  <si>
    <t>07161206_2214</t>
  </si>
  <si>
    <t>07161206_2314</t>
  </si>
  <si>
    <t>07161207_0014</t>
  </si>
  <si>
    <t>07161207_0115</t>
  </si>
  <si>
    <t>07161207_0215</t>
  </si>
  <si>
    <t>07161207_0315</t>
  </si>
  <si>
    <t>07161207_0415</t>
  </si>
  <si>
    <t>07161207_0515</t>
  </si>
  <si>
    <t>07161207_0615</t>
  </si>
  <si>
    <t>07161207_0715</t>
  </si>
  <si>
    <t>07161207_0936</t>
  </si>
  <si>
    <t>07161207_0946</t>
  </si>
  <si>
    <t>07161207_0952</t>
  </si>
  <si>
    <t>07161207_0956</t>
  </si>
  <si>
    <t>07161207_1057</t>
  </si>
  <si>
    <t>07161207_1150</t>
  </si>
  <si>
    <t>07161207_1156</t>
  </si>
  <si>
    <t>07161207_1256</t>
  </si>
  <si>
    <t>07161207_1333</t>
  </si>
  <si>
    <t>07161207_1433</t>
  </si>
  <si>
    <t>07161207_1550</t>
  </si>
  <si>
    <t>07161207_1650</t>
  </si>
  <si>
    <t>07161207_1750</t>
  </si>
  <si>
    <t>07161207_1851</t>
  </si>
  <si>
    <t>07161207_1951</t>
  </si>
  <si>
    <t>07161207_2051</t>
  </si>
  <si>
    <t>07161207_2152</t>
  </si>
  <si>
    <t>07161207_2252</t>
  </si>
  <si>
    <t>07161207_2352</t>
  </si>
  <si>
    <t>07161208_0052</t>
  </si>
  <si>
    <t>07161208_0153</t>
  </si>
  <si>
    <t>07161208_0253</t>
  </si>
  <si>
    <t>07161208_0353</t>
  </si>
  <si>
    <t>07161208_0453</t>
  </si>
  <si>
    <t>07161208_1732</t>
  </si>
  <si>
    <t>DCRC1pC railed, threshold high</t>
  </si>
  <si>
    <t>processed using Ibias and prefactor weightings</t>
  </si>
  <si>
    <t>07161208_1832</t>
  </si>
  <si>
    <t>07161208_1932</t>
  </si>
  <si>
    <t>at 20:15 fix both problems</t>
  </si>
  <si>
    <t>07161208_2032</t>
  </si>
  <si>
    <t>07161208_2133</t>
  </si>
  <si>
    <t>07161208_2233</t>
  </si>
  <si>
    <t>07161208_2333</t>
  </si>
  <si>
    <t>07161209_0033</t>
  </si>
  <si>
    <t>07161209_0133</t>
  </si>
  <si>
    <t>07161209_0234</t>
  </si>
  <si>
    <t>07161209_0334</t>
  </si>
  <si>
    <t>07161209_0434</t>
  </si>
  <si>
    <t>07161209_0535</t>
  </si>
  <si>
    <t>07161209_0833</t>
  </si>
  <si>
    <t>07161209_1318</t>
  </si>
  <si>
    <t>07161209_1407</t>
  </si>
  <si>
    <t>07161209_1454</t>
  </si>
  <si>
    <t>07161209_1538</t>
  </si>
  <si>
    <t>07161209_1630</t>
  </si>
  <si>
    <t>07161209_1730</t>
  </si>
  <si>
    <t>07161209_1736</t>
  </si>
  <si>
    <t>07161209_1737</t>
  </si>
  <si>
    <t>07161209_1837</t>
  </si>
  <si>
    <t>07161209_1937</t>
  </si>
  <si>
    <t>07161209_2037</t>
  </si>
  <si>
    <t>07161209_2137</t>
  </si>
  <si>
    <t>07161209_2237</t>
  </si>
  <si>
    <t>07161209_2337</t>
  </si>
  <si>
    <t>07161210_0037</t>
  </si>
  <si>
    <t>07161210_0137</t>
  </si>
  <si>
    <t>07161210_0238</t>
  </si>
  <si>
    <t>07161210_0338</t>
  </si>
  <si>
    <t>07161210_0438</t>
  </si>
  <si>
    <t>07161210_0538</t>
  </si>
  <si>
    <t>07161210_0638</t>
  </si>
  <si>
    <t>07161210_1529</t>
  </si>
  <si>
    <t>07161210_1635</t>
  </si>
  <si>
    <t>07161210_1735</t>
  </si>
  <si>
    <t>07161210_1835</t>
  </si>
  <si>
    <t>07161210_1936</t>
  </si>
  <si>
    <t>07161210_2036</t>
  </si>
  <si>
    <t>07161210_2136</t>
  </si>
  <si>
    <t>07161210_2236</t>
  </si>
  <si>
    <t>07161210_2336</t>
  </si>
  <si>
    <t>07161211_0036</t>
  </si>
  <si>
    <t>07161211_0136</t>
  </si>
  <si>
    <t>07161211_0236</t>
  </si>
  <si>
    <t>07161211_0336</t>
  </si>
  <si>
    <t>07161211_0436</t>
  </si>
  <si>
    <t>07161211_0536</t>
  </si>
  <si>
    <t>07161211_0637</t>
  </si>
  <si>
    <t>07161211_0737</t>
  </si>
  <si>
    <t>07161212_1007</t>
  </si>
  <si>
    <t>07161212_1020</t>
  </si>
  <si>
    <t>07161212_1115</t>
  </si>
  <si>
    <t>07161212_1149</t>
  </si>
  <si>
    <t>07161212_1249</t>
  </si>
  <si>
    <t>07161212_1349</t>
  </si>
  <si>
    <t>07161213_1122</t>
  </si>
  <si>
    <t>07161213_1222</t>
  </si>
  <si>
    <t>07161213_1322</t>
  </si>
  <si>
    <t>07161213_2124</t>
  </si>
  <si>
    <t>22NaCoin</t>
  </si>
  <si>
    <t>07161213_2224</t>
  </si>
  <si>
    <t>07161213_2324</t>
  </si>
  <si>
    <t>07161214_0024</t>
  </si>
  <si>
    <t>07161214_0124</t>
  </si>
  <si>
    <t>07161214_0224</t>
  </si>
  <si>
    <t>07161214_0325</t>
  </si>
  <si>
    <t>07161214_0425</t>
  </si>
  <si>
    <t>07161214_0525</t>
  </si>
  <si>
    <t>07161214_0625</t>
  </si>
  <si>
    <t>07161214_1046</t>
  </si>
  <si>
    <t>07161214_1147</t>
  </si>
  <si>
    <t>07161214_1435</t>
  </si>
  <si>
    <t>07161214_1442</t>
  </si>
  <si>
    <t>07161214_1453</t>
  </si>
  <si>
    <t>07161214_1518</t>
  </si>
  <si>
    <t>07161214_1802</t>
  </si>
  <si>
    <t>PuBeBlank</t>
  </si>
  <si>
    <t>07161214_1816</t>
  </si>
  <si>
    <t>07161214_1917</t>
  </si>
  <si>
    <t>07161215_0818</t>
  </si>
  <si>
    <t>07161215_0918</t>
  </si>
  <si>
    <t>07161215_1018</t>
  </si>
  <si>
    <t>07161215_1118</t>
  </si>
  <si>
    <t>07161215_1219</t>
  </si>
  <si>
    <t>07161215_1319</t>
  </si>
  <si>
    <t>07170215_1217</t>
  </si>
  <si>
    <t>07170220_1432</t>
  </si>
  <si>
    <t>2-side</t>
  </si>
  <si>
    <t>-</t>
  </si>
  <si>
    <t>07170220_1459</t>
  </si>
  <si>
    <t>07170220_1600</t>
  </si>
  <si>
    <t>07170220_1614</t>
  </si>
  <si>
    <t>07170220_1715</t>
  </si>
  <si>
    <t>07170220_1816</t>
  </si>
  <si>
    <t>07170220_1917</t>
  </si>
  <si>
    <t>07170220_2018</t>
  </si>
  <si>
    <t>07170220_2118</t>
  </si>
  <si>
    <t>07170220_2219</t>
  </si>
  <si>
    <t>07170220_2320</t>
  </si>
  <si>
    <t>07170221_0021</t>
  </si>
  <si>
    <t>07170221_0122</t>
  </si>
  <si>
    <t>07170223_1632</t>
  </si>
  <si>
    <t>new QET biases</t>
  </si>
  <si>
    <t>07170223_1635</t>
  </si>
  <si>
    <t>HV S1</t>
  </si>
  <si>
    <t>07170224_0916</t>
  </si>
  <si>
    <t>07170224_0931</t>
  </si>
  <si>
    <t>07170224_1151</t>
  </si>
  <si>
    <t>all railed</t>
  </si>
  <si>
    <t>07170224_1512</t>
  </si>
  <si>
    <t>07170226_1230</t>
  </si>
  <si>
    <t>07170226_1259</t>
  </si>
  <si>
    <t>07170226_1400</t>
  </si>
  <si>
    <t>07170226_1501</t>
  </si>
  <si>
    <t>07170226_1602</t>
  </si>
  <si>
    <t>07170226_1703</t>
  </si>
  <si>
    <t>07170226_1804</t>
  </si>
  <si>
    <t>07170227_1218</t>
  </si>
  <si>
    <t>og = 4 on HV2/DCRC2</t>
  </si>
  <si>
    <t>07170227_1319</t>
  </si>
  <si>
    <t>07170227_1659</t>
  </si>
  <si>
    <t>07170227_1701</t>
  </si>
  <si>
    <t>07170227_1802</t>
  </si>
  <si>
    <t>07170227_1902</t>
  </si>
  <si>
    <t>07170227_2003</t>
  </si>
  <si>
    <t>07170227_2104</t>
  </si>
  <si>
    <t>07170227_2205</t>
  </si>
  <si>
    <t>07170227_2306</t>
  </si>
  <si>
    <t>07170228_0007</t>
  </si>
  <si>
    <t>07170228_0108</t>
  </si>
  <si>
    <t>07170228_0209</t>
  </si>
  <si>
    <t>07170228_0310</t>
  </si>
  <si>
    <t>07170228_0411</t>
  </si>
  <si>
    <t>07170228_0512</t>
  </si>
  <si>
    <t>07170228_0613</t>
  </si>
  <si>
    <t>07170228_1707</t>
  </si>
  <si>
    <t>07170228_1807</t>
  </si>
  <si>
    <t>07170228_1907</t>
  </si>
  <si>
    <t>07170228_2007</t>
  </si>
  <si>
    <t>07170228_2107</t>
  </si>
  <si>
    <t>07170228_2208</t>
  </si>
  <si>
    <t>07170228_2308</t>
  </si>
  <si>
    <t>07170301_0008</t>
  </si>
  <si>
    <t>07170301_0108</t>
  </si>
  <si>
    <t>07170301_0208</t>
  </si>
  <si>
    <t>07170301_0308</t>
  </si>
  <si>
    <t>07170301_0408</t>
  </si>
  <si>
    <t>07170301_0508</t>
  </si>
  <si>
    <t>07170301_0608</t>
  </si>
  <si>
    <t>07170301_1728</t>
  </si>
  <si>
    <t>07170301_1839</t>
  </si>
  <si>
    <t>07170301_1951</t>
  </si>
  <si>
    <t>07170301_2102</t>
  </si>
  <si>
    <t>07170301_2214</t>
  </si>
  <si>
    <t>07170301_2326</t>
  </si>
  <si>
    <t>07170302_0037</t>
  </si>
  <si>
    <t>07170302_0149</t>
  </si>
  <si>
    <t>07170302_0300</t>
  </si>
  <si>
    <t>07170302_0412</t>
  </si>
  <si>
    <t>07170302_1624</t>
  </si>
  <si>
    <t>07170302_1725</t>
  </si>
  <si>
    <t>07170302_1826</t>
  </si>
  <si>
    <t>07170302_1927</t>
  </si>
  <si>
    <t>07170302_2028</t>
  </si>
  <si>
    <t>07170302_2129</t>
  </si>
  <si>
    <t>07170302_2230</t>
  </si>
  <si>
    <t>07170302_2331</t>
  </si>
  <si>
    <t>07170303_0032</t>
  </si>
  <si>
    <t>07170303_0133</t>
  </si>
  <si>
    <t>07170303_0234</t>
  </si>
  <si>
    <t>07170303_0335</t>
  </si>
  <si>
    <t>07170304_1407</t>
  </si>
  <si>
    <t>07170304_1508</t>
  </si>
  <si>
    <t>07170304_1609</t>
  </si>
  <si>
    <t>07170304_1710</t>
  </si>
  <si>
    <t>07170304_1811</t>
  </si>
  <si>
    <t>07170304_1912</t>
  </si>
  <si>
    <t>07170304_2013</t>
  </si>
  <si>
    <t>07170304_2114</t>
  </si>
  <si>
    <t>07170304_2215</t>
  </si>
  <si>
    <t>07170304_2316</t>
  </si>
  <si>
    <t>07170305_0017</t>
  </si>
  <si>
    <t>07170305_0118</t>
  </si>
  <si>
    <t>07170305_0219</t>
  </si>
  <si>
    <t>07170305_0320</t>
  </si>
  <si>
    <t>07170305_0421</t>
  </si>
  <si>
    <t>07170305_0522</t>
  </si>
  <si>
    <t>07170306_1606</t>
  </si>
  <si>
    <t>shield up</t>
  </si>
  <si>
    <t>07170306_1706</t>
  </si>
  <si>
    <t xml:space="preserve">     |     </t>
  </si>
  <si>
    <t>07170306_1806</t>
  </si>
  <si>
    <t>07170306_1906</t>
  </si>
  <si>
    <t xml:space="preserve">     V     </t>
  </si>
  <si>
    <t>07170306_2006</t>
  </si>
  <si>
    <t>07170306_2106</t>
  </si>
  <si>
    <t>07170306_2207</t>
  </si>
  <si>
    <t>07170306_2307</t>
  </si>
  <si>
    <t>07170307_0007</t>
  </si>
  <si>
    <t>07170307_0107</t>
  </si>
  <si>
    <t>07170307_0207</t>
  </si>
  <si>
    <t>07170307_0307</t>
  </si>
  <si>
    <t>07170307_0407</t>
  </si>
  <si>
    <t>07170307_0507</t>
  </si>
  <si>
    <t>07170307_0608</t>
  </si>
  <si>
    <t>07170307_1257</t>
  </si>
  <si>
    <t>07170308_1137</t>
  </si>
  <si>
    <t>07170308_1235</t>
  </si>
  <si>
    <t>07170308_1341</t>
  </si>
  <si>
    <t>07170308_1348</t>
  </si>
  <si>
    <t>07170308_1507</t>
  </si>
  <si>
    <t>07170309_1153</t>
  </si>
  <si>
    <t>07170309_1158</t>
  </si>
  <si>
    <t>07170309_1508</t>
  </si>
  <si>
    <t>07170310_1042</t>
  </si>
  <si>
    <t>07170310_1232</t>
  </si>
  <si>
    <t>07170310_1739</t>
  </si>
  <si>
    <t>channels B and E biased so that</t>
  </si>
  <si>
    <t>07170310_1839</t>
  </si>
  <si>
    <t>Ibias*prefactor=40</t>
  </si>
  <si>
    <t>07170310_1940</t>
  </si>
  <si>
    <t>07170310_2040</t>
  </si>
  <si>
    <t>pD = 39.2</t>
  </si>
  <si>
    <t>07170310_2140</t>
  </si>
  <si>
    <t>pC = 24.2</t>
  </si>
  <si>
    <t>07170310_2240</t>
  </si>
  <si>
    <t>pF = 43.9</t>
  </si>
  <si>
    <t>07170310_2340</t>
  </si>
  <si>
    <t>07170311_0040</t>
  </si>
  <si>
    <t>OG = 4/2 on DCRC1/2</t>
  </si>
  <si>
    <t>07170311_0140</t>
  </si>
  <si>
    <t>07170311_0240</t>
  </si>
  <si>
    <t>07170311_0340</t>
  </si>
  <si>
    <t>07170311_0440</t>
  </si>
  <si>
    <t>07170311_0540</t>
  </si>
  <si>
    <t>07170311_0640</t>
  </si>
  <si>
    <t>07170311_0741</t>
  </si>
  <si>
    <t>trigger thresh lowered at 0803</t>
  </si>
  <si>
    <t>07170311_0850</t>
  </si>
  <si>
    <t>07170311_0950</t>
  </si>
  <si>
    <t>07170311_1050</t>
  </si>
  <si>
    <t>trigger thresh lowered at 1055</t>
  </si>
  <si>
    <t>07170311_1150</t>
  </si>
  <si>
    <t>07170311_1250</t>
  </si>
  <si>
    <t>07170311_1350</t>
  </si>
  <si>
    <t>07170311_1451</t>
  </si>
  <si>
    <t>07170311_1551</t>
  </si>
  <si>
    <t>07170311_1651</t>
  </si>
  <si>
    <t>07170311_1751</t>
  </si>
  <si>
    <t>07170311_1851</t>
  </si>
  <si>
    <t>07170311_1951</t>
  </si>
  <si>
    <t>07170311_2051</t>
  </si>
  <si>
    <t>07170311_2151</t>
  </si>
  <si>
    <t>07170311_2251</t>
  </si>
  <si>
    <t>07170311_2351</t>
  </si>
  <si>
    <t>07170312_0051</t>
  </si>
  <si>
    <t>07170312_0151</t>
  </si>
  <si>
    <t>07170312_0351</t>
  </si>
  <si>
    <t>07170312_0451</t>
  </si>
  <si>
    <t>07170312_0552</t>
  </si>
  <si>
    <t>07170312_0652</t>
  </si>
  <si>
    <t>07170312_0752</t>
  </si>
  <si>
    <t>07170312_0852</t>
  </si>
  <si>
    <t>07170312_1043</t>
  </si>
  <si>
    <t>trigger thresh lowered at start</t>
  </si>
  <si>
    <t>07170312_1143</t>
  </si>
  <si>
    <t>07170312_1243</t>
  </si>
  <si>
    <t>07170312_1343</t>
  </si>
  <si>
    <t>07170312_1443</t>
  </si>
  <si>
    <t>trigger thresh lowered at 1530</t>
  </si>
  <si>
    <t>07170312_1544</t>
  </si>
  <si>
    <t>07170312_1644</t>
  </si>
  <si>
    <t>07170312_1744</t>
  </si>
  <si>
    <t>07170312_1844</t>
  </si>
  <si>
    <t>07170312_1944</t>
  </si>
  <si>
    <t>07170312_2044</t>
  </si>
  <si>
    <t>07170312_2144</t>
  </si>
  <si>
    <t>07170312_2245</t>
  </si>
  <si>
    <t>07170312_2345</t>
  </si>
  <si>
    <t>07170313_0045</t>
  </si>
  <si>
    <t>07170313_0145</t>
  </si>
  <si>
    <t>07170313_0245</t>
  </si>
  <si>
    <t>07170313_0345</t>
  </si>
  <si>
    <t>07170313_0445</t>
  </si>
  <si>
    <t>07170313_0545</t>
  </si>
  <si>
    <t>07170313_0646</t>
  </si>
  <si>
    <t>07170313_0746</t>
  </si>
  <si>
    <t>07170313_0846</t>
  </si>
  <si>
    <t>07170313_0946</t>
  </si>
  <si>
    <t>07170313_1617</t>
  </si>
  <si>
    <t>07170313_1717</t>
  </si>
  <si>
    <t>07170313_1817</t>
  </si>
  <si>
    <t>07170313_1917</t>
  </si>
  <si>
    <t>07170313_2017</t>
  </si>
  <si>
    <t>07170313_2117</t>
  </si>
  <si>
    <t>07170313_2218</t>
  </si>
  <si>
    <t>07170313_2318</t>
  </si>
  <si>
    <t>07170314_0018</t>
  </si>
  <si>
    <t>07170314_0118</t>
  </si>
  <si>
    <t>07170314_0218</t>
  </si>
  <si>
    <t>07170314_0318</t>
  </si>
  <si>
    <t>07170314_0418</t>
  </si>
  <si>
    <t>07170314_0519</t>
  </si>
  <si>
    <t>07170314_1700</t>
  </si>
  <si>
    <t>channels B-E biased so that</t>
  </si>
  <si>
    <t>07170314_1800</t>
  </si>
  <si>
    <t>07170314_1900</t>
  </si>
  <si>
    <t>07170314_2000</t>
  </si>
  <si>
    <t>pF was closer to Ibias*pf=43.9</t>
  </si>
  <si>
    <t>07170314_2100</t>
  </si>
  <si>
    <t>07170314_2200</t>
  </si>
  <si>
    <t>07170314_2301</t>
  </si>
  <si>
    <t>07170315_0001</t>
  </si>
  <si>
    <t>07170315_0101</t>
  </si>
  <si>
    <t>07170315_0201</t>
  </si>
  <si>
    <t>07170315_0301</t>
  </si>
  <si>
    <t>07170315_0401</t>
  </si>
  <si>
    <t>07170315_1704</t>
  </si>
  <si>
    <t>channels biased so that</t>
  </si>
  <si>
    <t>07170315_1804</t>
  </si>
  <si>
    <t>07170315_1904</t>
  </si>
  <si>
    <t>07170315_2004</t>
  </si>
  <si>
    <t>07170315_2105</t>
  </si>
  <si>
    <t>07170315_2205</t>
  </si>
  <si>
    <t>07170315_2305</t>
  </si>
  <si>
    <t>07170316_0005</t>
  </si>
  <si>
    <t>07170316_0105</t>
  </si>
  <si>
    <t>07170316_0205</t>
  </si>
  <si>
    <t>07170316_0305</t>
  </si>
  <si>
    <t>07170316_0406</t>
  </si>
  <si>
    <t>07170316_1709</t>
  </si>
  <si>
    <t>07170316_1810</t>
  </si>
  <si>
    <t>07170316_1910</t>
  </si>
  <si>
    <t>07170316_2010</t>
  </si>
  <si>
    <t>07170316_2110</t>
  </si>
  <si>
    <t>07170316_2211</t>
  </si>
  <si>
    <t>07170316_2311</t>
  </si>
  <si>
    <t>07170317_0011</t>
  </si>
  <si>
    <t>07170317_0111</t>
  </si>
  <si>
    <t>07170317_0212</t>
  </si>
  <si>
    <t>07170317_0312</t>
  </si>
  <si>
    <t>07170317_0412</t>
  </si>
  <si>
    <t>07170317_1039</t>
  </si>
  <si>
    <t xml:space="preserve">HVs1 </t>
  </si>
  <si>
    <t>long-trace noise in s/c OG=4/2</t>
  </si>
  <si>
    <t>07170317_1123</t>
  </si>
  <si>
    <t>long-trace noise in norm, OG=4/2</t>
  </si>
  <si>
    <t>07170317_1454</t>
  </si>
  <si>
    <t>07170317_1459</t>
  </si>
  <si>
    <t>long-trace noise in trans, OG=4/3</t>
  </si>
  <si>
    <t>07170317_1755</t>
  </si>
  <si>
    <t>07170317_1855</t>
  </si>
  <si>
    <t>Ibias*prefactor=35</t>
  </si>
  <si>
    <t>07170317_1955</t>
  </si>
  <si>
    <t>07170317_2055</t>
  </si>
  <si>
    <t>07170317_2155</t>
  </si>
  <si>
    <t>07170317_2256</t>
  </si>
  <si>
    <t>07170317_2356</t>
  </si>
  <si>
    <t>07170318_0056</t>
  </si>
  <si>
    <t>07170318_0156</t>
  </si>
  <si>
    <t>07170318_0256</t>
  </si>
  <si>
    <t>07170318_0356</t>
  </si>
  <si>
    <t>07170318_0457</t>
  </si>
  <si>
    <t>07170318_0557</t>
  </si>
  <si>
    <t>07170318_0657</t>
  </si>
  <si>
    <t>07170318_0757</t>
  </si>
  <si>
    <t>07170318_0857</t>
  </si>
  <si>
    <t>07170318_0957</t>
  </si>
  <si>
    <t>07170318_1057</t>
  </si>
  <si>
    <t>07170318_1158</t>
  </si>
  <si>
    <t>07170318_1258</t>
  </si>
  <si>
    <t>07170318_1358</t>
  </si>
  <si>
    <t>07170318_1458</t>
  </si>
  <si>
    <t>07170318_1558</t>
  </si>
  <si>
    <t>07170319_0556</t>
  </si>
  <si>
    <t>07170319_0656</t>
  </si>
  <si>
    <t>07170319_0756</t>
  </si>
  <si>
    <t>07170319_0856</t>
  </si>
  <si>
    <t>07170319_0956</t>
  </si>
  <si>
    <t>07170319_1057</t>
  </si>
  <si>
    <t>07170319_1157</t>
  </si>
  <si>
    <t>07170319_1257</t>
  </si>
  <si>
    <t>07170319_1357</t>
  </si>
  <si>
    <t>07170319_1457</t>
  </si>
  <si>
    <t>07170319_1557</t>
  </si>
  <si>
    <t>07170319_1657</t>
  </si>
  <si>
    <t>07170319_1758</t>
  </si>
  <si>
    <t>07170319_1858</t>
  </si>
  <si>
    <t>07170319_1958</t>
  </si>
  <si>
    <t>07170319_2058</t>
  </si>
  <si>
    <t>07170319_2158</t>
  </si>
  <si>
    <t>07170319_2258</t>
  </si>
  <si>
    <t>07170319_2358</t>
  </si>
  <si>
    <t>07170320_0058</t>
  </si>
  <si>
    <t>07170320_0159</t>
  </si>
  <si>
    <t>07170320_0259</t>
  </si>
  <si>
    <t>07170320_0359</t>
  </si>
  <si>
    <t>07170320_0459</t>
  </si>
  <si>
    <t>07170320_1206</t>
  </si>
  <si>
    <t>07170320_1211</t>
  </si>
  <si>
    <t>07170320_1414</t>
  </si>
  <si>
    <t>long-trace noise in trans, OG=4/2</t>
  </si>
  <si>
    <t>07170320_1549</t>
  </si>
  <si>
    <t>07170320_1713</t>
  </si>
  <si>
    <t>07170321_1104</t>
  </si>
  <si>
    <t>07170321_1342</t>
  </si>
  <si>
    <t>07170321_1756</t>
  </si>
  <si>
    <t>07170321_1857</t>
  </si>
  <si>
    <t>07170321_1957</t>
  </si>
  <si>
    <t>07170321_2057</t>
  </si>
  <si>
    <t>07170321_2157</t>
  </si>
  <si>
    <t>07170321_2257</t>
  </si>
  <si>
    <t>07170321_2357</t>
  </si>
  <si>
    <t>07170322_0058</t>
  </si>
  <si>
    <t>07170322_0158</t>
  </si>
  <si>
    <t>07170322_0258</t>
  </si>
  <si>
    <t>07170322_0358</t>
  </si>
  <si>
    <t>07170322_0459</t>
  </si>
  <si>
    <t>07170322_0559</t>
  </si>
  <si>
    <t>07170322_0659</t>
  </si>
  <si>
    <t>07170322_1236</t>
  </si>
  <si>
    <t>57Co</t>
  </si>
  <si>
    <t>07170322_1336</t>
  </si>
  <si>
    <t>Ibias*prefactor=35/40 on DCRC1/2</t>
  </si>
  <si>
    <t>07170322_1437</t>
  </si>
  <si>
    <t>07170322_1537</t>
  </si>
  <si>
    <t>07170322_1619</t>
  </si>
  <si>
    <t>same as above</t>
  </si>
  <si>
    <t>07170322_1719</t>
  </si>
  <si>
    <t>07170322_1820</t>
  </si>
  <si>
    <t>07170322_1920</t>
  </si>
  <si>
    <t>07170322_2020</t>
  </si>
  <si>
    <t>07170322_2120</t>
  </si>
  <si>
    <t>07170322_2221</t>
  </si>
  <si>
    <t>07170322_2321</t>
  </si>
  <si>
    <t>07170323_0021</t>
  </si>
  <si>
    <t>07170323_0121</t>
  </si>
  <si>
    <t>07170323_0222</t>
  </si>
  <si>
    <t>07170323_0322</t>
  </si>
  <si>
    <t>07170323_0422</t>
  </si>
  <si>
    <t>07170323_0522</t>
  </si>
  <si>
    <t>07170323_1657</t>
  </si>
  <si>
    <t>07170323_1757</t>
  </si>
  <si>
    <t>07170323_1857</t>
  </si>
  <si>
    <t>07170323_1957</t>
  </si>
  <si>
    <t>07170323_2058</t>
  </si>
  <si>
    <t>DCRC2pC/Side1pC railed at start</t>
  </si>
  <si>
    <t>07170323_2158</t>
  </si>
  <si>
    <t>07170323_2258</t>
  </si>
  <si>
    <t>Vc = 19.7 V by end of sequence</t>
  </si>
  <si>
    <t>07170323_2359</t>
  </si>
  <si>
    <t>07170324_0059</t>
  </si>
  <si>
    <t>07170324_0159</t>
  </si>
  <si>
    <t>07170324_0300</t>
  </si>
  <si>
    <t>07170324_0400</t>
  </si>
  <si>
    <t>07170324_1023</t>
  </si>
  <si>
    <t>07170324_1208</t>
  </si>
  <si>
    <t>07170324_1548</t>
  </si>
  <si>
    <t>07170324_1648</t>
  </si>
  <si>
    <t>Ibias*prefactor=40/35 on DCRC1/2</t>
  </si>
  <si>
    <t>07170324_1749</t>
  </si>
  <si>
    <t>07170324_1849</t>
  </si>
  <si>
    <t>07170324_1949</t>
  </si>
  <si>
    <t>07170324_2049</t>
  </si>
  <si>
    <t>note DCRC2pD/pF</t>
  </si>
  <si>
    <t>07170324_2150</t>
  </si>
  <si>
    <t>had high noise,</t>
  </si>
  <si>
    <t>07170324_2250</t>
  </si>
  <si>
    <t>FEG=5 (usually 4)</t>
  </si>
  <si>
    <t>07170324_2350</t>
  </si>
  <si>
    <t>07170325_0051</t>
  </si>
  <si>
    <t>07170325_0151</t>
  </si>
  <si>
    <t>07170325_0252</t>
  </si>
  <si>
    <t>07170325_0352</t>
  </si>
  <si>
    <t>07170325_0452</t>
  </si>
  <si>
    <t>07170325_0553</t>
  </si>
  <si>
    <t>07170325_0653</t>
  </si>
  <si>
    <t>07170331_1810</t>
  </si>
  <si>
    <t>07170331_1910</t>
  </si>
  <si>
    <t>Ibias*prefactor=40 on all</t>
  </si>
  <si>
    <t>07170331_2010</t>
  </si>
  <si>
    <t>07170331_2110</t>
  </si>
  <si>
    <t>07170331_2210</t>
  </si>
  <si>
    <t>07170331_2310</t>
  </si>
  <si>
    <t>recalc Ib*prefac</t>
  </si>
  <si>
    <t>07170401_0010</t>
  </si>
  <si>
    <t>pE, pB, pD, pC, pF</t>
  </si>
  <si>
    <t>07170401_0111</t>
  </si>
  <si>
    <t>07170401_0211</t>
  </si>
  <si>
    <t>07170401_0311</t>
  </si>
  <si>
    <t>07170401_0411</t>
  </si>
  <si>
    <t>07170401_0511</t>
  </si>
  <si>
    <t>07170401_0611</t>
  </si>
  <si>
    <t>07170401_0711</t>
  </si>
  <si>
    <t>07170401_0811</t>
  </si>
  <si>
    <t>07170401_0911</t>
  </si>
  <si>
    <t>07170404_1757</t>
  </si>
  <si>
    <t>07170404_1857</t>
  </si>
  <si>
    <t>07170404_1958</t>
  </si>
  <si>
    <t>07170404_2058</t>
  </si>
  <si>
    <t>07170404_2158</t>
  </si>
  <si>
    <t>07170404_2258</t>
  </si>
  <si>
    <t>07170404_2358</t>
  </si>
  <si>
    <t>07170405_0058</t>
  </si>
  <si>
    <t>07170405_0158</t>
  </si>
  <si>
    <t>07170405_0258</t>
  </si>
  <si>
    <t>07170405_0358</t>
  </si>
  <si>
    <t>07170405_0458</t>
  </si>
  <si>
    <t>07170405_0558</t>
  </si>
  <si>
    <t>07170405_0658</t>
  </si>
  <si>
    <t>07170405_0758</t>
  </si>
  <si>
    <t>07170405_0858</t>
  </si>
  <si>
    <t>07170406_1708</t>
  </si>
  <si>
    <t>07170406_1808</t>
  </si>
  <si>
    <t>07170406_1908</t>
  </si>
  <si>
    <t>07170406_2008</t>
  </si>
  <si>
    <t>07170406_2109</t>
  </si>
  <si>
    <t>_2109 is extra long, DAQ crash</t>
  </si>
  <si>
    <t>07170407_1034</t>
  </si>
  <si>
    <t>_1034 probably short</t>
  </si>
  <si>
    <t>07170411_1129</t>
  </si>
  <si>
    <t>dp/di</t>
  </si>
  <si>
    <t>di/dp</t>
  </si>
  <si>
    <t>amp</t>
  </si>
  <si>
    <t>relcal</t>
  </si>
  <si>
    <t>exp amp</t>
  </si>
  <si>
    <t>act/exp</t>
  </si>
  <si>
    <t>di/dp rel</t>
  </si>
  <si>
    <t>amp rel</t>
  </si>
  <si>
    <t>dp/di / avg</t>
  </si>
  <si>
    <t>relcal / avg</t>
  </si>
  <si>
    <t>07170411_1141</t>
  </si>
  <si>
    <t>07170411_1251</t>
  </si>
  <si>
    <t>trigger adj +</t>
  </si>
  <si>
    <t>07170411_1828</t>
  </si>
  <si>
    <t>07170411_1352</t>
  </si>
  <si>
    <t>rail (30)</t>
  </si>
  <si>
    <t>07170411_1446</t>
  </si>
  <si>
    <t>07170411_1928</t>
  </si>
  <si>
    <t>07170411_1523</t>
  </si>
  <si>
    <t>07170411_1628</t>
  </si>
  <si>
    <t>change to pB triggering, adj +</t>
  </si>
  <si>
    <t>07170411_2028</t>
  </si>
  <si>
    <t>07170411_1728</t>
  </si>
  <si>
    <t>Ib*prefac=40 on all exc pE</t>
  </si>
  <si>
    <t>07170411_2128</t>
  </si>
  <si>
    <t>pE in next column</t>
  </si>
  <si>
    <t>07170411_2229</t>
  </si>
  <si>
    <t>07170416_1924</t>
  </si>
  <si>
    <t>07170417_1112</t>
  </si>
  <si>
    <t>2-sided</t>
  </si>
  <si>
    <t>07170417_1212</t>
  </si>
  <si>
    <t>Ibias*prefactor=20 on all</t>
  </si>
  <si>
    <t>07170417_1312</t>
  </si>
  <si>
    <t>OG = 4/2/4 on DCRC1/2/4</t>
  </si>
  <si>
    <t>07170417_1412</t>
  </si>
  <si>
    <t>07170417_1548</t>
  </si>
  <si>
    <t>07170417_1648</t>
  </si>
  <si>
    <t>07170417_1748</t>
  </si>
  <si>
    <t>07170417_1848</t>
  </si>
  <si>
    <t>07170417_1948</t>
  </si>
  <si>
    <t>07170417_2048</t>
  </si>
  <si>
    <t>07170417_2148</t>
  </si>
  <si>
    <t>07170417_2248</t>
  </si>
  <si>
    <t>07170417_2348</t>
  </si>
  <si>
    <t>07170418_0048</t>
  </si>
  <si>
    <t>07170418_0149</t>
  </si>
  <si>
    <t>07170418_0249</t>
  </si>
  <si>
    <t>07170418_0349</t>
  </si>
  <si>
    <t>07170418_0449</t>
  </si>
  <si>
    <t>07170418_0549</t>
  </si>
  <si>
    <t>07170418_0649</t>
  </si>
  <si>
    <t>07170418_0749</t>
  </si>
  <si>
    <t>07170419_1727</t>
  </si>
  <si>
    <t>stop early, railed</t>
  </si>
  <si>
    <t>07170419_1751</t>
  </si>
  <si>
    <t>07170419_1851</t>
  </si>
  <si>
    <t>07170419_1952</t>
  </si>
  <si>
    <t>07170419_2052</t>
  </si>
  <si>
    <t>07170419_2152</t>
  </si>
  <si>
    <t>07170419_2252</t>
  </si>
  <si>
    <t>07170419_2352</t>
  </si>
  <si>
    <t>07170420_0053</t>
  </si>
  <si>
    <t>07170420_0153</t>
  </si>
  <si>
    <t>07170420_0253</t>
  </si>
  <si>
    <t>07170420_0353</t>
  </si>
  <si>
    <t>07170420_0453</t>
  </si>
  <si>
    <t>07170421_1224</t>
  </si>
  <si>
    <t>HVs1+NaI</t>
  </si>
  <si>
    <t>NaI-trig</t>
  </si>
  <si>
    <t>07170424_1646</t>
  </si>
  <si>
    <t>NaI OR trig</t>
  </si>
  <si>
    <t>07170424_1756</t>
  </si>
  <si>
    <t>Na1 sgl trig</t>
  </si>
  <si>
    <t>07170425_1253</t>
  </si>
  <si>
    <t>07170426_1154</t>
  </si>
  <si>
    <t>HV4 trig</t>
  </si>
  <si>
    <t>07170426_1419</t>
  </si>
  <si>
    <t>07170426_1541</t>
  </si>
  <si>
    <t>07170426_1728</t>
  </si>
  <si>
    <t>10000 randoms</t>
  </si>
  <si>
    <t>07170426_1828</t>
  </si>
  <si>
    <t>07170426_1929</t>
  </si>
  <si>
    <t xml:space="preserve">starting at _1728, modify </t>
  </si>
  <si>
    <t>07170426_2029</t>
  </si>
  <si>
    <t>DCRC1pC/Side1pD QETbias</t>
  </si>
  <si>
    <t>07170426_2129</t>
  </si>
  <si>
    <t>07170426_2229</t>
  </si>
  <si>
    <t>other channels Ib*prefac = 30</t>
  </si>
  <si>
    <t>07170426_2329</t>
  </si>
  <si>
    <t>07170427_0029</t>
  </si>
  <si>
    <t>07170427_0129</t>
  </si>
  <si>
    <t>07170427_0230</t>
  </si>
  <si>
    <t>07170427_0330</t>
  </si>
  <si>
    <t>07170427_0430</t>
  </si>
  <si>
    <t>07170427_0917</t>
  </si>
  <si>
    <t xml:space="preserve">as above </t>
  </si>
  <si>
    <t>07170427_1720</t>
  </si>
  <si>
    <t>as below</t>
  </si>
  <si>
    <t>07170427_1840</t>
  </si>
  <si>
    <t>07170427_1940</t>
  </si>
  <si>
    <t>07170427_2040</t>
  </si>
  <si>
    <t>all channels Ib*prefac = 30</t>
  </si>
  <si>
    <t>07170427_2140</t>
  </si>
  <si>
    <t>07170427_2240</t>
  </si>
  <si>
    <t>07170427_2341</t>
  </si>
  <si>
    <t>07170428_0041</t>
  </si>
  <si>
    <t>07170428_0141</t>
  </si>
  <si>
    <t>07170428_0241</t>
  </si>
  <si>
    <t>07170428_0341</t>
  </si>
  <si>
    <t>07170428_0441</t>
  </si>
  <si>
    <t>07170428_0541</t>
  </si>
  <si>
    <t>07170428_0642</t>
  </si>
  <si>
    <t>07170428_0742</t>
  </si>
  <si>
    <t>07170428_1104</t>
  </si>
  <si>
    <t>07170428_1405</t>
  </si>
  <si>
    <t>07170428_1451</t>
  </si>
  <si>
    <t>07170428_1609</t>
  </si>
  <si>
    <t>1000 randoms</t>
  </si>
  <si>
    <t>07170428_1709</t>
  </si>
  <si>
    <t>07170428_1810</t>
  </si>
  <si>
    <t>07170428_1910</t>
  </si>
  <si>
    <t>07170428_2010</t>
  </si>
  <si>
    <t>07170428_2110</t>
  </si>
  <si>
    <t>07170428_2210</t>
  </si>
  <si>
    <t>07170428_2310</t>
  </si>
  <si>
    <t>07170429_0010</t>
  </si>
  <si>
    <t>07170429_0111</t>
  </si>
  <si>
    <t>07170429_0211</t>
  </si>
  <si>
    <t>07170429_0311</t>
  </si>
  <si>
    <t>07170429_0411</t>
  </si>
  <si>
    <t>07170429_0511</t>
  </si>
  <si>
    <t>07170429_0611</t>
  </si>
  <si>
    <t>07170429_0711</t>
  </si>
  <si>
    <t>07170429_0812</t>
  </si>
  <si>
    <t>07170429_0912</t>
  </si>
  <si>
    <t>07170429_1012</t>
  </si>
  <si>
    <t>07170429_1112</t>
  </si>
  <si>
    <t>07170429_1500</t>
  </si>
  <si>
    <t>~50</t>
  </si>
  <si>
    <t>07170429_1600</t>
  </si>
  <si>
    <t>07170429_1701</t>
  </si>
  <si>
    <t>07170429_1801</t>
  </si>
  <si>
    <t>07170429_1901</t>
  </si>
  <si>
    <t>railed channels</t>
  </si>
  <si>
    <t>07170429_2002</t>
  </si>
  <si>
    <t>07170429_2102</t>
  </si>
  <si>
    <t>07170429_2202</t>
  </si>
  <si>
    <t>07170429_2303</t>
  </si>
  <si>
    <t>07170430_0003</t>
  </si>
  <si>
    <t>07170430_0103</t>
  </si>
  <si>
    <t>07170430_0204</t>
  </si>
  <si>
    <t>07170430_0304</t>
  </si>
  <si>
    <t>07170430_0405</t>
  </si>
  <si>
    <t>07170430_0505</t>
  </si>
  <si>
    <t>07170430_0606</t>
  </si>
  <si>
    <t>07170430_0706</t>
  </si>
  <si>
    <t>07170430_0806</t>
  </si>
  <si>
    <t>07170430_0906</t>
  </si>
  <si>
    <t>07170430_1006</t>
  </si>
  <si>
    <t>07170430_1106</t>
  </si>
  <si>
    <t>07170430_1425</t>
  </si>
  <si>
    <t>07170430_1525</t>
  </si>
  <si>
    <t>07170430_1626</t>
  </si>
  <si>
    <t>07170430_1726</t>
  </si>
  <si>
    <t>07170430_1826</t>
  </si>
  <si>
    <t>07170430_1926</t>
  </si>
  <si>
    <t>07170430_2026</t>
  </si>
  <si>
    <t>07170430_2126</t>
  </si>
  <si>
    <t>07170430_2226</t>
  </si>
  <si>
    <t>07170430_2327</t>
  </si>
  <si>
    <t>07170501_0027</t>
  </si>
  <si>
    <t>07170501_0127</t>
  </si>
  <si>
    <t>07170501_0228</t>
  </si>
  <si>
    <t>07170501_0329</t>
  </si>
  <si>
    <t>07170501_0429</t>
  </si>
  <si>
    <t>07170501_0529</t>
  </si>
  <si>
    <t>07170501_0630</t>
  </si>
  <si>
    <t>07170501_0731</t>
  </si>
  <si>
    <t>07170501_0832</t>
  </si>
  <si>
    <t>07170501_1016</t>
  </si>
  <si>
    <t>07170501_1551</t>
  </si>
  <si>
    <t>07170501_1656</t>
  </si>
  <si>
    <t>07170501_1756</t>
  </si>
  <si>
    <t>07170501_1857</t>
  </si>
  <si>
    <t>07170501_1958</t>
  </si>
  <si>
    <t>07170501_2059</t>
  </si>
  <si>
    <t>07170501_2200</t>
  </si>
  <si>
    <t>07170501_2300</t>
  </si>
  <si>
    <t>07170502_0001</t>
  </si>
  <si>
    <t>07170502_0102</t>
  </si>
  <si>
    <t>07170502_0203</t>
  </si>
  <si>
    <t>07170502_0303</t>
  </si>
  <si>
    <t>07170502_0404</t>
  </si>
  <si>
    <t>07170502_0505</t>
  </si>
  <si>
    <t>07170502_0606</t>
  </si>
  <si>
    <t>07170502_0706</t>
  </si>
  <si>
    <t>07170502_0807</t>
  </si>
  <si>
    <t>07170502_0908</t>
  </si>
  <si>
    <t>short, aborted</t>
  </si>
  <si>
    <t>07170502_0913</t>
  </si>
  <si>
    <t>as above, DCRC4 disabled</t>
  </si>
  <si>
    <t>07170502_1256</t>
  </si>
  <si>
    <t>as below, DCRC4 disable, trigger changes</t>
  </si>
  <si>
    <t>07170502_1406</t>
  </si>
  <si>
    <t>07170502_1507</t>
  </si>
  <si>
    <t>07170502_1608</t>
  </si>
  <si>
    <t>07170502_1709</t>
  </si>
  <si>
    <t>07170502_1810</t>
  </si>
  <si>
    <t>07170502_1911</t>
  </si>
  <si>
    <t>07170502_2012</t>
  </si>
  <si>
    <t>07170503_0938</t>
  </si>
  <si>
    <t>07170503_1025</t>
  </si>
  <si>
    <t>as above</t>
  </si>
  <si>
    <t>07170503_1226</t>
  </si>
  <si>
    <t>test, 5min</t>
  </si>
  <si>
    <t>07170503_1241</t>
  </si>
  <si>
    <t>test, 5min, reduced charge trace length</t>
  </si>
  <si>
    <t>07170503_1338</t>
  </si>
  <si>
    <t>as below. No trigger for 7 min</t>
  </si>
  <si>
    <t>07170503_1444</t>
  </si>
  <si>
    <t>07170503_1544</t>
  </si>
  <si>
    <t>07170503_1644</t>
  </si>
  <si>
    <t>07170503_1744</t>
  </si>
  <si>
    <t>07170503_1845</t>
  </si>
  <si>
    <t>07170503_1945</t>
  </si>
  <si>
    <t>07170503_2045</t>
  </si>
  <si>
    <t>07170503_2145</t>
  </si>
  <si>
    <t>07170503_2245</t>
  </si>
  <si>
    <t>07170503_2346</t>
  </si>
  <si>
    <t>07170504_0046</t>
  </si>
  <si>
    <t>07170504_0146</t>
  </si>
  <si>
    <t>07170504_0247</t>
  </si>
  <si>
    <t>07170504_0347</t>
  </si>
  <si>
    <t>07170504_0447</t>
  </si>
  <si>
    <t>07170504_0547</t>
  </si>
  <si>
    <t>07170504_0648</t>
  </si>
  <si>
    <t>07170504_0748</t>
  </si>
  <si>
    <t>07170504_0848</t>
  </si>
  <si>
    <t>07170504_0952</t>
  </si>
  <si>
    <t>07170504_1305</t>
  </si>
  <si>
    <t>07170504_1418</t>
  </si>
  <si>
    <t>07170504_1518</t>
  </si>
  <si>
    <t>07170504_1619</t>
  </si>
  <si>
    <t>07170504_1719</t>
  </si>
  <si>
    <t>07170504_1819</t>
  </si>
  <si>
    <t>07170504_1919</t>
  </si>
  <si>
    <t>07170504_2020</t>
  </si>
  <si>
    <t>07170504_2120</t>
  </si>
  <si>
    <t>07170504_2220</t>
  </si>
  <si>
    <t>07170504_2321</t>
  </si>
  <si>
    <t>07170505_0021</t>
  </si>
  <si>
    <t>07170505_0121</t>
  </si>
  <si>
    <t>07170505_0222</t>
  </si>
  <si>
    <t>07170505_0322</t>
  </si>
  <si>
    <t>07170505_0422</t>
  </si>
  <si>
    <t>07170505_0522</t>
  </si>
  <si>
    <t>07170505_0623</t>
  </si>
  <si>
    <t>07170505_0723</t>
  </si>
  <si>
    <t>07170505_0823</t>
  </si>
  <si>
    <t>07170505_0925</t>
  </si>
  <si>
    <t>07170505_1437</t>
  </si>
  <si>
    <t>abort, railed channel</t>
  </si>
  <si>
    <t>07170505_1602</t>
  </si>
  <si>
    <t>07170505_1714</t>
  </si>
  <si>
    <t>07170505_1814</t>
  </si>
  <si>
    <t>07170505_1914</t>
  </si>
  <si>
    <t>07170505_2015</t>
  </si>
  <si>
    <t>07170505_2115</t>
  </si>
  <si>
    <t>07170505_2215</t>
  </si>
  <si>
    <t>07170505_2316</t>
  </si>
  <si>
    <t>07170506_0016</t>
  </si>
  <si>
    <t>07170506_0116</t>
  </si>
  <si>
    <t>07170506_0217</t>
  </si>
  <si>
    <t>07170506_0317</t>
  </si>
  <si>
    <t>07170506_0417</t>
  </si>
  <si>
    <t>07170506_0518</t>
  </si>
  <si>
    <t>07170506_0618</t>
  </si>
  <si>
    <t>07170506_0719</t>
  </si>
  <si>
    <t>07170506_0819</t>
  </si>
  <si>
    <t>07170506_0920</t>
  </si>
  <si>
    <t>07170506_1020</t>
  </si>
  <si>
    <t>07170506_1120</t>
  </si>
  <si>
    <t>07170506_1549</t>
  </si>
  <si>
    <t>07170506_1554</t>
  </si>
  <si>
    <t>07170506_1654</t>
  </si>
  <si>
    <t>07170506_1754</t>
  </si>
  <si>
    <t>07170506_1855</t>
  </si>
  <si>
    <t>07170506_1955</t>
  </si>
  <si>
    <t>07170506_2056</t>
  </si>
  <si>
    <t>07170506_2156</t>
  </si>
  <si>
    <t>07170506_2257</t>
  </si>
  <si>
    <t>07170506_2357</t>
  </si>
  <si>
    <t>07170507_0058</t>
  </si>
  <si>
    <t>07170507_0158</t>
  </si>
  <si>
    <t>07170507_0258</t>
  </si>
  <si>
    <t>07170507_0359</t>
  </si>
  <si>
    <t>07170507_0459</t>
  </si>
  <si>
    <t>07170507_0600</t>
  </si>
  <si>
    <t>07170507_0700</t>
  </si>
  <si>
    <t>07170507_0800</t>
  </si>
  <si>
    <t>07170507_0901</t>
  </si>
  <si>
    <t>07170507_1001</t>
  </si>
  <si>
    <t>07170507_1435</t>
  </si>
  <si>
    <t>07170507_1535</t>
  </si>
  <si>
    <t>07170507_1636</t>
  </si>
  <si>
    <t>07170507_1737</t>
  </si>
  <si>
    <t>07170507_1837</t>
  </si>
  <si>
    <t>07170507_1938</t>
  </si>
  <si>
    <t>07170507_2038</t>
  </si>
  <si>
    <t>07170507_2138</t>
  </si>
  <si>
    <t>07170507_2239</t>
  </si>
  <si>
    <t>07170507_2340</t>
  </si>
  <si>
    <t>07170508_0040</t>
  </si>
  <si>
    <t>07170508_0141</t>
  </si>
  <si>
    <t>07170508_0241</t>
  </si>
  <si>
    <t>07170508_0342</t>
  </si>
  <si>
    <t>07170508_0443</t>
  </si>
  <si>
    <t>07170508_0543</t>
  </si>
  <si>
    <t>07170508_0644</t>
  </si>
  <si>
    <t>07170508_0744</t>
  </si>
  <si>
    <t>07170508_0845</t>
  </si>
  <si>
    <t>07170508_0948</t>
  </si>
  <si>
    <t>as above. Many trigger changes.</t>
  </si>
  <si>
    <t>07170508_1249</t>
  </si>
  <si>
    <t>07170508_1353</t>
  </si>
  <si>
    <t>07170508_1454</t>
  </si>
  <si>
    <t>07170508_1554</t>
  </si>
  <si>
    <t>07170508_1655</t>
  </si>
  <si>
    <t>07170508_1755</t>
  </si>
  <si>
    <t>07170508_1856</t>
  </si>
  <si>
    <t>07170508_1956</t>
  </si>
  <si>
    <t>07170508_2057</t>
  </si>
  <si>
    <t>07170508_2158</t>
  </si>
  <si>
    <t>07170508_2258</t>
  </si>
  <si>
    <t>07170508_2359</t>
  </si>
  <si>
    <t>07170509_0059</t>
  </si>
  <si>
    <t>07170509_0200</t>
  </si>
  <si>
    <t>07170509_0301</t>
  </si>
  <si>
    <t>07170509_0401</t>
  </si>
  <si>
    <t>07170509_0502</t>
  </si>
  <si>
    <t>07170509_0603</t>
  </si>
  <si>
    <t>07170509_0704</t>
  </si>
  <si>
    <t>07170509_0804</t>
  </si>
  <si>
    <t>07170509_0909</t>
  </si>
  <si>
    <t>07170509_1547</t>
  </si>
  <si>
    <t>07170509_1650</t>
  </si>
  <si>
    <t>07170509_1751</t>
  </si>
  <si>
    <t>07170509_1851</t>
  </si>
  <si>
    <t>07170509_1952</t>
  </si>
  <si>
    <t>07170509_2053</t>
  </si>
  <si>
    <t>07170509_2153</t>
  </si>
  <si>
    <t>07170509_2254</t>
  </si>
  <si>
    <t>07170509_2355</t>
  </si>
  <si>
    <t>07170510_0055</t>
  </si>
  <si>
    <t>07170510_0156</t>
  </si>
  <si>
    <t>07170510_0257</t>
  </si>
  <si>
    <t>07170510_0357</t>
  </si>
  <si>
    <t>07170510_0458</t>
  </si>
  <si>
    <t>07170510_0559</t>
  </si>
  <si>
    <t>07170510_0700</t>
  </si>
  <si>
    <t>07170510_0800</t>
  </si>
  <si>
    <t>07170510_0901</t>
  </si>
  <si>
    <t>07170510_1004</t>
  </si>
  <si>
    <t>07170510_1316</t>
  </si>
  <si>
    <t>07170510_1427</t>
  </si>
  <si>
    <t>07170510_1528</t>
  </si>
  <si>
    <t>07170510_1629</t>
  </si>
  <si>
    <t>07170510_1729</t>
  </si>
  <si>
    <t>07170510_1830</t>
  </si>
  <si>
    <t>07170510_1931</t>
  </si>
  <si>
    <t>07170510_2031</t>
  </si>
  <si>
    <t>07170510_2132</t>
  </si>
  <si>
    <t>07170510_2233</t>
  </si>
  <si>
    <t>07170510_2334</t>
  </si>
  <si>
    <t>07170511_0035</t>
  </si>
  <si>
    <t>07170511_0135</t>
  </si>
  <si>
    <t>07170511_0236</t>
  </si>
  <si>
    <t>07170511_0337</t>
  </si>
  <si>
    <t>07170511_0438</t>
  </si>
  <si>
    <t>07170511_0538</t>
  </si>
  <si>
    <t>07170511_0639</t>
  </si>
  <si>
    <t>07170511_0739</t>
  </si>
  <si>
    <t>07170511_0840</t>
  </si>
  <si>
    <t>07170511_0946</t>
  </si>
  <si>
    <t>07170512_1641</t>
  </si>
  <si>
    <t>07170512_1646</t>
  </si>
  <si>
    <t>reduce trig</t>
  </si>
  <si>
    <t>07170512_1746</t>
  </si>
  <si>
    <t>07170512_1847</t>
  </si>
  <si>
    <t>07170512_1947</t>
  </si>
  <si>
    <t>07170512_2047</t>
  </si>
  <si>
    <t xml:space="preserve">2 channels railed </t>
  </si>
  <si>
    <t>07170512_2147</t>
  </si>
  <si>
    <t>during first series</t>
  </si>
  <si>
    <t>07170512_2247</t>
  </si>
  <si>
    <t>07170512_2348</t>
  </si>
  <si>
    <t>07170513_0048</t>
  </si>
  <si>
    <t>07170513_0148</t>
  </si>
  <si>
    <t>07170513_0248</t>
  </si>
  <si>
    <t>07170513_0348</t>
  </si>
  <si>
    <t>07170513_0449</t>
  </si>
  <si>
    <t>07170513_0549</t>
  </si>
  <si>
    <t>07170513_0649</t>
  </si>
  <si>
    <t>07170513_0749</t>
  </si>
  <si>
    <t>07170513_0850</t>
  </si>
  <si>
    <t>07170513_0950</t>
  </si>
  <si>
    <t>07170513_1050</t>
  </si>
  <si>
    <t>07170513_1150</t>
  </si>
  <si>
    <t>07170513_1511</t>
  </si>
  <si>
    <t>07170513_1611</t>
  </si>
  <si>
    <t>07170513_1711</t>
  </si>
  <si>
    <t>07170513_1812</t>
  </si>
  <si>
    <t>07170513_1912</t>
  </si>
  <si>
    <t>07170513_2012</t>
  </si>
  <si>
    <t>07170513_2113</t>
  </si>
  <si>
    <t>07170513_2213</t>
  </si>
  <si>
    <t>07170513_2313</t>
  </si>
  <si>
    <t>07170514_0014</t>
  </si>
  <si>
    <t>07170514_0114</t>
  </si>
  <si>
    <t>07170514_0214</t>
  </si>
  <si>
    <t>07170514_0314</t>
  </si>
  <si>
    <t>07170514_0415</t>
  </si>
  <si>
    <t>07170514_0515</t>
  </si>
  <si>
    <t>07170514_0615</t>
  </si>
  <si>
    <t>07170514_0715</t>
  </si>
  <si>
    <t>07170514_0816</t>
  </si>
  <si>
    <t>07170514_0916</t>
  </si>
  <si>
    <t>07170514_1016</t>
  </si>
  <si>
    <t>07170514_1117</t>
  </si>
  <si>
    <t>07170514_1817</t>
  </si>
  <si>
    <t>07170514_1918</t>
  </si>
  <si>
    <t>07170514_2018</t>
  </si>
  <si>
    <t>07170514_2118</t>
  </si>
  <si>
    <t>07170514_2219</t>
  </si>
  <si>
    <t>07170514_2319</t>
  </si>
  <si>
    <t>07170515_0019</t>
  </si>
  <si>
    <t>07170515_0120</t>
  </si>
  <si>
    <t>07170515_0220</t>
  </si>
  <si>
    <t>07170515_0320</t>
  </si>
  <si>
    <t>07170515_0420</t>
  </si>
  <si>
    <t>07170515_0521</t>
  </si>
  <si>
    <t>07170515_0621</t>
  </si>
  <si>
    <t>07170515_0721</t>
  </si>
  <si>
    <t>07170515_0822</t>
  </si>
  <si>
    <t>07170515_0922</t>
  </si>
  <si>
    <t>07170515_1041</t>
  </si>
  <si>
    <t>as above. Many trigger adjustments</t>
  </si>
  <si>
    <t>07170515_1145</t>
  </si>
  <si>
    <t>07170516_1618</t>
  </si>
  <si>
    <t>IbIs test</t>
  </si>
  <si>
    <t>07170516_1625</t>
  </si>
  <si>
    <t>07170516_1630</t>
  </si>
  <si>
    <t>07170516_1850</t>
  </si>
  <si>
    <t>07170516_1950</t>
  </si>
  <si>
    <t>07170516_2050</t>
  </si>
  <si>
    <t>07170516_2151</t>
  </si>
  <si>
    <t>07170516_2251</t>
  </si>
  <si>
    <t>07170516_2351</t>
  </si>
  <si>
    <t>07170517_0051</t>
  </si>
  <si>
    <t>07170517_0152</t>
  </si>
  <si>
    <t>07170517_0252</t>
  </si>
  <si>
    <t>07170517_0352</t>
  </si>
  <si>
    <t>07170517_0452</t>
  </si>
  <si>
    <t>07170517_0553</t>
  </si>
  <si>
    <t>07170517_0653</t>
  </si>
  <si>
    <t>note high HV board leakage</t>
  </si>
  <si>
    <t>07170517_0840</t>
  </si>
  <si>
    <t>07170517_1955</t>
  </si>
  <si>
    <t>07170517_2056</t>
  </si>
  <si>
    <t>07170517_2156</t>
  </si>
  <si>
    <t>07170517_2256</t>
  </si>
  <si>
    <t>07170517_2356</t>
  </si>
  <si>
    <t>07170518_0057</t>
  </si>
  <si>
    <t>07170518_0157</t>
  </si>
  <si>
    <t>07170518_0257</t>
  </si>
  <si>
    <t>07170518_0357</t>
  </si>
  <si>
    <t>07170518_0458</t>
  </si>
  <si>
    <t>07170518_0558</t>
  </si>
  <si>
    <t>07170518_0658</t>
  </si>
  <si>
    <t>07170518_0758</t>
  </si>
  <si>
    <t>07170518_0945</t>
  </si>
  <si>
    <t>07170518_1633</t>
  </si>
  <si>
    <t>07170518_1733</t>
  </si>
  <si>
    <t>07170518_1833</t>
  </si>
  <si>
    <t>07170518_1934</t>
  </si>
  <si>
    <t>07170518_2034</t>
  </si>
  <si>
    <t>07170518_2134</t>
  </si>
  <si>
    <t>07170518_2234</t>
  </si>
  <si>
    <t>07170518_2335</t>
  </si>
  <si>
    <t>07170518_2500</t>
  </si>
  <si>
    <t>07170519_0035</t>
  </si>
  <si>
    <t>07170519_0135</t>
  </si>
  <si>
    <t>07170519_0235</t>
  </si>
  <si>
    <t>07170519_0336</t>
  </si>
  <si>
    <t>07170519_0436</t>
  </si>
  <si>
    <t>07170519_0536</t>
  </si>
  <si>
    <t>07170519_0636</t>
  </si>
  <si>
    <t>07170519_0737</t>
  </si>
  <si>
    <t>07170519_2254</t>
  </si>
  <si>
    <t>07170519_2354</t>
  </si>
  <si>
    <t>07170520_0054</t>
  </si>
  <si>
    <t>07170520_0155</t>
  </si>
  <si>
    <t>07170520_0255</t>
  </si>
  <si>
    <t>07170520_0355</t>
  </si>
  <si>
    <t>07170520_0455</t>
  </si>
  <si>
    <t>07170520_0555</t>
  </si>
  <si>
    <t>07170520_0656</t>
  </si>
  <si>
    <t>07170520_0756</t>
  </si>
  <si>
    <t>07170520_0856</t>
  </si>
  <si>
    <t>07170520_0956</t>
  </si>
  <si>
    <t>07170520_2056</t>
  </si>
  <si>
    <t>07170520_2156</t>
  </si>
  <si>
    <t>07170520_2256</t>
  </si>
  <si>
    <t>07170520_2356</t>
  </si>
  <si>
    <t>07170521_0057</t>
  </si>
  <si>
    <t>07170521_0157</t>
  </si>
  <si>
    <t>07170521_0257</t>
  </si>
  <si>
    <t>07170521_0357</t>
  </si>
  <si>
    <t>07170521_0457</t>
  </si>
  <si>
    <t>07170521_0558</t>
  </si>
  <si>
    <t>07170521_0658</t>
  </si>
  <si>
    <t>07170521_0758</t>
  </si>
  <si>
    <t>07170521_1725</t>
  </si>
  <si>
    <t>07170521_1825</t>
  </si>
  <si>
    <t>07170521_1925</t>
  </si>
  <si>
    <t>07170521_2025</t>
  </si>
  <si>
    <t>07170521_2125</t>
  </si>
  <si>
    <t>07170521_2225</t>
  </si>
  <si>
    <t>07170521_2325</t>
  </si>
  <si>
    <t>07170522_0026</t>
  </si>
  <si>
    <t>07170523_1500</t>
  </si>
  <si>
    <t>07170523_1510</t>
  </si>
  <si>
    <t>aborted sequence</t>
  </si>
  <si>
    <t>07170523_1610</t>
  </si>
  <si>
    <t>railed, aborted</t>
  </si>
  <si>
    <t>07170523_1619</t>
  </si>
  <si>
    <t xml:space="preserve">QET bias scan, stepping </t>
  </si>
  <si>
    <t>07170523_1719</t>
  </si>
  <si>
    <t>through Ib*pf values</t>
  </si>
  <si>
    <t>07170523_1820</t>
  </si>
  <si>
    <t>see next column</t>
  </si>
  <si>
    <t>07170523_1920</t>
  </si>
  <si>
    <t>07170523_2020</t>
  </si>
  <si>
    <t>07170523_2120</t>
  </si>
  <si>
    <t>07170523_2220</t>
  </si>
  <si>
    <t>07170523_2320</t>
  </si>
  <si>
    <t>07170524_0020</t>
  </si>
  <si>
    <t>07170524_0120</t>
  </si>
  <si>
    <t>07170524_0220</t>
  </si>
  <si>
    <t>07170524_0320</t>
  </si>
  <si>
    <t>07170524_1414</t>
  </si>
  <si>
    <t>07170524_1514</t>
  </si>
  <si>
    <t>07170525_1154</t>
  </si>
  <si>
    <t>Ib*pf=30</t>
  </si>
  <si>
    <t>07170525_1244</t>
  </si>
  <si>
    <t>long-trace noise in normal, OG=4/2</t>
  </si>
  <si>
    <t>07170525_1321</t>
  </si>
  <si>
    <t>long-trace noise in s/c, OG=4/2</t>
  </si>
  <si>
    <t>07170525_1422</t>
  </si>
  <si>
    <t>rail at 15min</t>
  </si>
  <si>
    <t>07170525_1514</t>
  </si>
  <si>
    <t>07170525_1601</t>
  </si>
  <si>
    <t>07170525_1644</t>
  </si>
  <si>
    <t>07170525_1735</t>
  </si>
  <si>
    <t>07170525_1810</t>
  </si>
  <si>
    <t>07170525_1850</t>
  </si>
  <si>
    <t>07170526_1034</t>
  </si>
  <si>
    <t>Ib*pf = 30</t>
  </si>
  <si>
    <t>07170526_1134</t>
  </si>
  <si>
    <t>no timelink</t>
  </si>
  <si>
    <t>07170526_1149</t>
  </si>
  <si>
    <t>07170526_1213</t>
  </si>
  <si>
    <t>07170526_1220</t>
  </si>
  <si>
    <t>07170526_1320</t>
  </si>
  <si>
    <t>07170526_1419</t>
  </si>
  <si>
    <t>07170526_1704</t>
  </si>
  <si>
    <t>07170526_1805</t>
  </si>
  <si>
    <t xml:space="preserve">Leakage current decreased </t>
  </si>
  <si>
    <t>07170526_1905</t>
  </si>
  <si>
    <t>over time and was low by</t>
  </si>
  <si>
    <t>07170526_2005</t>
  </si>
  <si>
    <t>the next morning. Voltages</t>
  </si>
  <si>
    <t>07170526_2105</t>
  </si>
  <si>
    <t xml:space="preserve">shown are a guess at how </t>
  </si>
  <si>
    <t>07170526_2205</t>
  </si>
  <si>
    <t xml:space="preserve">quickly the leakage increased. </t>
  </si>
  <si>
    <t>07170526_2305</t>
  </si>
  <si>
    <t>07170527_0005</t>
  </si>
  <si>
    <t>07170527_0105</t>
  </si>
  <si>
    <t>07170527_0205</t>
  </si>
  <si>
    <t>07170527_0305</t>
  </si>
  <si>
    <t>07170527_0405</t>
  </si>
  <si>
    <t>07170527_0505</t>
  </si>
  <si>
    <t>07170527_0605</t>
  </si>
  <si>
    <t>07170527_0705</t>
  </si>
  <si>
    <t>07170527_0806</t>
  </si>
  <si>
    <t>07170527_0906</t>
  </si>
  <si>
    <t>07170527_1006</t>
  </si>
  <si>
    <t>07170527_1516</t>
  </si>
  <si>
    <t>rail at 2min</t>
  </si>
  <si>
    <t>07170527_1539</t>
  </si>
  <si>
    <t>07170527_1639</t>
  </si>
  <si>
    <t>07170527_1739</t>
  </si>
  <si>
    <t>07170527_1839</t>
  </si>
  <si>
    <t>07170527_1939</t>
  </si>
  <si>
    <t>07170527_2039</t>
  </si>
  <si>
    <t>07170527_2139</t>
  </si>
  <si>
    <t>07170527_2239</t>
  </si>
  <si>
    <t>07170527_2339</t>
  </si>
  <si>
    <t>07170528_0039</t>
  </si>
  <si>
    <t>07170528_0140</t>
  </si>
  <si>
    <t>07170528_0240</t>
  </si>
  <si>
    <t>07170528_0340</t>
  </si>
  <si>
    <t>07170528_0440</t>
  </si>
  <si>
    <t>07170528_0540</t>
  </si>
  <si>
    <t>07170528_0640</t>
  </si>
  <si>
    <t>07170528_0740</t>
  </si>
  <si>
    <t>07170528_0840</t>
  </si>
  <si>
    <t>07170528_1432</t>
  </si>
  <si>
    <t>pC too high</t>
  </si>
  <si>
    <t>07170528_1532</t>
  </si>
  <si>
    <t>07170528_1632</t>
  </si>
  <si>
    <t>07170528_1732</t>
  </si>
  <si>
    <t>07170528_1832</t>
  </si>
  <si>
    <t>07170528_1932</t>
  </si>
  <si>
    <t>07170528_2032</t>
  </si>
  <si>
    <t>07170528_2132</t>
  </si>
  <si>
    <t>07170528_2232</t>
  </si>
  <si>
    <t>07170528_2332</t>
  </si>
  <si>
    <t>07170529_0032</t>
  </si>
  <si>
    <t>07170529_0133</t>
  </si>
  <si>
    <t>07170529_0233</t>
  </si>
  <si>
    <t>07170529_0333</t>
  </si>
  <si>
    <t>07170529_0433</t>
  </si>
  <si>
    <t>07170529_0533</t>
  </si>
  <si>
    <t>07170529_0633</t>
  </si>
  <si>
    <t>07170529_0733</t>
  </si>
  <si>
    <t>07170529_1427</t>
  </si>
  <si>
    <t xml:space="preserve">pC rail </t>
  </si>
  <si>
    <t>07170529_1527</t>
  </si>
  <si>
    <t>07170529_1627</t>
  </si>
  <si>
    <t>fix @ 16:49</t>
  </si>
  <si>
    <t>07170529_1727</t>
  </si>
  <si>
    <t>07170529_1827</t>
  </si>
  <si>
    <t>07170529_1927</t>
  </si>
  <si>
    <t>07170529_2027</t>
  </si>
  <si>
    <t>07170529_2127</t>
  </si>
  <si>
    <t>finish</t>
  </si>
  <si>
    <t>07170529_2227</t>
  </si>
  <si>
    <t>step size</t>
  </si>
  <si>
    <t>07170529_2328</t>
  </si>
  <si>
    <t>07170530_0028</t>
  </si>
  <si>
    <t>sec per step</t>
  </si>
  <si>
    <t>07170530_0128</t>
  </si>
  <si>
    <t>07170530_0228</t>
  </si>
  <si>
    <t>07170530_0328</t>
  </si>
  <si>
    <t>07170530_0428</t>
  </si>
  <si>
    <t>07170530_0528</t>
  </si>
  <si>
    <t>07170530_0628</t>
  </si>
  <si>
    <t>steps</t>
  </si>
  <si>
    <t>07170530_0728</t>
  </si>
  <si>
    <t>seconds</t>
  </si>
  <si>
    <t>07170530_1150</t>
  </si>
  <si>
    <t>DIB3/DCRC1</t>
  </si>
  <si>
    <t>SQUID modulation data</t>
  </si>
  <si>
    <t>data</t>
  </si>
  <si>
    <t>hours</t>
  </si>
  <si>
    <t>07170530_1153</t>
  </si>
  <si>
    <t>unreadable</t>
  </si>
  <si>
    <t>07170530_1154</t>
  </si>
  <si>
    <t>07170530_1155</t>
  </si>
  <si>
    <t>07170530_1156</t>
  </si>
  <si>
    <t>07170530_1214</t>
  </si>
  <si>
    <t>long-trace noise in s/c, OG=4</t>
  </si>
  <si>
    <t>07170530_1237</t>
  </si>
  <si>
    <t>include DCRC2 here and below</t>
  </si>
  <si>
    <t>07170530_1242</t>
  </si>
  <si>
    <t>07170530_1248</t>
  </si>
  <si>
    <t>07170530_1254</t>
  </si>
  <si>
    <t>07170530_1256</t>
  </si>
  <si>
    <t>-0.8 / -0.3</t>
  </si>
  <si>
    <t>07170530_1257</t>
  </si>
  <si>
    <t>OG=1</t>
  </si>
  <si>
    <t>-1.2 / -0.7</t>
  </si>
  <si>
    <t>07170530_1258</t>
  </si>
  <si>
    <t>PA/PD lockpoints next column</t>
  </si>
  <si>
    <t>-1.8 / -1.4</t>
  </si>
  <si>
    <t>07170530_1259</t>
  </si>
  <si>
    <t>-2.0 / -1.7</t>
  </si>
  <si>
    <t>07170530_1300</t>
  </si>
  <si>
    <t>-2.4 / -2.0</t>
  </si>
  <si>
    <t>07170530_1305</t>
  </si>
  <si>
    <t>07170530_1351</t>
  </si>
  <si>
    <t>long-trace noise in normal, OG=4</t>
  </si>
  <si>
    <t>07170530_1438</t>
  </si>
  <si>
    <t>long-trace noise in trans, OG=4</t>
  </si>
  <si>
    <t>07170530_1509</t>
  </si>
  <si>
    <t>07170530_1543</t>
  </si>
  <si>
    <t>07170530_1631</t>
  </si>
  <si>
    <t>07170530_1712</t>
  </si>
  <si>
    <t>07170602_1506</t>
  </si>
  <si>
    <t>07170602_1510</t>
  </si>
  <si>
    <t>07170602_2500</t>
  </si>
  <si>
    <t>IbIs scan</t>
  </si>
  <si>
    <t>07170602_2600</t>
  </si>
  <si>
    <t>07170606_1614</t>
  </si>
  <si>
    <t>07170606_1714</t>
  </si>
  <si>
    <t>07170606_1904</t>
  </si>
  <si>
    <t>07170606_2012</t>
  </si>
  <si>
    <t>07170606_2119</t>
  </si>
  <si>
    <t>07170606_2227</t>
  </si>
  <si>
    <t>07170607_0038</t>
  </si>
  <si>
    <t>07170607_0138</t>
  </si>
  <si>
    <t>07170607_0238</t>
  </si>
  <si>
    <t>07170607_0338</t>
  </si>
  <si>
    <t>07170607_0439</t>
  </si>
  <si>
    <t>07170607_0539</t>
  </si>
  <si>
    <t>07170607_0639</t>
  </si>
  <si>
    <t>07170607_0936</t>
  </si>
  <si>
    <t>07170607_1036</t>
  </si>
  <si>
    <t>07170607_1305</t>
  </si>
  <si>
    <t>07170607_1405</t>
  </si>
  <si>
    <t>07170607_1506</t>
  </si>
  <si>
    <t>07170607_1606</t>
  </si>
  <si>
    <t>07170607_1706</t>
  </si>
  <si>
    <t>07170607_1913</t>
  </si>
  <si>
    <t>07170607_2013</t>
  </si>
  <si>
    <t>07170607_2113</t>
  </si>
  <si>
    <t>07170607_2213</t>
  </si>
  <si>
    <t>07170607_2314</t>
  </si>
  <si>
    <t>07170608_0121</t>
  </si>
  <si>
    <t>07170608_0221</t>
  </si>
  <si>
    <t>07170608_0321</t>
  </si>
  <si>
    <t>07170608_0421</t>
  </si>
  <si>
    <t>07170608_0521</t>
  </si>
  <si>
    <t>07170608_0622</t>
  </si>
  <si>
    <t>07170608_0722</t>
  </si>
  <si>
    <t>07170608_0958</t>
  </si>
  <si>
    <t>07170608_1058</t>
  </si>
  <si>
    <t>07170608_1309</t>
  </si>
  <si>
    <t>07170608_1409</t>
  </si>
  <si>
    <t>07170608_1509</t>
  </si>
  <si>
    <t>07170608_1609</t>
  </si>
  <si>
    <t>07170608_1709</t>
  </si>
  <si>
    <t>07170608_1925</t>
  </si>
  <si>
    <t>07170608_2025</t>
  </si>
  <si>
    <t>07170608_2125</t>
  </si>
  <si>
    <t>07170608_2225</t>
  </si>
  <si>
    <t>07170608_2326</t>
  </si>
  <si>
    <t>07170609_0206</t>
  </si>
  <si>
    <t>07170609_0306</t>
  </si>
  <si>
    <t>07170609_0406</t>
  </si>
  <si>
    <t>07170609_0507</t>
  </si>
  <si>
    <t>07170609_0607</t>
  </si>
  <si>
    <t>07170609_0910</t>
  </si>
  <si>
    <t>07170609_1011</t>
  </si>
  <si>
    <t>07170609_1111</t>
  </si>
  <si>
    <t>07170609_1326</t>
  </si>
  <si>
    <t>07170609_1334</t>
  </si>
  <si>
    <t>07170609_1434</t>
  </si>
  <si>
    <t>07170609_1534</t>
  </si>
  <si>
    <t>07170609_1634</t>
  </si>
  <si>
    <t>07170609_1734</t>
  </si>
  <si>
    <t>07170609_2021</t>
  </si>
  <si>
    <t>07170609_2121</t>
  </si>
  <si>
    <t>07170609_2221</t>
  </si>
  <si>
    <t>07170609_2321</t>
  </si>
  <si>
    <t>07170610_0021</t>
  </si>
  <si>
    <t>07170610_0308</t>
  </si>
  <si>
    <t>07170610_0408</t>
  </si>
  <si>
    <t>07170610_0509</t>
  </si>
  <si>
    <t>07170610_0609</t>
  </si>
  <si>
    <t>07170610_0709</t>
  </si>
  <si>
    <t>07170610_1318</t>
  </si>
  <si>
    <t>07170610_1419</t>
  </si>
  <si>
    <t>07170610_1519</t>
  </si>
  <si>
    <t>07170610_1619</t>
  </si>
  <si>
    <t>07170610_1719</t>
  </si>
  <si>
    <t>07170610_1945</t>
  </si>
  <si>
    <t>07170610_2045</t>
  </si>
  <si>
    <t>07170610_2145</t>
  </si>
  <si>
    <t>07170610_2245</t>
  </si>
  <si>
    <t>07170610_2345</t>
  </si>
  <si>
    <t>07170611_0150</t>
  </si>
  <si>
    <t>07170611_0251</t>
  </si>
  <si>
    <t>07170611_0351</t>
  </si>
  <si>
    <t>07170611_0451</t>
  </si>
  <si>
    <t>07170611_0551</t>
  </si>
  <si>
    <t>07170611_1239</t>
  </si>
  <si>
    <t>07170611_1252</t>
  </si>
  <si>
    <t>07170611_1352</t>
  </si>
  <si>
    <t>07170611_1453</t>
  </si>
  <si>
    <t>07170611_1553</t>
  </si>
  <si>
    <t>07170611_1653</t>
  </si>
  <si>
    <t>07170611_1941</t>
  </si>
  <si>
    <t>07170611_2041</t>
  </si>
  <si>
    <t>07170611_2141</t>
  </si>
  <si>
    <t>07170611_2241</t>
  </si>
  <si>
    <t>07170611_2341</t>
  </si>
  <si>
    <t>07170612_0144</t>
  </si>
  <si>
    <t>07170612_0244</t>
  </si>
  <si>
    <t>07170612_0344</t>
  </si>
  <si>
    <t>07170612_0445</t>
  </si>
  <si>
    <t>07170612_0545</t>
  </si>
  <si>
    <t>07170612_1234</t>
  </si>
  <si>
    <t>07170612_1334</t>
  </si>
  <si>
    <t>07170612_1434</t>
  </si>
  <si>
    <t>07170612_1534</t>
  </si>
  <si>
    <t>07170612_1635</t>
  </si>
  <si>
    <t>07170612_1948</t>
  </si>
  <si>
    <t>07170612_2048</t>
  </si>
  <si>
    <t>07170612_2148</t>
  </si>
  <si>
    <t>07170612_2249</t>
  </si>
  <si>
    <t>07170612_2349</t>
  </si>
  <si>
    <t>07170613_0222</t>
  </si>
  <si>
    <t>07170613_0322</t>
  </si>
  <si>
    <t>07170613_0422</t>
  </si>
  <si>
    <t>07170613_0522</t>
  </si>
  <si>
    <t>07170613_0622</t>
  </si>
  <si>
    <t>07170717_1709</t>
  </si>
  <si>
    <t>07170717_1805</t>
  </si>
  <si>
    <t>0.25 -/+</t>
  </si>
  <si>
    <t>07170717_1900</t>
  </si>
  <si>
    <t>0.5 -/+</t>
  </si>
  <si>
    <t>07170717_1956</t>
  </si>
  <si>
    <t>0.75 -/+</t>
  </si>
  <si>
    <t>07170717_2052</t>
  </si>
  <si>
    <t>1 -/+</t>
  </si>
  <si>
    <t>07170717_2148</t>
  </si>
  <si>
    <t>1.5 -/+</t>
  </si>
  <si>
    <t>07170717_2244</t>
  </si>
  <si>
    <t>2 -/+</t>
  </si>
  <si>
    <t>07170717_2340</t>
  </si>
  <si>
    <t>2.5 -/+</t>
  </si>
  <si>
    <t>07170718_0035</t>
  </si>
  <si>
    <t>3 -/+</t>
  </si>
  <si>
    <t>07170718_0131</t>
  </si>
  <si>
    <t>3.5 -/+</t>
  </si>
  <si>
    <t>07170718_0227</t>
  </si>
  <si>
    <t>4 -/+</t>
  </si>
  <si>
    <t>07170718_0323</t>
  </si>
  <si>
    <t>5 -/+</t>
  </si>
  <si>
    <t>07170718_0418</t>
  </si>
  <si>
    <t>6 -/+</t>
  </si>
  <si>
    <t>07170718_0514</t>
  </si>
  <si>
    <t>8 -/+</t>
  </si>
  <si>
    <t>07170718_0610</t>
  </si>
  <si>
    <t>10 -/+</t>
  </si>
  <si>
    <t>07170718_1607</t>
  </si>
  <si>
    <t>07170718_1612</t>
  </si>
  <si>
    <t>07170718_1644</t>
  </si>
  <si>
    <t>07170718_1741</t>
  </si>
  <si>
    <t>0 +/-</t>
  </si>
  <si>
    <t>07170718_1906</t>
  </si>
  <si>
    <t>0.25 +/-</t>
  </si>
  <si>
    <t>07170718_2032</t>
  </si>
  <si>
    <t>0.5 +/-</t>
  </si>
  <si>
    <t>07170718_2158</t>
  </si>
  <si>
    <t>0.75 +/-</t>
  </si>
  <si>
    <t>07170718_2324</t>
  </si>
  <si>
    <t>1 +/-</t>
  </si>
  <si>
    <t>07170719_0849</t>
  </si>
  <si>
    <t>1.5 +/-</t>
  </si>
  <si>
    <t>07170719_1015</t>
  </si>
  <si>
    <t>2 +/-</t>
  </si>
  <si>
    <t>07170719_1852</t>
  </si>
  <si>
    <t>07170719_2500</t>
  </si>
  <si>
    <t>freq scan</t>
  </si>
  <si>
    <t>complex impedance</t>
  </si>
  <si>
    <t>07170721_1715</t>
  </si>
  <si>
    <t>07170721_1755</t>
  </si>
  <si>
    <t>07170721_1802</t>
  </si>
  <si>
    <t>07170721_1806</t>
  </si>
  <si>
    <t>07170721_1813</t>
  </si>
  <si>
    <t>07170721_1824</t>
  </si>
  <si>
    <t>07170721_1828</t>
  </si>
  <si>
    <t>07170721_1954</t>
  </si>
  <si>
    <t>07170721_2119</t>
  </si>
  <si>
    <t>07170721_2245</t>
  </si>
  <si>
    <t>07170721_2500</t>
  </si>
  <si>
    <t>07170722_0011</t>
  </si>
  <si>
    <t>07170722_0137</t>
  </si>
  <si>
    <t>07170722_0302</t>
  </si>
  <si>
    <t>07170722_0428</t>
  </si>
  <si>
    <t>2.5 +/-</t>
  </si>
  <si>
    <t>07170722_0554</t>
  </si>
  <si>
    <t>3 +/-</t>
  </si>
  <si>
    <t>07170722_0719</t>
  </si>
  <si>
    <t>3.5 +/-</t>
  </si>
  <si>
    <t>07170722_0845</t>
  </si>
  <si>
    <t>4 +/-</t>
  </si>
  <si>
    <t>overtriggering</t>
  </si>
  <si>
    <t>07170722_1011</t>
  </si>
  <si>
    <t>5 +/-</t>
  </si>
  <si>
    <t>raise trigger</t>
  </si>
  <si>
    <t>07170725_1253</t>
  </si>
  <si>
    <t>QET bias</t>
  </si>
  <si>
    <t>prefac</t>
  </si>
  <si>
    <t>07170725_1424</t>
  </si>
  <si>
    <t xml:space="preserve">Side1pB </t>
  </si>
  <si>
    <t>Side1pA</t>
  </si>
  <si>
    <t>07170725_1704</t>
  </si>
  <si>
    <t xml:space="preserve">Side1pC </t>
  </si>
  <si>
    <t>07170725_1835</t>
  </si>
  <si>
    <t xml:space="preserve">Side1pD </t>
  </si>
  <si>
    <t>07170725_2006</t>
  </si>
  <si>
    <t xml:space="preserve">Side1pE </t>
  </si>
  <si>
    <t>07170725_2136</t>
  </si>
  <si>
    <t xml:space="preserve">Side2pC </t>
  </si>
  <si>
    <t>07170725_2307</t>
  </si>
  <si>
    <t xml:space="preserve">Side2pD </t>
  </si>
  <si>
    <t>Side1pF</t>
  </si>
  <si>
    <t>07170726_0038</t>
  </si>
  <si>
    <t xml:space="preserve">Side2pE </t>
  </si>
  <si>
    <t>Side2pA</t>
  </si>
  <si>
    <t>07170726_0209</t>
  </si>
  <si>
    <t xml:space="preserve">Side2pF </t>
  </si>
  <si>
    <t>Side2pB</t>
  </si>
  <si>
    <t>07170726_0340</t>
  </si>
  <si>
    <t>07170726_0510</t>
  </si>
  <si>
    <t>07170726_1631</t>
  </si>
  <si>
    <t>0 -/+</t>
  </si>
  <si>
    <t>phonon trigger</t>
  </si>
  <si>
    <t>07170726_1732</t>
  </si>
  <si>
    <t>07170726_1833</t>
  </si>
  <si>
    <t>07170726_1933</t>
  </si>
  <si>
    <t>07170726_2034</t>
  </si>
  <si>
    <t>07170726_2135</t>
  </si>
  <si>
    <t>07170726_2236</t>
  </si>
  <si>
    <t>07170726_2337</t>
  </si>
  <si>
    <t>07170727_0037</t>
  </si>
  <si>
    <t>07170727_0138</t>
  </si>
  <si>
    <t>07170727_0239</t>
  </si>
  <si>
    <t>07170727_0340</t>
  </si>
  <si>
    <t>07170727_1343</t>
  </si>
  <si>
    <t>25.5 mK</t>
  </si>
  <si>
    <t>0 uW</t>
  </si>
  <si>
    <t>07170727_1406</t>
  </si>
  <si>
    <t>28.7 mK</t>
  </si>
  <si>
    <t>1 uW</t>
  </si>
  <si>
    <t>07170727_1508</t>
  </si>
  <si>
    <t>34.1 mK</t>
  </si>
  <si>
    <t>2 uW</t>
  </si>
  <si>
    <t>07170727_1543</t>
  </si>
  <si>
    <t>36.4 mK</t>
  </si>
  <si>
    <t>3 uW</t>
  </si>
  <si>
    <t>07170727_1617</t>
  </si>
  <si>
    <t>44.7 mK</t>
  </si>
  <si>
    <t>4 uW</t>
  </si>
  <si>
    <t>07170728_1139</t>
  </si>
  <si>
    <t>25.6 mK</t>
  </si>
  <si>
    <t>07170728_1206</t>
  </si>
  <si>
    <t>26.7 mK</t>
  </si>
  <si>
    <t>0.5 uW</t>
  </si>
  <si>
    <t>07170728_1228</t>
  </si>
  <si>
    <t>36.0 mK</t>
  </si>
  <si>
    <t>1.5 uW</t>
  </si>
  <si>
    <t>07170728_1255</t>
  </si>
  <si>
    <t>42.8 mK</t>
  </si>
  <si>
    <t>2.5 uW</t>
  </si>
  <si>
    <t>07170728_1312</t>
  </si>
  <si>
    <t>46.5 mK</t>
  </si>
  <si>
    <t>3.5 uW</t>
  </si>
  <si>
    <t>07170728_2500</t>
  </si>
  <si>
    <t>07170728_2600</t>
  </si>
  <si>
    <t>07170728_1652</t>
  </si>
  <si>
    <t>07170728_1823</t>
  </si>
  <si>
    <t>07170728_1953</t>
  </si>
  <si>
    <t>07170728_2124</t>
  </si>
  <si>
    <t>07170728_2255</t>
  </si>
  <si>
    <t>07170729_0026</t>
  </si>
  <si>
    <t>07170729_0156</t>
  </si>
  <si>
    <t>07170729_0327</t>
  </si>
  <si>
    <t>07170729_0458</t>
  </si>
  <si>
    <t>07170729_0629</t>
  </si>
  <si>
    <t>07170729_0800</t>
  </si>
  <si>
    <t>07170729_0930</t>
  </si>
  <si>
    <t>07170729_1446</t>
  </si>
  <si>
    <t>07170729_1647</t>
  </si>
  <si>
    <t>07170730_1927</t>
  </si>
  <si>
    <t xml:space="preserve">after bake, </t>
  </si>
  <si>
    <t>07170730_2027</t>
  </si>
  <si>
    <t>no flash between</t>
  </si>
  <si>
    <t>07170730_2128</t>
  </si>
  <si>
    <t>07170730_2228</t>
  </si>
  <si>
    <t>07170730_2328</t>
  </si>
  <si>
    <t>07170731_0028</t>
  </si>
  <si>
    <t>07170731_0128</t>
  </si>
  <si>
    <t>07170731_0228</t>
  </si>
  <si>
    <t>07170731_0329</t>
  </si>
  <si>
    <t>07170731_0429</t>
  </si>
  <si>
    <t>07170731_0529</t>
  </si>
  <si>
    <t>07170731_0629</t>
  </si>
  <si>
    <t>07170731_1215</t>
  </si>
  <si>
    <t>Cf</t>
  </si>
  <si>
    <t>07170731_1217</t>
  </si>
  <si>
    <t>07170731_1348</t>
  </si>
  <si>
    <t>07170731_1519</t>
  </si>
  <si>
    <t>07170731_1718</t>
  </si>
  <si>
    <t>07170731_1849</t>
  </si>
  <si>
    <t>07170731_2020</t>
  </si>
  <si>
    <t>07170731_2150</t>
  </si>
  <si>
    <t>07170731_2321</t>
  </si>
  <si>
    <t>07170801_0052</t>
  </si>
  <si>
    <t>07170801_0223</t>
  </si>
  <si>
    <t>07170801_0354</t>
  </si>
  <si>
    <t>07170801_0940</t>
  </si>
  <si>
    <t>07170801_1252</t>
  </si>
  <si>
    <t>07170801_1423</t>
  </si>
  <si>
    <t>07170801_1629</t>
  </si>
  <si>
    <t>07170801_1800</t>
  </si>
  <si>
    <t>07170801_1930</t>
  </si>
  <si>
    <t>07170801_2101</t>
  </si>
  <si>
    <t>07170801_2232</t>
  </si>
  <si>
    <t>07170802_0003</t>
  </si>
  <si>
    <t>07170802_0134</t>
  </si>
  <si>
    <t>07170802_0305</t>
  </si>
  <si>
    <t>07170802_0952</t>
  </si>
  <si>
    <t>short</t>
  </si>
  <si>
    <t>07170802_1401</t>
  </si>
  <si>
    <t>07170802_1532</t>
  </si>
  <si>
    <t>07170803_1711</t>
  </si>
  <si>
    <t>07170803_1811</t>
  </si>
  <si>
    <t>07170803_1911</t>
  </si>
  <si>
    <t>07170803_2011</t>
  </si>
  <si>
    <t>07170803_2112</t>
  </si>
  <si>
    <t>07170803_2212</t>
  </si>
  <si>
    <t>07170803_2312</t>
  </si>
  <si>
    <t>07170804_0012</t>
  </si>
  <si>
    <t>07170804_0112</t>
  </si>
  <si>
    <t>07170804_0212</t>
  </si>
  <si>
    <t>07170804_0313</t>
  </si>
  <si>
    <t>07170804_0413</t>
  </si>
  <si>
    <t>log proc</t>
  </si>
  <si>
    <t>dataset</t>
  </si>
  <si>
    <t>07190204_1658</t>
  </si>
  <si>
    <t>DCRC test</t>
  </si>
  <si>
    <t>no detector</t>
  </si>
  <si>
    <t>07190205_0937</t>
  </si>
  <si>
    <t>07190207_1118</t>
  </si>
  <si>
    <t>07190311_1446</t>
  </si>
  <si>
    <t>200V</t>
  </si>
  <si>
    <t>07190312_1443</t>
  </si>
  <si>
    <t>190V, then 0V</t>
  </si>
  <si>
    <t>07190313_1520</t>
  </si>
  <si>
    <t>150-&gt;220V, then 0-&gt;-100V</t>
  </si>
  <si>
    <t>07190315_1102</t>
  </si>
  <si>
    <t>0V, 350V, 308V</t>
  </si>
  <si>
    <t>07190315_1108</t>
  </si>
  <si>
    <t>308-&gt;420V</t>
  </si>
  <si>
    <t>07190318_1058</t>
  </si>
  <si>
    <t>superconducting</t>
  </si>
  <si>
    <t>07190318_1114</t>
  </si>
  <si>
    <t>normal state</t>
  </si>
  <si>
    <t>07190319_1127</t>
  </si>
  <si>
    <t>first series with shield</t>
  </si>
  <si>
    <t>07190320_1137</t>
  </si>
  <si>
    <t>300-&gt;400V</t>
  </si>
  <si>
    <t>07190320_1448</t>
  </si>
  <si>
    <t>07190321_1018</t>
  </si>
  <si>
    <t>07190321_1150</t>
  </si>
  <si>
    <t>07190321_1701</t>
  </si>
  <si>
    <t>07190322_1048</t>
  </si>
  <si>
    <t>07190322_1146</t>
  </si>
  <si>
    <t>-300-&gt;-400V</t>
  </si>
  <si>
    <t>07190322_1544</t>
  </si>
  <si>
    <t>aborted early</t>
  </si>
  <si>
    <t>07190322_1720</t>
  </si>
  <si>
    <t>07190323_1504</t>
  </si>
  <si>
    <t>07190324_1441</t>
  </si>
  <si>
    <t>07190324_1545</t>
  </si>
  <si>
    <t>07190325_0953</t>
  </si>
  <si>
    <t>07190325_1314</t>
  </si>
  <si>
    <t>07190325_1601</t>
  </si>
  <si>
    <t>07190325_1634</t>
  </si>
  <si>
    <t>07190329_1449</t>
  </si>
  <si>
    <t>07190329_1655</t>
  </si>
  <si>
    <t>07190329_1941</t>
  </si>
  <si>
    <t>07190329_2103</t>
  </si>
  <si>
    <t>07190330_1602</t>
  </si>
  <si>
    <t>07190330_1718</t>
  </si>
  <si>
    <t>07190330_1934</t>
  </si>
  <si>
    <t>07190330_2305</t>
  </si>
  <si>
    <t>07190331_0827</t>
  </si>
  <si>
    <t>07190331_1012</t>
  </si>
  <si>
    <t>07190331_1158</t>
  </si>
  <si>
    <t>07190331_1315</t>
  </si>
  <si>
    <t>07190331_1504</t>
  </si>
  <si>
    <t>07190331_1629</t>
  </si>
  <si>
    <t>07190331_1751</t>
  </si>
  <si>
    <t>07190331_1904</t>
  </si>
  <si>
    <t>07190331_2018</t>
  </si>
  <si>
    <t>07190401_0706</t>
  </si>
  <si>
    <t>07190402_1255</t>
  </si>
  <si>
    <t>07190403_1527</t>
  </si>
  <si>
    <t>07190403_1622</t>
  </si>
  <si>
    <t>07190403_2050</t>
  </si>
  <si>
    <t>07190404_1057</t>
  </si>
  <si>
    <t>07190404_1236</t>
  </si>
  <si>
    <t>07190404_1445</t>
  </si>
  <si>
    <t>07190404_1648</t>
  </si>
  <si>
    <t>07190404_2013</t>
  </si>
  <si>
    <t>07190404_2144</t>
  </si>
  <si>
    <t>07190404_2315</t>
  </si>
  <si>
    <t>07190405_0045</t>
  </si>
  <si>
    <t>07190405_1038</t>
  </si>
  <si>
    <t>07190405_1327</t>
  </si>
  <si>
    <t>07190405_1707</t>
  </si>
  <si>
    <t>07190405_1710</t>
  </si>
  <si>
    <t>07190405_1724</t>
  </si>
  <si>
    <t>07190405_1824</t>
  </si>
  <si>
    <t>07190405_1924</t>
  </si>
  <si>
    <t>07190405_2024</t>
  </si>
  <si>
    <t>07190405_2124</t>
  </si>
  <si>
    <t>07190405_2224</t>
  </si>
  <si>
    <t>07190406_1214</t>
  </si>
  <si>
    <t>07190406_1316</t>
  </si>
  <si>
    <t>07190406_1418</t>
  </si>
  <si>
    <t>07190406_1519</t>
  </si>
  <si>
    <t>nseries</t>
  </si>
  <si>
    <t>p40_bkg_1</t>
  </si>
  <si>
    <t>p40_bkg_2</t>
  </si>
  <si>
    <t>n40_bkg_1</t>
  </si>
  <si>
    <t>p40_PuBe_1</t>
  </si>
  <si>
    <t>p40_PuBe_2</t>
  </si>
  <si>
    <t>n40_PuBe_1</t>
  </si>
  <si>
    <t>n80_bkg_1</t>
  </si>
  <si>
    <t>n80_PuBe_1</t>
  </si>
  <si>
    <t>n80_PuBeNP_1</t>
  </si>
  <si>
    <t>n80_Ba_1</t>
  </si>
  <si>
    <t>n80_Ba_2</t>
  </si>
  <si>
    <t>n80_Na_1</t>
  </si>
  <si>
    <t>n80_Na_2</t>
  </si>
  <si>
    <t>n125_PuBe_1</t>
  </si>
  <si>
    <t>n125_PuBe_2</t>
  </si>
  <si>
    <t>n125_PuBe_3</t>
  </si>
  <si>
    <t>n125_PuBe_4</t>
  </si>
  <si>
    <t>n125_bkg_1</t>
  </si>
  <si>
    <t>n125_bkg_2</t>
  </si>
  <si>
    <t>n125_Na_1</t>
  </si>
  <si>
    <t>n125_Na_2</t>
  </si>
  <si>
    <t>mf-n a1</t>
  </si>
  <si>
    <t>07171018_1511</t>
  </si>
  <si>
    <t>10.05/0</t>
  </si>
  <si>
    <t>high trig rate</t>
  </si>
  <si>
    <t>all thresh 100, later 150</t>
  </si>
  <si>
    <t>07171018_1523</t>
  </si>
  <si>
    <t xml:space="preserve">all thresh 100 </t>
  </si>
  <si>
    <t>at 1545 double trigger windows. Several threshold changes.</t>
  </si>
  <si>
    <t>07171019_1543</t>
  </si>
  <si>
    <t>50.03/0</t>
  </si>
  <si>
    <t>after bake</t>
  </si>
  <si>
    <t>final trig settings: DCRC1qI/qO/DCRC2qO/DCRC3qI/qO = 70/60/70/100/80 ADC</t>
  </si>
  <si>
    <t>07171019_1700</t>
  </si>
  <si>
    <t>0/0</t>
  </si>
  <si>
    <t>after flash</t>
  </si>
  <si>
    <t>mistake, no bias</t>
  </si>
  <si>
    <t>07171019_1703</t>
  </si>
  <si>
    <t>50.02/0</t>
  </si>
  <si>
    <t>07171020_1056</t>
  </si>
  <si>
    <t>-50.01/0</t>
  </si>
  <si>
    <t>after flash. start shorter traces</t>
  </si>
  <si>
    <t>70/60/70/100/80 ADC bin threshold trigger on DCRC1qI/qO/DCRC2qO/DCRC3qI/qO</t>
  </si>
  <si>
    <t>07171020_1300</t>
  </si>
  <si>
    <t>-70.0/0</t>
  </si>
  <si>
    <t xml:space="preserve">after flash </t>
  </si>
  <si>
    <t>hold</t>
  </si>
  <si>
    <t>07171020_1421</t>
  </si>
  <si>
    <t>70.0/0</t>
  </si>
  <si>
    <t>07171020_1539</t>
  </si>
  <si>
    <t>50.0/0</t>
  </si>
  <si>
    <t>80ADC on DCRC3qO(qE) only</t>
  </si>
  <si>
    <t>07171020_1651</t>
  </si>
  <si>
    <t>30.0/0</t>
  </si>
  <si>
    <t>70/60/70/100/80 ADC bin threshold trigger on DCRC1qI/qO/DCRC2qO/DCRC3qI/qO. Later raise all by 10, then disable DCRC3</t>
  </si>
  <si>
    <t>07171021_1126</t>
  </si>
  <si>
    <t>? Mistake</t>
  </si>
  <si>
    <t>07171021_1127</t>
  </si>
  <si>
    <t>40/30/15/40/40</t>
  </si>
  <si>
    <t>07171021_1137</t>
  </si>
  <si>
    <t>0/10.0</t>
  </si>
  <si>
    <t>DCRC2qO(qD) stops showing pulses later</t>
  </si>
  <si>
    <t>07171021_1254</t>
  </si>
  <si>
    <t>0/5.0</t>
  </si>
  <si>
    <t>07171021_1722</t>
  </si>
  <si>
    <t>error:</t>
  </si>
  <si>
    <t xml:space="preserve">flash </t>
  </si>
  <si>
    <t>07171021_1813</t>
  </si>
  <si>
    <t>0/3</t>
  </si>
  <si>
    <t>DCRC3qI/qO</t>
  </si>
  <si>
    <t>between</t>
  </si>
  <si>
    <t>07171021_1904</t>
  </si>
  <si>
    <t>0/6</t>
  </si>
  <si>
    <t>at 0 bias</t>
  </si>
  <si>
    <t>07171021_1956</t>
  </si>
  <si>
    <t>0/9</t>
  </si>
  <si>
    <t xml:space="preserve">also didn't </t>
  </si>
  <si>
    <t>07171021_2047</t>
  </si>
  <si>
    <t>0/12</t>
  </si>
  <si>
    <t>ground DCRC1</t>
  </si>
  <si>
    <t>07171021_2138</t>
  </si>
  <si>
    <t>0/-3</t>
  </si>
  <si>
    <t>during flash</t>
  </si>
  <si>
    <t>07171021_2229</t>
  </si>
  <si>
    <t>0/-6</t>
  </si>
  <si>
    <t>07171021_2321</t>
  </si>
  <si>
    <t>0/-9</t>
  </si>
  <si>
    <t>07171022_0012</t>
  </si>
  <si>
    <t>0/-12</t>
  </si>
  <si>
    <t>07171022_1852</t>
  </si>
  <si>
    <t>07171022_1943</t>
  </si>
  <si>
    <t>raise at 21:02</t>
  </si>
  <si>
    <t>07171022_2035</t>
  </si>
  <si>
    <t>07171022_2129</t>
  </si>
  <si>
    <t>07171022_2220</t>
  </si>
  <si>
    <t>07171022_2312</t>
  </si>
  <si>
    <t>07171022_2327</t>
  </si>
  <si>
    <t>07171023_1041</t>
  </si>
  <si>
    <t>sev. Dumps didn't process. No xtalk seen - maybe no timing link</t>
  </si>
  <si>
    <t>07171023_1217</t>
  </si>
  <si>
    <t>07171023_1325</t>
  </si>
  <si>
    <t>trig on noise</t>
  </si>
  <si>
    <t>07171023_1453</t>
  </si>
  <si>
    <t>07171023_1618</t>
  </si>
  <si>
    <t>90.0/0</t>
  </si>
  <si>
    <t>07171023_1953</t>
  </si>
  <si>
    <t>07171023_2045</t>
  </si>
  <si>
    <t>07171023_2101</t>
  </si>
  <si>
    <t>07171023_2106</t>
  </si>
  <si>
    <t>trig tests</t>
  </si>
  <si>
    <t>07171023_2226</t>
  </si>
  <si>
    <t>40/30/15/-/-</t>
  </si>
  <si>
    <t>07171023_2232</t>
  </si>
  <si>
    <t>07171023_2238</t>
  </si>
  <si>
    <t>0/10</t>
  </si>
  <si>
    <t>07171023_2243</t>
  </si>
  <si>
    <t>07171023_2320</t>
  </si>
  <si>
    <t>07171023_2344</t>
  </si>
  <si>
    <t>07171024_0920</t>
  </si>
  <si>
    <t>5.01/0</t>
  </si>
  <si>
    <t>07171024_1004</t>
  </si>
  <si>
    <t>10.01/0</t>
  </si>
  <si>
    <t>07171024_1046</t>
  </si>
  <si>
    <t>15.00/0</t>
  </si>
  <si>
    <t>07171024_1128</t>
  </si>
  <si>
    <t>20.00/0</t>
  </si>
  <si>
    <t>07171024_1212</t>
  </si>
  <si>
    <t>25.00/0</t>
  </si>
  <si>
    <t>07171024_1318</t>
  </si>
  <si>
    <t>07171024_1319</t>
  </si>
  <si>
    <t>40.00/0</t>
  </si>
  <si>
    <t>hold(0)</t>
  </si>
  <si>
    <t>07171024_1404</t>
  </si>
  <si>
    <t>110.1/0</t>
  </si>
  <si>
    <t>07171024_1519</t>
  </si>
  <si>
    <t>-5.009/0</t>
  </si>
  <si>
    <t>07171024_1600</t>
  </si>
  <si>
    <t>-10.00/0</t>
  </si>
  <si>
    <t>07171024_1709</t>
  </si>
  <si>
    <t>-15.00/0</t>
  </si>
  <si>
    <t>07171025_0936</t>
  </si>
  <si>
    <t>07171025_1131</t>
  </si>
  <si>
    <t>-20.00/0</t>
  </si>
  <si>
    <t>07171025_1217</t>
  </si>
  <si>
    <t>-25.01/0</t>
  </si>
  <si>
    <t>07171025_1303</t>
  </si>
  <si>
    <t>-30.01/0</t>
  </si>
  <si>
    <t>07171025_1347</t>
  </si>
  <si>
    <t>-40.01/0</t>
  </si>
  <si>
    <t>DIB1 noise trig</t>
  </si>
  <si>
    <t>07171025_1433</t>
  </si>
  <si>
    <t>-50.00/0</t>
  </si>
  <si>
    <t>DIB4 noise trig</t>
  </si>
  <si>
    <t>07171025_1516</t>
  </si>
  <si>
    <t>-70.00/0</t>
  </si>
  <si>
    <t>07171025_1600</t>
  </si>
  <si>
    <t>-90.0/0</t>
  </si>
  <si>
    <t>07171025_1644</t>
  </si>
  <si>
    <t>-110.0/0</t>
  </si>
  <si>
    <t>07171026_1047</t>
  </si>
  <si>
    <t>-10.0/0</t>
  </si>
  <si>
    <t>07171026_1141</t>
  </si>
  <si>
    <t>07171026_1230</t>
  </si>
  <si>
    <t>07171026_1339</t>
  </si>
  <si>
    <t>07171026_1423</t>
  </si>
  <si>
    <t>07171026_1510</t>
  </si>
  <si>
    <t>07171027_0945</t>
  </si>
  <si>
    <t>07171027_0951</t>
  </si>
  <si>
    <t>07171027_1428</t>
  </si>
  <si>
    <t>07171027_1707</t>
  </si>
  <si>
    <t>07171030_0952</t>
  </si>
  <si>
    <t>07171030_1036</t>
  </si>
  <si>
    <t>07171030_1151</t>
  </si>
  <si>
    <t>07171030_1232</t>
  </si>
  <si>
    <t>07171030_1325</t>
  </si>
  <si>
    <t>07171030_1456</t>
  </si>
  <si>
    <t>07171030_1531</t>
  </si>
  <si>
    <t>07171030_1611</t>
  </si>
  <si>
    <t>07171030_1636</t>
  </si>
  <si>
    <t>07171030_1701</t>
  </si>
  <si>
    <t>07171031_0921</t>
  </si>
  <si>
    <t>07171031_1006</t>
  </si>
  <si>
    <t>07171031_1409</t>
  </si>
  <si>
    <t>07171031_1410</t>
  </si>
  <si>
    <t>07171031_1438</t>
  </si>
  <si>
    <t>07171101_1014</t>
  </si>
  <si>
    <t>07171101_1040</t>
  </si>
  <si>
    <t>07171101_1106</t>
  </si>
  <si>
    <t>07171101_1141</t>
  </si>
  <si>
    <t>07171101_1210</t>
  </si>
  <si>
    <t>07171101_1238</t>
  </si>
  <si>
    <t>07171101_1309</t>
  </si>
  <si>
    <t>07171101_1341</t>
  </si>
  <si>
    <t>07171101_1414</t>
  </si>
  <si>
    <t>07171101_1441</t>
  </si>
  <si>
    <t>07171101_1508</t>
  </si>
  <si>
    <t>07171101_1604</t>
  </si>
  <si>
    <t>07171101_1605</t>
  </si>
  <si>
    <t>07171101_1638</t>
  </si>
  <si>
    <t>07171102_1017</t>
  </si>
  <si>
    <t>07171102_1045</t>
  </si>
  <si>
    <t>07171102_1116</t>
  </si>
  <si>
    <t>07171102_1203</t>
  </si>
  <si>
    <t>07171102_1246</t>
  </si>
  <si>
    <t>07171102_1342</t>
  </si>
  <si>
    <t>07171102_1419</t>
  </si>
  <si>
    <t>07171102_1456</t>
  </si>
  <si>
    <t>07171102_1522</t>
  </si>
  <si>
    <t>07171102_1559</t>
  </si>
  <si>
    <t>07171102_1630</t>
  </si>
  <si>
    <t>cd /data/chocula/fritts/data/k100proc/midasrq/byseries</t>
  </si>
  <si>
    <t>\  &gt; ~/K100/condorfail.txt</t>
  </si>
  <si>
    <t>-rw-r--r-- 1 fritts grad    56214 Aug 15 09:11 umn_07180811_2240_F0010.root</t>
  </si>
  <si>
    <t>-rw-r--r-- 1 fritts grad    56214 Aug 15 09:11 umn_07180811_2310_F0009.root</t>
  </si>
  <si>
    <t>-rw-r--r-- 1 fritts grad    56214 Aug 15 09:14 umn_07180812_0241_F0003.root</t>
  </si>
  <si>
    <t>-rw-r--r-- 1 fritts grad    56214 Aug 15 09:15 umn_07180812_0241_F0006.root</t>
  </si>
  <si>
    <t>-rw-r--r-- 1 fritts grad    56214 Aug 15 09:15 umn_07180812_0252_F0004.root</t>
  </si>
  <si>
    <t>-rw-r--r-- 1 fritts grad    56214 Aug 15 10:16 umn_07180812_1115_F0007.root</t>
  </si>
  <si>
    <t>-rw-r--r-- 1 fritts grad    56214 Aug 15 10:16 umn_07180812_1135_F0004.root</t>
  </si>
  <si>
    <t>-rw-r--r-- 1 fritts grad    56214 Aug 14 13:40 umn_07180808_1856_F0004.root</t>
  </si>
  <si>
    <t>-rw-r--r-- 1 fritts grad    56214 Aug 14 13:40 umn_07180808_2327_F0009.root</t>
  </si>
  <si>
    <t>-rw-r--r-- 1 fritts grad    56214 Aug 14 13:40 umn_07180809_0308_F0005.root</t>
  </si>
  <si>
    <t>-rw-r--r-- 1 fritts grad    56214 Aug 14 10:21 umn_07180810_0422_F0005.root</t>
  </si>
  <si>
    <t>-rw-r--r-- 1 fritts grad    56214 Aug 14 11:32 umn_07180810_1505_F0005.root</t>
  </si>
  <si>
    <t>-rw-r--r-- 1 fritts grad    56214 Aug 14 11:32 umn_07180810_1525_F0008.root</t>
  </si>
  <si>
    <t>-rw-r--r-- 1 fritts grad    56214 Aug 14 11:32 umn_07180810_1545_F0004.root</t>
  </si>
  <si>
    <t>-rw-r--r-- 1 fritts grad    56214 Aug 14 11:32 umn_07180810_1555_F0008.root</t>
  </si>
  <si>
    <t>-rw-r--r-- 1 fritts grad    56214 Aug 14 11:33 umn_07180810_1605_F0004.root</t>
  </si>
  <si>
    <t>-rw-r--r-- 1 fritts grad    56214 Aug 14 11:33 umn_07180810_1616_F0003.root</t>
  </si>
  <si>
    <t>-rw-r--r-- 1 fritts grad    56214 Aug 14 11:33 umn_07180810_1636_F0004.root</t>
  </si>
  <si>
    <t>-rw-r--r-- 1 fritts grad    56214 Aug 14 12:19 umn_07180810_1826_F0004.root</t>
  </si>
  <si>
    <t>07180306_1042</t>
  </si>
  <si>
    <t>4 K</t>
  </si>
  <si>
    <t>07180307_0940</t>
  </si>
  <si>
    <t>07180307_0947</t>
  </si>
  <si>
    <t>3.14 K</t>
  </si>
  <si>
    <t>07180307_1023</t>
  </si>
  <si>
    <t>3.11 K</t>
  </si>
  <si>
    <t>07180308_1505</t>
  </si>
  <si>
    <t>4.4 K</t>
  </si>
  <si>
    <t>07180308_1626</t>
  </si>
  <si>
    <t>cal</t>
  </si>
  <si>
    <t>07180308_1634</t>
  </si>
  <si>
    <t>07180308_1640</t>
  </si>
  <si>
    <t>07180308_1647</t>
  </si>
  <si>
    <t>07180308_1730</t>
  </si>
  <si>
    <t>07180308_1736</t>
  </si>
  <si>
    <t>07180308_1741</t>
  </si>
  <si>
    <t>07180308_1747</t>
  </si>
  <si>
    <t>07180308_1808</t>
  </si>
  <si>
    <t>07180308_1909</t>
  </si>
  <si>
    <t>07180308_2010</t>
  </si>
  <si>
    <t>07180308_2111</t>
  </si>
  <si>
    <t>07180308_2212</t>
  </si>
  <si>
    <t>07180308_2313</t>
  </si>
  <si>
    <t>07180309_0014</t>
  </si>
  <si>
    <t>07180309_0114</t>
  </si>
  <si>
    <t>07180309_0215</t>
  </si>
  <si>
    <t>07180309_0316</t>
  </si>
  <si>
    <t>07180309_0417</t>
  </si>
  <si>
    <t>07180309_0518</t>
  </si>
  <si>
    <t>07180309_1016</t>
  </si>
  <si>
    <t>07180309_1131</t>
  </si>
  <si>
    <t>07180309_1136</t>
  </si>
  <si>
    <t>07180321_1555</t>
  </si>
  <si>
    <t>low stats</t>
  </si>
  <si>
    <t>07180322_1334</t>
  </si>
  <si>
    <t>t</t>
  </si>
  <si>
    <t>07180322_1730</t>
  </si>
  <si>
    <t>07180322_1830</t>
  </si>
  <si>
    <t>07180322_1931</t>
  </si>
  <si>
    <t>07180322_2032</t>
  </si>
  <si>
    <t>07180322_2133</t>
  </si>
  <si>
    <t>07180322_2234</t>
  </si>
  <si>
    <t>t2</t>
  </si>
  <si>
    <t>07180322_2335</t>
  </si>
  <si>
    <t>07180323_0036</t>
  </si>
  <si>
    <t>07180323_0137</t>
  </si>
  <si>
    <t>07180323_0238</t>
  </si>
  <si>
    <t>07180323_0339</t>
  </si>
  <si>
    <t>07180323_0440</t>
  </si>
  <si>
    <t>07180323_1311</t>
  </si>
  <si>
    <t>07180323_1314</t>
  </si>
  <si>
    <t>temperature varied</t>
  </si>
  <si>
    <t>07180323_1740</t>
  </si>
  <si>
    <t>07180323_1841</t>
  </si>
  <si>
    <t>07180323_1942</t>
  </si>
  <si>
    <t>07180323_2043</t>
  </si>
  <si>
    <t>07180323_2144</t>
  </si>
  <si>
    <t>07180323_2245</t>
  </si>
  <si>
    <t>07180323_2346</t>
  </si>
  <si>
    <t>07180324_0047</t>
  </si>
  <si>
    <t>07180324_0148</t>
  </si>
  <si>
    <t>07180324_0249</t>
  </si>
  <si>
    <t>07180324_0350</t>
  </si>
  <si>
    <t>07180324_0451</t>
  </si>
  <si>
    <t>07180324_1036</t>
  </si>
  <si>
    <t>07180324_1137</t>
  </si>
  <si>
    <t>07180324_1238</t>
  </si>
  <si>
    <t>07180324_1339</t>
  </si>
  <si>
    <t>07180325_1230</t>
  </si>
  <si>
    <t>07180325_1331</t>
  </si>
  <si>
    <t>07180325_1432</t>
  </si>
  <si>
    <t>07180325_1533</t>
  </si>
  <si>
    <t>07180325_1634</t>
  </si>
  <si>
    <t>07180325_1734</t>
  </si>
  <si>
    <t>07180325_1835</t>
  </si>
  <si>
    <t>07180325_1936</t>
  </si>
  <si>
    <t>07180325_2037</t>
  </si>
  <si>
    <t>07180325_2138</t>
  </si>
  <si>
    <t>07180325_2239</t>
  </si>
  <si>
    <t>07180325_2340</t>
  </si>
  <si>
    <t>07180326_1004</t>
  </si>
  <si>
    <t>07180326_1104</t>
  </si>
  <si>
    <t>ground but no flash</t>
  </si>
  <si>
    <t>07180326_1204</t>
  </si>
  <si>
    <t>07180326_1305</t>
  </si>
  <si>
    <t>07180326_1512</t>
  </si>
  <si>
    <t>5+60</t>
  </si>
  <si>
    <t>12 then 6</t>
  </si>
  <si>
    <t>07180326_1709</t>
  </si>
  <si>
    <t>07180326_1840</t>
  </si>
  <si>
    <t>07180326_2011</t>
  </si>
  <si>
    <t>07180326_2142</t>
  </si>
  <si>
    <t>noise triggers</t>
  </si>
  <si>
    <t>07180326_2313</t>
  </si>
  <si>
    <t>07180327_0044</t>
  </si>
  <si>
    <t>07180327_0215</t>
  </si>
  <si>
    <t>07180327_0346</t>
  </si>
  <si>
    <t>07180327_1013</t>
  </si>
  <si>
    <t>6+71</t>
  </si>
  <si>
    <t>11 then 6</t>
  </si>
  <si>
    <t>07180327_1159</t>
  </si>
  <si>
    <t>07180327_1239</t>
  </si>
  <si>
    <t>ground 10min</t>
  </si>
  <si>
    <t>07180327_1319</t>
  </si>
  <si>
    <t>07180327_1400</t>
  </si>
  <si>
    <t>07180327_1709</t>
  </si>
  <si>
    <t>07180327_1924</t>
  </si>
  <si>
    <t>07180327_1929</t>
  </si>
  <si>
    <t>07180327_2021</t>
  </si>
  <si>
    <t>07180327_2025</t>
  </si>
  <si>
    <t>07180327_2112</t>
  </si>
  <si>
    <t>07180327_2343</t>
  </si>
  <si>
    <t>07180328_0213</t>
  </si>
  <si>
    <t>07180328_0444</t>
  </si>
  <si>
    <t>07180328_0951</t>
  </si>
  <si>
    <t>07180328_0957</t>
  </si>
  <si>
    <t>07180328_1003</t>
  </si>
  <si>
    <t>07180328_1010</t>
  </si>
  <si>
    <t>07180328_1020</t>
  </si>
  <si>
    <t>07180328_1027</t>
  </si>
  <si>
    <t>07180328_1036</t>
  </si>
  <si>
    <t>07180328_1043</t>
  </si>
  <si>
    <t>07180328_1053</t>
  </si>
  <si>
    <t>07180328_1108</t>
  </si>
  <si>
    <t>07180328_1125</t>
  </si>
  <si>
    <t>07180328_1133</t>
  </si>
  <si>
    <t>07180328_1136</t>
  </si>
  <si>
    <t>07180328_1227</t>
  </si>
  <si>
    <t>07180328_1301</t>
  </si>
  <si>
    <t>07180328_1438</t>
  </si>
  <si>
    <t>07180328_1611</t>
  </si>
  <si>
    <t>mistake?</t>
  </si>
  <si>
    <t>07180328_1612</t>
  </si>
  <si>
    <t>started a little late</t>
  </si>
  <si>
    <t>07180328_1901</t>
  </si>
  <si>
    <t>07180328_2217</t>
  </si>
  <si>
    <t>07180329_0917</t>
  </si>
  <si>
    <t>after 4.25 hr bake</t>
  </si>
  <si>
    <t>07180329_1056</t>
  </si>
  <si>
    <t>after 30 s flash</t>
  </si>
  <si>
    <t>07180329_1507</t>
  </si>
  <si>
    <t>Ba</t>
  </si>
  <si>
    <t>07180329_1632</t>
  </si>
  <si>
    <t>07180329_1733</t>
  </si>
  <si>
    <t>07180329_1834</t>
  </si>
  <si>
    <t>07180329_1935</t>
  </si>
  <si>
    <t>07180329_2036</t>
  </si>
  <si>
    <t>07180329_2136</t>
  </si>
  <si>
    <t>DAQ crash @ 35 min</t>
  </si>
  <si>
    <t>07180329_2237</t>
  </si>
  <si>
    <t>no data</t>
  </si>
  <si>
    <t>07180329_2338</t>
  </si>
  <si>
    <t>07180330_1031</t>
  </si>
  <si>
    <t>3+68</t>
  </si>
  <si>
    <t>0 then 8</t>
  </si>
  <si>
    <t>07180330_1140</t>
  </si>
  <si>
    <t>14+16</t>
  </si>
  <si>
    <t>8 then 0</t>
  </si>
  <si>
    <t>07180330_1352</t>
  </si>
  <si>
    <t>130mK</t>
  </si>
  <si>
    <t>07180330_1514</t>
  </si>
  <si>
    <t>07180330_1730</t>
  </si>
  <si>
    <t>07180330_1830</t>
  </si>
  <si>
    <t>07180330_1931</t>
  </si>
  <si>
    <t>07180330_2032</t>
  </si>
  <si>
    <t>07180330_2133</t>
  </si>
  <si>
    <t>07180330_2234</t>
  </si>
  <si>
    <t>07180330_2335</t>
  </si>
  <si>
    <t>07180331_0036</t>
  </si>
  <si>
    <t>07180331_1003</t>
  </si>
  <si>
    <t>1.3K</t>
  </si>
  <si>
    <t>07180331_1104</t>
  </si>
  <si>
    <t>07180331_1204</t>
  </si>
  <si>
    <t>07180331_1305</t>
  </si>
  <si>
    <t>07180331_1406</t>
  </si>
  <si>
    <t>1K</t>
  </si>
  <si>
    <t>07180331_1934</t>
  </si>
  <si>
    <t>07180331_2035</t>
  </si>
  <si>
    <t>07180331_2135</t>
  </si>
  <si>
    <t>07180331_2236</t>
  </si>
  <si>
    <t>07180331_2337</t>
  </si>
  <si>
    <t>07180401_0038</t>
  </si>
  <si>
    <t>07180401_0139</t>
  </si>
  <si>
    <t>07180401_0240</t>
  </si>
  <si>
    <t>07180401_1031</t>
  </si>
  <si>
    <t>07180401_1132</t>
  </si>
  <si>
    <t>07180401_1233</t>
  </si>
  <si>
    <t>07180401_1333</t>
  </si>
  <si>
    <t>07180401_1434</t>
  </si>
  <si>
    <t>07180401_1535</t>
  </si>
  <si>
    <t>07180401_1636</t>
  </si>
  <si>
    <t>07180401_1737</t>
  </si>
  <si>
    <t>07180401_1942</t>
  </si>
  <si>
    <t>07180401_2020</t>
  </si>
  <si>
    <t>low DCRC1qI(q4) trig only, thresh 35</t>
  </si>
  <si>
    <t>07180401_2231</t>
  </si>
  <si>
    <t>07180401_2332</t>
  </si>
  <si>
    <t>07180402_0032</t>
  </si>
  <si>
    <t>07180402_0133</t>
  </si>
  <si>
    <t>07180402_0234</t>
  </si>
  <si>
    <t>07180402_0335</t>
  </si>
  <si>
    <t>07180402_0436</t>
  </si>
  <si>
    <t>07180402_0537</t>
  </si>
  <si>
    <t>07180402_1056</t>
  </si>
  <si>
    <t>test sig cal</t>
  </si>
  <si>
    <t>07180402_1058</t>
  </si>
  <si>
    <t>07180402_1142</t>
  </si>
  <si>
    <t>07180402_1309</t>
  </si>
  <si>
    <t>07180402_1310</t>
  </si>
  <si>
    <t>07180402_1315</t>
  </si>
  <si>
    <t>15+15+39</t>
  </si>
  <si>
    <t>0 then 8 then 0</t>
  </si>
  <si>
    <t>07180402_1457</t>
  </si>
  <si>
    <t>15+21+35</t>
  </si>
  <si>
    <t>0 then -8 then 0</t>
  </si>
  <si>
    <t>07180529_1254</t>
  </si>
  <si>
    <t>07180530_2500</t>
  </si>
  <si>
    <t>IbIs</t>
  </si>
  <si>
    <t>wide range</t>
  </si>
  <si>
    <t>07180530_2600</t>
  </si>
  <si>
    <t>zoom</t>
  </si>
  <si>
    <t>n</t>
  </si>
  <si>
    <t>07180531_2500</t>
  </si>
  <si>
    <t>07180531_2600</t>
  </si>
  <si>
    <t>07180601_2500</t>
  </si>
  <si>
    <t>07180601_1712</t>
  </si>
  <si>
    <t>mf1, mf2</t>
  </si>
  <si>
    <t>07180601_1813</t>
  </si>
  <si>
    <t>100.3V @ begin</t>
  </si>
  <si>
    <t>07180601_1913</t>
  </si>
  <si>
    <t>97.6 V @ 14:42,</t>
  </si>
  <si>
    <t>07180601_2013</t>
  </si>
  <si>
    <t>next day</t>
  </si>
  <si>
    <t>07180601_2113</t>
  </si>
  <si>
    <t>07180601_2213</t>
  </si>
  <si>
    <t>07180601_2313</t>
  </si>
  <si>
    <t>07180602_0013</t>
  </si>
  <si>
    <t>07180602_0113</t>
  </si>
  <si>
    <t>07180602_0213</t>
  </si>
  <si>
    <t>07180602_0313</t>
  </si>
  <si>
    <t>07180602_0414</t>
  </si>
  <si>
    <t>07180602_1638</t>
  </si>
  <si>
    <t>07180602_1738</t>
  </si>
  <si>
    <t>79.6 V @ begin</t>
  </si>
  <si>
    <t>07180602_1838</t>
  </si>
  <si>
    <t>82.9 V @ 15:41,</t>
  </si>
  <si>
    <t>07180602_1938</t>
  </si>
  <si>
    <t>07180602_2039</t>
  </si>
  <si>
    <t>07180602_2139</t>
  </si>
  <si>
    <t>07180602_2239</t>
  </si>
  <si>
    <t>07180602_2339</t>
  </si>
  <si>
    <t>07180603_0039</t>
  </si>
  <si>
    <t>07180603_0139</t>
  </si>
  <si>
    <t>07180603_0239</t>
  </si>
  <si>
    <t>07180603_0339</t>
  </si>
  <si>
    <t>07180603_1702</t>
  </si>
  <si>
    <t>07180603_1802</t>
  </si>
  <si>
    <t>59.8 V @ begin</t>
  </si>
  <si>
    <t>07180603_1902</t>
  </si>
  <si>
    <t>58.8 V @ 9:40,</t>
  </si>
  <si>
    <t>07180603_2002</t>
  </si>
  <si>
    <t>07180603_2103</t>
  </si>
  <si>
    <t>07180603_2203</t>
  </si>
  <si>
    <t>07180603_2303</t>
  </si>
  <si>
    <t>07180604_0003</t>
  </si>
  <si>
    <t>07180604_0103</t>
  </si>
  <si>
    <t>07180604_0203</t>
  </si>
  <si>
    <t>07180604_0303</t>
  </si>
  <si>
    <t>07180604_0403</t>
  </si>
  <si>
    <t>07180604_1332</t>
  </si>
  <si>
    <t>39.1 V</t>
  </si>
  <si>
    <t>mf2</t>
  </si>
  <si>
    <t>07180604_1656</t>
  </si>
  <si>
    <t>flash betw</t>
  </si>
  <si>
    <t>07180604_1833</t>
  </si>
  <si>
    <t>07180604_2010</t>
  </si>
  <si>
    <t>07180604_2148</t>
  </si>
  <si>
    <t>07180604_2327</t>
  </si>
  <si>
    <t>railed</t>
  </si>
  <si>
    <t>07180605_1632</t>
  </si>
  <si>
    <t>07180605_1746</t>
  </si>
  <si>
    <t>channels</t>
  </si>
  <si>
    <t>07180605_1901</t>
  </si>
  <si>
    <t>07180605_2015</t>
  </si>
  <si>
    <t>07180605_2129</t>
  </si>
  <si>
    <t>07180605_2242</t>
  </si>
  <si>
    <t>07180605_2357</t>
  </si>
  <si>
    <t>07180606_0110</t>
  </si>
  <si>
    <t>07180606_1153</t>
  </si>
  <si>
    <t>07180606_1306</t>
  </si>
  <si>
    <t>no triggers</t>
  </si>
  <si>
    <t>07180606_1420</t>
  </si>
  <si>
    <t>first 25 min no trig</t>
  </si>
  <si>
    <t>07180606_1535</t>
  </si>
  <si>
    <t>07180618_1052</t>
  </si>
  <si>
    <t>tower overheats</t>
  </si>
  <si>
    <t>07180618_1504</t>
  </si>
  <si>
    <t>noise, s/c</t>
  </si>
  <si>
    <t>07180629_1125</t>
  </si>
  <si>
    <t>07180629_1134</t>
  </si>
  <si>
    <t>07180629_1144</t>
  </si>
  <si>
    <t>noise, norm</t>
  </si>
  <si>
    <t>07180629_1231</t>
  </si>
  <si>
    <t>bg/PuBe</t>
  </si>
  <si>
    <t>PuBe starting 26/7 min</t>
  </si>
  <si>
    <t>07180629_1358</t>
  </si>
  <si>
    <t>07180630_0701</t>
  </si>
  <si>
    <t>65.3-&gt;65.8 V</t>
  </si>
  <si>
    <t>07180630_0816</t>
  </si>
  <si>
    <t>65.8-&gt;66.1 V</t>
  </si>
  <si>
    <t>07180630_0932</t>
  </si>
  <si>
    <t>65.9-&gt;66.1 V</t>
  </si>
  <si>
    <t>07180630_1048</t>
  </si>
  <si>
    <t>07180630_1204</t>
  </si>
  <si>
    <t>07180630_1320</t>
  </si>
  <si>
    <t>07180630_1436</t>
  </si>
  <si>
    <t>07180630_1552</t>
  </si>
  <si>
    <t>07180630_1708</t>
  </si>
  <si>
    <t>07180630_1823</t>
  </si>
  <si>
    <t>07180630_1939</t>
  </si>
  <si>
    <t>07180630_2055</t>
  </si>
  <si>
    <t>07180701_1321</t>
  </si>
  <si>
    <t>07180701_1429</t>
  </si>
  <si>
    <t>07180701_1537</t>
  </si>
  <si>
    <t>07180701_1646</t>
  </si>
  <si>
    <t>07180701_1756</t>
  </si>
  <si>
    <t>07180701_1908</t>
  </si>
  <si>
    <t>07180701_2020</t>
  </si>
  <si>
    <t>07180701_2133</t>
  </si>
  <si>
    <t>07180702_1526</t>
  </si>
  <si>
    <t>60 min total</t>
  </si>
  <si>
    <t>07180702_1536</t>
  </si>
  <si>
    <t>without flash</t>
  </si>
  <si>
    <t>07180702_1546</t>
  </si>
  <si>
    <t>07180702_1556</t>
  </si>
  <si>
    <t>07180702_1606</t>
  </si>
  <si>
    <t>07180702_1616</t>
  </si>
  <si>
    <t>07180702_1712</t>
  </si>
  <si>
    <t>no flashing</t>
  </si>
  <si>
    <t>hour</t>
  </si>
  <si>
    <t>rel wid</t>
  </si>
  <si>
    <t>07180702_1727</t>
  </si>
  <si>
    <t>07180702_1742</t>
  </si>
  <si>
    <t>07180702_1758</t>
  </si>
  <si>
    <t>07180702_1813</t>
  </si>
  <si>
    <t>07180702_1828</t>
  </si>
  <si>
    <t>07180702_1843</t>
  </si>
  <si>
    <t>07180702_1858</t>
  </si>
  <si>
    <t>07180702_1913</t>
  </si>
  <si>
    <t>07180702_1928</t>
  </si>
  <si>
    <t>07180702_1943</t>
  </si>
  <si>
    <t>07180702_1958</t>
  </si>
  <si>
    <t>07180702_2014</t>
  </si>
  <si>
    <t>07180702_2029</t>
  </si>
  <si>
    <t>07180702_2044</t>
  </si>
  <si>
    <t>07180702_2059</t>
  </si>
  <si>
    <t>07180702_2114</t>
  </si>
  <si>
    <t>07180702_2129</t>
  </si>
  <si>
    <t>07180702_2144</t>
  </si>
  <si>
    <t>07180702_2159</t>
  </si>
  <si>
    <t>07180702_2215</t>
  </si>
  <si>
    <t>07180702_2230</t>
  </si>
  <si>
    <t>07180702_2245</t>
  </si>
  <si>
    <t>07180702_2300</t>
  </si>
  <si>
    <t>07180702_2315</t>
  </si>
  <si>
    <t>07180702_2330</t>
  </si>
  <si>
    <t>07180702_2345</t>
  </si>
  <si>
    <t>07180703_0000</t>
  </si>
  <si>
    <t>07180703_0015</t>
  </si>
  <si>
    <t>07180703_0031</t>
  </si>
  <si>
    <t>07180703_0046</t>
  </si>
  <si>
    <t>07180703_0101</t>
  </si>
  <si>
    <t>07180703_0116</t>
  </si>
  <si>
    <t>07180703_0131</t>
  </si>
  <si>
    <t>07180703_0146</t>
  </si>
  <si>
    <t>07180703_0201</t>
  </si>
  <si>
    <t>07180703_0216</t>
  </si>
  <si>
    <t>07180703_0231</t>
  </si>
  <si>
    <t>07180703_0247</t>
  </si>
  <si>
    <t>07180703_0302</t>
  </si>
  <si>
    <t>07180709_2230</t>
  </si>
  <si>
    <t>07180709_2500</t>
  </si>
  <si>
    <t>07180717_1131</t>
  </si>
  <si>
    <t>he film noise</t>
  </si>
  <si>
    <t>07180717_1234</t>
  </si>
  <si>
    <t>07180721_1440</t>
  </si>
  <si>
    <t>ivc warmed</t>
  </si>
  <si>
    <t>07180721_1904</t>
  </si>
  <si>
    <t>&amp; pumped</t>
  </si>
  <si>
    <t>07180806_1630</t>
  </si>
  <si>
    <t>07180806_1756</t>
  </si>
  <si>
    <t>07180806_1925</t>
  </si>
  <si>
    <t>07180806_2054</t>
  </si>
  <si>
    <t>07180806_2303</t>
  </si>
  <si>
    <t>07180807_0029</t>
  </si>
  <si>
    <t>07180807_0158</t>
  </si>
  <si>
    <t>07180807_0328</t>
  </si>
  <si>
    <t>07180807_1023</t>
  </si>
  <si>
    <t>DCRC3pD railed</t>
  </si>
  <si>
    <t>low thresh</t>
  </si>
  <si>
    <t>07180807_1034</t>
  </si>
  <si>
    <t>DCRC3 b/c/d</t>
  </si>
  <si>
    <t>07180807_1051</t>
  </si>
  <si>
    <t>= 7/9/8</t>
  </si>
  <si>
    <t>07180807_1152</t>
  </si>
  <si>
    <t>south lead added</t>
  </si>
  <si>
    <t>07180807_1727</t>
  </si>
  <si>
    <t>NaI only</t>
  </si>
  <si>
    <t>07180807_1827</t>
  </si>
  <si>
    <t>07180807_1927</t>
  </si>
  <si>
    <t>07180807_2027</t>
  </si>
  <si>
    <t>07180807_2127</t>
  </si>
  <si>
    <t>07180807_2227</t>
  </si>
  <si>
    <t>07180807_2327</t>
  </si>
  <si>
    <t>07180808_0027</t>
  </si>
  <si>
    <t>complete</t>
  </si>
  <si>
    <t>07180808_0127</t>
  </si>
  <si>
    <t>07180808_0228</t>
  </si>
  <si>
    <t>07180808_0328</t>
  </si>
  <si>
    <t>07180808_0428</t>
  </si>
  <si>
    <t>07180808_1158</t>
  </si>
  <si>
    <t>SiHV+NaI</t>
  </si>
  <si>
    <t>mf all</t>
  </si>
  <si>
    <t>07180808_1224</t>
  </si>
  <si>
    <t>07180808_1310</t>
  </si>
  <si>
    <t>07180808_1433</t>
  </si>
  <si>
    <t>07180808_1442</t>
  </si>
  <si>
    <t>trigger:</t>
  </si>
  <si>
    <t>07180808_1452</t>
  </si>
  <si>
    <t>1 flash</t>
  </si>
  <si>
    <t>DCRC3pB/C/D</t>
  </si>
  <si>
    <t>07180808_1502</t>
  </si>
  <si>
    <t>07180808_1512</t>
  </si>
  <si>
    <t>also NaI's</t>
  </si>
  <si>
    <t>07180808_1522</t>
  </si>
  <si>
    <t>07180808_1533</t>
  </si>
  <si>
    <t>07180808_1558</t>
  </si>
  <si>
    <t>mf complete</t>
  </si>
  <si>
    <t>07180808_1608</t>
  </si>
  <si>
    <t>07180808_1618</t>
  </si>
  <si>
    <t>07180808_1628</t>
  </si>
  <si>
    <t>07180808_1638</t>
  </si>
  <si>
    <t>07180808_1648</t>
  </si>
  <si>
    <t>07180808_1715</t>
  </si>
  <si>
    <t>07180808_1725</t>
  </si>
  <si>
    <t>07180808_1735</t>
  </si>
  <si>
    <t>= 8/10/9</t>
  </si>
  <si>
    <t>07180808_1745</t>
  </si>
  <si>
    <t>at 17:24 change:</t>
  </si>
  <si>
    <t>07180808_1755</t>
  </si>
  <si>
    <t>= 9/11/10</t>
  </si>
  <si>
    <t>07180808_1805</t>
  </si>
  <si>
    <t>07180808_1815</t>
  </si>
  <si>
    <t>07180808_1825</t>
  </si>
  <si>
    <t>07180808_1836</t>
  </si>
  <si>
    <t>07180808_1846</t>
  </si>
  <si>
    <t>07180808_1856</t>
  </si>
  <si>
    <t>07180808_1906</t>
  </si>
  <si>
    <t>07180808_1955</t>
  </si>
  <si>
    <t>07180808_2005</t>
  </si>
  <si>
    <t>07180808_2016</t>
  </si>
  <si>
    <t>07180808_2026</t>
  </si>
  <si>
    <t>07180808_2036</t>
  </si>
  <si>
    <t>07180808_2046</t>
  </si>
  <si>
    <t>07180808_2056</t>
  </si>
  <si>
    <t>07180808_2106</t>
  </si>
  <si>
    <t>07180808_2116</t>
  </si>
  <si>
    <t>07180808_2126</t>
  </si>
  <si>
    <t>07180808_2136</t>
  </si>
  <si>
    <t>07180808_2147</t>
  </si>
  <si>
    <t>07180808_2236</t>
  </si>
  <si>
    <t>07180808_2246</t>
  </si>
  <si>
    <t>07180808_2256</t>
  </si>
  <si>
    <t>07180808_2307</t>
  </si>
  <si>
    <t>07180808_2317</t>
  </si>
  <si>
    <t>07180808_2327</t>
  </si>
  <si>
    <t>07180808_2337</t>
  </si>
  <si>
    <t>07180808_2347</t>
  </si>
  <si>
    <t>07180808_2357</t>
  </si>
  <si>
    <t>07180809_0007</t>
  </si>
  <si>
    <t>07180809_0017</t>
  </si>
  <si>
    <t>07180809_0027</t>
  </si>
  <si>
    <t>07180809_0117</t>
  </si>
  <si>
    <t>07180809_0127</t>
  </si>
  <si>
    <t>07180809_0137</t>
  </si>
  <si>
    <t>07180809_0147</t>
  </si>
  <si>
    <t>07180809_0157</t>
  </si>
  <si>
    <t>07180809_0207</t>
  </si>
  <si>
    <t>07180809_0217</t>
  </si>
  <si>
    <t>won't process</t>
  </si>
  <si>
    <t>07180809_0227</t>
  </si>
  <si>
    <t>07180809_0238</t>
  </si>
  <si>
    <t>07180809_0248</t>
  </si>
  <si>
    <t>07180809_0258</t>
  </si>
  <si>
    <t>07180809_0308</t>
  </si>
  <si>
    <t>07180809_0357</t>
  </si>
  <si>
    <t>07180809_0407</t>
  </si>
  <si>
    <t>07180809_0418</t>
  </si>
  <si>
    <t>07180809_0428</t>
  </si>
  <si>
    <t>07180809_0438</t>
  </si>
  <si>
    <t>07180809_0448</t>
  </si>
  <si>
    <t>07180809_0458</t>
  </si>
  <si>
    <t>07180809_0508</t>
  </si>
  <si>
    <t>07180809_0518</t>
  </si>
  <si>
    <t>07180809_0528</t>
  </si>
  <si>
    <t>07180809_0538</t>
  </si>
  <si>
    <t>07180809_0548</t>
  </si>
  <si>
    <t>07180809_1549</t>
  </si>
  <si>
    <t>07180809_1600</t>
  </si>
  <si>
    <t>07180809_1610</t>
  </si>
  <si>
    <t>07180809_1620</t>
  </si>
  <si>
    <t>07180809_1630</t>
  </si>
  <si>
    <t>07180809_1640</t>
  </si>
  <si>
    <t>at 16:47:</t>
  </si>
  <si>
    <t>07180809_1650</t>
  </si>
  <si>
    <t>DCRC3pB/D</t>
  </si>
  <si>
    <t>07180809_1700</t>
  </si>
  <si>
    <t>= 7/8</t>
  </si>
  <si>
    <t>07180809_1710</t>
  </si>
  <si>
    <t>07180809_1720</t>
  </si>
  <si>
    <t>07180809_1731</t>
  </si>
  <si>
    <t>07180809_1741</t>
  </si>
  <si>
    <t>07180809_1830</t>
  </si>
  <si>
    <t>07180809_1840</t>
  </si>
  <si>
    <t>07180809_1850</t>
  </si>
  <si>
    <t>07180809_1900</t>
  </si>
  <si>
    <t>07180809_1910</t>
  </si>
  <si>
    <t>07180809_1920</t>
  </si>
  <si>
    <t>07180809_1930</t>
  </si>
  <si>
    <t>07180809_1941</t>
  </si>
  <si>
    <t>07180809_1951</t>
  </si>
  <si>
    <t>07180809_2001</t>
  </si>
  <si>
    <t>07180809_2011</t>
  </si>
  <si>
    <t>07180809_2021</t>
  </si>
  <si>
    <t>07180809_2110</t>
  </si>
  <si>
    <t>07180809_2120</t>
  </si>
  <si>
    <t>07180809_2130</t>
  </si>
  <si>
    <t>07180809_2141</t>
  </si>
  <si>
    <t>07180809_2151</t>
  </si>
  <si>
    <t>07180809_2201</t>
  </si>
  <si>
    <t>07180809_2211</t>
  </si>
  <si>
    <t>07180809_2221</t>
  </si>
  <si>
    <t>07180809_2231</t>
  </si>
  <si>
    <t>07180809_2241</t>
  </si>
  <si>
    <t>07180809_2251</t>
  </si>
  <si>
    <t>07180809_2301</t>
  </si>
  <si>
    <t>07180809_2351</t>
  </si>
  <si>
    <t>07180810_0001</t>
  </si>
  <si>
    <t>07180810_0011</t>
  </si>
  <si>
    <t>07180810_0021</t>
  </si>
  <si>
    <t>07180810_0031</t>
  </si>
  <si>
    <t>07180810_0041</t>
  </si>
  <si>
    <t>07180810_0051</t>
  </si>
  <si>
    <t>07180810_0102</t>
  </si>
  <si>
    <t>07180810_0112</t>
  </si>
  <si>
    <t>07180810_0122</t>
  </si>
  <si>
    <t>07180810_0132</t>
  </si>
  <si>
    <t>07180810_0142</t>
  </si>
  <si>
    <t>07180810_0231</t>
  </si>
  <si>
    <t>07180810_0241</t>
  </si>
  <si>
    <t>07180810_0251</t>
  </si>
  <si>
    <t>07180810_0301</t>
  </si>
  <si>
    <t>07180810_0312</t>
  </si>
  <si>
    <t>07180810_0322</t>
  </si>
  <si>
    <t>07180810_0332</t>
  </si>
  <si>
    <t>07180810_0342</t>
  </si>
  <si>
    <t>07180810_0352</t>
  </si>
  <si>
    <t>07180810_0402</t>
  </si>
  <si>
    <t>07180810_0412</t>
  </si>
  <si>
    <t>07180810_0422</t>
  </si>
  <si>
    <t>07180810_1505</t>
  </si>
  <si>
    <t>07180810_1515</t>
  </si>
  <si>
    <t>07180810_1525</t>
  </si>
  <si>
    <t>07180810_1535</t>
  </si>
  <si>
    <t>07180810_1545</t>
  </si>
  <si>
    <t>07180810_1555</t>
  </si>
  <si>
    <t>07180810_1605</t>
  </si>
  <si>
    <t>07180810_1616</t>
  </si>
  <si>
    <t>07180810_1626</t>
  </si>
  <si>
    <t>07180810_1636</t>
  </si>
  <si>
    <t>07180810_1646</t>
  </si>
  <si>
    <t>07180810_1656</t>
  </si>
  <si>
    <t>07180810_1745</t>
  </si>
  <si>
    <t>07180810_1756</t>
  </si>
  <si>
    <t>07180810_1806</t>
  </si>
  <si>
    <t>07180810_1816</t>
  </si>
  <si>
    <t>07180810_1826</t>
  </si>
  <si>
    <t>07180810_1836</t>
  </si>
  <si>
    <t>07180810_1846</t>
  </si>
  <si>
    <t>07180810_1856</t>
  </si>
  <si>
    <t>07180810_1906</t>
  </si>
  <si>
    <t>07180810_1916</t>
  </si>
  <si>
    <t>07180810_1927</t>
  </si>
  <si>
    <t>07180810_1937</t>
  </si>
  <si>
    <t>07180810_2026</t>
  </si>
  <si>
    <t>07180810_2036</t>
  </si>
  <si>
    <t>07180810_2046</t>
  </si>
  <si>
    <t>07180810_2056</t>
  </si>
  <si>
    <t>07180810_2107</t>
  </si>
  <si>
    <t>07180810_2117</t>
  </si>
  <si>
    <t>07180810_2127</t>
  </si>
  <si>
    <t>07180810_2137</t>
  </si>
  <si>
    <t>07180810_2147</t>
  </si>
  <si>
    <t>DCRC1b/3c</t>
  </si>
  <si>
    <t>07180810_2157</t>
  </si>
  <si>
    <t>railed low</t>
  </si>
  <si>
    <t>07180810_2207</t>
  </si>
  <si>
    <t>07180810_2217</t>
  </si>
  <si>
    <t>07180810_2307</t>
  </si>
  <si>
    <t>07180810_2317</t>
  </si>
  <si>
    <t>07180810_2327</t>
  </si>
  <si>
    <t>07180810_2337</t>
  </si>
  <si>
    <t>07180810_2347</t>
  </si>
  <si>
    <t>07180810_2357</t>
  </si>
  <si>
    <t>07180811_0007</t>
  </si>
  <si>
    <t>07180811_0017</t>
  </si>
  <si>
    <t>07180811_0027</t>
  </si>
  <si>
    <t>07180811_0038</t>
  </si>
  <si>
    <t>07180811_0048</t>
  </si>
  <si>
    <t>07180811_0058</t>
  </si>
  <si>
    <t>07180811_0147</t>
  </si>
  <si>
    <t>07180811_0157</t>
  </si>
  <si>
    <t>07180811_0207</t>
  </si>
  <si>
    <t>07180811_0218</t>
  </si>
  <si>
    <t>07180811_0228</t>
  </si>
  <si>
    <t>07180811_0238</t>
  </si>
  <si>
    <t>07180811_0248</t>
  </si>
  <si>
    <t>07180811_0258</t>
  </si>
  <si>
    <t>07180811_0308</t>
  </si>
  <si>
    <t>07180811_0318</t>
  </si>
  <si>
    <t>07180811_0328</t>
  </si>
  <si>
    <t>07180811_0338</t>
  </si>
  <si>
    <t>07180811_1236</t>
  </si>
  <si>
    <t>07180811_1437</t>
  </si>
  <si>
    <t>07180811_1447</t>
  </si>
  <si>
    <t>07180811_1457</t>
  </si>
  <si>
    <t>07180811_1507</t>
  </si>
  <si>
    <t>07180811_1518</t>
  </si>
  <si>
    <t>07180811_1528</t>
  </si>
  <si>
    <t>07180811_1538</t>
  </si>
  <si>
    <t>07180811_1548</t>
  </si>
  <si>
    <t>07180811_1558</t>
  </si>
  <si>
    <t>07180811_1608</t>
  </si>
  <si>
    <t>07180811_1618</t>
  </si>
  <si>
    <t>07180811_1628</t>
  </si>
  <si>
    <t>07180811_1718</t>
  </si>
  <si>
    <t>07180811_1728</t>
  </si>
  <si>
    <t>07180811_1738</t>
  </si>
  <si>
    <t>07180811_1748</t>
  </si>
  <si>
    <t>07180811_1758</t>
  </si>
  <si>
    <t>07180811_1808</t>
  </si>
  <si>
    <t>07180811_1818</t>
  </si>
  <si>
    <t>07180811_1829</t>
  </si>
  <si>
    <t>07180811_1839</t>
  </si>
  <si>
    <t>07180811_1849</t>
  </si>
  <si>
    <t>07180811_1859</t>
  </si>
  <si>
    <t>07180811_1909</t>
  </si>
  <si>
    <t>07180811_1959</t>
  </si>
  <si>
    <t>07180811_2009</t>
  </si>
  <si>
    <t>07180811_2019</t>
  </si>
  <si>
    <t>07180811_2029</t>
  </si>
  <si>
    <t>07180811_2039</t>
  </si>
  <si>
    <t>07180811_2050</t>
  </si>
  <si>
    <t>07180811_2100</t>
  </si>
  <si>
    <t>07180811_2110</t>
  </si>
  <si>
    <t>07180811_2120</t>
  </si>
  <si>
    <t>07180811_2130</t>
  </si>
  <si>
    <t>07180811_2140</t>
  </si>
  <si>
    <t>07180811_2150</t>
  </si>
  <si>
    <t>07180811_2240</t>
  </si>
  <si>
    <t>07180811_2250</t>
  </si>
  <si>
    <t>07180811_2300</t>
  </si>
  <si>
    <t>07180811_2310</t>
  </si>
  <si>
    <t>07180811_2320</t>
  </si>
  <si>
    <t>07180811_2331</t>
  </si>
  <si>
    <t>07180811_2341</t>
  </si>
  <si>
    <t>07180811_2351</t>
  </si>
  <si>
    <t>07180812_0001</t>
  </si>
  <si>
    <t>07180812_0011</t>
  </si>
  <si>
    <t>07180812_0021</t>
  </si>
  <si>
    <t>07180812_0031</t>
  </si>
  <si>
    <t>07180812_0121</t>
  </si>
  <si>
    <t>07180812_0131</t>
  </si>
  <si>
    <t>07180812_0141</t>
  </si>
  <si>
    <t>07180812_0151</t>
  </si>
  <si>
    <t>07180812_0201</t>
  </si>
  <si>
    <t>07180812_0211</t>
  </si>
  <si>
    <t>07180812_0221</t>
  </si>
  <si>
    <t>07180812_0231</t>
  </si>
  <si>
    <t>07180812_0241</t>
  </si>
  <si>
    <t>07180812_0252</t>
  </si>
  <si>
    <t>07180812_0302</t>
  </si>
  <si>
    <t>07180812_0312</t>
  </si>
  <si>
    <t>07180812_1024</t>
  </si>
  <si>
    <t>07180812_1034</t>
  </si>
  <si>
    <t>07180812_1044</t>
  </si>
  <si>
    <t>07180812_1054</t>
  </si>
  <si>
    <t>07180812_1105</t>
  </si>
  <si>
    <t>07180812_1115</t>
  </si>
  <si>
    <t>07180812_1125</t>
  </si>
  <si>
    <t>07180812_1135</t>
  </si>
  <si>
    <t>07180812_1145</t>
  </si>
  <si>
    <t>07180812_1155</t>
  </si>
  <si>
    <t>07180812_1205</t>
  </si>
  <si>
    <t>07180812_1215</t>
  </si>
  <si>
    <t>07180812_1304</t>
  </si>
  <si>
    <t>07180812_1315</t>
  </si>
  <si>
    <t>07180812_1325</t>
  </si>
  <si>
    <t>07180812_1335</t>
  </si>
  <si>
    <t>07180812_1345</t>
  </si>
  <si>
    <t>07180812_1355</t>
  </si>
  <si>
    <t>07180812_1405</t>
  </si>
  <si>
    <t>07180812_1415</t>
  </si>
  <si>
    <t>07180812_1425</t>
  </si>
  <si>
    <t>07180812_1435</t>
  </si>
  <si>
    <t>07180812_1446</t>
  </si>
  <si>
    <t>07180812_1456</t>
  </si>
  <si>
    <t>07180812_1545</t>
  </si>
  <si>
    <t>07180812_1555</t>
  </si>
  <si>
    <t>07180812_1605</t>
  </si>
  <si>
    <t>07180812_1615</t>
  </si>
  <si>
    <t>07180812_1625</t>
  </si>
  <si>
    <t>07180812_1635</t>
  </si>
  <si>
    <t>07180812_1645</t>
  </si>
  <si>
    <t>07180812_1656</t>
  </si>
  <si>
    <t>07180812_1706</t>
  </si>
  <si>
    <t>07180812_1716</t>
  </si>
  <si>
    <t>07180812_1726</t>
  </si>
  <si>
    <t>07180812_1736</t>
  </si>
  <si>
    <t>07180812_1825</t>
  </si>
  <si>
    <t>07180812_1835</t>
  </si>
  <si>
    <t>07180812_1846</t>
  </si>
  <si>
    <t>07180812_1856</t>
  </si>
  <si>
    <t>07180812_1906</t>
  </si>
  <si>
    <t>07180812_1916</t>
  </si>
  <si>
    <t>07180812_1926</t>
  </si>
  <si>
    <t>07180812_1936</t>
  </si>
  <si>
    <t>07180812_1946</t>
  </si>
  <si>
    <t>07180812_1956</t>
  </si>
  <si>
    <t>07180812_2006</t>
  </si>
  <si>
    <t>07180812_2017</t>
  </si>
  <si>
    <t>07180812_2106</t>
  </si>
  <si>
    <t>07180812_2116</t>
  </si>
  <si>
    <t>07180812_2126</t>
  </si>
  <si>
    <t>07180812_2136</t>
  </si>
  <si>
    <t>07180812_2146</t>
  </si>
  <si>
    <t>07180812_2156</t>
  </si>
  <si>
    <t>07180812_2206</t>
  </si>
  <si>
    <t>07180812_2217</t>
  </si>
  <si>
    <t>07180812_2227</t>
  </si>
  <si>
    <t>07180812_2237</t>
  </si>
  <si>
    <t>07180812_2247</t>
  </si>
  <si>
    <t>07180812_2257</t>
  </si>
  <si>
    <t>07180813_0958</t>
  </si>
  <si>
    <t>07180813_1008</t>
  </si>
  <si>
    <t>07180813_1018</t>
  </si>
  <si>
    <t>07180813_1028</t>
  </si>
  <si>
    <t>07180813_1038</t>
  </si>
  <si>
    <t>07180813_1048</t>
  </si>
  <si>
    <t>07180813_1058</t>
  </si>
  <si>
    <t>07180813_1108</t>
  </si>
  <si>
    <t>07180813_1118</t>
  </si>
  <si>
    <t>07180813_1129</t>
  </si>
  <si>
    <t>07180813_1139</t>
  </si>
  <si>
    <t>07180813_1149</t>
  </si>
  <si>
    <t>07180813_1238</t>
  </si>
  <si>
    <t>07180813_1248</t>
  </si>
  <si>
    <t>07180813_1259</t>
  </si>
  <si>
    <t>07180813_1309</t>
  </si>
  <si>
    <t>07180813_1319</t>
  </si>
  <si>
    <t>07180813_1329</t>
  </si>
  <si>
    <t>07180813_1339</t>
  </si>
  <si>
    <t>07180813_1349</t>
  </si>
  <si>
    <t>07180813_1359</t>
  </si>
  <si>
    <t>07180813_1409</t>
  </si>
  <si>
    <t>07180813_1419</t>
  </si>
  <si>
    <t>07180813_1430</t>
  </si>
  <si>
    <t>07180813_1519</t>
  </si>
  <si>
    <t>07180813_1529</t>
  </si>
  <si>
    <t>07180813_1539</t>
  </si>
  <si>
    <t>07180813_1549</t>
  </si>
  <si>
    <t>07180813_1559</t>
  </si>
  <si>
    <t>07180813_1610</t>
  </si>
  <si>
    <t>07180813_1620</t>
  </si>
  <si>
    <t>07180813_1630</t>
  </si>
  <si>
    <t>07180813_1640</t>
  </si>
  <si>
    <t>07180813_1650</t>
  </si>
  <si>
    <t>07180813_1700</t>
  </si>
  <si>
    <t>07180813_1710</t>
  </si>
  <si>
    <t>07180813_1800</t>
  </si>
  <si>
    <t>07180813_1810</t>
  </si>
  <si>
    <t>07180813_1820</t>
  </si>
  <si>
    <t>07180813_1830</t>
  </si>
  <si>
    <t>07180813_1840</t>
  </si>
  <si>
    <t>07180813_1850</t>
  </si>
  <si>
    <t>07180813_1901</t>
  </si>
  <si>
    <t>DCRC1pB</t>
  </si>
  <si>
    <t>07180813_1911</t>
  </si>
  <si>
    <t>07180813_1921</t>
  </si>
  <si>
    <t>07180813_1931</t>
  </si>
  <si>
    <t>07180813_1941</t>
  </si>
  <si>
    <t>07180813_1951</t>
  </si>
  <si>
    <t>07180813_2041</t>
  </si>
  <si>
    <t>07180813_2051</t>
  </si>
  <si>
    <t>07180813_2101</t>
  </si>
  <si>
    <t>07180813_2111</t>
  </si>
  <si>
    <t>07180813_2121</t>
  </si>
  <si>
    <t>07180813_2131</t>
  </si>
  <si>
    <t>07180813_2141</t>
  </si>
  <si>
    <t>07180813_2151</t>
  </si>
  <si>
    <t>07180813_2201</t>
  </si>
  <si>
    <t>07180813_2212</t>
  </si>
  <si>
    <t>07180813_2222</t>
  </si>
  <si>
    <t>07180813_2232</t>
  </si>
  <si>
    <t>07180813_2325</t>
  </si>
  <si>
    <t>07180813_2335</t>
  </si>
  <si>
    <t>07180813_2345</t>
  </si>
  <si>
    <t>07180813_2355</t>
  </si>
  <si>
    <t>07180814_0005</t>
  </si>
  <si>
    <t>07180814_0015</t>
  </si>
  <si>
    <t>07180814_0025</t>
  </si>
  <si>
    <t>07180814_0035</t>
  </si>
  <si>
    <t>07180814_0046</t>
  </si>
  <si>
    <t>07180814_0056</t>
  </si>
  <si>
    <t>07180814_0106</t>
  </si>
  <si>
    <t>07180814_0116</t>
  </si>
  <si>
    <t>07180814_0206</t>
  </si>
  <si>
    <t>07180814_0216</t>
  </si>
  <si>
    <t>07180814_0226</t>
  </si>
  <si>
    <t>07180814_0236</t>
  </si>
  <si>
    <t>07180814_0246</t>
  </si>
  <si>
    <t>07180814_0256</t>
  </si>
  <si>
    <t>07180814_0306</t>
  </si>
  <si>
    <t>07180814_0317</t>
  </si>
  <si>
    <t>07180814_0327</t>
  </si>
  <si>
    <t>07180814_0337</t>
  </si>
  <si>
    <t>07180814_0347</t>
  </si>
  <si>
    <t>07180814_0357</t>
  </si>
  <si>
    <t>07180814_0447</t>
  </si>
  <si>
    <t>07180814_0457</t>
  </si>
  <si>
    <t>07180814_0507</t>
  </si>
  <si>
    <t>07180814_0517</t>
  </si>
  <si>
    <t>07180814_0527</t>
  </si>
  <si>
    <t>07180814_0537</t>
  </si>
  <si>
    <t>07180814_0547</t>
  </si>
  <si>
    <t>07180814_0557</t>
  </si>
  <si>
    <t>07180814_0608</t>
  </si>
  <si>
    <t>07180814_0618</t>
  </si>
  <si>
    <t>07180814_0628</t>
  </si>
  <si>
    <t>07180814_0638</t>
  </si>
  <si>
    <t>07180814_0728</t>
  </si>
  <si>
    <t>07180814_0738</t>
  </si>
  <si>
    <t>07180814_0748</t>
  </si>
  <si>
    <t>07180814_0758</t>
  </si>
  <si>
    <t>07180814_0808</t>
  </si>
  <si>
    <t>07180814_0818</t>
  </si>
  <si>
    <t>07180814_0828</t>
  </si>
  <si>
    <t>07180814_0838</t>
  </si>
  <si>
    <t>07180814_0849</t>
  </si>
  <si>
    <t>07180814_0859</t>
  </si>
  <si>
    <t>07180814_0909</t>
  </si>
  <si>
    <t>07180814_0919</t>
  </si>
  <si>
    <t>07180814_1129</t>
  </si>
  <si>
    <t>07180814_1139</t>
  </si>
  <si>
    <t>07180814_1149</t>
  </si>
  <si>
    <t>07180814_1159</t>
  </si>
  <si>
    <t>07180814_1209</t>
  </si>
  <si>
    <t>07180814_1220</t>
  </si>
  <si>
    <t>07180814_1230</t>
  </si>
  <si>
    <t>07180814_1240</t>
  </si>
  <si>
    <t>07180814_1250</t>
  </si>
  <si>
    <t>07180814_1300</t>
  </si>
  <si>
    <t>07180814_1310</t>
  </si>
  <si>
    <t>07180814_1320</t>
  </si>
  <si>
    <t>07180814_1409</t>
  </si>
  <si>
    <t>07180814_1420</t>
  </si>
  <si>
    <t>07180814_1430</t>
  </si>
  <si>
    <t>07180814_1440</t>
  </si>
  <si>
    <t>07180814_1450</t>
  </si>
  <si>
    <t>07180814_1500</t>
  </si>
  <si>
    <t>07180814_1510</t>
  </si>
  <si>
    <t>07180814_1520</t>
  </si>
  <si>
    <t>07180814_1530</t>
  </si>
  <si>
    <t>07180814_1541</t>
  </si>
  <si>
    <t>07180814_1551</t>
  </si>
  <si>
    <t>07180814_1601</t>
  </si>
  <si>
    <t>07180814_1651</t>
  </si>
  <si>
    <t>07180814_1701</t>
  </si>
  <si>
    <t>07180814_1711</t>
  </si>
  <si>
    <t>07180814_1721</t>
  </si>
  <si>
    <t>07180814_1731</t>
  </si>
  <si>
    <t>07180814_1741</t>
  </si>
  <si>
    <t>07180814_1751</t>
  </si>
  <si>
    <t>07180814_1801</t>
  </si>
  <si>
    <t>07180814_1812</t>
  </si>
  <si>
    <t>07180814_1822</t>
  </si>
  <si>
    <t>07180814_1832</t>
  </si>
  <si>
    <t>07180814_1842</t>
  </si>
  <si>
    <t>07180814_1932</t>
  </si>
  <si>
    <t>07180814_1942</t>
  </si>
  <si>
    <t>07180814_1952</t>
  </si>
  <si>
    <t>07180814_2002</t>
  </si>
  <si>
    <t>07180814_2012</t>
  </si>
  <si>
    <t>07180814_2022</t>
  </si>
  <si>
    <t>07180814_2032</t>
  </si>
  <si>
    <t>07180814_2043</t>
  </si>
  <si>
    <t>07180814_2053</t>
  </si>
  <si>
    <t>07180814_2103</t>
  </si>
  <si>
    <t>07180814_2113</t>
  </si>
  <si>
    <t>07180814_2123</t>
  </si>
  <si>
    <t>07180814_2214</t>
  </si>
  <si>
    <t>07180814_2224</t>
  </si>
  <si>
    <t>07180814_2235</t>
  </si>
  <si>
    <t>07180814_2245</t>
  </si>
  <si>
    <t>07180814_2255</t>
  </si>
  <si>
    <t>07180814_2305</t>
  </si>
  <si>
    <t>07180814_2315</t>
  </si>
  <si>
    <t>07180814_2325</t>
  </si>
  <si>
    <t>07180814_2335</t>
  </si>
  <si>
    <t>07180814_2346</t>
  </si>
  <si>
    <t>07180814_2356</t>
  </si>
  <si>
    <t>07180815_0006</t>
  </si>
  <si>
    <t>07180815_0056</t>
  </si>
  <si>
    <t>07180815_0106</t>
  </si>
  <si>
    <t>07180815_0116</t>
  </si>
  <si>
    <t>07180815_0126</t>
  </si>
  <si>
    <t>07180815_0136</t>
  </si>
  <si>
    <t>07180815_0146</t>
  </si>
  <si>
    <t>07180815_0156</t>
  </si>
  <si>
    <t>07180815_0207</t>
  </si>
  <si>
    <t>07180815_0217</t>
  </si>
  <si>
    <t>07180815_0227</t>
  </si>
  <si>
    <t>07180815_0237</t>
  </si>
  <si>
    <t>07180815_0247</t>
  </si>
  <si>
    <t>07180815_0337</t>
  </si>
  <si>
    <t>07180815_0347</t>
  </si>
  <si>
    <t>07180815_0357</t>
  </si>
  <si>
    <t>07180815_0407</t>
  </si>
  <si>
    <t>07180815_0417</t>
  </si>
  <si>
    <t>07180815_0427</t>
  </si>
  <si>
    <t>07180815_0438</t>
  </si>
  <si>
    <t>07180815_0448</t>
  </si>
  <si>
    <t>07180815_0458</t>
  </si>
  <si>
    <t>07180815_0508</t>
  </si>
  <si>
    <t>07180815_0518</t>
  </si>
  <si>
    <t>07180815_0528</t>
  </si>
  <si>
    <t>07180815_0618</t>
  </si>
  <si>
    <t>07180815_0628</t>
  </si>
  <si>
    <t>07180815_0638</t>
  </si>
  <si>
    <t>07180815_0648</t>
  </si>
  <si>
    <t>07180815_0658</t>
  </si>
  <si>
    <t>07180815_0708</t>
  </si>
  <si>
    <t>07180815_0719</t>
  </si>
  <si>
    <t>07180815_0729</t>
  </si>
  <si>
    <t>07180815_0739</t>
  </si>
  <si>
    <t>07180815_0749</t>
  </si>
  <si>
    <t>07180815_0759</t>
  </si>
  <si>
    <t>07180815_0809</t>
  </si>
  <si>
    <t>07180815_1022</t>
  </si>
  <si>
    <t>07180815_1032</t>
  </si>
  <si>
    <t>07180815_1042</t>
  </si>
  <si>
    <t>07180815_1052</t>
  </si>
  <si>
    <t>07180815_1102</t>
  </si>
  <si>
    <t>07180815_1113</t>
  </si>
  <si>
    <t>07180815_1123</t>
  </si>
  <si>
    <t>07180815_1133</t>
  </si>
  <si>
    <t>07180815_1143</t>
  </si>
  <si>
    <t>07180815_1153</t>
  </si>
  <si>
    <t>07180815_1203</t>
  </si>
  <si>
    <t>07180815_1213</t>
  </si>
  <si>
    <t>07180815_1613</t>
  </si>
  <si>
    <t>07180815_1624</t>
  </si>
  <si>
    <t>07180815_1634</t>
  </si>
  <si>
    <t>07180815_1644</t>
  </si>
  <si>
    <t>07180815_1654</t>
  </si>
  <si>
    <t>07180815_1704</t>
  </si>
  <si>
    <t>07180815_1714</t>
  </si>
  <si>
    <t>07180815_1724</t>
  </si>
  <si>
    <t>07180815_1734</t>
  </si>
  <si>
    <t>07180815_1744</t>
  </si>
  <si>
    <t>07180815_1755</t>
  </si>
  <si>
    <t>07180815_1805</t>
  </si>
  <si>
    <t>07180815_1854</t>
  </si>
  <si>
    <t>07180815_1904</t>
  </si>
  <si>
    <t>07180815_1914</t>
  </si>
  <si>
    <t>07180815_1924</t>
  </si>
  <si>
    <t>07180815_1935</t>
  </si>
  <si>
    <t>07180815_1945</t>
  </si>
  <si>
    <t>07180815_1955</t>
  </si>
  <si>
    <t>07180815_2005</t>
  </si>
  <si>
    <t>07180815_2015</t>
  </si>
  <si>
    <t>07180815_2025</t>
  </si>
  <si>
    <t>07180815_2035</t>
  </si>
  <si>
    <t>07180815_2045</t>
  </si>
  <si>
    <t>07180815_2135</t>
  </si>
  <si>
    <t>07180815_2145</t>
  </si>
  <si>
    <t>07180815_2155</t>
  </si>
  <si>
    <t>07180815_2205</t>
  </si>
  <si>
    <t>07180815_2215</t>
  </si>
  <si>
    <t>07180815_2225</t>
  </si>
  <si>
    <t>07180815_2235</t>
  </si>
  <si>
    <t>07180815_2245</t>
  </si>
  <si>
    <t>07180815_2256</t>
  </si>
  <si>
    <t>07180815_2306</t>
  </si>
  <si>
    <t>07180815_2316</t>
  </si>
  <si>
    <t>07180815_2326</t>
  </si>
  <si>
    <t>07180816_0016</t>
  </si>
  <si>
    <t>07180816_0026</t>
  </si>
  <si>
    <t>07180816_0036</t>
  </si>
  <si>
    <t>07180816_0046</t>
  </si>
  <si>
    <t>07180816_0056</t>
  </si>
  <si>
    <t>07180816_0106</t>
  </si>
  <si>
    <t>07180816_0116</t>
  </si>
  <si>
    <t>07180816_0126</t>
  </si>
  <si>
    <t>07180816_0136</t>
  </si>
  <si>
    <t>07180816_0147</t>
  </si>
  <si>
    <t>07180816_0157</t>
  </si>
  <si>
    <t>07180816_0207</t>
  </si>
  <si>
    <t>07180816_0256</t>
  </si>
  <si>
    <t>07180816_0306</t>
  </si>
  <si>
    <t>07180816_0316</t>
  </si>
  <si>
    <t>07180816_0327</t>
  </si>
  <si>
    <t>07180816_0337</t>
  </si>
  <si>
    <t>07180816_0347</t>
  </si>
  <si>
    <t>07180816_0357</t>
  </si>
  <si>
    <t>07180816_0407</t>
  </si>
  <si>
    <t>07180816_0417</t>
  </si>
  <si>
    <t>07180816_0427</t>
  </si>
  <si>
    <t>07180816_0437</t>
  </si>
  <si>
    <t>07180816_0447</t>
  </si>
  <si>
    <t>07180816_0537</t>
  </si>
  <si>
    <t>07180816_0547</t>
  </si>
  <si>
    <t>07180816_0557</t>
  </si>
  <si>
    <t>07180816_0607</t>
  </si>
  <si>
    <t>07180816_0618</t>
  </si>
  <si>
    <t>07180816_0628</t>
  </si>
  <si>
    <t>07180816_0638</t>
  </si>
  <si>
    <t>07180816_0648</t>
  </si>
  <si>
    <t>07180816_0658</t>
  </si>
  <si>
    <t>07180816_0708</t>
  </si>
  <si>
    <t>07180816_0718</t>
  </si>
  <si>
    <t>07180816_0728</t>
  </si>
  <si>
    <t>07180816_0954</t>
  </si>
  <si>
    <t>trig NaI 2/2</t>
  </si>
  <si>
    <t>x10/x10 attenuators added to NaI output</t>
  </si>
  <si>
    <t xml:space="preserve">mf </t>
  </si>
  <si>
    <t>07180816_1101</t>
  </si>
  <si>
    <t>07180816_1224</t>
  </si>
  <si>
    <t>07180816_1234</t>
  </si>
  <si>
    <t>07180816_1245</t>
  </si>
  <si>
    <t>= 7/9</t>
  </si>
  <si>
    <t>07180816_1255</t>
  </si>
  <si>
    <t>07180816_1305</t>
  </si>
  <si>
    <t>07180816_1315</t>
  </si>
  <si>
    <t>07180816_1557</t>
  </si>
  <si>
    <t>07180816_1607</t>
  </si>
  <si>
    <t>07180816_1617</t>
  </si>
  <si>
    <t>07180816_1627</t>
  </si>
  <si>
    <t>07180816_1638</t>
  </si>
  <si>
    <t>07180816_1648</t>
  </si>
  <si>
    <t>07180816_1658</t>
  </si>
  <si>
    <t>07180816_1708</t>
  </si>
  <si>
    <t>07180816_1718</t>
  </si>
  <si>
    <t>07180816_1728</t>
  </si>
  <si>
    <t>07180816_1738</t>
  </si>
  <si>
    <t>07180816_1748</t>
  </si>
  <si>
    <t>07180816_1838</t>
  </si>
  <si>
    <t>07180816_1848</t>
  </si>
  <si>
    <t>07180816_1858</t>
  </si>
  <si>
    <t>07180816_1908</t>
  </si>
  <si>
    <t>07180816_1918</t>
  </si>
  <si>
    <t>07180816_1928</t>
  </si>
  <si>
    <t>07180816_1938</t>
  </si>
  <si>
    <t>07180816_1949</t>
  </si>
  <si>
    <t>07180816_1959</t>
  </si>
  <si>
    <t>07180816_2009</t>
  </si>
  <si>
    <t>07180816_2019</t>
  </si>
  <si>
    <t>07180816_2029</t>
  </si>
  <si>
    <t>07180816_2119</t>
  </si>
  <si>
    <t>07180816_2129</t>
  </si>
  <si>
    <t>07180816_2139</t>
  </si>
  <si>
    <t>07180816_2149</t>
  </si>
  <si>
    <t>07180816_2159</t>
  </si>
  <si>
    <t>07180816_2209</t>
  </si>
  <si>
    <t>07180816_2220</t>
  </si>
  <si>
    <t>07180816_2230</t>
  </si>
  <si>
    <t>07180816_2240</t>
  </si>
  <si>
    <t>07180816_2250</t>
  </si>
  <si>
    <t>07180816_2300</t>
  </si>
  <si>
    <t>07180816_2310</t>
  </si>
  <si>
    <t>07180816_2359</t>
  </si>
  <si>
    <t>07180817_0010</t>
  </si>
  <si>
    <t>07180817_0020</t>
  </si>
  <si>
    <t>07180817_0030</t>
  </si>
  <si>
    <t>07180817_0040</t>
  </si>
  <si>
    <t>07180817_0050</t>
  </si>
  <si>
    <t>07180817_0100</t>
  </si>
  <si>
    <t>07180817_0110</t>
  </si>
  <si>
    <t>07180817_0121</t>
  </si>
  <si>
    <t>07180817_0131</t>
  </si>
  <si>
    <t>07180817_0141</t>
  </si>
  <si>
    <t>07180817_0151</t>
  </si>
  <si>
    <t>07180817_0240</t>
  </si>
  <si>
    <t>07180817_0251</t>
  </si>
  <si>
    <t>07180817_0301</t>
  </si>
  <si>
    <t>07180817_0311</t>
  </si>
  <si>
    <t>07180817_0321</t>
  </si>
  <si>
    <t>07180817_0331</t>
  </si>
  <si>
    <t>07180817_0341</t>
  </si>
  <si>
    <t>07180817_0351</t>
  </si>
  <si>
    <t>only 3 dumps</t>
  </si>
  <si>
    <t>07180817_1154</t>
  </si>
  <si>
    <t>07180817_1204</t>
  </si>
  <si>
    <t>07180817_1214</t>
  </si>
  <si>
    <t>07180817_1224</t>
  </si>
  <si>
    <t>07180817_1234</t>
  </si>
  <si>
    <t>07180817_1245</t>
  </si>
  <si>
    <t>07180817_1255</t>
  </si>
  <si>
    <t>07180817_1305</t>
  </si>
  <si>
    <t>07180817_1315</t>
  </si>
  <si>
    <t>07180817_1325</t>
  </si>
  <si>
    <t>07180817_1335</t>
  </si>
  <si>
    <t>07180817_1345</t>
  </si>
  <si>
    <t>07180817_1515</t>
  </si>
  <si>
    <t>07180817_1525</t>
  </si>
  <si>
    <t>07180817_1535</t>
  </si>
  <si>
    <t>07180817_1545</t>
  </si>
  <si>
    <t>07180817_1555</t>
  </si>
  <si>
    <t>07180817_1605</t>
  </si>
  <si>
    <t>07180817_1615</t>
  </si>
  <si>
    <t>07180817_1625</t>
  </si>
  <si>
    <t>07180817_1636</t>
  </si>
  <si>
    <t>07180817_1646</t>
  </si>
  <si>
    <t>07180817_1656</t>
  </si>
  <si>
    <t>07180817_1706</t>
  </si>
  <si>
    <t>07180817_1755</t>
  </si>
  <si>
    <t>07180817_1805</t>
  </si>
  <si>
    <t>07180817_1815</t>
  </si>
  <si>
    <t>07180817_1825</t>
  </si>
  <si>
    <t>07180817_1836</t>
  </si>
  <si>
    <t>07180817_1846</t>
  </si>
  <si>
    <t>07180817_1856</t>
  </si>
  <si>
    <t>07180817_1906</t>
  </si>
  <si>
    <t>07180817_1916</t>
  </si>
  <si>
    <t>07180817_1926</t>
  </si>
  <si>
    <t>07180817_1936</t>
  </si>
  <si>
    <t>07180817_1946</t>
  </si>
  <si>
    <t>07180817_2036</t>
  </si>
  <si>
    <t>07180817_2046</t>
  </si>
  <si>
    <t>07180817_2056</t>
  </si>
  <si>
    <t>07180817_2106</t>
  </si>
  <si>
    <t>07180817_2116</t>
  </si>
  <si>
    <t>07180817_2126</t>
  </si>
  <si>
    <t>07180817_2136</t>
  </si>
  <si>
    <t>07180817_2146</t>
  </si>
  <si>
    <t>07180817_2157</t>
  </si>
  <si>
    <t>07180817_2207</t>
  </si>
  <si>
    <t>07180817_2217</t>
  </si>
  <si>
    <t>07180817_2227</t>
  </si>
  <si>
    <t>07180817_2316</t>
  </si>
  <si>
    <t>07180817_2326</t>
  </si>
  <si>
    <t>07180817_2336</t>
  </si>
  <si>
    <t>07180817_2346</t>
  </si>
  <si>
    <t>07180817_2357</t>
  </si>
  <si>
    <t>07180818_0007</t>
  </si>
  <si>
    <t>07180818_0017</t>
  </si>
  <si>
    <t>07180818_0027</t>
  </si>
  <si>
    <t>07180818_0037</t>
  </si>
  <si>
    <t>07180818_0047</t>
  </si>
  <si>
    <t>07180818_0057</t>
  </si>
  <si>
    <t>07180818_0107</t>
  </si>
  <si>
    <t>07180818_0157</t>
  </si>
  <si>
    <t>07180818_0207</t>
  </si>
  <si>
    <t>07180818_0217</t>
  </si>
  <si>
    <t>07180818_0227</t>
  </si>
  <si>
    <t>07180818_0237</t>
  </si>
  <si>
    <t>07180818_0247</t>
  </si>
  <si>
    <t>07180818_0257</t>
  </si>
  <si>
    <t>07180818_0308</t>
  </si>
  <si>
    <t>07180818_0318</t>
  </si>
  <si>
    <t>07180818_0328</t>
  </si>
  <si>
    <t>07180818_0338</t>
  </si>
  <si>
    <t>07180818_0348</t>
  </si>
  <si>
    <t>07180818_0437</t>
  </si>
  <si>
    <t>07180818_0447</t>
  </si>
  <si>
    <t>07180818_0457</t>
  </si>
  <si>
    <t>07180818_0508</t>
  </si>
  <si>
    <t>07180818_0518</t>
  </si>
  <si>
    <t>07180818_0528</t>
  </si>
  <si>
    <t>07180818_0538</t>
  </si>
  <si>
    <t>07180818_0548</t>
  </si>
  <si>
    <t>07180818_0558</t>
  </si>
  <si>
    <t>07180818_0608</t>
  </si>
  <si>
    <t>07180818_0618</t>
  </si>
  <si>
    <t>07180818_0628</t>
  </si>
  <si>
    <t>07180818_0718</t>
  </si>
  <si>
    <t>07180818_0728</t>
  </si>
  <si>
    <t>07180818_0738</t>
  </si>
  <si>
    <t>07180818_0748</t>
  </si>
  <si>
    <t>07180818_0758</t>
  </si>
  <si>
    <t>07180818_0808</t>
  </si>
  <si>
    <t>07180818_0818</t>
  </si>
  <si>
    <t>07180818_0829</t>
  </si>
  <si>
    <t>07180818_0839</t>
  </si>
  <si>
    <t>07180818_0849</t>
  </si>
  <si>
    <t>07180818_0859</t>
  </si>
  <si>
    <t>07180818_0909</t>
  </si>
  <si>
    <t>07180818_0958</t>
  </si>
  <si>
    <t>07180818_1008</t>
  </si>
  <si>
    <t>07180818_1019</t>
  </si>
  <si>
    <t>07180818_1029</t>
  </si>
  <si>
    <t>07180818_1039</t>
  </si>
  <si>
    <t>07180818_1049</t>
  </si>
  <si>
    <t>07180818_1059</t>
  </si>
  <si>
    <t>07180818_1109</t>
  </si>
  <si>
    <t>07180818_1119</t>
  </si>
  <si>
    <t>07180818_1129</t>
  </si>
  <si>
    <t>07180818_1140</t>
  </si>
  <si>
    <t>07180818_1150</t>
  </si>
  <si>
    <t>07180818_1239</t>
  </si>
  <si>
    <t>07180818_1249</t>
  </si>
  <si>
    <t>07180818_1259</t>
  </si>
  <si>
    <t>07180818_1309</t>
  </si>
  <si>
    <t>07180818_1319</t>
  </si>
  <si>
    <t>07180818_1330</t>
  </si>
  <si>
    <t>07180818_1340</t>
  </si>
  <si>
    <t>07180818_1350</t>
  </si>
  <si>
    <t>07180818_1400</t>
  </si>
  <si>
    <t>07180818_1410</t>
  </si>
  <si>
    <t>07180818_1420</t>
  </si>
  <si>
    <t>07180818_1430</t>
  </si>
  <si>
    <t>07180818_1520</t>
  </si>
  <si>
    <t>07180818_1530</t>
  </si>
  <si>
    <t>07180818_1540</t>
  </si>
  <si>
    <t>07180818_1550</t>
  </si>
  <si>
    <t>07180818_1600</t>
  </si>
  <si>
    <t>07180818_1610</t>
  </si>
  <si>
    <t>07180818_1620</t>
  </si>
  <si>
    <t>07180818_1631</t>
  </si>
  <si>
    <t>07180818_1641</t>
  </si>
  <si>
    <t>07180818_1651</t>
  </si>
  <si>
    <t>07180818_1701</t>
  </si>
  <si>
    <t>07180818_1711</t>
  </si>
  <si>
    <t>07180818_2035</t>
  </si>
  <si>
    <t>07180818_2045</t>
  </si>
  <si>
    <t>07180818_2055</t>
  </si>
  <si>
    <t>07180818_2105</t>
  </si>
  <si>
    <t>07180818_2115</t>
  </si>
  <si>
    <t>07180818_2125</t>
  </si>
  <si>
    <t>07180818_2135</t>
  </si>
  <si>
    <t>07180818_2146</t>
  </si>
  <si>
    <t>07180818_2156</t>
  </si>
  <si>
    <t>07180818_2206</t>
  </si>
  <si>
    <t>07180818_2216</t>
  </si>
  <si>
    <t>07180818_2226</t>
  </si>
  <si>
    <t>07180818_2315</t>
  </si>
  <si>
    <t>07180818_2326</t>
  </si>
  <si>
    <t>redo...</t>
  </si>
  <si>
    <t>07180818_2336</t>
  </si>
  <si>
    <t>07180818_2346</t>
  </si>
  <si>
    <t>07180818_2356</t>
  </si>
  <si>
    <t>07180819_0006</t>
  </si>
  <si>
    <t>07180819_0016</t>
  </si>
  <si>
    <t>07180819_0026</t>
  </si>
  <si>
    <t>07180819_0036</t>
  </si>
  <si>
    <t>07180819_0047</t>
  </si>
  <si>
    <t>07180819_0057</t>
  </si>
  <si>
    <t>07180819_0107</t>
  </si>
  <si>
    <t>07180819_0156</t>
  </si>
  <si>
    <t>07180819_0206</t>
  </si>
  <si>
    <t>07180819_0216</t>
  </si>
  <si>
    <t>07180819_0226</t>
  </si>
  <si>
    <t>07180819_0236</t>
  </si>
  <si>
    <t>07180819_0247</t>
  </si>
  <si>
    <t>07180819_0257</t>
  </si>
  <si>
    <t>07180819_0307</t>
  </si>
  <si>
    <t>07180819_0317</t>
  </si>
  <si>
    <t>07180819_0327</t>
  </si>
  <si>
    <t>07180819_0337</t>
  </si>
  <si>
    <t>07180819_0347</t>
  </si>
  <si>
    <t>07180819_0436</t>
  </si>
  <si>
    <t>07180819_0447</t>
  </si>
  <si>
    <t>07180819_0457</t>
  </si>
  <si>
    <t>07180819_0507</t>
  </si>
  <si>
    <t>07180819_0517</t>
  </si>
  <si>
    <t>07180819_0527</t>
  </si>
  <si>
    <t>07180819_0537</t>
  </si>
  <si>
    <t>07180819_0547</t>
  </si>
  <si>
    <t>07180819_0557</t>
  </si>
  <si>
    <t>07180819_0608</t>
  </si>
  <si>
    <t>07180819_0618</t>
  </si>
  <si>
    <t>07180819_0628</t>
  </si>
  <si>
    <t>07180819_0717</t>
  </si>
  <si>
    <t>07180819_0727</t>
  </si>
  <si>
    <t>07180819_0737</t>
  </si>
  <si>
    <t>07180819_0747</t>
  </si>
  <si>
    <t>07180819_0757</t>
  </si>
  <si>
    <t>07180819_0808</t>
  </si>
  <si>
    <t>07180819_0818</t>
  </si>
  <si>
    <t>07180819_0828</t>
  </si>
  <si>
    <t>07180819_0838</t>
  </si>
  <si>
    <t>07180819_0848</t>
  </si>
  <si>
    <t>07180819_0858</t>
  </si>
  <si>
    <t>07180819_0908</t>
  </si>
  <si>
    <t>07180819_0957</t>
  </si>
  <si>
    <t>07180819_1008</t>
  </si>
  <si>
    <t>07180819_1018</t>
  </si>
  <si>
    <t>07180819_1028</t>
  </si>
  <si>
    <t>07180819_1038</t>
  </si>
  <si>
    <t>07180819_1048</t>
  </si>
  <si>
    <t>07180819_1058</t>
  </si>
  <si>
    <t>07180819_1108</t>
  </si>
  <si>
    <t>07180819_1118</t>
  </si>
  <si>
    <t>07180819_1129</t>
  </si>
  <si>
    <t>07180819_1139</t>
  </si>
  <si>
    <t>07180819_1149</t>
  </si>
  <si>
    <t>07180819_1322</t>
  </si>
  <si>
    <t>07180819_1332</t>
  </si>
  <si>
    <t>07180819_1342</t>
  </si>
  <si>
    <t>07180819_1352</t>
  </si>
  <si>
    <t>07180819_1402</t>
  </si>
  <si>
    <t>07180819_1412</t>
  </si>
  <si>
    <t>07180819_1422</t>
  </si>
  <si>
    <t>07180819_1432</t>
  </si>
  <si>
    <t>07180819_1443</t>
  </si>
  <si>
    <t>07180819_1453</t>
  </si>
  <si>
    <t>07180819_1503</t>
  </si>
  <si>
    <t>07180819_1513</t>
  </si>
  <si>
    <t>07180819_1602</t>
  </si>
  <si>
    <t>07180819_1612</t>
  </si>
  <si>
    <t>07180819_1623</t>
  </si>
  <si>
    <t>07180819_1633</t>
  </si>
  <si>
    <t>07180819_1643</t>
  </si>
  <si>
    <t>07180819_1653</t>
  </si>
  <si>
    <t>07180819_1703</t>
  </si>
  <si>
    <t>07180819_1713</t>
  </si>
  <si>
    <t>07180819_1723</t>
  </si>
  <si>
    <t>07180819_1733</t>
  </si>
  <si>
    <t>07180819_1743</t>
  </si>
  <si>
    <t>07180819_1754</t>
  </si>
  <si>
    <t>07180819_1843</t>
  </si>
  <si>
    <t>07180819_1853</t>
  </si>
  <si>
    <t>07180819_1903</t>
  </si>
  <si>
    <t>07180819_1913</t>
  </si>
  <si>
    <t>07180819_1923</t>
  </si>
  <si>
    <t>07180819_1934</t>
  </si>
  <si>
    <t>07180819_1944</t>
  </si>
  <si>
    <t>07180819_1954</t>
  </si>
  <si>
    <t>07180819_2004</t>
  </si>
  <si>
    <t>07180819_2014</t>
  </si>
  <si>
    <t>07180819_2024</t>
  </si>
  <si>
    <t>07180819_2034</t>
  </si>
  <si>
    <t>07180819_2123</t>
  </si>
  <si>
    <t>07180819_2134</t>
  </si>
  <si>
    <t>07180819_2144</t>
  </si>
  <si>
    <t>07180819_2154</t>
  </si>
  <si>
    <t>07180819_2204</t>
  </si>
  <si>
    <t>07180819_2214</t>
  </si>
  <si>
    <t>07180819_2224</t>
  </si>
  <si>
    <t>07180819_2234</t>
  </si>
  <si>
    <t>07180819_2244</t>
  </si>
  <si>
    <t>07180819_2255</t>
  </si>
  <si>
    <t>07180819_2305</t>
  </si>
  <si>
    <t>07180819_2315</t>
  </si>
  <si>
    <t>07180820_0004</t>
  </si>
  <si>
    <t>07180820_0014</t>
  </si>
  <si>
    <t>07180820_0024</t>
  </si>
  <si>
    <t>07180820_0034</t>
  </si>
  <si>
    <t>07180820_0045</t>
  </si>
  <si>
    <t>07180820_0055</t>
  </si>
  <si>
    <t>07180820_0105</t>
  </si>
  <si>
    <t>07180820_0115</t>
  </si>
  <si>
    <t>07180820_0125</t>
  </si>
  <si>
    <t>07180820_0135</t>
  </si>
  <si>
    <t>07180820_0145</t>
  </si>
  <si>
    <t>07180820_0155</t>
  </si>
  <si>
    <t>07180820_0245</t>
  </si>
  <si>
    <t>07180820_0255</t>
  </si>
  <si>
    <t>07180820_0305</t>
  </si>
  <si>
    <t>07180820_0315</t>
  </si>
  <si>
    <t>07180820_0325</t>
  </si>
  <si>
    <t>07180820_0335</t>
  </si>
  <si>
    <t>07180820_0345</t>
  </si>
  <si>
    <t>07180820_0355</t>
  </si>
  <si>
    <t>07180820_0406</t>
  </si>
  <si>
    <t>07180820_0416</t>
  </si>
  <si>
    <t>07180820_0426</t>
  </si>
  <si>
    <t>07180820_0436</t>
  </si>
  <si>
    <t>07180820_0525</t>
  </si>
  <si>
    <t>07180820_0535</t>
  </si>
  <si>
    <t>07180820_0545</t>
  </si>
  <si>
    <t>07180820_0555</t>
  </si>
  <si>
    <t>07180820_0606</t>
  </si>
  <si>
    <t>07180820_0616</t>
  </si>
  <si>
    <t>07180820_0626</t>
  </si>
  <si>
    <t>07180820_0636</t>
  </si>
  <si>
    <t>07180820_0646</t>
  </si>
  <si>
    <t>07180820_0656</t>
  </si>
  <si>
    <t>07180820_0706</t>
  </si>
  <si>
    <t>07180820_0716</t>
  </si>
  <si>
    <t>07180820_0957</t>
  </si>
  <si>
    <t>07180820_1007</t>
  </si>
  <si>
    <t>07180820_1017</t>
  </si>
  <si>
    <t>07180820_1027</t>
  </si>
  <si>
    <t>07180820_1037</t>
  </si>
  <si>
    <t>07180820_1047</t>
  </si>
  <si>
    <t>07180820_1057</t>
  </si>
  <si>
    <t>07180820_1107</t>
  </si>
  <si>
    <t>07180820_1117</t>
  </si>
  <si>
    <t>07180820_1128</t>
  </si>
  <si>
    <t>07180820_1251</t>
  </si>
  <si>
    <t>only 1 dump</t>
  </si>
  <si>
    <t>07180820_1343</t>
  </si>
  <si>
    <t>trigger on NaI</t>
  </si>
  <si>
    <t>07180820_1353</t>
  </si>
  <si>
    <t>DCRC4pA/B</t>
  </si>
  <si>
    <t>07180820_1403</t>
  </si>
  <si>
    <t>= 10/10</t>
  </si>
  <si>
    <t>07180820_1413</t>
  </si>
  <si>
    <t>07180820_1423</t>
  </si>
  <si>
    <t>07180820_1433</t>
  </si>
  <si>
    <t>07180820_1443</t>
  </si>
  <si>
    <t>07180820_1453</t>
  </si>
  <si>
    <t>07180820_1503</t>
  </si>
  <si>
    <t>07180820_1514</t>
  </si>
  <si>
    <t>07180820_1524</t>
  </si>
  <si>
    <t>07180820_1534</t>
  </si>
  <si>
    <t>07180820_1631</t>
  </si>
  <si>
    <t>07180820_1641</t>
  </si>
  <si>
    <t>07180820_1652</t>
  </si>
  <si>
    <t>07180820_1702</t>
  </si>
  <si>
    <t>07180820_1712</t>
  </si>
  <si>
    <t>07180820_1722</t>
  </si>
  <si>
    <t>07180820_1732</t>
  </si>
  <si>
    <t>07180820_1742</t>
  </si>
  <si>
    <t>07180820_1752</t>
  </si>
  <si>
    <t>07180820_1802</t>
  </si>
  <si>
    <t>07180820_1813</t>
  </si>
  <si>
    <t>07180820_1823</t>
  </si>
  <si>
    <t>07180820_1912</t>
  </si>
  <si>
    <t>07180820_1922</t>
  </si>
  <si>
    <t>07180820_1932</t>
  </si>
  <si>
    <t>07180820_1942</t>
  </si>
  <si>
    <t>07180820_1953</t>
  </si>
  <si>
    <t>07180820_2003</t>
  </si>
  <si>
    <t>07180820_2013</t>
  </si>
  <si>
    <t>07180820_2023</t>
  </si>
  <si>
    <t>07180820_2033</t>
  </si>
  <si>
    <t>07180820_2043</t>
  </si>
  <si>
    <t>07180820_2053</t>
  </si>
  <si>
    <t>07180820_2103</t>
  </si>
  <si>
    <t>07180820_2153</t>
  </si>
  <si>
    <t>07180820_2203</t>
  </si>
  <si>
    <t>07180820_2213</t>
  </si>
  <si>
    <t>07180820_2223</t>
  </si>
  <si>
    <t>07180820_2233</t>
  </si>
  <si>
    <t>07180820_2243</t>
  </si>
  <si>
    <t>07180820_2253</t>
  </si>
  <si>
    <t>07180820_2303</t>
  </si>
  <si>
    <t>07180820_2313</t>
  </si>
  <si>
    <t>07180820_2324</t>
  </si>
  <si>
    <t>07180820_2334</t>
  </si>
  <si>
    <t>07180820_2344</t>
  </si>
  <si>
    <t>07180821_0033</t>
  </si>
  <si>
    <t>07180821_0043</t>
  </si>
  <si>
    <t>07180821_0053</t>
  </si>
  <si>
    <t>07180821_0104</t>
  </si>
  <si>
    <t>07180821_0114</t>
  </si>
  <si>
    <t>07180821_0124</t>
  </si>
  <si>
    <t>07180821_0134</t>
  </si>
  <si>
    <t>07180821_0144</t>
  </si>
  <si>
    <t>07180821_0154</t>
  </si>
  <si>
    <t>07180821_0204</t>
  </si>
  <si>
    <t>07180821_0214</t>
  </si>
  <si>
    <t>07180821_0225</t>
  </si>
  <si>
    <t>07180821_0314</t>
  </si>
  <si>
    <t>07180821_0324</t>
  </si>
  <si>
    <t>07180821_0334</t>
  </si>
  <si>
    <t>07180821_0344</t>
  </si>
  <si>
    <t>07180821_0354</t>
  </si>
  <si>
    <t>07180821_0404</t>
  </si>
  <si>
    <t>07180821_0414</t>
  </si>
  <si>
    <t>07180821_0425</t>
  </si>
  <si>
    <t>07180821_0435</t>
  </si>
  <si>
    <t>07180821_0445</t>
  </si>
  <si>
    <t>07180821_0455</t>
  </si>
  <si>
    <t>07180821_0505</t>
  </si>
  <si>
    <t>07180821_0554</t>
  </si>
  <si>
    <t>07180821_0605</t>
  </si>
  <si>
    <t>07180821_0615</t>
  </si>
  <si>
    <t>07180821_0625</t>
  </si>
  <si>
    <t>07180821_0635</t>
  </si>
  <si>
    <t>07180821_0645</t>
  </si>
  <si>
    <t>07180821_0655</t>
  </si>
  <si>
    <t>07180821_0705</t>
  </si>
  <si>
    <t>07180821_0715</t>
  </si>
  <si>
    <t>07180821_0726</t>
  </si>
  <si>
    <t>07180821_0736</t>
  </si>
  <si>
    <t>07180821_0746</t>
  </si>
  <si>
    <t>07180821_1010</t>
  </si>
  <si>
    <t>07180821_1020</t>
  </si>
  <si>
    <t>07180821_1030</t>
  </si>
  <si>
    <t>07180821_1040</t>
  </si>
  <si>
    <t>07180821_1050</t>
  </si>
  <si>
    <t>07180821_1101</t>
  </si>
  <si>
    <t>07180821_1111</t>
  </si>
  <si>
    <t>07180821_1121</t>
  </si>
  <si>
    <t>07180821_1131</t>
  </si>
  <si>
    <t>07180821_1141</t>
  </si>
  <si>
    <t>07180821_1151</t>
  </si>
  <si>
    <t>07180821_1201</t>
  </si>
  <si>
    <t>07180821_1544</t>
  </si>
  <si>
    <t>07180821_1555</t>
  </si>
  <si>
    <t>07180821_1605</t>
  </si>
  <si>
    <t>07180821_1615</t>
  </si>
  <si>
    <t>07180821_1625</t>
  </si>
  <si>
    <t>07180821_1635</t>
  </si>
  <si>
    <t>DCRC3pC&amp;D</t>
  </si>
  <si>
    <t>07180821_1645</t>
  </si>
  <si>
    <t>07180821_1655</t>
  </si>
  <si>
    <t>07180821_1705</t>
  </si>
  <si>
    <t>07180821_1715</t>
  </si>
  <si>
    <t>07180821_1725</t>
  </si>
  <si>
    <t>07180821_1735</t>
  </si>
  <si>
    <t>07180821_1825</t>
  </si>
  <si>
    <t>07180821_1835</t>
  </si>
  <si>
    <t>07180821_1845</t>
  </si>
  <si>
    <t>07180821_1855</t>
  </si>
  <si>
    <t>07180821_1905</t>
  </si>
  <si>
    <t>07180821_1915</t>
  </si>
  <si>
    <t>07180821_1925</t>
  </si>
  <si>
    <t>07180821_1936</t>
  </si>
  <si>
    <t>07180821_1946</t>
  </si>
  <si>
    <t>07180821_1956</t>
  </si>
  <si>
    <t>07180821_2006</t>
  </si>
  <si>
    <t>07180821_2016</t>
  </si>
  <si>
    <t>07180821_2105</t>
  </si>
  <si>
    <t>07180821_2115</t>
  </si>
  <si>
    <t>07180821_2126</t>
  </si>
  <si>
    <t>07180821_2136</t>
  </si>
  <si>
    <t>07180821_2146</t>
  </si>
  <si>
    <t>07180821_2156</t>
  </si>
  <si>
    <t>07180821_2206</t>
  </si>
  <si>
    <t>07180821_2216</t>
  </si>
  <si>
    <t>07180821_2226</t>
  </si>
  <si>
    <t>07180821_2236</t>
  </si>
  <si>
    <t>07180821_2246</t>
  </si>
  <si>
    <t>07180821_2256</t>
  </si>
  <si>
    <t>07180821_2346</t>
  </si>
  <si>
    <t>07180821_2356</t>
  </si>
  <si>
    <t>07180822_0006</t>
  </si>
  <si>
    <t>07180822_0016</t>
  </si>
  <si>
    <t>07180822_0026</t>
  </si>
  <si>
    <t>07180822_0036</t>
  </si>
  <si>
    <t>07180822_0046</t>
  </si>
  <si>
    <t>07180822_0056</t>
  </si>
  <si>
    <t>07180822_0107</t>
  </si>
  <si>
    <t>07180822_0117</t>
  </si>
  <si>
    <t>07180822_0127</t>
  </si>
  <si>
    <t>07180822_0137</t>
  </si>
  <si>
    <t>07180822_0226</t>
  </si>
  <si>
    <t>07180822_0236</t>
  </si>
  <si>
    <t>07180822_0246</t>
  </si>
  <si>
    <t>07180822_0256</t>
  </si>
  <si>
    <t>07180822_0307</t>
  </si>
  <si>
    <t>07180822_0317</t>
  </si>
  <si>
    <t>07180822_0327</t>
  </si>
  <si>
    <t>07180822_0337</t>
  </si>
  <si>
    <t>07180822_0347</t>
  </si>
  <si>
    <t>07180822_0357</t>
  </si>
  <si>
    <t>07180822_0407</t>
  </si>
  <si>
    <t>07180822_0417</t>
  </si>
  <si>
    <t>07180822_1004</t>
  </si>
  <si>
    <t>07180822_1014</t>
  </si>
  <si>
    <t>07180822_1024</t>
  </si>
  <si>
    <t>07180822_1034</t>
  </si>
  <si>
    <t>07180822_1044</t>
  </si>
  <si>
    <t>07180822_1054</t>
  </si>
  <si>
    <t>07180822_1104</t>
  </si>
  <si>
    <t>07180822_1115</t>
  </si>
  <si>
    <t>07180822_1125</t>
  </si>
  <si>
    <t>07180822_1135</t>
  </si>
  <si>
    <t>07180822_1145</t>
  </si>
  <si>
    <t>07180822_1155</t>
  </si>
  <si>
    <t>07180822_1326</t>
  </si>
  <si>
    <t>07180822_1337</t>
  </si>
  <si>
    <t>07180822_1347</t>
  </si>
  <si>
    <t>07180822_1357</t>
  </si>
  <si>
    <t>07180822_1407</t>
  </si>
  <si>
    <t>07180822_1417</t>
  </si>
  <si>
    <t>07180822_1427</t>
  </si>
  <si>
    <t>07180822_1437</t>
  </si>
  <si>
    <t>07180822_1447</t>
  </si>
  <si>
    <t>07180822_1458</t>
  </si>
  <si>
    <t>07180822_1508</t>
  </si>
  <si>
    <t>07180822_1518</t>
  </si>
  <si>
    <t>07180822_1608</t>
  </si>
  <si>
    <t>07180822_1618</t>
  </si>
  <si>
    <t>07180822_1628</t>
  </si>
  <si>
    <t>07180822_1638</t>
  </si>
  <si>
    <t>07180822_1648</t>
  </si>
  <si>
    <t>07180822_1658</t>
  </si>
  <si>
    <t>07180822_1709</t>
  </si>
  <si>
    <t>07180822_1719</t>
  </si>
  <si>
    <t>07180822_1729</t>
  </si>
  <si>
    <t>07180822_1739</t>
  </si>
  <si>
    <t>07180822_1749</t>
  </si>
  <si>
    <t>07180822_1759</t>
  </si>
  <si>
    <t>07180822_1849</t>
  </si>
  <si>
    <t>07180822_1859</t>
  </si>
  <si>
    <t>07180822_1909</t>
  </si>
  <si>
    <t>07180822_1919</t>
  </si>
  <si>
    <t>07180822_1929</t>
  </si>
  <si>
    <t>07180822_1939</t>
  </si>
  <si>
    <t>07180822_1949</t>
  </si>
  <si>
    <t>only 6 dumps</t>
  </si>
  <si>
    <t>07180823_0956</t>
  </si>
  <si>
    <t>leftover after system crash</t>
  </si>
  <si>
    <t>07180823_1242</t>
  </si>
  <si>
    <t>07180823_1252</t>
  </si>
  <si>
    <t>07180823_1302</t>
  </si>
  <si>
    <t>07180823_1312</t>
  </si>
  <si>
    <t>07180823_1323</t>
  </si>
  <si>
    <t>07180823_1333</t>
  </si>
  <si>
    <t>07180823_1343</t>
  </si>
  <si>
    <t>07180823_1353</t>
  </si>
  <si>
    <t>07180823_1403</t>
  </si>
  <si>
    <t>07180823_1413</t>
  </si>
  <si>
    <t>07180823_1423</t>
  </si>
  <si>
    <t>07180823_1433</t>
  </si>
  <si>
    <t>07180823_1548</t>
  </si>
  <si>
    <t>07180823_1644</t>
  </si>
  <si>
    <t>07180823_1748</t>
  </si>
  <si>
    <t>07180823_1758</t>
  </si>
  <si>
    <t>07180823_1808</t>
  </si>
  <si>
    <t>07180823_1818</t>
  </si>
  <si>
    <t>07180823_1828</t>
  </si>
  <si>
    <t>07180823_1839</t>
  </si>
  <si>
    <t>07180823_1849</t>
  </si>
  <si>
    <t>07180823_1859</t>
  </si>
  <si>
    <t>07180823_1909</t>
  </si>
  <si>
    <t>mf, fixed</t>
  </si>
  <si>
    <t>07180823_1919</t>
  </si>
  <si>
    <t>07180823_1929</t>
  </si>
  <si>
    <t>07180823_1939</t>
  </si>
  <si>
    <t>07180823_2029</t>
  </si>
  <si>
    <t>07180823_2039</t>
  </si>
  <si>
    <t>07180823_2049</t>
  </si>
  <si>
    <t>07180823_2059</t>
  </si>
  <si>
    <t>07180823_2109</t>
  </si>
  <si>
    <t>07180823_2119</t>
  </si>
  <si>
    <t>07180823_2130</t>
  </si>
  <si>
    <t>07180823_2140</t>
  </si>
  <si>
    <t>07180823_2150</t>
  </si>
  <si>
    <t>07180823_2200</t>
  </si>
  <si>
    <t>07180823_2210</t>
  </si>
  <si>
    <t>07180823_2220</t>
  </si>
  <si>
    <t>07180823_2310</t>
  </si>
  <si>
    <t>07180823_2320</t>
  </si>
  <si>
    <t>07180823_2330</t>
  </si>
  <si>
    <t>07180823_2340</t>
  </si>
  <si>
    <t>07180823_2351</t>
  </si>
  <si>
    <t>07180824_0001</t>
  </si>
  <si>
    <t>07180824_0011</t>
  </si>
  <si>
    <t>07180824_0021</t>
  </si>
  <si>
    <t>07180824_0031</t>
  </si>
  <si>
    <t>07180824_0041</t>
  </si>
  <si>
    <t>07180824_0051</t>
  </si>
  <si>
    <t>07180824_0101</t>
  </si>
  <si>
    <t>07180824_0151</t>
  </si>
  <si>
    <t>07180824_0201</t>
  </si>
  <si>
    <t>07180824_0211</t>
  </si>
  <si>
    <t>07180824_0221</t>
  </si>
  <si>
    <t>07180824_0232</t>
  </si>
  <si>
    <t>07180824_0242</t>
  </si>
  <si>
    <t>07180824_0252</t>
  </si>
  <si>
    <t>07180824_0302</t>
  </si>
  <si>
    <t>07180824_0312</t>
  </si>
  <si>
    <t>07180824_0322</t>
  </si>
  <si>
    <t>07180824_0332</t>
  </si>
  <si>
    <t>07180824_0342</t>
  </si>
  <si>
    <t>07180824_0432</t>
  </si>
  <si>
    <t>07180824_0442</t>
  </si>
  <si>
    <t>07180824_0452</t>
  </si>
  <si>
    <t>07180824_0503</t>
  </si>
  <si>
    <t>07180824_0513</t>
  </si>
  <si>
    <t>07180824_0523</t>
  </si>
  <si>
    <t>07180824_0533</t>
  </si>
  <si>
    <t>07180824_0543</t>
  </si>
  <si>
    <t>07180824_0553</t>
  </si>
  <si>
    <t>07180824_0603</t>
  </si>
  <si>
    <t>07180824_0613</t>
  </si>
  <si>
    <t>07180824_0624</t>
  </si>
  <si>
    <t>07180824_0713</t>
  </si>
  <si>
    <t>07180824_0723</t>
  </si>
  <si>
    <t>07180824_0733</t>
  </si>
  <si>
    <t>07180824_0744</t>
  </si>
  <si>
    <t>07180824_0754</t>
  </si>
  <si>
    <t>07180824_0804</t>
  </si>
  <si>
    <t>07180824_0814</t>
  </si>
  <si>
    <t>07180824_0824</t>
  </si>
  <si>
    <t>07180824_0834</t>
  </si>
  <si>
    <t>07180824_0844</t>
  </si>
  <si>
    <t>07180824_0854</t>
  </si>
  <si>
    <t>07180824_0905</t>
  </si>
  <si>
    <t>07180824_0954</t>
  </si>
  <si>
    <t>07180824_1005</t>
  </si>
  <si>
    <t>07180824_1015</t>
  </si>
  <si>
    <t>07180824_1025</t>
  </si>
  <si>
    <t>07180824_1035</t>
  </si>
  <si>
    <t>07180824_1045</t>
  </si>
  <si>
    <t>07180824_1055</t>
  </si>
  <si>
    <t>07180824_1105</t>
  </si>
  <si>
    <t>07180824_1115</t>
  </si>
  <si>
    <t>07180824_1125</t>
  </si>
  <si>
    <t>07180824_1136</t>
  </si>
  <si>
    <t>07180824_1146</t>
  </si>
  <si>
    <t>07180824_1248</t>
  </si>
  <si>
    <t>NaI cal</t>
  </si>
  <si>
    <t>NaI triggered</t>
  </si>
  <si>
    <t>07180824_1402</t>
  </si>
  <si>
    <t>07180824_1450</t>
  </si>
  <si>
    <t>07180825_1217</t>
  </si>
  <si>
    <t>07180825_1227</t>
  </si>
  <si>
    <t>07180825_1237</t>
  </si>
  <si>
    <t>07180825_1247</t>
  </si>
  <si>
    <t>07180825_1258</t>
  </si>
  <si>
    <t>07180825_1308</t>
  </si>
  <si>
    <t>07180825_1318</t>
  </si>
  <si>
    <t>07180825_1328</t>
  </si>
  <si>
    <t>07180825_1338</t>
  </si>
  <si>
    <t>07180825_1348</t>
  </si>
  <si>
    <t>07180825_1358</t>
  </si>
  <si>
    <t>07180825_1408</t>
  </si>
  <si>
    <t>07180825_1418</t>
  </si>
  <si>
    <t>07180825_1428</t>
  </si>
  <si>
    <t>07180825_1438</t>
  </si>
  <si>
    <t>07180825_1617</t>
  </si>
  <si>
    <t>07180825_1718</t>
  </si>
  <si>
    <t>07180825_1728</t>
  </si>
  <si>
    <t>07180825_1738</t>
  </si>
  <si>
    <t>07180825_1748</t>
  </si>
  <si>
    <t>07180825_1758</t>
  </si>
  <si>
    <t>07180825_1808</t>
  </si>
  <si>
    <t>07180825_1818</t>
  </si>
  <si>
    <t>07180825_1828</t>
  </si>
  <si>
    <t>07180825_1838</t>
  </si>
  <si>
    <t>07180825_1848</t>
  </si>
  <si>
    <t>07180825_1858</t>
  </si>
  <si>
    <t>07180825_1908</t>
  </si>
  <si>
    <t>07180825_1957</t>
  </si>
  <si>
    <t>07180825_2007</t>
  </si>
  <si>
    <t>07180825_2018</t>
  </si>
  <si>
    <t>07180825_2028</t>
  </si>
  <si>
    <t>07180825_2038</t>
  </si>
  <si>
    <t>07180825_2048</t>
  </si>
  <si>
    <t>07180825_2058</t>
  </si>
  <si>
    <t>07180825_2108</t>
  </si>
  <si>
    <t>07180825_2118</t>
  </si>
  <si>
    <t>07180825_2128</t>
  </si>
  <si>
    <t>07180825_2138</t>
  </si>
  <si>
    <t>07180825_2148</t>
  </si>
  <si>
    <t>07180825_2237</t>
  </si>
  <si>
    <t>07180825_2247</t>
  </si>
  <si>
    <t>07180825_2257</t>
  </si>
  <si>
    <t>07180825_2307</t>
  </si>
  <si>
    <t>07180825_2317</t>
  </si>
  <si>
    <t>07180825_2327</t>
  </si>
  <si>
    <t>07180825_2338</t>
  </si>
  <si>
    <t>07180825_2348</t>
  </si>
  <si>
    <t>07180825_2358</t>
  </si>
  <si>
    <t>07180826_0008</t>
  </si>
  <si>
    <t>07180826_0018</t>
  </si>
  <si>
    <t>07180826_0028</t>
  </si>
  <si>
    <t>07180826_0117</t>
  </si>
  <si>
    <t>07180826_0127</t>
  </si>
  <si>
    <t>07180826_0137</t>
  </si>
  <si>
    <t>07180826_0147</t>
  </si>
  <si>
    <t>07180826_0157</t>
  </si>
  <si>
    <t>07180826_0207</t>
  </si>
  <si>
    <t>07180826_0217</t>
  </si>
  <si>
    <t>07180826_0227</t>
  </si>
  <si>
    <t>07180826_0237</t>
  </si>
  <si>
    <t>07180826_0248</t>
  </si>
  <si>
    <t>07180826_0258</t>
  </si>
  <si>
    <t>07180826_0308</t>
  </si>
  <si>
    <t>07180826_0357</t>
  </si>
  <si>
    <t>07180826_0407</t>
  </si>
  <si>
    <t>07180826_0417</t>
  </si>
  <si>
    <t>07180826_0427</t>
  </si>
  <si>
    <t>07180826_0437</t>
  </si>
  <si>
    <t>07180826_0447</t>
  </si>
  <si>
    <t>07180826_0457</t>
  </si>
  <si>
    <t>07180826_0507</t>
  </si>
  <si>
    <t>07180826_0517</t>
  </si>
  <si>
    <t>07180826_0527</t>
  </si>
  <si>
    <t>07180826_0537</t>
  </si>
  <si>
    <t>07180826_0548</t>
  </si>
  <si>
    <t>07180826_0636</t>
  </si>
  <si>
    <t>07180826_0646</t>
  </si>
  <si>
    <t>07180826_0657</t>
  </si>
  <si>
    <t>07180826_0707</t>
  </si>
  <si>
    <t>07180826_0717</t>
  </si>
  <si>
    <t>07180826_0727</t>
  </si>
  <si>
    <t>07180826_0737</t>
  </si>
  <si>
    <t>07180826_0747</t>
  </si>
  <si>
    <t>07180826_0757</t>
  </si>
  <si>
    <t>07180826_0807</t>
  </si>
  <si>
    <t>07180826_0817</t>
  </si>
  <si>
    <t>07180826_0827</t>
  </si>
  <si>
    <t>07180826_0916</t>
  </si>
  <si>
    <t>07180826_0926</t>
  </si>
  <si>
    <t>07180826_0936</t>
  </si>
  <si>
    <t>07180826_0946</t>
  </si>
  <si>
    <t>07180826_0957</t>
  </si>
  <si>
    <t>07180826_1007</t>
  </si>
  <si>
    <t>07180826_1017</t>
  </si>
  <si>
    <t>07180826_1027</t>
  </si>
  <si>
    <t>07180826_1037</t>
  </si>
  <si>
    <t>07180826_1047</t>
  </si>
  <si>
    <t>07180826_1057</t>
  </si>
  <si>
    <t>07180826_1107</t>
  </si>
  <si>
    <t>07180826_1519</t>
  </si>
  <si>
    <t>07180826_1530</t>
  </si>
  <si>
    <t>07180826_1540</t>
  </si>
  <si>
    <t>07180826_1550</t>
  </si>
  <si>
    <t>07180826_1600</t>
  </si>
  <si>
    <t>07180826_1610</t>
  </si>
  <si>
    <t>07180826_1620</t>
  </si>
  <si>
    <t>07180826_1630</t>
  </si>
  <si>
    <t>07180826_1640</t>
  </si>
  <si>
    <t>07180826_1651</t>
  </si>
  <si>
    <t>07180826_1701</t>
  </si>
  <si>
    <t>07180826_1711</t>
  </si>
  <si>
    <t>07180826_1800</t>
  </si>
  <si>
    <t>07180826_1810</t>
  </si>
  <si>
    <t>07180826_1820</t>
  </si>
  <si>
    <t>07180826_1830</t>
  </si>
  <si>
    <t>07180826_1840</t>
  </si>
  <si>
    <t>07180826_1850</t>
  </si>
  <si>
    <t>07180826_1900</t>
  </si>
  <si>
    <t>07180826_1910</t>
  </si>
  <si>
    <t>07180826_1920</t>
  </si>
  <si>
    <t>07180826_1930</t>
  </si>
  <si>
    <t>07180826_1940</t>
  </si>
  <si>
    <t>07180826_1950</t>
  </si>
  <si>
    <t>07180826_2039</t>
  </si>
  <si>
    <t>07180826_2049</t>
  </si>
  <si>
    <t>07180826_2059</t>
  </si>
  <si>
    <t>07180826_2110</t>
  </si>
  <si>
    <t>07180826_2120</t>
  </si>
  <si>
    <t>07180826_2130</t>
  </si>
  <si>
    <t>07180826_2140</t>
  </si>
  <si>
    <t>07180826_2150</t>
  </si>
  <si>
    <t>07180826_2200</t>
  </si>
  <si>
    <t>07180826_2210</t>
  </si>
  <si>
    <t>07180826_2220</t>
  </si>
  <si>
    <t>07180826_2230</t>
  </si>
  <si>
    <t>07180826_2319</t>
  </si>
  <si>
    <t>07180826_2329</t>
  </si>
  <si>
    <t>07180826_2339</t>
  </si>
  <si>
    <t>07180826_2349</t>
  </si>
  <si>
    <t>07180827_0000</t>
  </si>
  <si>
    <t>07180827_0010</t>
  </si>
  <si>
    <t>07180827_0020</t>
  </si>
  <si>
    <t>07180827_0030</t>
  </si>
  <si>
    <t>07180827_0040</t>
  </si>
  <si>
    <t>07180827_0050</t>
  </si>
  <si>
    <t>07180827_0100</t>
  </si>
  <si>
    <t>07180827_0110</t>
  </si>
  <si>
    <t>07180827_0159</t>
  </si>
  <si>
    <t>07180827_0209</t>
  </si>
  <si>
    <t>07180827_0219</t>
  </si>
  <si>
    <t>07180827_0229</t>
  </si>
  <si>
    <t>07180827_0239</t>
  </si>
  <si>
    <t>07180827_0249</t>
  </si>
  <si>
    <t>07180827_0300</t>
  </si>
  <si>
    <t>07180827_0310</t>
  </si>
  <si>
    <t>07180827_0320</t>
  </si>
  <si>
    <t>07180827_0330</t>
  </si>
  <si>
    <t>07180827_0340</t>
  </si>
  <si>
    <t>07180827_0350</t>
  </si>
  <si>
    <t>07180827_0439</t>
  </si>
  <si>
    <t>07180827_0449</t>
  </si>
  <si>
    <t>07180827_0459</t>
  </si>
  <si>
    <t>07180827_0509</t>
  </si>
  <si>
    <t>07180827_0519</t>
  </si>
  <si>
    <t>07180827_0529</t>
  </si>
  <si>
    <t>07180827_0539</t>
  </si>
  <si>
    <t>07180827_0550</t>
  </si>
  <si>
    <t>07180827_0600</t>
  </si>
  <si>
    <t>07180827_0610</t>
  </si>
  <si>
    <t>07180827_0620</t>
  </si>
  <si>
    <t>PuBe ser</t>
  </si>
  <si>
    <t>07180827_0630</t>
  </si>
  <si>
    <t>07180827_0952</t>
  </si>
  <si>
    <t>07180827_1002</t>
  </si>
  <si>
    <t>07180827_1012</t>
  </si>
  <si>
    <t>07180827_1022</t>
  </si>
  <si>
    <t>07180827_1032</t>
  </si>
  <si>
    <t>07180827_1042</t>
  </si>
  <si>
    <t>07180827_1053</t>
  </si>
  <si>
    <t>07180827_1103</t>
  </si>
  <si>
    <t>07180827_1113</t>
  </si>
  <si>
    <t>07180827_1123</t>
  </si>
  <si>
    <t>07180827_1133</t>
  </si>
  <si>
    <t>07180827_1143</t>
  </si>
  <si>
    <t>dcrc1pB rail</t>
  </si>
  <si>
    <t>07180827_1232</t>
  </si>
  <si>
    <t>07180827_1242</t>
  </si>
  <si>
    <t>07180827_1252</t>
  </si>
  <si>
    <t>07180827_1302</t>
  </si>
  <si>
    <t>07180827_1312</t>
  </si>
  <si>
    <t>07180827_1322</t>
  </si>
  <si>
    <t>07180827_1332</t>
  </si>
  <si>
    <t>07180827_1343</t>
  </si>
  <si>
    <t>07180827_1353</t>
  </si>
  <si>
    <t>07180827_1403</t>
  </si>
  <si>
    <t>07180827_1413</t>
  </si>
  <si>
    <t>07180827_1423</t>
  </si>
  <si>
    <t>07180827_1718</t>
  </si>
  <si>
    <t>07180827_1728</t>
  </si>
  <si>
    <t>07180827_1739</t>
  </si>
  <si>
    <t>07180827_1749</t>
  </si>
  <si>
    <t>07180827_1759</t>
  </si>
  <si>
    <t>07180827_1809</t>
  </si>
  <si>
    <t>07180827_1819</t>
  </si>
  <si>
    <t>07180827_1829</t>
  </si>
  <si>
    <t>07180827_1839</t>
  </si>
  <si>
    <t>07180827_1849</t>
  </si>
  <si>
    <t>07180827_1859</t>
  </si>
  <si>
    <t>07180827_1910</t>
  </si>
  <si>
    <t>07180827_1958</t>
  </si>
  <si>
    <t>07180827_2008</t>
  </si>
  <si>
    <t>07180827_2019</t>
  </si>
  <si>
    <t>07180827_2029</t>
  </si>
  <si>
    <t>07180827_2039</t>
  </si>
  <si>
    <t>07180827_2049</t>
  </si>
  <si>
    <t>07180827_2059</t>
  </si>
  <si>
    <t>07180827_2109</t>
  </si>
  <si>
    <t>07180827_2119</t>
  </si>
  <si>
    <t>07180827_2129</t>
  </si>
  <si>
    <t>07180827_2139</t>
  </si>
  <si>
    <t>07180827_2150</t>
  </si>
  <si>
    <t>07180827_2238</t>
  </si>
  <si>
    <t>07180827_2248</t>
  </si>
  <si>
    <t>07180827_2259</t>
  </si>
  <si>
    <t>07180827_2309</t>
  </si>
  <si>
    <t>07180827_2319</t>
  </si>
  <si>
    <t>07180827_2329</t>
  </si>
  <si>
    <t>07180827_2339</t>
  </si>
  <si>
    <t>07180827_2349</t>
  </si>
  <si>
    <t>07180827_2359</t>
  </si>
  <si>
    <t>07180828_0009</t>
  </si>
  <si>
    <t>07180828_0019</t>
  </si>
  <si>
    <t>07180828_0030</t>
  </si>
  <si>
    <t>07180828_0118</t>
  </si>
  <si>
    <t>07180828_0128</t>
  </si>
  <si>
    <t>07180828_0139</t>
  </si>
  <si>
    <t>07180828_0149</t>
  </si>
  <si>
    <t>07180828_0159</t>
  </si>
  <si>
    <t>07180828_0209</t>
  </si>
  <si>
    <t>07180828_0219</t>
  </si>
  <si>
    <t>07180828_0229</t>
  </si>
  <si>
    <t>07180828_0239</t>
  </si>
  <si>
    <t>07180828_0249</t>
  </si>
  <si>
    <t>07180828_0259</t>
  </si>
  <si>
    <t>07180828_0310</t>
  </si>
  <si>
    <t>07180828_0358</t>
  </si>
  <si>
    <t>07180828_0409</t>
  </si>
  <si>
    <t>07180828_0419</t>
  </si>
  <si>
    <t>07180828_0429</t>
  </si>
  <si>
    <t>07180828_0439</t>
  </si>
  <si>
    <t>07180828_0449</t>
  </si>
  <si>
    <t>07180828_0459</t>
  </si>
  <si>
    <t>07180828_0509</t>
  </si>
  <si>
    <t>07180828_0519</t>
  </si>
  <si>
    <t>07180828_0529</t>
  </si>
  <si>
    <t>07180828_0539</t>
  </si>
  <si>
    <t>07180828_0550</t>
  </si>
  <si>
    <t>07180828_1021</t>
  </si>
  <si>
    <t>07180828_1031</t>
  </si>
  <si>
    <t>07180828_1041</t>
  </si>
  <si>
    <t>07180828_1051</t>
  </si>
  <si>
    <t>07180828_1102</t>
  </si>
  <si>
    <t>07180828_1112</t>
  </si>
  <si>
    <t>07180828_1122</t>
  </si>
  <si>
    <t>07180828_1132</t>
  </si>
  <si>
    <t>07180828_1142</t>
  </si>
  <si>
    <t>07180828_1152</t>
  </si>
  <si>
    <t>07180828_1202</t>
  </si>
  <si>
    <t>07180828_1212</t>
  </si>
  <si>
    <t>07180828_1304</t>
  </si>
  <si>
    <t>07180828_1314</t>
  </si>
  <si>
    <t>07180828_1324</t>
  </si>
  <si>
    <t>07180828_1334</t>
  </si>
  <si>
    <t>07180828_1344</t>
  </si>
  <si>
    <t>07180828_1355</t>
  </si>
  <si>
    <t>07180828_1405</t>
  </si>
  <si>
    <t>07180828_1415</t>
  </si>
  <si>
    <t>07180828_1425</t>
  </si>
  <si>
    <t>07180828_1435</t>
  </si>
  <si>
    <t>07180828_1445</t>
  </si>
  <si>
    <t>07180828_1455</t>
  </si>
  <si>
    <t>07180829_0858</t>
  </si>
  <si>
    <t>07180829_0908</t>
  </si>
  <si>
    <t>07180829_0919</t>
  </si>
  <si>
    <t>07180829_0929</t>
  </si>
  <si>
    <t>07180829_0939</t>
  </si>
  <si>
    <t>07180829_0949</t>
  </si>
  <si>
    <t>07180829_0959</t>
  </si>
  <si>
    <t>07180829_1009</t>
  </si>
  <si>
    <t>07180829_1019</t>
  </si>
  <si>
    <t>07180829_1133</t>
  </si>
  <si>
    <t>07180829_1143</t>
  </si>
  <si>
    <t>07180829_1153</t>
  </si>
  <si>
    <t>07180829_1204</t>
  </si>
  <si>
    <t>07180829_1214</t>
  </si>
  <si>
    <t>07180829_1224</t>
  </si>
  <si>
    <t>07180829_1234</t>
  </si>
  <si>
    <t>07180829_1244</t>
  </si>
  <si>
    <t>07180829_1254</t>
  </si>
  <si>
    <t>07180829_1304</t>
  </si>
  <si>
    <t>07180829_1314</t>
  </si>
  <si>
    <t>07180829_1324</t>
  </si>
  <si>
    <t>07180829_1621</t>
  </si>
  <si>
    <t>bg ser</t>
  </si>
  <si>
    <t>07180829_1631</t>
  </si>
  <si>
    <t>07180829_1641</t>
  </si>
  <si>
    <t>07180829_1651</t>
  </si>
  <si>
    <t>07180829_1701</t>
  </si>
  <si>
    <t>07180829_1711</t>
  </si>
  <si>
    <t>07180829_1721</t>
  </si>
  <si>
    <t>07180829_1731</t>
  </si>
  <si>
    <t>07180829_1741</t>
  </si>
  <si>
    <t>07180829_1751</t>
  </si>
  <si>
    <t>07180829_1801</t>
  </si>
  <si>
    <t>07180829_1812</t>
  </si>
  <si>
    <t>07180829_1900</t>
  </si>
  <si>
    <t>07180829_1910</t>
  </si>
  <si>
    <t>07180829_1921</t>
  </si>
  <si>
    <t>07180829_1931</t>
  </si>
  <si>
    <t>07180829_1941</t>
  </si>
  <si>
    <t>07180829_1951</t>
  </si>
  <si>
    <t>07180829_2001</t>
  </si>
  <si>
    <t>07180829_2011</t>
  </si>
  <si>
    <t>07180829_2021</t>
  </si>
  <si>
    <t>07180829_2031</t>
  </si>
  <si>
    <t>07180829_2041</t>
  </si>
  <si>
    <t>07180829_2051</t>
  </si>
  <si>
    <t>07180829_2140</t>
  </si>
  <si>
    <t>07180829_2150</t>
  </si>
  <si>
    <t>07180829_2200</t>
  </si>
  <si>
    <t>07180829_2210</t>
  </si>
  <si>
    <t>07180829_2221</t>
  </si>
  <si>
    <t>07180829_2231</t>
  </si>
  <si>
    <t>07180829_2241</t>
  </si>
  <si>
    <t>07180829_2251</t>
  </si>
  <si>
    <t>07180829_2301</t>
  </si>
  <si>
    <t>07180829_2311</t>
  </si>
  <si>
    <t>07180829_2321</t>
  </si>
  <si>
    <t>07180829_2331</t>
  </si>
  <si>
    <t>07180830_0020</t>
  </si>
  <si>
    <t>07180830_0030</t>
  </si>
  <si>
    <t>07180830_0040</t>
  </si>
  <si>
    <t>07180830_0050</t>
  </si>
  <si>
    <t>07180830_0100</t>
  </si>
  <si>
    <t>07180830_0110</t>
  </si>
  <si>
    <t>07180830_0120</t>
  </si>
  <si>
    <t>07180830_0131</t>
  </si>
  <si>
    <t>07180830_0141</t>
  </si>
  <si>
    <t>07180830_0151</t>
  </si>
  <si>
    <t>07180830_0201</t>
  </si>
  <si>
    <t>07180830_0211</t>
  </si>
  <si>
    <t>07180830_0300</t>
  </si>
  <si>
    <t>07180830_0310</t>
  </si>
  <si>
    <t>07180830_0320</t>
  </si>
  <si>
    <t>07180830_0330</t>
  </si>
  <si>
    <t>07180830_0340</t>
  </si>
  <si>
    <t>07180830_0350</t>
  </si>
  <si>
    <t>07180830_0400</t>
  </si>
  <si>
    <t>07180830_0410</t>
  </si>
  <si>
    <t>07180830_0420</t>
  </si>
  <si>
    <t>07180830_0431</t>
  </si>
  <si>
    <t>07180830_0441</t>
  </si>
  <si>
    <t>07180830_0451</t>
  </si>
  <si>
    <t>07180830_0540</t>
  </si>
  <si>
    <t>07180830_0550</t>
  </si>
  <si>
    <t>07180830_0600</t>
  </si>
  <si>
    <t>07180830_0610</t>
  </si>
  <si>
    <t>07180830_0620</t>
  </si>
  <si>
    <t>07180830_0630</t>
  </si>
  <si>
    <t>07180830_0640</t>
  </si>
  <si>
    <t>07180830_0650</t>
  </si>
  <si>
    <t>07180830_0700</t>
  </si>
  <si>
    <t>07180830_0710</t>
  </si>
  <si>
    <t>07180830_0720</t>
  </si>
  <si>
    <t>07180830_0731</t>
  </si>
  <si>
    <t>07180830_0819</t>
  </si>
  <si>
    <t>07180830_0829</t>
  </si>
  <si>
    <t>07180830_0840</t>
  </si>
  <si>
    <t>07180830_0850</t>
  </si>
  <si>
    <t>07180830_0900</t>
  </si>
  <si>
    <t>07180830_0910</t>
  </si>
  <si>
    <t>07180830_0920</t>
  </si>
  <si>
    <t>07180830_0930</t>
  </si>
  <si>
    <t>07180830_0940</t>
  </si>
  <si>
    <t>07180830_0950</t>
  </si>
  <si>
    <t>07180830_1000</t>
  </si>
  <si>
    <t>07180830_1010</t>
  </si>
  <si>
    <t>= 6/8</t>
  </si>
  <si>
    <t>07180830_1250</t>
  </si>
  <si>
    <t>07180830_1300</t>
  </si>
  <si>
    <t>07180830_1310</t>
  </si>
  <si>
    <t>07180830_1320</t>
  </si>
  <si>
    <t>07180830_1330</t>
  </si>
  <si>
    <t>07180830_1340</t>
  </si>
  <si>
    <t>07180830_1350</t>
  </si>
  <si>
    <t>07180830_1400</t>
  </si>
  <si>
    <t>07180830_1410</t>
  </si>
  <si>
    <t>07180830_1420</t>
  </si>
  <si>
    <t>07180830_1430</t>
  </si>
  <si>
    <t>07180830_1441</t>
  </si>
  <si>
    <t>07180830_1726</t>
  </si>
  <si>
    <t>07180830_1736</t>
  </si>
  <si>
    <t>07180830_1746</t>
  </si>
  <si>
    <t>07180830_1756</t>
  </si>
  <si>
    <t>07180830_1806</t>
  </si>
  <si>
    <t>07180830_1817</t>
  </si>
  <si>
    <t>07180830_1827</t>
  </si>
  <si>
    <t>07180830_1837</t>
  </si>
  <si>
    <t>07180830_1847</t>
  </si>
  <si>
    <t>07180830_1857</t>
  </si>
  <si>
    <t>07180830_1907</t>
  </si>
  <si>
    <t>07180830_1917</t>
  </si>
  <si>
    <t>07180830_2006</t>
  </si>
  <si>
    <t>07180830_2016</t>
  </si>
  <si>
    <t>07180830_2026</t>
  </si>
  <si>
    <t>07180830_2036</t>
  </si>
  <si>
    <t>07180830_2046</t>
  </si>
  <si>
    <t>07180830_2057</t>
  </si>
  <si>
    <t>07180830_2107</t>
  </si>
  <si>
    <t>07180830_2117</t>
  </si>
  <si>
    <t>07180830_2127</t>
  </si>
  <si>
    <t>07180830_2137</t>
  </si>
  <si>
    <t>07180830_2147</t>
  </si>
  <si>
    <t>07180830_2157</t>
  </si>
  <si>
    <t>07180830_2246</t>
  </si>
  <si>
    <t>07180830_2256</t>
  </si>
  <si>
    <t>07180830_2306</t>
  </si>
  <si>
    <t>07180830_2317</t>
  </si>
  <si>
    <t>07180830_2327</t>
  </si>
  <si>
    <t>07180830_2337</t>
  </si>
  <si>
    <t>07180830_2347</t>
  </si>
  <si>
    <t>07180830_2357</t>
  </si>
  <si>
    <t>07180831_0007</t>
  </si>
  <si>
    <t>07180831_0017</t>
  </si>
  <si>
    <t>07180831_0027</t>
  </si>
  <si>
    <t>07180831_0037</t>
  </si>
  <si>
    <t>07180831_0126</t>
  </si>
  <si>
    <t>07180831_0136</t>
  </si>
  <si>
    <t>07180831_0146</t>
  </si>
  <si>
    <t>07180831_0156</t>
  </si>
  <si>
    <t>07180831_0206</t>
  </si>
  <si>
    <t>07180831_0217</t>
  </si>
  <si>
    <t>07180831_0227</t>
  </si>
  <si>
    <t>07180831_0237</t>
  </si>
  <si>
    <t>07180831_0247</t>
  </si>
  <si>
    <t>07180831_0257</t>
  </si>
  <si>
    <t>07180831_0307</t>
  </si>
  <si>
    <t>07180831_0317</t>
  </si>
  <si>
    <t>07180831_0406</t>
  </si>
  <si>
    <t>07180831_0416</t>
  </si>
  <si>
    <t>07180831_0426</t>
  </si>
  <si>
    <t>07180831_0436</t>
  </si>
  <si>
    <t>07180831_0446</t>
  </si>
  <si>
    <t>07180831_0456</t>
  </si>
  <si>
    <t>07180831_0506</t>
  </si>
  <si>
    <t>07180831_0517</t>
  </si>
  <si>
    <t>07180831_0527</t>
  </si>
  <si>
    <t>07180831_0537</t>
  </si>
  <si>
    <t>07180831_0547</t>
  </si>
  <si>
    <t>07180831_0557</t>
  </si>
  <si>
    <t>07180831_0646</t>
  </si>
  <si>
    <t>07180831_0656</t>
  </si>
  <si>
    <t>07180831_0706</t>
  </si>
  <si>
    <t>07180831_0716</t>
  </si>
  <si>
    <t>07180831_0726</t>
  </si>
  <si>
    <t>07180831_0736</t>
  </si>
  <si>
    <t>07180831_0746</t>
  </si>
  <si>
    <t>07180831_0756</t>
  </si>
  <si>
    <t>07180831_0807</t>
  </si>
  <si>
    <t>07180831_0817</t>
  </si>
  <si>
    <t>PuBe ser -40</t>
  </si>
  <si>
    <t>07180831_0827</t>
  </si>
  <si>
    <t>07180831_0837</t>
  </si>
  <si>
    <t>07180831_0926</t>
  </si>
  <si>
    <t>07180831_0936</t>
  </si>
  <si>
    <t>07180831_0946</t>
  </si>
  <si>
    <t>07180831_0956</t>
  </si>
  <si>
    <t>07180831_1006</t>
  </si>
  <si>
    <t>07180831_1016</t>
  </si>
  <si>
    <t>DCRC1pB rail</t>
  </si>
  <si>
    <t>07180831_1026</t>
  </si>
  <si>
    <t>07180831_1036</t>
  </si>
  <si>
    <t>07180831_1046</t>
  </si>
  <si>
    <t>07180831_1056</t>
  </si>
  <si>
    <t>07180831_1107</t>
  </si>
  <si>
    <t>07180831_1117</t>
  </si>
  <si>
    <t>07180831_1216</t>
  </si>
  <si>
    <t>07180831_1226</t>
  </si>
  <si>
    <t>07180831_1236</t>
  </si>
  <si>
    <t>07180831_1246</t>
  </si>
  <si>
    <t>07180831_1256</t>
  </si>
  <si>
    <t>07180831_1306</t>
  </si>
  <si>
    <t>07180831_1316</t>
  </si>
  <si>
    <t>07180831_1326</t>
  </si>
  <si>
    <t>07180831_1336</t>
  </si>
  <si>
    <t>07180831_1346</t>
  </si>
  <si>
    <t>07180831_1356</t>
  </si>
  <si>
    <t>07180831_1407</t>
  </si>
  <si>
    <t>07180831_1716</t>
  </si>
  <si>
    <t>07180831_1726</t>
  </si>
  <si>
    <t>07180831_1736</t>
  </si>
  <si>
    <t>07180831_1746</t>
  </si>
  <si>
    <t>07180831_1756</t>
  </si>
  <si>
    <t>07180831_1806</t>
  </si>
  <si>
    <t>07180831_1816</t>
  </si>
  <si>
    <t>07180831_1827</t>
  </si>
  <si>
    <t>07180831_1837</t>
  </si>
  <si>
    <t>07180831_1847</t>
  </si>
  <si>
    <t>07180831_1857</t>
  </si>
  <si>
    <t>07180831_1907</t>
  </si>
  <si>
    <t>07180831_1958</t>
  </si>
  <si>
    <t>PuBe -70V ser</t>
  </si>
  <si>
    <t>07180831_2009</t>
  </si>
  <si>
    <t>07180831_2019</t>
  </si>
  <si>
    <t>07180831_2029</t>
  </si>
  <si>
    <t>07180831_2039</t>
  </si>
  <si>
    <t>07180831_2049</t>
  </si>
  <si>
    <t>07180831_2059</t>
  </si>
  <si>
    <t>07180831_2109</t>
  </si>
  <si>
    <t>07180831_2119</t>
  </si>
  <si>
    <t>07180831_2129</t>
  </si>
  <si>
    <t>07180831_2139</t>
  </si>
  <si>
    <t>07180831_2149</t>
  </si>
  <si>
    <t>07180831_2241</t>
  </si>
  <si>
    <t>07180831_2251</t>
  </si>
  <si>
    <t>07180831_2301</t>
  </si>
  <si>
    <t>07180831_2311</t>
  </si>
  <si>
    <t>07180831_2321</t>
  </si>
  <si>
    <t>07180831_2331</t>
  </si>
  <si>
    <t>07180831_2341</t>
  </si>
  <si>
    <t>07180831_2351</t>
  </si>
  <si>
    <t>07180901_0001</t>
  </si>
  <si>
    <t>07180901_0012</t>
  </si>
  <si>
    <t>07180901_0022</t>
  </si>
  <si>
    <t>07180901_0032</t>
  </si>
  <si>
    <t>07180901_0123</t>
  </si>
  <si>
    <t>07180901_0133</t>
  </si>
  <si>
    <t>07180901_0143</t>
  </si>
  <si>
    <t>07180901_0153</t>
  </si>
  <si>
    <t>07180901_0203</t>
  </si>
  <si>
    <t>07180901_0213</t>
  </si>
  <si>
    <t>07180901_0223</t>
  </si>
  <si>
    <t>07180901_0234</t>
  </si>
  <si>
    <t>07180901_0244</t>
  </si>
  <si>
    <t>07180901_0254</t>
  </si>
  <si>
    <t>07180901_0304</t>
  </si>
  <si>
    <t>07180901_0314</t>
  </si>
  <si>
    <t>07180901_0405</t>
  </si>
  <si>
    <t>07180901_0415</t>
  </si>
  <si>
    <t>07180901_0425</t>
  </si>
  <si>
    <t>07180901_0435</t>
  </si>
  <si>
    <t>07180901_0445</t>
  </si>
  <si>
    <t>07180901_0456</t>
  </si>
  <si>
    <t>07180901_0506</t>
  </si>
  <si>
    <t>07180901_0516</t>
  </si>
  <si>
    <t>07180901_0526</t>
  </si>
  <si>
    <t>07180901_0536</t>
  </si>
  <si>
    <t>07180901_0546</t>
  </si>
  <si>
    <t>07180901_0556</t>
  </si>
  <si>
    <t>07180901_0647</t>
  </si>
  <si>
    <t>07180901_0657</t>
  </si>
  <si>
    <t>07180901_0708</t>
  </si>
  <si>
    <t>07180901_0718</t>
  </si>
  <si>
    <t>07180901_0728</t>
  </si>
  <si>
    <t>07180901_0738</t>
  </si>
  <si>
    <t>07180901_0748</t>
  </si>
  <si>
    <t>07180901_0758</t>
  </si>
  <si>
    <t>07180901_0808</t>
  </si>
  <si>
    <t>07180901_0818</t>
  </si>
  <si>
    <t>07180901_0828</t>
  </si>
  <si>
    <t>07180901_0838</t>
  </si>
  <si>
    <t>07180901_1106</t>
  </si>
  <si>
    <t>07180901_1117</t>
  </si>
  <si>
    <t>07180901_1127</t>
  </si>
  <si>
    <t>07180901_1137</t>
  </si>
  <si>
    <t>07180901_1147</t>
  </si>
  <si>
    <t>07180901_1157</t>
  </si>
  <si>
    <t>07180901_1207</t>
  </si>
  <si>
    <t>07180901_1217</t>
  </si>
  <si>
    <t>07180901_1227</t>
  </si>
  <si>
    <t>07180901_1237</t>
  </si>
  <si>
    <t>07180901_1247</t>
  </si>
  <si>
    <t>07180901_1258</t>
  </si>
  <si>
    <t>DCRC3pC rail</t>
  </si>
  <si>
    <t>07180901_1350</t>
  </si>
  <si>
    <t>07180901_1400</t>
  </si>
  <si>
    <t>07180901_1410</t>
  </si>
  <si>
    <t>07180901_1421</t>
  </si>
  <si>
    <t>07180901_1431</t>
  </si>
  <si>
    <t>07180901_1441</t>
  </si>
  <si>
    <t>HV leak high</t>
  </si>
  <si>
    <t>07180901_1451</t>
  </si>
  <si>
    <t>07180901_1501</t>
  </si>
  <si>
    <t>07180901_1511</t>
  </si>
  <si>
    <t>07180901_1521</t>
  </si>
  <si>
    <t>07180901_1531</t>
  </si>
  <si>
    <t>07180901_1541</t>
  </si>
  <si>
    <t>07180901_1635</t>
  </si>
  <si>
    <t>07180901_1645</t>
  </si>
  <si>
    <t>07180901_1655</t>
  </si>
  <si>
    <t>07180901_1705</t>
  </si>
  <si>
    <t>07180901_1715</t>
  </si>
  <si>
    <t>07180901_1725</t>
  </si>
  <si>
    <t>07180901_1735</t>
  </si>
  <si>
    <t>07180901_1745</t>
  </si>
  <si>
    <t>07180901_1755</t>
  </si>
  <si>
    <t>07180901_1805</t>
  </si>
  <si>
    <t>07180901_1816</t>
  </si>
  <si>
    <t>07180901_1826</t>
  </si>
  <si>
    <t>07180901_1918</t>
  </si>
  <si>
    <t>07180901_1928</t>
  </si>
  <si>
    <t>07180901_1939</t>
  </si>
  <si>
    <t>07180901_1949</t>
  </si>
  <si>
    <t>07180901_1959</t>
  </si>
  <si>
    <t>07180901_2009</t>
  </si>
  <si>
    <t>07180901_2019</t>
  </si>
  <si>
    <t>07180901_2029</t>
  </si>
  <si>
    <t>07180901_2039</t>
  </si>
  <si>
    <t>07180901_2049</t>
  </si>
  <si>
    <t>07180901_2059</t>
  </si>
  <si>
    <t>07180901_2109</t>
  </si>
  <si>
    <t>07180901_2202</t>
  </si>
  <si>
    <t>07180901_2212</t>
  </si>
  <si>
    <t>07180901_2222</t>
  </si>
  <si>
    <t>07180901_2233</t>
  </si>
  <si>
    <t>07180901_2243</t>
  </si>
  <si>
    <t>07180901_2253</t>
  </si>
  <si>
    <t>07180901_2303</t>
  </si>
  <si>
    <t>07180901_2313</t>
  </si>
  <si>
    <t>07180901_2323</t>
  </si>
  <si>
    <t>07180901_2333</t>
  </si>
  <si>
    <t>07180901_2343</t>
  </si>
  <si>
    <t>07180901_2353</t>
  </si>
  <si>
    <t>07180902_0046</t>
  </si>
  <si>
    <t>07180902_0056</t>
  </si>
  <si>
    <t>07180902_0106</t>
  </si>
  <si>
    <t>07180902_0117</t>
  </si>
  <si>
    <t>07180902_0127</t>
  </si>
  <si>
    <t>07180902_0137</t>
  </si>
  <si>
    <t>07180902_0147</t>
  </si>
  <si>
    <t>07180902_0157</t>
  </si>
  <si>
    <t>07180902_0207</t>
  </si>
  <si>
    <t>07180902_0217</t>
  </si>
  <si>
    <t>07180902_0227</t>
  </si>
  <si>
    <t>07180902_0237</t>
  </si>
  <si>
    <t>07180902_0330</t>
  </si>
  <si>
    <t>07180902_0340</t>
  </si>
  <si>
    <t>07180902_0350</t>
  </si>
  <si>
    <t>07180902_0400</t>
  </si>
  <si>
    <t>07180902_0411</t>
  </si>
  <si>
    <t>07180902_0421</t>
  </si>
  <si>
    <t>07180902_0431</t>
  </si>
  <si>
    <t>07180902_0441</t>
  </si>
  <si>
    <t>07180902_0451</t>
  </si>
  <si>
    <t>07180902_0501</t>
  </si>
  <si>
    <t>07180902_0511</t>
  </si>
  <si>
    <t>07180902_0521</t>
  </si>
  <si>
    <t>07180902_0614</t>
  </si>
  <si>
    <t>07180902_0624</t>
  </si>
  <si>
    <t>07180902_0634</t>
  </si>
  <si>
    <t>07180902_0644</t>
  </si>
  <si>
    <t>07180902_0654</t>
  </si>
  <si>
    <t>07180902_0704</t>
  </si>
  <si>
    <t>07180902_0715</t>
  </si>
  <si>
    <t>07180902_0725</t>
  </si>
  <si>
    <t>07180902_0735</t>
  </si>
  <si>
    <t>07180902_0745</t>
  </si>
  <si>
    <t>07180902_0755</t>
  </si>
  <si>
    <t>07180902_0805</t>
  </si>
  <si>
    <t>07180902_0858</t>
  </si>
  <si>
    <t>07180902_0908</t>
  </si>
  <si>
    <t>07180902_0918</t>
  </si>
  <si>
    <t>07180902_0928</t>
  </si>
  <si>
    <t>07180902_0938</t>
  </si>
  <si>
    <t>07180902_0948</t>
  </si>
  <si>
    <t>07180902_0959</t>
  </si>
  <si>
    <t>07180902_1009</t>
  </si>
  <si>
    <t>07180902_1019</t>
  </si>
  <si>
    <t>07180902_1029</t>
  </si>
  <si>
    <t>07180902_1039</t>
  </si>
  <si>
    <t>07180902_1049</t>
  </si>
  <si>
    <t>07180902_1142</t>
  </si>
  <si>
    <t>mf?</t>
  </si>
  <si>
    <t>07180902_1152</t>
  </si>
  <si>
    <t>07180902_1202</t>
  </si>
  <si>
    <t>07180902_1212</t>
  </si>
  <si>
    <t>07180902_1222</t>
  </si>
  <si>
    <t>07180902_1232</t>
  </si>
  <si>
    <t>07180902_1242</t>
  </si>
  <si>
    <t>07180902_1253</t>
  </si>
  <si>
    <t>07180902_1303</t>
  </si>
  <si>
    <t>LHe transfer</t>
  </si>
  <si>
    <t>07180902_1313</t>
  </si>
  <si>
    <t>07180902_1323</t>
  </si>
  <si>
    <t>07180902_1333</t>
  </si>
  <si>
    <t>07180902_1415</t>
  </si>
  <si>
    <t>07180902_1426</t>
  </si>
  <si>
    <t>07180902_1436</t>
  </si>
  <si>
    <t>07180902_1446</t>
  </si>
  <si>
    <t>07180902_1456</t>
  </si>
  <si>
    <t>07180902_1506</t>
  </si>
  <si>
    <t>07180902_1516</t>
  </si>
  <si>
    <t>07180902_1526</t>
  </si>
  <si>
    <t>07180902_1536</t>
  </si>
  <si>
    <t>07180902_1546</t>
  </si>
  <si>
    <t>07180902_1556</t>
  </si>
  <si>
    <t>07180902_1607</t>
  </si>
  <si>
    <t>07180902_1659</t>
  </si>
  <si>
    <t>07180902_1710</t>
  </si>
  <si>
    <t>07180902_1720</t>
  </si>
  <si>
    <t>07180902_1730</t>
  </si>
  <si>
    <t>07180902_1740</t>
  </si>
  <si>
    <t>07180902_1750</t>
  </si>
  <si>
    <t>07180902_1800</t>
  </si>
  <si>
    <t>07180902_1810</t>
  </si>
  <si>
    <t>07180902_1820</t>
  </si>
  <si>
    <t>07180902_1830</t>
  </si>
  <si>
    <t>07180902_1841</t>
  </si>
  <si>
    <t>07180902_1851</t>
  </si>
  <si>
    <t>07180902_1944</t>
  </si>
  <si>
    <t>07180902_1954</t>
  </si>
  <si>
    <t>07180902_2005</t>
  </si>
  <si>
    <t>07180902_2015</t>
  </si>
  <si>
    <t>07180902_2025</t>
  </si>
  <si>
    <t>07180902_2035</t>
  </si>
  <si>
    <t>07180902_2045</t>
  </si>
  <si>
    <t>07180902_2055</t>
  </si>
  <si>
    <t>07180902_2105</t>
  </si>
  <si>
    <t>07180902_2115</t>
  </si>
  <si>
    <t>07180902_2126</t>
  </si>
  <si>
    <t>07180902_2136</t>
  </si>
  <si>
    <t>07180902_2229</t>
  </si>
  <si>
    <t>07180902_2239</t>
  </si>
  <si>
    <t>07180902_2249</t>
  </si>
  <si>
    <t>07180902_2259</t>
  </si>
  <si>
    <t>07180902_2309</t>
  </si>
  <si>
    <t>07180902_2319</t>
  </si>
  <si>
    <t>07180902_2330</t>
  </si>
  <si>
    <t>07180902_2340</t>
  </si>
  <si>
    <t>07180902_2350</t>
  </si>
  <si>
    <t>07180903_0000</t>
  </si>
  <si>
    <t>07180903_0010</t>
  </si>
  <si>
    <t>07180903_0020</t>
  </si>
  <si>
    <t>07180903_0113</t>
  </si>
  <si>
    <t>07180903_0123</t>
  </si>
  <si>
    <t>07180903_0133</t>
  </si>
  <si>
    <t>07180903_0143</t>
  </si>
  <si>
    <t>07180903_0153</t>
  </si>
  <si>
    <t>07180903_0204</t>
  </si>
  <si>
    <t>07180903_0214</t>
  </si>
  <si>
    <t>07180903_0224</t>
  </si>
  <si>
    <t>07180903_0234</t>
  </si>
  <si>
    <t>07180903_0244</t>
  </si>
  <si>
    <t>07180903_0254</t>
  </si>
  <si>
    <t>07180903_0304</t>
  </si>
  <si>
    <t>07180903_0357</t>
  </si>
  <si>
    <t>07180903_0407</t>
  </si>
  <si>
    <t>07180903_0417</t>
  </si>
  <si>
    <t>07180903_0427</t>
  </si>
  <si>
    <t>07180903_0437</t>
  </si>
  <si>
    <t>07180903_0448</t>
  </si>
  <si>
    <t>07180903_0458</t>
  </si>
  <si>
    <t>07180903_0508</t>
  </si>
  <si>
    <t>07180903_0518</t>
  </si>
  <si>
    <t>07180903_0528</t>
  </si>
  <si>
    <t>07180903_0538</t>
  </si>
  <si>
    <t>07180903_0548</t>
  </si>
  <si>
    <t>07180903_0641</t>
  </si>
  <si>
    <t>07180903_0651</t>
  </si>
  <si>
    <t>07180903_0701</t>
  </si>
  <si>
    <t>07180903_0711</t>
  </si>
  <si>
    <t>07180903_0722</t>
  </si>
  <si>
    <t>07180903_0732</t>
  </si>
  <si>
    <t>07180903_0742</t>
  </si>
  <si>
    <t>07180903_0752</t>
  </si>
  <si>
    <t>07180903_0802</t>
  </si>
  <si>
    <t>07180903_0812</t>
  </si>
  <si>
    <t>07180903_0822</t>
  </si>
  <si>
    <t>07180903_0832</t>
  </si>
  <si>
    <t>07180903_0925</t>
  </si>
  <si>
    <t>07180903_0936</t>
  </si>
  <si>
    <t>07180903_0946</t>
  </si>
  <si>
    <t>07180903_0956</t>
  </si>
  <si>
    <t>07180903_1006</t>
  </si>
  <si>
    <t>07180903_1016</t>
  </si>
  <si>
    <t>07180903_1026</t>
  </si>
  <si>
    <t>07180903_1036</t>
  </si>
  <si>
    <t>07180903_1046</t>
  </si>
  <si>
    <t>07180903_1056</t>
  </si>
  <si>
    <t>07180903_1106</t>
  </si>
  <si>
    <t>07180903_1117</t>
  </si>
  <si>
    <t>07180903_1211</t>
  </si>
  <si>
    <t>07180903_1221</t>
  </si>
  <si>
    <t>07180903_1231</t>
  </si>
  <si>
    <t>07180903_1242</t>
  </si>
  <si>
    <t>07180903_1252</t>
  </si>
  <si>
    <t>07180903_1302</t>
  </si>
  <si>
    <t>07180903_1312</t>
  </si>
  <si>
    <t>07180903_1322</t>
  </si>
  <si>
    <t>07180903_1332</t>
  </si>
  <si>
    <t>07180903_1342</t>
  </si>
  <si>
    <t>07180903_1352</t>
  </si>
  <si>
    <t>07180903_1402</t>
  </si>
  <si>
    <t>07180903_1457</t>
  </si>
  <si>
    <t>07180903_1507</t>
  </si>
  <si>
    <t>07180903_1517</t>
  </si>
  <si>
    <t>07180903_1527</t>
  </si>
  <si>
    <t>07180903_1537</t>
  </si>
  <si>
    <t>07180903_1548</t>
  </si>
  <si>
    <t>07180903_1558</t>
  </si>
  <si>
    <t>07180903_1608</t>
  </si>
  <si>
    <t>07180903_1618</t>
  </si>
  <si>
    <t>07180903_1628</t>
  </si>
  <si>
    <t>07180903_1638</t>
  </si>
  <si>
    <t>07180903_1648</t>
  </si>
  <si>
    <t>07180903_1817</t>
  </si>
  <si>
    <t>07180903_1827</t>
  </si>
  <si>
    <t>07180903_1837</t>
  </si>
  <si>
    <t>07180903_1847</t>
  </si>
  <si>
    <t>07180903_1857</t>
  </si>
  <si>
    <t>07180903_1907</t>
  </si>
  <si>
    <t>07180903_1917</t>
  </si>
  <si>
    <t>07180903_1927</t>
  </si>
  <si>
    <t>07180903_1938</t>
  </si>
  <si>
    <t>07180903_1948</t>
  </si>
  <si>
    <t>07180903_1958</t>
  </si>
  <si>
    <t>07180903_2008</t>
  </si>
  <si>
    <t>07180903_2102</t>
  </si>
  <si>
    <t>07180903_2112</t>
  </si>
  <si>
    <t>07180903_2122</t>
  </si>
  <si>
    <t>07180903_2132</t>
  </si>
  <si>
    <t>07180903_2142</t>
  </si>
  <si>
    <t>07180903_2153</t>
  </si>
  <si>
    <t>07180903_2203</t>
  </si>
  <si>
    <t>07180903_2213</t>
  </si>
  <si>
    <t>07180903_2223</t>
  </si>
  <si>
    <t>07180903_2233</t>
  </si>
  <si>
    <t>07180903_2243</t>
  </si>
  <si>
    <t>07180903_2253</t>
  </si>
  <si>
    <t>07180903_2347</t>
  </si>
  <si>
    <t>07180903_2357</t>
  </si>
  <si>
    <t>07180904_0008</t>
  </si>
  <si>
    <t>07180904_0018</t>
  </si>
  <si>
    <t>07180904_0028</t>
  </si>
  <si>
    <t>07180904_0038</t>
  </si>
  <si>
    <t>07180904_0048</t>
  </si>
  <si>
    <t>07180904_0058</t>
  </si>
  <si>
    <t>07180904_0108</t>
  </si>
  <si>
    <t>07180904_0118</t>
  </si>
  <si>
    <t>07180904_0128</t>
  </si>
  <si>
    <t>07180904_0139</t>
  </si>
  <si>
    <t>07180904_0233</t>
  </si>
  <si>
    <t>07180904_0243</t>
  </si>
  <si>
    <t>07180904_0253</t>
  </si>
  <si>
    <t>07180904_0303</t>
  </si>
  <si>
    <t>07180904_0313</t>
  </si>
  <si>
    <t>07180904_0323</t>
  </si>
  <si>
    <t>07180904_0333</t>
  </si>
  <si>
    <t>07180904_0343</t>
  </si>
  <si>
    <t>07180904_0353</t>
  </si>
  <si>
    <t>07180904_0404</t>
  </si>
  <si>
    <t>07180904_0414</t>
  </si>
  <si>
    <t>07180904_0424</t>
  </si>
  <si>
    <t>07180904_0518</t>
  </si>
  <si>
    <t>hi baseline</t>
  </si>
  <si>
    <t>07180904_0528</t>
  </si>
  <si>
    <t>07180904_0538</t>
  </si>
  <si>
    <t>07180904_0548</t>
  </si>
  <si>
    <t>07180904_0558</t>
  </si>
  <si>
    <t>DCRC3pC hi bl</t>
  </si>
  <si>
    <t>07180904_0608</t>
  </si>
  <si>
    <t>07180904_0619</t>
  </si>
  <si>
    <t>07180904_0629</t>
  </si>
  <si>
    <t>07180904_0639</t>
  </si>
  <si>
    <t>07180904_0649</t>
  </si>
  <si>
    <t>07180904_0659</t>
  </si>
  <si>
    <t>07180904_0709</t>
  </si>
  <si>
    <t>07180904_0803</t>
  </si>
  <si>
    <t>07180904_0813</t>
  </si>
  <si>
    <t>07180904_0823</t>
  </si>
  <si>
    <t>07180904_0833</t>
  </si>
  <si>
    <t>07180904_0844</t>
  </si>
  <si>
    <t>07180904_0854</t>
  </si>
  <si>
    <t>07180904_0904</t>
  </si>
  <si>
    <t>07180904_0914</t>
  </si>
  <si>
    <t>07180904_0924</t>
  </si>
  <si>
    <t>07180904_0934</t>
  </si>
  <si>
    <t>07180904_0944</t>
  </si>
  <si>
    <t>MIDAS glitch</t>
  </si>
  <si>
    <t>PuBe -80V ser</t>
  </si>
  <si>
    <t>07180904_1344</t>
  </si>
  <si>
    <t>07180904_1354</t>
  </si>
  <si>
    <t>07180904_1405</t>
  </si>
  <si>
    <t>07180904_1415</t>
  </si>
  <si>
    <t>07180904_1425</t>
  </si>
  <si>
    <t>07180904_1456</t>
  </si>
  <si>
    <t>07180904_1506</t>
  </si>
  <si>
    <t>07180904_1516</t>
  </si>
  <si>
    <t>07180904_1527</t>
  </si>
  <si>
    <t>07180904_1537</t>
  </si>
  <si>
    <t>07180904_1547</t>
  </si>
  <si>
    <t>07180904_1557</t>
  </si>
  <si>
    <t>07180904_1649</t>
  </si>
  <si>
    <t>07180904_1659</t>
  </si>
  <si>
    <t>07180904_1709</t>
  </si>
  <si>
    <t>07180904_1719</t>
  </si>
  <si>
    <t>07180904_1729</t>
  </si>
  <si>
    <t>07180904_1739</t>
  </si>
  <si>
    <t>07180904_1749</t>
  </si>
  <si>
    <t>07180904_1800</t>
  </si>
  <si>
    <t>07180904_1810</t>
  </si>
  <si>
    <t>07180904_1820</t>
  </si>
  <si>
    <t>07180904_1830</t>
  </si>
  <si>
    <t>07180904_1840</t>
  </si>
  <si>
    <t>07180904_1932</t>
  </si>
  <si>
    <t>07180904_1942</t>
  </si>
  <si>
    <t>07180904_1952</t>
  </si>
  <si>
    <t>07180904_2002</t>
  </si>
  <si>
    <t>07180904_2012</t>
  </si>
  <si>
    <t>07180904_2022</t>
  </si>
  <si>
    <t>07180904_2032</t>
  </si>
  <si>
    <t>07180904_2043</t>
  </si>
  <si>
    <t>07180904_2053</t>
  </si>
  <si>
    <t>07180904_2103</t>
  </si>
  <si>
    <t>07180904_2113</t>
  </si>
  <si>
    <t>07180904_2123</t>
  </si>
  <si>
    <t>07180904_2215</t>
  </si>
  <si>
    <t>07180904_2225</t>
  </si>
  <si>
    <t>07180904_2235</t>
  </si>
  <si>
    <t>07180904_2245</t>
  </si>
  <si>
    <t>07180904_2255</t>
  </si>
  <si>
    <t>07180904_2305</t>
  </si>
  <si>
    <t>07180904_2315</t>
  </si>
  <si>
    <t>07180904_2326</t>
  </si>
  <si>
    <t>07180904_2336</t>
  </si>
  <si>
    <t>07180904_2346</t>
  </si>
  <si>
    <t>07180904_2356</t>
  </si>
  <si>
    <t>07180905_0006</t>
  </si>
  <si>
    <t>07180905_0058</t>
  </si>
  <si>
    <t>07180905_0108</t>
  </si>
  <si>
    <t>07180905_0118</t>
  </si>
  <si>
    <t>07180905_0128</t>
  </si>
  <si>
    <t>07180905_0138</t>
  </si>
  <si>
    <t>07180905_0148</t>
  </si>
  <si>
    <t>07180905_0158</t>
  </si>
  <si>
    <t>07180905_0209</t>
  </si>
  <si>
    <t>07180905_0219</t>
  </si>
  <si>
    <t>07180905_0229</t>
  </si>
  <si>
    <t>07180905_0239</t>
  </si>
  <si>
    <t>07180905_0249</t>
  </si>
  <si>
    <t>07180905_0341</t>
  </si>
  <si>
    <t>07180905_0351</t>
  </si>
  <si>
    <t>07180905_0401</t>
  </si>
  <si>
    <t>07180905_0411</t>
  </si>
  <si>
    <t>07180905_0421</t>
  </si>
  <si>
    <t>07180905_0431</t>
  </si>
  <si>
    <t>07180905_0442</t>
  </si>
  <si>
    <t>07180905_0452</t>
  </si>
  <si>
    <t>07180905_0502</t>
  </si>
  <si>
    <t>07180905_0512</t>
  </si>
  <si>
    <t>07180905_0522</t>
  </si>
  <si>
    <t>07180905_0532</t>
  </si>
  <si>
    <t>07180905_0624</t>
  </si>
  <si>
    <t>07180905_0634</t>
  </si>
  <si>
    <t>07180905_0644</t>
  </si>
  <si>
    <t>07180905_0654</t>
  </si>
  <si>
    <t>07180905_0704</t>
  </si>
  <si>
    <t>07180905_0714</t>
  </si>
  <si>
    <t>07180905_0725</t>
  </si>
  <si>
    <t>07180905_0735</t>
  </si>
  <si>
    <t>07180905_0745</t>
  </si>
  <si>
    <t>07180905_0755</t>
  </si>
  <si>
    <t>07180905_0805</t>
  </si>
  <si>
    <t>07180905_0815</t>
  </si>
  <si>
    <t>07180905_0907</t>
  </si>
  <si>
    <t>07180905_0917</t>
  </si>
  <si>
    <t>07180905_0927</t>
  </si>
  <si>
    <t>07180905_0937</t>
  </si>
  <si>
    <t>07180905_0948</t>
  </si>
  <si>
    <t>07180905_0958</t>
  </si>
  <si>
    <t>07180905_1008</t>
  </si>
  <si>
    <t>07180905_1018</t>
  </si>
  <si>
    <t>07180905_1028</t>
  </si>
  <si>
    <t>07180905_1038</t>
  </si>
  <si>
    <t>07180905_1048</t>
  </si>
  <si>
    <t>07180905_1058</t>
  </si>
  <si>
    <t>07180905_1150</t>
  </si>
  <si>
    <t>07180905_1200</t>
  </si>
  <si>
    <t>07180905_1210</t>
  </si>
  <si>
    <t>07180905_1221</t>
  </si>
  <si>
    <t>07180905_1231</t>
  </si>
  <si>
    <t>07180905_1241</t>
  </si>
  <si>
    <t>07180905_1251</t>
  </si>
  <si>
    <t>07180905_1301</t>
  </si>
  <si>
    <t>07180905_1311</t>
  </si>
  <si>
    <t>07180905_1321</t>
  </si>
  <si>
    <t>07180905_1331</t>
  </si>
  <si>
    <t>07180905_1341</t>
  </si>
  <si>
    <t>07180905_1433</t>
  </si>
  <si>
    <t>07180905_1443</t>
  </si>
  <si>
    <t>07180905_1454</t>
  </si>
  <si>
    <t>07180905_1504</t>
  </si>
  <si>
    <t>07180905_1514</t>
  </si>
  <si>
    <t>07180905_1524</t>
  </si>
  <si>
    <t>07180905_1627</t>
  </si>
  <si>
    <t>07180905_1637</t>
  </si>
  <si>
    <t xml:space="preserve">no </t>
  </si>
  <si>
    <t>07180905_1647</t>
  </si>
  <si>
    <t>paraffin</t>
  </si>
  <si>
    <t>07180905_1657</t>
  </si>
  <si>
    <t>07180905_1707</t>
  </si>
  <si>
    <t>07180905_1717</t>
  </si>
  <si>
    <t>07180905_1728</t>
  </si>
  <si>
    <t>07180905_1738</t>
  </si>
  <si>
    <t>07180905_1748</t>
  </si>
  <si>
    <t>07180905_1758</t>
  </si>
  <si>
    <t>07180905_1808</t>
  </si>
  <si>
    <t>07180905_1818</t>
  </si>
  <si>
    <t>07180905_1911</t>
  </si>
  <si>
    <t>07180905_1921</t>
  </si>
  <si>
    <t>07180905_1931</t>
  </si>
  <si>
    <t>07180905_1941</t>
  </si>
  <si>
    <t>07180905_1951</t>
  </si>
  <si>
    <t>07180905_2001</t>
  </si>
  <si>
    <t>07180905_2012</t>
  </si>
  <si>
    <t>07180905_2022</t>
  </si>
  <si>
    <t>07180905_2032</t>
  </si>
  <si>
    <t>07180905_2042</t>
  </si>
  <si>
    <t>07180905_2052</t>
  </si>
  <si>
    <t>07180905_2102</t>
  </si>
  <si>
    <t>07180905_2155</t>
  </si>
  <si>
    <t>07180905_2205</t>
  </si>
  <si>
    <t>07180905_2215</t>
  </si>
  <si>
    <t>07180905_2225</t>
  </si>
  <si>
    <t>07180905_2235</t>
  </si>
  <si>
    <t>07180905_2245</t>
  </si>
  <si>
    <t>07180905_2255</t>
  </si>
  <si>
    <t>07180905_2305</t>
  </si>
  <si>
    <t>07180905_2315</t>
  </si>
  <si>
    <t>07180905_2325</t>
  </si>
  <si>
    <t>07180905_2336</t>
  </si>
  <si>
    <t>07180905_2346</t>
  </si>
  <si>
    <t>07180906_0038</t>
  </si>
  <si>
    <t>07180906_0048</t>
  </si>
  <si>
    <t>07180906_0058</t>
  </si>
  <si>
    <t>07180906_0108</t>
  </si>
  <si>
    <t>07180906_0119</t>
  </si>
  <si>
    <t>07180906_0129</t>
  </si>
  <si>
    <t>07180906_0139</t>
  </si>
  <si>
    <t>07180906_0149</t>
  </si>
  <si>
    <t>07180906_0159</t>
  </si>
  <si>
    <t>07180906_0209</t>
  </si>
  <si>
    <t>07180906_0219</t>
  </si>
  <si>
    <t>07180906_0229</t>
  </si>
  <si>
    <t>07180906_0322</t>
  </si>
  <si>
    <t>07180906_0332</t>
  </si>
  <si>
    <t>07180906_0342</t>
  </si>
  <si>
    <t>07180906_0352</t>
  </si>
  <si>
    <t>07180906_0402</t>
  </si>
  <si>
    <t>07180906_0412</t>
  </si>
  <si>
    <t>07180906_0422</t>
  </si>
  <si>
    <t>07180906_0432</t>
  </si>
  <si>
    <t>07180906_0443</t>
  </si>
  <si>
    <t>07180906_0453</t>
  </si>
  <si>
    <t>07180906_0503</t>
  </si>
  <si>
    <t>07180906_0513</t>
  </si>
  <si>
    <t>07180906_0605</t>
  </si>
  <si>
    <t>07180906_0615</t>
  </si>
  <si>
    <t>07180906_0625</t>
  </si>
  <si>
    <t>07180906_0636</t>
  </si>
  <si>
    <t>07180906_0646</t>
  </si>
  <si>
    <t>07180906_0656</t>
  </si>
  <si>
    <t>07180906_0706</t>
  </si>
  <si>
    <t>07180906_0716</t>
  </si>
  <si>
    <t>07180906_0726</t>
  </si>
  <si>
    <t>07180906_0736</t>
  </si>
  <si>
    <t>07180906_0746</t>
  </si>
  <si>
    <t>07180906_0756</t>
  </si>
  <si>
    <t>07180906_0849</t>
  </si>
  <si>
    <t>07180906_0859</t>
  </si>
  <si>
    <t>07180906_0909</t>
  </si>
  <si>
    <t>07180906_0919</t>
  </si>
  <si>
    <t>07180906_0929</t>
  </si>
  <si>
    <t>07180906_0939</t>
  </si>
  <si>
    <t>07180906_0949</t>
  </si>
  <si>
    <t>07180906_1000</t>
  </si>
  <si>
    <t>07180906_1010</t>
  </si>
  <si>
    <t>07180906_1020</t>
  </si>
  <si>
    <t>07180906_1030</t>
  </si>
  <si>
    <t>PuBe-np -80V ser</t>
  </si>
  <si>
    <t>07180906_1040</t>
  </si>
  <si>
    <t>07180906_1133</t>
  </si>
  <si>
    <t>07180906_1143</t>
  </si>
  <si>
    <t>07180906_1153</t>
  </si>
  <si>
    <t>07180906_1203</t>
  </si>
  <si>
    <t>07180906_1213</t>
  </si>
  <si>
    <t>07180906_1223</t>
  </si>
  <si>
    <t>07180906_1233</t>
  </si>
  <si>
    <t>07180906_1243</t>
  </si>
  <si>
    <t>07180906_1253</t>
  </si>
  <si>
    <t>07180906_1304</t>
  </si>
  <si>
    <t>07180906_1314</t>
  </si>
  <si>
    <t>07180906_1324</t>
  </si>
  <si>
    <t>07180906_1417</t>
  </si>
  <si>
    <t>07180906_1427</t>
  </si>
  <si>
    <t>07180906_1437</t>
  </si>
  <si>
    <t>07180906_1447</t>
  </si>
  <si>
    <t>07180906_1458</t>
  </si>
  <si>
    <t>07180906_1508</t>
  </si>
  <si>
    <t>07180906_1518</t>
  </si>
  <si>
    <t>07180906_1528</t>
  </si>
  <si>
    <t>07180906_1538</t>
  </si>
  <si>
    <t>07180906_1745</t>
  </si>
  <si>
    <t>07180906_1755</t>
  </si>
  <si>
    <t>07180906_1805</t>
  </si>
  <si>
    <t>07180906_1815</t>
  </si>
  <si>
    <t>07180906_1826</t>
  </si>
  <si>
    <t>07180906_1836</t>
  </si>
  <si>
    <t>07180906_1846</t>
  </si>
  <si>
    <t>07180906_1856</t>
  </si>
  <si>
    <t>07180906_1906</t>
  </si>
  <si>
    <t>07180906_1916</t>
  </si>
  <si>
    <t>07180906_1926</t>
  </si>
  <si>
    <t>07180906_1936</t>
  </si>
  <si>
    <t>07180906_2030</t>
  </si>
  <si>
    <t>07180906_2040</t>
  </si>
  <si>
    <t>07180906_2050</t>
  </si>
  <si>
    <t>07180906_2100</t>
  </si>
  <si>
    <t>07180906_2110</t>
  </si>
  <si>
    <t>07180906_2120</t>
  </si>
  <si>
    <t>07180906_2130</t>
  </si>
  <si>
    <t>07180906_2140</t>
  </si>
  <si>
    <t>07180906_2150</t>
  </si>
  <si>
    <t>07180906_2200</t>
  </si>
  <si>
    <t>07180906_2211</t>
  </si>
  <si>
    <t>07180906_2221</t>
  </si>
  <si>
    <t>07180906_2314</t>
  </si>
  <si>
    <t>mf ?</t>
  </si>
  <si>
    <t>07180906_2324</t>
  </si>
  <si>
    <t>07180906_2334</t>
  </si>
  <si>
    <t>07180906_2345</t>
  </si>
  <si>
    <t>07180906_2355</t>
  </si>
  <si>
    <t>07180907_0005</t>
  </si>
  <si>
    <t>07180907_0015</t>
  </si>
  <si>
    <t>07180907_0025</t>
  </si>
  <si>
    <t>07180907_0035</t>
  </si>
  <si>
    <t>07180907_0045</t>
  </si>
  <si>
    <t>07180907_0055</t>
  </si>
  <si>
    <t>07180907_0106</t>
  </si>
  <si>
    <t>07180907_0159</t>
  </si>
  <si>
    <t>07180907_0209</t>
  </si>
  <si>
    <t>07180907_0219</t>
  </si>
  <si>
    <t>07180907_0229</t>
  </si>
  <si>
    <t>07180907_0239</t>
  </si>
  <si>
    <t>07180907_0249</t>
  </si>
  <si>
    <t>07180907_0300</t>
  </si>
  <si>
    <t>07180907_0310</t>
  </si>
  <si>
    <t>07180907_0320</t>
  </si>
  <si>
    <t>07180907_0330</t>
  </si>
  <si>
    <t>07180907_0340</t>
  </si>
  <si>
    <t>07180907_0350</t>
  </si>
  <si>
    <t>07180907_0444</t>
  </si>
  <si>
    <t>07180907_0454</t>
  </si>
  <si>
    <t>07180907_0504</t>
  </si>
  <si>
    <t>07180907_0514</t>
  </si>
  <si>
    <t>07180907_0524</t>
  </si>
  <si>
    <t>07180907_0534</t>
  </si>
  <si>
    <t>07180907_0544</t>
  </si>
  <si>
    <t>07180907_0554</t>
  </si>
  <si>
    <t>07180907_0604</t>
  </si>
  <si>
    <t>07180907_0615</t>
  </si>
  <si>
    <t>07180907_0625</t>
  </si>
  <si>
    <t>07180907_0635</t>
  </si>
  <si>
    <t>07180907_0729</t>
  </si>
  <si>
    <t>07180907_0739</t>
  </si>
  <si>
    <t>07180907_0749</t>
  </si>
  <si>
    <t>07180907_0759</t>
  </si>
  <si>
    <t>07180907_0809</t>
  </si>
  <si>
    <t>07180907_0819</t>
  </si>
  <si>
    <t>07180907_0829</t>
  </si>
  <si>
    <t>07180907_0840</t>
  </si>
  <si>
    <t>07180907_0850</t>
  </si>
  <si>
    <t>07180907_0900</t>
  </si>
  <si>
    <t>rail</t>
  </si>
  <si>
    <t>DCRC3pD rail</t>
  </si>
  <si>
    <t>07180907_0910</t>
  </si>
  <si>
    <t>07180907_0920</t>
  </si>
  <si>
    <t>07180907_1102</t>
  </si>
  <si>
    <t>07180907_1104</t>
  </si>
  <si>
    <t>07180907_1110</t>
  </si>
  <si>
    <t>07180907_1120</t>
  </si>
  <si>
    <t>07180907_1130</t>
  </si>
  <si>
    <t>07180907_1140</t>
  </si>
  <si>
    <t>07180907_1150</t>
  </si>
  <si>
    <t>07180907_1200</t>
  </si>
  <si>
    <t>07180907_1210</t>
  </si>
  <si>
    <t>07180907_1220</t>
  </si>
  <si>
    <t>07180907_1230</t>
  </si>
  <si>
    <t>07180907_1241</t>
  </si>
  <si>
    <t>07180907_1251</t>
  </si>
  <si>
    <t>07180907_1301</t>
  </si>
  <si>
    <t>07180907_1452</t>
  </si>
  <si>
    <t>07180907_1502</t>
  </si>
  <si>
    <t>07180907_1512</t>
  </si>
  <si>
    <t>07180907_1522</t>
  </si>
  <si>
    <t>07180907_1532</t>
  </si>
  <si>
    <t>07180907_1543</t>
  </si>
  <si>
    <t>07180907_1553</t>
  </si>
  <si>
    <t>07180907_1603</t>
  </si>
  <si>
    <t>07180907_1613</t>
  </si>
  <si>
    <t>07180907_1623</t>
  </si>
  <si>
    <t>07180907_1633</t>
  </si>
  <si>
    <t>07180907_1643</t>
  </si>
  <si>
    <t>07180907_2022</t>
  </si>
  <si>
    <t>07180907_2032</t>
  </si>
  <si>
    <t>07180907_2042</t>
  </si>
  <si>
    <t>07180907_2052</t>
  </si>
  <si>
    <t>07180907_2103</t>
  </si>
  <si>
    <t>07180907_2113</t>
  </si>
  <si>
    <t>07180907_2123</t>
  </si>
  <si>
    <t>07180907_2133</t>
  </si>
  <si>
    <t>07180907_2143</t>
  </si>
  <si>
    <t>07180907_2153</t>
  </si>
  <si>
    <t>07180907_2203</t>
  </si>
  <si>
    <t>07180907_2213</t>
  </si>
  <si>
    <t>07180907_2306</t>
  </si>
  <si>
    <t>07180907_2316</t>
  </si>
  <si>
    <t>07180907_2326</t>
  </si>
  <si>
    <t>07180907_2336</t>
  </si>
  <si>
    <t>07180907_2346</t>
  </si>
  <si>
    <t>07180907_2356</t>
  </si>
  <si>
    <t>07180908_0006</t>
  </si>
  <si>
    <t>07180908_0016</t>
  </si>
  <si>
    <t>07180908_0026</t>
  </si>
  <si>
    <t>07180908_0037</t>
  </si>
  <si>
    <t>07180908_0047</t>
  </si>
  <si>
    <t>07180908_0057</t>
  </si>
  <si>
    <t>07180908_0149</t>
  </si>
  <si>
    <t>07180908_0159</t>
  </si>
  <si>
    <t>07180908_0209</t>
  </si>
  <si>
    <t>07180908_0219</t>
  </si>
  <si>
    <t>07180908_0229</t>
  </si>
  <si>
    <t>07180908_0239</t>
  </si>
  <si>
    <t>07180908_0250</t>
  </si>
  <si>
    <t>07180908_0300</t>
  </si>
  <si>
    <t>07180908_0310</t>
  </si>
  <si>
    <t>07180908_0320</t>
  </si>
  <si>
    <t>07180908_0330</t>
  </si>
  <si>
    <t>07180908_0340</t>
  </si>
  <si>
    <t>07180908_0432</t>
  </si>
  <si>
    <t>07180908_0442</t>
  </si>
  <si>
    <t>07180908_0453</t>
  </si>
  <si>
    <t>07180908_0503</t>
  </si>
  <si>
    <t>07180908_0513</t>
  </si>
  <si>
    <t>07180908_0523</t>
  </si>
  <si>
    <t>07180908_0533</t>
  </si>
  <si>
    <t>07180908_0543</t>
  </si>
  <si>
    <t>07180908_0553</t>
  </si>
  <si>
    <t>07180908_0604</t>
  </si>
  <si>
    <t>07180908_0614</t>
  </si>
  <si>
    <t>07180908_0624</t>
  </si>
  <si>
    <t>07180908_0716</t>
  </si>
  <si>
    <t>07180908_0726</t>
  </si>
  <si>
    <t>07180908_0736</t>
  </si>
  <si>
    <t>07180908_0746</t>
  </si>
  <si>
    <t>07180908_0756</t>
  </si>
  <si>
    <t>07180908_0806</t>
  </si>
  <si>
    <t>07180908_0817</t>
  </si>
  <si>
    <t>07180908_0827</t>
  </si>
  <si>
    <t>07180908_0837</t>
  </si>
  <si>
    <t>07180908_0847</t>
  </si>
  <si>
    <t>07180908_0857</t>
  </si>
  <si>
    <t>07180908_0907</t>
  </si>
  <si>
    <t>07180908_0959</t>
  </si>
  <si>
    <t>07180908_1009</t>
  </si>
  <si>
    <t>07180908_1019</t>
  </si>
  <si>
    <t>07180908_1030</t>
  </si>
  <si>
    <t>07180908_1040</t>
  </si>
  <si>
    <t>07180908_1050</t>
  </si>
  <si>
    <t>07180908_1100</t>
  </si>
  <si>
    <t>07180908_1110</t>
  </si>
  <si>
    <t>07180908_1120</t>
  </si>
  <si>
    <t>07180908_1130</t>
  </si>
  <si>
    <t>07180908_1140</t>
  </si>
  <si>
    <t>07180908_1150</t>
  </si>
  <si>
    <t>07180908_1326</t>
  </si>
  <si>
    <t>07180908_1336</t>
  </si>
  <si>
    <t>07180908_1347</t>
  </si>
  <si>
    <t>07180908_1357</t>
  </si>
  <si>
    <t>07180908_1407</t>
  </si>
  <si>
    <t>07180908_1417</t>
  </si>
  <si>
    <t>07180908_1427</t>
  </si>
  <si>
    <t>07180908_1437</t>
  </si>
  <si>
    <t>07180908_1447</t>
  </si>
  <si>
    <t>07180908_1457</t>
  </si>
  <si>
    <t>07180908_1508</t>
  </si>
  <si>
    <t>07180908_1518</t>
  </si>
  <si>
    <t>07180908_1611</t>
  </si>
  <si>
    <t>07180908_1621</t>
  </si>
  <si>
    <t>07180908_1631</t>
  </si>
  <si>
    <t>07180908_1641</t>
  </si>
  <si>
    <t>07180908_1651</t>
  </si>
  <si>
    <t>07180908_1701</t>
  </si>
  <si>
    <t>07180908_1711</t>
  </si>
  <si>
    <t>07180908_1722</t>
  </si>
  <si>
    <t>07180908_1732</t>
  </si>
  <si>
    <t>high baseline</t>
  </si>
  <si>
    <t>07180908_1742</t>
  </si>
  <si>
    <t>07180908_1752</t>
  </si>
  <si>
    <t>07180908_1802</t>
  </si>
  <si>
    <t>DCRC3pC high</t>
  </si>
  <si>
    <t>07180908_1855</t>
  </si>
  <si>
    <t>07180908_1905</t>
  </si>
  <si>
    <t>07180908_1916</t>
  </si>
  <si>
    <t>07180908_1926</t>
  </si>
  <si>
    <t>07180908_1936</t>
  </si>
  <si>
    <t>07180908_1946</t>
  </si>
  <si>
    <t>07180908_1956</t>
  </si>
  <si>
    <t>07180908_2006</t>
  </si>
  <si>
    <t>07180908_2016</t>
  </si>
  <si>
    <t>07180908_2026</t>
  </si>
  <si>
    <t>07180908_2037</t>
  </si>
  <si>
    <t>07180908_2047</t>
  </si>
  <si>
    <t>07180908_2139</t>
  </si>
  <si>
    <t>07180908_2150</t>
  </si>
  <si>
    <t>07180908_2200</t>
  </si>
  <si>
    <t>07180908_2210</t>
  </si>
  <si>
    <t>07180908_2220</t>
  </si>
  <si>
    <t>07180908_2230</t>
  </si>
  <si>
    <t>07180908_2240</t>
  </si>
  <si>
    <t>07180908_2250</t>
  </si>
  <si>
    <t>07180908_2300</t>
  </si>
  <si>
    <t>07180908_2311</t>
  </si>
  <si>
    <t>07180908_2321</t>
  </si>
  <si>
    <t>07180908_2331</t>
  </si>
  <si>
    <t>07180909_0024</t>
  </si>
  <si>
    <t>07180909_0034</t>
  </si>
  <si>
    <t>07180909_0044</t>
  </si>
  <si>
    <t>07180909_0054</t>
  </si>
  <si>
    <t>07180909_0104</t>
  </si>
  <si>
    <t>07180909_0114</t>
  </si>
  <si>
    <t>07180909_0125</t>
  </si>
  <si>
    <t>07180909_0135</t>
  </si>
  <si>
    <t>07180909_0145</t>
  </si>
  <si>
    <t>07180909_0155</t>
  </si>
  <si>
    <t>07180909_0205</t>
  </si>
  <si>
    <t>07180909_0215</t>
  </si>
  <si>
    <t>07180909_0308</t>
  </si>
  <si>
    <t>07180909_0318</t>
  </si>
  <si>
    <t>07180909_0328</t>
  </si>
  <si>
    <t>07180909_0339</t>
  </si>
  <si>
    <t>07180909_0349</t>
  </si>
  <si>
    <t>07180909_0359</t>
  </si>
  <si>
    <t>07180909_0409</t>
  </si>
  <si>
    <t>07180909_0419</t>
  </si>
  <si>
    <t>07180909_0429</t>
  </si>
  <si>
    <t>07180909_0439</t>
  </si>
  <si>
    <t>07180909_0450</t>
  </si>
  <si>
    <t>07180909_0500</t>
  </si>
  <si>
    <t>07180909_0553</t>
  </si>
  <si>
    <t>07180909_0603</t>
  </si>
  <si>
    <t>07180909_0613</t>
  </si>
  <si>
    <t>07180909_0623</t>
  </si>
  <si>
    <t>07180909_0633</t>
  </si>
  <si>
    <t>07180909_0643</t>
  </si>
  <si>
    <t>07180909_0653</t>
  </si>
  <si>
    <t>07180909_0703</t>
  </si>
  <si>
    <t>07180909_0714</t>
  </si>
  <si>
    <t>07180909_0724</t>
  </si>
  <si>
    <t>07180909_0734</t>
  </si>
  <si>
    <t>07180909_0744</t>
  </si>
  <si>
    <t>07180909_0837</t>
  </si>
  <si>
    <t>07180909_0847</t>
  </si>
  <si>
    <t>07180909_0857</t>
  </si>
  <si>
    <t>07180909_0907</t>
  </si>
  <si>
    <t>07180909_0917</t>
  </si>
  <si>
    <t>07180909_0928</t>
  </si>
  <si>
    <t>07180909_0938</t>
  </si>
  <si>
    <t>07180909_0948</t>
  </si>
  <si>
    <t>07180909_0958</t>
  </si>
  <si>
    <t>07180909_1008</t>
  </si>
  <si>
    <t>07180909_1018</t>
  </si>
  <si>
    <t>07180909_1028</t>
  </si>
  <si>
    <t>07180909_1122</t>
  </si>
  <si>
    <t>07180909_1132</t>
  </si>
  <si>
    <t>07180909_1142</t>
  </si>
  <si>
    <t>07180909_1152</t>
  </si>
  <si>
    <t>07180909_1202</t>
  </si>
  <si>
    <t>07180909_1212</t>
  </si>
  <si>
    <t>07180909_1222</t>
  </si>
  <si>
    <t>07180909_1232</t>
  </si>
  <si>
    <t>07180909_1243</t>
  </si>
  <si>
    <t>07180909_1253</t>
  </si>
  <si>
    <t>07180909_1303</t>
  </si>
  <si>
    <t>07180909_1313</t>
  </si>
  <si>
    <t>07180909_1407</t>
  </si>
  <si>
    <t>07180909_1417</t>
  </si>
  <si>
    <t>07180909_1427</t>
  </si>
  <si>
    <t>07180909_1437</t>
  </si>
  <si>
    <t>07180909_1447</t>
  </si>
  <si>
    <t>07180909_1458</t>
  </si>
  <si>
    <t>07180909_1508</t>
  </si>
  <si>
    <t>07180909_1518</t>
  </si>
  <si>
    <t>07180909_1528</t>
  </si>
  <si>
    <t>07180909_1538</t>
  </si>
  <si>
    <t>07180909_1548</t>
  </si>
  <si>
    <t>07180909_1558</t>
  </si>
  <si>
    <t>07180909_1737</t>
  </si>
  <si>
    <t>07180909_1747</t>
  </si>
  <si>
    <t>07180909_1757</t>
  </si>
  <si>
    <t>07180909_1807</t>
  </si>
  <si>
    <t>07180909_1817</t>
  </si>
  <si>
    <t>07180909_1827</t>
  </si>
  <si>
    <t>07180909_1837</t>
  </si>
  <si>
    <t>07180909_1847</t>
  </si>
  <si>
    <t>07180909_1858</t>
  </si>
  <si>
    <t>07180909_1908</t>
  </si>
  <si>
    <t>07180909_1918</t>
  </si>
  <si>
    <t>07180909_1928</t>
  </si>
  <si>
    <t>DCRC3pC low</t>
  </si>
  <si>
    <t>07180909_2021</t>
  </si>
  <si>
    <t>07180909_2031</t>
  </si>
  <si>
    <t>07180909_2041</t>
  </si>
  <si>
    <t>07180909_2052</t>
  </si>
  <si>
    <t>07180909_2102</t>
  </si>
  <si>
    <t>07180909_2112</t>
  </si>
  <si>
    <t>07180909_2122</t>
  </si>
  <si>
    <t>07180909_2132</t>
  </si>
  <si>
    <t>07180909_2142</t>
  </si>
  <si>
    <t>07180909_2152</t>
  </si>
  <si>
    <t>07180909_2202</t>
  </si>
  <si>
    <t>07180909_2213</t>
  </si>
  <si>
    <t>07180909_2306</t>
  </si>
  <si>
    <t>07180909_2316</t>
  </si>
  <si>
    <t>07180909_2326</t>
  </si>
  <si>
    <t>07180909_2336</t>
  </si>
  <si>
    <t>07180909_2346</t>
  </si>
  <si>
    <t>07180909_2356</t>
  </si>
  <si>
    <t>07180910_0006</t>
  </si>
  <si>
    <t>07180910_0016</t>
  </si>
  <si>
    <t>07180910_0026</t>
  </si>
  <si>
    <t>07180910_0037</t>
  </si>
  <si>
    <t>07180910_0047</t>
  </si>
  <si>
    <t>07180910_0057</t>
  </si>
  <si>
    <t>07180910_0150</t>
  </si>
  <si>
    <t>07180910_0200</t>
  </si>
  <si>
    <t>07180910_0210</t>
  </si>
  <si>
    <t>07180910_0220</t>
  </si>
  <si>
    <t>07180910_0230</t>
  </si>
  <si>
    <t>07180910_0241</t>
  </si>
  <si>
    <t>07180910_0251</t>
  </si>
  <si>
    <t>07180910_0301</t>
  </si>
  <si>
    <t>07180910_0311</t>
  </si>
  <si>
    <t>07180910_0321</t>
  </si>
  <si>
    <t>07180910_0331</t>
  </si>
  <si>
    <t>07180910_0341</t>
  </si>
  <si>
    <t>07180910_0434</t>
  </si>
  <si>
    <t>07180910_0444</t>
  </si>
  <si>
    <t>07180910_0455</t>
  </si>
  <si>
    <t>07180910_0505</t>
  </si>
  <si>
    <t>07180910_0515</t>
  </si>
  <si>
    <t>07180910_0525</t>
  </si>
  <si>
    <t>07180910_0535</t>
  </si>
  <si>
    <t>07180910_0545</t>
  </si>
  <si>
    <t>07180910_0555</t>
  </si>
  <si>
    <t>07180910_0606</t>
  </si>
  <si>
    <t>07180910_0616</t>
  </si>
  <si>
    <t>07180910_0626</t>
  </si>
  <si>
    <t>07180910_0719</t>
  </si>
  <si>
    <t>07180910_0729</t>
  </si>
  <si>
    <t>07180910_0739</t>
  </si>
  <si>
    <t>07180910_0749</t>
  </si>
  <si>
    <t>07180910_0759</t>
  </si>
  <si>
    <t>07180910_0809</t>
  </si>
  <si>
    <t>07180910_0819</t>
  </si>
  <si>
    <t>07180910_0830</t>
  </si>
  <si>
    <t>07180910_0840</t>
  </si>
  <si>
    <t>07180910_0850</t>
  </si>
  <si>
    <t>07180910_0900</t>
  </si>
  <si>
    <t>07180910_0910</t>
  </si>
  <si>
    <t>07180910_1003</t>
  </si>
  <si>
    <t>07180910_1013</t>
  </si>
  <si>
    <t>07180910_1023</t>
  </si>
  <si>
    <t>07180910_1033</t>
  </si>
  <si>
    <t>07180910_1044</t>
  </si>
  <si>
    <t>07180910_1054</t>
  </si>
  <si>
    <t>07180910_1104</t>
  </si>
  <si>
    <t>07180910_1114</t>
  </si>
  <si>
    <t>07180910_1124</t>
  </si>
  <si>
    <t>07180910_1134</t>
  </si>
  <si>
    <t>07180910_1144</t>
  </si>
  <si>
    <t>07180910_1154</t>
  </si>
  <si>
    <t>07180910_2500</t>
  </si>
  <si>
    <t>07180910_1626</t>
  </si>
  <si>
    <t>07180910_1636</t>
  </si>
  <si>
    <t>07180910_1646</t>
  </si>
  <si>
    <t>07180910_1656</t>
  </si>
  <si>
    <t>07180910_1706</t>
  </si>
  <si>
    <t>07180910_1716</t>
  </si>
  <si>
    <t>07180910_1726</t>
  </si>
  <si>
    <t>07180910_1737</t>
  </si>
  <si>
    <t>07180910_1747</t>
  </si>
  <si>
    <t>07180910_1757</t>
  </si>
  <si>
    <t>07180910_1807</t>
  </si>
  <si>
    <t>48 dumps</t>
  </si>
  <si>
    <t>DAQ got stuck</t>
  </si>
  <si>
    <t>07180910_1950</t>
  </si>
  <si>
    <t>07180910_2000</t>
  </si>
  <si>
    <t>07180910_2010</t>
  </si>
  <si>
    <t>= 7/10/9</t>
  </si>
  <si>
    <t>07180910_2020</t>
  </si>
  <si>
    <t>07180910_2030</t>
  </si>
  <si>
    <t>07180910_2040</t>
  </si>
  <si>
    <t>07180910_2050</t>
  </si>
  <si>
    <t>07180910_2100</t>
  </si>
  <si>
    <t>07180910_2110</t>
  </si>
  <si>
    <t>07180910_2120</t>
  </si>
  <si>
    <t>07180910_2130</t>
  </si>
  <si>
    <t>07180910_2141</t>
  </si>
  <si>
    <t>07180910_2232</t>
  </si>
  <si>
    <t>07180910_2243</t>
  </si>
  <si>
    <t>07180910_2253</t>
  </si>
  <si>
    <t>07180910_2303</t>
  </si>
  <si>
    <t>07180910_2313</t>
  </si>
  <si>
    <t>07180910_2323</t>
  </si>
  <si>
    <t>07180910_2333</t>
  </si>
  <si>
    <t>07180910_2343</t>
  </si>
  <si>
    <t>07180910_2353</t>
  </si>
  <si>
    <t>07180911_0003</t>
  </si>
  <si>
    <t>07180911_0013</t>
  </si>
  <si>
    <t>07180911_0023</t>
  </si>
  <si>
    <t>07180911_0115</t>
  </si>
  <si>
    <t>07180911_0125</t>
  </si>
  <si>
    <t>07180911_0135</t>
  </si>
  <si>
    <t>07180911_0146</t>
  </si>
  <si>
    <t>07180911_0156</t>
  </si>
  <si>
    <t>07180911_0206</t>
  </si>
  <si>
    <t>07180911_0216</t>
  </si>
  <si>
    <t>07180911_0226</t>
  </si>
  <si>
    <t>07180911_0236</t>
  </si>
  <si>
    <t>07180911_0246</t>
  </si>
  <si>
    <t>07180911_0256</t>
  </si>
  <si>
    <t>07180911_0306</t>
  </si>
  <si>
    <t>07180911_0850</t>
  </si>
  <si>
    <t>07180911_0900</t>
  </si>
  <si>
    <t>07180911_0910</t>
  </si>
  <si>
    <t>07180911_0920</t>
  </si>
  <si>
    <t>07180911_0930</t>
  </si>
  <si>
    <t>07180911_0941</t>
  </si>
  <si>
    <t>07180911_0951</t>
  </si>
  <si>
    <t>07180911_1001</t>
  </si>
  <si>
    <t>07180911_1011</t>
  </si>
  <si>
    <t>07180911_1021</t>
  </si>
  <si>
    <t>07180911_1031</t>
  </si>
  <si>
    <t>07180911_1041</t>
  </si>
  <si>
    <t>07180911_1148</t>
  </si>
  <si>
    <t>07180911_1614</t>
  </si>
  <si>
    <t>07180911_1624</t>
  </si>
  <si>
    <t>07180911_1634</t>
  </si>
  <si>
    <t>07180911_1644</t>
  </si>
  <si>
    <t>07180911_1654</t>
  </si>
  <si>
    <t>07180911_1704</t>
  </si>
  <si>
    <t>07180911_1714</t>
  </si>
  <si>
    <t>07180911_1725</t>
  </si>
  <si>
    <t>07180911_1735</t>
  </si>
  <si>
    <t>07180911_1745</t>
  </si>
  <si>
    <t>07180911_1755</t>
  </si>
  <si>
    <t>07180911_1805</t>
  </si>
  <si>
    <t>07180911_1859</t>
  </si>
  <si>
    <t>07180911_1909</t>
  </si>
  <si>
    <t>07180911_1919</t>
  </si>
  <si>
    <t>07180911_1929</t>
  </si>
  <si>
    <t>07180911_1939</t>
  </si>
  <si>
    <t>07180911_1950</t>
  </si>
  <si>
    <t>07180911_2000</t>
  </si>
  <si>
    <t>07180911_2010</t>
  </si>
  <si>
    <t>07180911_2020</t>
  </si>
  <si>
    <t>07180911_2030</t>
  </si>
  <si>
    <t>07180911_2040</t>
  </si>
  <si>
    <t>07180911_2050</t>
  </si>
  <si>
    <t>07180911_2144</t>
  </si>
  <si>
    <t>07180911_2154</t>
  </si>
  <si>
    <t>07180911_2204</t>
  </si>
  <si>
    <t>07180911_2214</t>
  </si>
  <si>
    <t>07180911_2225</t>
  </si>
  <si>
    <t>07180911_2235</t>
  </si>
  <si>
    <t>07180911_2245</t>
  </si>
  <si>
    <t>07180911_2255</t>
  </si>
  <si>
    <t>07180911_2305</t>
  </si>
  <si>
    <t>07180911_2315</t>
  </si>
  <si>
    <t>07180911_2325</t>
  </si>
  <si>
    <t>07180911_2335</t>
  </si>
  <si>
    <t>07180912_0029</t>
  </si>
  <si>
    <t>07180912_0039</t>
  </si>
  <si>
    <t>07180912_0050</t>
  </si>
  <si>
    <t>07180912_0100</t>
  </si>
  <si>
    <t>07180912_0110</t>
  </si>
  <si>
    <t>07180912_0120</t>
  </si>
  <si>
    <t>07180912_0130</t>
  </si>
  <si>
    <t>07180912_0140</t>
  </si>
  <si>
    <t>07180912_0150</t>
  </si>
  <si>
    <t>07180912_0201</t>
  </si>
  <si>
    <t>07180912_0211</t>
  </si>
  <si>
    <t>07180912_0221</t>
  </si>
  <si>
    <t>07180912_0315</t>
  </si>
  <si>
    <t>07180912_0325</t>
  </si>
  <si>
    <t>07180912_0335</t>
  </si>
  <si>
    <t>07180912_0345</t>
  </si>
  <si>
    <t>07180912_0355</t>
  </si>
  <si>
    <t>07180912_0405</t>
  </si>
  <si>
    <t>07180912_0416</t>
  </si>
  <si>
    <t>07180912_0426</t>
  </si>
  <si>
    <t>07180912_0436</t>
  </si>
  <si>
    <t>07180912_0446</t>
  </si>
  <si>
    <t>07180912_0456</t>
  </si>
  <si>
    <t>07180912_0506</t>
  </si>
  <si>
    <t>07180912_0600</t>
  </si>
  <si>
    <t>07180912_0610</t>
  </si>
  <si>
    <t>07180912_0620</t>
  </si>
  <si>
    <t>07180912_0630</t>
  </si>
  <si>
    <t>07180912_0641</t>
  </si>
  <si>
    <t>07180912_0651</t>
  </si>
  <si>
    <t>07180912_0701</t>
  </si>
  <si>
    <t>07180912_0711</t>
  </si>
  <si>
    <t>07180912_0721</t>
  </si>
  <si>
    <t>07180912_0731</t>
  </si>
  <si>
    <t>07180912_0741</t>
  </si>
  <si>
    <t>07180912_0751</t>
  </si>
  <si>
    <t>07180912_0845</t>
  </si>
  <si>
    <t>07180912_0855</t>
  </si>
  <si>
    <t>07180912_0906</t>
  </si>
  <si>
    <t>07180912_0916</t>
  </si>
  <si>
    <t>empty</t>
  </si>
  <si>
    <t>MIDAS crash</t>
  </si>
  <si>
    <t>07180912_1109</t>
  </si>
  <si>
    <t>07180912_1119</t>
  </si>
  <si>
    <t>07180912_1130</t>
  </si>
  <si>
    <t>07180912_1140</t>
  </si>
  <si>
    <t>07180912_1150</t>
  </si>
  <si>
    <t>07180912_1200</t>
  </si>
  <si>
    <t>07180912_1210</t>
  </si>
  <si>
    <t>07180912_1220</t>
  </si>
  <si>
    <t>07180912_1230</t>
  </si>
  <si>
    <t>07180912_1240</t>
  </si>
  <si>
    <t>07180912_1251</t>
  </si>
  <si>
    <t>07180912_1301</t>
  </si>
  <si>
    <t>DCRC1pB low</t>
  </si>
  <si>
    <t>07180912_1318</t>
  </si>
  <si>
    <t>07180912_1354</t>
  </si>
  <si>
    <t>07180912_1404</t>
  </si>
  <si>
    <t>07180912_1414</t>
  </si>
  <si>
    <t>07180912_1425</t>
  </si>
  <si>
    <t>07180912_1435</t>
  </si>
  <si>
    <t>07180912_1445</t>
  </si>
  <si>
    <t>07180912_1455</t>
  </si>
  <si>
    <t>07180912_1505</t>
  </si>
  <si>
    <t>07180912_1515</t>
  </si>
  <si>
    <t>07180912_1525</t>
  </si>
  <si>
    <t>07180912_1535</t>
  </si>
  <si>
    <t>07180912_1546</t>
  </si>
  <si>
    <t>07180912_1804</t>
  </si>
  <si>
    <t>07180912_1814</t>
  </si>
  <si>
    <t>07180912_1824</t>
  </si>
  <si>
    <t>07180912_1834</t>
  </si>
  <si>
    <t>07180912_1844</t>
  </si>
  <si>
    <t>07180912_1854</t>
  </si>
  <si>
    <t>07180912_1904</t>
  </si>
  <si>
    <t>07180912_1915</t>
  </si>
  <si>
    <t>07180912_1925</t>
  </si>
  <si>
    <t>07180912_1935</t>
  </si>
  <si>
    <t>07180912_1945</t>
  </si>
  <si>
    <t>07180912_1955</t>
  </si>
  <si>
    <t>07180912_2049</t>
  </si>
  <si>
    <t>07180912_2059</t>
  </si>
  <si>
    <t>07180912_2109</t>
  </si>
  <si>
    <t>07180912_2119</t>
  </si>
  <si>
    <t>07180912_2130</t>
  </si>
  <si>
    <t>07180912_2140</t>
  </si>
  <si>
    <t>07180912_2150</t>
  </si>
  <si>
    <t>07180912_2200</t>
  </si>
  <si>
    <t>07180912_2210</t>
  </si>
  <si>
    <t>07180912_2220</t>
  </si>
  <si>
    <t>07180912_2230</t>
  </si>
  <si>
    <t>07180912_2240</t>
  </si>
  <si>
    <t>07180912_2334</t>
  </si>
  <si>
    <t>07180912_2344</t>
  </si>
  <si>
    <t>07180912_2354</t>
  </si>
  <si>
    <t>07180913_0005</t>
  </si>
  <si>
    <t>07180913_0015</t>
  </si>
  <si>
    <t>07180913_0025</t>
  </si>
  <si>
    <t>07180913_0035</t>
  </si>
  <si>
    <t>07180913_0045</t>
  </si>
  <si>
    <t>07180913_0055</t>
  </si>
  <si>
    <t>07180913_0105</t>
  </si>
  <si>
    <t>07180913_0116</t>
  </si>
  <si>
    <t>07180913_0126</t>
  </si>
  <si>
    <t>07180913_0220</t>
  </si>
  <si>
    <t>07180913_0230</t>
  </si>
  <si>
    <t>07180913_0240</t>
  </si>
  <si>
    <t>07180913_0250</t>
  </si>
  <si>
    <t>07180913_0300</t>
  </si>
  <si>
    <t>07180913_0310</t>
  </si>
  <si>
    <t>07180913_0321</t>
  </si>
  <si>
    <t>07180913_0331</t>
  </si>
  <si>
    <t>07180913_0341</t>
  </si>
  <si>
    <t>07180913_0351</t>
  </si>
  <si>
    <t>07180913_0401</t>
  </si>
  <si>
    <t>07180913_0411</t>
  </si>
  <si>
    <t>07180913_0505</t>
  </si>
  <si>
    <t>07180913_0516</t>
  </si>
  <si>
    <t>07180913_0526</t>
  </si>
  <si>
    <t>07180913_0536</t>
  </si>
  <si>
    <t>07180913_0546</t>
  </si>
  <si>
    <t>07180913_0556</t>
  </si>
  <si>
    <t>07180913_0606</t>
  </si>
  <si>
    <t>07180913_0616</t>
  </si>
  <si>
    <t>07180913_0626</t>
  </si>
  <si>
    <t>07180913_0637</t>
  </si>
  <si>
    <t>07180913_0647</t>
  </si>
  <si>
    <t>07180913_0657</t>
  </si>
  <si>
    <t>07180913_0751</t>
  </si>
  <si>
    <t>07180913_0801</t>
  </si>
  <si>
    <t>07180913_0811</t>
  </si>
  <si>
    <t>07180913_0821</t>
  </si>
  <si>
    <t>07180913_0831</t>
  </si>
  <si>
    <t>07180913_0842</t>
  </si>
  <si>
    <t>07180913_0852</t>
  </si>
  <si>
    <t>07180913_0902</t>
  </si>
  <si>
    <t>07180913_0912</t>
  </si>
  <si>
    <t>07180913_0922</t>
  </si>
  <si>
    <t>07180913_0932</t>
  </si>
  <si>
    <t>07180913_0942</t>
  </si>
  <si>
    <t>07180913_1036</t>
  </si>
  <si>
    <t>07180913_1047</t>
  </si>
  <si>
    <t>07180913_1057</t>
  </si>
  <si>
    <t>07180913_1107</t>
  </si>
  <si>
    <t>07180913_1117</t>
  </si>
  <si>
    <t>07180913_1127</t>
  </si>
  <si>
    <t>DCRCp1 low</t>
  </si>
  <si>
    <t>07180913_1137</t>
  </si>
  <si>
    <t>07180913_1147</t>
  </si>
  <si>
    <t>07180913_1157</t>
  </si>
  <si>
    <t>07180913_1208</t>
  </si>
  <si>
    <t>07180913_1218</t>
  </si>
  <si>
    <t>07180913_1228</t>
  </si>
  <si>
    <t>07180913_1302</t>
  </si>
  <si>
    <t>PuBe,Na</t>
  </si>
  <si>
    <t>NaI calibration</t>
  </si>
  <si>
    <t>n80_NaI_cal_2</t>
  </si>
  <si>
    <t>07180913_1312</t>
  </si>
  <si>
    <t>NaI</t>
  </si>
  <si>
    <t>07180913_1322</t>
  </si>
  <si>
    <t>07180913_1332</t>
  </si>
  <si>
    <t>07180913_1342</t>
  </si>
  <si>
    <t>07180913_1352</t>
  </si>
  <si>
    <t>07180913_1402</t>
  </si>
  <si>
    <t>07180913_1412</t>
  </si>
  <si>
    <t>07180913_1423</t>
  </si>
  <si>
    <t>07180913_1433</t>
  </si>
  <si>
    <t>07180913_1443</t>
  </si>
  <si>
    <t>07180913_1453</t>
  </si>
  <si>
    <t>07180913_1637</t>
  </si>
  <si>
    <t>Na</t>
  </si>
  <si>
    <t>07180913_1647</t>
  </si>
  <si>
    <t>07180913_1657</t>
  </si>
  <si>
    <t>07180913_1708</t>
  </si>
  <si>
    <t>07180913_1718</t>
  </si>
  <si>
    <t>07180913_1728</t>
  </si>
  <si>
    <t>07180913_1738</t>
  </si>
  <si>
    <t>07180913_1748</t>
  </si>
  <si>
    <t>07180913_1758</t>
  </si>
  <si>
    <t>07180913_1808</t>
  </si>
  <si>
    <t>07180913_1819</t>
  </si>
  <si>
    <t>07180913_1829</t>
  </si>
  <si>
    <t>07180913_1923</t>
  </si>
  <si>
    <t>07180913_1933</t>
  </si>
  <si>
    <t>07180913_1943</t>
  </si>
  <si>
    <t>07180913_1953</t>
  </si>
  <si>
    <t>07180913_2003</t>
  </si>
  <si>
    <t>07180913_2013</t>
  </si>
  <si>
    <t>07180913_2024</t>
  </si>
  <si>
    <t>07180913_2034</t>
  </si>
  <si>
    <t>07180913_2044</t>
  </si>
  <si>
    <t>07180913_2054</t>
  </si>
  <si>
    <t>07180913_2104</t>
  </si>
  <si>
    <t>07180913_2114</t>
  </si>
  <si>
    <t>07180913_2208</t>
  </si>
  <si>
    <t>07180913_2218</t>
  </si>
  <si>
    <t>07180913_2228</t>
  </si>
  <si>
    <t>07180913_2238</t>
  </si>
  <si>
    <t>07180913_2248</t>
  </si>
  <si>
    <t>07180913_2258</t>
  </si>
  <si>
    <t>07180913_2309</t>
  </si>
  <si>
    <t>07180913_2319</t>
  </si>
  <si>
    <t>07180913_2329</t>
  </si>
  <si>
    <t>07180913_2339</t>
  </si>
  <si>
    <t>07180913_2349</t>
  </si>
  <si>
    <t>07180913_2359</t>
  </si>
  <si>
    <t>07180914_0053</t>
  </si>
  <si>
    <t>07180914_0103</t>
  </si>
  <si>
    <t>07180914_0113</t>
  </si>
  <si>
    <t>07180914_0124</t>
  </si>
  <si>
    <t>07180914_0134</t>
  </si>
  <si>
    <t>07180914_0144</t>
  </si>
  <si>
    <t>07180914_0154</t>
  </si>
  <si>
    <t>07180914_0204</t>
  </si>
  <si>
    <t>07180914_0214</t>
  </si>
  <si>
    <t>07180914_0224</t>
  </si>
  <si>
    <t>07180914_0234</t>
  </si>
  <si>
    <t>07180914_0245</t>
  </si>
  <si>
    <t>07180914_0339</t>
  </si>
  <si>
    <t>07180914_0349</t>
  </si>
  <si>
    <t>07180914_0359</t>
  </si>
  <si>
    <t>07180914_0409</t>
  </si>
  <si>
    <t>07180914_0419</t>
  </si>
  <si>
    <t>07180914_0430</t>
  </si>
  <si>
    <t>07180914_0440</t>
  </si>
  <si>
    <t>07180914_0450</t>
  </si>
  <si>
    <t>07180914_0500</t>
  </si>
  <si>
    <t>07180914_0510</t>
  </si>
  <si>
    <t>07180914_0520</t>
  </si>
  <si>
    <t>07180914_0530</t>
  </si>
  <si>
    <t>07180914_0625</t>
  </si>
  <si>
    <t>07180914_0635</t>
  </si>
  <si>
    <t>07180914_0645</t>
  </si>
  <si>
    <t>07180914_0655</t>
  </si>
  <si>
    <t>07180914_0706</t>
  </si>
  <si>
    <t>07180914_0716</t>
  </si>
  <si>
    <t>07180914_0726</t>
  </si>
  <si>
    <t>07180914_0736</t>
  </si>
  <si>
    <t>07180914_0746</t>
  </si>
  <si>
    <t>07180914_0756</t>
  </si>
  <si>
    <t>07180914_0806</t>
  </si>
  <si>
    <t>07180914_0816</t>
  </si>
  <si>
    <t>07180914_0911</t>
  </si>
  <si>
    <t>high HV leak</t>
  </si>
  <si>
    <t>07180914_0921</t>
  </si>
  <si>
    <t>07180914_0931</t>
  </si>
  <si>
    <t>07180914_0941</t>
  </si>
  <si>
    <t>07180914_0951</t>
  </si>
  <si>
    <t>07180914_1001</t>
  </si>
  <si>
    <t>07180914_1011</t>
  </si>
  <si>
    <t>07180914_1021</t>
  </si>
  <si>
    <t>07180914_1032</t>
  </si>
  <si>
    <t>07180914_1042</t>
  </si>
  <si>
    <t>07180914_1250</t>
  </si>
  <si>
    <t>zapped SQUIDs</t>
  </si>
  <si>
    <t>07180914_1305</t>
  </si>
  <si>
    <t>07180914_1322</t>
  </si>
  <si>
    <t>07180914_1337</t>
  </si>
  <si>
    <t>07180914_1548</t>
  </si>
  <si>
    <t>07180914_1558</t>
  </si>
  <si>
    <t>07180914_1608</t>
  </si>
  <si>
    <t>07180914_1618</t>
  </si>
  <si>
    <t>07180914_1853</t>
  </si>
  <si>
    <t>07180914_1903</t>
  </si>
  <si>
    <t>07180914_1913</t>
  </si>
  <si>
    <t>07180914_1923</t>
  </si>
  <si>
    <t>07180914_1934</t>
  </si>
  <si>
    <t>07180914_1944</t>
  </si>
  <si>
    <t>07180914_1954</t>
  </si>
  <si>
    <t>07180914_2004</t>
  </si>
  <si>
    <t>07180914_2014</t>
  </si>
  <si>
    <t>07180914_2024</t>
  </si>
  <si>
    <t>07180914_2035</t>
  </si>
  <si>
    <t>07180914_2045</t>
  </si>
  <si>
    <t>07180914_2139</t>
  </si>
  <si>
    <t>07180914_2149</t>
  </si>
  <si>
    <t>07180914_2159</t>
  </si>
  <si>
    <t>07180914_2209</t>
  </si>
  <si>
    <t>07180914_2219</t>
  </si>
  <si>
    <t>07180914_2229</t>
  </si>
  <si>
    <t>07180914_2239</t>
  </si>
  <si>
    <t>07180914_2250</t>
  </si>
  <si>
    <t>07180914_2300</t>
  </si>
  <si>
    <t>07180914_2310</t>
  </si>
  <si>
    <t>07180914_2320</t>
  </si>
  <si>
    <t>07180914_2330</t>
  </si>
  <si>
    <t>07180915_0024</t>
  </si>
  <si>
    <t>07180915_0034</t>
  </si>
  <si>
    <t>07180915_0045</t>
  </si>
  <si>
    <t>07180915_0055</t>
  </si>
  <si>
    <t>07180915_0105</t>
  </si>
  <si>
    <t>07180915_0115</t>
  </si>
  <si>
    <t>07180915_0125</t>
  </si>
  <si>
    <t>07180915_0135</t>
  </si>
  <si>
    <t>07180915_0145</t>
  </si>
  <si>
    <t>07180915_0155</t>
  </si>
  <si>
    <t>07180915_0205</t>
  </si>
  <si>
    <t>07180915_0216</t>
  </si>
  <si>
    <t>07180915_0310</t>
  </si>
  <si>
    <t>07180915_0320</t>
  </si>
  <si>
    <t>07180915_0330</t>
  </si>
  <si>
    <t>07180915_0340</t>
  </si>
  <si>
    <t>07180915_0350</t>
  </si>
  <si>
    <t>07180915_0400</t>
  </si>
  <si>
    <t>07180915_0411</t>
  </si>
  <si>
    <t>07180915_0421</t>
  </si>
  <si>
    <t>07180915_0431</t>
  </si>
  <si>
    <t>07180915_0441</t>
  </si>
  <si>
    <t>07180915_0451</t>
  </si>
  <si>
    <t>07180915_0501</t>
  </si>
  <si>
    <t>07180915_0555</t>
  </si>
  <si>
    <t>07180915_0605</t>
  </si>
  <si>
    <t>07180915_0615</t>
  </si>
  <si>
    <t>07180915_0625</t>
  </si>
  <si>
    <t>07180915_0636</t>
  </si>
  <si>
    <t>07180915_0646</t>
  </si>
  <si>
    <t>07180915_0656</t>
  </si>
  <si>
    <t>07180915_0706</t>
  </si>
  <si>
    <t>07180915_0716</t>
  </si>
  <si>
    <t>07180915_0726</t>
  </si>
  <si>
    <t>07180915_0736</t>
  </si>
  <si>
    <t>07180915_0746</t>
  </si>
  <si>
    <t>07180915_0840</t>
  </si>
  <si>
    <t>07180915_0850</t>
  </si>
  <si>
    <t>07180915_0901</t>
  </si>
  <si>
    <t>07180915_0911</t>
  </si>
  <si>
    <t>07180915_0921</t>
  </si>
  <si>
    <t>07180915_0931</t>
  </si>
  <si>
    <t>07180915_0941</t>
  </si>
  <si>
    <t>07180915_0951</t>
  </si>
  <si>
    <t>07180915_1001</t>
  </si>
  <si>
    <t>07180915_1011</t>
  </si>
  <si>
    <t>07180915_1021</t>
  </si>
  <si>
    <t>07180915_1032</t>
  </si>
  <si>
    <t>07180915_1125</t>
  </si>
  <si>
    <t>07180915_1135</t>
  </si>
  <si>
    <t>07180915_1145</t>
  </si>
  <si>
    <t>07180915_1156</t>
  </si>
  <si>
    <t>07180915_1206</t>
  </si>
  <si>
    <t>07180915_1216</t>
  </si>
  <si>
    <t>07180915_1226</t>
  </si>
  <si>
    <t>07180915_1236</t>
  </si>
  <si>
    <t>07180915_1246</t>
  </si>
  <si>
    <t>07180915_1256</t>
  </si>
  <si>
    <t>07180915_1307</t>
  </si>
  <si>
    <t>07180915_1317</t>
  </si>
  <si>
    <t>07180915_1411</t>
  </si>
  <si>
    <t>07180915_1421</t>
  </si>
  <si>
    <t>07180915_1431</t>
  </si>
  <si>
    <t>07180915_1441</t>
  </si>
  <si>
    <t>07180915_1451</t>
  </si>
  <si>
    <t>07180915_1501</t>
  </si>
  <si>
    <t>07180915_1511</t>
  </si>
  <si>
    <t>07180915_1522</t>
  </si>
  <si>
    <t>07180915_1532</t>
  </si>
  <si>
    <t>07180915_1542</t>
  </si>
  <si>
    <t>07180915_1552</t>
  </si>
  <si>
    <t>07180915_1602</t>
  </si>
  <si>
    <t>07180915_1656</t>
  </si>
  <si>
    <t>07180915_1706</t>
  </si>
  <si>
    <t>07180915_1716</t>
  </si>
  <si>
    <t>07180915_1726</t>
  </si>
  <si>
    <t>07180915_1736</t>
  </si>
  <si>
    <t>07180915_1746</t>
  </si>
  <si>
    <t>07180915_1757</t>
  </si>
  <si>
    <t>07180915_1807</t>
  </si>
  <si>
    <t>07180915_1817</t>
  </si>
  <si>
    <t>07180915_1827</t>
  </si>
  <si>
    <t>07180915_1837</t>
  </si>
  <si>
    <t>07180915_1847</t>
  </si>
  <si>
    <t>07180915_1941</t>
  </si>
  <si>
    <t>07180915_1951</t>
  </si>
  <si>
    <t>07180915_2001</t>
  </si>
  <si>
    <t>07180915_2012</t>
  </si>
  <si>
    <t>07180915_2022</t>
  </si>
  <si>
    <t>07180915_2032</t>
  </si>
  <si>
    <t>07180915_2042</t>
  </si>
  <si>
    <t>07180915_2052</t>
  </si>
  <si>
    <t>07180915_2102</t>
  </si>
  <si>
    <t>07180915_2112</t>
  </si>
  <si>
    <t>07180915_2123</t>
  </si>
  <si>
    <t>07180915_2133</t>
  </si>
  <si>
    <t>07180915_2229</t>
  </si>
  <si>
    <t>07180915_2239</t>
  </si>
  <si>
    <t>07180915_2249</t>
  </si>
  <si>
    <t>07180915_2259</t>
  </si>
  <si>
    <t>07180915_2310</t>
  </si>
  <si>
    <t>07180915_2320</t>
  </si>
  <si>
    <t>07180915_2330</t>
  </si>
  <si>
    <t>07180915_2340</t>
  </si>
  <si>
    <t>07180915_2350</t>
  </si>
  <si>
    <t>07180916_0000</t>
  </si>
  <si>
    <t>07180916_0010</t>
  </si>
  <si>
    <t>07180916_0020</t>
  </si>
  <si>
    <t>07180916_0115</t>
  </si>
  <si>
    <t>07180916_0125</t>
  </si>
  <si>
    <t>07180916_0136</t>
  </si>
  <si>
    <t>07180916_0146</t>
  </si>
  <si>
    <t>07180916_0156</t>
  </si>
  <si>
    <t>07180916_0206</t>
  </si>
  <si>
    <t>07180916_0216</t>
  </si>
  <si>
    <t>07180916_0226</t>
  </si>
  <si>
    <t>07180916_0237</t>
  </si>
  <si>
    <t>07180916_0247</t>
  </si>
  <si>
    <t>07180916_0257</t>
  </si>
  <si>
    <t>07180916_0307</t>
  </si>
  <si>
    <t>07180916_0402</t>
  </si>
  <si>
    <t>07180916_0412</t>
  </si>
  <si>
    <t>07180916_0422</t>
  </si>
  <si>
    <t>07180916_0433</t>
  </si>
  <si>
    <t>07180916_0443</t>
  </si>
  <si>
    <t>07180916_0453</t>
  </si>
  <si>
    <t>07180916_0503</t>
  </si>
  <si>
    <t>07180916_0513</t>
  </si>
  <si>
    <t>07180916_0523</t>
  </si>
  <si>
    <t>07180916_0533</t>
  </si>
  <si>
    <t>07180916_0544</t>
  </si>
  <si>
    <t>07180916_0554</t>
  </si>
  <si>
    <t>07180916_0648</t>
  </si>
  <si>
    <t>07180916_0658</t>
  </si>
  <si>
    <t>07180916_0709</t>
  </si>
  <si>
    <t>07180916_0719</t>
  </si>
  <si>
    <t>07180916_0729</t>
  </si>
  <si>
    <t>07180916_0739</t>
  </si>
  <si>
    <t>07180916_0749</t>
  </si>
  <si>
    <t>07180916_0759</t>
  </si>
  <si>
    <t>07180916_0809</t>
  </si>
  <si>
    <t>07180916_0820</t>
  </si>
  <si>
    <t>07180916_0830</t>
  </si>
  <si>
    <t>07180916_0840</t>
  </si>
  <si>
    <t>07180916_0933</t>
  </si>
  <si>
    <t>07180916_0944</t>
  </si>
  <si>
    <t>07180916_0954</t>
  </si>
  <si>
    <t>07180916_1004</t>
  </si>
  <si>
    <t>07180916_1014</t>
  </si>
  <si>
    <t>07180916_1024</t>
  </si>
  <si>
    <t>07180916_1034</t>
  </si>
  <si>
    <t>07180916_1044</t>
  </si>
  <si>
    <t>07180916_1054</t>
  </si>
  <si>
    <t>07180916_1104</t>
  </si>
  <si>
    <t>07180916_1114</t>
  </si>
  <si>
    <t>07180916_1124</t>
  </si>
  <si>
    <t>07180916_1216</t>
  </si>
  <si>
    <t>07180916_1227</t>
  </si>
  <si>
    <t>07180916_1237</t>
  </si>
  <si>
    <t>07180916_1247</t>
  </si>
  <si>
    <t>07180916_1257</t>
  </si>
  <si>
    <t>07180916_1430</t>
  </si>
  <si>
    <t>07180916_1441</t>
  </si>
  <si>
    <t>07180916_1451</t>
  </si>
  <si>
    <t>07180916_1501</t>
  </si>
  <si>
    <t>07180916_1511</t>
  </si>
  <si>
    <t>07180916_1521</t>
  </si>
  <si>
    <t>07180916_1531</t>
  </si>
  <si>
    <t>07180916_1541</t>
  </si>
  <si>
    <t>07180916_1551</t>
  </si>
  <si>
    <t>07180916_1602</t>
  </si>
  <si>
    <t>07180916_1612</t>
  </si>
  <si>
    <t>07180916_1622</t>
  </si>
  <si>
    <t>07180916_1716</t>
  </si>
  <si>
    <t>07180916_1726</t>
  </si>
  <si>
    <t>07180916_1736</t>
  </si>
  <si>
    <t>07180916_1746</t>
  </si>
  <si>
    <t>07180916_1756</t>
  </si>
  <si>
    <t>07180916_1806</t>
  </si>
  <si>
    <t>07180916_1816</t>
  </si>
  <si>
    <t>07180916_1827</t>
  </si>
  <si>
    <t>07180916_1837</t>
  </si>
  <si>
    <t>07180916_1847</t>
  </si>
  <si>
    <t>07180916_1857</t>
  </si>
  <si>
    <t>07180916_1907</t>
  </si>
  <si>
    <t>07180916_2001</t>
  </si>
  <si>
    <t>07180916_2011</t>
  </si>
  <si>
    <t>07180916_2021</t>
  </si>
  <si>
    <t>07180916_2031</t>
  </si>
  <si>
    <t>07180916_2041</t>
  </si>
  <si>
    <t>07180916_2052</t>
  </si>
  <si>
    <t>07180916_2102</t>
  </si>
  <si>
    <t>07180916_2112</t>
  </si>
  <si>
    <t>07180916_2122</t>
  </si>
  <si>
    <t>07180916_2132</t>
  </si>
  <si>
    <t>07180916_2142</t>
  </si>
  <si>
    <t>07180916_2152</t>
  </si>
  <si>
    <t>07180916_2246</t>
  </si>
  <si>
    <t>07180916_2256</t>
  </si>
  <si>
    <t>07180916_2306</t>
  </si>
  <si>
    <t>07180916_2317</t>
  </si>
  <si>
    <t>07180916_2327</t>
  </si>
  <si>
    <t>07180916_2337</t>
  </si>
  <si>
    <t>07180916_2347</t>
  </si>
  <si>
    <t>07180916_2357</t>
  </si>
  <si>
    <t>07180917_0007</t>
  </si>
  <si>
    <t>07180917_0017</t>
  </si>
  <si>
    <t>07180917_0027</t>
  </si>
  <si>
    <t>07180917_0038</t>
  </si>
  <si>
    <t>07180917_0132</t>
  </si>
  <si>
    <t>07180917_0142</t>
  </si>
  <si>
    <t>07180917_0152</t>
  </si>
  <si>
    <t>07180917_0202</t>
  </si>
  <si>
    <t>07180917_0212</t>
  </si>
  <si>
    <t>07180917_0222</t>
  </si>
  <si>
    <t>07180917_0232</t>
  </si>
  <si>
    <t>07180917_0242</t>
  </si>
  <si>
    <t>07180917_0253</t>
  </si>
  <si>
    <t>07180917_0303</t>
  </si>
  <si>
    <t>07180917_0313</t>
  </si>
  <si>
    <t>noise won't process</t>
  </si>
  <si>
    <t>07180917_0323</t>
  </si>
  <si>
    <t>07180917_0417</t>
  </si>
  <si>
    <t>07180917_0427</t>
  </si>
  <si>
    <t>07180917_0437</t>
  </si>
  <si>
    <t>07180917_0447</t>
  </si>
  <si>
    <t>07180917_0457</t>
  </si>
  <si>
    <t>07180917_0507</t>
  </si>
  <si>
    <t>07180917_0517</t>
  </si>
  <si>
    <t>07180917_0528</t>
  </si>
  <si>
    <t>07180917_0538</t>
  </si>
  <si>
    <t>07180917_0548</t>
  </si>
  <si>
    <t>07180917_0558</t>
  </si>
  <si>
    <t>07180917_0608</t>
  </si>
  <si>
    <t>07180917_0702</t>
  </si>
  <si>
    <t>07180917_0712</t>
  </si>
  <si>
    <t>07180917_0722</t>
  </si>
  <si>
    <t>07180917_0732</t>
  </si>
  <si>
    <t>07180917_0742</t>
  </si>
  <si>
    <t>07180917_0752</t>
  </si>
  <si>
    <t>07180917_0802</t>
  </si>
  <si>
    <t>07180917_0813</t>
  </si>
  <si>
    <t>07180917_0823</t>
  </si>
  <si>
    <t>07180917_0833</t>
  </si>
  <si>
    <t>07180917_0843</t>
  </si>
  <si>
    <t>07180917_0853</t>
  </si>
  <si>
    <t>07180917_0947</t>
  </si>
  <si>
    <t>07180917_0957</t>
  </si>
  <si>
    <t>07180917_1007</t>
  </si>
  <si>
    <t>07180917_1017</t>
  </si>
  <si>
    <t>07180917_1027</t>
  </si>
  <si>
    <t>07180917_1037</t>
  </si>
  <si>
    <t>07180917_1047</t>
  </si>
  <si>
    <t>07180917_1057</t>
  </si>
  <si>
    <t>07180917_1108</t>
  </si>
  <si>
    <t>07180917_1118</t>
  </si>
  <si>
    <t>07180917_1128</t>
  </si>
  <si>
    <t>07180917_1138</t>
  </si>
  <si>
    <t>07180917_1231</t>
  </si>
  <si>
    <t>07180917_1241</t>
  </si>
  <si>
    <t>07180917_1252</t>
  </si>
  <si>
    <t>07180917_1302</t>
  </si>
  <si>
    <t>07180917_1312</t>
  </si>
  <si>
    <t>07180917_1322</t>
  </si>
  <si>
    <t>07180917_1332</t>
  </si>
  <si>
    <t>07180917_1342</t>
  </si>
  <si>
    <t>07180917_1352</t>
  </si>
  <si>
    <t>07180917_1402</t>
  </si>
  <si>
    <t>07180917_1413</t>
  </si>
  <si>
    <t>07180917_1423</t>
  </si>
  <si>
    <t>07180917_1457</t>
  </si>
  <si>
    <t>PuBe noPb</t>
  </si>
  <si>
    <t>07180917_1507</t>
  </si>
  <si>
    <t>07180917_1517</t>
  </si>
  <si>
    <t>=100/100</t>
  </si>
  <si>
    <t>07180917_1527</t>
  </si>
  <si>
    <t>07180917_1537</t>
  </si>
  <si>
    <t>07180917_1547</t>
  </si>
  <si>
    <t>07180917_1644</t>
  </si>
  <si>
    <t>07180917_1655</t>
  </si>
  <si>
    <t>07180917_1705</t>
  </si>
  <si>
    <t>07180917_1715</t>
  </si>
  <si>
    <t>07180917_1725</t>
  </si>
  <si>
    <t>07180917_1735</t>
  </si>
  <si>
    <t>long sequence</t>
  </si>
  <si>
    <t>07180917_1745</t>
  </si>
  <si>
    <t>after a flash</t>
  </si>
  <si>
    <t>07180917_1755</t>
  </si>
  <si>
    <t xml:space="preserve">hold time </t>
  </si>
  <si>
    <t>07180917_1805</t>
  </si>
  <si>
    <t>study</t>
  </si>
  <si>
    <t>07180917_1815</t>
  </si>
  <si>
    <t>at neg bias</t>
  </si>
  <si>
    <t>07180917_1825</t>
  </si>
  <si>
    <t>07180917_1836</t>
  </si>
  <si>
    <t>07180917_1846</t>
  </si>
  <si>
    <t>07180917_1856</t>
  </si>
  <si>
    <t>07180917_1906</t>
  </si>
  <si>
    <t>07180917_1916</t>
  </si>
  <si>
    <t>07180917_1926</t>
  </si>
  <si>
    <t>07180917_1936</t>
  </si>
  <si>
    <t>07180917_1946</t>
  </si>
  <si>
    <t>07180917_1956</t>
  </si>
  <si>
    <t>07180917_2006</t>
  </si>
  <si>
    <t>07180917_2017</t>
  </si>
  <si>
    <t>07180917_2027</t>
  </si>
  <si>
    <t>07180917_2037</t>
  </si>
  <si>
    <t>07180917_2047</t>
  </si>
  <si>
    <t>07180917_2057</t>
  </si>
  <si>
    <t>07180917_2107</t>
  </si>
  <si>
    <t>07180917_2117</t>
  </si>
  <si>
    <t>07180917_2127</t>
  </si>
  <si>
    <t>07180917_2137</t>
  </si>
  <si>
    <t>07180917_2147</t>
  </si>
  <si>
    <t>07180917_2158</t>
  </si>
  <si>
    <t>07180917_2208</t>
  </si>
  <si>
    <t>07180917_2218</t>
  </si>
  <si>
    <t>07180917_2228</t>
  </si>
  <si>
    <t>07180917_2238</t>
  </si>
  <si>
    <t>07180917_2248</t>
  </si>
  <si>
    <t>07180917_2258</t>
  </si>
  <si>
    <t>07180917_2308</t>
  </si>
  <si>
    <t>07180917_2318</t>
  </si>
  <si>
    <t>07180917_2329</t>
  </si>
  <si>
    <t>07180917_2339</t>
  </si>
  <si>
    <t>07180917_2349</t>
  </si>
  <si>
    <t>07180917_2359</t>
  </si>
  <si>
    <t>07180918_0009</t>
  </si>
  <si>
    <t>07180918_0019</t>
  </si>
  <si>
    <t>07180918_0029</t>
  </si>
  <si>
    <t>07180918_0039</t>
  </si>
  <si>
    <t>07180918_0049</t>
  </si>
  <si>
    <t>07180918_0100</t>
  </si>
  <si>
    <t>07180918_0110</t>
  </si>
  <si>
    <t>07180918_0120</t>
  </si>
  <si>
    <t>07180918_0130</t>
  </si>
  <si>
    <t>07180918_0140</t>
  </si>
  <si>
    <t>07180918_0150</t>
  </si>
  <si>
    <t>07180918_0200</t>
  </si>
  <si>
    <t>07180918_0210</t>
  </si>
  <si>
    <t>07180918_0220</t>
  </si>
  <si>
    <t>07180918_0230</t>
  </si>
  <si>
    <t>07180918_0241</t>
  </si>
  <si>
    <t>07180918_0251</t>
  </si>
  <si>
    <t>07180918_0301</t>
  </si>
  <si>
    <t>07180918_0311</t>
  </si>
  <si>
    <t>07180918_0321</t>
  </si>
  <si>
    <t>07180918_0331</t>
  </si>
  <si>
    <t>07180918_0341</t>
  </si>
  <si>
    <t>07180918_0351</t>
  </si>
  <si>
    <t>07180918_0401</t>
  </si>
  <si>
    <t>07180918_0411</t>
  </si>
  <si>
    <t>07180918_0422</t>
  </si>
  <si>
    <t>07180918_0432</t>
  </si>
  <si>
    <t>07180918_0442</t>
  </si>
  <si>
    <t>07180918_0452</t>
  </si>
  <si>
    <t>07180918_0502</t>
  </si>
  <si>
    <t>07180918_0512</t>
  </si>
  <si>
    <t>07180918_0522</t>
  </si>
  <si>
    <t>07180918_0532</t>
  </si>
  <si>
    <t>07180918_0542</t>
  </si>
  <si>
    <t>07180918_0552</t>
  </si>
  <si>
    <t>07180918_0603</t>
  </si>
  <si>
    <t>07180918_0613</t>
  </si>
  <si>
    <t>07180918_0623</t>
  </si>
  <si>
    <t>07180918_0633</t>
  </si>
  <si>
    <t>07180918_0643</t>
  </si>
  <si>
    <t>07180918_1741</t>
  </si>
  <si>
    <t>+50</t>
  </si>
  <si>
    <t>07180918_1751</t>
  </si>
  <si>
    <t>07180918_1801</t>
  </si>
  <si>
    <t>07180918_1811</t>
  </si>
  <si>
    <t>07180918_1821</t>
  </si>
  <si>
    <t>07180918_1831</t>
  </si>
  <si>
    <t>07180918_1841</t>
  </si>
  <si>
    <t>07180918_1852</t>
  </si>
  <si>
    <t>07180918_1902</t>
  </si>
  <si>
    <t>07180918_1912</t>
  </si>
  <si>
    <t>at pos bias</t>
  </si>
  <si>
    <t>07180918_1922</t>
  </si>
  <si>
    <t>07180918_1932</t>
  </si>
  <si>
    <t>07180918_1942</t>
  </si>
  <si>
    <t>07180918_1952</t>
  </si>
  <si>
    <t>07180918_2002</t>
  </si>
  <si>
    <t>07180918_2012</t>
  </si>
  <si>
    <t>07180918_2023</t>
  </si>
  <si>
    <t>07180918_2033</t>
  </si>
  <si>
    <t>07180918_2043</t>
  </si>
  <si>
    <t>07180918_2053</t>
  </si>
  <si>
    <t>07180918_2103</t>
  </si>
  <si>
    <t>07180918_2113</t>
  </si>
  <si>
    <t>07180918_2123</t>
  </si>
  <si>
    <t>07180918_2133</t>
  </si>
  <si>
    <t>07180918_2143</t>
  </si>
  <si>
    <t>07180918_2154</t>
  </si>
  <si>
    <t>07180918_2204</t>
  </si>
  <si>
    <t>07180918_2214</t>
  </si>
  <si>
    <t>07180918_2224</t>
  </si>
  <si>
    <t>07180918_2234</t>
  </si>
  <si>
    <t>07180918_2244</t>
  </si>
  <si>
    <t>07180918_2254</t>
  </si>
  <si>
    <t>07180918_2304</t>
  </si>
  <si>
    <t>07180918_2314</t>
  </si>
  <si>
    <t>07180918_2325</t>
  </si>
  <si>
    <t>07180918_2335</t>
  </si>
  <si>
    <t>07180918_2345</t>
  </si>
  <si>
    <t>07180918_2355</t>
  </si>
  <si>
    <t>07180919_0005</t>
  </si>
  <si>
    <t>07180919_0015</t>
  </si>
  <si>
    <t>07180919_0025</t>
  </si>
  <si>
    <t>07180919_0035</t>
  </si>
  <si>
    <t>07180919_0045</t>
  </si>
  <si>
    <t>07180919_0055</t>
  </si>
  <si>
    <t>07180919_0106</t>
  </si>
  <si>
    <t>07180919_0116</t>
  </si>
  <si>
    <t>07180919_0126</t>
  </si>
  <si>
    <t>07180919_0136</t>
  </si>
  <si>
    <t>07180919_0146</t>
  </si>
  <si>
    <t>07180919_0156</t>
  </si>
  <si>
    <t>07180919_0206</t>
  </si>
  <si>
    <t>07180919_0216</t>
  </si>
  <si>
    <t>07180919_0226</t>
  </si>
  <si>
    <t>07180919_0236</t>
  </si>
  <si>
    <t>07180919_0247</t>
  </si>
  <si>
    <t>07180919_0257</t>
  </si>
  <si>
    <t>07180919_0307</t>
  </si>
  <si>
    <t>07180919_0317</t>
  </si>
  <si>
    <t>07180919_0327</t>
  </si>
  <si>
    <t>07180919_0337</t>
  </si>
  <si>
    <t>07180919_0347</t>
  </si>
  <si>
    <t>07180919_0357</t>
  </si>
  <si>
    <t>07180919_0407</t>
  </si>
  <si>
    <t>07180919_0418</t>
  </si>
  <si>
    <t>07180919_0428</t>
  </si>
  <si>
    <t>07180919_0438</t>
  </si>
  <si>
    <t>07180919_0448</t>
  </si>
  <si>
    <t>07180919_0458</t>
  </si>
  <si>
    <t>07180919_0508</t>
  </si>
  <si>
    <t>07180919_0518</t>
  </si>
  <si>
    <t>07180919_0528</t>
  </si>
  <si>
    <t>07180919_0538</t>
  </si>
  <si>
    <t>07180919_0548</t>
  </si>
  <si>
    <t>07180919_0559</t>
  </si>
  <si>
    <t>07180919_0609</t>
  </si>
  <si>
    <t>07180919_0619</t>
  </si>
  <si>
    <t>07180919_0629</t>
  </si>
  <si>
    <t>07180919_0639</t>
  </si>
  <si>
    <t>07180919_0649</t>
  </si>
  <si>
    <t>07180919_0659</t>
  </si>
  <si>
    <t>07180919_0709</t>
  </si>
  <si>
    <t>07180919_0719</t>
  </si>
  <si>
    <t>07180919_0730</t>
  </si>
  <si>
    <t>07180919_0740</t>
  </si>
  <si>
    <t>07180919_0947</t>
  </si>
  <si>
    <t>50-60-50</t>
  </si>
  <si>
    <t>07180919_0958</t>
  </si>
  <si>
    <t>late overbias</t>
  </si>
  <si>
    <t>07180919_1008</t>
  </si>
  <si>
    <t>07180919_1018</t>
  </si>
  <si>
    <t>07180919_1028</t>
  </si>
  <si>
    <t>07180919_1038</t>
  </si>
  <si>
    <t>07180919_1219</t>
  </si>
  <si>
    <t>NaI test</t>
  </si>
  <si>
    <t>07180919_1248</t>
  </si>
  <si>
    <t>07180919_1339</t>
  </si>
  <si>
    <t>07180919_1349</t>
  </si>
  <si>
    <t>07180919_1400</t>
  </si>
  <si>
    <t>07180919_1410</t>
  </si>
  <si>
    <t>07180919_1420</t>
  </si>
  <si>
    <t>07180919_1430</t>
  </si>
  <si>
    <t>07180919_1440</t>
  </si>
  <si>
    <t>07180919_1450</t>
  </si>
  <si>
    <t>07180919_1500</t>
  </si>
  <si>
    <t>07180919_1510</t>
  </si>
  <si>
    <t>07180919_1520</t>
  </si>
  <si>
    <t>07180919_1531</t>
  </si>
  <si>
    <t>07180919_1655</t>
  </si>
  <si>
    <t>07180920_1519</t>
  </si>
  <si>
    <t>NaI test; neg</t>
  </si>
  <si>
    <t>mf-n</t>
  </si>
  <si>
    <t>07180920_1604</t>
  </si>
  <si>
    <t>HV dialup (?)</t>
  </si>
  <si>
    <t>07180920_1755</t>
  </si>
  <si>
    <t>07180920_1805</t>
  </si>
  <si>
    <t>07180920_1815</t>
  </si>
  <si>
    <t>NaI neg pol</t>
  </si>
  <si>
    <t>07180920_1825</t>
  </si>
  <si>
    <t>07180920_1835</t>
  </si>
  <si>
    <t>07180920_1845</t>
  </si>
  <si>
    <t>07180920_1856</t>
  </si>
  <si>
    <t>07180920_1906</t>
  </si>
  <si>
    <t>1dump only</t>
  </si>
  <si>
    <t>07180920_2022</t>
  </si>
  <si>
    <t>07180920_2032</t>
  </si>
  <si>
    <t xml:space="preserve">power </t>
  </si>
  <si>
    <t>07180920_2042</t>
  </si>
  <si>
    <t>failure</t>
  </si>
  <si>
    <t>07180920_2052</t>
  </si>
  <si>
    <t>07180921_0950</t>
  </si>
  <si>
    <t>07180921_1000</t>
  </si>
  <si>
    <t>07180921_1010</t>
  </si>
  <si>
    <t>07180921_1020</t>
  </si>
  <si>
    <t>07180921_1030</t>
  </si>
  <si>
    <t>07180921_1040</t>
  </si>
  <si>
    <t>07180921_1050</t>
  </si>
  <si>
    <t>07180921_1100</t>
  </si>
  <si>
    <t>07180921_1111</t>
  </si>
  <si>
    <t>07180921_1121</t>
  </si>
  <si>
    <t>07180921_1131</t>
  </si>
  <si>
    <t>07180921_1141</t>
  </si>
  <si>
    <t>07180921_1244</t>
  </si>
  <si>
    <t>07180921_1254</t>
  </si>
  <si>
    <t>07180921_1304</t>
  </si>
  <si>
    <t>07180921_1314</t>
  </si>
  <si>
    <t>07180921_1324</t>
  </si>
  <si>
    <t>07180921_1334</t>
  </si>
  <si>
    <t>07180921_1407</t>
  </si>
  <si>
    <t>07180921_1417</t>
  </si>
  <si>
    <t>07180921_1427</t>
  </si>
  <si>
    <t>07180921_1437</t>
  </si>
  <si>
    <t>07180921_1447</t>
  </si>
  <si>
    <t>07180921_1457</t>
  </si>
  <si>
    <t>07180921_1535</t>
  </si>
  <si>
    <t>PuBe nolead</t>
  </si>
  <si>
    <t>07180921_1545</t>
  </si>
  <si>
    <t>07180921_1555</t>
  </si>
  <si>
    <t>07180921_1605</t>
  </si>
  <si>
    <t>07180921_1615</t>
  </si>
  <si>
    <t>07180921_1625</t>
  </si>
  <si>
    <t>07180921_1740</t>
  </si>
  <si>
    <t>07180921_1750</t>
  </si>
  <si>
    <t>07180921_1800</t>
  </si>
  <si>
    <t>07180921_1810</t>
  </si>
  <si>
    <t>07180921_1820</t>
  </si>
  <si>
    <t>bias scan</t>
  </si>
  <si>
    <t>07180921_1830</t>
  </si>
  <si>
    <t>07180921_1849</t>
  </si>
  <si>
    <t>07180921_1859</t>
  </si>
  <si>
    <t>07180921_1909</t>
  </si>
  <si>
    <t>07180921_1919</t>
  </si>
  <si>
    <t>07180921_1929</t>
  </si>
  <si>
    <t>07180921_1939</t>
  </si>
  <si>
    <t>07180921_2032</t>
  </si>
  <si>
    <t>07180921_2042</t>
  </si>
  <si>
    <t>07180921_2052</t>
  </si>
  <si>
    <t>07180921_2103</t>
  </si>
  <si>
    <t>07180921_2113</t>
  </si>
  <si>
    <t>07180921_2123</t>
  </si>
  <si>
    <t>07180921_2219</t>
  </si>
  <si>
    <t>07180921_2229</t>
  </si>
  <si>
    <t>07180921_2239</t>
  </si>
  <si>
    <t>07180921_2249</t>
  </si>
  <si>
    <t>07180921_2259</t>
  </si>
  <si>
    <t>07180921_2310</t>
  </si>
  <si>
    <t>07180922_0007</t>
  </si>
  <si>
    <t>07180922_0017</t>
  </si>
  <si>
    <t>07180922_0027</t>
  </si>
  <si>
    <t>07180922_0037</t>
  </si>
  <si>
    <t>07180922_0047</t>
  </si>
  <si>
    <t>07180922_0058</t>
  </si>
  <si>
    <t>07180922_0158</t>
  </si>
  <si>
    <t>07180922_0208</t>
  </si>
  <si>
    <t>07180922_0218</t>
  </si>
  <si>
    <t>07180922_0229</t>
  </si>
  <si>
    <t>07180922_0239</t>
  </si>
  <si>
    <t>07180922_0249</t>
  </si>
  <si>
    <t>07180922_0353</t>
  </si>
  <si>
    <t>07180922_0403</t>
  </si>
  <si>
    <t>07180922_0413</t>
  </si>
  <si>
    <t>07180922_0423</t>
  </si>
  <si>
    <t>07180922_0433</t>
  </si>
  <si>
    <t>07180922_0443</t>
  </si>
  <si>
    <t>07180922_0548</t>
  </si>
  <si>
    <t>07180922_0558</t>
  </si>
  <si>
    <t>07180922_0608</t>
  </si>
  <si>
    <t>07180922_0618</t>
  </si>
  <si>
    <t>07180922_0629</t>
  </si>
  <si>
    <t>07180922_0639</t>
  </si>
  <si>
    <t>07180922_0749</t>
  </si>
  <si>
    <t>07180922_0759</t>
  </si>
  <si>
    <t>07180922_0809</t>
  </si>
  <si>
    <t>07180922_0819</t>
  </si>
  <si>
    <t>07180922_0829</t>
  </si>
  <si>
    <t>07180922_0840</t>
  </si>
  <si>
    <t>07180922_2130</t>
  </si>
  <si>
    <t>1768986 07180922_2130</t>
  </si>
  <si>
    <t>07180922_2140</t>
  </si>
  <si>
    <t>1750775 07180922_2140</t>
  </si>
  <si>
    <t>07180922_2150</t>
  </si>
  <si>
    <t>1767864 07180922_2150</t>
  </si>
  <si>
    <t>07180922_2200</t>
  </si>
  <si>
    <t>1763888 07180922_2200</t>
  </si>
  <si>
    <t>07180922_2211</t>
  </si>
  <si>
    <t>1719887 07180922_2211</t>
  </si>
  <si>
    <t>07180922_2221</t>
  </si>
  <si>
    <t>1668531 07180922_2221</t>
  </si>
  <si>
    <t>07180922_2231</t>
  </si>
  <si>
    <t>1676151 07180922_2231</t>
  </si>
  <si>
    <t>07180922_2241</t>
  </si>
  <si>
    <t>1676367 07180922_2241</t>
  </si>
  <si>
    <t>07180922_2251</t>
  </si>
  <si>
    <t>1669359 07180922_2251</t>
  </si>
  <si>
    <t>07180922_2301</t>
  </si>
  <si>
    <t>1676643 07180922_2301</t>
  </si>
  <si>
    <t>07180922_2311</t>
  </si>
  <si>
    <t>1674261 07180922_2311</t>
  </si>
  <si>
    <t>07180922_2321</t>
  </si>
  <si>
    <t>1678139 07180922_2321</t>
  </si>
  <si>
    <t>07180923_0021</t>
  </si>
  <si>
    <t>1750835 07180923_0021</t>
  </si>
  <si>
    <t>07180923_0031</t>
  </si>
  <si>
    <t>1759251 07180923_0031</t>
  </si>
  <si>
    <t>07180923_0042</t>
  </si>
  <si>
    <t>1761574 07180923_0042</t>
  </si>
  <si>
    <t>07180923_0052</t>
  </si>
  <si>
    <t>1750244 07180923_0052</t>
  </si>
  <si>
    <t>07180923_0102</t>
  </si>
  <si>
    <t>1755275 07180923_0102</t>
  </si>
  <si>
    <t>07180923_0112</t>
  </si>
  <si>
    <t>1740765 07180923_0112</t>
  </si>
  <si>
    <t>07180923_0122</t>
  </si>
  <si>
    <t>1749211 07180923_0122</t>
  </si>
  <si>
    <t>07180923_0132</t>
  </si>
  <si>
    <t>1757626 07180923_0132</t>
  </si>
  <si>
    <t>07180923_0142</t>
  </si>
  <si>
    <t>1764252 07180923_0142</t>
  </si>
  <si>
    <t>07180923_0153</t>
  </si>
  <si>
    <t>1758512 07180923_0153</t>
  </si>
  <si>
    <t>07180923_0203</t>
  </si>
  <si>
    <t>1760836 07180923_0203</t>
  </si>
  <si>
    <t>07180923_0213</t>
  </si>
  <si>
    <t>1761594 07180923_0213</t>
  </si>
  <si>
    <t>07180923_0315</t>
  </si>
  <si>
    <t>07180923_0325</t>
  </si>
  <si>
    <t>07180923_0335</t>
  </si>
  <si>
    <t>07180923_0345</t>
  </si>
  <si>
    <t>07180923_0355</t>
  </si>
  <si>
    <t>07180923_0405</t>
  </si>
  <si>
    <t>07180923_0415</t>
  </si>
  <si>
    <t>07180923_0425</t>
  </si>
  <si>
    <t>07180923_0436</t>
  </si>
  <si>
    <t>07180923_0446</t>
  </si>
  <si>
    <t>07180923_0456</t>
  </si>
  <si>
    <t>07180923_0506</t>
  </si>
  <si>
    <t>07180923_0606</t>
  </si>
  <si>
    <t>07180923_0617</t>
  </si>
  <si>
    <t>07180923_0627</t>
  </si>
  <si>
    <t>07180923_0637</t>
  </si>
  <si>
    <t>07180923_0647</t>
  </si>
  <si>
    <t>07180923_0657</t>
  </si>
  <si>
    <t>07180923_0707</t>
  </si>
  <si>
    <t>07180923_0717</t>
  </si>
  <si>
    <t>07180923_0728</t>
  </si>
  <si>
    <t>07180923_0738</t>
  </si>
  <si>
    <t>07180923_0748</t>
  </si>
  <si>
    <t>07180923_0758</t>
  </si>
  <si>
    <t>07180923_0857</t>
  </si>
  <si>
    <t>07180923_0907</t>
  </si>
  <si>
    <t>07180923_0917</t>
  </si>
  <si>
    <t>07180923_0927</t>
  </si>
  <si>
    <t>07180923_0938</t>
  </si>
  <si>
    <t>07180923_0948</t>
  </si>
  <si>
    <t>07180923_0958</t>
  </si>
  <si>
    <t>07180923_1008</t>
  </si>
  <si>
    <t>07180923_1018</t>
  </si>
  <si>
    <t>07180923_1028</t>
  </si>
  <si>
    <t>07180923_1038</t>
  </si>
  <si>
    <t>07180923_1049</t>
  </si>
  <si>
    <t>07180923_1148</t>
  </si>
  <si>
    <t>07180923_1158</t>
  </si>
  <si>
    <t>07180923_1208</t>
  </si>
  <si>
    <t>07180923_1218</t>
  </si>
  <si>
    <t>07180923_1229</t>
  </si>
  <si>
    <t>07180923_1239</t>
  </si>
  <si>
    <t>07180923_1249</t>
  </si>
  <si>
    <t>07180923_1259</t>
  </si>
  <si>
    <t>07180923_1309</t>
  </si>
  <si>
    <t>07180923_1319</t>
  </si>
  <si>
    <t>07180923_1329</t>
  </si>
  <si>
    <t>07180923_1340</t>
  </si>
  <si>
    <t>07180923_1441</t>
  </si>
  <si>
    <t>07180923_1451</t>
  </si>
  <si>
    <t>07180923_1501</t>
  </si>
  <si>
    <t>07180923_1511</t>
  </si>
  <si>
    <t>07180923_1521</t>
  </si>
  <si>
    <t>07180923_1531</t>
  </si>
  <si>
    <t>07180923_1541</t>
  </si>
  <si>
    <t>07180923_1552</t>
  </si>
  <si>
    <t>07180923_1602</t>
  </si>
  <si>
    <t>07180923_1612</t>
  </si>
  <si>
    <t>07180923_1622</t>
  </si>
  <si>
    <t>07180923_1632</t>
  </si>
  <si>
    <t>07180923_1733</t>
  </si>
  <si>
    <t>07180923_1744</t>
  </si>
  <si>
    <t>07180923_1754</t>
  </si>
  <si>
    <t>07180923_1804</t>
  </si>
  <si>
    <t>07180923_1814</t>
  </si>
  <si>
    <t>07180923_1824</t>
  </si>
  <si>
    <t>07180923_1834</t>
  </si>
  <si>
    <t>07180923_1844</t>
  </si>
  <si>
    <t>07180923_1855</t>
  </si>
  <si>
    <t>07180923_1905</t>
  </si>
  <si>
    <t>07180923_1915</t>
  </si>
  <si>
    <t>07180923_1925</t>
  </si>
  <si>
    <t>07180923_2302</t>
  </si>
  <si>
    <t>07180923_2312</t>
  </si>
  <si>
    <t>07180923_2322</t>
  </si>
  <si>
    <t>07180923_2332</t>
  </si>
  <si>
    <t>07180923_2342</t>
  </si>
  <si>
    <t>07180923_2352</t>
  </si>
  <si>
    <t>07180924_0002</t>
  </si>
  <si>
    <t>07180924_0013</t>
  </si>
  <si>
    <t>07180924_0023</t>
  </si>
  <si>
    <t>07180924_0033</t>
  </si>
  <si>
    <t>07180924_0043</t>
  </si>
  <si>
    <t>07180924_0053</t>
  </si>
  <si>
    <t>07180924_0155</t>
  </si>
  <si>
    <t>07180924_0205</t>
  </si>
  <si>
    <t>07180924_0215</t>
  </si>
  <si>
    <t>07180924_0225</t>
  </si>
  <si>
    <t>07180924_0235</t>
  </si>
  <si>
    <t>07180924_0245</t>
  </si>
  <si>
    <t>07180924_0255</t>
  </si>
  <si>
    <t>07180924_0306</t>
  </si>
  <si>
    <t>07180924_0316</t>
  </si>
  <si>
    <t>07180924_0326</t>
  </si>
  <si>
    <t>07180924_0336</t>
  </si>
  <si>
    <t>07180924_0346</t>
  </si>
  <si>
    <t>07180924_0447</t>
  </si>
  <si>
    <t>07180924_0458</t>
  </si>
  <si>
    <t>07180924_0508</t>
  </si>
  <si>
    <t>07180924_0518</t>
  </si>
  <si>
    <t>07180924_0528</t>
  </si>
  <si>
    <t>07180924_0538</t>
  </si>
  <si>
    <t>07180924_0548</t>
  </si>
  <si>
    <t>07180924_0558</t>
  </si>
  <si>
    <t>07180924_0609</t>
  </si>
  <si>
    <t>07180924_0619</t>
  </si>
  <si>
    <t>07180924_0629</t>
  </si>
  <si>
    <t>07180924_0639</t>
  </si>
  <si>
    <t>07180924_0741</t>
  </si>
  <si>
    <t>07180924_0751</t>
  </si>
  <si>
    <t>07180924_0801</t>
  </si>
  <si>
    <t>07180924_0811</t>
  </si>
  <si>
    <t>07180924_0821</t>
  </si>
  <si>
    <t>07180924_0831</t>
  </si>
  <si>
    <t>07180924_0841</t>
  </si>
  <si>
    <t>07180924_0852</t>
  </si>
  <si>
    <t>07180924_0902</t>
  </si>
  <si>
    <t>07180924_0912</t>
  </si>
  <si>
    <t>07180924_0922</t>
  </si>
  <si>
    <t>07180924_0932</t>
  </si>
  <si>
    <t>07180924_1124</t>
  </si>
  <si>
    <t>07180924_1144</t>
  </si>
  <si>
    <t>07180924_1241</t>
  </si>
  <si>
    <t>07180924_1252</t>
  </si>
  <si>
    <t>07180924_1302</t>
  </si>
  <si>
    <t>07180924_1312</t>
  </si>
  <si>
    <t>07180924_1322</t>
  </si>
  <si>
    <t>07180924_1332</t>
  </si>
  <si>
    <t>07180924_1342</t>
  </si>
  <si>
    <t>07180924_1352</t>
  </si>
  <si>
    <t>07180924_1403</t>
  </si>
  <si>
    <t>07180924_1413</t>
  </si>
  <si>
    <t>07180924_1423</t>
  </si>
  <si>
    <t>07180924_1433</t>
  </si>
  <si>
    <t>07180924_1535</t>
  </si>
  <si>
    <t>2 dumps</t>
  </si>
  <si>
    <t>07180924_1710</t>
  </si>
  <si>
    <t>07180924_1720</t>
  </si>
  <si>
    <t>07180924_1730</t>
  </si>
  <si>
    <t>07180924_1740</t>
  </si>
  <si>
    <t>Changed NaIC amplifier</t>
  </si>
  <si>
    <t>07180924_1750</t>
  </si>
  <si>
    <t>07180924_1800</t>
  </si>
  <si>
    <t>07180924_1810</t>
  </si>
  <si>
    <t>07180924_1821</t>
  </si>
  <si>
    <t>07180924_1831</t>
  </si>
  <si>
    <t>07180924_1841</t>
  </si>
  <si>
    <t>07180924_1851</t>
  </si>
  <si>
    <t>07180924_1901</t>
  </si>
  <si>
    <t>07180924_2004</t>
  </si>
  <si>
    <t>07180924_2015</t>
  </si>
  <si>
    <t>07180924_2025</t>
  </si>
  <si>
    <t>07180924_2035</t>
  </si>
  <si>
    <t>07180924_2045</t>
  </si>
  <si>
    <t>07180924_2055</t>
  </si>
  <si>
    <t>07180924_2105</t>
  </si>
  <si>
    <t>07180924_2115</t>
  </si>
  <si>
    <t>07180924_2125</t>
  </si>
  <si>
    <t>07180924_2136</t>
  </si>
  <si>
    <t>07180924_2146</t>
  </si>
  <si>
    <t>07180924_2156</t>
  </si>
  <si>
    <t>07180924_2259</t>
  </si>
  <si>
    <t>07180924_2309</t>
  </si>
  <si>
    <t>07180924_2319</t>
  </si>
  <si>
    <t>07180924_2329</t>
  </si>
  <si>
    <t>07180924_2340</t>
  </si>
  <si>
    <t>07180924_2350</t>
  </si>
  <si>
    <t>07180925_0000</t>
  </si>
  <si>
    <t>started</t>
  </si>
  <si>
    <t>07180925_0010</t>
  </si>
  <si>
    <t>07180925_0020</t>
  </si>
  <si>
    <t>07180925_0030</t>
  </si>
  <si>
    <t>07180925_0040</t>
  </si>
  <si>
    <t>07180925_0050</t>
  </si>
  <si>
    <t>07180925_0153</t>
  </si>
  <si>
    <t>07180925_0204</t>
  </si>
  <si>
    <t>07180925_0214</t>
  </si>
  <si>
    <t>07180925_0224</t>
  </si>
  <si>
    <t>07180925_0234</t>
  </si>
  <si>
    <t>07180925_0244</t>
  </si>
  <si>
    <t>07180925_0254</t>
  </si>
  <si>
    <t>07180925_0304</t>
  </si>
  <si>
    <t>07180925_0315</t>
  </si>
  <si>
    <t>07180925_0325</t>
  </si>
  <si>
    <t>07180925_0335</t>
  </si>
  <si>
    <t>07180925_0345</t>
  </si>
  <si>
    <t>07180925_0448</t>
  </si>
  <si>
    <t>07180925_0458</t>
  </si>
  <si>
    <t>07180925_0508</t>
  </si>
  <si>
    <t>07180925_0518</t>
  </si>
  <si>
    <t>07180925_0528</t>
  </si>
  <si>
    <t>07180925_0538</t>
  </si>
  <si>
    <t>07180925_0548</t>
  </si>
  <si>
    <t>07180925_0559</t>
  </si>
  <si>
    <t>07180925_0609</t>
  </si>
  <si>
    <t>07180925_0619</t>
  </si>
  <si>
    <t>07180925_0629</t>
  </si>
  <si>
    <t>07180925_0639</t>
  </si>
  <si>
    <t>07180925_0742</t>
  </si>
  <si>
    <t>07180925_0752</t>
  </si>
  <si>
    <t>07180925_0802</t>
  </si>
  <si>
    <t>07180925_0812</t>
  </si>
  <si>
    <t>07180925_0822</t>
  </si>
  <si>
    <t>07180925_0832</t>
  </si>
  <si>
    <t>07180925_0842</t>
  </si>
  <si>
    <t>07180925_0853</t>
  </si>
  <si>
    <t>07180925_0903</t>
  </si>
  <si>
    <t>07180925_0913</t>
  </si>
  <si>
    <t>07180925_0923</t>
  </si>
  <si>
    <t>07180925_0933</t>
  </si>
  <si>
    <t>07180925_1036</t>
  </si>
  <si>
    <t>07180925_1046</t>
  </si>
  <si>
    <t>07180925_1056</t>
  </si>
  <si>
    <t>07180925_1107</t>
  </si>
  <si>
    <t>07180925_1117</t>
  </si>
  <si>
    <t>07180925_1127</t>
  </si>
  <si>
    <t>07180925_1137</t>
  </si>
  <si>
    <t>07180925_1147</t>
  </si>
  <si>
    <t>07180925_1157</t>
  </si>
  <si>
    <t>07180925_1207</t>
  </si>
  <si>
    <t>07180925_1218</t>
  </si>
  <si>
    <t>07180925_1228</t>
  </si>
  <si>
    <t>07180925_1303</t>
  </si>
  <si>
    <t>07180925_1329</t>
  </si>
  <si>
    <t>07180925_1339</t>
  </si>
  <si>
    <t>07180925_1349</t>
  </si>
  <si>
    <t>07180925_1359</t>
  </si>
  <si>
    <t>07180925_1410</t>
  </si>
  <si>
    <t>07180925_1420</t>
  </si>
  <si>
    <t>07180925_1430</t>
  </si>
  <si>
    <t>07180925_1440</t>
  </si>
  <si>
    <t>07180925_1450</t>
  </si>
  <si>
    <t>07180925_1500</t>
  </si>
  <si>
    <t>07180925_1510</t>
  </si>
  <si>
    <t>07180925_1520</t>
  </si>
  <si>
    <t>07180925_1642</t>
  </si>
  <si>
    <t>1914585 07180925_1642</t>
  </si>
  <si>
    <t>07180925_1652</t>
  </si>
  <si>
    <t>1927924 07180925_1652</t>
  </si>
  <si>
    <t>07180925_1702</t>
  </si>
  <si>
    <t>1918070 07180925_1702</t>
  </si>
  <si>
    <t>07180925_1712</t>
  </si>
  <si>
    <t>1937610 07180925_1712</t>
  </si>
  <si>
    <t>07180925_1722</t>
  </si>
  <si>
    <t>1936498 07180925_1722</t>
  </si>
  <si>
    <t>07180925_1732</t>
  </si>
  <si>
    <t>1940671 07180925_1732</t>
  </si>
  <si>
    <t>07180925_1742</t>
  </si>
  <si>
    <t>1940760 07180925_1742</t>
  </si>
  <si>
    <t>07180925_1753</t>
  </si>
  <si>
    <t>1945386 07180925_1753</t>
  </si>
  <si>
    <t>07180925_1803</t>
  </si>
  <si>
    <t>1943309 07180925_1803</t>
  </si>
  <si>
    <t>07180925_1813</t>
  </si>
  <si>
    <t>1925403 07180925_1813</t>
  </si>
  <si>
    <t>07180925_1823</t>
  </si>
  <si>
    <t>1929587 07180925_1823</t>
  </si>
  <si>
    <t>07180925_1833</t>
  </si>
  <si>
    <t>1940318 07180925_1833</t>
  </si>
  <si>
    <t>07180925_1935</t>
  </si>
  <si>
    <t>1935504 07180925_1935</t>
  </si>
  <si>
    <t>07180925_1945</t>
  </si>
  <si>
    <t>1945337 07180925_1945</t>
  </si>
  <si>
    <t>07180925_1955</t>
  </si>
  <si>
    <t>1933387 07180925_1955</t>
  </si>
  <si>
    <t>07180925_2005</t>
  </si>
  <si>
    <t>1931045 07180925_2005</t>
  </si>
  <si>
    <t>07180925_2015</t>
  </si>
  <si>
    <t>1946617 07180925_2015</t>
  </si>
  <si>
    <t>07180925_2026</t>
  </si>
  <si>
    <t>1939264 07180925_2026</t>
  </si>
  <si>
    <t>07180925_2036</t>
  </si>
  <si>
    <t>1914763 07180925_2036</t>
  </si>
  <si>
    <t>07180925_2046</t>
  </si>
  <si>
    <t>1927028 07180925_2046</t>
  </si>
  <si>
    <t>07180925_2056</t>
  </si>
  <si>
    <t>1942994 07180925_2056</t>
  </si>
  <si>
    <t>07180925_2106</t>
  </si>
  <si>
    <t>1935533 07180925_2106</t>
  </si>
  <si>
    <t>07180925_2116</t>
  </si>
  <si>
    <t>1946548 07180925_2116</t>
  </si>
  <si>
    <t>07180925_2126</t>
  </si>
  <si>
    <t>1939529 07180925_2126</t>
  </si>
  <si>
    <t>07180925_2229</t>
  </si>
  <si>
    <t>07180925_2239</t>
  </si>
  <si>
    <t>07180925_2249</t>
  </si>
  <si>
    <t>07180925_2259</t>
  </si>
  <si>
    <t>07180925_2309</t>
  </si>
  <si>
    <t>07180925_2320</t>
  </si>
  <si>
    <t>07180925_2330</t>
  </si>
  <si>
    <t>07180925_2340</t>
  </si>
  <si>
    <t>07180925_2350</t>
  </si>
  <si>
    <t>07180926_0000</t>
  </si>
  <si>
    <t>07180926_0010</t>
  </si>
  <si>
    <t>07180926_0020</t>
  </si>
  <si>
    <t>07180926_0122</t>
  </si>
  <si>
    <t>07180926_0132</t>
  </si>
  <si>
    <t>07180926_0142</t>
  </si>
  <si>
    <t>07180926_0152</t>
  </si>
  <si>
    <t>07180926_0203</t>
  </si>
  <si>
    <t>07180926_0213</t>
  </si>
  <si>
    <t>07180926_0223</t>
  </si>
  <si>
    <t>07180926_0233</t>
  </si>
  <si>
    <t>07180926_0243</t>
  </si>
  <si>
    <t>07180926_0253</t>
  </si>
  <si>
    <t>07180926_0303</t>
  </si>
  <si>
    <t>07180926_0313</t>
  </si>
  <si>
    <t>07180926_0415</t>
  </si>
  <si>
    <t>07180926_0426</t>
  </si>
  <si>
    <t>07180926_0436</t>
  </si>
  <si>
    <t>07180926_0446</t>
  </si>
  <si>
    <t>07180926_0456</t>
  </si>
  <si>
    <t>07180926_0506</t>
  </si>
  <si>
    <t>07180926_0516</t>
  </si>
  <si>
    <t>07180926_0526</t>
  </si>
  <si>
    <t>07180926_0537</t>
  </si>
  <si>
    <t>07180926_0547</t>
  </si>
  <si>
    <t>07180926_0557</t>
  </si>
  <si>
    <t>07180926_0607</t>
  </si>
  <si>
    <t>07180926_0709</t>
  </si>
  <si>
    <t>07180926_0719</t>
  </si>
  <si>
    <t>07180926_0729</t>
  </si>
  <si>
    <t>07180926_0740</t>
  </si>
  <si>
    <t>07180926_0750</t>
  </si>
  <si>
    <t>07180926_0800</t>
  </si>
  <si>
    <t>07180926_0810</t>
  </si>
  <si>
    <t>07180926_0820</t>
  </si>
  <si>
    <t>07180926_0830</t>
  </si>
  <si>
    <t>07180926_0840</t>
  </si>
  <si>
    <t>07180926_0851</t>
  </si>
  <si>
    <t>07180926_0901</t>
  </si>
  <si>
    <t>07180926_1003</t>
  </si>
  <si>
    <t>07180926_1014</t>
  </si>
  <si>
    <t>07180926_1024</t>
  </si>
  <si>
    <t>07180926_1034</t>
  </si>
  <si>
    <t>07180926_1044</t>
  </si>
  <si>
    <t>07180926_1054</t>
  </si>
  <si>
    <t>07180926_1104</t>
  </si>
  <si>
    <t>07180926_1114</t>
  </si>
  <si>
    <t>07180926_1124</t>
  </si>
  <si>
    <t>07180926_1135</t>
  </si>
  <si>
    <t>07180926_1145</t>
  </si>
  <si>
    <t>07180926_1155</t>
  </si>
  <si>
    <t>07180926_1255</t>
  </si>
  <si>
    <t>07180926_1305</t>
  </si>
  <si>
    <t>07180926_1315</t>
  </si>
  <si>
    <t>07180926_1326</t>
  </si>
  <si>
    <t>07180926_1336</t>
  </si>
  <si>
    <t>07180926_1346</t>
  </si>
  <si>
    <t>07180926_1356</t>
  </si>
  <si>
    <t>07180926_1406</t>
  </si>
  <si>
    <t>07180926_1416</t>
  </si>
  <si>
    <t>07180926_1426</t>
  </si>
  <si>
    <t>07180926_1437</t>
  </si>
  <si>
    <t>07180926_1447</t>
  </si>
  <si>
    <t>07180926_1536</t>
  </si>
  <si>
    <t>07180926_1715</t>
  </si>
  <si>
    <t>1635013 07180926_1715</t>
  </si>
  <si>
    <t>07180926_1725</t>
  </si>
  <si>
    <t>1625121 07180926_1725</t>
  </si>
  <si>
    <t>07180926_1735</t>
  </si>
  <si>
    <t>1624450 07180926_1735</t>
  </si>
  <si>
    <t>07180926_1745</t>
  </si>
  <si>
    <t>1626026 07180926_1745</t>
  </si>
  <si>
    <t>07180926_1755</t>
  </si>
  <si>
    <t>1638715 07180926_1755</t>
  </si>
  <si>
    <t>07180926_1805</t>
  </si>
  <si>
    <t>1643409 07180926_1805</t>
  </si>
  <si>
    <t>07180926_1815</t>
  </si>
  <si>
    <t>1641687 07180926_1815</t>
  </si>
  <si>
    <t>07180926_1826</t>
  </si>
  <si>
    <t>1637543 07180926_1826</t>
  </si>
  <si>
    <t>07180926_1836</t>
  </si>
  <si>
    <t>1638302 07180926_1836</t>
  </si>
  <si>
    <t>07180926_1846</t>
  </si>
  <si>
    <t>1628171 07180926_1846</t>
  </si>
  <si>
    <t>07180926_1856</t>
  </si>
  <si>
    <t>1638734 07180926_1856</t>
  </si>
  <si>
    <t>07180926_1906</t>
  </si>
  <si>
    <t>1642721 07180926_1906</t>
  </si>
  <si>
    <t>07180926_2009</t>
  </si>
  <si>
    <t>1634216 07180926_2009</t>
  </si>
  <si>
    <t>07180926_2019</t>
  </si>
  <si>
    <t>1632316 07180926_2019</t>
  </si>
  <si>
    <t>07180926_2029</t>
  </si>
  <si>
    <t>1632474 07180926_2029</t>
  </si>
  <si>
    <t>07180926_2040</t>
  </si>
  <si>
    <t>1647229 07180926_2040</t>
  </si>
  <si>
    <t>07180926_2050</t>
  </si>
  <si>
    <t>1647623 07180926_2050</t>
  </si>
  <si>
    <t>07180926_2100</t>
  </si>
  <si>
    <t>1645526 07180926_2100</t>
  </si>
  <si>
    <t>07180926_2110</t>
  </si>
  <si>
    <t>1633831 07180926_2110</t>
  </si>
  <si>
    <t>07180926_2120</t>
  </si>
  <si>
    <t>1637730 07180926_2120</t>
  </si>
  <si>
    <t>07180926_2130</t>
  </si>
  <si>
    <t>1642918 07180926_2130</t>
  </si>
  <si>
    <t>07180926_2140</t>
  </si>
  <si>
    <t>1620652 07180926_2140</t>
  </si>
  <si>
    <t>07180926_2150</t>
  </si>
  <si>
    <t>1615365 07180926_2150</t>
  </si>
  <si>
    <t>07180926_2201</t>
  </si>
  <si>
    <t>1602883 07180926_2201</t>
  </si>
  <si>
    <t>07180926_2304</t>
  </si>
  <si>
    <t>07180926_2314</t>
  </si>
  <si>
    <t>07180926_2324</t>
  </si>
  <si>
    <t>07180926_2334</t>
  </si>
  <si>
    <t>07180926_2345</t>
  </si>
  <si>
    <t>07180926_2355</t>
  </si>
  <si>
    <t>07180927_0005</t>
  </si>
  <si>
    <t>07180927_0015</t>
  </si>
  <si>
    <t>07180927_0025</t>
  </si>
  <si>
    <t>07180927_0035</t>
  </si>
  <si>
    <t>07180927_0045</t>
  </si>
  <si>
    <t>07180927_0056</t>
  </si>
  <si>
    <t>07180927_0158</t>
  </si>
  <si>
    <t>07180927_0208</t>
  </si>
  <si>
    <t>07180927_0219</t>
  </si>
  <si>
    <t>07180927_0229</t>
  </si>
  <si>
    <t>07180927_0239</t>
  </si>
  <si>
    <t>07180927_0249</t>
  </si>
  <si>
    <t>07180927_0259</t>
  </si>
  <si>
    <t>07180927_0309</t>
  </si>
  <si>
    <t>07180927_0319</t>
  </si>
  <si>
    <t>07180927_0330</t>
  </si>
  <si>
    <t>07180927_0340</t>
  </si>
  <si>
    <t>07180927_0350</t>
  </si>
  <si>
    <t>07180927_0453</t>
  </si>
  <si>
    <t>07180927_0503</t>
  </si>
  <si>
    <t>07180927_0513</t>
  </si>
  <si>
    <t>07180927_0523</t>
  </si>
  <si>
    <t>07180927_0533</t>
  </si>
  <si>
    <t>07180927_0543</t>
  </si>
  <si>
    <t>07180927_0553</t>
  </si>
  <si>
    <t>07180927_0604</t>
  </si>
  <si>
    <t>07180927_0614</t>
  </si>
  <si>
    <t>07180927_0624</t>
  </si>
  <si>
    <t>07180927_0634</t>
  </si>
  <si>
    <t>07180927_0644</t>
  </si>
  <si>
    <t>07180927_0748</t>
  </si>
  <si>
    <t>07180927_0758</t>
  </si>
  <si>
    <t>07180927_0808</t>
  </si>
  <si>
    <t>07180927_0818</t>
  </si>
  <si>
    <t>07180927_0829</t>
  </si>
  <si>
    <t>07180927_0839</t>
  </si>
  <si>
    <t>07180927_0849</t>
  </si>
  <si>
    <t>07180927_0859</t>
  </si>
  <si>
    <t>07180927_0909</t>
  </si>
  <si>
    <t>07180927_0919</t>
  </si>
  <si>
    <t>07180927_0929</t>
  </si>
  <si>
    <t>07180927_0940</t>
  </si>
  <si>
    <t>07180927_1432</t>
  </si>
  <si>
    <t>07180927_1443</t>
  </si>
  <si>
    <t>07180927_1453</t>
  </si>
  <si>
    <t>07180927_1503</t>
  </si>
  <si>
    <t>NaI changes:</t>
  </si>
  <si>
    <t>07180927_1513</t>
  </si>
  <si>
    <t>dynode terminated</t>
  </si>
  <si>
    <t>07180927_1523</t>
  </si>
  <si>
    <t>bias corrected</t>
  </si>
  <si>
    <t>07180927_1533</t>
  </si>
  <si>
    <t>amplifier swap</t>
  </si>
  <si>
    <t>07180927_1543</t>
  </si>
  <si>
    <t>07180927_1554</t>
  </si>
  <si>
    <t>07180927_1604</t>
  </si>
  <si>
    <t>07180927_1614</t>
  </si>
  <si>
    <t>07180927_1624</t>
  </si>
  <si>
    <t>07180927_1726</t>
  </si>
  <si>
    <t>07180927_1736</t>
  </si>
  <si>
    <t>07180927_1746</t>
  </si>
  <si>
    <t>07180927_1756</t>
  </si>
  <si>
    <t>07180927_1807</t>
  </si>
  <si>
    <t>07180927_1817</t>
  </si>
  <si>
    <t>07180927_1827</t>
  </si>
  <si>
    <t>07180927_1837</t>
  </si>
  <si>
    <t>07180927_1847</t>
  </si>
  <si>
    <t>07180927_1857</t>
  </si>
  <si>
    <t>07180927_1907</t>
  </si>
  <si>
    <t>07180927_1918</t>
  </si>
  <si>
    <t>07180927_2017</t>
  </si>
  <si>
    <t>07180927_2027</t>
  </si>
  <si>
    <t>07180927_2037</t>
  </si>
  <si>
    <t>07180927_2048</t>
  </si>
  <si>
    <t>07180927_2058</t>
  </si>
  <si>
    <t>07180927_2108</t>
  </si>
  <si>
    <t>07180927_2118</t>
  </si>
  <si>
    <t>07180927_2128</t>
  </si>
  <si>
    <t>07180927_2138</t>
  </si>
  <si>
    <t>07180927_2148</t>
  </si>
  <si>
    <t>07180927_2158</t>
  </si>
  <si>
    <t>07180927_2208</t>
  </si>
  <si>
    <t>07180927_2309</t>
  </si>
  <si>
    <t>07180927_2319</t>
  </si>
  <si>
    <t>07180927_2329</t>
  </si>
  <si>
    <t>07180927_2339</t>
  </si>
  <si>
    <t>07180927_2349</t>
  </si>
  <si>
    <t>07180927_2359</t>
  </si>
  <si>
    <t>07180928_0009</t>
  </si>
  <si>
    <t>07180928_0019</t>
  </si>
  <si>
    <t>07180928_0030</t>
  </si>
  <si>
    <t>07180928_0040</t>
  </si>
  <si>
    <t>07180928_0050</t>
  </si>
  <si>
    <t>07180928_0100</t>
  </si>
  <si>
    <t>07180928_0200</t>
  </si>
  <si>
    <t>07180928_0210</t>
  </si>
  <si>
    <t>07180928_0220</t>
  </si>
  <si>
    <t>07180928_0230</t>
  </si>
  <si>
    <t>07180928_0240</t>
  </si>
  <si>
    <t>07180928_0250</t>
  </si>
  <si>
    <t>07180928_0300</t>
  </si>
  <si>
    <t>07180928_0310</t>
  </si>
  <si>
    <t>07180928_0320</t>
  </si>
  <si>
    <t>07180928_0331</t>
  </si>
  <si>
    <t>07180928_0341</t>
  </si>
  <si>
    <t>07180928_0351</t>
  </si>
  <si>
    <t>07180928_0451</t>
  </si>
  <si>
    <t>07180928_0501</t>
  </si>
  <si>
    <t>07180928_0511</t>
  </si>
  <si>
    <t>07180928_0521</t>
  </si>
  <si>
    <t>07180928_0531</t>
  </si>
  <si>
    <t>07180928_1014</t>
  </si>
  <si>
    <t>07180928_1024</t>
  </si>
  <si>
    <t>07180928_1034</t>
  </si>
  <si>
    <t>07180928_1044</t>
  </si>
  <si>
    <t>07180928_1055</t>
  </si>
  <si>
    <t>07180928_1105</t>
  </si>
  <si>
    <t>07180928_1115</t>
  </si>
  <si>
    <t>07180928_1125</t>
  </si>
  <si>
    <t>07180928_1135</t>
  </si>
  <si>
    <t>07180928_1145</t>
  </si>
  <si>
    <t>07180928_1155</t>
  </si>
  <si>
    <t>07180928_1205</t>
  </si>
  <si>
    <t>07180928_1303</t>
  </si>
  <si>
    <t>07180928_1313</t>
  </si>
  <si>
    <t>07180928_1323</t>
  </si>
  <si>
    <t>07180928_1333</t>
  </si>
  <si>
    <t>railed (1b)</t>
  </si>
  <si>
    <t>07180928_1343</t>
  </si>
  <si>
    <t>railed (1b&amp;3b)</t>
  </si>
  <si>
    <t>07180928_1353</t>
  </si>
  <si>
    <t>07180928_1403</t>
  </si>
  <si>
    <t>07180928_1413</t>
  </si>
  <si>
    <t>07180928_1423</t>
  </si>
  <si>
    <t>07180928_1434</t>
  </si>
  <si>
    <t>07180928_1444</t>
  </si>
  <si>
    <t>07180928_1454</t>
  </si>
  <si>
    <t>07180928_1722</t>
  </si>
  <si>
    <t>07180928_1732</t>
  </si>
  <si>
    <t>07180928_1742</t>
  </si>
  <si>
    <t>07180928_1752</t>
  </si>
  <si>
    <t>07180928_1802</t>
  </si>
  <si>
    <t>07180928_1813</t>
  </si>
  <si>
    <t>07180928_1823</t>
  </si>
  <si>
    <t>07180928_1833</t>
  </si>
  <si>
    <t>07180928_1843</t>
  </si>
  <si>
    <t>07180928_1853</t>
  </si>
  <si>
    <t>07180928_1903</t>
  </si>
  <si>
    <t>07180928_1913</t>
  </si>
  <si>
    <t>07180928_2011</t>
  </si>
  <si>
    <t>07180928_2021</t>
  </si>
  <si>
    <t>07180928_2031</t>
  </si>
  <si>
    <t>07180928_2041</t>
  </si>
  <si>
    <t>07180928_2051</t>
  </si>
  <si>
    <t>07180928_2102</t>
  </si>
  <si>
    <t>07180928_2112</t>
  </si>
  <si>
    <t>07180928_2122</t>
  </si>
  <si>
    <t>07180928_2132</t>
  </si>
  <si>
    <t>07180928_2142</t>
  </si>
  <si>
    <t>07180928_2152</t>
  </si>
  <si>
    <t>07180928_2202</t>
  </si>
  <si>
    <t>07180928_2300</t>
  </si>
  <si>
    <t>07180928_2310</t>
  </si>
  <si>
    <t>07180928_2320</t>
  </si>
  <si>
    <t>07180928_2330</t>
  </si>
  <si>
    <t>07180928_2340</t>
  </si>
  <si>
    <t>07180928_2350</t>
  </si>
  <si>
    <t>07180929_0001</t>
  </si>
  <si>
    <t>07180929_0011</t>
  </si>
  <si>
    <t>07180929_0021</t>
  </si>
  <si>
    <t>07180929_0031</t>
  </si>
  <si>
    <t>07180929_0041</t>
  </si>
  <si>
    <t>07180929_0051</t>
  </si>
  <si>
    <t>07180929_0149</t>
  </si>
  <si>
    <t>07180929_0159</t>
  </si>
  <si>
    <t>07180929_0209</t>
  </si>
  <si>
    <t>07180929_0219</t>
  </si>
  <si>
    <t>07180929_0229</t>
  </si>
  <si>
    <t>07180929_0239</t>
  </si>
  <si>
    <t>07180929_0250</t>
  </si>
  <si>
    <t>07180929_0300</t>
  </si>
  <si>
    <t>07180929_0310</t>
  </si>
  <si>
    <t>07180929_0320</t>
  </si>
  <si>
    <t>07180929_0330</t>
  </si>
  <si>
    <t>07180929_0340</t>
  </si>
  <si>
    <t>07180929_0438</t>
  </si>
  <si>
    <t>07180929_0448</t>
  </si>
  <si>
    <t>07180929_0458</t>
  </si>
  <si>
    <t>07180929_0508</t>
  </si>
  <si>
    <t>07180929_0518</t>
  </si>
  <si>
    <t>07180929_0528</t>
  </si>
  <si>
    <t>fails to process</t>
  </si>
  <si>
    <t>07180929_0538</t>
  </si>
  <si>
    <t>07180929_0549</t>
  </si>
  <si>
    <t>07180929_0559</t>
  </si>
  <si>
    <t>07180929_0609</t>
  </si>
  <si>
    <t>07180929_0619</t>
  </si>
  <si>
    <t>07180929_0629</t>
  </si>
  <si>
    <t>07180929_0726</t>
  </si>
  <si>
    <t>07180929_0736</t>
  </si>
  <si>
    <t>07180929_0747</t>
  </si>
  <si>
    <t>07180929_0757</t>
  </si>
  <si>
    <t>07180929_0807</t>
  </si>
  <si>
    <t>07180929_0817</t>
  </si>
  <si>
    <t>07180929_0827</t>
  </si>
  <si>
    <t>07180929_0837</t>
  </si>
  <si>
    <t>07180929_0847</t>
  </si>
  <si>
    <t>07180929_0857</t>
  </si>
  <si>
    <t>07180929_0907</t>
  </si>
  <si>
    <t>07180929_0918</t>
  </si>
  <si>
    <t>07180929_1015</t>
  </si>
  <si>
    <t>07180929_1025</t>
  </si>
  <si>
    <t>07180929_1035</t>
  </si>
  <si>
    <t>07180929_1046</t>
  </si>
  <si>
    <t>07180929_1056</t>
  </si>
  <si>
    <t>07180929_1106</t>
  </si>
  <si>
    <t>07180929_1116</t>
  </si>
  <si>
    <t>07180929_1126</t>
  </si>
  <si>
    <t>07180929_1136</t>
  </si>
  <si>
    <t>07180929_1146</t>
  </si>
  <si>
    <t>07180929_1156</t>
  </si>
  <si>
    <t>07180929_1206</t>
  </si>
  <si>
    <t>07180929_1304</t>
  </si>
  <si>
    <t>07180929_1314</t>
  </si>
  <si>
    <t>07180929_1324</t>
  </si>
  <si>
    <t>07180929_1334</t>
  </si>
  <si>
    <t>07180929_1344</t>
  </si>
  <si>
    <t>07180929_1355</t>
  </si>
  <si>
    <t>07180929_1405</t>
  </si>
  <si>
    <t>07180929_1415</t>
  </si>
  <si>
    <t>07180929_1425</t>
  </si>
  <si>
    <t>07180929_1435</t>
  </si>
  <si>
    <t>07180929_1445</t>
  </si>
  <si>
    <t>07180929_1455</t>
  </si>
  <si>
    <t>07180929_1737</t>
  </si>
  <si>
    <t>07180929_1747</t>
  </si>
  <si>
    <t>07180929_1757</t>
  </si>
  <si>
    <t>07180929_1807</t>
  </si>
  <si>
    <t>07180929_1817</t>
  </si>
  <si>
    <t>07180929_1827</t>
  </si>
  <si>
    <t>07180929_1837</t>
  </si>
  <si>
    <t>07180929_1847</t>
  </si>
  <si>
    <t>07180929_1858</t>
  </si>
  <si>
    <t>07180929_1908</t>
  </si>
  <si>
    <t>07180929_1918</t>
  </si>
  <si>
    <t>07180929_1928</t>
  </si>
  <si>
    <t>07180929_2026</t>
  </si>
  <si>
    <t>07180929_2036</t>
  </si>
  <si>
    <t>07180929_2046</t>
  </si>
  <si>
    <t>07180929_2056</t>
  </si>
  <si>
    <t>07180929_2106</t>
  </si>
  <si>
    <t>07180929_2116</t>
  </si>
  <si>
    <t>07180929_2126</t>
  </si>
  <si>
    <t>07180929_2136</t>
  </si>
  <si>
    <t>07180929_2147</t>
  </si>
  <si>
    <t>07180929_2157</t>
  </si>
  <si>
    <t>07180929_2207</t>
  </si>
  <si>
    <t>07180929_2217</t>
  </si>
  <si>
    <t>07180929_2315</t>
  </si>
  <si>
    <t>07180929_2325</t>
  </si>
  <si>
    <t>07180929_2335</t>
  </si>
  <si>
    <t>07180929_2345</t>
  </si>
  <si>
    <t>07180929_2355</t>
  </si>
  <si>
    <t>07180930_0005</t>
  </si>
  <si>
    <t>07180930_0015</t>
  </si>
  <si>
    <t>07180930_0025</t>
  </si>
  <si>
    <t>07180930_0036</t>
  </si>
  <si>
    <t>07180930_0046</t>
  </si>
  <si>
    <t>07180930_0056</t>
  </si>
  <si>
    <t>07180930_0106</t>
  </si>
  <si>
    <t>07180930_0204</t>
  </si>
  <si>
    <t>07180930_0214</t>
  </si>
  <si>
    <t>07180930_0224</t>
  </si>
  <si>
    <t>07180930_0234</t>
  </si>
  <si>
    <t>07180930_0244</t>
  </si>
  <si>
    <t>07180930_0254</t>
  </si>
  <si>
    <t>07180930_0304</t>
  </si>
  <si>
    <t>07180930_0314</t>
  </si>
  <si>
    <t>07180930_0324</t>
  </si>
  <si>
    <t>07180930_0334</t>
  </si>
  <si>
    <t>07180930_0345</t>
  </si>
  <si>
    <t>07180930_0355</t>
  </si>
  <si>
    <t>07180930_0452</t>
  </si>
  <si>
    <t>07180930_0502</t>
  </si>
  <si>
    <t>07180930_0512</t>
  </si>
  <si>
    <t>07180930_0522</t>
  </si>
  <si>
    <t>07180930_0532</t>
  </si>
  <si>
    <t>07180930_0543</t>
  </si>
  <si>
    <t>07180930_0553</t>
  </si>
  <si>
    <t>07180930_0603</t>
  </si>
  <si>
    <t>07180930_0613</t>
  </si>
  <si>
    <t>07180930_0623</t>
  </si>
  <si>
    <t>07180930_0633</t>
  </si>
  <si>
    <t>07180930_0643</t>
  </si>
  <si>
    <t>07180930_0741</t>
  </si>
  <si>
    <t>07180930_0751</t>
  </si>
  <si>
    <t>07180930_0801</t>
  </si>
  <si>
    <t>07180930_0811</t>
  </si>
  <si>
    <t>07180930_0821</t>
  </si>
  <si>
    <t>07180930_0831</t>
  </si>
  <si>
    <t>07180930_0841</t>
  </si>
  <si>
    <t>07180930_0852</t>
  </si>
  <si>
    <t>07180930_0902</t>
  </si>
  <si>
    <t>07180930_0912</t>
  </si>
  <si>
    <t>07180930_0922</t>
  </si>
  <si>
    <t>07180930_0932</t>
  </si>
  <si>
    <t>07180930_1030</t>
  </si>
  <si>
    <t>07180930_1040</t>
  </si>
  <si>
    <t>07180930_1050</t>
  </si>
  <si>
    <t>07180930_1101</t>
  </si>
  <si>
    <t>07180930_1111</t>
  </si>
  <si>
    <t>07180930_1121</t>
  </si>
  <si>
    <t>07180930_1131</t>
  </si>
  <si>
    <t>07180930_1141</t>
  </si>
  <si>
    <t>07180930_1151</t>
  </si>
  <si>
    <t>07180930_1201</t>
  </si>
  <si>
    <t>07180930_1211</t>
  </si>
  <si>
    <t>07180930_1221</t>
  </si>
  <si>
    <t>07180930_1321</t>
  </si>
  <si>
    <t>07180930_1331</t>
  </si>
  <si>
    <t>07180930_1341</t>
  </si>
  <si>
    <t>07180930_1351</t>
  </si>
  <si>
    <t>07180930_1401</t>
  </si>
  <si>
    <t>07180930_1412</t>
  </si>
  <si>
    <t>07180930_1422</t>
  </si>
  <si>
    <t>07180930_1432</t>
  </si>
  <si>
    <t>07180930_1442</t>
  </si>
  <si>
    <t>07180930_1452</t>
  </si>
  <si>
    <t>07180930_1502</t>
  </si>
  <si>
    <t>07180930_1512</t>
  </si>
  <si>
    <t>07180930_1658</t>
  </si>
  <si>
    <t>07180930_1708</t>
  </si>
  <si>
    <t>07180930_1718</t>
  </si>
  <si>
    <t>07180930_1728</t>
  </si>
  <si>
    <t>07180930_1738</t>
  </si>
  <si>
    <t>07180930_1748</t>
  </si>
  <si>
    <t>07180930_1758</t>
  </si>
  <si>
    <t>07180930_1808</t>
  </si>
  <si>
    <t>07180930_1818</t>
  </si>
  <si>
    <t>07180930_1829</t>
  </si>
  <si>
    <t>07180930_1839</t>
  </si>
  <si>
    <t>07180930_1849</t>
  </si>
  <si>
    <t>07180930_1946</t>
  </si>
  <si>
    <t>07180930_1956</t>
  </si>
  <si>
    <t>07180930_2006</t>
  </si>
  <si>
    <t>07180930_2016</t>
  </si>
  <si>
    <t>07180930_2027</t>
  </si>
  <si>
    <t>07180930_2037</t>
  </si>
  <si>
    <t>07180930_2047</t>
  </si>
  <si>
    <t>07180930_2057</t>
  </si>
  <si>
    <t>07180930_2107</t>
  </si>
  <si>
    <t>07180930_2117</t>
  </si>
  <si>
    <t>07180930_2127</t>
  </si>
  <si>
    <t>07180930_2137</t>
  </si>
  <si>
    <t>07180930_2235</t>
  </si>
  <si>
    <t>07180930_2245</t>
  </si>
  <si>
    <t>07180930_2255</t>
  </si>
  <si>
    <t>07180930_2305</t>
  </si>
  <si>
    <t>07180930_2315</t>
  </si>
  <si>
    <t>07180930_2325</t>
  </si>
  <si>
    <t>07180930_2335</t>
  </si>
  <si>
    <t>07180930_2345</t>
  </si>
  <si>
    <t>07180930_2355</t>
  </si>
  <si>
    <t>07181001_0006</t>
  </si>
  <si>
    <t>07181001_0016</t>
  </si>
  <si>
    <t>07181001_0026</t>
  </si>
  <si>
    <t>07181001_0124</t>
  </si>
  <si>
    <t>07181001_0134</t>
  </si>
  <si>
    <t>07181001_0144</t>
  </si>
  <si>
    <t>07181001_0154</t>
  </si>
  <si>
    <t>07181001_0204</t>
  </si>
  <si>
    <t>07181001_0214</t>
  </si>
  <si>
    <t>07181001_0224</t>
  </si>
  <si>
    <t>07181001_0234</t>
  </si>
  <si>
    <t>07181001_0244</t>
  </si>
  <si>
    <t>07181001_0255</t>
  </si>
  <si>
    <t>07181001_0305</t>
  </si>
  <si>
    <t>07181001_0315</t>
  </si>
  <si>
    <t>07181001_0412</t>
  </si>
  <si>
    <t>07181001_0422</t>
  </si>
  <si>
    <t>07181001_0432</t>
  </si>
  <si>
    <t>07181001_0443</t>
  </si>
  <si>
    <t>07181001_0453</t>
  </si>
  <si>
    <t>07181001_0503</t>
  </si>
  <si>
    <t>07181001_0513</t>
  </si>
  <si>
    <t>07181001_0523</t>
  </si>
  <si>
    <t>07181001_0533</t>
  </si>
  <si>
    <t>07181001_0543</t>
  </si>
  <si>
    <t>07181001_0553</t>
  </si>
  <si>
    <t>07181001_0603</t>
  </si>
  <si>
    <t>07181001_0701</t>
  </si>
  <si>
    <t>07181001_0711</t>
  </si>
  <si>
    <t>07181001_0721</t>
  </si>
  <si>
    <t>07181001_0731</t>
  </si>
  <si>
    <t>07181001_0741</t>
  </si>
  <si>
    <t>07181001_0751</t>
  </si>
  <si>
    <t>07181001_0802</t>
  </si>
  <si>
    <t>07181001_0812</t>
  </si>
  <si>
    <t>07181001_0822</t>
  </si>
  <si>
    <t>07181001_0832</t>
  </si>
  <si>
    <t>07181001_0842</t>
  </si>
  <si>
    <t>07181001_0852</t>
  </si>
  <si>
    <t>07181001_0950</t>
  </si>
  <si>
    <t>07181001_1000</t>
  </si>
  <si>
    <t>07181001_1010</t>
  </si>
  <si>
    <t>07181001_1020</t>
  </si>
  <si>
    <t>07181001_1030</t>
  </si>
  <si>
    <t>07181001_1040</t>
  </si>
  <si>
    <t>07181001_1050</t>
  </si>
  <si>
    <t>07181001_1100</t>
  </si>
  <si>
    <t>07181001_1110</t>
  </si>
  <si>
    <t>07181001_1121</t>
  </si>
  <si>
    <t>07181001_1131</t>
  </si>
  <si>
    <t>07181001_1141</t>
  </si>
  <si>
    <t>DCRC3pD low</t>
  </si>
  <si>
    <t>07181001_1240</t>
  </si>
  <si>
    <t>07181001_1250</t>
  </si>
  <si>
    <t>07181001_1300</t>
  </si>
  <si>
    <t>07181001_1311</t>
  </si>
  <si>
    <t>07181001_1321</t>
  </si>
  <si>
    <t>07181001_1331</t>
  </si>
  <si>
    <t>07181001_1341</t>
  </si>
  <si>
    <t>07181001_1351</t>
  </si>
  <si>
    <t>07181001_1401</t>
  </si>
  <si>
    <t>07181001_1411</t>
  </si>
  <si>
    <t>07181001_1421</t>
  </si>
  <si>
    <t>07181001_1432</t>
  </si>
  <si>
    <t>07181001_1608</t>
  </si>
  <si>
    <t>07181001_1618</t>
  </si>
  <si>
    <t>07181001_1628</t>
  </si>
  <si>
    <t>07181001_1638</t>
  </si>
  <si>
    <t>10% prebias</t>
  </si>
  <si>
    <t>07181001_1648</t>
  </si>
  <si>
    <t>07181001_1658</t>
  </si>
  <si>
    <t>07181001_1709</t>
  </si>
  <si>
    <t>07181001_1719</t>
  </si>
  <si>
    <t>07181001_1729</t>
  </si>
  <si>
    <t>07181001_1739</t>
  </si>
  <si>
    <t>07181001_1749</t>
  </si>
  <si>
    <t>07181001_1759</t>
  </si>
  <si>
    <t>07181001_1855</t>
  </si>
  <si>
    <t>07181001_1905</t>
  </si>
  <si>
    <t>07181001_1915</t>
  </si>
  <si>
    <t>07181001_1925</t>
  </si>
  <si>
    <t>15% prebias</t>
  </si>
  <si>
    <t>07181001_1935</t>
  </si>
  <si>
    <t>07181001_1945</t>
  </si>
  <si>
    <t>07181001_1955</t>
  </si>
  <si>
    <t>07181001_2006</t>
  </si>
  <si>
    <t>07181001_2016</t>
  </si>
  <si>
    <t>07181001_2026</t>
  </si>
  <si>
    <t>07181001_2036</t>
  </si>
  <si>
    <t>07181001_2046</t>
  </si>
  <si>
    <t>07181001_2142</t>
  </si>
  <si>
    <t>07181001_2152</t>
  </si>
  <si>
    <t>07181001_2202</t>
  </si>
  <si>
    <t>07181001_2212</t>
  </si>
  <si>
    <t>20% prebias</t>
  </si>
  <si>
    <t>07181001_2222</t>
  </si>
  <si>
    <t>07181001_2232</t>
  </si>
  <si>
    <t>07181001_2243</t>
  </si>
  <si>
    <t>07181001_2253</t>
  </si>
  <si>
    <t>07181001_2303</t>
  </si>
  <si>
    <t>07181001_2313</t>
  </si>
  <si>
    <t>07181001_2323</t>
  </si>
  <si>
    <t>07181001_2333</t>
  </si>
  <si>
    <t>07181002_0030</t>
  </si>
  <si>
    <t>07181002_0040</t>
  </si>
  <si>
    <t>07181002_0050</t>
  </si>
  <si>
    <t>07181002_0100</t>
  </si>
  <si>
    <t>30% prebias</t>
  </si>
  <si>
    <t>07181002_0110</t>
  </si>
  <si>
    <t>07181002_0120</t>
  </si>
  <si>
    <t>07181002_0131</t>
  </si>
  <si>
    <t>07181002_0141</t>
  </si>
  <si>
    <t>07181002_0151</t>
  </si>
  <si>
    <t>07181002_0201</t>
  </si>
  <si>
    <t>07181002_0211</t>
  </si>
  <si>
    <t>07181002_0221</t>
  </si>
  <si>
    <t>07181002_1405</t>
  </si>
  <si>
    <t>07181002_1831</t>
  </si>
  <si>
    <t>07181002_1841</t>
  </si>
  <si>
    <t>07181002_1851</t>
  </si>
  <si>
    <t>07181002_1901</t>
  </si>
  <si>
    <t>07181002_1911</t>
  </si>
  <si>
    <t>20Hz Randoms</t>
  </si>
  <si>
    <t>07181002_1922</t>
  </si>
  <si>
    <t>left on</t>
  </si>
  <si>
    <t>07181002_1932</t>
  </si>
  <si>
    <t>07181002_1942</t>
  </si>
  <si>
    <t>07181002_1952</t>
  </si>
  <si>
    <t>07181002_2002</t>
  </si>
  <si>
    <t>07181002_2012</t>
  </si>
  <si>
    <t>07181002_2022</t>
  </si>
  <si>
    <t>07181002_2121</t>
  </si>
  <si>
    <t>07181002_2131</t>
  </si>
  <si>
    <t>07181002_2141</t>
  </si>
  <si>
    <t>07181002_2151</t>
  </si>
  <si>
    <t>07181002_2202</t>
  </si>
  <si>
    <t>07181002_2212</t>
  </si>
  <si>
    <t>07181002_2222</t>
  </si>
  <si>
    <t>07181002_2232</t>
  </si>
  <si>
    <t>07181002_2242</t>
  </si>
  <si>
    <t>07181002_2252</t>
  </si>
  <si>
    <t>07181002_2302</t>
  </si>
  <si>
    <t>07181002_2313</t>
  </si>
  <si>
    <t>07181003_0011</t>
  </si>
  <si>
    <t>07181003_0021</t>
  </si>
  <si>
    <t>07181003_0031</t>
  </si>
  <si>
    <t>07181003_0041</t>
  </si>
  <si>
    <t>07181003_0051</t>
  </si>
  <si>
    <t>07181003_0101</t>
  </si>
  <si>
    <t>07181003_0112</t>
  </si>
  <si>
    <t>07181003_0122</t>
  </si>
  <si>
    <t>07181003_0132</t>
  </si>
  <si>
    <t>07181003_0142</t>
  </si>
  <si>
    <t>07181003_0152</t>
  </si>
  <si>
    <t>07181003_0202</t>
  </si>
  <si>
    <t>07181003_0300</t>
  </si>
  <si>
    <t>07181003_0311</t>
  </si>
  <si>
    <t>07181003_0321</t>
  </si>
  <si>
    <t>07181003_0331</t>
  </si>
  <si>
    <t>07181003_0341</t>
  </si>
  <si>
    <t>07181003_0351</t>
  </si>
  <si>
    <t>07181003_0401</t>
  </si>
  <si>
    <t>07181003_0411</t>
  </si>
  <si>
    <t>07181003_0422</t>
  </si>
  <si>
    <t>07181003_0432</t>
  </si>
  <si>
    <t>07181003_0442</t>
  </si>
  <si>
    <t>07181003_0452</t>
  </si>
  <si>
    <t>07181003_0550</t>
  </si>
  <si>
    <t>07181003_0600</t>
  </si>
  <si>
    <t>07181003_0610</t>
  </si>
  <si>
    <t>07181003_0620</t>
  </si>
  <si>
    <t>07181003_0630</t>
  </si>
  <si>
    <t>07181003_0641</t>
  </si>
  <si>
    <t>07181003_0651</t>
  </si>
  <si>
    <t>07181003_0701</t>
  </si>
  <si>
    <t>07181003_0711</t>
  </si>
  <si>
    <t>07181003_0721</t>
  </si>
  <si>
    <t>07181003_0731</t>
  </si>
  <si>
    <t>07181003_0741</t>
  </si>
  <si>
    <t>07181003_0840</t>
  </si>
  <si>
    <t>07181003_0850</t>
  </si>
  <si>
    <t>07181003_0900</t>
  </si>
  <si>
    <t>07181003_0910</t>
  </si>
  <si>
    <t>07181003_0920</t>
  </si>
  <si>
    <t>07181003_0930</t>
  </si>
  <si>
    <t>07181003_0940</t>
  </si>
  <si>
    <t>07181003_0951</t>
  </si>
  <si>
    <t>07181003_1001</t>
  </si>
  <si>
    <t>07181003_1011</t>
  </si>
  <si>
    <t>07181003_1021</t>
  </si>
  <si>
    <t>removed source</t>
  </si>
  <si>
    <t>07181003_1031</t>
  </si>
  <si>
    <t>07181003_1131</t>
  </si>
  <si>
    <t>07181003_1141</t>
  </si>
  <si>
    <t>07181003_1151</t>
  </si>
  <si>
    <t>07181003_1202</t>
  </si>
  <si>
    <t>07181003_1212</t>
  </si>
  <si>
    <t>07181003_1222</t>
  </si>
  <si>
    <t>07181003_1232</t>
  </si>
  <si>
    <t>07181003_1242</t>
  </si>
  <si>
    <t>07181003_1252</t>
  </si>
  <si>
    <t>07181003_1302</t>
  </si>
  <si>
    <t>07181003_1312</t>
  </si>
  <si>
    <t>07181003_1323</t>
  </si>
  <si>
    <t>07181003_1421</t>
  </si>
  <si>
    <t>07181003_1431</t>
  </si>
  <si>
    <t>07181003_1441</t>
  </si>
  <si>
    <t>07181003_1451</t>
  </si>
  <si>
    <t>07181003_1502</t>
  </si>
  <si>
    <t>07181003_1512</t>
  </si>
  <si>
    <t>07181003_1522</t>
  </si>
  <si>
    <t>07181003_1532</t>
  </si>
  <si>
    <t>07181003_1542</t>
  </si>
  <si>
    <t>07181003_1552</t>
  </si>
  <si>
    <t>07181003_1602</t>
  </si>
  <si>
    <t>07181003_1613</t>
  </si>
  <si>
    <t>07181003_1740</t>
  </si>
  <si>
    <t>07181003_1750</t>
  </si>
  <si>
    <t>07181003_1800</t>
  </si>
  <si>
    <t>07181003_1810</t>
  </si>
  <si>
    <t>07181003_1820</t>
  </si>
  <si>
    <t>07181003_1830</t>
  </si>
  <si>
    <t>07181003_1840</t>
  </si>
  <si>
    <t>07181003_1851</t>
  </si>
  <si>
    <t>07181003_1901</t>
  </si>
  <si>
    <t>07181003_1911</t>
  </si>
  <si>
    <t>07181003_1921</t>
  </si>
  <si>
    <t>07181003_1931</t>
  </si>
  <si>
    <t>07181003_2031</t>
  </si>
  <si>
    <t>07181003_2041</t>
  </si>
  <si>
    <t>07181003_2051</t>
  </si>
  <si>
    <t>07181003_2102</t>
  </si>
  <si>
    <t>07181003_2112</t>
  </si>
  <si>
    <t>07181003_2122</t>
  </si>
  <si>
    <t>07181003_2132</t>
  </si>
  <si>
    <t>07181003_2142</t>
  </si>
  <si>
    <t>07181003_2152</t>
  </si>
  <si>
    <t>07181003_2202</t>
  </si>
  <si>
    <t>07181003_2212</t>
  </si>
  <si>
    <t>07181003_2223</t>
  </si>
  <si>
    <t>07181003_2322</t>
  </si>
  <si>
    <t>07181003_2332</t>
  </si>
  <si>
    <t>07181003_2342</t>
  </si>
  <si>
    <t>07181003_2353</t>
  </si>
  <si>
    <t>07181004_0003</t>
  </si>
  <si>
    <t>07181004_0013</t>
  </si>
  <si>
    <t>07181004_0023</t>
  </si>
  <si>
    <t>07181004_0033</t>
  </si>
  <si>
    <t>07181004_0043</t>
  </si>
  <si>
    <t>07181004_0053</t>
  </si>
  <si>
    <t>07181004_0103</t>
  </si>
  <si>
    <t>07181004_0113</t>
  </si>
  <si>
    <t>07181004_0213</t>
  </si>
  <si>
    <t>07181004_0223</t>
  </si>
  <si>
    <t>07181004_0233</t>
  </si>
  <si>
    <t>07181004_0244</t>
  </si>
  <si>
    <t>07181004_0254</t>
  </si>
  <si>
    <t>07181004_0304</t>
  </si>
  <si>
    <t>07181004_0314</t>
  </si>
  <si>
    <t>07181004_0324</t>
  </si>
  <si>
    <t>07181004_0334</t>
  </si>
  <si>
    <t>07181004_0344</t>
  </si>
  <si>
    <t>07181004_0355</t>
  </si>
  <si>
    <t>07181004_0405</t>
  </si>
  <si>
    <t>07181004_0504</t>
  </si>
  <si>
    <t>07181004_0514</t>
  </si>
  <si>
    <t>07181004_0524</t>
  </si>
  <si>
    <t>07181004_0534</t>
  </si>
  <si>
    <t>07181004_0545</t>
  </si>
  <si>
    <t>07181004_0555</t>
  </si>
  <si>
    <t>07181004_0605</t>
  </si>
  <si>
    <t>07181004_0615</t>
  </si>
  <si>
    <t>07181004_0625</t>
  </si>
  <si>
    <t>07181004_0635</t>
  </si>
  <si>
    <t>07181004_0645</t>
  </si>
  <si>
    <t>07181004_0655</t>
  </si>
  <si>
    <t>07181004_0755</t>
  </si>
  <si>
    <t>07181004_0805</t>
  </si>
  <si>
    <t>07181004_0815</t>
  </si>
  <si>
    <t>07181004_0825</t>
  </si>
  <si>
    <t>07181004_0835</t>
  </si>
  <si>
    <t>07181004_0846</t>
  </si>
  <si>
    <t>07181004_0856</t>
  </si>
  <si>
    <t>07181004_0906</t>
  </si>
  <si>
    <t>07181004_0916</t>
  </si>
  <si>
    <t>07181004_0926</t>
  </si>
  <si>
    <t>07181004_0936</t>
  </si>
  <si>
    <t>07181004_0946</t>
  </si>
  <si>
    <t>07181004_1045</t>
  </si>
  <si>
    <t>07181004_1056</t>
  </si>
  <si>
    <t>07181004_1106</t>
  </si>
  <si>
    <t>07181004_1116</t>
  </si>
  <si>
    <t>07181004_1126</t>
  </si>
  <si>
    <t>07181004_1136</t>
  </si>
  <si>
    <t>07181004_1146</t>
  </si>
  <si>
    <t>07181004_1156</t>
  </si>
  <si>
    <t>07181004_1206</t>
  </si>
  <si>
    <t>07181004_1217</t>
  </si>
  <si>
    <t>07181004_1227</t>
  </si>
  <si>
    <t>07181004_1237</t>
  </si>
  <si>
    <t>07181004_1336</t>
  </si>
  <si>
    <t>07181004_1346</t>
  </si>
  <si>
    <t>07181004_1357</t>
  </si>
  <si>
    <t>07181004_1407</t>
  </si>
  <si>
    <t>07181004_1417</t>
  </si>
  <si>
    <t>07181004_1427</t>
  </si>
  <si>
    <t>07181004_1437</t>
  </si>
  <si>
    <t>07181004_1447</t>
  </si>
  <si>
    <t>07181004_1457</t>
  </si>
  <si>
    <t>07181004_1507</t>
  </si>
  <si>
    <t>07181004_1517</t>
  </si>
  <si>
    <t>07181004_1528</t>
  </si>
  <si>
    <t>07181004_1717</t>
  </si>
  <si>
    <t>07181004_1727</t>
  </si>
  <si>
    <t>07181004_1737</t>
  </si>
  <si>
    <t>07181004_1747</t>
  </si>
  <si>
    <t>07181004_1757</t>
  </si>
  <si>
    <t>07181004_1808</t>
  </si>
  <si>
    <t>07181004_1818</t>
  </si>
  <si>
    <t>07181004_1828</t>
  </si>
  <si>
    <t>07181004_1838</t>
  </si>
  <si>
    <t>07181004_1848</t>
  </si>
  <si>
    <t>07181004_1858</t>
  </si>
  <si>
    <t>07181004_1908</t>
  </si>
  <si>
    <t>07181004_2008</t>
  </si>
  <si>
    <t>07181004_2018</t>
  </si>
  <si>
    <t>07181004_2028</t>
  </si>
  <si>
    <t>07181004_2039</t>
  </si>
  <si>
    <t>07181004_2049</t>
  </si>
  <si>
    <t>07181004_2059</t>
  </si>
  <si>
    <t>07181004_2109</t>
  </si>
  <si>
    <t>07181004_2119</t>
  </si>
  <si>
    <t>07181004_2129</t>
  </si>
  <si>
    <t>07181004_2139</t>
  </si>
  <si>
    <t>07181004_2150</t>
  </si>
  <si>
    <t>07181004_2200</t>
  </si>
  <si>
    <t>07181004_2259</t>
  </si>
  <si>
    <t>07181004_2309</t>
  </si>
  <si>
    <t>07181004_2319</t>
  </si>
  <si>
    <t>07181004_2329</t>
  </si>
  <si>
    <t>07181004_2340</t>
  </si>
  <si>
    <t>07181004_2350</t>
  </si>
  <si>
    <t>07181005_0000</t>
  </si>
  <si>
    <t>07181005_0010</t>
  </si>
  <si>
    <t>07181005_0020</t>
  </si>
  <si>
    <t>07181005_0030</t>
  </si>
  <si>
    <t>07181005_0040</t>
  </si>
  <si>
    <t>07181005_0050</t>
  </si>
  <si>
    <t>07181005_0150</t>
  </si>
  <si>
    <t>07181005_0200</t>
  </si>
  <si>
    <t>07181005_0210</t>
  </si>
  <si>
    <t>07181005_0221</t>
  </si>
  <si>
    <t>07181005_0231</t>
  </si>
  <si>
    <t>07181005_0241</t>
  </si>
  <si>
    <t>07181005_0251</t>
  </si>
  <si>
    <t>07181005_0301</t>
  </si>
  <si>
    <t>07181005_0311</t>
  </si>
  <si>
    <t>07181005_0321</t>
  </si>
  <si>
    <t>07181005_0331</t>
  </si>
  <si>
    <t>07181005_0342</t>
  </si>
  <si>
    <t>07181005_0441</t>
  </si>
  <si>
    <t>07181005_0451</t>
  </si>
  <si>
    <t>07181005_0502</t>
  </si>
  <si>
    <t>07181005_0512</t>
  </si>
  <si>
    <t>07181005_0522</t>
  </si>
  <si>
    <t>07181005_0532</t>
  </si>
  <si>
    <t>07181005_0542</t>
  </si>
  <si>
    <t>07181005_0552</t>
  </si>
  <si>
    <t>07181005_0602</t>
  </si>
  <si>
    <t>07181005_0612</t>
  </si>
  <si>
    <t>07181005_0623</t>
  </si>
  <si>
    <t>07181005_0633</t>
  </si>
  <si>
    <t>07181005_0733</t>
  </si>
  <si>
    <t>07181005_0743</t>
  </si>
  <si>
    <t>07181005_0753</t>
  </si>
  <si>
    <t>07181005_0803</t>
  </si>
  <si>
    <t>07181005_0813</t>
  </si>
  <si>
    <t>07181005_0823</t>
  </si>
  <si>
    <t>07181005_0833</t>
  </si>
  <si>
    <t>07181005_0843</t>
  </si>
  <si>
    <t>07181005_0854</t>
  </si>
  <si>
    <t>07181005_0904</t>
  </si>
  <si>
    <t>07181005_0914</t>
  </si>
  <si>
    <t>07181005_0924</t>
  </si>
  <si>
    <t>07181005_1024</t>
  </si>
  <si>
    <t>07181005_1034</t>
  </si>
  <si>
    <t>07181005_1044</t>
  </si>
  <si>
    <t>07181005_1054</t>
  </si>
  <si>
    <t>07181005_1104</t>
  </si>
  <si>
    <t>07181005_1114</t>
  </si>
  <si>
    <t>07181005_1124</t>
  </si>
  <si>
    <t>07181005_1134</t>
  </si>
  <si>
    <t>07181005_1145</t>
  </si>
  <si>
    <t>07181005_1155</t>
  </si>
  <si>
    <t>07181005_1205</t>
  </si>
  <si>
    <t>07181005_1215</t>
  </si>
  <si>
    <t>07181005_1339</t>
  </si>
  <si>
    <t>07181005_1539</t>
  </si>
  <si>
    <t>07181005_1630</t>
  </si>
  <si>
    <t>07181005_1640</t>
  </si>
  <si>
    <t>07181005_1650</t>
  </si>
  <si>
    <t>07181005_1700</t>
  </si>
  <si>
    <t>07181005_1710</t>
  </si>
  <si>
    <t>07181005_1721</t>
  </si>
  <si>
    <t>07181005_1731</t>
  </si>
  <si>
    <t>07181005_1830</t>
  </si>
  <si>
    <t>07181005_1840</t>
  </si>
  <si>
    <t>07181005_1850</t>
  </si>
  <si>
    <t>07181005_1901</t>
  </si>
  <si>
    <t>07181005_1911</t>
  </si>
  <si>
    <t>07181005_1921</t>
  </si>
  <si>
    <t>07181005_1931</t>
  </si>
  <si>
    <t>07181005_1941</t>
  </si>
  <si>
    <t>07181005_1951</t>
  </si>
  <si>
    <t>07181005_2001</t>
  </si>
  <si>
    <t>07181005_2011</t>
  </si>
  <si>
    <t>07181005_2021</t>
  </si>
  <si>
    <t>07181005_2121</t>
  </si>
  <si>
    <t>07181005_2131</t>
  </si>
  <si>
    <t>07181005_2142</t>
  </si>
  <si>
    <t>07181005_2152</t>
  </si>
  <si>
    <t>07181005_2202</t>
  </si>
  <si>
    <t>07181005_2212</t>
  </si>
  <si>
    <t>07181005_2222</t>
  </si>
  <si>
    <t>07181005_2232</t>
  </si>
  <si>
    <t>07181005_2242</t>
  </si>
  <si>
    <t>07181005_2252</t>
  </si>
  <si>
    <t>07181005_2303</t>
  </si>
  <si>
    <t>07181005_2313</t>
  </si>
  <si>
    <t>07181006_0013</t>
  </si>
  <si>
    <t>07181006_0023</t>
  </si>
  <si>
    <t>07181006_0033</t>
  </si>
  <si>
    <t>07181006_0043</t>
  </si>
  <si>
    <t>07181006_0053</t>
  </si>
  <si>
    <t>07181006_0103</t>
  </si>
  <si>
    <t>07181006_0113</t>
  </si>
  <si>
    <t>07181006_0123</t>
  </si>
  <si>
    <t>07181006_0134</t>
  </si>
  <si>
    <t>07181006_0144</t>
  </si>
  <si>
    <t>07181006_0154</t>
  </si>
  <si>
    <t>07181006_0204</t>
  </si>
  <si>
    <t>07181006_0304</t>
  </si>
  <si>
    <t>07181006_0314</t>
  </si>
  <si>
    <t>07181006_0324</t>
  </si>
  <si>
    <t>07181006_0334</t>
  </si>
  <si>
    <t>07181006_0344</t>
  </si>
  <si>
    <t>07181006_0354</t>
  </si>
  <si>
    <t>07181006_0404</t>
  </si>
  <si>
    <t>07181006_0415</t>
  </si>
  <si>
    <t>07181006_0425</t>
  </si>
  <si>
    <t>07181006_0435</t>
  </si>
  <si>
    <t>07181006_0445</t>
  </si>
  <si>
    <t>07181006_0455</t>
  </si>
  <si>
    <t>07181006_0555</t>
  </si>
  <si>
    <t>07181006_0605</t>
  </si>
  <si>
    <t>07181006_0615</t>
  </si>
  <si>
    <t>07181006_0625</t>
  </si>
  <si>
    <t>07181006_0635</t>
  </si>
  <si>
    <t>07181006_0645</t>
  </si>
  <si>
    <t>07181006_0655</t>
  </si>
  <si>
    <t>07181006_0705</t>
  </si>
  <si>
    <t>07181006_0716</t>
  </si>
  <si>
    <t>07181006_0726</t>
  </si>
  <si>
    <t>07181006_0736</t>
  </si>
  <si>
    <t>07181006_0746</t>
  </si>
  <si>
    <t>07181006_0846</t>
  </si>
  <si>
    <t>07181006_0856</t>
  </si>
  <si>
    <t>07181006_0906</t>
  </si>
  <si>
    <t>07181006_0916</t>
  </si>
  <si>
    <t>07181006_0926</t>
  </si>
  <si>
    <t>07181006_0936</t>
  </si>
  <si>
    <t>07181006_0946</t>
  </si>
  <si>
    <t>07181006_0956</t>
  </si>
  <si>
    <t>07181006_1007</t>
  </si>
  <si>
    <t>07181006_1017</t>
  </si>
  <si>
    <t>07181006_1027</t>
  </si>
  <si>
    <t>07181006_1037</t>
  </si>
  <si>
    <t>07181006_1137</t>
  </si>
  <si>
    <t>07181006_1147</t>
  </si>
  <si>
    <t>07181006_1157</t>
  </si>
  <si>
    <t>07181006_1207</t>
  </si>
  <si>
    <t>07181006_1217</t>
  </si>
  <si>
    <t>07181006_1227</t>
  </si>
  <si>
    <t>07181006_1238</t>
  </si>
  <si>
    <t>07181006_1248</t>
  </si>
  <si>
    <t>07181006_1258</t>
  </si>
  <si>
    <t>07181006_1308</t>
  </si>
  <si>
    <t>07181006_1318</t>
  </si>
  <si>
    <t>07181006_1328</t>
  </si>
  <si>
    <t>07181006_1657</t>
  </si>
  <si>
    <t>07181006_1707</t>
  </si>
  <si>
    <t>07181006_1717</t>
  </si>
  <si>
    <t>07181006_1727</t>
  </si>
  <si>
    <t>07181006_1737</t>
  </si>
  <si>
    <t xml:space="preserve">dcrc1pb, </t>
  </si>
  <si>
    <t>07181006_1747</t>
  </si>
  <si>
    <t>dcrc3pc low</t>
  </si>
  <si>
    <t>07181006_1757</t>
  </si>
  <si>
    <t>07181006_1808</t>
  </si>
  <si>
    <t>07181006_1818</t>
  </si>
  <si>
    <t>07181006_1828</t>
  </si>
  <si>
    <t>07181006_1838</t>
  </si>
  <si>
    <t>07181006_1848</t>
  </si>
  <si>
    <t>07181006_1948</t>
  </si>
  <si>
    <t>07181006_1958</t>
  </si>
  <si>
    <t>07181006_2008</t>
  </si>
  <si>
    <t>07181006_2018</t>
  </si>
  <si>
    <t>07181006_2028</t>
  </si>
  <si>
    <t>07181006_2038</t>
  </si>
  <si>
    <t>07181006_2048</t>
  </si>
  <si>
    <t>07181006_2058</t>
  </si>
  <si>
    <t>07181006_2109</t>
  </si>
  <si>
    <t>07181006_2119</t>
  </si>
  <si>
    <t>07181006_2129</t>
  </si>
  <si>
    <t>07181006_2139</t>
  </si>
  <si>
    <t>07181006_2239</t>
  </si>
  <si>
    <t>07181006_2249</t>
  </si>
  <si>
    <t>07181006_2259</t>
  </si>
  <si>
    <t>07181006_2309</t>
  </si>
  <si>
    <t>07181006_2319</t>
  </si>
  <si>
    <t>07181006_2329</t>
  </si>
  <si>
    <t>07181006_2339</t>
  </si>
  <si>
    <t>07181006_2349</t>
  </si>
  <si>
    <t>07181007_0000</t>
  </si>
  <si>
    <t>07181007_0010</t>
  </si>
  <si>
    <t>07181007_0020</t>
  </si>
  <si>
    <t>07181007_0030</t>
  </si>
  <si>
    <t>07181007_0130</t>
  </si>
  <si>
    <t>07181007_0140</t>
  </si>
  <si>
    <t>07181007_0150</t>
  </si>
  <si>
    <t>07181007_0200</t>
  </si>
  <si>
    <t>07181007_0210</t>
  </si>
  <si>
    <t>07181007_0220</t>
  </si>
  <si>
    <t>07181007_0231</t>
  </si>
  <si>
    <t>07181007_0241</t>
  </si>
  <si>
    <t>07181007_0251</t>
  </si>
  <si>
    <t>07181007_0301</t>
  </si>
  <si>
    <t>07181007_0311</t>
  </si>
  <si>
    <t>07181007_0321</t>
  </si>
  <si>
    <t>07181007_0421</t>
  </si>
  <si>
    <t>07181007_0431</t>
  </si>
  <si>
    <t>07181007_0441</t>
  </si>
  <si>
    <t>07181007_0451</t>
  </si>
  <si>
    <t>07181007_0501</t>
  </si>
  <si>
    <t>07181007_0511</t>
  </si>
  <si>
    <t>07181007_0522</t>
  </si>
  <si>
    <t>07181007_0532</t>
  </si>
  <si>
    <t>07181007_0542</t>
  </si>
  <si>
    <t>07181007_0552</t>
  </si>
  <si>
    <t>07181007_0602</t>
  </si>
  <si>
    <t>07181007_0612</t>
  </si>
  <si>
    <t>07181007_0712</t>
  </si>
  <si>
    <t>07181007_0722</t>
  </si>
  <si>
    <t>07181007_0732</t>
  </si>
  <si>
    <t>07181007_0742</t>
  </si>
  <si>
    <t>07181007_0752</t>
  </si>
  <si>
    <t>07181007_0803</t>
  </si>
  <si>
    <t>07181007_0813</t>
  </si>
  <si>
    <t>07181007_0823</t>
  </si>
  <si>
    <t>07181007_0833</t>
  </si>
  <si>
    <t>07181007_0843</t>
  </si>
  <si>
    <t>07181007_0853</t>
  </si>
  <si>
    <t>07181007_0903</t>
  </si>
  <si>
    <t>07181007_1003</t>
  </si>
  <si>
    <t>07181007_1013</t>
  </si>
  <si>
    <t>07181007_1024</t>
  </si>
  <si>
    <t>07181007_1034</t>
  </si>
  <si>
    <t>07181007_1044</t>
  </si>
  <si>
    <t>07181007_1054</t>
  </si>
  <si>
    <t>07181007_1104</t>
  </si>
  <si>
    <t>07181007_1114</t>
  </si>
  <si>
    <t>07181007_1124</t>
  </si>
  <si>
    <t>07181007_1134</t>
  </si>
  <si>
    <t>07181007_1145</t>
  </si>
  <si>
    <t>07181007_1155</t>
  </si>
  <si>
    <t>07181007_1254</t>
  </si>
  <si>
    <t>07181007_1304</t>
  </si>
  <si>
    <t>07181007_1314</t>
  </si>
  <si>
    <t>07181007_1324</t>
  </si>
  <si>
    <t>07181007_1335</t>
  </si>
  <si>
    <t>07181007_1345</t>
  </si>
  <si>
    <t>07181007_1355</t>
  </si>
  <si>
    <t>07181007_1405</t>
  </si>
  <si>
    <t>07181007_1415</t>
  </si>
  <si>
    <t>07181007_1425</t>
  </si>
  <si>
    <t>07181007_1435</t>
  </si>
  <si>
    <t>07181007_1445</t>
  </si>
  <si>
    <t>07181007_1554</t>
  </si>
  <si>
    <t>07181007_1604</t>
  </si>
  <si>
    <t>07181007_1614</t>
  </si>
  <si>
    <t>07181007_1624</t>
  </si>
  <si>
    <t>07181007_1634</t>
  </si>
  <si>
    <t>07181007_1644</t>
  </si>
  <si>
    <t>07181007_1654</t>
  </si>
  <si>
    <t>07181007_1704</t>
  </si>
  <si>
    <t>07181007_1715</t>
  </si>
  <si>
    <t>07181007_1725</t>
  </si>
  <si>
    <t>07181007_1735</t>
  </si>
  <si>
    <t>07181007_1745</t>
  </si>
  <si>
    <t>07181007_1844</t>
  </si>
  <si>
    <t>07181007_1854</t>
  </si>
  <si>
    <t>07181007_1904</t>
  </si>
  <si>
    <t>07181007_1914</t>
  </si>
  <si>
    <t>07181007_1925</t>
  </si>
  <si>
    <t>07181007_1935</t>
  </si>
  <si>
    <t>07181007_1945</t>
  </si>
  <si>
    <t>07181007_1955</t>
  </si>
  <si>
    <t>07181007_2005</t>
  </si>
  <si>
    <t>07181007_2015</t>
  </si>
  <si>
    <t>07181007_2025</t>
  </si>
  <si>
    <t>07181007_2035</t>
  </si>
  <si>
    <t>07181007_2133</t>
  </si>
  <si>
    <t>07181007_2143</t>
  </si>
  <si>
    <t>07181007_2154</t>
  </si>
  <si>
    <t>07181007_2204</t>
  </si>
  <si>
    <t>07181007_2214</t>
  </si>
  <si>
    <t>07181007_2224</t>
  </si>
  <si>
    <t>07181007_2234</t>
  </si>
  <si>
    <t>07181007_2244</t>
  </si>
  <si>
    <t>07181007_2254</t>
  </si>
  <si>
    <t>07181007_2304</t>
  </si>
  <si>
    <t>07181007_2314</t>
  </si>
  <si>
    <t>07181007_2324</t>
  </si>
  <si>
    <t>07181008_0022</t>
  </si>
  <si>
    <t>07181008_0032</t>
  </si>
  <si>
    <t>07181008_0042</t>
  </si>
  <si>
    <t>07181008_0053</t>
  </si>
  <si>
    <t>07181008_0103</t>
  </si>
  <si>
    <t>07181008_0113</t>
  </si>
  <si>
    <t>07181008_0123</t>
  </si>
  <si>
    <t>07181008_0133</t>
  </si>
  <si>
    <t>07181008_0143</t>
  </si>
  <si>
    <t>07181008_0153</t>
  </si>
  <si>
    <t>07181008_0203</t>
  </si>
  <si>
    <t>07181008_0214</t>
  </si>
  <si>
    <t>07181008_0311</t>
  </si>
  <si>
    <t>07181008_0321</t>
  </si>
  <si>
    <t>07181008_0332</t>
  </si>
  <si>
    <t>07181008_0342</t>
  </si>
  <si>
    <t>07181008_0352</t>
  </si>
  <si>
    <t>07181008_0402</t>
  </si>
  <si>
    <t>07181008_0412</t>
  </si>
  <si>
    <t>07181008_0422</t>
  </si>
  <si>
    <t>07181008_0432</t>
  </si>
  <si>
    <t>07181008_0442</t>
  </si>
  <si>
    <t>07181008_0452</t>
  </si>
  <si>
    <t>07181008_0503</t>
  </si>
  <si>
    <t>07181008_0600</t>
  </si>
  <si>
    <t>07181008_0611</t>
  </si>
  <si>
    <t>07181008_0621</t>
  </si>
  <si>
    <t>07181008_0631</t>
  </si>
  <si>
    <t>07181008_0641</t>
  </si>
  <si>
    <t>07181008_0651</t>
  </si>
  <si>
    <t>07181008_0701</t>
  </si>
  <si>
    <t>07181008_0711</t>
  </si>
  <si>
    <t>07181008_0721</t>
  </si>
  <si>
    <t>07181008_0731</t>
  </si>
  <si>
    <t>07181008_0742</t>
  </si>
  <si>
    <t>07181008_0752</t>
  </si>
  <si>
    <t>07181008_0850</t>
  </si>
  <si>
    <t>07181008_0900</t>
  </si>
  <si>
    <t>07181008_0910</t>
  </si>
  <si>
    <t>07181008_0920</t>
  </si>
  <si>
    <t>07181008_0930</t>
  </si>
  <si>
    <t>07181008_0940</t>
  </si>
  <si>
    <t>07181008_0950</t>
  </si>
  <si>
    <t>07181008_1000</t>
  </si>
  <si>
    <t>07181008_1011</t>
  </si>
  <si>
    <t>07181008_1021</t>
  </si>
  <si>
    <t>07181008_1031</t>
  </si>
  <si>
    <t>07181008_1041</t>
  </si>
  <si>
    <t>07181008_1140</t>
  </si>
  <si>
    <t>bkg</t>
  </si>
  <si>
    <t>07181008_1150</t>
  </si>
  <si>
    <t>07181008_1201</t>
  </si>
  <si>
    <t>07181008_1211</t>
  </si>
  <si>
    <t>07181008_1221</t>
  </si>
  <si>
    <t>07181008_1231</t>
  </si>
  <si>
    <t>07181008_1241</t>
  </si>
  <si>
    <t>07181008_1251</t>
  </si>
  <si>
    <t>07181008_1301</t>
  </si>
  <si>
    <t>07181008_1312</t>
  </si>
  <si>
    <t>07181008_1322</t>
  </si>
  <si>
    <t>07181008_1332</t>
  </si>
  <si>
    <t>07181008_1453</t>
  </si>
  <si>
    <t>07181008_1503</t>
  </si>
  <si>
    <t>07181008_1513</t>
  </si>
  <si>
    <t>07181008_1523</t>
  </si>
  <si>
    <t>07181008_1533</t>
  </si>
  <si>
    <t>07181008_1543</t>
  </si>
  <si>
    <t>07181008_1553</t>
  </si>
  <si>
    <t>07181008_1604</t>
  </si>
  <si>
    <t>07181008_1614</t>
  </si>
  <si>
    <t>07181008_1624</t>
  </si>
  <si>
    <t>07181008_1634</t>
  </si>
  <si>
    <t>07181008_1644</t>
  </si>
  <si>
    <t>07181008_1744</t>
  </si>
  <si>
    <t>07181008_1754</t>
  </si>
  <si>
    <t>07181008_1805</t>
  </si>
  <si>
    <t>07181008_1815</t>
  </si>
  <si>
    <t>07181008_1825</t>
  </si>
  <si>
    <t>07181008_1835</t>
  </si>
  <si>
    <t>07181008_1845</t>
  </si>
  <si>
    <t>07181008_1855</t>
  </si>
  <si>
    <t>07181008_1905</t>
  </si>
  <si>
    <t>07181008_1915</t>
  </si>
  <si>
    <t>07181008_1925</t>
  </si>
  <si>
    <t>07181008_1936</t>
  </si>
  <si>
    <t>07181008_2037</t>
  </si>
  <si>
    <t>07181008_2047</t>
  </si>
  <si>
    <t>07181008_2057</t>
  </si>
  <si>
    <t>07181008_2107</t>
  </si>
  <si>
    <t>07181008_2117</t>
  </si>
  <si>
    <t>07181008_2127</t>
  </si>
  <si>
    <t>07181008_2137</t>
  </si>
  <si>
    <t>07181008_2147</t>
  </si>
  <si>
    <t>07181008_2158</t>
  </si>
  <si>
    <t>07181008_2208</t>
  </si>
  <si>
    <t>07181008_2218</t>
  </si>
  <si>
    <t>07181008_2228</t>
  </si>
  <si>
    <t>07181008_2328</t>
  </si>
  <si>
    <t>07181008_2338</t>
  </si>
  <si>
    <t>07181008_2348</t>
  </si>
  <si>
    <t>07181008_2359</t>
  </si>
  <si>
    <t>07181009_0009</t>
  </si>
  <si>
    <t>07181009_0019</t>
  </si>
  <si>
    <t>07181009_0029</t>
  </si>
  <si>
    <t>07181009_0039</t>
  </si>
  <si>
    <t>07181009_0049</t>
  </si>
  <si>
    <t>07181009_0059</t>
  </si>
  <si>
    <t>07181009_0109</t>
  </si>
  <si>
    <t>07181009_0120</t>
  </si>
  <si>
    <t>07181009_0220</t>
  </si>
  <si>
    <t>07181009_0230</t>
  </si>
  <si>
    <t>07181009_0240</t>
  </si>
  <si>
    <t>07181009_0250</t>
  </si>
  <si>
    <t>07181009_0300</t>
  </si>
  <si>
    <t>07181009_0310</t>
  </si>
  <si>
    <t>07181009_0321</t>
  </si>
  <si>
    <t>07181009_0331</t>
  </si>
  <si>
    <t>07181009_0341</t>
  </si>
  <si>
    <t>07181009_0351</t>
  </si>
  <si>
    <t>07181009_0401</t>
  </si>
  <si>
    <t>07181009_0411</t>
  </si>
  <si>
    <t>07181009_0511</t>
  </si>
  <si>
    <t>07181009_0521</t>
  </si>
  <si>
    <t>07181009_0531</t>
  </si>
  <si>
    <t>07181009_0541</t>
  </si>
  <si>
    <t>07181009_0551</t>
  </si>
  <si>
    <t>07181009_0601</t>
  </si>
  <si>
    <t>07181009_0611</t>
  </si>
  <si>
    <t>07181009_0622</t>
  </si>
  <si>
    <t>07181009_0632</t>
  </si>
  <si>
    <t>07181009_0642</t>
  </si>
  <si>
    <t>07181009_0652</t>
  </si>
  <si>
    <t>07181009_0702</t>
  </si>
  <si>
    <t>07181009_0802</t>
  </si>
  <si>
    <t>07181009_0812</t>
  </si>
  <si>
    <t>07181009_0822</t>
  </si>
  <si>
    <t>07181009_0832</t>
  </si>
  <si>
    <t>07181009_0842</t>
  </si>
  <si>
    <t>07181009_0852</t>
  </si>
  <si>
    <t>07181009_0902</t>
  </si>
  <si>
    <t>07181009_0912</t>
  </si>
  <si>
    <t>07181009_0923</t>
  </si>
  <si>
    <t>07181009_0933</t>
  </si>
  <si>
    <t>07181009_0943</t>
  </si>
  <si>
    <t>07181009_0953</t>
  </si>
  <si>
    <t>07181009_1052</t>
  </si>
  <si>
    <t>07181009_1102</t>
  </si>
  <si>
    <t>DCRC3pC/D</t>
  </si>
  <si>
    <t>07181009_1112</t>
  </si>
  <si>
    <t>= 10/9</t>
  </si>
  <si>
    <t>07181009_1123</t>
  </si>
  <si>
    <t>07181009_1133</t>
  </si>
  <si>
    <t>07181009_1143</t>
  </si>
  <si>
    <t>07181009_1153</t>
  </si>
  <si>
    <t>07181009_1203</t>
  </si>
  <si>
    <t>07181009_1213</t>
  </si>
  <si>
    <t>07181009_1223</t>
  </si>
  <si>
    <t>07181009_1233</t>
  </si>
  <si>
    <t>07181009_1243</t>
  </si>
  <si>
    <t>07181009_1455</t>
  </si>
  <si>
    <t>07181009_1505</t>
  </si>
  <si>
    <t>07181009_1516</t>
  </si>
  <si>
    <t>07181009_1526</t>
  </si>
  <si>
    <t>07181009_1536</t>
  </si>
  <si>
    <t>07181009_1546</t>
  </si>
  <si>
    <t>07181009_1556</t>
  </si>
  <si>
    <t>07181009_1606</t>
  </si>
  <si>
    <t>07181009_1616</t>
  </si>
  <si>
    <t>DCRC3pB/C</t>
  </si>
  <si>
    <t>07181009_1626</t>
  </si>
  <si>
    <t>= 7/10</t>
  </si>
  <si>
    <t>07181009_1636</t>
  </si>
  <si>
    <t>07181009_1647</t>
  </si>
  <si>
    <t>07181009_1746</t>
  </si>
  <si>
    <t>07181009_1756</t>
  </si>
  <si>
    <t>07181009_1806</t>
  </si>
  <si>
    <t>= 9/12/11</t>
  </si>
  <si>
    <t>07181009_1816</t>
  </si>
  <si>
    <t>07181009_1826</t>
  </si>
  <si>
    <t>07181009_1836</t>
  </si>
  <si>
    <t>07181009_1846</t>
  </si>
  <si>
    <t>07181009_1856</t>
  </si>
  <si>
    <t>07181009_1906</t>
  </si>
  <si>
    <t>= 11/14/13</t>
  </si>
  <si>
    <t>07181009_1917</t>
  </si>
  <si>
    <t>07181009_1927</t>
  </si>
  <si>
    <t>07181009_1937</t>
  </si>
  <si>
    <t>07181009_2144</t>
  </si>
  <si>
    <t>07181009_2154</t>
  </si>
  <si>
    <t>07181009_2204</t>
  </si>
  <si>
    <t>07181009_2214</t>
  </si>
  <si>
    <t>07181009_2224</t>
  </si>
  <si>
    <t>07181009_2234</t>
  </si>
  <si>
    <t>07181009_2245</t>
  </si>
  <si>
    <t>07181009_2255</t>
  </si>
  <si>
    <t>07181009_2305</t>
  </si>
  <si>
    <t>07181009_2315</t>
  </si>
  <si>
    <t>07181009_2325</t>
  </si>
  <si>
    <t>07181009_2335</t>
  </si>
  <si>
    <t>07181010_0903</t>
  </si>
  <si>
    <t>07181010_0913</t>
  </si>
  <si>
    <t>07181010_0923</t>
  </si>
  <si>
    <t>= 13/16/15</t>
  </si>
  <si>
    <t>07181010_0933</t>
  </si>
  <si>
    <t>07181010_0944</t>
  </si>
  <si>
    <t>07181010_0954</t>
  </si>
  <si>
    <t>07181010_1004</t>
  </si>
  <si>
    <t>07181010_1014</t>
  </si>
  <si>
    <t>07181010_1024</t>
  </si>
  <si>
    <t>07181010_1034</t>
  </si>
  <si>
    <t>07181010_1044</t>
  </si>
  <si>
    <t>07181010_1054</t>
  </si>
  <si>
    <t>07181010_1151</t>
  </si>
  <si>
    <t>07181010_1201</t>
  </si>
  <si>
    <t>07181010_1211</t>
  </si>
  <si>
    <t>= 15/18/17</t>
  </si>
  <si>
    <t>07181010_1221</t>
  </si>
  <si>
    <t>kB/2hr</t>
  </si>
  <si>
    <t>10-min series</t>
  </si>
  <si>
    <t>kB</t>
  </si>
  <si>
    <t>MB</t>
  </si>
  <si>
    <t>GB</t>
  </si>
  <si>
    <t>TB</t>
  </si>
  <si>
    <t>07181010_1231</t>
  </si>
  <si>
    <t>07181010_1241</t>
  </si>
  <si>
    <t>07181010_1251</t>
  </si>
  <si>
    <t>Bkg</t>
  </si>
  <si>
    <t>07181010_1301</t>
  </si>
  <si>
    <t>07181010_1311</t>
  </si>
  <si>
    <t>07181010_1321</t>
  </si>
  <si>
    <t>07181010_1332</t>
  </si>
  <si>
    <t>07181010_1342</t>
  </si>
  <si>
    <t>HV start</t>
  </si>
  <si>
    <t>HV drift rate (V/min)</t>
  </si>
  <si>
    <t>duration (min)</t>
  </si>
  <si>
    <t>07190529_1647</t>
  </si>
  <si>
    <t>Am</t>
  </si>
  <si>
    <t>07190529_1700</t>
  </si>
  <si>
    <t>07190529_1720</t>
  </si>
  <si>
    <t>07190529_1740</t>
  </si>
  <si>
    <t>07190529_1800</t>
  </si>
  <si>
    <t>07190529_1820</t>
  </si>
  <si>
    <t>07190529_1840</t>
  </si>
  <si>
    <t>07190529_1901</t>
  </si>
  <si>
    <t>07190529_1921</t>
  </si>
  <si>
    <t>07190529_1941</t>
  </si>
  <si>
    <t>07190530_1531</t>
  </si>
  <si>
    <t>07190530_1544</t>
  </si>
  <si>
    <t>07190530_1604</t>
  </si>
  <si>
    <t>07190530_1624</t>
  </si>
  <si>
    <t>07190530_1644</t>
  </si>
  <si>
    <t>07190530_1704</t>
  </si>
  <si>
    <t>07190530_1724</t>
  </si>
  <si>
    <t>07190530_1745</t>
  </si>
  <si>
    <t>07190530_1805</t>
  </si>
  <si>
    <t>07190530_1825</t>
  </si>
  <si>
    <t>07190531_0942</t>
  </si>
  <si>
    <t>07190531_1002</t>
  </si>
  <si>
    <t>07190531_1022</t>
  </si>
  <si>
    <t>07190531_1042</t>
  </si>
  <si>
    <t>07190531_1102</t>
  </si>
  <si>
    <t>07190531_1122</t>
  </si>
  <si>
    <t>07190531_1142</t>
  </si>
  <si>
    <t>07190531_1202</t>
  </si>
  <si>
    <t>07190531_1222</t>
  </si>
  <si>
    <t>07190531_1250</t>
  </si>
  <si>
    <t>07190601_1852</t>
  </si>
  <si>
    <t>07190601_1855</t>
  </si>
  <si>
    <t>07190601_1858</t>
  </si>
  <si>
    <t>07190603_0937</t>
  </si>
  <si>
    <t>07190603_1633</t>
  </si>
  <si>
    <t>07190604_1700</t>
  </si>
  <si>
    <t>07190605_1406</t>
  </si>
  <si>
    <t>Shorted noise test</t>
  </si>
  <si>
    <t>07190605_1724</t>
  </si>
  <si>
    <t>Sluggish ramp up</t>
  </si>
  <si>
    <t>07190605_1918</t>
  </si>
  <si>
    <t>07190605_2110</t>
  </si>
  <si>
    <t>07190605_2303</t>
  </si>
  <si>
    <t>07190606_0057</t>
  </si>
  <si>
    <t>07190606_1314</t>
  </si>
  <si>
    <t>07190606_1717</t>
  </si>
  <si>
    <t>07190606_1908</t>
  </si>
  <si>
    <t>07190606_2227</t>
  </si>
  <si>
    <t>07190607_0801</t>
  </si>
  <si>
    <t>07190607_1213</t>
  </si>
  <si>
    <t>07190607_1405</t>
  </si>
  <si>
    <t>07190607_1802</t>
  </si>
  <si>
    <t>2 shield walls</t>
  </si>
  <si>
    <t>07190607_2117</t>
  </si>
  <si>
    <t>07190608_1120</t>
  </si>
  <si>
    <t>07190608_1620</t>
  </si>
  <si>
    <t>07190608_1920</t>
  </si>
  <si>
    <t>07190608_2148</t>
  </si>
  <si>
    <t>07190609_0856</t>
  </si>
  <si>
    <t>07190609_1123</t>
  </si>
  <si>
    <t>07190609_1528</t>
  </si>
  <si>
    <t>07190609_1748</t>
  </si>
  <si>
    <t>07190609_2039</t>
  </si>
  <si>
    <t>07190610_1703</t>
  </si>
  <si>
    <t>new QET bias</t>
  </si>
  <si>
    <t>07190610_1947</t>
  </si>
  <si>
    <t>07190610_2210</t>
  </si>
  <si>
    <t>07190611_0939</t>
  </si>
  <si>
    <t>07190611_1215</t>
  </si>
  <si>
    <t>07190611_1513</t>
  </si>
  <si>
    <t>Aborted</t>
  </si>
  <si>
    <t>07190611_1521</t>
  </si>
  <si>
    <t>07190611_1702</t>
  </si>
  <si>
    <t>3 shield walls</t>
  </si>
  <si>
    <t>07190611_2139</t>
  </si>
  <si>
    <t>07190612_1114</t>
  </si>
  <si>
    <t>cal0612</t>
  </si>
  <si>
    <t>07190612_1355</t>
  </si>
  <si>
    <t>07190612_1656</t>
  </si>
  <si>
    <t>07190612_2032</t>
  </si>
  <si>
    <t>07190612_2255</t>
  </si>
  <si>
    <t>07190613_0726</t>
  </si>
  <si>
    <t>07190613_1103</t>
  </si>
  <si>
    <t>07190613_1410</t>
  </si>
  <si>
    <t>07190613_1711</t>
  </si>
  <si>
    <t>07190614_0953</t>
  </si>
  <si>
    <t>07190614_1444</t>
  </si>
  <si>
    <t>07190614_1739</t>
  </si>
  <si>
    <t>07190614_2028</t>
  </si>
  <si>
    <t>07190615_0541</t>
  </si>
  <si>
    <t>07190615_0924</t>
  </si>
  <si>
    <t>07190615_1256</t>
  </si>
  <si>
    <t>07190615_1552</t>
  </si>
  <si>
    <t>DCRC1pD railed</t>
  </si>
  <si>
    <t>07190615_1955</t>
  </si>
  <si>
    <t>07190615_2229</t>
  </si>
  <si>
    <t>07190616_0522</t>
  </si>
  <si>
    <t>07190616_0849</t>
  </si>
  <si>
    <t>07190616_1125</t>
  </si>
  <si>
    <t>07190616_1538</t>
  </si>
  <si>
    <t>slightly higher HV leakage</t>
  </si>
  <si>
    <t>07190616_1848</t>
  </si>
  <si>
    <t>07190617_1300</t>
  </si>
  <si>
    <t>trying HV filter</t>
  </si>
  <si>
    <t>07190617_1418</t>
  </si>
  <si>
    <t>07190617_1717</t>
  </si>
  <si>
    <t>after 26min PuBe activation</t>
  </si>
  <si>
    <t>07190617_2127</t>
  </si>
  <si>
    <t>trig thresh increased to 15</t>
  </si>
  <si>
    <t>07190618_1121</t>
  </si>
  <si>
    <t>07190618_1627</t>
  </si>
  <si>
    <t>trig thresh 10</t>
  </si>
  <si>
    <t>after 124 min PuBe activation</t>
  </si>
  <si>
    <t>07190618_2102</t>
  </si>
  <si>
    <t xml:space="preserve"> DCRC4pB railed</t>
  </si>
  <si>
    <t>07190619_0719</t>
  </si>
  <si>
    <t>07190619_1036</t>
  </si>
  <si>
    <t>trig thresh 8</t>
  </si>
  <si>
    <t>07190619_1341</t>
  </si>
  <si>
    <t>trig thresh 7</t>
  </si>
  <si>
    <t>07190619_1718</t>
  </si>
  <si>
    <t>07190619_1953</t>
  </si>
  <si>
    <t>07190619_2313</t>
  </si>
  <si>
    <t>07190620_1208</t>
  </si>
  <si>
    <t>07190620_1448</t>
  </si>
  <si>
    <t>07190620_1657</t>
  </si>
  <si>
    <t>07190620_2024</t>
  </si>
  <si>
    <t>07190621_0928</t>
  </si>
  <si>
    <t>07190621_1004</t>
  </si>
  <si>
    <t>HV unplugged</t>
  </si>
  <si>
    <t>07190621_1108</t>
  </si>
  <si>
    <t>07190621_1127</t>
  </si>
  <si>
    <t>2x driver gain</t>
  </si>
  <si>
    <t>07190621_1325</t>
  </si>
  <si>
    <t>Higher QETs</t>
  </si>
  <si>
    <t>07190621_2004</t>
  </si>
  <si>
    <t>after longish bake</t>
  </si>
  <si>
    <t>07190622_1006</t>
  </si>
  <si>
    <t>DAQ crash, bad series</t>
  </si>
  <si>
    <t>07190622_1545</t>
  </si>
  <si>
    <t>thresh 8/8/8</t>
  </si>
  <si>
    <t>07190622_1832</t>
  </si>
  <si>
    <t>07190622_2111</t>
  </si>
  <si>
    <t>07190622_2342</t>
  </si>
  <si>
    <t>07190623_0527</t>
  </si>
  <si>
    <t>07190623_0936</t>
  </si>
  <si>
    <t>thresh 7/7/7</t>
  </si>
  <si>
    <t>07190623_1216</t>
  </si>
  <si>
    <t>07190623_1511</t>
  </si>
  <si>
    <t>channels railed, bad series</t>
  </si>
  <si>
    <t>07190623_2020</t>
  </si>
  <si>
    <t>test series</t>
  </si>
  <si>
    <t>07190623_2122</t>
  </si>
  <si>
    <t>07190624_0658</t>
  </si>
  <si>
    <t>07190624_1627</t>
  </si>
  <si>
    <t>07190624_1945</t>
  </si>
  <si>
    <t>07190625_0519</t>
  </si>
  <si>
    <t>07190625_0941</t>
  </si>
  <si>
    <t>07190626_1423</t>
  </si>
  <si>
    <t>start heating still, raise DCRC4pC QET bias</t>
  </si>
  <si>
    <t>07190626_1820</t>
  </si>
  <si>
    <t>07190626_2123</t>
  </si>
  <si>
    <t>07190627_0742</t>
  </si>
  <si>
    <t>thresh 6 on pF</t>
  </si>
  <si>
    <t>07190627_1555</t>
  </si>
  <si>
    <t>Gain falls too fast</t>
  </si>
  <si>
    <t>after 150 min PuBe activation</t>
  </si>
  <si>
    <t>07190627_1919</t>
  </si>
  <si>
    <t>DAQ slow, so drift rate is off</t>
  </si>
  <si>
    <t>07190627_2214</t>
  </si>
  <si>
    <t>07190628_0559</t>
  </si>
  <si>
    <t>start using loops in sequencer</t>
  </si>
  <si>
    <t>07190628_0828</t>
  </si>
  <si>
    <t>07190628_1056</t>
  </si>
  <si>
    <t>07190628_1720</t>
  </si>
  <si>
    <t>07190628_1948</t>
  </si>
  <si>
    <t>07190628_2217</t>
  </si>
  <si>
    <t>07190629_0046</t>
  </si>
  <si>
    <t>07190629_0314</t>
  </si>
  <si>
    <t>07190629_0543</t>
  </si>
  <si>
    <t>07190629_1230</t>
  </si>
  <si>
    <t>07190629_1459</t>
  </si>
  <si>
    <t>07190629_1727</t>
  </si>
  <si>
    <t>07190629_1956</t>
  </si>
  <si>
    <t>07190629_2224</t>
  </si>
  <si>
    <t>07190630_0055</t>
  </si>
  <si>
    <t>07190630_0812</t>
  </si>
  <si>
    <t>07190630_1041</t>
  </si>
  <si>
    <t>07190630_1309</t>
  </si>
  <si>
    <t>07190630_1538</t>
  </si>
  <si>
    <t>07190630_1806</t>
  </si>
  <si>
    <t>07190630_2035</t>
  </si>
  <si>
    <t>07190630_2312</t>
  </si>
  <si>
    <t>07190701_0140</t>
  </si>
  <si>
    <t>07190701_0409</t>
  </si>
  <si>
    <t>07190701_0638</t>
  </si>
  <si>
    <t>07190701_0906</t>
  </si>
  <si>
    <t>07190701_1135</t>
  </si>
  <si>
    <t>07190701_1703</t>
  </si>
  <si>
    <t>Vtest max 9</t>
  </si>
  <si>
    <t>07190701_1932</t>
  </si>
  <si>
    <t>Vtest max 12, slightly elevated</t>
  </si>
  <si>
    <t>07190701_2201</t>
  </si>
  <si>
    <t>Vtest max 14, slightly elevated</t>
  </si>
  <si>
    <t>07190702_0029</t>
  </si>
  <si>
    <t>Vtest max 22, elevated</t>
  </si>
  <si>
    <t>07190702_0258</t>
  </si>
  <si>
    <t>Vtest max 24, elevated</t>
  </si>
  <si>
    <t>07190702_0527</t>
  </si>
  <si>
    <t>Vtest max 25, elevated</t>
  </si>
  <si>
    <t>07190702_1621</t>
  </si>
  <si>
    <t>thresh pF 6:20/30/600</t>
  </si>
  <si>
    <t>07190702_1850</t>
  </si>
  <si>
    <t>07190702_2118</t>
  </si>
  <si>
    <t>thresh pF 5:20/30/600</t>
  </si>
  <si>
    <t>07190702_2347</t>
  </si>
  <si>
    <t>07190703_0216</t>
  </si>
  <si>
    <t>07190703_0444</t>
  </si>
  <si>
    <t>07190703_1653</t>
  </si>
  <si>
    <t>thresh pF 3:20/30/600</t>
  </si>
  <si>
    <t>07190703_1921</t>
  </si>
  <si>
    <t>07190703_2150</t>
  </si>
  <si>
    <t>07190704_0018</t>
  </si>
  <si>
    <t>07190704_0247</t>
  </si>
  <si>
    <t>07190704_0516</t>
  </si>
  <si>
    <t>07190704_1728</t>
  </si>
  <si>
    <t>07190704_1913</t>
  </si>
  <si>
    <t>07190704_2058</t>
  </si>
  <si>
    <t>07190704_2244</t>
  </si>
  <si>
    <t>07190705_0029</t>
  </si>
  <si>
    <t>07190705_0214</t>
  </si>
  <si>
    <t>07190705_0400</t>
  </si>
  <si>
    <t>07190705_0545</t>
  </si>
  <si>
    <t>07190705_1806</t>
  </si>
  <si>
    <t>after 210 min PuBe activation</t>
  </si>
  <si>
    <t>07190705_1951</t>
  </si>
  <si>
    <t>07190705_2137</t>
  </si>
  <si>
    <t>07190705_2322</t>
  </si>
  <si>
    <t>07190706_0107</t>
  </si>
  <si>
    <t>07190706_0253</t>
  </si>
  <si>
    <t>07190706_0438</t>
  </si>
  <si>
    <t>07190706_0624</t>
  </si>
  <si>
    <t>07190706_0929</t>
  </si>
  <si>
    <t>07190706_1115</t>
  </si>
  <si>
    <t>07190706_1300</t>
  </si>
  <si>
    <t>07190706_1445</t>
  </si>
  <si>
    <t>07190706_1631</t>
  </si>
  <si>
    <t>07190706_1816</t>
  </si>
  <si>
    <t>07190706_2002</t>
  </si>
  <si>
    <t>07190706_2147</t>
  </si>
  <si>
    <t>07190707_1730</t>
  </si>
  <si>
    <t>thresh pF 2:20/30/600</t>
  </si>
  <si>
    <t>constant triggering</t>
  </si>
  <si>
    <t>07190707_1915</t>
  </si>
  <si>
    <t>07190707_2100</t>
  </si>
  <si>
    <t>07190707_2246</t>
  </si>
  <si>
    <t>07190708_0031</t>
  </si>
  <si>
    <t>07190708_0216</t>
  </si>
  <si>
    <t>07190708_0402</t>
  </si>
  <si>
    <t>07190708_0547</t>
  </si>
  <si>
    <t>07190708_1552</t>
  </si>
  <si>
    <t>thresh pF 3:20/16/600</t>
  </si>
  <si>
    <t>pre-pulse too long</t>
  </si>
  <si>
    <t>07190708_1737</t>
  </si>
  <si>
    <t>OF fails</t>
  </si>
  <si>
    <t>07190708_1923</t>
  </si>
  <si>
    <t>07190708_2108</t>
  </si>
  <si>
    <t>07190708_2254</t>
  </si>
  <si>
    <t>07190709_0039</t>
  </si>
  <si>
    <t>07190709_0224</t>
  </si>
  <si>
    <t>07190709_0410</t>
  </si>
  <si>
    <t>07190709_1418</t>
  </si>
  <si>
    <t>07190709_1603</t>
  </si>
  <si>
    <t>07190709_1749</t>
  </si>
  <si>
    <t>07190709_1934</t>
  </si>
  <si>
    <t>07190709_2119</t>
  </si>
  <si>
    <t>07190709_2305</t>
  </si>
  <si>
    <t>07190710_0050</t>
  </si>
  <si>
    <t>07190710_0236</t>
  </si>
  <si>
    <t>07190711_1315</t>
  </si>
  <si>
    <t>07190711_1500</t>
  </si>
  <si>
    <t>07190711_1646</t>
  </si>
  <si>
    <t>07190711_1831</t>
  </si>
  <si>
    <t>07190711_2016</t>
  </si>
  <si>
    <t>07190711_2201</t>
  </si>
  <si>
    <t>07190711_2347</t>
  </si>
  <si>
    <t>07190712_0132</t>
  </si>
  <si>
    <t>07190713_1317</t>
  </si>
  <si>
    <t>thresh pF 3:20/16/500</t>
  </si>
  <si>
    <t>07190713_1502</t>
  </si>
  <si>
    <t>07190713_1648</t>
  </si>
  <si>
    <t>07190713_1833</t>
  </si>
  <si>
    <t>07190713_2019</t>
  </si>
  <si>
    <t>07190713_2205</t>
  </si>
  <si>
    <t>07190713_2351</t>
  </si>
  <si>
    <t>07190714_0136</t>
  </si>
  <si>
    <t>07190714_2148</t>
  </si>
  <si>
    <t>07190714_2333</t>
  </si>
  <si>
    <t>07190715_0118</t>
  </si>
  <si>
    <t>07190715_0303</t>
  </si>
  <si>
    <t>07190715_0449</t>
  </si>
  <si>
    <t>07190715_0634</t>
  </si>
  <si>
    <t>07190715_0819</t>
  </si>
  <si>
    <t>07190715_1005</t>
  </si>
  <si>
    <t>07190715_1542</t>
  </si>
  <si>
    <t>thresh pF 3:20/13/500</t>
  </si>
  <si>
    <t>07190716_1607</t>
  </si>
  <si>
    <t>after add'l 15.75 hr PuBe activation</t>
  </si>
  <si>
    <t>07190716_1753</t>
  </si>
  <si>
    <t>Fridge failed at beginning of this block</t>
  </si>
  <si>
    <t>07190716_1938</t>
  </si>
  <si>
    <t>Probably no good data</t>
  </si>
  <si>
    <t>07190716_2123</t>
  </si>
  <si>
    <t>07190716_2309</t>
  </si>
  <si>
    <t>07190717_0054</t>
  </si>
  <si>
    <t>07190717_0239</t>
  </si>
  <si>
    <t>07190717_0425</t>
  </si>
  <si>
    <t>07190718_1308</t>
  </si>
  <si>
    <t>thresh pF 6:120/28/500</t>
  </si>
  <si>
    <t>Rate</t>
  </si>
  <si>
    <t>07190718_1453</t>
  </si>
  <si>
    <t>DCRC4pB (S1pB) railed</t>
  </si>
  <si>
    <t>07190718_1656</t>
  </si>
  <si>
    <t>After 19 min S1pB railed</t>
  </si>
  <si>
    <t>07190718_1842</t>
  </si>
  <si>
    <t>S1pC railed</t>
  </si>
  <si>
    <t>07190718_2027</t>
  </si>
  <si>
    <t>07190718_2212</t>
  </si>
  <si>
    <t>07190718_2359</t>
  </si>
  <si>
    <t>07190719_0145</t>
  </si>
  <si>
    <t>07190719_0330</t>
  </si>
  <si>
    <t>07190719_0515</t>
  </si>
  <si>
    <t>07190719_0701</t>
  </si>
  <si>
    <t>07190719_0846</t>
  </si>
  <si>
    <t>07190719_1032</t>
  </si>
  <si>
    <t>07190719_1217</t>
  </si>
  <si>
    <t>07190719_1608</t>
  </si>
  <si>
    <t>HV leakage higher than usual</t>
  </si>
  <si>
    <t>07190719_1753</t>
  </si>
  <si>
    <t>07190719_1938</t>
  </si>
  <si>
    <t>07190719_2124</t>
  </si>
  <si>
    <t>07190719_2309</t>
  </si>
  <si>
    <t>07190720_0055</t>
  </si>
  <si>
    <t>07190720_0240</t>
  </si>
  <si>
    <t>07190720_0426</t>
  </si>
  <si>
    <t>07190720_1041</t>
  </si>
  <si>
    <t>07190720_1227</t>
  </si>
  <si>
    <t>07190720_1412</t>
  </si>
  <si>
    <t>07190720_1557</t>
  </si>
  <si>
    <t>07190720_1743</t>
  </si>
  <si>
    <t>07190720_1928</t>
  </si>
  <si>
    <t>07190720_2113</t>
  </si>
  <si>
    <t>07190720_2259</t>
  </si>
  <si>
    <t>07190721_1308</t>
  </si>
  <si>
    <t>07190721_1454</t>
  </si>
  <si>
    <t>07190721_1639</t>
  </si>
  <si>
    <t>07190721_1824</t>
  </si>
  <si>
    <t>07190721_2010</t>
  </si>
  <si>
    <t>07190721_2155</t>
  </si>
  <si>
    <t>07190721_2340</t>
  </si>
  <si>
    <t>07190722_0126</t>
  </si>
  <si>
    <t>07190722_1607</t>
  </si>
  <si>
    <t>failed - DAQ problems</t>
  </si>
  <si>
    <t>07190722_1744</t>
  </si>
  <si>
    <t>DAQ test</t>
  </si>
  <si>
    <t>07190722_1925</t>
  </si>
  <si>
    <t>07190722_1954</t>
  </si>
  <si>
    <t>07190722_2019</t>
  </si>
  <si>
    <t>07190722_2041</t>
  </si>
  <si>
    <t>07190722_2051</t>
  </si>
  <si>
    <t>07190722_2101</t>
  </si>
  <si>
    <t>07190722_2104</t>
  </si>
  <si>
    <t>07190722_2106</t>
  </si>
  <si>
    <t>07190722_2109</t>
  </si>
  <si>
    <t>07190722_2111</t>
  </si>
  <si>
    <t>07190722_2119</t>
  </si>
  <si>
    <t>07190722_2133</t>
  </si>
  <si>
    <t>07190722_2147</t>
  </si>
  <si>
    <t>07190722_2158</t>
  </si>
  <si>
    <t>07190722_2206</t>
  </si>
  <si>
    <t>07190722_2216</t>
  </si>
  <si>
    <t>07190722_2229</t>
  </si>
  <si>
    <t>07190722_2252</t>
  </si>
  <si>
    <t>07190723_0851</t>
  </si>
  <si>
    <t>drift rate too low</t>
  </si>
  <si>
    <t>07190723_1056</t>
  </si>
  <si>
    <t>07190723_1108</t>
  </si>
  <si>
    <t>drift rate slightly high</t>
  </si>
  <si>
    <t>07190723_1330</t>
  </si>
  <si>
    <t>no NaI</t>
  </si>
  <si>
    <t>07190723_1525</t>
  </si>
  <si>
    <t>NaI in data</t>
  </si>
  <si>
    <t>07190723_1654</t>
  </si>
  <si>
    <t>07190723_1823</t>
  </si>
  <si>
    <t>07190723_1952</t>
  </si>
  <si>
    <t>07190723_2122</t>
  </si>
  <si>
    <t>Dump1 empty, processing fails</t>
  </si>
  <si>
    <t>07190723_2251</t>
  </si>
  <si>
    <t>07190724_0020</t>
  </si>
  <si>
    <t>07190724_0150</t>
  </si>
  <si>
    <t>07190724_0934</t>
  </si>
  <si>
    <t>07190724_1103</t>
  </si>
  <si>
    <t>07190724_1305</t>
  </si>
  <si>
    <t>07190724_1434</t>
  </si>
  <si>
    <t>07190724_1604</t>
  </si>
  <si>
    <t>07190724_1834</t>
  </si>
  <si>
    <t>07190724_2003</t>
  </si>
  <si>
    <t>07190724_2133</t>
  </si>
  <si>
    <t>07190724_2304</t>
  </si>
  <si>
    <t>07190725_0034</t>
  </si>
  <si>
    <t>07190725_0203</t>
  </si>
  <si>
    <t>07190725_0332</t>
  </si>
  <si>
    <t>07190725_0502</t>
  </si>
  <si>
    <t>07190725_0631</t>
  </si>
  <si>
    <t>07190725_0800</t>
  </si>
  <si>
    <t>07190725_0930</t>
  </si>
  <si>
    <t>07190725_1149</t>
  </si>
  <si>
    <t>07190725_1318</t>
  </si>
  <si>
    <t>07190725_1447</t>
  </si>
  <si>
    <t>07190725_1617</t>
  </si>
  <si>
    <t>07190725_1746</t>
  </si>
  <si>
    <t>07190725_1916</t>
  </si>
  <si>
    <t>07190725_2045</t>
  </si>
  <si>
    <t>07190725_2214</t>
  </si>
  <si>
    <t>No data, MIDAS crash</t>
  </si>
  <si>
    <t>07190726_0011</t>
  </si>
  <si>
    <t>07190726_0140</t>
  </si>
  <si>
    <t>07190726_0310</t>
  </si>
  <si>
    <t>07190726_0439</t>
  </si>
  <si>
    <t>07190726_0608</t>
  </si>
  <si>
    <t>07190726_0738</t>
  </si>
  <si>
    <t>07190726_0907</t>
  </si>
  <si>
    <t>07190726_1036</t>
  </si>
  <si>
    <t>07190726_1227</t>
  </si>
  <si>
    <t>07190726_1356</t>
  </si>
  <si>
    <t>07190726_1526</t>
  </si>
  <si>
    <t>07190726_1655</t>
  </si>
  <si>
    <t>07190726_1824</t>
  </si>
  <si>
    <t>07190726_1954</t>
  </si>
  <si>
    <t>07190726_2123</t>
  </si>
  <si>
    <t>07190726_2304</t>
  </si>
  <si>
    <t>07190727_0033</t>
  </si>
  <si>
    <t>07190727_0203</t>
  </si>
  <si>
    <t>07190727_0332</t>
  </si>
  <si>
    <t>07190727_0501</t>
  </si>
  <si>
    <t>07190727_0631</t>
  </si>
  <si>
    <t>07190727_0800</t>
  </si>
  <si>
    <t>07190727_0929</t>
  </si>
  <si>
    <t>07190727_1100</t>
  </si>
  <si>
    <t>07190727_1230</t>
  </si>
  <si>
    <t>07190727_1359</t>
  </si>
  <si>
    <t>07190727_1528</t>
  </si>
  <si>
    <t>07190727_1657</t>
  </si>
  <si>
    <t>07190727_1827</t>
  </si>
  <si>
    <t>07190727_1956</t>
  </si>
  <si>
    <t>07190727_2125</t>
  </si>
  <si>
    <t>07190728_0840</t>
  </si>
  <si>
    <t>07190728_1009</t>
  </si>
  <si>
    <t>07190728_1138</t>
  </si>
  <si>
    <t>07190728_1308</t>
  </si>
  <si>
    <t>07190728_1437</t>
  </si>
  <si>
    <t>07190728_1606</t>
  </si>
  <si>
    <t>07190728_1736</t>
  </si>
  <si>
    <t>07190728_1905</t>
  </si>
  <si>
    <t>07190728_2046</t>
  </si>
  <si>
    <t>07190728_2215</t>
  </si>
  <si>
    <t>07190728_2344</t>
  </si>
  <si>
    <t>07190729_0114</t>
  </si>
  <si>
    <t>07190729_0243</t>
  </si>
  <si>
    <t>07190729_0412</t>
  </si>
  <si>
    <t>07190729_0541</t>
  </si>
  <si>
    <t>07190729_0711</t>
  </si>
  <si>
    <t>07190729_0844</t>
  </si>
  <si>
    <t>07190729_1014</t>
  </si>
  <si>
    <t>07190729_1143</t>
  </si>
  <si>
    <t>MIDAS crash, Gluke prob. low</t>
  </si>
  <si>
    <t>07190729_1317</t>
  </si>
  <si>
    <t>07190729_1446</t>
  </si>
  <si>
    <t>07190729_1616</t>
  </si>
  <si>
    <t>07190729_1745</t>
  </si>
  <si>
    <t>07190729_1915</t>
  </si>
  <si>
    <t>07190729_2108</t>
  </si>
  <si>
    <t>07190729_2237</t>
  </si>
  <si>
    <t>07190730_0007</t>
  </si>
  <si>
    <t>07190730_0136</t>
  </si>
  <si>
    <t>07190730_0305</t>
  </si>
  <si>
    <t>07190730_0434</t>
  </si>
  <si>
    <t>07190730_0604</t>
  </si>
  <si>
    <t>07190730_0733</t>
  </si>
  <si>
    <t>07190730_0951</t>
  </si>
  <si>
    <t>07190730_1125</t>
  </si>
  <si>
    <t>07190730_1258</t>
  </si>
  <si>
    <t>07190730_1446</t>
  </si>
  <si>
    <t>07190730_1615</t>
  </si>
  <si>
    <t>07190730_1745</t>
  </si>
  <si>
    <t>07190730_1914</t>
  </si>
  <si>
    <t>07190730_2043</t>
  </si>
  <si>
    <t>07190731_0623</t>
  </si>
  <si>
    <t>Empty 1st series</t>
  </si>
  <si>
    <t>07190731_0957</t>
  </si>
  <si>
    <t>07190731_1127</t>
  </si>
  <si>
    <t>07190731_1257</t>
  </si>
  <si>
    <t>07190731_1426</t>
  </si>
  <si>
    <t>07190731_1556</t>
  </si>
  <si>
    <t>pF railed</t>
  </si>
  <si>
    <t>07190731_1725</t>
  </si>
  <si>
    <t>07190731_1854</t>
  </si>
  <si>
    <t>07190731_2330</t>
  </si>
  <si>
    <t>pF railed, Empty 1st series</t>
  </si>
  <si>
    <t>07190801_0100</t>
  </si>
  <si>
    <t>07190801_0229</t>
  </si>
  <si>
    <t>07190801_0358</t>
  </si>
  <si>
    <t>07190801_0528</t>
  </si>
  <si>
    <t>07190801_0657</t>
  </si>
  <si>
    <t>07190801_0826</t>
  </si>
  <si>
    <t>07190801_0956</t>
  </si>
  <si>
    <t>07190801_1407</t>
  </si>
  <si>
    <t>07190801_1536</t>
  </si>
  <si>
    <t>07190801_1706</t>
  </si>
  <si>
    <t>07190801_1835</t>
  </si>
  <si>
    <t>07190801_2004</t>
  </si>
  <si>
    <t>07190801_2134</t>
  </si>
  <si>
    <t>07190801_2303</t>
  </si>
  <si>
    <t>07190802_0032</t>
  </si>
  <si>
    <t>07190802_0930</t>
  </si>
  <si>
    <t>07190802_1100</t>
  </si>
  <si>
    <t>07190802_1229</t>
  </si>
  <si>
    <t>07190802_1358</t>
  </si>
  <si>
    <t>07190802_1528</t>
  </si>
  <si>
    <t>07190802_1657</t>
  </si>
  <si>
    <t>07190802_1826</t>
  </si>
  <si>
    <t>07190802_1956</t>
  </si>
  <si>
    <t>07190802_2253</t>
  </si>
  <si>
    <t>07190803_0022</t>
  </si>
  <si>
    <t>07190803_0152</t>
  </si>
  <si>
    <t>07190803_0321</t>
  </si>
  <si>
    <t>07190803_0450</t>
  </si>
  <si>
    <t>07190803_0620</t>
  </si>
  <si>
    <t>07190803_0749</t>
  </si>
  <si>
    <t>07190803_0921</t>
  </si>
  <si>
    <t>07190803_1050</t>
  </si>
  <si>
    <t>07190803_1220</t>
  </si>
  <si>
    <t>07190803_1349</t>
  </si>
  <si>
    <t>LHe transfer ended during series</t>
  </si>
  <si>
    <t>07190803_1518</t>
  </si>
  <si>
    <t>07190803_1647</t>
  </si>
  <si>
    <t>07190803_1817</t>
  </si>
  <si>
    <t>07190803_1946</t>
  </si>
  <si>
    <t>07190803_2232</t>
  </si>
  <si>
    <t>07190804_0001</t>
  </si>
  <si>
    <t>07190804_0131</t>
  </si>
  <si>
    <t>07190804_0300</t>
  </si>
  <si>
    <t>07190804_0429</t>
  </si>
  <si>
    <t>07190804_0559</t>
  </si>
  <si>
    <t>07190804_0728</t>
  </si>
  <si>
    <t>07190804_0857</t>
  </si>
  <si>
    <t>07190804_1052</t>
  </si>
  <si>
    <t>07190804_1222</t>
  </si>
  <si>
    <t>07190804_1351</t>
  </si>
  <si>
    <t>07190804_1520</t>
  </si>
  <si>
    <t>07190804_1650</t>
  </si>
  <si>
    <t>07190804_1819</t>
  </si>
  <si>
    <t>07190804_1948</t>
  </si>
  <si>
    <t>07190804_2118</t>
  </si>
  <si>
    <t>07190805_1123</t>
  </si>
  <si>
    <t>07190805_1252</t>
  </si>
  <si>
    <t>07190805_1422</t>
  </si>
  <si>
    <t>During LHe transfer</t>
  </si>
  <si>
    <t>07190805_1551</t>
  </si>
  <si>
    <t>07190805_1720</t>
  </si>
  <si>
    <t>07190805_1850</t>
  </si>
  <si>
    <t>07190805_2019</t>
  </si>
  <si>
    <t>07190805_2148</t>
  </si>
  <si>
    <t>07190806_0849</t>
  </si>
  <si>
    <t>07190806_1018</t>
  </si>
  <si>
    <t>07190806_1147</t>
  </si>
  <si>
    <t>07190806_1317</t>
  </si>
  <si>
    <t>07190806_1446</t>
  </si>
  <si>
    <t>07190806_1615</t>
  </si>
  <si>
    <t>07190806_1745</t>
  </si>
  <si>
    <t>07190806_1914</t>
  </si>
  <si>
    <t>07190806_2259</t>
  </si>
  <si>
    <t>07190807_0028</t>
  </si>
  <si>
    <t>07190807_0158</t>
  </si>
  <si>
    <t>07190807_0327</t>
  </si>
  <si>
    <t>07190807_0456</t>
  </si>
  <si>
    <t>07190807_0626</t>
  </si>
  <si>
    <t>07190807_0755</t>
  </si>
  <si>
    <t>07190807_0924</t>
  </si>
  <si>
    <t>07190807_1109</t>
  </si>
  <si>
    <t>07190807_1238</t>
  </si>
  <si>
    <t>07190807_1437</t>
  </si>
  <si>
    <t>07190807_1607</t>
  </si>
  <si>
    <t>07190807_1736</t>
  </si>
  <si>
    <t>07190807_1906</t>
  </si>
  <si>
    <t>07190807_2035</t>
  </si>
  <si>
    <t>07190807_2226</t>
  </si>
  <si>
    <t>07190807_2355</t>
  </si>
  <si>
    <t>07190808_0125</t>
  </si>
  <si>
    <t>07190808_0254</t>
  </si>
  <si>
    <t>07190808_0423</t>
  </si>
  <si>
    <t>07190808_0553</t>
  </si>
  <si>
    <t>07190808_0722</t>
  </si>
  <si>
    <t>07190808_0851</t>
  </si>
  <si>
    <t>07190808_1131</t>
  </si>
  <si>
    <t>07190808_1301</t>
  </si>
  <si>
    <t>07190808_1431</t>
  </si>
  <si>
    <t>07190808_1600</t>
  </si>
  <si>
    <t>07190808_1729</t>
  </si>
  <si>
    <t>07190808_1859</t>
  </si>
  <si>
    <t>07190808_2028</t>
  </si>
  <si>
    <t>07190808_2157</t>
  </si>
  <si>
    <t>07190808_2329</t>
  </si>
  <si>
    <t>07190809_0058</t>
  </si>
  <si>
    <t>07190809_0228</t>
  </si>
  <si>
    <t>07190809_0357</t>
  </si>
  <si>
    <t>07190809_0526</t>
  </si>
  <si>
    <t>07190809_0656</t>
  </si>
  <si>
    <t>07190809_0825</t>
  </si>
  <si>
    <t>07190809_0954</t>
  </si>
  <si>
    <t>07190809_1140</t>
  </si>
  <si>
    <t>07190809_1554</t>
  </si>
  <si>
    <t>07190809_1739</t>
  </si>
  <si>
    <t>07190809_1925</t>
  </si>
  <si>
    <t>07190809_2110</t>
  </si>
  <si>
    <t>07190809_2256</t>
  </si>
  <si>
    <t>07190810_0041</t>
  </si>
  <si>
    <t>07190810_0226</t>
  </si>
  <si>
    <t>07190810_0412</t>
  </si>
  <si>
    <t>07190810_1027</t>
  </si>
  <si>
    <t>07190810_1212</t>
  </si>
  <si>
    <t>07190810_1358</t>
  </si>
  <si>
    <t>07190810_1543</t>
  </si>
  <si>
    <t>07190810_1728</t>
  </si>
  <si>
    <t>07190810_1942</t>
  </si>
  <si>
    <t>07190810_2127</t>
  </si>
  <si>
    <t>07190810_2313</t>
  </si>
  <si>
    <t>07190811_0058</t>
  </si>
  <si>
    <t>07190811_0244</t>
  </si>
  <si>
    <t>07190811_0429</t>
  </si>
  <si>
    <t>07190811_0615</t>
  </si>
  <si>
    <t>07190811_0800</t>
  </si>
  <si>
    <t>07190811_1054</t>
  </si>
  <si>
    <t>07190811_1239</t>
  </si>
  <si>
    <t>07190811_1509</t>
  </si>
  <si>
    <t>07190811_1654</t>
  </si>
  <si>
    <t>07190811_1840</t>
  </si>
  <si>
    <t>07190811_2025</t>
  </si>
  <si>
    <t>07190811_2211</t>
  </si>
  <si>
    <t>07190811_2359</t>
  </si>
  <si>
    <t>07190812_0144</t>
  </si>
  <si>
    <t>07190812_0330</t>
  </si>
  <si>
    <t>07190812_0515</t>
  </si>
  <si>
    <t>07190812_0701</t>
  </si>
  <si>
    <t>07190812_0846</t>
  </si>
  <si>
    <t>07190812_1031</t>
  </si>
  <si>
    <t>07190812_1217</t>
  </si>
  <si>
    <t>07190812_1433</t>
  </si>
  <si>
    <t>07190812_1618</t>
  </si>
  <si>
    <t>07190812_1802</t>
  </si>
  <si>
    <t>07190812_1946</t>
  </si>
  <si>
    <t>07190812_2130</t>
  </si>
  <si>
    <t>07190812_2315</t>
  </si>
  <si>
    <t>07190813_0059</t>
  </si>
  <si>
    <t>07190813_0243</t>
  </si>
  <si>
    <t>07190813_1010</t>
  </si>
  <si>
    <t>07190813_1156</t>
  </si>
  <si>
    <t>07190813_1342</t>
  </si>
  <si>
    <t>07190813_1528</t>
  </si>
  <si>
    <t>07190813_1713</t>
  </si>
  <si>
    <t>07190813_1859</t>
  </si>
  <si>
    <t>07190813_2045</t>
  </si>
  <si>
    <t>07190813_2231</t>
  </si>
  <si>
    <t>07190814_1216</t>
  </si>
  <si>
    <t>07190814_1339</t>
  </si>
  <si>
    <t>07190814_1502</t>
  </si>
  <si>
    <t>07190814_1624</t>
  </si>
  <si>
    <t>07190814_1747</t>
  </si>
  <si>
    <t>07190814_1909</t>
  </si>
  <si>
    <t>07190814_2032</t>
  </si>
  <si>
    <t>07190814_2155</t>
  </si>
  <si>
    <t>07190815_0914</t>
  </si>
  <si>
    <t>07190815_1037</t>
  </si>
  <si>
    <t>07190815_1200</t>
  </si>
  <si>
    <t>07190815_1322</t>
  </si>
  <si>
    <t>07190815_1624</t>
  </si>
  <si>
    <t>07190815_1747</t>
  </si>
  <si>
    <t>07190815_1909</t>
  </si>
  <si>
    <t>07190815_2032</t>
  </si>
  <si>
    <t>07190816_1004</t>
  </si>
  <si>
    <t>Moved Na source closer</t>
  </si>
  <si>
    <t>07190816_1116</t>
  </si>
  <si>
    <t>07190816_1228</t>
  </si>
  <si>
    <t>07190816_1339</t>
  </si>
  <si>
    <t>07190816_1451</t>
  </si>
  <si>
    <t>07190816_1602</t>
  </si>
  <si>
    <t>07190816_1714</t>
  </si>
  <si>
    <t>07190816_1826</t>
  </si>
  <si>
    <t>07190816_2247</t>
  </si>
  <si>
    <t>07190816_2359</t>
  </si>
  <si>
    <t>07190817_0110</t>
  </si>
  <si>
    <t>07190817_0222</t>
  </si>
  <si>
    <t>07190817_0333</t>
  </si>
  <si>
    <t>07190817_0445</t>
  </si>
  <si>
    <t>07190817_0557</t>
  </si>
  <si>
    <t>07190817_0708</t>
  </si>
  <si>
    <t>07190817_1533</t>
  </si>
  <si>
    <t>07190817_1719</t>
  </si>
  <si>
    <t>07190817_1904</t>
  </si>
  <si>
    <t>07190817_2050</t>
  </si>
  <si>
    <t>07190817_2235</t>
  </si>
  <si>
    <t>07190818_0021</t>
  </si>
  <si>
    <t>07190818_0206</t>
  </si>
  <si>
    <t>07190818_0352</t>
  </si>
  <si>
    <t>07190818_2152</t>
  </si>
  <si>
    <t>07190818_2337</t>
  </si>
  <si>
    <t>07190819_0122</t>
  </si>
  <si>
    <t>07190819_0308</t>
  </si>
  <si>
    <t>07190819_0453</t>
  </si>
  <si>
    <t>07190819_0639</t>
  </si>
  <si>
    <t>07190819_0824</t>
  </si>
  <si>
    <t>07190819_1010</t>
  </si>
  <si>
    <t>07190819_1824</t>
  </si>
  <si>
    <t>07190819_2010</t>
  </si>
  <si>
    <t>07190819_2156</t>
  </si>
  <si>
    <t>07190819_2342</t>
  </si>
  <si>
    <t>07190820_0128</t>
  </si>
  <si>
    <t>07190820_0314</t>
  </si>
  <si>
    <t>07190820_0500</t>
  </si>
  <si>
    <t>07190820_0646</t>
  </si>
  <si>
    <t>07190820_0942</t>
  </si>
  <si>
    <t>thresh pF 7:120/28/500</t>
  </si>
  <si>
    <t>Increased trigger threshold</t>
  </si>
  <si>
    <t>07190820_1128</t>
  </si>
  <si>
    <t>07190820_1314</t>
  </si>
  <si>
    <t>07190820_1459</t>
  </si>
  <si>
    <t>07190820_1645</t>
  </si>
  <si>
    <t>07190820_1831</t>
  </si>
  <si>
    <t>07190820_2017</t>
  </si>
  <si>
    <t>07190820_2203</t>
  </si>
  <si>
    <t>Empty final dump (56)</t>
  </si>
  <si>
    <t>07190821_1108</t>
  </si>
  <si>
    <t>thresh pF 8:120/28/500</t>
  </si>
  <si>
    <t>Increased trigger threshold again</t>
  </si>
  <si>
    <t>07190821_1254</t>
  </si>
  <si>
    <t>07190821_1440</t>
  </si>
  <si>
    <t>07190821_1626</t>
  </si>
  <si>
    <t>07190821_1812</t>
  </si>
  <si>
    <t>07190821_1958</t>
  </si>
  <si>
    <t>07190821_2144</t>
  </si>
  <si>
    <t>07190821_2330</t>
  </si>
  <si>
    <t>07190822_1247</t>
  </si>
  <si>
    <t>Return PuBe source, Empty first dump</t>
  </si>
  <si>
    <t>07190822_1417</t>
  </si>
  <si>
    <t>07190822_1546</t>
  </si>
  <si>
    <t>07190822_1716</t>
  </si>
  <si>
    <t>07190822_1845</t>
  </si>
  <si>
    <t>07190822_2014</t>
  </si>
  <si>
    <t>07190822_2144</t>
  </si>
  <si>
    <t>07190822_2314</t>
  </si>
  <si>
    <t>07190823_1006</t>
  </si>
  <si>
    <t>07190823_1136</t>
  </si>
  <si>
    <t>07190823_1629</t>
  </si>
  <si>
    <t>07190823_1759</t>
  </si>
  <si>
    <t>07190823_1928</t>
  </si>
  <si>
    <t>07190823_2057</t>
  </si>
  <si>
    <t>07190823_2227</t>
  </si>
  <si>
    <t>Empty first dump</t>
  </si>
  <si>
    <t>07190823_2356</t>
  </si>
  <si>
    <t>07190824_0126</t>
  </si>
  <si>
    <t>07190824_0255</t>
  </si>
  <si>
    <t>07190824_0631</t>
  </si>
  <si>
    <t>07190824_0800</t>
  </si>
  <si>
    <t>07190824_0929</t>
  </si>
  <si>
    <t>07190824_1059</t>
  </si>
  <si>
    <t>07190824_1228</t>
  </si>
  <si>
    <t>07190824_1357</t>
  </si>
  <si>
    <t>07190824_1527</t>
  </si>
  <si>
    <t>07190824_1656</t>
  </si>
  <si>
    <t>07190824_1901</t>
  </si>
  <si>
    <t>07190824_2030</t>
  </si>
  <si>
    <t>07190824_2200</t>
  </si>
  <si>
    <t>07190824_2329</t>
  </si>
  <si>
    <t>07190825_0059</t>
  </si>
  <si>
    <t>07190825_0228</t>
  </si>
  <si>
    <t>07190825_0357</t>
  </si>
  <si>
    <t>07190825_0527</t>
  </si>
  <si>
    <t>07190825_1329</t>
  </si>
  <si>
    <t>07190825_1459</t>
  </si>
  <si>
    <t>07190825_1628</t>
  </si>
  <si>
    <t>07190825_1757</t>
  </si>
  <si>
    <t>07190825_1927</t>
  </si>
  <si>
    <t>07190825_2056</t>
  </si>
  <si>
    <t>07190825_2225</t>
  </si>
  <si>
    <t>07190825_2355</t>
  </si>
  <si>
    <t>07190826_1144</t>
  </si>
  <si>
    <t>PB railed</t>
  </si>
  <si>
    <t>07190826_1313</t>
  </si>
  <si>
    <t>07190826_1443</t>
  </si>
  <si>
    <t>07190826_1612</t>
  </si>
  <si>
    <t>07190826_1741</t>
  </si>
  <si>
    <t>07190826_1910</t>
  </si>
  <si>
    <t>07190826_2040</t>
  </si>
  <si>
    <t>07190826_2209</t>
  </si>
  <si>
    <t>07190827_0901</t>
  </si>
  <si>
    <t>07190827_1030</t>
  </si>
  <si>
    <t>07190827_1159</t>
  </si>
  <si>
    <t>07190827_1329</t>
  </si>
  <si>
    <t>07190827_1458</t>
  </si>
  <si>
    <t>07190827_1628</t>
  </si>
  <si>
    <t>07190827_1757</t>
  </si>
  <si>
    <t>07190827_1927</t>
  </si>
  <si>
    <t>07190827_2145</t>
  </si>
  <si>
    <t>07190827_2314</t>
  </si>
  <si>
    <t>07190828_0043</t>
  </si>
  <si>
    <t>07190828_0213</t>
  </si>
  <si>
    <t>07190828_0342</t>
  </si>
  <si>
    <t>07190828_0511</t>
  </si>
  <si>
    <t>07190828_0641</t>
  </si>
  <si>
    <t>07190828_0810</t>
  </si>
  <si>
    <t>07190828_0949</t>
  </si>
  <si>
    <t>07190828_1118</t>
  </si>
  <si>
    <t>07190828_1248</t>
  </si>
  <si>
    <t>07190828_1418</t>
  </si>
  <si>
    <t>07190828_1548</t>
  </si>
  <si>
    <t>07190828_1717</t>
  </si>
  <si>
    <t>07190828_1846</t>
  </si>
  <si>
    <t>07190828_2016</t>
  </si>
  <si>
    <t>07190829_0913</t>
  </si>
  <si>
    <t>mhttpd crashed</t>
  </si>
  <si>
    <t>07190829_1109</t>
  </si>
  <si>
    <t>07190829_1239</t>
  </si>
  <si>
    <t>07190829_1408</t>
  </si>
  <si>
    <t>07190829_1538</t>
  </si>
  <si>
    <t>07190829_1707</t>
  </si>
  <si>
    <t>07190829_1836</t>
  </si>
  <si>
    <t>07190829_2006</t>
  </si>
  <si>
    <t>07190829_2215</t>
  </si>
  <si>
    <t>07190829_2344</t>
  </si>
  <si>
    <t>07190830_0114</t>
  </si>
  <si>
    <t>07190830_0243</t>
  </si>
  <si>
    <t>07190830_0413</t>
  </si>
  <si>
    <t>07190830_0542</t>
  </si>
  <si>
    <t>07190830_0712</t>
  </si>
  <si>
    <t>07190830_0841</t>
  </si>
  <si>
    <t>07190830_1021</t>
  </si>
  <si>
    <t>07190830_1151</t>
  </si>
  <si>
    <t>07190830_1321</t>
  </si>
  <si>
    <t>07190830_1452</t>
  </si>
  <si>
    <t>07190901_1056</t>
  </si>
  <si>
    <t>07190901_1225</t>
  </si>
  <si>
    <t>07190901_1354</t>
  </si>
  <si>
    <t>07190901_1524</t>
  </si>
  <si>
    <t>07190901_1653</t>
  </si>
  <si>
    <t>07190901_1823</t>
  </si>
  <si>
    <t>07190901_1953</t>
  </si>
  <si>
    <t>07190901_2122</t>
  </si>
  <si>
    <t>07190901_2310</t>
  </si>
  <si>
    <t>07190902_0039</t>
  </si>
  <si>
    <t>07190902_0209</t>
  </si>
  <si>
    <t>07190902_0338</t>
  </si>
  <si>
    <t>07190902_0508</t>
  </si>
  <si>
    <t>07190902_0637</t>
  </si>
  <si>
    <t>07190902_0807</t>
  </si>
  <si>
    <t>07190902_0936</t>
  </si>
  <si>
    <t>07190902_1214</t>
  </si>
  <si>
    <t>07190902_1343</t>
  </si>
  <si>
    <t>07190902_1513</t>
  </si>
  <si>
    <t>07190902_1643</t>
  </si>
  <si>
    <t>07190902_1812</t>
  </si>
  <si>
    <t>07190902_1941</t>
  </si>
  <si>
    <t>07190902_2111</t>
  </si>
  <si>
    <t>07190902_2240</t>
  </si>
  <si>
    <t>07190903_0949</t>
  </si>
  <si>
    <t>07190903_1119</t>
  </si>
  <si>
    <t>07190903_1730</t>
  </si>
  <si>
    <t>07190903_1900</t>
  </si>
  <si>
    <t>07190903_2029</t>
  </si>
  <si>
    <t>07190903_2159</t>
  </si>
  <si>
    <t>07190903_2329</t>
  </si>
  <si>
    <t>07190904_0059</t>
  </si>
  <si>
    <t>07190904_0943</t>
  </si>
  <si>
    <t>midas crash</t>
  </si>
  <si>
    <t>07190904_1506</t>
  </si>
  <si>
    <t>07190904_1635</t>
  </si>
  <si>
    <t>07190904_1805</t>
  </si>
  <si>
    <t>07190904_1934</t>
  </si>
  <si>
    <t>07190904_2104</t>
  </si>
  <si>
    <t>07190904_2233</t>
  </si>
  <si>
    <t>empty first dump</t>
  </si>
  <si>
    <t>07190905_0003</t>
  </si>
  <si>
    <t>07190905_0933</t>
  </si>
  <si>
    <t>07190905_1102</t>
  </si>
  <si>
    <t>07190905_1232</t>
  </si>
  <si>
    <t>07190905_1401</t>
  </si>
  <si>
    <t>07190905_1530</t>
  </si>
  <si>
    <t>07190905_1700</t>
  </si>
  <si>
    <t>07190905_1830</t>
  </si>
  <si>
    <t>07190905_2000</t>
  </si>
  <si>
    <t>Position</t>
  </si>
  <si>
    <t>y_source (mm)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</si>
  <si>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</si>
  <si>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</si>
  <si>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</si>
  <si>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</si>
  <si>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</si>
  <si>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</si>
  <si>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</si>
  <si>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</si>
  <si>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</si>
  <si>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</si>
  <si>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</si>
  <si>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</si>
  <si>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</si>
  <si>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</si>
  <si>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</si>
  <si>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</si>
  <si>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</si>
  <si>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</si>
  <si>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</si>
  <si>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Am pos (steps)</t>
  </si>
  <si>
    <t>Position label</t>
  </si>
  <si>
    <t>y-pos est (mm)</t>
  </si>
  <si>
    <t>Bias S1</t>
  </si>
  <si>
    <t>Bias S2</t>
  </si>
  <si>
    <t>good proc env</t>
  </si>
  <si>
    <t>manual proc command</t>
  </si>
  <si>
    <t>Manual Reproc done?</t>
  </si>
  <si>
    <t>at /data/chocula/k100/midasrq/byseries</t>
  </si>
  <si>
    <t>07191106_1614</t>
  </si>
  <si>
    <t>pymidas_R71_pn.env</t>
  </si>
  <si>
    <t>y</t>
  </si>
  <si>
    <t>07191106_2248</t>
  </si>
  <si>
    <t>After DAQ restart</t>
  </si>
  <si>
    <t>07191106_2349</t>
  </si>
  <si>
    <t>07191107_0049</t>
  </si>
  <si>
    <t>07191107_0150</t>
  </si>
  <si>
    <t>07191107_1350</t>
  </si>
  <si>
    <t>DCRC1 charge maybe wrong</t>
  </si>
  <si>
    <t>07191107_1608</t>
  </si>
  <si>
    <t>07191107_2325</t>
  </si>
  <si>
    <t>07191108_0025</t>
  </si>
  <si>
    <t>07191108_0126</t>
  </si>
  <si>
    <t>07191108_0227</t>
  </si>
  <si>
    <t>07191108_1106</t>
  </si>
  <si>
    <t>pymidas_R71_np.env</t>
  </si>
  <si>
    <t>07191108_1624</t>
  </si>
  <si>
    <t>07191108_1757</t>
  </si>
  <si>
    <t>07191108_2048</t>
  </si>
  <si>
    <t>PES1 railed</t>
  </si>
  <si>
    <t>07191109_0024</t>
  </si>
  <si>
    <t>07191109_0155</t>
  </si>
  <si>
    <t>07191109_0327</t>
  </si>
  <si>
    <t>07191109_0458</t>
  </si>
  <si>
    <t>07191109_0629</t>
  </si>
  <si>
    <t>07191109_0800</t>
  </si>
  <si>
    <t>07191109_1630</t>
  </si>
  <si>
    <t>charge pulses evident</t>
  </si>
  <si>
    <t>DCRC1 charge probably wrong</t>
  </si>
  <si>
    <t>07191109_1731</t>
  </si>
  <si>
    <t>07191109_1832</t>
  </si>
  <si>
    <t>breakdown after 20 min</t>
  </si>
  <si>
    <t>07191109_1932</t>
  </si>
  <si>
    <t>breakdown</t>
  </si>
  <si>
    <t>07191110_1224</t>
  </si>
  <si>
    <t>07191110_1254</t>
  </si>
  <si>
    <t>Q polarity wrong in processing</t>
  </si>
  <si>
    <t>07191110_1355</t>
  </si>
  <si>
    <t>07191110_1425</t>
  </si>
  <si>
    <t>breakdown after 10min</t>
  </si>
  <si>
    <t>07191110_1526</t>
  </si>
  <si>
    <t xml:space="preserve">breakdown  </t>
  </si>
  <si>
    <t>07191110_1556</t>
  </si>
  <si>
    <t>07191110_1657</t>
  </si>
  <si>
    <t>07191110_1727</t>
  </si>
  <si>
    <t>07191110_1828</t>
  </si>
  <si>
    <t>07191110_1858</t>
  </si>
  <si>
    <t>07191110_1959</t>
  </si>
  <si>
    <t>07191110_2029</t>
  </si>
  <si>
    <t>07191110_2130</t>
  </si>
  <si>
    <t>07191110_2200</t>
  </si>
  <si>
    <t>07191110_2301</t>
  </si>
  <si>
    <t>07191110_2331</t>
  </si>
  <si>
    <t>07191111_1823</t>
  </si>
  <si>
    <t>After hot LED flash</t>
  </si>
  <si>
    <t>07191111_1924</t>
  </si>
  <si>
    <t>07191111_2025</t>
  </si>
  <si>
    <t>07191111_2126</t>
  </si>
  <si>
    <t>07191111_2227</t>
  </si>
  <si>
    <t>07191111_2328</t>
  </si>
  <si>
    <t>07191112_1128</t>
  </si>
  <si>
    <t>07191112_1343</t>
  </si>
  <si>
    <t>After dcrc program restart</t>
  </si>
  <si>
    <t>07191112_1500</t>
  </si>
  <si>
    <t>07191112_1652</t>
  </si>
  <si>
    <t>PES1 railed after dump 15</t>
  </si>
  <si>
    <t>07191112_1752</t>
  </si>
  <si>
    <t>07191112_1853</t>
  </si>
  <si>
    <t>07191112_1954</t>
  </si>
  <si>
    <t>07191112_2055</t>
  </si>
  <si>
    <t>07191112_2156</t>
  </si>
  <si>
    <t>07191112_2257</t>
  </si>
  <si>
    <t>07191112_2358</t>
  </si>
  <si>
    <t>07191113_0955</t>
  </si>
  <si>
    <t>07191113_1056</t>
  </si>
  <si>
    <t>07191113_1441</t>
  </si>
  <si>
    <t>PFS1 railed</t>
  </si>
  <si>
    <t>07191113_1755</t>
  </si>
  <si>
    <t>07191113_1855</t>
  </si>
  <si>
    <t>07191113_2148</t>
  </si>
  <si>
    <t>07191113_2249</t>
  </si>
  <si>
    <t>07191113_2350</t>
  </si>
  <si>
    <t>07191114_0050</t>
  </si>
  <si>
    <t>07191114_0151</t>
  </si>
  <si>
    <t>07191114_0252</t>
  </si>
  <si>
    <t>07191114_0354</t>
  </si>
  <si>
    <t>07191114_0455</t>
  </si>
  <si>
    <t>07191115_1458</t>
  </si>
  <si>
    <t>07191115_1558</t>
  </si>
  <si>
    <t>PFS2 railed</t>
  </si>
  <si>
    <t>07191115_1835</t>
  </si>
  <si>
    <t>07191115_1935</t>
  </si>
  <si>
    <t>07191115_2036</t>
  </si>
  <si>
    <t>07191115_2137</t>
  </si>
  <si>
    <t>07191115_2238</t>
  </si>
  <si>
    <t>07191115_2338</t>
  </si>
  <si>
    <t>07191116_0039</t>
  </si>
  <si>
    <t>07191116_0140</t>
  </si>
  <si>
    <t>07191116_2043</t>
  </si>
  <si>
    <t>07191116_2144</t>
  </si>
  <si>
    <t>07191116_2245</t>
  </si>
  <si>
    <t>07191116_2346</t>
  </si>
  <si>
    <t>07191117_0047</t>
  </si>
  <si>
    <t>07191117_0148</t>
  </si>
  <si>
    <t>07191117_0249</t>
  </si>
  <si>
    <t>07191117_0349</t>
  </si>
  <si>
    <t>07191119_0842</t>
  </si>
  <si>
    <t>07191119_0943</t>
  </si>
  <si>
    <t>07191119_1727</t>
  </si>
  <si>
    <t>Electrometer noise</t>
  </si>
  <si>
    <t>07191119_1828</t>
  </si>
  <si>
    <t>07191119_1938</t>
  </si>
  <si>
    <t>07191119_2048</t>
  </si>
  <si>
    <t>07191120_1029</t>
  </si>
  <si>
    <t>DAQ issues, no data after dump 20</t>
  </si>
  <si>
    <t>QIS2 is down, adjust proc env accordingly!</t>
  </si>
  <si>
    <t>07191120_1645</t>
  </si>
  <si>
    <t>Turn on autoproc w/ pymidas_R71_np_noQIS2.env</t>
  </si>
  <si>
    <t>07191121_0910</t>
  </si>
  <si>
    <t>07191121_1011</t>
  </si>
  <si>
    <t>07191122_0915</t>
  </si>
  <si>
    <t>07191122_1016</t>
  </si>
  <si>
    <t>07191122_1645</t>
  </si>
  <si>
    <t>Over blocker</t>
  </si>
  <si>
    <t>07191122_1746</t>
  </si>
  <si>
    <t>07191123_0804</t>
  </si>
  <si>
    <t>07191123_0905</t>
  </si>
  <si>
    <t>07191123_1346</t>
  </si>
  <si>
    <t>07191123_1447</t>
  </si>
  <si>
    <t>07191123_1759</t>
  </si>
  <si>
    <t>07191123_1901</t>
  </si>
  <si>
    <t>07191124_1501</t>
  </si>
  <si>
    <t>07191124_1602</t>
  </si>
  <si>
    <t>07191125_0841</t>
  </si>
  <si>
    <t>07191125_0941</t>
  </si>
  <si>
    <t>07191125_1442</t>
  </si>
  <si>
    <t>source / shield</t>
  </si>
  <si>
    <t>proc0</t>
  </si>
  <si>
    <t>proc1</t>
  </si>
  <si>
    <t>07200224_1153</t>
  </si>
  <si>
    <t>Am/none</t>
  </si>
  <si>
    <t>raised threshold after 5 minutes</t>
  </si>
  <si>
    <t>fritts</t>
  </si>
  <si>
    <t>07200225_1451</t>
  </si>
  <si>
    <t>drift too slow</t>
  </si>
  <si>
    <t>Vtest unstable</t>
  </si>
  <si>
    <t>07200226_1047</t>
  </si>
  <si>
    <t>07200226_1421</t>
  </si>
  <si>
    <t>DCRC4pB railed for first 15 dumps</t>
  </si>
  <si>
    <t>07200226_1729</t>
  </si>
  <si>
    <t>07200227_1929</t>
  </si>
  <si>
    <t>07200228_0534</t>
  </si>
  <si>
    <t>07200302_1503</t>
  </si>
  <si>
    <t>Am/lead</t>
  </si>
  <si>
    <t>07200303_1747</t>
  </si>
  <si>
    <t>07200304_1019</t>
  </si>
  <si>
    <t>2 channels railed, series aborted</t>
  </si>
  <si>
    <t>07200304_1033</t>
  </si>
  <si>
    <t>07200304_1321</t>
  </si>
  <si>
    <t>BOR randoms set wrong - first 35 dumps are all randoms</t>
  </si>
  <si>
    <t>07200304_1633</t>
  </si>
  <si>
    <t>07200305_1133</t>
  </si>
  <si>
    <t>07200305_1633</t>
  </si>
  <si>
    <t>HV drift rate (V/sec)</t>
  </si>
  <si>
    <t>source pos (y mm)</t>
  </si>
  <si>
    <t>time correction</t>
  </si>
  <si>
    <t>07200720_1713</t>
  </si>
  <si>
    <t>no pi-filters</t>
  </si>
  <si>
    <t>using DCRCs 3/4</t>
  </si>
  <si>
    <t>07200724_1546</t>
  </si>
  <si>
    <t>07200725_0812</t>
  </si>
  <si>
    <t>07200725_1551</t>
  </si>
  <si>
    <t>07200725_1558</t>
  </si>
  <si>
    <t>07200725_1821</t>
  </si>
  <si>
    <t>07200725_1834</t>
  </si>
  <si>
    <t>07200726_1030</t>
  </si>
  <si>
    <t>07200726_1139</t>
  </si>
  <si>
    <t>07200726_1146</t>
  </si>
  <si>
    <t>07200726_1456</t>
  </si>
  <si>
    <t>using DCRCs 1/4</t>
  </si>
  <si>
    <t>07200727_1025</t>
  </si>
  <si>
    <t>pi-filters replaced</t>
  </si>
  <si>
    <t>07200727_1918</t>
  </si>
  <si>
    <t>07200727_1922</t>
  </si>
  <si>
    <t>retuned QETs</t>
  </si>
  <si>
    <t>07200728_0905</t>
  </si>
  <si>
    <t>after 1-hour bake</t>
  </si>
  <si>
    <t>07200728_1423</t>
  </si>
  <si>
    <t>07200728_2136</t>
  </si>
  <si>
    <t>07200729_0931</t>
  </si>
  <si>
    <t>07200729_1515</t>
  </si>
  <si>
    <t>07200729_2024</t>
  </si>
  <si>
    <t>0/-10/0</t>
  </si>
  <si>
    <t>4/12/12</t>
  </si>
  <si>
    <t>07200730_1044</t>
  </si>
  <si>
    <t>0/10/0</t>
  </si>
  <si>
    <t>07200730_1745</t>
  </si>
  <si>
    <t>60(71)</t>
  </si>
  <si>
    <t>loop version</t>
  </si>
  <si>
    <t>07200730_2054</t>
  </si>
  <si>
    <t>60(120)</t>
  </si>
  <si>
    <t>fast loop</t>
  </si>
  <si>
    <t>07200731_0806</t>
  </si>
  <si>
    <t>07200731_1150</t>
  </si>
  <si>
    <t>shorter steps</t>
  </si>
  <si>
    <t>07200731_1703</t>
  </si>
  <si>
    <t>5-sec steps</t>
  </si>
  <si>
    <t>07200731_2217</t>
  </si>
  <si>
    <t>07200801_1056</t>
  </si>
  <si>
    <t>07200801_1524</t>
  </si>
  <si>
    <t>07200801_2046</t>
  </si>
  <si>
    <t>10-sec steps</t>
  </si>
  <si>
    <t>07200802_1146</t>
  </si>
  <si>
    <t>adjusted QET biases</t>
  </si>
  <si>
    <t>07200802_1840</t>
  </si>
  <si>
    <t>07200802_2145</t>
  </si>
  <si>
    <t>07200803_1614</t>
  </si>
  <si>
    <t>07200803_1947</t>
  </si>
  <si>
    <t>07200803_2324</t>
  </si>
  <si>
    <t>07200804_0630</t>
  </si>
  <si>
    <t>-0</t>
  </si>
  <si>
    <t>07200804_1212</t>
  </si>
  <si>
    <t>07200804_2322</t>
  </si>
  <si>
    <t>07200805_0925</t>
  </si>
  <si>
    <t>07200805_1318</t>
  </si>
  <si>
    <t>cut short, MIDAS crash</t>
  </si>
  <si>
    <t>07200805_1918</t>
  </si>
  <si>
    <t>07200805_2239</t>
  </si>
  <si>
    <t>07200806_2123</t>
  </si>
  <si>
    <t>07200807_1026</t>
  </si>
  <si>
    <t>07200807_1633</t>
  </si>
  <si>
    <t>07200807_2015</t>
  </si>
  <si>
    <t>07200807_2243</t>
  </si>
  <si>
    <t>07200808_0759</t>
  </si>
  <si>
    <t>07200808_1608</t>
  </si>
  <si>
    <t>07200808_2054</t>
  </si>
  <si>
    <t>07200809_1047</t>
  </si>
  <si>
    <t>07200809_1723</t>
  </si>
  <si>
    <t>07200809_2100</t>
  </si>
  <si>
    <t>07200810_0846</t>
  </si>
  <si>
    <t>with prebias</t>
  </si>
  <si>
    <t>07200810_1715</t>
  </si>
  <si>
    <t>07200810_2055</t>
  </si>
  <si>
    <t>07200811_0635</t>
  </si>
  <si>
    <t>07200811_1045</t>
  </si>
  <si>
    <t>07200811_1614</t>
  </si>
  <si>
    <t>07200811_2249</t>
  </si>
  <si>
    <t>07200812_0840</t>
  </si>
  <si>
    <t>07200812_1731</t>
  </si>
  <si>
    <t>07200812_2208</t>
  </si>
  <si>
    <t>07200813_0946</t>
  </si>
  <si>
    <t>07200813_1652</t>
  </si>
  <si>
    <t>after source move</t>
  </si>
  <si>
    <t>07200814_0830</t>
  </si>
  <si>
    <t>after Al flash</t>
  </si>
  <si>
    <t>07200814_1146</t>
  </si>
  <si>
    <t>07200814_1219</t>
  </si>
  <si>
    <t>after zap</t>
  </si>
  <si>
    <t>07200814_1548</t>
  </si>
  <si>
    <t>purge restored</t>
  </si>
  <si>
    <t>07200814_1819</t>
  </si>
  <si>
    <t>07200815_0836</t>
  </si>
  <si>
    <t>07200815_1057</t>
  </si>
  <si>
    <t>07200816_1129</t>
  </si>
  <si>
    <t>after DCRC1 restart</t>
  </si>
  <si>
    <t>07200816_1333</t>
  </si>
  <si>
    <t>07200817_0839</t>
  </si>
  <si>
    <t>triggering disabled</t>
  </si>
  <si>
    <t>07200817_0926</t>
  </si>
  <si>
    <t>07200817_1010</t>
  </si>
  <si>
    <t>07200821_1313</t>
  </si>
  <si>
    <t>will</t>
  </si>
  <si>
    <t>07200821_1537</t>
  </si>
  <si>
    <t>07200821_1716</t>
  </si>
  <si>
    <t>07200821_1820</t>
  </si>
  <si>
    <t>07200822_0958</t>
  </si>
  <si>
    <t>07200825_0951</t>
  </si>
  <si>
    <t>07200825_1131</t>
  </si>
  <si>
    <t>07200825_1320</t>
  </si>
  <si>
    <t>07200826_0727</t>
  </si>
  <si>
    <t>07200826_0855</t>
  </si>
  <si>
    <t>07200827_0853</t>
  </si>
  <si>
    <t>07200827_1039</t>
  </si>
  <si>
    <t>07200827_1615</t>
  </si>
  <si>
    <t>07200827_1751</t>
  </si>
  <si>
    <t>07200827_1954</t>
  </si>
  <si>
    <t>07200827_2150</t>
  </si>
  <si>
    <t>07200828_0955</t>
  </si>
  <si>
    <t>07200828_1125</t>
  </si>
  <si>
    <t>07200831_1223</t>
  </si>
  <si>
    <t>07200831_1554</t>
  </si>
  <si>
    <t>07200831_2206</t>
  </si>
  <si>
    <t>07200901_2159</t>
  </si>
  <si>
    <t>07200902_1716</t>
  </si>
  <si>
    <t>z-&gt;SetAlias("timedep", "(minutes&lt;0)*1+(minutes&gt;=0.000000&amp;&amp;minutes&lt;14.000000)*(1.000000+(1.190000-1.000000)/(14.000000-0.000000)*(minutes-0.000000))+(minutes&gt;=14.000000&amp;&amp;minutes&lt;20.000000)*(1.190000+(1.250000-1.190000)/(20.000000-14.000000)*(minutes-14.000000))+(minutes&gt;=20.000000&amp;&amp;minutes&lt;30.000000)*(1.250000+(1.280000-1.250000)/(30.000000-20.000000)*(minutes-20.000000))+(minutes&gt;=30.000000&amp;&amp;minutes&lt;65.000000)*(1.280000+(1.300000-1.280000)/(65.000000-30.000000)*(minutes-30.000000))")</t>
  </si>
  <si>
    <t>07200902_2227</t>
  </si>
  <si>
    <t>07200903_1211</t>
  </si>
  <si>
    <t>07200903_2032</t>
  </si>
  <si>
    <t>07200904_0937</t>
  </si>
  <si>
    <t>-250/0</t>
  </si>
  <si>
    <t>60/30</t>
  </si>
  <si>
    <t>07200904_2111</t>
  </si>
  <si>
    <t>+250/0</t>
  </si>
  <si>
    <t>160/30</t>
  </si>
  <si>
    <t>07200906_2215</t>
  </si>
  <si>
    <t>07200907_2232</t>
  </si>
  <si>
    <t>07200907_2333</t>
  </si>
  <si>
    <t>07200908_1643</t>
  </si>
  <si>
    <t>laggy</t>
  </si>
  <si>
    <t>07200909_0847</t>
  </si>
  <si>
    <t>no lag</t>
  </si>
  <si>
    <t>07200909_1433</t>
  </si>
  <si>
    <t>07200910_1646</t>
  </si>
  <si>
    <t>07200910_2002</t>
  </si>
  <si>
    <t>07200911_0835</t>
  </si>
  <si>
    <t>source blocked</t>
  </si>
  <si>
    <t>a bit noisy</t>
  </si>
  <si>
    <t>07200911_1854</t>
  </si>
  <si>
    <t>07200912_1601</t>
  </si>
  <si>
    <t>tower temp high</t>
  </si>
  <si>
    <t>07200912_2324</t>
  </si>
  <si>
    <t>07200913_1430</t>
  </si>
  <si>
    <t>07200913_1642</t>
  </si>
  <si>
    <t>07200921_1205</t>
  </si>
  <si>
    <t>07200921_1845</t>
  </si>
  <si>
    <t>07200922_1438</t>
  </si>
  <si>
    <t>07200922_1749</t>
  </si>
  <si>
    <t>07200922_2118</t>
  </si>
  <si>
    <t>07201009_1907</t>
  </si>
  <si>
    <t>new QET biases, no pA</t>
  </si>
  <si>
    <t>07201009_2201</t>
  </si>
  <si>
    <t>no pA</t>
  </si>
  <si>
    <t>07201010_1438</t>
  </si>
  <si>
    <t>07201010_1557</t>
  </si>
  <si>
    <t>07201010_2107</t>
  </si>
  <si>
    <t>07201011_2112</t>
  </si>
  <si>
    <t>07201012_2222</t>
  </si>
  <si>
    <t>T-varying QET biases</t>
  </si>
  <si>
    <t>shi</t>
  </si>
  <si>
    <t>07201013_1028</t>
  </si>
  <si>
    <t>07201013_1221</t>
  </si>
  <si>
    <t>07201013_1643</t>
  </si>
  <si>
    <t>07201014_1530</t>
  </si>
  <si>
    <t>07201014_1653</t>
  </si>
  <si>
    <t>07201014_1942</t>
  </si>
  <si>
    <t>07201015_0906</t>
  </si>
  <si>
    <t>07201015_1603</t>
  </si>
  <si>
    <t>auto-vary QET biases</t>
  </si>
  <si>
    <t>07201015_2017</t>
  </si>
  <si>
    <t>07201016_0736</t>
  </si>
  <si>
    <t>07201016_0931</t>
  </si>
  <si>
    <t>07201016_1221</t>
  </si>
  <si>
    <t>07201016_1637</t>
  </si>
  <si>
    <t>07201016_2053</t>
  </si>
  <si>
    <t>07201017_0915</t>
  </si>
  <si>
    <t>07201017_1636</t>
  </si>
  <si>
    <t>07201017_1937</t>
  </si>
  <si>
    <t>07201017_2203</t>
  </si>
  <si>
    <t>07201018_1603</t>
  </si>
  <si>
    <t>07201018_1754</t>
  </si>
  <si>
    <t>07201018_2012</t>
  </si>
  <si>
    <t>07201019_0932</t>
  </si>
  <si>
    <t>07201019_1107</t>
  </si>
  <si>
    <t>07201021_1403</t>
  </si>
  <si>
    <t>manual drift</t>
  </si>
  <si>
    <t>07201022_1722</t>
  </si>
  <si>
    <t>07201022_1924</t>
  </si>
  <si>
    <t>07201023_0633</t>
  </si>
  <si>
    <t>07201023_0921</t>
  </si>
  <si>
    <t>07201023_1106</t>
  </si>
  <si>
    <t>07201023_1625</t>
  </si>
  <si>
    <t>07201023_1830</t>
  </si>
  <si>
    <t>07201023_2103</t>
  </si>
  <si>
    <t>07201024_1012</t>
  </si>
  <si>
    <t>07201024_1238</t>
  </si>
  <si>
    <t>07201024_1749</t>
  </si>
  <si>
    <t>07201024_2018</t>
  </si>
  <si>
    <t>07201025_0856</t>
  </si>
  <si>
    <t>07201025_2006</t>
  </si>
  <si>
    <t>07201026_1207</t>
  </si>
  <si>
    <t>07201027_1725</t>
  </si>
  <si>
    <t>07201027_2114</t>
  </si>
  <si>
    <t>not necessary</t>
  </si>
  <si>
    <t>07201028_2326</t>
  </si>
  <si>
    <t>07201029_0925</t>
  </si>
  <si>
    <t>processed data paths:</t>
  </si>
  <si>
    <t>series</t>
  </si>
  <si>
    <t>bal B</t>
  </si>
  <si>
    <t>bal C</t>
  </si>
  <si>
    <t>bal D</t>
  </si>
  <si>
    <t>bal F</t>
  </si>
  <si>
    <t>amp14</t>
  </si>
  <si>
    <t>pB</t>
  </si>
  <si>
    <t>pC</t>
  </si>
  <si>
    <t>pD</t>
  </si>
  <si>
    <t>pF</t>
  </si>
  <si>
    <t>pA</t>
  </si>
  <si>
    <t>/data/chocula/fritts/data/k100proc/midasrq/byseries/</t>
  </si>
  <si>
    <t>/data/chocula/will/data/k100proc/midasrq/byseries/</t>
  </si>
  <si>
    <t>/data/chocula/shi/k100proc/midasrq/byseries/</t>
  </si>
  <si>
    <t>V bias</t>
  </si>
  <si>
    <t>"lost" bias (V)</t>
  </si>
  <si>
    <t>trigger</t>
  </si>
  <si>
    <t>unsynced DCRCs</t>
  </si>
  <si>
    <t>trend saved</t>
  </si>
  <si>
    <t>muon cce</t>
  </si>
  <si>
    <t>intercept</t>
  </si>
  <si>
    <t>slope</t>
  </si>
  <si>
    <t>tmax</t>
  </si>
  <si>
    <t>max</t>
  </si>
  <si>
    <t>prebias noise width</t>
  </si>
  <si>
    <t>07210219_1634</t>
  </si>
  <si>
    <t>bad data, charge baselines wandering</t>
  </si>
  <si>
    <t>07210222_1511</t>
  </si>
  <si>
    <t>5 (dcrc)</t>
  </si>
  <si>
    <t>bias applied after 1 min</t>
  </si>
  <si>
    <t>07210223_1253</t>
  </si>
  <si>
    <t>q4, scan 140,120,100,80</t>
  </si>
  <si>
    <t>constantly triggering</t>
  </si>
  <si>
    <t>07210224_1604</t>
  </si>
  <si>
    <t>07210225_1015</t>
  </si>
  <si>
    <t>7 (dcrc)</t>
  </si>
  <si>
    <t>modified during series</t>
  </si>
  <si>
    <t>reset triggers @ 13, 19 min</t>
  </si>
  <si>
    <t>07210225_1312</t>
  </si>
  <si>
    <t>300/200/300/300</t>
  </si>
  <si>
    <t>07210226_1208</t>
  </si>
  <si>
    <t>150/150/150/150</t>
  </si>
  <si>
    <t>didn't write to disk</t>
  </si>
  <si>
    <t>07210226_1352</t>
  </si>
  <si>
    <t>07210226_1644</t>
  </si>
  <si>
    <t>50-all plus 5 Hz rand</t>
  </si>
  <si>
    <t>forgot to enable triggers till 14 min in</t>
  </si>
  <si>
    <t>07210226_1822</t>
  </si>
  <si>
    <t>50-all</t>
  </si>
  <si>
    <t>07210227_1301</t>
  </si>
  <si>
    <t>07210228_0850</t>
  </si>
  <si>
    <t>3 (dcrc)</t>
  </si>
  <si>
    <t>07210228_1125</t>
  </si>
  <si>
    <t>1 (dcrc)</t>
  </si>
  <si>
    <t>07210228_1319</t>
  </si>
  <si>
    <t>07210228_2343</t>
  </si>
  <si>
    <t>40-all plus 5 Hz rand</t>
  </si>
  <si>
    <t>07210301_1028</t>
  </si>
  <si>
    <t>-7 (dcrc)</t>
  </si>
  <si>
    <t>adjusted during series</t>
  </si>
  <si>
    <t>07210301_1459</t>
  </si>
  <si>
    <t>diverter boards removed</t>
  </si>
  <si>
    <t>high noise, wouldn't process</t>
  </si>
  <si>
    <t>07210302_1704</t>
  </si>
  <si>
    <t>80-all</t>
  </si>
  <si>
    <t>07210303_1546</t>
  </si>
  <si>
    <t>leave HV line floating</t>
  </si>
  <si>
    <t>07210304_0920</t>
  </si>
  <si>
    <t>9 (dcrc)</t>
  </si>
  <si>
    <t>07210306_1124</t>
  </si>
  <si>
    <t>11 (dcrc)</t>
  </si>
  <si>
    <t>600/60/2000/150</t>
  </si>
  <si>
    <t>high noise</t>
  </si>
  <si>
    <t>07210306_1338</t>
  </si>
  <si>
    <t>60-all</t>
  </si>
  <si>
    <t>07210307_1050</t>
  </si>
  <si>
    <t>-11 (dcrc)</t>
  </si>
  <si>
    <t>07210310_1619</t>
  </si>
  <si>
    <t>DCRC3qI/qO=250/200</t>
  </si>
  <si>
    <t>DCRC1 on minibob, Side2 grounded via breakout box</t>
  </si>
  <si>
    <t>07210311_0926</t>
  </si>
  <si>
    <t>DCRC3qI/qO=500/400</t>
  </si>
  <si>
    <t>07210311_1956</t>
  </si>
  <si>
    <t>07210312_1454</t>
  </si>
  <si>
    <t>0V (HV)</t>
  </si>
  <si>
    <t>DCRC3qI/qO=600/500</t>
  </si>
  <si>
    <t>DCRC1 on minibob, Side2 biased via breakout box</t>
  </si>
  <si>
    <t>07210312_1517</t>
  </si>
  <si>
    <t>0/-15V</t>
  </si>
  <si>
    <t>0V for final 6 min</t>
  </si>
  <si>
    <t>07210314_1257</t>
  </si>
  <si>
    <t>11/0 V</t>
  </si>
  <si>
    <t xml:space="preserve">40-all  </t>
  </si>
  <si>
    <t>07210314_1538</t>
  </si>
  <si>
    <t>0/-15 V</t>
  </si>
  <si>
    <t>120/off/120/100</t>
  </si>
  <si>
    <t>07210315_1259</t>
  </si>
  <si>
    <t>off/off/40/40</t>
  </si>
  <si>
    <t>07210316_0938</t>
  </si>
  <si>
    <t>10/0 V</t>
  </si>
  <si>
    <t>07210316_1203</t>
  </si>
  <si>
    <t>-11/0 V</t>
  </si>
  <si>
    <t>07210317_1346</t>
  </si>
  <si>
    <t>10/-10 V</t>
  </si>
  <si>
    <t>DCRC1qI=80, others off</t>
  </si>
  <si>
    <t>07210318_1455</t>
  </si>
  <si>
    <t>07210323_1311</t>
  </si>
  <si>
    <t>400-all, later adjusted</t>
  </si>
  <si>
    <t>Tower warm, ~0.4 K, noise higher</t>
  </si>
  <si>
    <t>07210324_1022</t>
  </si>
  <si>
    <t>DCRC1qI=350, later 400</t>
  </si>
  <si>
    <t>07210615_1411</t>
  </si>
  <si>
    <t>DCRCqI=600, later 400</t>
  </si>
  <si>
    <t>noise pretty high</t>
  </si>
  <si>
    <t>MeV cm2/g</t>
  </si>
  <si>
    <t>07210617_1627</t>
  </si>
  <si>
    <t>g/cm3</t>
  </si>
  <si>
    <t>07210618_1652</t>
  </si>
  <si>
    <t>DCRCqI=100, later 1000</t>
  </si>
  <si>
    <t>MeV / cm</t>
  </si>
  <si>
    <t>07210706_1618</t>
  </si>
  <si>
    <t>0/+15 V</t>
  </si>
  <si>
    <t>DCRCqI=25</t>
  </si>
  <si>
    <t>intended 0/-15 V</t>
  </si>
  <si>
    <t>MeV / mm</t>
  </si>
  <si>
    <t>07210707_1628</t>
  </si>
  <si>
    <t>35/25/30/35</t>
  </si>
  <si>
    <t>Bias applied 9 min prior</t>
  </si>
  <si>
    <t>mm</t>
  </si>
  <si>
    <t>MeV</t>
  </si>
  <si>
    <t>07210708_1527</t>
  </si>
  <si>
    <t>50/35/140/50</t>
  </si>
  <si>
    <t>aborted due to overtriggering</t>
  </si>
  <si>
    <t>07210708_1537</t>
  </si>
  <si>
    <t>stopped because data wasn't copying</t>
  </si>
  <si>
    <t>bias applied after 80 seconds</t>
  </si>
  <si>
    <t>fritts-b</t>
  </si>
  <si>
    <t>07210708_1548</t>
  </si>
  <si>
    <t>continuation of preceding series, bias unchanged</t>
  </si>
  <si>
    <t>07210709_1221</t>
  </si>
  <si>
    <t>35/30/35/40</t>
  </si>
  <si>
    <t>bias removed 5 min before end of series</t>
  </si>
  <si>
    <t>07210713_1203</t>
  </si>
  <si>
    <t xml:space="preserve">150/60/30/300 </t>
  </si>
  <si>
    <t>bias@300s, removed at 66 min</t>
  </si>
  <si>
    <t>3 kHz noise high</t>
  </si>
  <si>
    <t>07210714_1734</t>
  </si>
  <si>
    <t>90/50/35/90</t>
  </si>
  <si>
    <t>bias @2.5 min</t>
  </si>
  <si>
    <t>07210715_1640</t>
  </si>
  <si>
    <t>0-&gt;0.53</t>
  </si>
  <si>
    <t xml:space="preserve">110/70/40/120 </t>
  </si>
  <si>
    <t>bias @1.0 min</t>
  </si>
  <si>
    <t>Moved source during series</t>
  </si>
  <si>
    <t>07210716_1718</t>
  </si>
  <si>
    <t>Am+Na/none</t>
  </si>
  <si>
    <t>120/90/40/70</t>
  </si>
  <si>
    <t>oops - DCRC1 triggers were off.</t>
  </si>
  <si>
    <t>07210719_1623</t>
  </si>
  <si>
    <t>180/70/40/450</t>
  </si>
  <si>
    <t>Na @ 40 cm</t>
  </si>
  <si>
    <t>07210720_1411</t>
  </si>
  <si>
    <t>100/50/40/180</t>
  </si>
  <si>
    <t>bias @ 100 sec</t>
  </si>
  <si>
    <t>Na @ 30 cm (prev 40 cm)</t>
  </si>
  <si>
    <t>07210720_1604</t>
  </si>
  <si>
    <t>0.53-&gt;-0.53</t>
  </si>
  <si>
    <t>07210721_1319</t>
  </si>
  <si>
    <t>60/55/40/70</t>
  </si>
  <si>
    <t>bias @ 60 sec</t>
  </si>
  <si>
    <t>Na @ 50 cm</t>
  </si>
  <si>
    <t>07210722_1510</t>
  </si>
  <si>
    <t>bias @ 70 sec</t>
  </si>
  <si>
    <t>Na @ 30 cm</t>
  </si>
  <si>
    <t>07210722_1650</t>
  </si>
  <si>
    <t>55/50/45/60</t>
  </si>
  <si>
    <t>bias @ 90 sec</t>
  </si>
  <si>
    <t>Na @ 80 cm</t>
  </si>
  <si>
    <t>07210723_1353</t>
  </si>
  <si>
    <t>bias @60 sec</t>
  </si>
  <si>
    <t>Tower = 0.67 K</t>
  </si>
  <si>
    <t>07210723_1656</t>
  </si>
  <si>
    <t>80/70/60/70</t>
  </si>
  <si>
    <t>Tower = 0.31 K</t>
  </si>
  <si>
    <t>07210726_1405</t>
  </si>
  <si>
    <t>200/70/75/600</t>
  </si>
  <si>
    <t>unsynced</t>
  </si>
  <si>
    <t>07210727_1333</t>
  </si>
  <si>
    <t>130/60/50/370</t>
  </si>
  <si>
    <t>07210728_1139</t>
  </si>
  <si>
    <t>65/50/45/140</t>
  </si>
  <si>
    <t>bias @90 sec</t>
  </si>
  <si>
    <t>07210728_1347</t>
  </si>
  <si>
    <t>noise test with no pi-filters</t>
  </si>
  <si>
    <t>07210728_1625</t>
  </si>
  <si>
    <t>65/50/45/200</t>
  </si>
  <si>
    <t>07210729_1431</t>
  </si>
  <si>
    <t>07210802_1113</t>
  </si>
  <si>
    <t>50/50/40/150</t>
  </si>
  <si>
    <t>07210803_1156</t>
  </si>
  <si>
    <t>50/40/40/90</t>
  </si>
  <si>
    <t>07210804_1419</t>
  </si>
  <si>
    <t>0/-12 V</t>
  </si>
  <si>
    <t xml:space="preserve">150/50/40/700 </t>
  </si>
  <si>
    <t>07210805_1058</t>
  </si>
  <si>
    <t>0/-9 V</t>
  </si>
  <si>
    <t xml:space="preserve">120/40/35/500 </t>
  </si>
  <si>
    <t>07210806_1250</t>
  </si>
  <si>
    <t>40/40/35/60</t>
  </si>
  <si>
    <t>07210807_1710</t>
  </si>
  <si>
    <t>35/35/40/60</t>
  </si>
  <si>
    <t>07210809_1049</t>
  </si>
  <si>
    <t>50/50/50/70</t>
  </si>
  <si>
    <t>07210809_1615</t>
  </si>
  <si>
    <t>50/50/40/70</t>
  </si>
  <si>
    <t>07210810_1100</t>
  </si>
  <si>
    <t>all 4000</t>
  </si>
  <si>
    <t>measuring Vtest, high noise</t>
  </si>
  <si>
    <t>07210811_1036</t>
  </si>
  <si>
    <t xml:space="preserve">150/45/70/300 </t>
  </si>
  <si>
    <t>yes</t>
  </si>
  <si>
    <t>07210811_1428</t>
  </si>
  <si>
    <t>Na-22 @ 40 cm</t>
  </si>
  <si>
    <t>07210812_1329</t>
  </si>
  <si>
    <t xml:space="preserve">150/40/70/250 </t>
  </si>
  <si>
    <t>07210813_1129</t>
  </si>
  <si>
    <t>120/40/60/200</t>
  </si>
  <si>
    <t>Na-22 @ 80 cm</t>
  </si>
  <si>
    <t>07210813_1408</t>
  </si>
  <si>
    <t>0/-9 -&gt; 0/-12</t>
  </si>
  <si>
    <t>100/50/60/200</t>
  </si>
  <si>
    <t>3 min at first bias, then second</t>
  </si>
  <si>
    <t>07210813_1603</t>
  </si>
  <si>
    <t>0/-12 -&gt; 0/0</t>
  </si>
  <si>
    <t>15 min at original bias, then 0V for remainder</t>
  </si>
  <si>
    <t>07210815_1339</t>
  </si>
  <si>
    <t>70/70/80/110</t>
  </si>
  <si>
    <t>07210816_1356</t>
  </si>
  <si>
    <t xml:space="preserve"> 60/40/120/90</t>
  </si>
  <si>
    <t>07210816_1725</t>
  </si>
  <si>
    <t>200/150/75/220</t>
  </si>
  <si>
    <t>no flash, just 20min grounded</t>
  </si>
  <si>
    <t>07210817_1047</t>
  </si>
  <si>
    <t>120/60/65/300</t>
  </si>
  <si>
    <t>07210817_1215</t>
  </si>
  <si>
    <t>0/-10 V</t>
  </si>
  <si>
    <t xml:space="preserve">120/50/70/280 </t>
  </si>
  <si>
    <t>07210817_1527</t>
  </si>
  <si>
    <t>50/40/60/90</t>
  </si>
  <si>
    <t>edge of blocker</t>
  </si>
  <si>
    <t>07210817_1747</t>
  </si>
  <si>
    <t>70/80/70/90</t>
  </si>
  <si>
    <t>mostly over blocker</t>
  </si>
  <si>
    <t>07210818_1305</t>
  </si>
  <si>
    <t>60/50/70/100</t>
  </si>
  <si>
    <t>Tower = 0.4 K</t>
  </si>
  <si>
    <t>07210818_1634</t>
  </si>
  <si>
    <t>50/40/40/60</t>
  </si>
  <si>
    <t>first series with shield present</t>
  </si>
  <si>
    <t>07210819_0913</t>
  </si>
  <si>
    <t>150/50/50/250</t>
  </si>
  <si>
    <t>07210819_1150</t>
  </si>
  <si>
    <t xml:space="preserve">120/40/45/250 </t>
  </si>
  <si>
    <t>Tower = 0.86 K</t>
  </si>
  <si>
    <t>07210819_1430</t>
  </si>
  <si>
    <t xml:space="preserve">120/40/50/300 </t>
  </si>
  <si>
    <t>07210819_1640</t>
  </si>
  <si>
    <t>10/0, 10/-8, 10/-4</t>
  </si>
  <si>
    <t>80/50/50/120</t>
  </si>
  <si>
    <t>biases for 15,6,23 min</t>
  </si>
  <si>
    <t>07210820_0741</t>
  </si>
  <si>
    <t>9/0 V</t>
  </si>
  <si>
    <t>60/35/50/120</t>
  </si>
  <si>
    <t>07210820_1037</t>
  </si>
  <si>
    <t>8/0 V</t>
  </si>
  <si>
    <t xml:space="preserve">70/40/40/150 </t>
  </si>
  <si>
    <t>07210820_1215</t>
  </si>
  <si>
    <t>7/0 V</t>
  </si>
  <si>
    <t>70/40/40/150</t>
  </si>
  <si>
    <t>07210820_1324</t>
  </si>
  <si>
    <t>6/0 V</t>
  </si>
  <si>
    <t xml:space="preserve">70/40/50/150 </t>
  </si>
  <si>
    <t>07210820_1633</t>
  </si>
  <si>
    <t>9.5/0 V</t>
  </si>
  <si>
    <t>160/80/40/290</t>
  </si>
  <si>
    <t>07210821_1116</t>
  </si>
  <si>
    <t>9.8/0 V</t>
  </si>
  <si>
    <t>120/60/55/250</t>
  </si>
  <si>
    <t>07210823_1408</t>
  </si>
  <si>
    <t>10.0/0 V</t>
  </si>
  <si>
    <t>100/50/50/250</t>
  </si>
  <si>
    <t>07210823_1629</t>
  </si>
  <si>
    <t>0/-10.0 V</t>
  </si>
  <si>
    <t>80/50/45/170</t>
  </si>
  <si>
    <t>07210824_0858</t>
  </si>
  <si>
    <t>12/0 V</t>
  </si>
  <si>
    <t>100/50/50/230</t>
  </si>
  <si>
    <t>07210824_1350</t>
  </si>
  <si>
    <t>AM/lead</t>
  </si>
  <si>
    <t>14/0 V</t>
  </si>
  <si>
    <t>90/40/50/215</t>
  </si>
  <si>
    <t>07210824_1558</t>
  </si>
  <si>
    <t>0/-16 V</t>
  </si>
  <si>
    <t>45/85/55/260</t>
  </si>
  <si>
    <t>breakdown seen, -&gt;-14V to get rid of it</t>
  </si>
  <si>
    <t>07210825_1106</t>
  </si>
  <si>
    <t>Variety</t>
  </si>
  <si>
    <t>95/50/45/270</t>
  </si>
  <si>
    <t>bias @60 then 10 min interval</t>
  </si>
  <si>
    <t>07210825_1304</t>
  </si>
  <si>
    <t>0/-12, -8 V</t>
  </si>
  <si>
    <t>100/85/50/320</t>
  </si>
  <si>
    <t>bias @ start, decreast to @60</t>
  </si>
  <si>
    <t>07210825_1456</t>
  </si>
  <si>
    <t>0/-12V, 0/-8V</t>
  </si>
  <si>
    <t>110/60/50/310</t>
  </si>
  <si>
    <t>bias @60 sec then 10 min interval</t>
  </si>
  <si>
    <t>07210826_1004</t>
  </si>
  <si>
    <t>0/-14,13 , 0/-6</t>
  </si>
  <si>
    <t>120/60/45/260</t>
  </si>
  <si>
    <t>bias @60, fix breakdown, again @4 min</t>
  </si>
  <si>
    <t>07210826_1335</t>
  </si>
  <si>
    <t>0/-12, 0/-8, 0/-6</t>
  </si>
  <si>
    <t>100/40/40/270</t>
  </si>
  <si>
    <t>bias @-35 sec then 10 min later went down to -6V</t>
  </si>
  <si>
    <t>07210826_1622</t>
  </si>
  <si>
    <t>0/-10V, 0/-6V</t>
  </si>
  <si>
    <t>70/40/40/200</t>
  </si>
  <si>
    <t>bias @60 sec, wait 11 min then change</t>
  </si>
  <si>
    <t>07210827_0849</t>
  </si>
  <si>
    <t>12/0V</t>
  </si>
  <si>
    <t>70/60/40/200</t>
  </si>
  <si>
    <t>07210830_1447</t>
  </si>
  <si>
    <t>10/0V</t>
  </si>
  <si>
    <t>40/30/40/60</t>
  </si>
  <si>
    <t>07210831_0941</t>
  </si>
  <si>
    <t>10,9,8,7/0V</t>
  </si>
  <si>
    <t>120/40/40/400</t>
  </si>
  <si>
    <t>initial bias @60 sec</t>
  </si>
  <si>
    <t>biases for 90 sec each</t>
  </si>
  <si>
    <t>59,48</t>
  </si>
  <si>
    <t>7.5,6</t>
  </si>
  <si>
    <t>07210831_1553</t>
  </si>
  <si>
    <t xml:space="preserve">120/50/40/450 </t>
  </si>
  <si>
    <t>after a series with at 0.87 K</t>
  </si>
  <si>
    <t>07210901_1600</t>
  </si>
  <si>
    <t>130/60/40/400</t>
  </si>
  <si>
    <t>07210902_1021</t>
  </si>
  <si>
    <t>80/40/40/120</t>
  </si>
  <si>
    <t>07210902_1351</t>
  </si>
  <si>
    <t>100/50/40/300</t>
  </si>
  <si>
    <t>Tower = 1.02 K</t>
  </si>
  <si>
    <t>07210902_1647</t>
  </si>
  <si>
    <t>100/40/70/350</t>
  </si>
  <si>
    <t>07210903_1345</t>
  </si>
  <si>
    <t>0/-10V</t>
  </si>
  <si>
    <t xml:space="preserve">none/none/50/350 </t>
  </si>
  <si>
    <t>DCRC3 FETs turned off</t>
  </si>
  <si>
    <t>07210903_1627</t>
  </si>
  <si>
    <t>40/30/35/150</t>
  </si>
  <si>
    <t>07210904_1049</t>
  </si>
  <si>
    <t>0/-10, 0/-8 V</t>
  </si>
  <si>
    <t>55/40/30/200</t>
  </si>
  <si>
    <t>bias @60 sec, alt 2/2/4/4/6/6/rem min</t>
  </si>
  <si>
    <t>07210905_1309</t>
  </si>
  <si>
    <t>0/-8V</t>
  </si>
  <si>
    <t>130/50/40/300</t>
  </si>
  <si>
    <t>07210906_1240</t>
  </si>
  <si>
    <t>0/-8, 0/-10V</t>
  </si>
  <si>
    <t>70/40/35/200</t>
  </si>
  <si>
    <t>bias @60 sec, change after 3 min</t>
  </si>
  <si>
    <t>07210907_0840</t>
  </si>
  <si>
    <t>+8/0V</t>
  </si>
  <si>
    <t>60/55/40/250</t>
  </si>
  <si>
    <t>07210907_1011</t>
  </si>
  <si>
    <t>+10/0V</t>
  </si>
  <si>
    <t>60/40/35/250</t>
  </si>
  <si>
    <t>07210907_1151</t>
  </si>
  <si>
    <t>+10,+8/0V</t>
  </si>
  <si>
    <t>bias @60 sec, alt 2/2/4/6/8/23 min</t>
  </si>
  <si>
    <t>07210907_1411</t>
  </si>
  <si>
    <t>Am+Ba/lead</t>
  </si>
  <si>
    <t>none/none/35/250</t>
  </si>
  <si>
    <t>DCRC3 triggers disabled accidentally</t>
  </si>
  <si>
    <t>07210908_1647</t>
  </si>
  <si>
    <t>80/40/35/250</t>
  </si>
  <si>
    <t>07210908_2110</t>
  </si>
  <si>
    <t>-8/0V</t>
  </si>
  <si>
    <t>150/40/30/350</t>
  </si>
  <si>
    <t>07210909_1006</t>
  </si>
  <si>
    <t>150/50/35/350</t>
  </si>
  <si>
    <t>07210910_0909</t>
  </si>
  <si>
    <t>-10/0V</t>
  </si>
  <si>
    <t>80/40/30/150</t>
  </si>
  <si>
    <t>07210910_1025</t>
  </si>
  <si>
    <t>-12/0V</t>
  </si>
  <si>
    <t>70/40/35/160</t>
  </si>
  <si>
    <t>07210910_1201</t>
  </si>
  <si>
    <t>60/30/30/150</t>
  </si>
  <si>
    <t>07210910_1331</t>
  </si>
  <si>
    <t>50/45/30/160</t>
  </si>
  <si>
    <t>07210910_1557</t>
  </si>
  <si>
    <t>100/50/40/200</t>
  </si>
  <si>
    <t>07210911_1515</t>
  </si>
  <si>
    <t>+12/0V</t>
  </si>
  <si>
    <t>150/120/40/300</t>
  </si>
  <si>
    <t>07210912_1422</t>
  </si>
  <si>
    <t>+10,+12V / 0V</t>
  </si>
  <si>
    <t>100/60/30/160</t>
  </si>
  <si>
    <t>initial bias @60 sec, 4/41 min</t>
  </si>
  <si>
    <t>07210913_1011</t>
  </si>
  <si>
    <t>07210913_1135</t>
  </si>
  <si>
    <t>80/30/30/180</t>
  </si>
  <si>
    <t>07210913_1335</t>
  </si>
  <si>
    <t>80/30/30/150</t>
  </si>
  <si>
    <t>Tower = 1.15 K</t>
  </si>
  <si>
    <t>07210913_1608</t>
  </si>
  <si>
    <t>07210914_1026</t>
  </si>
  <si>
    <t>-10,+10V / 0V</t>
  </si>
  <si>
    <t>70/35/30/250</t>
  </si>
  <si>
    <t>initial bias @60 sec, change after 20 min</t>
  </si>
  <si>
    <t>07210914_1545</t>
  </si>
  <si>
    <t>80/35/30/250</t>
  </si>
  <si>
    <t>Tower = 1.51 K</t>
  </si>
  <si>
    <t>07210915_1526</t>
  </si>
  <si>
    <t>120/35/35/300</t>
  </si>
  <si>
    <t>Tower = 1.86 K</t>
  </si>
  <si>
    <t>07210916_1202</t>
  </si>
  <si>
    <t>50/25/30/120</t>
  </si>
  <si>
    <t>Tower = 2.10 K</t>
  </si>
  <si>
    <t>07210917_1049</t>
  </si>
  <si>
    <t>50/25/30/180</t>
  </si>
  <si>
    <t>Tower = 2.29 K</t>
  </si>
  <si>
    <t>no</t>
  </si>
  <si>
    <t>07210917_1213</t>
  </si>
  <si>
    <t>50/25/25/180</t>
  </si>
  <si>
    <t>07210918_1123</t>
  </si>
  <si>
    <t>80/55/35/200</t>
  </si>
  <si>
    <t>07210919_1444</t>
  </si>
  <si>
    <t>start right after bias</t>
  </si>
  <si>
    <t>noise only</t>
  </si>
  <si>
    <t>07210919_1447</t>
  </si>
  <si>
    <t>start 3 min after bias</t>
  </si>
  <si>
    <t>07210919_1450</t>
  </si>
  <si>
    <t>start 6 min after bias</t>
  </si>
  <si>
    <t>07210919_1454</t>
  </si>
  <si>
    <t>start 9 min after bias</t>
  </si>
  <si>
    <t>07210919_1457</t>
  </si>
  <si>
    <t>start 12 min after bias</t>
  </si>
  <si>
    <t>07210919_1500</t>
  </si>
  <si>
    <t>start 15 min after bias</t>
  </si>
  <si>
    <t>07210920_1110</t>
  </si>
  <si>
    <t>30/25/30/50</t>
  </si>
  <si>
    <t>07210920_1252</t>
  </si>
  <si>
    <t>07210920_1255</t>
  </si>
  <si>
    <t>07210920_1258</t>
  </si>
  <si>
    <t>07210920_1301</t>
  </si>
  <si>
    <t>07210920_1305</t>
  </si>
  <si>
    <t>start 13 min after bias</t>
  </si>
  <si>
    <t>07210920_1311</t>
  </si>
  <si>
    <t>start 19 min after bias</t>
  </si>
  <si>
    <t>07210920_1348</t>
  </si>
  <si>
    <t>0 V</t>
  </si>
  <si>
    <t>07210920_1349</t>
  </si>
  <si>
    <t>07210920_1439</t>
  </si>
  <si>
    <t>07210920_1440</t>
  </si>
  <si>
    <t>07210920_1511</t>
  </si>
  <si>
    <t>30/30/30/50</t>
  </si>
  <si>
    <t>07210920_1643</t>
  </si>
  <si>
    <t>07210920_1644</t>
  </si>
  <si>
    <t>07210921_0851</t>
  </si>
  <si>
    <t>+9/0V</t>
  </si>
  <si>
    <t>07210921_1501</t>
  </si>
  <si>
    <t>40/30/30/50</t>
  </si>
  <si>
    <t>Tower = 0.71-0.99 K</t>
  </si>
  <si>
    <t>07210921_2153</t>
  </si>
  <si>
    <t>40/30/25/60</t>
  </si>
  <si>
    <t>Tower = 1.28 K</t>
  </si>
  <si>
    <t>07210922_1454</t>
  </si>
  <si>
    <t>30/30/30/60</t>
  </si>
  <si>
    <t>Tower = 2.02-2.28 K</t>
  </si>
  <si>
    <t>07210922_1634</t>
  </si>
  <si>
    <t>Tower = 2.69 K</t>
  </si>
  <si>
    <t>07210922_1901</t>
  </si>
  <si>
    <t>Tower = 3.05-3.08  K</t>
  </si>
  <si>
    <t>07210922_2018</t>
  </si>
  <si>
    <t>Tower = 3.22-3.23  K</t>
  </si>
  <si>
    <t>07210922_2108</t>
  </si>
  <si>
    <t>07210922_2202</t>
  </si>
  <si>
    <t>-/-/30/60</t>
  </si>
  <si>
    <t>Tower = 3.47 K</t>
  </si>
  <si>
    <t>07210922_2234</t>
  </si>
  <si>
    <t>40/30/30/60</t>
  </si>
  <si>
    <t>Tower = 3.48 K</t>
  </si>
  <si>
    <t>07210924_1041</t>
  </si>
  <si>
    <t>-/30/30/40</t>
  </si>
  <si>
    <t>Tower = 4.68-4.72 K</t>
  </si>
  <si>
    <t>07210924_1139</t>
  </si>
  <si>
    <t xml:space="preserve">50/40/30/60 </t>
  </si>
  <si>
    <t xml:space="preserve">Tower 4.73-4.77 K </t>
  </si>
  <si>
    <t>07210924_1358</t>
  </si>
  <si>
    <t xml:space="preserve">Tower = 3.27-3.28 K </t>
  </si>
  <si>
    <t>07210924_1547</t>
  </si>
  <si>
    <t xml:space="preserve">50/40/30/80 </t>
  </si>
  <si>
    <t>Tower = 1.19-1.24 K</t>
  </si>
  <si>
    <t>07210924_1717</t>
  </si>
  <si>
    <t>50/40/35/60</t>
  </si>
  <si>
    <t>Tower = 2.64-2.68 K</t>
  </si>
  <si>
    <t>07210924_2003</t>
  </si>
  <si>
    <t>50/40/30/60</t>
  </si>
  <si>
    <t>Tower = 3.95-4.02 K</t>
  </si>
  <si>
    <t>07210924_2200</t>
  </si>
  <si>
    <t>60/50/30/80</t>
  </si>
  <si>
    <t>Tower = 4.47-4.50 K</t>
  </si>
  <si>
    <t>07210925_0908</t>
  </si>
  <si>
    <t>noise only, Tower = 3.30 K</t>
  </si>
  <si>
    <t>07210925_0909</t>
  </si>
  <si>
    <t>07210925_0922</t>
  </si>
  <si>
    <t>Tower = 3.30 K</t>
  </si>
  <si>
    <t>07210925_1043</t>
  </si>
  <si>
    <t>noise only, Tower = 1.28 K</t>
  </si>
  <si>
    <t>07210925_1044</t>
  </si>
  <si>
    <t>noise only, Tower = 1.27 K</t>
  </si>
  <si>
    <t>07210925_1056</t>
  </si>
  <si>
    <t>Tower = 1.26-1.30 K</t>
  </si>
  <si>
    <t>07210925_1347</t>
  </si>
  <si>
    <t>noise only, Tower = 1.56 K</t>
  </si>
  <si>
    <t>07210925_1348</t>
  </si>
  <si>
    <t>noise only, Tower = 1.55 K</t>
  </si>
  <si>
    <t>07210925_1357</t>
  </si>
  <si>
    <t>Tower = 1.55-1.58 K</t>
  </si>
  <si>
    <t>07210925_1520</t>
  </si>
  <si>
    <t>noise only, Tower = 2.08 K</t>
  </si>
  <si>
    <t>07210925_1521</t>
  </si>
  <si>
    <t>07210925_1530</t>
  </si>
  <si>
    <t>Tower = 2.11-2.13 K</t>
  </si>
  <si>
    <t>07210925_1648</t>
  </si>
  <si>
    <t>noise only, Tower = 2.63-2.68 K</t>
  </si>
  <si>
    <t>07210925_1649</t>
  </si>
  <si>
    <t>07210925_1657</t>
  </si>
  <si>
    <t>Tower = 2.66-2.71 K</t>
  </si>
  <si>
    <t>07210926_0831</t>
  </si>
  <si>
    <t>noise only, Tower = 3.86-3.87 K</t>
  </si>
  <si>
    <t>07210926_0832</t>
  </si>
  <si>
    <t>07210926_0839</t>
  </si>
  <si>
    <t>Tower = 3.91-3.97 K</t>
  </si>
  <si>
    <t>07210926_0956</t>
  </si>
  <si>
    <t>noise only, Tower = 4.90-4.93 K</t>
  </si>
  <si>
    <t>07210926_0957</t>
  </si>
  <si>
    <t>07210926_1006</t>
  </si>
  <si>
    <t>100/80/50/120</t>
  </si>
  <si>
    <t>Tower = 4.93-5.07 K</t>
  </si>
  <si>
    <t>07210926_1115</t>
  </si>
  <si>
    <t>noise only, Tower = 5.58-4.60 K</t>
  </si>
  <si>
    <t>07210926_1116</t>
  </si>
  <si>
    <t>07210926_1140</t>
  </si>
  <si>
    <t>120/100/50/150</t>
  </si>
  <si>
    <t>Tower = 5.54-5.58 K</t>
  </si>
  <si>
    <t>07210926_1459</t>
  </si>
  <si>
    <t>noise only, Tower = 6.08-6.10 K</t>
  </si>
  <si>
    <t>07210926_1500</t>
  </si>
  <si>
    <t>07210926_1536</t>
  </si>
  <si>
    <t>60/50/50/80</t>
  </si>
  <si>
    <t>Tower = 6.09-6.14 K</t>
  </si>
  <si>
    <t>07210926_1714</t>
  </si>
  <si>
    <t xml:space="preserve">noise only, Tower = 6.57-6.59 K </t>
  </si>
  <si>
    <t>07210926_1715</t>
  </si>
  <si>
    <t>07210926_1750</t>
  </si>
  <si>
    <t>noise only, Tower = 7.10-7.13 K</t>
  </si>
  <si>
    <t>07210926_1751</t>
  </si>
  <si>
    <t>07210926_1815</t>
  </si>
  <si>
    <t>noise only, Tower = 7.71-7.75 K</t>
  </si>
  <si>
    <t>07210926_1816</t>
  </si>
  <si>
    <t>07210926_1842</t>
  </si>
  <si>
    <t>noise only, Tower = 8.48-8.54 K</t>
  </si>
  <si>
    <t>07210926_1843</t>
  </si>
  <si>
    <t>07210926_1911</t>
  </si>
  <si>
    <t>noise only, Tower = 9.54-9.58 K</t>
  </si>
  <si>
    <t>07210926_1912</t>
  </si>
  <si>
    <t>07210926_1944</t>
  </si>
  <si>
    <t>noise only, Tower = 10.52-10.56 K</t>
  </si>
  <si>
    <t>07210926_1945</t>
  </si>
  <si>
    <t>temp [mK]</t>
  </si>
  <si>
    <t>notes 2</t>
  </si>
  <si>
    <t>select</t>
  </si>
  <si>
    <t>07211210_1405</t>
  </si>
  <si>
    <t>DCRC1pA</t>
  </si>
  <si>
    <t>07211210_1455</t>
  </si>
  <si>
    <t>07211213_1146</t>
  </si>
  <si>
    <t>07211213_1239</t>
  </si>
  <si>
    <t>DCRC1pC</t>
  </si>
  <si>
    <t>07211213_1321</t>
  </si>
  <si>
    <t>DCRC1pD</t>
  </si>
  <si>
    <t>07211213_1447</t>
  </si>
  <si>
    <t>DCRC3pA</t>
  </si>
  <si>
    <t>07211214_1056</t>
  </si>
  <si>
    <t>07211214_1142</t>
  </si>
  <si>
    <t>DCRC3pB</t>
  </si>
  <si>
    <t>07211214_1235</t>
  </si>
  <si>
    <t>DCRC3pC</t>
  </si>
  <si>
    <t>07211214_1531</t>
  </si>
  <si>
    <t>DCRC4pA</t>
  </si>
  <si>
    <t>07211214_1613</t>
  </si>
  <si>
    <t>DCRC4pB</t>
  </si>
  <si>
    <t>07211215_1201</t>
  </si>
  <si>
    <t>DCRC4pC</t>
  </si>
  <si>
    <t>07211215_1306</t>
  </si>
  <si>
    <t>DCRC4pD</t>
  </si>
  <si>
    <t>07211220_1520</t>
  </si>
  <si>
    <t>didn't write</t>
  </si>
  <si>
    <t>07211220_1538</t>
  </si>
  <si>
    <t>07211223_1156</t>
  </si>
  <si>
    <t>07211228_1350</t>
  </si>
  <si>
    <t>start adjusting QET biases for temperature, targeting dP/dI = 1.0 uV</t>
  </si>
  <si>
    <t>a</t>
  </si>
  <si>
    <t>"07211228_1350"</t>
  </si>
  <si>
    <t>07220101_1545</t>
  </si>
  <si>
    <t>no Al flash</t>
  </si>
  <si>
    <t>"07220105_1429"</t>
  </si>
  <si>
    <t>07220103_1636</t>
  </si>
  <si>
    <t>no Al flash, Side2pE gain very low</t>
  </si>
  <si>
    <t>"07220114_1655"</t>
  </si>
  <si>
    <t>07220104_2218</t>
  </si>
  <si>
    <t>"07220117_1219"</t>
  </si>
  <si>
    <t>07220105_1429</t>
  </si>
  <si>
    <t>07220108_1458</t>
  </si>
  <si>
    <t>07220109_2139</t>
  </si>
  <si>
    <t>07220110_1036</t>
  </si>
  <si>
    <t>07220110_1055</t>
  </si>
  <si>
    <t>07220110_1139</t>
  </si>
  <si>
    <t>07220110_1220</t>
  </si>
  <si>
    <t>07220110_1308</t>
  </si>
  <si>
    <t>07220110_1531</t>
  </si>
  <si>
    <t>07220110_2142</t>
  </si>
  <si>
    <t>07220110_2225</t>
  </si>
  <si>
    <t>07220111_0957</t>
  </si>
  <si>
    <t>07220111_1052</t>
  </si>
  <si>
    <t>07220111_1136</t>
  </si>
  <si>
    <t>07220111_1228</t>
  </si>
  <si>
    <t>07220111_1317</t>
  </si>
  <si>
    <t>07220111_1432</t>
  </si>
  <si>
    <t>07220111_1640</t>
  </si>
  <si>
    <t>07220111_2045</t>
  </si>
  <si>
    <t>07220114_1655</t>
  </si>
  <si>
    <t>07220116_1746</t>
  </si>
  <si>
    <t>07220117_1219</t>
  </si>
  <si>
    <t>07220118_1107</t>
  </si>
  <si>
    <t>one channel a little ugly</t>
  </si>
  <si>
    <t>07220119_0928</t>
  </si>
  <si>
    <t>Side2pC timing shifts mid-series</t>
  </si>
  <si>
    <t>07220121_1309</t>
  </si>
  <si>
    <t>07220124_1339</t>
  </si>
  <si>
    <t>07220125_1114</t>
  </si>
  <si>
    <t>07220126_1121</t>
  </si>
  <si>
    <t>07220201_1531</t>
  </si>
  <si>
    <t>07220201_1534</t>
  </si>
  <si>
    <t>Side1</t>
  </si>
  <si>
    <t>no pre-bias</t>
  </si>
  <si>
    <t>07220202_1609</t>
  </si>
  <si>
    <t>07220203_1529</t>
  </si>
  <si>
    <t>07220204_1232</t>
  </si>
  <si>
    <t>07220205_1128</t>
  </si>
  <si>
    <t>07220205_1651</t>
  </si>
  <si>
    <t>07220210_1018</t>
  </si>
  <si>
    <t>Side2</t>
  </si>
  <si>
    <t>07220211_0927</t>
  </si>
  <si>
    <t>07220212_1439</t>
  </si>
  <si>
    <t>07220213_2057</t>
  </si>
  <si>
    <t>40.4?</t>
  </si>
  <si>
    <t>QET biases reduced to dP/dI ~ 0.9 uV</t>
  </si>
  <si>
    <t>07220214_1250</t>
  </si>
  <si>
    <t>QET biases reduced to dP/dI = 0.7 uV</t>
  </si>
  <si>
    <t>07220215_1030</t>
  </si>
  <si>
    <t>QET biases reduced to dP/dI = 0.4 uV</t>
  </si>
  <si>
    <t>HV</t>
  </si>
  <si>
    <t>source pos x,y [mm]</t>
  </si>
  <si>
    <t>duration [min]</t>
  </si>
  <si>
    <t>bmin</t>
  </si>
  <si>
    <t>m</t>
  </si>
  <si>
    <t>b</t>
  </si>
  <si>
    <t>c</t>
  </si>
  <si>
    <t>nrand</t>
  </si>
  <si>
    <t>nrandhit</t>
  </si>
  <si>
    <t>rate_rand</t>
  </si>
  <si>
    <t>timesec</t>
  </si>
  <si>
    <t>ntrig</t>
  </si>
  <si>
    <t>effic_write</t>
  </si>
  <si>
    <t>rate_trig(Hz)</t>
  </si>
  <si>
    <t>p1</t>
  </si>
  <si>
    <t>p2</t>
  </si>
  <si>
    <t>res0</t>
  </si>
  <si>
    <t>res14</t>
  </si>
  <si>
    <t>res18</t>
  </si>
  <si>
    <t>res60</t>
  </si>
  <si>
    <t>07220330_1639</t>
  </si>
  <si>
    <t>2sided</t>
  </si>
  <si>
    <t>Am / Pb&amp;poly E&amp;W only</t>
  </si>
  <si>
    <t>DCRC1pA 8</t>
  </si>
  <si>
    <t>0,0</t>
  </si>
  <si>
    <t>07220401_1453</t>
  </si>
  <si>
    <t>NaI array</t>
  </si>
  <si>
    <t>DCRC6 trigger test</t>
  </si>
  <si>
    <t>07220401_1515</t>
  </si>
  <si>
    <t>07220401_1533</t>
  </si>
  <si>
    <t>07220405_0900</t>
  </si>
  <si>
    <t>07220405_1646</t>
  </si>
  <si>
    <t>Position 2</t>
  </si>
  <si>
    <t>07220406_1720</t>
  </si>
  <si>
    <t>Position 3</t>
  </si>
  <si>
    <t>07220420_0842</t>
  </si>
  <si>
    <t>DCRC3pD 10</t>
  </si>
  <si>
    <t>15% prebias for 5 min - this is default from here forward</t>
  </si>
  <si>
    <t>07220421_1010</t>
  </si>
  <si>
    <t>07220422_1144</t>
  </si>
  <si>
    <t>102(4)</t>
  </si>
  <si>
    <t>07220422_1250</t>
  </si>
  <si>
    <t>07220425_0722</t>
  </si>
  <si>
    <t>07220425_1144</t>
  </si>
  <si>
    <t>07220425_1621</t>
  </si>
  <si>
    <t>bad</t>
  </si>
  <si>
    <t>07220425_2032</t>
  </si>
  <si>
    <t>07220426_1120</t>
  </si>
  <si>
    <t>noise outlier</t>
  </si>
  <si>
    <t>07220426_2022</t>
  </si>
  <si>
    <t>1.77[1]</t>
  </si>
  <si>
    <t>07220427_1630</t>
  </si>
  <si>
    <t>1.743[13]</t>
  </si>
  <si>
    <t>07220428_1659</t>
  </si>
  <si>
    <t>2.68[2]</t>
  </si>
  <si>
    <t>07220503_0851</t>
  </si>
  <si>
    <t>3.40[3]</t>
  </si>
  <si>
    <t>07220509_1432</t>
  </si>
  <si>
    <t>bad data, gains drop off, channels go normal</t>
  </si>
  <si>
    <t>///</t>
  </si>
  <si>
    <t>07220510_0917</t>
  </si>
  <si>
    <t>//</t>
  </si>
  <si>
    <t>07220510_1115</t>
  </si>
  <si>
    <t>07220513_0853</t>
  </si>
  <si>
    <t>07220513_0952</t>
  </si>
  <si>
    <t>07220531_0810</t>
  </si>
  <si>
    <t>Am / Pb&amp;poly except N</t>
  </si>
  <si>
    <t>07220531_1214</t>
  </si>
  <si>
    <t>Na-22 / Pb&amp;poly except N</t>
  </si>
  <si>
    <t xml:space="preserve">Na-22 source 48cm N of mu-metal shield </t>
  </si>
  <si>
    <t>07220601_1310</t>
  </si>
  <si>
    <t xml:space="preserve">Na-22 source 40cm N of mu-metal shield </t>
  </si>
  <si>
    <t>07220608_1539</t>
  </si>
  <si>
    <t>PuBe / Pb&amp;poly, lead stack</t>
  </si>
  <si>
    <t>PuBe removed after Dump 13. Paraffin drum on floor.</t>
  </si>
  <si>
    <t>07220608_1606</t>
  </si>
  <si>
    <t>Am / Pb&amp;poly, lead stack</t>
  </si>
  <si>
    <t>07220609_1114</t>
  </si>
  <si>
    <t xml:space="preserve">Paraffin drum elevated. </t>
  </si>
  <si>
    <t>07220615_1205</t>
  </si>
  <si>
    <t>PuBe / Pb&amp;poly, lead stack, borax</t>
  </si>
  <si>
    <t>07220617_1209</t>
  </si>
  <si>
    <t>Am / Pb&amp;poly, lead stack, borax</t>
  </si>
  <si>
    <t>NaI configured for muons</t>
  </si>
  <si>
    <t>07220617_1305</t>
  </si>
  <si>
    <t xml:space="preserve">NaI </t>
  </si>
  <si>
    <t>trigger DCRC4pA 20, NaI configured for muons</t>
  </si>
  <si>
    <t>./setthresh.exe -t16000 -T20000 -DMuon -v3</t>
  </si>
  <si>
    <t>07220701_1439</t>
  </si>
  <si>
    <t>NaI window 7.6-11.2 MeV (here forward)</t>
  </si>
  <si>
    <t>07220702_0911</t>
  </si>
  <si>
    <t>07220702_1055</t>
  </si>
  <si>
    <t>HV leakage high. Data empty after Dump 12</t>
  </si>
  <si>
    <t>NaI trigger window -t10760 -T15760 (7.6-11.2 MeV)</t>
  </si>
  <si>
    <t>07220702_1400</t>
  </si>
  <si>
    <t>bad series - DAQ crash</t>
  </si>
  <si>
    <t>n/a</t>
  </si>
  <si>
    <t>07220703_1904</t>
  </si>
  <si>
    <t>07220703_2005</t>
  </si>
  <si>
    <t>HV leakage probably high</t>
  </si>
  <si>
    <t>DCRC4 disabled</t>
  </si>
  <si>
    <t>Something is wrong here - NaN</t>
  </si>
  <si>
    <t>07220703_2012</t>
  </si>
  <si>
    <t>07220703_2143</t>
  </si>
  <si>
    <t>07220703_2151</t>
  </si>
  <si>
    <t>1-360 fritts</t>
  </si>
  <si>
    <t>07220704_0945</t>
  </si>
  <si>
    <t>07220704_1000</t>
  </si>
  <si>
    <t>varies</t>
  </si>
  <si>
    <t>Ramped down HV while taking data</t>
  </si>
  <si>
    <t>07220704_1140</t>
  </si>
  <si>
    <t>07220704_1437</t>
  </si>
  <si>
    <t>07220704_1444</t>
  </si>
  <si>
    <t>---</t>
  </si>
  <si>
    <t>07220704_1617</t>
  </si>
  <si>
    <t>07220704_1630</t>
  </si>
  <si>
    <t>07220704_2102</t>
  </si>
  <si>
    <t>07220704_2111</t>
  </si>
  <si>
    <t>Data empty after Dump 221</t>
  </si>
  <si>
    <t>07220705_0629</t>
  </si>
  <si>
    <t>07220705_0646</t>
  </si>
  <si>
    <t>07220706_0836</t>
  </si>
  <si>
    <t>No Discernable Peaks</t>
  </si>
  <si>
    <t>07220706_1112</t>
  </si>
  <si>
    <t>07220706_1254</t>
  </si>
  <si>
    <t>07220706_1303</t>
  </si>
  <si>
    <t>After Dump 64 NaI trigger changed by mistake</t>
  </si>
  <si>
    <t>07220706_1652</t>
  </si>
  <si>
    <t>07220706_1659</t>
  </si>
  <si>
    <t>NaI rate ~ 7Hz</t>
  </si>
  <si>
    <t>07220706_2041</t>
  </si>
  <si>
    <t>07220706_2048</t>
  </si>
  <si>
    <t>07220707_0632</t>
  </si>
  <si>
    <t>07220707_0639</t>
  </si>
  <si>
    <t>07220707_0644</t>
  </si>
  <si>
    <t>07220707_1643</t>
  </si>
  <si>
    <t>07220707_1748</t>
  </si>
  <si>
    <t>07220707_1758</t>
  </si>
  <si>
    <t>07220707_2149</t>
  </si>
  <si>
    <t>07220707_2205</t>
  </si>
  <si>
    <t>07220708_0826</t>
  </si>
  <si>
    <t>07220708_0833</t>
  </si>
  <si>
    <t>07220708_1518</t>
  </si>
  <si>
    <t>07220708_1618</t>
  </si>
  <si>
    <t>07220708_1632</t>
  </si>
  <si>
    <t xml:space="preserve">NaI rate &lt; 1Hz. </t>
  </si>
  <si>
    <t>07220708_2207</t>
  </si>
  <si>
    <t>07220708_2217</t>
  </si>
  <si>
    <t>Data empty after Dump 127</t>
  </si>
  <si>
    <t>07220709_0926</t>
  </si>
  <si>
    <t>07220709_0935</t>
  </si>
  <si>
    <t>Data empty after Dump 168</t>
  </si>
  <si>
    <t>07220709_1415</t>
  </si>
  <si>
    <t>07220709_1717</t>
  </si>
  <si>
    <t>07220709_1807</t>
  </si>
  <si>
    <t>Data empty after Dump 204</t>
  </si>
  <si>
    <t>07220709_2144</t>
  </si>
  <si>
    <t>07220711_0828</t>
  </si>
  <si>
    <t>redoing with non-NaI config files. Original is labeled _p0</t>
  </si>
  <si>
    <t>07220711_1649</t>
  </si>
  <si>
    <t>07220711_1709</t>
  </si>
  <si>
    <t>07220712_1016</t>
  </si>
  <si>
    <t>07220712_1324</t>
  </si>
  <si>
    <t>07220712_1336</t>
  </si>
  <si>
    <t>07220812_1805</t>
  </si>
  <si>
    <t>DCRC3pD 15</t>
  </si>
  <si>
    <t>after recool. Amplitudes seem suppressed, resolution bad</t>
  </si>
  <si>
    <t>07220812_1958</t>
  </si>
  <si>
    <t>bad data (helium films)</t>
  </si>
  <si>
    <t>07220816_0838</t>
  </si>
  <si>
    <t>DCRC3pB 10</t>
  </si>
  <si>
    <t>07220816_1730</t>
  </si>
  <si>
    <t>07220822_1828</t>
  </si>
  <si>
    <t>Ladder cal data</t>
  </si>
  <si>
    <t>07220826_1219</t>
  </si>
  <si>
    <t>DCRC1pB 10</t>
  </si>
  <si>
    <t>07220826_1536</t>
  </si>
  <si>
    <t>07220826_2007</t>
  </si>
  <si>
    <t>07220827_1153</t>
  </si>
  <si>
    <t>07220830_1247</t>
  </si>
  <si>
    <t>07220830_1724</t>
  </si>
  <si>
    <t>start including DCRC4 (NaI triggers) again</t>
  </si>
  <si>
    <t>NaI recalibrated</t>
  </si>
  <si>
    <t>07220830_1829</t>
  </si>
  <si>
    <t>NaI trigger not given for date; assuming unchanged.</t>
  </si>
  <si>
    <t>07220830_2033</t>
  </si>
  <si>
    <t>07220830_2118</t>
  </si>
  <si>
    <t>data empty after Dump 723</t>
  </si>
  <si>
    <t>07220831_0955</t>
  </si>
  <si>
    <t>short series, DAQ crash</t>
  </si>
  <si>
    <t>07220831_1002</t>
  </si>
  <si>
    <t>07220831_1151</t>
  </si>
  <si>
    <t xml:space="preserve">NaI trigger window: 7.6-11.2 MeV </t>
  </si>
  <si>
    <t>07220831_1846</t>
  </si>
  <si>
    <t>07220831_2022</t>
  </si>
  <si>
    <t>DCRC3pA 120</t>
  </si>
  <si>
    <t>Wrong trigger setting. Data empty after Dump 118</t>
  </si>
  <si>
    <t>07220906_1510</t>
  </si>
  <si>
    <t>07220906_1614</t>
  </si>
  <si>
    <t>07220909_1115</t>
  </si>
  <si>
    <t>07220909_1200</t>
  </si>
  <si>
    <t>07220909_1256</t>
  </si>
  <si>
    <t>07220909_1340</t>
  </si>
  <si>
    <t>SiHV&amp;NaI</t>
  </si>
  <si>
    <t>Wrong trigger setting</t>
  </si>
  <si>
    <t>NaI trigger window: 7.6-11.2 MeV</t>
  </si>
  <si>
    <t>07220909_1648</t>
  </si>
  <si>
    <t>07220909_2023</t>
  </si>
  <si>
    <t>07220909_2102</t>
  </si>
  <si>
    <t>07220909_2243</t>
  </si>
  <si>
    <t>07220910_1210</t>
  </si>
  <si>
    <t>07220910_1517</t>
  </si>
  <si>
    <t>07220910_1608</t>
  </si>
  <si>
    <t>07220912_1955</t>
  </si>
  <si>
    <t>07220912_2107</t>
  </si>
  <si>
    <t>07220913_0814</t>
  </si>
  <si>
    <t>07220913_1457</t>
  </si>
  <si>
    <t>07220913_1546</t>
  </si>
  <si>
    <t>07220914_1133</t>
  </si>
  <si>
    <t>07220916_2059</t>
  </si>
  <si>
    <t>07220916_2200</t>
  </si>
  <si>
    <t>07220917_1039</t>
  </si>
  <si>
    <t>07220917_1225</t>
  </si>
  <si>
    <t>07220917_2125</t>
  </si>
  <si>
    <t>07220917_2155</t>
  </si>
  <si>
    <t>07220919_1723</t>
  </si>
  <si>
    <t>07220919_1808</t>
  </si>
  <si>
    <t>DAQ crash, very short series</t>
  </si>
  <si>
    <t>(skip)</t>
  </si>
  <si>
    <t>07220919_2012</t>
  </si>
  <si>
    <t>07220920_0925</t>
  </si>
  <si>
    <t>07220920_1007</t>
  </si>
  <si>
    <t>07220920_2052</t>
  </si>
  <si>
    <t>07220920_2138</t>
  </si>
  <si>
    <t>07220921_0915</t>
  </si>
  <si>
    <t>07220921_1034</t>
  </si>
  <si>
    <t>07220921_1541</t>
  </si>
  <si>
    <t>07220921_1631</t>
  </si>
  <si>
    <t>07220921_1851</t>
  </si>
  <si>
    <t>07220921_2055</t>
  </si>
  <si>
    <t>channels went normal during series, triggering stopped. Only processed 1-400</t>
  </si>
  <si>
    <t>Some weirdness afoot</t>
  </si>
  <si>
    <t>07220923_1709</t>
  </si>
  <si>
    <t>07220923_1746</t>
  </si>
  <si>
    <t>07220924_1233</t>
  </si>
  <si>
    <t>07220924_1331</t>
  </si>
  <si>
    <t>07220925_1006</t>
  </si>
  <si>
    <t>07220925_1056</t>
  </si>
  <si>
    <t>07220925_1320</t>
  </si>
  <si>
    <t>07220925_1649</t>
  </si>
  <si>
    <t>07220925_1737</t>
  </si>
  <si>
    <t>07220929_1526</t>
  </si>
  <si>
    <t>DCRC1pA 2</t>
  </si>
  <si>
    <t>low-trigger threshold data</t>
  </si>
  <si>
    <t>07220929_1628</t>
  </si>
  <si>
    <t>07220929_1629</t>
  </si>
  <si>
    <t>low-trigger threshold data. Data started late in pumpout period, mostly bad</t>
  </si>
  <si>
    <t>07221001_2314</t>
  </si>
  <si>
    <t>07221017_1600</t>
  </si>
  <si>
    <t>low-trigger threshold data,baseline elevated during data series</t>
  </si>
  <si>
    <t>neog</t>
  </si>
  <si>
    <t>dir: /data/chocula/neog/rq/</t>
  </si>
  <si>
    <t>07221019_1741</t>
  </si>
  <si>
    <t>upper NaI threshold adjusted. 7.6-11.0 MeV (here forward)</t>
  </si>
  <si>
    <t>07221019_1832</t>
  </si>
  <si>
    <t xml:space="preserve">Set NaI trigger window to 7-11 MeV </t>
  </si>
  <si>
    <t>07221019_2157</t>
  </si>
  <si>
    <t>07221019_2240</t>
  </si>
  <si>
    <t>533 is last non-empty dump</t>
  </si>
  <si>
    <t>07221020_0849</t>
  </si>
  <si>
    <t>07221020_0954</t>
  </si>
  <si>
    <t xml:space="preserve">NaI trigger window: 7.6-11.0 MeV </t>
  </si>
  <si>
    <t>07221020_1846</t>
  </si>
  <si>
    <t>DAQ crash, 43 is last non-empty dump</t>
  </si>
  <si>
    <t>3 railed channels</t>
  </si>
  <si>
    <t>Peaks not resolving</t>
  </si>
  <si>
    <t>07221020_1948</t>
  </si>
  <si>
    <t>07221021_1001</t>
  </si>
  <si>
    <t>No m,b data</t>
  </si>
  <si>
    <t>07221021_1126</t>
  </si>
  <si>
    <t>07221022_1630</t>
  </si>
  <si>
    <t>DCRC4 enabled BUT NaI window not fixed</t>
  </si>
  <si>
    <t>07221023_1051</t>
  </si>
  <si>
    <t>07221025_1751</t>
  </si>
  <si>
    <t>NaI thresh set to 7.0-11.0 MeV, apparently (should have been 7.6)</t>
  </si>
  <si>
    <t>07221025_1956</t>
  </si>
  <si>
    <t>DAQ crash, 621 is last non-empty dump</t>
  </si>
  <si>
    <t xml:space="preserve">Set NaI array trigger window to 7.0 - 11.0 MeV </t>
  </si>
  <si>
    <t>SMTH CRASHED</t>
  </si>
  <si>
    <t>07221026_0951</t>
  </si>
  <si>
    <t>07221026_1049</t>
  </si>
  <si>
    <t xml:space="preserve">NaI array trigger thresholds: 7.0 - 11.0 MeV </t>
  </si>
  <si>
    <t>07221026_2145</t>
  </si>
  <si>
    <t>07221026_2224</t>
  </si>
  <si>
    <t>07221027_0915</t>
  </si>
  <si>
    <t>07221027_0959</t>
  </si>
  <si>
    <t>07221102_1555</t>
  </si>
  <si>
    <t>test to see when baseline changes</t>
  </si>
  <si>
    <t>DCRC4 disabled. Use processingUMNData.r76_HV2 and configUMNData.r75_HV1</t>
  </si>
  <si>
    <t>07221102_2132</t>
  </si>
  <si>
    <t>07221106_2320</t>
  </si>
  <si>
    <t>07221108_1305</t>
  </si>
  <si>
    <t>07221108_1410</t>
  </si>
  <si>
    <t>07221108_1459</t>
  </si>
  <si>
    <t>07221110_0946</t>
  </si>
  <si>
    <t>07221110_1159</t>
  </si>
  <si>
    <t>07221111_1556</t>
  </si>
  <si>
    <t>07221111_1619</t>
  </si>
  <si>
    <t>07221111_2153</t>
  </si>
  <si>
    <t xml:space="preserve"> NaI window = 4.73 - 5.93 MeV.</t>
  </si>
  <si>
    <t>07221111_2249</t>
  </si>
  <si>
    <t xml:space="preserve">Set NaI array trigger window to 4.73 - 5.93 MeV </t>
  </si>
  <si>
    <t>07221112_0943</t>
  </si>
  <si>
    <t>07221112_1127</t>
  </si>
  <si>
    <t xml:space="preserve">NaI array trigger window = 4.73 - 5.93 MeV </t>
  </si>
  <si>
    <t>07221112_2249</t>
  </si>
  <si>
    <t>07221113_0000</t>
  </si>
  <si>
    <t>07221113_1159</t>
  </si>
  <si>
    <t>???</t>
  </si>
  <si>
    <t>07221114_2141</t>
  </si>
  <si>
    <t xml:space="preserve">Might have reset NaI window, there's some confusion. Should check NaI trigger rate for stability. </t>
  </si>
  <si>
    <t>07221114_2223</t>
  </si>
  <si>
    <t>NaI array trigger window = 4.73 - 5.93 MeV</t>
  </si>
  <si>
    <t>07221115_0845</t>
  </si>
  <si>
    <t>07221115_0919</t>
  </si>
  <si>
    <t>NaI array trigger window = 4.73 - 5.13 MeV</t>
  </si>
  <si>
    <t>07221115_2109</t>
  </si>
  <si>
    <t>07221115_2201</t>
  </si>
  <si>
    <t>07221116_1003</t>
  </si>
  <si>
    <t>07221116_1048</t>
  </si>
  <si>
    <t>07221116_1705</t>
  </si>
  <si>
    <t>07221116_1713</t>
  </si>
  <si>
    <t>07221116_1849</t>
  </si>
  <si>
    <t>07221118_1403</t>
  </si>
  <si>
    <t>07221118_1404</t>
  </si>
  <si>
    <t>07221118_1850</t>
  </si>
  <si>
    <t>07221119_1016</t>
  </si>
  <si>
    <t>07221121_2212</t>
  </si>
  <si>
    <t>07221121_2214</t>
  </si>
  <si>
    <t>07221122_1126</t>
  </si>
  <si>
    <t>07221122_1153</t>
  </si>
  <si>
    <t>07221124_1108</t>
  </si>
  <si>
    <t>07221124_1220</t>
  </si>
  <si>
    <t>07221124_1408</t>
  </si>
  <si>
    <t>07221124_1603</t>
  </si>
  <si>
    <t>07221124_1748</t>
  </si>
  <si>
    <t>07221124_2022</t>
  </si>
  <si>
    <t>07221124_2331</t>
  </si>
  <si>
    <t>DCRC1pA 100</t>
  </si>
  <si>
    <t>monitoring He-films</t>
  </si>
  <si>
    <t>07221125_0540</t>
  </si>
  <si>
    <t>07221125_0547</t>
  </si>
  <si>
    <t>07221201_0118</t>
  </si>
  <si>
    <t>07221203_1255</t>
  </si>
  <si>
    <t>07221203_1418</t>
  </si>
  <si>
    <t>07221203_1622</t>
  </si>
  <si>
    <t>07221203_1744</t>
  </si>
  <si>
    <t>07221203_1906</t>
  </si>
  <si>
    <t>07221203_2025</t>
  </si>
  <si>
    <t>07221206_1738</t>
  </si>
  <si>
    <t>07221206_1858</t>
  </si>
  <si>
    <t>NaI array undergoing scan, trigger threshold varies.</t>
  </si>
  <si>
    <t>07221207_0928</t>
  </si>
  <si>
    <t>Channel mapping</t>
  </si>
  <si>
    <t>07240208_1548</t>
  </si>
  <si>
    <t>Am only</t>
  </si>
  <si>
    <t>Side2pA </t>
  </si>
  <si>
    <t>3 hrs</t>
  </si>
  <si>
    <t>Cable 1 → Zip4, Cable 3 → Zip1, Cable 1 → pA, pB, pC, pD → Side2pC, Side2pF, Side1pC, Side1pD → Zip4, Cable 3 → pA , pB, pC, pD → Side2pB, Side2pA, Side1pB, Side2pD → Zip1</t>
  </si>
  <si>
    <t>07240206_1832</t>
  </si>
  <si>
    <t>abruptly stopped as pulses stopping showing up in VI</t>
  </si>
  <si>
    <t>/home/spa-u-cdmssoft/rq/07240206_1832</t>
  </si>
  <si>
    <t>07240206_1402</t>
  </si>
  <si>
    <t>Side2pF</t>
  </si>
  <si>
    <t>DCRC1(Cable1, Slave), DCRC3(Cable3, Master), DCRC5(DUMMY for timesync)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</si>
</sst>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yyyy/m/d\ h:mm"/>
    <numFmt numFmtId="166" formatCode="0.0000%"/>
    <numFmt numFmtId="167" formatCode="0.0"/>
    <numFmt numFmtId="168" formatCode="h:mm;@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5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theme="3"/>
      <name val="Arial"/>
      <family val="2"/>
    </font>
    <font>
      <sz val="10"/>
      <color rgb="FF000000"/>
      <name val="Verdana"/>
      <family val="2"/>
    </font>
    <font>
      <b/>
      <sz val="11"/>
      <color theme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DDEBF7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ED7D31"/>
      <name val="Calibri"/>
      <family val="2"/>
      <scheme val="minor"/>
    </font>
    <font>
      <sz val="11"/>
      <color rgb="FF4472C4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1F497D"/>
      <name val="Arial"/>
      <family val="2"/>
    </font>
    <font>
      <sz val="11"/>
      <color rgb="FFFF0000"/>
      <name val="Calibri"/>
      <family val="2"/>
    </font>
    <font>
      <b/>
      <sz val="11"/>
      <color rgb="FF333333"/>
      <name val="Arial"/>
      <family val="2"/>
      <charset val="1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  <charset val="1"/>
    </font>
    <font>
      <sz val="11"/>
      <color rgb="FF000000"/>
      <name val="Aptos Narrow"/>
      <charset val="1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rgb="FFE0E0E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283">
    <xf numFmtId="0" fontId="0" fillId="0" borderId="0" xfId="0"/>
    <xf numFmtId="22" fontId="0" fillId="0" borderId="0" xfId="0" applyNumberFormat="1"/>
    <xf numFmtId="0" fontId="0" fillId="2" borderId="0" xfId="0" applyFill="1"/>
    <xf numFmtId="9" fontId="0" fillId="0" borderId="0" xfId="0" applyNumberFormat="1"/>
    <xf numFmtId="0" fontId="3" fillId="0" borderId="0" xfId="0" applyFont="1"/>
    <xf numFmtId="0" fontId="4" fillId="0" borderId="0" xfId="0" applyFont="1"/>
    <xf numFmtId="0" fontId="2" fillId="0" borderId="0" xfId="0" applyFont="1"/>
    <xf numFmtId="9" fontId="0" fillId="0" borderId="0" xfId="1" applyFont="1"/>
    <xf numFmtId="0" fontId="5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164" fontId="0" fillId="0" borderId="0" xfId="1" applyNumberFormat="1" applyFont="1"/>
    <xf numFmtId="164" fontId="0" fillId="0" borderId="0" xfId="0" applyNumberFormat="1"/>
    <xf numFmtId="22" fontId="6" fillId="0" borderId="0" xfId="0" applyNumberFormat="1" applyFont="1"/>
    <xf numFmtId="164" fontId="6" fillId="0" borderId="0" xfId="1" applyNumberFormat="1" applyFont="1"/>
    <xf numFmtId="164" fontId="6" fillId="0" borderId="0" xfId="0" applyNumberFormat="1" applyFont="1"/>
    <xf numFmtId="0" fontId="6" fillId="0" borderId="0" xfId="0" applyFont="1"/>
    <xf numFmtId="2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3" borderId="0" xfId="0" applyFill="1"/>
    <xf numFmtId="22" fontId="0" fillId="3" borderId="0" xfId="0" applyNumberFormat="1" applyFill="1"/>
    <xf numFmtId="1" fontId="0" fillId="3" borderId="0" xfId="0" applyNumberFormat="1" applyFill="1"/>
    <xf numFmtId="9" fontId="0" fillId="3" borderId="0" xfId="1" applyFont="1" applyFill="1"/>
    <xf numFmtId="0" fontId="0" fillId="3" borderId="0" xfId="0" applyFill="1" applyAlignment="1">
      <alignment wrapText="1"/>
    </xf>
    <xf numFmtId="0" fontId="7" fillId="3" borderId="0" xfId="0" applyFont="1" applyFill="1" applyAlignment="1">
      <alignment wrapText="1"/>
    </xf>
    <xf numFmtId="9" fontId="0" fillId="3" borderId="0" xfId="0" applyNumberFormat="1" applyFill="1"/>
    <xf numFmtId="0" fontId="8" fillId="4" borderId="0" xfId="0" applyFont="1" applyFill="1" applyAlignment="1">
      <alignment horizontal="left" vertical="center" wrapText="1"/>
    </xf>
    <xf numFmtId="0" fontId="12" fillId="0" borderId="0" xfId="0" applyFont="1"/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22" fontId="16" fillId="0" borderId="0" xfId="0" applyNumberFormat="1" applyFont="1"/>
    <xf numFmtId="164" fontId="16" fillId="0" borderId="0" xfId="1" applyNumberFormat="1" applyFont="1"/>
    <xf numFmtId="0" fontId="16" fillId="0" borderId="0" xfId="0" applyFont="1"/>
    <xf numFmtId="0" fontId="8" fillId="6" borderId="0" xfId="0" applyFont="1" applyFill="1" applyAlignment="1">
      <alignment horizontal="left" vertical="center" wrapText="1"/>
    </xf>
    <xf numFmtId="164" fontId="8" fillId="6" borderId="0" xfId="0" applyNumberFormat="1" applyFont="1" applyFill="1" applyAlignment="1">
      <alignment horizontal="left" vertical="center" wrapText="1"/>
    </xf>
    <xf numFmtId="11" fontId="0" fillId="0" borderId="0" xfId="0" applyNumberFormat="1"/>
    <xf numFmtId="0" fontId="10" fillId="7" borderId="0" xfId="0" applyFont="1" applyFill="1" applyAlignment="1">
      <alignment vertical="center" wrapText="1"/>
    </xf>
    <xf numFmtId="0" fontId="14" fillId="7" borderId="0" xfId="0" applyFont="1" applyFill="1" applyAlignment="1">
      <alignment vertical="center" wrapText="1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5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165" fontId="0" fillId="0" borderId="0" xfId="0" applyNumberFormat="1"/>
    <xf numFmtId="1" fontId="0" fillId="0" borderId="0" xfId="2" applyNumberFormat="1" applyFont="1"/>
    <xf numFmtId="165" fontId="6" fillId="0" borderId="0" xfId="0" applyNumberFormat="1" applyFont="1"/>
    <xf numFmtId="166" fontId="0" fillId="0" borderId="0" xfId="1" applyNumberFormat="1" applyFont="1"/>
    <xf numFmtId="43" fontId="0" fillId="0" borderId="0" xfId="3" applyFont="1"/>
    <xf numFmtId="14" fontId="0" fillId="0" borderId="0" xfId="0" applyNumberFormat="1" applyAlignment="1">
      <alignment wrapText="1"/>
    </xf>
    <xf numFmtId="0" fontId="0" fillId="0" borderId="0" xfId="0" quotePrefix="1"/>
    <xf numFmtId="0" fontId="0" fillId="8" borderId="0" xfId="0" applyFill="1"/>
    <xf numFmtId="0" fontId="0" fillId="5" borderId="0" xfId="0" applyFill="1"/>
    <xf numFmtId="0" fontId="0" fillId="9" borderId="0" xfId="0" applyFill="1"/>
    <xf numFmtId="0" fontId="0" fillId="7" borderId="0" xfId="0" applyFill="1"/>
    <xf numFmtId="0" fontId="0" fillId="10" borderId="0" xfId="0" applyFill="1"/>
    <xf numFmtId="0" fontId="19" fillId="0" borderId="0" xfId="0" applyFont="1" applyAlignment="1">
      <alignment horizontal="left" vertical="center" wrapText="1"/>
    </xf>
    <xf numFmtId="0" fontId="20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11" borderId="0" xfId="0" quotePrefix="1" applyFill="1" applyAlignment="1">
      <alignment horizontal="center"/>
    </xf>
    <xf numFmtId="0" fontId="0" fillId="11" borderId="0" xfId="0" applyFill="1" applyAlignment="1">
      <alignment horizontal="center"/>
    </xf>
    <xf numFmtId="0" fontId="16" fillId="7" borderId="0" xfId="0" applyFont="1" applyFill="1"/>
    <xf numFmtId="0" fontId="0" fillId="7" borderId="5" xfId="0" applyFill="1" applyBorder="1"/>
    <xf numFmtId="0" fontId="0" fillId="12" borderId="0" xfId="0" applyFill="1"/>
    <xf numFmtId="0" fontId="16" fillId="12" borderId="0" xfId="0" applyFont="1" applyFill="1"/>
    <xf numFmtId="0" fontId="16" fillId="13" borderId="0" xfId="0" applyFont="1" applyFill="1"/>
    <xf numFmtId="0" fontId="16" fillId="8" borderId="0" xfId="0" applyFont="1" applyFill="1"/>
    <xf numFmtId="0" fontId="0" fillId="14" borderId="0" xfId="0" applyFill="1"/>
    <xf numFmtId="0" fontId="16" fillId="14" borderId="0" xfId="0" applyFont="1" applyFill="1"/>
    <xf numFmtId="0" fontId="16" fillId="13" borderId="5" xfId="0" applyFont="1" applyFill="1" applyBorder="1"/>
    <xf numFmtId="0" fontId="0" fillId="12" borderId="5" xfId="0" applyFill="1" applyBorder="1"/>
    <xf numFmtId="0" fontId="16" fillId="5" borderId="0" xfId="0" applyFont="1" applyFill="1"/>
    <xf numFmtId="14" fontId="0" fillId="5" borderId="0" xfId="0" applyNumberFormat="1" applyFill="1"/>
    <xf numFmtId="22" fontId="0" fillId="5" borderId="0" xfId="0" applyNumberFormat="1" applyFill="1"/>
    <xf numFmtId="0" fontId="0" fillId="13" borderId="0" xfId="0" applyFill="1"/>
    <xf numFmtId="0" fontId="16" fillId="9" borderId="0" xfId="0" applyFont="1" applyFill="1"/>
    <xf numFmtId="0" fontId="2" fillId="9" borderId="0" xfId="0" applyFont="1" applyFill="1"/>
    <xf numFmtId="167" fontId="0" fillId="9" borderId="0" xfId="0" applyNumberFormat="1" applyFill="1"/>
    <xf numFmtId="0" fontId="6" fillId="0" borderId="0" xfId="0" applyFont="1" applyAlignment="1">
      <alignment horizontal="center" vertical="center" wrapText="1"/>
    </xf>
    <xf numFmtId="0" fontId="16" fillId="5" borderId="2" xfId="0" applyFont="1" applyFill="1" applyBorder="1"/>
    <xf numFmtId="0" fontId="0" fillId="5" borderId="3" xfId="0" applyFill="1" applyBorder="1"/>
    <xf numFmtId="0" fontId="0" fillId="5" borderId="4" xfId="0" applyFill="1" applyBorder="1"/>
    <xf numFmtId="0" fontId="0" fillId="15" borderId="0" xfId="0" applyFill="1"/>
    <xf numFmtId="0" fontId="0" fillId="14" borderId="2" xfId="0" applyFill="1" applyBorder="1"/>
    <xf numFmtId="0" fontId="0" fillId="14" borderId="3" xfId="0" applyFill="1" applyBorder="1"/>
    <xf numFmtId="0" fontId="0" fillId="14" borderId="4" xfId="0" applyFill="1" applyBorder="1"/>
    <xf numFmtId="0" fontId="0" fillId="5" borderId="2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13" borderId="2" xfId="0" applyFill="1" applyBorder="1"/>
    <xf numFmtId="0" fontId="0" fillId="13" borderId="3" xfId="0" applyFill="1" applyBorder="1"/>
    <xf numFmtId="0" fontId="0" fillId="13" borderId="4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12" borderId="6" xfId="0" applyFill="1" applyBorder="1"/>
    <xf numFmtId="0" fontId="0" fillId="12" borderId="7" xfId="0" applyFill="1" applyBorder="1"/>
    <xf numFmtId="0" fontId="0" fillId="12" borderId="8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13" borderId="6" xfId="0" applyFill="1" applyBorder="1"/>
    <xf numFmtId="0" fontId="0" fillId="13" borderId="7" xfId="0" applyFill="1" applyBorder="1"/>
    <xf numFmtId="0" fontId="0" fillId="13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0" fontId="0" fillId="5" borderId="5" xfId="0" applyFill="1" applyBorder="1"/>
    <xf numFmtId="0" fontId="0" fillId="5" borderId="15" xfId="0" applyFill="1" applyBorder="1"/>
    <xf numFmtId="0" fontId="21" fillId="0" borderId="0" xfId="0" applyFont="1"/>
    <xf numFmtId="0" fontId="0" fillId="8" borderId="16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16" xfId="0" applyFill="1" applyBorder="1"/>
    <xf numFmtId="0" fontId="7" fillId="5" borderId="0" xfId="0" applyFont="1" applyFill="1"/>
    <xf numFmtId="20" fontId="6" fillId="8" borderId="0" xfId="0" applyNumberFormat="1" applyFont="1" applyFill="1"/>
    <xf numFmtId="0" fontId="6" fillId="8" borderId="0" xfId="0" applyFont="1" applyFill="1"/>
    <xf numFmtId="20" fontId="0" fillId="8" borderId="0" xfId="0" applyNumberFormat="1" applyFill="1"/>
    <xf numFmtId="20" fontId="0" fillId="5" borderId="8" xfId="0" applyNumberFormat="1" applyFill="1" applyBorder="1"/>
    <xf numFmtId="20" fontId="0" fillId="5" borderId="0" xfId="0" applyNumberFormat="1" applyFill="1"/>
    <xf numFmtId="0" fontId="0" fillId="9" borderId="6" xfId="0" applyFill="1" applyBorder="1"/>
    <xf numFmtId="0" fontId="0" fillId="9" borderId="7" xfId="0" applyFill="1" applyBorder="1"/>
    <xf numFmtId="20" fontId="0" fillId="9" borderId="8" xfId="0" applyNumberFormat="1" applyFill="1" applyBorder="1"/>
    <xf numFmtId="0" fontId="0" fillId="9" borderId="16" xfId="0" applyFill="1" applyBorder="1"/>
    <xf numFmtId="0" fontId="5" fillId="15" borderId="0" xfId="0" applyFont="1" applyFill="1"/>
    <xf numFmtId="0" fontId="5" fillId="15" borderId="6" xfId="0" applyFont="1" applyFill="1" applyBorder="1"/>
    <xf numFmtId="0" fontId="5" fillId="15" borderId="7" xfId="0" applyFont="1" applyFill="1" applyBorder="1"/>
    <xf numFmtId="0" fontId="5" fillId="15" borderId="2" xfId="0" applyFont="1" applyFill="1" applyBorder="1"/>
    <xf numFmtId="0" fontId="5" fillId="15" borderId="3" xfId="0" applyFont="1" applyFill="1" applyBorder="1"/>
    <xf numFmtId="0" fontId="3" fillId="0" borderId="4" xfId="0" applyFont="1" applyBorder="1"/>
    <xf numFmtId="0" fontId="5" fillId="15" borderId="16" xfId="0" applyFont="1" applyFill="1" applyBorder="1"/>
    <xf numFmtId="0" fontId="5" fillId="15" borderId="4" xfId="0" applyFont="1" applyFill="1" applyBorder="1"/>
    <xf numFmtId="0" fontId="5" fillId="15" borderId="0" xfId="0" quotePrefix="1" applyFont="1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0" fillId="8" borderId="5" xfId="0" applyFill="1" applyBorder="1"/>
    <xf numFmtId="0" fontId="0" fillId="8" borderId="15" xfId="0" applyFill="1" applyBorder="1"/>
    <xf numFmtId="0" fontId="0" fillId="8" borderId="17" xfId="0" applyFill="1" applyBorder="1" applyAlignment="1">
      <alignment horizontal="right"/>
    </xf>
    <xf numFmtId="0" fontId="0" fillId="8" borderId="18" xfId="0" applyFill="1" applyBorder="1" applyAlignment="1">
      <alignment horizontal="right"/>
    </xf>
    <xf numFmtId="0" fontId="0" fillId="8" borderId="19" xfId="0" applyFill="1" applyBorder="1" applyAlignment="1">
      <alignment horizontal="right"/>
    </xf>
    <xf numFmtId="0" fontId="0" fillId="3" borderId="16" xfId="0" applyFill="1" applyBorder="1"/>
    <xf numFmtId="0" fontId="0" fillId="16" borderId="0" xfId="0" applyFill="1"/>
    <xf numFmtId="20" fontId="0" fillId="0" borderId="0" xfId="0" applyNumberFormat="1"/>
    <xf numFmtId="168" fontId="0" fillId="0" borderId="0" xfId="0" applyNumberFormat="1"/>
    <xf numFmtId="0" fontId="6" fillId="14" borderId="0" xfId="0" applyFont="1" applyFill="1"/>
    <xf numFmtId="0" fontId="6" fillId="16" borderId="0" xfId="0" applyFont="1" applyFill="1"/>
    <xf numFmtId="0" fontId="0" fillId="14" borderId="20" xfId="0" applyFill="1" applyBorder="1"/>
    <xf numFmtId="0" fontId="0" fillId="14" borderId="21" xfId="0" applyFill="1" applyBorder="1"/>
    <xf numFmtId="0" fontId="0" fillId="14" borderId="22" xfId="0" applyFill="1" applyBorder="1"/>
    <xf numFmtId="0" fontId="0" fillId="14" borderId="23" xfId="0" applyFill="1" applyBorder="1"/>
    <xf numFmtId="0" fontId="0" fillId="14" borderId="24" xfId="0" applyFill="1" applyBorder="1"/>
    <xf numFmtId="0" fontId="0" fillId="14" borderId="25" xfId="0" applyFill="1" applyBorder="1"/>
    <xf numFmtId="0" fontId="0" fillId="14" borderId="26" xfId="0" applyFill="1" applyBorder="1"/>
    <xf numFmtId="0" fontId="0" fillId="14" borderId="27" xfId="0" applyFill="1" applyBorder="1"/>
    <xf numFmtId="0" fontId="0" fillId="13" borderId="20" xfId="0" applyFill="1" applyBorder="1"/>
    <xf numFmtId="0" fontId="0" fillId="13" borderId="22" xfId="0" applyFill="1" applyBorder="1"/>
    <xf numFmtId="0" fontId="0" fillId="13" borderId="23" xfId="0" applyFill="1" applyBorder="1"/>
    <xf numFmtId="0" fontId="0" fillId="13" borderId="24" xfId="0" applyFill="1" applyBorder="1"/>
    <xf numFmtId="0" fontId="0" fillId="13" borderId="25" xfId="0" applyFill="1" applyBorder="1"/>
    <xf numFmtId="0" fontId="0" fillId="13" borderId="27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6" xfId="0" applyBorder="1"/>
    <xf numFmtId="22" fontId="0" fillId="0" borderId="10" xfId="0" applyNumberFormat="1" applyBorder="1"/>
    <xf numFmtId="22" fontId="0" fillId="0" borderId="5" xfId="0" applyNumberFormat="1" applyBorder="1"/>
    <xf numFmtId="0" fontId="0" fillId="0" borderId="3" xfId="0" quotePrefix="1" applyBorder="1"/>
    <xf numFmtId="0" fontId="0" fillId="0" borderId="13" xfId="0" quotePrefix="1" applyBorder="1"/>
    <xf numFmtId="0" fontId="0" fillId="14" borderId="10" xfId="0" applyFill="1" applyBorder="1"/>
    <xf numFmtId="0" fontId="0" fillId="14" borderId="5" xfId="0" applyFill="1" applyBorder="1"/>
    <xf numFmtId="0" fontId="0" fillId="8" borderId="10" xfId="0" applyFill="1" applyBorder="1"/>
    <xf numFmtId="0" fontId="0" fillId="17" borderId="0" xfId="0" applyFill="1"/>
    <xf numFmtId="0" fontId="0" fillId="17" borderId="10" xfId="0" applyFill="1" applyBorder="1"/>
    <xf numFmtId="0" fontId="0" fillId="17" borderId="5" xfId="0" applyFill="1" applyBorder="1"/>
    <xf numFmtId="0" fontId="0" fillId="18" borderId="11" xfId="0" applyFill="1" applyBorder="1"/>
    <xf numFmtId="0" fontId="0" fillId="18" borderId="13" xfId="0" applyFill="1" applyBorder="1"/>
    <xf numFmtId="0" fontId="0" fillId="18" borderId="13" xfId="0" quotePrefix="1" applyFill="1" applyBorder="1"/>
    <xf numFmtId="0" fontId="0" fillId="19" borderId="0" xfId="0" applyFill="1"/>
    <xf numFmtId="0" fontId="0" fillId="19" borderId="5" xfId="0" applyFill="1" applyBorder="1"/>
    <xf numFmtId="0" fontId="0" fillId="19" borderId="10" xfId="0" applyFill="1" applyBorder="1"/>
    <xf numFmtId="0" fontId="0" fillId="17" borderId="16" xfId="0" applyFill="1" applyBorder="1"/>
    <xf numFmtId="0" fontId="0" fillId="0" borderId="16" xfId="0" applyBorder="1"/>
    <xf numFmtId="0" fontId="0" fillId="0" borderId="15" xfId="0" quotePrefix="1" applyBorder="1"/>
    <xf numFmtId="0" fontId="0" fillId="18" borderId="10" xfId="0" applyFill="1" applyBorder="1"/>
    <xf numFmtId="0" fontId="0" fillId="18" borderId="5" xfId="0" applyFill="1" applyBorder="1"/>
    <xf numFmtId="0" fontId="0" fillId="18" borderId="0" xfId="0" applyFill="1"/>
    <xf numFmtId="0" fontId="0" fillId="20" borderId="10" xfId="0" applyFill="1" applyBorder="1"/>
    <xf numFmtId="0" fontId="0" fillId="20" borderId="0" xfId="0" applyFill="1"/>
    <xf numFmtId="0" fontId="0" fillId="20" borderId="5" xfId="0" applyFill="1" applyBorder="1"/>
    <xf numFmtId="0" fontId="0" fillId="21" borderId="10" xfId="0" applyFill="1" applyBorder="1"/>
    <xf numFmtId="0" fontId="0" fillId="21" borderId="0" xfId="0" applyFill="1"/>
    <xf numFmtId="0" fontId="0" fillId="21" borderId="5" xfId="0" applyFill="1" applyBorder="1"/>
    <xf numFmtId="0" fontId="0" fillId="19" borderId="13" xfId="0" applyFill="1" applyBorder="1"/>
    <xf numFmtId="0" fontId="22" fillId="19" borderId="10" xfId="0" applyFont="1" applyFill="1" applyBorder="1"/>
    <xf numFmtId="0" fontId="22" fillId="19" borderId="0" xfId="0" applyFont="1" applyFill="1"/>
    <xf numFmtId="0" fontId="0" fillId="22" borderId="10" xfId="0" applyFill="1" applyBorder="1"/>
    <xf numFmtId="0" fontId="0" fillId="22" borderId="0" xfId="0" applyFill="1"/>
    <xf numFmtId="0" fontId="0" fillId="22" borderId="5" xfId="0" applyFill="1" applyBorder="1"/>
    <xf numFmtId="0" fontId="0" fillId="20" borderId="13" xfId="0" applyFill="1" applyBorder="1"/>
    <xf numFmtId="0" fontId="0" fillId="20" borderId="13" xfId="0" quotePrefix="1" applyFill="1" applyBorder="1"/>
    <xf numFmtId="0" fontId="0" fillId="17" borderId="13" xfId="0" applyFill="1" applyBorder="1"/>
    <xf numFmtId="0" fontId="0" fillId="23" borderId="10" xfId="0" applyFill="1" applyBorder="1"/>
    <xf numFmtId="0" fontId="0" fillId="23" borderId="0" xfId="0" applyFill="1"/>
    <xf numFmtId="0" fontId="0" fillId="23" borderId="5" xfId="0" applyFill="1" applyBorder="1"/>
    <xf numFmtId="0" fontId="22" fillId="24" borderId="10" xfId="0" applyFont="1" applyFill="1" applyBorder="1"/>
    <xf numFmtId="0" fontId="23" fillId="24" borderId="0" xfId="0" applyFont="1" applyFill="1"/>
    <xf numFmtId="0" fontId="23" fillId="24" borderId="5" xfId="0" applyFont="1" applyFill="1" applyBorder="1"/>
    <xf numFmtId="0" fontId="0" fillId="0" borderId="10" xfId="0" quotePrefix="1" applyBorder="1"/>
    <xf numFmtId="0" fontId="22" fillId="0" borderId="10" xfId="0" applyFont="1" applyBorder="1"/>
    <xf numFmtId="0" fontId="23" fillId="0" borderId="0" xfId="0" applyFont="1"/>
    <xf numFmtId="0" fontId="0" fillId="24" borderId="0" xfId="0" applyFill="1"/>
    <xf numFmtId="0" fontId="23" fillId="0" borderId="5" xfId="0" applyFont="1" applyBorder="1"/>
    <xf numFmtId="0" fontId="0" fillId="21" borderId="13" xfId="0" applyFill="1" applyBorder="1"/>
    <xf numFmtId="0" fontId="22" fillId="24" borderId="7" xfId="0" applyFont="1" applyFill="1" applyBorder="1"/>
    <xf numFmtId="0" fontId="0" fillId="21" borderId="7" xfId="0" applyFill="1" applyBorder="1"/>
    <xf numFmtId="0" fontId="22" fillId="17" borderId="3" xfId="0" applyFont="1" applyFill="1" applyBorder="1"/>
    <xf numFmtId="0" fontId="22" fillId="17" borderId="3" xfId="0" quotePrefix="1" applyFont="1" applyFill="1" applyBorder="1"/>
    <xf numFmtId="0" fontId="0" fillId="17" borderId="3" xfId="0" applyFill="1" applyBorder="1"/>
    <xf numFmtId="0" fontId="0" fillId="17" borderId="3" xfId="0" quotePrefix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24" fillId="0" borderId="0" xfId="0" applyFont="1"/>
    <xf numFmtId="0" fontId="2" fillId="0" borderId="29" xfId="0" applyFont="1" applyBorder="1"/>
    <xf numFmtId="0" fontId="2" fillId="0" borderId="28" xfId="0" applyFont="1" applyBorder="1"/>
    <xf numFmtId="0" fontId="0" fillId="0" borderId="31" xfId="0" applyBorder="1"/>
    <xf numFmtId="0" fontId="0" fillId="0" borderId="32" xfId="0" applyBorder="1"/>
    <xf numFmtId="0" fontId="25" fillId="0" borderId="0" xfId="0" applyFont="1"/>
    <xf numFmtId="0" fontId="22" fillId="0" borderId="0" xfId="0" applyFont="1"/>
    <xf numFmtId="0" fontId="26" fillId="0" borderId="0" xfId="0" applyFont="1"/>
    <xf numFmtId="0" fontId="2" fillId="2" borderId="0" xfId="0" applyFont="1" applyFill="1"/>
    <xf numFmtId="0" fontId="0" fillId="0" borderId="0" xfId="0" quotePrefix="1" applyAlignment="1">
      <alignment horizontal="right"/>
    </xf>
    <xf numFmtId="0" fontId="0" fillId="25" borderId="0" xfId="0" applyFill="1"/>
    <xf numFmtId="0" fontId="0" fillId="26" borderId="0" xfId="0" applyFill="1"/>
    <xf numFmtId="0" fontId="27" fillId="0" borderId="0" xfId="0" applyFont="1"/>
    <xf numFmtId="0" fontId="6" fillId="0" borderId="0" xfId="0" applyFont="1" applyAlignment="1">
      <alignment vertical="center" wrapText="1"/>
    </xf>
    <xf numFmtId="0" fontId="28" fillId="0" borderId="0" xfId="0" applyFont="1"/>
    <xf numFmtId="0" fontId="29" fillId="0" borderId="0" xfId="0" applyFont="1" applyAlignment="1">
      <alignment horizontal="left" vertical="center" wrapText="1"/>
    </xf>
    <xf numFmtId="0" fontId="28" fillId="0" borderId="0" xfId="0" quotePrefix="1" applyFont="1"/>
    <xf numFmtId="0" fontId="30" fillId="0" borderId="0" xfId="0" applyFont="1"/>
    <xf numFmtId="167" fontId="0" fillId="0" borderId="0" xfId="0" applyNumberFormat="1"/>
    <xf numFmtId="0" fontId="31" fillId="0" borderId="0" xfId="0" applyFont="1"/>
    <xf numFmtId="0" fontId="7" fillId="0" borderId="0" xfId="0" applyFont="1"/>
    <xf numFmtId="0" fontId="2" fillId="0" borderId="0" xfId="0" quotePrefix="1" applyFont="1"/>
    <xf numFmtId="0" fontId="30" fillId="0" borderId="0" xfId="0" quotePrefix="1" applyFont="1"/>
    <xf numFmtId="0" fontId="28" fillId="5" borderId="0" xfId="0" applyFont="1" applyFill="1"/>
    <xf numFmtId="0" fontId="28" fillId="8" borderId="0" xfId="0" applyFont="1" applyFill="1"/>
    <xf numFmtId="0" fontId="2" fillId="8" borderId="0" xfId="0" applyFont="1" applyFill="1"/>
    <xf numFmtId="0" fontId="2" fillId="5" borderId="0" xfId="0" applyFont="1" applyFill="1"/>
    <xf numFmtId="0" fontId="6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0" fillId="0" borderId="0" xfId="0" applyAlignment="1">
      <alignment horizontal="right"/>
    </xf>
    <xf numFmtId="0" fontId="22" fillId="8" borderId="0" xfId="0" applyFont="1" applyFill="1"/>
    <xf numFmtId="11" fontId="0" fillId="5" borderId="0" xfId="0" applyNumberFormat="1" applyFill="1"/>
    <xf numFmtId="0" fontId="33" fillId="0" borderId="0" xfId="4"/>
    <xf numFmtId="0" fontId="33" fillId="8" borderId="0" xfId="4" applyFill="1"/>
    <xf numFmtId="0" fontId="33" fillId="5" borderId="0" xfId="4" applyFill="1"/>
    <xf numFmtId="0" fontId="34" fillId="0" borderId="0" xfId="0" applyFont="1"/>
    <xf numFmtId="0" fontId="35" fillId="0" borderId="0" xfId="0" applyFont="1"/>
    <xf numFmtId="0" fontId="0" fillId="0" borderId="34" xfId="0" applyBorder="1"/>
    <xf numFmtId="0" fontId="0" fillId="0" borderId="33" xfId="0" applyBorder="1"/>
    <xf numFmtId="0" fontId="0" fillId="5" borderId="0" xfId="0" applyFill="1" applyBorder="1"/>
    <xf numFmtId="0" fontId="0" fillId="0" borderId="0" xfId="0" applyAlignment="1">
      <alignment horizontal="left" vertical="center" wrapText="1"/>
    </xf>
  </cellXfs>
  <cellStyles count="5">
    <cellStyle name="Comma" xfId="3" builtinId="3"/>
    <cellStyle name="Currency" xfId="2" builtinId="4"/>
    <cellStyle name="Hyperlink" xfId="4" builtinId="8"/>
    <cellStyle name="Normal" xfId="0" builtinId="0"/>
    <cellStyle name="Percent" xfId="1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9"/>
              <c:pt idx="0">
                <c:v>161</c:v>
              </c:pt>
              <c:pt idx="1">
                <c:v>262</c:v>
              </c:pt>
              <c:pt idx="2">
                <c:v>171</c:v>
              </c:pt>
              <c:pt idx="3">
                <c:v>254</c:v>
              </c:pt>
              <c:pt idx="4">
                <c:v>254</c:v>
              </c:pt>
              <c:pt idx="5">
                <c:v>375</c:v>
              </c:pt>
              <c:pt idx="6">
                <c:v>242</c:v>
              </c:pt>
              <c:pt idx="7">
                <c:v>229</c:v>
              </c:pt>
              <c:pt idx="8">
                <c:v>209</c:v>
              </c:pt>
            </c:numLit>
          </c:xVal>
          <c:yVal>
            <c:numLit>
              <c:formatCode>General</c:formatCode>
              <c:ptCount val="9"/>
              <c:pt idx="0">
                <c:v>46</c:v>
              </c:pt>
              <c:pt idx="1">
                <c:v>19</c:v>
              </c:pt>
              <c:pt idx="2">
                <c:v>61</c:v>
              </c:pt>
              <c:pt idx="3">
                <c:v>28</c:v>
              </c:pt>
              <c:pt idx="4">
                <c:v>41</c:v>
              </c:pt>
              <c:pt idx="5">
                <c:v>22</c:v>
              </c:pt>
              <c:pt idx="6">
                <c:v>27</c:v>
              </c:pt>
              <c:pt idx="7">
                <c:v>24</c:v>
              </c:pt>
              <c:pt idx="8">
                <c:v>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23C2-4184-AC90-493E729B2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558016"/>
        <c:axId val="237740032"/>
      </c:scatterChart>
      <c:valAx>
        <c:axId val="23755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740032"/>
        <c:crosses val="autoZero"/>
        <c:crossBetween val="midCat"/>
      </c:valAx>
      <c:valAx>
        <c:axId val="23774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55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66" l="0.70000000000000062" r="0.70000000000000062" t="0.75000000000001166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0.60816 0.94352 0 0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6"/>
              <c:pt idx="0">
                <c:v>105</c:v>
              </c:pt>
              <c:pt idx="1">
                <c:v>85</c:v>
              </c:pt>
              <c:pt idx="2">
                <c:v>237</c:v>
              </c:pt>
              <c:pt idx="3">
                <c:v>322</c:v>
              </c:pt>
              <c:pt idx="4">
                <c:v>186</c:v>
              </c:pt>
              <c:pt idx="5">
                <c:v>208</c:v>
              </c:pt>
            </c:numLit>
          </c:xVal>
          <c:yVal>
            <c:numLit>
              <c:formatCode>General</c:formatCode>
              <c:ptCount val="6"/>
              <c:pt idx="0">
                <c:v>72</c:v>
              </c:pt>
              <c:pt idx="1">
                <c:v>109</c:v>
              </c:pt>
              <c:pt idx="2">
                <c:v>48</c:v>
              </c:pt>
              <c:pt idx="3">
                <c:v>23</c:v>
              </c:pt>
              <c:pt idx="4">
                <c:v>55</c:v>
              </c:pt>
              <c:pt idx="5">
                <c:v>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E377-4458-87C1-6C3F772A6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576512"/>
        <c:axId val="234578304"/>
      </c:scatterChart>
      <c:valAx>
        <c:axId val="23457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578304"/>
        <c:crosses val="autoZero"/>
        <c:crossBetween val="midCat"/>
      </c:valAx>
      <c:valAx>
        <c:axId val="23457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57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66" l="0.70000000000000062" r="0.70000000000000062" t="0.75000000000001166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0"/>
              <c:pt idx="0">
                <c:v>0.90751999999999966</c:v>
              </c:pt>
              <c:pt idx="1">
                <c:v>0.88951999999999964</c:v>
              </c:pt>
              <c:pt idx="2">
                <c:v>0.87151999999999963</c:v>
              </c:pt>
              <c:pt idx="3">
                <c:v>0.85351999999999961</c:v>
              </c:pt>
              <c:pt idx="4">
                <c:v>0.8355199999999996</c:v>
              </c:pt>
              <c:pt idx="5">
                <c:v>0.81751999999999958</c:v>
              </c:pt>
              <c:pt idx="6">
                <c:v>0.79951999999999956</c:v>
              </c:pt>
              <c:pt idx="7">
                <c:v>0.78151999999999955</c:v>
              </c:pt>
              <c:pt idx="8">
                <c:v>0.76351999999999953</c:v>
              </c:pt>
              <c:pt idx="9">
                <c:v>0.74551999999999952</c:v>
              </c:pt>
            </c:numLit>
          </c:xVal>
          <c:yVal>
            <c:numLit>
              <c:formatCode>General</c:formatCode>
              <c:ptCount val="10"/>
              <c:pt idx="0">
                <c:v>191</c:v>
              </c:pt>
              <c:pt idx="3">
                <c:v>318</c:v>
              </c:pt>
              <c:pt idx="6">
                <c:v>192</c:v>
              </c:pt>
              <c:pt idx="9">
                <c:v>59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471C-430F-AF60-867A226DC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594304"/>
        <c:axId val="234595840"/>
      </c:scatterChart>
      <c:valAx>
        <c:axId val="23459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595840"/>
        <c:crosses val="autoZero"/>
        <c:crossBetween val="midCat"/>
      </c:valAx>
      <c:valAx>
        <c:axId val="23459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59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66" l="0.70000000000000062" r="0.70000000000000062" t="0.75000000000001166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32"/>
              <c:pt idx="0">
                <c:v>0.90768000000000004</c:v>
              </c:pt>
              <c:pt idx="1">
                <c:v>0.88968000000000003</c:v>
              </c:pt>
              <c:pt idx="2">
                <c:v>0.87168000000000023</c:v>
              </c:pt>
              <c:pt idx="3">
                <c:v>0.85368000000000022</c:v>
              </c:pt>
              <c:pt idx="4">
                <c:v>0.8356800000000002</c:v>
              </c:pt>
              <c:pt idx="5">
                <c:v>0.81768000000000018</c:v>
              </c:pt>
              <c:pt idx="6">
                <c:v>0.79967999999999995</c:v>
              </c:pt>
              <c:pt idx="7">
                <c:v>0.78167999999999993</c:v>
              </c:pt>
              <c:pt idx="8">
                <c:v>0.76368000000000014</c:v>
              </c:pt>
              <c:pt idx="9">
                <c:v>0.74568000000000012</c:v>
              </c:pt>
              <c:pt idx="10">
                <c:v>0.7276800000000001</c:v>
              </c:pt>
              <c:pt idx="11">
                <c:v>0.70968000000000009</c:v>
              </c:pt>
              <c:pt idx="12">
                <c:v>0.69167999999999985</c:v>
              </c:pt>
              <c:pt idx="13">
                <c:v>0.67368000000000006</c:v>
              </c:pt>
              <c:pt idx="14">
                <c:v>0.65568000000000004</c:v>
              </c:pt>
              <c:pt idx="15">
                <c:v>0.63768000000000002</c:v>
              </c:pt>
              <c:pt idx="16">
                <c:v>0.62616000000000005</c:v>
              </c:pt>
              <c:pt idx="17">
                <c:v>0.60816000000000003</c:v>
              </c:pt>
              <c:pt idx="18">
                <c:v>0.94351999999999969</c:v>
              </c:pt>
              <c:pt idx="19">
                <c:v>0</c:v>
              </c:pt>
              <c:pt idx="20">
                <c:v>0</c:v>
              </c:pt>
              <c:pt idx="21">
                <c:v>0.92551999999999968</c:v>
              </c:pt>
              <c:pt idx="22">
                <c:v>0.90751999999999966</c:v>
              </c:pt>
              <c:pt idx="23">
                <c:v>0.88951999999999964</c:v>
              </c:pt>
              <c:pt idx="24">
                <c:v>0.87151999999999963</c:v>
              </c:pt>
              <c:pt idx="25">
                <c:v>0.85351999999999961</c:v>
              </c:pt>
              <c:pt idx="26">
                <c:v>0.8355199999999996</c:v>
              </c:pt>
              <c:pt idx="27">
                <c:v>0.81751999999999958</c:v>
              </c:pt>
              <c:pt idx="28">
                <c:v>0.79951999999999956</c:v>
              </c:pt>
              <c:pt idx="29">
                <c:v>0.78151999999999955</c:v>
              </c:pt>
              <c:pt idx="30">
                <c:v>0.76351999999999953</c:v>
              </c:pt>
              <c:pt idx="31">
                <c:v>0.74551999999999952</c:v>
              </c:pt>
            </c:numLit>
          </c:xVal>
          <c:yVal>
            <c:numLit>
              <c:formatCode>General</c:formatCode>
              <c:ptCount val="1"/>
            </c:numLit>
          </c:yVal>
          <c:smooth val="0"/>
          <c:extLst>
            <c:ext xmlns:c16="http://schemas.microsoft.com/office/drawing/2014/chart" uri="{C3380CC4-5D6E-409C-BE32-E72D297353CC}">
              <c16:uniqueId val="{00000000-F3FA-44F8-A6D4-BD154F689562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32"/>
              <c:pt idx="0">
                <c:v>0.90768000000000004</c:v>
              </c:pt>
              <c:pt idx="1">
                <c:v>0.88968000000000003</c:v>
              </c:pt>
              <c:pt idx="2">
                <c:v>0.87168000000000023</c:v>
              </c:pt>
              <c:pt idx="3">
                <c:v>0.85368000000000022</c:v>
              </c:pt>
              <c:pt idx="4">
                <c:v>0.8356800000000002</c:v>
              </c:pt>
              <c:pt idx="5">
                <c:v>0.81768000000000018</c:v>
              </c:pt>
              <c:pt idx="6">
                <c:v>0.79967999999999995</c:v>
              </c:pt>
              <c:pt idx="7">
                <c:v>0.78167999999999993</c:v>
              </c:pt>
              <c:pt idx="8">
                <c:v>0.76368000000000014</c:v>
              </c:pt>
              <c:pt idx="9">
                <c:v>0.74568000000000012</c:v>
              </c:pt>
              <c:pt idx="10">
                <c:v>0.7276800000000001</c:v>
              </c:pt>
              <c:pt idx="11">
                <c:v>0.70968000000000009</c:v>
              </c:pt>
              <c:pt idx="12">
                <c:v>0.69167999999999985</c:v>
              </c:pt>
              <c:pt idx="13">
                <c:v>0.67368000000000006</c:v>
              </c:pt>
              <c:pt idx="14">
                <c:v>0.65568000000000004</c:v>
              </c:pt>
              <c:pt idx="15">
                <c:v>0.63768000000000002</c:v>
              </c:pt>
              <c:pt idx="16">
                <c:v>0.62616000000000005</c:v>
              </c:pt>
              <c:pt idx="17">
                <c:v>0.60816000000000003</c:v>
              </c:pt>
              <c:pt idx="18">
                <c:v>0.94351999999999969</c:v>
              </c:pt>
              <c:pt idx="19">
                <c:v>0</c:v>
              </c:pt>
              <c:pt idx="20">
                <c:v>0</c:v>
              </c:pt>
              <c:pt idx="21">
                <c:v>0.92551999999999968</c:v>
              </c:pt>
              <c:pt idx="22">
                <c:v>0.90751999999999966</c:v>
              </c:pt>
              <c:pt idx="23">
                <c:v>0.88951999999999964</c:v>
              </c:pt>
              <c:pt idx="24">
                <c:v>0.87151999999999963</c:v>
              </c:pt>
              <c:pt idx="25">
                <c:v>0.85351999999999961</c:v>
              </c:pt>
              <c:pt idx="26">
                <c:v>0.8355199999999996</c:v>
              </c:pt>
              <c:pt idx="27">
                <c:v>0.81751999999999958</c:v>
              </c:pt>
              <c:pt idx="28">
                <c:v>0.79951999999999956</c:v>
              </c:pt>
              <c:pt idx="29">
                <c:v>0.78151999999999955</c:v>
              </c:pt>
              <c:pt idx="30">
                <c:v>0.76351999999999953</c:v>
              </c:pt>
              <c:pt idx="31">
                <c:v>0.74551999999999952</c:v>
              </c:pt>
            </c:numLit>
          </c:xVal>
          <c:yVal>
            <c:numLit>
              <c:formatCode>General</c:formatCode>
              <c:ptCount val="32"/>
              <c:pt idx="0">
                <c:v>180.5</c:v>
              </c:pt>
              <c:pt idx="3">
                <c:v>174</c:v>
              </c:pt>
              <c:pt idx="6">
                <c:v>99</c:v>
              </c:pt>
              <c:pt idx="9">
                <c:v>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3FA-44F8-A6D4-BD154F689562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32"/>
              <c:pt idx="0">
                <c:v>0.90768000000000004</c:v>
              </c:pt>
              <c:pt idx="1">
                <c:v>0.88968000000000003</c:v>
              </c:pt>
              <c:pt idx="2">
                <c:v>0.87168000000000023</c:v>
              </c:pt>
              <c:pt idx="3">
                <c:v>0.85368000000000022</c:v>
              </c:pt>
              <c:pt idx="4">
                <c:v>0.8356800000000002</c:v>
              </c:pt>
              <c:pt idx="5">
                <c:v>0.81768000000000018</c:v>
              </c:pt>
              <c:pt idx="6">
                <c:v>0.79967999999999995</c:v>
              </c:pt>
              <c:pt idx="7">
                <c:v>0.78167999999999993</c:v>
              </c:pt>
              <c:pt idx="8">
                <c:v>0.76368000000000014</c:v>
              </c:pt>
              <c:pt idx="9">
                <c:v>0.74568000000000012</c:v>
              </c:pt>
              <c:pt idx="10">
                <c:v>0.7276800000000001</c:v>
              </c:pt>
              <c:pt idx="11">
                <c:v>0.70968000000000009</c:v>
              </c:pt>
              <c:pt idx="12">
                <c:v>0.69167999999999985</c:v>
              </c:pt>
              <c:pt idx="13">
                <c:v>0.67368000000000006</c:v>
              </c:pt>
              <c:pt idx="14">
                <c:v>0.65568000000000004</c:v>
              </c:pt>
              <c:pt idx="15">
                <c:v>0.63768000000000002</c:v>
              </c:pt>
              <c:pt idx="16">
                <c:v>0.62616000000000005</c:v>
              </c:pt>
              <c:pt idx="17">
                <c:v>0.60816000000000003</c:v>
              </c:pt>
              <c:pt idx="18">
                <c:v>0.94351999999999969</c:v>
              </c:pt>
              <c:pt idx="19">
                <c:v>0</c:v>
              </c:pt>
              <c:pt idx="20">
                <c:v>0</c:v>
              </c:pt>
              <c:pt idx="21">
                <c:v>0.92551999999999968</c:v>
              </c:pt>
              <c:pt idx="22">
                <c:v>0.90751999999999966</c:v>
              </c:pt>
              <c:pt idx="23">
                <c:v>0.88951999999999964</c:v>
              </c:pt>
              <c:pt idx="24">
                <c:v>0.87151999999999963</c:v>
              </c:pt>
              <c:pt idx="25">
                <c:v>0.85351999999999961</c:v>
              </c:pt>
              <c:pt idx="26">
                <c:v>0.8355199999999996</c:v>
              </c:pt>
              <c:pt idx="27">
                <c:v>0.81751999999999958</c:v>
              </c:pt>
              <c:pt idx="28">
                <c:v>0.79951999999999956</c:v>
              </c:pt>
              <c:pt idx="29">
                <c:v>0.78151999999999955</c:v>
              </c:pt>
              <c:pt idx="30">
                <c:v>0.76351999999999953</c:v>
              </c:pt>
              <c:pt idx="31">
                <c:v>0.74551999999999952</c:v>
              </c:pt>
            </c:numLit>
          </c:xVal>
          <c:yVal>
            <c:numLit>
              <c:formatCode>General</c:formatCode>
              <c:ptCount val="32"/>
              <c:pt idx="22">
                <c:v>191</c:v>
              </c:pt>
              <c:pt idx="25">
                <c:v>318</c:v>
              </c:pt>
              <c:pt idx="28">
                <c:v>192</c:v>
              </c:pt>
              <c:pt idx="31">
                <c:v>59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3FA-44F8-A6D4-BD154F689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622336"/>
        <c:axId val="234636416"/>
      </c:scatterChart>
      <c:valAx>
        <c:axId val="23462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636416"/>
        <c:crosses val="autoZero"/>
        <c:crossBetween val="midCat"/>
      </c:valAx>
      <c:valAx>
        <c:axId val="23463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622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66" l="0.70000000000000062" r="0.70000000000000062" t="0.75000000000001166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'Run56'!$N$201:$N$291</c:f>
              <c:numCache>
                <c:formatCode>0.0%</c:formatCode>
                <c:ptCount val="91"/>
                <c:pt idx="0">
                  <c:v>0.67415478260852635</c:v>
                </c:pt>
                <c:pt idx="1">
                  <c:v>0.65789043478416454</c:v>
                </c:pt>
                <c:pt idx="2">
                  <c:v>0.64133565217320387</c:v>
                </c:pt>
                <c:pt idx="3">
                  <c:v>0.62478086956528622</c:v>
                </c:pt>
                <c:pt idx="4">
                  <c:v>0.60822608695736846</c:v>
                </c:pt>
                <c:pt idx="5">
                  <c:v>0.59196173912996386</c:v>
                </c:pt>
                <c:pt idx="6">
                  <c:v>0.5754069565220461</c:v>
                </c:pt>
                <c:pt idx="7">
                  <c:v>0.55885217391412834</c:v>
                </c:pt>
                <c:pt idx="8">
                  <c:v>0.54229739130316768</c:v>
                </c:pt>
                <c:pt idx="9">
                  <c:v>0.86080936454727808</c:v>
                </c:pt>
                <c:pt idx="10">
                  <c:v>0.84956187290904217</c:v>
                </c:pt>
                <c:pt idx="11">
                  <c:v>0.83851170568409761</c:v>
                </c:pt>
                <c:pt idx="12">
                  <c:v>0.8272642140458617</c:v>
                </c:pt>
                <c:pt idx="13">
                  <c:v>0.81601672240762579</c:v>
                </c:pt>
                <c:pt idx="14">
                  <c:v>0.80476923076938989</c:v>
                </c:pt>
                <c:pt idx="15">
                  <c:v>0.79371906354444521</c:v>
                </c:pt>
                <c:pt idx="16">
                  <c:v>0.78247157190620931</c:v>
                </c:pt>
                <c:pt idx="17">
                  <c:v>0.7712240802679734</c:v>
                </c:pt>
                <c:pt idx="18">
                  <c:v>0.76017391304302884</c:v>
                </c:pt>
                <c:pt idx="19">
                  <c:v>0.74892642140479293</c:v>
                </c:pt>
                <c:pt idx="20">
                  <c:v>0.73767892976448957</c:v>
                </c:pt>
                <c:pt idx="21">
                  <c:v>0.72643143812625366</c:v>
                </c:pt>
                <c:pt idx="22">
                  <c:v>0.71538127090337655</c:v>
                </c:pt>
                <c:pt idx="23">
                  <c:v>0.70413377926307319</c:v>
                </c:pt>
                <c:pt idx="24">
                  <c:v>0.69288628762483728</c:v>
                </c:pt>
                <c:pt idx="25">
                  <c:v>0.68183612039989272</c:v>
                </c:pt>
                <c:pt idx="26">
                  <c:v>0.67058862876165681</c:v>
                </c:pt>
                <c:pt idx="27">
                  <c:v>0.65934113712342091</c:v>
                </c:pt>
                <c:pt idx="28">
                  <c:v>0.64640625000029484</c:v>
                </c:pt>
                <c:pt idx="29">
                  <c:v>0.63265624999922287</c:v>
                </c:pt>
                <c:pt idx="30">
                  <c:v>0.61866071428563774</c:v>
                </c:pt>
                <c:pt idx="31">
                  <c:v>0.6046651785720526</c:v>
                </c:pt>
                <c:pt idx="32">
                  <c:v>0.59066964285589485</c:v>
                </c:pt>
                <c:pt idx="33">
                  <c:v>0.5769196428573955</c:v>
                </c:pt>
                <c:pt idx="34">
                  <c:v>0.56292410714123786</c:v>
                </c:pt>
                <c:pt idx="35">
                  <c:v>0.54892857142765272</c:v>
                </c:pt>
                <c:pt idx="36">
                  <c:v>0.53517857142915337</c:v>
                </c:pt>
                <c:pt idx="37">
                  <c:v>0.52118303571299562</c:v>
                </c:pt>
                <c:pt idx="38">
                  <c:v>0.50718749999941048</c:v>
                </c:pt>
                <c:pt idx="39">
                  <c:v>0.49319196428582535</c:v>
                </c:pt>
                <c:pt idx="40">
                  <c:v>0.47944196428475339</c:v>
                </c:pt>
                <c:pt idx="41">
                  <c:v>0.46544642857116825</c:v>
                </c:pt>
                <c:pt idx="42">
                  <c:v>0.45145089285758311</c:v>
                </c:pt>
                <c:pt idx="43">
                  <c:v>0.43745535714142542</c:v>
                </c:pt>
                <c:pt idx="44">
                  <c:v>0.42370535714292606</c:v>
                </c:pt>
                <c:pt idx="45">
                  <c:v>0.40970982142934093</c:v>
                </c:pt>
                <c:pt idx="46">
                  <c:v>0.39571428571318323</c:v>
                </c:pt>
                <c:pt idx="47">
                  <c:v>0.38171874999959804</c:v>
                </c:pt>
                <c:pt idx="48">
                  <c:v>0.89153723742766067</c:v>
                </c:pt>
                <c:pt idx="49">
                  <c:v>0.8793462762570099</c:v>
                </c:pt>
                <c:pt idx="50">
                  <c:v>0.86715531508635901</c:v>
                </c:pt>
                <c:pt idx="51">
                  <c:v>0.85517823042594077</c:v>
                </c:pt>
                <c:pt idx="52">
                  <c:v>0.84298726925528999</c:v>
                </c:pt>
                <c:pt idx="53">
                  <c:v>0.83079630808463911</c:v>
                </c:pt>
                <c:pt idx="54">
                  <c:v>0.81860534691174747</c:v>
                </c:pt>
                <c:pt idx="55">
                  <c:v>0.80662826225357009</c:v>
                </c:pt>
                <c:pt idx="56">
                  <c:v>0.79443730108067834</c:v>
                </c:pt>
                <c:pt idx="57">
                  <c:v>0.78224633991002746</c:v>
                </c:pt>
                <c:pt idx="58">
                  <c:v>0.77026925525185019</c:v>
                </c:pt>
                <c:pt idx="59">
                  <c:v>0.75807829407895844</c:v>
                </c:pt>
                <c:pt idx="60">
                  <c:v>0.74588733290830755</c:v>
                </c:pt>
                <c:pt idx="61">
                  <c:v>0.73391024825013018</c:v>
                </c:pt>
                <c:pt idx="62">
                  <c:v>0.72171928707723854</c:v>
                </c:pt>
                <c:pt idx="63">
                  <c:v>0.70952832590658765</c:v>
                </c:pt>
                <c:pt idx="64">
                  <c:v>0.69733736473593688</c:v>
                </c:pt>
                <c:pt idx="65">
                  <c:v>0.68536028007551864</c:v>
                </c:pt>
                <c:pt idx="66">
                  <c:v>0.67316931890486775</c:v>
                </c:pt>
                <c:pt idx="67">
                  <c:v>0.66097835773421698</c:v>
                </c:pt>
                <c:pt idx="68">
                  <c:v>0.64900127307379862</c:v>
                </c:pt>
                <c:pt idx="69">
                  <c:v>0.63681031190314785</c:v>
                </c:pt>
                <c:pt idx="70">
                  <c:v>0.62461935073025621</c:v>
                </c:pt>
                <c:pt idx="71">
                  <c:v>0.61242838955960532</c:v>
                </c:pt>
                <c:pt idx="72">
                  <c:v>0.60045130490142795</c:v>
                </c:pt>
                <c:pt idx="73">
                  <c:v>0.58826034372853631</c:v>
                </c:pt>
                <c:pt idx="74">
                  <c:v>0.89662500000185619</c:v>
                </c:pt>
                <c:pt idx="75">
                  <c:v>0.88508450704249253</c:v>
                </c:pt>
                <c:pt idx="76">
                  <c:v>0.87354401408525029</c:v>
                </c:pt>
                <c:pt idx="77">
                  <c:v>0.86220598591528008</c:v>
                </c:pt>
                <c:pt idx="78">
                  <c:v>0.85066549295803784</c:v>
                </c:pt>
                <c:pt idx="79">
                  <c:v>0.83912500000079548</c:v>
                </c:pt>
                <c:pt idx="80">
                  <c:v>0.82778697183082539</c:v>
                </c:pt>
                <c:pt idx="81">
                  <c:v>0.81624647887358304</c:v>
                </c:pt>
                <c:pt idx="82">
                  <c:v>0.80470598591634079</c:v>
                </c:pt>
                <c:pt idx="83">
                  <c:v>0.79316549295909844</c:v>
                </c:pt>
                <c:pt idx="84">
                  <c:v>0.78182746478912835</c:v>
                </c:pt>
                <c:pt idx="85">
                  <c:v>0.77028697183188599</c:v>
                </c:pt>
                <c:pt idx="86">
                  <c:v>0.75874647887252245</c:v>
                </c:pt>
                <c:pt idx="87">
                  <c:v>0.74740845070467354</c:v>
                </c:pt>
                <c:pt idx="88">
                  <c:v>0.7358679577474313</c:v>
                </c:pt>
                <c:pt idx="89">
                  <c:v>0.72432746478806775</c:v>
                </c:pt>
                <c:pt idx="90">
                  <c:v>0.71298943662021885</c:v>
                </c:pt>
              </c:numCache>
            </c:numRef>
          </c:xVal>
          <c:yVal>
            <c:numRef>
              <c:f>'Run56'!$AC$201:$AC$291</c:f>
              <c:numCache>
                <c:formatCode>0.00E+00</c:formatCode>
                <c:ptCount val="91"/>
                <c:pt idx="0">
                  <c:v>6.64056E-11</c:v>
                </c:pt>
                <c:pt idx="1">
                  <c:v>7.8511800000000001E-11</c:v>
                </c:pt>
                <c:pt idx="2">
                  <c:v>8.78631E-11</c:v>
                </c:pt>
                <c:pt idx="3">
                  <c:v>1.07952E-10</c:v>
                </c:pt>
                <c:pt idx="4">
                  <c:v>9.4148599999999999E-11</c:v>
                </c:pt>
                <c:pt idx="5">
                  <c:v>6.49795E-11</c:v>
                </c:pt>
                <c:pt idx="6">
                  <c:v>6.6934000000000004E-11</c:v>
                </c:pt>
                <c:pt idx="7">
                  <c:v>7.7203900000000005E-11</c:v>
                </c:pt>
                <c:pt idx="8">
                  <c:v>6.9673400000000002E-11</c:v>
                </c:pt>
                <c:pt idx="9">
                  <c:v>7.3890700000000006E-11</c:v>
                </c:pt>
                <c:pt idx="10">
                  <c:v>9.9315400000000006E-11</c:v>
                </c:pt>
                <c:pt idx="11">
                  <c:v>9.7146100000000006E-11</c:v>
                </c:pt>
                <c:pt idx="12">
                  <c:v>9.5499799999999994E-11</c:v>
                </c:pt>
                <c:pt idx="13">
                  <c:v>8.6753399999999996E-11</c:v>
                </c:pt>
                <c:pt idx="14">
                  <c:v>8.5250999999999999E-11</c:v>
                </c:pt>
                <c:pt idx="15">
                  <c:v>8.0458499999999999E-11</c:v>
                </c:pt>
                <c:pt idx="16">
                  <c:v>1.0616099999999999E-10</c:v>
                </c:pt>
                <c:pt idx="17">
                  <c:v>9.1355200000000003E-11</c:v>
                </c:pt>
                <c:pt idx="18">
                  <c:v>8.1287399999999996E-11</c:v>
                </c:pt>
                <c:pt idx="19">
                  <c:v>8.9102399999999997E-11</c:v>
                </c:pt>
                <c:pt idx="20">
                  <c:v>8.5470999999999999E-11</c:v>
                </c:pt>
                <c:pt idx="21">
                  <c:v>8.6841900000000005E-11</c:v>
                </c:pt>
                <c:pt idx="22">
                  <c:v>7.54505E-11</c:v>
                </c:pt>
                <c:pt idx="23">
                  <c:v>9.3040600000000006E-11</c:v>
                </c:pt>
                <c:pt idx="24">
                  <c:v>8.3062100000000006E-11</c:v>
                </c:pt>
                <c:pt idx="25">
                  <c:v>6.7859200000000002E-11</c:v>
                </c:pt>
                <c:pt idx="26">
                  <c:v>1.00726E-10</c:v>
                </c:pt>
                <c:pt idx="27">
                  <c:v>7.8760100000000001E-11</c:v>
                </c:pt>
                <c:pt idx="28">
                  <c:v>7.7647300000000003E-11</c:v>
                </c:pt>
                <c:pt idx="29">
                  <c:v>7.63708E-11</c:v>
                </c:pt>
                <c:pt idx="30">
                  <c:v>1.1049700000000001E-10</c:v>
                </c:pt>
                <c:pt idx="31">
                  <c:v>8.1175200000000006E-11</c:v>
                </c:pt>
                <c:pt idx="32">
                  <c:v>7.0957000000000006E-11</c:v>
                </c:pt>
                <c:pt idx="33">
                  <c:v>7.8293800000000005E-11</c:v>
                </c:pt>
                <c:pt idx="34">
                  <c:v>8.1661399999999999E-11</c:v>
                </c:pt>
                <c:pt idx="35">
                  <c:v>8.1574099999999998E-11</c:v>
                </c:pt>
                <c:pt idx="36">
                  <c:v>1.11003E-10</c:v>
                </c:pt>
                <c:pt idx="37">
                  <c:v>1.0391300000000001E-10</c:v>
                </c:pt>
                <c:pt idx="38">
                  <c:v>7.9164500000000001E-11</c:v>
                </c:pt>
                <c:pt idx="39">
                  <c:v>7.2507499999999995E-11</c:v>
                </c:pt>
                <c:pt idx="40">
                  <c:v>8.6386200000000002E-11</c:v>
                </c:pt>
                <c:pt idx="41">
                  <c:v>9.9636100000000002E-11</c:v>
                </c:pt>
                <c:pt idx="42">
                  <c:v>8.29921E-11</c:v>
                </c:pt>
                <c:pt idx="43">
                  <c:v>9.5645399999999995E-11</c:v>
                </c:pt>
                <c:pt idx="44">
                  <c:v>8.7455599999999994E-11</c:v>
                </c:pt>
                <c:pt idx="45">
                  <c:v>7.9678700000000002E-11</c:v>
                </c:pt>
                <c:pt idx="46">
                  <c:v>9.3879199999999994E-11</c:v>
                </c:pt>
                <c:pt idx="47">
                  <c:v>7.0469100000000001E-11</c:v>
                </c:pt>
                <c:pt idx="48" formatCode="General">
                  <c:v>0</c:v>
                </c:pt>
                <c:pt idx="49">
                  <c:v>8.4075499999999996E-11</c:v>
                </c:pt>
                <c:pt idx="50">
                  <c:v>1.25951E-10</c:v>
                </c:pt>
                <c:pt idx="51">
                  <c:v>7.7153799999999996E-11</c:v>
                </c:pt>
                <c:pt idx="52">
                  <c:v>6.4523100000000006E-11</c:v>
                </c:pt>
                <c:pt idx="53">
                  <c:v>9.1593900000000006E-11</c:v>
                </c:pt>
                <c:pt idx="54">
                  <c:v>7.6404999999999994E-11</c:v>
                </c:pt>
                <c:pt idx="55">
                  <c:v>7.7209799999999998E-11</c:v>
                </c:pt>
                <c:pt idx="56">
                  <c:v>8.49727E-11</c:v>
                </c:pt>
                <c:pt idx="57">
                  <c:v>8.4153099999999994E-11</c:v>
                </c:pt>
                <c:pt idx="58">
                  <c:v>7.20468E-11</c:v>
                </c:pt>
                <c:pt idx="59">
                  <c:v>6.8337699999999997E-11</c:v>
                </c:pt>
                <c:pt idx="60">
                  <c:v>7.1556999999999997E-11</c:v>
                </c:pt>
                <c:pt idx="61">
                  <c:v>6.5920600000000001E-11</c:v>
                </c:pt>
                <c:pt idx="62">
                  <c:v>5.9304599999999998E-11</c:v>
                </c:pt>
                <c:pt idx="63">
                  <c:v>8.1164700000000006E-11</c:v>
                </c:pt>
                <c:pt idx="64">
                  <c:v>7.1520000000000002E-11</c:v>
                </c:pt>
                <c:pt idx="65">
                  <c:v>6.9697499999999994E-11</c:v>
                </c:pt>
                <c:pt idx="66">
                  <c:v>7.8772800000000004E-11</c:v>
                </c:pt>
                <c:pt idx="67">
                  <c:v>6.8463599999999999E-11</c:v>
                </c:pt>
                <c:pt idx="68">
                  <c:v>8.4412799999999997E-11</c:v>
                </c:pt>
                <c:pt idx="69">
                  <c:v>7.4870699999999999E-11</c:v>
                </c:pt>
                <c:pt idx="70">
                  <c:v>6.7118000000000005E-11</c:v>
                </c:pt>
                <c:pt idx="71">
                  <c:v>6.7667399999999996E-11</c:v>
                </c:pt>
                <c:pt idx="72">
                  <c:v>6.4480800000000003E-11</c:v>
                </c:pt>
                <c:pt idx="73">
                  <c:v>6.9987600000000006E-11</c:v>
                </c:pt>
                <c:pt idx="74">
                  <c:v>7.2056599999999997E-11</c:v>
                </c:pt>
                <c:pt idx="75">
                  <c:v>9.1322899999999995E-11</c:v>
                </c:pt>
                <c:pt idx="76">
                  <c:v>1.10466E-10</c:v>
                </c:pt>
                <c:pt idx="77">
                  <c:v>9.8282100000000006E-11</c:v>
                </c:pt>
                <c:pt idx="78">
                  <c:v>9.0033399999999996E-11</c:v>
                </c:pt>
                <c:pt idx="79">
                  <c:v>1.07352E-10</c:v>
                </c:pt>
                <c:pt idx="80">
                  <c:v>1.00396E-10</c:v>
                </c:pt>
                <c:pt idx="81">
                  <c:v>1.0561E-10</c:v>
                </c:pt>
                <c:pt idx="82">
                  <c:v>1.3667399999999999E-10</c:v>
                </c:pt>
                <c:pt idx="83">
                  <c:v>1.1002699999999999E-10</c:v>
                </c:pt>
                <c:pt idx="84">
                  <c:v>1.0643200000000001E-10</c:v>
                </c:pt>
                <c:pt idx="85">
                  <c:v>1.10076E-10</c:v>
                </c:pt>
                <c:pt idx="86">
                  <c:v>9.9197400000000002E-11</c:v>
                </c:pt>
                <c:pt idx="87">
                  <c:v>8.8903799999999994E-11</c:v>
                </c:pt>
                <c:pt idx="88">
                  <c:v>8.8105000000000002E-11</c:v>
                </c:pt>
                <c:pt idx="89">
                  <c:v>9.4408100000000002E-11</c:v>
                </c:pt>
                <c:pt idx="90">
                  <c:v>8.7640600000000004E-11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1D-443C-BFE7-1DCE892D17EF}"/>
            </c:ext>
          </c:extLst>
        </c:ser>
        <c:ser>
          <c:idx val="1"/>
          <c:order val="1"/>
          <c:spPr>
            <a:ln w="28575">
              <a:noFill/>
            </a:ln>
          </c:spPr>
          <c:xVal>
            <c:numRef>
              <c:f>'Run56'!$N$201:$N$291</c:f>
              <c:numCache>
                <c:formatCode>0.0%</c:formatCode>
                <c:ptCount val="91"/>
                <c:pt idx="0">
                  <c:v>0.67415478260852635</c:v>
                </c:pt>
                <c:pt idx="1">
                  <c:v>0.65789043478416454</c:v>
                </c:pt>
                <c:pt idx="2">
                  <c:v>0.64133565217320387</c:v>
                </c:pt>
                <c:pt idx="3">
                  <c:v>0.62478086956528622</c:v>
                </c:pt>
                <c:pt idx="4">
                  <c:v>0.60822608695736846</c:v>
                </c:pt>
                <c:pt idx="5">
                  <c:v>0.59196173912996386</c:v>
                </c:pt>
                <c:pt idx="6">
                  <c:v>0.5754069565220461</c:v>
                </c:pt>
                <c:pt idx="7">
                  <c:v>0.55885217391412834</c:v>
                </c:pt>
                <c:pt idx="8">
                  <c:v>0.54229739130316768</c:v>
                </c:pt>
                <c:pt idx="9">
                  <c:v>0.86080936454727808</c:v>
                </c:pt>
                <c:pt idx="10">
                  <c:v>0.84956187290904217</c:v>
                </c:pt>
                <c:pt idx="11">
                  <c:v>0.83851170568409761</c:v>
                </c:pt>
                <c:pt idx="12">
                  <c:v>0.8272642140458617</c:v>
                </c:pt>
                <c:pt idx="13">
                  <c:v>0.81601672240762579</c:v>
                </c:pt>
                <c:pt idx="14">
                  <c:v>0.80476923076938989</c:v>
                </c:pt>
                <c:pt idx="15">
                  <c:v>0.79371906354444521</c:v>
                </c:pt>
                <c:pt idx="16">
                  <c:v>0.78247157190620931</c:v>
                </c:pt>
                <c:pt idx="17">
                  <c:v>0.7712240802679734</c:v>
                </c:pt>
                <c:pt idx="18">
                  <c:v>0.76017391304302884</c:v>
                </c:pt>
                <c:pt idx="19">
                  <c:v>0.74892642140479293</c:v>
                </c:pt>
                <c:pt idx="20">
                  <c:v>0.73767892976448957</c:v>
                </c:pt>
                <c:pt idx="21">
                  <c:v>0.72643143812625366</c:v>
                </c:pt>
                <c:pt idx="22">
                  <c:v>0.71538127090337655</c:v>
                </c:pt>
                <c:pt idx="23">
                  <c:v>0.70413377926307319</c:v>
                </c:pt>
                <c:pt idx="24">
                  <c:v>0.69288628762483728</c:v>
                </c:pt>
                <c:pt idx="25">
                  <c:v>0.68183612039989272</c:v>
                </c:pt>
                <c:pt idx="26">
                  <c:v>0.67058862876165681</c:v>
                </c:pt>
                <c:pt idx="27">
                  <c:v>0.65934113712342091</c:v>
                </c:pt>
                <c:pt idx="28">
                  <c:v>0.64640625000029484</c:v>
                </c:pt>
                <c:pt idx="29">
                  <c:v>0.63265624999922287</c:v>
                </c:pt>
                <c:pt idx="30">
                  <c:v>0.61866071428563774</c:v>
                </c:pt>
                <c:pt idx="31">
                  <c:v>0.6046651785720526</c:v>
                </c:pt>
                <c:pt idx="32">
                  <c:v>0.59066964285589485</c:v>
                </c:pt>
                <c:pt idx="33">
                  <c:v>0.5769196428573955</c:v>
                </c:pt>
                <c:pt idx="34">
                  <c:v>0.56292410714123786</c:v>
                </c:pt>
                <c:pt idx="35">
                  <c:v>0.54892857142765272</c:v>
                </c:pt>
                <c:pt idx="36">
                  <c:v>0.53517857142915337</c:v>
                </c:pt>
                <c:pt idx="37">
                  <c:v>0.52118303571299562</c:v>
                </c:pt>
                <c:pt idx="38">
                  <c:v>0.50718749999941048</c:v>
                </c:pt>
                <c:pt idx="39">
                  <c:v>0.49319196428582535</c:v>
                </c:pt>
                <c:pt idx="40">
                  <c:v>0.47944196428475339</c:v>
                </c:pt>
                <c:pt idx="41">
                  <c:v>0.46544642857116825</c:v>
                </c:pt>
                <c:pt idx="42">
                  <c:v>0.45145089285758311</c:v>
                </c:pt>
                <c:pt idx="43">
                  <c:v>0.43745535714142542</c:v>
                </c:pt>
                <c:pt idx="44">
                  <c:v>0.42370535714292606</c:v>
                </c:pt>
                <c:pt idx="45">
                  <c:v>0.40970982142934093</c:v>
                </c:pt>
                <c:pt idx="46">
                  <c:v>0.39571428571318323</c:v>
                </c:pt>
                <c:pt idx="47">
                  <c:v>0.38171874999959804</c:v>
                </c:pt>
                <c:pt idx="48">
                  <c:v>0.89153723742766067</c:v>
                </c:pt>
                <c:pt idx="49">
                  <c:v>0.8793462762570099</c:v>
                </c:pt>
                <c:pt idx="50">
                  <c:v>0.86715531508635901</c:v>
                </c:pt>
                <c:pt idx="51">
                  <c:v>0.85517823042594077</c:v>
                </c:pt>
                <c:pt idx="52">
                  <c:v>0.84298726925528999</c:v>
                </c:pt>
                <c:pt idx="53">
                  <c:v>0.83079630808463911</c:v>
                </c:pt>
                <c:pt idx="54">
                  <c:v>0.81860534691174747</c:v>
                </c:pt>
                <c:pt idx="55">
                  <c:v>0.80662826225357009</c:v>
                </c:pt>
                <c:pt idx="56">
                  <c:v>0.79443730108067834</c:v>
                </c:pt>
                <c:pt idx="57">
                  <c:v>0.78224633991002746</c:v>
                </c:pt>
                <c:pt idx="58">
                  <c:v>0.77026925525185019</c:v>
                </c:pt>
                <c:pt idx="59">
                  <c:v>0.75807829407895844</c:v>
                </c:pt>
                <c:pt idx="60">
                  <c:v>0.74588733290830755</c:v>
                </c:pt>
                <c:pt idx="61">
                  <c:v>0.73391024825013018</c:v>
                </c:pt>
                <c:pt idx="62">
                  <c:v>0.72171928707723854</c:v>
                </c:pt>
                <c:pt idx="63">
                  <c:v>0.70952832590658765</c:v>
                </c:pt>
                <c:pt idx="64">
                  <c:v>0.69733736473593688</c:v>
                </c:pt>
                <c:pt idx="65">
                  <c:v>0.68536028007551864</c:v>
                </c:pt>
                <c:pt idx="66">
                  <c:v>0.67316931890486775</c:v>
                </c:pt>
                <c:pt idx="67">
                  <c:v>0.66097835773421698</c:v>
                </c:pt>
                <c:pt idx="68">
                  <c:v>0.64900127307379862</c:v>
                </c:pt>
                <c:pt idx="69">
                  <c:v>0.63681031190314785</c:v>
                </c:pt>
                <c:pt idx="70">
                  <c:v>0.62461935073025621</c:v>
                </c:pt>
                <c:pt idx="71">
                  <c:v>0.61242838955960532</c:v>
                </c:pt>
                <c:pt idx="72">
                  <c:v>0.60045130490142795</c:v>
                </c:pt>
                <c:pt idx="73">
                  <c:v>0.58826034372853631</c:v>
                </c:pt>
                <c:pt idx="74">
                  <c:v>0.89662500000185619</c:v>
                </c:pt>
                <c:pt idx="75">
                  <c:v>0.88508450704249253</c:v>
                </c:pt>
                <c:pt idx="76">
                  <c:v>0.87354401408525029</c:v>
                </c:pt>
                <c:pt idx="77">
                  <c:v>0.86220598591528008</c:v>
                </c:pt>
                <c:pt idx="78">
                  <c:v>0.85066549295803784</c:v>
                </c:pt>
                <c:pt idx="79">
                  <c:v>0.83912500000079548</c:v>
                </c:pt>
                <c:pt idx="80">
                  <c:v>0.82778697183082539</c:v>
                </c:pt>
                <c:pt idx="81">
                  <c:v>0.81624647887358304</c:v>
                </c:pt>
                <c:pt idx="82">
                  <c:v>0.80470598591634079</c:v>
                </c:pt>
                <c:pt idx="83">
                  <c:v>0.79316549295909844</c:v>
                </c:pt>
                <c:pt idx="84">
                  <c:v>0.78182746478912835</c:v>
                </c:pt>
                <c:pt idx="85">
                  <c:v>0.77028697183188599</c:v>
                </c:pt>
                <c:pt idx="86">
                  <c:v>0.75874647887252245</c:v>
                </c:pt>
                <c:pt idx="87">
                  <c:v>0.74740845070467354</c:v>
                </c:pt>
                <c:pt idx="88">
                  <c:v>0.7358679577474313</c:v>
                </c:pt>
                <c:pt idx="89">
                  <c:v>0.72432746478806775</c:v>
                </c:pt>
                <c:pt idx="90">
                  <c:v>0.71298943662021885</c:v>
                </c:pt>
              </c:numCache>
            </c:numRef>
          </c:xVal>
          <c:yVal>
            <c:numRef>
              <c:f>'Run56'!$AD$201:$AD$291</c:f>
              <c:numCache>
                <c:formatCode>0.00E+00</c:formatCode>
                <c:ptCount val="91"/>
                <c:pt idx="0">
                  <c:v>5.5140400000000001E-11</c:v>
                </c:pt>
                <c:pt idx="1">
                  <c:v>6.3774300000000004E-11</c:v>
                </c:pt>
                <c:pt idx="2">
                  <c:v>7.0854200000000001E-11</c:v>
                </c:pt>
                <c:pt idx="3">
                  <c:v>8.7379499999999995E-11</c:v>
                </c:pt>
                <c:pt idx="4">
                  <c:v>7.6138400000000002E-11</c:v>
                </c:pt>
                <c:pt idx="5">
                  <c:v>5.4792500000000001E-11</c:v>
                </c:pt>
                <c:pt idx="6">
                  <c:v>5.41355E-11</c:v>
                </c:pt>
                <c:pt idx="7">
                  <c:v>6.2270600000000006E-11</c:v>
                </c:pt>
                <c:pt idx="8">
                  <c:v>5.6441400000000001E-11</c:v>
                </c:pt>
                <c:pt idx="9">
                  <c:v>6.2169499999999999E-11</c:v>
                </c:pt>
                <c:pt idx="10">
                  <c:v>8.1802699999999999E-11</c:v>
                </c:pt>
                <c:pt idx="11">
                  <c:v>8.0918199999999998E-11</c:v>
                </c:pt>
                <c:pt idx="12">
                  <c:v>7.4842300000000006E-11</c:v>
                </c:pt>
                <c:pt idx="13">
                  <c:v>9.5422800000000006E-11</c:v>
                </c:pt>
                <c:pt idx="14">
                  <c:v>7.0204800000000006E-11</c:v>
                </c:pt>
                <c:pt idx="15">
                  <c:v>6.5139199999999998E-11</c:v>
                </c:pt>
                <c:pt idx="16">
                  <c:v>8.5981600000000003E-11</c:v>
                </c:pt>
                <c:pt idx="17">
                  <c:v>7.12127E-11</c:v>
                </c:pt>
                <c:pt idx="18">
                  <c:v>6.3802499999999998E-11</c:v>
                </c:pt>
                <c:pt idx="19">
                  <c:v>6.7872300000000004E-11</c:v>
                </c:pt>
                <c:pt idx="20">
                  <c:v>6.4801400000000005E-11</c:v>
                </c:pt>
                <c:pt idx="21">
                  <c:v>6.6361799999999996E-11</c:v>
                </c:pt>
                <c:pt idx="22">
                  <c:v>5.93889E-11</c:v>
                </c:pt>
                <c:pt idx="23">
                  <c:v>7.4233399999999997E-11</c:v>
                </c:pt>
                <c:pt idx="24">
                  <c:v>7.2380300000000005E-11</c:v>
                </c:pt>
                <c:pt idx="25">
                  <c:v>5.3489299999999997E-11</c:v>
                </c:pt>
                <c:pt idx="26">
                  <c:v>8.0450600000000001E-11</c:v>
                </c:pt>
                <c:pt idx="27">
                  <c:v>6.3837300000000001E-11</c:v>
                </c:pt>
                <c:pt idx="28">
                  <c:v>6.2039400000000002E-11</c:v>
                </c:pt>
                <c:pt idx="29">
                  <c:v>6.2427300000000003E-11</c:v>
                </c:pt>
                <c:pt idx="30">
                  <c:v>9.1586199999999994E-11</c:v>
                </c:pt>
                <c:pt idx="31">
                  <c:v>6.6377800000000004E-11</c:v>
                </c:pt>
                <c:pt idx="32">
                  <c:v>6.8622699999999999E-11</c:v>
                </c:pt>
                <c:pt idx="33">
                  <c:v>6.3251399999999995E-11</c:v>
                </c:pt>
                <c:pt idx="34">
                  <c:v>6.7432700000000001E-11</c:v>
                </c:pt>
                <c:pt idx="35">
                  <c:v>6.43626E-11</c:v>
                </c:pt>
                <c:pt idx="36">
                  <c:v>9.4507099999999998E-11</c:v>
                </c:pt>
                <c:pt idx="37">
                  <c:v>8.0609300000000003E-11</c:v>
                </c:pt>
                <c:pt idx="38">
                  <c:v>6.5007699999999994E-11</c:v>
                </c:pt>
                <c:pt idx="39">
                  <c:v>5.7038900000000002E-11</c:v>
                </c:pt>
                <c:pt idx="40">
                  <c:v>6.8959600000000002E-11</c:v>
                </c:pt>
                <c:pt idx="41">
                  <c:v>8.0669300000000001E-11</c:v>
                </c:pt>
                <c:pt idx="42">
                  <c:v>6.5042699999999997E-11</c:v>
                </c:pt>
                <c:pt idx="43">
                  <c:v>7.6678800000000006E-11</c:v>
                </c:pt>
                <c:pt idx="44">
                  <c:v>7.0133499999999999E-11</c:v>
                </c:pt>
                <c:pt idx="45">
                  <c:v>7.4120500000000003E-11</c:v>
                </c:pt>
                <c:pt idx="46">
                  <c:v>7.34178E-11</c:v>
                </c:pt>
                <c:pt idx="47">
                  <c:v>5.6748800000000003E-11</c:v>
                </c:pt>
                <c:pt idx="48" formatCode="General">
                  <c:v>0</c:v>
                </c:pt>
                <c:pt idx="49">
                  <c:v>6.9078099999999997E-11</c:v>
                </c:pt>
                <c:pt idx="50">
                  <c:v>9.8088400000000001E-11</c:v>
                </c:pt>
                <c:pt idx="51">
                  <c:v>6.3989499999999999E-11</c:v>
                </c:pt>
                <c:pt idx="52">
                  <c:v>5.0133399999999997E-11</c:v>
                </c:pt>
                <c:pt idx="53">
                  <c:v>7.9155300000000002E-11</c:v>
                </c:pt>
                <c:pt idx="54">
                  <c:v>5.6759500000000002E-11</c:v>
                </c:pt>
                <c:pt idx="55">
                  <c:v>6.1046200000000002E-11</c:v>
                </c:pt>
                <c:pt idx="56">
                  <c:v>6.3027099999999994E-11</c:v>
                </c:pt>
                <c:pt idx="57">
                  <c:v>6.0868000000000001E-11</c:v>
                </c:pt>
                <c:pt idx="58">
                  <c:v>5.77904E-11</c:v>
                </c:pt>
                <c:pt idx="59">
                  <c:v>5.0506E-11</c:v>
                </c:pt>
                <c:pt idx="60">
                  <c:v>5.4673600000000001E-11</c:v>
                </c:pt>
                <c:pt idx="61">
                  <c:v>5.3303800000000002E-11</c:v>
                </c:pt>
                <c:pt idx="62">
                  <c:v>4.64541E-11</c:v>
                </c:pt>
                <c:pt idx="63">
                  <c:v>6.5928600000000005E-11</c:v>
                </c:pt>
                <c:pt idx="64">
                  <c:v>5.6083999999999997E-11</c:v>
                </c:pt>
                <c:pt idx="65">
                  <c:v>5.8366299999999998E-11</c:v>
                </c:pt>
                <c:pt idx="66">
                  <c:v>6.0865900000000004E-11</c:v>
                </c:pt>
                <c:pt idx="67">
                  <c:v>6.5946200000000006E-11</c:v>
                </c:pt>
                <c:pt idx="68">
                  <c:v>7.3299799999999996E-11</c:v>
                </c:pt>
                <c:pt idx="69">
                  <c:v>5.8806699999999997E-11</c:v>
                </c:pt>
                <c:pt idx="70">
                  <c:v>5.1315700000000003E-11</c:v>
                </c:pt>
                <c:pt idx="71">
                  <c:v>5.4824099999999999E-11</c:v>
                </c:pt>
                <c:pt idx="72">
                  <c:v>5.3972299999999999E-11</c:v>
                </c:pt>
                <c:pt idx="73">
                  <c:v>5.7493299999999999E-11</c:v>
                </c:pt>
                <c:pt idx="74">
                  <c:v>6.5335799999999996E-11</c:v>
                </c:pt>
                <c:pt idx="75">
                  <c:v>7.7100700000000001E-11</c:v>
                </c:pt>
                <c:pt idx="76">
                  <c:v>9.0627200000000001E-11</c:v>
                </c:pt>
                <c:pt idx="77">
                  <c:v>7.7415599999999996E-11</c:v>
                </c:pt>
                <c:pt idx="78">
                  <c:v>7.1940799999999996E-11</c:v>
                </c:pt>
                <c:pt idx="79">
                  <c:v>8.8138099999999994E-11</c:v>
                </c:pt>
                <c:pt idx="80">
                  <c:v>8.0855900000000004E-11</c:v>
                </c:pt>
                <c:pt idx="81">
                  <c:v>8.50261E-11</c:v>
                </c:pt>
                <c:pt idx="82">
                  <c:v>1.11076E-10</c:v>
                </c:pt>
                <c:pt idx="83">
                  <c:v>8.7863400000000005E-11</c:v>
                </c:pt>
                <c:pt idx="84">
                  <c:v>8.1057099999999996E-11</c:v>
                </c:pt>
                <c:pt idx="85">
                  <c:v>8.7226300000000002E-11</c:v>
                </c:pt>
                <c:pt idx="86">
                  <c:v>8.0573999999999995E-11</c:v>
                </c:pt>
                <c:pt idx="87">
                  <c:v>7.2913199999999996E-11</c:v>
                </c:pt>
                <c:pt idx="88">
                  <c:v>7.7640999999999998E-11</c:v>
                </c:pt>
                <c:pt idx="89">
                  <c:v>7.6411899999999996E-11</c:v>
                </c:pt>
                <c:pt idx="90">
                  <c:v>6.9411699999999995E-11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1D-443C-BFE7-1DCE892D1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654336"/>
        <c:axId val="234668416"/>
      </c:scatterChart>
      <c:valAx>
        <c:axId val="234654336"/>
        <c:scaling>
          <c:orientation val="minMax"/>
        </c:scaling>
        <c:delete val="0"/>
        <c:axPos val="b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4668416"/>
        <c:crosses val="autoZero"/>
        <c:crossBetween val="midCat"/>
      </c:valAx>
      <c:valAx>
        <c:axId val="234668416"/>
        <c:scaling>
          <c:orientation val="minMax"/>
          <c:max val="9.0000000000005045E-10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4654336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GB"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'Run56'!$AD$2</c:f>
              <c:strCache>
                <c:ptCount val="1"/>
                <c:pt idx="0">
                  <c:v>pbs1</c:v>
                </c:pt>
              </c:strCache>
            </c:strRef>
          </c:tx>
          <c:spPr>
            <a:ln w="28575">
              <a:noFill/>
            </a:ln>
          </c:spPr>
          <c:xVal>
            <c:numRef>
              <c:f>'Run56'!$P$3:$P$623</c:f>
              <c:numCache>
                <c:formatCode>m/d/yyyy\ h:mm</c:formatCode>
                <c:ptCount val="621"/>
                <c:pt idx="0">
                  <c:v>42373.4375</c:v>
                </c:pt>
                <c:pt idx="1">
                  <c:v>42373.4375</c:v>
                </c:pt>
                <c:pt idx="2">
                  <c:v>42373.4375</c:v>
                </c:pt>
                <c:pt idx="3">
                  <c:v>42373.4375</c:v>
                </c:pt>
                <c:pt idx="4">
                  <c:v>42373.4375</c:v>
                </c:pt>
                <c:pt idx="5">
                  <c:v>42373.4375</c:v>
                </c:pt>
                <c:pt idx="6">
                  <c:v>42373.4375</c:v>
                </c:pt>
                <c:pt idx="7">
                  <c:v>42373.4375</c:v>
                </c:pt>
                <c:pt idx="8">
                  <c:v>42373.4375</c:v>
                </c:pt>
                <c:pt idx="9">
                  <c:v>42373.4375</c:v>
                </c:pt>
                <c:pt idx="10">
                  <c:v>42373.4375</c:v>
                </c:pt>
                <c:pt idx="11">
                  <c:v>42373.4375</c:v>
                </c:pt>
                <c:pt idx="12">
                  <c:v>42373.4375</c:v>
                </c:pt>
                <c:pt idx="13">
                  <c:v>42373.4375</c:v>
                </c:pt>
                <c:pt idx="14">
                  <c:v>42373.4375</c:v>
                </c:pt>
                <c:pt idx="15">
                  <c:v>42373.4375</c:v>
                </c:pt>
                <c:pt idx="16">
                  <c:v>42374.368055555555</c:v>
                </c:pt>
                <c:pt idx="17">
                  <c:v>42374.368055555555</c:v>
                </c:pt>
                <c:pt idx="18">
                  <c:v>42374.368055555555</c:v>
                </c:pt>
                <c:pt idx="19">
                  <c:v>42374.368055555555</c:v>
                </c:pt>
                <c:pt idx="20">
                  <c:v>42374.368055555555</c:v>
                </c:pt>
                <c:pt idx="21">
                  <c:v>42374.684027777781</c:v>
                </c:pt>
                <c:pt idx="22">
                  <c:v>42374.684027777781</c:v>
                </c:pt>
                <c:pt idx="23">
                  <c:v>42374.684027777781</c:v>
                </c:pt>
                <c:pt idx="24">
                  <c:v>42374.684027777781</c:v>
                </c:pt>
                <c:pt idx="25">
                  <c:v>42374.684027777781</c:v>
                </c:pt>
                <c:pt idx="26">
                  <c:v>42374.684027777781</c:v>
                </c:pt>
                <c:pt idx="27">
                  <c:v>42374.684027777781</c:v>
                </c:pt>
                <c:pt idx="28">
                  <c:v>42374.684027777781</c:v>
                </c:pt>
                <c:pt idx="29">
                  <c:v>42374.684027777781</c:v>
                </c:pt>
                <c:pt idx="30">
                  <c:v>42374.684027777781</c:v>
                </c:pt>
                <c:pt idx="31">
                  <c:v>42374.684027777781</c:v>
                </c:pt>
                <c:pt idx="32">
                  <c:v>42374.684027777781</c:v>
                </c:pt>
                <c:pt idx="33">
                  <c:v>42374.684027777781</c:v>
                </c:pt>
                <c:pt idx="34">
                  <c:v>42374.684027777781</c:v>
                </c:pt>
                <c:pt idx="35">
                  <c:v>42374.684027777781</c:v>
                </c:pt>
                <c:pt idx="36">
                  <c:v>42374.684027777781</c:v>
                </c:pt>
                <c:pt idx="37">
                  <c:v>42374.684027777781</c:v>
                </c:pt>
                <c:pt idx="38">
                  <c:v>42375.368055555555</c:v>
                </c:pt>
                <c:pt idx="39">
                  <c:v>42375.368055555555</c:v>
                </c:pt>
                <c:pt idx="40">
                  <c:v>42375.722222222219</c:v>
                </c:pt>
                <c:pt idx="41">
                  <c:v>42375.722222222219</c:v>
                </c:pt>
                <c:pt idx="42">
                  <c:v>42375.722222222219</c:v>
                </c:pt>
                <c:pt idx="43">
                  <c:v>42375.722222222219</c:v>
                </c:pt>
                <c:pt idx="44">
                  <c:v>42375.722222222219</c:v>
                </c:pt>
                <c:pt idx="45">
                  <c:v>42375.722222222219</c:v>
                </c:pt>
                <c:pt idx="46">
                  <c:v>42375.722222222219</c:v>
                </c:pt>
                <c:pt idx="47">
                  <c:v>42375.722222222219</c:v>
                </c:pt>
                <c:pt idx="48">
                  <c:v>42375.722222222219</c:v>
                </c:pt>
                <c:pt idx="49">
                  <c:v>42375.722222222219</c:v>
                </c:pt>
                <c:pt idx="50">
                  <c:v>42375.722222222219</c:v>
                </c:pt>
                <c:pt idx="51">
                  <c:v>42375.722222222219</c:v>
                </c:pt>
                <c:pt idx="52">
                  <c:v>42375.722222222219</c:v>
                </c:pt>
                <c:pt idx="53">
                  <c:v>42375.722222222219</c:v>
                </c:pt>
                <c:pt idx="54">
                  <c:v>42375.722222222219</c:v>
                </c:pt>
                <c:pt idx="55">
                  <c:v>42375.722222222219</c:v>
                </c:pt>
                <c:pt idx="56">
                  <c:v>42375.722222222219</c:v>
                </c:pt>
                <c:pt idx="57">
                  <c:v>42375.722222222219</c:v>
                </c:pt>
                <c:pt idx="58">
                  <c:v>42375.722222222219</c:v>
                </c:pt>
                <c:pt idx="59">
                  <c:v>42375.722222222219</c:v>
                </c:pt>
                <c:pt idx="60">
                  <c:v>42375.722222222219</c:v>
                </c:pt>
                <c:pt idx="61">
                  <c:v>42376.472222222219</c:v>
                </c:pt>
                <c:pt idx="62">
                  <c:v>42376.472222222219</c:v>
                </c:pt>
                <c:pt idx="63">
                  <c:v>42376.472222222219</c:v>
                </c:pt>
                <c:pt idx="64">
                  <c:v>42376.472222222219</c:v>
                </c:pt>
                <c:pt idx="65">
                  <c:v>42376.472222222219</c:v>
                </c:pt>
                <c:pt idx="66">
                  <c:v>42376.472222222219</c:v>
                </c:pt>
                <c:pt idx="67">
                  <c:v>42376.472222222219</c:v>
                </c:pt>
                <c:pt idx="68">
                  <c:v>42376.472222222219</c:v>
                </c:pt>
                <c:pt idx="69">
                  <c:v>42376.472222222219</c:v>
                </c:pt>
                <c:pt idx="70">
                  <c:v>42376.472222222219</c:v>
                </c:pt>
                <c:pt idx="71">
                  <c:v>42376.472222222219</c:v>
                </c:pt>
                <c:pt idx="72">
                  <c:v>42376.472222222219</c:v>
                </c:pt>
                <c:pt idx="73">
                  <c:v>42376.472222222219</c:v>
                </c:pt>
                <c:pt idx="74">
                  <c:v>42376.472222222219</c:v>
                </c:pt>
                <c:pt idx="75">
                  <c:v>42376.472222222219</c:v>
                </c:pt>
                <c:pt idx="76">
                  <c:v>42376.472222222219</c:v>
                </c:pt>
                <c:pt idx="77">
                  <c:v>42376.472222222219</c:v>
                </c:pt>
                <c:pt idx="78">
                  <c:v>42376.472222222219</c:v>
                </c:pt>
                <c:pt idx="79">
                  <c:v>42377.81527777778</c:v>
                </c:pt>
                <c:pt idx="80">
                  <c:v>42377.81527777778</c:v>
                </c:pt>
                <c:pt idx="81">
                  <c:v>42377.81527777778</c:v>
                </c:pt>
                <c:pt idx="82">
                  <c:v>42377.81527777778</c:v>
                </c:pt>
                <c:pt idx="83">
                  <c:v>42377.81527777778</c:v>
                </c:pt>
                <c:pt idx="84">
                  <c:v>42377.81527777778</c:v>
                </c:pt>
                <c:pt idx="85">
                  <c:v>42377.81527777778</c:v>
                </c:pt>
                <c:pt idx="86">
                  <c:v>42377.81527777778</c:v>
                </c:pt>
                <c:pt idx="87">
                  <c:v>42377.81527777778</c:v>
                </c:pt>
                <c:pt idx="88">
                  <c:v>42377.81527777778</c:v>
                </c:pt>
                <c:pt idx="89">
                  <c:v>42377.81527777778</c:v>
                </c:pt>
                <c:pt idx="90">
                  <c:v>42377.81527777778</c:v>
                </c:pt>
                <c:pt idx="91">
                  <c:v>42377.81527777778</c:v>
                </c:pt>
                <c:pt idx="92">
                  <c:v>42377.81527777778</c:v>
                </c:pt>
                <c:pt idx="93">
                  <c:v>42377.81527777778</c:v>
                </c:pt>
                <c:pt idx="94">
                  <c:v>42377.81527777778</c:v>
                </c:pt>
                <c:pt idx="95">
                  <c:v>42377.81527777778</c:v>
                </c:pt>
                <c:pt idx="96">
                  <c:v>42377.81527777778</c:v>
                </c:pt>
                <c:pt idx="97">
                  <c:v>42377.81527777778</c:v>
                </c:pt>
                <c:pt idx="98">
                  <c:v>42377.81527777778</c:v>
                </c:pt>
                <c:pt idx="99">
                  <c:v>42378.746527777781</c:v>
                </c:pt>
                <c:pt idx="100">
                  <c:v>42378.746527777781</c:v>
                </c:pt>
                <c:pt idx="101">
                  <c:v>42378.746527777781</c:v>
                </c:pt>
                <c:pt idx="102">
                  <c:v>42378.746527777781</c:v>
                </c:pt>
                <c:pt idx="103">
                  <c:v>42378.746527777781</c:v>
                </c:pt>
                <c:pt idx="104">
                  <c:v>42378.746527777781</c:v>
                </c:pt>
                <c:pt idx="105">
                  <c:v>42378.746527777781</c:v>
                </c:pt>
                <c:pt idx="106">
                  <c:v>42378.746527777781</c:v>
                </c:pt>
                <c:pt idx="107">
                  <c:v>42378.746527777781</c:v>
                </c:pt>
                <c:pt idx="108">
                  <c:v>42378.746527777781</c:v>
                </c:pt>
                <c:pt idx="109">
                  <c:v>42378.746527777781</c:v>
                </c:pt>
                <c:pt idx="110">
                  <c:v>42378.746527777781</c:v>
                </c:pt>
                <c:pt idx="111">
                  <c:v>42378.746527777781</c:v>
                </c:pt>
                <c:pt idx="112">
                  <c:v>42378.746527777781</c:v>
                </c:pt>
                <c:pt idx="113">
                  <c:v>42378.746527777781</c:v>
                </c:pt>
                <c:pt idx="114">
                  <c:v>42378.746527777781</c:v>
                </c:pt>
                <c:pt idx="115">
                  <c:v>42378.746527777781</c:v>
                </c:pt>
                <c:pt idx="116">
                  <c:v>42378.746527777781</c:v>
                </c:pt>
                <c:pt idx="117">
                  <c:v>42378.746527777781</c:v>
                </c:pt>
                <c:pt idx="118">
                  <c:v>42378.746527777781</c:v>
                </c:pt>
                <c:pt idx="119">
                  <c:v>42378.746527777781</c:v>
                </c:pt>
                <c:pt idx="120">
                  <c:v>42378.746527777781</c:v>
                </c:pt>
                <c:pt idx="121">
                  <c:v>42378.746527777781</c:v>
                </c:pt>
                <c:pt idx="122">
                  <c:v>42378.746527777781</c:v>
                </c:pt>
                <c:pt idx="123">
                  <c:v>42378.746527777781</c:v>
                </c:pt>
                <c:pt idx="124">
                  <c:v>42378.746527777781</c:v>
                </c:pt>
                <c:pt idx="125">
                  <c:v>42379.763888888891</c:v>
                </c:pt>
                <c:pt idx="126">
                  <c:v>42379.763888888891</c:v>
                </c:pt>
                <c:pt idx="127">
                  <c:v>42379.763888888891</c:v>
                </c:pt>
                <c:pt idx="128">
                  <c:v>42379.763888888891</c:v>
                </c:pt>
                <c:pt idx="129">
                  <c:v>42379.763888888891</c:v>
                </c:pt>
                <c:pt idx="130">
                  <c:v>42379.763888888891</c:v>
                </c:pt>
                <c:pt idx="131">
                  <c:v>42379.763888888891</c:v>
                </c:pt>
                <c:pt idx="132">
                  <c:v>42379.763888888891</c:v>
                </c:pt>
                <c:pt idx="133">
                  <c:v>42379.763888888891</c:v>
                </c:pt>
                <c:pt idx="134">
                  <c:v>42379.763888888891</c:v>
                </c:pt>
                <c:pt idx="135">
                  <c:v>42379.763888888891</c:v>
                </c:pt>
                <c:pt idx="136">
                  <c:v>42379.763888888891</c:v>
                </c:pt>
                <c:pt idx="137">
                  <c:v>42379.763888888891</c:v>
                </c:pt>
                <c:pt idx="138">
                  <c:v>42379.763888888891</c:v>
                </c:pt>
                <c:pt idx="139">
                  <c:v>42379.763888888891</c:v>
                </c:pt>
                <c:pt idx="140">
                  <c:v>42380.416666666664</c:v>
                </c:pt>
                <c:pt idx="141">
                  <c:v>42380.416666666664</c:v>
                </c:pt>
                <c:pt idx="142">
                  <c:v>42380.416666666664</c:v>
                </c:pt>
                <c:pt idx="143">
                  <c:v>42380.416666666664</c:v>
                </c:pt>
                <c:pt idx="144">
                  <c:v>42380.677083333336</c:v>
                </c:pt>
                <c:pt idx="145">
                  <c:v>42380.677083333336</c:v>
                </c:pt>
                <c:pt idx="146">
                  <c:v>42380.677083333336</c:v>
                </c:pt>
                <c:pt idx="147">
                  <c:v>42380.677083333336</c:v>
                </c:pt>
                <c:pt idx="148">
                  <c:v>42380.677083333336</c:v>
                </c:pt>
                <c:pt idx="149">
                  <c:v>42380.677083333336</c:v>
                </c:pt>
                <c:pt idx="150">
                  <c:v>42380.677083333336</c:v>
                </c:pt>
                <c:pt idx="151">
                  <c:v>42380.677083333336</c:v>
                </c:pt>
                <c:pt idx="152">
                  <c:v>42380.677083333336</c:v>
                </c:pt>
                <c:pt idx="153">
                  <c:v>42380.677083333336</c:v>
                </c:pt>
                <c:pt idx="154">
                  <c:v>42380.677083333336</c:v>
                </c:pt>
                <c:pt idx="155">
                  <c:v>42380.677083333336</c:v>
                </c:pt>
                <c:pt idx="156">
                  <c:v>42380.677083333336</c:v>
                </c:pt>
                <c:pt idx="157">
                  <c:v>42380.677083333336</c:v>
                </c:pt>
                <c:pt idx="158">
                  <c:v>42380.677083333336</c:v>
                </c:pt>
                <c:pt idx="159">
                  <c:v>42380.677083333336</c:v>
                </c:pt>
                <c:pt idx="160">
                  <c:v>42380.677083333336</c:v>
                </c:pt>
                <c:pt idx="161">
                  <c:v>42380.677083333336</c:v>
                </c:pt>
                <c:pt idx="162">
                  <c:v>42381.392361111109</c:v>
                </c:pt>
                <c:pt idx="163">
                  <c:v>42381.392361111109</c:v>
                </c:pt>
                <c:pt idx="164">
                  <c:v>42381.392361111109</c:v>
                </c:pt>
                <c:pt idx="165">
                  <c:v>42381.392361111109</c:v>
                </c:pt>
                <c:pt idx="166">
                  <c:v>42382.40347222222</c:v>
                </c:pt>
                <c:pt idx="167">
                  <c:v>42382.40347222222</c:v>
                </c:pt>
                <c:pt idx="168">
                  <c:v>42382.40347222222</c:v>
                </c:pt>
                <c:pt idx="169">
                  <c:v>42382.40347222222</c:v>
                </c:pt>
                <c:pt idx="170">
                  <c:v>42382.40347222222</c:v>
                </c:pt>
                <c:pt idx="171">
                  <c:v>42382.40347222222</c:v>
                </c:pt>
                <c:pt idx="172">
                  <c:v>42382.40347222222</c:v>
                </c:pt>
                <c:pt idx="173">
                  <c:v>42382.40347222222</c:v>
                </c:pt>
                <c:pt idx="174">
                  <c:v>42382.40347222222</c:v>
                </c:pt>
                <c:pt idx="175">
                  <c:v>42382.40347222222</c:v>
                </c:pt>
                <c:pt idx="176">
                  <c:v>42382.40347222222</c:v>
                </c:pt>
                <c:pt idx="177">
                  <c:v>42382.40347222222</c:v>
                </c:pt>
                <c:pt idx="178">
                  <c:v>42382.40347222222</c:v>
                </c:pt>
                <c:pt idx="179">
                  <c:v>42382.40347222222</c:v>
                </c:pt>
                <c:pt idx="180">
                  <c:v>42382.40347222222</c:v>
                </c:pt>
                <c:pt idx="181">
                  <c:v>42382.40347222222</c:v>
                </c:pt>
                <c:pt idx="182">
                  <c:v>42382.40347222222</c:v>
                </c:pt>
                <c:pt idx="183">
                  <c:v>42382.40347222222</c:v>
                </c:pt>
                <c:pt idx="184">
                  <c:v>42382.40347222222</c:v>
                </c:pt>
                <c:pt idx="185">
                  <c:v>42382.40347222222</c:v>
                </c:pt>
                <c:pt idx="186">
                  <c:v>42382.40347222222</c:v>
                </c:pt>
                <c:pt idx="187">
                  <c:v>42383.385416666664</c:v>
                </c:pt>
                <c:pt idx="188">
                  <c:v>42383.385416666664</c:v>
                </c:pt>
                <c:pt idx="189">
                  <c:v>42383.576388888891</c:v>
                </c:pt>
                <c:pt idx="190">
                  <c:v>42383.576388888891</c:v>
                </c:pt>
                <c:pt idx="191">
                  <c:v>42383.576388888891</c:v>
                </c:pt>
                <c:pt idx="192">
                  <c:v>42383.576388888891</c:v>
                </c:pt>
                <c:pt idx="193">
                  <c:v>42383.576388888891</c:v>
                </c:pt>
                <c:pt idx="194">
                  <c:v>42383.576388888891</c:v>
                </c:pt>
                <c:pt idx="195">
                  <c:v>42383.576388888891</c:v>
                </c:pt>
                <c:pt idx="196">
                  <c:v>42383.576388888891</c:v>
                </c:pt>
                <c:pt idx="197">
                  <c:v>42383.576388888891</c:v>
                </c:pt>
                <c:pt idx="198">
                  <c:v>42383.576388888891</c:v>
                </c:pt>
                <c:pt idx="199">
                  <c:v>42383.576388888891</c:v>
                </c:pt>
                <c:pt idx="200">
                  <c:v>42383.576388888891</c:v>
                </c:pt>
                <c:pt idx="201">
                  <c:v>42383.576388888891</c:v>
                </c:pt>
                <c:pt idx="202">
                  <c:v>42383.576388888891</c:v>
                </c:pt>
                <c:pt idx="203">
                  <c:v>42383.576388888891</c:v>
                </c:pt>
                <c:pt idx="204">
                  <c:v>42383.576388888891</c:v>
                </c:pt>
                <c:pt idx="205">
                  <c:v>42383.576388888891</c:v>
                </c:pt>
                <c:pt idx="206">
                  <c:v>42383.576388888891</c:v>
                </c:pt>
                <c:pt idx="207">
                  <c:v>42384.666666666664</c:v>
                </c:pt>
                <c:pt idx="208">
                  <c:v>42384.666666666664</c:v>
                </c:pt>
                <c:pt idx="209">
                  <c:v>42384.666666666664</c:v>
                </c:pt>
                <c:pt idx="210">
                  <c:v>42384.666666666664</c:v>
                </c:pt>
                <c:pt idx="211">
                  <c:v>42384.666666666664</c:v>
                </c:pt>
                <c:pt idx="212">
                  <c:v>42384.666666666664</c:v>
                </c:pt>
                <c:pt idx="213">
                  <c:v>42384.666666666664</c:v>
                </c:pt>
                <c:pt idx="214">
                  <c:v>42384.666666666664</c:v>
                </c:pt>
                <c:pt idx="215">
                  <c:v>42384.666666666664</c:v>
                </c:pt>
                <c:pt idx="216">
                  <c:v>42384.666666666664</c:v>
                </c:pt>
                <c:pt idx="217">
                  <c:v>42384.666666666664</c:v>
                </c:pt>
                <c:pt idx="218">
                  <c:v>42384.666666666664</c:v>
                </c:pt>
                <c:pt idx="219">
                  <c:v>42384.666666666664</c:v>
                </c:pt>
                <c:pt idx="220">
                  <c:v>42384.666666666664</c:v>
                </c:pt>
                <c:pt idx="221">
                  <c:v>42384.666666666664</c:v>
                </c:pt>
                <c:pt idx="222">
                  <c:v>42384.666666666664</c:v>
                </c:pt>
                <c:pt idx="223">
                  <c:v>42384.666666666664</c:v>
                </c:pt>
                <c:pt idx="224">
                  <c:v>42384.666666666664</c:v>
                </c:pt>
                <c:pt idx="225">
                  <c:v>42384.666666666664</c:v>
                </c:pt>
                <c:pt idx="226">
                  <c:v>42385.49722222222</c:v>
                </c:pt>
                <c:pt idx="227">
                  <c:v>42385.49722222222</c:v>
                </c:pt>
                <c:pt idx="228">
                  <c:v>42385.49722222222</c:v>
                </c:pt>
                <c:pt idx="229">
                  <c:v>42385.49722222222</c:v>
                </c:pt>
                <c:pt idx="230">
                  <c:v>42385.49722222222</c:v>
                </c:pt>
                <c:pt idx="231">
                  <c:v>42385.49722222222</c:v>
                </c:pt>
                <c:pt idx="232">
                  <c:v>42385.49722222222</c:v>
                </c:pt>
                <c:pt idx="233">
                  <c:v>42385.49722222222</c:v>
                </c:pt>
                <c:pt idx="234">
                  <c:v>42385.49722222222</c:v>
                </c:pt>
                <c:pt idx="235">
                  <c:v>42385.49722222222</c:v>
                </c:pt>
                <c:pt idx="236">
                  <c:v>42385.49722222222</c:v>
                </c:pt>
                <c:pt idx="237">
                  <c:v>42385.49722222222</c:v>
                </c:pt>
                <c:pt idx="238">
                  <c:v>42385.49722222222</c:v>
                </c:pt>
                <c:pt idx="239">
                  <c:v>42385.49722222222</c:v>
                </c:pt>
                <c:pt idx="240">
                  <c:v>42385.49722222222</c:v>
                </c:pt>
                <c:pt idx="241">
                  <c:v>42385.49722222222</c:v>
                </c:pt>
                <c:pt idx="242">
                  <c:v>42385.49722222222</c:v>
                </c:pt>
                <c:pt idx="243">
                  <c:v>42385.49722222222</c:v>
                </c:pt>
                <c:pt idx="244">
                  <c:v>42385.49722222222</c:v>
                </c:pt>
                <c:pt idx="245">
                  <c:v>42385.49722222222</c:v>
                </c:pt>
                <c:pt idx="246">
                  <c:v>42386.481944444444</c:v>
                </c:pt>
                <c:pt idx="247">
                  <c:v>42386.481944444444</c:v>
                </c:pt>
                <c:pt idx="248">
                  <c:v>42386.481944444444</c:v>
                </c:pt>
                <c:pt idx="249">
                  <c:v>42386.481944444444</c:v>
                </c:pt>
                <c:pt idx="250">
                  <c:v>42386.481944444444</c:v>
                </c:pt>
                <c:pt idx="251">
                  <c:v>42386.481944444444</c:v>
                </c:pt>
                <c:pt idx="252">
                  <c:v>42386.481944444444</c:v>
                </c:pt>
                <c:pt idx="253">
                  <c:v>42386.481944444444</c:v>
                </c:pt>
                <c:pt idx="254">
                  <c:v>42386.481944444444</c:v>
                </c:pt>
                <c:pt idx="255">
                  <c:v>42386.481944444444</c:v>
                </c:pt>
                <c:pt idx="256">
                  <c:v>42386.481944444444</c:v>
                </c:pt>
                <c:pt idx="257">
                  <c:v>42386.481944444444</c:v>
                </c:pt>
                <c:pt idx="258">
                  <c:v>42386.481944444444</c:v>
                </c:pt>
                <c:pt idx="259">
                  <c:v>42386.481944444444</c:v>
                </c:pt>
                <c:pt idx="260">
                  <c:v>42386.481944444444</c:v>
                </c:pt>
                <c:pt idx="261">
                  <c:v>42386.481944444444</c:v>
                </c:pt>
                <c:pt idx="262">
                  <c:v>42386.481944444444</c:v>
                </c:pt>
                <c:pt idx="263">
                  <c:v>42386.481944444444</c:v>
                </c:pt>
                <c:pt idx="264">
                  <c:v>42386.481944444444</c:v>
                </c:pt>
                <c:pt idx="265">
                  <c:v>42386.481944444444</c:v>
                </c:pt>
                <c:pt idx="266">
                  <c:v>42386.481944444444</c:v>
                </c:pt>
                <c:pt idx="267">
                  <c:v>42386.481944444444</c:v>
                </c:pt>
                <c:pt idx="268">
                  <c:v>42386.481944444444</c:v>
                </c:pt>
                <c:pt idx="269">
                  <c:v>42386.481944444444</c:v>
                </c:pt>
                <c:pt idx="270">
                  <c:v>42386.481944444444</c:v>
                </c:pt>
                <c:pt idx="271">
                  <c:v>42386.481944444444</c:v>
                </c:pt>
                <c:pt idx="272">
                  <c:v>42387.61041666667</c:v>
                </c:pt>
                <c:pt idx="273">
                  <c:v>42387.61041666667</c:v>
                </c:pt>
                <c:pt idx="274">
                  <c:v>42387.61041666667</c:v>
                </c:pt>
                <c:pt idx="275">
                  <c:v>42387.61041666667</c:v>
                </c:pt>
                <c:pt idx="276">
                  <c:v>42387.61041666667</c:v>
                </c:pt>
                <c:pt idx="277">
                  <c:v>42387.61041666667</c:v>
                </c:pt>
                <c:pt idx="278">
                  <c:v>42387.61041666667</c:v>
                </c:pt>
                <c:pt idx="279">
                  <c:v>42387.61041666667</c:v>
                </c:pt>
                <c:pt idx="280">
                  <c:v>42387.61041666667</c:v>
                </c:pt>
                <c:pt idx="281">
                  <c:v>42387.61041666667</c:v>
                </c:pt>
                <c:pt idx="282">
                  <c:v>42387.61041666667</c:v>
                </c:pt>
                <c:pt idx="283">
                  <c:v>42387.61041666667</c:v>
                </c:pt>
                <c:pt idx="284">
                  <c:v>42387.61041666667</c:v>
                </c:pt>
                <c:pt idx="285">
                  <c:v>42387.61041666667</c:v>
                </c:pt>
                <c:pt idx="286">
                  <c:v>42387.61041666667</c:v>
                </c:pt>
                <c:pt idx="287">
                  <c:v>42387.61041666667</c:v>
                </c:pt>
                <c:pt idx="288">
                  <c:v>42387.61041666667</c:v>
                </c:pt>
                <c:pt idx="289">
                  <c:v>42388.399305555555</c:v>
                </c:pt>
                <c:pt idx="290">
                  <c:v>42388.399305555555</c:v>
                </c:pt>
                <c:pt idx="291">
                  <c:v>42388.399305555555</c:v>
                </c:pt>
                <c:pt idx="292">
                  <c:v>42388.399305555555</c:v>
                </c:pt>
                <c:pt idx="293">
                  <c:v>42388.399305555555</c:v>
                </c:pt>
                <c:pt idx="294">
                  <c:v>42388.399305555555</c:v>
                </c:pt>
                <c:pt idx="295">
                  <c:v>42388.399305555555</c:v>
                </c:pt>
                <c:pt idx="296">
                  <c:v>42388.399305555555</c:v>
                </c:pt>
                <c:pt idx="297">
                  <c:v>42388.399305555555</c:v>
                </c:pt>
                <c:pt idx="298">
                  <c:v>42388.399305555555</c:v>
                </c:pt>
                <c:pt idx="299">
                  <c:v>42388.399305555555</c:v>
                </c:pt>
                <c:pt idx="300">
                  <c:v>42388.399305555555</c:v>
                </c:pt>
                <c:pt idx="301">
                  <c:v>42388.399305555555</c:v>
                </c:pt>
                <c:pt idx="302">
                  <c:v>42388.399305555555</c:v>
                </c:pt>
                <c:pt idx="303">
                  <c:v>42388.399305555555</c:v>
                </c:pt>
                <c:pt idx="304">
                  <c:v>42389.643055555556</c:v>
                </c:pt>
                <c:pt idx="305">
                  <c:v>42389.643055555556</c:v>
                </c:pt>
                <c:pt idx="306">
                  <c:v>42389.643055555556</c:v>
                </c:pt>
                <c:pt idx="307">
                  <c:v>42389.643055555556</c:v>
                </c:pt>
                <c:pt idx="308">
                  <c:v>42389.643055555556</c:v>
                </c:pt>
                <c:pt idx="309">
                  <c:v>42389.643055555556</c:v>
                </c:pt>
                <c:pt idx="310">
                  <c:v>42389.643055555556</c:v>
                </c:pt>
                <c:pt idx="311">
                  <c:v>42389.643055555556</c:v>
                </c:pt>
                <c:pt idx="312">
                  <c:v>42389.643055555556</c:v>
                </c:pt>
                <c:pt idx="313">
                  <c:v>42389.643055555556</c:v>
                </c:pt>
                <c:pt idx="314">
                  <c:v>42389.643055555556</c:v>
                </c:pt>
                <c:pt idx="315">
                  <c:v>42389.643055555556</c:v>
                </c:pt>
                <c:pt idx="316">
                  <c:v>42389.643055555556</c:v>
                </c:pt>
                <c:pt idx="317">
                  <c:v>42389.643055555556</c:v>
                </c:pt>
                <c:pt idx="318">
                  <c:v>42389.643055555556</c:v>
                </c:pt>
                <c:pt idx="319">
                  <c:v>42389.643055555556</c:v>
                </c:pt>
                <c:pt idx="320">
                  <c:v>42389.643055555556</c:v>
                </c:pt>
                <c:pt idx="321">
                  <c:v>42390.375</c:v>
                </c:pt>
                <c:pt idx="322">
                  <c:v>42390.375</c:v>
                </c:pt>
                <c:pt idx="323">
                  <c:v>42390.375</c:v>
                </c:pt>
                <c:pt idx="324">
                  <c:v>42391.354166666664</c:v>
                </c:pt>
                <c:pt idx="325">
                  <c:v>42391.677777777775</c:v>
                </c:pt>
                <c:pt idx="326">
                  <c:v>42391.677777777775</c:v>
                </c:pt>
                <c:pt idx="327">
                  <c:v>42391.677777777775</c:v>
                </c:pt>
                <c:pt idx="328">
                  <c:v>42391.677777777775</c:v>
                </c:pt>
                <c:pt idx="329">
                  <c:v>42391.677777777775</c:v>
                </c:pt>
                <c:pt idx="330">
                  <c:v>42391.677777777775</c:v>
                </c:pt>
                <c:pt idx="331">
                  <c:v>42391.677777777775</c:v>
                </c:pt>
                <c:pt idx="332">
                  <c:v>42391.677777777775</c:v>
                </c:pt>
                <c:pt idx="333">
                  <c:v>42391.677777777775</c:v>
                </c:pt>
                <c:pt idx="334">
                  <c:v>42391.677777777775</c:v>
                </c:pt>
                <c:pt idx="335">
                  <c:v>42391.677777777775</c:v>
                </c:pt>
                <c:pt idx="336">
                  <c:v>42391.677777777775</c:v>
                </c:pt>
                <c:pt idx="337">
                  <c:v>42391.677777777775</c:v>
                </c:pt>
                <c:pt idx="338">
                  <c:v>42391.677777777775</c:v>
                </c:pt>
                <c:pt idx="339">
                  <c:v>42391.677777777775</c:v>
                </c:pt>
                <c:pt idx="340">
                  <c:v>42391.677777777775</c:v>
                </c:pt>
                <c:pt idx="341">
                  <c:v>42391.677777777775</c:v>
                </c:pt>
                <c:pt idx="342">
                  <c:v>42391.677777777775</c:v>
                </c:pt>
                <c:pt idx="343">
                  <c:v>42391.677777777775</c:v>
                </c:pt>
                <c:pt idx="344">
                  <c:v>42391.677777777775</c:v>
                </c:pt>
                <c:pt idx="345">
                  <c:v>42392.505555555559</c:v>
                </c:pt>
                <c:pt idx="346">
                  <c:v>42392.505555555559</c:v>
                </c:pt>
                <c:pt idx="347">
                  <c:v>42392.505555555559</c:v>
                </c:pt>
                <c:pt idx="348">
                  <c:v>42392.505555555559</c:v>
                </c:pt>
                <c:pt idx="349">
                  <c:v>42392.505555555559</c:v>
                </c:pt>
                <c:pt idx="350">
                  <c:v>42392.505555555559</c:v>
                </c:pt>
                <c:pt idx="351">
                  <c:v>42392.505555555559</c:v>
                </c:pt>
                <c:pt idx="352">
                  <c:v>42392.505555555559</c:v>
                </c:pt>
                <c:pt idx="353">
                  <c:v>42392.505555555559</c:v>
                </c:pt>
                <c:pt idx="354">
                  <c:v>42392.505555555559</c:v>
                </c:pt>
                <c:pt idx="355">
                  <c:v>42392.505555555559</c:v>
                </c:pt>
                <c:pt idx="356">
                  <c:v>42392.505555555559</c:v>
                </c:pt>
                <c:pt idx="357">
                  <c:v>42392.505555555559</c:v>
                </c:pt>
                <c:pt idx="358">
                  <c:v>42392.505555555559</c:v>
                </c:pt>
                <c:pt idx="359">
                  <c:v>42392.505555555559</c:v>
                </c:pt>
                <c:pt idx="360">
                  <c:v>42392.505555555559</c:v>
                </c:pt>
                <c:pt idx="361">
                  <c:v>42392.505555555559</c:v>
                </c:pt>
                <c:pt idx="362">
                  <c:v>42392.505555555559</c:v>
                </c:pt>
                <c:pt idx="363">
                  <c:v>42392.505555555559</c:v>
                </c:pt>
                <c:pt idx="364">
                  <c:v>42392.505555555559</c:v>
                </c:pt>
                <c:pt idx="365">
                  <c:v>42393.583333333336</c:v>
                </c:pt>
                <c:pt idx="366">
                  <c:v>42393.583333333336</c:v>
                </c:pt>
                <c:pt idx="367">
                  <c:v>42393.583333333336</c:v>
                </c:pt>
                <c:pt idx="368">
                  <c:v>42393.583333333336</c:v>
                </c:pt>
                <c:pt idx="369">
                  <c:v>42393.583333333336</c:v>
                </c:pt>
                <c:pt idx="370">
                  <c:v>42393.583333333336</c:v>
                </c:pt>
                <c:pt idx="371">
                  <c:v>42393.583333333336</c:v>
                </c:pt>
                <c:pt idx="372">
                  <c:v>42393.583333333336</c:v>
                </c:pt>
                <c:pt idx="373">
                  <c:v>42393.583333333336</c:v>
                </c:pt>
                <c:pt idx="374">
                  <c:v>42393.583333333336</c:v>
                </c:pt>
                <c:pt idx="375">
                  <c:v>42393.583333333336</c:v>
                </c:pt>
                <c:pt idx="376">
                  <c:v>42393.583333333336</c:v>
                </c:pt>
                <c:pt idx="377">
                  <c:v>42393.583333333336</c:v>
                </c:pt>
                <c:pt idx="378">
                  <c:v>42393.583333333336</c:v>
                </c:pt>
                <c:pt idx="379">
                  <c:v>42393.583333333336</c:v>
                </c:pt>
                <c:pt idx="380">
                  <c:v>42393.583333333336</c:v>
                </c:pt>
                <c:pt idx="381">
                  <c:v>42393.583333333336</c:v>
                </c:pt>
                <c:pt idx="382">
                  <c:v>42393.583333333336</c:v>
                </c:pt>
                <c:pt idx="383">
                  <c:v>42393.583333333336</c:v>
                </c:pt>
                <c:pt idx="384">
                  <c:v>42393.583333333336</c:v>
                </c:pt>
                <c:pt idx="385">
                  <c:v>42394.402777777781</c:v>
                </c:pt>
                <c:pt idx="386">
                  <c:v>42394.704861111109</c:v>
                </c:pt>
                <c:pt idx="387">
                  <c:v>42394.704861111109</c:v>
                </c:pt>
                <c:pt idx="388">
                  <c:v>42394.704861111109</c:v>
                </c:pt>
                <c:pt idx="389">
                  <c:v>42394.704861111109</c:v>
                </c:pt>
                <c:pt idx="390">
                  <c:v>42394.704861111109</c:v>
                </c:pt>
                <c:pt idx="391">
                  <c:v>42394.704861111109</c:v>
                </c:pt>
                <c:pt idx="392">
                  <c:v>42394.704861111109</c:v>
                </c:pt>
                <c:pt idx="393">
                  <c:v>42394.704861111109</c:v>
                </c:pt>
                <c:pt idx="394">
                  <c:v>42394.704861111109</c:v>
                </c:pt>
                <c:pt idx="395">
                  <c:v>42394.704861111109</c:v>
                </c:pt>
                <c:pt idx="396">
                  <c:v>42394.704861111109</c:v>
                </c:pt>
                <c:pt idx="397">
                  <c:v>42394.704861111109</c:v>
                </c:pt>
                <c:pt idx="398">
                  <c:v>42394.704861111109</c:v>
                </c:pt>
                <c:pt idx="399">
                  <c:v>42394.704861111109</c:v>
                </c:pt>
                <c:pt idx="400">
                  <c:v>42394.704861111109</c:v>
                </c:pt>
                <c:pt idx="401">
                  <c:v>42394.704861111109</c:v>
                </c:pt>
                <c:pt idx="402">
                  <c:v>42395.454861111109</c:v>
                </c:pt>
                <c:pt idx="403">
                  <c:v>42395.454861111109</c:v>
                </c:pt>
                <c:pt idx="404">
                  <c:v>42395.719444444447</c:v>
                </c:pt>
                <c:pt idx="405">
                  <c:v>42395.719444444447</c:v>
                </c:pt>
                <c:pt idx="406">
                  <c:v>42395.719444444447</c:v>
                </c:pt>
                <c:pt idx="407">
                  <c:v>42395.719444444447</c:v>
                </c:pt>
                <c:pt idx="408">
                  <c:v>42396.395833333336</c:v>
                </c:pt>
                <c:pt idx="409">
                  <c:v>42396.395833333336</c:v>
                </c:pt>
                <c:pt idx="410">
                  <c:v>42396.395833333336</c:v>
                </c:pt>
                <c:pt idx="411">
                  <c:v>42396.659722222219</c:v>
                </c:pt>
                <c:pt idx="412">
                  <c:v>42396.659722222219</c:v>
                </c:pt>
                <c:pt idx="413">
                  <c:v>42396.659722222219</c:v>
                </c:pt>
                <c:pt idx="414">
                  <c:v>42396.659722222219</c:v>
                </c:pt>
                <c:pt idx="415">
                  <c:v>42396.659722222219</c:v>
                </c:pt>
                <c:pt idx="416">
                  <c:v>42396.659722222219</c:v>
                </c:pt>
                <c:pt idx="417">
                  <c:v>42396.659722222219</c:v>
                </c:pt>
                <c:pt idx="418">
                  <c:v>42396.659722222219</c:v>
                </c:pt>
                <c:pt idx="419">
                  <c:v>42396.659722222219</c:v>
                </c:pt>
                <c:pt idx="420">
                  <c:v>42396.659722222219</c:v>
                </c:pt>
                <c:pt idx="421">
                  <c:v>42396.659722222219</c:v>
                </c:pt>
                <c:pt idx="422">
                  <c:v>42396.659722222219</c:v>
                </c:pt>
                <c:pt idx="423">
                  <c:v>42396.659722222219</c:v>
                </c:pt>
                <c:pt idx="424">
                  <c:v>42396.659722222219</c:v>
                </c:pt>
                <c:pt idx="425">
                  <c:v>42396.659722222219</c:v>
                </c:pt>
                <c:pt idx="426">
                  <c:v>42396.659722222219</c:v>
                </c:pt>
                <c:pt idx="427">
                  <c:v>42397.361111111109</c:v>
                </c:pt>
                <c:pt idx="428">
                  <c:v>42397.361111111109</c:v>
                </c:pt>
                <c:pt idx="429">
                  <c:v>42397.361111111109</c:v>
                </c:pt>
                <c:pt idx="430">
                  <c:v>42397.361111111109</c:v>
                </c:pt>
                <c:pt idx="431">
                  <c:v>42398.718055555553</c:v>
                </c:pt>
                <c:pt idx="432">
                  <c:v>42398.718055555553</c:v>
                </c:pt>
                <c:pt idx="433">
                  <c:v>42398.718055555553</c:v>
                </c:pt>
                <c:pt idx="434">
                  <c:v>42398.718055555553</c:v>
                </c:pt>
                <c:pt idx="435">
                  <c:v>42398.718055555553</c:v>
                </c:pt>
                <c:pt idx="436">
                  <c:v>42398.718055555553</c:v>
                </c:pt>
                <c:pt idx="437">
                  <c:v>42399.826388888891</c:v>
                </c:pt>
                <c:pt idx="438">
                  <c:v>42399.826388888891</c:v>
                </c:pt>
                <c:pt idx="439">
                  <c:v>42399.826388888891</c:v>
                </c:pt>
                <c:pt idx="440">
                  <c:v>42399.826388888891</c:v>
                </c:pt>
                <c:pt idx="441">
                  <c:v>42399.826388888891</c:v>
                </c:pt>
                <c:pt idx="442">
                  <c:v>42399.826388888891</c:v>
                </c:pt>
                <c:pt idx="443">
                  <c:v>42399.826388888891</c:v>
                </c:pt>
                <c:pt idx="444">
                  <c:v>42399.826388888891</c:v>
                </c:pt>
                <c:pt idx="445">
                  <c:v>42399.826388888891</c:v>
                </c:pt>
                <c:pt idx="446">
                  <c:v>42399.826388888891</c:v>
                </c:pt>
                <c:pt idx="447">
                  <c:v>42399.826388888891</c:v>
                </c:pt>
                <c:pt idx="448">
                  <c:v>42399.826388888891</c:v>
                </c:pt>
                <c:pt idx="449">
                  <c:v>42399.826388888891</c:v>
                </c:pt>
                <c:pt idx="450">
                  <c:v>42399.826388888891</c:v>
                </c:pt>
                <c:pt idx="451">
                  <c:v>42399.826388888891</c:v>
                </c:pt>
                <c:pt idx="452">
                  <c:v>42399.826388888891</c:v>
                </c:pt>
                <c:pt idx="453">
                  <c:v>42399.826388888891</c:v>
                </c:pt>
                <c:pt idx="454">
                  <c:v>42399.826388888891</c:v>
                </c:pt>
                <c:pt idx="455">
                  <c:v>42399.826388888891</c:v>
                </c:pt>
                <c:pt idx="456">
                  <c:v>42399.826388888891</c:v>
                </c:pt>
                <c:pt idx="457">
                  <c:v>42399.826388888891</c:v>
                </c:pt>
                <c:pt idx="458">
                  <c:v>42399.826388888891</c:v>
                </c:pt>
                <c:pt idx="459">
                  <c:v>42399.826388888891</c:v>
                </c:pt>
                <c:pt idx="460">
                  <c:v>42399.826388888891</c:v>
                </c:pt>
                <c:pt idx="461">
                  <c:v>42399.826388888891</c:v>
                </c:pt>
                <c:pt idx="462">
                  <c:v>42399.826388888891</c:v>
                </c:pt>
                <c:pt idx="463">
                  <c:v>42399.826388888891</c:v>
                </c:pt>
                <c:pt idx="464">
                  <c:v>42399.826388888891</c:v>
                </c:pt>
                <c:pt idx="465">
                  <c:v>42399.826388888891</c:v>
                </c:pt>
                <c:pt idx="466">
                  <c:v>42399.826388888891</c:v>
                </c:pt>
                <c:pt idx="467">
                  <c:v>42399.826388888891</c:v>
                </c:pt>
                <c:pt idx="468">
                  <c:v>42399.826388888891</c:v>
                </c:pt>
                <c:pt idx="469">
                  <c:v>42399.826388888891</c:v>
                </c:pt>
                <c:pt idx="470">
                  <c:v>42399.826388888891</c:v>
                </c:pt>
                <c:pt idx="471">
                  <c:v>42399.826388888891</c:v>
                </c:pt>
                <c:pt idx="472">
                  <c:v>42400.466666666667</c:v>
                </c:pt>
                <c:pt idx="473">
                  <c:v>42400.466666666667</c:v>
                </c:pt>
                <c:pt idx="474">
                  <c:v>42400.499305555553</c:v>
                </c:pt>
                <c:pt idx="475">
                  <c:v>42400.499305555553</c:v>
                </c:pt>
                <c:pt idx="476">
                  <c:v>42400.499305555553</c:v>
                </c:pt>
                <c:pt idx="477">
                  <c:v>42400.499305555553</c:v>
                </c:pt>
                <c:pt idx="478">
                  <c:v>42400.499305555553</c:v>
                </c:pt>
                <c:pt idx="479">
                  <c:v>42400.499305555553</c:v>
                </c:pt>
                <c:pt idx="480">
                  <c:v>42400.499305555553</c:v>
                </c:pt>
                <c:pt idx="481">
                  <c:v>42400.499305555553</c:v>
                </c:pt>
                <c:pt idx="482">
                  <c:v>42400.499305555553</c:v>
                </c:pt>
                <c:pt idx="483">
                  <c:v>42400.499305555553</c:v>
                </c:pt>
                <c:pt idx="484">
                  <c:v>42400.499305555553</c:v>
                </c:pt>
                <c:pt idx="485">
                  <c:v>42400.499305555553</c:v>
                </c:pt>
                <c:pt idx="486">
                  <c:v>42400.499305555553</c:v>
                </c:pt>
                <c:pt idx="487">
                  <c:v>42400.499305555553</c:v>
                </c:pt>
                <c:pt idx="488">
                  <c:v>42400.499305555553</c:v>
                </c:pt>
                <c:pt idx="489">
                  <c:v>42400.499305555553</c:v>
                </c:pt>
                <c:pt idx="490">
                  <c:v>42400.499305555553</c:v>
                </c:pt>
                <c:pt idx="491">
                  <c:v>42400.499305555553</c:v>
                </c:pt>
                <c:pt idx="492">
                  <c:v>42400.499305555553</c:v>
                </c:pt>
                <c:pt idx="493">
                  <c:v>42400.499305555553</c:v>
                </c:pt>
                <c:pt idx="494">
                  <c:v>42400.499305555553</c:v>
                </c:pt>
              </c:numCache>
            </c:numRef>
          </c:xVal>
          <c:yVal>
            <c:numRef>
              <c:f>'Run56'!$AD$3:$AD$623</c:f>
              <c:numCache>
                <c:formatCode>0.00E+00</c:formatCode>
                <c:ptCount val="621"/>
                <c:pt idx="0">
                  <c:v>1.2096500000000001E-10</c:v>
                </c:pt>
                <c:pt idx="1">
                  <c:v>7.9516899999999995E-11</c:v>
                </c:pt>
                <c:pt idx="2">
                  <c:v>5.9641199999999995E-11</c:v>
                </c:pt>
                <c:pt idx="3">
                  <c:v>6.5251900000000006E-11</c:v>
                </c:pt>
                <c:pt idx="4">
                  <c:v>4.8681100000000002E-11</c:v>
                </c:pt>
                <c:pt idx="5">
                  <c:v>7.4731400000000004E-11</c:v>
                </c:pt>
                <c:pt idx="6">
                  <c:v>5.1577099999999998E-11</c:v>
                </c:pt>
                <c:pt idx="7">
                  <c:v>4.5873500000000003E-11</c:v>
                </c:pt>
                <c:pt idx="8">
                  <c:v>4.3908400000000001E-11</c:v>
                </c:pt>
                <c:pt idx="9">
                  <c:v>5.3698899999999998E-11</c:v>
                </c:pt>
                <c:pt idx="10">
                  <c:v>5.1716599999999999E-11</c:v>
                </c:pt>
                <c:pt idx="11">
                  <c:v>5.9370700000000001E-11</c:v>
                </c:pt>
                <c:pt idx="12">
                  <c:v>4.4327300000000002E-11</c:v>
                </c:pt>
                <c:pt idx="13">
                  <c:v>4.7155600000000002E-11</c:v>
                </c:pt>
                <c:pt idx="14">
                  <c:v>3.6562700000000002E-11</c:v>
                </c:pt>
                <c:pt idx="15">
                  <c:v>4.1915199999999997E-11</c:v>
                </c:pt>
                <c:pt idx="16">
                  <c:v>4.4716299999999998E-11</c:v>
                </c:pt>
                <c:pt idx="17">
                  <c:v>8.8123099999999995E-11</c:v>
                </c:pt>
                <c:pt idx="18">
                  <c:v>7.5919999999999995E-11</c:v>
                </c:pt>
                <c:pt idx="19">
                  <c:v>7.7653799999999995E-11</c:v>
                </c:pt>
                <c:pt idx="20">
                  <c:v>5.4122799999999997E-11</c:v>
                </c:pt>
                <c:pt idx="21">
                  <c:v>2.08243E-10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>
                  <c:v>5.1391900000000001E-10</c:v>
                </c:pt>
                <c:pt idx="29" formatCode="General">
                  <c:v>0</c:v>
                </c:pt>
                <c:pt idx="30">
                  <c:v>8.6123100000000004E-10</c:v>
                </c:pt>
                <c:pt idx="31">
                  <c:v>4.7294200000000004E-10</c:v>
                </c:pt>
                <c:pt idx="32">
                  <c:v>2.5929400000000003E-10</c:v>
                </c:pt>
                <c:pt idx="33">
                  <c:v>1.46459E-10</c:v>
                </c:pt>
                <c:pt idx="34">
                  <c:v>1.16848E-10</c:v>
                </c:pt>
                <c:pt idx="35">
                  <c:v>9.9410300000000001E-11</c:v>
                </c:pt>
                <c:pt idx="36">
                  <c:v>1.3369000000000001E-10</c:v>
                </c:pt>
                <c:pt idx="37">
                  <c:v>1.00757E-10</c:v>
                </c:pt>
                <c:pt idx="38">
                  <c:v>1.3945599999999999E-10</c:v>
                </c:pt>
                <c:pt idx="39">
                  <c:v>7.8927600000000003E-11</c:v>
                </c:pt>
                <c:pt idx="40">
                  <c:v>4.89134E-11</c:v>
                </c:pt>
                <c:pt idx="41" formatCode="General">
                  <c:v>0</c:v>
                </c:pt>
                <c:pt idx="42" formatCode="General">
                  <c:v>0</c:v>
                </c:pt>
                <c:pt idx="43">
                  <c:v>7.1623899999999999E-10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  <c:pt idx="52">
                  <c:v>1.0083400000000001E-9</c:v>
                </c:pt>
                <c:pt idx="53">
                  <c:v>4.3963000000000001E-10</c:v>
                </c:pt>
                <c:pt idx="54">
                  <c:v>3.9288399999999997E-10</c:v>
                </c:pt>
                <c:pt idx="55">
                  <c:v>1.7519299999999999E-10</c:v>
                </c:pt>
                <c:pt idx="56">
                  <c:v>9.0167700000000001E-11</c:v>
                </c:pt>
                <c:pt idx="57">
                  <c:v>6.3938100000000003E-11</c:v>
                </c:pt>
                <c:pt idx="58">
                  <c:v>9.1311700000000005E-11</c:v>
                </c:pt>
                <c:pt idx="59">
                  <c:v>1.06124E-10</c:v>
                </c:pt>
                <c:pt idx="60">
                  <c:v>1.02339E-10</c:v>
                </c:pt>
                <c:pt idx="61">
                  <c:v>1.0514399999999999E-10</c:v>
                </c:pt>
                <c:pt idx="62">
                  <c:v>1.8203300000000001E-11</c:v>
                </c:pt>
                <c:pt idx="63" formatCode="General">
                  <c:v>0</c:v>
                </c:pt>
                <c:pt idx="64">
                  <c:v>5.0048699999999997E-10</c:v>
                </c:pt>
                <c:pt idx="65">
                  <c:v>3.6009900000000001E-11</c:v>
                </c:pt>
                <c:pt idx="66">
                  <c:v>3.8721299999999997E-11</c:v>
                </c:pt>
                <c:pt idx="67">
                  <c:v>4.0689599999999999E-11</c:v>
                </c:pt>
                <c:pt idx="68">
                  <c:v>3.3533099999999999E-11</c:v>
                </c:pt>
                <c:pt idx="69">
                  <c:v>4.4959899999999999E-11</c:v>
                </c:pt>
                <c:pt idx="70">
                  <c:v>4.4618299999999998E-11</c:v>
                </c:pt>
                <c:pt idx="71">
                  <c:v>5.8143099999999998E-11</c:v>
                </c:pt>
                <c:pt idx="72">
                  <c:v>4.4099299999999998E-11</c:v>
                </c:pt>
                <c:pt idx="73">
                  <c:v>5.2350399999999997E-11</c:v>
                </c:pt>
                <c:pt idx="74">
                  <c:v>4.99217E-11</c:v>
                </c:pt>
                <c:pt idx="75">
                  <c:v>5.10189E-11</c:v>
                </c:pt>
                <c:pt idx="76">
                  <c:v>4.6385400000000001E-11</c:v>
                </c:pt>
                <c:pt idx="77">
                  <c:v>9.5147700000000006E-11</c:v>
                </c:pt>
                <c:pt idx="78">
                  <c:v>2.1238800000000001E-10</c:v>
                </c:pt>
                <c:pt idx="79" formatCode="General">
                  <c:v>0</c:v>
                </c:pt>
                <c:pt idx="80">
                  <c:v>9.2416900000000002E-10</c:v>
                </c:pt>
                <c:pt idx="81">
                  <c:v>6.2508700000000004E-10</c:v>
                </c:pt>
                <c:pt idx="82">
                  <c:v>4.1974499999999998E-10</c:v>
                </c:pt>
                <c:pt idx="83">
                  <c:v>2.2783199999999999E-10</c:v>
                </c:pt>
                <c:pt idx="84">
                  <c:v>4.15146E-11</c:v>
                </c:pt>
                <c:pt idx="85">
                  <c:v>8.2562900000000004E-11</c:v>
                </c:pt>
                <c:pt idx="86">
                  <c:v>4.3025000000000001E-11</c:v>
                </c:pt>
                <c:pt idx="87">
                  <c:v>4.8170499999999998E-11</c:v>
                </c:pt>
                <c:pt idx="88">
                  <c:v>3.92962E-11</c:v>
                </c:pt>
                <c:pt idx="89">
                  <c:v>7.8883699999999994E-11</c:v>
                </c:pt>
                <c:pt idx="90">
                  <c:v>5.3001800000000003E-11</c:v>
                </c:pt>
                <c:pt idx="91">
                  <c:v>4.4972500000000003E-11</c:v>
                </c:pt>
                <c:pt idx="92">
                  <c:v>4.8342100000000002E-11</c:v>
                </c:pt>
                <c:pt idx="93">
                  <c:v>6.3402599999999997E-11</c:v>
                </c:pt>
                <c:pt idx="94">
                  <c:v>4.2730200000000003E-11</c:v>
                </c:pt>
                <c:pt idx="95">
                  <c:v>4.67425E-11</c:v>
                </c:pt>
                <c:pt idx="96">
                  <c:v>5.4889699999999999E-11</c:v>
                </c:pt>
                <c:pt idx="97">
                  <c:v>5.1964200000000002E-11</c:v>
                </c:pt>
                <c:pt idx="98" formatCode="General">
                  <c:v>0</c:v>
                </c:pt>
                <c:pt idx="99">
                  <c:v>1.01894E-11</c:v>
                </c:pt>
                <c:pt idx="100">
                  <c:v>1.08661E-11</c:v>
                </c:pt>
                <c:pt idx="101">
                  <c:v>9.8354300000000002E-11</c:v>
                </c:pt>
                <c:pt idx="102">
                  <c:v>4.3281199999999999E-10</c:v>
                </c:pt>
                <c:pt idx="103">
                  <c:v>7.4331400000000002E-10</c:v>
                </c:pt>
                <c:pt idx="104">
                  <c:v>1.0723100000000001E-11</c:v>
                </c:pt>
                <c:pt idx="105">
                  <c:v>7.8165600000000004E-10</c:v>
                </c:pt>
                <c:pt idx="106">
                  <c:v>5.88921E-11</c:v>
                </c:pt>
                <c:pt idx="107">
                  <c:v>3.9174399999999999E-11</c:v>
                </c:pt>
                <c:pt idx="108">
                  <c:v>6.0932499999999999E-11</c:v>
                </c:pt>
                <c:pt idx="109">
                  <c:v>3.9721899999999998E-11</c:v>
                </c:pt>
                <c:pt idx="110">
                  <c:v>4.0525400000000002E-11</c:v>
                </c:pt>
                <c:pt idx="111">
                  <c:v>4.2423799999999997E-11</c:v>
                </c:pt>
                <c:pt idx="112">
                  <c:v>3.5642300000000002E-11</c:v>
                </c:pt>
                <c:pt idx="113">
                  <c:v>5.0297500000000001E-11</c:v>
                </c:pt>
                <c:pt idx="114">
                  <c:v>5.76997E-11</c:v>
                </c:pt>
                <c:pt idx="115">
                  <c:v>5.2630600000000001E-11</c:v>
                </c:pt>
                <c:pt idx="116">
                  <c:v>4.9930200000000001E-11</c:v>
                </c:pt>
                <c:pt idx="117">
                  <c:v>4.3456699999999999E-11</c:v>
                </c:pt>
                <c:pt idx="118">
                  <c:v>3.8518100000000002E-11</c:v>
                </c:pt>
                <c:pt idx="119">
                  <c:v>4.98057E-11</c:v>
                </c:pt>
                <c:pt idx="120">
                  <c:v>3.8599299999999998E-11</c:v>
                </c:pt>
                <c:pt idx="121">
                  <c:v>7.1633200000000001E-11</c:v>
                </c:pt>
                <c:pt idx="122">
                  <c:v>1.1780100000000001E-10</c:v>
                </c:pt>
                <c:pt idx="123">
                  <c:v>5.9902100000000005E-11</c:v>
                </c:pt>
                <c:pt idx="124">
                  <c:v>1.07475E-10</c:v>
                </c:pt>
                <c:pt idx="125">
                  <c:v>5.6607600000000003E-11</c:v>
                </c:pt>
                <c:pt idx="126">
                  <c:v>7.5974099999999999E-11</c:v>
                </c:pt>
                <c:pt idx="127">
                  <c:v>7.1305499999999997E-11</c:v>
                </c:pt>
                <c:pt idx="128">
                  <c:v>8.9572999999999994E-11</c:v>
                </c:pt>
                <c:pt idx="129">
                  <c:v>6.5422899999999999E-11</c:v>
                </c:pt>
                <c:pt idx="130">
                  <c:v>7.7687000000000005E-11</c:v>
                </c:pt>
                <c:pt idx="131">
                  <c:v>6.4321500000000004E-11</c:v>
                </c:pt>
                <c:pt idx="132">
                  <c:v>6.0621500000000006E-11</c:v>
                </c:pt>
                <c:pt idx="133">
                  <c:v>6.9274800000000002E-11</c:v>
                </c:pt>
                <c:pt idx="134">
                  <c:v>5.0574100000000001E-11</c:v>
                </c:pt>
                <c:pt idx="135">
                  <c:v>8.9972499999999996E-11</c:v>
                </c:pt>
                <c:pt idx="136">
                  <c:v>6.9438999999999999E-11</c:v>
                </c:pt>
                <c:pt idx="137">
                  <c:v>6.4528200000000004E-11</c:v>
                </c:pt>
                <c:pt idx="138">
                  <c:v>6.2247499999999996E-11</c:v>
                </c:pt>
                <c:pt idx="139">
                  <c:v>8.0172599999999995E-11</c:v>
                </c:pt>
                <c:pt idx="140">
                  <c:v>5.1287299999999997E-11</c:v>
                </c:pt>
                <c:pt idx="141">
                  <c:v>3.5192599999999998E-11</c:v>
                </c:pt>
                <c:pt idx="142">
                  <c:v>4.3245599999999999E-11</c:v>
                </c:pt>
                <c:pt idx="143">
                  <c:v>4.5627000000000002E-11</c:v>
                </c:pt>
                <c:pt idx="144">
                  <c:v>7.9043200000000005E-11</c:v>
                </c:pt>
                <c:pt idx="145">
                  <c:v>3.9767599999999998E-10</c:v>
                </c:pt>
                <c:pt idx="146" formatCode="General">
                  <c:v>0</c:v>
                </c:pt>
                <c:pt idx="147">
                  <c:v>8.7561299999999996E-10</c:v>
                </c:pt>
                <c:pt idx="148">
                  <c:v>9.4966299999999993E-10</c:v>
                </c:pt>
                <c:pt idx="149">
                  <c:v>8.4273299999999997E-10</c:v>
                </c:pt>
                <c:pt idx="150">
                  <c:v>9.8574899999999992E-10</c:v>
                </c:pt>
                <c:pt idx="151">
                  <c:v>7.33982E-10</c:v>
                </c:pt>
                <c:pt idx="152">
                  <c:v>6.8773099999999997E-10</c:v>
                </c:pt>
                <c:pt idx="153">
                  <c:v>8.1019700000000003E-10</c:v>
                </c:pt>
                <c:pt idx="154">
                  <c:v>3.2127199999999998E-10</c:v>
                </c:pt>
                <c:pt idx="155">
                  <c:v>2.66005E-10</c:v>
                </c:pt>
                <c:pt idx="156">
                  <c:v>3.7125400000000002E-10</c:v>
                </c:pt>
                <c:pt idx="157">
                  <c:v>1.9430500000000001E-10</c:v>
                </c:pt>
                <c:pt idx="158">
                  <c:v>2.2243100000000001E-10</c:v>
                </c:pt>
                <c:pt idx="159">
                  <c:v>6.9247699999999997E-11</c:v>
                </c:pt>
                <c:pt idx="160">
                  <c:v>4.1842900000000001E-11</c:v>
                </c:pt>
                <c:pt idx="161">
                  <c:v>4.8739000000000002E-11</c:v>
                </c:pt>
                <c:pt idx="162">
                  <c:v>6.2738600000000001E-11</c:v>
                </c:pt>
                <c:pt idx="163">
                  <c:v>1.15195E-10</c:v>
                </c:pt>
                <c:pt idx="164">
                  <c:v>6.0941699999999997E-11</c:v>
                </c:pt>
                <c:pt idx="165">
                  <c:v>6.13991E-11</c:v>
                </c:pt>
                <c:pt idx="166">
                  <c:v>7.6233899999999994E-11</c:v>
                </c:pt>
                <c:pt idx="167">
                  <c:v>4.96169E-11</c:v>
                </c:pt>
                <c:pt idx="168">
                  <c:v>6.62019E-11</c:v>
                </c:pt>
                <c:pt idx="169">
                  <c:v>5.4268499999999997E-11</c:v>
                </c:pt>
                <c:pt idx="170">
                  <c:v>7.7007900000000003E-11</c:v>
                </c:pt>
                <c:pt idx="171">
                  <c:v>6.3600299999999997E-11</c:v>
                </c:pt>
                <c:pt idx="172">
                  <c:v>6.0150499999999998E-11</c:v>
                </c:pt>
                <c:pt idx="173">
                  <c:v>5.44657E-11</c:v>
                </c:pt>
                <c:pt idx="174">
                  <c:v>5.4776000000000002E-11</c:v>
                </c:pt>
                <c:pt idx="175">
                  <c:v>7.3503800000000001E-11</c:v>
                </c:pt>
                <c:pt idx="176">
                  <c:v>6.22973E-11</c:v>
                </c:pt>
                <c:pt idx="177">
                  <c:v>5.2681200000000001E-11</c:v>
                </c:pt>
                <c:pt idx="178">
                  <c:v>5.7309199999999997E-11</c:v>
                </c:pt>
                <c:pt idx="179">
                  <c:v>6.09694E-11</c:v>
                </c:pt>
                <c:pt idx="180">
                  <c:v>6.1275700000000006E-11</c:v>
                </c:pt>
                <c:pt idx="181">
                  <c:v>5.8830499999999997E-11</c:v>
                </c:pt>
                <c:pt idx="182">
                  <c:v>4.8115800000000003E-11</c:v>
                </c:pt>
                <c:pt idx="183">
                  <c:v>5.8686199999999997E-11</c:v>
                </c:pt>
                <c:pt idx="184">
                  <c:v>6.7523400000000001E-11</c:v>
                </c:pt>
                <c:pt idx="185">
                  <c:v>5.4594400000000003E-11</c:v>
                </c:pt>
                <c:pt idx="186">
                  <c:v>7.1007199999999995E-11</c:v>
                </c:pt>
                <c:pt idx="187">
                  <c:v>4.6372200000000001E-11</c:v>
                </c:pt>
                <c:pt idx="188">
                  <c:v>6.5865800000000006E-11</c:v>
                </c:pt>
                <c:pt idx="189">
                  <c:v>9.7720399999999998E-11</c:v>
                </c:pt>
                <c:pt idx="190">
                  <c:v>4.2440399999999999E-10</c:v>
                </c:pt>
                <c:pt idx="191">
                  <c:v>4.7178899999999997E-10</c:v>
                </c:pt>
                <c:pt idx="192">
                  <c:v>6.8363000000000005E-10</c:v>
                </c:pt>
                <c:pt idx="193">
                  <c:v>2.9868900000000002E-10</c:v>
                </c:pt>
                <c:pt idx="194">
                  <c:v>1.3933199999999999E-10</c:v>
                </c:pt>
                <c:pt idx="195">
                  <c:v>1.7537300000000001E-10</c:v>
                </c:pt>
                <c:pt idx="196">
                  <c:v>7.9414800000000005E-11</c:v>
                </c:pt>
                <c:pt idx="197">
                  <c:v>1.15795E-10</c:v>
                </c:pt>
                <c:pt idx="198">
                  <c:v>5.5140400000000001E-11</c:v>
                </c:pt>
                <c:pt idx="199">
                  <c:v>6.3774300000000004E-11</c:v>
                </c:pt>
                <c:pt idx="200">
                  <c:v>7.0854200000000001E-11</c:v>
                </c:pt>
                <c:pt idx="201">
                  <c:v>8.7379499999999995E-11</c:v>
                </c:pt>
                <c:pt idx="202">
                  <c:v>7.6138400000000002E-11</c:v>
                </c:pt>
                <c:pt idx="203">
                  <c:v>5.4792500000000001E-11</c:v>
                </c:pt>
                <c:pt idx="204">
                  <c:v>5.41355E-11</c:v>
                </c:pt>
                <c:pt idx="205">
                  <c:v>6.2270600000000006E-11</c:v>
                </c:pt>
                <c:pt idx="206">
                  <c:v>5.6441400000000001E-11</c:v>
                </c:pt>
                <c:pt idx="207">
                  <c:v>6.2169499999999999E-11</c:v>
                </c:pt>
                <c:pt idx="208">
                  <c:v>8.1802699999999999E-11</c:v>
                </c:pt>
                <c:pt idx="209">
                  <c:v>8.0918199999999998E-11</c:v>
                </c:pt>
                <c:pt idx="210">
                  <c:v>7.4842300000000006E-11</c:v>
                </c:pt>
                <c:pt idx="211">
                  <c:v>9.5422800000000006E-11</c:v>
                </c:pt>
                <c:pt idx="212">
                  <c:v>7.0204800000000006E-11</c:v>
                </c:pt>
                <c:pt idx="213">
                  <c:v>6.5139199999999998E-11</c:v>
                </c:pt>
                <c:pt idx="214">
                  <c:v>8.5981600000000003E-11</c:v>
                </c:pt>
                <c:pt idx="215">
                  <c:v>7.12127E-11</c:v>
                </c:pt>
                <c:pt idx="216">
                  <c:v>6.3802499999999998E-11</c:v>
                </c:pt>
                <c:pt idx="217">
                  <c:v>6.7872300000000004E-11</c:v>
                </c:pt>
                <c:pt idx="218">
                  <c:v>6.4801400000000005E-11</c:v>
                </c:pt>
                <c:pt idx="219">
                  <c:v>6.6361799999999996E-11</c:v>
                </c:pt>
                <c:pt idx="220">
                  <c:v>5.93889E-11</c:v>
                </c:pt>
                <c:pt idx="221">
                  <c:v>7.4233399999999997E-11</c:v>
                </c:pt>
                <c:pt idx="222">
                  <c:v>7.2380300000000005E-11</c:v>
                </c:pt>
                <c:pt idx="223">
                  <c:v>5.3489299999999997E-11</c:v>
                </c:pt>
                <c:pt idx="224">
                  <c:v>8.0450600000000001E-11</c:v>
                </c:pt>
                <c:pt idx="225">
                  <c:v>6.3837300000000001E-11</c:v>
                </c:pt>
                <c:pt idx="226">
                  <c:v>6.2039400000000002E-11</c:v>
                </c:pt>
                <c:pt idx="227">
                  <c:v>6.2427300000000003E-11</c:v>
                </c:pt>
                <c:pt idx="228">
                  <c:v>9.1586199999999994E-11</c:v>
                </c:pt>
                <c:pt idx="229">
                  <c:v>6.6377800000000004E-11</c:v>
                </c:pt>
                <c:pt idx="230">
                  <c:v>6.8622699999999999E-11</c:v>
                </c:pt>
                <c:pt idx="231">
                  <c:v>6.3251399999999995E-11</c:v>
                </c:pt>
                <c:pt idx="232">
                  <c:v>6.7432700000000001E-11</c:v>
                </c:pt>
                <c:pt idx="233">
                  <c:v>6.43626E-11</c:v>
                </c:pt>
                <c:pt idx="234">
                  <c:v>9.4507099999999998E-11</c:v>
                </c:pt>
                <c:pt idx="235">
                  <c:v>8.0609300000000003E-11</c:v>
                </c:pt>
                <c:pt idx="236">
                  <c:v>6.5007699999999994E-11</c:v>
                </c:pt>
                <c:pt idx="237">
                  <c:v>5.7038900000000002E-11</c:v>
                </c:pt>
                <c:pt idx="238">
                  <c:v>6.8959600000000002E-11</c:v>
                </c:pt>
                <c:pt idx="239">
                  <c:v>8.0669300000000001E-11</c:v>
                </c:pt>
                <c:pt idx="240">
                  <c:v>6.5042699999999997E-11</c:v>
                </c:pt>
                <c:pt idx="241">
                  <c:v>7.6678800000000006E-11</c:v>
                </c:pt>
                <c:pt idx="242">
                  <c:v>7.0133499999999999E-11</c:v>
                </c:pt>
                <c:pt idx="243">
                  <c:v>7.4120500000000003E-11</c:v>
                </c:pt>
                <c:pt idx="244">
                  <c:v>7.34178E-11</c:v>
                </c:pt>
                <c:pt idx="245">
                  <c:v>5.6748800000000003E-11</c:v>
                </c:pt>
                <c:pt idx="246" formatCode="General">
                  <c:v>0</c:v>
                </c:pt>
                <c:pt idx="247">
                  <c:v>6.9078099999999997E-11</c:v>
                </c:pt>
                <c:pt idx="248">
                  <c:v>9.8088400000000001E-11</c:v>
                </c:pt>
                <c:pt idx="249">
                  <c:v>6.3989499999999999E-11</c:v>
                </c:pt>
                <c:pt idx="250">
                  <c:v>5.0133399999999997E-11</c:v>
                </c:pt>
                <c:pt idx="251">
                  <c:v>7.9155300000000002E-11</c:v>
                </c:pt>
                <c:pt idx="252">
                  <c:v>5.6759500000000002E-11</c:v>
                </c:pt>
                <c:pt idx="253">
                  <c:v>6.1046200000000002E-11</c:v>
                </c:pt>
                <c:pt idx="254">
                  <c:v>6.3027099999999994E-11</c:v>
                </c:pt>
                <c:pt idx="255">
                  <c:v>6.0868000000000001E-11</c:v>
                </c:pt>
                <c:pt idx="256">
                  <c:v>5.77904E-11</c:v>
                </c:pt>
                <c:pt idx="257">
                  <c:v>5.0506E-11</c:v>
                </c:pt>
                <c:pt idx="258">
                  <c:v>5.4673600000000001E-11</c:v>
                </c:pt>
                <c:pt idx="259">
                  <c:v>5.3303800000000002E-11</c:v>
                </c:pt>
                <c:pt idx="260">
                  <c:v>4.64541E-11</c:v>
                </c:pt>
                <c:pt idx="261">
                  <c:v>6.5928600000000005E-11</c:v>
                </c:pt>
                <c:pt idx="262">
                  <c:v>5.6083999999999997E-11</c:v>
                </c:pt>
                <c:pt idx="263">
                  <c:v>5.8366299999999998E-11</c:v>
                </c:pt>
                <c:pt idx="264">
                  <c:v>6.0865900000000004E-11</c:v>
                </c:pt>
                <c:pt idx="265">
                  <c:v>6.5946200000000006E-11</c:v>
                </c:pt>
                <c:pt idx="266">
                  <c:v>7.3299799999999996E-11</c:v>
                </c:pt>
                <c:pt idx="267">
                  <c:v>5.8806699999999997E-11</c:v>
                </c:pt>
                <c:pt idx="268">
                  <c:v>5.1315700000000003E-11</c:v>
                </c:pt>
                <c:pt idx="269">
                  <c:v>5.4824099999999999E-11</c:v>
                </c:pt>
                <c:pt idx="270">
                  <c:v>5.3972299999999999E-11</c:v>
                </c:pt>
                <c:pt idx="271">
                  <c:v>5.7493299999999999E-11</c:v>
                </c:pt>
                <c:pt idx="272">
                  <c:v>6.5335799999999996E-11</c:v>
                </c:pt>
                <c:pt idx="273">
                  <c:v>7.7100700000000001E-11</c:v>
                </c:pt>
                <c:pt idx="274">
                  <c:v>9.0627200000000001E-11</c:v>
                </c:pt>
                <c:pt idx="275">
                  <c:v>7.7415599999999996E-11</c:v>
                </c:pt>
                <c:pt idx="276">
                  <c:v>7.1940799999999996E-11</c:v>
                </c:pt>
                <c:pt idx="277">
                  <c:v>8.8138099999999994E-11</c:v>
                </c:pt>
                <c:pt idx="278">
                  <c:v>8.0855900000000004E-11</c:v>
                </c:pt>
                <c:pt idx="279">
                  <c:v>8.50261E-11</c:v>
                </c:pt>
                <c:pt idx="280">
                  <c:v>1.11076E-10</c:v>
                </c:pt>
                <c:pt idx="281">
                  <c:v>8.7863400000000005E-11</c:v>
                </c:pt>
                <c:pt idx="282">
                  <c:v>8.1057099999999996E-11</c:v>
                </c:pt>
                <c:pt idx="283">
                  <c:v>8.7226300000000002E-11</c:v>
                </c:pt>
                <c:pt idx="284">
                  <c:v>8.0573999999999995E-11</c:v>
                </c:pt>
                <c:pt idx="285">
                  <c:v>7.2913199999999996E-11</c:v>
                </c:pt>
                <c:pt idx="286">
                  <c:v>7.7640999999999998E-11</c:v>
                </c:pt>
                <c:pt idx="287">
                  <c:v>7.6411899999999996E-11</c:v>
                </c:pt>
                <c:pt idx="288">
                  <c:v>6.9411699999999995E-11</c:v>
                </c:pt>
                <c:pt idx="289">
                  <c:v>5.6689800000000001E-11</c:v>
                </c:pt>
                <c:pt idx="290">
                  <c:v>5.0766899999999997E-11</c:v>
                </c:pt>
                <c:pt idx="291">
                  <c:v>5.7963099999999999E-11</c:v>
                </c:pt>
                <c:pt idx="292">
                  <c:v>6.9039699999999996E-11</c:v>
                </c:pt>
                <c:pt idx="293">
                  <c:v>6.1091999999999997E-11</c:v>
                </c:pt>
                <c:pt idx="294">
                  <c:v>5.54678E-11</c:v>
                </c:pt>
                <c:pt idx="295">
                  <c:v>5.2026299999999997E-11</c:v>
                </c:pt>
                <c:pt idx="296">
                  <c:v>5.5284200000000003E-11</c:v>
                </c:pt>
                <c:pt idx="297">
                  <c:v>5.3985699999999998E-11</c:v>
                </c:pt>
                <c:pt idx="298">
                  <c:v>6.6350199999999995E-11</c:v>
                </c:pt>
                <c:pt idx="299">
                  <c:v>5.5999099999999998E-11</c:v>
                </c:pt>
                <c:pt idx="300">
                  <c:v>6.3022799999999994E-11</c:v>
                </c:pt>
                <c:pt idx="301">
                  <c:v>5.5885799999999999E-11</c:v>
                </c:pt>
                <c:pt idx="302">
                  <c:v>5.07573E-11</c:v>
                </c:pt>
                <c:pt idx="303">
                  <c:v>4.5613900000000001E-11</c:v>
                </c:pt>
                <c:pt idx="304">
                  <c:v>1.06901E-10</c:v>
                </c:pt>
                <c:pt idx="305">
                  <c:v>1.01505E-10</c:v>
                </c:pt>
                <c:pt idx="306">
                  <c:v>8.9446299999999995E-11</c:v>
                </c:pt>
                <c:pt idx="307">
                  <c:v>8.8387200000000004E-11</c:v>
                </c:pt>
                <c:pt idx="308">
                  <c:v>7.2384100000000001E-11</c:v>
                </c:pt>
                <c:pt idx="309">
                  <c:v>1.00262E-10</c:v>
                </c:pt>
                <c:pt idx="310">
                  <c:v>7.16752E-11</c:v>
                </c:pt>
                <c:pt idx="311">
                  <c:v>7.4131200000000001E-11</c:v>
                </c:pt>
                <c:pt idx="312">
                  <c:v>8.2099700000000001E-11</c:v>
                </c:pt>
                <c:pt idx="313">
                  <c:v>7.5424299999999997E-11</c:v>
                </c:pt>
                <c:pt idx="314">
                  <c:v>8.3999700000000002E-11</c:v>
                </c:pt>
                <c:pt idx="315">
                  <c:v>8.6262500000000003E-11</c:v>
                </c:pt>
                <c:pt idx="316">
                  <c:v>8.0523800000000006E-11</c:v>
                </c:pt>
                <c:pt idx="317">
                  <c:v>9.0472400000000001E-11</c:v>
                </c:pt>
                <c:pt idx="318">
                  <c:v>9.3029400000000003E-11</c:v>
                </c:pt>
                <c:pt idx="319">
                  <c:v>7.0805600000000005E-11</c:v>
                </c:pt>
                <c:pt idx="320">
                  <c:v>7.7219500000000002E-11</c:v>
                </c:pt>
                <c:pt idx="321">
                  <c:v>7.4394399999999995E-11</c:v>
                </c:pt>
                <c:pt idx="322">
                  <c:v>1.27605E-10</c:v>
                </c:pt>
                <c:pt idx="323">
                  <c:v>5.3213200000000002E-11</c:v>
                </c:pt>
                <c:pt idx="324">
                  <c:v>9.2271900000000006E-11</c:v>
                </c:pt>
                <c:pt idx="325">
                  <c:v>6.7543499999999998E-11</c:v>
                </c:pt>
                <c:pt idx="326">
                  <c:v>8.3672999999999994E-11</c:v>
                </c:pt>
                <c:pt idx="327">
                  <c:v>9.2271499999999995E-11</c:v>
                </c:pt>
                <c:pt idx="328">
                  <c:v>1.31414E-10</c:v>
                </c:pt>
                <c:pt idx="329">
                  <c:v>7.7670000000000002E-11</c:v>
                </c:pt>
                <c:pt idx="330">
                  <c:v>5.7413199999999998E-11</c:v>
                </c:pt>
                <c:pt idx="331">
                  <c:v>1.0205099999999999E-10</c:v>
                </c:pt>
                <c:pt idx="332">
                  <c:v>1.12685E-10</c:v>
                </c:pt>
                <c:pt idx="333">
                  <c:v>1.1639699999999999E-10</c:v>
                </c:pt>
                <c:pt idx="334">
                  <c:v>8.2257600000000006E-11</c:v>
                </c:pt>
                <c:pt idx="335">
                  <c:v>7.4900199999999994E-11</c:v>
                </c:pt>
                <c:pt idx="336">
                  <c:v>6.7191900000000001E-11</c:v>
                </c:pt>
                <c:pt idx="337">
                  <c:v>8.5533399999999999E-11</c:v>
                </c:pt>
                <c:pt idx="338">
                  <c:v>8.1061599999999995E-11</c:v>
                </c:pt>
                <c:pt idx="339">
                  <c:v>1.00664E-10</c:v>
                </c:pt>
                <c:pt idx="340">
                  <c:v>3.9966000000000003E-11</c:v>
                </c:pt>
                <c:pt idx="341">
                  <c:v>1.2000799999999999E-10</c:v>
                </c:pt>
                <c:pt idx="342">
                  <c:v>7.7804399999999999E-11</c:v>
                </c:pt>
                <c:pt idx="343">
                  <c:v>1.0886999999999999E-10</c:v>
                </c:pt>
                <c:pt idx="344">
                  <c:v>8.3958199999999995E-11</c:v>
                </c:pt>
                <c:pt idx="345">
                  <c:v>6.4194600000000006E-11</c:v>
                </c:pt>
                <c:pt idx="346">
                  <c:v>8.48031E-11</c:v>
                </c:pt>
                <c:pt idx="347">
                  <c:v>4.80437E-11</c:v>
                </c:pt>
                <c:pt idx="348">
                  <c:v>8.9491200000000001E-11</c:v>
                </c:pt>
                <c:pt idx="349">
                  <c:v>6.5575999999999999E-11</c:v>
                </c:pt>
                <c:pt idx="350">
                  <c:v>7.7421900000000001E-11</c:v>
                </c:pt>
                <c:pt idx="351">
                  <c:v>8.8918500000000002E-11</c:v>
                </c:pt>
                <c:pt idx="352">
                  <c:v>6.59787E-11</c:v>
                </c:pt>
                <c:pt idx="353">
                  <c:v>8.3358000000000006E-11</c:v>
                </c:pt>
                <c:pt idx="354">
                  <c:v>7.0835200000000006E-11</c:v>
                </c:pt>
                <c:pt idx="355">
                  <c:v>7.9725300000000006E-11</c:v>
                </c:pt>
                <c:pt idx="356">
                  <c:v>8.7566499999999997E-11</c:v>
                </c:pt>
                <c:pt idx="357">
                  <c:v>7.5416300000000006E-11</c:v>
                </c:pt>
                <c:pt idx="358">
                  <c:v>1.0006200000000001E-10</c:v>
                </c:pt>
                <c:pt idx="359">
                  <c:v>8.4819700000000005E-11</c:v>
                </c:pt>
                <c:pt idx="360">
                  <c:v>6.6788600000000002E-11</c:v>
                </c:pt>
                <c:pt idx="361">
                  <c:v>7.0493699999999997E-11</c:v>
                </c:pt>
                <c:pt idx="362">
                  <c:v>7.40988E-11</c:v>
                </c:pt>
                <c:pt idx="363">
                  <c:v>7.9598399999999996E-11</c:v>
                </c:pt>
                <c:pt idx="364">
                  <c:v>1.2119499999999999E-10</c:v>
                </c:pt>
                <c:pt idx="365">
                  <c:v>1.9451999999999999E-10</c:v>
                </c:pt>
                <c:pt idx="366" formatCode="General">
                  <c:v>0</c:v>
                </c:pt>
                <c:pt idx="367" formatCode="General">
                  <c:v>0</c:v>
                </c:pt>
                <c:pt idx="368" formatCode="General">
                  <c:v>0</c:v>
                </c:pt>
                <c:pt idx="369">
                  <c:v>7.5918099999999997E-10</c:v>
                </c:pt>
                <c:pt idx="370">
                  <c:v>7.68502E-10</c:v>
                </c:pt>
                <c:pt idx="371">
                  <c:v>8.2313499999999997E-10</c:v>
                </c:pt>
                <c:pt idx="372">
                  <c:v>4.1584900000000001E-10</c:v>
                </c:pt>
                <c:pt idx="373">
                  <c:v>8.0502199999999999E-10</c:v>
                </c:pt>
                <c:pt idx="374">
                  <c:v>2.5231699999999999E-10</c:v>
                </c:pt>
                <c:pt idx="375">
                  <c:v>1.46559E-10</c:v>
                </c:pt>
                <c:pt idx="376">
                  <c:v>7.9682699999999998E-11</c:v>
                </c:pt>
                <c:pt idx="377">
                  <c:v>6.66331E-11</c:v>
                </c:pt>
                <c:pt idx="378">
                  <c:v>9.8420199999999994E-11</c:v>
                </c:pt>
                <c:pt idx="379">
                  <c:v>7.4305699999999999E-11</c:v>
                </c:pt>
                <c:pt idx="380">
                  <c:v>7.5544999999999996E-11</c:v>
                </c:pt>
                <c:pt idx="381">
                  <c:v>9.3233500000000002E-11</c:v>
                </c:pt>
                <c:pt idx="382">
                  <c:v>2.18471E-10</c:v>
                </c:pt>
                <c:pt idx="383">
                  <c:v>1.5073699999999999E-10</c:v>
                </c:pt>
                <c:pt idx="384">
                  <c:v>9.1114000000000005E-11</c:v>
                </c:pt>
                <c:pt idx="385">
                  <c:v>6.8807699999999996E-11</c:v>
                </c:pt>
                <c:pt idx="386">
                  <c:v>1.01807E-10</c:v>
                </c:pt>
                <c:pt idx="387">
                  <c:v>1.367E-10</c:v>
                </c:pt>
                <c:pt idx="388">
                  <c:v>9.0603999999999998E-11</c:v>
                </c:pt>
                <c:pt idx="389">
                  <c:v>7.3397599999999997E-11</c:v>
                </c:pt>
                <c:pt idx="390">
                  <c:v>9.6825599999999996E-11</c:v>
                </c:pt>
                <c:pt idx="391">
                  <c:v>7.5866599999999994E-11</c:v>
                </c:pt>
                <c:pt idx="392">
                  <c:v>1.07364E-10</c:v>
                </c:pt>
                <c:pt idx="393">
                  <c:v>9.3071200000000003E-11</c:v>
                </c:pt>
                <c:pt idx="394">
                  <c:v>8.4378200000000005E-11</c:v>
                </c:pt>
                <c:pt idx="395">
                  <c:v>1.4797999999999999E-10</c:v>
                </c:pt>
                <c:pt idx="396">
                  <c:v>8.9071499999999996E-11</c:v>
                </c:pt>
                <c:pt idx="397">
                  <c:v>9.00429E-11</c:v>
                </c:pt>
                <c:pt idx="398">
                  <c:v>1.2580599999999999E-10</c:v>
                </c:pt>
                <c:pt idx="399">
                  <c:v>9.5985899999999995E-11</c:v>
                </c:pt>
                <c:pt idx="400">
                  <c:v>9.6041200000000006E-11</c:v>
                </c:pt>
                <c:pt idx="401">
                  <c:v>8.6345900000000003E-11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E8-4294-A1BD-62A1266A7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692608"/>
        <c:axId val="234694144"/>
      </c:scatterChart>
      <c:valAx>
        <c:axId val="234692608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4694144"/>
        <c:crosses val="autoZero"/>
        <c:crossBetween val="midCat"/>
      </c:valAx>
      <c:valAx>
        <c:axId val="234694144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4692608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'Run66'!$P$40:$P$45</c:f>
              <c:strCache>
                <c:ptCount val="6"/>
                <c:pt idx="0">
                  <c:v>PA</c:v>
                </c:pt>
                <c:pt idx="1">
                  <c:v>PB</c:v>
                </c:pt>
                <c:pt idx="2">
                  <c:v>PC</c:v>
                </c:pt>
                <c:pt idx="3">
                  <c:v>PD</c:v>
                </c:pt>
                <c:pt idx="4">
                  <c:v>PE</c:v>
                </c:pt>
                <c:pt idx="5">
                  <c:v>PF</c:v>
                </c:pt>
              </c:strCache>
            </c:strRef>
          </c:cat>
          <c:val>
            <c:numRef>
              <c:f>'Run66'!$U$40:$U$45</c:f>
              <c:numCache>
                <c:formatCode>General</c:formatCode>
                <c:ptCount val="6"/>
                <c:pt idx="0">
                  <c:v>2.3331840000000001</c:v>
                </c:pt>
                <c:pt idx="1">
                  <c:v>1.1482560000000002</c:v>
                </c:pt>
                <c:pt idx="2">
                  <c:v>1.64008</c:v>
                </c:pt>
                <c:pt idx="3">
                  <c:v>1.83744</c:v>
                </c:pt>
                <c:pt idx="4">
                  <c:v>2.9610240000000001</c:v>
                </c:pt>
                <c:pt idx="5">
                  <c:v>1.5934799999999998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7-4813-BED7-1D3E7044D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793280"/>
        <c:axId val="237794816"/>
      </c:barChart>
      <c:catAx>
        <c:axId val="237793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7794816"/>
        <c:crosses val="autoZero"/>
        <c:auto val="1"/>
        <c:lblAlgn val="ctr"/>
        <c:lblOffset val="100"/>
        <c:noMultiLvlLbl val="0"/>
      </c:catAx>
      <c:valAx>
        <c:axId val="237794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779328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og"/>
            <c:dispRSqr val="0"/>
            <c:dispEq val="1"/>
            <c:trendlineLbl>
              <c:layout>
                <c:manualLayout>
                  <c:x val="0.37936986001750506"/>
                  <c:y val="-8.2606080489938713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en-GB"/>
                  </a:pPr>
                  <a:endParaRPr lang="en-US"/>
                </a:p>
              </c:txPr>
            </c:trendlineLbl>
          </c:trendline>
          <c:xVal>
            <c:numRef>
              <c:f>'Run62'!$W$396:$W$400</c:f>
              <c:numCache>
                <c:formatCode>General</c:formatCode>
                <c:ptCount val="5"/>
                <c:pt idx="0">
                  <c:v>1.7241379310344827E-2</c:v>
                </c:pt>
                <c:pt idx="1">
                  <c:v>2.0833333333333332E-2</c:v>
                </c:pt>
                <c:pt idx="2">
                  <c:v>2.6315789473684209E-2</c:v>
                </c:pt>
                <c:pt idx="3">
                  <c:v>3.5714285714285712E-2</c:v>
                </c:pt>
                <c:pt idx="4">
                  <c:v>5.5555555555555552E-2</c:v>
                </c:pt>
              </c:numCache>
            </c:numRef>
          </c:xVal>
          <c:yVal>
            <c:numRef>
              <c:f>'Run62'!$X$396:$X$400</c:f>
              <c:numCache>
                <c:formatCode>General</c:formatCode>
                <c:ptCount val="5"/>
                <c:pt idx="0">
                  <c:v>1.8499999999999999E-2</c:v>
                </c:pt>
                <c:pt idx="1">
                  <c:v>5.3999999999999999E-2</c:v>
                </c:pt>
                <c:pt idx="2">
                  <c:v>9.5000000000000001E-2</c:v>
                </c:pt>
                <c:pt idx="3">
                  <c:v>0.13500000000000001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D0-4BA0-B57D-856363F0C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496192"/>
        <c:axId val="235497728"/>
      </c:scatterChart>
      <c:valAx>
        <c:axId val="23549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497728"/>
        <c:crosses val="autoZero"/>
        <c:crossBetween val="midCat"/>
      </c:valAx>
      <c:valAx>
        <c:axId val="235497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496192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'Run62'!$AD$396:$AD$400</c:f>
              <c:numCache>
                <c:formatCode>General</c:formatCode>
                <c:ptCount val="5"/>
                <c:pt idx="0">
                  <c:v>1.5263157894736843</c:v>
                </c:pt>
                <c:pt idx="1">
                  <c:v>1.263157894736842</c:v>
                </c:pt>
                <c:pt idx="2">
                  <c:v>1</c:v>
                </c:pt>
                <c:pt idx="3">
                  <c:v>0.73684210526315785</c:v>
                </c:pt>
                <c:pt idx="4">
                  <c:v>0.47368421052631576</c:v>
                </c:pt>
              </c:numCache>
            </c:numRef>
          </c:xVal>
          <c:yVal>
            <c:numRef>
              <c:f>'Run62'!$AE$396:$AE$400</c:f>
              <c:numCache>
                <c:formatCode>General</c:formatCode>
                <c:ptCount val="5"/>
                <c:pt idx="0">
                  <c:v>2.8220926394542856</c:v>
                </c:pt>
                <c:pt idx="1">
                  <c:v>0.96682803388711636</c:v>
                </c:pt>
                <c:pt idx="2">
                  <c:v>0.54956540873583459</c:v>
                </c:pt>
                <c:pt idx="3">
                  <c:v>0.38673121355484652</c:v>
                </c:pt>
                <c:pt idx="4">
                  <c:v>0.2747827043679173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80-4373-9FC9-85C0A4F9E28A}"/>
            </c:ext>
          </c:extLst>
        </c:ser>
        <c:ser>
          <c:idx val="1"/>
          <c:order val="1"/>
          <c:spPr>
            <a:ln w="28575">
              <a:noFill/>
            </a:ln>
          </c:spPr>
          <c:trendline>
            <c:trendlineType val="linear"/>
            <c:backward val="1"/>
            <c:intercept val="0"/>
            <c:dispRSqr val="1"/>
            <c:dispEq val="1"/>
            <c:trendlineLbl>
              <c:layout>
                <c:manualLayout>
                  <c:x val="0.44868328958880138"/>
                  <c:y val="0.20357903178769557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en-GB"/>
                  </a:pPr>
                  <a:endParaRPr lang="en-US"/>
                </a:p>
              </c:txPr>
            </c:trendlineLbl>
          </c:trendline>
          <c:xVal>
            <c:numRef>
              <c:f>'Run62'!$AD$396:$AD$400</c:f>
              <c:numCache>
                <c:formatCode>General</c:formatCode>
                <c:ptCount val="5"/>
                <c:pt idx="0">
                  <c:v>1.5263157894736843</c:v>
                </c:pt>
                <c:pt idx="1">
                  <c:v>1.263157894736842</c:v>
                </c:pt>
                <c:pt idx="2">
                  <c:v>1</c:v>
                </c:pt>
                <c:pt idx="3">
                  <c:v>0.73684210526315785</c:v>
                </c:pt>
                <c:pt idx="4">
                  <c:v>0.47368421052631576</c:v>
                </c:pt>
              </c:numCache>
            </c:numRef>
          </c:xVal>
          <c:yVal>
            <c:numRef>
              <c:f>'Run62'!$AF$396:$AF$400</c:f>
              <c:numCache>
                <c:formatCode>General</c:formatCode>
                <c:ptCount val="5"/>
                <c:pt idx="2">
                  <c:v>0.54956540873583459</c:v>
                </c:pt>
                <c:pt idx="3">
                  <c:v>0.38673121355484652</c:v>
                </c:pt>
                <c:pt idx="4">
                  <c:v>0.2747827043679173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80-4373-9FC9-85C0A4F9E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560960"/>
        <c:axId val="235562496"/>
      </c:scatterChart>
      <c:valAx>
        <c:axId val="235560960"/>
        <c:scaling>
          <c:orientation val="minMax"/>
          <c:min val="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562496"/>
        <c:crosses val="autoZero"/>
        <c:crossBetween val="midCat"/>
      </c:valAx>
      <c:valAx>
        <c:axId val="235562496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56096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'Run62'!$AB$396:$AB$400</c:f>
              <c:numCache>
                <c:formatCode>General</c:formatCode>
                <c:ptCount val="5"/>
                <c:pt idx="0">
                  <c:v>0.65517241379310343</c:v>
                </c:pt>
                <c:pt idx="1">
                  <c:v>0.79166666666666663</c:v>
                </c:pt>
                <c:pt idx="2">
                  <c:v>1</c:v>
                </c:pt>
                <c:pt idx="3">
                  <c:v>1.3571428571428572</c:v>
                </c:pt>
                <c:pt idx="4">
                  <c:v>2.1111111111111112</c:v>
                </c:pt>
              </c:numCache>
            </c:numRef>
          </c:xVal>
          <c:yVal>
            <c:numRef>
              <c:f>'Run62'!$AC$396:$AC$400</c:f>
              <c:numCache>
                <c:formatCode>General</c:formatCode>
                <c:ptCount val="5"/>
                <c:pt idx="0">
                  <c:v>0.19473684210526315</c:v>
                </c:pt>
                <c:pt idx="1">
                  <c:v>0.56842105263157894</c:v>
                </c:pt>
                <c:pt idx="2">
                  <c:v>1</c:v>
                </c:pt>
                <c:pt idx="3">
                  <c:v>1.4210526315789473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0E-4295-A93B-617B5ABAE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582592"/>
        <c:axId val="235584128"/>
      </c:scatterChart>
      <c:valAx>
        <c:axId val="23558259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584128"/>
        <c:crosses val="autoZero"/>
        <c:crossBetween val="midCat"/>
      </c:valAx>
      <c:valAx>
        <c:axId val="235584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582592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'Run62'!$V$396:$V$400</c:f>
              <c:numCache>
                <c:formatCode>General</c:formatCode>
                <c:ptCount val="5"/>
                <c:pt idx="0">
                  <c:v>58</c:v>
                </c:pt>
                <c:pt idx="1">
                  <c:v>48</c:v>
                </c:pt>
                <c:pt idx="2">
                  <c:v>38</c:v>
                </c:pt>
                <c:pt idx="3">
                  <c:v>28</c:v>
                </c:pt>
                <c:pt idx="4">
                  <c:v>18</c:v>
                </c:pt>
              </c:numCache>
            </c:numRef>
          </c:xVal>
          <c:yVal>
            <c:numRef>
              <c:f>'Run62'!$X$396:$X$400</c:f>
              <c:numCache>
                <c:formatCode>General</c:formatCode>
                <c:ptCount val="5"/>
                <c:pt idx="0">
                  <c:v>1.8499999999999999E-2</c:v>
                </c:pt>
                <c:pt idx="1">
                  <c:v>5.3999999999999999E-2</c:v>
                </c:pt>
                <c:pt idx="2">
                  <c:v>9.5000000000000001E-2</c:v>
                </c:pt>
                <c:pt idx="3">
                  <c:v>0.13500000000000001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D8-4617-B4E1-482ECAFF17A8}"/>
            </c:ext>
          </c:extLst>
        </c:ser>
        <c:ser>
          <c:idx val="1"/>
          <c:order val="1"/>
          <c:spPr>
            <a:ln w="28575">
              <a:noFill/>
            </a:ln>
          </c:spPr>
          <c:xVal>
            <c:numRef>
              <c:f>'Run62'!$V$396:$V$400</c:f>
              <c:numCache>
                <c:formatCode>General</c:formatCode>
                <c:ptCount val="5"/>
                <c:pt idx="0">
                  <c:v>58</c:v>
                </c:pt>
                <c:pt idx="1">
                  <c:v>48</c:v>
                </c:pt>
                <c:pt idx="2">
                  <c:v>38</c:v>
                </c:pt>
                <c:pt idx="3">
                  <c:v>28</c:v>
                </c:pt>
                <c:pt idx="4">
                  <c:v>18</c:v>
                </c:pt>
              </c:numCache>
            </c:numRef>
          </c:xVal>
          <c:yVal>
            <c:numRef>
              <c:f>'Run62'!$Z$396:$Z$400</c:f>
              <c:numCache>
                <c:formatCode>General</c:formatCode>
                <c:ptCount val="5"/>
                <c:pt idx="0">
                  <c:v>6.5172413793103456E-2</c:v>
                </c:pt>
                <c:pt idx="1">
                  <c:v>7.8750000000000014E-2</c:v>
                </c:pt>
                <c:pt idx="2">
                  <c:v>9.9473684210526311E-2</c:v>
                </c:pt>
                <c:pt idx="3">
                  <c:v>0.13500000000000001</c:v>
                </c:pt>
                <c:pt idx="4">
                  <c:v>0.21000000000000002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D8-4617-B4E1-482ECAFF1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625856"/>
        <c:axId val="235648128"/>
      </c:scatterChart>
      <c:valAx>
        <c:axId val="235625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648128"/>
        <c:crosses val="autoZero"/>
        <c:crossBetween val="midCat"/>
      </c:valAx>
      <c:valAx>
        <c:axId val="235648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625856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'Run62'!$V$396:$V$400</c:f>
              <c:numCache>
                <c:formatCode>General</c:formatCode>
                <c:ptCount val="5"/>
                <c:pt idx="0">
                  <c:v>58</c:v>
                </c:pt>
                <c:pt idx="1">
                  <c:v>48</c:v>
                </c:pt>
                <c:pt idx="2">
                  <c:v>38</c:v>
                </c:pt>
                <c:pt idx="3">
                  <c:v>28</c:v>
                </c:pt>
                <c:pt idx="4">
                  <c:v>18</c:v>
                </c:pt>
              </c:numCache>
            </c:numRef>
          </c:xVal>
          <c:yVal>
            <c:numRef>
              <c:f>'Run62'!$AA$396:$AA$400</c:f>
              <c:numCache>
                <c:formatCode>General</c:formatCode>
                <c:ptCount val="5"/>
                <c:pt idx="0">
                  <c:v>0.28386243386243382</c:v>
                </c:pt>
                <c:pt idx="1">
                  <c:v>0.68571428571428561</c:v>
                </c:pt>
                <c:pt idx="2">
                  <c:v>0.95502645502645511</c:v>
                </c:pt>
                <c:pt idx="3">
                  <c:v>1</c:v>
                </c:pt>
                <c:pt idx="4">
                  <c:v>0.90476190476190466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7F-4837-8F7E-5BAA9C3C3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676416"/>
        <c:axId val="235677952"/>
      </c:scatterChart>
      <c:valAx>
        <c:axId val="23567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677952"/>
        <c:crosses val="autoZero"/>
        <c:crossBetween val="midCat"/>
      </c:valAx>
      <c:valAx>
        <c:axId val="235677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676416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'Run63'!$P$71:$P$80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0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</c:numCache>
            </c:numRef>
          </c:xVal>
          <c:yVal>
            <c:numRef>
              <c:f>'Run63'!$Q$71:$Q$80</c:f>
              <c:numCache>
                <c:formatCode>General</c:formatCode>
                <c:ptCount val="10"/>
                <c:pt idx="0">
                  <c:v>25.5</c:v>
                </c:pt>
                <c:pt idx="1">
                  <c:v>28.7</c:v>
                </c:pt>
                <c:pt idx="2">
                  <c:v>34.1</c:v>
                </c:pt>
                <c:pt idx="3">
                  <c:v>36.4</c:v>
                </c:pt>
                <c:pt idx="4">
                  <c:v>44.7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C4-43D0-A98A-8B5D91B8DE64}"/>
            </c:ext>
          </c:extLst>
        </c:ser>
        <c:ser>
          <c:idx val="1"/>
          <c:order val="1"/>
          <c:spPr>
            <a:ln w="28575">
              <a:noFill/>
            </a:ln>
          </c:spPr>
          <c:xVal>
            <c:numRef>
              <c:f>'Run63'!$P$71:$P$80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0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</c:numCache>
            </c:numRef>
          </c:xVal>
          <c:yVal>
            <c:numRef>
              <c:f>'Run63'!$R$71:$R$80</c:f>
              <c:numCache>
                <c:formatCode>General</c:formatCode>
                <c:ptCount val="10"/>
                <c:pt idx="5">
                  <c:v>25.6</c:v>
                </c:pt>
                <c:pt idx="6">
                  <c:v>26.7</c:v>
                </c:pt>
                <c:pt idx="7">
                  <c:v>36</c:v>
                </c:pt>
                <c:pt idx="8">
                  <c:v>42.8</c:v>
                </c:pt>
                <c:pt idx="9">
                  <c:v>46.5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C4-43D0-A98A-8B5D91B8D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915904"/>
        <c:axId val="237515520"/>
      </c:scatterChart>
      <c:valAx>
        <c:axId val="235915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MC heater [uW]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7515520"/>
        <c:crosses val="autoZero"/>
        <c:crossBetween val="midCat"/>
      </c:valAx>
      <c:valAx>
        <c:axId val="237515520"/>
        <c:scaling>
          <c:orientation val="minMax"/>
          <c:min val="2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/>
                </a:pPr>
                <a:r>
                  <a:rPr lang="en-US"/>
                  <a:t>Tower temperature [mK]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5915904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'Run67'!$Q$10:$Q$13</c:f>
              <c:numCache>
                <c:formatCode>General</c:formatCode>
                <c:ptCount val="4"/>
                <c:pt idx="0">
                  <c:v>100</c:v>
                </c:pt>
                <c:pt idx="1">
                  <c:v>269.23076923076923</c:v>
                </c:pt>
                <c:pt idx="2">
                  <c:v>150</c:v>
                </c:pt>
                <c:pt idx="3">
                  <c:v>450</c:v>
                </c:pt>
              </c:numCache>
            </c:numRef>
          </c:xVal>
          <c:yVal>
            <c:numRef>
              <c:f>'Run67'!$T$10:$T$13</c:f>
              <c:numCache>
                <c:formatCode>General</c:formatCode>
                <c:ptCount val="4"/>
                <c:pt idx="0">
                  <c:v>60</c:v>
                </c:pt>
                <c:pt idx="1">
                  <c:v>140</c:v>
                </c:pt>
                <c:pt idx="2">
                  <c:v>80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2E-4938-8C47-DFC4D7DD2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013824"/>
        <c:axId val="345265280"/>
      </c:scatterChart>
      <c:valAx>
        <c:axId val="238013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345265280"/>
        <c:crosses val="autoZero"/>
        <c:crossBetween val="midCat"/>
      </c:valAx>
      <c:valAx>
        <c:axId val="345265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38013824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/>
            </a:pPr>
            <a:r>
              <a:rPr lang="en-US"/>
              <a:t>Width</a:t>
            </a:r>
            <a:r>
              <a:rPr lang="en-US" baseline="0"/>
              <a:t> of 60 keV line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'Run68'!$U$95</c:f>
              <c:strCache>
                <c:ptCount val="1"/>
                <c:pt idx="0">
                  <c:v>rel wid</c:v>
                </c:pt>
              </c:strCache>
            </c:strRef>
          </c:tx>
          <c:spPr>
            <a:ln w="28575">
              <a:noFill/>
            </a:ln>
          </c:spPr>
          <c:xVal>
            <c:numRef>
              <c:f>'Run68'!$T$96:$T$101</c:f>
              <c:numCache>
                <c:formatCode>General</c:formatCode>
                <c:ptCount val="6"/>
                <c:pt idx="0">
                  <c:v>1.6666666666666667</c:v>
                </c:pt>
                <c:pt idx="1">
                  <c:v>3.3333333333333335</c:v>
                </c:pt>
                <c:pt idx="2">
                  <c:v>5</c:v>
                </c:pt>
                <c:pt idx="3">
                  <c:v>6.666666666666667</c:v>
                </c:pt>
                <c:pt idx="4">
                  <c:v>8.3333333333333339</c:v>
                </c:pt>
                <c:pt idx="5">
                  <c:v>10</c:v>
                </c:pt>
              </c:numCache>
            </c:numRef>
          </c:xVal>
          <c:yVal>
            <c:numRef>
              <c:f>'Run68'!$U$96:$U$101</c:f>
              <c:numCache>
                <c:formatCode>0.0%</c:formatCode>
                <c:ptCount val="6"/>
                <c:pt idx="0">
                  <c:v>1.9746099999999999E-2</c:v>
                </c:pt>
                <c:pt idx="1">
                  <c:v>2.0974900000000001E-2</c:v>
                </c:pt>
                <c:pt idx="2">
                  <c:v>2.6074E-2</c:v>
                </c:pt>
                <c:pt idx="3">
                  <c:v>3.0688699999999999E-2</c:v>
                </c:pt>
                <c:pt idx="4">
                  <c:v>2.9465600000000002E-2</c:v>
                </c:pt>
                <c:pt idx="5">
                  <c:v>2.85305E-2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6B-4DB1-8BF5-A4EB3E890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142656"/>
        <c:axId val="225148928"/>
      </c:scatterChart>
      <c:valAx>
        <c:axId val="22514265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25148928"/>
        <c:crosses val="autoZero"/>
        <c:crossBetween val="midCat"/>
      </c:valAx>
      <c:valAx>
        <c:axId val="2251489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/>
                </a:pPr>
                <a:r>
                  <a:rPr lang="en-US"/>
                  <a:t>sigma/center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251426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'Run68'!$W$1855:$W$1858</c:f>
              <c:numCache>
                <c:formatCode>General</c:formatCode>
                <c:ptCount val="4"/>
                <c:pt idx="0">
                  <c:v>-30</c:v>
                </c:pt>
                <c:pt idx="1">
                  <c:v>-50</c:v>
                </c:pt>
                <c:pt idx="2">
                  <c:v>-40</c:v>
                </c:pt>
                <c:pt idx="3">
                  <c:v>-70</c:v>
                </c:pt>
              </c:numCache>
            </c:numRef>
          </c:xVal>
          <c:yVal>
            <c:numRef>
              <c:f>'Run68'!$X$1855:$X$1858</c:f>
              <c:numCache>
                <c:formatCode>General</c:formatCode>
                <c:ptCount val="4"/>
                <c:pt idx="0">
                  <c:v>0.18919638947368422</c:v>
                </c:pt>
                <c:pt idx="1">
                  <c:v>0.20857693684210529</c:v>
                </c:pt>
                <c:pt idx="2">
                  <c:v>0.20366769473684213</c:v>
                </c:pt>
                <c:pt idx="3">
                  <c:v>0.24878174210526319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33-4211-95E1-416947AEF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923008"/>
        <c:axId val="220924544"/>
      </c:scatterChart>
      <c:valAx>
        <c:axId val="22092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24544"/>
        <c:crosses val="autoZero"/>
        <c:crossBetween val="midCat"/>
      </c:valAx>
      <c:valAx>
        <c:axId val="22092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23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'Run68'!$U$1855:$U$1859</c:f>
              <c:numCache>
                <c:formatCode>General</c:formatCode>
                <c:ptCount val="5"/>
                <c:pt idx="0">
                  <c:v>-30</c:v>
                </c:pt>
                <c:pt idx="1">
                  <c:v>-50</c:v>
                </c:pt>
                <c:pt idx="2">
                  <c:v>-40</c:v>
                </c:pt>
                <c:pt idx="3">
                  <c:v>-70</c:v>
                </c:pt>
                <c:pt idx="4">
                  <c:v>-80</c:v>
                </c:pt>
              </c:numCache>
            </c:numRef>
          </c:xVal>
          <c:yVal>
            <c:numRef>
              <c:f>'Run68'!$V$1855:$V$1859</c:f>
              <c:numCache>
                <c:formatCode>General</c:formatCode>
                <c:ptCount val="5"/>
                <c:pt idx="0">
                  <c:v>2.1270600000000001E-2</c:v>
                </c:pt>
                <c:pt idx="1">
                  <c:v>1.4732200000000001E-2</c:v>
                </c:pt>
                <c:pt idx="2">
                  <c:v>1.7669799999999999E-2</c:v>
                </c:pt>
                <c:pt idx="3">
                  <c:v>1.2809900000000001E-2</c:v>
                </c:pt>
                <c:pt idx="4">
                  <c:v>1.1143500000000001E-2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28-4436-9111-D1DDD139D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981504"/>
        <c:axId val="220983296"/>
      </c:scatterChart>
      <c:valAx>
        <c:axId val="22098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83296"/>
        <c:crosses val="autoZero"/>
        <c:crossBetween val="midCat"/>
      </c:valAx>
      <c:valAx>
        <c:axId val="22098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81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 channels gains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Run73notes!$O$1</c:f>
              <c:strCache>
                <c:ptCount val="1"/>
                <c:pt idx="0">
                  <c:v>pB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Run73notes!$H$2:$H$14</c:f>
              <c:strCache>
                <c:ptCount val="13"/>
                <c:pt idx="0">
                  <c:v>07200831_2206</c:v>
                </c:pt>
                <c:pt idx="1">
                  <c:v>07200909_0847</c:v>
                </c:pt>
                <c:pt idx="2">
                  <c:v>07200913_1430</c:v>
                </c:pt>
                <c:pt idx="3">
                  <c:v>07200922_1438</c:v>
                </c:pt>
                <c:pt idx="4">
                  <c:v>07201010_2107</c:v>
                </c:pt>
                <c:pt idx="5">
                  <c:v>07201013_1643</c:v>
                </c:pt>
                <c:pt idx="6">
                  <c:v>07201014_1653</c:v>
                </c:pt>
                <c:pt idx="7">
                  <c:v>07201016_2053</c:v>
                </c:pt>
                <c:pt idx="8">
                  <c:v>07201017_1636</c:v>
                </c:pt>
                <c:pt idx="9">
                  <c:v>07201022_1722</c:v>
                </c:pt>
                <c:pt idx="10">
                  <c:v>07201023_0633</c:v>
                </c:pt>
                <c:pt idx="11">
                  <c:v>07201024_1749</c:v>
                </c:pt>
                <c:pt idx="12">
                  <c:v>07201027_2114</c:v>
                </c:pt>
              </c:strCache>
            </c:strRef>
          </c:cat>
          <c:val>
            <c:numRef>
              <c:f>Run73notes!$O$2:$O$14</c:f>
              <c:numCache>
                <c:formatCode>General</c:formatCode>
                <c:ptCount val="13"/>
                <c:pt idx="0">
                  <c:v>0.79166666666666663</c:v>
                </c:pt>
                <c:pt idx="1">
                  <c:v>1.1499999999999999</c:v>
                </c:pt>
                <c:pt idx="2">
                  <c:v>0.85000000000000009</c:v>
                </c:pt>
                <c:pt idx="3">
                  <c:v>0.69444444444444442</c:v>
                </c:pt>
                <c:pt idx="4">
                  <c:v>0.95</c:v>
                </c:pt>
                <c:pt idx="5">
                  <c:v>0.72222222222222221</c:v>
                </c:pt>
                <c:pt idx="6">
                  <c:v>1</c:v>
                </c:pt>
                <c:pt idx="7">
                  <c:v>0.86363636363636354</c:v>
                </c:pt>
                <c:pt idx="8">
                  <c:v>1.2444444444444445</c:v>
                </c:pt>
                <c:pt idx="9">
                  <c:v>0.76363636363636356</c:v>
                </c:pt>
                <c:pt idx="10">
                  <c:v>0.83333333333333337</c:v>
                </c:pt>
                <c:pt idx="11">
                  <c:v>0.6</c:v>
                </c:pt>
                <c:pt idx="12">
                  <c:v>0.61428571428571432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AD-4E14-A704-551EE9325E33}"/>
            </c:ext>
          </c:extLst>
        </c:ser>
        <c:ser>
          <c:idx val="1"/>
          <c:order val="1"/>
          <c:tx>
            <c:strRef>
              <c:f>Run73notes!$P$1</c:f>
              <c:strCache>
                <c:ptCount val="1"/>
                <c:pt idx="0">
                  <c:v>pC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Run73notes!$H$2:$H$14</c:f>
              <c:strCache>
                <c:ptCount val="13"/>
                <c:pt idx="0">
                  <c:v>07200831_2206</c:v>
                </c:pt>
                <c:pt idx="1">
                  <c:v>07200909_0847</c:v>
                </c:pt>
                <c:pt idx="2">
                  <c:v>07200913_1430</c:v>
                </c:pt>
                <c:pt idx="3">
                  <c:v>07200922_1438</c:v>
                </c:pt>
                <c:pt idx="4">
                  <c:v>07201010_2107</c:v>
                </c:pt>
                <c:pt idx="5">
                  <c:v>07201013_1643</c:v>
                </c:pt>
                <c:pt idx="6">
                  <c:v>07201014_1653</c:v>
                </c:pt>
                <c:pt idx="7">
                  <c:v>07201016_2053</c:v>
                </c:pt>
                <c:pt idx="8">
                  <c:v>07201017_1636</c:v>
                </c:pt>
                <c:pt idx="9">
                  <c:v>07201022_1722</c:v>
                </c:pt>
                <c:pt idx="10">
                  <c:v>07201023_0633</c:v>
                </c:pt>
                <c:pt idx="11">
                  <c:v>07201024_1749</c:v>
                </c:pt>
                <c:pt idx="12">
                  <c:v>07201027_2114</c:v>
                </c:pt>
              </c:strCache>
            </c:strRef>
          </c:cat>
          <c:val>
            <c:numRef>
              <c:f>Run73notes!$P$2:$P$14</c:f>
              <c:numCache>
                <c:formatCode>General</c:formatCode>
                <c:ptCount val="13"/>
                <c:pt idx="0">
                  <c:v>0.2878787878787879</c:v>
                </c:pt>
                <c:pt idx="1">
                  <c:v>0.41818181818181815</c:v>
                </c:pt>
                <c:pt idx="2">
                  <c:v>0.27567567567567569</c:v>
                </c:pt>
                <c:pt idx="3">
                  <c:v>0.48076923076923073</c:v>
                </c:pt>
                <c:pt idx="4">
                  <c:v>0.42749999999999999</c:v>
                </c:pt>
                <c:pt idx="5">
                  <c:v>0.16250000000000001</c:v>
                </c:pt>
                <c:pt idx="6">
                  <c:v>0.39999999999999997</c:v>
                </c:pt>
                <c:pt idx="7">
                  <c:v>0.27142857142857141</c:v>
                </c:pt>
                <c:pt idx="8">
                  <c:v>0.58947368421052637</c:v>
                </c:pt>
                <c:pt idx="9">
                  <c:v>0.2507462686567164</c:v>
                </c:pt>
                <c:pt idx="10">
                  <c:v>0.2857142857142857</c:v>
                </c:pt>
                <c:pt idx="11">
                  <c:v>0.2507462686567164</c:v>
                </c:pt>
                <c:pt idx="12">
                  <c:v>0.23243243243243242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AD-4E14-A704-551EE9325E33}"/>
            </c:ext>
          </c:extLst>
        </c:ser>
        <c:ser>
          <c:idx val="2"/>
          <c:order val="2"/>
          <c:tx>
            <c:strRef>
              <c:f>Run73notes!$Q$1</c:f>
              <c:strCache>
                <c:ptCount val="1"/>
                <c:pt idx="0">
                  <c:v>pD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Run73notes!$H$2:$H$14</c:f>
              <c:strCache>
                <c:ptCount val="13"/>
                <c:pt idx="0">
                  <c:v>07200831_2206</c:v>
                </c:pt>
                <c:pt idx="1">
                  <c:v>07200909_0847</c:v>
                </c:pt>
                <c:pt idx="2">
                  <c:v>07200913_1430</c:v>
                </c:pt>
                <c:pt idx="3">
                  <c:v>07200922_1438</c:v>
                </c:pt>
                <c:pt idx="4">
                  <c:v>07201010_2107</c:v>
                </c:pt>
                <c:pt idx="5">
                  <c:v>07201013_1643</c:v>
                </c:pt>
                <c:pt idx="6">
                  <c:v>07201014_1653</c:v>
                </c:pt>
                <c:pt idx="7">
                  <c:v>07201016_2053</c:v>
                </c:pt>
                <c:pt idx="8">
                  <c:v>07201017_1636</c:v>
                </c:pt>
                <c:pt idx="9">
                  <c:v>07201022_1722</c:v>
                </c:pt>
                <c:pt idx="10">
                  <c:v>07201023_0633</c:v>
                </c:pt>
                <c:pt idx="11">
                  <c:v>07201024_1749</c:v>
                </c:pt>
                <c:pt idx="12">
                  <c:v>07201027_2114</c:v>
                </c:pt>
              </c:strCache>
            </c:strRef>
          </c:cat>
          <c:val>
            <c:numRef>
              <c:f>Run73notes!$Q$2:$Q$14</c:f>
              <c:numCache>
                <c:formatCode>General</c:formatCode>
                <c:ptCount val="13"/>
                <c:pt idx="0">
                  <c:v>1</c:v>
                </c:pt>
                <c:pt idx="1">
                  <c:v>1.38</c:v>
                </c:pt>
                <c:pt idx="2">
                  <c:v>1.02</c:v>
                </c:pt>
                <c:pt idx="3">
                  <c:v>0.36764705882352944</c:v>
                </c:pt>
                <c:pt idx="4">
                  <c:v>1.1399999999999999</c:v>
                </c:pt>
                <c:pt idx="5">
                  <c:v>0.48148148148148145</c:v>
                </c:pt>
                <c:pt idx="6">
                  <c:v>1</c:v>
                </c:pt>
                <c:pt idx="7">
                  <c:v>0.73076923076923073</c:v>
                </c:pt>
                <c:pt idx="8">
                  <c:v>1.1200000000000001</c:v>
                </c:pt>
                <c:pt idx="9">
                  <c:v>0.55999999999999994</c:v>
                </c:pt>
                <c:pt idx="10">
                  <c:v>0.47619047619047616</c:v>
                </c:pt>
                <c:pt idx="11">
                  <c:v>0.55999999999999994</c:v>
                </c:pt>
                <c:pt idx="12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AD-4E14-A704-551EE9325E33}"/>
            </c:ext>
          </c:extLst>
        </c:ser>
        <c:ser>
          <c:idx val="3"/>
          <c:order val="3"/>
          <c:tx>
            <c:strRef>
              <c:f>Run73notes!$R$1</c:f>
              <c:strCache>
                <c:ptCount val="1"/>
                <c:pt idx="0">
                  <c:v>pF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Run73notes!$H$2:$H$14</c:f>
              <c:strCache>
                <c:ptCount val="13"/>
                <c:pt idx="0">
                  <c:v>07200831_2206</c:v>
                </c:pt>
                <c:pt idx="1">
                  <c:v>07200909_0847</c:v>
                </c:pt>
                <c:pt idx="2">
                  <c:v>07200913_1430</c:v>
                </c:pt>
                <c:pt idx="3">
                  <c:v>07200922_1438</c:v>
                </c:pt>
                <c:pt idx="4">
                  <c:v>07201010_2107</c:v>
                </c:pt>
                <c:pt idx="5">
                  <c:v>07201013_1643</c:v>
                </c:pt>
                <c:pt idx="6">
                  <c:v>07201014_1653</c:v>
                </c:pt>
                <c:pt idx="7">
                  <c:v>07201016_2053</c:v>
                </c:pt>
                <c:pt idx="8">
                  <c:v>07201017_1636</c:v>
                </c:pt>
                <c:pt idx="9">
                  <c:v>07201022_1722</c:v>
                </c:pt>
                <c:pt idx="10">
                  <c:v>07201023_0633</c:v>
                </c:pt>
                <c:pt idx="11">
                  <c:v>07201024_1749</c:v>
                </c:pt>
                <c:pt idx="12">
                  <c:v>07201027_2114</c:v>
                </c:pt>
              </c:strCache>
            </c:strRef>
          </c:cat>
          <c:val>
            <c:numRef>
              <c:f>Run73notes!$R$2:$R$14</c:f>
              <c:numCache>
                <c:formatCode>General</c:formatCode>
                <c:ptCount val="13"/>
                <c:pt idx="0">
                  <c:v>0.90476190476190466</c:v>
                </c:pt>
                <c:pt idx="1">
                  <c:v>1.2545454545454544</c:v>
                </c:pt>
                <c:pt idx="2">
                  <c:v>0.92727272727272725</c:v>
                </c:pt>
                <c:pt idx="3">
                  <c:v>1.1363636363636362</c:v>
                </c:pt>
                <c:pt idx="4">
                  <c:v>1.5545454545454545</c:v>
                </c:pt>
                <c:pt idx="5">
                  <c:v>0.65</c:v>
                </c:pt>
                <c:pt idx="6">
                  <c:v>1.0909090909090908</c:v>
                </c:pt>
                <c:pt idx="7">
                  <c:v>0.6785714285714286</c:v>
                </c:pt>
                <c:pt idx="8">
                  <c:v>1.0666666666666667</c:v>
                </c:pt>
                <c:pt idx="9">
                  <c:v>0.6</c:v>
                </c:pt>
                <c:pt idx="10">
                  <c:v>0.52631578947368418</c:v>
                </c:pt>
                <c:pt idx="11">
                  <c:v>0.6</c:v>
                </c:pt>
                <c:pt idx="12">
                  <c:v>0.47777777777777775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AD-4E14-A704-551EE9325E33}"/>
            </c:ext>
          </c:extLst>
        </c:ser>
        <c:ser>
          <c:idx val="4"/>
          <c:order val="4"/>
          <c:tx>
            <c:strRef>
              <c:f>Run73notes!$S$1</c:f>
              <c:strCache>
                <c:ptCount val="1"/>
                <c:pt idx="0">
                  <c:v>pA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Run73notes!$H$2:$H$14</c:f>
              <c:strCache>
                <c:ptCount val="13"/>
                <c:pt idx="0">
                  <c:v>07200831_2206</c:v>
                </c:pt>
                <c:pt idx="1">
                  <c:v>07200909_0847</c:v>
                </c:pt>
                <c:pt idx="2">
                  <c:v>07200913_1430</c:v>
                </c:pt>
                <c:pt idx="3">
                  <c:v>07200922_1438</c:v>
                </c:pt>
                <c:pt idx="4">
                  <c:v>07201010_2107</c:v>
                </c:pt>
                <c:pt idx="5">
                  <c:v>07201013_1643</c:v>
                </c:pt>
                <c:pt idx="6">
                  <c:v>07201014_1653</c:v>
                </c:pt>
                <c:pt idx="7">
                  <c:v>07201016_2053</c:v>
                </c:pt>
                <c:pt idx="8">
                  <c:v>07201017_1636</c:v>
                </c:pt>
                <c:pt idx="9">
                  <c:v>07201022_1722</c:v>
                </c:pt>
                <c:pt idx="10">
                  <c:v>07201023_0633</c:v>
                </c:pt>
                <c:pt idx="11">
                  <c:v>07201024_1749</c:v>
                </c:pt>
                <c:pt idx="12">
                  <c:v>07201027_2114</c:v>
                </c:pt>
              </c:strCache>
            </c:strRef>
          </c:cat>
          <c:val>
            <c:numRef>
              <c:f>Run73notes!$S$2:$S$14</c:f>
              <c:numCache>
                <c:formatCode>General</c:formatCode>
                <c:ptCount val="13"/>
                <c:pt idx="0">
                  <c:v>0.95</c:v>
                </c:pt>
                <c:pt idx="1">
                  <c:v>1.38</c:v>
                </c:pt>
                <c:pt idx="2">
                  <c:v>1.02</c:v>
                </c:pt>
                <c:pt idx="3">
                  <c:v>1.25</c:v>
                </c:pt>
                <c:pt idx="4">
                  <c:v>1.71</c:v>
                </c:pt>
                <c:pt idx="5">
                  <c:v>1.3</c:v>
                </c:pt>
                <c:pt idx="6">
                  <c:v>1.2</c:v>
                </c:pt>
                <c:pt idx="7">
                  <c:v>0.95</c:v>
                </c:pt>
                <c:pt idx="8">
                  <c:v>1.1200000000000001</c:v>
                </c:pt>
                <c:pt idx="9">
                  <c:v>0.84</c:v>
                </c:pt>
                <c:pt idx="10">
                  <c:v>1</c:v>
                </c:pt>
                <c:pt idx="11">
                  <c:v>0.84</c:v>
                </c:pt>
                <c:pt idx="12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AD-4E14-A704-551EE9325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113199"/>
        <c:axId val="665601583"/>
      </c:lineChart>
      <c:catAx>
        <c:axId val="72511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601583"/>
        <c:crosses val="autoZero"/>
        <c:auto val="1"/>
        <c:lblAlgn val="ctr"/>
        <c:lblOffset val="100"/>
        <c:noMultiLvlLbl val="0"/>
      </c:catAx>
      <c:valAx>
        <c:axId val="66560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11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'Run74'!$W$94:$W$104</c:f>
              <c:numCache>
                <c:formatCode>General</c:formatCode>
                <c:ptCount val="11"/>
                <c:pt idx="0">
                  <c:v>0.66710000000000003</c:v>
                </c:pt>
                <c:pt idx="1">
                  <c:v>0.66590000000000005</c:v>
                </c:pt>
                <c:pt idx="2">
                  <c:v>0.68969999999999998</c:v>
                </c:pt>
                <c:pt idx="4">
                  <c:v>0.94689999999999996</c:v>
                </c:pt>
                <c:pt idx="5">
                  <c:v>0.77910000000000001</c:v>
                </c:pt>
                <c:pt idx="6">
                  <c:v>0.78459999999999996</c:v>
                </c:pt>
                <c:pt idx="8">
                  <c:v>0.74929999999999997</c:v>
                </c:pt>
                <c:pt idx="9">
                  <c:v>0.77439999999999998</c:v>
                </c:pt>
                <c:pt idx="10">
                  <c:v>0.82199999999999995</c:v>
                </c:pt>
              </c:numCache>
            </c:numRef>
          </c:xVal>
          <c:yVal>
            <c:numRef>
              <c:f>'Run74'!$X$94:$X$104</c:f>
              <c:numCache>
                <c:formatCode>General</c:formatCode>
                <c:ptCount val="11"/>
                <c:pt idx="0">
                  <c:v>1.2</c:v>
                </c:pt>
                <c:pt idx="5">
                  <c:v>2.2999999999999998</c:v>
                </c:pt>
                <c:pt idx="6">
                  <c:v>2.5</c:v>
                </c:pt>
                <c:pt idx="10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DC-4DAA-86BA-6741577C5D4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'Run74'!$W$94:$W$104</c:f>
              <c:numCache>
                <c:formatCode>General</c:formatCode>
                <c:ptCount val="11"/>
                <c:pt idx="0">
                  <c:v>0.66710000000000003</c:v>
                </c:pt>
                <c:pt idx="1">
                  <c:v>0.66590000000000005</c:v>
                </c:pt>
                <c:pt idx="2">
                  <c:v>0.68969999999999998</c:v>
                </c:pt>
                <c:pt idx="4">
                  <c:v>0.94689999999999996</c:v>
                </c:pt>
                <c:pt idx="5">
                  <c:v>0.77910000000000001</c:v>
                </c:pt>
                <c:pt idx="6">
                  <c:v>0.78459999999999996</c:v>
                </c:pt>
                <c:pt idx="8">
                  <c:v>0.74929999999999997</c:v>
                </c:pt>
                <c:pt idx="9">
                  <c:v>0.77439999999999998</c:v>
                </c:pt>
                <c:pt idx="10">
                  <c:v>0.82199999999999995</c:v>
                </c:pt>
              </c:numCache>
            </c:numRef>
          </c:xVal>
          <c:yVal>
            <c:numRef>
              <c:f>'Run74'!$Y$94:$Y$104</c:f>
              <c:numCache>
                <c:formatCode>General</c:formatCode>
                <c:ptCount val="11"/>
                <c:pt idx="1">
                  <c:v>1.2</c:v>
                </c:pt>
                <c:pt idx="2">
                  <c:v>1.2</c:v>
                </c:pt>
                <c:pt idx="4">
                  <c:v>1.2</c:v>
                </c:pt>
                <c:pt idx="8">
                  <c:v>2.5</c:v>
                </c:pt>
                <c:pt idx="9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DC-4DAA-86BA-6741577C5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31016"/>
        <c:axId val="1926055176"/>
      </c:scatterChart>
      <c:valAx>
        <c:axId val="210231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055176"/>
        <c:crosses val="autoZero"/>
        <c:crossBetween val="midCat"/>
      </c:valAx>
      <c:valAx>
        <c:axId val="192605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31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361950</xdr:colOff>
      <xdr:row>20</xdr:row>
      <xdr:rowOff>95250</xdr:rowOff>
    </xdr:from>
    <xdr:to>
      <xdr:col>32</xdr:col>
      <xdr:colOff>123825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142875</xdr:colOff>
      <xdr:row>39</xdr:row>
      <xdr:rowOff>28575</xdr:rowOff>
    </xdr:from>
    <xdr:to>
      <xdr:col>31</xdr:col>
      <xdr:colOff>504825</xdr:colOff>
      <xdr:row>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257175</xdr:colOff>
      <xdr:row>60</xdr:row>
      <xdr:rowOff>9525</xdr:rowOff>
    </xdr:from>
    <xdr:to>
      <xdr:col>26</xdr:col>
      <xdr:colOff>571500</xdr:colOff>
      <xdr:row>73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  <a:ext uri="{147F2762-F138-4A5C-976F-8EAC2B608ADB}">
              <a16:predDERef xmlns:a16="http://schemas.microsoft.com/office/drawing/2014/main" pre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409575</xdr:colOff>
      <xdr:row>58</xdr:row>
      <xdr:rowOff>180975</xdr:rowOff>
    </xdr:from>
    <xdr:to>
      <xdr:col>32</xdr:col>
      <xdr:colOff>533400</xdr:colOff>
      <xdr:row>72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  <a:ext uri="{147F2762-F138-4A5C-976F-8EAC2B608ADB}">
              <a16:predDERef xmlns:a16="http://schemas.microsoft.com/office/drawing/2014/main" pre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104775</xdr:colOff>
      <xdr:row>198</xdr:row>
      <xdr:rowOff>180975</xdr:rowOff>
    </xdr:from>
    <xdr:to>
      <xdr:col>26</xdr:col>
      <xdr:colOff>95250</xdr:colOff>
      <xdr:row>212</xdr:row>
      <xdr:rowOff>123825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  <a:ext uri="{147F2762-F138-4A5C-976F-8EAC2B608ADB}">
              <a16:predDERef xmlns:a16="http://schemas.microsoft.com/office/drawing/2014/main" pre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638175</xdr:colOff>
      <xdr:row>167</xdr:row>
      <xdr:rowOff>0</xdr:rowOff>
    </xdr:from>
    <xdr:to>
      <xdr:col>23</xdr:col>
      <xdr:colOff>361950</xdr:colOff>
      <xdr:row>180</xdr:row>
      <xdr:rowOff>142875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300-000016000000}"/>
            </a:ext>
            <a:ext uri="{147F2762-F138-4A5C-976F-8EAC2B608ADB}">
              <a16:predDERef xmlns:a16="http://schemas.microsoft.com/office/drawing/2014/main" pre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30</xdr:row>
      <xdr:rowOff>123825</xdr:rowOff>
    </xdr:from>
    <xdr:to>
      <xdr:col>22</xdr:col>
      <xdr:colOff>390525</xdr:colOff>
      <xdr:row>45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314325</xdr:colOff>
      <xdr:row>391</xdr:row>
      <xdr:rowOff>66675</xdr:rowOff>
    </xdr:from>
    <xdr:to>
      <xdr:col>39</xdr:col>
      <xdr:colOff>85725</xdr:colOff>
      <xdr:row>405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476250</xdr:colOff>
      <xdr:row>405</xdr:row>
      <xdr:rowOff>95250</xdr:rowOff>
    </xdr:from>
    <xdr:to>
      <xdr:col>36</xdr:col>
      <xdr:colOff>247650</xdr:colOff>
      <xdr:row>419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  <a:ext uri="{147F2762-F138-4A5C-976F-8EAC2B608ADB}">
              <a16:predDERef xmlns:a16="http://schemas.microsoft.com/office/drawing/2014/main" pre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609600</xdr:colOff>
      <xdr:row>405</xdr:row>
      <xdr:rowOff>95250</xdr:rowOff>
    </xdr:from>
    <xdr:to>
      <xdr:col>29</xdr:col>
      <xdr:colOff>381000</xdr:colOff>
      <xdr:row>419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  <a:ext uri="{147F2762-F138-4A5C-976F-8EAC2B608ADB}">
              <a16:predDERef xmlns:a16="http://schemas.microsoft.com/office/drawing/2014/main" pre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247650</xdr:colOff>
      <xdr:row>404</xdr:row>
      <xdr:rowOff>38100</xdr:rowOff>
    </xdr:from>
    <xdr:to>
      <xdr:col>29</xdr:col>
      <xdr:colOff>19050</xdr:colOff>
      <xdr:row>418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  <a:ext uri="{147F2762-F138-4A5C-976F-8EAC2B608ADB}">
              <a16:predDERef xmlns:a16="http://schemas.microsoft.com/office/drawing/2014/main" pre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28575</xdr:colOff>
      <xdr:row>407</xdr:row>
      <xdr:rowOff>9525</xdr:rowOff>
    </xdr:from>
    <xdr:to>
      <xdr:col>25</xdr:col>
      <xdr:colOff>485775</xdr:colOff>
      <xdr:row>421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  <a:ext uri="{147F2762-F138-4A5C-976F-8EAC2B608ADB}">
              <a16:predDERef xmlns:a16="http://schemas.microsoft.com/office/drawing/2014/main" pre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361950</xdr:colOff>
      <xdr:row>68</xdr:row>
      <xdr:rowOff>19050</xdr:rowOff>
    </xdr:from>
    <xdr:to>
      <xdr:col>25</xdr:col>
      <xdr:colOff>133350</xdr:colOff>
      <xdr:row>82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409575</xdr:colOff>
      <xdr:row>8</xdr:row>
      <xdr:rowOff>104775</xdr:rowOff>
    </xdr:from>
    <xdr:to>
      <xdr:col>27</xdr:col>
      <xdr:colOff>180975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666750</xdr:colOff>
      <xdr:row>103</xdr:row>
      <xdr:rowOff>28575</xdr:rowOff>
    </xdr:from>
    <xdr:to>
      <xdr:col>23</xdr:col>
      <xdr:colOff>438150</xdr:colOff>
      <xdr:row>117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466725</xdr:colOff>
      <xdr:row>1859</xdr:row>
      <xdr:rowOff>180975</xdr:rowOff>
    </xdr:from>
    <xdr:to>
      <xdr:col>24</xdr:col>
      <xdr:colOff>600075</xdr:colOff>
      <xdr:row>1874</xdr:row>
      <xdr:rowOff>66675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AD72E1B1-78AE-46D0-B6B8-C10918110004}"/>
            </a:ext>
            <a:ext uri="{147F2762-F138-4A5C-976F-8EAC2B608ADB}">
              <a16:predDERef xmlns:a16="http://schemas.microsoft.com/office/drawing/2014/main" pre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561975</xdr:colOff>
      <xdr:row>1858</xdr:row>
      <xdr:rowOff>133350</xdr:rowOff>
    </xdr:from>
    <xdr:to>
      <xdr:col>30</xdr:col>
      <xdr:colOff>257175</xdr:colOff>
      <xdr:row>1873</xdr:row>
      <xdr:rowOff>19050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7241752B-30B4-4FB7-8A06-60EC268463DA}"/>
            </a:ext>
            <a:ext uri="{147F2762-F138-4A5C-976F-8EAC2B608ADB}">
              <a16:predDERef xmlns:a16="http://schemas.microsoft.com/office/drawing/2014/main" pred="{AD72E1B1-78AE-46D0-B6B8-C10918110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49530</xdr:rowOff>
    </xdr:from>
    <xdr:to>
      <xdr:col>7</xdr:col>
      <xdr:colOff>304800</xdr:colOff>
      <xdr:row>25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0CF00B-D5FB-4C0D-9195-602783D89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238125</xdr:colOff>
      <xdr:row>93</xdr:row>
      <xdr:rowOff>38100</xdr:rowOff>
    </xdr:from>
    <xdr:to>
      <xdr:col>33</xdr:col>
      <xdr:colOff>542925</xdr:colOff>
      <xdr:row>107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FAFB7A-7EC3-4375-98B2-458A7A1F0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athryn Harris" id="{A11FF72E-D9EC-4D41-903F-D9914E74F351}" userId="081f3bbe3ad79fa5" providerId="Windows Live"/>
  <person displayName="Matt Fritts" id="{F68B827A-6910-4A68-AE6E-0D32F6409156}" userId="c3502b019e9cf5b9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2-05-31T19:25:04.99" personId="{F68B827A-6910-4A68-AE6E-0D32F6409156}" id="{3DF33A8A-074C-440D-9694-4CBBD88E0C64}" done="1">
    <text>/data/chocula/fritts/data/k100proc/midasrq/byseries/</text>
  </threadedComment>
  <threadedComment ref="S9" dT="2023-07-12T19:45:10.72" personId="{A11FF72E-D9EC-4D41-903F-D9914E74F351}" id="{8254BB9D-187D-4B08-B184-EABF902A3436}">
    <text>offset 18000 for all baseline corrections unless stated otherwise. (At time of writing this was true for all baseline corrections, no exceptions.)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3" Type="http://schemas.openxmlformats.org/officeDocument/2006/relationships/hyperlink" Target="https://zzz.physics.umn.edu/!cdms/cdms/k100/run_diary/20220831" TargetMode="External"/><Relationship Id="rId18" Type="http://schemas.openxmlformats.org/officeDocument/2006/relationships/hyperlink" Target="https://zzz.physics.umn.edu/!cdms/cdms/k100/run_diary/20220913" TargetMode="External"/><Relationship Id="rId26" Type="http://schemas.openxmlformats.org/officeDocument/2006/relationships/hyperlink" Target="https://zzz.physics.umn.edu/!cdms/cdms/k100/run_diary/20220925" TargetMode="External"/><Relationship Id="rId39" Type="http://schemas.openxmlformats.org/officeDocument/2006/relationships/hyperlink" Target="https://zzz.physics.umn.edu/!cdms/cdms/k100/run_diary/20221206" TargetMode="External"/><Relationship Id="rId21" Type="http://schemas.openxmlformats.org/officeDocument/2006/relationships/hyperlink" Target="https://zzz.physics.umn.edu/!cdms/cdms/k100/run_diary/20220919" TargetMode="External"/><Relationship Id="rId34" Type="http://schemas.openxmlformats.org/officeDocument/2006/relationships/hyperlink" Target="https://zzz.physics.umn.edu/!cdms/cdms/k100/run_diary/20221112" TargetMode="External"/><Relationship Id="rId42" Type="http://schemas.microsoft.com/office/2017/10/relationships/threadedComment" Target="../threadedComments/threadedComment1.xml"/><Relationship Id="rId7" Type="http://schemas.openxmlformats.org/officeDocument/2006/relationships/hyperlink" Target="https://zzz.physics.umn.edu/!cdms/cdms/k100/run_diary/20220706" TargetMode="External"/><Relationship Id="rId2" Type="http://schemas.openxmlformats.org/officeDocument/2006/relationships/hyperlink" Target="https://zzz.physics.umn.edu/!cdms/cdms/k100/run_diary/20220617" TargetMode="External"/><Relationship Id="rId16" Type="http://schemas.openxmlformats.org/officeDocument/2006/relationships/hyperlink" Target="https://zzz.physics.umn.edu/!cdms/cdms/k100/run_diary/20220910" TargetMode="External"/><Relationship Id="rId20" Type="http://schemas.openxmlformats.org/officeDocument/2006/relationships/hyperlink" Target="https://zzz.physics.umn.edu/!cdms/cdms/k100/run_diary/20220917" TargetMode="External"/><Relationship Id="rId29" Type="http://schemas.openxmlformats.org/officeDocument/2006/relationships/hyperlink" Target="https://zzz.physics.umn.edu/!cdms/cdms/k100/run_diary/20221021" TargetMode="External"/><Relationship Id="rId41" Type="http://schemas.openxmlformats.org/officeDocument/2006/relationships/comments" Target="../comments7.xml"/><Relationship Id="rId1" Type="http://schemas.openxmlformats.org/officeDocument/2006/relationships/hyperlink" Target="https://zzz.physics.umn.edu/!cdms/cdms/k100/run_diary/20220401" TargetMode="External"/><Relationship Id="rId6" Type="http://schemas.openxmlformats.org/officeDocument/2006/relationships/hyperlink" Target="https://zzz.physics.umn.edu/!cdms/cdms/k100/run_diary/20220705" TargetMode="External"/><Relationship Id="rId11" Type="http://schemas.openxmlformats.org/officeDocument/2006/relationships/hyperlink" Target="https://zzz.physics.umn.edu/!cdms/cdms/k100/run_diary/20220711" TargetMode="External"/><Relationship Id="rId24" Type="http://schemas.openxmlformats.org/officeDocument/2006/relationships/hyperlink" Target="https://zzz.physics.umn.edu/!cdms/cdms/k100/run_diary/20220923" TargetMode="External"/><Relationship Id="rId32" Type="http://schemas.openxmlformats.org/officeDocument/2006/relationships/hyperlink" Target="https://zzz.physics.umn.edu/!cdms/cdms/k100/run_diary/20221027" TargetMode="External"/><Relationship Id="rId37" Type="http://schemas.openxmlformats.org/officeDocument/2006/relationships/hyperlink" Target="https://zzz.physics.umn.edu/!cdms/cdms/k100/run_diary/20221115" TargetMode="External"/><Relationship Id="rId40" Type="http://schemas.openxmlformats.org/officeDocument/2006/relationships/vmlDrawing" Target="../drawings/vmlDrawing7.vml"/><Relationship Id="rId5" Type="http://schemas.openxmlformats.org/officeDocument/2006/relationships/hyperlink" Target="https://zzz.physics.umn.edu/!cdms/cdms/k100/run_diary/20220704" TargetMode="External"/><Relationship Id="rId15" Type="http://schemas.openxmlformats.org/officeDocument/2006/relationships/hyperlink" Target="https://zzz.physics.umn.edu/!cdms/cdms/k100/run_diary/20220909" TargetMode="External"/><Relationship Id="rId23" Type="http://schemas.openxmlformats.org/officeDocument/2006/relationships/hyperlink" Target="https://zzz.physics.umn.edu/!cdms/cdms/k100/run_diary/20220921" TargetMode="External"/><Relationship Id="rId28" Type="http://schemas.openxmlformats.org/officeDocument/2006/relationships/hyperlink" Target="https://zzz.physics.umn.edu/!cdms/cdms/k100/run_diary/20221020" TargetMode="External"/><Relationship Id="rId36" Type="http://schemas.openxmlformats.org/officeDocument/2006/relationships/hyperlink" Target="https://zzz.physics.umn.edu/!cdms/cdms/k100/run_diary/20221114" TargetMode="External"/><Relationship Id="rId10" Type="http://schemas.openxmlformats.org/officeDocument/2006/relationships/hyperlink" Target="https://zzz.physics.umn.edu/!cdms/cdms/k100/run_diary/20220709" TargetMode="External"/><Relationship Id="rId19" Type="http://schemas.openxmlformats.org/officeDocument/2006/relationships/hyperlink" Target="https://zzz.physics.umn.edu/!cdms/cdms/k100/run_diary/20220916" TargetMode="External"/><Relationship Id="rId31" Type="http://schemas.openxmlformats.org/officeDocument/2006/relationships/hyperlink" Target="https://zzz.physics.umn.edu/!cdms/cdms/k100/run_diary/20221026" TargetMode="External"/><Relationship Id="rId4" Type="http://schemas.openxmlformats.org/officeDocument/2006/relationships/hyperlink" Target="https://zzz.physics.umn.edu/!cdms/cdms/k100/run_diary/20220703" TargetMode="External"/><Relationship Id="rId9" Type="http://schemas.openxmlformats.org/officeDocument/2006/relationships/hyperlink" Target="https://zzz.physics.umn.edu/!cdms/cdms/k100/run_diary/20220708" TargetMode="External"/><Relationship Id="rId14" Type="http://schemas.openxmlformats.org/officeDocument/2006/relationships/hyperlink" Target="https://zzz.physics.umn.edu/!cdms/cdms/k100/run_diary/20220906" TargetMode="External"/><Relationship Id="rId22" Type="http://schemas.openxmlformats.org/officeDocument/2006/relationships/hyperlink" Target="https://zzz.physics.umn.edu/!cdms/cdms/k100/run_diary/20220920" TargetMode="External"/><Relationship Id="rId27" Type="http://schemas.openxmlformats.org/officeDocument/2006/relationships/hyperlink" Target="https://zzz.physics.umn.edu/!cdms/cdms/k100/run_diary/20221019" TargetMode="External"/><Relationship Id="rId30" Type="http://schemas.openxmlformats.org/officeDocument/2006/relationships/hyperlink" Target="https://zzz.physics.umn.edu/!cdms/cdms/k100/run_diary/20221025" TargetMode="External"/><Relationship Id="rId35" Type="http://schemas.openxmlformats.org/officeDocument/2006/relationships/hyperlink" Target="https://zzz.physics.umn.edu/!cdms/cdms/k100/run_diary/20221111" TargetMode="External"/><Relationship Id="rId8" Type="http://schemas.openxmlformats.org/officeDocument/2006/relationships/hyperlink" Target="https://zzz.physics.umn.edu/!cdms/cdms/k100/run_diary/20220707" TargetMode="External"/><Relationship Id="rId3" Type="http://schemas.openxmlformats.org/officeDocument/2006/relationships/hyperlink" Target="https://zzz.physics.umn.edu/!cdms/cdms/k100/run_diary/20220702" TargetMode="External"/><Relationship Id="rId12" Type="http://schemas.openxmlformats.org/officeDocument/2006/relationships/hyperlink" Target="https://zzz.physics.umn.edu/!cdms/cdms/k100/run_diary/20220830" TargetMode="External"/><Relationship Id="rId17" Type="http://schemas.openxmlformats.org/officeDocument/2006/relationships/hyperlink" Target="https://zzz.physics.umn.edu/!cdms/cdms/k100/run_diary/20220912" TargetMode="External"/><Relationship Id="rId25" Type="http://schemas.openxmlformats.org/officeDocument/2006/relationships/hyperlink" Target="https://zzz.physics.umn.edu/!cdms/cdms/k100/run_diary/20220924" TargetMode="External"/><Relationship Id="rId33" Type="http://schemas.openxmlformats.org/officeDocument/2006/relationships/hyperlink" Target="https://zzz.physics.umn.edu/!cdms/cdms/k100/run_diary/20221111" TargetMode="External"/><Relationship Id="rId38" Type="http://schemas.openxmlformats.org/officeDocument/2006/relationships/hyperlink" Target="https://zzz.physics.umn.edu/!cdms/cdms/k100/run_diary/202211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67"/>
  <sheetViews>
    <sheetView workbookViewId="0">
      <pane ySplit="4" topLeftCell="A61" activePane="bottomLeft" state="frozen"/>
      <selection pane="bottomLeft" activeCell="K65" sqref="K65"/>
    </sheetView>
  </sheetViews>
  <sheetFormatPr defaultRowHeight="14.45"/>
  <cols>
    <col min="1" max="1" width="20.140625" customWidth="1"/>
    <col min="2" max="3" width="3.85546875" customWidth="1"/>
    <col min="4" max="4" width="5.5703125" customWidth="1"/>
    <col min="5" max="5" width="5.140625" customWidth="1"/>
    <col min="6" max="6" width="4.140625" customWidth="1"/>
    <col min="7" max="7" width="3.42578125" customWidth="1"/>
    <col min="8" max="8" width="25.7109375" bestFit="1" customWidth="1"/>
    <col min="9" max="9" width="7.85546875" bestFit="1" customWidth="1"/>
    <col min="10" max="10" width="15.140625" bestFit="1" customWidth="1"/>
    <col min="11" max="11" width="15.85546875" bestFit="1" customWidth="1"/>
    <col min="12" max="12" width="14.42578125" bestFit="1" customWidth="1"/>
    <col min="14" max="14" width="21.7109375" bestFit="1" customWidth="1"/>
    <col min="15" max="15" width="5.42578125" bestFit="1" customWidth="1"/>
    <col min="16" max="16" width="6.42578125" bestFit="1" customWidth="1"/>
    <col min="18" max="18" width="14.85546875" bestFit="1" customWidth="1"/>
    <col min="19" max="19" width="13.28515625" bestFit="1" customWidth="1"/>
  </cols>
  <sheetData>
    <row r="1" spans="1:16">
      <c r="L1" s="17">
        <v>25569</v>
      </c>
    </row>
    <row r="4" spans="1:16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</row>
    <row r="5" spans="1:16">
      <c r="A5" t="s">
        <v>16</v>
      </c>
      <c r="B5" t="s">
        <v>17</v>
      </c>
      <c r="C5">
        <v>55</v>
      </c>
      <c r="D5">
        <v>2000</v>
      </c>
      <c r="E5">
        <v>1000</v>
      </c>
      <c r="F5">
        <v>30</v>
      </c>
      <c r="G5" t="s">
        <v>18</v>
      </c>
      <c r="H5" t="s">
        <v>19</v>
      </c>
      <c r="I5" t="s">
        <v>20</v>
      </c>
      <c r="J5" t="str">
        <f t="shared" ref="J5:J36" si="0">""""&amp;A5&amp;""""</f>
        <v>"07151208_1609"</v>
      </c>
      <c r="K5" s="1">
        <f t="shared" ref="K5:K36" si="1">DATE(2000+MID(A5,3,2),MID(A5,5,2),MID(A5,7,2))+TIME(MID(A5,10,2),MID(A5,12,2),0)</f>
        <v>42346.67291666667</v>
      </c>
      <c r="L5" s="19">
        <f t="shared" ref="L5:L36" si="2">(K5-25569)*24*60</f>
        <v>24159849.000000004</v>
      </c>
      <c r="M5" s="5" t="s">
        <v>21</v>
      </c>
    </row>
    <row r="6" spans="1:16">
      <c r="A6" t="s">
        <v>22</v>
      </c>
      <c r="B6" t="s">
        <v>17</v>
      </c>
      <c r="C6">
        <v>55</v>
      </c>
      <c r="D6">
        <v>2000</v>
      </c>
      <c r="E6">
        <v>1000</v>
      </c>
      <c r="F6">
        <v>30</v>
      </c>
      <c r="G6" t="s">
        <v>18</v>
      </c>
      <c r="H6" t="s">
        <v>19</v>
      </c>
      <c r="I6" t="s">
        <v>20</v>
      </c>
      <c r="J6" t="str">
        <f t="shared" si="0"/>
        <v>"07151208_1623"</v>
      </c>
      <c r="K6" s="1">
        <f t="shared" si="1"/>
        <v>42346.682638888888</v>
      </c>
      <c r="L6" s="19">
        <f t="shared" si="2"/>
        <v>24159863</v>
      </c>
      <c r="M6" s="5" t="s">
        <v>21</v>
      </c>
    </row>
    <row r="7" spans="1:16">
      <c r="A7" t="s">
        <v>23</v>
      </c>
      <c r="B7" t="s">
        <v>17</v>
      </c>
      <c r="C7">
        <v>55</v>
      </c>
      <c r="D7">
        <v>2000</v>
      </c>
      <c r="E7">
        <v>1000</v>
      </c>
      <c r="F7">
        <v>30</v>
      </c>
      <c r="G7" t="s">
        <v>18</v>
      </c>
      <c r="H7" t="s">
        <v>19</v>
      </c>
      <c r="I7" t="s">
        <v>20</v>
      </c>
      <c r="J7" t="str">
        <f t="shared" si="0"/>
        <v>"07151208_1644"</v>
      </c>
      <c r="K7" s="1">
        <f t="shared" si="1"/>
        <v>42346.697222222225</v>
      </c>
      <c r="L7" s="19">
        <f t="shared" si="2"/>
        <v>24159884.000000004</v>
      </c>
      <c r="M7" s="5" t="s">
        <v>21</v>
      </c>
    </row>
    <row r="8" spans="1:16">
      <c r="A8" t="s">
        <v>24</v>
      </c>
      <c r="B8" t="s">
        <v>17</v>
      </c>
      <c r="C8">
        <v>55</v>
      </c>
      <c r="D8">
        <v>2000</v>
      </c>
      <c r="E8">
        <v>1000</v>
      </c>
      <c r="F8">
        <v>30</v>
      </c>
      <c r="G8" t="s">
        <v>18</v>
      </c>
      <c r="H8" t="s">
        <v>25</v>
      </c>
      <c r="I8" t="s">
        <v>20</v>
      </c>
      <c r="J8" t="str">
        <f t="shared" si="0"/>
        <v>"07151208_1744"</v>
      </c>
      <c r="K8" s="1">
        <f t="shared" si="1"/>
        <v>42346.738888888889</v>
      </c>
      <c r="L8" s="19">
        <f t="shared" si="2"/>
        <v>24159944</v>
      </c>
      <c r="M8" s="5" t="s">
        <v>21</v>
      </c>
    </row>
    <row r="9" spans="1:16">
      <c r="A9" t="s">
        <v>26</v>
      </c>
      <c r="B9" t="s">
        <v>17</v>
      </c>
      <c r="C9">
        <v>55</v>
      </c>
      <c r="D9">
        <v>2000</v>
      </c>
      <c r="E9">
        <v>1000</v>
      </c>
      <c r="F9">
        <v>30</v>
      </c>
      <c r="G9" t="s">
        <v>18</v>
      </c>
      <c r="H9" t="s">
        <v>19</v>
      </c>
      <c r="I9" t="s">
        <v>20</v>
      </c>
      <c r="J9" t="str">
        <f t="shared" si="0"/>
        <v>"07151208_1843"</v>
      </c>
      <c r="K9" s="1">
        <f t="shared" si="1"/>
        <v>42346.779861111114</v>
      </c>
      <c r="L9" s="19">
        <f t="shared" si="2"/>
        <v>24160003.000000004</v>
      </c>
      <c r="M9" s="5" t="s">
        <v>21</v>
      </c>
    </row>
    <row r="10" spans="1:16">
      <c r="A10" t="s">
        <v>27</v>
      </c>
      <c r="B10" t="s">
        <v>17</v>
      </c>
      <c r="C10">
        <v>55</v>
      </c>
      <c r="D10">
        <v>2000</v>
      </c>
      <c r="E10">
        <v>1000</v>
      </c>
      <c r="F10">
        <v>30</v>
      </c>
      <c r="G10" t="s">
        <v>18</v>
      </c>
      <c r="H10" t="s">
        <v>25</v>
      </c>
      <c r="I10" t="s">
        <v>20</v>
      </c>
      <c r="J10" t="str">
        <f t="shared" si="0"/>
        <v>"07151208_1949"</v>
      </c>
      <c r="K10" s="1">
        <f t="shared" si="1"/>
        <v>42346.825694444444</v>
      </c>
      <c r="L10" s="19">
        <f t="shared" si="2"/>
        <v>24160069</v>
      </c>
      <c r="M10" s="5" t="s">
        <v>21</v>
      </c>
    </row>
    <row r="11" spans="1:16">
      <c r="A11" t="s">
        <v>28</v>
      </c>
      <c r="B11" t="s">
        <v>17</v>
      </c>
      <c r="C11">
        <v>55</v>
      </c>
      <c r="D11">
        <v>2000</v>
      </c>
      <c r="E11">
        <v>1000</v>
      </c>
      <c r="F11">
        <v>30</v>
      </c>
      <c r="G11" t="s">
        <v>18</v>
      </c>
      <c r="H11" t="s">
        <v>19</v>
      </c>
      <c r="I11" t="s">
        <v>20</v>
      </c>
      <c r="J11" t="str">
        <f t="shared" si="0"/>
        <v>"07151208_2049"</v>
      </c>
      <c r="K11" s="1">
        <f t="shared" si="1"/>
        <v>42346.867361111108</v>
      </c>
      <c r="L11" s="19">
        <f t="shared" si="2"/>
        <v>24160128.999999996</v>
      </c>
      <c r="M11" s="5" t="s">
        <v>21</v>
      </c>
    </row>
    <row r="12" spans="1:16">
      <c r="A12" t="s">
        <v>29</v>
      </c>
      <c r="B12" t="s">
        <v>17</v>
      </c>
      <c r="C12">
        <v>55</v>
      </c>
      <c r="D12">
        <v>2000</v>
      </c>
      <c r="E12">
        <v>1000</v>
      </c>
      <c r="F12">
        <v>30</v>
      </c>
      <c r="G12" t="s">
        <v>18</v>
      </c>
      <c r="H12" t="s">
        <v>25</v>
      </c>
      <c r="I12" t="s">
        <v>20</v>
      </c>
      <c r="J12" t="str">
        <f t="shared" si="0"/>
        <v>"07151208_2148"</v>
      </c>
      <c r="K12" s="1">
        <f t="shared" si="1"/>
        <v>42346.908333333333</v>
      </c>
      <c r="L12" s="19">
        <f t="shared" si="2"/>
        <v>24160188</v>
      </c>
      <c r="M12" s="5" t="s">
        <v>21</v>
      </c>
    </row>
    <row r="13" spans="1:16">
      <c r="A13" t="s">
        <v>30</v>
      </c>
      <c r="B13" t="s">
        <v>17</v>
      </c>
      <c r="C13">
        <v>55</v>
      </c>
      <c r="D13">
        <v>2000</v>
      </c>
      <c r="E13">
        <v>1000</v>
      </c>
      <c r="F13">
        <v>30</v>
      </c>
      <c r="G13" t="s">
        <v>18</v>
      </c>
      <c r="H13" t="s">
        <v>19</v>
      </c>
      <c r="I13" t="s">
        <v>20</v>
      </c>
      <c r="J13" t="str">
        <f t="shared" si="0"/>
        <v>"07151208_2248"</v>
      </c>
      <c r="K13" s="1">
        <f t="shared" si="1"/>
        <v>42346.95</v>
      </c>
      <c r="L13" s="19">
        <f t="shared" si="2"/>
        <v>24160247.999999996</v>
      </c>
      <c r="M13" s="5" t="s">
        <v>21</v>
      </c>
    </row>
    <row r="14" spans="1:16">
      <c r="A14" t="s">
        <v>31</v>
      </c>
      <c r="B14" t="s">
        <v>17</v>
      </c>
      <c r="C14">
        <v>55</v>
      </c>
      <c r="D14">
        <v>2000</v>
      </c>
      <c r="E14">
        <v>1000</v>
      </c>
      <c r="F14">
        <v>30</v>
      </c>
      <c r="G14" t="s">
        <v>18</v>
      </c>
      <c r="H14" t="s">
        <v>25</v>
      </c>
      <c r="I14" t="s">
        <v>20</v>
      </c>
      <c r="J14" t="str">
        <f t="shared" si="0"/>
        <v>"07151208_2348"</v>
      </c>
      <c r="K14" s="1">
        <f t="shared" si="1"/>
        <v>42346.991666666669</v>
      </c>
      <c r="L14" s="19">
        <f t="shared" si="2"/>
        <v>24160308.000000004</v>
      </c>
      <c r="M14" s="5" t="s">
        <v>21</v>
      </c>
    </row>
    <row r="15" spans="1:16">
      <c r="A15" t="s">
        <v>32</v>
      </c>
      <c r="B15" t="s">
        <v>17</v>
      </c>
      <c r="C15">
        <v>55</v>
      </c>
      <c r="D15">
        <v>2000</v>
      </c>
      <c r="E15">
        <v>1000</v>
      </c>
      <c r="F15">
        <v>30</v>
      </c>
      <c r="G15" t="s">
        <v>18</v>
      </c>
      <c r="H15" t="s">
        <v>19</v>
      </c>
      <c r="I15" t="s">
        <v>20</v>
      </c>
      <c r="J15" t="str">
        <f t="shared" si="0"/>
        <v>"07151209_0048"</v>
      </c>
      <c r="K15" s="1">
        <f t="shared" si="1"/>
        <v>42347.033333333333</v>
      </c>
      <c r="L15" s="19">
        <f t="shared" si="2"/>
        <v>24160368</v>
      </c>
      <c r="M15" s="5" t="s">
        <v>21</v>
      </c>
    </row>
    <row r="16" spans="1:16">
      <c r="A16" t="s">
        <v>33</v>
      </c>
      <c r="B16" t="s">
        <v>17</v>
      </c>
      <c r="C16">
        <v>55</v>
      </c>
      <c r="D16">
        <v>2000</v>
      </c>
      <c r="E16">
        <v>1000</v>
      </c>
      <c r="F16">
        <v>30</v>
      </c>
      <c r="G16" t="s">
        <v>18</v>
      </c>
      <c r="H16" t="s">
        <v>25</v>
      </c>
      <c r="I16" t="s">
        <v>20</v>
      </c>
      <c r="J16" t="str">
        <f t="shared" si="0"/>
        <v>"07151209_0147"</v>
      </c>
      <c r="K16" s="1">
        <f t="shared" si="1"/>
        <v>42347.074305555558</v>
      </c>
      <c r="L16" s="19">
        <f t="shared" si="2"/>
        <v>24160427.000000004</v>
      </c>
      <c r="M16" s="5" t="s">
        <v>21</v>
      </c>
    </row>
    <row r="17" spans="1:16">
      <c r="A17" t="s">
        <v>34</v>
      </c>
      <c r="B17" t="s">
        <v>17</v>
      </c>
      <c r="C17">
        <v>55</v>
      </c>
      <c r="D17">
        <v>2000</v>
      </c>
      <c r="E17">
        <v>1000</v>
      </c>
      <c r="F17">
        <v>30</v>
      </c>
      <c r="G17" t="s">
        <v>18</v>
      </c>
      <c r="H17" t="s">
        <v>19</v>
      </c>
      <c r="I17" t="s">
        <v>20</v>
      </c>
      <c r="J17" t="str">
        <f t="shared" si="0"/>
        <v>"07151209_0250"</v>
      </c>
      <c r="K17" s="1">
        <f t="shared" si="1"/>
        <v>42347.118055555555</v>
      </c>
      <c r="L17" s="19">
        <f t="shared" si="2"/>
        <v>24160490</v>
      </c>
      <c r="M17" s="5" t="s">
        <v>21</v>
      </c>
    </row>
    <row r="18" spans="1:16">
      <c r="A18" t="s">
        <v>35</v>
      </c>
      <c r="B18" t="s">
        <v>17</v>
      </c>
      <c r="C18">
        <v>55</v>
      </c>
      <c r="D18">
        <v>2000</v>
      </c>
      <c r="E18">
        <v>1000</v>
      </c>
      <c r="F18">
        <v>30</v>
      </c>
      <c r="G18" t="s">
        <v>18</v>
      </c>
      <c r="H18" t="s">
        <v>25</v>
      </c>
      <c r="I18" t="s">
        <v>20</v>
      </c>
      <c r="J18" t="str">
        <f t="shared" si="0"/>
        <v>"07151209_0350"</v>
      </c>
      <c r="K18" s="1">
        <f t="shared" si="1"/>
        <v>42347.159722222219</v>
      </c>
      <c r="L18" s="19">
        <f t="shared" si="2"/>
        <v>24160549.999999996</v>
      </c>
      <c r="M18" s="5" t="s">
        <v>21</v>
      </c>
    </row>
    <row r="19" spans="1:16">
      <c r="A19" t="s">
        <v>36</v>
      </c>
      <c r="B19" t="s">
        <v>17</v>
      </c>
      <c r="C19">
        <v>55</v>
      </c>
      <c r="D19">
        <v>2000</v>
      </c>
      <c r="E19">
        <v>1000</v>
      </c>
      <c r="F19">
        <v>30</v>
      </c>
      <c r="G19" t="s">
        <v>18</v>
      </c>
      <c r="H19" t="s">
        <v>19</v>
      </c>
      <c r="I19" t="s">
        <v>20</v>
      </c>
      <c r="J19" t="str">
        <f t="shared" si="0"/>
        <v>"07151209_0451"</v>
      </c>
      <c r="K19" s="1">
        <f t="shared" si="1"/>
        <v>42347.20208333333</v>
      </c>
      <c r="L19" s="19">
        <f t="shared" si="2"/>
        <v>24160610.999999996</v>
      </c>
      <c r="M19" s="5" t="s">
        <v>21</v>
      </c>
    </row>
    <row r="20" spans="1:16">
      <c r="A20" t="s">
        <v>37</v>
      </c>
      <c r="B20" t="s">
        <v>17</v>
      </c>
      <c r="C20">
        <v>55</v>
      </c>
      <c r="D20">
        <v>2000</v>
      </c>
      <c r="E20">
        <v>1000</v>
      </c>
      <c r="F20">
        <v>30</v>
      </c>
      <c r="G20" t="s">
        <v>18</v>
      </c>
      <c r="H20" t="s">
        <v>25</v>
      </c>
      <c r="I20" t="s">
        <v>20</v>
      </c>
      <c r="J20" t="str">
        <f t="shared" si="0"/>
        <v>"07151209_0550"</v>
      </c>
      <c r="K20" s="1">
        <f t="shared" si="1"/>
        <v>42347.243055555555</v>
      </c>
      <c r="L20" s="19">
        <f t="shared" si="2"/>
        <v>24160670</v>
      </c>
      <c r="M20" s="5" t="s">
        <v>21</v>
      </c>
    </row>
    <row r="21" spans="1:16">
      <c r="A21" t="s">
        <v>38</v>
      </c>
      <c r="B21" t="s">
        <v>17</v>
      </c>
      <c r="C21">
        <v>55</v>
      </c>
      <c r="D21">
        <v>2000</v>
      </c>
      <c r="E21">
        <v>1000</v>
      </c>
      <c r="F21">
        <v>30</v>
      </c>
      <c r="G21" t="s">
        <v>18</v>
      </c>
      <c r="H21" t="s">
        <v>19</v>
      </c>
      <c r="I21" t="s">
        <v>20</v>
      </c>
      <c r="J21" t="str">
        <f t="shared" si="0"/>
        <v>"07151209_0651"</v>
      </c>
      <c r="K21" s="1">
        <f t="shared" si="1"/>
        <v>42347.285416666666</v>
      </c>
      <c r="L21" s="19">
        <f t="shared" si="2"/>
        <v>24160731</v>
      </c>
      <c r="M21" s="5" t="s">
        <v>21</v>
      </c>
    </row>
    <row r="22" spans="1:16">
      <c r="A22" t="s">
        <v>39</v>
      </c>
      <c r="B22" t="s">
        <v>17</v>
      </c>
      <c r="C22">
        <v>55</v>
      </c>
      <c r="D22">
        <v>2000</v>
      </c>
      <c r="E22">
        <v>1000</v>
      </c>
      <c r="F22">
        <v>30</v>
      </c>
      <c r="G22" t="s">
        <v>18</v>
      </c>
      <c r="H22" t="s">
        <v>25</v>
      </c>
      <c r="I22" t="s">
        <v>20</v>
      </c>
      <c r="J22" t="str">
        <f t="shared" si="0"/>
        <v>"07151209_0750"</v>
      </c>
      <c r="K22" s="1">
        <f t="shared" si="1"/>
        <v>42347.326388888891</v>
      </c>
      <c r="L22" s="19">
        <f t="shared" si="2"/>
        <v>24160790.000000004</v>
      </c>
      <c r="M22" s="5" t="s">
        <v>21</v>
      </c>
    </row>
    <row r="23" spans="1:16">
      <c r="A23" t="s">
        <v>40</v>
      </c>
      <c r="B23" t="s">
        <v>17</v>
      </c>
      <c r="C23">
        <v>55</v>
      </c>
      <c r="D23" t="s">
        <v>41</v>
      </c>
      <c r="E23">
        <v>0</v>
      </c>
      <c r="F23">
        <v>1</v>
      </c>
      <c r="G23" t="s">
        <v>18</v>
      </c>
      <c r="H23" t="s">
        <v>42</v>
      </c>
      <c r="I23" t="s">
        <v>20</v>
      </c>
      <c r="J23" t="str">
        <f t="shared" si="0"/>
        <v>"07151216_1700"</v>
      </c>
      <c r="K23" s="1">
        <f t="shared" si="1"/>
        <v>42354.708333333336</v>
      </c>
      <c r="L23" s="19">
        <f t="shared" si="2"/>
        <v>24171420.000000004</v>
      </c>
      <c r="M23" s="6" t="s">
        <v>43</v>
      </c>
      <c r="N23" t="s">
        <v>44</v>
      </c>
      <c r="O23" s="7">
        <f>(VLOOKUP(K23,Sheet3!A:E,4)-VLOOKUP(K23,Sheet3!A:E,3))/(VLOOKUP(K23,Sheet3!A:E,2)-VLOOKUP(K23,Sheet3!A:E,1))*(K23-VLOOKUP(K23,Sheet3!A:E,1))+VLOOKUP(K23,Sheet3!A:E,3)</f>
        <v>0.76722254974015491</v>
      </c>
      <c r="P23" s="7" t="str">
        <f t="shared" ref="P23:P54" si="3">IF(AND(O23&gt;0.2,O23&lt;0.7),"ok","bad")</f>
        <v>bad</v>
      </c>
    </row>
    <row r="24" spans="1:16">
      <c r="A24" t="s">
        <v>45</v>
      </c>
      <c r="B24" t="s">
        <v>17</v>
      </c>
      <c r="C24">
        <v>55</v>
      </c>
      <c r="D24" t="s">
        <v>41</v>
      </c>
      <c r="E24">
        <v>1000</v>
      </c>
      <c r="F24">
        <v>31</v>
      </c>
      <c r="G24" t="s">
        <v>18</v>
      </c>
      <c r="H24" t="s">
        <v>46</v>
      </c>
      <c r="I24" t="s">
        <v>20</v>
      </c>
      <c r="J24" t="str">
        <f t="shared" si="0"/>
        <v>"07151211_1835"</v>
      </c>
      <c r="K24" s="1">
        <f t="shared" si="1"/>
        <v>42349.774305555555</v>
      </c>
      <c r="L24" s="19">
        <f t="shared" si="2"/>
        <v>24164315</v>
      </c>
      <c r="M24" s="6" t="s">
        <v>43</v>
      </c>
      <c r="N24" t="s">
        <v>47</v>
      </c>
      <c r="O24" s="7">
        <f>(VLOOKUP(K24,Sheet3!A:E,4)-VLOOKUP(K24,Sheet3!A:E,3))/(VLOOKUP(K24,Sheet3!A:E,2)-VLOOKUP(K24,Sheet3!A:E,1))*(K24-VLOOKUP(K24,Sheet3!A:E,1))+VLOOKUP(K24,Sheet3!A:E,3)</f>
        <v>0.91261328125006613</v>
      </c>
      <c r="P24" s="7" t="str">
        <f t="shared" si="3"/>
        <v>bad</v>
      </c>
    </row>
    <row r="25" spans="1:16">
      <c r="A25" t="s">
        <v>48</v>
      </c>
      <c r="B25" t="s">
        <v>17</v>
      </c>
      <c r="C25">
        <v>55</v>
      </c>
      <c r="D25" t="s">
        <v>41</v>
      </c>
      <c r="E25">
        <v>1000</v>
      </c>
      <c r="F25">
        <v>31</v>
      </c>
      <c r="G25" t="s">
        <v>18</v>
      </c>
      <c r="H25" t="s">
        <v>46</v>
      </c>
      <c r="I25" t="s">
        <v>20</v>
      </c>
      <c r="J25" t="str">
        <f t="shared" si="0"/>
        <v>"07151211_1932"</v>
      </c>
      <c r="K25" s="1">
        <f t="shared" si="1"/>
        <v>42349.813888888886</v>
      </c>
      <c r="L25" s="19">
        <f t="shared" si="2"/>
        <v>24164371.999999996</v>
      </c>
      <c r="M25" s="6" t="s">
        <v>43</v>
      </c>
      <c r="N25" t="s">
        <v>47</v>
      </c>
      <c r="O25" s="7">
        <f>(VLOOKUP(K25,Sheet3!A:E,4)-VLOOKUP(K25,Sheet3!A:E,3))/(VLOOKUP(K25,Sheet3!A:E,2)-VLOOKUP(K25,Sheet3!A:E,1))*(K25-VLOOKUP(K25,Sheet3!A:E,1))+VLOOKUP(K25,Sheet3!A:E,3)</f>
        <v>0.8972500000008472</v>
      </c>
      <c r="P25" s="7" t="str">
        <f t="shared" si="3"/>
        <v>bad</v>
      </c>
    </row>
    <row r="26" spans="1:16">
      <c r="A26" t="s">
        <v>49</v>
      </c>
      <c r="B26" t="s">
        <v>17</v>
      </c>
      <c r="C26">
        <v>55</v>
      </c>
      <c r="D26" t="s">
        <v>41</v>
      </c>
      <c r="E26">
        <v>1000</v>
      </c>
      <c r="F26">
        <v>31</v>
      </c>
      <c r="G26" t="s">
        <v>18</v>
      </c>
      <c r="H26" t="s">
        <v>46</v>
      </c>
      <c r="I26" t="s">
        <v>20</v>
      </c>
      <c r="J26" t="str">
        <f t="shared" si="0"/>
        <v>"07151211_2125"</v>
      </c>
      <c r="K26" s="1">
        <f t="shared" si="1"/>
        <v>42349.892361111109</v>
      </c>
      <c r="L26" s="19">
        <f t="shared" si="2"/>
        <v>24164484.999999996</v>
      </c>
      <c r="M26" s="6" t="s">
        <v>43</v>
      </c>
      <c r="N26" t="s">
        <v>47</v>
      </c>
      <c r="O26" s="7">
        <f>(VLOOKUP(K26,Sheet3!A:E,4)-VLOOKUP(K26,Sheet3!A:E,3))/(VLOOKUP(K26,Sheet3!A:E,2)-VLOOKUP(K26,Sheet3!A:E,1))*(K26-VLOOKUP(K26,Sheet3!A:E,1))+VLOOKUP(K26,Sheet3!A:E,3)</f>
        <v>0.8667929687504633</v>
      </c>
      <c r="P26" s="7" t="str">
        <f t="shared" si="3"/>
        <v>bad</v>
      </c>
    </row>
    <row r="27" spans="1:16">
      <c r="A27" t="s">
        <v>50</v>
      </c>
      <c r="B27" t="s">
        <v>17</v>
      </c>
      <c r="C27">
        <v>55</v>
      </c>
      <c r="D27" t="s">
        <v>41</v>
      </c>
      <c r="E27">
        <v>1000</v>
      </c>
      <c r="F27">
        <v>31</v>
      </c>
      <c r="G27" t="s">
        <v>18</v>
      </c>
      <c r="H27" t="s">
        <v>46</v>
      </c>
      <c r="I27" t="s">
        <v>20</v>
      </c>
      <c r="J27" t="str">
        <f t="shared" si="0"/>
        <v>"07151211_2222"</v>
      </c>
      <c r="K27" s="1">
        <f t="shared" si="1"/>
        <v>42349.931944444441</v>
      </c>
      <c r="L27" s="19">
        <f t="shared" si="2"/>
        <v>24164541.999999996</v>
      </c>
      <c r="M27" s="6" t="s">
        <v>43</v>
      </c>
      <c r="N27" t="s">
        <v>47</v>
      </c>
      <c r="O27" s="7">
        <f>(VLOOKUP(K27,Sheet3!A:E,4)-VLOOKUP(K27,Sheet3!A:E,3))/(VLOOKUP(K27,Sheet3!A:E,2)-VLOOKUP(K27,Sheet3!A:E,1))*(K27-VLOOKUP(K27,Sheet3!A:E,1))+VLOOKUP(K27,Sheet3!A:E,3)</f>
        <v>0.85142968750124426</v>
      </c>
      <c r="P27" s="7" t="str">
        <f t="shared" si="3"/>
        <v>bad</v>
      </c>
    </row>
    <row r="28" spans="1:16">
      <c r="A28" t="s">
        <v>51</v>
      </c>
      <c r="B28" t="s">
        <v>17</v>
      </c>
      <c r="C28">
        <v>55</v>
      </c>
      <c r="D28" t="s">
        <v>41</v>
      </c>
      <c r="E28">
        <v>1000</v>
      </c>
      <c r="F28">
        <v>31</v>
      </c>
      <c r="G28" t="s">
        <v>18</v>
      </c>
      <c r="H28" t="s">
        <v>46</v>
      </c>
      <c r="I28" t="s">
        <v>20</v>
      </c>
      <c r="J28" t="str">
        <f t="shared" si="0"/>
        <v>"07151211_2318"</v>
      </c>
      <c r="K28" s="1">
        <f t="shared" si="1"/>
        <v>42349.970833333333</v>
      </c>
      <c r="L28" s="19">
        <f t="shared" si="2"/>
        <v>24164598</v>
      </c>
      <c r="M28" s="6" t="s">
        <v>43</v>
      </c>
      <c r="N28" t="s">
        <v>47</v>
      </c>
      <c r="O28" s="7">
        <f>(VLOOKUP(K28,Sheet3!A:E,4)-VLOOKUP(K28,Sheet3!A:E,3))/(VLOOKUP(K28,Sheet3!A:E,2)-VLOOKUP(K28,Sheet3!A:E,1))*(K28-VLOOKUP(K28,Sheet3!A:E,1))+VLOOKUP(K28,Sheet3!A:E,3)</f>
        <v>0.8363359375000794</v>
      </c>
      <c r="P28" s="7" t="str">
        <f t="shared" si="3"/>
        <v>bad</v>
      </c>
    </row>
    <row r="29" spans="1:16">
      <c r="A29" t="s">
        <v>52</v>
      </c>
      <c r="B29" t="s">
        <v>17</v>
      </c>
      <c r="C29">
        <v>55</v>
      </c>
      <c r="D29" t="s">
        <v>41</v>
      </c>
      <c r="E29">
        <v>1000</v>
      </c>
      <c r="F29">
        <v>31</v>
      </c>
      <c r="G29" t="s">
        <v>18</v>
      </c>
      <c r="H29" t="s">
        <v>46</v>
      </c>
      <c r="I29" t="s">
        <v>20</v>
      </c>
      <c r="J29" t="str">
        <f t="shared" si="0"/>
        <v>"07151212_0112"</v>
      </c>
      <c r="K29" s="1">
        <f t="shared" si="1"/>
        <v>42350.05</v>
      </c>
      <c r="L29" s="19">
        <f t="shared" si="2"/>
        <v>24164712.000000004</v>
      </c>
      <c r="M29" s="6" t="s">
        <v>43</v>
      </c>
      <c r="N29" t="s">
        <v>47</v>
      </c>
      <c r="O29" s="7">
        <f>(VLOOKUP(K29,Sheet3!A:E,4)-VLOOKUP(K29,Sheet3!A:E,3))/(VLOOKUP(K29,Sheet3!A:E,2)-VLOOKUP(K29,Sheet3!A:E,1))*(K29-VLOOKUP(K29,Sheet3!A:E,1))+VLOOKUP(K29,Sheet3!A:E,3)</f>
        <v>0.80560937499881746</v>
      </c>
      <c r="P29" s="7" t="str">
        <f t="shared" si="3"/>
        <v>bad</v>
      </c>
    </row>
    <row r="30" spans="1:16">
      <c r="A30" t="s">
        <v>53</v>
      </c>
      <c r="B30" t="s">
        <v>17</v>
      </c>
      <c r="C30">
        <v>55</v>
      </c>
      <c r="D30" t="s">
        <v>41</v>
      </c>
      <c r="E30">
        <v>1000</v>
      </c>
      <c r="F30">
        <v>31</v>
      </c>
      <c r="G30" t="s">
        <v>18</v>
      </c>
      <c r="H30" t="s">
        <v>46</v>
      </c>
      <c r="I30" t="s">
        <v>20</v>
      </c>
      <c r="J30" t="str">
        <f t="shared" si="0"/>
        <v>"07151212_0208"</v>
      </c>
      <c r="K30" s="1">
        <f t="shared" si="1"/>
        <v>42350.088888888888</v>
      </c>
      <c r="L30" s="19">
        <f t="shared" si="2"/>
        <v>24164768</v>
      </c>
      <c r="M30" s="6" t="s">
        <v>43</v>
      </c>
      <c r="N30" t="s">
        <v>47</v>
      </c>
      <c r="O30" s="7">
        <f>(VLOOKUP(K30,Sheet3!A:E,4)-VLOOKUP(K30,Sheet3!A:E,3))/(VLOOKUP(K30,Sheet3!A:E,2)-VLOOKUP(K30,Sheet3!A:E,1))*(K30-VLOOKUP(K30,Sheet3!A:E,1))+VLOOKUP(K30,Sheet3!A:E,3)</f>
        <v>0.79051562500047656</v>
      </c>
      <c r="P30" s="7" t="str">
        <f t="shared" si="3"/>
        <v>bad</v>
      </c>
    </row>
    <row r="31" spans="1:16">
      <c r="A31" t="s">
        <v>54</v>
      </c>
      <c r="B31" t="s">
        <v>17</v>
      </c>
      <c r="C31">
        <v>55</v>
      </c>
      <c r="D31" t="s">
        <v>41</v>
      </c>
      <c r="E31">
        <v>1000</v>
      </c>
      <c r="F31">
        <v>31</v>
      </c>
      <c r="G31" t="s">
        <v>18</v>
      </c>
      <c r="H31" t="s">
        <v>55</v>
      </c>
      <c r="I31" t="s">
        <v>20</v>
      </c>
      <c r="J31" t="str">
        <f t="shared" si="0"/>
        <v>"07151214_1704"</v>
      </c>
      <c r="K31" s="1">
        <f t="shared" si="1"/>
        <v>42352.711111111108</v>
      </c>
      <c r="L31" s="19">
        <f t="shared" si="2"/>
        <v>24168543.999999996</v>
      </c>
      <c r="M31" s="6" t="s">
        <v>43</v>
      </c>
      <c r="N31" t="s">
        <v>56</v>
      </c>
      <c r="O31" s="7">
        <f>(VLOOKUP(K31,Sheet3!A:E,4)-VLOOKUP(K31,Sheet3!A:E,3))/(VLOOKUP(K31,Sheet3!A:E,2)-VLOOKUP(K31,Sheet3!A:E,1))*(K31-VLOOKUP(K31,Sheet3!A:E,1))+VLOOKUP(K31,Sheet3!A:E,3)</f>
        <v>0.90291820040913873</v>
      </c>
      <c r="P31" s="7" t="str">
        <f t="shared" si="3"/>
        <v>bad</v>
      </c>
    </row>
    <row r="32" spans="1:16">
      <c r="A32" t="s">
        <v>57</v>
      </c>
      <c r="B32" t="s">
        <v>17</v>
      </c>
      <c r="C32">
        <v>55</v>
      </c>
      <c r="D32" t="s">
        <v>41</v>
      </c>
      <c r="E32">
        <v>1000</v>
      </c>
      <c r="F32">
        <v>31</v>
      </c>
      <c r="G32" t="s">
        <v>18</v>
      </c>
      <c r="H32" t="s">
        <v>55</v>
      </c>
      <c r="I32" t="s">
        <v>20</v>
      </c>
      <c r="J32" t="str">
        <f t="shared" si="0"/>
        <v>"07151214_1801"</v>
      </c>
      <c r="K32" s="1">
        <f t="shared" si="1"/>
        <v>42352.750694444447</v>
      </c>
      <c r="L32" s="19">
        <f t="shared" si="2"/>
        <v>24168601.000000004</v>
      </c>
      <c r="M32" s="6" t="s">
        <v>43</v>
      </c>
      <c r="N32" t="s">
        <v>56</v>
      </c>
      <c r="O32" s="7">
        <f>(VLOOKUP(K32,Sheet3!A:E,4)-VLOOKUP(K32,Sheet3!A:E,3))/(VLOOKUP(K32,Sheet3!A:E,2)-VLOOKUP(K32,Sheet3!A:E,1))*(K32-VLOOKUP(K32,Sheet3!A:E,1))+VLOOKUP(K32,Sheet3!A:E,3)</f>
        <v>0.88852249488576696</v>
      </c>
      <c r="P32" s="7" t="str">
        <f t="shared" si="3"/>
        <v>bad</v>
      </c>
    </row>
    <row r="33" spans="1:18">
      <c r="A33" t="s">
        <v>58</v>
      </c>
      <c r="B33" t="s">
        <v>17</v>
      </c>
      <c r="C33">
        <v>55</v>
      </c>
      <c r="D33" t="s">
        <v>41</v>
      </c>
      <c r="E33">
        <v>1000</v>
      </c>
      <c r="F33">
        <v>31</v>
      </c>
      <c r="G33" t="s">
        <v>18</v>
      </c>
      <c r="H33" t="s">
        <v>55</v>
      </c>
      <c r="I33" t="s">
        <v>20</v>
      </c>
      <c r="J33" t="str">
        <f t="shared" si="0"/>
        <v>"07151214_1858"</v>
      </c>
      <c r="K33" s="1">
        <f t="shared" si="1"/>
        <v>42352.790277777778</v>
      </c>
      <c r="L33" s="19">
        <f t="shared" si="2"/>
        <v>24168658</v>
      </c>
      <c r="M33" s="6" t="s">
        <v>43</v>
      </c>
      <c r="N33" t="s">
        <v>56</v>
      </c>
      <c r="O33" s="7">
        <f>(VLOOKUP(K33,Sheet3!A:E,4)-VLOOKUP(K33,Sheet3!A:E,3))/(VLOOKUP(K33,Sheet3!A:E,2)-VLOOKUP(K33,Sheet3!A:E,1))*(K33-VLOOKUP(K33,Sheet3!A:E,1))+VLOOKUP(K33,Sheet3!A:E,3)</f>
        <v>0.87412678936504129</v>
      </c>
      <c r="P33" s="7" t="str">
        <f t="shared" si="3"/>
        <v>bad</v>
      </c>
    </row>
    <row r="34" spans="1:18">
      <c r="A34" t="s">
        <v>59</v>
      </c>
      <c r="B34" t="s">
        <v>17</v>
      </c>
      <c r="C34">
        <v>55</v>
      </c>
      <c r="D34" t="s">
        <v>41</v>
      </c>
      <c r="E34">
        <v>1000</v>
      </c>
      <c r="F34">
        <v>31</v>
      </c>
      <c r="G34" t="s">
        <v>18</v>
      </c>
      <c r="H34" t="s">
        <v>55</v>
      </c>
      <c r="I34" t="s">
        <v>20</v>
      </c>
      <c r="J34" t="str">
        <f t="shared" si="0"/>
        <v>"07151214_1955"</v>
      </c>
      <c r="K34" s="1">
        <f t="shared" si="1"/>
        <v>42352.829861111109</v>
      </c>
      <c r="L34" s="19">
        <f t="shared" si="2"/>
        <v>24168714.999999996</v>
      </c>
      <c r="M34" s="6" t="s">
        <v>43</v>
      </c>
      <c r="N34" t="s">
        <v>56</v>
      </c>
      <c r="O34" s="7">
        <f>(VLOOKUP(K34,Sheet3!A:E,4)-VLOOKUP(K34,Sheet3!A:E,3))/(VLOOKUP(K34,Sheet3!A:E,2)-VLOOKUP(K34,Sheet3!A:E,1))*(K34-VLOOKUP(K34,Sheet3!A:E,1))+VLOOKUP(K34,Sheet3!A:E,3)</f>
        <v>0.85973108384431562</v>
      </c>
      <c r="P34" s="7" t="str">
        <f t="shared" si="3"/>
        <v>bad</v>
      </c>
    </row>
    <row r="35" spans="1:18">
      <c r="A35" t="s">
        <v>60</v>
      </c>
      <c r="B35" t="s">
        <v>17</v>
      </c>
      <c r="C35">
        <v>55</v>
      </c>
      <c r="D35" t="s">
        <v>41</v>
      </c>
      <c r="E35">
        <v>1000</v>
      </c>
      <c r="F35">
        <v>31</v>
      </c>
      <c r="G35" t="s">
        <v>18</v>
      </c>
      <c r="H35" t="s">
        <v>55</v>
      </c>
      <c r="I35" t="s">
        <v>20</v>
      </c>
      <c r="J35" t="str">
        <f t="shared" si="0"/>
        <v>"07151214_2051"</v>
      </c>
      <c r="K35" s="1">
        <f t="shared" si="1"/>
        <v>42352.868750000001</v>
      </c>
      <c r="L35" s="19">
        <f t="shared" si="2"/>
        <v>24168771.000000004</v>
      </c>
      <c r="M35" s="6" t="s">
        <v>43</v>
      </c>
      <c r="N35" t="s">
        <v>56</v>
      </c>
      <c r="O35" s="7">
        <f>(VLOOKUP(K35,Sheet3!A:E,4)-VLOOKUP(K35,Sheet3!A:E,3))/(VLOOKUP(K35,Sheet3!A:E,2)-VLOOKUP(K35,Sheet3!A:E,1))*(K35-VLOOKUP(K35,Sheet3!A:E,1))+VLOOKUP(K35,Sheet3!A:E,3)</f>
        <v>0.84558793455898518</v>
      </c>
      <c r="P35" s="7" t="str">
        <f t="shared" si="3"/>
        <v>bad</v>
      </c>
    </row>
    <row r="36" spans="1:18">
      <c r="A36" t="s">
        <v>61</v>
      </c>
      <c r="B36" t="s">
        <v>17</v>
      </c>
      <c r="C36">
        <v>55</v>
      </c>
      <c r="D36" t="s">
        <v>41</v>
      </c>
      <c r="E36">
        <v>1000</v>
      </c>
      <c r="F36">
        <v>31</v>
      </c>
      <c r="G36" t="s">
        <v>18</v>
      </c>
      <c r="H36" t="s">
        <v>55</v>
      </c>
      <c r="I36" t="s">
        <v>20</v>
      </c>
      <c r="J36" t="str">
        <f t="shared" si="0"/>
        <v>"07151214_2148"</v>
      </c>
      <c r="K36" s="1">
        <f t="shared" si="1"/>
        <v>42352.908333333333</v>
      </c>
      <c r="L36" s="19">
        <f t="shared" si="2"/>
        <v>24168828</v>
      </c>
      <c r="M36" s="6" t="s">
        <v>43</v>
      </c>
      <c r="N36" t="s">
        <v>56</v>
      </c>
      <c r="O36" s="7">
        <f>(VLOOKUP(K36,Sheet3!A:E,4)-VLOOKUP(K36,Sheet3!A:E,3))/(VLOOKUP(K36,Sheet3!A:E,2)-VLOOKUP(K36,Sheet3!A:E,1))*(K36-VLOOKUP(K36,Sheet3!A:E,1))+VLOOKUP(K36,Sheet3!A:E,3)</f>
        <v>0.83119222903825962</v>
      </c>
      <c r="P36" s="7" t="str">
        <f t="shared" si="3"/>
        <v>bad</v>
      </c>
    </row>
    <row r="37" spans="1:18">
      <c r="A37" t="s">
        <v>62</v>
      </c>
      <c r="B37" t="s">
        <v>17</v>
      </c>
      <c r="C37">
        <v>55</v>
      </c>
      <c r="D37" t="s">
        <v>41</v>
      </c>
      <c r="E37">
        <v>1000</v>
      </c>
      <c r="F37">
        <v>31</v>
      </c>
      <c r="G37" t="s">
        <v>18</v>
      </c>
      <c r="H37" t="s">
        <v>55</v>
      </c>
      <c r="I37" t="s">
        <v>20</v>
      </c>
      <c r="J37" t="str">
        <f t="shared" ref="J37:J68" si="4">""""&amp;A37&amp;""""</f>
        <v>"07151214_2245"</v>
      </c>
      <c r="K37" s="1">
        <f t="shared" ref="K37:K68" si="5">DATE(2000+MID(A37,3,2),MID(A37,5,2),MID(A37,7,2))+TIME(MID(A37,10,2),MID(A37,12,2),0)</f>
        <v>42352.947916666664</v>
      </c>
      <c r="L37" s="19">
        <f t="shared" ref="L37:L68" si="6">(K37-25569)*24*60</f>
        <v>24168884.999999996</v>
      </c>
      <c r="M37" s="6" t="s">
        <v>43</v>
      </c>
      <c r="N37" t="s">
        <v>56</v>
      </c>
      <c r="O37" s="7">
        <f>(VLOOKUP(K37,Sheet3!A:E,4)-VLOOKUP(K37,Sheet3!A:E,3))/(VLOOKUP(K37,Sheet3!A:E,2)-VLOOKUP(K37,Sheet3!A:E,1))*(K37-VLOOKUP(K37,Sheet3!A:E,1))+VLOOKUP(K37,Sheet3!A:E,3)</f>
        <v>0.81679652351753396</v>
      </c>
      <c r="P37" s="7" t="str">
        <f t="shared" si="3"/>
        <v>bad</v>
      </c>
    </row>
    <row r="38" spans="1:18">
      <c r="A38" t="s">
        <v>63</v>
      </c>
      <c r="B38" t="s">
        <v>17</v>
      </c>
      <c r="C38">
        <v>55</v>
      </c>
      <c r="D38" t="s">
        <v>41</v>
      </c>
      <c r="E38">
        <v>1000</v>
      </c>
      <c r="F38" t="s">
        <v>41</v>
      </c>
      <c r="G38" t="s">
        <v>18</v>
      </c>
      <c r="H38" t="s">
        <v>55</v>
      </c>
      <c r="I38" t="s">
        <v>20</v>
      </c>
      <c r="J38" t="str">
        <f t="shared" si="4"/>
        <v>"07151214_2341"</v>
      </c>
      <c r="K38" s="1">
        <f t="shared" si="5"/>
        <v>42352.986805555556</v>
      </c>
      <c r="L38" s="19">
        <f t="shared" si="6"/>
        <v>24168941</v>
      </c>
      <c r="M38" s="6" t="s">
        <v>43</v>
      </c>
      <c r="N38" t="s">
        <v>56</v>
      </c>
      <c r="O38" s="7">
        <f>(VLOOKUP(K38,Sheet3!A:E,4)-VLOOKUP(K38,Sheet3!A:E,3))/(VLOOKUP(K38,Sheet3!A:E,2)-VLOOKUP(K38,Sheet3!A:E,1))*(K38-VLOOKUP(K38,Sheet3!A:E,1))+VLOOKUP(K38,Sheet3!A:E,3)</f>
        <v>0.80265337423220351</v>
      </c>
      <c r="P38" s="7" t="str">
        <f t="shared" si="3"/>
        <v>bad</v>
      </c>
    </row>
    <row r="39" spans="1:18" ht="43.15">
      <c r="A39" s="9" t="s">
        <v>64</v>
      </c>
      <c r="B39" s="9" t="s">
        <v>17</v>
      </c>
      <c r="C39" s="9">
        <v>55</v>
      </c>
      <c r="D39" s="9" t="s">
        <v>41</v>
      </c>
      <c r="E39" s="9">
        <v>1000</v>
      </c>
      <c r="F39" s="9">
        <v>31</v>
      </c>
      <c r="G39" s="9" t="s">
        <v>65</v>
      </c>
      <c r="H39" s="10" t="s">
        <v>66</v>
      </c>
      <c r="I39" s="9" t="s">
        <v>20</v>
      </c>
      <c r="J39" t="str">
        <f t="shared" si="4"/>
        <v>"07151218_0501"</v>
      </c>
      <c r="K39" s="1">
        <f t="shared" si="5"/>
        <v>42356.209027777775</v>
      </c>
      <c r="L39" s="19">
        <f t="shared" si="6"/>
        <v>24173580.999999996</v>
      </c>
      <c r="M39" s="6" t="s">
        <v>43</v>
      </c>
      <c r="O39" s="7">
        <f>(VLOOKUP(K39,Sheet3!A:E,4)-VLOOKUP(K39,Sheet3!A:E,3))/(VLOOKUP(K39,Sheet3!A:E,2)-VLOOKUP(K39,Sheet3!A:E,1))*(K39-VLOOKUP(K39,Sheet3!A:E,1))+VLOOKUP(K39,Sheet3!A:E,3)</f>
        <v>0.13392796610310251</v>
      </c>
      <c r="P39" s="7" t="str">
        <f t="shared" si="3"/>
        <v>bad</v>
      </c>
    </row>
    <row r="40" spans="1:18" ht="43.15">
      <c r="A40" s="9" t="s">
        <v>67</v>
      </c>
      <c r="B40" s="9" t="s">
        <v>17</v>
      </c>
      <c r="C40" s="9">
        <v>55</v>
      </c>
      <c r="D40" s="9" t="s">
        <v>41</v>
      </c>
      <c r="E40" s="9">
        <v>1000</v>
      </c>
      <c r="F40" s="9">
        <v>31</v>
      </c>
      <c r="G40" s="9" t="s">
        <v>65</v>
      </c>
      <c r="H40" s="10" t="s">
        <v>66</v>
      </c>
      <c r="I40" s="9" t="s">
        <v>20</v>
      </c>
      <c r="J40" t="str">
        <f t="shared" si="4"/>
        <v>"07151218_0557"</v>
      </c>
      <c r="K40" s="1">
        <f t="shared" si="5"/>
        <v>42356.247916666667</v>
      </c>
      <c r="L40" s="19">
        <f t="shared" si="6"/>
        <v>24173637</v>
      </c>
      <c r="M40" s="6" t="s">
        <v>43</v>
      </c>
      <c r="O40" s="7">
        <f>(VLOOKUP(K40,Sheet3!A:E,4)-VLOOKUP(K40,Sheet3!A:E,3))/(VLOOKUP(K40,Sheet3!A:E,2)-VLOOKUP(K40,Sheet3!A:E,1))*(K40-VLOOKUP(K40,Sheet3!A:E,1))+VLOOKUP(K40,Sheet3!A:E,3)</f>
        <v>0.11660593220336923</v>
      </c>
      <c r="P40" s="7" t="str">
        <f t="shared" si="3"/>
        <v>bad</v>
      </c>
    </row>
    <row r="41" spans="1:18" ht="43.15">
      <c r="A41" s="9" t="s">
        <v>68</v>
      </c>
      <c r="B41" s="9" t="s">
        <v>17</v>
      </c>
      <c r="C41" s="9">
        <v>55</v>
      </c>
      <c r="D41" s="9" t="s">
        <v>41</v>
      </c>
      <c r="E41" s="9">
        <v>1000</v>
      </c>
      <c r="F41" s="9">
        <v>31</v>
      </c>
      <c r="G41" s="9" t="s">
        <v>65</v>
      </c>
      <c r="H41" s="10" t="s">
        <v>66</v>
      </c>
      <c r="I41" s="9" t="s">
        <v>20</v>
      </c>
      <c r="J41" t="str">
        <f t="shared" si="4"/>
        <v>"07151218_0654"</v>
      </c>
      <c r="K41" s="1">
        <f t="shared" si="5"/>
        <v>42356.287499999999</v>
      </c>
      <c r="L41" s="19">
        <f t="shared" si="6"/>
        <v>24173693.999999996</v>
      </c>
      <c r="M41" s="6" t="s">
        <v>43</v>
      </c>
      <c r="O41" s="7">
        <f>(VLOOKUP(K41,Sheet3!A:E,4)-VLOOKUP(K41,Sheet3!A:E,3))/(VLOOKUP(K41,Sheet3!A:E,2)-VLOOKUP(K41,Sheet3!A:E,1))*(K41-VLOOKUP(K41,Sheet3!A:E,1))+VLOOKUP(K41,Sheet3!A:E,3)</f>
        <v>9.8974576271969206E-2</v>
      </c>
      <c r="P41" s="7" t="str">
        <f t="shared" si="3"/>
        <v>bad</v>
      </c>
    </row>
    <row r="42" spans="1:18">
      <c r="A42" t="s">
        <v>69</v>
      </c>
      <c r="B42" t="s">
        <v>17</v>
      </c>
      <c r="C42">
        <v>55</v>
      </c>
      <c r="D42" t="s">
        <v>41</v>
      </c>
      <c r="E42">
        <v>1000</v>
      </c>
      <c r="F42">
        <v>10</v>
      </c>
      <c r="G42" t="s">
        <v>18</v>
      </c>
      <c r="H42" t="s">
        <v>46</v>
      </c>
      <c r="I42" t="s">
        <v>20</v>
      </c>
      <c r="J42" t="str">
        <f t="shared" si="4"/>
        <v>"07151210_1319"</v>
      </c>
      <c r="K42" s="1">
        <f t="shared" si="5"/>
        <v>42348.554861111108</v>
      </c>
      <c r="L42" s="19">
        <f t="shared" si="6"/>
        <v>24162558.999999996</v>
      </c>
      <c r="M42" s="6" t="s">
        <v>43</v>
      </c>
      <c r="N42" t="s">
        <v>70</v>
      </c>
      <c r="O42" s="7">
        <f>(VLOOKUP(K42,Sheet3!A:E,4)-VLOOKUP(K42,Sheet3!A:E,3))/(VLOOKUP(K42,Sheet3!A:E,2)-VLOOKUP(K42,Sheet3!A:E,1))*(K42-VLOOKUP(K42,Sheet3!A:E,1))+VLOOKUP(K42,Sheet3!A:E,3)</f>
        <v>0.62353599999016263</v>
      </c>
      <c r="P42" s="7" t="str">
        <f t="shared" si="3"/>
        <v>ok</v>
      </c>
    </row>
    <row r="43" spans="1:18">
      <c r="A43" t="s">
        <v>71</v>
      </c>
      <c r="B43" t="s">
        <v>17</v>
      </c>
      <c r="C43">
        <v>55</v>
      </c>
      <c r="D43" t="s">
        <v>41</v>
      </c>
      <c r="E43">
        <v>1000</v>
      </c>
      <c r="F43">
        <v>34</v>
      </c>
      <c r="G43" t="s">
        <v>65</v>
      </c>
      <c r="H43" t="s">
        <v>46</v>
      </c>
      <c r="I43" t="s">
        <v>20</v>
      </c>
      <c r="J43" t="str">
        <f t="shared" si="4"/>
        <v>"07151211_1052"</v>
      </c>
      <c r="K43" s="1">
        <f t="shared" si="5"/>
        <v>42349.452777777777</v>
      </c>
      <c r="L43" s="19">
        <f t="shared" si="6"/>
        <v>24163852</v>
      </c>
      <c r="M43" s="6" t="s">
        <v>43</v>
      </c>
      <c r="N43" t="s">
        <v>56</v>
      </c>
      <c r="O43" s="7">
        <f>(VLOOKUP(K43,Sheet3!A:E,4)-VLOOKUP(K43,Sheet3!A:E,3))/(VLOOKUP(K43,Sheet3!A:E,2)-VLOOKUP(K43,Sheet3!A:E,1))*(K43-VLOOKUP(K43,Sheet3!A:E,1))+VLOOKUP(K43,Sheet3!A:E,3)</f>
        <v>0.41929870129967678</v>
      </c>
      <c r="P43" s="7" t="str">
        <f t="shared" si="3"/>
        <v>ok</v>
      </c>
    </row>
    <row r="44" spans="1:18">
      <c r="A44" t="s">
        <v>72</v>
      </c>
      <c r="B44" t="s">
        <v>17</v>
      </c>
      <c r="C44">
        <v>55</v>
      </c>
      <c r="D44" t="s">
        <v>41</v>
      </c>
      <c r="E44">
        <v>1000</v>
      </c>
      <c r="F44">
        <v>34</v>
      </c>
      <c r="G44" t="s">
        <v>65</v>
      </c>
      <c r="H44" t="s">
        <v>46</v>
      </c>
      <c r="I44" t="s">
        <v>20</v>
      </c>
      <c r="J44" t="str">
        <f t="shared" si="4"/>
        <v>"07151211_1151"</v>
      </c>
      <c r="K44" s="1">
        <f t="shared" si="5"/>
        <v>42349.493750000001</v>
      </c>
      <c r="L44" s="19">
        <f t="shared" si="6"/>
        <v>24163911.000000004</v>
      </c>
      <c r="M44" s="6" t="s">
        <v>43</v>
      </c>
      <c r="N44" t="s">
        <v>56</v>
      </c>
      <c r="O44" s="7">
        <f>(VLOOKUP(K44,Sheet3!A:E,4)-VLOOKUP(K44,Sheet3!A:E,3))/(VLOOKUP(K44,Sheet3!A:E,2)-VLOOKUP(K44,Sheet3!A:E,1))*(K44-VLOOKUP(K44,Sheet3!A:E,1))+VLOOKUP(K44,Sheet3!A:E,3)</f>
        <v>0.40090909090879406</v>
      </c>
      <c r="P44" s="7" t="str">
        <f t="shared" si="3"/>
        <v>ok</v>
      </c>
    </row>
    <row r="45" spans="1:18">
      <c r="A45" t="s">
        <v>73</v>
      </c>
      <c r="B45" t="s">
        <v>17</v>
      </c>
      <c r="C45">
        <v>55</v>
      </c>
      <c r="D45" t="s">
        <v>41</v>
      </c>
      <c r="E45">
        <v>1000</v>
      </c>
      <c r="F45">
        <v>34</v>
      </c>
      <c r="G45" t="s">
        <v>65</v>
      </c>
      <c r="H45" t="s">
        <v>55</v>
      </c>
      <c r="I45" t="s">
        <v>20</v>
      </c>
      <c r="J45" t="str">
        <f t="shared" si="4"/>
        <v>"07151211_1303"</v>
      </c>
      <c r="K45" s="1">
        <f t="shared" si="5"/>
        <v>42349.543749999997</v>
      </c>
      <c r="L45" s="19">
        <f t="shared" si="6"/>
        <v>24163982.999999996</v>
      </c>
      <c r="M45" s="6" t="s">
        <v>43</v>
      </c>
      <c r="N45" t="s">
        <v>56</v>
      </c>
      <c r="O45" s="7">
        <f>(VLOOKUP(K45,Sheet3!A:E,4)-VLOOKUP(K45,Sheet3!A:E,3))/(VLOOKUP(K45,Sheet3!A:E,2)-VLOOKUP(K45,Sheet3!A:E,1))*(K45-VLOOKUP(K45,Sheet3!A:E,1))+VLOOKUP(K45,Sheet3!A:E,3)</f>
        <v>0.37846753246905929</v>
      </c>
      <c r="P45" s="7" t="str">
        <f t="shared" si="3"/>
        <v>ok</v>
      </c>
    </row>
    <row r="46" spans="1:18">
      <c r="A46" t="s">
        <v>74</v>
      </c>
      <c r="B46" t="s">
        <v>17</v>
      </c>
      <c r="C46">
        <v>55</v>
      </c>
      <c r="D46" t="s">
        <v>41</v>
      </c>
      <c r="E46">
        <v>1000</v>
      </c>
      <c r="F46">
        <v>4</v>
      </c>
      <c r="G46" t="s">
        <v>18</v>
      </c>
      <c r="H46" t="s">
        <v>46</v>
      </c>
      <c r="I46" t="s">
        <v>20</v>
      </c>
      <c r="J46" t="str">
        <f t="shared" si="4"/>
        <v>"07151210_1644"</v>
      </c>
      <c r="K46" s="1">
        <f t="shared" si="5"/>
        <v>42348.697222222225</v>
      </c>
      <c r="L46" s="19">
        <f t="shared" si="6"/>
        <v>24162764.000000004</v>
      </c>
      <c r="M46" t="s">
        <v>75</v>
      </c>
      <c r="N46" s="3">
        <v>0.77</v>
      </c>
      <c r="O46" s="7">
        <f>(VLOOKUP(K46,Sheet3!A:E,4)-VLOOKUP(K46,Sheet3!A:E,3))/(VLOOKUP(K46,Sheet3!A:E,2)-VLOOKUP(K46,Sheet3!A:E,1))*(K46-VLOOKUP(K46,Sheet3!A:E,1))+VLOOKUP(K46,Sheet3!A:E,3)</f>
        <v>0.75263271028026313</v>
      </c>
      <c r="P46" s="7" t="str">
        <f t="shared" si="3"/>
        <v>bad</v>
      </c>
      <c r="R46" s="3"/>
    </row>
    <row r="47" spans="1:18">
      <c r="A47" t="s">
        <v>76</v>
      </c>
      <c r="B47" t="s">
        <v>17</v>
      </c>
      <c r="C47">
        <v>55</v>
      </c>
      <c r="D47" t="s">
        <v>41</v>
      </c>
      <c r="E47">
        <v>1000</v>
      </c>
      <c r="F47">
        <v>31</v>
      </c>
      <c r="G47" t="s">
        <v>18</v>
      </c>
      <c r="H47" t="s">
        <v>46</v>
      </c>
      <c r="I47" t="s">
        <v>20</v>
      </c>
      <c r="J47" t="str">
        <f t="shared" si="4"/>
        <v>"07151211_1739"</v>
      </c>
      <c r="K47" s="1">
        <f t="shared" si="5"/>
        <v>42349.73541666667</v>
      </c>
      <c r="L47" s="19">
        <f t="shared" si="6"/>
        <v>24164259.000000004</v>
      </c>
      <c r="M47" t="s">
        <v>75</v>
      </c>
      <c r="N47" s="3">
        <v>0.94</v>
      </c>
      <c r="O47" s="7">
        <f>(VLOOKUP(K47,Sheet3!A:E,4)-VLOOKUP(K47,Sheet3!A:E,3))/(VLOOKUP(K47,Sheet3!A:E,2)-VLOOKUP(K47,Sheet3!A:E,1))*(K47-VLOOKUP(K47,Sheet3!A:E,1))+VLOOKUP(K47,Sheet3!A:E,3)</f>
        <v>0.92770703124840703</v>
      </c>
      <c r="P47" s="7" t="str">
        <f t="shared" si="3"/>
        <v>bad</v>
      </c>
    </row>
    <row r="48" spans="1:18">
      <c r="A48" t="s">
        <v>77</v>
      </c>
      <c r="B48" t="s">
        <v>17</v>
      </c>
      <c r="C48">
        <v>55</v>
      </c>
      <c r="D48" t="s">
        <v>41</v>
      </c>
      <c r="E48">
        <v>1000</v>
      </c>
      <c r="F48">
        <v>31</v>
      </c>
      <c r="G48" t="s">
        <v>18</v>
      </c>
      <c r="H48" t="s">
        <v>46</v>
      </c>
      <c r="I48" t="s">
        <v>20</v>
      </c>
      <c r="J48" t="str">
        <f t="shared" si="4"/>
        <v>"07151212_0305"</v>
      </c>
      <c r="K48" s="1">
        <f t="shared" si="5"/>
        <v>42350.128472222219</v>
      </c>
      <c r="L48" s="19">
        <f t="shared" si="6"/>
        <v>24164824.999999996</v>
      </c>
      <c r="M48" t="s">
        <v>75</v>
      </c>
      <c r="N48" s="7">
        <v>0.77515234375459841</v>
      </c>
      <c r="O48" s="7">
        <f>(VLOOKUP(K48,Sheet3!A:E,4)-VLOOKUP(K48,Sheet3!A:E,3))/(VLOOKUP(K48,Sheet3!A:E,2)-VLOOKUP(K48,Sheet3!A:E,1))*(K48-VLOOKUP(K48,Sheet3!A:E,1))+VLOOKUP(K48,Sheet3!A:E,3)</f>
        <v>0.77515234375125752</v>
      </c>
      <c r="P48" s="7" t="str">
        <f t="shared" si="3"/>
        <v>bad</v>
      </c>
    </row>
    <row r="49" spans="1:16">
      <c r="A49" t="s">
        <v>78</v>
      </c>
      <c r="B49" t="s">
        <v>17</v>
      </c>
      <c r="C49">
        <v>55</v>
      </c>
      <c r="D49" t="s">
        <v>41</v>
      </c>
      <c r="E49">
        <v>1000</v>
      </c>
      <c r="F49">
        <v>31</v>
      </c>
      <c r="G49" t="s">
        <v>18</v>
      </c>
      <c r="H49" t="s">
        <v>46</v>
      </c>
      <c r="I49" t="s">
        <v>20</v>
      </c>
      <c r="J49" t="str">
        <f t="shared" si="4"/>
        <v>"07151212_0401"</v>
      </c>
      <c r="K49" s="1">
        <f t="shared" si="5"/>
        <v>42350.167361111111</v>
      </c>
      <c r="L49" s="19">
        <f t="shared" si="6"/>
        <v>24164881</v>
      </c>
      <c r="M49" t="s">
        <v>75</v>
      </c>
      <c r="N49" s="7">
        <v>0.7600585937507276</v>
      </c>
      <c r="O49" s="7">
        <f>(VLOOKUP(K49,Sheet3!A:E,4)-VLOOKUP(K49,Sheet3!A:E,3))/(VLOOKUP(K49,Sheet3!A:E,2)-VLOOKUP(K49,Sheet3!A:E,1))*(K49-VLOOKUP(K49,Sheet3!A:E,1))+VLOOKUP(K49,Sheet3!A:E,3)</f>
        <v>0.76005859375009266</v>
      </c>
      <c r="P49" s="7" t="str">
        <f t="shared" si="3"/>
        <v>bad</v>
      </c>
    </row>
    <row r="50" spans="1:16">
      <c r="A50" t="s">
        <v>79</v>
      </c>
      <c r="B50" t="s">
        <v>17</v>
      </c>
      <c r="C50">
        <v>55</v>
      </c>
      <c r="D50" t="s">
        <v>41</v>
      </c>
      <c r="E50">
        <v>1000</v>
      </c>
      <c r="F50">
        <v>31</v>
      </c>
      <c r="G50" t="s">
        <v>18</v>
      </c>
      <c r="H50" t="s">
        <v>46</v>
      </c>
      <c r="I50" t="s">
        <v>20</v>
      </c>
      <c r="J50" t="str">
        <f t="shared" si="4"/>
        <v>"07151212_0458"</v>
      </c>
      <c r="K50" s="1">
        <f t="shared" si="5"/>
        <v>42350.206944444442</v>
      </c>
      <c r="L50" s="19">
        <f t="shared" si="6"/>
        <v>24164937.999999996</v>
      </c>
      <c r="M50" t="s">
        <v>75</v>
      </c>
      <c r="N50" s="7">
        <v>0.74469531250360887</v>
      </c>
      <c r="O50" s="7">
        <f>(VLOOKUP(K50,Sheet3!A:E,4)-VLOOKUP(K50,Sheet3!A:E,3))/(VLOOKUP(K50,Sheet3!A:E,2)-VLOOKUP(K50,Sheet3!A:E,1))*(K50-VLOOKUP(K50,Sheet3!A:E,1))+VLOOKUP(K50,Sheet3!A:E,3)</f>
        <v>0.74469531250087362</v>
      </c>
      <c r="P50" s="7" t="str">
        <f t="shared" si="3"/>
        <v>bad</v>
      </c>
    </row>
    <row r="51" spans="1:16">
      <c r="A51" t="s">
        <v>80</v>
      </c>
      <c r="B51" t="s">
        <v>17</v>
      </c>
      <c r="C51">
        <v>55</v>
      </c>
      <c r="D51" t="s">
        <v>41</v>
      </c>
      <c r="E51">
        <v>1000</v>
      </c>
      <c r="F51">
        <v>31</v>
      </c>
      <c r="G51" t="s">
        <v>18</v>
      </c>
      <c r="H51" t="s">
        <v>46</v>
      </c>
      <c r="I51" t="s">
        <v>20</v>
      </c>
      <c r="J51" t="str">
        <f t="shared" si="4"/>
        <v>"07151212_0555"</v>
      </c>
      <c r="K51" s="1">
        <f t="shared" si="5"/>
        <v>42350.246527777781</v>
      </c>
      <c r="L51" s="19">
        <f t="shared" si="6"/>
        <v>24164995.000000004</v>
      </c>
      <c r="M51" t="s">
        <v>75</v>
      </c>
      <c r="N51" s="7">
        <v>0.7293320312492142</v>
      </c>
      <c r="O51" s="7">
        <f>(VLOOKUP(K51,Sheet3!A:E,4)-VLOOKUP(K51,Sheet3!A:E,3))/(VLOOKUP(K51,Sheet3!A:E,2)-VLOOKUP(K51,Sheet3!A:E,1))*(K51-VLOOKUP(K51,Sheet3!A:E,1))+VLOOKUP(K51,Sheet3!A:E,3)</f>
        <v>0.72933203124883073</v>
      </c>
      <c r="P51" s="7" t="str">
        <f t="shared" si="3"/>
        <v>bad</v>
      </c>
    </row>
    <row r="52" spans="1:16">
      <c r="A52" t="s">
        <v>81</v>
      </c>
      <c r="B52" t="s">
        <v>17</v>
      </c>
      <c r="C52">
        <v>55</v>
      </c>
      <c r="D52" t="s">
        <v>41</v>
      </c>
      <c r="E52">
        <v>1000</v>
      </c>
      <c r="F52">
        <v>31</v>
      </c>
      <c r="G52" t="s">
        <v>18</v>
      </c>
      <c r="H52" t="s">
        <v>46</v>
      </c>
      <c r="I52" t="s">
        <v>20</v>
      </c>
      <c r="J52" t="str">
        <f t="shared" si="4"/>
        <v>"07151212_0651"</v>
      </c>
      <c r="K52" s="1">
        <f t="shared" si="5"/>
        <v>42350.285416666666</v>
      </c>
      <c r="L52" s="19">
        <f t="shared" si="6"/>
        <v>24165051</v>
      </c>
      <c r="M52" t="s">
        <v>75</v>
      </c>
      <c r="N52" s="7">
        <v>0.71423828125261934</v>
      </c>
      <c r="O52" s="7">
        <f>(VLOOKUP(K52,Sheet3!A:E,4)-VLOOKUP(K52,Sheet3!A:E,3))/(VLOOKUP(K52,Sheet3!A:E,2)-VLOOKUP(K52,Sheet3!A:E,1))*(K52-VLOOKUP(K52,Sheet3!A:E,1))+VLOOKUP(K52,Sheet3!A:E,3)</f>
        <v>0.71423828125048971</v>
      </c>
      <c r="P52" s="7" t="str">
        <f t="shared" si="3"/>
        <v>bad</v>
      </c>
    </row>
    <row r="53" spans="1:16">
      <c r="A53" t="s">
        <v>82</v>
      </c>
      <c r="B53" t="s">
        <v>17</v>
      </c>
      <c r="C53">
        <v>55</v>
      </c>
      <c r="D53" t="s">
        <v>41</v>
      </c>
      <c r="E53">
        <v>1000</v>
      </c>
      <c r="F53">
        <v>28</v>
      </c>
      <c r="G53" t="s">
        <v>18</v>
      </c>
      <c r="H53" t="s">
        <v>55</v>
      </c>
      <c r="I53" t="s">
        <v>20</v>
      </c>
      <c r="J53" t="str">
        <f t="shared" si="4"/>
        <v>"07151210_1703"</v>
      </c>
      <c r="K53" s="1">
        <f t="shared" si="5"/>
        <v>42348.710416666669</v>
      </c>
      <c r="L53" s="19">
        <f t="shared" si="6"/>
        <v>24162783.000000004</v>
      </c>
      <c r="M53" t="s">
        <v>75</v>
      </c>
      <c r="O53" s="7">
        <f>(VLOOKUP(K53,Sheet3!A:E,4)-VLOOKUP(K53,Sheet3!A:E,3))/(VLOOKUP(K53,Sheet3!A:E,2)-VLOOKUP(K53,Sheet3!A:E,1))*(K53-VLOOKUP(K53,Sheet3!A:E,1))+VLOOKUP(K53,Sheet3!A:E,3)</f>
        <v>0.74682616822446668</v>
      </c>
      <c r="P53" s="7" t="str">
        <f t="shared" si="3"/>
        <v>bad</v>
      </c>
    </row>
    <row r="54" spans="1:16">
      <c r="A54" t="s">
        <v>83</v>
      </c>
      <c r="B54" t="s">
        <v>17</v>
      </c>
      <c r="C54">
        <v>55</v>
      </c>
      <c r="D54" t="s">
        <v>41</v>
      </c>
      <c r="E54">
        <v>1000</v>
      </c>
      <c r="F54">
        <v>31</v>
      </c>
      <c r="G54" t="s">
        <v>18</v>
      </c>
      <c r="H54" t="s">
        <v>55</v>
      </c>
      <c r="I54" t="s">
        <v>20</v>
      </c>
      <c r="J54" t="str">
        <f t="shared" si="4"/>
        <v>"07151210_1906"</v>
      </c>
      <c r="K54" s="1">
        <f t="shared" si="5"/>
        <v>42348.79583333333</v>
      </c>
      <c r="L54" s="19">
        <f t="shared" si="6"/>
        <v>24162905.999999996</v>
      </c>
      <c r="M54" t="s">
        <v>75</v>
      </c>
      <c r="O54" s="7">
        <f>(VLOOKUP(K54,Sheet3!A:E,4)-VLOOKUP(K54,Sheet3!A:E,3))/(VLOOKUP(K54,Sheet3!A:E,2)-VLOOKUP(K54,Sheet3!A:E,1))*(K54-VLOOKUP(K54,Sheet3!A:E,1))+VLOOKUP(K54,Sheet3!A:E,3)</f>
        <v>0.70923644860060564</v>
      </c>
      <c r="P54" s="7" t="str">
        <f t="shared" si="3"/>
        <v>bad</v>
      </c>
    </row>
    <row r="55" spans="1:16">
      <c r="A55" t="s">
        <v>84</v>
      </c>
      <c r="B55" t="s">
        <v>17</v>
      </c>
      <c r="C55">
        <v>55</v>
      </c>
      <c r="D55" t="s">
        <v>41</v>
      </c>
      <c r="E55">
        <v>1000</v>
      </c>
      <c r="F55">
        <v>31</v>
      </c>
      <c r="G55" t="s">
        <v>65</v>
      </c>
      <c r="H55" t="s">
        <v>46</v>
      </c>
      <c r="I55" t="s">
        <v>20</v>
      </c>
      <c r="J55" t="str">
        <f t="shared" si="4"/>
        <v>"07151216_1749"</v>
      </c>
      <c r="K55" s="1">
        <f t="shared" si="5"/>
        <v>42354.742361111108</v>
      </c>
      <c r="L55" s="19">
        <f t="shared" si="6"/>
        <v>24171468.999999996</v>
      </c>
      <c r="M55" t="s">
        <v>75</v>
      </c>
      <c r="N55" s="3">
        <v>0.79</v>
      </c>
      <c r="O55" s="7">
        <f>(VLOOKUP(K55,Sheet3!A:E,4)-VLOOKUP(K55,Sheet3!A:E,3))/(VLOOKUP(K55,Sheet3!A:E,2)-VLOOKUP(K55,Sheet3!A:E,1))*(K55-VLOOKUP(K55,Sheet3!A:E,1))+VLOOKUP(K55,Sheet3!A:E,3)</f>
        <v>0.75397052321320568</v>
      </c>
      <c r="P55" s="7" t="str">
        <f t="shared" ref="P55:P86" si="7">IF(AND(O55&gt;0.2,O55&lt;0.7),"ok","bad")</f>
        <v>bad</v>
      </c>
    </row>
    <row r="56" spans="1:16">
      <c r="A56" t="s">
        <v>85</v>
      </c>
      <c r="B56" t="s">
        <v>17</v>
      </c>
      <c r="C56">
        <v>55</v>
      </c>
      <c r="D56" t="s">
        <v>41</v>
      </c>
      <c r="E56">
        <v>1000</v>
      </c>
      <c r="F56">
        <v>31</v>
      </c>
      <c r="G56" t="s">
        <v>65</v>
      </c>
      <c r="H56" t="s">
        <v>46</v>
      </c>
      <c r="I56" t="s">
        <v>20</v>
      </c>
      <c r="J56" t="str">
        <f t="shared" si="4"/>
        <v>"07151216_1845"</v>
      </c>
      <c r="K56" s="1">
        <f t="shared" si="5"/>
        <v>42354.78125</v>
      </c>
      <c r="L56" s="19">
        <f t="shared" si="6"/>
        <v>24171525</v>
      </c>
      <c r="M56" t="s">
        <v>75</v>
      </c>
      <c r="N56" s="3">
        <v>0.77749999999999964</v>
      </c>
      <c r="O56" s="7">
        <f>(VLOOKUP(K56,Sheet3!A:E,4)-VLOOKUP(K56,Sheet3!A:E,3))/(VLOOKUP(K56,Sheet3!A:E,2)-VLOOKUP(K56,Sheet3!A:E,1))*(K56-VLOOKUP(K56,Sheet3!A:E,1))+VLOOKUP(K56,Sheet3!A:E,3)</f>
        <v>0.73882535003590633</v>
      </c>
      <c r="P56" s="7" t="str">
        <f t="shared" si="7"/>
        <v>bad</v>
      </c>
    </row>
    <row r="57" spans="1:16">
      <c r="A57" t="s">
        <v>86</v>
      </c>
      <c r="B57" t="s">
        <v>17</v>
      </c>
      <c r="C57">
        <v>55</v>
      </c>
      <c r="D57" t="s">
        <v>41</v>
      </c>
      <c r="E57">
        <v>1000</v>
      </c>
      <c r="F57">
        <v>31</v>
      </c>
      <c r="G57" t="s">
        <v>65</v>
      </c>
      <c r="H57" t="s">
        <v>46</v>
      </c>
      <c r="I57" t="s">
        <v>20</v>
      </c>
      <c r="J57" t="str">
        <f t="shared" si="4"/>
        <v>"07151216_1942"</v>
      </c>
      <c r="K57" s="1">
        <f t="shared" si="5"/>
        <v>42354.820833333331</v>
      </c>
      <c r="L57" s="19">
        <f t="shared" si="6"/>
        <v>24171581.999999996</v>
      </c>
      <c r="M57" t="s">
        <v>75</v>
      </c>
      <c r="N57" s="3">
        <v>0.76499999999999968</v>
      </c>
      <c r="O57" s="7">
        <f>(VLOOKUP(K57,Sheet3!A:E,4)-VLOOKUP(K57,Sheet3!A:E,3))/(VLOOKUP(K57,Sheet3!A:E,2)-VLOOKUP(K57,Sheet3!A:E,1))*(K57-VLOOKUP(K57,Sheet3!A:E,1))+VLOOKUP(K57,Sheet3!A:E,3)</f>
        <v>0.72340972733955711</v>
      </c>
      <c r="P57" s="7" t="str">
        <f t="shared" si="7"/>
        <v>bad</v>
      </c>
    </row>
    <row r="58" spans="1:16">
      <c r="A58" t="s">
        <v>87</v>
      </c>
      <c r="B58" t="s">
        <v>17</v>
      </c>
      <c r="C58">
        <v>55</v>
      </c>
      <c r="D58" t="s">
        <v>41</v>
      </c>
      <c r="E58">
        <v>1000</v>
      </c>
      <c r="F58">
        <v>31</v>
      </c>
      <c r="G58" t="s">
        <v>65</v>
      </c>
      <c r="H58" t="s">
        <v>46</v>
      </c>
      <c r="I58" t="s">
        <v>20</v>
      </c>
      <c r="J58" t="str">
        <f t="shared" si="4"/>
        <v>"07151216_2038"</v>
      </c>
      <c r="K58" s="1">
        <f t="shared" si="5"/>
        <v>42354.859722222223</v>
      </c>
      <c r="L58" s="19">
        <f t="shared" si="6"/>
        <v>24171638</v>
      </c>
      <c r="M58" t="s">
        <v>75</v>
      </c>
      <c r="N58" s="3">
        <v>0.75249999999999972</v>
      </c>
      <c r="O58" s="7">
        <f>(VLOOKUP(K58,Sheet3!A:E,4)-VLOOKUP(K58,Sheet3!A:E,3))/(VLOOKUP(K58,Sheet3!A:E,2)-VLOOKUP(K58,Sheet3!A:E,1))*(K58-VLOOKUP(K58,Sheet3!A:E,1))+VLOOKUP(K58,Sheet3!A:E,3)</f>
        <v>0.70826455416225764</v>
      </c>
      <c r="P58" s="7" t="str">
        <f t="shared" si="7"/>
        <v>bad</v>
      </c>
    </row>
    <row r="59" spans="1:16" ht="43.15">
      <c r="A59" s="9" t="s">
        <v>88</v>
      </c>
      <c r="B59" s="9" t="s">
        <v>17</v>
      </c>
      <c r="C59" s="9">
        <v>55</v>
      </c>
      <c r="D59" s="9" t="s">
        <v>41</v>
      </c>
      <c r="E59" s="9">
        <v>1000</v>
      </c>
      <c r="F59" s="9">
        <v>31</v>
      </c>
      <c r="G59" s="9" t="s">
        <v>65</v>
      </c>
      <c r="H59" s="10" t="s">
        <v>66</v>
      </c>
      <c r="I59" s="9" t="s">
        <v>20</v>
      </c>
      <c r="J59" t="str">
        <f t="shared" si="4"/>
        <v>"07151218_0211"</v>
      </c>
      <c r="K59" s="1">
        <f t="shared" si="5"/>
        <v>42356.09097222222</v>
      </c>
      <c r="L59" s="19">
        <f t="shared" si="6"/>
        <v>24173410.999999996</v>
      </c>
      <c r="M59" t="s">
        <v>75</v>
      </c>
      <c r="O59" s="7">
        <f>(VLOOKUP(K59,Sheet3!A:E,4)-VLOOKUP(K59,Sheet3!A:E,3))/(VLOOKUP(K59,Sheet3!A:E,2)-VLOOKUP(K59,Sheet3!A:E,1))*(K59-VLOOKUP(K59,Sheet3!A:E,1))+VLOOKUP(K59,Sheet3!A:E,3)</f>
        <v>0.18651271186563584</v>
      </c>
      <c r="P59" s="7" t="str">
        <f t="shared" si="7"/>
        <v>bad</v>
      </c>
    </row>
    <row r="60" spans="1:16" ht="43.15">
      <c r="A60" s="9" t="s">
        <v>89</v>
      </c>
      <c r="B60" s="9" t="s">
        <v>17</v>
      </c>
      <c r="C60" s="9">
        <v>55</v>
      </c>
      <c r="D60" s="9" t="s">
        <v>41</v>
      </c>
      <c r="E60" s="9">
        <v>1000</v>
      </c>
      <c r="F60" s="9">
        <v>31</v>
      </c>
      <c r="G60" s="9" t="s">
        <v>65</v>
      </c>
      <c r="H60" s="10" t="s">
        <v>66</v>
      </c>
      <c r="I60" s="9" t="s">
        <v>20</v>
      </c>
      <c r="J60" t="str">
        <f t="shared" si="4"/>
        <v>"07151218_0307"</v>
      </c>
      <c r="K60" s="1">
        <f t="shared" si="5"/>
        <v>42356.129861111112</v>
      </c>
      <c r="L60" s="19">
        <f t="shared" si="6"/>
        <v>24173467</v>
      </c>
      <c r="M60" t="s">
        <v>75</v>
      </c>
      <c r="O60" s="7">
        <f>(VLOOKUP(K60,Sheet3!A:E,4)-VLOOKUP(K60,Sheet3!A:E,3))/(VLOOKUP(K60,Sheet3!A:E,2)-VLOOKUP(K60,Sheet3!A:E,1))*(K60-VLOOKUP(K60,Sheet3!A:E,1))+VLOOKUP(K60,Sheet3!A:E,3)</f>
        <v>0.16919067796590256</v>
      </c>
      <c r="P60" s="7" t="str">
        <f t="shared" si="7"/>
        <v>bad</v>
      </c>
    </row>
    <row r="61" spans="1:16" ht="43.15">
      <c r="A61" s="9" t="s">
        <v>90</v>
      </c>
      <c r="B61" s="9" t="s">
        <v>17</v>
      </c>
      <c r="C61" s="9">
        <v>55</v>
      </c>
      <c r="D61" s="9" t="s">
        <v>41</v>
      </c>
      <c r="E61" s="9">
        <v>1000</v>
      </c>
      <c r="F61" s="9">
        <v>31</v>
      </c>
      <c r="G61" s="9" t="s">
        <v>65</v>
      </c>
      <c r="H61" s="10" t="s">
        <v>66</v>
      </c>
      <c r="I61" s="9" t="s">
        <v>20</v>
      </c>
      <c r="J61" t="str">
        <f t="shared" si="4"/>
        <v>"07151218_0404"</v>
      </c>
      <c r="K61" s="1">
        <f t="shared" si="5"/>
        <v>42356.169444444444</v>
      </c>
      <c r="L61" s="19">
        <f t="shared" si="6"/>
        <v>24173524</v>
      </c>
      <c r="M61" t="s">
        <v>75</v>
      </c>
      <c r="O61" s="7">
        <f>(VLOOKUP(K61,Sheet3!A:E,4)-VLOOKUP(K61,Sheet3!A:E,3))/(VLOOKUP(K61,Sheet3!A:E,2)-VLOOKUP(K61,Sheet3!A:E,1))*(K61-VLOOKUP(K61,Sheet3!A:E,1))+VLOOKUP(K61,Sheet3!A:E,3)</f>
        <v>0.15155932203450254</v>
      </c>
      <c r="P61" s="7" t="str">
        <f t="shared" si="7"/>
        <v>bad</v>
      </c>
    </row>
    <row r="62" spans="1:16" ht="43.15">
      <c r="A62" s="9" t="s">
        <v>91</v>
      </c>
      <c r="B62" s="9" t="s">
        <v>17</v>
      </c>
      <c r="C62" s="9">
        <v>55</v>
      </c>
      <c r="D62" s="9" t="s">
        <v>41</v>
      </c>
      <c r="E62" s="9">
        <v>1000</v>
      </c>
      <c r="F62" s="9">
        <v>31</v>
      </c>
      <c r="G62" s="9" t="s">
        <v>65</v>
      </c>
      <c r="H62" s="10" t="s">
        <v>66</v>
      </c>
      <c r="I62" s="9" t="s">
        <v>20</v>
      </c>
      <c r="J62" t="str">
        <f t="shared" si="4"/>
        <v>"07151218_0750"</v>
      </c>
      <c r="K62" s="1">
        <f t="shared" si="5"/>
        <v>42356.326388888891</v>
      </c>
      <c r="L62" s="19">
        <f t="shared" si="6"/>
        <v>24173750.000000004</v>
      </c>
      <c r="M62" t="s">
        <v>75</v>
      </c>
      <c r="O62" s="7">
        <f>(VLOOKUP(K62,Sheet3!A:E,4)-VLOOKUP(K62,Sheet3!A:E,3))/(VLOOKUP(K62,Sheet3!A:E,2)-VLOOKUP(K62,Sheet3!A:E,1))*(K62-VLOOKUP(K62,Sheet3!A:E,1))+VLOOKUP(K62,Sheet3!A:E,3)</f>
        <v>8.1652542372235903E-2</v>
      </c>
      <c r="P62" s="7" t="str">
        <f t="shared" si="7"/>
        <v>bad</v>
      </c>
    </row>
    <row r="63" spans="1:16">
      <c r="A63" s="20" t="s">
        <v>92</v>
      </c>
      <c r="B63" s="20" t="s">
        <v>17</v>
      </c>
      <c r="C63" s="20">
        <v>55</v>
      </c>
      <c r="D63" s="20" t="s">
        <v>41</v>
      </c>
      <c r="E63" s="20">
        <v>1000</v>
      </c>
      <c r="F63" s="20">
        <v>31</v>
      </c>
      <c r="G63" s="20" t="s">
        <v>18</v>
      </c>
      <c r="H63" s="20" t="s">
        <v>46</v>
      </c>
      <c r="I63" s="20" t="s">
        <v>20</v>
      </c>
      <c r="J63" s="20" t="str">
        <f t="shared" si="4"/>
        <v>"07151209_1516"</v>
      </c>
      <c r="K63" s="21">
        <f t="shared" si="5"/>
        <v>42347.636111111111</v>
      </c>
      <c r="L63" s="22">
        <f t="shared" si="6"/>
        <v>24161236</v>
      </c>
      <c r="M63" s="20" t="s">
        <v>75</v>
      </c>
      <c r="N63" s="20"/>
      <c r="O63" s="23">
        <f>(VLOOKUP(K63,Sheet3!A:E,4)-VLOOKUP(K63,Sheet3!A:E,3))/(VLOOKUP(K63,Sheet3!A:E,2)-VLOOKUP(K63,Sheet3!A:E,1))*(K63-VLOOKUP(K63,Sheet3!A:E,1))+VLOOKUP(K63,Sheet3!A:E,3)</f>
        <v>0.55826241134814336</v>
      </c>
      <c r="P63" s="23" t="str">
        <f t="shared" si="7"/>
        <v>ok</v>
      </c>
    </row>
    <row r="64" spans="1:16">
      <c r="A64" s="20" t="s">
        <v>93</v>
      </c>
      <c r="B64" s="20" t="s">
        <v>17</v>
      </c>
      <c r="C64" s="20">
        <v>55</v>
      </c>
      <c r="D64" s="20" t="s">
        <v>41</v>
      </c>
      <c r="E64" s="20">
        <v>1000</v>
      </c>
      <c r="F64" s="20">
        <v>31</v>
      </c>
      <c r="G64" s="20" t="s">
        <v>18</v>
      </c>
      <c r="H64" s="20" t="s">
        <v>46</v>
      </c>
      <c r="I64" s="20" t="s">
        <v>20</v>
      </c>
      <c r="J64" s="20" t="str">
        <f t="shared" si="4"/>
        <v>"07151209_1613"</v>
      </c>
      <c r="K64" s="21">
        <f t="shared" si="5"/>
        <v>42347.675694444442</v>
      </c>
      <c r="L64" s="22">
        <f t="shared" si="6"/>
        <v>24161292.999999996</v>
      </c>
      <c r="M64" s="20" t="s">
        <v>75</v>
      </c>
      <c r="N64" s="20"/>
      <c r="O64" s="23">
        <f>(VLOOKUP(K64,Sheet3!A:E,4)-VLOOKUP(K64,Sheet3!A:E,3))/(VLOOKUP(K64,Sheet3!A:E,2)-VLOOKUP(K64,Sheet3!A:E,1))*(K64-VLOOKUP(K64,Sheet3!A:E,1))+VLOOKUP(K64,Sheet3!A:E,3)</f>
        <v>0.54532624113597949</v>
      </c>
      <c r="P64" s="23" t="str">
        <f t="shared" si="7"/>
        <v>ok</v>
      </c>
    </row>
    <row r="65" spans="1:17">
      <c r="A65" s="20" t="s">
        <v>94</v>
      </c>
      <c r="B65" s="20" t="s">
        <v>17</v>
      </c>
      <c r="C65" s="20">
        <v>55</v>
      </c>
      <c r="D65" s="20" t="s">
        <v>41</v>
      </c>
      <c r="E65" s="20">
        <v>1000</v>
      </c>
      <c r="F65" s="20">
        <v>31</v>
      </c>
      <c r="G65" s="20" t="s">
        <v>18</v>
      </c>
      <c r="H65" s="20" t="s">
        <v>46</v>
      </c>
      <c r="I65" s="20" t="s">
        <v>20</v>
      </c>
      <c r="J65" s="20" t="str">
        <f t="shared" si="4"/>
        <v>"07151209_1728"</v>
      </c>
      <c r="K65" s="21">
        <f t="shared" si="5"/>
        <v>42347.727777777778</v>
      </c>
      <c r="L65" s="22">
        <f t="shared" si="6"/>
        <v>24161368</v>
      </c>
      <c r="M65" s="20" t="s">
        <v>75</v>
      </c>
      <c r="N65" s="20"/>
      <c r="O65" s="23">
        <f>(VLOOKUP(K65,Sheet3!A:E,4)-VLOOKUP(K65,Sheet3!A:E,3))/(VLOOKUP(K65,Sheet3!A:E,2)-VLOOKUP(K65,Sheet3!A:E,1))*(K65-VLOOKUP(K65,Sheet3!A:E,1))+VLOOKUP(K65,Sheet3!A:E,3)</f>
        <v>0.52830496453940001</v>
      </c>
      <c r="P65" s="23" t="str">
        <f t="shared" si="7"/>
        <v>ok</v>
      </c>
    </row>
    <row r="66" spans="1:17">
      <c r="A66" s="20" t="s">
        <v>95</v>
      </c>
      <c r="B66" s="20" t="s">
        <v>17</v>
      </c>
      <c r="C66" s="20">
        <v>55</v>
      </c>
      <c r="D66" s="20" t="s">
        <v>41</v>
      </c>
      <c r="E66" s="20">
        <v>1000</v>
      </c>
      <c r="F66" s="20">
        <v>31</v>
      </c>
      <c r="G66" s="20" t="s">
        <v>18</v>
      </c>
      <c r="H66" s="20" t="s">
        <v>46</v>
      </c>
      <c r="I66" s="20" t="s">
        <v>20</v>
      </c>
      <c r="J66" s="20" t="str">
        <f t="shared" si="4"/>
        <v>"07151209_1824"</v>
      </c>
      <c r="K66" s="21">
        <f t="shared" si="5"/>
        <v>42347.76666666667</v>
      </c>
      <c r="L66" s="22">
        <f t="shared" si="6"/>
        <v>24161424.000000004</v>
      </c>
      <c r="M66" s="20" t="s">
        <v>75</v>
      </c>
      <c r="N66" s="20"/>
      <c r="O66" s="23">
        <f>(VLOOKUP(K66,Sheet3!A:E,4)-VLOOKUP(K66,Sheet3!A:E,3))/(VLOOKUP(K66,Sheet3!A:E,2)-VLOOKUP(K66,Sheet3!A:E,1))*(K66-VLOOKUP(K66,Sheet3!A:E,1))+VLOOKUP(K66,Sheet3!A:E,3)</f>
        <v>0.51559574468020852</v>
      </c>
      <c r="P66" s="23" t="str">
        <f t="shared" si="7"/>
        <v>ok</v>
      </c>
    </row>
    <row r="67" spans="1:17">
      <c r="A67" s="20" t="s">
        <v>96</v>
      </c>
      <c r="B67" s="20" t="s">
        <v>17</v>
      </c>
      <c r="C67" s="20">
        <v>55</v>
      </c>
      <c r="D67" s="20" t="s">
        <v>41</v>
      </c>
      <c r="E67" s="20">
        <v>1000</v>
      </c>
      <c r="F67" s="20">
        <v>31</v>
      </c>
      <c r="G67" s="20" t="s">
        <v>18</v>
      </c>
      <c r="H67" s="20" t="s">
        <v>46</v>
      </c>
      <c r="I67" s="20" t="s">
        <v>20</v>
      </c>
      <c r="J67" s="20" t="str">
        <f t="shared" si="4"/>
        <v>"07151209_1921"</v>
      </c>
      <c r="K67" s="21">
        <f t="shared" si="5"/>
        <v>42347.806250000001</v>
      </c>
      <c r="L67" s="22">
        <f t="shared" si="6"/>
        <v>24161481.000000004</v>
      </c>
      <c r="M67" s="20" t="s">
        <v>75</v>
      </c>
      <c r="N67" s="20"/>
      <c r="O67" s="23">
        <f>(VLOOKUP(K67,Sheet3!A:E,4)-VLOOKUP(K67,Sheet3!A:E,3))/(VLOOKUP(K67,Sheet3!A:E,2)-VLOOKUP(K67,Sheet3!A:E,1))*(K67-VLOOKUP(K67,Sheet3!A:E,1))+VLOOKUP(K67,Sheet3!A:E,3)</f>
        <v>0.50265957446804466</v>
      </c>
      <c r="P67" s="23" t="str">
        <f t="shared" si="7"/>
        <v>ok</v>
      </c>
    </row>
    <row r="68" spans="1:17">
      <c r="A68" s="20" t="s">
        <v>97</v>
      </c>
      <c r="B68" s="20" t="s">
        <v>17</v>
      </c>
      <c r="C68" s="20">
        <v>55</v>
      </c>
      <c r="D68" s="20" t="s">
        <v>41</v>
      </c>
      <c r="E68" s="20">
        <v>1000</v>
      </c>
      <c r="F68" s="20">
        <v>31</v>
      </c>
      <c r="G68" s="20" t="s">
        <v>18</v>
      </c>
      <c r="H68" s="20" t="s">
        <v>46</v>
      </c>
      <c r="I68" s="20" t="s">
        <v>20</v>
      </c>
      <c r="J68" s="20" t="str">
        <f t="shared" si="4"/>
        <v>"07151209_2018"</v>
      </c>
      <c r="K68" s="21">
        <f t="shared" si="5"/>
        <v>42347.845833333333</v>
      </c>
      <c r="L68" s="22">
        <f t="shared" si="6"/>
        <v>24161538</v>
      </c>
      <c r="M68" s="20" t="s">
        <v>75</v>
      </c>
      <c r="N68" s="20"/>
      <c r="O68" s="23">
        <f>(VLOOKUP(K68,Sheet3!A:E,4)-VLOOKUP(K68,Sheet3!A:E,3))/(VLOOKUP(K68,Sheet3!A:E,2)-VLOOKUP(K68,Sheet3!A:E,1))*(K68-VLOOKUP(K68,Sheet3!A:E,1))+VLOOKUP(K68,Sheet3!A:E,3)</f>
        <v>0.48972340425588073</v>
      </c>
      <c r="P68" s="23" t="str">
        <f t="shared" si="7"/>
        <v>ok</v>
      </c>
    </row>
    <row r="69" spans="1:17">
      <c r="A69" s="20" t="s">
        <v>98</v>
      </c>
      <c r="B69" s="20" t="s">
        <v>17</v>
      </c>
      <c r="C69" s="20">
        <v>55</v>
      </c>
      <c r="D69" s="20" t="s">
        <v>41</v>
      </c>
      <c r="E69" s="20">
        <v>1000</v>
      </c>
      <c r="F69" s="20">
        <v>31</v>
      </c>
      <c r="G69" s="20" t="s">
        <v>18</v>
      </c>
      <c r="H69" s="20" t="s">
        <v>46</v>
      </c>
      <c r="I69" s="20" t="s">
        <v>20</v>
      </c>
      <c r="J69" s="20" t="str">
        <f t="shared" ref="J69:J100" si="8">""""&amp;A69&amp;""""</f>
        <v>"07151209_2114"</v>
      </c>
      <c r="K69" s="21">
        <f t="shared" ref="K69:K100" si="9">DATE(2000+MID(A69,3,2),MID(A69,5,2),MID(A69,7,2))+TIME(MID(A69,10,2),MID(A69,12,2),0)</f>
        <v>42347.884722222225</v>
      </c>
      <c r="L69" s="22">
        <f t="shared" ref="L69:L100" si="10">(K69-25569)*24*60</f>
        <v>24161594.000000004</v>
      </c>
      <c r="M69" s="20" t="s">
        <v>75</v>
      </c>
      <c r="N69" s="20"/>
      <c r="O69" s="23">
        <f>(VLOOKUP(K69,Sheet3!A:E,4)-VLOOKUP(K69,Sheet3!A:E,3))/(VLOOKUP(K69,Sheet3!A:E,2)-VLOOKUP(K69,Sheet3!A:E,1))*(K69-VLOOKUP(K69,Sheet3!A:E,1))+VLOOKUP(K69,Sheet3!A:E,3)</f>
        <v>0.47701418439668924</v>
      </c>
      <c r="P69" s="23" t="str">
        <f t="shared" si="7"/>
        <v>ok</v>
      </c>
    </row>
    <row r="70" spans="1:17">
      <c r="A70" s="20" t="s">
        <v>99</v>
      </c>
      <c r="B70" s="20" t="s">
        <v>17</v>
      </c>
      <c r="C70" s="20">
        <v>55</v>
      </c>
      <c r="D70" s="20" t="s">
        <v>41</v>
      </c>
      <c r="E70" s="20">
        <v>1000</v>
      </c>
      <c r="F70" s="20">
        <v>31</v>
      </c>
      <c r="G70" s="20" t="s">
        <v>18</v>
      </c>
      <c r="H70" s="20" t="s">
        <v>46</v>
      </c>
      <c r="I70" s="20" t="s">
        <v>20</v>
      </c>
      <c r="J70" s="20" t="str">
        <f t="shared" si="8"/>
        <v>"07151209_2211"</v>
      </c>
      <c r="K70" s="21">
        <f t="shared" si="9"/>
        <v>42347.924305555556</v>
      </c>
      <c r="L70" s="22">
        <f t="shared" si="10"/>
        <v>24161651</v>
      </c>
      <c r="M70" s="20" t="s">
        <v>75</v>
      </c>
      <c r="N70" s="20"/>
      <c r="O70" s="23">
        <f>(VLOOKUP(K70,Sheet3!A:E,4)-VLOOKUP(K70,Sheet3!A:E,3))/(VLOOKUP(K70,Sheet3!A:E,2)-VLOOKUP(K70,Sheet3!A:E,1))*(K70-VLOOKUP(K70,Sheet3!A:E,1))+VLOOKUP(K70,Sheet3!A:E,3)</f>
        <v>0.46407801418452532</v>
      </c>
      <c r="P70" s="23" t="str">
        <f t="shared" si="7"/>
        <v>ok</v>
      </c>
    </row>
    <row r="71" spans="1:17">
      <c r="A71" s="20" t="s">
        <v>100</v>
      </c>
      <c r="B71" s="20" t="s">
        <v>17</v>
      </c>
      <c r="C71" s="20">
        <v>55</v>
      </c>
      <c r="D71" s="20" t="s">
        <v>41</v>
      </c>
      <c r="E71" s="20">
        <v>1000</v>
      </c>
      <c r="F71" s="20">
        <v>31</v>
      </c>
      <c r="G71" s="20" t="s">
        <v>18</v>
      </c>
      <c r="H71" s="20" t="s">
        <v>46</v>
      </c>
      <c r="I71" s="20" t="s">
        <v>20</v>
      </c>
      <c r="J71" s="20" t="str">
        <f t="shared" si="8"/>
        <v>"07151209_2308"</v>
      </c>
      <c r="K71" s="21">
        <f t="shared" si="9"/>
        <v>42347.963888888888</v>
      </c>
      <c r="L71" s="22">
        <f t="shared" si="10"/>
        <v>24161708</v>
      </c>
      <c r="M71" s="20" t="s">
        <v>75</v>
      </c>
      <c r="N71" s="20"/>
      <c r="O71" s="23">
        <f>(VLOOKUP(K71,Sheet3!A:E,4)-VLOOKUP(K71,Sheet3!A:E,3))/(VLOOKUP(K71,Sheet3!A:E,2)-VLOOKUP(K71,Sheet3!A:E,1))*(K71-VLOOKUP(K71,Sheet3!A:E,1))+VLOOKUP(K71,Sheet3!A:E,3)</f>
        <v>0.45114184397236146</v>
      </c>
      <c r="P71" s="23" t="str">
        <f t="shared" si="7"/>
        <v>ok</v>
      </c>
    </row>
    <row r="72" spans="1:17">
      <c r="A72" s="20" t="s">
        <v>101</v>
      </c>
      <c r="B72" s="20" t="s">
        <v>17</v>
      </c>
      <c r="C72" s="20">
        <v>55</v>
      </c>
      <c r="D72" s="20" t="s">
        <v>41</v>
      </c>
      <c r="E72" s="20">
        <v>1000</v>
      </c>
      <c r="F72" s="20">
        <v>31</v>
      </c>
      <c r="G72" s="20" t="s">
        <v>18</v>
      </c>
      <c r="H72" s="20" t="s">
        <v>46</v>
      </c>
      <c r="I72" s="20" t="s">
        <v>20</v>
      </c>
      <c r="J72" s="20" t="str">
        <f t="shared" si="8"/>
        <v>"07151210_0005"</v>
      </c>
      <c r="K72" s="21">
        <f t="shared" si="9"/>
        <v>42348.003472222219</v>
      </c>
      <c r="L72" s="22">
        <f t="shared" si="10"/>
        <v>24161764.999999996</v>
      </c>
      <c r="M72" s="20" t="s">
        <v>75</v>
      </c>
      <c r="N72" s="20"/>
      <c r="O72" s="23">
        <f>(VLOOKUP(K72,Sheet3!A:E,4)-VLOOKUP(K72,Sheet3!A:E,3))/(VLOOKUP(K72,Sheet3!A:E,2)-VLOOKUP(K72,Sheet3!A:E,1))*(K72-VLOOKUP(K72,Sheet3!A:E,1))+VLOOKUP(K72,Sheet3!A:E,3)</f>
        <v>0.43820567376019753</v>
      </c>
      <c r="P72" s="23" t="str">
        <f t="shared" si="7"/>
        <v>ok</v>
      </c>
    </row>
    <row r="73" spans="1:17">
      <c r="A73" s="20" t="s">
        <v>102</v>
      </c>
      <c r="B73" s="20" t="s">
        <v>17</v>
      </c>
      <c r="C73" s="20">
        <v>55</v>
      </c>
      <c r="D73" s="20" t="s">
        <v>41</v>
      </c>
      <c r="E73" s="20">
        <v>1000</v>
      </c>
      <c r="F73" s="20">
        <v>31</v>
      </c>
      <c r="G73" s="20" t="s">
        <v>18</v>
      </c>
      <c r="H73" s="20" t="s">
        <v>46</v>
      </c>
      <c r="I73" s="20" t="s">
        <v>20</v>
      </c>
      <c r="J73" s="20" t="str">
        <f t="shared" si="8"/>
        <v>"07151210_0101"</v>
      </c>
      <c r="K73" s="21">
        <f t="shared" si="9"/>
        <v>42348.042361111111</v>
      </c>
      <c r="L73" s="22">
        <f t="shared" si="10"/>
        <v>24161821</v>
      </c>
      <c r="M73" s="20" t="s">
        <v>75</v>
      </c>
      <c r="N73" s="20"/>
      <c r="O73" s="23">
        <f>(VLOOKUP(K73,Sheet3!A:E,4)-VLOOKUP(K73,Sheet3!A:E,3))/(VLOOKUP(K73,Sheet3!A:E,2)-VLOOKUP(K73,Sheet3!A:E,1))*(K73-VLOOKUP(K73,Sheet3!A:E,1))+VLOOKUP(K73,Sheet3!A:E,3)</f>
        <v>0.42549645390100604</v>
      </c>
      <c r="P73" s="23" t="str">
        <f t="shared" si="7"/>
        <v>ok</v>
      </c>
    </row>
    <row r="74" spans="1:17">
      <c r="A74" s="20" t="s">
        <v>103</v>
      </c>
      <c r="B74" s="20" t="s">
        <v>17</v>
      </c>
      <c r="C74" s="20">
        <v>55</v>
      </c>
      <c r="D74" s="20" t="s">
        <v>41</v>
      </c>
      <c r="E74" s="20">
        <v>1000</v>
      </c>
      <c r="F74" s="20">
        <v>31</v>
      </c>
      <c r="G74" s="20" t="s">
        <v>18</v>
      </c>
      <c r="H74" s="20" t="s">
        <v>46</v>
      </c>
      <c r="I74" s="20" t="s">
        <v>20</v>
      </c>
      <c r="J74" s="20" t="str">
        <f t="shared" si="8"/>
        <v>"07151210_0158"</v>
      </c>
      <c r="K74" s="21">
        <f t="shared" si="9"/>
        <v>42348.081944444442</v>
      </c>
      <c r="L74" s="22">
        <f t="shared" si="10"/>
        <v>24161877.999999996</v>
      </c>
      <c r="M74" s="20" t="s">
        <v>75</v>
      </c>
      <c r="N74" s="20"/>
      <c r="O74" s="23">
        <f>(VLOOKUP(K74,Sheet3!A:E,4)-VLOOKUP(K74,Sheet3!A:E,3))/(VLOOKUP(K74,Sheet3!A:E,2)-VLOOKUP(K74,Sheet3!A:E,1))*(K74-VLOOKUP(K74,Sheet3!A:E,1))+VLOOKUP(K74,Sheet3!A:E,3)</f>
        <v>0.41256028368884212</v>
      </c>
      <c r="P74" s="23" t="str">
        <f t="shared" si="7"/>
        <v>ok</v>
      </c>
    </row>
    <row r="75" spans="1:17">
      <c r="A75" s="20" t="s">
        <v>104</v>
      </c>
      <c r="B75" s="20" t="s">
        <v>17</v>
      </c>
      <c r="C75" s="20">
        <v>55</v>
      </c>
      <c r="D75" s="20" t="s">
        <v>41</v>
      </c>
      <c r="E75" s="20">
        <v>1000</v>
      </c>
      <c r="F75" s="20">
        <v>31</v>
      </c>
      <c r="G75" s="20" t="s">
        <v>18</v>
      </c>
      <c r="H75" s="20" t="s">
        <v>46</v>
      </c>
      <c r="I75" s="20" t="s">
        <v>20</v>
      </c>
      <c r="J75" s="20" t="str">
        <f t="shared" si="8"/>
        <v>"07151210_0255"</v>
      </c>
      <c r="K75" s="21">
        <f t="shared" si="9"/>
        <v>42348.121527777781</v>
      </c>
      <c r="L75" s="22">
        <f t="shared" si="10"/>
        <v>24161935.000000004</v>
      </c>
      <c r="M75" s="20" t="s">
        <v>75</v>
      </c>
      <c r="N75" s="20"/>
      <c r="O75" s="23">
        <f>(VLOOKUP(K75,Sheet3!A:E,4)-VLOOKUP(K75,Sheet3!A:E,3))/(VLOOKUP(K75,Sheet3!A:E,2)-VLOOKUP(K75,Sheet3!A:E,1))*(K75-VLOOKUP(K75,Sheet3!A:E,1))+VLOOKUP(K75,Sheet3!A:E,3)</f>
        <v>0.39962411347430038</v>
      </c>
      <c r="P75" s="23" t="str">
        <f t="shared" si="7"/>
        <v>ok</v>
      </c>
    </row>
    <row r="76" spans="1:17">
      <c r="A76" s="20" t="s">
        <v>105</v>
      </c>
      <c r="B76" s="20" t="s">
        <v>17</v>
      </c>
      <c r="C76" s="20">
        <v>55</v>
      </c>
      <c r="D76" s="20" t="s">
        <v>41</v>
      </c>
      <c r="E76" s="20">
        <v>1000</v>
      </c>
      <c r="F76" s="20">
        <v>31</v>
      </c>
      <c r="G76" s="20" t="s">
        <v>18</v>
      </c>
      <c r="H76" s="20" t="s">
        <v>46</v>
      </c>
      <c r="I76" s="20" t="s">
        <v>20</v>
      </c>
      <c r="J76" s="20" t="str">
        <f t="shared" si="8"/>
        <v>"07151210_0351"</v>
      </c>
      <c r="K76" s="21">
        <f t="shared" si="9"/>
        <v>42348.160416666666</v>
      </c>
      <c r="L76" s="22">
        <f t="shared" si="10"/>
        <v>24161991</v>
      </c>
      <c r="M76" s="20" t="s">
        <v>75</v>
      </c>
      <c r="N76" s="20"/>
      <c r="O76" s="23">
        <f>(VLOOKUP(K76,Sheet3!A:E,4)-VLOOKUP(K76,Sheet3!A:E,3))/(VLOOKUP(K76,Sheet3!A:E,2)-VLOOKUP(K76,Sheet3!A:E,1))*(K76-VLOOKUP(K76,Sheet3!A:E,1))+VLOOKUP(K76,Sheet3!A:E,3)</f>
        <v>0.38691489361748671</v>
      </c>
      <c r="P76" s="23" t="str">
        <f t="shared" si="7"/>
        <v>ok</v>
      </c>
      <c r="Q76">
        <f>SUM(F76:F108)/60</f>
        <v>16.533333333333335</v>
      </c>
    </row>
    <row r="77" spans="1:17">
      <c r="A77" s="20" t="s">
        <v>106</v>
      </c>
      <c r="B77" s="20" t="s">
        <v>17</v>
      </c>
      <c r="C77" s="20">
        <v>55</v>
      </c>
      <c r="D77" s="20" t="s">
        <v>41</v>
      </c>
      <c r="E77" s="20">
        <v>1000</v>
      </c>
      <c r="F77" s="20">
        <v>31</v>
      </c>
      <c r="G77" s="20" t="s">
        <v>18</v>
      </c>
      <c r="H77" s="20" t="s">
        <v>46</v>
      </c>
      <c r="I77" s="20" t="s">
        <v>20</v>
      </c>
      <c r="J77" s="20" t="str">
        <f t="shared" si="8"/>
        <v>"07151212_0748"</v>
      </c>
      <c r="K77" s="21">
        <f t="shared" si="9"/>
        <v>42350.324999999997</v>
      </c>
      <c r="L77" s="22">
        <f t="shared" si="10"/>
        <v>24165107.999999996</v>
      </c>
      <c r="M77" s="20" t="s">
        <v>75</v>
      </c>
      <c r="N77" s="23">
        <v>0.69887500000186265</v>
      </c>
      <c r="O77" s="23">
        <f>(VLOOKUP(K77,Sheet3!A:E,4)-VLOOKUP(K77,Sheet3!A:E,3))/(VLOOKUP(K77,Sheet3!A:E,2)-VLOOKUP(K77,Sheet3!A:E,1))*(K77-VLOOKUP(K77,Sheet3!A:E,1))+VLOOKUP(K77,Sheet3!A:E,3)</f>
        <v>0.69887500000127079</v>
      </c>
      <c r="P77" s="23" t="str">
        <f t="shared" si="7"/>
        <v>ok</v>
      </c>
    </row>
    <row r="78" spans="1:17">
      <c r="A78" s="20" t="s">
        <v>107</v>
      </c>
      <c r="B78" s="20" t="s">
        <v>17</v>
      </c>
      <c r="C78" s="20">
        <v>55</v>
      </c>
      <c r="D78" s="20" t="s">
        <v>41</v>
      </c>
      <c r="E78" s="20">
        <v>1000</v>
      </c>
      <c r="F78" s="20">
        <v>31</v>
      </c>
      <c r="G78" s="20" t="s">
        <v>18</v>
      </c>
      <c r="H78" s="20" t="s">
        <v>46</v>
      </c>
      <c r="I78" s="20" t="s">
        <v>20</v>
      </c>
      <c r="J78" s="20" t="str">
        <f t="shared" si="8"/>
        <v>"07151212_0845"</v>
      </c>
      <c r="K78" s="21">
        <f t="shared" si="9"/>
        <v>42350.364583333336</v>
      </c>
      <c r="L78" s="22">
        <f t="shared" si="10"/>
        <v>24165165.000000004</v>
      </c>
      <c r="M78" s="20" t="s">
        <v>75</v>
      </c>
      <c r="N78" s="23">
        <v>0.68351171875110595</v>
      </c>
      <c r="O78" s="23">
        <f>(VLOOKUP(K78,Sheet3!A:E,4)-VLOOKUP(K78,Sheet3!A:E,3))/(VLOOKUP(K78,Sheet3!A:E,2)-VLOOKUP(K78,Sheet3!A:E,1))*(K78-VLOOKUP(K78,Sheet3!A:E,1))+VLOOKUP(K78,Sheet3!A:E,3)</f>
        <v>0.68351171874922778</v>
      </c>
      <c r="P78" s="23" t="str">
        <f t="shared" si="7"/>
        <v>ok</v>
      </c>
    </row>
    <row r="79" spans="1:17">
      <c r="A79" s="20" t="s">
        <v>108</v>
      </c>
      <c r="B79" s="20" t="s">
        <v>17</v>
      </c>
      <c r="C79" s="20">
        <v>55</v>
      </c>
      <c r="D79" s="20" t="s">
        <v>41</v>
      </c>
      <c r="E79" s="20">
        <v>1000</v>
      </c>
      <c r="F79" s="20">
        <v>31</v>
      </c>
      <c r="G79" s="20" t="s">
        <v>18</v>
      </c>
      <c r="H79" s="20" t="s">
        <v>46</v>
      </c>
      <c r="I79" s="20" t="s">
        <v>20</v>
      </c>
      <c r="J79" s="20" t="str">
        <f t="shared" si="8"/>
        <v>"07151212_0941"</v>
      </c>
      <c r="K79" s="21">
        <f t="shared" si="9"/>
        <v>42350.40347222222</v>
      </c>
      <c r="L79" s="22">
        <f t="shared" si="10"/>
        <v>24165220.999999996</v>
      </c>
      <c r="M79" s="20" t="s">
        <v>75</v>
      </c>
      <c r="N79" s="20"/>
      <c r="O79" s="23">
        <f>(VLOOKUP(K79,Sheet3!A:E,4)-VLOOKUP(K79,Sheet3!A:E,3))/(VLOOKUP(K79,Sheet3!A:E,2)-VLOOKUP(K79,Sheet3!A:E,1))*(K79-VLOOKUP(K79,Sheet3!A:E,1))+VLOOKUP(K79,Sheet3!A:E,3)</f>
        <v>0.66841796875088688</v>
      </c>
      <c r="P79" s="23" t="str">
        <f t="shared" si="7"/>
        <v>ok</v>
      </c>
    </row>
    <row r="80" spans="1:17">
      <c r="A80" s="20" t="s">
        <v>109</v>
      </c>
      <c r="B80" s="20" t="s">
        <v>17</v>
      </c>
      <c r="C80" s="20">
        <v>55</v>
      </c>
      <c r="D80" s="20" t="s">
        <v>41</v>
      </c>
      <c r="E80" s="20">
        <v>1000</v>
      </c>
      <c r="F80" s="20">
        <v>31</v>
      </c>
      <c r="G80" s="20" t="s">
        <v>18</v>
      </c>
      <c r="H80" s="20" t="s">
        <v>46</v>
      </c>
      <c r="I80" s="20" t="s">
        <v>20</v>
      </c>
      <c r="J80" s="20" t="str">
        <f t="shared" si="8"/>
        <v>"07151212_1038"</v>
      </c>
      <c r="K80" s="21">
        <f t="shared" si="9"/>
        <v>42350.443055555559</v>
      </c>
      <c r="L80" s="22">
        <f t="shared" si="10"/>
        <v>24165278.000000004</v>
      </c>
      <c r="M80" s="20" t="s">
        <v>75</v>
      </c>
      <c r="N80" s="20"/>
      <c r="O80" s="23">
        <f>(VLOOKUP(K80,Sheet3!A:E,4)-VLOOKUP(K80,Sheet3!A:E,3))/(VLOOKUP(K80,Sheet3!A:E,2)-VLOOKUP(K80,Sheet3!A:E,1))*(K80-VLOOKUP(K80,Sheet3!A:E,1))+VLOOKUP(K80,Sheet3!A:E,3)</f>
        <v>0.65305468749884388</v>
      </c>
      <c r="P80" s="23" t="str">
        <f t="shared" si="7"/>
        <v>ok</v>
      </c>
    </row>
    <row r="81" spans="1:17">
      <c r="A81" s="20" t="s">
        <v>110</v>
      </c>
      <c r="B81" s="20" t="s">
        <v>17</v>
      </c>
      <c r="C81" s="20">
        <v>55</v>
      </c>
      <c r="D81" s="20" t="s">
        <v>41</v>
      </c>
      <c r="E81" s="20">
        <v>1000</v>
      </c>
      <c r="F81" s="20">
        <v>31</v>
      </c>
      <c r="G81" s="20" t="s">
        <v>18</v>
      </c>
      <c r="H81" s="20" t="s">
        <v>46</v>
      </c>
      <c r="I81" s="20" t="s">
        <v>20</v>
      </c>
      <c r="J81" s="20" t="str">
        <f t="shared" si="8"/>
        <v>"07151212_1135"</v>
      </c>
      <c r="K81" s="21">
        <f t="shared" si="9"/>
        <v>42350.482638888891</v>
      </c>
      <c r="L81" s="22">
        <f t="shared" si="10"/>
        <v>24165335.000000004</v>
      </c>
      <c r="M81" s="20" t="s">
        <v>75</v>
      </c>
      <c r="N81" s="20"/>
      <c r="O81" s="23">
        <f>(VLOOKUP(K81,Sheet3!A:E,4)-VLOOKUP(K81,Sheet3!A:E,3))/(VLOOKUP(K81,Sheet3!A:E,2)-VLOOKUP(K81,Sheet3!A:E,1))*(K81-VLOOKUP(K81,Sheet3!A:E,1))+VLOOKUP(K81,Sheet3!A:E,3)</f>
        <v>0.63769140624962495</v>
      </c>
      <c r="P81" s="23" t="str">
        <f t="shared" si="7"/>
        <v>ok</v>
      </c>
    </row>
    <row r="82" spans="1:17">
      <c r="A82" s="20" t="s">
        <v>111</v>
      </c>
      <c r="B82" s="20" t="s">
        <v>17</v>
      </c>
      <c r="C82" s="20">
        <v>55</v>
      </c>
      <c r="D82" s="20" t="s">
        <v>41</v>
      </c>
      <c r="E82" s="20">
        <v>1000</v>
      </c>
      <c r="F82" s="20">
        <v>31</v>
      </c>
      <c r="G82" s="20" t="s">
        <v>18</v>
      </c>
      <c r="H82" s="20" t="s">
        <v>46</v>
      </c>
      <c r="I82" s="20" t="s">
        <v>20</v>
      </c>
      <c r="J82" s="20" t="str">
        <f t="shared" si="8"/>
        <v>"07151212_1231"</v>
      </c>
      <c r="K82" s="21">
        <f t="shared" si="9"/>
        <v>42350.521527777775</v>
      </c>
      <c r="L82" s="22">
        <f t="shared" si="10"/>
        <v>24165390.999999996</v>
      </c>
      <c r="M82" s="20" t="s">
        <v>75</v>
      </c>
      <c r="N82" s="20"/>
      <c r="O82" s="23">
        <f>(VLOOKUP(K82,Sheet3!A:E,4)-VLOOKUP(K82,Sheet3!A:E,3))/(VLOOKUP(K82,Sheet3!A:E,2)-VLOOKUP(K82,Sheet3!A:E,1))*(K82-VLOOKUP(K82,Sheet3!A:E,1))+VLOOKUP(K82,Sheet3!A:E,3)</f>
        <v>0.62259765625128405</v>
      </c>
      <c r="P82" s="23" t="str">
        <f t="shared" si="7"/>
        <v>ok</v>
      </c>
    </row>
    <row r="83" spans="1:17">
      <c r="A83" s="20" t="s">
        <v>112</v>
      </c>
      <c r="B83" s="20" t="s">
        <v>17</v>
      </c>
      <c r="C83" s="20">
        <v>55</v>
      </c>
      <c r="D83" s="20" t="s">
        <v>41</v>
      </c>
      <c r="E83" s="20">
        <v>1000</v>
      </c>
      <c r="F83" s="20">
        <v>31</v>
      </c>
      <c r="G83" s="20" t="s">
        <v>18</v>
      </c>
      <c r="H83" s="20" t="s">
        <v>46</v>
      </c>
      <c r="I83" s="20" t="s">
        <v>20</v>
      </c>
      <c r="J83" s="20" t="str">
        <f t="shared" si="8"/>
        <v>"07151212_1328"</v>
      </c>
      <c r="K83" s="21">
        <f t="shared" si="9"/>
        <v>42350.561111111114</v>
      </c>
      <c r="L83" s="22">
        <f t="shared" si="10"/>
        <v>24165448.000000004</v>
      </c>
      <c r="M83" s="20" t="s">
        <v>75</v>
      </c>
      <c r="N83" s="20"/>
      <c r="O83" s="23">
        <f>(VLOOKUP(K83,Sheet3!A:E,4)-VLOOKUP(K83,Sheet3!A:E,3))/(VLOOKUP(K83,Sheet3!A:E,2)-VLOOKUP(K83,Sheet3!A:E,1))*(K83-VLOOKUP(K83,Sheet3!A:E,1))+VLOOKUP(K83,Sheet3!A:E,3)</f>
        <v>0.60723437499924104</v>
      </c>
      <c r="P83" s="23" t="str">
        <f t="shared" si="7"/>
        <v>ok</v>
      </c>
    </row>
    <row r="84" spans="1:17">
      <c r="A84" s="20" t="s">
        <v>113</v>
      </c>
      <c r="B84" s="20" t="s">
        <v>17</v>
      </c>
      <c r="C84" s="20">
        <v>55</v>
      </c>
      <c r="D84" s="20" t="s">
        <v>41</v>
      </c>
      <c r="E84" s="20">
        <v>1000</v>
      </c>
      <c r="F84" s="20">
        <v>31</v>
      </c>
      <c r="G84" s="20" t="s">
        <v>18</v>
      </c>
      <c r="H84" s="20" t="s">
        <v>46</v>
      </c>
      <c r="I84" s="20" t="s">
        <v>20</v>
      </c>
      <c r="J84" s="20" t="str">
        <f t="shared" si="8"/>
        <v>"07151212_1424"</v>
      </c>
      <c r="K84" s="21">
        <f t="shared" si="9"/>
        <v>42350.6</v>
      </c>
      <c r="L84" s="22">
        <f t="shared" si="10"/>
        <v>24165503.999999996</v>
      </c>
      <c r="M84" s="20" t="s">
        <v>75</v>
      </c>
      <c r="N84" s="20"/>
      <c r="O84" s="23">
        <f>(VLOOKUP(K84,Sheet3!A:E,4)-VLOOKUP(K84,Sheet3!A:E,3))/(VLOOKUP(K84,Sheet3!A:E,2)-VLOOKUP(K84,Sheet3!A:E,1))*(K84-VLOOKUP(K84,Sheet3!A:E,1))+VLOOKUP(K84,Sheet3!A:E,3)</f>
        <v>0.58979527559161649</v>
      </c>
      <c r="P84" s="23" t="str">
        <f t="shared" si="7"/>
        <v>ok</v>
      </c>
    </row>
    <row r="85" spans="1:17">
      <c r="A85" s="20" t="s">
        <v>114</v>
      </c>
      <c r="B85" s="20" t="s">
        <v>17</v>
      </c>
      <c r="C85" s="20">
        <v>55</v>
      </c>
      <c r="D85" s="20" t="s">
        <v>41</v>
      </c>
      <c r="E85" s="20">
        <v>1000</v>
      </c>
      <c r="F85" s="20">
        <v>31</v>
      </c>
      <c r="G85" s="20" t="s">
        <v>18</v>
      </c>
      <c r="H85" s="20" t="s">
        <v>46</v>
      </c>
      <c r="I85" s="20" t="s">
        <v>20</v>
      </c>
      <c r="J85" s="20" t="str">
        <f t="shared" si="8"/>
        <v>"07151212_1521"</v>
      </c>
      <c r="K85" s="21">
        <f t="shared" si="9"/>
        <v>42350.63958333333</v>
      </c>
      <c r="L85" s="22">
        <f t="shared" si="10"/>
        <v>24165560.999999996</v>
      </c>
      <c r="M85" s="20" t="s">
        <v>75</v>
      </c>
      <c r="N85" s="20"/>
      <c r="O85" s="23">
        <f>(VLOOKUP(K85,Sheet3!A:E,4)-VLOOKUP(K85,Sheet3!A:E,3))/(VLOOKUP(K85,Sheet3!A:E,2)-VLOOKUP(K85,Sheet3!A:E,1))*(K85-VLOOKUP(K85,Sheet3!A:E,1))+VLOOKUP(K85,Sheet3!A:E,3)</f>
        <v>0.57139370078938578</v>
      </c>
      <c r="P85" s="23" t="str">
        <f t="shared" si="7"/>
        <v>ok</v>
      </c>
    </row>
    <row r="86" spans="1:17">
      <c r="A86" s="20" t="s">
        <v>115</v>
      </c>
      <c r="B86" s="20" t="s">
        <v>17</v>
      </c>
      <c r="C86" s="20">
        <v>55</v>
      </c>
      <c r="D86" s="20" t="s">
        <v>41</v>
      </c>
      <c r="E86" s="20">
        <v>1000</v>
      </c>
      <c r="F86" s="20">
        <v>31</v>
      </c>
      <c r="G86" s="20" t="s">
        <v>18</v>
      </c>
      <c r="H86" s="20" t="s">
        <v>46</v>
      </c>
      <c r="I86" s="20" t="s">
        <v>20</v>
      </c>
      <c r="J86" s="20" t="str">
        <f t="shared" si="8"/>
        <v>"07151212_1618"</v>
      </c>
      <c r="K86" s="21">
        <f t="shared" si="9"/>
        <v>42350.679166666669</v>
      </c>
      <c r="L86" s="22">
        <f t="shared" si="10"/>
        <v>24165618.000000004</v>
      </c>
      <c r="M86" s="20" t="s">
        <v>75</v>
      </c>
      <c r="N86" s="20"/>
      <c r="O86" s="23">
        <f>(VLOOKUP(K86,Sheet3!A:E,4)-VLOOKUP(K86,Sheet3!A:E,3))/(VLOOKUP(K86,Sheet3!A:E,2)-VLOOKUP(K86,Sheet3!A:E,1))*(K86-VLOOKUP(K86,Sheet3!A:E,1))+VLOOKUP(K86,Sheet3!A:E,3)</f>
        <v>0.55299212598377256</v>
      </c>
      <c r="P86" s="23" t="str">
        <f t="shared" si="7"/>
        <v>ok</v>
      </c>
    </row>
    <row r="87" spans="1:17">
      <c r="A87" s="20" t="s">
        <v>116</v>
      </c>
      <c r="B87" s="20" t="s">
        <v>17</v>
      </c>
      <c r="C87" s="20">
        <v>55</v>
      </c>
      <c r="D87" s="20" t="s">
        <v>41</v>
      </c>
      <c r="E87" s="20">
        <v>1000</v>
      </c>
      <c r="F87" s="20">
        <v>31</v>
      </c>
      <c r="G87" s="20" t="s">
        <v>18</v>
      </c>
      <c r="H87" s="20" t="s">
        <v>46</v>
      </c>
      <c r="I87" s="20" t="s">
        <v>20</v>
      </c>
      <c r="J87" s="20" t="str">
        <f t="shared" si="8"/>
        <v>"07151212_1714"</v>
      </c>
      <c r="K87" s="21">
        <f t="shared" si="9"/>
        <v>42350.718055555553</v>
      </c>
      <c r="L87" s="22">
        <f t="shared" si="10"/>
        <v>24165673.999999996</v>
      </c>
      <c r="M87" s="20" t="s">
        <v>75</v>
      </c>
      <c r="N87" s="20"/>
      <c r="O87" s="23">
        <f>(VLOOKUP(K87,Sheet3!A:E,4)-VLOOKUP(K87,Sheet3!A:E,3))/(VLOOKUP(K87,Sheet3!A:E,2)-VLOOKUP(K87,Sheet3!A:E,1))*(K87-VLOOKUP(K87,Sheet3!A:E,1))+VLOOKUP(K87,Sheet3!A:E,3)</f>
        <v>0.53491338582826309</v>
      </c>
      <c r="P87" s="23" t="str">
        <f t="shared" ref="P87:P118" si="11">IF(AND(O87&gt;0.2,O87&lt;0.7),"ok","bad")</f>
        <v>ok</v>
      </c>
    </row>
    <row r="88" spans="1:17">
      <c r="A88" s="20" t="s">
        <v>117</v>
      </c>
      <c r="B88" s="20" t="s">
        <v>17</v>
      </c>
      <c r="C88" s="20">
        <v>55</v>
      </c>
      <c r="D88" s="20" t="s">
        <v>41</v>
      </c>
      <c r="E88" s="20">
        <v>1000</v>
      </c>
      <c r="F88" s="20">
        <v>31</v>
      </c>
      <c r="G88" s="20" t="s">
        <v>18</v>
      </c>
      <c r="H88" s="20" t="s">
        <v>46</v>
      </c>
      <c r="I88" s="20" t="s">
        <v>20</v>
      </c>
      <c r="J88" s="20" t="str">
        <f t="shared" si="8"/>
        <v>"07151212_1811"</v>
      </c>
      <c r="K88" s="21">
        <f t="shared" si="9"/>
        <v>42350.757638888892</v>
      </c>
      <c r="L88" s="22">
        <f t="shared" si="10"/>
        <v>24165731.000000004</v>
      </c>
      <c r="M88" s="20" t="s">
        <v>75</v>
      </c>
      <c r="N88" s="20"/>
      <c r="O88" s="23">
        <f>(VLOOKUP(K88,Sheet3!A:E,4)-VLOOKUP(K88,Sheet3!A:E,3))/(VLOOKUP(K88,Sheet3!A:E,2)-VLOOKUP(K88,Sheet3!A:E,1))*(K88-VLOOKUP(K88,Sheet3!A:E,1))+VLOOKUP(K88,Sheet3!A:E,3)</f>
        <v>0.51651181102264987</v>
      </c>
      <c r="P88" s="23" t="str">
        <f t="shared" si="11"/>
        <v>ok</v>
      </c>
    </row>
    <row r="89" spans="1:17">
      <c r="A89" s="20" t="s">
        <v>118</v>
      </c>
      <c r="B89" s="20" t="s">
        <v>17</v>
      </c>
      <c r="C89" s="20">
        <v>55</v>
      </c>
      <c r="D89" s="20" t="s">
        <v>41</v>
      </c>
      <c r="E89" s="20">
        <v>1000</v>
      </c>
      <c r="F89" s="20">
        <v>31</v>
      </c>
      <c r="G89" s="20" t="s">
        <v>18</v>
      </c>
      <c r="H89" s="20" t="s">
        <v>46</v>
      </c>
      <c r="I89" s="20" t="s">
        <v>20</v>
      </c>
      <c r="J89" s="20" t="str">
        <f t="shared" si="8"/>
        <v>"07151212_1908"</v>
      </c>
      <c r="K89" s="21">
        <f t="shared" si="9"/>
        <v>42350.797222222223</v>
      </c>
      <c r="L89" s="22">
        <f t="shared" si="10"/>
        <v>24165788</v>
      </c>
      <c r="M89" s="20" t="s">
        <v>75</v>
      </c>
      <c r="N89" s="20"/>
      <c r="O89" s="23">
        <f>(VLOOKUP(K89,Sheet3!A:E,4)-VLOOKUP(K89,Sheet3!A:E,3))/(VLOOKUP(K89,Sheet3!A:E,2)-VLOOKUP(K89,Sheet3!A:E,1))*(K89-VLOOKUP(K89,Sheet3!A:E,1))+VLOOKUP(K89,Sheet3!A:E,3)</f>
        <v>0.49811023622041917</v>
      </c>
      <c r="P89" s="23" t="str">
        <f t="shared" si="11"/>
        <v>ok</v>
      </c>
    </row>
    <row r="90" spans="1:17">
      <c r="A90" s="20" t="s">
        <v>119</v>
      </c>
      <c r="B90" s="20" t="s">
        <v>17</v>
      </c>
      <c r="C90" s="20">
        <v>55</v>
      </c>
      <c r="D90" s="20" t="s">
        <v>41</v>
      </c>
      <c r="E90" s="20">
        <v>1000</v>
      </c>
      <c r="F90" s="20">
        <v>31</v>
      </c>
      <c r="G90" s="20" t="s">
        <v>18</v>
      </c>
      <c r="H90" s="20" t="s">
        <v>46</v>
      </c>
      <c r="I90" s="20" t="s">
        <v>20</v>
      </c>
      <c r="J90" s="20" t="str">
        <f t="shared" si="8"/>
        <v>"07151212_2004"</v>
      </c>
      <c r="K90" s="21">
        <f t="shared" si="9"/>
        <v>42350.836111111108</v>
      </c>
      <c r="L90" s="22">
        <f t="shared" si="10"/>
        <v>24165843.999999996</v>
      </c>
      <c r="M90" s="20" t="s">
        <v>75</v>
      </c>
      <c r="N90" s="20"/>
      <c r="O90" s="23">
        <f>(VLOOKUP(K90,Sheet3!A:E,4)-VLOOKUP(K90,Sheet3!A:E,3))/(VLOOKUP(K90,Sheet3!A:E,2)-VLOOKUP(K90,Sheet3!A:E,1))*(K90-VLOOKUP(K90,Sheet3!A:E,1))+VLOOKUP(K90,Sheet3!A:E,3)</f>
        <v>0.48003149606490975</v>
      </c>
      <c r="P90" s="23" t="str">
        <f t="shared" si="11"/>
        <v>ok</v>
      </c>
    </row>
    <row r="91" spans="1:17">
      <c r="A91" s="20" t="s">
        <v>120</v>
      </c>
      <c r="B91" s="20" t="s">
        <v>17</v>
      </c>
      <c r="C91" s="20">
        <v>55</v>
      </c>
      <c r="D91" s="20" t="s">
        <v>41</v>
      </c>
      <c r="E91" s="20">
        <v>1000</v>
      </c>
      <c r="F91" s="20">
        <v>31</v>
      </c>
      <c r="G91" s="20" t="s">
        <v>18</v>
      </c>
      <c r="H91" s="20" t="s">
        <v>46</v>
      </c>
      <c r="I91" s="20" t="s">
        <v>20</v>
      </c>
      <c r="J91" s="20" t="str">
        <f t="shared" si="8"/>
        <v>"07151212_2101"</v>
      </c>
      <c r="K91" s="21">
        <f t="shared" si="9"/>
        <v>42350.875694444447</v>
      </c>
      <c r="L91" s="22">
        <f t="shared" si="10"/>
        <v>24165901.000000004</v>
      </c>
      <c r="M91" s="20" t="s">
        <v>75</v>
      </c>
      <c r="N91" s="20"/>
      <c r="O91" s="23">
        <f>(VLOOKUP(K91,Sheet3!A:E,4)-VLOOKUP(K91,Sheet3!A:E,3))/(VLOOKUP(K91,Sheet3!A:E,2)-VLOOKUP(K91,Sheet3!A:E,1))*(K91-VLOOKUP(K91,Sheet3!A:E,1))+VLOOKUP(K91,Sheet3!A:E,3)</f>
        <v>0.46162992125929653</v>
      </c>
      <c r="P91" s="23" t="str">
        <f t="shared" si="11"/>
        <v>ok</v>
      </c>
    </row>
    <row r="92" spans="1:17">
      <c r="A92" s="20" t="s">
        <v>121</v>
      </c>
      <c r="B92" s="20" t="s">
        <v>17</v>
      </c>
      <c r="C92" s="20">
        <v>55</v>
      </c>
      <c r="D92" s="20" t="s">
        <v>41</v>
      </c>
      <c r="E92" s="20">
        <v>1000</v>
      </c>
      <c r="F92" s="20">
        <v>31</v>
      </c>
      <c r="G92" s="20" t="s">
        <v>18</v>
      </c>
      <c r="H92" s="20" t="s">
        <v>46</v>
      </c>
      <c r="I92" s="20" t="s">
        <v>20</v>
      </c>
      <c r="J92" s="20" t="str">
        <f t="shared" si="8"/>
        <v>"07151212_2158"</v>
      </c>
      <c r="K92" s="21">
        <f t="shared" si="9"/>
        <v>42350.915277777778</v>
      </c>
      <c r="L92" s="22">
        <f t="shared" si="10"/>
        <v>24165958</v>
      </c>
      <c r="M92" s="20" t="s">
        <v>75</v>
      </c>
      <c r="N92" s="20"/>
      <c r="O92" s="23">
        <f>(VLOOKUP(K92,Sheet3!A:E,4)-VLOOKUP(K92,Sheet3!A:E,3))/(VLOOKUP(K92,Sheet3!A:E,2)-VLOOKUP(K92,Sheet3!A:E,1))*(K92-VLOOKUP(K92,Sheet3!A:E,1))+VLOOKUP(K92,Sheet3!A:E,3)</f>
        <v>0.44322834645706577</v>
      </c>
      <c r="P92" s="23" t="str">
        <f t="shared" si="11"/>
        <v>ok</v>
      </c>
    </row>
    <row r="93" spans="1:17">
      <c r="A93" s="20" t="s">
        <v>122</v>
      </c>
      <c r="B93" s="20" t="s">
        <v>17</v>
      </c>
      <c r="C93" s="20">
        <v>55</v>
      </c>
      <c r="D93" s="20" t="s">
        <v>41</v>
      </c>
      <c r="E93" s="20">
        <v>1000</v>
      </c>
      <c r="F93" s="20">
        <v>31</v>
      </c>
      <c r="G93" s="20" t="s">
        <v>18</v>
      </c>
      <c r="H93" s="20" t="s">
        <v>46</v>
      </c>
      <c r="I93" s="20" t="s">
        <v>20</v>
      </c>
      <c r="J93" s="20" t="str">
        <f t="shared" si="8"/>
        <v>"07151212_2254"</v>
      </c>
      <c r="K93" s="21">
        <f t="shared" si="9"/>
        <v>42350.95416666667</v>
      </c>
      <c r="L93" s="22">
        <f t="shared" si="10"/>
        <v>24166014.000000004</v>
      </c>
      <c r="M93" s="20" t="s">
        <v>75</v>
      </c>
      <c r="N93" s="20"/>
      <c r="O93" s="23">
        <f>(VLOOKUP(K93,Sheet3!A:E,4)-VLOOKUP(K93,Sheet3!A:E,3))/(VLOOKUP(K93,Sheet3!A:E,2)-VLOOKUP(K93,Sheet3!A:E,1))*(K93-VLOOKUP(K93,Sheet3!A:E,1))+VLOOKUP(K93,Sheet3!A:E,3)</f>
        <v>0.42514960629817389</v>
      </c>
      <c r="P93" s="23" t="str">
        <f t="shared" si="11"/>
        <v>ok</v>
      </c>
    </row>
    <row r="94" spans="1:17">
      <c r="A94" s="20" t="s">
        <v>123</v>
      </c>
      <c r="B94" s="20" t="s">
        <v>17</v>
      </c>
      <c r="C94" s="20">
        <v>55</v>
      </c>
      <c r="D94" s="20" t="s">
        <v>41</v>
      </c>
      <c r="E94" s="20">
        <v>1000</v>
      </c>
      <c r="F94" s="20">
        <v>31</v>
      </c>
      <c r="G94" s="20" t="s">
        <v>18</v>
      </c>
      <c r="H94" s="20" t="s">
        <v>46</v>
      </c>
      <c r="I94" s="20" t="s">
        <v>20</v>
      </c>
      <c r="J94" s="20" t="str">
        <f t="shared" si="8"/>
        <v>"07151212_2351"</v>
      </c>
      <c r="K94" s="21">
        <f t="shared" si="9"/>
        <v>42350.993750000001</v>
      </c>
      <c r="L94" s="22">
        <f t="shared" si="10"/>
        <v>24166071.000000004</v>
      </c>
      <c r="M94" s="20" t="s">
        <v>75</v>
      </c>
      <c r="N94" s="20"/>
      <c r="O94" s="23">
        <f>(VLOOKUP(K94,Sheet3!A:E,4)-VLOOKUP(K94,Sheet3!A:E,3))/(VLOOKUP(K94,Sheet3!A:E,2)-VLOOKUP(K94,Sheet3!A:E,1))*(K94-VLOOKUP(K94,Sheet3!A:E,1))+VLOOKUP(K94,Sheet3!A:E,3)</f>
        <v>0.40674803149594313</v>
      </c>
      <c r="P94" s="23" t="str">
        <f t="shared" si="11"/>
        <v>ok</v>
      </c>
    </row>
    <row r="95" spans="1:17">
      <c r="A95" s="20" t="s">
        <v>124</v>
      </c>
      <c r="B95" s="20" t="s">
        <v>17</v>
      </c>
      <c r="C95" s="20">
        <v>55</v>
      </c>
      <c r="D95" s="20" t="s">
        <v>41</v>
      </c>
      <c r="E95" s="20">
        <v>1000</v>
      </c>
      <c r="F95" s="20" t="s">
        <v>41</v>
      </c>
      <c r="G95" s="20" t="s">
        <v>18</v>
      </c>
      <c r="H95" s="20" t="s">
        <v>46</v>
      </c>
      <c r="I95" s="20" t="s">
        <v>20</v>
      </c>
      <c r="J95" s="20" t="str">
        <f t="shared" si="8"/>
        <v>"07151213_0047"</v>
      </c>
      <c r="K95" s="21">
        <f t="shared" si="9"/>
        <v>42351.032638888886</v>
      </c>
      <c r="L95" s="22">
        <f t="shared" si="10"/>
        <v>24166126.999999996</v>
      </c>
      <c r="M95" s="20" t="s">
        <v>75</v>
      </c>
      <c r="N95" s="20"/>
      <c r="O95" s="23">
        <f>(VLOOKUP(K95,Sheet3!A:E,4)-VLOOKUP(K95,Sheet3!A:E,3))/(VLOOKUP(K95,Sheet3!A:E,2)-VLOOKUP(K95,Sheet3!A:E,1))*(K95-VLOOKUP(K95,Sheet3!A:E,1))+VLOOKUP(K95,Sheet3!A:E,3)</f>
        <v>0.38866929134043371</v>
      </c>
      <c r="P95" s="23" t="str">
        <f t="shared" si="11"/>
        <v>ok</v>
      </c>
      <c r="Q95">
        <v>33</v>
      </c>
    </row>
    <row r="96" spans="1:17">
      <c r="A96" s="20" t="s">
        <v>125</v>
      </c>
      <c r="B96" s="20" t="s">
        <v>17</v>
      </c>
      <c r="C96" s="20">
        <v>55</v>
      </c>
      <c r="D96" s="20" t="s">
        <v>41</v>
      </c>
      <c r="E96" s="20">
        <v>1000</v>
      </c>
      <c r="F96" s="20">
        <v>31</v>
      </c>
      <c r="G96" s="20" t="s">
        <v>18</v>
      </c>
      <c r="H96" s="20" t="s">
        <v>55</v>
      </c>
      <c r="I96" s="20" t="s">
        <v>20</v>
      </c>
      <c r="J96" s="20" t="str">
        <f t="shared" si="8"/>
        <v>"07151210_2003"</v>
      </c>
      <c r="K96" s="21">
        <f t="shared" si="9"/>
        <v>42348.835416666669</v>
      </c>
      <c r="L96" s="22">
        <f t="shared" si="10"/>
        <v>24162963.000000004</v>
      </c>
      <c r="M96" s="20" t="s">
        <v>75</v>
      </c>
      <c r="N96" s="20"/>
      <c r="O96" s="23">
        <f>(VLOOKUP(K96,Sheet3!A:E,4)-VLOOKUP(K96,Sheet3!A:E,3))/(VLOOKUP(K96,Sheet3!A:E,2)-VLOOKUP(K96,Sheet3!A:E,1))*(K96-VLOOKUP(K96,Sheet3!A:E,1))+VLOOKUP(K96,Sheet3!A:E,3)</f>
        <v>0.6918168224300143</v>
      </c>
      <c r="P96" s="23" t="str">
        <f t="shared" si="11"/>
        <v>ok</v>
      </c>
    </row>
    <row r="97" spans="1:16">
      <c r="A97" s="20" t="s">
        <v>126</v>
      </c>
      <c r="B97" s="20" t="s">
        <v>17</v>
      </c>
      <c r="C97" s="20">
        <v>55</v>
      </c>
      <c r="D97" s="20" t="s">
        <v>41</v>
      </c>
      <c r="E97" s="20">
        <v>1000</v>
      </c>
      <c r="F97" s="20">
        <v>31</v>
      </c>
      <c r="G97" s="20" t="s">
        <v>18</v>
      </c>
      <c r="H97" s="20" t="s">
        <v>55</v>
      </c>
      <c r="I97" s="20" t="s">
        <v>20</v>
      </c>
      <c r="J97" s="20" t="str">
        <f t="shared" si="8"/>
        <v>"07151210_2059"</v>
      </c>
      <c r="K97" s="21">
        <f t="shared" si="9"/>
        <v>42348.874305555553</v>
      </c>
      <c r="L97" s="22">
        <f t="shared" si="10"/>
        <v>24163018.999999996</v>
      </c>
      <c r="M97" s="20" t="s">
        <v>75</v>
      </c>
      <c r="N97" s="20"/>
      <c r="O97" s="23">
        <f>(VLOOKUP(K97,Sheet3!A:E,4)-VLOOKUP(K97,Sheet3!A:E,3))/(VLOOKUP(K97,Sheet3!A:E,2)-VLOOKUP(K97,Sheet3!A:E,1))*(K97-VLOOKUP(K97,Sheet3!A:E,1))+VLOOKUP(K97,Sheet3!A:E,3)</f>
        <v>0.67470280374025693</v>
      </c>
      <c r="P97" s="23" t="str">
        <f t="shared" si="11"/>
        <v>ok</v>
      </c>
    </row>
    <row r="98" spans="1:16">
      <c r="A98" s="20" t="s">
        <v>127</v>
      </c>
      <c r="B98" s="20" t="s">
        <v>17</v>
      </c>
      <c r="C98" s="20">
        <v>55</v>
      </c>
      <c r="D98" s="20" t="s">
        <v>41</v>
      </c>
      <c r="E98" s="20">
        <v>1000</v>
      </c>
      <c r="F98" s="20">
        <v>31</v>
      </c>
      <c r="G98" s="20" t="s">
        <v>18</v>
      </c>
      <c r="H98" s="20" t="s">
        <v>55</v>
      </c>
      <c r="I98" s="20" t="s">
        <v>20</v>
      </c>
      <c r="J98" s="20" t="str">
        <f t="shared" si="8"/>
        <v>"07151210_2156"</v>
      </c>
      <c r="K98" s="21">
        <f t="shared" si="9"/>
        <v>42348.913888888892</v>
      </c>
      <c r="L98" s="22">
        <f t="shared" si="10"/>
        <v>24163076.000000004</v>
      </c>
      <c r="M98" s="20" t="s">
        <v>75</v>
      </c>
      <c r="N98" s="20"/>
      <c r="O98" s="23">
        <f>(VLOOKUP(K98,Sheet3!A:E,4)-VLOOKUP(K98,Sheet3!A:E,3))/(VLOOKUP(K98,Sheet3!A:E,2)-VLOOKUP(K98,Sheet3!A:E,1))*(K98-VLOOKUP(K98,Sheet3!A:E,1))+VLOOKUP(K98,Sheet3!A:E,3)</f>
        <v>0.65728317756966559</v>
      </c>
      <c r="P98" s="23" t="str">
        <f t="shared" si="11"/>
        <v>ok</v>
      </c>
    </row>
    <row r="99" spans="1:16">
      <c r="A99" s="20" t="s">
        <v>128</v>
      </c>
      <c r="B99" s="20" t="s">
        <v>17</v>
      </c>
      <c r="C99" s="20">
        <v>55</v>
      </c>
      <c r="D99" s="20" t="s">
        <v>41</v>
      </c>
      <c r="E99" s="20">
        <v>1000</v>
      </c>
      <c r="F99" s="20">
        <v>31</v>
      </c>
      <c r="G99" s="20" t="s">
        <v>18</v>
      </c>
      <c r="H99" s="20" t="s">
        <v>55</v>
      </c>
      <c r="I99" s="20" t="s">
        <v>20</v>
      </c>
      <c r="J99" s="20" t="str">
        <f t="shared" si="8"/>
        <v>"07151210_2253"</v>
      </c>
      <c r="K99" s="21">
        <f t="shared" si="9"/>
        <v>42348.953472222223</v>
      </c>
      <c r="L99" s="22">
        <f t="shared" si="10"/>
        <v>24163133</v>
      </c>
      <c r="M99" s="20" t="s">
        <v>75</v>
      </c>
      <c r="N99" s="20"/>
      <c r="O99" s="23">
        <f>(VLOOKUP(K99,Sheet3!A:E,4)-VLOOKUP(K99,Sheet3!A:E,3))/(VLOOKUP(K99,Sheet3!A:E,2)-VLOOKUP(K99,Sheet3!A:E,1))*(K99-VLOOKUP(K99,Sheet3!A:E,1))+VLOOKUP(K99,Sheet3!A:E,3)</f>
        <v>0.63986355140227613</v>
      </c>
      <c r="P99" s="23" t="str">
        <f t="shared" si="11"/>
        <v>ok</v>
      </c>
    </row>
    <row r="100" spans="1:16">
      <c r="A100" s="20" t="s">
        <v>129</v>
      </c>
      <c r="B100" s="20" t="s">
        <v>17</v>
      </c>
      <c r="C100" s="20">
        <v>55</v>
      </c>
      <c r="D100" s="20" t="s">
        <v>41</v>
      </c>
      <c r="E100" s="20">
        <v>1000</v>
      </c>
      <c r="F100" s="20">
        <v>31</v>
      </c>
      <c r="G100" s="20" t="s">
        <v>18</v>
      </c>
      <c r="H100" s="20" t="s">
        <v>55</v>
      </c>
      <c r="I100" s="20" t="s">
        <v>20</v>
      </c>
      <c r="J100" s="20" t="str">
        <f t="shared" si="8"/>
        <v>"07151210_2349"</v>
      </c>
      <c r="K100" s="21">
        <f t="shared" si="9"/>
        <v>42348.992361111108</v>
      </c>
      <c r="L100" s="22">
        <f t="shared" si="10"/>
        <v>24163188.999999996</v>
      </c>
      <c r="M100" s="20" t="s">
        <v>75</v>
      </c>
      <c r="N100" s="20"/>
      <c r="O100" s="23">
        <f>(VLOOKUP(K100,Sheet3!A:E,4)-VLOOKUP(K100,Sheet3!A:E,3))/(VLOOKUP(K100,Sheet3!A:E,2)-VLOOKUP(K100,Sheet3!A:E,1))*(K100-VLOOKUP(K100,Sheet3!A:E,1))+VLOOKUP(K100,Sheet3!A:E,3)</f>
        <v>0.62274953271251876</v>
      </c>
      <c r="P100" s="23" t="str">
        <f t="shared" si="11"/>
        <v>ok</v>
      </c>
    </row>
    <row r="101" spans="1:16">
      <c r="A101" s="20" t="s">
        <v>130</v>
      </c>
      <c r="B101" s="20" t="s">
        <v>17</v>
      </c>
      <c r="C101" s="20">
        <v>55</v>
      </c>
      <c r="D101" s="20" t="s">
        <v>41</v>
      </c>
      <c r="E101" s="20">
        <v>1000</v>
      </c>
      <c r="F101" s="20">
        <v>31</v>
      </c>
      <c r="G101" s="20" t="s">
        <v>18</v>
      </c>
      <c r="H101" s="20" t="s">
        <v>55</v>
      </c>
      <c r="I101" s="20" t="s">
        <v>20</v>
      </c>
      <c r="J101" s="20" t="str">
        <f t="shared" ref="J101:J132" si="12">""""&amp;A101&amp;""""</f>
        <v>"07151211_0046"</v>
      </c>
      <c r="K101" s="21">
        <f t="shared" ref="K101:K132" si="13">DATE(2000+MID(A101,3,2),MID(A101,5,2),MID(A101,7,2))+TIME(MID(A101,10,2),MID(A101,12,2),0)</f>
        <v>42349.031944444447</v>
      </c>
      <c r="L101" s="22">
        <f t="shared" ref="L101:L132" si="14">(K101-25569)*24*60</f>
        <v>24163246.000000004</v>
      </c>
      <c r="M101" s="20" t="s">
        <v>75</v>
      </c>
      <c r="N101" s="20"/>
      <c r="O101" s="23">
        <f>(VLOOKUP(K101,Sheet3!A:E,4)-VLOOKUP(K101,Sheet3!A:E,3))/(VLOOKUP(K101,Sheet3!A:E,2)-VLOOKUP(K101,Sheet3!A:E,1))*(K101-VLOOKUP(K101,Sheet3!A:E,1))+VLOOKUP(K101,Sheet3!A:E,3)</f>
        <v>0.60532990654192742</v>
      </c>
      <c r="P101" s="23" t="str">
        <f t="shared" si="11"/>
        <v>ok</v>
      </c>
    </row>
    <row r="102" spans="1:16">
      <c r="A102" s="20" t="s">
        <v>131</v>
      </c>
      <c r="B102" s="20" t="s">
        <v>17</v>
      </c>
      <c r="C102" s="20">
        <v>55</v>
      </c>
      <c r="D102" s="20" t="s">
        <v>41</v>
      </c>
      <c r="E102" s="20">
        <v>1000</v>
      </c>
      <c r="F102" s="20">
        <v>31</v>
      </c>
      <c r="G102" s="20" t="s">
        <v>18</v>
      </c>
      <c r="H102" s="20" t="s">
        <v>55</v>
      </c>
      <c r="I102" s="20" t="s">
        <v>20</v>
      </c>
      <c r="J102" s="20" t="str">
        <f t="shared" si="12"/>
        <v>"07151211_0142"</v>
      </c>
      <c r="K102" s="21">
        <f t="shared" si="13"/>
        <v>42349.070833333331</v>
      </c>
      <c r="L102" s="22">
        <f t="shared" si="14"/>
        <v>24163301.999999996</v>
      </c>
      <c r="M102" s="20" t="s">
        <v>75</v>
      </c>
      <c r="N102" s="20"/>
      <c r="O102" s="23">
        <f>(VLOOKUP(K102,Sheet3!A:E,4)-VLOOKUP(K102,Sheet3!A:E,3))/(VLOOKUP(K102,Sheet3!A:E,2)-VLOOKUP(K102,Sheet3!A:E,1))*(K102-VLOOKUP(K102,Sheet3!A:E,1))+VLOOKUP(K102,Sheet3!A:E,3)</f>
        <v>0.58821588785217005</v>
      </c>
      <c r="P102" s="23" t="str">
        <f t="shared" si="11"/>
        <v>ok</v>
      </c>
    </row>
    <row r="103" spans="1:16">
      <c r="A103" s="20" t="s">
        <v>132</v>
      </c>
      <c r="B103" s="20" t="s">
        <v>17</v>
      </c>
      <c r="C103" s="20">
        <v>55</v>
      </c>
      <c r="D103" s="20" t="s">
        <v>41</v>
      </c>
      <c r="E103" s="20">
        <v>1000</v>
      </c>
      <c r="F103" s="20">
        <v>31</v>
      </c>
      <c r="G103" s="20" t="s">
        <v>18</v>
      </c>
      <c r="H103" s="20" t="s">
        <v>55</v>
      </c>
      <c r="I103" s="20" t="s">
        <v>20</v>
      </c>
      <c r="J103" s="20" t="str">
        <f t="shared" si="12"/>
        <v>"07151211_0239"</v>
      </c>
      <c r="K103" s="21">
        <f t="shared" si="13"/>
        <v>42349.11041666667</v>
      </c>
      <c r="L103" s="22">
        <f t="shared" si="14"/>
        <v>24163359.000000004</v>
      </c>
      <c r="M103" s="20" t="s">
        <v>75</v>
      </c>
      <c r="N103" s="20"/>
      <c r="O103" s="23">
        <f>(VLOOKUP(K103,Sheet3!A:E,4)-VLOOKUP(K103,Sheet3!A:E,3))/(VLOOKUP(K103,Sheet3!A:E,2)-VLOOKUP(K103,Sheet3!A:E,1))*(K103-VLOOKUP(K103,Sheet3!A:E,1))+VLOOKUP(K103,Sheet3!A:E,3)</f>
        <v>0.57079626168157871</v>
      </c>
      <c r="P103" s="23" t="str">
        <f t="shared" si="11"/>
        <v>ok</v>
      </c>
    </row>
    <row r="104" spans="1:16">
      <c r="A104" s="20" t="s">
        <v>133</v>
      </c>
      <c r="B104" s="20" t="s">
        <v>17</v>
      </c>
      <c r="C104" s="20">
        <v>55</v>
      </c>
      <c r="D104" s="20" t="s">
        <v>41</v>
      </c>
      <c r="E104" s="20">
        <v>1000</v>
      </c>
      <c r="F104" s="20">
        <v>31</v>
      </c>
      <c r="G104" s="20" t="s">
        <v>18</v>
      </c>
      <c r="H104" s="20" t="s">
        <v>55</v>
      </c>
      <c r="I104" s="20" t="s">
        <v>20</v>
      </c>
      <c r="J104" s="20" t="str">
        <f t="shared" si="12"/>
        <v>"07151211_0336"</v>
      </c>
      <c r="K104" s="21">
        <f t="shared" si="13"/>
        <v>42349.15</v>
      </c>
      <c r="L104" s="22">
        <f t="shared" si="14"/>
        <v>24163416.000000004</v>
      </c>
      <c r="M104" s="20" t="s">
        <v>75</v>
      </c>
      <c r="N104" s="20"/>
      <c r="O104" s="23">
        <f>(VLOOKUP(K104,Sheet3!A:E,4)-VLOOKUP(K104,Sheet3!A:E,3))/(VLOOKUP(K104,Sheet3!A:E,2)-VLOOKUP(K104,Sheet3!A:E,1))*(K104-VLOOKUP(K104,Sheet3!A:E,1))+VLOOKUP(K104,Sheet3!A:E,3)</f>
        <v>0.55337663551418936</v>
      </c>
      <c r="P104" s="23" t="str">
        <f t="shared" si="11"/>
        <v>ok</v>
      </c>
    </row>
    <row r="105" spans="1:16">
      <c r="A105" s="20" t="s">
        <v>134</v>
      </c>
      <c r="B105" s="20" t="s">
        <v>17</v>
      </c>
      <c r="C105" s="20">
        <v>55</v>
      </c>
      <c r="D105" s="20" t="s">
        <v>41</v>
      </c>
      <c r="E105" s="20">
        <v>1000</v>
      </c>
      <c r="F105" s="20">
        <v>31</v>
      </c>
      <c r="G105" s="20" t="s">
        <v>18</v>
      </c>
      <c r="H105" s="20" t="s">
        <v>55</v>
      </c>
      <c r="I105" s="20" t="s">
        <v>20</v>
      </c>
      <c r="J105" s="20" t="str">
        <f t="shared" si="12"/>
        <v>"07151211_0432"</v>
      </c>
      <c r="K105" s="21">
        <f t="shared" si="13"/>
        <v>42349.188888888886</v>
      </c>
      <c r="L105" s="22">
        <f t="shared" si="14"/>
        <v>24163471.999999996</v>
      </c>
      <c r="M105" s="20" t="s">
        <v>75</v>
      </c>
      <c r="N105" s="20"/>
      <c r="O105" s="23">
        <f>(VLOOKUP(K105,Sheet3!A:E,4)-VLOOKUP(K105,Sheet3!A:E,3))/(VLOOKUP(K105,Sheet3!A:E,2)-VLOOKUP(K105,Sheet3!A:E,1))*(K105-VLOOKUP(K105,Sheet3!A:E,1))+VLOOKUP(K105,Sheet3!A:E,3)</f>
        <v>0.53626261682443199</v>
      </c>
      <c r="P105" s="23" t="str">
        <f t="shared" si="11"/>
        <v>ok</v>
      </c>
    </row>
    <row r="106" spans="1:16">
      <c r="A106" s="20" t="s">
        <v>135</v>
      </c>
      <c r="B106" s="20" t="s">
        <v>17</v>
      </c>
      <c r="C106" s="20">
        <v>55</v>
      </c>
      <c r="D106" s="20" t="s">
        <v>41</v>
      </c>
      <c r="E106" s="20">
        <v>1000</v>
      </c>
      <c r="F106" s="20">
        <v>31</v>
      </c>
      <c r="G106" s="20" t="s">
        <v>18</v>
      </c>
      <c r="H106" s="20" t="s">
        <v>55</v>
      </c>
      <c r="I106" s="20" t="s">
        <v>20</v>
      </c>
      <c r="J106" s="20" t="str">
        <f t="shared" si="12"/>
        <v>"07151211_0529"</v>
      </c>
      <c r="K106" s="21">
        <f t="shared" si="13"/>
        <v>42349.228472222225</v>
      </c>
      <c r="L106" s="22">
        <f t="shared" si="14"/>
        <v>24163529.000000004</v>
      </c>
      <c r="M106" s="20" t="s">
        <v>75</v>
      </c>
      <c r="N106" s="20"/>
      <c r="O106" s="23">
        <f>(VLOOKUP(K106,Sheet3!A:E,4)-VLOOKUP(K106,Sheet3!A:E,3))/(VLOOKUP(K106,Sheet3!A:E,2)-VLOOKUP(K106,Sheet3!A:E,1))*(K106-VLOOKUP(K106,Sheet3!A:E,1))+VLOOKUP(K106,Sheet3!A:E,3)</f>
        <v>0.51884299065384054</v>
      </c>
      <c r="P106" s="23" t="str">
        <f t="shared" si="11"/>
        <v>ok</v>
      </c>
    </row>
    <row r="107" spans="1:16">
      <c r="A107" s="20" t="s">
        <v>136</v>
      </c>
      <c r="B107" s="20" t="s">
        <v>17</v>
      </c>
      <c r="C107" s="20">
        <v>55</v>
      </c>
      <c r="D107" s="20" t="s">
        <v>41</v>
      </c>
      <c r="E107" s="20">
        <v>1000</v>
      </c>
      <c r="F107" s="20">
        <v>31</v>
      </c>
      <c r="G107" s="20" t="s">
        <v>18</v>
      </c>
      <c r="H107" s="20" t="s">
        <v>55</v>
      </c>
      <c r="I107" s="20" t="s">
        <v>20</v>
      </c>
      <c r="J107" s="20" t="str">
        <f t="shared" si="12"/>
        <v>"07151211_0626"</v>
      </c>
      <c r="K107" s="21">
        <f t="shared" si="13"/>
        <v>42349.268055555556</v>
      </c>
      <c r="L107" s="22">
        <f t="shared" si="14"/>
        <v>24163586</v>
      </c>
      <c r="M107" s="20" t="s">
        <v>75</v>
      </c>
      <c r="N107" s="20"/>
      <c r="O107" s="23">
        <f>(VLOOKUP(K107,Sheet3!A:E,4)-VLOOKUP(K107,Sheet3!A:E,3))/(VLOOKUP(K107,Sheet3!A:E,2)-VLOOKUP(K107,Sheet3!A:E,1))*(K107-VLOOKUP(K107,Sheet3!A:E,1))+VLOOKUP(K107,Sheet3!A:E,3)</f>
        <v>0.5014233644864512</v>
      </c>
      <c r="P107" s="23" t="str">
        <f t="shared" si="11"/>
        <v>ok</v>
      </c>
    </row>
    <row r="108" spans="1:16">
      <c r="A108" s="20" t="s">
        <v>137</v>
      </c>
      <c r="B108" s="20" t="s">
        <v>17</v>
      </c>
      <c r="C108" s="20">
        <v>55</v>
      </c>
      <c r="D108" s="20" t="s">
        <v>41</v>
      </c>
      <c r="E108" s="20">
        <v>1000</v>
      </c>
      <c r="F108" s="20">
        <v>31</v>
      </c>
      <c r="G108" s="20" t="s">
        <v>18</v>
      </c>
      <c r="H108" s="20" t="s">
        <v>55</v>
      </c>
      <c r="I108" s="20" t="s">
        <v>20</v>
      </c>
      <c r="J108" s="20" t="str">
        <f t="shared" si="12"/>
        <v>"07151211_0722"</v>
      </c>
      <c r="K108" s="21">
        <f t="shared" si="13"/>
        <v>42349.306944444441</v>
      </c>
      <c r="L108" s="22">
        <f t="shared" si="14"/>
        <v>24163641.999999996</v>
      </c>
      <c r="M108" s="20" t="s">
        <v>75</v>
      </c>
      <c r="N108" s="20"/>
      <c r="O108" s="23">
        <f>(VLOOKUP(K108,Sheet3!A:E,4)-VLOOKUP(K108,Sheet3!A:E,3))/(VLOOKUP(K108,Sheet3!A:E,2)-VLOOKUP(K108,Sheet3!A:E,1))*(K108-VLOOKUP(K108,Sheet3!A:E,1))+VLOOKUP(K108,Sheet3!A:E,3)</f>
        <v>0.48430934579669377</v>
      </c>
      <c r="P108" s="23" t="str">
        <f t="shared" si="11"/>
        <v>ok</v>
      </c>
    </row>
    <row r="109" spans="1:16">
      <c r="A109" s="20" t="s">
        <v>138</v>
      </c>
      <c r="B109" s="20" t="s">
        <v>17</v>
      </c>
      <c r="C109" s="20">
        <v>55</v>
      </c>
      <c r="D109" s="20" t="s">
        <v>41</v>
      </c>
      <c r="E109" s="20">
        <v>1000</v>
      </c>
      <c r="F109" s="20">
        <v>31</v>
      </c>
      <c r="G109" s="20" t="s">
        <v>18</v>
      </c>
      <c r="H109" s="20" t="s">
        <v>55</v>
      </c>
      <c r="I109" s="20" t="s">
        <v>20</v>
      </c>
      <c r="J109" s="20" t="str">
        <f t="shared" si="12"/>
        <v>"07151211_0819"</v>
      </c>
      <c r="K109" s="21">
        <f t="shared" si="13"/>
        <v>42349.34652777778</v>
      </c>
      <c r="L109" s="22">
        <f t="shared" si="14"/>
        <v>24163699.000000004</v>
      </c>
      <c r="M109" s="20" t="s">
        <v>75</v>
      </c>
      <c r="N109" s="20"/>
      <c r="O109" s="23">
        <f>(VLOOKUP(K109,Sheet3!A:E,4)-VLOOKUP(K109,Sheet3!A:E,3))/(VLOOKUP(K109,Sheet3!A:E,2)-VLOOKUP(K109,Sheet3!A:E,1))*(K109-VLOOKUP(K109,Sheet3!A:E,1))+VLOOKUP(K109,Sheet3!A:E,3)</f>
        <v>0.46688971962610243</v>
      </c>
      <c r="P109" s="23" t="str">
        <f t="shared" si="11"/>
        <v>ok</v>
      </c>
    </row>
    <row r="110" spans="1:16">
      <c r="A110" s="20" t="s">
        <v>139</v>
      </c>
      <c r="B110" s="20" t="s">
        <v>17</v>
      </c>
      <c r="C110" s="20">
        <v>55</v>
      </c>
      <c r="D110" s="20" t="s">
        <v>41</v>
      </c>
      <c r="E110" s="20">
        <v>1000</v>
      </c>
      <c r="F110" s="20">
        <v>31</v>
      </c>
      <c r="G110" s="20" t="s">
        <v>18</v>
      </c>
      <c r="H110" s="20" t="s">
        <v>55</v>
      </c>
      <c r="I110" s="20" t="s">
        <v>20</v>
      </c>
      <c r="J110" s="20" t="str">
        <f t="shared" si="12"/>
        <v>"07151214_1207"</v>
      </c>
      <c r="K110" s="21">
        <f t="shared" si="13"/>
        <v>42352.504861111112</v>
      </c>
      <c r="L110" s="22">
        <f t="shared" si="14"/>
        <v>24168247</v>
      </c>
      <c r="M110" s="20" t="s">
        <v>75</v>
      </c>
      <c r="N110" s="20"/>
      <c r="O110" s="23">
        <f>(VLOOKUP(K110,Sheet3!A:E,4)-VLOOKUP(K110,Sheet3!A:E,3))/(VLOOKUP(K110,Sheet3!A:E,2)-VLOOKUP(K110,Sheet3!A:E,1))*(K110-VLOOKUP(K110,Sheet3!A:E,1))+VLOOKUP(K110,Sheet3!A:E,3)</f>
        <v>0.41940434782659319</v>
      </c>
      <c r="P110" s="23" t="str">
        <f t="shared" si="11"/>
        <v>ok</v>
      </c>
    </row>
    <row r="111" spans="1:16">
      <c r="A111" s="20" t="s">
        <v>140</v>
      </c>
      <c r="B111" s="20" t="s">
        <v>17</v>
      </c>
      <c r="C111" s="20">
        <v>55</v>
      </c>
      <c r="D111" s="20" t="s">
        <v>41</v>
      </c>
      <c r="E111" s="20">
        <v>1000</v>
      </c>
      <c r="F111" s="20">
        <v>31</v>
      </c>
      <c r="G111" s="20" t="s">
        <v>18</v>
      </c>
      <c r="H111" s="20" t="s">
        <v>55</v>
      </c>
      <c r="I111" s="20" t="s">
        <v>20</v>
      </c>
      <c r="J111" s="20" t="str">
        <f t="shared" si="12"/>
        <v>"07151215_1231"</v>
      </c>
      <c r="K111" s="21">
        <f t="shared" si="13"/>
        <v>42353.521527777775</v>
      </c>
      <c r="L111" s="22">
        <f t="shared" si="14"/>
        <v>24169710.999999996</v>
      </c>
      <c r="M111" s="20" t="s">
        <v>75</v>
      </c>
      <c r="N111" s="20"/>
      <c r="O111" s="23">
        <f>(VLOOKUP(K111,Sheet3!A:E,4)-VLOOKUP(K111,Sheet3!A:E,3))/(VLOOKUP(K111,Sheet3!A:E,2)-VLOOKUP(K111,Sheet3!A:E,1))*(K111-VLOOKUP(K111,Sheet3!A:E,1))+VLOOKUP(K111,Sheet3!A:E,3)</f>
        <v>0.59745168539472604</v>
      </c>
      <c r="P111" s="23" t="str">
        <f t="shared" si="11"/>
        <v>ok</v>
      </c>
    </row>
    <row r="112" spans="1:16">
      <c r="A112" s="20" t="s">
        <v>141</v>
      </c>
      <c r="B112" s="20" t="s">
        <v>17</v>
      </c>
      <c r="C112" s="20">
        <v>55</v>
      </c>
      <c r="D112" s="20" t="s">
        <v>41</v>
      </c>
      <c r="E112" s="20">
        <v>1000</v>
      </c>
      <c r="F112" s="20">
        <v>31</v>
      </c>
      <c r="G112" s="20" t="s">
        <v>18</v>
      </c>
      <c r="H112" s="20" t="s">
        <v>55</v>
      </c>
      <c r="I112" s="20" t="s">
        <v>20</v>
      </c>
      <c r="J112" s="20" t="str">
        <f t="shared" si="12"/>
        <v>"07151215_1328"</v>
      </c>
      <c r="K112" s="21">
        <f t="shared" si="13"/>
        <v>42353.561111111114</v>
      </c>
      <c r="L112" s="22">
        <f t="shared" si="14"/>
        <v>24169768.000000004</v>
      </c>
      <c r="M112" s="20" t="s">
        <v>75</v>
      </c>
      <c r="N112" s="20"/>
      <c r="O112" s="23">
        <f>(VLOOKUP(K112,Sheet3!A:E,4)-VLOOKUP(K112,Sheet3!A:E,3))/(VLOOKUP(K112,Sheet3!A:E,2)-VLOOKUP(K112,Sheet3!A:E,1))*(K112-VLOOKUP(K112,Sheet3!A:E,1))+VLOOKUP(K112,Sheet3!A:E,3)</f>
        <v>0.58028764044877179</v>
      </c>
      <c r="P112" s="23" t="str">
        <f t="shared" si="11"/>
        <v>ok</v>
      </c>
    </row>
    <row r="113" spans="1:16">
      <c r="A113" s="20" t="s">
        <v>142</v>
      </c>
      <c r="B113" s="20" t="s">
        <v>17</v>
      </c>
      <c r="C113" s="20">
        <v>55</v>
      </c>
      <c r="D113" s="20" t="s">
        <v>41</v>
      </c>
      <c r="E113" s="20">
        <v>1000</v>
      </c>
      <c r="F113" s="20">
        <v>31</v>
      </c>
      <c r="G113" s="20" t="s">
        <v>18</v>
      </c>
      <c r="H113" s="20" t="s">
        <v>55</v>
      </c>
      <c r="I113" s="20" t="s">
        <v>20</v>
      </c>
      <c r="J113" s="20" t="str">
        <f t="shared" si="12"/>
        <v>"07151215_1424"</v>
      </c>
      <c r="K113" s="21">
        <f t="shared" si="13"/>
        <v>42353.599999999999</v>
      </c>
      <c r="L113" s="22">
        <f t="shared" si="14"/>
        <v>24169823.999999996</v>
      </c>
      <c r="M113" s="20" t="s">
        <v>75</v>
      </c>
      <c r="N113" s="20"/>
      <c r="O113" s="23">
        <f>(VLOOKUP(K113,Sheet3!A:E,4)-VLOOKUP(K113,Sheet3!A:E,3))/(VLOOKUP(K113,Sheet3!A:E,2)-VLOOKUP(K113,Sheet3!A:E,1))*(K113-VLOOKUP(K113,Sheet3!A:E,1))+VLOOKUP(K113,Sheet3!A:E,3)</f>
        <v>0.56342471910245651</v>
      </c>
      <c r="P113" s="23" t="str">
        <f t="shared" si="11"/>
        <v>ok</v>
      </c>
    </row>
    <row r="114" spans="1:16">
      <c r="A114" s="20" t="s">
        <v>143</v>
      </c>
      <c r="B114" s="20" t="s">
        <v>17</v>
      </c>
      <c r="C114" s="20">
        <v>55</v>
      </c>
      <c r="D114" s="20" t="s">
        <v>41</v>
      </c>
      <c r="E114" s="20">
        <v>1000</v>
      </c>
      <c r="F114" s="20">
        <v>50</v>
      </c>
      <c r="G114" s="20" t="s">
        <v>18</v>
      </c>
      <c r="H114" s="20" t="s">
        <v>55</v>
      </c>
      <c r="I114" s="20" t="s">
        <v>20</v>
      </c>
      <c r="J114" s="20" t="str">
        <f t="shared" si="12"/>
        <v>"07151215_1520"</v>
      </c>
      <c r="K114" s="21">
        <f t="shared" si="13"/>
        <v>42353.638888888891</v>
      </c>
      <c r="L114" s="22">
        <f t="shared" si="14"/>
        <v>24169880.000000004</v>
      </c>
      <c r="M114" s="20" t="s">
        <v>75</v>
      </c>
      <c r="N114" s="20"/>
      <c r="O114" s="23">
        <f>(VLOOKUP(K114,Sheet3!A:E,4)-VLOOKUP(K114,Sheet3!A:E,3))/(VLOOKUP(K114,Sheet3!A:E,2)-VLOOKUP(K114,Sheet3!A:E,1))*(K114-VLOOKUP(K114,Sheet3!A:E,1))+VLOOKUP(K114,Sheet3!A:E,3)</f>
        <v>0.5465617977529863</v>
      </c>
      <c r="P114" s="23" t="str">
        <f t="shared" si="11"/>
        <v>ok</v>
      </c>
    </row>
    <row r="115" spans="1:16">
      <c r="A115" s="20" t="s">
        <v>144</v>
      </c>
      <c r="B115" s="20" t="s">
        <v>17</v>
      </c>
      <c r="C115" s="20">
        <v>55</v>
      </c>
      <c r="D115" s="20" t="s">
        <v>41</v>
      </c>
      <c r="E115" s="20">
        <v>1000</v>
      </c>
      <c r="F115" s="20">
        <v>31</v>
      </c>
      <c r="G115" s="20" t="s">
        <v>18</v>
      </c>
      <c r="H115" s="20" t="s">
        <v>55</v>
      </c>
      <c r="I115" s="20" t="s">
        <v>20</v>
      </c>
      <c r="J115" s="20" t="str">
        <f t="shared" si="12"/>
        <v>"07151215_1633"</v>
      </c>
      <c r="K115" s="21">
        <f t="shared" si="13"/>
        <v>42353.689583333333</v>
      </c>
      <c r="L115" s="22">
        <f t="shared" si="14"/>
        <v>24169953</v>
      </c>
      <c r="M115" s="20" t="s">
        <v>75</v>
      </c>
      <c r="N115" s="20"/>
      <c r="O115" s="23">
        <f>(VLOOKUP(K115,Sheet3!A:E,4)-VLOOKUP(K115,Sheet3!A:E,3))/(VLOOKUP(K115,Sheet3!A:E,2)-VLOOKUP(K115,Sheet3!A:E,1))*(K115-VLOOKUP(K115,Sheet3!A:E,1))+VLOOKUP(K115,Sheet3!A:E,3)</f>
        <v>0.52414081632788789</v>
      </c>
      <c r="P115" s="23" t="str">
        <f t="shared" si="11"/>
        <v>ok</v>
      </c>
    </row>
    <row r="116" spans="1:16">
      <c r="A116" s="20" t="s">
        <v>145</v>
      </c>
      <c r="B116" s="20" t="s">
        <v>17</v>
      </c>
      <c r="C116" s="20">
        <v>55</v>
      </c>
      <c r="D116" s="20" t="s">
        <v>41</v>
      </c>
      <c r="E116" s="20">
        <v>1000</v>
      </c>
      <c r="F116" s="20">
        <v>31</v>
      </c>
      <c r="G116" s="20" t="s">
        <v>18</v>
      </c>
      <c r="H116" s="20" t="s">
        <v>55</v>
      </c>
      <c r="I116" s="20" t="s">
        <v>20</v>
      </c>
      <c r="J116" s="20" t="str">
        <f t="shared" si="12"/>
        <v>"07151215_1725"</v>
      </c>
      <c r="K116" s="21">
        <f t="shared" si="13"/>
        <v>42353.725694444445</v>
      </c>
      <c r="L116" s="22">
        <f t="shared" si="14"/>
        <v>24170005</v>
      </c>
      <c r="M116" s="20" t="s">
        <v>75</v>
      </c>
      <c r="N116" s="20"/>
      <c r="O116" s="23">
        <f>(VLOOKUP(K116,Sheet3!A:E,4)-VLOOKUP(K116,Sheet3!A:E,3))/(VLOOKUP(K116,Sheet3!A:E,2)-VLOOKUP(K116,Sheet3!A:E,1))*(K116-VLOOKUP(K116,Sheet3!A:E,1))+VLOOKUP(K116,Sheet3!A:E,3)</f>
        <v>0.50721428571501659</v>
      </c>
      <c r="P116" s="23" t="str">
        <f t="shared" si="11"/>
        <v>ok</v>
      </c>
    </row>
    <row r="117" spans="1:16">
      <c r="A117" s="20" t="s">
        <v>146</v>
      </c>
      <c r="B117" s="20" t="s">
        <v>17</v>
      </c>
      <c r="C117" s="20">
        <v>55</v>
      </c>
      <c r="D117" s="20" t="s">
        <v>41</v>
      </c>
      <c r="E117" s="20">
        <v>1000</v>
      </c>
      <c r="F117" s="20">
        <v>31</v>
      </c>
      <c r="G117" s="20" t="s">
        <v>18</v>
      </c>
      <c r="H117" s="20" t="s">
        <v>55</v>
      </c>
      <c r="I117" s="20" t="s">
        <v>20</v>
      </c>
      <c r="J117" s="20" t="str">
        <f t="shared" si="12"/>
        <v>"07151215_1816"</v>
      </c>
      <c r="K117" s="21">
        <f t="shared" si="13"/>
        <v>42353.761111111111</v>
      </c>
      <c r="L117" s="22">
        <f t="shared" si="14"/>
        <v>24170056</v>
      </c>
      <c r="M117" s="20" t="s">
        <v>75</v>
      </c>
      <c r="N117" s="20"/>
      <c r="O117" s="23">
        <f>(VLOOKUP(K117,Sheet3!A:E,4)-VLOOKUP(K117,Sheet3!A:E,3))/(VLOOKUP(K117,Sheet3!A:E,2)-VLOOKUP(K117,Sheet3!A:E,1))*(K117-VLOOKUP(K117,Sheet3!A:E,1))+VLOOKUP(K117,Sheet3!A:E,3)</f>
        <v>0.49061326530728833</v>
      </c>
      <c r="P117" s="23" t="str">
        <f t="shared" si="11"/>
        <v>ok</v>
      </c>
    </row>
    <row r="118" spans="1:16">
      <c r="A118" s="20" t="s">
        <v>147</v>
      </c>
      <c r="B118" s="20" t="s">
        <v>17</v>
      </c>
      <c r="C118" s="20">
        <v>55</v>
      </c>
      <c r="D118" s="20" t="s">
        <v>41</v>
      </c>
      <c r="E118" s="20">
        <v>1000</v>
      </c>
      <c r="F118" s="20">
        <v>31</v>
      </c>
      <c r="G118" s="20" t="s">
        <v>18</v>
      </c>
      <c r="H118" s="20" t="s">
        <v>55</v>
      </c>
      <c r="I118" s="20" t="s">
        <v>20</v>
      </c>
      <c r="J118" s="20" t="str">
        <f t="shared" si="12"/>
        <v>"07151215_1907"</v>
      </c>
      <c r="K118" s="21">
        <f t="shared" si="13"/>
        <v>42353.796527777777</v>
      </c>
      <c r="L118" s="22">
        <f t="shared" si="14"/>
        <v>24170107</v>
      </c>
      <c r="M118" s="20" t="s">
        <v>75</v>
      </c>
      <c r="N118" s="20"/>
      <c r="O118" s="23">
        <f>(VLOOKUP(K118,Sheet3!A:E,4)-VLOOKUP(K118,Sheet3!A:E,3))/(VLOOKUP(K118,Sheet3!A:E,2)-VLOOKUP(K118,Sheet3!A:E,1))*(K118-VLOOKUP(K118,Sheet3!A:E,1))+VLOOKUP(K118,Sheet3!A:E,3)</f>
        <v>0.47401224489956006</v>
      </c>
      <c r="P118" s="23" t="str">
        <f t="shared" si="11"/>
        <v>ok</v>
      </c>
    </row>
    <row r="119" spans="1:16">
      <c r="A119" s="20" t="s">
        <v>148</v>
      </c>
      <c r="B119" s="20" t="s">
        <v>17</v>
      </c>
      <c r="C119" s="20">
        <v>55</v>
      </c>
      <c r="D119" s="20" t="s">
        <v>41</v>
      </c>
      <c r="E119" s="20">
        <v>1000</v>
      </c>
      <c r="F119" s="20">
        <v>31</v>
      </c>
      <c r="G119" s="20" t="s">
        <v>18</v>
      </c>
      <c r="H119" s="20" t="s">
        <v>55</v>
      </c>
      <c r="I119" s="20" t="s">
        <v>20</v>
      </c>
      <c r="J119" s="20" t="str">
        <f t="shared" si="12"/>
        <v>"07151215_1958"</v>
      </c>
      <c r="K119" s="21">
        <f t="shared" si="13"/>
        <v>42353.831944444442</v>
      </c>
      <c r="L119" s="22">
        <f t="shared" si="14"/>
        <v>24170157.999999996</v>
      </c>
      <c r="M119" s="20" t="s">
        <v>75</v>
      </c>
      <c r="N119" s="20"/>
      <c r="O119" s="23">
        <f>(VLOOKUP(K119,Sheet3!A:E,4)-VLOOKUP(K119,Sheet3!A:E,3))/(VLOOKUP(K119,Sheet3!A:E,2)-VLOOKUP(K119,Sheet3!A:E,1))*(K119-VLOOKUP(K119,Sheet3!A:E,1))+VLOOKUP(K119,Sheet3!A:E,3)</f>
        <v>0.4574112244918318</v>
      </c>
      <c r="P119" s="23" t="str">
        <f t="shared" ref="P119:P150" si="15">IF(AND(O119&gt;0.2,O119&lt;0.7),"ok","bad")</f>
        <v>ok</v>
      </c>
    </row>
    <row r="120" spans="1:16">
      <c r="A120" s="20" t="s">
        <v>149</v>
      </c>
      <c r="B120" s="20" t="s">
        <v>17</v>
      </c>
      <c r="C120" s="20">
        <v>55</v>
      </c>
      <c r="D120" s="20" t="s">
        <v>41</v>
      </c>
      <c r="E120" s="20">
        <v>1000</v>
      </c>
      <c r="F120" s="20">
        <v>31</v>
      </c>
      <c r="G120" s="20" t="s">
        <v>18</v>
      </c>
      <c r="H120" s="20" t="s">
        <v>55</v>
      </c>
      <c r="I120" s="20" t="s">
        <v>20</v>
      </c>
      <c r="J120" s="20" t="str">
        <f t="shared" si="12"/>
        <v>"07151215_2050"</v>
      </c>
      <c r="K120" s="21">
        <f t="shared" si="13"/>
        <v>42353.868055555555</v>
      </c>
      <c r="L120" s="22">
        <f t="shared" si="14"/>
        <v>24170210</v>
      </c>
      <c r="M120" s="20" t="s">
        <v>75</v>
      </c>
      <c r="N120" s="20"/>
      <c r="O120" s="23">
        <f>(VLOOKUP(K120,Sheet3!A:E,4)-VLOOKUP(K120,Sheet3!A:E,3))/(VLOOKUP(K120,Sheet3!A:E,2)-VLOOKUP(K120,Sheet3!A:E,1))*(K120-VLOOKUP(K120,Sheet3!A:E,1))+VLOOKUP(K120,Sheet3!A:E,3)</f>
        <v>0.4404846938789605</v>
      </c>
      <c r="P120" s="23" t="str">
        <f t="shared" si="15"/>
        <v>ok</v>
      </c>
    </row>
    <row r="121" spans="1:16">
      <c r="A121" s="20" t="s">
        <v>150</v>
      </c>
      <c r="B121" s="20" t="s">
        <v>17</v>
      </c>
      <c r="C121" s="20">
        <v>55</v>
      </c>
      <c r="D121" s="20" t="s">
        <v>41</v>
      </c>
      <c r="E121" s="20">
        <v>1000</v>
      </c>
      <c r="F121" s="20">
        <v>31</v>
      </c>
      <c r="G121" s="20" t="s">
        <v>18</v>
      </c>
      <c r="H121" s="20" t="s">
        <v>55</v>
      </c>
      <c r="I121" s="20" t="s">
        <v>20</v>
      </c>
      <c r="J121" s="20" t="str">
        <f t="shared" si="12"/>
        <v>"07151215_2141"</v>
      </c>
      <c r="K121" s="21">
        <f t="shared" si="13"/>
        <v>42353.90347222222</v>
      </c>
      <c r="L121" s="22">
        <f t="shared" si="14"/>
        <v>24170260.999999996</v>
      </c>
      <c r="M121" s="20" t="s">
        <v>75</v>
      </c>
      <c r="N121" s="20"/>
      <c r="O121" s="23">
        <f>(VLOOKUP(K121,Sheet3!A:E,4)-VLOOKUP(K121,Sheet3!A:E,3))/(VLOOKUP(K121,Sheet3!A:E,2)-VLOOKUP(K121,Sheet3!A:E,1))*(K121-VLOOKUP(K121,Sheet3!A:E,1))+VLOOKUP(K121,Sheet3!A:E,3)</f>
        <v>0.42388367347123224</v>
      </c>
      <c r="P121" s="23" t="str">
        <f t="shared" si="15"/>
        <v>ok</v>
      </c>
    </row>
    <row r="122" spans="1:16">
      <c r="A122" s="20" t="s">
        <v>151</v>
      </c>
      <c r="B122" s="20" t="s">
        <v>17</v>
      </c>
      <c r="C122" s="20">
        <v>55</v>
      </c>
      <c r="D122" s="20" t="s">
        <v>41</v>
      </c>
      <c r="E122" s="20">
        <v>1000</v>
      </c>
      <c r="F122" s="20">
        <v>31</v>
      </c>
      <c r="G122" s="20" t="s">
        <v>18</v>
      </c>
      <c r="H122" s="20" t="s">
        <v>55</v>
      </c>
      <c r="I122" s="20" t="s">
        <v>20</v>
      </c>
      <c r="J122" s="20" t="str">
        <f t="shared" si="12"/>
        <v>"07151215_2232"</v>
      </c>
      <c r="K122" s="21">
        <f t="shared" si="13"/>
        <v>42353.938888888886</v>
      </c>
      <c r="L122" s="22">
        <f t="shared" si="14"/>
        <v>24170311.999999996</v>
      </c>
      <c r="M122" s="20" t="s">
        <v>75</v>
      </c>
      <c r="N122" s="20"/>
      <c r="O122" s="23">
        <f>(VLOOKUP(K122,Sheet3!A:E,4)-VLOOKUP(K122,Sheet3!A:E,3))/(VLOOKUP(K122,Sheet3!A:E,2)-VLOOKUP(K122,Sheet3!A:E,1))*(K122-VLOOKUP(K122,Sheet3!A:E,1))+VLOOKUP(K122,Sheet3!A:E,3)</f>
        <v>0.40728265306350397</v>
      </c>
      <c r="P122" s="23" t="str">
        <f t="shared" si="15"/>
        <v>ok</v>
      </c>
    </row>
    <row r="123" spans="1:16">
      <c r="A123" s="20" t="s">
        <v>152</v>
      </c>
      <c r="B123" s="20" t="s">
        <v>17</v>
      </c>
      <c r="C123" s="20">
        <v>55</v>
      </c>
      <c r="D123" s="20" t="s">
        <v>41</v>
      </c>
      <c r="E123" s="20">
        <v>1000</v>
      </c>
      <c r="F123" s="20">
        <v>31</v>
      </c>
      <c r="G123" s="20" t="s">
        <v>18</v>
      </c>
      <c r="H123" s="20" t="s">
        <v>55</v>
      </c>
      <c r="I123" s="20" t="s">
        <v>20</v>
      </c>
      <c r="J123" s="20" t="str">
        <f t="shared" si="12"/>
        <v>"07151215_2323"</v>
      </c>
      <c r="K123" s="21">
        <f t="shared" si="13"/>
        <v>42353.974305555559</v>
      </c>
      <c r="L123" s="22">
        <f t="shared" si="14"/>
        <v>24170363.000000004</v>
      </c>
      <c r="M123" s="20" t="s">
        <v>75</v>
      </c>
      <c r="N123" s="20"/>
      <c r="O123" s="23">
        <f>(VLOOKUP(K123,Sheet3!A:E,4)-VLOOKUP(K123,Sheet3!A:E,3))/(VLOOKUP(K123,Sheet3!A:E,2)-VLOOKUP(K123,Sheet3!A:E,1))*(K123-VLOOKUP(K123,Sheet3!A:E,1))+VLOOKUP(K123,Sheet3!A:E,3)</f>
        <v>0.39068163265236522</v>
      </c>
      <c r="P123" s="23" t="str">
        <f t="shared" si="15"/>
        <v>ok</v>
      </c>
    </row>
    <row r="124" spans="1:16">
      <c r="A124" s="20" t="s">
        <v>153</v>
      </c>
      <c r="B124" s="20" t="s">
        <v>17</v>
      </c>
      <c r="C124" s="20">
        <v>55</v>
      </c>
      <c r="D124" s="20" t="s">
        <v>41</v>
      </c>
      <c r="E124" s="20">
        <v>1000</v>
      </c>
      <c r="F124" s="20">
        <v>31</v>
      </c>
      <c r="G124" s="20" t="s">
        <v>18</v>
      </c>
      <c r="H124" s="20" t="s">
        <v>55</v>
      </c>
      <c r="I124" s="20" t="s">
        <v>20</v>
      </c>
      <c r="J124" s="20" t="str">
        <f t="shared" si="12"/>
        <v>"07151216_0015"</v>
      </c>
      <c r="K124" s="21">
        <f t="shared" si="13"/>
        <v>42354.010416666664</v>
      </c>
      <c r="L124" s="22">
        <f t="shared" si="14"/>
        <v>24170414.999999996</v>
      </c>
      <c r="M124" s="20" t="s">
        <v>75</v>
      </c>
      <c r="N124" s="20"/>
      <c r="O124" s="23">
        <f>(VLOOKUP(K124,Sheet3!A:E,4)-VLOOKUP(K124,Sheet3!A:E,3))/(VLOOKUP(K124,Sheet3!A:E,2)-VLOOKUP(K124,Sheet3!A:E,1))*(K124-VLOOKUP(K124,Sheet3!A:E,1))+VLOOKUP(K124,Sheet3!A:E,3)</f>
        <v>0.37375510204290441</v>
      </c>
      <c r="P124" s="23" t="str">
        <f t="shared" si="15"/>
        <v>ok</v>
      </c>
    </row>
    <row r="125" spans="1:16">
      <c r="A125" s="20" t="s">
        <v>154</v>
      </c>
      <c r="B125" s="20" t="s">
        <v>17</v>
      </c>
      <c r="C125" s="20">
        <v>55</v>
      </c>
      <c r="D125" s="20" t="s">
        <v>41</v>
      </c>
      <c r="E125" s="20">
        <v>1000</v>
      </c>
      <c r="F125" s="20">
        <v>31</v>
      </c>
      <c r="G125" s="20" t="s">
        <v>18</v>
      </c>
      <c r="H125" s="20" t="s">
        <v>55</v>
      </c>
      <c r="I125" s="20" t="s">
        <v>20</v>
      </c>
      <c r="J125" s="20" t="str">
        <f t="shared" si="12"/>
        <v>"07151216_0106"</v>
      </c>
      <c r="K125" s="21">
        <f t="shared" si="13"/>
        <v>42354.04583333333</v>
      </c>
      <c r="L125" s="22">
        <f t="shared" si="14"/>
        <v>24170465.999999996</v>
      </c>
      <c r="M125" s="20" t="s">
        <v>75</v>
      </c>
      <c r="N125" s="20"/>
      <c r="O125" s="23">
        <f>(VLOOKUP(K125,Sheet3!A:E,4)-VLOOKUP(K125,Sheet3!A:E,3))/(VLOOKUP(K125,Sheet3!A:E,2)-VLOOKUP(K125,Sheet3!A:E,1))*(K125-VLOOKUP(K125,Sheet3!A:E,1))+VLOOKUP(K125,Sheet3!A:E,3)</f>
        <v>0.35715408163517615</v>
      </c>
      <c r="P125" s="23" t="str">
        <f t="shared" si="15"/>
        <v>ok</v>
      </c>
    </row>
    <row r="126" spans="1:16">
      <c r="A126" s="20" t="s">
        <v>155</v>
      </c>
      <c r="B126" s="20" t="s">
        <v>17</v>
      </c>
      <c r="C126" s="20">
        <v>55</v>
      </c>
      <c r="D126" s="20" t="s">
        <v>41</v>
      </c>
      <c r="E126" s="20">
        <v>1000</v>
      </c>
      <c r="F126" s="20">
        <v>31</v>
      </c>
      <c r="G126" s="20" t="s">
        <v>18</v>
      </c>
      <c r="H126" s="20" t="s">
        <v>55</v>
      </c>
      <c r="I126" s="20" t="s">
        <v>20</v>
      </c>
      <c r="J126" s="20" t="str">
        <f t="shared" si="12"/>
        <v>"07151216_0157"</v>
      </c>
      <c r="K126" s="21">
        <f t="shared" si="13"/>
        <v>42354.081250000003</v>
      </c>
      <c r="L126" s="22">
        <f t="shared" si="14"/>
        <v>24170517.000000004</v>
      </c>
      <c r="M126" s="20" t="s">
        <v>75</v>
      </c>
      <c r="N126" s="20"/>
      <c r="O126" s="23">
        <f>(VLOOKUP(K126,Sheet3!A:E,4)-VLOOKUP(K126,Sheet3!A:E,3))/(VLOOKUP(K126,Sheet3!A:E,2)-VLOOKUP(K126,Sheet3!A:E,1))*(K126-VLOOKUP(K126,Sheet3!A:E,1))+VLOOKUP(K126,Sheet3!A:E,3)</f>
        <v>0.34055306122403739</v>
      </c>
      <c r="P126" s="23" t="str">
        <f t="shared" si="15"/>
        <v>ok</v>
      </c>
    </row>
    <row r="127" spans="1:16">
      <c r="A127" s="20" t="s">
        <v>156</v>
      </c>
      <c r="B127" s="20" t="s">
        <v>17</v>
      </c>
      <c r="C127" s="20">
        <v>55</v>
      </c>
      <c r="D127" s="20" t="s">
        <v>41</v>
      </c>
      <c r="E127" s="20">
        <v>1000</v>
      </c>
      <c r="F127" s="20">
        <v>31</v>
      </c>
      <c r="G127" s="20" t="s">
        <v>18</v>
      </c>
      <c r="H127" s="20" t="s">
        <v>55</v>
      </c>
      <c r="I127" s="20" t="s">
        <v>20</v>
      </c>
      <c r="J127" s="20" t="str">
        <f t="shared" si="12"/>
        <v>"07151216_0248"</v>
      </c>
      <c r="K127" s="21">
        <f t="shared" si="13"/>
        <v>42354.116666666669</v>
      </c>
      <c r="L127" s="22">
        <f t="shared" si="14"/>
        <v>24170568.000000004</v>
      </c>
      <c r="M127" s="20" t="s">
        <v>75</v>
      </c>
      <c r="N127" s="20"/>
      <c r="O127" s="23">
        <f>(VLOOKUP(K127,Sheet3!A:E,4)-VLOOKUP(K127,Sheet3!A:E,3))/(VLOOKUP(K127,Sheet3!A:E,2)-VLOOKUP(K127,Sheet3!A:E,1))*(K127-VLOOKUP(K127,Sheet3!A:E,1))+VLOOKUP(K127,Sheet3!A:E,3)</f>
        <v>0.32395204081630913</v>
      </c>
      <c r="P127" s="23" t="str">
        <f t="shared" si="15"/>
        <v>ok</v>
      </c>
    </row>
    <row r="128" spans="1:16">
      <c r="A128" s="20" t="s">
        <v>157</v>
      </c>
      <c r="B128" s="20" t="s">
        <v>17</v>
      </c>
      <c r="C128" s="20">
        <v>55</v>
      </c>
      <c r="D128" s="20" t="s">
        <v>41</v>
      </c>
      <c r="E128" s="20">
        <v>1000</v>
      </c>
      <c r="F128" s="20">
        <v>31</v>
      </c>
      <c r="G128" s="20" t="s">
        <v>18</v>
      </c>
      <c r="H128" s="20" t="s">
        <v>55</v>
      </c>
      <c r="I128" s="20" t="s">
        <v>20</v>
      </c>
      <c r="J128" s="20" t="str">
        <f t="shared" si="12"/>
        <v>"07151216_0340"</v>
      </c>
      <c r="K128" s="21">
        <f t="shared" si="13"/>
        <v>42354.152777777781</v>
      </c>
      <c r="L128" s="22">
        <f t="shared" si="14"/>
        <v>24170620.000000004</v>
      </c>
      <c r="M128" s="20" t="s">
        <v>75</v>
      </c>
      <c r="N128" s="20"/>
      <c r="O128" s="23">
        <f>(VLOOKUP(K128,Sheet3!A:E,4)-VLOOKUP(K128,Sheet3!A:E,3))/(VLOOKUP(K128,Sheet3!A:E,2)-VLOOKUP(K128,Sheet3!A:E,1))*(K128-VLOOKUP(K128,Sheet3!A:E,1))+VLOOKUP(K128,Sheet3!A:E,3)</f>
        <v>0.30702551020343782</v>
      </c>
      <c r="P128" s="23" t="str">
        <f t="shared" si="15"/>
        <v>ok</v>
      </c>
    </row>
    <row r="129" spans="1:17">
      <c r="A129" s="20" t="s">
        <v>158</v>
      </c>
      <c r="B129" s="20" t="s">
        <v>17</v>
      </c>
      <c r="C129" s="20">
        <v>55</v>
      </c>
      <c r="D129" s="20" t="s">
        <v>41</v>
      </c>
      <c r="E129" s="20">
        <v>1000</v>
      </c>
      <c r="F129" s="20">
        <v>31</v>
      </c>
      <c r="G129" s="20" t="s">
        <v>18</v>
      </c>
      <c r="H129" s="20" t="s">
        <v>55</v>
      </c>
      <c r="I129" s="20" t="s">
        <v>20</v>
      </c>
      <c r="J129" s="20" t="str">
        <f t="shared" si="12"/>
        <v>"07151216_0431"</v>
      </c>
      <c r="K129" s="21">
        <f t="shared" si="13"/>
        <v>42354.188194444447</v>
      </c>
      <c r="L129" s="22">
        <f t="shared" si="14"/>
        <v>24170671.000000004</v>
      </c>
      <c r="M129" s="20" t="s">
        <v>75</v>
      </c>
      <c r="N129" s="20"/>
      <c r="O129" s="23">
        <f>(VLOOKUP(K129,Sheet3!A:E,4)-VLOOKUP(K129,Sheet3!A:E,3))/(VLOOKUP(K129,Sheet3!A:E,2)-VLOOKUP(K129,Sheet3!A:E,1))*(K129-VLOOKUP(K129,Sheet3!A:E,1))+VLOOKUP(K129,Sheet3!A:E,3)</f>
        <v>0.29042448979570956</v>
      </c>
      <c r="P129" s="23" t="str">
        <f t="shared" si="15"/>
        <v>ok</v>
      </c>
    </row>
    <row r="130" spans="1:17">
      <c r="A130" s="20" t="s">
        <v>159</v>
      </c>
      <c r="B130" s="20" t="s">
        <v>17</v>
      </c>
      <c r="C130" s="20">
        <v>55</v>
      </c>
      <c r="D130" s="20" t="s">
        <v>41</v>
      </c>
      <c r="E130" s="20">
        <v>1000</v>
      </c>
      <c r="F130" s="20">
        <v>31</v>
      </c>
      <c r="G130" s="20" t="s">
        <v>18</v>
      </c>
      <c r="H130" s="20" t="s">
        <v>55</v>
      </c>
      <c r="I130" s="20" t="s">
        <v>20</v>
      </c>
      <c r="J130" s="20" t="str">
        <f t="shared" si="12"/>
        <v>"07151216_0522"</v>
      </c>
      <c r="K130" s="21">
        <f t="shared" si="13"/>
        <v>42354.223611111112</v>
      </c>
      <c r="L130" s="22">
        <f t="shared" si="14"/>
        <v>24170722</v>
      </c>
      <c r="M130" s="20" t="s">
        <v>75</v>
      </c>
      <c r="N130" s="20"/>
      <c r="O130" s="23">
        <f>(VLOOKUP(K130,Sheet3!A:E,4)-VLOOKUP(K130,Sheet3!A:E,3))/(VLOOKUP(K130,Sheet3!A:E,2)-VLOOKUP(K130,Sheet3!A:E,1))*(K130-VLOOKUP(K130,Sheet3!A:E,1))+VLOOKUP(K130,Sheet3!A:E,3)</f>
        <v>0.2738234693879813</v>
      </c>
      <c r="P130" s="23" t="str">
        <f t="shared" si="15"/>
        <v>ok</v>
      </c>
    </row>
    <row r="131" spans="1:17">
      <c r="A131" s="20" t="s">
        <v>160</v>
      </c>
      <c r="B131" s="20" t="s">
        <v>17</v>
      </c>
      <c r="C131" s="20">
        <v>55</v>
      </c>
      <c r="D131" s="20" t="s">
        <v>41</v>
      </c>
      <c r="E131" s="20">
        <v>1000</v>
      </c>
      <c r="F131" s="20">
        <v>31</v>
      </c>
      <c r="G131" s="20" t="s">
        <v>18</v>
      </c>
      <c r="H131" s="20" t="s">
        <v>55</v>
      </c>
      <c r="I131" s="20" t="s">
        <v>20</v>
      </c>
      <c r="J131" s="20" t="str">
        <f t="shared" si="12"/>
        <v>"07151216_0613"</v>
      </c>
      <c r="K131" s="21">
        <f t="shared" si="13"/>
        <v>42354.259027777778</v>
      </c>
      <c r="L131" s="22">
        <f t="shared" si="14"/>
        <v>24170773</v>
      </c>
      <c r="M131" s="20" t="s">
        <v>75</v>
      </c>
      <c r="N131" s="20"/>
      <c r="O131" s="23">
        <f>(VLOOKUP(K131,Sheet3!A:E,4)-VLOOKUP(K131,Sheet3!A:E,3))/(VLOOKUP(K131,Sheet3!A:E,2)-VLOOKUP(K131,Sheet3!A:E,1))*(K131-VLOOKUP(K131,Sheet3!A:E,1))+VLOOKUP(K131,Sheet3!A:E,3)</f>
        <v>0.25722244898025304</v>
      </c>
      <c r="P131" s="23" t="str">
        <f t="shared" si="15"/>
        <v>ok</v>
      </c>
    </row>
    <row r="132" spans="1:17">
      <c r="A132" s="20" t="s">
        <v>161</v>
      </c>
      <c r="B132" s="20" t="s">
        <v>17</v>
      </c>
      <c r="C132" s="20">
        <v>55</v>
      </c>
      <c r="D132" s="20" t="s">
        <v>41</v>
      </c>
      <c r="E132" s="20">
        <v>1000</v>
      </c>
      <c r="F132" s="20">
        <v>31</v>
      </c>
      <c r="G132" s="20" t="s">
        <v>18</v>
      </c>
      <c r="H132" s="20" t="s">
        <v>55</v>
      </c>
      <c r="I132" s="20" t="s">
        <v>20</v>
      </c>
      <c r="J132" s="20" t="str">
        <f t="shared" si="12"/>
        <v>"07151216_0705"</v>
      </c>
      <c r="K132" s="21">
        <f t="shared" si="13"/>
        <v>42354.295138888891</v>
      </c>
      <c r="L132" s="22">
        <f t="shared" si="14"/>
        <v>24170825.000000004</v>
      </c>
      <c r="M132" s="20" t="s">
        <v>75</v>
      </c>
      <c r="N132" s="20"/>
      <c r="O132" s="23">
        <f>(VLOOKUP(K132,Sheet3!A:E,4)-VLOOKUP(K132,Sheet3!A:E,3))/(VLOOKUP(K132,Sheet3!A:E,2)-VLOOKUP(K132,Sheet3!A:E,1))*(K132-VLOOKUP(K132,Sheet3!A:E,1))+VLOOKUP(K132,Sheet3!A:E,3)</f>
        <v>0.24029591836738173</v>
      </c>
      <c r="P132" s="23" t="str">
        <f t="shared" si="15"/>
        <v>ok</v>
      </c>
      <c r="Q132">
        <v>38</v>
      </c>
    </row>
    <row r="133" spans="1:17">
      <c r="A133" s="20" t="s">
        <v>162</v>
      </c>
      <c r="B133" s="20" t="s">
        <v>17</v>
      </c>
      <c r="C133" s="20">
        <v>55</v>
      </c>
      <c r="D133" s="20" t="s">
        <v>41</v>
      </c>
      <c r="E133" s="20">
        <v>1000</v>
      </c>
      <c r="F133" s="20">
        <v>31</v>
      </c>
      <c r="G133" s="20" t="s">
        <v>18</v>
      </c>
      <c r="H133" s="20" t="s">
        <v>55</v>
      </c>
      <c r="I133" s="20" t="s">
        <v>20</v>
      </c>
      <c r="J133" s="20" t="str">
        <f t="shared" ref="J133:J164" si="16">""""&amp;A133&amp;""""</f>
        <v>"07151216_0756"</v>
      </c>
      <c r="K133" s="21">
        <f t="shared" ref="K133:K164" si="17">DATE(2000+MID(A133,3,2),MID(A133,5,2),MID(A133,7,2))+TIME(MID(A133,10,2),MID(A133,12,2),0)</f>
        <v>42354.330555555556</v>
      </c>
      <c r="L133" s="22">
        <f t="shared" ref="L133:L164" si="18">(K133-25569)*24*60</f>
        <v>24170876</v>
      </c>
      <c r="M133" s="20" t="s">
        <v>75</v>
      </c>
      <c r="N133" s="20"/>
      <c r="O133" s="23">
        <f>(VLOOKUP(K133,Sheet3!A:E,4)-VLOOKUP(K133,Sheet3!A:E,3))/(VLOOKUP(K133,Sheet3!A:E,2)-VLOOKUP(K133,Sheet3!A:E,1))*(K133-VLOOKUP(K133,Sheet3!A:E,1))+VLOOKUP(K133,Sheet3!A:E,3)</f>
        <v>0.22369489795965347</v>
      </c>
      <c r="P133" s="23" t="str">
        <f t="shared" si="15"/>
        <v>ok</v>
      </c>
      <c r="Q133">
        <f>SUM(F133:F170)/60</f>
        <v>14.216666666666667</v>
      </c>
    </row>
    <row r="134" spans="1:17" ht="43.15">
      <c r="A134" s="24" t="s">
        <v>163</v>
      </c>
      <c r="B134" s="24" t="s">
        <v>17</v>
      </c>
      <c r="C134" s="24">
        <v>55</v>
      </c>
      <c r="D134" s="24" t="s">
        <v>41</v>
      </c>
      <c r="E134" s="24">
        <v>1000</v>
      </c>
      <c r="F134" s="24">
        <v>2</v>
      </c>
      <c r="G134" s="24" t="s">
        <v>65</v>
      </c>
      <c r="H134" s="25" t="s">
        <v>164</v>
      </c>
      <c r="I134" s="24" t="s">
        <v>20</v>
      </c>
      <c r="J134" s="20" t="str">
        <f t="shared" si="16"/>
        <v>"07151217_1120"</v>
      </c>
      <c r="K134" s="21">
        <f t="shared" si="17"/>
        <v>42355.472222222219</v>
      </c>
      <c r="L134" s="22">
        <f t="shared" si="18"/>
        <v>24172519.999999996</v>
      </c>
      <c r="M134" s="20" t="s">
        <v>75</v>
      </c>
      <c r="N134" s="20"/>
      <c r="O134" s="23">
        <f>(VLOOKUP(K134,Sheet3!A:E,4)-VLOOKUP(K134,Sheet3!A:E,3))/(VLOOKUP(K134,Sheet3!A:E,2)-VLOOKUP(K134,Sheet3!A:E,1))*(K134-VLOOKUP(K134,Sheet3!A:E,1))+VLOOKUP(K134,Sheet3!A:E,3)</f>
        <v>0.46376923077038806</v>
      </c>
      <c r="P134" s="23" t="str">
        <f t="shared" si="15"/>
        <v>ok</v>
      </c>
    </row>
    <row r="135" spans="1:17" ht="43.15">
      <c r="A135" s="24" t="s">
        <v>165</v>
      </c>
      <c r="B135" s="24" t="s">
        <v>17</v>
      </c>
      <c r="C135" s="24">
        <v>55</v>
      </c>
      <c r="D135" s="24" t="s">
        <v>41</v>
      </c>
      <c r="E135" s="24">
        <v>1000</v>
      </c>
      <c r="F135" s="24">
        <v>1</v>
      </c>
      <c r="G135" s="24" t="s">
        <v>65</v>
      </c>
      <c r="H135" s="25" t="s">
        <v>164</v>
      </c>
      <c r="I135" s="24" t="s">
        <v>20</v>
      </c>
      <c r="J135" s="20" t="str">
        <f t="shared" si="16"/>
        <v>"07151217_1123"</v>
      </c>
      <c r="K135" s="21">
        <f t="shared" si="17"/>
        <v>42355.474305555559</v>
      </c>
      <c r="L135" s="22">
        <f t="shared" si="18"/>
        <v>24172523.000000004</v>
      </c>
      <c r="M135" s="20" t="s">
        <v>75</v>
      </c>
      <c r="N135" s="20"/>
      <c r="O135" s="23">
        <f>(VLOOKUP(K135,Sheet3!A:E,4)-VLOOKUP(K135,Sheet3!A:E,3))/(VLOOKUP(K135,Sheet3!A:E,2)-VLOOKUP(K135,Sheet3!A:E,1))*(K135-VLOOKUP(K135,Sheet3!A:E,1))+VLOOKUP(K135,Sheet3!A:E,3)</f>
        <v>0.46284615384431049</v>
      </c>
      <c r="P135" s="23" t="str">
        <f t="shared" si="15"/>
        <v>ok</v>
      </c>
    </row>
    <row r="136" spans="1:17">
      <c r="A136" s="20" t="s">
        <v>166</v>
      </c>
      <c r="B136" s="20" t="s">
        <v>17</v>
      </c>
      <c r="C136" s="20">
        <v>55</v>
      </c>
      <c r="D136" s="20" t="s">
        <v>41</v>
      </c>
      <c r="E136" s="20">
        <v>1000</v>
      </c>
      <c r="F136" s="20">
        <v>31</v>
      </c>
      <c r="G136" s="20" t="s">
        <v>65</v>
      </c>
      <c r="H136" s="20" t="s">
        <v>46</v>
      </c>
      <c r="I136" s="20" t="s">
        <v>20</v>
      </c>
      <c r="J136" s="20" t="str">
        <f t="shared" si="16"/>
        <v>"07151216_2135"</v>
      </c>
      <c r="K136" s="21">
        <f t="shared" si="17"/>
        <v>42354.899305555555</v>
      </c>
      <c r="L136" s="22">
        <f t="shared" si="18"/>
        <v>24171695</v>
      </c>
      <c r="M136" s="20" t="s">
        <v>75</v>
      </c>
      <c r="N136" s="26">
        <v>0.73999999999999977</v>
      </c>
      <c r="O136" s="23">
        <f>(VLOOKUP(K136,Sheet3!A:E,4)-VLOOKUP(K136,Sheet3!A:E,3))/(VLOOKUP(K136,Sheet3!A:E,2)-VLOOKUP(K136,Sheet3!A:E,1))*(K136-VLOOKUP(K136,Sheet3!A:E,1))+VLOOKUP(K136,Sheet3!A:E,3)</f>
        <v>0.69284893146590842</v>
      </c>
      <c r="P136" s="23" t="str">
        <f t="shared" si="15"/>
        <v>ok</v>
      </c>
    </row>
    <row r="137" spans="1:17">
      <c r="A137" s="20" t="s">
        <v>167</v>
      </c>
      <c r="B137" s="20" t="s">
        <v>17</v>
      </c>
      <c r="C137" s="20">
        <v>55</v>
      </c>
      <c r="D137" s="20" t="s">
        <v>41</v>
      </c>
      <c r="E137" s="20">
        <v>1000</v>
      </c>
      <c r="F137" s="20">
        <v>31</v>
      </c>
      <c r="G137" s="20" t="s">
        <v>65</v>
      </c>
      <c r="H137" s="20" t="s">
        <v>46</v>
      </c>
      <c r="I137" s="20" t="s">
        <v>20</v>
      </c>
      <c r="J137" s="20" t="str">
        <f t="shared" si="16"/>
        <v>"07151216_2232"</v>
      </c>
      <c r="K137" s="21">
        <f t="shared" si="17"/>
        <v>42354.938888888886</v>
      </c>
      <c r="L137" s="22">
        <f t="shared" si="18"/>
        <v>24171751.999999996</v>
      </c>
      <c r="M137" s="20" t="s">
        <v>75</v>
      </c>
      <c r="N137" s="26">
        <v>0.72749999999999981</v>
      </c>
      <c r="O137" s="23">
        <f>(VLOOKUP(K137,Sheet3!A:E,4)-VLOOKUP(K137,Sheet3!A:E,3))/(VLOOKUP(K137,Sheet3!A:E,2)-VLOOKUP(K137,Sheet3!A:E,1))*(K137-VLOOKUP(K137,Sheet3!A:E,1))+VLOOKUP(K137,Sheet3!A:E,3)</f>
        <v>0.67743330876955921</v>
      </c>
      <c r="P137" s="23" t="str">
        <f t="shared" si="15"/>
        <v>ok</v>
      </c>
    </row>
    <row r="138" spans="1:17">
      <c r="A138" s="20" t="s">
        <v>168</v>
      </c>
      <c r="B138" s="20" t="s">
        <v>17</v>
      </c>
      <c r="C138" s="20">
        <v>55</v>
      </c>
      <c r="D138" s="20" t="s">
        <v>41</v>
      </c>
      <c r="E138" s="20">
        <v>1000</v>
      </c>
      <c r="F138" s="20">
        <v>31</v>
      </c>
      <c r="G138" s="20" t="s">
        <v>65</v>
      </c>
      <c r="H138" s="20" t="s">
        <v>46</v>
      </c>
      <c r="I138" s="20" t="s">
        <v>20</v>
      </c>
      <c r="J138" s="20" t="str">
        <f t="shared" si="16"/>
        <v>"07151216_2328"</v>
      </c>
      <c r="K138" s="21">
        <f t="shared" si="17"/>
        <v>42354.977777777778</v>
      </c>
      <c r="L138" s="22">
        <f t="shared" si="18"/>
        <v>24171808</v>
      </c>
      <c r="M138" s="20" t="s">
        <v>75</v>
      </c>
      <c r="N138" s="26">
        <v>0.71499999999999986</v>
      </c>
      <c r="O138" s="23">
        <f>(VLOOKUP(K138,Sheet3!A:E,4)-VLOOKUP(K138,Sheet3!A:E,3))/(VLOOKUP(K138,Sheet3!A:E,2)-VLOOKUP(K138,Sheet3!A:E,1))*(K138-VLOOKUP(K138,Sheet3!A:E,1))+VLOOKUP(K138,Sheet3!A:E,3)</f>
        <v>0.66228813559225985</v>
      </c>
      <c r="P138" s="23" t="str">
        <f t="shared" si="15"/>
        <v>ok</v>
      </c>
    </row>
    <row r="139" spans="1:17">
      <c r="A139" s="20" t="s">
        <v>169</v>
      </c>
      <c r="B139" s="20" t="s">
        <v>17</v>
      </c>
      <c r="C139" s="20">
        <v>55</v>
      </c>
      <c r="D139" s="20" t="s">
        <v>41</v>
      </c>
      <c r="E139" s="20">
        <v>1000</v>
      </c>
      <c r="F139" s="20">
        <v>31</v>
      </c>
      <c r="G139" s="20" t="s">
        <v>65</v>
      </c>
      <c r="H139" s="20" t="s">
        <v>46</v>
      </c>
      <c r="I139" s="20" t="s">
        <v>20</v>
      </c>
      <c r="J139" s="20" t="str">
        <f t="shared" si="16"/>
        <v>"07151217_0025"</v>
      </c>
      <c r="K139" s="21">
        <f t="shared" si="17"/>
        <v>42355.017361111109</v>
      </c>
      <c r="L139" s="22">
        <f t="shared" si="18"/>
        <v>24171864.999999996</v>
      </c>
      <c r="M139" s="20" t="s">
        <v>75</v>
      </c>
      <c r="N139" s="26">
        <v>0.7024999999999999</v>
      </c>
      <c r="O139" s="23">
        <f>(VLOOKUP(K139,Sheet3!A:E,4)-VLOOKUP(K139,Sheet3!A:E,3))/(VLOOKUP(K139,Sheet3!A:E,2)-VLOOKUP(K139,Sheet3!A:E,1))*(K139-VLOOKUP(K139,Sheet3!A:E,1))+VLOOKUP(K139,Sheet3!A:E,3)</f>
        <v>0.64687251289591052</v>
      </c>
      <c r="P139" s="23" t="str">
        <f t="shared" si="15"/>
        <v>ok</v>
      </c>
    </row>
    <row r="140" spans="1:17">
      <c r="A140" s="20" t="s">
        <v>170</v>
      </c>
      <c r="B140" s="20" t="s">
        <v>17</v>
      </c>
      <c r="C140" s="20">
        <v>55</v>
      </c>
      <c r="D140" s="20" t="s">
        <v>41</v>
      </c>
      <c r="E140" s="20">
        <v>1000</v>
      </c>
      <c r="F140" s="20">
        <v>31</v>
      </c>
      <c r="G140" s="20" t="s">
        <v>65</v>
      </c>
      <c r="H140" s="20" t="s">
        <v>46</v>
      </c>
      <c r="I140" s="20" t="s">
        <v>20</v>
      </c>
      <c r="J140" s="20" t="str">
        <f t="shared" si="16"/>
        <v>"07151217_0121"</v>
      </c>
      <c r="K140" s="21">
        <f t="shared" si="17"/>
        <v>42355.056250000001</v>
      </c>
      <c r="L140" s="22">
        <f t="shared" si="18"/>
        <v>24171921.000000004</v>
      </c>
      <c r="M140" s="20" t="s">
        <v>75</v>
      </c>
      <c r="N140" s="26">
        <v>0.69</v>
      </c>
      <c r="O140" s="23">
        <f>(VLOOKUP(K140,Sheet3!A:E,4)-VLOOKUP(K140,Sheet3!A:E,3))/(VLOOKUP(K140,Sheet3!A:E,2)-VLOOKUP(K140,Sheet3!A:E,1))*(K140-VLOOKUP(K140,Sheet3!A:E,1))+VLOOKUP(K140,Sheet3!A:E,3)</f>
        <v>0.63172733971861117</v>
      </c>
      <c r="P140" s="23" t="str">
        <f t="shared" si="15"/>
        <v>ok</v>
      </c>
    </row>
    <row r="141" spans="1:17">
      <c r="A141" s="20" t="s">
        <v>171</v>
      </c>
      <c r="B141" s="20" t="s">
        <v>17</v>
      </c>
      <c r="C141" s="20">
        <v>55</v>
      </c>
      <c r="D141" s="20" t="s">
        <v>41</v>
      </c>
      <c r="E141" s="20">
        <v>1000</v>
      </c>
      <c r="F141" s="20">
        <v>31</v>
      </c>
      <c r="G141" s="20" t="s">
        <v>65</v>
      </c>
      <c r="H141" s="20" t="s">
        <v>46</v>
      </c>
      <c r="I141" s="20" t="s">
        <v>20</v>
      </c>
      <c r="J141" s="20" t="str">
        <f t="shared" si="16"/>
        <v>"07151217_0218"</v>
      </c>
      <c r="K141" s="21">
        <f t="shared" si="17"/>
        <v>42355.095833333333</v>
      </c>
      <c r="L141" s="22">
        <f t="shared" si="18"/>
        <v>24171978</v>
      </c>
      <c r="M141" s="20" t="s">
        <v>75</v>
      </c>
      <c r="N141" s="20"/>
      <c r="O141" s="23">
        <f>(VLOOKUP(K141,Sheet3!A:E,4)-VLOOKUP(K141,Sheet3!A:E,3))/(VLOOKUP(K141,Sheet3!A:E,2)-VLOOKUP(K141,Sheet3!A:E,1))*(K141-VLOOKUP(K141,Sheet3!A:E,1))+VLOOKUP(K141,Sheet3!A:E,3)</f>
        <v>0.61631171702226184</v>
      </c>
      <c r="P141" s="23" t="str">
        <f t="shared" si="15"/>
        <v>ok</v>
      </c>
    </row>
    <row r="142" spans="1:17">
      <c r="A142" s="20" t="s">
        <v>172</v>
      </c>
      <c r="B142" s="20" t="s">
        <v>17</v>
      </c>
      <c r="C142" s="20">
        <v>55</v>
      </c>
      <c r="D142" s="20" t="s">
        <v>41</v>
      </c>
      <c r="E142" s="20">
        <v>1000</v>
      </c>
      <c r="F142" s="20">
        <v>31</v>
      </c>
      <c r="G142" s="20" t="s">
        <v>65</v>
      </c>
      <c r="H142" s="20" t="s">
        <v>46</v>
      </c>
      <c r="I142" s="20" t="s">
        <v>20</v>
      </c>
      <c r="J142" s="20" t="str">
        <f t="shared" si="16"/>
        <v>"07151217_0314"</v>
      </c>
      <c r="K142" s="21">
        <f t="shared" si="17"/>
        <v>42355.134722222225</v>
      </c>
      <c r="L142" s="22">
        <f t="shared" si="18"/>
        <v>24172034.000000004</v>
      </c>
      <c r="M142" s="20" t="s">
        <v>75</v>
      </c>
      <c r="N142" s="20"/>
      <c r="O142" s="23">
        <f>(VLOOKUP(K142,Sheet3!A:E,4)-VLOOKUP(K142,Sheet3!A:E,3))/(VLOOKUP(K142,Sheet3!A:E,2)-VLOOKUP(K142,Sheet3!A:E,1))*(K142-VLOOKUP(K142,Sheet3!A:E,1))+VLOOKUP(K142,Sheet3!A:E,3)</f>
        <v>0.60116654384496249</v>
      </c>
      <c r="P142" s="23" t="str">
        <f t="shared" si="15"/>
        <v>ok</v>
      </c>
    </row>
    <row r="143" spans="1:17">
      <c r="A143" s="20" t="s">
        <v>173</v>
      </c>
      <c r="B143" s="20" t="s">
        <v>17</v>
      </c>
      <c r="C143" s="20">
        <v>55</v>
      </c>
      <c r="D143" s="20" t="s">
        <v>41</v>
      </c>
      <c r="E143" s="20">
        <v>1000</v>
      </c>
      <c r="F143" s="20">
        <v>31</v>
      </c>
      <c r="G143" s="20" t="s">
        <v>65</v>
      </c>
      <c r="H143" s="20" t="s">
        <v>46</v>
      </c>
      <c r="I143" s="20" t="s">
        <v>20</v>
      </c>
      <c r="J143" s="20" t="str">
        <f t="shared" si="16"/>
        <v>"07151217_0411"</v>
      </c>
      <c r="K143" s="21">
        <f t="shared" si="17"/>
        <v>42355.174305555556</v>
      </c>
      <c r="L143" s="22">
        <f t="shared" si="18"/>
        <v>24172091</v>
      </c>
      <c r="M143" s="20" t="s">
        <v>75</v>
      </c>
      <c r="N143" s="20"/>
      <c r="O143" s="23">
        <f>(VLOOKUP(K143,Sheet3!A:E,4)-VLOOKUP(K143,Sheet3!A:E,3))/(VLOOKUP(K143,Sheet3!A:E,2)-VLOOKUP(K143,Sheet3!A:E,1))*(K143-VLOOKUP(K143,Sheet3!A:E,1))+VLOOKUP(K143,Sheet3!A:E,3)</f>
        <v>0.58575092114861327</v>
      </c>
      <c r="P143" s="23" t="str">
        <f t="shared" si="15"/>
        <v>ok</v>
      </c>
    </row>
    <row r="144" spans="1:17">
      <c r="A144" s="20" t="s">
        <v>174</v>
      </c>
      <c r="B144" s="20" t="s">
        <v>17</v>
      </c>
      <c r="C144" s="20">
        <v>55</v>
      </c>
      <c r="D144" s="20" t="s">
        <v>41</v>
      </c>
      <c r="E144" s="20">
        <v>1000</v>
      </c>
      <c r="F144" s="20">
        <v>31</v>
      </c>
      <c r="G144" s="20" t="s">
        <v>65</v>
      </c>
      <c r="H144" s="20" t="s">
        <v>46</v>
      </c>
      <c r="I144" s="20" t="s">
        <v>20</v>
      </c>
      <c r="J144" s="20" t="str">
        <f t="shared" si="16"/>
        <v>"07151217_0507"</v>
      </c>
      <c r="K144" s="21">
        <f t="shared" si="17"/>
        <v>42355.213194444441</v>
      </c>
      <c r="L144" s="22">
        <f t="shared" si="18"/>
        <v>24172146.999999996</v>
      </c>
      <c r="M144" s="20" t="s">
        <v>75</v>
      </c>
      <c r="N144" s="20"/>
      <c r="O144" s="23">
        <f>(VLOOKUP(K144,Sheet3!A:E,4)-VLOOKUP(K144,Sheet3!A:E,3))/(VLOOKUP(K144,Sheet3!A:E,2)-VLOOKUP(K144,Sheet3!A:E,1))*(K144-VLOOKUP(K144,Sheet3!A:E,1))+VLOOKUP(K144,Sheet3!A:E,3)</f>
        <v>0.57060574797414743</v>
      </c>
      <c r="P144" s="23" t="str">
        <f t="shared" si="15"/>
        <v>ok</v>
      </c>
    </row>
    <row r="145" spans="1:17">
      <c r="A145" s="20" t="s">
        <v>175</v>
      </c>
      <c r="B145" s="20" t="s">
        <v>17</v>
      </c>
      <c r="C145" s="20">
        <v>55</v>
      </c>
      <c r="D145" s="20" t="s">
        <v>41</v>
      </c>
      <c r="E145" s="20">
        <v>1000</v>
      </c>
      <c r="F145" s="20">
        <v>31</v>
      </c>
      <c r="G145" s="20" t="s">
        <v>65</v>
      </c>
      <c r="H145" s="20" t="s">
        <v>46</v>
      </c>
      <c r="I145" s="20" t="s">
        <v>20</v>
      </c>
      <c r="J145" s="20" t="str">
        <f t="shared" si="16"/>
        <v>"07151217_0604"</v>
      </c>
      <c r="K145" s="21">
        <f t="shared" si="17"/>
        <v>42355.25277777778</v>
      </c>
      <c r="L145" s="22">
        <f t="shared" si="18"/>
        <v>24172204.000000004</v>
      </c>
      <c r="M145" s="20" t="s">
        <v>75</v>
      </c>
      <c r="N145" s="20"/>
      <c r="O145" s="23">
        <f>(VLOOKUP(K145,Sheet3!A:E,4)-VLOOKUP(K145,Sheet3!A:E,3))/(VLOOKUP(K145,Sheet3!A:E,2)-VLOOKUP(K145,Sheet3!A:E,1))*(K145-VLOOKUP(K145,Sheet3!A:E,1))+VLOOKUP(K145,Sheet3!A:E,3)</f>
        <v>0.55519012527496459</v>
      </c>
      <c r="P145" s="23" t="str">
        <f t="shared" si="15"/>
        <v>ok</v>
      </c>
    </row>
    <row r="146" spans="1:17">
      <c r="A146" s="20" t="s">
        <v>176</v>
      </c>
      <c r="B146" s="20" t="s">
        <v>17</v>
      </c>
      <c r="C146" s="20">
        <v>55</v>
      </c>
      <c r="D146" s="20" t="s">
        <v>41</v>
      </c>
      <c r="E146" s="20">
        <v>1000</v>
      </c>
      <c r="F146" s="20">
        <v>31</v>
      </c>
      <c r="G146" s="20" t="s">
        <v>65</v>
      </c>
      <c r="H146" s="20" t="s">
        <v>46</v>
      </c>
      <c r="I146" s="20" t="s">
        <v>20</v>
      </c>
      <c r="J146" s="20" t="str">
        <f t="shared" si="16"/>
        <v>"07151217_0701"</v>
      </c>
      <c r="K146" s="21">
        <f t="shared" si="17"/>
        <v>42355.292361111111</v>
      </c>
      <c r="L146" s="22">
        <f t="shared" si="18"/>
        <v>24172261</v>
      </c>
      <c r="M146" s="20" t="s">
        <v>75</v>
      </c>
      <c r="N146" s="20"/>
      <c r="O146" s="23">
        <f>(VLOOKUP(K146,Sheet3!A:E,4)-VLOOKUP(K146,Sheet3!A:E,3))/(VLOOKUP(K146,Sheet3!A:E,2)-VLOOKUP(K146,Sheet3!A:E,1))*(K146-VLOOKUP(K146,Sheet3!A:E,1))+VLOOKUP(K146,Sheet3!A:E,3)</f>
        <v>0.53977450257861537</v>
      </c>
      <c r="P146" s="23" t="str">
        <f t="shared" si="15"/>
        <v>ok</v>
      </c>
      <c r="Q146">
        <v>12</v>
      </c>
    </row>
    <row r="147" spans="1:17">
      <c r="A147" s="20" t="s">
        <v>177</v>
      </c>
      <c r="B147" s="20" t="s">
        <v>17</v>
      </c>
      <c r="C147" s="20">
        <v>55</v>
      </c>
      <c r="D147" s="20" t="s">
        <v>41</v>
      </c>
      <c r="E147" s="20">
        <v>1000</v>
      </c>
      <c r="F147" s="20">
        <v>31</v>
      </c>
      <c r="G147" s="20" t="s">
        <v>65</v>
      </c>
      <c r="H147" s="20" t="s">
        <v>46</v>
      </c>
      <c r="I147" s="20" t="s">
        <v>20</v>
      </c>
      <c r="J147" s="20" t="str">
        <f t="shared" si="16"/>
        <v>"07151217_0757"</v>
      </c>
      <c r="K147" s="21">
        <f t="shared" si="17"/>
        <v>42355.331250000003</v>
      </c>
      <c r="L147" s="22">
        <f t="shared" si="18"/>
        <v>24172317.000000004</v>
      </c>
      <c r="M147" s="20" t="s">
        <v>75</v>
      </c>
      <c r="N147" s="20"/>
      <c r="O147" s="23">
        <f>(VLOOKUP(K147,Sheet3!A:E,4)-VLOOKUP(K147,Sheet3!A:E,3))/(VLOOKUP(K147,Sheet3!A:E,2)-VLOOKUP(K147,Sheet3!A:E,1))*(K147-VLOOKUP(K147,Sheet3!A:E,1))+VLOOKUP(K147,Sheet3!A:E,3)</f>
        <v>0.52462932940131601</v>
      </c>
      <c r="P147" s="23" t="str">
        <f t="shared" si="15"/>
        <v>ok</v>
      </c>
      <c r="Q147">
        <f>SUM(F147:F158)/60</f>
        <v>6.2</v>
      </c>
    </row>
    <row r="148" spans="1:17">
      <c r="A148" s="20" t="s">
        <v>178</v>
      </c>
      <c r="B148" s="20" t="s">
        <v>17</v>
      </c>
      <c r="C148" s="20">
        <v>55</v>
      </c>
      <c r="D148" s="20" t="s">
        <v>41</v>
      </c>
      <c r="E148" s="20">
        <v>1000</v>
      </c>
      <c r="F148" s="20">
        <v>31</v>
      </c>
      <c r="G148" s="20" t="s">
        <v>65</v>
      </c>
      <c r="H148" s="20" t="s">
        <v>55</v>
      </c>
      <c r="I148" s="20" t="s">
        <v>20</v>
      </c>
      <c r="J148" s="20" t="str">
        <f t="shared" si="16"/>
        <v>"07151211_1416"</v>
      </c>
      <c r="K148" s="21">
        <f t="shared" si="17"/>
        <v>42349.594444444447</v>
      </c>
      <c r="L148" s="22">
        <f t="shared" si="18"/>
        <v>24164056.000000004</v>
      </c>
      <c r="M148" s="20" t="s">
        <v>75</v>
      </c>
      <c r="N148" s="20"/>
      <c r="O148" s="23">
        <f>(VLOOKUP(K148,Sheet3!A:E,4)-VLOOKUP(K148,Sheet3!A:E,3))/(VLOOKUP(K148,Sheet3!A:E,2)-VLOOKUP(K148,Sheet3!A:E,1))*(K148-VLOOKUP(K148,Sheet3!A:E,1))+VLOOKUP(K148,Sheet3!A:E,3)</f>
        <v>0.35571428571335267</v>
      </c>
      <c r="P148" s="23" t="str">
        <f t="shared" si="15"/>
        <v>ok</v>
      </c>
    </row>
    <row r="149" spans="1:17" ht="43.15">
      <c r="A149" s="24" t="s">
        <v>179</v>
      </c>
      <c r="B149" s="24" t="s">
        <v>17</v>
      </c>
      <c r="C149" s="24">
        <v>55</v>
      </c>
      <c r="D149" s="24" t="s">
        <v>41</v>
      </c>
      <c r="E149" s="24">
        <v>1000</v>
      </c>
      <c r="F149" s="24">
        <v>31</v>
      </c>
      <c r="G149" s="24" t="s">
        <v>65</v>
      </c>
      <c r="H149" s="25" t="s">
        <v>66</v>
      </c>
      <c r="I149" s="24" t="s">
        <v>20</v>
      </c>
      <c r="J149" s="20" t="str">
        <f t="shared" si="16"/>
        <v>"07151217_1038"</v>
      </c>
      <c r="K149" s="21">
        <f t="shared" si="17"/>
        <v>42355.443055555559</v>
      </c>
      <c r="L149" s="22">
        <f t="shared" si="18"/>
        <v>24172478.000000004</v>
      </c>
      <c r="M149" s="20" t="s">
        <v>75</v>
      </c>
      <c r="N149" s="20"/>
      <c r="O149" s="23">
        <f>(VLOOKUP(K149,Sheet3!A:E,4)-VLOOKUP(K149,Sheet3!A:E,3))/(VLOOKUP(K149,Sheet3!A:E,2)-VLOOKUP(K149,Sheet3!A:E,1))*(K149-VLOOKUP(K149,Sheet3!A:E,1))+VLOOKUP(K149,Sheet3!A:E,3)</f>
        <v>0.47669230769034032</v>
      </c>
      <c r="P149" s="23" t="str">
        <f t="shared" si="15"/>
        <v>ok</v>
      </c>
    </row>
    <row r="150" spans="1:17" ht="43.15">
      <c r="A150" s="24" t="s">
        <v>180</v>
      </c>
      <c r="B150" s="24" t="s">
        <v>17</v>
      </c>
      <c r="C150" s="24">
        <v>55</v>
      </c>
      <c r="D150" s="24" t="s">
        <v>41</v>
      </c>
      <c r="E150" s="24">
        <v>1000</v>
      </c>
      <c r="F150" s="24">
        <v>31</v>
      </c>
      <c r="G150" s="24" t="s">
        <v>65</v>
      </c>
      <c r="H150" s="25" t="s">
        <v>66</v>
      </c>
      <c r="I150" s="24" t="s">
        <v>20</v>
      </c>
      <c r="J150" s="20" t="str">
        <f t="shared" si="16"/>
        <v>"07151217_1321"</v>
      </c>
      <c r="K150" s="21">
        <f t="shared" si="17"/>
        <v>42355.556250000001</v>
      </c>
      <c r="L150" s="22">
        <f t="shared" si="18"/>
        <v>24172641.000000004</v>
      </c>
      <c r="M150" s="20" t="s">
        <v>75</v>
      </c>
      <c r="N150" s="20"/>
      <c r="O150" s="23">
        <f>(VLOOKUP(K150,Sheet3!A:E,4)-VLOOKUP(K150,Sheet3!A:E,3))/(VLOOKUP(K150,Sheet3!A:E,2)-VLOOKUP(K150,Sheet3!A:E,1))*(K150-VLOOKUP(K150,Sheet3!A:E,1))+VLOOKUP(K150,Sheet3!A:E,3)</f>
        <v>0.42653846153787467</v>
      </c>
      <c r="P150" s="23" t="str">
        <f t="shared" si="15"/>
        <v>ok</v>
      </c>
    </row>
    <row r="151" spans="1:17" ht="43.15">
      <c r="A151" s="24" t="s">
        <v>181</v>
      </c>
      <c r="B151" s="24" t="s">
        <v>17</v>
      </c>
      <c r="C151" s="24">
        <v>55</v>
      </c>
      <c r="D151" s="24" t="s">
        <v>41</v>
      </c>
      <c r="E151" s="24">
        <v>1000</v>
      </c>
      <c r="F151" s="24">
        <v>31</v>
      </c>
      <c r="G151" s="24" t="s">
        <v>65</v>
      </c>
      <c r="H151" s="25" t="s">
        <v>66</v>
      </c>
      <c r="I151" s="24" t="s">
        <v>20</v>
      </c>
      <c r="J151" s="20" t="str">
        <f t="shared" si="16"/>
        <v>"07151217_1741"</v>
      </c>
      <c r="K151" s="21">
        <f t="shared" si="17"/>
        <v>42355.736805555556</v>
      </c>
      <c r="L151" s="22">
        <f t="shared" si="18"/>
        <v>24172901</v>
      </c>
      <c r="M151" s="20" t="s">
        <v>75</v>
      </c>
      <c r="N151" s="20"/>
      <c r="O151" s="23">
        <f>(VLOOKUP(K151,Sheet3!A:E,4)-VLOOKUP(K151,Sheet3!A:E,3))/(VLOOKUP(K151,Sheet3!A:E,2)-VLOOKUP(K151,Sheet3!A:E,1))*(K151-VLOOKUP(K151,Sheet3!A:E,1))+VLOOKUP(K151,Sheet3!A:E,3)</f>
        <v>0.34426694915323586</v>
      </c>
      <c r="P151" s="23" t="str">
        <f t="shared" ref="P151:P164" si="19">IF(AND(O151&gt;0.2,O151&lt;0.7),"ok","bad")</f>
        <v>ok</v>
      </c>
    </row>
    <row r="152" spans="1:17" ht="43.15">
      <c r="A152" s="24" t="s">
        <v>182</v>
      </c>
      <c r="B152" s="24" t="s">
        <v>17</v>
      </c>
      <c r="C152" s="24">
        <v>55</v>
      </c>
      <c r="D152" s="24" t="s">
        <v>41</v>
      </c>
      <c r="E152" s="24">
        <v>1000</v>
      </c>
      <c r="F152" s="24">
        <v>31</v>
      </c>
      <c r="G152" s="24" t="s">
        <v>65</v>
      </c>
      <c r="H152" s="25" t="s">
        <v>66</v>
      </c>
      <c r="I152" s="24" t="s">
        <v>20</v>
      </c>
      <c r="J152" s="20" t="str">
        <f t="shared" si="16"/>
        <v>"07151217_1837"</v>
      </c>
      <c r="K152" s="21">
        <f t="shared" si="17"/>
        <v>42355.775694444441</v>
      </c>
      <c r="L152" s="22">
        <f t="shared" si="18"/>
        <v>24172956.999999996</v>
      </c>
      <c r="M152" s="20" t="s">
        <v>75</v>
      </c>
      <c r="N152" s="20"/>
      <c r="O152" s="23">
        <f>(VLOOKUP(K152,Sheet3!A:E,4)-VLOOKUP(K152,Sheet3!A:E,3))/(VLOOKUP(K152,Sheet3!A:E,2)-VLOOKUP(K152,Sheet3!A:E,1))*(K152-VLOOKUP(K152,Sheet3!A:E,1))+VLOOKUP(K152,Sheet3!A:E,3)</f>
        <v>0.32694491525674346</v>
      </c>
      <c r="P152" s="23" t="str">
        <f t="shared" si="19"/>
        <v>ok</v>
      </c>
    </row>
    <row r="153" spans="1:17" ht="43.15">
      <c r="A153" s="24" t="s">
        <v>183</v>
      </c>
      <c r="B153" s="24" t="s">
        <v>17</v>
      </c>
      <c r="C153" s="24">
        <v>55</v>
      </c>
      <c r="D153" s="24" t="s">
        <v>41</v>
      </c>
      <c r="E153" s="24">
        <v>1000</v>
      </c>
      <c r="F153" s="24">
        <v>31</v>
      </c>
      <c r="G153" s="24" t="s">
        <v>65</v>
      </c>
      <c r="H153" s="25" t="s">
        <v>66</v>
      </c>
      <c r="I153" s="24" t="s">
        <v>20</v>
      </c>
      <c r="J153" s="20" t="str">
        <f t="shared" si="16"/>
        <v>"07151217_1934"</v>
      </c>
      <c r="K153" s="21">
        <f t="shared" si="17"/>
        <v>42355.81527777778</v>
      </c>
      <c r="L153" s="22">
        <f t="shared" si="18"/>
        <v>24173014.000000004</v>
      </c>
      <c r="M153" s="20" t="s">
        <v>75</v>
      </c>
      <c r="N153" s="20"/>
      <c r="O153" s="23">
        <f>(VLOOKUP(K153,Sheet3!A:E,4)-VLOOKUP(K153,Sheet3!A:E,3))/(VLOOKUP(K153,Sheet3!A:E,2)-VLOOKUP(K153,Sheet3!A:E,1))*(K153-VLOOKUP(K153,Sheet3!A:E,1))+VLOOKUP(K153,Sheet3!A:E,3)</f>
        <v>0.30931355932210253</v>
      </c>
      <c r="P153" s="23" t="str">
        <f t="shared" si="19"/>
        <v>ok</v>
      </c>
    </row>
    <row r="154" spans="1:17" ht="43.15">
      <c r="A154" s="24" t="s">
        <v>184</v>
      </c>
      <c r="B154" s="24" t="s">
        <v>17</v>
      </c>
      <c r="C154" s="24">
        <v>55</v>
      </c>
      <c r="D154" s="24" t="s">
        <v>41</v>
      </c>
      <c r="E154" s="24">
        <v>1000</v>
      </c>
      <c r="F154" s="24">
        <v>31</v>
      </c>
      <c r="G154" s="24" t="s">
        <v>65</v>
      </c>
      <c r="H154" s="25" t="s">
        <v>66</v>
      </c>
      <c r="I154" s="24" t="s">
        <v>20</v>
      </c>
      <c r="J154" s="20" t="str">
        <f t="shared" si="16"/>
        <v>"07151217_2031"</v>
      </c>
      <c r="K154" s="21">
        <f t="shared" si="17"/>
        <v>42355.854861111111</v>
      </c>
      <c r="L154" s="22">
        <f t="shared" si="18"/>
        <v>24173071</v>
      </c>
      <c r="M154" s="20" t="s">
        <v>75</v>
      </c>
      <c r="N154" s="20"/>
      <c r="O154" s="23">
        <f>(VLOOKUP(K154,Sheet3!A:E,4)-VLOOKUP(K154,Sheet3!A:E,3))/(VLOOKUP(K154,Sheet3!A:E,2)-VLOOKUP(K154,Sheet3!A:E,1))*(K154-VLOOKUP(K154,Sheet3!A:E,1))+VLOOKUP(K154,Sheet3!A:E,3)</f>
        <v>0.2916822033907025</v>
      </c>
      <c r="P154" s="23" t="str">
        <f t="shared" si="19"/>
        <v>ok</v>
      </c>
    </row>
    <row r="155" spans="1:17" ht="43.15">
      <c r="A155" s="24" t="s">
        <v>185</v>
      </c>
      <c r="B155" s="24" t="s">
        <v>17</v>
      </c>
      <c r="C155" s="24">
        <v>55</v>
      </c>
      <c r="D155" s="24" t="s">
        <v>41</v>
      </c>
      <c r="E155" s="24">
        <v>1000</v>
      </c>
      <c r="F155" s="24">
        <v>31</v>
      </c>
      <c r="G155" s="24" t="s">
        <v>65</v>
      </c>
      <c r="H155" s="25" t="s">
        <v>66</v>
      </c>
      <c r="I155" s="24" t="s">
        <v>20</v>
      </c>
      <c r="J155" s="20" t="str">
        <f t="shared" si="16"/>
        <v>"07151217_2127"</v>
      </c>
      <c r="K155" s="21">
        <f t="shared" si="17"/>
        <v>42355.893750000003</v>
      </c>
      <c r="L155" s="22">
        <f t="shared" si="18"/>
        <v>24173127.000000004</v>
      </c>
      <c r="M155" s="20" t="s">
        <v>75</v>
      </c>
      <c r="N155" s="20"/>
      <c r="O155" s="23">
        <f>(VLOOKUP(K155,Sheet3!A:E,4)-VLOOKUP(K155,Sheet3!A:E,3))/(VLOOKUP(K155,Sheet3!A:E,2)-VLOOKUP(K155,Sheet3!A:E,1))*(K155-VLOOKUP(K155,Sheet3!A:E,1))+VLOOKUP(K155,Sheet3!A:E,3)</f>
        <v>0.27436016949096925</v>
      </c>
      <c r="P155" s="23" t="str">
        <f t="shared" si="19"/>
        <v>ok</v>
      </c>
    </row>
    <row r="156" spans="1:17" ht="43.15">
      <c r="A156" s="24" t="s">
        <v>186</v>
      </c>
      <c r="B156" s="24" t="s">
        <v>17</v>
      </c>
      <c r="C156" s="24">
        <v>55</v>
      </c>
      <c r="D156" s="24" t="s">
        <v>41</v>
      </c>
      <c r="E156" s="24">
        <v>1000</v>
      </c>
      <c r="F156" s="24">
        <v>31</v>
      </c>
      <c r="G156" s="24" t="s">
        <v>65</v>
      </c>
      <c r="H156" s="25" t="s">
        <v>66</v>
      </c>
      <c r="I156" s="24" t="s">
        <v>20</v>
      </c>
      <c r="J156" s="20" t="str">
        <f t="shared" si="16"/>
        <v>"07151217_2224"</v>
      </c>
      <c r="K156" s="21">
        <f t="shared" si="17"/>
        <v>42355.933333333334</v>
      </c>
      <c r="L156" s="22">
        <f t="shared" si="18"/>
        <v>24173184</v>
      </c>
      <c r="M156" s="20" t="s">
        <v>75</v>
      </c>
      <c r="N156" s="20"/>
      <c r="O156" s="23">
        <f>(VLOOKUP(K156,Sheet3!A:E,4)-VLOOKUP(K156,Sheet3!A:E,3))/(VLOOKUP(K156,Sheet3!A:E,2)-VLOOKUP(K156,Sheet3!A:E,1))*(K156-VLOOKUP(K156,Sheet3!A:E,1))+VLOOKUP(K156,Sheet3!A:E,3)</f>
        <v>0.25672881355956922</v>
      </c>
      <c r="P156" s="23" t="str">
        <f t="shared" si="19"/>
        <v>ok</v>
      </c>
    </row>
    <row r="157" spans="1:17" ht="43.15">
      <c r="A157" s="24" t="s">
        <v>187</v>
      </c>
      <c r="B157" s="24" t="s">
        <v>17</v>
      </c>
      <c r="C157" s="24">
        <v>55</v>
      </c>
      <c r="D157" s="24" t="s">
        <v>41</v>
      </c>
      <c r="E157" s="24">
        <v>1000</v>
      </c>
      <c r="F157" s="24">
        <v>31</v>
      </c>
      <c r="G157" s="24" t="s">
        <v>65</v>
      </c>
      <c r="H157" s="25" t="s">
        <v>66</v>
      </c>
      <c r="I157" s="24" t="s">
        <v>20</v>
      </c>
      <c r="J157" s="20" t="str">
        <f t="shared" si="16"/>
        <v>"07151217_2321"</v>
      </c>
      <c r="K157" s="21">
        <f t="shared" si="17"/>
        <v>42355.972916666666</v>
      </c>
      <c r="L157" s="22">
        <f t="shared" si="18"/>
        <v>24173241</v>
      </c>
      <c r="M157" s="20" t="s">
        <v>75</v>
      </c>
      <c r="N157" s="20"/>
      <c r="O157" s="23">
        <f>(VLOOKUP(K157,Sheet3!A:E,4)-VLOOKUP(K157,Sheet3!A:E,3))/(VLOOKUP(K157,Sheet3!A:E,2)-VLOOKUP(K157,Sheet3!A:E,1))*(K157-VLOOKUP(K157,Sheet3!A:E,1))+VLOOKUP(K157,Sheet3!A:E,3)</f>
        <v>0.23909745762816917</v>
      </c>
      <c r="P157" s="23" t="str">
        <f t="shared" si="19"/>
        <v>ok</v>
      </c>
    </row>
    <row r="158" spans="1:17" ht="43.15">
      <c r="A158" s="24" t="s">
        <v>188</v>
      </c>
      <c r="B158" s="24" t="s">
        <v>17</v>
      </c>
      <c r="C158" s="24">
        <v>55</v>
      </c>
      <c r="D158" s="24" t="s">
        <v>41</v>
      </c>
      <c r="E158" s="24">
        <v>1000</v>
      </c>
      <c r="F158" s="24">
        <v>31</v>
      </c>
      <c r="G158" s="24" t="s">
        <v>65</v>
      </c>
      <c r="H158" s="25" t="s">
        <v>66</v>
      </c>
      <c r="I158" s="24" t="s">
        <v>20</v>
      </c>
      <c r="J158" s="20" t="str">
        <f t="shared" si="16"/>
        <v>"07151218_0017"</v>
      </c>
      <c r="K158" s="21">
        <f t="shared" si="17"/>
        <v>42356.011805555558</v>
      </c>
      <c r="L158" s="22">
        <f t="shared" si="18"/>
        <v>24173297.000000004</v>
      </c>
      <c r="M158" s="20" t="s">
        <v>75</v>
      </c>
      <c r="N158" s="20"/>
      <c r="O158" s="23">
        <f>(VLOOKUP(K158,Sheet3!A:E,4)-VLOOKUP(K158,Sheet3!A:E,3))/(VLOOKUP(K158,Sheet3!A:E,2)-VLOOKUP(K158,Sheet3!A:E,1))*(K158-VLOOKUP(K158,Sheet3!A:E,1))+VLOOKUP(K158,Sheet3!A:E,3)</f>
        <v>0.22177542372843589</v>
      </c>
      <c r="P158" s="23" t="str">
        <f t="shared" si="19"/>
        <v>ok</v>
      </c>
      <c r="Q158">
        <v>12</v>
      </c>
    </row>
    <row r="159" spans="1:17" ht="43.15">
      <c r="A159" s="24" t="s">
        <v>189</v>
      </c>
      <c r="B159" s="24" t="s">
        <v>17</v>
      </c>
      <c r="C159" s="24">
        <v>55</v>
      </c>
      <c r="D159" s="24" t="s">
        <v>41</v>
      </c>
      <c r="E159" s="24">
        <v>1000</v>
      </c>
      <c r="F159" s="24">
        <v>31</v>
      </c>
      <c r="G159" s="24" t="s">
        <v>65</v>
      </c>
      <c r="H159" s="25" t="s">
        <v>66</v>
      </c>
      <c r="I159" s="24" t="s">
        <v>20</v>
      </c>
      <c r="J159" s="20" t="str">
        <f t="shared" si="16"/>
        <v>"07151218_0114"</v>
      </c>
      <c r="K159" s="21">
        <f t="shared" si="17"/>
        <v>42356.051388888889</v>
      </c>
      <c r="L159" s="22">
        <f t="shared" si="18"/>
        <v>24173354</v>
      </c>
      <c r="M159" s="20" t="s">
        <v>75</v>
      </c>
      <c r="N159" s="20"/>
      <c r="O159" s="23">
        <f>(VLOOKUP(K159,Sheet3!A:E,4)-VLOOKUP(K159,Sheet3!A:E,3))/(VLOOKUP(K159,Sheet3!A:E,2)-VLOOKUP(K159,Sheet3!A:E,1))*(K159-VLOOKUP(K159,Sheet3!A:E,1))+VLOOKUP(K159,Sheet3!A:E,3)</f>
        <v>0.20414406779703587</v>
      </c>
      <c r="P159" s="23" t="str">
        <f t="shared" si="19"/>
        <v>ok</v>
      </c>
      <c r="Q159">
        <f>SUM(F159:F170)/60</f>
        <v>1.7666666666666666</v>
      </c>
    </row>
    <row r="160" spans="1:17" ht="43.15">
      <c r="A160" s="24" t="s">
        <v>190</v>
      </c>
      <c r="B160" s="24" t="s">
        <v>17</v>
      </c>
      <c r="C160" s="24">
        <v>55</v>
      </c>
      <c r="D160" s="24" t="s">
        <v>41</v>
      </c>
      <c r="E160" s="24">
        <v>1000</v>
      </c>
      <c r="F160" s="24">
        <v>10</v>
      </c>
      <c r="G160" s="24" t="s">
        <v>191</v>
      </c>
      <c r="H160" s="25" t="s">
        <v>164</v>
      </c>
      <c r="I160" s="24" t="s">
        <v>20</v>
      </c>
      <c r="J160" s="20" t="str">
        <f t="shared" si="16"/>
        <v>"07151217_1218"</v>
      </c>
      <c r="K160" s="21">
        <f t="shared" si="17"/>
        <v>42355.512499999997</v>
      </c>
      <c r="L160" s="22">
        <f t="shared" si="18"/>
        <v>24172577.999999996</v>
      </c>
      <c r="M160" s="20" t="s">
        <v>75</v>
      </c>
      <c r="N160" s="20"/>
      <c r="O160" s="23">
        <f>(VLOOKUP(K160,Sheet3!A:E,4)-VLOOKUP(K160,Sheet3!A:E,3))/(VLOOKUP(K160,Sheet3!A:E,2)-VLOOKUP(K160,Sheet3!A:E,1))*(K160-VLOOKUP(K160,Sheet3!A:E,1))+VLOOKUP(K160,Sheet3!A:E,3)</f>
        <v>0.44592307692425071</v>
      </c>
      <c r="P160" s="23" t="str">
        <f t="shared" si="19"/>
        <v>ok</v>
      </c>
    </row>
    <row r="161" spans="1:16">
      <c r="A161" t="s">
        <v>192</v>
      </c>
      <c r="B161" t="s">
        <v>17</v>
      </c>
      <c r="C161">
        <v>55</v>
      </c>
      <c r="D161" t="s">
        <v>41</v>
      </c>
      <c r="E161">
        <v>0</v>
      </c>
      <c r="F161">
        <v>2</v>
      </c>
      <c r="G161" t="s">
        <v>18</v>
      </c>
      <c r="H161" t="s">
        <v>42</v>
      </c>
      <c r="I161" t="s">
        <v>20</v>
      </c>
      <c r="J161" t="str">
        <f t="shared" si="16"/>
        <v>"07151215_1146"</v>
      </c>
      <c r="K161" s="1">
        <f t="shared" si="17"/>
        <v>42353.490277777775</v>
      </c>
      <c r="L161" s="19">
        <f t="shared" si="18"/>
        <v>24169665.999999996</v>
      </c>
      <c r="M161" s="8" t="s">
        <v>191</v>
      </c>
      <c r="N161" t="s">
        <v>44</v>
      </c>
      <c r="O161" s="7">
        <f>(VLOOKUP(K161,Sheet3!A:E,4)-VLOOKUP(K161,Sheet3!A:E,3))/(VLOOKUP(K161,Sheet3!A:E,2)-VLOOKUP(K161,Sheet3!A:E,1))*(K161-VLOOKUP(K161,Sheet3!A:E,1))+VLOOKUP(K161,Sheet3!A:E,3)</f>
        <v>0.61100224719233709</v>
      </c>
      <c r="P161" s="7" t="str">
        <f t="shared" si="19"/>
        <v>ok</v>
      </c>
    </row>
    <row r="162" spans="1:16">
      <c r="A162" t="s">
        <v>193</v>
      </c>
      <c r="B162" t="s">
        <v>17</v>
      </c>
      <c r="C162">
        <v>55</v>
      </c>
      <c r="D162" t="s">
        <v>41</v>
      </c>
      <c r="E162">
        <v>0</v>
      </c>
      <c r="F162">
        <v>1</v>
      </c>
      <c r="G162" t="s">
        <v>18</v>
      </c>
      <c r="H162" t="s">
        <v>42</v>
      </c>
      <c r="I162" t="s">
        <v>20</v>
      </c>
      <c r="J162" t="str">
        <f t="shared" si="16"/>
        <v>"07151215_1147"</v>
      </c>
      <c r="K162" s="1">
        <f t="shared" si="17"/>
        <v>42353.490972222222</v>
      </c>
      <c r="L162" s="19">
        <f t="shared" si="18"/>
        <v>24169667</v>
      </c>
      <c r="M162" s="8" t="s">
        <v>191</v>
      </c>
      <c r="N162" t="s">
        <v>44</v>
      </c>
      <c r="O162" s="7">
        <f>(VLOOKUP(K162,Sheet3!A:E,4)-VLOOKUP(K162,Sheet3!A:E,3))/(VLOOKUP(K162,Sheet3!A:E,2)-VLOOKUP(K162,Sheet3!A:E,1))*(K162-VLOOKUP(K162,Sheet3!A:E,1))+VLOOKUP(K162,Sheet3!A:E,3)</f>
        <v>0.61070112359585305</v>
      </c>
      <c r="P162" s="7" t="str">
        <f t="shared" si="19"/>
        <v>ok</v>
      </c>
    </row>
    <row r="163" spans="1:16">
      <c r="A163" t="s">
        <v>194</v>
      </c>
      <c r="B163" t="s">
        <v>17</v>
      </c>
      <c r="C163">
        <v>55</v>
      </c>
      <c r="D163" t="s">
        <v>41</v>
      </c>
      <c r="E163">
        <v>1000</v>
      </c>
      <c r="F163">
        <v>31</v>
      </c>
      <c r="G163" t="s">
        <v>18</v>
      </c>
      <c r="H163" t="s">
        <v>46</v>
      </c>
      <c r="I163" t="s">
        <v>20</v>
      </c>
      <c r="J163" t="str">
        <f t="shared" si="16"/>
        <v>"07151211_2029"</v>
      </c>
      <c r="K163" s="1">
        <f t="shared" si="17"/>
        <v>42349.853472222225</v>
      </c>
      <c r="L163" s="19">
        <f t="shared" si="18"/>
        <v>24164429.000000004</v>
      </c>
      <c r="M163" s="4" t="s">
        <v>195</v>
      </c>
      <c r="N163" t="s">
        <v>47</v>
      </c>
      <c r="O163" s="7">
        <f>(VLOOKUP(K163,Sheet3!A:E,4)-VLOOKUP(K163,Sheet3!A:E,3))/(VLOOKUP(K163,Sheet3!A:E,2)-VLOOKUP(K163,Sheet3!A:E,1))*(K163-VLOOKUP(K163,Sheet3!A:E,1))+VLOOKUP(K163,Sheet3!A:E,3)</f>
        <v>0.8818867187488042</v>
      </c>
      <c r="P163" s="7" t="str">
        <f t="shared" si="19"/>
        <v>bad</v>
      </c>
    </row>
    <row r="164" spans="1:16">
      <c r="A164" t="s">
        <v>196</v>
      </c>
      <c r="B164" t="s">
        <v>17</v>
      </c>
      <c r="C164">
        <v>55</v>
      </c>
      <c r="D164" t="s">
        <v>41</v>
      </c>
      <c r="E164">
        <v>1000</v>
      </c>
      <c r="F164">
        <v>31</v>
      </c>
      <c r="G164" t="s">
        <v>18</v>
      </c>
      <c r="H164" t="s">
        <v>46</v>
      </c>
      <c r="I164" t="s">
        <v>20</v>
      </c>
      <c r="J164" t="str">
        <f t="shared" si="16"/>
        <v>"07151212_0015"</v>
      </c>
      <c r="K164" s="1">
        <f t="shared" si="17"/>
        <v>42350.010416666664</v>
      </c>
      <c r="L164" s="19">
        <f t="shared" si="18"/>
        <v>24164654.999999996</v>
      </c>
      <c r="M164" s="4" t="s">
        <v>195</v>
      </c>
      <c r="N164" t="s">
        <v>47</v>
      </c>
      <c r="O164" s="7">
        <f>(VLOOKUP(K164,Sheet3!A:E,4)-VLOOKUP(K164,Sheet3!A:E,3))/(VLOOKUP(K164,Sheet3!A:E,2)-VLOOKUP(K164,Sheet3!A:E,1))*(K164-VLOOKUP(K164,Sheet3!A:E,1))+VLOOKUP(K164,Sheet3!A:E,3)</f>
        <v>0.82097265625086036</v>
      </c>
      <c r="P164" s="7" t="str">
        <f t="shared" si="19"/>
        <v>bad</v>
      </c>
    </row>
    <row r="165" spans="1:16">
      <c r="A165" s="9"/>
      <c r="B165" s="9"/>
      <c r="C165" s="9"/>
      <c r="D165" s="9"/>
      <c r="E165" s="9"/>
      <c r="F165" s="9"/>
      <c r="G165" s="9"/>
      <c r="H165" s="10"/>
      <c r="I165" s="9"/>
      <c r="K165" s="18">
        <v>42347</v>
      </c>
      <c r="L165" s="19">
        <f>(K165-25569)*24*60*60</f>
        <v>1449619200</v>
      </c>
    </row>
    <row r="166" spans="1:16">
      <c r="A166" s="9"/>
      <c r="B166" s="9"/>
      <c r="C166" s="9"/>
      <c r="D166" s="9"/>
      <c r="E166" s="9"/>
      <c r="F166" s="9"/>
      <c r="G166" s="9"/>
      <c r="H166" s="10"/>
      <c r="I166" s="9"/>
      <c r="K166" s="18">
        <v>42357</v>
      </c>
      <c r="L166" s="19">
        <f>(K166-25569)*24*60*60</f>
        <v>1450483200</v>
      </c>
    </row>
    <row r="167" spans="1:16">
      <c r="A167" s="9"/>
      <c r="B167" s="9"/>
      <c r="C167" s="9"/>
      <c r="D167" s="9"/>
      <c r="E167" s="9"/>
      <c r="F167" s="9"/>
      <c r="G167" s="9"/>
      <c r="H167" s="10"/>
      <c r="I167" s="9"/>
    </row>
  </sheetData>
  <sortState xmlns:xlrd2="http://schemas.microsoft.com/office/spreadsheetml/2017/richdata2" ref="A5:Q166">
    <sortCondition ref="M5:M166"/>
    <sortCondition ref="P5:P166"/>
    <sortCondition ref="G5:G166"/>
    <sortCondition ref="H5:H166"/>
    <sortCondition ref="A5:A166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4:L4444"/>
  <sheetViews>
    <sheetView workbookViewId="0">
      <selection activeCell="J5" sqref="J5"/>
    </sheetView>
  </sheetViews>
  <sheetFormatPr defaultRowHeight="14.45"/>
  <cols>
    <col min="1" max="1" width="13.85546875" bestFit="1" customWidth="1"/>
    <col min="2" max="2" width="6.5703125" bestFit="1" customWidth="1"/>
    <col min="3" max="3" width="9.7109375" bestFit="1" customWidth="1"/>
    <col min="4" max="4" width="12.140625" bestFit="1" customWidth="1"/>
    <col min="5" max="5" width="7.7109375" bestFit="1" customWidth="1"/>
    <col min="6" max="6" width="7.42578125" bestFit="1" customWidth="1"/>
    <col min="7" max="7" width="8.42578125" bestFit="1" customWidth="1"/>
    <col min="8" max="8" width="22.85546875" bestFit="1" customWidth="1"/>
    <col min="9" max="9" width="7.85546875" bestFit="1" customWidth="1"/>
    <col min="10" max="10" width="21.85546875" customWidth="1"/>
    <col min="11" max="11" width="15.140625" bestFit="1" customWidth="1"/>
    <col min="13" max="13" width="14" bestFit="1" customWidth="1"/>
  </cols>
  <sheetData>
    <row r="4" spans="1:1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197</v>
      </c>
    </row>
    <row r="5" spans="1:12">
      <c r="A5" t="s">
        <v>16</v>
      </c>
      <c r="B5" t="s">
        <v>17</v>
      </c>
      <c r="C5">
        <v>55</v>
      </c>
      <c r="D5">
        <v>2000</v>
      </c>
      <c r="E5">
        <v>1000</v>
      </c>
      <c r="F5">
        <v>30</v>
      </c>
      <c r="G5" t="s">
        <v>18</v>
      </c>
      <c r="H5" t="s">
        <v>19</v>
      </c>
      <c r="I5" t="s">
        <v>20</v>
      </c>
      <c r="J5" t="str">
        <f t="shared" ref="J5:J36" si="0">""""&amp;A5&amp;""""</f>
        <v>"07151208_1609"</v>
      </c>
      <c r="K5" s="1">
        <f t="shared" ref="K5:K36" si="1">DATE(2000+MID(A5,3,2),MID(A5,5,2),MID(A5,7,2))+TIME(MID(A5,10,2),MID(A5,12,2),0)</f>
        <v>42346.67291666667</v>
      </c>
    </row>
    <row r="6" spans="1:12">
      <c r="A6" t="s">
        <v>22</v>
      </c>
      <c r="B6" t="s">
        <v>17</v>
      </c>
      <c r="C6">
        <v>55</v>
      </c>
      <c r="D6">
        <v>2000</v>
      </c>
      <c r="E6">
        <v>1000</v>
      </c>
      <c r="F6">
        <v>30</v>
      </c>
      <c r="G6" t="s">
        <v>18</v>
      </c>
      <c r="H6" t="s">
        <v>19</v>
      </c>
      <c r="I6" t="s">
        <v>20</v>
      </c>
      <c r="J6" t="str">
        <f t="shared" si="0"/>
        <v>"07151208_1623"</v>
      </c>
      <c r="K6" s="1">
        <f t="shared" si="1"/>
        <v>42346.682638888888</v>
      </c>
    </row>
    <row r="7" spans="1:12">
      <c r="A7" t="s">
        <v>23</v>
      </c>
      <c r="B7" t="s">
        <v>17</v>
      </c>
      <c r="C7">
        <v>55</v>
      </c>
      <c r="D7">
        <v>2000</v>
      </c>
      <c r="E7">
        <v>1000</v>
      </c>
      <c r="F7">
        <v>30</v>
      </c>
      <c r="G7" t="s">
        <v>18</v>
      </c>
      <c r="H7" t="s">
        <v>19</v>
      </c>
      <c r="I7" t="s">
        <v>20</v>
      </c>
      <c r="J7" t="str">
        <f t="shared" si="0"/>
        <v>"07151208_1644"</v>
      </c>
      <c r="K7" s="1">
        <f t="shared" si="1"/>
        <v>42346.697222222225</v>
      </c>
    </row>
    <row r="8" spans="1:12">
      <c r="A8" t="s">
        <v>24</v>
      </c>
      <c r="B8" t="s">
        <v>17</v>
      </c>
      <c r="C8">
        <v>55</v>
      </c>
      <c r="D8">
        <v>2000</v>
      </c>
      <c r="E8">
        <v>1000</v>
      </c>
      <c r="F8">
        <v>30</v>
      </c>
      <c r="G8" t="s">
        <v>18</v>
      </c>
      <c r="H8" t="s">
        <v>25</v>
      </c>
      <c r="I8" t="s">
        <v>20</v>
      </c>
      <c r="J8" t="str">
        <f t="shared" si="0"/>
        <v>"07151208_1744"</v>
      </c>
      <c r="K8" s="1">
        <f t="shared" si="1"/>
        <v>42346.738888888889</v>
      </c>
    </row>
    <row r="9" spans="1:12">
      <c r="A9" t="s">
        <v>26</v>
      </c>
      <c r="B9" t="s">
        <v>17</v>
      </c>
      <c r="C9">
        <v>55</v>
      </c>
      <c r="D9">
        <v>2000</v>
      </c>
      <c r="E9">
        <v>1000</v>
      </c>
      <c r="F9">
        <v>30</v>
      </c>
      <c r="G9" t="s">
        <v>18</v>
      </c>
      <c r="H9" t="s">
        <v>19</v>
      </c>
      <c r="I9" t="s">
        <v>20</v>
      </c>
      <c r="J9" t="str">
        <f t="shared" si="0"/>
        <v>"07151208_1843"</v>
      </c>
      <c r="K9" s="1">
        <f t="shared" si="1"/>
        <v>42346.779861111114</v>
      </c>
    </row>
    <row r="10" spans="1:12">
      <c r="A10" t="s">
        <v>27</v>
      </c>
      <c r="B10" t="s">
        <v>17</v>
      </c>
      <c r="C10">
        <v>55</v>
      </c>
      <c r="D10">
        <v>2000</v>
      </c>
      <c r="E10">
        <v>1000</v>
      </c>
      <c r="F10">
        <v>30</v>
      </c>
      <c r="G10" t="s">
        <v>18</v>
      </c>
      <c r="H10" t="s">
        <v>25</v>
      </c>
      <c r="I10" t="s">
        <v>20</v>
      </c>
      <c r="J10" t="str">
        <f t="shared" si="0"/>
        <v>"07151208_1949"</v>
      </c>
      <c r="K10" s="1">
        <f t="shared" si="1"/>
        <v>42346.825694444444</v>
      </c>
    </row>
    <row r="11" spans="1:12">
      <c r="A11" t="s">
        <v>28</v>
      </c>
      <c r="B11" t="s">
        <v>17</v>
      </c>
      <c r="C11">
        <v>55</v>
      </c>
      <c r="D11">
        <v>2000</v>
      </c>
      <c r="E11">
        <v>1000</v>
      </c>
      <c r="F11">
        <v>30</v>
      </c>
      <c r="G11" t="s">
        <v>18</v>
      </c>
      <c r="H11" t="s">
        <v>19</v>
      </c>
      <c r="I11" t="s">
        <v>20</v>
      </c>
      <c r="J11" t="str">
        <f t="shared" si="0"/>
        <v>"07151208_2049"</v>
      </c>
      <c r="K11" s="1">
        <f t="shared" si="1"/>
        <v>42346.867361111108</v>
      </c>
    </row>
    <row r="12" spans="1:12">
      <c r="A12" t="s">
        <v>29</v>
      </c>
      <c r="B12" t="s">
        <v>17</v>
      </c>
      <c r="C12">
        <v>55</v>
      </c>
      <c r="D12">
        <v>2000</v>
      </c>
      <c r="E12">
        <v>1000</v>
      </c>
      <c r="F12">
        <v>30</v>
      </c>
      <c r="G12" t="s">
        <v>18</v>
      </c>
      <c r="H12" t="s">
        <v>25</v>
      </c>
      <c r="I12" t="s">
        <v>20</v>
      </c>
      <c r="J12" t="str">
        <f t="shared" si="0"/>
        <v>"07151208_2148"</v>
      </c>
      <c r="K12" s="1">
        <f t="shared" si="1"/>
        <v>42346.908333333333</v>
      </c>
    </row>
    <row r="13" spans="1:12">
      <c r="A13" t="s">
        <v>30</v>
      </c>
      <c r="B13" t="s">
        <v>17</v>
      </c>
      <c r="C13">
        <v>55</v>
      </c>
      <c r="D13">
        <v>2000</v>
      </c>
      <c r="E13">
        <v>1000</v>
      </c>
      <c r="F13">
        <v>30</v>
      </c>
      <c r="G13" t="s">
        <v>18</v>
      </c>
      <c r="H13" t="s">
        <v>19</v>
      </c>
      <c r="I13" t="s">
        <v>20</v>
      </c>
      <c r="J13" t="str">
        <f t="shared" si="0"/>
        <v>"07151208_2248"</v>
      </c>
      <c r="K13" s="1">
        <f t="shared" si="1"/>
        <v>42346.95</v>
      </c>
    </row>
    <row r="14" spans="1:12">
      <c r="A14" t="s">
        <v>31</v>
      </c>
      <c r="B14" t="s">
        <v>17</v>
      </c>
      <c r="C14">
        <v>55</v>
      </c>
      <c r="D14">
        <v>2000</v>
      </c>
      <c r="E14">
        <v>1000</v>
      </c>
      <c r="F14">
        <v>30</v>
      </c>
      <c r="G14" t="s">
        <v>18</v>
      </c>
      <c r="H14" t="s">
        <v>25</v>
      </c>
      <c r="I14" t="s">
        <v>20</v>
      </c>
      <c r="J14" t="str">
        <f t="shared" si="0"/>
        <v>"07151208_2348"</v>
      </c>
      <c r="K14" s="1">
        <f t="shared" si="1"/>
        <v>42346.991666666669</v>
      </c>
    </row>
    <row r="15" spans="1:12">
      <c r="A15" t="s">
        <v>32</v>
      </c>
      <c r="B15" t="s">
        <v>17</v>
      </c>
      <c r="C15">
        <v>55</v>
      </c>
      <c r="D15">
        <v>2000</v>
      </c>
      <c r="E15">
        <v>1000</v>
      </c>
      <c r="F15">
        <v>30</v>
      </c>
      <c r="G15" t="s">
        <v>18</v>
      </c>
      <c r="H15" t="s">
        <v>19</v>
      </c>
      <c r="I15" t="s">
        <v>20</v>
      </c>
      <c r="J15" t="str">
        <f t="shared" si="0"/>
        <v>"07151209_0048"</v>
      </c>
      <c r="K15" s="1">
        <f t="shared" si="1"/>
        <v>42347.033333333333</v>
      </c>
    </row>
    <row r="16" spans="1:12">
      <c r="A16" t="s">
        <v>33</v>
      </c>
      <c r="B16" t="s">
        <v>17</v>
      </c>
      <c r="C16">
        <v>55</v>
      </c>
      <c r="D16">
        <v>2000</v>
      </c>
      <c r="E16">
        <v>1000</v>
      </c>
      <c r="F16">
        <v>30</v>
      </c>
      <c r="G16" t="s">
        <v>18</v>
      </c>
      <c r="H16" t="s">
        <v>25</v>
      </c>
      <c r="I16" t="s">
        <v>20</v>
      </c>
      <c r="J16" t="str">
        <f t="shared" si="0"/>
        <v>"07151209_0147"</v>
      </c>
      <c r="K16" s="1">
        <f t="shared" si="1"/>
        <v>42347.074305555558</v>
      </c>
    </row>
    <row r="17" spans="1:11">
      <c r="A17" t="s">
        <v>34</v>
      </c>
      <c r="B17" t="s">
        <v>17</v>
      </c>
      <c r="C17">
        <v>55</v>
      </c>
      <c r="D17">
        <v>2000</v>
      </c>
      <c r="E17">
        <v>1000</v>
      </c>
      <c r="F17">
        <v>30</v>
      </c>
      <c r="G17" t="s">
        <v>18</v>
      </c>
      <c r="H17" t="s">
        <v>19</v>
      </c>
      <c r="I17" t="s">
        <v>20</v>
      </c>
      <c r="J17" t="str">
        <f t="shared" si="0"/>
        <v>"07151209_0250"</v>
      </c>
      <c r="K17" s="1">
        <f t="shared" si="1"/>
        <v>42347.118055555555</v>
      </c>
    </row>
    <row r="18" spans="1:11">
      <c r="A18" t="s">
        <v>35</v>
      </c>
      <c r="B18" t="s">
        <v>17</v>
      </c>
      <c r="C18">
        <v>55</v>
      </c>
      <c r="D18">
        <v>2000</v>
      </c>
      <c r="E18">
        <v>1000</v>
      </c>
      <c r="F18">
        <v>30</v>
      </c>
      <c r="G18" t="s">
        <v>18</v>
      </c>
      <c r="H18" t="s">
        <v>25</v>
      </c>
      <c r="I18" t="s">
        <v>20</v>
      </c>
      <c r="J18" t="str">
        <f t="shared" si="0"/>
        <v>"07151209_0350"</v>
      </c>
      <c r="K18" s="1">
        <f t="shared" si="1"/>
        <v>42347.159722222219</v>
      </c>
    </row>
    <row r="19" spans="1:11">
      <c r="A19" t="s">
        <v>36</v>
      </c>
      <c r="B19" t="s">
        <v>17</v>
      </c>
      <c r="C19">
        <v>55</v>
      </c>
      <c r="D19">
        <v>2000</v>
      </c>
      <c r="E19">
        <v>1000</v>
      </c>
      <c r="F19">
        <v>30</v>
      </c>
      <c r="G19" t="s">
        <v>18</v>
      </c>
      <c r="H19" t="s">
        <v>19</v>
      </c>
      <c r="I19" t="s">
        <v>20</v>
      </c>
      <c r="J19" t="str">
        <f t="shared" si="0"/>
        <v>"07151209_0451"</v>
      </c>
      <c r="K19" s="1">
        <f t="shared" si="1"/>
        <v>42347.20208333333</v>
      </c>
    </row>
    <row r="20" spans="1:11">
      <c r="A20" t="s">
        <v>37</v>
      </c>
      <c r="B20" t="s">
        <v>17</v>
      </c>
      <c r="C20">
        <v>55</v>
      </c>
      <c r="D20">
        <v>2000</v>
      </c>
      <c r="E20">
        <v>1000</v>
      </c>
      <c r="F20">
        <v>30</v>
      </c>
      <c r="G20" t="s">
        <v>18</v>
      </c>
      <c r="H20" t="s">
        <v>25</v>
      </c>
      <c r="I20" t="s">
        <v>20</v>
      </c>
      <c r="J20" t="str">
        <f t="shared" si="0"/>
        <v>"07151209_0550"</v>
      </c>
      <c r="K20" s="1">
        <f t="shared" si="1"/>
        <v>42347.243055555555</v>
      </c>
    </row>
    <row r="21" spans="1:11">
      <c r="A21" t="s">
        <v>38</v>
      </c>
      <c r="B21" t="s">
        <v>17</v>
      </c>
      <c r="C21">
        <v>55</v>
      </c>
      <c r="D21">
        <v>2000</v>
      </c>
      <c r="E21">
        <v>1000</v>
      </c>
      <c r="F21">
        <v>30</v>
      </c>
      <c r="G21" t="s">
        <v>18</v>
      </c>
      <c r="H21" t="s">
        <v>19</v>
      </c>
      <c r="I21" t="s">
        <v>20</v>
      </c>
      <c r="J21" t="str">
        <f t="shared" si="0"/>
        <v>"07151209_0651"</v>
      </c>
      <c r="K21" s="1">
        <f t="shared" si="1"/>
        <v>42347.285416666666</v>
      </c>
    </row>
    <row r="22" spans="1:11">
      <c r="A22" t="s">
        <v>39</v>
      </c>
      <c r="B22" t="s">
        <v>17</v>
      </c>
      <c r="C22">
        <v>55</v>
      </c>
      <c r="D22">
        <v>2000</v>
      </c>
      <c r="E22">
        <v>1000</v>
      </c>
      <c r="F22">
        <v>30</v>
      </c>
      <c r="G22" t="s">
        <v>18</v>
      </c>
      <c r="H22" t="s">
        <v>25</v>
      </c>
      <c r="I22" t="s">
        <v>20</v>
      </c>
      <c r="J22" t="str">
        <f t="shared" si="0"/>
        <v>"07151209_0750"</v>
      </c>
      <c r="K22" s="1">
        <f t="shared" si="1"/>
        <v>42347.326388888891</v>
      </c>
    </row>
    <row r="23" spans="1:11">
      <c r="A23" t="s">
        <v>92</v>
      </c>
      <c r="B23" t="s">
        <v>17</v>
      </c>
      <c r="C23">
        <v>55</v>
      </c>
      <c r="D23" t="s">
        <v>41</v>
      </c>
      <c r="E23">
        <v>1000</v>
      </c>
      <c r="F23">
        <v>31</v>
      </c>
      <c r="G23" t="s">
        <v>18</v>
      </c>
      <c r="H23" t="s">
        <v>46</v>
      </c>
      <c r="I23" t="s">
        <v>20</v>
      </c>
      <c r="J23" t="str">
        <f t="shared" si="0"/>
        <v>"07151209_1516"</v>
      </c>
      <c r="K23" s="1">
        <f t="shared" si="1"/>
        <v>42347.636111111111</v>
      </c>
    </row>
    <row r="24" spans="1:11">
      <c r="A24" t="s">
        <v>93</v>
      </c>
      <c r="B24" t="s">
        <v>17</v>
      </c>
      <c r="C24">
        <v>55</v>
      </c>
      <c r="D24" t="s">
        <v>41</v>
      </c>
      <c r="E24">
        <v>1000</v>
      </c>
      <c r="F24">
        <v>31</v>
      </c>
      <c r="G24" t="s">
        <v>18</v>
      </c>
      <c r="H24" t="s">
        <v>46</v>
      </c>
      <c r="I24" t="s">
        <v>20</v>
      </c>
      <c r="J24" t="str">
        <f t="shared" si="0"/>
        <v>"07151209_1613"</v>
      </c>
      <c r="K24" s="1">
        <f t="shared" si="1"/>
        <v>42347.675694444442</v>
      </c>
    </row>
    <row r="25" spans="1:11">
      <c r="A25" t="s">
        <v>94</v>
      </c>
      <c r="B25" t="s">
        <v>17</v>
      </c>
      <c r="C25">
        <v>55</v>
      </c>
      <c r="D25" t="s">
        <v>41</v>
      </c>
      <c r="E25">
        <v>1000</v>
      </c>
      <c r="F25">
        <v>31</v>
      </c>
      <c r="G25" t="s">
        <v>18</v>
      </c>
      <c r="H25" t="s">
        <v>46</v>
      </c>
      <c r="I25" t="s">
        <v>20</v>
      </c>
      <c r="J25" t="str">
        <f t="shared" si="0"/>
        <v>"07151209_1728"</v>
      </c>
      <c r="K25" s="1">
        <f t="shared" si="1"/>
        <v>42347.727777777778</v>
      </c>
    </row>
    <row r="26" spans="1:11">
      <c r="A26" t="s">
        <v>95</v>
      </c>
      <c r="B26" t="s">
        <v>17</v>
      </c>
      <c r="C26">
        <v>55</v>
      </c>
      <c r="D26" t="s">
        <v>41</v>
      </c>
      <c r="E26">
        <v>1000</v>
      </c>
      <c r="F26">
        <v>31</v>
      </c>
      <c r="G26" t="s">
        <v>18</v>
      </c>
      <c r="H26" t="s">
        <v>46</v>
      </c>
      <c r="I26" t="s">
        <v>20</v>
      </c>
      <c r="J26" t="str">
        <f t="shared" si="0"/>
        <v>"07151209_1824"</v>
      </c>
      <c r="K26" s="1">
        <f t="shared" si="1"/>
        <v>42347.76666666667</v>
      </c>
    </row>
    <row r="27" spans="1:11">
      <c r="A27" t="s">
        <v>96</v>
      </c>
      <c r="B27" t="s">
        <v>17</v>
      </c>
      <c r="C27">
        <v>55</v>
      </c>
      <c r="D27" t="s">
        <v>41</v>
      </c>
      <c r="E27">
        <v>1000</v>
      </c>
      <c r="F27">
        <v>31</v>
      </c>
      <c r="G27" t="s">
        <v>18</v>
      </c>
      <c r="H27" t="s">
        <v>46</v>
      </c>
      <c r="I27" t="s">
        <v>20</v>
      </c>
      <c r="J27" t="str">
        <f t="shared" si="0"/>
        <v>"07151209_1921"</v>
      </c>
      <c r="K27" s="1">
        <f t="shared" si="1"/>
        <v>42347.806250000001</v>
      </c>
    </row>
    <row r="28" spans="1:11">
      <c r="A28" t="s">
        <v>97</v>
      </c>
      <c r="B28" t="s">
        <v>17</v>
      </c>
      <c r="C28">
        <v>55</v>
      </c>
      <c r="D28" t="s">
        <v>41</v>
      </c>
      <c r="E28">
        <v>1000</v>
      </c>
      <c r="F28">
        <v>31</v>
      </c>
      <c r="G28" t="s">
        <v>18</v>
      </c>
      <c r="H28" t="s">
        <v>46</v>
      </c>
      <c r="I28" t="s">
        <v>20</v>
      </c>
      <c r="J28" t="str">
        <f t="shared" si="0"/>
        <v>"07151209_2018"</v>
      </c>
      <c r="K28" s="1">
        <f t="shared" si="1"/>
        <v>42347.845833333333</v>
      </c>
    </row>
    <row r="29" spans="1:11">
      <c r="A29" t="s">
        <v>98</v>
      </c>
      <c r="B29" t="s">
        <v>17</v>
      </c>
      <c r="C29">
        <v>55</v>
      </c>
      <c r="D29" t="s">
        <v>41</v>
      </c>
      <c r="E29">
        <v>1000</v>
      </c>
      <c r="F29">
        <v>31</v>
      </c>
      <c r="G29" t="s">
        <v>18</v>
      </c>
      <c r="H29" t="s">
        <v>46</v>
      </c>
      <c r="I29" t="s">
        <v>20</v>
      </c>
      <c r="J29" t="str">
        <f t="shared" si="0"/>
        <v>"07151209_2114"</v>
      </c>
      <c r="K29" s="1">
        <f t="shared" si="1"/>
        <v>42347.884722222225</v>
      </c>
    </row>
    <row r="30" spans="1:11">
      <c r="A30" t="s">
        <v>99</v>
      </c>
      <c r="B30" t="s">
        <v>17</v>
      </c>
      <c r="C30">
        <v>55</v>
      </c>
      <c r="D30" t="s">
        <v>41</v>
      </c>
      <c r="E30">
        <v>1000</v>
      </c>
      <c r="F30">
        <v>31</v>
      </c>
      <c r="G30" t="s">
        <v>18</v>
      </c>
      <c r="H30" t="s">
        <v>46</v>
      </c>
      <c r="I30" t="s">
        <v>20</v>
      </c>
      <c r="J30" t="str">
        <f t="shared" si="0"/>
        <v>"07151209_2211"</v>
      </c>
      <c r="K30" s="1">
        <f t="shared" si="1"/>
        <v>42347.924305555556</v>
      </c>
    </row>
    <row r="31" spans="1:11">
      <c r="A31" t="s">
        <v>100</v>
      </c>
      <c r="B31" t="s">
        <v>17</v>
      </c>
      <c r="C31">
        <v>55</v>
      </c>
      <c r="D31" t="s">
        <v>41</v>
      </c>
      <c r="E31">
        <v>1000</v>
      </c>
      <c r="F31">
        <v>31</v>
      </c>
      <c r="G31" t="s">
        <v>18</v>
      </c>
      <c r="H31" t="s">
        <v>46</v>
      </c>
      <c r="I31" t="s">
        <v>20</v>
      </c>
      <c r="J31" t="str">
        <f t="shared" si="0"/>
        <v>"07151209_2308"</v>
      </c>
      <c r="K31" s="1">
        <f t="shared" si="1"/>
        <v>42347.963888888888</v>
      </c>
    </row>
    <row r="32" spans="1:11">
      <c r="A32" t="s">
        <v>101</v>
      </c>
      <c r="B32" t="s">
        <v>17</v>
      </c>
      <c r="C32">
        <v>55</v>
      </c>
      <c r="D32" t="s">
        <v>41</v>
      </c>
      <c r="E32">
        <v>1000</v>
      </c>
      <c r="F32">
        <v>31</v>
      </c>
      <c r="G32" t="s">
        <v>18</v>
      </c>
      <c r="H32" t="s">
        <v>46</v>
      </c>
      <c r="I32" t="s">
        <v>20</v>
      </c>
      <c r="J32" t="str">
        <f t="shared" si="0"/>
        <v>"07151210_0005"</v>
      </c>
      <c r="K32" s="1">
        <f t="shared" si="1"/>
        <v>42348.003472222219</v>
      </c>
    </row>
    <row r="33" spans="1:11">
      <c r="A33" t="s">
        <v>102</v>
      </c>
      <c r="B33" t="s">
        <v>17</v>
      </c>
      <c r="C33">
        <v>55</v>
      </c>
      <c r="D33" t="s">
        <v>41</v>
      </c>
      <c r="E33">
        <v>1000</v>
      </c>
      <c r="F33">
        <v>31</v>
      </c>
      <c r="G33" t="s">
        <v>18</v>
      </c>
      <c r="H33" t="s">
        <v>46</v>
      </c>
      <c r="I33" t="s">
        <v>20</v>
      </c>
      <c r="J33" t="str">
        <f t="shared" si="0"/>
        <v>"07151210_0101"</v>
      </c>
      <c r="K33" s="1">
        <f t="shared" si="1"/>
        <v>42348.042361111111</v>
      </c>
    </row>
    <row r="34" spans="1:11">
      <c r="A34" t="s">
        <v>103</v>
      </c>
      <c r="B34" t="s">
        <v>17</v>
      </c>
      <c r="C34">
        <v>55</v>
      </c>
      <c r="D34" t="s">
        <v>41</v>
      </c>
      <c r="E34">
        <v>1000</v>
      </c>
      <c r="F34">
        <v>31</v>
      </c>
      <c r="G34" t="s">
        <v>18</v>
      </c>
      <c r="H34" t="s">
        <v>46</v>
      </c>
      <c r="I34" t="s">
        <v>20</v>
      </c>
      <c r="J34" t="str">
        <f t="shared" si="0"/>
        <v>"07151210_0158"</v>
      </c>
      <c r="K34" s="1">
        <f t="shared" si="1"/>
        <v>42348.081944444442</v>
      </c>
    </row>
    <row r="35" spans="1:11">
      <c r="A35" t="s">
        <v>104</v>
      </c>
      <c r="B35" t="s">
        <v>17</v>
      </c>
      <c r="C35">
        <v>55</v>
      </c>
      <c r="D35" t="s">
        <v>41</v>
      </c>
      <c r="E35">
        <v>1000</v>
      </c>
      <c r="F35">
        <v>31</v>
      </c>
      <c r="G35" t="s">
        <v>18</v>
      </c>
      <c r="H35" t="s">
        <v>46</v>
      </c>
      <c r="I35" t="s">
        <v>20</v>
      </c>
      <c r="J35" t="str">
        <f t="shared" si="0"/>
        <v>"07151210_0255"</v>
      </c>
      <c r="K35" s="1">
        <f t="shared" si="1"/>
        <v>42348.121527777781</v>
      </c>
    </row>
    <row r="36" spans="1:11">
      <c r="A36" t="s">
        <v>105</v>
      </c>
      <c r="B36" t="s">
        <v>17</v>
      </c>
      <c r="C36">
        <v>55</v>
      </c>
      <c r="D36" t="s">
        <v>41</v>
      </c>
      <c r="E36">
        <v>1000</v>
      </c>
      <c r="F36">
        <v>31</v>
      </c>
      <c r="G36" t="s">
        <v>18</v>
      </c>
      <c r="H36" t="s">
        <v>46</v>
      </c>
      <c r="I36" t="s">
        <v>20</v>
      </c>
      <c r="J36" t="str">
        <f t="shared" si="0"/>
        <v>"07151210_0351"</v>
      </c>
      <c r="K36" s="1">
        <f t="shared" si="1"/>
        <v>42348.160416666666</v>
      </c>
    </row>
    <row r="37" spans="1:11">
      <c r="A37" t="s">
        <v>69</v>
      </c>
      <c r="B37" t="s">
        <v>17</v>
      </c>
      <c r="C37">
        <v>55</v>
      </c>
      <c r="D37" t="s">
        <v>41</v>
      </c>
      <c r="E37">
        <v>1000</v>
      </c>
      <c r="F37">
        <v>10</v>
      </c>
      <c r="G37" t="s">
        <v>18</v>
      </c>
      <c r="H37" t="s">
        <v>46</v>
      </c>
      <c r="I37" t="s">
        <v>20</v>
      </c>
      <c r="J37" t="str">
        <f t="shared" ref="J37:J68" si="2">""""&amp;A37&amp;""""</f>
        <v>"07151210_1319"</v>
      </c>
      <c r="K37" s="1">
        <f t="shared" ref="K37:K68" si="3">DATE(2000+MID(A37,3,2),MID(A37,5,2),MID(A37,7,2))+TIME(MID(A37,10,2),MID(A37,12,2),0)</f>
        <v>42348.554861111108</v>
      </c>
    </row>
    <row r="38" spans="1:11">
      <c r="A38" t="s">
        <v>74</v>
      </c>
      <c r="B38" t="s">
        <v>17</v>
      </c>
      <c r="C38">
        <v>55</v>
      </c>
      <c r="D38" t="s">
        <v>41</v>
      </c>
      <c r="E38">
        <v>1000</v>
      </c>
      <c r="F38">
        <v>4</v>
      </c>
      <c r="G38" t="s">
        <v>18</v>
      </c>
      <c r="H38" t="s">
        <v>46</v>
      </c>
      <c r="I38" t="s">
        <v>20</v>
      </c>
      <c r="J38" t="str">
        <f t="shared" si="2"/>
        <v>"07151210_1644"</v>
      </c>
      <c r="K38" s="1">
        <f t="shared" si="3"/>
        <v>42348.697222222225</v>
      </c>
    </row>
    <row r="39" spans="1:11">
      <c r="A39" t="s">
        <v>82</v>
      </c>
      <c r="B39" t="s">
        <v>17</v>
      </c>
      <c r="C39">
        <v>55</v>
      </c>
      <c r="D39" t="s">
        <v>41</v>
      </c>
      <c r="E39">
        <v>1000</v>
      </c>
      <c r="F39">
        <v>28</v>
      </c>
      <c r="G39" t="s">
        <v>18</v>
      </c>
      <c r="H39" t="s">
        <v>55</v>
      </c>
      <c r="I39" t="s">
        <v>20</v>
      </c>
      <c r="J39" t="str">
        <f t="shared" si="2"/>
        <v>"07151210_1703"</v>
      </c>
      <c r="K39" s="1">
        <f t="shared" si="3"/>
        <v>42348.710416666669</v>
      </c>
    </row>
    <row r="40" spans="1:11">
      <c r="A40" t="s">
        <v>83</v>
      </c>
      <c r="B40" t="s">
        <v>17</v>
      </c>
      <c r="C40">
        <v>55</v>
      </c>
      <c r="D40" t="s">
        <v>41</v>
      </c>
      <c r="E40">
        <v>1000</v>
      </c>
      <c r="F40">
        <v>31</v>
      </c>
      <c r="G40" t="s">
        <v>18</v>
      </c>
      <c r="H40" t="s">
        <v>55</v>
      </c>
      <c r="I40" t="s">
        <v>20</v>
      </c>
      <c r="J40" t="str">
        <f t="shared" si="2"/>
        <v>"07151210_1906"</v>
      </c>
      <c r="K40" s="1">
        <f t="shared" si="3"/>
        <v>42348.79583333333</v>
      </c>
    </row>
    <row r="41" spans="1:11">
      <c r="A41" t="s">
        <v>125</v>
      </c>
      <c r="B41" t="s">
        <v>17</v>
      </c>
      <c r="C41">
        <v>55</v>
      </c>
      <c r="D41" t="s">
        <v>41</v>
      </c>
      <c r="E41">
        <v>1000</v>
      </c>
      <c r="F41">
        <v>31</v>
      </c>
      <c r="G41" t="s">
        <v>18</v>
      </c>
      <c r="H41" t="s">
        <v>55</v>
      </c>
      <c r="I41" t="s">
        <v>20</v>
      </c>
      <c r="J41" t="str">
        <f t="shared" si="2"/>
        <v>"07151210_2003"</v>
      </c>
      <c r="K41" s="1">
        <f t="shared" si="3"/>
        <v>42348.835416666669</v>
      </c>
    </row>
    <row r="42" spans="1:11">
      <c r="A42" t="s">
        <v>126</v>
      </c>
      <c r="B42" t="s">
        <v>17</v>
      </c>
      <c r="C42">
        <v>55</v>
      </c>
      <c r="D42" t="s">
        <v>41</v>
      </c>
      <c r="E42">
        <v>1000</v>
      </c>
      <c r="F42">
        <v>31</v>
      </c>
      <c r="G42" t="s">
        <v>18</v>
      </c>
      <c r="H42" t="s">
        <v>55</v>
      </c>
      <c r="I42" t="s">
        <v>20</v>
      </c>
      <c r="J42" t="str">
        <f t="shared" si="2"/>
        <v>"07151210_2059"</v>
      </c>
      <c r="K42" s="1">
        <f t="shared" si="3"/>
        <v>42348.874305555553</v>
      </c>
    </row>
    <row r="43" spans="1:11">
      <c r="A43" t="s">
        <v>127</v>
      </c>
      <c r="B43" t="s">
        <v>17</v>
      </c>
      <c r="C43">
        <v>55</v>
      </c>
      <c r="D43" t="s">
        <v>41</v>
      </c>
      <c r="E43">
        <v>1000</v>
      </c>
      <c r="F43">
        <v>31</v>
      </c>
      <c r="G43" t="s">
        <v>18</v>
      </c>
      <c r="H43" t="s">
        <v>55</v>
      </c>
      <c r="I43" t="s">
        <v>20</v>
      </c>
      <c r="J43" t="str">
        <f t="shared" si="2"/>
        <v>"07151210_2156"</v>
      </c>
      <c r="K43" s="1">
        <f t="shared" si="3"/>
        <v>42348.913888888892</v>
      </c>
    </row>
    <row r="44" spans="1:11">
      <c r="A44" t="s">
        <v>128</v>
      </c>
      <c r="B44" t="s">
        <v>17</v>
      </c>
      <c r="C44">
        <v>55</v>
      </c>
      <c r="D44" t="s">
        <v>41</v>
      </c>
      <c r="E44">
        <v>1000</v>
      </c>
      <c r="F44">
        <v>31</v>
      </c>
      <c r="G44" t="s">
        <v>18</v>
      </c>
      <c r="H44" t="s">
        <v>55</v>
      </c>
      <c r="I44" t="s">
        <v>20</v>
      </c>
      <c r="J44" t="str">
        <f t="shared" si="2"/>
        <v>"07151210_2253"</v>
      </c>
      <c r="K44" s="1">
        <f t="shared" si="3"/>
        <v>42348.953472222223</v>
      </c>
    </row>
    <row r="45" spans="1:11">
      <c r="A45" t="s">
        <v>129</v>
      </c>
      <c r="B45" t="s">
        <v>17</v>
      </c>
      <c r="C45">
        <v>55</v>
      </c>
      <c r="D45" t="s">
        <v>41</v>
      </c>
      <c r="E45">
        <v>1000</v>
      </c>
      <c r="F45">
        <v>31</v>
      </c>
      <c r="G45" t="s">
        <v>18</v>
      </c>
      <c r="H45" t="s">
        <v>55</v>
      </c>
      <c r="I45" t="s">
        <v>20</v>
      </c>
      <c r="J45" t="str">
        <f t="shared" si="2"/>
        <v>"07151210_2349"</v>
      </c>
      <c r="K45" s="1">
        <f t="shared" si="3"/>
        <v>42348.992361111108</v>
      </c>
    </row>
    <row r="46" spans="1:11">
      <c r="A46" t="s">
        <v>130</v>
      </c>
      <c r="B46" t="s">
        <v>17</v>
      </c>
      <c r="C46">
        <v>55</v>
      </c>
      <c r="D46" t="s">
        <v>41</v>
      </c>
      <c r="E46">
        <v>1000</v>
      </c>
      <c r="F46">
        <v>31</v>
      </c>
      <c r="G46" t="s">
        <v>18</v>
      </c>
      <c r="H46" t="s">
        <v>55</v>
      </c>
      <c r="I46" t="s">
        <v>20</v>
      </c>
      <c r="J46" t="str">
        <f t="shared" si="2"/>
        <v>"07151211_0046"</v>
      </c>
      <c r="K46" s="1">
        <f t="shared" si="3"/>
        <v>42349.031944444447</v>
      </c>
    </row>
    <row r="47" spans="1:11">
      <c r="A47" t="s">
        <v>131</v>
      </c>
      <c r="B47" t="s">
        <v>17</v>
      </c>
      <c r="C47">
        <v>55</v>
      </c>
      <c r="D47" t="s">
        <v>41</v>
      </c>
      <c r="E47">
        <v>1000</v>
      </c>
      <c r="F47">
        <v>31</v>
      </c>
      <c r="G47" t="s">
        <v>18</v>
      </c>
      <c r="H47" t="s">
        <v>55</v>
      </c>
      <c r="I47" t="s">
        <v>20</v>
      </c>
      <c r="J47" t="str">
        <f t="shared" si="2"/>
        <v>"07151211_0142"</v>
      </c>
      <c r="K47" s="1">
        <f t="shared" si="3"/>
        <v>42349.070833333331</v>
      </c>
    </row>
    <row r="48" spans="1:11">
      <c r="A48" t="s">
        <v>132</v>
      </c>
      <c r="B48" t="s">
        <v>17</v>
      </c>
      <c r="C48">
        <v>55</v>
      </c>
      <c r="D48" t="s">
        <v>41</v>
      </c>
      <c r="E48">
        <v>1000</v>
      </c>
      <c r="F48">
        <v>31</v>
      </c>
      <c r="G48" t="s">
        <v>18</v>
      </c>
      <c r="H48" t="s">
        <v>55</v>
      </c>
      <c r="I48" t="s">
        <v>20</v>
      </c>
      <c r="J48" t="str">
        <f t="shared" si="2"/>
        <v>"07151211_0239"</v>
      </c>
      <c r="K48" s="1">
        <f t="shared" si="3"/>
        <v>42349.11041666667</v>
      </c>
    </row>
    <row r="49" spans="1:11">
      <c r="A49" t="s">
        <v>133</v>
      </c>
      <c r="B49" t="s">
        <v>17</v>
      </c>
      <c r="C49">
        <v>55</v>
      </c>
      <c r="D49" t="s">
        <v>41</v>
      </c>
      <c r="E49">
        <v>1000</v>
      </c>
      <c r="F49">
        <v>31</v>
      </c>
      <c r="G49" t="s">
        <v>18</v>
      </c>
      <c r="H49" t="s">
        <v>55</v>
      </c>
      <c r="I49" t="s">
        <v>20</v>
      </c>
      <c r="J49" t="str">
        <f t="shared" si="2"/>
        <v>"07151211_0336"</v>
      </c>
      <c r="K49" s="1">
        <f t="shared" si="3"/>
        <v>42349.15</v>
      </c>
    </row>
    <row r="50" spans="1:11">
      <c r="A50" t="s">
        <v>134</v>
      </c>
      <c r="B50" t="s">
        <v>17</v>
      </c>
      <c r="C50">
        <v>55</v>
      </c>
      <c r="D50" t="s">
        <v>41</v>
      </c>
      <c r="E50">
        <v>1000</v>
      </c>
      <c r="F50">
        <v>31</v>
      </c>
      <c r="G50" t="s">
        <v>18</v>
      </c>
      <c r="H50" t="s">
        <v>55</v>
      </c>
      <c r="I50" t="s">
        <v>20</v>
      </c>
      <c r="J50" t="str">
        <f t="shared" si="2"/>
        <v>"07151211_0432"</v>
      </c>
      <c r="K50" s="1">
        <f t="shared" si="3"/>
        <v>42349.188888888886</v>
      </c>
    </row>
    <row r="51" spans="1:11">
      <c r="A51" t="s">
        <v>135</v>
      </c>
      <c r="B51" t="s">
        <v>17</v>
      </c>
      <c r="C51">
        <v>55</v>
      </c>
      <c r="D51" t="s">
        <v>41</v>
      </c>
      <c r="E51">
        <v>1000</v>
      </c>
      <c r="F51">
        <v>31</v>
      </c>
      <c r="G51" t="s">
        <v>18</v>
      </c>
      <c r="H51" t="s">
        <v>55</v>
      </c>
      <c r="I51" t="s">
        <v>20</v>
      </c>
      <c r="J51" t="str">
        <f t="shared" si="2"/>
        <v>"07151211_0529"</v>
      </c>
      <c r="K51" s="1">
        <f t="shared" si="3"/>
        <v>42349.228472222225</v>
      </c>
    </row>
    <row r="52" spans="1:11">
      <c r="A52" t="s">
        <v>136</v>
      </c>
      <c r="B52" t="s">
        <v>17</v>
      </c>
      <c r="C52">
        <v>55</v>
      </c>
      <c r="D52" t="s">
        <v>41</v>
      </c>
      <c r="E52">
        <v>1000</v>
      </c>
      <c r="F52">
        <v>31</v>
      </c>
      <c r="G52" t="s">
        <v>18</v>
      </c>
      <c r="H52" t="s">
        <v>55</v>
      </c>
      <c r="I52" t="s">
        <v>20</v>
      </c>
      <c r="J52" t="str">
        <f t="shared" si="2"/>
        <v>"07151211_0626"</v>
      </c>
      <c r="K52" s="1">
        <f t="shared" si="3"/>
        <v>42349.268055555556</v>
      </c>
    </row>
    <row r="53" spans="1:11">
      <c r="A53" t="s">
        <v>137</v>
      </c>
      <c r="B53" t="s">
        <v>17</v>
      </c>
      <c r="C53">
        <v>55</v>
      </c>
      <c r="D53" t="s">
        <v>41</v>
      </c>
      <c r="E53">
        <v>1000</v>
      </c>
      <c r="F53">
        <v>31</v>
      </c>
      <c r="G53" t="s">
        <v>18</v>
      </c>
      <c r="H53" t="s">
        <v>55</v>
      </c>
      <c r="I53" t="s">
        <v>20</v>
      </c>
      <c r="J53" t="str">
        <f t="shared" si="2"/>
        <v>"07151211_0722"</v>
      </c>
      <c r="K53" s="1">
        <f t="shared" si="3"/>
        <v>42349.306944444441</v>
      </c>
    </row>
    <row r="54" spans="1:11">
      <c r="A54" t="s">
        <v>138</v>
      </c>
      <c r="B54" t="s">
        <v>17</v>
      </c>
      <c r="C54">
        <v>55</v>
      </c>
      <c r="D54" t="s">
        <v>41</v>
      </c>
      <c r="E54">
        <v>1000</v>
      </c>
      <c r="F54">
        <v>31</v>
      </c>
      <c r="G54" t="s">
        <v>18</v>
      </c>
      <c r="H54" t="s">
        <v>55</v>
      </c>
      <c r="I54" t="s">
        <v>20</v>
      </c>
      <c r="J54" t="str">
        <f t="shared" si="2"/>
        <v>"07151211_0819"</v>
      </c>
      <c r="K54" s="1">
        <f t="shared" si="3"/>
        <v>42349.34652777778</v>
      </c>
    </row>
    <row r="55" spans="1:11">
      <c r="A55" t="s">
        <v>71</v>
      </c>
      <c r="B55" t="s">
        <v>17</v>
      </c>
      <c r="C55">
        <v>55</v>
      </c>
      <c r="D55" t="s">
        <v>41</v>
      </c>
      <c r="E55">
        <v>1000</v>
      </c>
      <c r="F55">
        <v>34</v>
      </c>
      <c r="G55" t="s">
        <v>65</v>
      </c>
      <c r="H55" t="s">
        <v>46</v>
      </c>
      <c r="I55" t="s">
        <v>20</v>
      </c>
      <c r="J55" t="str">
        <f t="shared" si="2"/>
        <v>"07151211_1052"</v>
      </c>
      <c r="K55" s="1">
        <f t="shared" si="3"/>
        <v>42349.452777777777</v>
      </c>
    </row>
    <row r="56" spans="1:11">
      <c r="A56" t="s">
        <v>72</v>
      </c>
      <c r="B56" t="s">
        <v>17</v>
      </c>
      <c r="C56">
        <v>55</v>
      </c>
      <c r="D56" t="s">
        <v>41</v>
      </c>
      <c r="E56">
        <v>1000</v>
      </c>
      <c r="F56">
        <v>34</v>
      </c>
      <c r="G56" t="s">
        <v>65</v>
      </c>
      <c r="H56" t="s">
        <v>46</v>
      </c>
      <c r="I56" t="s">
        <v>20</v>
      </c>
      <c r="J56" t="str">
        <f t="shared" si="2"/>
        <v>"07151211_1151"</v>
      </c>
      <c r="K56" s="1">
        <f t="shared" si="3"/>
        <v>42349.493750000001</v>
      </c>
    </row>
    <row r="57" spans="1:11">
      <c r="A57" t="s">
        <v>73</v>
      </c>
      <c r="B57" t="s">
        <v>17</v>
      </c>
      <c r="C57">
        <v>55</v>
      </c>
      <c r="D57" t="s">
        <v>41</v>
      </c>
      <c r="E57">
        <v>1000</v>
      </c>
      <c r="F57">
        <v>34</v>
      </c>
      <c r="G57" t="s">
        <v>65</v>
      </c>
      <c r="H57" t="s">
        <v>55</v>
      </c>
      <c r="I57" t="s">
        <v>20</v>
      </c>
      <c r="J57" t="str">
        <f t="shared" si="2"/>
        <v>"07151211_1303"</v>
      </c>
      <c r="K57" s="1">
        <f t="shared" si="3"/>
        <v>42349.543749999997</v>
      </c>
    </row>
    <row r="58" spans="1:11">
      <c r="A58" t="s">
        <v>178</v>
      </c>
      <c r="B58" t="s">
        <v>17</v>
      </c>
      <c r="C58">
        <v>55</v>
      </c>
      <c r="D58" t="s">
        <v>41</v>
      </c>
      <c r="E58">
        <v>1000</v>
      </c>
      <c r="F58">
        <v>31</v>
      </c>
      <c r="G58" t="s">
        <v>65</v>
      </c>
      <c r="H58" t="s">
        <v>55</v>
      </c>
      <c r="I58" t="s">
        <v>20</v>
      </c>
      <c r="J58" t="str">
        <f t="shared" si="2"/>
        <v>"07151211_1416"</v>
      </c>
      <c r="K58" s="1">
        <f t="shared" si="3"/>
        <v>42349.594444444447</v>
      </c>
    </row>
    <row r="59" spans="1:11">
      <c r="A59" t="s">
        <v>76</v>
      </c>
      <c r="B59" t="s">
        <v>17</v>
      </c>
      <c r="C59">
        <v>55</v>
      </c>
      <c r="D59" t="s">
        <v>41</v>
      </c>
      <c r="E59">
        <v>1000</v>
      </c>
      <c r="F59">
        <v>31</v>
      </c>
      <c r="G59" t="s">
        <v>18</v>
      </c>
      <c r="H59" t="s">
        <v>46</v>
      </c>
      <c r="I59" t="s">
        <v>20</v>
      </c>
      <c r="J59" t="str">
        <f t="shared" si="2"/>
        <v>"07151211_1739"</v>
      </c>
      <c r="K59" s="1">
        <f t="shared" si="3"/>
        <v>42349.73541666667</v>
      </c>
    </row>
    <row r="60" spans="1:11">
      <c r="A60" t="s">
        <v>45</v>
      </c>
      <c r="B60" t="s">
        <v>17</v>
      </c>
      <c r="C60">
        <v>55</v>
      </c>
      <c r="D60" t="s">
        <v>41</v>
      </c>
      <c r="E60">
        <v>1000</v>
      </c>
      <c r="F60">
        <v>31</v>
      </c>
      <c r="G60" t="s">
        <v>18</v>
      </c>
      <c r="H60" t="s">
        <v>46</v>
      </c>
      <c r="I60" t="s">
        <v>20</v>
      </c>
      <c r="J60" t="str">
        <f t="shared" si="2"/>
        <v>"07151211_1835"</v>
      </c>
      <c r="K60" s="1">
        <f t="shared" si="3"/>
        <v>42349.774305555555</v>
      </c>
    </row>
    <row r="61" spans="1:11">
      <c r="A61" t="s">
        <v>48</v>
      </c>
      <c r="B61" t="s">
        <v>17</v>
      </c>
      <c r="C61">
        <v>55</v>
      </c>
      <c r="D61" t="s">
        <v>41</v>
      </c>
      <c r="E61">
        <v>1000</v>
      </c>
      <c r="F61">
        <v>31</v>
      </c>
      <c r="G61" t="s">
        <v>18</v>
      </c>
      <c r="H61" t="s">
        <v>46</v>
      </c>
      <c r="I61" t="s">
        <v>20</v>
      </c>
      <c r="J61" t="str">
        <f t="shared" si="2"/>
        <v>"07151211_1932"</v>
      </c>
      <c r="K61" s="1">
        <f t="shared" si="3"/>
        <v>42349.813888888886</v>
      </c>
    </row>
    <row r="62" spans="1:11">
      <c r="A62" t="s">
        <v>194</v>
      </c>
      <c r="B62" t="s">
        <v>17</v>
      </c>
      <c r="C62">
        <v>55</v>
      </c>
      <c r="D62" t="s">
        <v>41</v>
      </c>
      <c r="E62">
        <v>1000</v>
      </c>
      <c r="F62">
        <v>31</v>
      </c>
      <c r="G62" t="s">
        <v>18</v>
      </c>
      <c r="H62" t="s">
        <v>46</v>
      </c>
      <c r="I62" t="s">
        <v>20</v>
      </c>
      <c r="J62" t="str">
        <f t="shared" si="2"/>
        <v>"07151211_2029"</v>
      </c>
      <c r="K62" s="1">
        <f t="shared" si="3"/>
        <v>42349.853472222225</v>
      </c>
    </row>
    <row r="63" spans="1:11">
      <c r="A63" t="s">
        <v>49</v>
      </c>
      <c r="B63" t="s">
        <v>17</v>
      </c>
      <c r="C63">
        <v>55</v>
      </c>
      <c r="D63" t="s">
        <v>41</v>
      </c>
      <c r="E63">
        <v>1000</v>
      </c>
      <c r="F63">
        <v>31</v>
      </c>
      <c r="G63" t="s">
        <v>18</v>
      </c>
      <c r="H63" t="s">
        <v>46</v>
      </c>
      <c r="I63" t="s">
        <v>20</v>
      </c>
      <c r="J63" t="str">
        <f t="shared" si="2"/>
        <v>"07151211_2125"</v>
      </c>
      <c r="K63" s="1">
        <f t="shared" si="3"/>
        <v>42349.892361111109</v>
      </c>
    </row>
    <row r="64" spans="1:11">
      <c r="A64" t="s">
        <v>50</v>
      </c>
      <c r="B64" t="s">
        <v>17</v>
      </c>
      <c r="C64">
        <v>55</v>
      </c>
      <c r="D64" t="s">
        <v>41</v>
      </c>
      <c r="E64">
        <v>1000</v>
      </c>
      <c r="F64">
        <v>31</v>
      </c>
      <c r="G64" t="s">
        <v>18</v>
      </c>
      <c r="H64" t="s">
        <v>46</v>
      </c>
      <c r="I64" t="s">
        <v>20</v>
      </c>
      <c r="J64" t="str">
        <f t="shared" si="2"/>
        <v>"07151211_2222"</v>
      </c>
      <c r="K64" s="1">
        <f t="shared" si="3"/>
        <v>42349.931944444441</v>
      </c>
    </row>
    <row r="65" spans="1:11">
      <c r="A65" t="s">
        <v>51</v>
      </c>
      <c r="B65" t="s">
        <v>17</v>
      </c>
      <c r="C65">
        <v>55</v>
      </c>
      <c r="D65" t="s">
        <v>41</v>
      </c>
      <c r="E65">
        <v>1000</v>
      </c>
      <c r="F65">
        <v>31</v>
      </c>
      <c r="G65" t="s">
        <v>18</v>
      </c>
      <c r="H65" t="s">
        <v>46</v>
      </c>
      <c r="I65" t="s">
        <v>20</v>
      </c>
      <c r="J65" t="str">
        <f t="shared" si="2"/>
        <v>"07151211_2318"</v>
      </c>
      <c r="K65" s="1">
        <f t="shared" si="3"/>
        <v>42349.970833333333</v>
      </c>
    </row>
    <row r="66" spans="1:11">
      <c r="A66" t="s">
        <v>196</v>
      </c>
      <c r="B66" t="s">
        <v>17</v>
      </c>
      <c r="C66">
        <v>55</v>
      </c>
      <c r="D66" t="s">
        <v>41</v>
      </c>
      <c r="E66">
        <v>1000</v>
      </c>
      <c r="F66">
        <v>31</v>
      </c>
      <c r="G66" t="s">
        <v>18</v>
      </c>
      <c r="H66" t="s">
        <v>46</v>
      </c>
      <c r="I66" t="s">
        <v>20</v>
      </c>
      <c r="J66" t="str">
        <f t="shared" si="2"/>
        <v>"07151212_0015"</v>
      </c>
      <c r="K66" s="1">
        <f t="shared" si="3"/>
        <v>42350.010416666664</v>
      </c>
    </row>
    <row r="67" spans="1:11">
      <c r="A67" t="s">
        <v>52</v>
      </c>
      <c r="B67" t="s">
        <v>17</v>
      </c>
      <c r="C67">
        <v>55</v>
      </c>
      <c r="D67" t="s">
        <v>41</v>
      </c>
      <c r="E67">
        <v>1000</v>
      </c>
      <c r="F67">
        <v>31</v>
      </c>
      <c r="G67" t="s">
        <v>18</v>
      </c>
      <c r="H67" t="s">
        <v>46</v>
      </c>
      <c r="I67" t="s">
        <v>20</v>
      </c>
      <c r="J67" t="str">
        <f t="shared" si="2"/>
        <v>"07151212_0112"</v>
      </c>
      <c r="K67" s="1">
        <f t="shared" si="3"/>
        <v>42350.05</v>
      </c>
    </row>
    <row r="68" spans="1:11">
      <c r="A68" t="s">
        <v>53</v>
      </c>
      <c r="B68" t="s">
        <v>17</v>
      </c>
      <c r="C68">
        <v>55</v>
      </c>
      <c r="D68" t="s">
        <v>41</v>
      </c>
      <c r="E68">
        <v>1000</v>
      </c>
      <c r="F68">
        <v>31</v>
      </c>
      <c r="G68" t="s">
        <v>18</v>
      </c>
      <c r="H68" t="s">
        <v>46</v>
      </c>
      <c r="I68" t="s">
        <v>20</v>
      </c>
      <c r="J68" t="str">
        <f t="shared" si="2"/>
        <v>"07151212_0208"</v>
      </c>
      <c r="K68" s="1">
        <f t="shared" si="3"/>
        <v>42350.088888888888</v>
      </c>
    </row>
    <row r="69" spans="1:11">
      <c r="A69" t="s">
        <v>77</v>
      </c>
      <c r="B69" t="s">
        <v>17</v>
      </c>
      <c r="C69">
        <v>55</v>
      </c>
      <c r="D69" t="s">
        <v>41</v>
      </c>
      <c r="E69">
        <v>1000</v>
      </c>
      <c r="F69">
        <v>31</v>
      </c>
      <c r="G69" t="s">
        <v>18</v>
      </c>
      <c r="H69" t="s">
        <v>46</v>
      </c>
      <c r="I69" t="s">
        <v>20</v>
      </c>
      <c r="J69" t="str">
        <f t="shared" ref="J69:J100" si="4">""""&amp;A69&amp;""""</f>
        <v>"07151212_0305"</v>
      </c>
      <c r="K69" s="1">
        <f t="shared" ref="K69:K100" si="5">DATE(2000+MID(A69,3,2),MID(A69,5,2),MID(A69,7,2))+TIME(MID(A69,10,2),MID(A69,12,2),0)</f>
        <v>42350.128472222219</v>
      </c>
    </row>
    <row r="70" spans="1:11">
      <c r="A70" t="s">
        <v>78</v>
      </c>
      <c r="B70" t="s">
        <v>17</v>
      </c>
      <c r="C70">
        <v>55</v>
      </c>
      <c r="D70" t="s">
        <v>41</v>
      </c>
      <c r="E70">
        <v>1000</v>
      </c>
      <c r="F70">
        <v>31</v>
      </c>
      <c r="G70" t="s">
        <v>18</v>
      </c>
      <c r="H70" t="s">
        <v>46</v>
      </c>
      <c r="I70" t="s">
        <v>20</v>
      </c>
      <c r="J70" t="str">
        <f t="shared" si="4"/>
        <v>"07151212_0401"</v>
      </c>
      <c r="K70" s="1">
        <f t="shared" si="5"/>
        <v>42350.167361111111</v>
      </c>
    </row>
    <row r="71" spans="1:11">
      <c r="A71" t="s">
        <v>79</v>
      </c>
      <c r="B71" t="s">
        <v>17</v>
      </c>
      <c r="C71">
        <v>55</v>
      </c>
      <c r="D71" t="s">
        <v>41</v>
      </c>
      <c r="E71">
        <v>1000</v>
      </c>
      <c r="F71">
        <v>31</v>
      </c>
      <c r="G71" t="s">
        <v>18</v>
      </c>
      <c r="H71" t="s">
        <v>46</v>
      </c>
      <c r="I71" t="s">
        <v>20</v>
      </c>
      <c r="J71" t="str">
        <f t="shared" si="4"/>
        <v>"07151212_0458"</v>
      </c>
      <c r="K71" s="1">
        <f t="shared" si="5"/>
        <v>42350.206944444442</v>
      </c>
    </row>
    <row r="72" spans="1:11">
      <c r="A72" t="s">
        <v>80</v>
      </c>
      <c r="B72" t="s">
        <v>17</v>
      </c>
      <c r="C72">
        <v>55</v>
      </c>
      <c r="D72" t="s">
        <v>41</v>
      </c>
      <c r="E72">
        <v>1000</v>
      </c>
      <c r="F72">
        <v>31</v>
      </c>
      <c r="G72" t="s">
        <v>18</v>
      </c>
      <c r="H72" t="s">
        <v>46</v>
      </c>
      <c r="I72" t="s">
        <v>20</v>
      </c>
      <c r="J72" t="str">
        <f t="shared" si="4"/>
        <v>"07151212_0555"</v>
      </c>
      <c r="K72" s="1">
        <f t="shared" si="5"/>
        <v>42350.246527777781</v>
      </c>
    </row>
    <row r="73" spans="1:11">
      <c r="A73" t="s">
        <v>81</v>
      </c>
      <c r="B73" t="s">
        <v>17</v>
      </c>
      <c r="C73">
        <v>55</v>
      </c>
      <c r="D73" t="s">
        <v>41</v>
      </c>
      <c r="E73">
        <v>1000</v>
      </c>
      <c r="F73">
        <v>31</v>
      </c>
      <c r="G73" t="s">
        <v>18</v>
      </c>
      <c r="H73" t="s">
        <v>46</v>
      </c>
      <c r="I73" t="s">
        <v>20</v>
      </c>
      <c r="J73" t="str">
        <f t="shared" si="4"/>
        <v>"07151212_0651"</v>
      </c>
      <c r="K73" s="1">
        <f t="shared" si="5"/>
        <v>42350.285416666666</v>
      </c>
    </row>
    <row r="74" spans="1:11">
      <c r="A74" t="s">
        <v>106</v>
      </c>
      <c r="B74" t="s">
        <v>17</v>
      </c>
      <c r="C74">
        <v>55</v>
      </c>
      <c r="D74" t="s">
        <v>41</v>
      </c>
      <c r="E74">
        <v>1000</v>
      </c>
      <c r="F74">
        <v>31</v>
      </c>
      <c r="G74" t="s">
        <v>18</v>
      </c>
      <c r="H74" t="s">
        <v>46</v>
      </c>
      <c r="I74" t="s">
        <v>20</v>
      </c>
      <c r="J74" t="str">
        <f t="shared" si="4"/>
        <v>"07151212_0748"</v>
      </c>
      <c r="K74" s="1">
        <f t="shared" si="5"/>
        <v>42350.324999999997</v>
      </c>
    </row>
    <row r="75" spans="1:11">
      <c r="A75" t="s">
        <v>107</v>
      </c>
      <c r="B75" t="s">
        <v>17</v>
      </c>
      <c r="C75">
        <v>55</v>
      </c>
      <c r="D75" t="s">
        <v>41</v>
      </c>
      <c r="E75">
        <v>1000</v>
      </c>
      <c r="F75">
        <v>31</v>
      </c>
      <c r="G75" t="s">
        <v>18</v>
      </c>
      <c r="H75" t="s">
        <v>46</v>
      </c>
      <c r="I75" t="s">
        <v>20</v>
      </c>
      <c r="J75" t="str">
        <f t="shared" si="4"/>
        <v>"07151212_0845"</v>
      </c>
      <c r="K75" s="1">
        <f t="shared" si="5"/>
        <v>42350.364583333336</v>
      </c>
    </row>
    <row r="76" spans="1:11">
      <c r="A76" t="s">
        <v>108</v>
      </c>
      <c r="B76" t="s">
        <v>17</v>
      </c>
      <c r="C76">
        <v>55</v>
      </c>
      <c r="D76" t="s">
        <v>41</v>
      </c>
      <c r="E76">
        <v>1000</v>
      </c>
      <c r="F76">
        <v>31</v>
      </c>
      <c r="G76" t="s">
        <v>18</v>
      </c>
      <c r="H76" t="s">
        <v>46</v>
      </c>
      <c r="I76" t="s">
        <v>20</v>
      </c>
      <c r="J76" t="str">
        <f t="shared" si="4"/>
        <v>"07151212_0941"</v>
      </c>
      <c r="K76" s="1">
        <f t="shared" si="5"/>
        <v>42350.40347222222</v>
      </c>
    </row>
    <row r="77" spans="1:11">
      <c r="A77" t="s">
        <v>109</v>
      </c>
      <c r="B77" t="s">
        <v>17</v>
      </c>
      <c r="C77">
        <v>55</v>
      </c>
      <c r="D77" t="s">
        <v>41</v>
      </c>
      <c r="E77">
        <v>1000</v>
      </c>
      <c r="F77">
        <v>31</v>
      </c>
      <c r="G77" t="s">
        <v>18</v>
      </c>
      <c r="H77" t="s">
        <v>46</v>
      </c>
      <c r="I77" t="s">
        <v>20</v>
      </c>
      <c r="J77" t="str">
        <f t="shared" si="4"/>
        <v>"07151212_1038"</v>
      </c>
      <c r="K77" s="1">
        <f t="shared" si="5"/>
        <v>42350.443055555559</v>
      </c>
    </row>
    <row r="78" spans="1:11">
      <c r="A78" t="s">
        <v>110</v>
      </c>
      <c r="B78" t="s">
        <v>17</v>
      </c>
      <c r="C78">
        <v>55</v>
      </c>
      <c r="D78" t="s">
        <v>41</v>
      </c>
      <c r="E78">
        <v>1000</v>
      </c>
      <c r="F78">
        <v>31</v>
      </c>
      <c r="G78" t="s">
        <v>18</v>
      </c>
      <c r="H78" t="s">
        <v>46</v>
      </c>
      <c r="I78" t="s">
        <v>20</v>
      </c>
      <c r="J78" t="str">
        <f t="shared" si="4"/>
        <v>"07151212_1135"</v>
      </c>
      <c r="K78" s="1">
        <f t="shared" si="5"/>
        <v>42350.482638888891</v>
      </c>
    </row>
    <row r="79" spans="1:11">
      <c r="A79" t="s">
        <v>111</v>
      </c>
      <c r="B79" t="s">
        <v>17</v>
      </c>
      <c r="C79">
        <v>55</v>
      </c>
      <c r="D79" t="s">
        <v>41</v>
      </c>
      <c r="E79">
        <v>1000</v>
      </c>
      <c r="F79">
        <v>31</v>
      </c>
      <c r="G79" t="s">
        <v>18</v>
      </c>
      <c r="H79" t="s">
        <v>46</v>
      </c>
      <c r="I79" t="s">
        <v>20</v>
      </c>
      <c r="J79" t="str">
        <f t="shared" si="4"/>
        <v>"07151212_1231"</v>
      </c>
      <c r="K79" s="1">
        <f t="shared" si="5"/>
        <v>42350.521527777775</v>
      </c>
    </row>
    <row r="80" spans="1:11">
      <c r="A80" t="s">
        <v>112</v>
      </c>
      <c r="B80" t="s">
        <v>17</v>
      </c>
      <c r="C80">
        <v>55</v>
      </c>
      <c r="D80" t="s">
        <v>41</v>
      </c>
      <c r="E80">
        <v>1000</v>
      </c>
      <c r="F80">
        <v>31</v>
      </c>
      <c r="G80" t="s">
        <v>18</v>
      </c>
      <c r="H80" t="s">
        <v>46</v>
      </c>
      <c r="I80" t="s">
        <v>20</v>
      </c>
      <c r="J80" t="str">
        <f t="shared" si="4"/>
        <v>"07151212_1328"</v>
      </c>
      <c r="K80" s="1">
        <f t="shared" si="5"/>
        <v>42350.561111111114</v>
      </c>
    </row>
    <row r="81" spans="1:11">
      <c r="A81" t="s">
        <v>113</v>
      </c>
      <c r="B81" t="s">
        <v>17</v>
      </c>
      <c r="C81">
        <v>55</v>
      </c>
      <c r="D81" t="s">
        <v>41</v>
      </c>
      <c r="E81">
        <v>1000</v>
      </c>
      <c r="F81">
        <v>31</v>
      </c>
      <c r="G81" t="s">
        <v>18</v>
      </c>
      <c r="H81" t="s">
        <v>46</v>
      </c>
      <c r="I81" t="s">
        <v>20</v>
      </c>
      <c r="J81" t="str">
        <f t="shared" si="4"/>
        <v>"07151212_1424"</v>
      </c>
      <c r="K81" s="1">
        <f t="shared" si="5"/>
        <v>42350.6</v>
      </c>
    </row>
    <row r="82" spans="1:11">
      <c r="A82" t="s">
        <v>114</v>
      </c>
      <c r="B82" t="s">
        <v>17</v>
      </c>
      <c r="C82">
        <v>55</v>
      </c>
      <c r="D82" t="s">
        <v>41</v>
      </c>
      <c r="E82">
        <v>1000</v>
      </c>
      <c r="F82">
        <v>31</v>
      </c>
      <c r="G82" t="s">
        <v>18</v>
      </c>
      <c r="H82" t="s">
        <v>46</v>
      </c>
      <c r="I82" t="s">
        <v>20</v>
      </c>
      <c r="J82" t="str">
        <f t="shared" si="4"/>
        <v>"07151212_1521"</v>
      </c>
      <c r="K82" s="1">
        <f t="shared" si="5"/>
        <v>42350.63958333333</v>
      </c>
    </row>
    <row r="83" spans="1:11">
      <c r="A83" t="s">
        <v>115</v>
      </c>
      <c r="B83" t="s">
        <v>17</v>
      </c>
      <c r="C83">
        <v>55</v>
      </c>
      <c r="D83" t="s">
        <v>41</v>
      </c>
      <c r="E83">
        <v>1000</v>
      </c>
      <c r="F83">
        <v>31</v>
      </c>
      <c r="G83" t="s">
        <v>18</v>
      </c>
      <c r="H83" t="s">
        <v>46</v>
      </c>
      <c r="I83" t="s">
        <v>20</v>
      </c>
      <c r="J83" t="str">
        <f t="shared" si="4"/>
        <v>"07151212_1618"</v>
      </c>
      <c r="K83" s="1">
        <f t="shared" si="5"/>
        <v>42350.679166666669</v>
      </c>
    </row>
    <row r="84" spans="1:11">
      <c r="A84" t="s">
        <v>116</v>
      </c>
      <c r="B84" t="s">
        <v>17</v>
      </c>
      <c r="C84">
        <v>55</v>
      </c>
      <c r="D84" t="s">
        <v>41</v>
      </c>
      <c r="E84">
        <v>1000</v>
      </c>
      <c r="F84">
        <v>31</v>
      </c>
      <c r="G84" t="s">
        <v>18</v>
      </c>
      <c r="H84" t="s">
        <v>46</v>
      </c>
      <c r="I84" t="s">
        <v>20</v>
      </c>
      <c r="J84" t="str">
        <f t="shared" si="4"/>
        <v>"07151212_1714"</v>
      </c>
      <c r="K84" s="1">
        <f t="shared" si="5"/>
        <v>42350.718055555553</v>
      </c>
    </row>
    <row r="85" spans="1:11">
      <c r="A85" t="s">
        <v>117</v>
      </c>
      <c r="B85" t="s">
        <v>17</v>
      </c>
      <c r="C85">
        <v>55</v>
      </c>
      <c r="D85" t="s">
        <v>41</v>
      </c>
      <c r="E85">
        <v>1000</v>
      </c>
      <c r="F85">
        <v>31</v>
      </c>
      <c r="G85" t="s">
        <v>18</v>
      </c>
      <c r="H85" t="s">
        <v>46</v>
      </c>
      <c r="I85" t="s">
        <v>20</v>
      </c>
      <c r="J85" t="str">
        <f t="shared" si="4"/>
        <v>"07151212_1811"</v>
      </c>
      <c r="K85" s="1">
        <f t="shared" si="5"/>
        <v>42350.757638888892</v>
      </c>
    </row>
    <row r="86" spans="1:11">
      <c r="A86" t="s">
        <v>118</v>
      </c>
      <c r="B86" t="s">
        <v>17</v>
      </c>
      <c r="C86">
        <v>55</v>
      </c>
      <c r="D86" t="s">
        <v>41</v>
      </c>
      <c r="E86">
        <v>1000</v>
      </c>
      <c r="F86">
        <v>31</v>
      </c>
      <c r="G86" t="s">
        <v>18</v>
      </c>
      <c r="H86" t="s">
        <v>46</v>
      </c>
      <c r="I86" t="s">
        <v>20</v>
      </c>
      <c r="J86" t="str">
        <f t="shared" si="4"/>
        <v>"07151212_1908"</v>
      </c>
      <c r="K86" s="1">
        <f t="shared" si="5"/>
        <v>42350.797222222223</v>
      </c>
    </row>
    <row r="87" spans="1:11">
      <c r="A87" t="s">
        <v>119</v>
      </c>
      <c r="B87" t="s">
        <v>17</v>
      </c>
      <c r="C87">
        <v>55</v>
      </c>
      <c r="D87" t="s">
        <v>41</v>
      </c>
      <c r="E87">
        <v>1000</v>
      </c>
      <c r="F87">
        <v>31</v>
      </c>
      <c r="G87" t="s">
        <v>18</v>
      </c>
      <c r="H87" t="s">
        <v>46</v>
      </c>
      <c r="I87" t="s">
        <v>20</v>
      </c>
      <c r="J87" t="str">
        <f t="shared" si="4"/>
        <v>"07151212_2004"</v>
      </c>
      <c r="K87" s="1">
        <f t="shared" si="5"/>
        <v>42350.836111111108</v>
      </c>
    </row>
    <row r="88" spans="1:11">
      <c r="A88" t="s">
        <v>120</v>
      </c>
      <c r="B88" t="s">
        <v>17</v>
      </c>
      <c r="C88">
        <v>55</v>
      </c>
      <c r="D88" t="s">
        <v>41</v>
      </c>
      <c r="E88">
        <v>1000</v>
      </c>
      <c r="F88">
        <v>31</v>
      </c>
      <c r="G88" t="s">
        <v>18</v>
      </c>
      <c r="H88" t="s">
        <v>46</v>
      </c>
      <c r="I88" t="s">
        <v>20</v>
      </c>
      <c r="J88" t="str">
        <f t="shared" si="4"/>
        <v>"07151212_2101"</v>
      </c>
      <c r="K88" s="1">
        <f t="shared" si="5"/>
        <v>42350.875694444447</v>
      </c>
    </row>
    <row r="89" spans="1:11">
      <c r="A89" t="s">
        <v>121</v>
      </c>
      <c r="B89" t="s">
        <v>17</v>
      </c>
      <c r="C89">
        <v>55</v>
      </c>
      <c r="D89" t="s">
        <v>41</v>
      </c>
      <c r="E89">
        <v>1000</v>
      </c>
      <c r="F89">
        <v>31</v>
      </c>
      <c r="G89" t="s">
        <v>18</v>
      </c>
      <c r="H89" t="s">
        <v>46</v>
      </c>
      <c r="I89" t="s">
        <v>20</v>
      </c>
      <c r="J89" t="str">
        <f t="shared" si="4"/>
        <v>"07151212_2158"</v>
      </c>
      <c r="K89" s="1">
        <f t="shared" si="5"/>
        <v>42350.915277777778</v>
      </c>
    </row>
    <row r="90" spans="1:11">
      <c r="A90" t="s">
        <v>122</v>
      </c>
      <c r="B90" t="s">
        <v>17</v>
      </c>
      <c r="C90">
        <v>55</v>
      </c>
      <c r="D90" t="s">
        <v>41</v>
      </c>
      <c r="E90">
        <v>1000</v>
      </c>
      <c r="F90">
        <v>31</v>
      </c>
      <c r="G90" t="s">
        <v>18</v>
      </c>
      <c r="H90" t="s">
        <v>46</v>
      </c>
      <c r="I90" t="s">
        <v>20</v>
      </c>
      <c r="J90" t="str">
        <f t="shared" si="4"/>
        <v>"07151212_2254"</v>
      </c>
      <c r="K90" s="1">
        <f t="shared" si="5"/>
        <v>42350.95416666667</v>
      </c>
    </row>
    <row r="91" spans="1:11">
      <c r="A91" t="s">
        <v>123</v>
      </c>
      <c r="B91" t="s">
        <v>17</v>
      </c>
      <c r="C91">
        <v>55</v>
      </c>
      <c r="D91" t="s">
        <v>41</v>
      </c>
      <c r="E91">
        <v>1000</v>
      </c>
      <c r="F91">
        <v>31</v>
      </c>
      <c r="G91" t="s">
        <v>18</v>
      </c>
      <c r="H91" t="s">
        <v>46</v>
      </c>
      <c r="I91" t="s">
        <v>20</v>
      </c>
      <c r="J91" t="str">
        <f t="shared" si="4"/>
        <v>"07151212_2351"</v>
      </c>
      <c r="K91" s="1">
        <f t="shared" si="5"/>
        <v>42350.993750000001</v>
      </c>
    </row>
    <row r="92" spans="1:11">
      <c r="A92" t="s">
        <v>124</v>
      </c>
      <c r="B92" t="s">
        <v>17</v>
      </c>
      <c r="C92">
        <v>55</v>
      </c>
      <c r="D92" t="s">
        <v>41</v>
      </c>
      <c r="E92">
        <v>1000</v>
      </c>
      <c r="F92" t="s">
        <v>41</v>
      </c>
      <c r="G92" t="s">
        <v>18</v>
      </c>
      <c r="H92" t="s">
        <v>46</v>
      </c>
      <c r="I92" t="s">
        <v>20</v>
      </c>
      <c r="J92" t="str">
        <f t="shared" si="4"/>
        <v>"07151213_0047"</v>
      </c>
      <c r="K92" s="1">
        <f t="shared" si="5"/>
        <v>42351.032638888886</v>
      </c>
    </row>
    <row r="93" spans="1:11">
      <c r="A93" t="s">
        <v>139</v>
      </c>
      <c r="B93" t="s">
        <v>17</v>
      </c>
      <c r="C93">
        <v>55</v>
      </c>
      <c r="D93" t="s">
        <v>41</v>
      </c>
      <c r="E93">
        <v>1000</v>
      </c>
      <c r="F93">
        <v>31</v>
      </c>
      <c r="G93" t="s">
        <v>18</v>
      </c>
      <c r="H93" t="s">
        <v>55</v>
      </c>
      <c r="I93" t="s">
        <v>20</v>
      </c>
      <c r="J93" t="str">
        <f t="shared" si="4"/>
        <v>"07151214_1207"</v>
      </c>
      <c r="K93" s="1">
        <f t="shared" si="5"/>
        <v>42352.504861111112</v>
      </c>
    </row>
    <row r="94" spans="1:11">
      <c r="A94" t="s">
        <v>54</v>
      </c>
      <c r="B94" t="s">
        <v>17</v>
      </c>
      <c r="C94">
        <v>55</v>
      </c>
      <c r="D94" t="s">
        <v>41</v>
      </c>
      <c r="E94">
        <v>1000</v>
      </c>
      <c r="F94">
        <v>31</v>
      </c>
      <c r="G94" t="s">
        <v>18</v>
      </c>
      <c r="H94" t="s">
        <v>55</v>
      </c>
      <c r="I94" t="s">
        <v>20</v>
      </c>
      <c r="J94" t="str">
        <f t="shared" si="4"/>
        <v>"07151214_1704"</v>
      </c>
      <c r="K94" s="1">
        <f t="shared" si="5"/>
        <v>42352.711111111108</v>
      </c>
    </row>
    <row r="95" spans="1:11">
      <c r="A95" t="s">
        <v>57</v>
      </c>
      <c r="B95" t="s">
        <v>17</v>
      </c>
      <c r="C95">
        <v>55</v>
      </c>
      <c r="D95" t="s">
        <v>41</v>
      </c>
      <c r="E95">
        <v>1000</v>
      </c>
      <c r="F95">
        <v>31</v>
      </c>
      <c r="G95" t="s">
        <v>18</v>
      </c>
      <c r="H95" t="s">
        <v>55</v>
      </c>
      <c r="I95" t="s">
        <v>20</v>
      </c>
      <c r="J95" t="str">
        <f t="shared" si="4"/>
        <v>"07151214_1801"</v>
      </c>
      <c r="K95" s="1">
        <f t="shared" si="5"/>
        <v>42352.750694444447</v>
      </c>
    </row>
    <row r="96" spans="1:11">
      <c r="A96" t="s">
        <v>58</v>
      </c>
      <c r="B96" t="s">
        <v>17</v>
      </c>
      <c r="C96">
        <v>55</v>
      </c>
      <c r="D96" t="s">
        <v>41</v>
      </c>
      <c r="E96">
        <v>1000</v>
      </c>
      <c r="F96">
        <v>31</v>
      </c>
      <c r="G96" t="s">
        <v>18</v>
      </c>
      <c r="H96" t="s">
        <v>55</v>
      </c>
      <c r="I96" t="s">
        <v>20</v>
      </c>
      <c r="J96" t="str">
        <f t="shared" si="4"/>
        <v>"07151214_1858"</v>
      </c>
      <c r="K96" s="1">
        <f t="shared" si="5"/>
        <v>42352.790277777778</v>
      </c>
    </row>
    <row r="97" spans="1:11">
      <c r="A97" t="s">
        <v>59</v>
      </c>
      <c r="B97" t="s">
        <v>17</v>
      </c>
      <c r="C97">
        <v>55</v>
      </c>
      <c r="D97" t="s">
        <v>41</v>
      </c>
      <c r="E97">
        <v>1000</v>
      </c>
      <c r="F97">
        <v>31</v>
      </c>
      <c r="G97" t="s">
        <v>18</v>
      </c>
      <c r="H97" t="s">
        <v>55</v>
      </c>
      <c r="I97" t="s">
        <v>20</v>
      </c>
      <c r="J97" t="str">
        <f t="shared" si="4"/>
        <v>"07151214_1955"</v>
      </c>
      <c r="K97" s="1">
        <f t="shared" si="5"/>
        <v>42352.829861111109</v>
      </c>
    </row>
    <row r="98" spans="1:11">
      <c r="A98" t="s">
        <v>60</v>
      </c>
      <c r="B98" t="s">
        <v>17</v>
      </c>
      <c r="C98">
        <v>55</v>
      </c>
      <c r="D98" t="s">
        <v>41</v>
      </c>
      <c r="E98">
        <v>1000</v>
      </c>
      <c r="F98">
        <v>31</v>
      </c>
      <c r="G98" t="s">
        <v>18</v>
      </c>
      <c r="H98" t="s">
        <v>55</v>
      </c>
      <c r="I98" t="s">
        <v>20</v>
      </c>
      <c r="J98" t="str">
        <f t="shared" si="4"/>
        <v>"07151214_2051"</v>
      </c>
      <c r="K98" s="1">
        <f t="shared" si="5"/>
        <v>42352.868750000001</v>
      </c>
    </row>
    <row r="99" spans="1:11">
      <c r="A99" t="s">
        <v>61</v>
      </c>
      <c r="B99" t="s">
        <v>17</v>
      </c>
      <c r="C99">
        <v>55</v>
      </c>
      <c r="D99" t="s">
        <v>41</v>
      </c>
      <c r="E99">
        <v>1000</v>
      </c>
      <c r="F99">
        <v>31</v>
      </c>
      <c r="G99" t="s">
        <v>18</v>
      </c>
      <c r="H99" t="s">
        <v>55</v>
      </c>
      <c r="I99" t="s">
        <v>20</v>
      </c>
      <c r="J99" t="str">
        <f t="shared" si="4"/>
        <v>"07151214_2148"</v>
      </c>
      <c r="K99" s="1">
        <f t="shared" si="5"/>
        <v>42352.908333333333</v>
      </c>
    </row>
    <row r="100" spans="1:11">
      <c r="A100" t="s">
        <v>62</v>
      </c>
      <c r="B100" t="s">
        <v>17</v>
      </c>
      <c r="C100">
        <v>55</v>
      </c>
      <c r="D100" t="s">
        <v>41</v>
      </c>
      <c r="E100">
        <v>1000</v>
      </c>
      <c r="F100">
        <v>31</v>
      </c>
      <c r="G100" t="s">
        <v>18</v>
      </c>
      <c r="H100" t="s">
        <v>55</v>
      </c>
      <c r="I100" t="s">
        <v>20</v>
      </c>
      <c r="J100" t="str">
        <f t="shared" si="4"/>
        <v>"07151214_2245"</v>
      </c>
      <c r="K100" s="1">
        <f t="shared" si="5"/>
        <v>42352.947916666664</v>
      </c>
    </row>
    <row r="101" spans="1:11">
      <c r="A101" t="s">
        <v>63</v>
      </c>
      <c r="B101" t="s">
        <v>17</v>
      </c>
      <c r="C101">
        <v>55</v>
      </c>
      <c r="D101" t="s">
        <v>41</v>
      </c>
      <c r="E101">
        <v>1000</v>
      </c>
      <c r="F101" t="s">
        <v>41</v>
      </c>
      <c r="G101" t="s">
        <v>18</v>
      </c>
      <c r="H101" t="s">
        <v>55</v>
      </c>
      <c r="I101" t="s">
        <v>20</v>
      </c>
      <c r="J101" t="str">
        <f t="shared" ref="J101:J126" si="6">""""&amp;A101&amp;""""</f>
        <v>"07151214_2341"</v>
      </c>
      <c r="K101" s="1">
        <f t="shared" ref="K101:K126" si="7">DATE(2000+MID(A101,3,2),MID(A101,5,2),MID(A101,7,2))+TIME(MID(A101,10,2),MID(A101,12,2),0)</f>
        <v>42352.986805555556</v>
      </c>
    </row>
    <row r="102" spans="1:11">
      <c r="A102" t="s">
        <v>192</v>
      </c>
      <c r="B102" t="s">
        <v>17</v>
      </c>
      <c r="C102">
        <v>55</v>
      </c>
      <c r="D102" t="s">
        <v>41</v>
      </c>
      <c r="E102">
        <v>0</v>
      </c>
      <c r="F102">
        <v>2</v>
      </c>
      <c r="G102" t="s">
        <v>18</v>
      </c>
      <c r="H102" t="s">
        <v>42</v>
      </c>
      <c r="I102" t="s">
        <v>20</v>
      </c>
      <c r="J102" t="str">
        <f t="shared" si="6"/>
        <v>"07151215_1146"</v>
      </c>
      <c r="K102" s="1">
        <f t="shared" si="7"/>
        <v>42353.490277777775</v>
      </c>
    </row>
    <row r="103" spans="1:11">
      <c r="A103" t="s">
        <v>193</v>
      </c>
      <c r="B103" t="s">
        <v>17</v>
      </c>
      <c r="C103">
        <v>55</v>
      </c>
      <c r="D103" t="s">
        <v>41</v>
      </c>
      <c r="E103">
        <v>0</v>
      </c>
      <c r="F103">
        <v>1</v>
      </c>
      <c r="G103" t="s">
        <v>18</v>
      </c>
      <c r="H103" t="s">
        <v>42</v>
      </c>
      <c r="I103" t="s">
        <v>20</v>
      </c>
      <c r="J103" t="str">
        <f t="shared" si="6"/>
        <v>"07151215_1147"</v>
      </c>
      <c r="K103" s="1">
        <f t="shared" si="7"/>
        <v>42353.490972222222</v>
      </c>
    </row>
    <row r="104" spans="1:11">
      <c r="A104" t="s">
        <v>140</v>
      </c>
      <c r="B104" t="s">
        <v>17</v>
      </c>
      <c r="C104">
        <v>55</v>
      </c>
      <c r="D104" t="s">
        <v>41</v>
      </c>
      <c r="E104">
        <v>1000</v>
      </c>
      <c r="F104">
        <v>31</v>
      </c>
      <c r="G104" t="s">
        <v>18</v>
      </c>
      <c r="H104" t="s">
        <v>55</v>
      </c>
      <c r="I104" t="s">
        <v>20</v>
      </c>
      <c r="J104" t="str">
        <f t="shared" si="6"/>
        <v>"07151215_1231"</v>
      </c>
      <c r="K104" s="1">
        <f t="shared" si="7"/>
        <v>42353.521527777775</v>
      </c>
    </row>
    <row r="105" spans="1:11">
      <c r="A105" t="s">
        <v>141</v>
      </c>
      <c r="B105" t="s">
        <v>17</v>
      </c>
      <c r="C105">
        <v>55</v>
      </c>
      <c r="D105" t="s">
        <v>41</v>
      </c>
      <c r="E105">
        <v>1000</v>
      </c>
      <c r="F105">
        <v>31</v>
      </c>
      <c r="G105" t="s">
        <v>18</v>
      </c>
      <c r="H105" t="s">
        <v>55</v>
      </c>
      <c r="I105" t="s">
        <v>20</v>
      </c>
      <c r="J105" t="str">
        <f t="shared" si="6"/>
        <v>"07151215_1328"</v>
      </c>
      <c r="K105" s="1">
        <f t="shared" si="7"/>
        <v>42353.561111111114</v>
      </c>
    </row>
    <row r="106" spans="1:11">
      <c r="A106" t="s">
        <v>142</v>
      </c>
      <c r="B106" t="s">
        <v>17</v>
      </c>
      <c r="C106">
        <v>55</v>
      </c>
      <c r="D106" t="s">
        <v>41</v>
      </c>
      <c r="E106">
        <v>1000</v>
      </c>
      <c r="F106">
        <v>31</v>
      </c>
      <c r="G106" t="s">
        <v>18</v>
      </c>
      <c r="H106" t="s">
        <v>55</v>
      </c>
      <c r="I106" t="s">
        <v>20</v>
      </c>
      <c r="J106" t="str">
        <f t="shared" si="6"/>
        <v>"07151215_1424"</v>
      </c>
      <c r="K106" s="1">
        <f t="shared" si="7"/>
        <v>42353.599999999999</v>
      </c>
    </row>
    <row r="107" spans="1:11">
      <c r="A107" t="s">
        <v>143</v>
      </c>
      <c r="B107" t="s">
        <v>17</v>
      </c>
      <c r="C107">
        <v>55</v>
      </c>
      <c r="D107" t="s">
        <v>41</v>
      </c>
      <c r="E107">
        <v>1000</v>
      </c>
      <c r="F107">
        <v>50</v>
      </c>
      <c r="G107" t="s">
        <v>18</v>
      </c>
      <c r="H107" t="s">
        <v>55</v>
      </c>
      <c r="I107" t="s">
        <v>20</v>
      </c>
      <c r="J107" t="str">
        <f t="shared" si="6"/>
        <v>"07151215_1520"</v>
      </c>
      <c r="K107" s="1">
        <f t="shared" si="7"/>
        <v>42353.638888888891</v>
      </c>
    </row>
    <row r="108" spans="1:11">
      <c r="A108" t="s">
        <v>144</v>
      </c>
      <c r="B108" t="s">
        <v>17</v>
      </c>
      <c r="C108">
        <v>55</v>
      </c>
      <c r="D108" t="s">
        <v>41</v>
      </c>
      <c r="E108">
        <v>1000</v>
      </c>
      <c r="F108">
        <v>31</v>
      </c>
      <c r="G108" t="s">
        <v>18</v>
      </c>
      <c r="H108" t="s">
        <v>55</v>
      </c>
      <c r="I108" t="s">
        <v>20</v>
      </c>
      <c r="J108" s="2" t="str">
        <f t="shared" si="6"/>
        <v>"07151215_1633"</v>
      </c>
      <c r="K108" s="1">
        <f t="shared" si="7"/>
        <v>42353.689583333333</v>
      </c>
    </row>
    <row r="109" spans="1:11">
      <c r="A109" t="s">
        <v>145</v>
      </c>
      <c r="B109" t="s">
        <v>17</v>
      </c>
      <c r="C109">
        <v>55</v>
      </c>
      <c r="D109" t="s">
        <v>41</v>
      </c>
      <c r="E109">
        <v>1000</v>
      </c>
      <c r="F109">
        <v>31</v>
      </c>
      <c r="G109" t="s">
        <v>18</v>
      </c>
      <c r="H109" t="s">
        <v>55</v>
      </c>
      <c r="I109" t="s">
        <v>20</v>
      </c>
      <c r="J109" s="2" t="str">
        <f t="shared" si="6"/>
        <v>"07151215_1725"</v>
      </c>
      <c r="K109" s="1">
        <f t="shared" si="7"/>
        <v>42353.725694444445</v>
      </c>
    </row>
    <row r="110" spans="1:11">
      <c r="A110" t="s">
        <v>146</v>
      </c>
      <c r="B110" t="s">
        <v>17</v>
      </c>
      <c r="C110">
        <v>55</v>
      </c>
      <c r="D110" t="s">
        <v>41</v>
      </c>
      <c r="E110">
        <v>1000</v>
      </c>
      <c r="F110">
        <v>31</v>
      </c>
      <c r="G110" t="s">
        <v>18</v>
      </c>
      <c r="H110" t="s">
        <v>55</v>
      </c>
      <c r="I110" t="s">
        <v>20</v>
      </c>
      <c r="J110" s="2" t="str">
        <f t="shared" si="6"/>
        <v>"07151215_1816"</v>
      </c>
      <c r="K110" s="1">
        <f t="shared" si="7"/>
        <v>42353.761111111111</v>
      </c>
    </row>
    <row r="111" spans="1:11">
      <c r="A111" t="s">
        <v>147</v>
      </c>
      <c r="B111" t="s">
        <v>17</v>
      </c>
      <c r="C111">
        <v>55</v>
      </c>
      <c r="D111" t="s">
        <v>41</v>
      </c>
      <c r="E111">
        <v>1000</v>
      </c>
      <c r="F111">
        <v>31</v>
      </c>
      <c r="G111" t="s">
        <v>18</v>
      </c>
      <c r="H111" t="s">
        <v>55</v>
      </c>
      <c r="I111" t="s">
        <v>20</v>
      </c>
      <c r="J111" s="2" t="str">
        <f t="shared" si="6"/>
        <v>"07151215_1907"</v>
      </c>
      <c r="K111" s="1">
        <f t="shared" si="7"/>
        <v>42353.796527777777</v>
      </c>
    </row>
    <row r="112" spans="1:11">
      <c r="A112" t="s">
        <v>148</v>
      </c>
      <c r="B112" t="s">
        <v>17</v>
      </c>
      <c r="C112">
        <v>55</v>
      </c>
      <c r="D112" t="s">
        <v>41</v>
      </c>
      <c r="E112">
        <v>1000</v>
      </c>
      <c r="F112">
        <v>31</v>
      </c>
      <c r="G112" t="s">
        <v>18</v>
      </c>
      <c r="H112" t="s">
        <v>55</v>
      </c>
      <c r="I112" t="s">
        <v>20</v>
      </c>
      <c r="J112" s="2" t="str">
        <f t="shared" si="6"/>
        <v>"07151215_1958"</v>
      </c>
      <c r="K112" s="1">
        <f t="shared" si="7"/>
        <v>42353.831944444442</v>
      </c>
    </row>
    <row r="113" spans="1:11">
      <c r="A113" t="s">
        <v>149</v>
      </c>
      <c r="B113" t="s">
        <v>17</v>
      </c>
      <c r="C113">
        <v>55</v>
      </c>
      <c r="D113" t="s">
        <v>41</v>
      </c>
      <c r="E113">
        <v>1000</v>
      </c>
      <c r="F113">
        <v>31</v>
      </c>
      <c r="G113" t="s">
        <v>18</v>
      </c>
      <c r="H113" t="s">
        <v>55</v>
      </c>
      <c r="I113" t="s">
        <v>20</v>
      </c>
      <c r="J113" s="2" t="str">
        <f t="shared" si="6"/>
        <v>"07151215_2050"</v>
      </c>
      <c r="K113" s="1">
        <f t="shared" si="7"/>
        <v>42353.868055555555</v>
      </c>
    </row>
    <row r="114" spans="1:11">
      <c r="A114" t="s">
        <v>150</v>
      </c>
      <c r="B114" t="s">
        <v>17</v>
      </c>
      <c r="C114">
        <v>55</v>
      </c>
      <c r="D114" t="s">
        <v>41</v>
      </c>
      <c r="E114">
        <v>1000</v>
      </c>
      <c r="F114">
        <v>31</v>
      </c>
      <c r="G114" t="s">
        <v>18</v>
      </c>
      <c r="H114" t="s">
        <v>55</v>
      </c>
      <c r="I114" t="s">
        <v>20</v>
      </c>
      <c r="J114" s="2" t="str">
        <f t="shared" si="6"/>
        <v>"07151215_2141"</v>
      </c>
      <c r="K114" s="1">
        <f t="shared" si="7"/>
        <v>42353.90347222222</v>
      </c>
    </row>
    <row r="115" spans="1:11">
      <c r="A115" t="s">
        <v>151</v>
      </c>
      <c r="B115" t="s">
        <v>17</v>
      </c>
      <c r="C115">
        <v>55</v>
      </c>
      <c r="D115" t="s">
        <v>41</v>
      </c>
      <c r="E115">
        <v>1000</v>
      </c>
      <c r="F115">
        <v>31</v>
      </c>
      <c r="G115" t="s">
        <v>18</v>
      </c>
      <c r="H115" t="s">
        <v>55</v>
      </c>
      <c r="I115" t="s">
        <v>20</v>
      </c>
      <c r="J115" s="2" t="str">
        <f t="shared" si="6"/>
        <v>"07151215_2232"</v>
      </c>
      <c r="K115" s="1">
        <f t="shared" si="7"/>
        <v>42353.938888888886</v>
      </c>
    </row>
    <row r="116" spans="1:11">
      <c r="A116" t="s">
        <v>152</v>
      </c>
      <c r="B116" t="s">
        <v>17</v>
      </c>
      <c r="C116">
        <v>55</v>
      </c>
      <c r="D116" t="s">
        <v>41</v>
      </c>
      <c r="E116">
        <v>1000</v>
      </c>
      <c r="F116">
        <v>31</v>
      </c>
      <c r="G116" t="s">
        <v>18</v>
      </c>
      <c r="H116" t="s">
        <v>55</v>
      </c>
      <c r="I116" t="s">
        <v>20</v>
      </c>
      <c r="J116" s="2" t="str">
        <f t="shared" si="6"/>
        <v>"07151215_2323"</v>
      </c>
      <c r="K116" s="1">
        <f t="shared" si="7"/>
        <v>42353.974305555559</v>
      </c>
    </row>
    <row r="117" spans="1:11">
      <c r="A117" t="s">
        <v>153</v>
      </c>
      <c r="B117" t="s">
        <v>17</v>
      </c>
      <c r="C117">
        <v>55</v>
      </c>
      <c r="D117" t="s">
        <v>41</v>
      </c>
      <c r="E117">
        <v>1000</v>
      </c>
      <c r="F117">
        <v>31</v>
      </c>
      <c r="G117" t="s">
        <v>18</v>
      </c>
      <c r="H117" t="s">
        <v>55</v>
      </c>
      <c r="I117" t="s">
        <v>20</v>
      </c>
      <c r="J117" s="2" t="str">
        <f t="shared" si="6"/>
        <v>"07151216_0015"</v>
      </c>
      <c r="K117" s="1">
        <f t="shared" si="7"/>
        <v>42354.010416666664</v>
      </c>
    </row>
    <row r="118" spans="1:11">
      <c r="A118" t="s">
        <v>154</v>
      </c>
      <c r="B118" t="s">
        <v>17</v>
      </c>
      <c r="C118">
        <v>55</v>
      </c>
      <c r="D118" t="s">
        <v>41</v>
      </c>
      <c r="E118">
        <v>1000</v>
      </c>
      <c r="F118">
        <v>31</v>
      </c>
      <c r="G118" t="s">
        <v>18</v>
      </c>
      <c r="H118" t="s">
        <v>55</v>
      </c>
      <c r="I118" t="s">
        <v>20</v>
      </c>
      <c r="J118" s="2" t="str">
        <f t="shared" si="6"/>
        <v>"07151216_0106"</v>
      </c>
      <c r="K118" s="1">
        <f t="shared" si="7"/>
        <v>42354.04583333333</v>
      </c>
    </row>
    <row r="119" spans="1:11">
      <c r="A119" t="s">
        <v>155</v>
      </c>
      <c r="B119" t="s">
        <v>17</v>
      </c>
      <c r="C119">
        <v>55</v>
      </c>
      <c r="D119" t="s">
        <v>41</v>
      </c>
      <c r="E119">
        <v>1000</v>
      </c>
      <c r="F119">
        <v>31</v>
      </c>
      <c r="G119" t="s">
        <v>18</v>
      </c>
      <c r="H119" t="s">
        <v>55</v>
      </c>
      <c r="I119" t="s">
        <v>20</v>
      </c>
      <c r="J119" s="2" t="str">
        <f t="shared" si="6"/>
        <v>"07151216_0157"</v>
      </c>
      <c r="K119" s="1">
        <f t="shared" si="7"/>
        <v>42354.081250000003</v>
      </c>
    </row>
    <row r="120" spans="1:11">
      <c r="A120" t="s">
        <v>156</v>
      </c>
      <c r="B120" t="s">
        <v>17</v>
      </c>
      <c r="C120">
        <v>55</v>
      </c>
      <c r="D120" t="s">
        <v>41</v>
      </c>
      <c r="E120">
        <v>1000</v>
      </c>
      <c r="F120">
        <v>31</v>
      </c>
      <c r="G120" t="s">
        <v>18</v>
      </c>
      <c r="H120" t="s">
        <v>55</v>
      </c>
      <c r="I120" t="s">
        <v>20</v>
      </c>
      <c r="J120" s="2" t="str">
        <f t="shared" si="6"/>
        <v>"07151216_0248"</v>
      </c>
      <c r="K120" s="1">
        <f t="shared" si="7"/>
        <v>42354.116666666669</v>
      </c>
    </row>
    <row r="121" spans="1:11">
      <c r="A121" t="s">
        <v>157</v>
      </c>
      <c r="B121" t="s">
        <v>17</v>
      </c>
      <c r="C121">
        <v>55</v>
      </c>
      <c r="D121" t="s">
        <v>41</v>
      </c>
      <c r="E121">
        <v>1000</v>
      </c>
      <c r="F121">
        <v>31</v>
      </c>
      <c r="G121" t="s">
        <v>18</v>
      </c>
      <c r="H121" t="s">
        <v>55</v>
      </c>
      <c r="I121" t="s">
        <v>20</v>
      </c>
      <c r="J121" s="2" t="str">
        <f t="shared" si="6"/>
        <v>"07151216_0340"</v>
      </c>
      <c r="K121" s="1">
        <f t="shared" si="7"/>
        <v>42354.152777777781</v>
      </c>
    </row>
    <row r="122" spans="1:11">
      <c r="A122" t="s">
        <v>158</v>
      </c>
      <c r="B122" t="s">
        <v>17</v>
      </c>
      <c r="C122">
        <v>55</v>
      </c>
      <c r="D122" t="s">
        <v>41</v>
      </c>
      <c r="E122">
        <v>1000</v>
      </c>
      <c r="F122">
        <v>31</v>
      </c>
      <c r="G122" t="s">
        <v>18</v>
      </c>
      <c r="H122" t="s">
        <v>55</v>
      </c>
      <c r="I122" t="s">
        <v>20</v>
      </c>
      <c r="J122" s="2" t="str">
        <f t="shared" si="6"/>
        <v>"07151216_0431"</v>
      </c>
      <c r="K122" s="1">
        <f t="shared" si="7"/>
        <v>42354.188194444447</v>
      </c>
    </row>
    <row r="123" spans="1:11">
      <c r="A123" t="s">
        <v>159</v>
      </c>
      <c r="B123" t="s">
        <v>17</v>
      </c>
      <c r="C123">
        <v>55</v>
      </c>
      <c r="D123" t="s">
        <v>41</v>
      </c>
      <c r="E123">
        <v>1000</v>
      </c>
      <c r="F123">
        <v>31</v>
      </c>
      <c r="G123" t="s">
        <v>18</v>
      </c>
      <c r="H123" t="s">
        <v>55</v>
      </c>
      <c r="I123" t="s">
        <v>20</v>
      </c>
      <c r="J123" s="2" t="str">
        <f t="shared" si="6"/>
        <v>"07151216_0522"</v>
      </c>
      <c r="K123" s="1">
        <f t="shared" si="7"/>
        <v>42354.223611111112</v>
      </c>
    </row>
    <row r="124" spans="1:11">
      <c r="A124" t="s">
        <v>160</v>
      </c>
      <c r="B124" t="s">
        <v>17</v>
      </c>
      <c r="C124">
        <v>55</v>
      </c>
      <c r="D124" t="s">
        <v>41</v>
      </c>
      <c r="E124">
        <v>1000</v>
      </c>
      <c r="F124">
        <v>31</v>
      </c>
      <c r="G124" t="s">
        <v>18</v>
      </c>
      <c r="H124" t="s">
        <v>55</v>
      </c>
      <c r="I124" t="s">
        <v>20</v>
      </c>
      <c r="J124" s="2" t="str">
        <f t="shared" si="6"/>
        <v>"07151216_0613"</v>
      </c>
      <c r="K124" s="1">
        <f t="shared" si="7"/>
        <v>42354.259027777778</v>
      </c>
    </row>
    <row r="125" spans="1:11">
      <c r="A125" t="s">
        <v>161</v>
      </c>
      <c r="B125" t="s">
        <v>17</v>
      </c>
      <c r="C125">
        <v>55</v>
      </c>
      <c r="D125" t="s">
        <v>41</v>
      </c>
      <c r="E125">
        <v>1000</v>
      </c>
      <c r="F125">
        <v>31</v>
      </c>
      <c r="G125" t="s">
        <v>18</v>
      </c>
      <c r="H125" t="s">
        <v>55</v>
      </c>
      <c r="I125" t="s">
        <v>20</v>
      </c>
      <c r="J125" s="2" t="str">
        <f t="shared" si="6"/>
        <v>"07151216_0705"</v>
      </c>
      <c r="K125" s="1">
        <f t="shared" si="7"/>
        <v>42354.295138888891</v>
      </c>
    </row>
    <row r="126" spans="1:11">
      <c r="A126" t="s">
        <v>162</v>
      </c>
      <c r="B126" t="s">
        <v>17</v>
      </c>
      <c r="C126">
        <v>55</v>
      </c>
      <c r="D126" t="s">
        <v>41</v>
      </c>
      <c r="E126">
        <v>1000</v>
      </c>
      <c r="F126">
        <v>31</v>
      </c>
      <c r="G126" t="s">
        <v>18</v>
      </c>
      <c r="H126" t="s">
        <v>55</v>
      </c>
      <c r="I126" t="s">
        <v>20</v>
      </c>
      <c r="J126" s="2" t="str">
        <f t="shared" si="6"/>
        <v>"07151216_0756"</v>
      </c>
      <c r="K126" s="1">
        <f t="shared" si="7"/>
        <v>42354.330555555556</v>
      </c>
    </row>
    <row r="127" spans="1:11">
      <c r="K127" s="1"/>
    </row>
    <row r="128" spans="1:11">
      <c r="K128" s="1"/>
    </row>
    <row r="129" spans="11:11">
      <c r="K129" s="1"/>
    </row>
    <row r="130" spans="11:11">
      <c r="K130" s="1"/>
    </row>
    <row r="131" spans="11:11">
      <c r="K131" s="1"/>
    </row>
    <row r="132" spans="11:11">
      <c r="K132" s="1"/>
    </row>
    <row r="133" spans="11:11">
      <c r="K133" s="1"/>
    </row>
    <row r="134" spans="11:11">
      <c r="K134" s="1"/>
    </row>
    <row r="135" spans="11:11">
      <c r="K135" s="1"/>
    </row>
    <row r="136" spans="11:11">
      <c r="K136" s="1"/>
    </row>
    <row r="137" spans="11:11">
      <c r="K137" s="1"/>
    </row>
    <row r="138" spans="11:11">
      <c r="K138" s="1"/>
    </row>
    <row r="139" spans="11:11">
      <c r="K139" s="1"/>
    </row>
    <row r="140" spans="11:11">
      <c r="K140" s="1"/>
    </row>
    <row r="141" spans="11:11">
      <c r="K141" s="1"/>
    </row>
    <row r="142" spans="11:11">
      <c r="K142" s="1"/>
    </row>
    <row r="143" spans="11:11">
      <c r="K143" s="1"/>
    </row>
    <row r="144" spans="11:11">
      <c r="K144" s="1"/>
    </row>
    <row r="145" spans="11:11">
      <c r="K145" s="1"/>
    </row>
    <row r="146" spans="11:11">
      <c r="K146" s="1"/>
    </row>
    <row r="147" spans="11:11">
      <c r="K147" s="1"/>
    </row>
    <row r="148" spans="11:11">
      <c r="K148" s="1"/>
    </row>
    <row r="149" spans="11:11">
      <c r="K149" s="1"/>
    </row>
    <row r="150" spans="11:11">
      <c r="K150" s="1"/>
    </row>
    <row r="151" spans="11:11">
      <c r="K151" s="1"/>
    </row>
    <row r="152" spans="11:11">
      <c r="K152" s="1"/>
    </row>
    <row r="153" spans="11:11">
      <c r="K153" s="1"/>
    </row>
    <row r="154" spans="11:11">
      <c r="K154" s="1"/>
    </row>
    <row r="155" spans="11:11">
      <c r="K155" s="1"/>
    </row>
    <row r="156" spans="11:11">
      <c r="K156" s="1"/>
    </row>
    <row r="157" spans="11:11">
      <c r="K157" s="1"/>
    </row>
    <row r="158" spans="11:11">
      <c r="K158" s="1"/>
    </row>
    <row r="159" spans="11:11">
      <c r="K159" s="1"/>
    </row>
    <row r="160" spans="11:11">
      <c r="K160" s="1"/>
    </row>
    <row r="161" spans="11:11">
      <c r="K161" s="1"/>
    </row>
    <row r="162" spans="11:11">
      <c r="K162" s="1"/>
    </row>
    <row r="163" spans="11:11">
      <c r="K163" s="1"/>
    </row>
    <row r="164" spans="11:11">
      <c r="K164" s="1"/>
    </row>
    <row r="165" spans="11:11">
      <c r="K165" s="1"/>
    </row>
    <row r="166" spans="11:11">
      <c r="K166" s="1"/>
    </row>
    <row r="167" spans="11:11">
      <c r="K167" s="1"/>
    </row>
    <row r="168" spans="11:11">
      <c r="K168" s="1"/>
    </row>
    <row r="169" spans="11:11">
      <c r="K169" s="1"/>
    </row>
    <row r="170" spans="11:11">
      <c r="K170" s="1"/>
    </row>
    <row r="171" spans="11:11">
      <c r="K171" s="1"/>
    </row>
    <row r="172" spans="11:11">
      <c r="K172" s="1"/>
    </row>
    <row r="173" spans="11:11">
      <c r="K173" s="1"/>
    </row>
    <row r="174" spans="11:11">
      <c r="K174" s="1"/>
    </row>
    <row r="175" spans="11:11">
      <c r="K175" s="1"/>
    </row>
    <row r="176" spans="11:11">
      <c r="K176" s="1"/>
    </row>
    <row r="177" spans="11:11">
      <c r="K177" s="1"/>
    </row>
    <row r="178" spans="11:11">
      <c r="K178" s="1"/>
    </row>
    <row r="179" spans="11:11">
      <c r="K179" s="1"/>
    </row>
    <row r="180" spans="11:11">
      <c r="K180" s="1"/>
    </row>
    <row r="181" spans="11:11">
      <c r="K181" s="1"/>
    </row>
    <row r="182" spans="11:11">
      <c r="K182" s="1"/>
    </row>
    <row r="183" spans="11:11">
      <c r="K183" s="1"/>
    </row>
    <row r="184" spans="11:11">
      <c r="K184" s="1"/>
    </row>
    <row r="185" spans="11:11">
      <c r="K185" s="1"/>
    </row>
    <row r="186" spans="11:11">
      <c r="K186" s="1"/>
    </row>
    <row r="187" spans="11:11">
      <c r="K187" s="1"/>
    </row>
    <row r="188" spans="11:11">
      <c r="K188" s="1"/>
    </row>
    <row r="189" spans="11:11">
      <c r="K189" s="1"/>
    </row>
    <row r="190" spans="11:11">
      <c r="K190" s="1"/>
    </row>
    <row r="191" spans="11:11">
      <c r="K191" s="1"/>
    </row>
    <row r="192" spans="11:11">
      <c r="K192" s="1"/>
    </row>
    <row r="193" spans="11:11">
      <c r="K193" s="1"/>
    </row>
    <row r="194" spans="11:11">
      <c r="K194" s="1"/>
    </row>
    <row r="195" spans="11:11">
      <c r="K195" s="1"/>
    </row>
    <row r="196" spans="11:11">
      <c r="K196" s="1"/>
    </row>
    <row r="197" spans="11:11">
      <c r="K197" s="1"/>
    </row>
    <row r="198" spans="11:11">
      <c r="K198" s="1"/>
    </row>
    <row r="199" spans="11:11">
      <c r="K199" s="1"/>
    </row>
    <row r="200" spans="11:11">
      <c r="K200" s="1"/>
    </row>
    <row r="201" spans="11:11">
      <c r="K201" s="1"/>
    </row>
    <row r="202" spans="11:11">
      <c r="K202" s="1"/>
    </row>
    <row r="203" spans="11:11">
      <c r="K203" s="1"/>
    </row>
    <row r="204" spans="11:11">
      <c r="K204" s="1"/>
    </row>
    <row r="205" spans="11:11">
      <c r="K205" s="1"/>
    </row>
    <row r="206" spans="11:11">
      <c r="K206" s="1"/>
    </row>
    <row r="207" spans="11:11">
      <c r="K207" s="1"/>
    </row>
    <row r="208" spans="11:11">
      <c r="K208" s="1"/>
    </row>
    <row r="209" spans="11:11">
      <c r="K209" s="1"/>
    </row>
    <row r="210" spans="11:11">
      <c r="K210" s="1"/>
    </row>
    <row r="211" spans="11:11">
      <c r="K211" s="1"/>
    </row>
    <row r="212" spans="11:11">
      <c r="K212" s="1"/>
    </row>
    <row r="213" spans="11:11">
      <c r="K213" s="1"/>
    </row>
    <row r="214" spans="11:11">
      <c r="K214" s="1"/>
    </row>
    <row r="215" spans="11:11">
      <c r="K215" s="1"/>
    </row>
    <row r="216" spans="11:11">
      <c r="K216" s="1"/>
    </row>
    <row r="217" spans="11:11">
      <c r="K217" s="1"/>
    </row>
    <row r="218" spans="11:11">
      <c r="K218" s="1"/>
    </row>
    <row r="219" spans="11:11">
      <c r="K219" s="1"/>
    </row>
    <row r="220" spans="11:11">
      <c r="K220" s="1"/>
    </row>
    <row r="221" spans="11:11">
      <c r="K221" s="1"/>
    </row>
    <row r="222" spans="11:11">
      <c r="K222" s="1"/>
    </row>
    <row r="223" spans="11:11">
      <c r="K223" s="1"/>
    </row>
    <row r="224" spans="11:11">
      <c r="K224" s="1"/>
    </row>
    <row r="225" spans="11:11">
      <c r="K225" s="1"/>
    </row>
    <row r="226" spans="11:11">
      <c r="K226" s="1"/>
    </row>
    <row r="227" spans="11:11">
      <c r="K227" s="1"/>
    </row>
    <row r="228" spans="11:11">
      <c r="K228" s="1"/>
    </row>
    <row r="229" spans="11:11">
      <c r="K229" s="1"/>
    </row>
    <row r="230" spans="11:11">
      <c r="K230" s="1"/>
    </row>
    <row r="231" spans="11:11">
      <c r="K231" s="1"/>
    </row>
    <row r="232" spans="11:11">
      <c r="K232" s="1"/>
    </row>
    <row r="233" spans="11:11">
      <c r="K233" s="1"/>
    </row>
    <row r="234" spans="11:11">
      <c r="K234" s="1"/>
    </row>
    <row r="235" spans="11:11">
      <c r="K235" s="1"/>
    </row>
    <row r="236" spans="11:11">
      <c r="K236" s="1"/>
    </row>
    <row r="237" spans="11:11">
      <c r="K237" s="1"/>
    </row>
    <row r="238" spans="11:11">
      <c r="K238" s="1"/>
    </row>
    <row r="239" spans="11:11">
      <c r="K239" s="1"/>
    </row>
    <row r="240" spans="11:11">
      <c r="K240" s="1"/>
    </row>
    <row r="241" spans="11:11">
      <c r="K241" s="1"/>
    </row>
    <row r="242" spans="11:11">
      <c r="K242" s="1"/>
    </row>
    <row r="243" spans="11:11">
      <c r="K243" s="1"/>
    </row>
    <row r="244" spans="11:11">
      <c r="K244" s="1"/>
    </row>
    <row r="245" spans="11:11">
      <c r="K245" s="1"/>
    </row>
    <row r="246" spans="11:11">
      <c r="K246" s="1"/>
    </row>
    <row r="247" spans="11:11">
      <c r="K247" s="1"/>
    </row>
    <row r="248" spans="11:11">
      <c r="K248" s="1"/>
    </row>
    <row r="249" spans="11:11">
      <c r="K249" s="1"/>
    </row>
    <row r="250" spans="11:11">
      <c r="K250" s="1"/>
    </row>
    <row r="251" spans="11:11">
      <c r="K251" s="1"/>
    </row>
    <row r="252" spans="11:11">
      <c r="K252" s="1"/>
    </row>
    <row r="253" spans="11:11">
      <c r="K253" s="1"/>
    </row>
    <row r="254" spans="11:11">
      <c r="K254" s="1"/>
    </row>
    <row r="255" spans="11:11">
      <c r="K255" s="1"/>
    </row>
    <row r="256" spans="11:11">
      <c r="K256" s="1"/>
    </row>
    <row r="257" spans="11:11">
      <c r="K257" s="1"/>
    </row>
    <row r="258" spans="11:11">
      <c r="K258" s="1"/>
    </row>
    <row r="259" spans="11:11">
      <c r="K259" s="1"/>
    </row>
    <row r="260" spans="11:11">
      <c r="K260" s="1"/>
    </row>
    <row r="261" spans="11:11">
      <c r="K261" s="1"/>
    </row>
    <row r="262" spans="11:11">
      <c r="K262" s="1"/>
    </row>
    <row r="263" spans="11:11">
      <c r="K263" s="1"/>
    </row>
    <row r="264" spans="11:11">
      <c r="K264" s="1"/>
    </row>
    <row r="265" spans="11:11">
      <c r="K265" s="1"/>
    </row>
    <row r="266" spans="11:11">
      <c r="K266" s="1"/>
    </row>
    <row r="267" spans="11:11">
      <c r="K267" s="1"/>
    </row>
    <row r="268" spans="11:11">
      <c r="K268" s="1"/>
    </row>
    <row r="269" spans="11:11">
      <c r="K269" s="1"/>
    </row>
    <row r="270" spans="11:11">
      <c r="K270" s="1"/>
    </row>
    <row r="271" spans="11:11">
      <c r="K271" s="1"/>
    </row>
    <row r="272" spans="11:11">
      <c r="K272" s="1"/>
    </row>
    <row r="273" spans="11:11">
      <c r="K273" s="1"/>
    </row>
    <row r="274" spans="11:11">
      <c r="K274" s="1"/>
    </row>
    <row r="275" spans="11:11">
      <c r="K275" s="1"/>
    </row>
    <row r="276" spans="11:11">
      <c r="K276" s="1"/>
    </row>
    <row r="277" spans="11:11">
      <c r="K277" s="1"/>
    </row>
    <row r="278" spans="11:11">
      <c r="K278" s="1"/>
    </row>
    <row r="279" spans="11:11">
      <c r="K279" s="1"/>
    </row>
    <row r="280" spans="11:11">
      <c r="K280" s="1"/>
    </row>
    <row r="281" spans="11:11">
      <c r="K281" s="1"/>
    </row>
    <row r="282" spans="11:11">
      <c r="K282" s="1"/>
    </row>
    <row r="283" spans="11:11">
      <c r="K283" s="1"/>
    </row>
    <row r="284" spans="11:11">
      <c r="K284" s="1"/>
    </row>
    <row r="285" spans="11:11">
      <c r="K285" s="1"/>
    </row>
    <row r="286" spans="11:11">
      <c r="K286" s="1"/>
    </row>
    <row r="287" spans="11:11">
      <c r="K287" s="1"/>
    </row>
    <row r="288" spans="11:11">
      <c r="K288" s="1"/>
    </row>
    <row r="289" spans="11:11">
      <c r="K289" s="1"/>
    </row>
    <row r="290" spans="11:11">
      <c r="K290" s="1"/>
    </row>
    <row r="291" spans="11:11">
      <c r="K291" s="1"/>
    </row>
    <row r="292" spans="11:11">
      <c r="K292" s="1"/>
    </row>
    <row r="293" spans="11:11">
      <c r="K293" s="1"/>
    </row>
    <row r="294" spans="11:11">
      <c r="K294" s="1"/>
    </row>
    <row r="295" spans="11:11">
      <c r="K295" s="1"/>
    </row>
    <row r="296" spans="11:11">
      <c r="K296" s="1"/>
    </row>
    <row r="297" spans="11:11">
      <c r="K297" s="1"/>
    </row>
    <row r="298" spans="11:11">
      <c r="K298" s="1"/>
    </row>
    <row r="299" spans="11:11">
      <c r="K299" s="1"/>
    </row>
    <row r="300" spans="11:11">
      <c r="K300" s="1"/>
    </row>
    <row r="301" spans="11:11">
      <c r="K301" s="1"/>
    </row>
    <row r="302" spans="11:11">
      <c r="K302" s="1"/>
    </row>
    <row r="303" spans="11:11">
      <c r="K303" s="1"/>
    </row>
    <row r="304" spans="11:11">
      <c r="K304" s="1"/>
    </row>
    <row r="305" spans="11:11">
      <c r="K305" s="1"/>
    </row>
    <row r="306" spans="11:11">
      <c r="K306" s="1"/>
    </row>
    <row r="307" spans="11:11">
      <c r="K307" s="1"/>
    </row>
    <row r="308" spans="11:11">
      <c r="K308" s="1"/>
    </row>
    <row r="309" spans="11:11">
      <c r="K309" s="1"/>
    </row>
    <row r="310" spans="11:11">
      <c r="K310" s="1"/>
    </row>
    <row r="311" spans="11:11">
      <c r="K311" s="1"/>
    </row>
    <row r="312" spans="11:11">
      <c r="K312" s="1"/>
    </row>
    <row r="313" spans="11:11">
      <c r="K313" s="1"/>
    </row>
    <row r="314" spans="11:11">
      <c r="K314" s="1"/>
    </row>
    <row r="315" spans="11:11">
      <c r="K315" s="1"/>
    </row>
    <row r="316" spans="11:11">
      <c r="K316" s="1"/>
    </row>
    <row r="317" spans="11:11">
      <c r="K317" s="1"/>
    </row>
    <row r="318" spans="11:11">
      <c r="K318" s="1"/>
    </row>
    <row r="319" spans="11:11">
      <c r="K319" s="1"/>
    </row>
    <row r="320" spans="11:11">
      <c r="K320" s="1"/>
    </row>
    <row r="321" spans="11:11">
      <c r="K321" s="1"/>
    </row>
    <row r="322" spans="11:11">
      <c r="K322" s="1"/>
    </row>
    <row r="323" spans="11:11">
      <c r="K323" s="1"/>
    </row>
    <row r="324" spans="11:11">
      <c r="K324" s="1"/>
    </row>
    <row r="325" spans="11:11">
      <c r="K325" s="1"/>
    </row>
    <row r="326" spans="11:11">
      <c r="K326" s="1"/>
    </row>
    <row r="327" spans="11:11">
      <c r="K327" s="1"/>
    </row>
    <row r="328" spans="11:11">
      <c r="K328" s="1"/>
    </row>
    <row r="329" spans="11:11">
      <c r="K329" s="1"/>
    </row>
    <row r="330" spans="11:11">
      <c r="K330" s="1"/>
    </row>
    <row r="331" spans="11:11">
      <c r="K331" s="1"/>
    </row>
    <row r="332" spans="11:11">
      <c r="K332" s="1"/>
    </row>
    <row r="333" spans="11:11">
      <c r="K333" s="1"/>
    </row>
    <row r="334" spans="11:11">
      <c r="K334" s="1"/>
    </row>
    <row r="335" spans="11:11">
      <c r="K335" s="1"/>
    </row>
    <row r="336" spans="11:11">
      <c r="K336" s="1"/>
    </row>
    <row r="337" spans="11:11">
      <c r="K337" s="1"/>
    </row>
    <row r="338" spans="11:11">
      <c r="K338" s="1"/>
    </row>
    <row r="339" spans="11:11">
      <c r="K339" s="1"/>
    </row>
    <row r="340" spans="11:11">
      <c r="K340" s="1"/>
    </row>
    <row r="341" spans="11:11">
      <c r="K341" s="1"/>
    </row>
    <row r="342" spans="11:11">
      <c r="K342" s="1"/>
    </row>
    <row r="343" spans="11:11">
      <c r="K343" s="1"/>
    </row>
    <row r="344" spans="11:11">
      <c r="K344" s="1"/>
    </row>
    <row r="345" spans="11:11">
      <c r="K345" s="1"/>
    </row>
    <row r="346" spans="11:11">
      <c r="K346" s="1"/>
    </row>
    <row r="347" spans="11:11">
      <c r="K347" s="1"/>
    </row>
    <row r="348" spans="11:11">
      <c r="K348" s="1"/>
    </row>
    <row r="349" spans="11:11">
      <c r="K349" s="1"/>
    </row>
    <row r="350" spans="11:11">
      <c r="K350" s="1"/>
    </row>
    <row r="351" spans="11:11">
      <c r="K351" s="1"/>
    </row>
    <row r="352" spans="11:11">
      <c r="K352" s="1"/>
    </row>
    <row r="353" spans="11:11">
      <c r="K353" s="1"/>
    </row>
    <row r="354" spans="11:11">
      <c r="K354" s="1"/>
    </row>
    <row r="355" spans="11:11">
      <c r="K355" s="1"/>
    </row>
    <row r="356" spans="11:11">
      <c r="K356" s="1"/>
    </row>
    <row r="357" spans="11:11">
      <c r="K357" s="1"/>
    </row>
    <row r="358" spans="11:11">
      <c r="K358" s="1"/>
    </row>
    <row r="359" spans="11:11">
      <c r="K359" s="1"/>
    </row>
    <row r="360" spans="11:11">
      <c r="K360" s="1"/>
    </row>
    <row r="361" spans="11:11">
      <c r="K361" s="1"/>
    </row>
    <row r="362" spans="11:11">
      <c r="K362" s="1"/>
    </row>
    <row r="363" spans="11:11">
      <c r="K363" s="1"/>
    </row>
    <row r="364" spans="11:11">
      <c r="K364" s="1"/>
    </row>
    <row r="365" spans="11:11">
      <c r="K365" s="1"/>
    </row>
    <row r="366" spans="11:11">
      <c r="K366" s="1"/>
    </row>
    <row r="367" spans="11:11">
      <c r="K367" s="1"/>
    </row>
    <row r="368" spans="11:11">
      <c r="K368" s="1"/>
    </row>
    <row r="369" spans="11:11">
      <c r="K369" s="1"/>
    </row>
    <row r="370" spans="11:11">
      <c r="K370" s="1"/>
    </row>
    <row r="371" spans="11:11">
      <c r="K371" s="1"/>
    </row>
    <row r="372" spans="11:11">
      <c r="K372" s="1"/>
    </row>
    <row r="373" spans="11:11">
      <c r="K373" s="1"/>
    </row>
    <row r="374" spans="11:11">
      <c r="K374" s="1"/>
    </row>
    <row r="375" spans="11:11">
      <c r="K375" s="1"/>
    </row>
    <row r="376" spans="11:11">
      <c r="K376" s="1"/>
    </row>
    <row r="377" spans="11:11">
      <c r="K377" s="1"/>
    </row>
    <row r="378" spans="11:11">
      <c r="K378" s="1"/>
    </row>
    <row r="379" spans="11:11">
      <c r="K379" s="1"/>
    </row>
    <row r="380" spans="11:11">
      <c r="K380" s="1"/>
    </row>
    <row r="381" spans="11:11">
      <c r="K381" s="1"/>
    </row>
    <row r="382" spans="11:11">
      <c r="K382" s="1"/>
    </row>
    <row r="383" spans="11:11">
      <c r="K383" s="1"/>
    </row>
    <row r="384" spans="11:11">
      <c r="K384" s="1"/>
    </row>
    <row r="385" spans="11:11">
      <c r="K385" s="1"/>
    </row>
    <row r="386" spans="11:11">
      <c r="K386" s="1"/>
    </row>
    <row r="387" spans="11:11">
      <c r="K387" s="1"/>
    </row>
    <row r="388" spans="11:11">
      <c r="K388" s="1"/>
    </row>
    <row r="389" spans="11:11">
      <c r="K389" s="1"/>
    </row>
    <row r="390" spans="11:11">
      <c r="K390" s="1"/>
    </row>
    <row r="391" spans="11:11">
      <c r="K391" s="1"/>
    </row>
    <row r="392" spans="11:11">
      <c r="K392" s="1"/>
    </row>
    <row r="393" spans="11:11">
      <c r="K393" s="1"/>
    </row>
    <row r="394" spans="11:11">
      <c r="K394" s="1"/>
    </row>
    <row r="395" spans="11:11">
      <c r="K395" s="1"/>
    </row>
    <row r="396" spans="11:11">
      <c r="K396" s="1"/>
    </row>
    <row r="397" spans="11:11">
      <c r="K397" s="1"/>
    </row>
    <row r="398" spans="11:11">
      <c r="K398" s="1"/>
    </row>
    <row r="399" spans="11:11">
      <c r="K399" s="1"/>
    </row>
    <row r="400" spans="11:11">
      <c r="K400" s="1"/>
    </row>
    <row r="401" spans="11:11">
      <c r="K401" s="1"/>
    </row>
    <row r="402" spans="11:11">
      <c r="K402" s="1"/>
    </row>
    <row r="403" spans="11:11">
      <c r="K403" s="1"/>
    </row>
    <row r="404" spans="11:11">
      <c r="K404" s="1"/>
    </row>
    <row r="405" spans="11:11">
      <c r="K405" s="1"/>
    </row>
    <row r="406" spans="11:11">
      <c r="K406" s="1"/>
    </row>
    <row r="407" spans="11:11">
      <c r="K407" s="1"/>
    </row>
    <row r="408" spans="11:11">
      <c r="K408" s="1"/>
    </row>
    <row r="409" spans="11:11">
      <c r="K409" s="1"/>
    </row>
    <row r="410" spans="11:11">
      <c r="K410" s="1"/>
    </row>
    <row r="411" spans="11:11">
      <c r="K411" s="1"/>
    </row>
    <row r="412" spans="11:11">
      <c r="K412" s="1"/>
    </row>
    <row r="413" spans="11:11">
      <c r="K413" s="1"/>
    </row>
    <row r="414" spans="11:11">
      <c r="K414" s="1"/>
    </row>
    <row r="415" spans="11:11">
      <c r="K415" s="1"/>
    </row>
    <row r="416" spans="11:11">
      <c r="K416" s="1"/>
    </row>
    <row r="417" spans="11:11">
      <c r="K417" s="1"/>
    </row>
    <row r="418" spans="11:11">
      <c r="K418" s="1"/>
    </row>
    <row r="419" spans="11:11">
      <c r="K419" s="1"/>
    </row>
    <row r="420" spans="11:11">
      <c r="K420" s="1"/>
    </row>
    <row r="421" spans="11:11">
      <c r="K421" s="1"/>
    </row>
    <row r="422" spans="11:11">
      <c r="K422" s="1"/>
    </row>
    <row r="423" spans="11:11">
      <c r="K423" s="1"/>
    </row>
    <row r="424" spans="11:11">
      <c r="K424" s="1"/>
    </row>
    <row r="425" spans="11:11">
      <c r="K425" s="1"/>
    </row>
    <row r="426" spans="11:11">
      <c r="K426" s="1"/>
    </row>
    <row r="427" spans="11:11">
      <c r="K427" s="1"/>
    </row>
    <row r="428" spans="11:11">
      <c r="K428" s="1"/>
    </row>
    <row r="429" spans="11:11">
      <c r="K429" s="1"/>
    </row>
    <row r="430" spans="11:11">
      <c r="K430" s="1"/>
    </row>
    <row r="431" spans="11:11">
      <c r="K431" s="1"/>
    </row>
    <row r="432" spans="11:11">
      <c r="K432" s="1"/>
    </row>
    <row r="433" spans="11:11">
      <c r="K433" s="1"/>
    </row>
    <row r="434" spans="11:11">
      <c r="K434" s="1"/>
    </row>
    <row r="435" spans="11:11">
      <c r="K435" s="1"/>
    </row>
    <row r="436" spans="11:11">
      <c r="K436" s="1"/>
    </row>
    <row r="437" spans="11:11">
      <c r="K437" s="1"/>
    </row>
    <row r="438" spans="11:11">
      <c r="K438" s="1"/>
    </row>
    <row r="439" spans="11:11">
      <c r="K439" s="1"/>
    </row>
    <row r="440" spans="11:11">
      <c r="K440" s="1"/>
    </row>
    <row r="441" spans="11:11">
      <c r="K441" s="1"/>
    </row>
    <row r="442" spans="11:11">
      <c r="K442" s="1"/>
    </row>
    <row r="443" spans="11:11">
      <c r="K443" s="1"/>
    </row>
    <row r="444" spans="11:11">
      <c r="K444" s="1"/>
    </row>
    <row r="445" spans="11:11">
      <c r="K445" s="1"/>
    </row>
    <row r="446" spans="11:11">
      <c r="K446" s="1"/>
    </row>
    <row r="447" spans="11:11">
      <c r="K447" s="1"/>
    </row>
    <row r="448" spans="11:11">
      <c r="K448" s="1"/>
    </row>
    <row r="449" spans="11:11">
      <c r="K449" s="1"/>
    </row>
    <row r="450" spans="11:11">
      <c r="K450" s="1"/>
    </row>
    <row r="451" spans="11:11">
      <c r="K451" s="1"/>
    </row>
    <row r="452" spans="11:11">
      <c r="K452" s="1"/>
    </row>
    <row r="453" spans="11:11">
      <c r="K453" s="1"/>
    </row>
    <row r="454" spans="11:11">
      <c r="K454" s="1"/>
    </row>
    <row r="455" spans="11:11">
      <c r="K455" s="1"/>
    </row>
    <row r="456" spans="11:11">
      <c r="K456" s="1"/>
    </row>
    <row r="457" spans="11:11">
      <c r="K457" s="1"/>
    </row>
    <row r="458" spans="11:11">
      <c r="K458" s="1"/>
    </row>
    <row r="459" spans="11:11">
      <c r="K459" s="1"/>
    </row>
    <row r="460" spans="11:11">
      <c r="K460" s="1"/>
    </row>
    <row r="461" spans="11:11">
      <c r="K461" s="1"/>
    </row>
    <row r="462" spans="11:11">
      <c r="K462" s="1"/>
    </row>
    <row r="463" spans="11:11">
      <c r="K463" s="1"/>
    </row>
    <row r="464" spans="11:11">
      <c r="K464" s="1"/>
    </row>
    <row r="465" spans="11:11">
      <c r="K465" s="1"/>
    </row>
    <row r="466" spans="11:11">
      <c r="K466" s="1"/>
    </row>
    <row r="467" spans="11:11">
      <c r="K467" s="1"/>
    </row>
    <row r="468" spans="11:11">
      <c r="K468" s="1"/>
    </row>
    <row r="469" spans="11:11">
      <c r="K469" s="1"/>
    </row>
    <row r="470" spans="11:11">
      <c r="K470" s="1"/>
    </row>
    <row r="471" spans="11:11">
      <c r="K471" s="1"/>
    </row>
    <row r="472" spans="11:11">
      <c r="K472" s="1"/>
    </row>
    <row r="473" spans="11:11">
      <c r="K473" s="1"/>
    </row>
    <row r="474" spans="11:11">
      <c r="K474" s="1"/>
    </row>
    <row r="475" spans="11:11">
      <c r="K475" s="1"/>
    </row>
    <row r="476" spans="11:11">
      <c r="K476" s="1"/>
    </row>
    <row r="477" spans="11:11">
      <c r="K477" s="1"/>
    </row>
    <row r="478" spans="11:11">
      <c r="K478" s="1"/>
    </row>
    <row r="479" spans="11:11">
      <c r="K479" s="1"/>
    </row>
    <row r="480" spans="11:11">
      <c r="K480" s="1"/>
    </row>
    <row r="481" spans="11:11">
      <c r="K481" s="1"/>
    </row>
    <row r="482" spans="11:11">
      <c r="K482" s="1"/>
    </row>
    <row r="483" spans="11:11">
      <c r="K483" s="1"/>
    </row>
    <row r="484" spans="11:11">
      <c r="K484" s="1"/>
    </row>
    <row r="485" spans="11:11">
      <c r="K485" s="1"/>
    </row>
    <row r="486" spans="11:11">
      <c r="K486" s="1"/>
    </row>
    <row r="487" spans="11:11">
      <c r="K487" s="1"/>
    </row>
    <row r="488" spans="11:11">
      <c r="K488" s="1"/>
    </row>
    <row r="489" spans="11:11">
      <c r="K489" s="1"/>
    </row>
    <row r="490" spans="11:11">
      <c r="K490" s="1"/>
    </row>
    <row r="491" spans="11:11">
      <c r="K491" s="1"/>
    </row>
    <row r="492" spans="11:11">
      <c r="K492" s="1"/>
    </row>
    <row r="493" spans="11:11">
      <c r="K493" s="1"/>
    </row>
    <row r="494" spans="11:11">
      <c r="K494" s="1"/>
    </row>
    <row r="495" spans="11:11">
      <c r="K495" s="1"/>
    </row>
    <row r="496" spans="11:11">
      <c r="K496" s="1"/>
    </row>
    <row r="497" spans="11:11">
      <c r="K497" s="1"/>
    </row>
    <row r="498" spans="11:11">
      <c r="K498" s="1"/>
    </row>
    <row r="499" spans="11:11">
      <c r="K499" s="1"/>
    </row>
    <row r="500" spans="11:11">
      <c r="K500" s="1"/>
    </row>
    <row r="501" spans="11:11">
      <c r="K501" s="1"/>
    </row>
    <row r="502" spans="11:11">
      <c r="K502" s="1"/>
    </row>
    <row r="503" spans="11:11">
      <c r="K503" s="1"/>
    </row>
    <row r="504" spans="11:11">
      <c r="K504" s="1"/>
    </row>
    <row r="505" spans="11:11">
      <c r="K505" s="1"/>
    </row>
    <row r="506" spans="11:11">
      <c r="K506" s="1"/>
    </row>
    <row r="507" spans="11:11">
      <c r="K507" s="1"/>
    </row>
    <row r="508" spans="11:11">
      <c r="K508" s="1"/>
    </row>
    <row r="509" spans="11:11">
      <c r="K509" s="1"/>
    </row>
    <row r="510" spans="11:11">
      <c r="K510" s="1"/>
    </row>
    <row r="511" spans="11:11">
      <c r="K511" s="1"/>
    </row>
    <row r="512" spans="11:11">
      <c r="K512" s="1"/>
    </row>
    <row r="513" spans="11:11">
      <c r="K513" s="1"/>
    </row>
    <row r="514" spans="11:11">
      <c r="K514" s="1"/>
    </row>
    <row r="515" spans="11:11">
      <c r="K515" s="1"/>
    </row>
    <row r="516" spans="11:11">
      <c r="K516" s="1"/>
    </row>
    <row r="517" spans="11:11">
      <c r="K517" s="1"/>
    </row>
    <row r="518" spans="11:11">
      <c r="K518" s="1"/>
    </row>
    <row r="519" spans="11:11">
      <c r="K519" s="1"/>
    </row>
    <row r="520" spans="11:11">
      <c r="K520" s="1"/>
    </row>
    <row r="521" spans="11:11">
      <c r="K521" s="1"/>
    </row>
    <row r="522" spans="11:11">
      <c r="K522" s="1"/>
    </row>
    <row r="523" spans="11:11">
      <c r="K523" s="1"/>
    </row>
    <row r="524" spans="11:11">
      <c r="K524" s="1"/>
    </row>
    <row r="525" spans="11:11">
      <c r="K525" s="1"/>
    </row>
    <row r="526" spans="11:11">
      <c r="K526" s="1"/>
    </row>
    <row r="527" spans="11:11">
      <c r="K527" s="1"/>
    </row>
    <row r="528" spans="11:11">
      <c r="K528" s="1"/>
    </row>
    <row r="529" spans="11:11">
      <c r="K529" s="1"/>
    </row>
    <row r="530" spans="11:11">
      <c r="K530" s="1"/>
    </row>
    <row r="531" spans="11:11">
      <c r="K531" s="1"/>
    </row>
    <row r="532" spans="11:11">
      <c r="K532" s="1"/>
    </row>
    <row r="533" spans="11:11">
      <c r="K533" s="1"/>
    </row>
    <row r="534" spans="11:11">
      <c r="K534" s="1"/>
    </row>
    <row r="535" spans="11:11">
      <c r="K535" s="1"/>
    </row>
    <row r="536" spans="11:11">
      <c r="K536" s="1"/>
    </row>
    <row r="537" spans="11:11">
      <c r="K537" s="1"/>
    </row>
    <row r="538" spans="11:11">
      <c r="K538" s="1"/>
    </row>
    <row r="539" spans="11:11">
      <c r="K539" s="1"/>
    </row>
    <row r="540" spans="11:11">
      <c r="K540" s="1"/>
    </row>
    <row r="541" spans="11:11">
      <c r="K541" s="1"/>
    </row>
    <row r="542" spans="11:11">
      <c r="K542" s="1"/>
    </row>
    <row r="543" spans="11:11">
      <c r="K543" s="1"/>
    </row>
    <row r="544" spans="11:11">
      <c r="K544" s="1"/>
    </row>
    <row r="545" spans="11:11">
      <c r="K545" s="1"/>
    </row>
    <row r="546" spans="11:11">
      <c r="K546" s="1"/>
    </row>
    <row r="547" spans="11:11">
      <c r="K547" s="1"/>
    </row>
    <row r="548" spans="11:11">
      <c r="K548" s="1"/>
    </row>
    <row r="549" spans="11:11">
      <c r="K549" s="1"/>
    </row>
    <row r="550" spans="11:11">
      <c r="K550" s="1"/>
    </row>
    <row r="551" spans="11:11">
      <c r="K551" s="1"/>
    </row>
    <row r="552" spans="11:11">
      <c r="K552" s="1"/>
    </row>
    <row r="553" spans="11:11">
      <c r="K553" s="1"/>
    </row>
    <row r="554" spans="11:11">
      <c r="K554" s="1"/>
    </row>
    <row r="555" spans="11:11">
      <c r="K555" s="1"/>
    </row>
    <row r="556" spans="11:11">
      <c r="K556" s="1"/>
    </row>
    <row r="557" spans="11:11">
      <c r="K557" s="1"/>
    </row>
    <row r="558" spans="11:11">
      <c r="K558" s="1"/>
    </row>
    <row r="559" spans="11:11">
      <c r="K559" s="1"/>
    </row>
    <row r="560" spans="11:11">
      <c r="K560" s="1"/>
    </row>
    <row r="561" spans="11:11">
      <c r="K561" s="1"/>
    </row>
    <row r="562" spans="11:11">
      <c r="K562" s="1"/>
    </row>
    <row r="563" spans="11:11">
      <c r="K563" s="1"/>
    </row>
    <row r="564" spans="11:11">
      <c r="K564" s="1"/>
    </row>
    <row r="565" spans="11:11">
      <c r="K565" s="1"/>
    </row>
    <row r="566" spans="11:11">
      <c r="K566" s="1"/>
    </row>
    <row r="567" spans="11:11">
      <c r="K567" s="1"/>
    </row>
    <row r="568" spans="11:11">
      <c r="K568" s="1"/>
    </row>
    <row r="569" spans="11:11">
      <c r="K569" s="1"/>
    </row>
    <row r="570" spans="11:11">
      <c r="K570" s="1"/>
    </row>
    <row r="571" spans="11:11">
      <c r="K571" s="1"/>
    </row>
    <row r="572" spans="11:11">
      <c r="K572" s="1"/>
    </row>
    <row r="573" spans="11:11">
      <c r="K573" s="1"/>
    </row>
    <row r="574" spans="11:11">
      <c r="K574" s="1"/>
    </row>
    <row r="575" spans="11:11">
      <c r="K575" s="1"/>
    </row>
    <row r="576" spans="11:11">
      <c r="K576" s="1"/>
    </row>
    <row r="577" spans="11:11">
      <c r="K577" s="1"/>
    </row>
    <row r="578" spans="11:11">
      <c r="K578" s="1"/>
    </row>
    <row r="579" spans="11:11">
      <c r="K579" s="1"/>
    </row>
    <row r="580" spans="11:11">
      <c r="K580" s="1"/>
    </row>
    <row r="581" spans="11:11">
      <c r="K581" s="1"/>
    </row>
    <row r="582" spans="11:11">
      <c r="K582" s="1"/>
    </row>
    <row r="583" spans="11:11">
      <c r="K583" s="1"/>
    </row>
    <row r="584" spans="11:11">
      <c r="K584" s="1"/>
    </row>
    <row r="585" spans="11:11">
      <c r="K585" s="1"/>
    </row>
    <row r="586" spans="11:11">
      <c r="K586" s="1"/>
    </row>
    <row r="587" spans="11:11">
      <c r="K587" s="1"/>
    </row>
    <row r="588" spans="11:11">
      <c r="K588" s="1"/>
    </row>
    <row r="589" spans="11:11">
      <c r="K589" s="1"/>
    </row>
    <row r="590" spans="11:11">
      <c r="K590" s="1"/>
    </row>
    <row r="591" spans="11:11">
      <c r="K591" s="1"/>
    </row>
    <row r="592" spans="11:11">
      <c r="K592" s="1"/>
    </row>
    <row r="593" spans="11:11">
      <c r="K593" s="1"/>
    </row>
    <row r="594" spans="11:11">
      <c r="K594" s="1"/>
    </row>
    <row r="595" spans="11:11">
      <c r="K595" s="1"/>
    </row>
    <row r="596" spans="11:11">
      <c r="K596" s="1"/>
    </row>
    <row r="597" spans="11:11">
      <c r="K597" s="1"/>
    </row>
    <row r="598" spans="11:11">
      <c r="K598" s="1"/>
    </row>
    <row r="599" spans="11:11">
      <c r="K599" s="1"/>
    </row>
    <row r="600" spans="11:11">
      <c r="K600" s="1"/>
    </row>
    <row r="601" spans="11:11">
      <c r="K601" s="1"/>
    </row>
    <row r="602" spans="11:11">
      <c r="K602" s="1"/>
    </row>
    <row r="603" spans="11:11">
      <c r="K603" s="1"/>
    </row>
    <row r="604" spans="11:11">
      <c r="K604" s="1"/>
    </row>
    <row r="605" spans="11:11">
      <c r="K605" s="1"/>
    </row>
    <row r="606" spans="11:11">
      <c r="K606" s="1"/>
    </row>
    <row r="607" spans="11:11">
      <c r="K607" s="1"/>
    </row>
    <row r="608" spans="11:11">
      <c r="K608" s="1"/>
    </row>
    <row r="609" spans="11:11">
      <c r="K609" s="1"/>
    </row>
    <row r="610" spans="11:11">
      <c r="K610" s="1"/>
    </row>
    <row r="611" spans="11:11">
      <c r="K611" s="1"/>
    </row>
    <row r="612" spans="11:11">
      <c r="K612" s="1"/>
    </row>
    <row r="613" spans="11:11">
      <c r="K613" s="1"/>
    </row>
    <row r="614" spans="11:11">
      <c r="K614" s="1"/>
    </row>
    <row r="615" spans="11:11">
      <c r="K615" s="1"/>
    </row>
    <row r="616" spans="11:11">
      <c r="K616" s="1"/>
    </row>
    <row r="617" spans="11:11">
      <c r="K617" s="1"/>
    </row>
    <row r="618" spans="11:11">
      <c r="K618" s="1"/>
    </row>
    <row r="619" spans="11:11">
      <c r="K619" s="1"/>
    </row>
    <row r="620" spans="11:11">
      <c r="K620" s="1"/>
    </row>
    <row r="621" spans="11:11">
      <c r="K621" s="1"/>
    </row>
    <row r="622" spans="11:11">
      <c r="K622" s="1"/>
    </row>
    <row r="623" spans="11:11">
      <c r="K623" s="1"/>
    </row>
    <row r="624" spans="11:11">
      <c r="K624" s="1"/>
    </row>
    <row r="625" spans="11:11">
      <c r="K625" s="1"/>
    </row>
    <row r="626" spans="11:11">
      <c r="K626" s="1"/>
    </row>
    <row r="627" spans="11:11">
      <c r="K627" s="1"/>
    </row>
    <row r="628" spans="11:11">
      <c r="K628" s="1"/>
    </row>
    <row r="629" spans="11:11">
      <c r="K629" s="1"/>
    </row>
    <row r="630" spans="11:11">
      <c r="K630" s="1"/>
    </row>
    <row r="631" spans="11:11">
      <c r="K631" s="1"/>
    </row>
    <row r="632" spans="11:11">
      <c r="K632" s="1"/>
    </row>
    <row r="633" spans="11:11">
      <c r="K633" s="1"/>
    </row>
    <row r="634" spans="11:11">
      <c r="K634" s="1"/>
    </row>
    <row r="635" spans="11:11">
      <c r="K635" s="1"/>
    </row>
    <row r="636" spans="11:11">
      <c r="K636" s="1"/>
    </row>
    <row r="637" spans="11:11">
      <c r="K637" s="1"/>
    </row>
    <row r="638" spans="11:11">
      <c r="K638" s="1"/>
    </row>
    <row r="639" spans="11:11">
      <c r="K639" s="1"/>
    </row>
    <row r="640" spans="11:11">
      <c r="K640" s="1"/>
    </row>
    <row r="641" spans="11:11">
      <c r="K641" s="1"/>
    </row>
    <row r="642" spans="11:11">
      <c r="K642" s="1"/>
    </row>
    <row r="643" spans="11:11">
      <c r="K643" s="1"/>
    </row>
    <row r="644" spans="11:11">
      <c r="K644" s="1"/>
    </row>
    <row r="645" spans="11:11">
      <c r="K645" s="1"/>
    </row>
    <row r="646" spans="11:11">
      <c r="K646" s="1"/>
    </row>
    <row r="647" spans="11:11">
      <c r="K647" s="1"/>
    </row>
    <row r="648" spans="11:11">
      <c r="K648" s="1"/>
    </row>
    <row r="649" spans="11:11">
      <c r="K649" s="1"/>
    </row>
    <row r="650" spans="11:11">
      <c r="K650" s="1"/>
    </row>
    <row r="651" spans="11:11">
      <c r="K651" s="1"/>
    </row>
    <row r="652" spans="11:11">
      <c r="K652" s="1"/>
    </row>
    <row r="653" spans="11:11">
      <c r="K653" s="1"/>
    </row>
    <row r="654" spans="11:11">
      <c r="K654" s="1"/>
    </row>
    <row r="655" spans="11:11">
      <c r="K655" s="1"/>
    </row>
    <row r="656" spans="11:11">
      <c r="K656" s="1"/>
    </row>
    <row r="657" spans="11:11">
      <c r="K657" s="1"/>
    </row>
    <row r="658" spans="11:11">
      <c r="K658" s="1"/>
    </row>
    <row r="659" spans="11:11">
      <c r="K659" s="1"/>
    </row>
    <row r="660" spans="11:11">
      <c r="K660" s="1"/>
    </row>
    <row r="661" spans="11:11">
      <c r="K661" s="1"/>
    </row>
    <row r="662" spans="11:11">
      <c r="K662" s="1"/>
    </row>
    <row r="663" spans="11:11">
      <c r="K663" s="1"/>
    </row>
    <row r="664" spans="11:11">
      <c r="K664" s="1"/>
    </row>
    <row r="665" spans="11:11">
      <c r="K665" s="1"/>
    </row>
    <row r="666" spans="11:11">
      <c r="K666" s="1"/>
    </row>
    <row r="667" spans="11:11">
      <c r="K667" s="1"/>
    </row>
    <row r="668" spans="11:11">
      <c r="K668" s="1"/>
    </row>
    <row r="669" spans="11:11">
      <c r="K669" s="1"/>
    </row>
    <row r="670" spans="11:11">
      <c r="K670" s="1"/>
    </row>
    <row r="671" spans="11:11">
      <c r="K671" s="1"/>
    </row>
    <row r="672" spans="11:11">
      <c r="K672" s="1"/>
    </row>
    <row r="673" spans="11:11">
      <c r="K673" s="1"/>
    </row>
    <row r="674" spans="11:11">
      <c r="K674" s="1"/>
    </row>
    <row r="675" spans="11:11">
      <c r="K675" s="1"/>
    </row>
    <row r="676" spans="11:11">
      <c r="K676" s="1"/>
    </row>
    <row r="677" spans="11:11">
      <c r="K677" s="1"/>
    </row>
    <row r="678" spans="11:11">
      <c r="K678" s="1"/>
    </row>
    <row r="679" spans="11:11">
      <c r="K679" s="1"/>
    </row>
    <row r="680" spans="11:11">
      <c r="K680" s="1"/>
    </row>
    <row r="681" spans="11:11">
      <c r="K681" s="1"/>
    </row>
    <row r="682" spans="11:11">
      <c r="K682" s="1"/>
    </row>
    <row r="683" spans="11:11">
      <c r="K683" s="1"/>
    </row>
    <row r="684" spans="11:11">
      <c r="K684" s="1"/>
    </row>
    <row r="685" spans="11:11">
      <c r="K685" s="1"/>
    </row>
    <row r="686" spans="11:11">
      <c r="K686" s="1"/>
    </row>
    <row r="687" spans="11:11">
      <c r="K687" s="1"/>
    </row>
    <row r="688" spans="11:11">
      <c r="K688" s="1"/>
    </row>
    <row r="689" spans="11:11">
      <c r="K689" s="1"/>
    </row>
    <row r="690" spans="11:11">
      <c r="K690" s="1"/>
    </row>
    <row r="691" spans="11:11">
      <c r="K691" s="1"/>
    </row>
    <row r="692" spans="11:11">
      <c r="K692" s="1"/>
    </row>
    <row r="693" spans="11:11">
      <c r="K693" s="1"/>
    </row>
    <row r="694" spans="11:11">
      <c r="K694" s="1"/>
    </row>
    <row r="695" spans="11:11">
      <c r="K695" s="1"/>
    </row>
    <row r="696" spans="11:11">
      <c r="K696" s="1"/>
    </row>
    <row r="697" spans="11:11">
      <c r="K697" s="1"/>
    </row>
    <row r="698" spans="11:11">
      <c r="K698" s="1"/>
    </row>
    <row r="699" spans="11:11">
      <c r="K699" s="1"/>
    </row>
    <row r="700" spans="11:11">
      <c r="K700" s="1"/>
    </row>
    <row r="701" spans="11:11">
      <c r="K701" s="1"/>
    </row>
    <row r="702" spans="11:11">
      <c r="K702" s="1"/>
    </row>
    <row r="703" spans="11:11">
      <c r="K703" s="1"/>
    </row>
    <row r="704" spans="11:11">
      <c r="K704" s="1"/>
    </row>
    <row r="705" spans="11:11">
      <c r="K705" s="1"/>
    </row>
    <row r="706" spans="11:11">
      <c r="K706" s="1"/>
    </row>
    <row r="707" spans="11:11">
      <c r="K707" s="1"/>
    </row>
    <row r="708" spans="11:11">
      <c r="K708" s="1"/>
    </row>
    <row r="709" spans="11:11">
      <c r="K709" s="1"/>
    </row>
    <row r="710" spans="11:11">
      <c r="K710" s="1"/>
    </row>
    <row r="711" spans="11:11">
      <c r="K711" s="1"/>
    </row>
    <row r="712" spans="11:11">
      <c r="K712" s="1"/>
    </row>
    <row r="713" spans="11:11">
      <c r="K713" s="1"/>
    </row>
    <row r="714" spans="11:11">
      <c r="K714" s="1"/>
    </row>
    <row r="715" spans="11:11">
      <c r="K715" s="1"/>
    </row>
    <row r="716" spans="11:11">
      <c r="K716" s="1"/>
    </row>
    <row r="717" spans="11:11">
      <c r="K717" s="1"/>
    </row>
    <row r="718" spans="11:11">
      <c r="K718" s="1"/>
    </row>
    <row r="719" spans="11:11">
      <c r="K719" s="1"/>
    </row>
    <row r="720" spans="11:11">
      <c r="K720" s="1"/>
    </row>
    <row r="721" spans="11:11">
      <c r="K721" s="1"/>
    </row>
    <row r="722" spans="11:11">
      <c r="K722" s="1"/>
    </row>
    <row r="723" spans="11:11">
      <c r="K723" s="1"/>
    </row>
    <row r="724" spans="11:11">
      <c r="K724" s="1"/>
    </row>
    <row r="725" spans="11:11">
      <c r="K725" s="1"/>
    </row>
    <row r="726" spans="11:11">
      <c r="K726" s="1"/>
    </row>
    <row r="727" spans="11:11">
      <c r="K727" s="1"/>
    </row>
    <row r="728" spans="11:11">
      <c r="K728" s="1"/>
    </row>
    <row r="729" spans="11:11">
      <c r="K729" s="1"/>
    </row>
    <row r="730" spans="11:11">
      <c r="K730" s="1"/>
    </row>
    <row r="731" spans="11:11">
      <c r="K731" s="1"/>
    </row>
    <row r="732" spans="11:11">
      <c r="K732" s="1"/>
    </row>
    <row r="733" spans="11:11">
      <c r="K733" s="1"/>
    </row>
    <row r="734" spans="11:11">
      <c r="K734" s="1"/>
    </row>
    <row r="735" spans="11:11">
      <c r="K735" s="1"/>
    </row>
    <row r="736" spans="11:11">
      <c r="K736" s="1"/>
    </row>
    <row r="737" spans="11:11">
      <c r="K737" s="1"/>
    </row>
    <row r="738" spans="11:11">
      <c r="K738" s="1"/>
    </row>
    <row r="739" spans="11:11">
      <c r="K739" s="1"/>
    </row>
    <row r="740" spans="11:11">
      <c r="K740" s="1"/>
    </row>
    <row r="741" spans="11:11">
      <c r="K741" s="1"/>
    </row>
    <row r="742" spans="11:11">
      <c r="K742" s="1"/>
    </row>
    <row r="743" spans="11:11">
      <c r="K743" s="1"/>
    </row>
    <row r="744" spans="11:11">
      <c r="K744" s="1"/>
    </row>
    <row r="745" spans="11:11">
      <c r="K745" s="1"/>
    </row>
    <row r="746" spans="11:11">
      <c r="K746" s="1"/>
    </row>
    <row r="747" spans="11:11">
      <c r="K747" s="1"/>
    </row>
    <row r="748" spans="11:11">
      <c r="K748" s="1"/>
    </row>
    <row r="749" spans="11:11">
      <c r="K749" s="1"/>
    </row>
    <row r="750" spans="11:11">
      <c r="K750" s="1"/>
    </row>
    <row r="751" spans="11:11">
      <c r="K751" s="1"/>
    </row>
    <row r="752" spans="11:11">
      <c r="K752" s="1"/>
    </row>
    <row r="753" spans="11:11">
      <c r="K753" s="1"/>
    </row>
    <row r="754" spans="11:11">
      <c r="K754" s="1"/>
    </row>
    <row r="755" spans="11:11">
      <c r="K755" s="1"/>
    </row>
    <row r="756" spans="11:11">
      <c r="K756" s="1"/>
    </row>
    <row r="757" spans="11:11">
      <c r="K757" s="1"/>
    </row>
    <row r="758" spans="11:11">
      <c r="K758" s="1"/>
    </row>
    <row r="759" spans="11:11">
      <c r="K759" s="1"/>
    </row>
    <row r="760" spans="11:11">
      <c r="K760" s="1"/>
    </row>
    <row r="761" spans="11:11">
      <c r="K761" s="1"/>
    </row>
    <row r="762" spans="11:11">
      <c r="K762" s="1"/>
    </row>
    <row r="763" spans="11:11">
      <c r="K763" s="1"/>
    </row>
    <row r="764" spans="11:11">
      <c r="K764" s="1"/>
    </row>
    <row r="765" spans="11:11">
      <c r="K765" s="1"/>
    </row>
    <row r="766" spans="11:11">
      <c r="K766" s="1"/>
    </row>
    <row r="767" spans="11:11">
      <c r="K767" s="1"/>
    </row>
    <row r="768" spans="11:11">
      <c r="K768" s="1"/>
    </row>
    <row r="769" spans="11:11">
      <c r="K769" s="1"/>
    </row>
    <row r="770" spans="11:11">
      <c r="K770" s="1"/>
    </row>
    <row r="771" spans="11:11">
      <c r="K771" s="1"/>
    </row>
    <row r="772" spans="11:11">
      <c r="K772" s="1"/>
    </row>
    <row r="773" spans="11:11">
      <c r="K773" s="1"/>
    </row>
    <row r="774" spans="11:11">
      <c r="K774" s="1"/>
    </row>
    <row r="775" spans="11:11">
      <c r="K775" s="1"/>
    </row>
    <row r="776" spans="11:11">
      <c r="K776" s="1"/>
    </row>
    <row r="777" spans="11:11">
      <c r="K777" s="1"/>
    </row>
    <row r="778" spans="11:11">
      <c r="K778" s="1"/>
    </row>
    <row r="779" spans="11:11">
      <c r="K779" s="1"/>
    </row>
    <row r="780" spans="11:11">
      <c r="K780" s="1"/>
    </row>
    <row r="781" spans="11:11">
      <c r="K781" s="1"/>
    </row>
    <row r="782" spans="11:11">
      <c r="K782" s="1"/>
    </row>
    <row r="783" spans="11:11">
      <c r="K783" s="1"/>
    </row>
    <row r="784" spans="11:11">
      <c r="K784" s="1"/>
    </row>
    <row r="785" spans="11:11">
      <c r="K785" s="1"/>
    </row>
    <row r="786" spans="11:11">
      <c r="K786" s="1"/>
    </row>
    <row r="787" spans="11:11">
      <c r="K787" s="1"/>
    </row>
    <row r="788" spans="11:11">
      <c r="K788" s="1"/>
    </row>
    <row r="789" spans="11:11">
      <c r="K789" s="1"/>
    </row>
    <row r="790" spans="11:11">
      <c r="K790" s="1"/>
    </row>
    <row r="791" spans="11:11">
      <c r="K791" s="1"/>
    </row>
    <row r="792" spans="11:11">
      <c r="K792" s="1"/>
    </row>
    <row r="793" spans="11:11">
      <c r="K793" s="1"/>
    </row>
    <row r="794" spans="11:11">
      <c r="K794" s="1"/>
    </row>
    <row r="795" spans="11:11">
      <c r="K795" s="1"/>
    </row>
    <row r="796" spans="11:11">
      <c r="K796" s="1"/>
    </row>
    <row r="797" spans="11:11">
      <c r="K797" s="1"/>
    </row>
    <row r="798" spans="11:11">
      <c r="K798" s="1"/>
    </row>
    <row r="799" spans="11:11">
      <c r="K799" s="1"/>
    </row>
    <row r="800" spans="11:11">
      <c r="K800" s="1"/>
    </row>
    <row r="801" spans="11:11">
      <c r="K801" s="1"/>
    </row>
    <row r="802" spans="11:11">
      <c r="K802" s="1"/>
    </row>
    <row r="803" spans="11:11">
      <c r="K803" s="1"/>
    </row>
    <row r="804" spans="11:11">
      <c r="K804" s="1"/>
    </row>
    <row r="805" spans="11:11">
      <c r="K805" s="1"/>
    </row>
    <row r="806" spans="11:11">
      <c r="K806" s="1"/>
    </row>
    <row r="807" spans="11:11">
      <c r="K807" s="1"/>
    </row>
    <row r="808" spans="11:11">
      <c r="K808" s="1"/>
    </row>
    <row r="809" spans="11:11">
      <c r="K809" s="1"/>
    </row>
    <row r="810" spans="11:11">
      <c r="K810" s="1"/>
    </row>
    <row r="811" spans="11:11">
      <c r="K811" s="1"/>
    </row>
    <row r="812" spans="11:11">
      <c r="K812" s="1"/>
    </row>
    <row r="813" spans="11:11">
      <c r="K813" s="1"/>
    </row>
    <row r="814" spans="11:11">
      <c r="K814" s="1"/>
    </row>
    <row r="815" spans="11:11">
      <c r="K815" s="1"/>
    </row>
    <row r="816" spans="11:11">
      <c r="K816" s="1"/>
    </row>
    <row r="817" spans="11:11">
      <c r="K817" s="1"/>
    </row>
    <row r="818" spans="11:11">
      <c r="K818" s="1"/>
    </row>
    <row r="819" spans="11:11">
      <c r="K819" s="1"/>
    </row>
    <row r="820" spans="11:11">
      <c r="K820" s="1"/>
    </row>
    <row r="821" spans="11:11">
      <c r="K821" s="1"/>
    </row>
    <row r="822" spans="11:11">
      <c r="K822" s="1"/>
    </row>
    <row r="823" spans="11:11">
      <c r="K823" s="1"/>
    </row>
    <row r="824" spans="11:11">
      <c r="K824" s="1"/>
    </row>
    <row r="825" spans="11:11">
      <c r="K825" s="1"/>
    </row>
    <row r="826" spans="11:11">
      <c r="K826" s="1"/>
    </row>
    <row r="827" spans="11:11">
      <c r="K827" s="1"/>
    </row>
    <row r="828" spans="11:11">
      <c r="K828" s="1"/>
    </row>
    <row r="829" spans="11:11">
      <c r="K829" s="1"/>
    </row>
    <row r="830" spans="11:11">
      <c r="K830" s="1"/>
    </row>
    <row r="831" spans="11:11">
      <c r="K831" s="1"/>
    </row>
    <row r="832" spans="11:11">
      <c r="K832" s="1"/>
    </row>
    <row r="833" spans="11:11">
      <c r="K833" s="1"/>
    </row>
    <row r="834" spans="11:11">
      <c r="K834" s="1"/>
    </row>
    <row r="835" spans="11:11">
      <c r="K835" s="1"/>
    </row>
    <row r="836" spans="11:11">
      <c r="K836" s="1"/>
    </row>
    <row r="837" spans="11:11">
      <c r="K837" s="1"/>
    </row>
    <row r="838" spans="11:11">
      <c r="K838" s="1"/>
    </row>
    <row r="839" spans="11:11">
      <c r="K839" s="1"/>
    </row>
    <row r="840" spans="11:11">
      <c r="K840" s="1"/>
    </row>
    <row r="841" spans="11:11">
      <c r="K841" s="1"/>
    </row>
    <row r="842" spans="11:11">
      <c r="K842" s="1"/>
    </row>
    <row r="843" spans="11:11">
      <c r="K843" s="1"/>
    </row>
    <row r="844" spans="11:11">
      <c r="K844" s="1"/>
    </row>
    <row r="845" spans="11:11">
      <c r="K845" s="1"/>
    </row>
    <row r="846" spans="11:11">
      <c r="K846" s="1"/>
    </row>
    <row r="847" spans="11:11">
      <c r="K847" s="1"/>
    </row>
    <row r="848" spans="11:11">
      <c r="K848" s="1"/>
    </row>
    <row r="849" spans="11:11">
      <c r="K849" s="1"/>
    </row>
    <row r="850" spans="11:11">
      <c r="K850" s="1"/>
    </row>
    <row r="851" spans="11:11">
      <c r="K851" s="1"/>
    </row>
    <row r="852" spans="11:11">
      <c r="K852" s="1"/>
    </row>
    <row r="853" spans="11:11">
      <c r="K853" s="1"/>
    </row>
    <row r="854" spans="11:11">
      <c r="K854" s="1"/>
    </row>
    <row r="855" spans="11:11">
      <c r="K855" s="1"/>
    </row>
    <row r="856" spans="11:11">
      <c r="K856" s="1"/>
    </row>
    <row r="857" spans="11:11">
      <c r="K857" s="1"/>
    </row>
    <row r="858" spans="11:11">
      <c r="K858" s="1"/>
    </row>
    <row r="859" spans="11:11">
      <c r="K859" s="1"/>
    </row>
    <row r="860" spans="11:11">
      <c r="K860" s="1"/>
    </row>
    <row r="861" spans="11:11">
      <c r="K861" s="1"/>
    </row>
    <row r="862" spans="11:11">
      <c r="K862" s="1"/>
    </row>
    <row r="863" spans="11:11">
      <c r="K863" s="1"/>
    </row>
    <row r="864" spans="11:11">
      <c r="K864" s="1"/>
    </row>
    <row r="865" spans="11:11">
      <c r="K865" s="1"/>
    </row>
    <row r="866" spans="11:11">
      <c r="K866" s="1"/>
    </row>
    <row r="867" spans="11:11">
      <c r="K867" s="1"/>
    </row>
    <row r="868" spans="11:11">
      <c r="K868" s="1"/>
    </row>
    <row r="869" spans="11:11">
      <c r="K869" s="1"/>
    </row>
    <row r="870" spans="11:11">
      <c r="K870" s="1"/>
    </row>
    <row r="871" spans="11:11">
      <c r="K871" s="1"/>
    </row>
    <row r="872" spans="11:11">
      <c r="K872" s="1"/>
    </row>
    <row r="873" spans="11:11">
      <c r="K873" s="1"/>
    </row>
    <row r="874" spans="11:11">
      <c r="K874" s="1"/>
    </row>
    <row r="875" spans="11:11">
      <c r="K875" s="1"/>
    </row>
    <row r="876" spans="11:11">
      <c r="K876" s="1"/>
    </row>
    <row r="877" spans="11:11">
      <c r="K877" s="1"/>
    </row>
    <row r="878" spans="11:11">
      <c r="K878" s="1"/>
    </row>
    <row r="879" spans="11:11">
      <c r="K879" s="1"/>
    </row>
    <row r="880" spans="11:11">
      <c r="K880" s="1"/>
    </row>
    <row r="881" spans="11:11">
      <c r="K881" s="1"/>
    </row>
    <row r="882" spans="11:11">
      <c r="K882" s="1"/>
    </row>
    <row r="883" spans="11:11">
      <c r="K883" s="1"/>
    </row>
    <row r="884" spans="11:11">
      <c r="K884" s="1"/>
    </row>
    <row r="885" spans="11:11">
      <c r="K885" s="1"/>
    </row>
    <row r="886" spans="11:11">
      <c r="K886" s="1"/>
    </row>
    <row r="887" spans="11:11">
      <c r="K887" s="1"/>
    </row>
    <row r="888" spans="11:11">
      <c r="K888" s="1"/>
    </row>
    <row r="889" spans="11:11">
      <c r="K889" s="1"/>
    </row>
    <row r="890" spans="11:11">
      <c r="K890" s="1"/>
    </row>
    <row r="891" spans="11:11">
      <c r="K891" s="1"/>
    </row>
    <row r="892" spans="11:11">
      <c r="K892" s="1"/>
    </row>
    <row r="893" spans="11:11">
      <c r="K893" s="1"/>
    </row>
    <row r="894" spans="11:11">
      <c r="K894" s="1"/>
    </row>
    <row r="895" spans="11:11">
      <c r="K895" s="1"/>
    </row>
    <row r="896" spans="11:11">
      <c r="K896" s="1"/>
    </row>
    <row r="897" spans="11:11">
      <c r="K897" s="1"/>
    </row>
    <row r="898" spans="11:11">
      <c r="K898" s="1"/>
    </row>
    <row r="899" spans="11:11">
      <c r="K899" s="1"/>
    </row>
    <row r="900" spans="11:11">
      <c r="K900" s="1"/>
    </row>
    <row r="901" spans="11:11">
      <c r="K901" s="1"/>
    </row>
    <row r="902" spans="11:11">
      <c r="K902" s="1"/>
    </row>
    <row r="903" spans="11:11">
      <c r="K903" s="1"/>
    </row>
    <row r="904" spans="11:11">
      <c r="K904" s="1"/>
    </row>
    <row r="905" spans="11:11">
      <c r="K905" s="1"/>
    </row>
    <row r="906" spans="11:11">
      <c r="K906" s="1"/>
    </row>
    <row r="907" spans="11:11">
      <c r="K907" s="1"/>
    </row>
    <row r="908" spans="11:11">
      <c r="K908" s="1"/>
    </row>
    <row r="909" spans="11:11">
      <c r="K909" s="1"/>
    </row>
    <row r="910" spans="11:11">
      <c r="K910" s="1"/>
    </row>
    <row r="911" spans="11:11">
      <c r="K911" s="1"/>
    </row>
    <row r="912" spans="11:11">
      <c r="K912" s="1"/>
    </row>
    <row r="913" spans="11:11">
      <c r="K913" s="1"/>
    </row>
    <row r="914" spans="11:11">
      <c r="K914" s="1"/>
    </row>
    <row r="915" spans="11:11">
      <c r="K915" s="1"/>
    </row>
    <row r="916" spans="11:11">
      <c r="K916" s="1"/>
    </row>
    <row r="917" spans="11:11">
      <c r="K917" s="1"/>
    </row>
    <row r="918" spans="11:11">
      <c r="K918" s="1"/>
    </row>
    <row r="919" spans="11:11">
      <c r="K919" s="1"/>
    </row>
    <row r="920" spans="11:11">
      <c r="K920" s="1"/>
    </row>
    <row r="921" spans="11:11">
      <c r="K921" s="1"/>
    </row>
    <row r="922" spans="11:11">
      <c r="K922" s="1"/>
    </row>
    <row r="923" spans="11:11">
      <c r="K923" s="1"/>
    </row>
    <row r="924" spans="11:11">
      <c r="K924" s="1"/>
    </row>
    <row r="925" spans="11:11">
      <c r="K925" s="1"/>
    </row>
    <row r="926" spans="11:11">
      <c r="K926" s="1"/>
    </row>
    <row r="927" spans="11:11">
      <c r="K927" s="1"/>
    </row>
    <row r="928" spans="11:11">
      <c r="K928" s="1"/>
    </row>
    <row r="929" spans="11:11">
      <c r="K929" s="1"/>
    </row>
    <row r="930" spans="11:11">
      <c r="K930" s="1"/>
    </row>
    <row r="931" spans="11:11">
      <c r="K931" s="1"/>
    </row>
    <row r="932" spans="11:11">
      <c r="K932" s="1"/>
    </row>
    <row r="933" spans="11:11">
      <c r="K933" s="1"/>
    </row>
    <row r="934" spans="11:11">
      <c r="K934" s="1"/>
    </row>
    <row r="935" spans="11:11">
      <c r="K935" s="1"/>
    </row>
    <row r="936" spans="11:11">
      <c r="K936" s="1"/>
    </row>
    <row r="937" spans="11:11">
      <c r="K937" s="1"/>
    </row>
    <row r="938" spans="11:11">
      <c r="K938" s="1"/>
    </row>
    <row r="939" spans="11:11">
      <c r="K939" s="1"/>
    </row>
    <row r="940" spans="11:11">
      <c r="K940" s="1"/>
    </row>
    <row r="941" spans="11:11">
      <c r="K941" s="1"/>
    </row>
    <row r="942" spans="11:11">
      <c r="K942" s="1"/>
    </row>
    <row r="943" spans="11:11">
      <c r="K943" s="1"/>
    </row>
    <row r="944" spans="11:11">
      <c r="K944" s="1"/>
    </row>
    <row r="945" spans="11:11">
      <c r="K945" s="1"/>
    </row>
    <row r="946" spans="11:11">
      <c r="K946" s="1"/>
    </row>
    <row r="947" spans="11:11">
      <c r="K947" s="1"/>
    </row>
    <row r="948" spans="11:11">
      <c r="K948" s="1"/>
    </row>
    <row r="949" spans="11:11">
      <c r="K949" s="1"/>
    </row>
    <row r="950" spans="11:11">
      <c r="K950" s="1"/>
    </row>
    <row r="951" spans="11:11">
      <c r="K951" s="1"/>
    </row>
    <row r="952" spans="11:11">
      <c r="K952" s="1"/>
    </row>
    <row r="953" spans="11:11">
      <c r="K953" s="1"/>
    </row>
    <row r="954" spans="11:11">
      <c r="K954" s="1"/>
    </row>
    <row r="955" spans="11:11">
      <c r="K955" s="1"/>
    </row>
    <row r="956" spans="11:11">
      <c r="K956" s="1"/>
    </row>
    <row r="957" spans="11:11">
      <c r="K957" s="1"/>
    </row>
    <row r="958" spans="11:11">
      <c r="K958" s="1"/>
    </row>
    <row r="959" spans="11:11">
      <c r="K959" s="1"/>
    </row>
    <row r="960" spans="11:11">
      <c r="K960" s="1"/>
    </row>
    <row r="961" spans="11:11">
      <c r="K961" s="1"/>
    </row>
    <row r="962" spans="11:11">
      <c r="K962" s="1"/>
    </row>
    <row r="963" spans="11:11">
      <c r="K963" s="1"/>
    </row>
    <row r="964" spans="11:11">
      <c r="K964" s="1"/>
    </row>
    <row r="965" spans="11:11">
      <c r="K965" s="1"/>
    </row>
    <row r="966" spans="11:11">
      <c r="K966" s="1"/>
    </row>
    <row r="967" spans="11:11">
      <c r="K967" s="1"/>
    </row>
    <row r="968" spans="11:11">
      <c r="K968" s="1"/>
    </row>
    <row r="969" spans="11:11">
      <c r="K969" s="1"/>
    </row>
    <row r="970" spans="11:11">
      <c r="K970" s="1"/>
    </row>
    <row r="971" spans="11:11">
      <c r="K971" s="1"/>
    </row>
    <row r="972" spans="11:11">
      <c r="K972" s="1"/>
    </row>
    <row r="973" spans="11:11">
      <c r="K973" s="1"/>
    </row>
    <row r="974" spans="11:11">
      <c r="K974" s="1"/>
    </row>
    <row r="975" spans="11:11">
      <c r="K975" s="1"/>
    </row>
    <row r="976" spans="11:11">
      <c r="K976" s="1"/>
    </row>
    <row r="977" spans="11:11">
      <c r="K977" s="1"/>
    </row>
    <row r="978" spans="11:11">
      <c r="K978" s="1"/>
    </row>
    <row r="979" spans="11:11">
      <c r="K979" s="1"/>
    </row>
    <row r="980" spans="11:11">
      <c r="K980" s="1"/>
    </row>
    <row r="981" spans="11:11">
      <c r="K981" s="1"/>
    </row>
    <row r="982" spans="11:11">
      <c r="K982" s="1"/>
    </row>
    <row r="983" spans="11:11">
      <c r="K983" s="1"/>
    </row>
    <row r="984" spans="11:11">
      <c r="K984" s="1"/>
    </row>
    <row r="985" spans="11:11">
      <c r="K985" s="1"/>
    </row>
    <row r="986" spans="11:11">
      <c r="K986" s="1"/>
    </row>
    <row r="987" spans="11:11">
      <c r="K987" s="1"/>
    </row>
    <row r="988" spans="11:11">
      <c r="K988" s="1"/>
    </row>
    <row r="989" spans="11:11">
      <c r="K989" s="1"/>
    </row>
    <row r="990" spans="11:11">
      <c r="K990" s="1"/>
    </row>
    <row r="991" spans="11:11">
      <c r="K991" s="1"/>
    </row>
    <row r="992" spans="11:11">
      <c r="K992" s="1"/>
    </row>
    <row r="993" spans="11:11">
      <c r="K993" s="1"/>
    </row>
    <row r="994" spans="11:11">
      <c r="K994" s="1"/>
    </row>
    <row r="995" spans="11:11">
      <c r="K995" s="1"/>
    </row>
    <row r="996" spans="11:11">
      <c r="K996" s="1"/>
    </row>
    <row r="997" spans="11:11">
      <c r="K997" s="1"/>
    </row>
    <row r="998" spans="11:11">
      <c r="K998" s="1"/>
    </row>
    <row r="999" spans="11:11">
      <c r="K999" s="1"/>
    </row>
    <row r="1000" spans="11:11">
      <c r="K1000" s="1"/>
    </row>
    <row r="1001" spans="11:11">
      <c r="K1001" s="1"/>
    </row>
    <row r="1002" spans="11:11">
      <c r="K1002" s="1"/>
    </row>
    <row r="1003" spans="11:11">
      <c r="K1003" s="1"/>
    </row>
    <row r="1004" spans="11:11">
      <c r="K1004" s="1"/>
    </row>
    <row r="1005" spans="11:11">
      <c r="K1005" s="1"/>
    </row>
    <row r="1006" spans="11:11">
      <c r="K1006" s="1"/>
    </row>
    <row r="1007" spans="11:11">
      <c r="K1007" s="1"/>
    </row>
    <row r="1008" spans="11:11">
      <c r="K1008" s="1"/>
    </row>
    <row r="1009" spans="11:11">
      <c r="K1009" s="1"/>
    </row>
    <row r="1010" spans="11:11">
      <c r="K1010" s="1"/>
    </row>
    <row r="1011" spans="11:11">
      <c r="K1011" s="1"/>
    </row>
    <row r="1012" spans="11:11">
      <c r="K1012" s="1"/>
    </row>
    <row r="1013" spans="11:11">
      <c r="K1013" s="1"/>
    </row>
    <row r="1014" spans="11:11">
      <c r="K1014" s="1"/>
    </row>
    <row r="1015" spans="11:11">
      <c r="K1015" s="1"/>
    </row>
    <row r="1016" spans="11:11">
      <c r="K1016" s="1"/>
    </row>
    <row r="1017" spans="11:11">
      <c r="K1017" s="1"/>
    </row>
    <row r="1018" spans="11:11">
      <c r="K1018" s="1"/>
    </row>
    <row r="1019" spans="11:11">
      <c r="K1019" s="1"/>
    </row>
    <row r="1020" spans="11:11">
      <c r="K1020" s="1"/>
    </row>
    <row r="1021" spans="11:11">
      <c r="K1021" s="1"/>
    </row>
    <row r="1022" spans="11:11">
      <c r="K1022" s="1"/>
    </row>
    <row r="1023" spans="11:11">
      <c r="K1023" s="1"/>
    </row>
    <row r="1024" spans="11:11">
      <c r="K1024" s="1"/>
    </row>
    <row r="1025" spans="11:11">
      <c r="K1025" s="1"/>
    </row>
    <row r="1026" spans="11:11">
      <c r="K1026" s="1"/>
    </row>
    <row r="1027" spans="11:11">
      <c r="K1027" s="1"/>
    </row>
    <row r="1028" spans="11:11">
      <c r="K1028" s="1"/>
    </row>
    <row r="1029" spans="11:11">
      <c r="K1029" s="1"/>
    </row>
    <row r="1030" spans="11:11">
      <c r="K1030" s="1"/>
    </row>
    <row r="1031" spans="11:11">
      <c r="K1031" s="1"/>
    </row>
    <row r="1032" spans="11:11">
      <c r="K1032" s="1"/>
    </row>
    <row r="1033" spans="11:11">
      <c r="K1033" s="1"/>
    </row>
    <row r="1034" spans="11:11">
      <c r="K1034" s="1"/>
    </row>
    <row r="1035" spans="11:11">
      <c r="K1035" s="1"/>
    </row>
    <row r="1036" spans="11:11">
      <c r="K1036" s="1"/>
    </row>
    <row r="1037" spans="11:11">
      <c r="K1037" s="1"/>
    </row>
    <row r="1038" spans="11:11">
      <c r="K1038" s="1"/>
    </row>
    <row r="1039" spans="11:11">
      <c r="K1039" s="1"/>
    </row>
    <row r="1040" spans="11:11">
      <c r="K1040" s="1"/>
    </row>
    <row r="1041" spans="11:11">
      <c r="K1041" s="1"/>
    </row>
    <row r="1042" spans="11:11">
      <c r="K1042" s="1"/>
    </row>
    <row r="1043" spans="11:11">
      <c r="K1043" s="1"/>
    </row>
    <row r="1044" spans="11:11">
      <c r="K1044" s="1"/>
    </row>
    <row r="1045" spans="11:11">
      <c r="K1045" s="1"/>
    </row>
    <row r="1046" spans="11:11">
      <c r="K1046" s="1"/>
    </row>
    <row r="1047" spans="11:11">
      <c r="K1047" s="1"/>
    </row>
    <row r="1048" spans="11:11">
      <c r="K1048" s="1"/>
    </row>
    <row r="1049" spans="11:11">
      <c r="K1049" s="1"/>
    </row>
    <row r="1050" spans="11:11">
      <c r="K1050" s="1"/>
    </row>
    <row r="1051" spans="11:11">
      <c r="K1051" s="1"/>
    </row>
    <row r="1052" spans="11:11">
      <c r="K1052" s="1"/>
    </row>
    <row r="1053" spans="11:11">
      <c r="K1053" s="1"/>
    </row>
    <row r="1054" spans="11:11">
      <c r="K1054" s="1"/>
    </row>
    <row r="1055" spans="11:11">
      <c r="K1055" s="1"/>
    </row>
    <row r="1056" spans="11:11">
      <c r="K1056" s="1"/>
    </row>
    <row r="1057" spans="11:11">
      <c r="K1057" s="1"/>
    </row>
    <row r="1058" spans="11:11">
      <c r="K1058" s="1"/>
    </row>
    <row r="1059" spans="11:11">
      <c r="K1059" s="1"/>
    </row>
    <row r="1060" spans="11:11">
      <c r="K1060" s="1"/>
    </row>
    <row r="1061" spans="11:11">
      <c r="K1061" s="1"/>
    </row>
    <row r="1062" spans="11:11">
      <c r="K1062" s="1"/>
    </row>
    <row r="1063" spans="11:11">
      <c r="K1063" s="1"/>
    </row>
    <row r="1064" spans="11:11">
      <c r="K1064" s="1"/>
    </row>
    <row r="1065" spans="11:11">
      <c r="K1065" s="1"/>
    </row>
    <row r="1066" spans="11:11">
      <c r="K1066" s="1"/>
    </row>
    <row r="1067" spans="11:11">
      <c r="K1067" s="1"/>
    </row>
    <row r="1068" spans="11:11">
      <c r="K1068" s="1"/>
    </row>
    <row r="1069" spans="11:11">
      <c r="K1069" s="1"/>
    </row>
    <row r="1070" spans="11:11">
      <c r="K1070" s="1"/>
    </row>
    <row r="1071" spans="11:11">
      <c r="K1071" s="1"/>
    </row>
    <row r="1072" spans="11:11">
      <c r="K1072" s="1"/>
    </row>
    <row r="1073" spans="11:11">
      <c r="K1073" s="1"/>
    </row>
    <row r="1074" spans="11:11">
      <c r="K1074" s="1"/>
    </row>
    <row r="1075" spans="11:11">
      <c r="K1075" s="1"/>
    </row>
    <row r="1076" spans="11:11">
      <c r="K1076" s="1"/>
    </row>
    <row r="1077" spans="11:11">
      <c r="K1077" s="1"/>
    </row>
    <row r="1078" spans="11:11">
      <c r="K1078" s="1"/>
    </row>
    <row r="1079" spans="11:11">
      <c r="K1079" s="1"/>
    </row>
    <row r="1080" spans="11:11">
      <c r="K1080" s="1"/>
    </row>
    <row r="1081" spans="11:11">
      <c r="K1081" s="1"/>
    </row>
    <row r="1082" spans="11:11">
      <c r="K1082" s="1"/>
    </row>
    <row r="1083" spans="11:11">
      <c r="K1083" s="1"/>
    </row>
    <row r="1084" spans="11:11">
      <c r="K1084" s="1"/>
    </row>
    <row r="1085" spans="11:11">
      <c r="K1085" s="1"/>
    </row>
    <row r="1086" spans="11:11">
      <c r="K1086" s="1"/>
    </row>
    <row r="1087" spans="11:11">
      <c r="K1087" s="1"/>
    </row>
    <row r="1088" spans="11:11">
      <c r="K1088" s="1"/>
    </row>
    <row r="1089" spans="11:11">
      <c r="K1089" s="1"/>
    </row>
    <row r="1090" spans="11:11">
      <c r="K1090" s="1"/>
    </row>
    <row r="1091" spans="11:11">
      <c r="K1091" s="1"/>
    </row>
    <row r="1092" spans="11:11">
      <c r="K1092" s="1"/>
    </row>
    <row r="1093" spans="11:11">
      <c r="K1093" s="1"/>
    </row>
    <row r="1094" spans="11:11">
      <c r="K1094" s="1"/>
    </row>
    <row r="1095" spans="11:11">
      <c r="K1095" s="1"/>
    </row>
    <row r="1096" spans="11:11">
      <c r="K1096" s="1"/>
    </row>
    <row r="1097" spans="11:11">
      <c r="K1097" s="1"/>
    </row>
    <row r="1098" spans="11:11">
      <c r="K1098" s="1"/>
    </row>
    <row r="1099" spans="11:11">
      <c r="K1099" s="1"/>
    </row>
    <row r="1100" spans="11:11">
      <c r="K1100" s="1"/>
    </row>
    <row r="1101" spans="11:11">
      <c r="K1101" s="1"/>
    </row>
    <row r="1102" spans="11:11">
      <c r="K1102" s="1"/>
    </row>
    <row r="1103" spans="11:11">
      <c r="K1103" s="1"/>
    </row>
    <row r="1104" spans="11:11">
      <c r="K1104" s="1"/>
    </row>
    <row r="1105" spans="11:11">
      <c r="K1105" s="1"/>
    </row>
    <row r="1106" spans="11:11">
      <c r="K1106" s="1"/>
    </row>
    <row r="1107" spans="11:11">
      <c r="K1107" s="1"/>
    </row>
    <row r="1108" spans="11:11">
      <c r="K1108" s="1"/>
    </row>
    <row r="1109" spans="11:11">
      <c r="K1109" s="1"/>
    </row>
    <row r="1110" spans="11:11">
      <c r="K1110" s="1"/>
    </row>
    <row r="1111" spans="11:11">
      <c r="K1111" s="1"/>
    </row>
    <row r="1112" spans="11:11">
      <c r="K1112" s="1"/>
    </row>
    <row r="1113" spans="11:11">
      <c r="K1113" s="1"/>
    </row>
    <row r="1114" spans="11:11">
      <c r="K1114" s="1"/>
    </row>
    <row r="1115" spans="11:11">
      <c r="K1115" s="1"/>
    </row>
    <row r="1116" spans="11:11">
      <c r="K1116" s="1"/>
    </row>
    <row r="1117" spans="11:11">
      <c r="K1117" s="1"/>
    </row>
    <row r="1118" spans="11:11">
      <c r="K1118" s="1"/>
    </row>
    <row r="1119" spans="11:11">
      <c r="K1119" s="1"/>
    </row>
    <row r="1120" spans="11:11">
      <c r="K1120" s="1"/>
    </row>
    <row r="1121" spans="11:11">
      <c r="K1121" s="1"/>
    </row>
    <row r="1122" spans="11:11">
      <c r="K1122" s="1"/>
    </row>
    <row r="1123" spans="11:11">
      <c r="K1123" s="1"/>
    </row>
    <row r="1124" spans="11:11">
      <c r="K1124" s="1"/>
    </row>
    <row r="1125" spans="11:11">
      <c r="K1125" s="1"/>
    </row>
    <row r="1126" spans="11:11">
      <c r="K1126" s="1"/>
    </row>
    <row r="1127" spans="11:11">
      <c r="K1127" s="1"/>
    </row>
    <row r="1128" spans="11:11">
      <c r="K1128" s="1"/>
    </row>
    <row r="1129" spans="11:11">
      <c r="K1129" s="1"/>
    </row>
    <row r="1130" spans="11:11">
      <c r="K1130" s="1"/>
    </row>
    <row r="1131" spans="11:11">
      <c r="K1131" s="1"/>
    </row>
    <row r="1132" spans="11:11">
      <c r="K1132" s="1"/>
    </row>
    <row r="1133" spans="11:11">
      <c r="K1133" s="1"/>
    </row>
    <row r="1134" spans="11:11">
      <c r="K1134" s="1"/>
    </row>
    <row r="1135" spans="11:11">
      <c r="K1135" s="1"/>
    </row>
    <row r="1136" spans="11:11">
      <c r="K1136" s="1"/>
    </row>
    <row r="1137" spans="11:11">
      <c r="K1137" s="1"/>
    </row>
    <row r="1138" spans="11:11">
      <c r="K1138" s="1"/>
    </row>
    <row r="1139" spans="11:11">
      <c r="K1139" s="1"/>
    </row>
    <row r="1140" spans="11:11">
      <c r="K1140" s="1"/>
    </row>
    <row r="1141" spans="11:11">
      <c r="K1141" s="1"/>
    </row>
    <row r="1142" spans="11:11">
      <c r="K1142" s="1"/>
    </row>
    <row r="1143" spans="11:11">
      <c r="K1143" s="1"/>
    </row>
    <row r="1144" spans="11:11">
      <c r="K1144" s="1"/>
    </row>
    <row r="1145" spans="11:11">
      <c r="K1145" s="1"/>
    </row>
    <row r="1146" spans="11:11">
      <c r="K1146" s="1"/>
    </row>
    <row r="1147" spans="11:11">
      <c r="K1147" s="1"/>
    </row>
    <row r="1148" spans="11:11">
      <c r="K1148" s="1"/>
    </row>
    <row r="1149" spans="11:11">
      <c r="K1149" s="1"/>
    </row>
    <row r="1150" spans="11:11">
      <c r="K1150" s="1"/>
    </row>
    <row r="1151" spans="11:11">
      <c r="K1151" s="1"/>
    </row>
    <row r="1152" spans="11:11">
      <c r="K1152" s="1"/>
    </row>
    <row r="1153" spans="11:11">
      <c r="K1153" s="1"/>
    </row>
    <row r="1154" spans="11:11">
      <c r="K1154" s="1"/>
    </row>
    <row r="1155" spans="11:11">
      <c r="K1155" s="1"/>
    </row>
    <row r="1156" spans="11:11">
      <c r="K1156" s="1"/>
    </row>
    <row r="1157" spans="11:11">
      <c r="K1157" s="1"/>
    </row>
    <row r="1158" spans="11:11">
      <c r="K1158" s="1"/>
    </row>
    <row r="1159" spans="11:11">
      <c r="K1159" s="1"/>
    </row>
    <row r="1160" spans="11:11">
      <c r="K1160" s="1"/>
    </row>
    <row r="1161" spans="11:11">
      <c r="K1161" s="1"/>
    </row>
    <row r="1162" spans="11:11">
      <c r="K1162" s="1"/>
    </row>
    <row r="1163" spans="11:11">
      <c r="K1163" s="1"/>
    </row>
    <row r="1164" spans="11:11">
      <c r="K1164" s="1"/>
    </row>
    <row r="1165" spans="11:11">
      <c r="K1165" s="1"/>
    </row>
    <row r="1166" spans="11:11">
      <c r="K1166" s="1"/>
    </row>
    <row r="1167" spans="11:11">
      <c r="K1167" s="1"/>
    </row>
    <row r="1168" spans="11:11">
      <c r="K1168" s="1"/>
    </row>
    <row r="1169" spans="11:11">
      <c r="K1169" s="1"/>
    </row>
    <row r="1170" spans="11:11">
      <c r="K1170" s="1"/>
    </row>
    <row r="1171" spans="11:11">
      <c r="K1171" s="1"/>
    </row>
    <row r="1172" spans="11:11">
      <c r="K1172" s="1"/>
    </row>
    <row r="1173" spans="11:11">
      <c r="K1173" s="1"/>
    </row>
    <row r="1174" spans="11:11">
      <c r="K1174" s="1"/>
    </row>
    <row r="1175" spans="11:11">
      <c r="K1175" s="1"/>
    </row>
    <row r="1176" spans="11:11">
      <c r="K1176" s="1"/>
    </row>
    <row r="1177" spans="11:11">
      <c r="K1177" s="1"/>
    </row>
    <row r="1178" spans="11:11">
      <c r="K1178" s="1"/>
    </row>
    <row r="1179" spans="11:11">
      <c r="K1179" s="1"/>
    </row>
    <row r="1180" spans="11:11">
      <c r="K1180" s="1"/>
    </row>
    <row r="1181" spans="11:11">
      <c r="K1181" s="1"/>
    </row>
    <row r="1182" spans="11:11">
      <c r="K1182" s="1"/>
    </row>
    <row r="1183" spans="11:11">
      <c r="K1183" s="1"/>
    </row>
    <row r="1184" spans="11:11">
      <c r="K1184" s="1"/>
    </row>
    <row r="1185" spans="11:11">
      <c r="K1185" s="1"/>
    </row>
    <row r="1186" spans="11:11">
      <c r="K1186" s="1"/>
    </row>
    <row r="1187" spans="11:11">
      <c r="K1187" s="1"/>
    </row>
    <row r="1188" spans="11:11">
      <c r="K1188" s="1"/>
    </row>
    <row r="1189" spans="11:11">
      <c r="K1189" s="1"/>
    </row>
    <row r="1190" spans="11:11">
      <c r="K1190" s="1"/>
    </row>
    <row r="1191" spans="11:11">
      <c r="K1191" s="1"/>
    </row>
    <row r="1192" spans="11:11">
      <c r="K1192" s="1"/>
    </row>
    <row r="1193" spans="11:11">
      <c r="K1193" s="1"/>
    </row>
    <row r="1194" spans="11:11">
      <c r="K1194" s="1"/>
    </row>
    <row r="1195" spans="11:11">
      <c r="K1195" s="1"/>
    </row>
    <row r="1196" spans="11:11">
      <c r="K1196" s="1"/>
    </row>
    <row r="1197" spans="11:11">
      <c r="K1197" s="1"/>
    </row>
    <row r="1198" spans="11:11">
      <c r="K1198" s="1"/>
    </row>
    <row r="1199" spans="11:11">
      <c r="K1199" s="1"/>
    </row>
    <row r="1200" spans="11:11">
      <c r="K1200" s="1"/>
    </row>
    <row r="1201" spans="11:11">
      <c r="K1201" s="1"/>
    </row>
    <row r="1202" spans="11:11">
      <c r="K1202" s="1"/>
    </row>
    <row r="1203" spans="11:11">
      <c r="K1203" s="1"/>
    </row>
    <row r="1204" spans="11:11">
      <c r="K1204" s="1"/>
    </row>
    <row r="1205" spans="11:11">
      <c r="K1205" s="1"/>
    </row>
    <row r="1206" spans="11:11">
      <c r="K1206" s="1"/>
    </row>
    <row r="1207" spans="11:11">
      <c r="K1207" s="1"/>
    </row>
    <row r="1208" spans="11:11">
      <c r="K1208" s="1"/>
    </row>
    <row r="1209" spans="11:11">
      <c r="K1209" s="1"/>
    </row>
    <row r="1210" spans="11:11">
      <c r="K1210" s="1"/>
    </row>
    <row r="1211" spans="11:11">
      <c r="K1211" s="1"/>
    </row>
    <row r="1212" spans="11:11">
      <c r="K1212" s="1"/>
    </row>
    <row r="1213" spans="11:11">
      <c r="K1213" s="1"/>
    </row>
    <row r="1214" spans="11:11">
      <c r="K1214" s="1"/>
    </row>
    <row r="1215" spans="11:11">
      <c r="K1215" s="1"/>
    </row>
    <row r="1216" spans="11:11">
      <c r="K1216" s="1"/>
    </row>
    <row r="1217" spans="11:11">
      <c r="K1217" s="1"/>
    </row>
    <row r="1218" spans="11:11">
      <c r="K1218" s="1"/>
    </row>
    <row r="1219" spans="11:11">
      <c r="K1219" s="1"/>
    </row>
    <row r="1220" spans="11:11">
      <c r="K1220" s="1"/>
    </row>
    <row r="1221" spans="11:11">
      <c r="K1221" s="1"/>
    </row>
    <row r="1222" spans="11:11">
      <c r="K1222" s="1"/>
    </row>
    <row r="1223" spans="11:11">
      <c r="K1223" s="1"/>
    </row>
    <row r="1224" spans="11:11">
      <c r="K1224" s="1"/>
    </row>
    <row r="1225" spans="11:11">
      <c r="K1225" s="1"/>
    </row>
    <row r="1226" spans="11:11">
      <c r="K1226" s="1"/>
    </row>
    <row r="1227" spans="11:11">
      <c r="K1227" s="1"/>
    </row>
    <row r="1228" spans="11:11">
      <c r="K1228" s="1"/>
    </row>
    <row r="1229" spans="11:11">
      <c r="K1229" s="1"/>
    </row>
    <row r="1230" spans="11:11">
      <c r="K1230" s="1"/>
    </row>
    <row r="1231" spans="11:11">
      <c r="K1231" s="1"/>
    </row>
    <row r="1232" spans="11:11">
      <c r="K1232" s="1"/>
    </row>
    <row r="1233" spans="11:11">
      <c r="K1233" s="1"/>
    </row>
    <row r="1234" spans="11:11">
      <c r="K1234" s="1"/>
    </row>
    <row r="1235" spans="11:11">
      <c r="K1235" s="1"/>
    </row>
    <row r="1236" spans="11:11">
      <c r="K1236" s="1"/>
    </row>
    <row r="1237" spans="11:11">
      <c r="K1237" s="1"/>
    </row>
    <row r="1238" spans="11:11">
      <c r="K1238" s="1"/>
    </row>
    <row r="1239" spans="11:11">
      <c r="K1239" s="1"/>
    </row>
    <row r="1240" spans="11:11">
      <c r="K1240" s="1"/>
    </row>
    <row r="1241" spans="11:11">
      <c r="K1241" s="1"/>
    </row>
    <row r="1242" spans="11:11">
      <c r="K1242" s="1"/>
    </row>
    <row r="1243" spans="11:11">
      <c r="K1243" s="1"/>
    </row>
    <row r="1244" spans="11:11">
      <c r="K1244" s="1"/>
    </row>
    <row r="1245" spans="11:11">
      <c r="K1245" s="1"/>
    </row>
    <row r="1246" spans="11:11">
      <c r="K1246" s="1"/>
    </row>
    <row r="1247" spans="11:11">
      <c r="K1247" s="1"/>
    </row>
    <row r="1248" spans="11:11">
      <c r="K1248" s="1"/>
    </row>
    <row r="1249" spans="11:11">
      <c r="K1249" s="1"/>
    </row>
    <row r="1250" spans="11:11">
      <c r="K1250" s="1"/>
    </row>
    <row r="1251" spans="11:11">
      <c r="K1251" s="1"/>
    </row>
    <row r="1252" spans="11:11">
      <c r="K1252" s="1"/>
    </row>
    <row r="1253" spans="11:11">
      <c r="K1253" s="1"/>
    </row>
    <row r="1254" spans="11:11">
      <c r="K1254" s="1"/>
    </row>
    <row r="1255" spans="11:11">
      <c r="K1255" s="1"/>
    </row>
    <row r="1256" spans="11:11">
      <c r="K1256" s="1"/>
    </row>
    <row r="1257" spans="11:11">
      <c r="K1257" s="1"/>
    </row>
    <row r="1258" spans="11:11">
      <c r="K1258" s="1"/>
    </row>
    <row r="1259" spans="11:11">
      <c r="K1259" s="1"/>
    </row>
    <row r="1260" spans="11:11">
      <c r="K1260" s="1"/>
    </row>
    <row r="1261" spans="11:11">
      <c r="K1261" s="1"/>
    </row>
    <row r="1262" spans="11:11">
      <c r="K1262" s="1"/>
    </row>
    <row r="1263" spans="11:11">
      <c r="K1263" s="1"/>
    </row>
    <row r="1264" spans="11:11">
      <c r="K1264" s="1"/>
    </row>
    <row r="1265" spans="11:11">
      <c r="K1265" s="1"/>
    </row>
    <row r="1266" spans="11:11">
      <c r="K1266" s="1"/>
    </row>
    <row r="1267" spans="11:11">
      <c r="K1267" s="1"/>
    </row>
    <row r="1268" spans="11:11">
      <c r="K1268" s="1"/>
    </row>
    <row r="1269" spans="11:11">
      <c r="K1269" s="1"/>
    </row>
    <row r="1270" spans="11:11">
      <c r="K1270" s="1"/>
    </row>
    <row r="1271" spans="11:11">
      <c r="K1271" s="1"/>
    </row>
    <row r="1272" spans="11:11">
      <c r="K1272" s="1"/>
    </row>
    <row r="1273" spans="11:11">
      <c r="K1273" s="1"/>
    </row>
    <row r="1274" spans="11:11">
      <c r="K1274" s="1"/>
    </row>
    <row r="1275" spans="11:11">
      <c r="K1275" s="1"/>
    </row>
    <row r="1276" spans="11:11">
      <c r="K1276" s="1"/>
    </row>
    <row r="1277" spans="11:11">
      <c r="K1277" s="1"/>
    </row>
    <row r="1278" spans="11:11">
      <c r="K1278" s="1"/>
    </row>
    <row r="1279" spans="11:11">
      <c r="K1279" s="1"/>
    </row>
    <row r="1280" spans="11:11">
      <c r="K1280" s="1"/>
    </row>
    <row r="1281" spans="11:11">
      <c r="K1281" s="1"/>
    </row>
    <row r="1282" spans="11:11">
      <c r="K1282" s="1"/>
    </row>
    <row r="1283" spans="11:11">
      <c r="K1283" s="1"/>
    </row>
    <row r="1284" spans="11:11">
      <c r="K1284" s="1"/>
    </row>
    <row r="1285" spans="11:11">
      <c r="K1285" s="1"/>
    </row>
    <row r="1286" spans="11:11">
      <c r="K1286" s="1"/>
    </row>
    <row r="1287" spans="11:11">
      <c r="K1287" s="1"/>
    </row>
    <row r="1288" spans="11:11">
      <c r="K1288" s="1"/>
    </row>
    <row r="1289" spans="11:11">
      <c r="K1289" s="1"/>
    </row>
    <row r="1290" spans="11:11">
      <c r="K1290" s="1"/>
    </row>
    <row r="1291" spans="11:11">
      <c r="K1291" s="1"/>
    </row>
    <row r="1292" spans="11:11">
      <c r="K1292" s="1"/>
    </row>
    <row r="1293" spans="11:11">
      <c r="K1293" s="1"/>
    </row>
    <row r="1294" spans="11:11">
      <c r="K1294" s="1"/>
    </row>
    <row r="1295" spans="11:11">
      <c r="K1295" s="1"/>
    </row>
    <row r="1296" spans="11:11">
      <c r="K1296" s="1"/>
    </row>
    <row r="1297" spans="11:11">
      <c r="K1297" s="1"/>
    </row>
    <row r="1298" spans="11:11">
      <c r="K1298" s="1"/>
    </row>
    <row r="1299" spans="11:11">
      <c r="K1299" s="1"/>
    </row>
    <row r="1300" spans="11:11">
      <c r="K1300" s="1"/>
    </row>
    <row r="1301" spans="11:11">
      <c r="K1301" s="1"/>
    </row>
    <row r="1302" spans="11:11">
      <c r="K1302" s="1"/>
    </row>
    <row r="1303" spans="11:11">
      <c r="K1303" s="1"/>
    </row>
    <row r="1304" spans="11:11">
      <c r="K1304" s="1"/>
    </row>
    <row r="1305" spans="11:11">
      <c r="K1305" s="1"/>
    </row>
    <row r="1306" spans="11:11">
      <c r="K1306" s="1"/>
    </row>
    <row r="1307" spans="11:11">
      <c r="K1307" s="1"/>
    </row>
    <row r="1308" spans="11:11">
      <c r="K1308" s="1"/>
    </row>
    <row r="1309" spans="11:11">
      <c r="K1309" s="1"/>
    </row>
    <row r="1310" spans="11:11">
      <c r="K1310" s="1"/>
    </row>
    <row r="1311" spans="11:11">
      <c r="K1311" s="1"/>
    </row>
    <row r="1312" spans="11:11">
      <c r="K1312" s="1"/>
    </row>
    <row r="1313" spans="11:11">
      <c r="K1313" s="1"/>
    </row>
    <row r="1314" spans="11:11">
      <c r="K1314" s="1"/>
    </row>
    <row r="1315" spans="11:11">
      <c r="K1315" s="1"/>
    </row>
    <row r="1316" spans="11:11">
      <c r="K1316" s="1"/>
    </row>
    <row r="1317" spans="11:11">
      <c r="K1317" s="1"/>
    </row>
    <row r="1318" spans="11:11">
      <c r="K1318" s="1"/>
    </row>
    <row r="1319" spans="11:11">
      <c r="K1319" s="1"/>
    </row>
    <row r="1320" spans="11:11">
      <c r="K1320" s="1"/>
    </row>
    <row r="1321" spans="11:11">
      <c r="K1321" s="1"/>
    </row>
    <row r="1322" spans="11:11">
      <c r="K1322" s="1"/>
    </row>
    <row r="1323" spans="11:11">
      <c r="K1323" s="1"/>
    </row>
    <row r="1324" spans="11:11">
      <c r="K1324" s="1"/>
    </row>
    <row r="1325" spans="11:11">
      <c r="K1325" s="1"/>
    </row>
    <row r="1326" spans="11:11">
      <c r="K1326" s="1"/>
    </row>
    <row r="1327" spans="11:11">
      <c r="K1327" s="1"/>
    </row>
    <row r="1328" spans="11:11">
      <c r="K1328" s="1"/>
    </row>
    <row r="1329" spans="11:11">
      <c r="K1329" s="1"/>
    </row>
    <row r="1330" spans="11:11">
      <c r="K1330" s="1"/>
    </row>
    <row r="1331" spans="11:11">
      <c r="K1331" s="1"/>
    </row>
    <row r="1332" spans="11:11">
      <c r="K1332" s="1"/>
    </row>
    <row r="1333" spans="11:11">
      <c r="K1333" s="1"/>
    </row>
    <row r="1334" spans="11:11">
      <c r="K1334" s="1"/>
    </row>
    <row r="1335" spans="11:11">
      <c r="K1335" s="1"/>
    </row>
    <row r="1336" spans="11:11">
      <c r="K1336" s="1"/>
    </row>
    <row r="1337" spans="11:11">
      <c r="K1337" s="1"/>
    </row>
    <row r="1338" spans="11:11">
      <c r="K1338" s="1"/>
    </row>
    <row r="1339" spans="11:11">
      <c r="K1339" s="1"/>
    </row>
    <row r="1340" spans="11:11">
      <c r="K1340" s="1"/>
    </row>
    <row r="1341" spans="11:11">
      <c r="K1341" s="1"/>
    </row>
    <row r="1342" spans="11:11">
      <c r="K1342" s="1"/>
    </row>
    <row r="1343" spans="11:11">
      <c r="K1343" s="1"/>
    </row>
    <row r="1344" spans="11:11">
      <c r="K1344" s="1"/>
    </row>
    <row r="1345" spans="11:11">
      <c r="K1345" s="1"/>
    </row>
    <row r="1346" spans="11:11">
      <c r="K1346" s="1"/>
    </row>
    <row r="1347" spans="11:11">
      <c r="K1347" s="1"/>
    </row>
    <row r="1348" spans="11:11">
      <c r="K1348" s="1"/>
    </row>
    <row r="1349" spans="11:11">
      <c r="K1349" s="1"/>
    </row>
    <row r="1350" spans="11:11">
      <c r="K1350" s="1"/>
    </row>
    <row r="1351" spans="11:11">
      <c r="K1351" s="1"/>
    </row>
    <row r="1352" spans="11:11">
      <c r="K1352" s="1"/>
    </row>
    <row r="1353" spans="11:11">
      <c r="K1353" s="1"/>
    </row>
    <row r="1354" spans="11:11">
      <c r="K1354" s="1"/>
    </row>
    <row r="1355" spans="11:11">
      <c r="K1355" s="1"/>
    </row>
    <row r="1356" spans="11:11">
      <c r="K1356" s="1"/>
    </row>
    <row r="1357" spans="11:11">
      <c r="K1357" s="1"/>
    </row>
    <row r="1358" spans="11:11">
      <c r="K1358" s="1"/>
    </row>
    <row r="1359" spans="11:11">
      <c r="K1359" s="1"/>
    </row>
    <row r="1360" spans="11:11">
      <c r="K1360" s="1"/>
    </row>
    <row r="1361" spans="11:11">
      <c r="K1361" s="1"/>
    </row>
    <row r="1362" spans="11:11">
      <c r="K1362" s="1"/>
    </row>
    <row r="1363" spans="11:11">
      <c r="K1363" s="1"/>
    </row>
    <row r="1364" spans="11:11">
      <c r="K1364" s="1"/>
    </row>
    <row r="1365" spans="11:11">
      <c r="K1365" s="1"/>
    </row>
    <row r="1366" spans="11:11">
      <c r="K1366" s="1"/>
    </row>
    <row r="1367" spans="11:11">
      <c r="K1367" s="1"/>
    </row>
    <row r="1368" spans="11:11">
      <c r="K1368" s="1"/>
    </row>
    <row r="1369" spans="11:11">
      <c r="K1369" s="1"/>
    </row>
    <row r="1370" spans="11:11">
      <c r="K1370" s="1"/>
    </row>
    <row r="1371" spans="11:11">
      <c r="K1371" s="1"/>
    </row>
    <row r="1372" spans="11:11">
      <c r="K1372" s="1"/>
    </row>
    <row r="1373" spans="11:11">
      <c r="K1373" s="1"/>
    </row>
    <row r="1374" spans="11:11">
      <c r="K1374" s="1"/>
    </row>
    <row r="1375" spans="11:11">
      <c r="K1375" s="1"/>
    </row>
    <row r="1376" spans="11:11">
      <c r="K1376" s="1"/>
    </row>
    <row r="1377" spans="11:11">
      <c r="K1377" s="1"/>
    </row>
    <row r="1378" spans="11:11">
      <c r="K1378" s="1"/>
    </row>
    <row r="1379" spans="11:11">
      <c r="K1379" s="1"/>
    </row>
    <row r="1380" spans="11:11">
      <c r="K1380" s="1"/>
    </row>
    <row r="1381" spans="11:11">
      <c r="K1381" s="1"/>
    </row>
    <row r="1382" spans="11:11">
      <c r="K1382" s="1"/>
    </row>
    <row r="1383" spans="11:11">
      <c r="K1383" s="1"/>
    </row>
    <row r="1384" spans="11:11">
      <c r="K1384" s="1"/>
    </row>
    <row r="1385" spans="11:11">
      <c r="K1385" s="1"/>
    </row>
    <row r="1386" spans="11:11">
      <c r="K1386" s="1"/>
    </row>
    <row r="1387" spans="11:11">
      <c r="K1387" s="1"/>
    </row>
    <row r="1388" spans="11:11">
      <c r="K1388" s="1"/>
    </row>
    <row r="1389" spans="11:11">
      <c r="K1389" s="1"/>
    </row>
    <row r="1390" spans="11:11">
      <c r="K1390" s="1"/>
    </row>
    <row r="1391" spans="11:11">
      <c r="K1391" s="1"/>
    </row>
    <row r="1392" spans="11:11">
      <c r="K1392" s="1"/>
    </row>
    <row r="1393" spans="11:11">
      <c r="K1393" s="1"/>
    </row>
    <row r="1394" spans="11:11">
      <c r="K1394" s="1"/>
    </row>
    <row r="1395" spans="11:11">
      <c r="K1395" s="1"/>
    </row>
    <row r="1396" spans="11:11">
      <c r="K1396" s="1"/>
    </row>
    <row r="1397" spans="11:11">
      <c r="K1397" s="1"/>
    </row>
    <row r="1398" spans="11:11">
      <c r="K1398" s="1"/>
    </row>
    <row r="1399" spans="11:11">
      <c r="K1399" s="1"/>
    </row>
    <row r="1400" spans="11:11">
      <c r="K1400" s="1"/>
    </row>
    <row r="1401" spans="11:11">
      <c r="K1401" s="1"/>
    </row>
    <row r="1402" spans="11:11">
      <c r="K1402" s="1"/>
    </row>
    <row r="1403" spans="11:11">
      <c r="K1403" s="1"/>
    </row>
    <row r="1404" spans="11:11">
      <c r="K1404" s="1"/>
    </row>
    <row r="1405" spans="11:11">
      <c r="K1405" s="1"/>
    </row>
    <row r="1406" spans="11:11">
      <c r="K1406" s="1"/>
    </row>
    <row r="1407" spans="11:11">
      <c r="K1407" s="1"/>
    </row>
    <row r="1408" spans="11:11">
      <c r="K1408" s="1"/>
    </row>
    <row r="1409" spans="11:11">
      <c r="K1409" s="1"/>
    </row>
    <row r="1410" spans="11:11">
      <c r="K1410" s="1"/>
    </row>
    <row r="1411" spans="11:11">
      <c r="K1411" s="1"/>
    </row>
    <row r="1412" spans="11:11">
      <c r="K1412" s="1"/>
    </row>
    <row r="1413" spans="11:11">
      <c r="K1413" s="1"/>
    </row>
    <row r="1414" spans="11:11">
      <c r="K1414" s="1"/>
    </row>
    <row r="1415" spans="11:11">
      <c r="K1415" s="1"/>
    </row>
    <row r="1416" spans="11:11">
      <c r="K1416" s="1"/>
    </row>
    <row r="1417" spans="11:11">
      <c r="K1417" s="1"/>
    </row>
    <row r="1418" spans="11:11">
      <c r="K1418" s="1"/>
    </row>
    <row r="1419" spans="11:11">
      <c r="K1419" s="1"/>
    </row>
    <row r="1420" spans="11:11">
      <c r="K1420" s="1"/>
    </row>
    <row r="1421" spans="11:11">
      <c r="K1421" s="1"/>
    </row>
    <row r="1422" spans="11:11">
      <c r="K1422" s="1"/>
    </row>
    <row r="1423" spans="11:11">
      <c r="K1423" s="1"/>
    </row>
    <row r="1424" spans="11:11">
      <c r="K1424" s="1"/>
    </row>
    <row r="1425" spans="11:11">
      <c r="K1425" s="1"/>
    </row>
    <row r="1426" spans="11:11">
      <c r="K1426" s="1"/>
    </row>
    <row r="1427" spans="11:11">
      <c r="K1427" s="1"/>
    </row>
    <row r="1428" spans="11:11">
      <c r="K1428" s="1"/>
    </row>
    <row r="1429" spans="11:11">
      <c r="K1429" s="1"/>
    </row>
    <row r="1430" spans="11:11">
      <c r="K1430" s="1"/>
    </row>
    <row r="1431" spans="11:11">
      <c r="K1431" s="1"/>
    </row>
    <row r="1432" spans="11:11">
      <c r="K1432" s="1"/>
    </row>
    <row r="1433" spans="11:11">
      <c r="K1433" s="1"/>
    </row>
    <row r="1434" spans="11:11">
      <c r="K1434" s="1"/>
    </row>
    <row r="1435" spans="11:11">
      <c r="K1435" s="1"/>
    </row>
    <row r="1436" spans="11:11">
      <c r="K1436" s="1"/>
    </row>
    <row r="1437" spans="11:11">
      <c r="K1437" s="1"/>
    </row>
    <row r="1438" spans="11:11">
      <c r="K1438" s="1"/>
    </row>
    <row r="1439" spans="11:11">
      <c r="K1439" s="1"/>
    </row>
    <row r="1440" spans="11:11">
      <c r="K1440" s="1"/>
    </row>
    <row r="1441" spans="11:11">
      <c r="K1441" s="1"/>
    </row>
    <row r="1442" spans="11:11">
      <c r="K1442" s="1"/>
    </row>
    <row r="1443" spans="11:11">
      <c r="K1443" s="1"/>
    </row>
    <row r="1444" spans="11:11">
      <c r="K1444" s="1"/>
    </row>
    <row r="1445" spans="11:11">
      <c r="K1445" s="1"/>
    </row>
    <row r="1446" spans="11:11">
      <c r="K1446" s="1"/>
    </row>
    <row r="1447" spans="11:11">
      <c r="K1447" s="1"/>
    </row>
    <row r="1448" spans="11:11">
      <c r="K1448" s="1"/>
    </row>
    <row r="1449" spans="11:11">
      <c r="K1449" s="1"/>
    </row>
    <row r="1450" spans="11:11">
      <c r="K1450" s="1"/>
    </row>
    <row r="1451" spans="11:11">
      <c r="K1451" s="1"/>
    </row>
    <row r="1452" spans="11:11">
      <c r="K1452" s="1"/>
    </row>
    <row r="1453" spans="11:11">
      <c r="K1453" s="1"/>
    </row>
    <row r="1454" spans="11:11">
      <c r="K1454" s="1"/>
    </row>
    <row r="1455" spans="11:11">
      <c r="K1455" s="1"/>
    </row>
    <row r="1456" spans="11:11">
      <c r="K1456" s="1"/>
    </row>
    <row r="1457" spans="11:11">
      <c r="K1457" s="1"/>
    </row>
    <row r="1458" spans="11:11">
      <c r="K1458" s="1"/>
    </row>
    <row r="1459" spans="11:11">
      <c r="K1459" s="1"/>
    </row>
    <row r="1460" spans="11:11">
      <c r="K1460" s="1"/>
    </row>
    <row r="1461" spans="11:11">
      <c r="K1461" s="1"/>
    </row>
    <row r="1462" spans="11:11">
      <c r="K1462" s="1"/>
    </row>
    <row r="1463" spans="11:11">
      <c r="K1463" s="1"/>
    </row>
    <row r="1464" spans="11:11">
      <c r="K1464" s="1"/>
    </row>
    <row r="1465" spans="11:11">
      <c r="K1465" s="1"/>
    </row>
    <row r="1466" spans="11:11">
      <c r="K1466" s="1"/>
    </row>
    <row r="1467" spans="11:11">
      <c r="K1467" s="1"/>
    </row>
    <row r="1468" spans="11:11">
      <c r="K1468" s="1"/>
    </row>
    <row r="1469" spans="11:11">
      <c r="K1469" s="1"/>
    </row>
    <row r="1470" spans="11:11">
      <c r="K1470" s="1"/>
    </row>
    <row r="1471" spans="11:11">
      <c r="K1471" s="1"/>
    </row>
    <row r="1472" spans="11:11">
      <c r="K1472" s="1"/>
    </row>
    <row r="1473" spans="11:11">
      <c r="K1473" s="1"/>
    </row>
    <row r="1474" spans="11:11">
      <c r="K1474" s="1"/>
    </row>
    <row r="1475" spans="11:11">
      <c r="K1475" s="1"/>
    </row>
    <row r="1476" spans="11:11">
      <c r="K1476" s="1"/>
    </row>
    <row r="1477" spans="11:11">
      <c r="K1477" s="1"/>
    </row>
    <row r="1478" spans="11:11">
      <c r="K1478" s="1"/>
    </row>
    <row r="1479" spans="11:11">
      <c r="K1479" s="1"/>
    </row>
    <row r="1480" spans="11:11">
      <c r="K1480" s="1"/>
    </row>
    <row r="1481" spans="11:11">
      <c r="K1481" s="1"/>
    </row>
    <row r="1482" spans="11:11">
      <c r="K1482" s="1"/>
    </row>
    <row r="1483" spans="11:11">
      <c r="K1483" s="1"/>
    </row>
    <row r="1484" spans="11:11">
      <c r="K1484" s="1"/>
    </row>
    <row r="1485" spans="11:11">
      <c r="K1485" s="1"/>
    </row>
    <row r="1486" spans="11:11">
      <c r="K1486" s="1"/>
    </row>
    <row r="1487" spans="11:11">
      <c r="K1487" s="1"/>
    </row>
    <row r="1488" spans="11:11">
      <c r="K1488" s="1"/>
    </row>
    <row r="1489" spans="11:11">
      <c r="K1489" s="1"/>
    </row>
    <row r="1490" spans="11:11">
      <c r="K1490" s="1"/>
    </row>
    <row r="1491" spans="11:11">
      <c r="K1491" s="1"/>
    </row>
    <row r="1492" spans="11:11">
      <c r="K1492" s="1"/>
    </row>
    <row r="1493" spans="11:11">
      <c r="K1493" s="1"/>
    </row>
    <row r="1494" spans="11:11">
      <c r="K1494" s="1"/>
    </row>
    <row r="1495" spans="11:11">
      <c r="K1495" s="1"/>
    </row>
    <row r="1496" spans="11:11">
      <c r="K1496" s="1"/>
    </row>
    <row r="1497" spans="11:11">
      <c r="K1497" s="1"/>
    </row>
    <row r="1498" spans="11:11">
      <c r="K1498" s="1"/>
    </row>
    <row r="1499" spans="11:11">
      <c r="K1499" s="1"/>
    </row>
    <row r="1500" spans="11:11">
      <c r="K1500" s="1"/>
    </row>
    <row r="1501" spans="11:11">
      <c r="K1501" s="1"/>
    </row>
    <row r="1502" spans="11:11">
      <c r="K1502" s="1"/>
    </row>
    <row r="1503" spans="11:11">
      <c r="K1503" s="1"/>
    </row>
    <row r="1504" spans="11:11">
      <c r="K1504" s="1"/>
    </row>
    <row r="1505" spans="11:11">
      <c r="K1505" s="1"/>
    </row>
    <row r="1506" spans="11:11">
      <c r="K1506" s="1"/>
    </row>
    <row r="1507" spans="11:11">
      <c r="K1507" s="1"/>
    </row>
    <row r="1508" spans="11:11">
      <c r="K1508" s="1"/>
    </row>
    <row r="1509" spans="11:11">
      <c r="K1509" s="1"/>
    </row>
    <row r="1510" spans="11:11">
      <c r="K1510" s="1"/>
    </row>
    <row r="1511" spans="11:11">
      <c r="K1511" s="1"/>
    </row>
    <row r="1512" spans="11:11">
      <c r="K1512" s="1"/>
    </row>
    <row r="1513" spans="11:11">
      <c r="K1513" s="1"/>
    </row>
    <row r="1514" spans="11:11">
      <c r="K1514" s="1"/>
    </row>
    <row r="1515" spans="11:11">
      <c r="K1515" s="1"/>
    </row>
    <row r="1516" spans="11:11">
      <c r="K1516" s="1"/>
    </row>
    <row r="1517" spans="11:11">
      <c r="K1517" s="1"/>
    </row>
    <row r="1518" spans="11:11">
      <c r="K1518" s="1"/>
    </row>
    <row r="1519" spans="11:11">
      <c r="K1519" s="1"/>
    </row>
    <row r="1520" spans="11:11">
      <c r="K1520" s="1"/>
    </row>
    <row r="1521" spans="11:11">
      <c r="K1521" s="1"/>
    </row>
    <row r="1522" spans="11:11">
      <c r="K1522" s="1"/>
    </row>
    <row r="1523" spans="11:11">
      <c r="K1523" s="1"/>
    </row>
    <row r="1524" spans="11:11">
      <c r="K1524" s="1"/>
    </row>
    <row r="1525" spans="11:11">
      <c r="K1525" s="1"/>
    </row>
    <row r="1526" spans="11:11">
      <c r="K1526" s="1"/>
    </row>
    <row r="1527" spans="11:11">
      <c r="K1527" s="1"/>
    </row>
    <row r="1528" spans="11:11">
      <c r="K1528" s="1"/>
    </row>
    <row r="1529" spans="11:11">
      <c r="K1529" s="1"/>
    </row>
    <row r="1530" spans="11:11">
      <c r="K1530" s="1"/>
    </row>
    <row r="1531" spans="11:11">
      <c r="K1531" s="1"/>
    </row>
    <row r="1532" spans="11:11">
      <c r="K1532" s="1"/>
    </row>
    <row r="1533" spans="11:11">
      <c r="K1533" s="1"/>
    </row>
    <row r="1534" spans="11:11">
      <c r="K1534" s="1"/>
    </row>
    <row r="1535" spans="11:11">
      <c r="K1535" s="1"/>
    </row>
    <row r="1536" spans="11:11">
      <c r="K1536" s="1"/>
    </row>
    <row r="1537" spans="11:11">
      <c r="K1537" s="1"/>
    </row>
    <row r="1538" spans="11:11">
      <c r="K1538" s="1"/>
    </row>
    <row r="1539" spans="11:11">
      <c r="K1539" s="1"/>
    </row>
    <row r="1540" spans="11:11">
      <c r="K1540" s="1"/>
    </row>
    <row r="1541" spans="11:11">
      <c r="K1541" s="1"/>
    </row>
    <row r="1542" spans="11:11">
      <c r="K1542" s="1"/>
    </row>
    <row r="1543" spans="11:11">
      <c r="K1543" s="1"/>
    </row>
    <row r="1544" spans="11:11">
      <c r="K1544" s="1"/>
    </row>
    <row r="1545" spans="11:11">
      <c r="K1545" s="1"/>
    </row>
    <row r="1546" spans="11:11">
      <c r="K1546" s="1"/>
    </row>
    <row r="1547" spans="11:11">
      <c r="K1547" s="1"/>
    </row>
    <row r="1548" spans="11:11">
      <c r="K1548" s="1"/>
    </row>
    <row r="1549" spans="11:11">
      <c r="K1549" s="1"/>
    </row>
    <row r="1550" spans="11:11">
      <c r="K1550" s="1"/>
    </row>
    <row r="1551" spans="11:11">
      <c r="K1551" s="1"/>
    </row>
    <row r="1552" spans="11:11">
      <c r="K1552" s="1"/>
    </row>
    <row r="1553" spans="11:11">
      <c r="K1553" s="1"/>
    </row>
    <row r="1554" spans="11:11">
      <c r="K1554" s="1"/>
    </row>
    <row r="1555" spans="11:11">
      <c r="K1555" s="1"/>
    </row>
    <row r="1556" spans="11:11">
      <c r="K1556" s="1"/>
    </row>
    <row r="1557" spans="11:11">
      <c r="K1557" s="1"/>
    </row>
    <row r="1558" spans="11:11">
      <c r="K1558" s="1"/>
    </row>
    <row r="1559" spans="11:11">
      <c r="K1559" s="1"/>
    </row>
    <row r="1560" spans="11:11">
      <c r="K1560" s="1"/>
    </row>
    <row r="1561" spans="11:11">
      <c r="K1561" s="1"/>
    </row>
    <row r="1562" spans="11:11">
      <c r="K1562" s="1"/>
    </row>
    <row r="1563" spans="11:11">
      <c r="K1563" s="1"/>
    </row>
    <row r="1564" spans="11:11">
      <c r="K1564" s="1"/>
    </row>
    <row r="1565" spans="11:11">
      <c r="K1565" s="1"/>
    </row>
    <row r="1566" spans="11:11">
      <c r="K1566" s="1"/>
    </row>
    <row r="1567" spans="11:11">
      <c r="K1567" s="1"/>
    </row>
    <row r="1568" spans="11:11">
      <c r="K1568" s="1"/>
    </row>
    <row r="1569" spans="11:11">
      <c r="K1569" s="1"/>
    </row>
    <row r="1570" spans="11:11">
      <c r="K1570" s="1"/>
    </row>
    <row r="1571" spans="11:11">
      <c r="K1571" s="1"/>
    </row>
    <row r="1572" spans="11:11">
      <c r="K1572" s="1"/>
    </row>
    <row r="1573" spans="11:11">
      <c r="K1573" s="1"/>
    </row>
    <row r="1574" spans="11:11">
      <c r="K1574" s="1"/>
    </row>
    <row r="1575" spans="11:11">
      <c r="K1575" s="1"/>
    </row>
    <row r="1576" spans="11:11">
      <c r="K1576" s="1"/>
    </row>
    <row r="1577" spans="11:11">
      <c r="K1577" s="1"/>
    </row>
    <row r="1578" spans="11:11">
      <c r="K1578" s="1"/>
    </row>
    <row r="1579" spans="11:11">
      <c r="K1579" s="1"/>
    </row>
    <row r="1580" spans="11:11">
      <c r="K1580" s="1"/>
    </row>
    <row r="1581" spans="11:11">
      <c r="K1581" s="1"/>
    </row>
    <row r="1582" spans="11:11">
      <c r="K1582" s="1"/>
    </row>
    <row r="1583" spans="11:11">
      <c r="K1583" s="1"/>
    </row>
    <row r="1584" spans="11:11">
      <c r="K1584" s="1"/>
    </row>
    <row r="1585" spans="11:11">
      <c r="K1585" s="1"/>
    </row>
    <row r="1586" spans="11:11">
      <c r="K1586" s="1"/>
    </row>
    <row r="1587" spans="11:11">
      <c r="K1587" s="1"/>
    </row>
    <row r="1588" spans="11:11">
      <c r="K1588" s="1"/>
    </row>
    <row r="1589" spans="11:11">
      <c r="K1589" s="1"/>
    </row>
    <row r="1590" spans="11:11">
      <c r="K1590" s="1"/>
    </row>
    <row r="1591" spans="11:11">
      <c r="K1591" s="1"/>
    </row>
    <row r="1592" spans="11:11">
      <c r="K1592" s="1"/>
    </row>
    <row r="1593" spans="11:11">
      <c r="K1593" s="1"/>
    </row>
    <row r="1594" spans="11:11">
      <c r="K1594" s="1"/>
    </row>
    <row r="1595" spans="11:11">
      <c r="K1595" s="1"/>
    </row>
    <row r="1596" spans="11:11">
      <c r="K1596" s="1"/>
    </row>
    <row r="1597" spans="11:11">
      <c r="K1597" s="1"/>
    </row>
    <row r="1598" spans="11:11">
      <c r="K1598" s="1"/>
    </row>
    <row r="1599" spans="11:11">
      <c r="K1599" s="1"/>
    </row>
    <row r="1600" spans="11:11">
      <c r="K1600" s="1"/>
    </row>
    <row r="1601" spans="11:11">
      <c r="K1601" s="1"/>
    </row>
    <row r="1602" spans="11:11">
      <c r="K1602" s="1"/>
    </row>
    <row r="1603" spans="11:11">
      <c r="K1603" s="1"/>
    </row>
    <row r="1604" spans="11:11">
      <c r="K1604" s="1"/>
    </row>
    <row r="1605" spans="11:11">
      <c r="K1605" s="1"/>
    </row>
    <row r="1606" spans="11:11">
      <c r="K1606" s="1"/>
    </row>
    <row r="1607" spans="11:11">
      <c r="K1607" s="1"/>
    </row>
    <row r="1608" spans="11:11">
      <c r="K1608" s="1"/>
    </row>
    <row r="1609" spans="11:11">
      <c r="K1609" s="1"/>
    </row>
    <row r="1610" spans="11:11">
      <c r="K1610" s="1"/>
    </row>
    <row r="1611" spans="11:11">
      <c r="K1611" s="1"/>
    </row>
    <row r="1612" spans="11:11">
      <c r="K1612" s="1"/>
    </row>
    <row r="1613" spans="11:11">
      <c r="K1613" s="1"/>
    </row>
    <row r="1614" spans="11:11">
      <c r="K1614" s="1"/>
    </row>
    <row r="1615" spans="11:11">
      <c r="K1615" s="1"/>
    </row>
    <row r="1616" spans="11:11">
      <c r="K1616" s="1"/>
    </row>
    <row r="1617" spans="11:11">
      <c r="K1617" s="1"/>
    </row>
    <row r="1618" spans="11:11">
      <c r="K1618" s="1"/>
    </row>
    <row r="1619" spans="11:11">
      <c r="K1619" s="1"/>
    </row>
    <row r="1620" spans="11:11">
      <c r="K1620" s="1"/>
    </row>
    <row r="1621" spans="11:11">
      <c r="K1621" s="1"/>
    </row>
    <row r="1622" spans="11:11">
      <c r="K1622" s="1"/>
    </row>
    <row r="1623" spans="11:11">
      <c r="K1623" s="1"/>
    </row>
    <row r="1624" spans="11:11">
      <c r="K1624" s="1"/>
    </row>
    <row r="1625" spans="11:11">
      <c r="K1625" s="1"/>
    </row>
    <row r="1626" spans="11:11">
      <c r="K1626" s="1"/>
    </row>
    <row r="1627" spans="11:11">
      <c r="K1627" s="1"/>
    </row>
    <row r="1628" spans="11:11">
      <c r="K1628" s="1"/>
    </row>
    <row r="1629" spans="11:11">
      <c r="K1629" s="1"/>
    </row>
    <row r="1630" spans="11:11">
      <c r="K1630" s="1"/>
    </row>
    <row r="1631" spans="11:11">
      <c r="K1631" s="1"/>
    </row>
    <row r="1632" spans="11:11">
      <c r="K1632" s="1"/>
    </row>
    <row r="1633" spans="11:11">
      <c r="K1633" s="1"/>
    </row>
    <row r="1634" spans="11:11">
      <c r="K1634" s="1"/>
    </row>
    <row r="1635" spans="11:11">
      <c r="K1635" s="1"/>
    </row>
    <row r="1636" spans="11:11">
      <c r="K1636" s="1"/>
    </row>
    <row r="1637" spans="11:11">
      <c r="K1637" s="1"/>
    </row>
    <row r="1638" spans="11:11">
      <c r="K1638" s="1"/>
    </row>
    <row r="1639" spans="11:11">
      <c r="K1639" s="1"/>
    </row>
    <row r="1640" spans="11:11">
      <c r="K1640" s="1"/>
    </row>
    <row r="1641" spans="11:11">
      <c r="K1641" s="1"/>
    </row>
    <row r="1642" spans="11:11">
      <c r="K1642" s="1"/>
    </row>
    <row r="1643" spans="11:11">
      <c r="K1643" s="1"/>
    </row>
    <row r="1644" spans="11:11">
      <c r="K1644" s="1"/>
    </row>
    <row r="1645" spans="11:11">
      <c r="K1645" s="1"/>
    </row>
    <row r="1646" spans="11:11">
      <c r="K1646" s="1"/>
    </row>
    <row r="1647" spans="11:11">
      <c r="K1647" s="1"/>
    </row>
    <row r="1648" spans="11:11">
      <c r="K1648" s="1"/>
    </row>
    <row r="1649" spans="11:11">
      <c r="K1649" s="1"/>
    </row>
    <row r="1650" spans="11:11">
      <c r="K1650" s="1"/>
    </row>
    <row r="1651" spans="11:11">
      <c r="K1651" s="1"/>
    </row>
    <row r="1652" spans="11:11">
      <c r="K1652" s="1"/>
    </row>
    <row r="1653" spans="11:11">
      <c r="K1653" s="1"/>
    </row>
    <row r="1654" spans="11:11">
      <c r="K1654" s="1"/>
    </row>
    <row r="1655" spans="11:11">
      <c r="K1655" s="1"/>
    </row>
    <row r="1656" spans="11:11">
      <c r="K1656" s="1"/>
    </row>
    <row r="1657" spans="11:11">
      <c r="K1657" s="1"/>
    </row>
    <row r="1658" spans="11:11">
      <c r="K1658" s="1"/>
    </row>
    <row r="1659" spans="11:11">
      <c r="K1659" s="1"/>
    </row>
    <row r="1660" spans="11:11">
      <c r="K1660" s="1"/>
    </row>
    <row r="1661" spans="11:11">
      <c r="K1661" s="1"/>
    </row>
    <row r="1662" spans="11:11">
      <c r="K1662" s="1"/>
    </row>
    <row r="1663" spans="11:11">
      <c r="K1663" s="1"/>
    </row>
    <row r="1664" spans="11:11">
      <c r="K1664" s="1"/>
    </row>
    <row r="1665" spans="11:11">
      <c r="K1665" s="1"/>
    </row>
    <row r="1666" spans="11:11">
      <c r="K1666" s="1"/>
    </row>
    <row r="1667" spans="11:11">
      <c r="K1667" s="1"/>
    </row>
    <row r="1668" spans="11:11">
      <c r="K1668" s="1"/>
    </row>
    <row r="1669" spans="11:11">
      <c r="K1669" s="1"/>
    </row>
    <row r="1670" spans="11:11">
      <c r="K1670" s="1"/>
    </row>
    <row r="1671" spans="11:11">
      <c r="K1671" s="1"/>
    </row>
    <row r="1672" spans="11:11">
      <c r="K1672" s="1"/>
    </row>
    <row r="1673" spans="11:11">
      <c r="K1673" s="1"/>
    </row>
    <row r="1674" spans="11:11">
      <c r="K1674" s="1"/>
    </row>
    <row r="1675" spans="11:11">
      <c r="K1675" s="1"/>
    </row>
    <row r="1676" spans="11:11">
      <c r="K1676" s="1"/>
    </row>
    <row r="1677" spans="11:11">
      <c r="K1677" s="1"/>
    </row>
    <row r="1678" spans="11:11">
      <c r="K1678" s="1"/>
    </row>
    <row r="1679" spans="11:11">
      <c r="K1679" s="1"/>
    </row>
    <row r="1680" spans="11:11">
      <c r="K1680" s="1"/>
    </row>
    <row r="1681" spans="11:11">
      <c r="K1681" s="1"/>
    </row>
    <row r="1682" spans="11:11">
      <c r="K1682" s="1"/>
    </row>
    <row r="1683" spans="11:11">
      <c r="K1683" s="1"/>
    </row>
    <row r="1684" spans="11:11">
      <c r="K1684" s="1"/>
    </row>
    <row r="1685" spans="11:11">
      <c r="K1685" s="1"/>
    </row>
    <row r="1686" spans="11:11">
      <c r="K1686" s="1"/>
    </row>
    <row r="1687" spans="11:11">
      <c r="K1687" s="1"/>
    </row>
    <row r="1688" spans="11:11">
      <c r="K1688" s="1"/>
    </row>
    <row r="1689" spans="11:11">
      <c r="K1689" s="1"/>
    </row>
    <row r="1690" spans="11:11">
      <c r="K1690" s="1"/>
    </row>
    <row r="1691" spans="11:11">
      <c r="K1691" s="1"/>
    </row>
    <row r="1692" spans="11:11">
      <c r="K1692" s="1"/>
    </row>
    <row r="1693" spans="11:11">
      <c r="K1693" s="1"/>
    </row>
    <row r="1694" spans="11:11">
      <c r="K1694" s="1"/>
    </row>
    <row r="1695" spans="11:11">
      <c r="K1695" s="1"/>
    </row>
    <row r="1696" spans="11:11">
      <c r="K1696" s="1"/>
    </row>
    <row r="1697" spans="11:11">
      <c r="K1697" s="1"/>
    </row>
    <row r="1698" spans="11:11">
      <c r="K1698" s="1"/>
    </row>
    <row r="1699" spans="11:11">
      <c r="K1699" s="1"/>
    </row>
    <row r="1700" spans="11:11">
      <c r="K1700" s="1"/>
    </row>
    <row r="1701" spans="11:11">
      <c r="K1701" s="1"/>
    </row>
    <row r="1702" spans="11:11">
      <c r="K1702" s="1"/>
    </row>
    <row r="1703" spans="11:11">
      <c r="K1703" s="1"/>
    </row>
    <row r="1704" spans="11:11">
      <c r="K1704" s="1"/>
    </row>
    <row r="1705" spans="11:11">
      <c r="K1705" s="1"/>
    </row>
    <row r="1706" spans="11:11">
      <c r="K1706" s="1"/>
    </row>
    <row r="1707" spans="11:11">
      <c r="K1707" s="1"/>
    </row>
    <row r="1708" spans="11:11">
      <c r="K1708" s="1"/>
    </row>
    <row r="1709" spans="11:11">
      <c r="K1709" s="1"/>
    </row>
    <row r="1710" spans="11:11">
      <c r="K1710" s="1"/>
    </row>
    <row r="1711" spans="11:11">
      <c r="K1711" s="1"/>
    </row>
    <row r="1712" spans="11:11">
      <c r="K1712" s="1"/>
    </row>
    <row r="1713" spans="11:11">
      <c r="K1713" s="1"/>
    </row>
    <row r="1714" spans="11:11">
      <c r="K1714" s="1"/>
    </row>
    <row r="1715" spans="11:11">
      <c r="K1715" s="1"/>
    </row>
    <row r="1716" spans="11:11">
      <c r="K1716" s="1"/>
    </row>
    <row r="1717" spans="11:11">
      <c r="K1717" s="1"/>
    </row>
    <row r="1718" spans="11:11">
      <c r="K1718" s="1"/>
    </row>
    <row r="1719" spans="11:11">
      <c r="K1719" s="1"/>
    </row>
    <row r="1720" spans="11:11">
      <c r="K1720" s="1"/>
    </row>
    <row r="1721" spans="11:11">
      <c r="K1721" s="1"/>
    </row>
    <row r="1722" spans="11:11">
      <c r="K1722" s="1"/>
    </row>
    <row r="1723" spans="11:11">
      <c r="K1723" s="1"/>
    </row>
    <row r="1724" spans="11:11">
      <c r="K1724" s="1"/>
    </row>
    <row r="1725" spans="11:11">
      <c r="K1725" s="1"/>
    </row>
    <row r="1726" spans="11:11">
      <c r="K1726" s="1"/>
    </row>
    <row r="1727" spans="11:11">
      <c r="K1727" s="1"/>
    </row>
    <row r="1728" spans="11:11">
      <c r="K1728" s="1"/>
    </row>
    <row r="1729" spans="11:11">
      <c r="K1729" s="1"/>
    </row>
    <row r="1730" spans="11:11">
      <c r="K1730" s="1"/>
    </row>
    <row r="1731" spans="11:11">
      <c r="K1731" s="1"/>
    </row>
    <row r="1732" spans="11:11">
      <c r="K1732" s="1"/>
    </row>
    <row r="1733" spans="11:11">
      <c r="K1733" s="1"/>
    </row>
    <row r="1734" spans="11:11">
      <c r="K1734" s="1"/>
    </row>
    <row r="1735" spans="11:11">
      <c r="K1735" s="1"/>
    </row>
    <row r="1736" spans="11:11">
      <c r="K1736" s="1"/>
    </row>
    <row r="1737" spans="11:11">
      <c r="K1737" s="1"/>
    </row>
    <row r="1738" spans="11:11">
      <c r="K1738" s="1"/>
    </row>
    <row r="1739" spans="11:11">
      <c r="K1739" s="1"/>
    </row>
    <row r="1740" spans="11:11">
      <c r="K1740" s="1"/>
    </row>
    <row r="1741" spans="11:11">
      <c r="K1741" s="1"/>
    </row>
    <row r="1742" spans="11:11">
      <c r="K1742" s="1"/>
    </row>
    <row r="1743" spans="11:11">
      <c r="K1743" s="1"/>
    </row>
    <row r="1744" spans="11:11">
      <c r="K1744" s="1"/>
    </row>
    <row r="1745" spans="11:11">
      <c r="K1745" s="1"/>
    </row>
    <row r="1746" spans="11:11">
      <c r="K1746" s="1"/>
    </row>
    <row r="1747" spans="11:11">
      <c r="K1747" s="1"/>
    </row>
    <row r="1748" spans="11:11">
      <c r="K1748" s="1"/>
    </row>
    <row r="1749" spans="11:11">
      <c r="K1749" s="1"/>
    </row>
    <row r="1750" spans="11:11">
      <c r="K1750" s="1"/>
    </row>
    <row r="1751" spans="11:11">
      <c r="K1751" s="1"/>
    </row>
    <row r="1752" spans="11:11">
      <c r="K1752" s="1"/>
    </row>
    <row r="1753" spans="11:11">
      <c r="K1753" s="1"/>
    </row>
    <row r="1754" spans="11:11">
      <c r="K1754" s="1"/>
    </row>
    <row r="1755" spans="11:11">
      <c r="K1755" s="1"/>
    </row>
    <row r="1756" spans="11:11">
      <c r="K1756" s="1"/>
    </row>
    <row r="1757" spans="11:11">
      <c r="K1757" s="1"/>
    </row>
    <row r="1758" spans="11:11">
      <c r="K1758" s="1"/>
    </row>
    <row r="1759" spans="11:11">
      <c r="K1759" s="1"/>
    </row>
    <row r="1760" spans="11:11">
      <c r="K1760" s="1"/>
    </row>
    <row r="1761" spans="11:11">
      <c r="K1761" s="1"/>
    </row>
    <row r="1762" spans="11:11">
      <c r="K1762" s="1"/>
    </row>
    <row r="1763" spans="11:11">
      <c r="K1763" s="1"/>
    </row>
    <row r="1764" spans="11:11">
      <c r="K1764" s="1"/>
    </row>
    <row r="1765" spans="11:11">
      <c r="K1765" s="1"/>
    </row>
    <row r="1766" spans="11:11">
      <c r="K1766" s="1"/>
    </row>
    <row r="1767" spans="11:11">
      <c r="K1767" s="1"/>
    </row>
    <row r="1768" spans="11:11">
      <c r="K1768" s="1"/>
    </row>
    <row r="1769" spans="11:11">
      <c r="K1769" s="1"/>
    </row>
    <row r="1770" spans="11:11">
      <c r="K1770" s="1"/>
    </row>
    <row r="1771" spans="11:11">
      <c r="K1771" s="1"/>
    </row>
    <row r="1772" spans="11:11">
      <c r="K1772" s="1"/>
    </row>
    <row r="1773" spans="11:11">
      <c r="K1773" s="1"/>
    </row>
    <row r="1774" spans="11:11">
      <c r="K1774" s="1"/>
    </row>
    <row r="1775" spans="11:11">
      <c r="K1775" s="1"/>
    </row>
    <row r="1776" spans="11:11">
      <c r="K1776" s="1"/>
    </row>
    <row r="1777" spans="11:11">
      <c r="K1777" s="1"/>
    </row>
    <row r="1778" spans="11:11">
      <c r="K1778" s="1"/>
    </row>
    <row r="1779" spans="11:11">
      <c r="K1779" s="1"/>
    </row>
    <row r="1780" spans="11:11">
      <c r="K1780" s="1"/>
    </row>
    <row r="1781" spans="11:11">
      <c r="K1781" s="1"/>
    </row>
    <row r="1782" spans="11:11">
      <c r="K1782" s="1"/>
    </row>
    <row r="1783" spans="11:11">
      <c r="K1783" s="1"/>
    </row>
    <row r="1784" spans="11:11">
      <c r="K1784" s="1"/>
    </row>
    <row r="1785" spans="11:11">
      <c r="K1785" s="1"/>
    </row>
    <row r="1786" spans="11:11">
      <c r="K1786" s="1"/>
    </row>
    <row r="1787" spans="11:11">
      <c r="K1787" s="1"/>
    </row>
    <row r="1788" spans="11:11">
      <c r="K1788" s="1"/>
    </row>
    <row r="1789" spans="11:11">
      <c r="K1789" s="1"/>
    </row>
    <row r="1790" spans="11:11">
      <c r="K1790" s="1"/>
    </row>
    <row r="1791" spans="11:11">
      <c r="K1791" s="1"/>
    </row>
    <row r="1792" spans="11:11">
      <c r="K1792" s="1"/>
    </row>
    <row r="1793" spans="11:11">
      <c r="K1793" s="1"/>
    </row>
    <row r="1794" spans="11:11">
      <c r="K1794" s="1"/>
    </row>
    <row r="1795" spans="11:11">
      <c r="K1795" s="1"/>
    </row>
    <row r="1796" spans="11:11">
      <c r="K1796" s="1"/>
    </row>
    <row r="1797" spans="11:11">
      <c r="K1797" s="1"/>
    </row>
    <row r="1798" spans="11:11">
      <c r="K1798" s="1"/>
    </row>
    <row r="1799" spans="11:11">
      <c r="K1799" s="1"/>
    </row>
    <row r="1800" spans="11:11">
      <c r="K1800" s="1"/>
    </row>
    <row r="1801" spans="11:11">
      <c r="K1801" s="1"/>
    </row>
    <row r="1802" spans="11:11">
      <c r="K1802" s="1"/>
    </row>
    <row r="1803" spans="11:11">
      <c r="K1803" s="1"/>
    </row>
    <row r="1804" spans="11:11">
      <c r="K1804" s="1"/>
    </row>
    <row r="1805" spans="11:11">
      <c r="K1805" s="1"/>
    </row>
    <row r="1806" spans="11:11">
      <c r="K1806" s="1"/>
    </row>
    <row r="1807" spans="11:11">
      <c r="K1807" s="1"/>
    </row>
    <row r="1808" spans="11:11">
      <c r="K1808" s="1"/>
    </row>
    <row r="1809" spans="11:11">
      <c r="K1809" s="1"/>
    </row>
    <row r="1810" spans="11:11">
      <c r="K1810" s="1"/>
    </row>
    <row r="1811" spans="11:11">
      <c r="K1811" s="1"/>
    </row>
    <row r="1812" spans="11:11">
      <c r="K1812" s="1"/>
    </row>
    <row r="1813" spans="11:11">
      <c r="K1813" s="1"/>
    </row>
    <row r="1814" spans="11:11">
      <c r="K1814" s="1"/>
    </row>
    <row r="1815" spans="11:11">
      <c r="K1815" s="1"/>
    </row>
    <row r="1816" spans="11:11">
      <c r="K1816" s="1"/>
    </row>
    <row r="1817" spans="11:11">
      <c r="K1817" s="1"/>
    </row>
    <row r="1818" spans="11:11">
      <c r="K1818" s="1"/>
    </row>
    <row r="1819" spans="11:11">
      <c r="K1819" s="1"/>
    </row>
    <row r="1820" spans="11:11">
      <c r="K1820" s="1"/>
    </row>
    <row r="1821" spans="11:11">
      <c r="K1821" s="1"/>
    </row>
    <row r="1822" spans="11:11">
      <c r="K1822" s="1"/>
    </row>
    <row r="1823" spans="11:11">
      <c r="K1823" s="1"/>
    </row>
    <row r="1824" spans="11:11">
      <c r="K1824" s="1"/>
    </row>
    <row r="1825" spans="11:11">
      <c r="K1825" s="1"/>
    </row>
    <row r="1826" spans="11:11">
      <c r="K1826" s="1"/>
    </row>
    <row r="1827" spans="11:11">
      <c r="K1827" s="1"/>
    </row>
    <row r="1828" spans="11:11">
      <c r="K1828" s="1"/>
    </row>
    <row r="1829" spans="11:11">
      <c r="K1829" s="1"/>
    </row>
    <row r="1830" spans="11:11">
      <c r="K1830" s="1"/>
    </row>
    <row r="1831" spans="11:11">
      <c r="K1831" s="1"/>
    </row>
    <row r="1832" spans="11:11">
      <c r="K1832" s="1"/>
    </row>
    <row r="1833" spans="11:11">
      <c r="K1833" s="1"/>
    </row>
    <row r="1834" spans="11:11">
      <c r="K1834" s="1"/>
    </row>
    <row r="1835" spans="11:11">
      <c r="K1835" s="1"/>
    </row>
    <row r="1836" spans="11:11">
      <c r="K1836" s="1"/>
    </row>
    <row r="1837" spans="11:11">
      <c r="K1837" s="1"/>
    </row>
    <row r="1838" spans="11:11">
      <c r="K1838" s="1"/>
    </row>
    <row r="1839" spans="11:11">
      <c r="K1839" s="1"/>
    </row>
    <row r="1840" spans="11:11">
      <c r="K1840" s="1"/>
    </row>
    <row r="1841" spans="11:11">
      <c r="K1841" s="1"/>
    </row>
    <row r="1842" spans="11:11">
      <c r="K1842" s="1"/>
    </row>
    <row r="1843" spans="11:11">
      <c r="K1843" s="1"/>
    </row>
    <row r="1844" spans="11:11">
      <c r="K1844" s="1"/>
    </row>
    <row r="1845" spans="11:11">
      <c r="K1845" s="1"/>
    </row>
    <row r="1846" spans="11:11">
      <c r="K1846" s="1"/>
    </row>
    <row r="1847" spans="11:11">
      <c r="K1847" s="1"/>
    </row>
    <row r="1848" spans="11:11">
      <c r="K1848" s="1"/>
    </row>
    <row r="1849" spans="11:11">
      <c r="K1849" s="1"/>
    </row>
    <row r="1850" spans="11:11">
      <c r="K1850" s="1"/>
    </row>
    <row r="1851" spans="11:11">
      <c r="K1851" s="1"/>
    </row>
    <row r="1852" spans="11:11">
      <c r="K1852" s="1"/>
    </row>
    <row r="1853" spans="11:11">
      <c r="K1853" s="1"/>
    </row>
    <row r="1854" spans="11:11">
      <c r="K1854" s="1"/>
    </row>
    <row r="1855" spans="11:11">
      <c r="K1855" s="1"/>
    </row>
    <row r="1856" spans="11:11">
      <c r="K1856" s="1"/>
    </row>
    <row r="1857" spans="11:11">
      <c r="K1857" s="1"/>
    </row>
    <row r="1858" spans="11:11">
      <c r="K1858" s="1"/>
    </row>
    <row r="1859" spans="11:11">
      <c r="K1859" s="1"/>
    </row>
    <row r="1860" spans="11:11">
      <c r="K1860" s="1"/>
    </row>
    <row r="1861" spans="11:11">
      <c r="K1861" s="1"/>
    </row>
    <row r="1862" spans="11:11">
      <c r="K1862" s="1"/>
    </row>
    <row r="1863" spans="11:11">
      <c r="K1863" s="1"/>
    </row>
    <row r="1864" spans="11:11">
      <c r="K1864" s="1"/>
    </row>
    <row r="1865" spans="11:11">
      <c r="K1865" s="1"/>
    </row>
    <row r="1866" spans="11:11">
      <c r="K1866" s="1"/>
    </row>
    <row r="1867" spans="11:11">
      <c r="K1867" s="1"/>
    </row>
    <row r="1868" spans="11:11">
      <c r="K1868" s="1"/>
    </row>
    <row r="1869" spans="11:11">
      <c r="K1869" s="1"/>
    </row>
    <row r="1870" spans="11:11">
      <c r="K1870" s="1"/>
    </row>
    <row r="1871" spans="11:11">
      <c r="K1871" s="1"/>
    </row>
    <row r="1872" spans="11:11">
      <c r="K1872" s="1"/>
    </row>
    <row r="1873" spans="11:11">
      <c r="K1873" s="1"/>
    </row>
    <row r="1874" spans="11:11">
      <c r="K1874" s="1"/>
    </row>
    <row r="1875" spans="11:11">
      <c r="K1875" s="1"/>
    </row>
    <row r="1876" spans="11:11">
      <c r="K1876" s="1"/>
    </row>
    <row r="1877" spans="11:11">
      <c r="K1877" s="1"/>
    </row>
    <row r="1878" spans="11:11">
      <c r="K1878" s="1"/>
    </row>
    <row r="1879" spans="11:11">
      <c r="K1879" s="1"/>
    </row>
    <row r="1880" spans="11:11">
      <c r="K1880" s="1"/>
    </row>
    <row r="1881" spans="11:11">
      <c r="K1881" s="1"/>
    </row>
    <row r="1882" spans="11:11">
      <c r="K1882" s="1"/>
    </row>
    <row r="1883" spans="11:11">
      <c r="K1883" s="1"/>
    </row>
    <row r="1884" spans="11:11">
      <c r="K1884" s="1"/>
    </row>
    <row r="1885" spans="11:11">
      <c r="K1885" s="1"/>
    </row>
    <row r="1886" spans="11:11">
      <c r="K1886" s="1"/>
    </row>
    <row r="1887" spans="11:11">
      <c r="K1887" s="1"/>
    </row>
    <row r="1888" spans="11:11">
      <c r="K1888" s="1"/>
    </row>
    <row r="1889" spans="11:11">
      <c r="K1889" s="1"/>
    </row>
    <row r="1890" spans="11:11">
      <c r="K1890" s="1"/>
    </row>
    <row r="1891" spans="11:11">
      <c r="K1891" s="1"/>
    </row>
    <row r="1892" spans="11:11">
      <c r="K1892" s="1"/>
    </row>
    <row r="1893" spans="11:11">
      <c r="K1893" s="1"/>
    </row>
    <row r="1894" spans="11:11">
      <c r="K1894" s="1"/>
    </row>
    <row r="1895" spans="11:11">
      <c r="K1895" s="1"/>
    </row>
    <row r="1896" spans="11:11">
      <c r="K1896" s="1"/>
    </row>
    <row r="1897" spans="11:11">
      <c r="K1897" s="1"/>
    </row>
    <row r="1898" spans="11:11">
      <c r="K1898" s="1"/>
    </row>
    <row r="1899" spans="11:11">
      <c r="K1899" s="1"/>
    </row>
    <row r="1900" spans="11:11">
      <c r="K1900" s="1"/>
    </row>
    <row r="1901" spans="11:11">
      <c r="K1901" s="1"/>
    </row>
    <row r="1902" spans="11:11">
      <c r="K1902" s="1"/>
    </row>
    <row r="1903" spans="11:11">
      <c r="K1903" s="1"/>
    </row>
    <row r="1904" spans="11:11">
      <c r="K1904" s="1"/>
    </row>
    <row r="1905" spans="11:11">
      <c r="K1905" s="1"/>
    </row>
    <row r="1906" spans="11:11">
      <c r="K1906" s="1"/>
    </row>
    <row r="1907" spans="11:11">
      <c r="K1907" s="1"/>
    </row>
    <row r="1908" spans="11:11">
      <c r="K1908" s="1"/>
    </row>
    <row r="1909" spans="11:11">
      <c r="K1909" s="1"/>
    </row>
    <row r="1910" spans="11:11">
      <c r="K1910" s="1"/>
    </row>
    <row r="1911" spans="11:11">
      <c r="K1911" s="1"/>
    </row>
    <row r="1912" spans="11:11">
      <c r="K1912" s="1"/>
    </row>
    <row r="1913" spans="11:11">
      <c r="K1913" s="1"/>
    </row>
    <row r="1914" spans="11:11">
      <c r="K1914" s="1"/>
    </row>
    <row r="1915" spans="11:11">
      <c r="K1915" s="1"/>
    </row>
    <row r="1916" spans="11:11">
      <c r="K1916" s="1"/>
    </row>
    <row r="1917" spans="11:11">
      <c r="K1917" s="1"/>
    </row>
    <row r="1918" spans="11:11">
      <c r="K1918" s="1"/>
    </row>
    <row r="1919" spans="11:11">
      <c r="K1919" s="1"/>
    </row>
    <row r="1920" spans="11:11">
      <c r="K1920" s="1"/>
    </row>
    <row r="1921" spans="11:11">
      <c r="K1921" s="1"/>
    </row>
    <row r="1922" spans="11:11">
      <c r="K1922" s="1"/>
    </row>
    <row r="1923" spans="11:11">
      <c r="K1923" s="1"/>
    </row>
    <row r="1924" spans="11:11">
      <c r="K1924" s="1"/>
    </row>
    <row r="1925" spans="11:11">
      <c r="K1925" s="1"/>
    </row>
    <row r="1926" spans="11:11">
      <c r="K1926" s="1"/>
    </row>
    <row r="1927" spans="11:11">
      <c r="K1927" s="1"/>
    </row>
    <row r="1928" spans="11:11">
      <c r="K1928" s="1"/>
    </row>
    <row r="1929" spans="11:11">
      <c r="K1929" s="1"/>
    </row>
    <row r="1930" spans="11:11">
      <c r="K1930" s="1"/>
    </row>
    <row r="1931" spans="11:11">
      <c r="K1931" s="1"/>
    </row>
    <row r="1932" spans="11:11">
      <c r="K1932" s="1"/>
    </row>
    <row r="1933" spans="11:11">
      <c r="K1933" s="1"/>
    </row>
    <row r="1934" spans="11:11">
      <c r="K1934" s="1"/>
    </row>
    <row r="1935" spans="11:11">
      <c r="K1935" s="1"/>
    </row>
    <row r="1936" spans="11:11">
      <c r="K1936" s="1"/>
    </row>
    <row r="1937" spans="11:11">
      <c r="K1937" s="1"/>
    </row>
    <row r="1938" spans="11:11">
      <c r="K1938" s="1"/>
    </row>
    <row r="1939" spans="11:11">
      <c r="K1939" s="1"/>
    </row>
    <row r="1940" spans="11:11">
      <c r="K1940" s="1"/>
    </row>
    <row r="1941" spans="11:11">
      <c r="K1941" s="1"/>
    </row>
    <row r="1942" spans="11:11">
      <c r="K1942" s="1"/>
    </row>
    <row r="1943" spans="11:11">
      <c r="K1943" s="1"/>
    </row>
    <row r="1944" spans="11:11">
      <c r="K1944" s="1"/>
    </row>
    <row r="1945" spans="11:11">
      <c r="K1945" s="1"/>
    </row>
    <row r="1946" spans="11:11">
      <c r="K1946" s="1"/>
    </row>
    <row r="1947" spans="11:11">
      <c r="K1947" s="1"/>
    </row>
    <row r="1948" spans="11:11">
      <c r="K1948" s="1"/>
    </row>
    <row r="1949" spans="11:11">
      <c r="K1949" s="1"/>
    </row>
    <row r="1950" spans="11:11">
      <c r="K1950" s="1"/>
    </row>
    <row r="1951" spans="11:11">
      <c r="K1951" s="1"/>
    </row>
    <row r="1952" spans="11:11">
      <c r="K1952" s="1"/>
    </row>
    <row r="1953" spans="11:11">
      <c r="K1953" s="1"/>
    </row>
    <row r="1954" spans="11:11">
      <c r="K1954" s="1"/>
    </row>
    <row r="1955" spans="11:11">
      <c r="K1955" s="1"/>
    </row>
    <row r="1956" spans="11:11">
      <c r="K1956" s="1"/>
    </row>
    <row r="1957" spans="11:11">
      <c r="K1957" s="1"/>
    </row>
    <row r="1958" spans="11:11">
      <c r="K1958" s="1"/>
    </row>
    <row r="1959" spans="11:11">
      <c r="K1959" s="1"/>
    </row>
    <row r="1960" spans="11:11">
      <c r="K1960" s="1"/>
    </row>
    <row r="1961" spans="11:11">
      <c r="K1961" s="1"/>
    </row>
    <row r="1962" spans="11:11">
      <c r="K1962" s="1"/>
    </row>
    <row r="1963" spans="11:11">
      <c r="K1963" s="1"/>
    </row>
    <row r="1964" spans="11:11">
      <c r="K1964" s="1"/>
    </row>
    <row r="1965" spans="11:11">
      <c r="K1965" s="1"/>
    </row>
    <row r="1966" spans="11:11">
      <c r="K1966" s="1"/>
    </row>
    <row r="1967" spans="11:11">
      <c r="K1967" s="1"/>
    </row>
    <row r="1968" spans="11:11">
      <c r="K1968" s="1"/>
    </row>
    <row r="1969" spans="11:11">
      <c r="K1969" s="1"/>
    </row>
    <row r="1970" spans="11:11">
      <c r="K1970" s="1"/>
    </row>
    <row r="1971" spans="11:11">
      <c r="K1971" s="1"/>
    </row>
    <row r="1972" spans="11:11">
      <c r="K1972" s="1"/>
    </row>
    <row r="1973" spans="11:11">
      <c r="K1973" s="1"/>
    </row>
    <row r="1974" spans="11:11">
      <c r="K1974" s="1"/>
    </row>
    <row r="1975" spans="11:11">
      <c r="K1975" s="1"/>
    </row>
    <row r="1976" spans="11:11">
      <c r="K1976" s="1"/>
    </row>
    <row r="1977" spans="11:11">
      <c r="K1977" s="1"/>
    </row>
    <row r="1978" spans="11:11">
      <c r="K1978" s="1"/>
    </row>
    <row r="1979" spans="11:11">
      <c r="K1979" s="1"/>
    </row>
    <row r="1980" spans="11:11">
      <c r="K1980" s="1"/>
    </row>
    <row r="1981" spans="11:11">
      <c r="K1981" s="1"/>
    </row>
    <row r="1982" spans="11:11">
      <c r="K1982" s="1"/>
    </row>
    <row r="1983" spans="11:11">
      <c r="K1983" s="1"/>
    </row>
    <row r="1984" spans="11:11">
      <c r="K1984" s="1"/>
    </row>
    <row r="1985" spans="11:11">
      <c r="K1985" s="1"/>
    </row>
    <row r="1986" spans="11:11">
      <c r="K1986" s="1"/>
    </row>
    <row r="1987" spans="11:11">
      <c r="K1987" s="1"/>
    </row>
    <row r="1988" spans="11:11">
      <c r="K1988" s="1"/>
    </row>
    <row r="1989" spans="11:11">
      <c r="K1989" s="1"/>
    </row>
    <row r="1990" spans="11:11">
      <c r="K1990" s="1"/>
    </row>
    <row r="1991" spans="11:11">
      <c r="K1991" s="1"/>
    </row>
    <row r="1992" spans="11:11">
      <c r="K1992" s="1"/>
    </row>
    <row r="1993" spans="11:11">
      <c r="K1993" s="1"/>
    </row>
    <row r="1994" spans="11:11">
      <c r="K1994" s="1"/>
    </row>
    <row r="1995" spans="11:11">
      <c r="K1995" s="1"/>
    </row>
    <row r="1996" spans="11:11">
      <c r="K1996" s="1"/>
    </row>
    <row r="1997" spans="11:11">
      <c r="K1997" s="1"/>
    </row>
    <row r="1998" spans="11:11">
      <c r="K1998" s="1"/>
    </row>
    <row r="1999" spans="11:11">
      <c r="K1999" s="1"/>
    </row>
    <row r="2000" spans="11:11">
      <c r="K2000" s="1"/>
    </row>
    <row r="2001" spans="11:11">
      <c r="K2001" s="1"/>
    </row>
    <row r="2002" spans="11:11">
      <c r="K2002" s="1"/>
    </row>
    <row r="2003" spans="11:11">
      <c r="K2003" s="1"/>
    </row>
    <row r="2004" spans="11:11">
      <c r="K2004" s="1"/>
    </row>
    <row r="2005" spans="11:11">
      <c r="K2005" s="1"/>
    </row>
    <row r="2006" spans="11:11">
      <c r="K2006" s="1"/>
    </row>
    <row r="2007" spans="11:11">
      <c r="K2007" s="1"/>
    </row>
    <row r="2008" spans="11:11">
      <c r="K2008" s="1"/>
    </row>
    <row r="2009" spans="11:11">
      <c r="K2009" s="1"/>
    </row>
    <row r="2010" spans="11:11">
      <c r="K2010" s="1"/>
    </row>
    <row r="2011" spans="11:11">
      <c r="K2011" s="1"/>
    </row>
    <row r="2012" spans="11:11">
      <c r="K2012" s="1"/>
    </row>
    <row r="2013" spans="11:11">
      <c r="K2013" s="1"/>
    </row>
    <row r="2014" spans="11:11">
      <c r="K2014" s="1"/>
    </row>
    <row r="2015" spans="11:11">
      <c r="K2015" s="1"/>
    </row>
    <row r="2016" spans="11:11">
      <c r="K2016" s="1"/>
    </row>
    <row r="2017" spans="11:11">
      <c r="K2017" s="1"/>
    </row>
    <row r="2018" spans="11:11">
      <c r="K2018" s="1"/>
    </row>
    <row r="2019" spans="11:11">
      <c r="K2019" s="1"/>
    </row>
    <row r="2020" spans="11:11">
      <c r="K2020" s="1"/>
    </row>
    <row r="2021" spans="11:11">
      <c r="K2021" s="1"/>
    </row>
    <row r="2022" spans="11:11">
      <c r="K2022" s="1"/>
    </row>
    <row r="2023" spans="11:11">
      <c r="K2023" s="1"/>
    </row>
    <row r="2024" spans="11:11">
      <c r="K2024" s="1"/>
    </row>
    <row r="2025" spans="11:11">
      <c r="K2025" s="1"/>
    </row>
    <row r="2026" spans="11:11">
      <c r="K2026" s="1"/>
    </row>
    <row r="2027" spans="11:11">
      <c r="K2027" s="1"/>
    </row>
    <row r="2028" spans="11:11">
      <c r="K2028" s="1"/>
    </row>
    <row r="2029" spans="11:11">
      <c r="K2029" s="1"/>
    </row>
    <row r="2030" spans="11:11">
      <c r="K2030" s="1"/>
    </row>
    <row r="2031" spans="11:11">
      <c r="K2031" s="1"/>
    </row>
    <row r="2032" spans="11:11">
      <c r="K2032" s="1"/>
    </row>
    <row r="2033" spans="11:11">
      <c r="K2033" s="1"/>
    </row>
    <row r="2034" spans="11:11">
      <c r="K2034" s="1"/>
    </row>
    <row r="2035" spans="11:11">
      <c r="K2035" s="1"/>
    </row>
    <row r="2036" spans="11:11">
      <c r="K2036" s="1"/>
    </row>
    <row r="2037" spans="11:11">
      <c r="K2037" s="1"/>
    </row>
    <row r="2038" spans="11:11">
      <c r="K2038" s="1"/>
    </row>
    <row r="2039" spans="11:11">
      <c r="K2039" s="1"/>
    </row>
    <row r="2040" spans="11:11">
      <c r="K2040" s="1"/>
    </row>
    <row r="2041" spans="11:11">
      <c r="K2041" s="1"/>
    </row>
    <row r="2042" spans="11:11">
      <c r="K2042" s="1"/>
    </row>
    <row r="2043" spans="11:11">
      <c r="K2043" s="1"/>
    </row>
    <row r="2044" spans="11:11">
      <c r="K2044" s="1"/>
    </row>
    <row r="2045" spans="11:11">
      <c r="K2045" s="1"/>
    </row>
    <row r="2046" spans="11:11">
      <c r="K2046" s="1"/>
    </row>
    <row r="2047" spans="11:11">
      <c r="K2047" s="1"/>
    </row>
    <row r="2048" spans="11:11">
      <c r="K2048" s="1"/>
    </row>
    <row r="2049" spans="11:11">
      <c r="K2049" s="1"/>
    </row>
    <row r="2050" spans="11:11">
      <c r="K2050" s="1"/>
    </row>
    <row r="2051" spans="11:11">
      <c r="K2051" s="1"/>
    </row>
    <row r="2052" spans="11:11">
      <c r="K2052" s="1"/>
    </row>
    <row r="2053" spans="11:11">
      <c r="K2053" s="1"/>
    </row>
    <row r="2054" spans="11:11">
      <c r="K2054" s="1"/>
    </row>
    <row r="2055" spans="11:11">
      <c r="K2055" s="1"/>
    </row>
    <row r="2056" spans="11:11">
      <c r="K2056" s="1"/>
    </row>
    <row r="2057" spans="11:11">
      <c r="K2057" s="1"/>
    </row>
    <row r="2058" spans="11:11">
      <c r="K2058" s="1"/>
    </row>
    <row r="2059" spans="11:11">
      <c r="K2059" s="1"/>
    </row>
    <row r="2060" spans="11:11">
      <c r="K2060" s="1"/>
    </row>
    <row r="2061" spans="11:11">
      <c r="K2061" s="1"/>
    </row>
    <row r="2062" spans="11:11">
      <c r="K2062" s="1"/>
    </row>
    <row r="2063" spans="11:11">
      <c r="K2063" s="1"/>
    </row>
    <row r="2064" spans="11:11">
      <c r="K2064" s="1"/>
    </row>
    <row r="2065" spans="11:11">
      <c r="K2065" s="1"/>
    </row>
    <row r="2066" spans="11:11">
      <c r="K2066" s="1"/>
    </row>
    <row r="2067" spans="11:11">
      <c r="K2067" s="1"/>
    </row>
    <row r="2068" spans="11:11">
      <c r="K2068" s="1"/>
    </row>
    <row r="2069" spans="11:11">
      <c r="K2069" s="1"/>
    </row>
    <row r="2070" spans="11:11">
      <c r="K2070" s="1"/>
    </row>
    <row r="2071" spans="11:11">
      <c r="K2071" s="1"/>
    </row>
    <row r="2072" spans="11:11">
      <c r="K2072" s="1"/>
    </row>
    <row r="2073" spans="11:11">
      <c r="K2073" s="1"/>
    </row>
    <row r="2074" spans="11:11">
      <c r="K2074" s="1"/>
    </row>
    <row r="2075" spans="11:11">
      <c r="K2075" s="1"/>
    </row>
    <row r="2076" spans="11:11">
      <c r="K2076" s="1"/>
    </row>
    <row r="2077" spans="11:11">
      <c r="K2077" s="1"/>
    </row>
    <row r="2078" spans="11:11">
      <c r="K2078" s="1"/>
    </row>
    <row r="2079" spans="11:11">
      <c r="K2079" s="1"/>
    </row>
    <row r="2080" spans="11:11">
      <c r="K2080" s="1"/>
    </row>
    <row r="2081" spans="11:11">
      <c r="K2081" s="1"/>
    </row>
    <row r="2082" spans="11:11">
      <c r="K2082" s="1"/>
    </row>
    <row r="2083" spans="11:11">
      <c r="K2083" s="1"/>
    </row>
    <row r="2084" spans="11:11">
      <c r="K2084" s="1"/>
    </row>
    <row r="2085" spans="11:11">
      <c r="K2085" s="1"/>
    </row>
    <row r="2086" spans="11:11">
      <c r="K2086" s="1"/>
    </row>
    <row r="2087" spans="11:11">
      <c r="K2087" s="1"/>
    </row>
    <row r="2088" spans="11:11">
      <c r="K2088" s="1"/>
    </row>
    <row r="2089" spans="11:11">
      <c r="K2089" s="1"/>
    </row>
    <row r="2090" spans="11:11">
      <c r="K2090" s="1"/>
    </row>
    <row r="2091" spans="11:11">
      <c r="K2091" s="1"/>
    </row>
    <row r="2092" spans="11:11">
      <c r="K2092" s="1"/>
    </row>
    <row r="2093" spans="11:11">
      <c r="K2093" s="1"/>
    </row>
    <row r="2094" spans="11:11">
      <c r="K2094" s="1"/>
    </row>
    <row r="2095" spans="11:11">
      <c r="K2095" s="1"/>
    </row>
    <row r="2096" spans="11:11">
      <c r="K2096" s="1"/>
    </row>
    <row r="2097" spans="11:11">
      <c r="K2097" s="1"/>
    </row>
    <row r="2098" spans="11:11">
      <c r="K2098" s="1"/>
    </row>
    <row r="2099" spans="11:11">
      <c r="K2099" s="1"/>
    </row>
    <row r="2100" spans="11:11">
      <c r="K2100" s="1"/>
    </row>
    <row r="2101" spans="11:11">
      <c r="K2101" s="1"/>
    </row>
    <row r="2102" spans="11:11">
      <c r="K2102" s="1"/>
    </row>
    <row r="2103" spans="11:11">
      <c r="K2103" s="1"/>
    </row>
    <row r="2104" spans="11:11">
      <c r="K2104" s="1"/>
    </row>
    <row r="2105" spans="11:11">
      <c r="K2105" s="1"/>
    </row>
    <row r="2106" spans="11:11">
      <c r="K2106" s="1"/>
    </row>
    <row r="2107" spans="11:11">
      <c r="K2107" s="1"/>
    </row>
    <row r="2108" spans="11:11">
      <c r="K2108" s="1"/>
    </row>
    <row r="2109" spans="11:11">
      <c r="K2109" s="1"/>
    </row>
    <row r="2110" spans="11:11">
      <c r="K2110" s="1"/>
    </row>
    <row r="2111" spans="11:11">
      <c r="K2111" s="1"/>
    </row>
    <row r="2112" spans="11:11">
      <c r="K2112" s="1"/>
    </row>
    <row r="2113" spans="11:11">
      <c r="K2113" s="1"/>
    </row>
    <row r="2114" spans="11:11">
      <c r="K2114" s="1"/>
    </row>
    <row r="2115" spans="11:11">
      <c r="K2115" s="1"/>
    </row>
    <row r="2116" spans="11:11">
      <c r="K2116" s="1"/>
    </row>
    <row r="2117" spans="11:11">
      <c r="K2117" s="1"/>
    </row>
    <row r="2118" spans="11:11">
      <c r="K2118" s="1"/>
    </row>
    <row r="2119" spans="11:11">
      <c r="K2119" s="1"/>
    </row>
    <row r="2120" spans="11:11">
      <c r="K2120" s="1"/>
    </row>
    <row r="2121" spans="11:11">
      <c r="K2121" s="1"/>
    </row>
    <row r="2122" spans="11:11">
      <c r="K2122" s="1"/>
    </row>
    <row r="2123" spans="11:11">
      <c r="K2123" s="1"/>
    </row>
    <row r="2124" spans="11:11">
      <c r="K2124" s="1"/>
    </row>
    <row r="2125" spans="11:11">
      <c r="K2125" s="1"/>
    </row>
    <row r="2126" spans="11:11">
      <c r="K2126" s="1"/>
    </row>
    <row r="2127" spans="11:11">
      <c r="K2127" s="1"/>
    </row>
    <row r="2128" spans="11:11">
      <c r="K2128" s="1"/>
    </row>
    <row r="2129" spans="11:11">
      <c r="K2129" s="1"/>
    </row>
    <row r="2130" spans="11:11">
      <c r="K2130" s="1"/>
    </row>
    <row r="2131" spans="11:11">
      <c r="K2131" s="1"/>
    </row>
    <row r="2132" spans="11:11">
      <c r="K2132" s="1"/>
    </row>
    <row r="2133" spans="11:11">
      <c r="K2133" s="1"/>
    </row>
    <row r="2134" spans="11:11">
      <c r="K2134" s="1"/>
    </row>
    <row r="2135" spans="11:11">
      <c r="K2135" s="1"/>
    </row>
    <row r="2136" spans="11:11">
      <c r="K2136" s="1"/>
    </row>
    <row r="2137" spans="11:11">
      <c r="K2137" s="1"/>
    </row>
    <row r="2138" spans="11:11">
      <c r="K2138" s="1"/>
    </row>
    <row r="2139" spans="11:11">
      <c r="K2139" s="1"/>
    </row>
    <row r="2140" spans="11:11">
      <c r="K2140" s="1"/>
    </row>
    <row r="2141" spans="11:11">
      <c r="K2141" s="1"/>
    </row>
    <row r="2142" spans="11:11">
      <c r="K2142" s="1"/>
    </row>
    <row r="2143" spans="11:11">
      <c r="K2143" s="1"/>
    </row>
    <row r="2144" spans="11:11">
      <c r="K2144" s="1"/>
    </row>
    <row r="2145" spans="11:11">
      <c r="K2145" s="1"/>
    </row>
    <row r="2146" spans="11:11">
      <c r="K2146" s="1"/>
    </row>
    <row r="2147" spans="11:11">
      <c r="K2147" s="1"/>
    </row>
    <row r="2148" spans="11:11">
      <c r="K2148" s="1"/>
    </row>
    <row r="2149" spans="11:11">
      <c r="K2149" s="1"/>
    </row>
    <row r="2150" spans="11:11">
      <c r="K2150" s="1"/>
    </row>
    <row r="2151" spans="11:11">
      <c r="K2151" s="1"/>
    </row>
    <row r="2152" spans="11:11">
      <c r="K2152" s="1"/>
    </row>
    <row r="2153" spans="11:11">
      <c r="K2153" s="1"/>
    </row>
    <row r="2154" spans="11:11">
      <c r="K2154" s="1"/>
    </row>
    <row r="2155" spans="11:11">
      <c r="K2155" s="1"/>
    </row>
    <row r="2156" spans="11:11">
      <c r="K2156" s="1"/>
    </row>
    <row r="2157" spans="11:11">
      <c r="K2157" s="1"/>
    </row>
    <row r="2158" spans="11:11">
      <c r="K2158" s="1"/>
    </row>
    <row r="2159" spans="11:11">
      <c r="K2159" s="1"/>
    </row>
    <row r="2160" spans="11:11">
      <c r="K2160" s="1"/>
    </row>
    <row r="2161" spans="11:11">
      <c r="K2161" s="1"/>
    </row>
    <row r="2162" spans="11:11">
      <c r="K2162" s="1"/>
    </row>
    <row r="2163" spans="11:11">
      <c r="K2163" s="1"/>
    </row>
    <row r="2164" spans="11:11">
      <c r="K2164" s="1"/>
    </row>
    <row r="2165" spans="11:11">
      <c r="K2165" s="1"/>
    </row>
    <row r="2166" spans="11:11">
      <c r="K2166" s="1"/>
    </row>
    <row r="2167" spans="11:11">
      <c r="K2167" s="1"/>
    </row>
    <row r="2168" spans="11:11">
      <c r="K2168" s="1"/>
    </row>
    <row r="2169" spans="11:11">
      <c r="K2169" s="1"/>
    </row>
    <row r="2170" spans="11:11">
      <c r="K2170" s="1"/>
    </row>
    <row r="2171" spans="11:11">
      <c r="K2171" s="1"/>
    </row>
    <row r="2172" spans="11:11">
      <c r="K2172" s="1"/>
    </row>
    <row r="2173" spans="11:11">
      <c r="K2173" s="1"/>
    </row>
    <row r="2174" spans="11:11">
      <c r="K2174" s="1"/>
    </row>
    <row r="2175" spans="11:11">
      <c r="K2175" s="1"/>
    </row>
    <row r="2176" spans="11:11">
      <c r="K2176" s="1"/>
    </row>
    <row r="2177" spans="11:11">
      <c r="K2177" s="1"/>
    </row>
    <row r="2178" spans="11:11">
      <c r="K2178" s="1"/>
    </row>
    <row r="2179" spans="11:11">
      <c r="K2179" s="1"/>
    </row>
    <row r="2180" spans="11:11">
      <c r="K2180" s="1"/>
    </row>
    <row r="2181" spans="11:11">
      <c r="K2181" s="1"/>
    </row>
    <row r="2182" spans="11:11">
      <c r="K2182" s="1"/>
    </row>
    <row r="2183" spans="11:11">
      <c r="K2183" s="1"/>
    </row>
    <row r="2184" spans="11:11">
      <c r="K2184" s="1"/>
    </row>
    <row r="2185" spans="11:11">
      <c r="K2185" s="1"/>
    </row>
    <row r="2186" spans="11:11">
      <c r="K2186" s="1"/>
    </row>
    <row r="2187" spans="11:11">
      <c r="K2187" s="1"/>
    </row>
    <row r="2188" spans="11:11">
      <c r="K2188" s="1"/>
    </row>
    <row r="2189" spans="11:11">
      <c r="K2189" s="1"/>
    </row>
    <row r="2190" spans="11:11">
      <c r="K2190" s="1"/>
    </row>
    <row r="2191" spans="11:11">
      <c r="K2191" s="1"/>
    </row>
    <row r="2192" spans="11:11">
      <c r="K2192" s="1"/>
    </row>
    <row r="2193" spans="11:11">
      <c r="K2193" s="1"/>
    </row>
    <row r="2194" spans="11:11">
      <c r="K2194" s="1"/>
    </row>
    <row r="2195" spans="11:11">
      <c r="K2195" s="1"/>
    </row>
    <row r="2196" spans="11:11">
      <c r="K2196" s="1"/>
    </row>
    <row r="2197" spans="11:11">
      <c r="K2197" s="1"/>
    </row>
    <row r="2198" spans="11:11">
      <c r="K2198" s="1"/>
    </row>
    <row r="2199" spans="11:11">
      <c r="K2199" s="1"/>
    </row>
    <row r="2200" spans="11:11">
      <c r="K2200" s="1"/>
    </row>
    <row r="2201" spans="11:11">
      <c r="K2201" s="1"/>
    </row>
    <row r="2202" spans="11:11">
      <c r="K2202" s="1"/>
    </row>
    <row r="2203" spans="11:11">
      <c r="K2203" s="1"/>
    </row>
    <row r="2204" spans="11:11">
      <c r="K2204" s="1"/>
    </row>
    <row r="2205" spans="11:11">
      <c r="K2205" s="1"/>
    </row>
    <row r="2206" spans="11:11">
      <c r="K2206" s="1"/>
    </row>
    <row r="2207" spans="11:11">
      <c r="K2207" s="1"/>
    </row>
    <row r="2208" spans="11:11">
      <c r="K2208" s="1"/>
    </row>
    <row r="2209" spans="11:11">
      <c r="K2209" s="1"/>
    </row>
    <row r="2210" spans="11:11">
      <c r="K2210" s="1"/>
    </row>
    <row r="2211" spans="11:11">
      <c r="K2211" s="1"/>
    </row>
    <row r="2212" spans="11:11">
      <c r="K2212" s="1"/>
    </row>
    <row r="2213" spans="11:11">
      <c r="K2213" s="1"/>
    </row>
    <row r="2214" spans="11:11">
      <c r="K2214" s="1"/>
    </row>
    <row r="2215" spans="11:11">
      <c r="K2215" s="1"/>
    </row>
    <row r="2216" spans="11:11">
      <c r="K2216" s="1"/>
    </row>
    <row r="2217" spans="11:11">
      <c r="K2217" s="1"/>
    </row>
    <row r="2218" spans="11:11">
      <c r="K2218" s="1"/>
    </row>
    <row r="2219" spans="11:11">
      <c r="K2219" s="1"/>
    </row>
    <row r="2220" spans="11:11">
      <c r="K2220" s="1"/>
    </row>
    <row r="2221" spans="11:11">
      <c r="K2221" s="1"/>
    </row>
    <row r="2222" spans="11:11">
      <c r="K2222" s="1"/>
    </row>
    <row r="2223" spans="11:11">
      <c r="K2223" s="1"/>
    </row>
    <row r="2224" spans="11:11">
      <c r="K2224" s="1"/>
    </row>
    <row r="2225" spans="11:11">
      <c r="K2225" s="1"/>
    </row>
    <row r="2226" spans="11:11">
      <c r="K2226" s="1"/>
    </row>
    <row r="2227" spans="11:11">
      <c r="K2227" s="1"/>
    </row>
    <row r="2228" spans="11:11">
      <c r="K2228" s="1"/>
    </row>
    <row r="2229" spans="11:11">
      <c r="K2229" s="1"/>
    </row>
    <row r="2230" spans="11:11">
      <c r="K2230" s="1"/>
    </row>
    <row r="2231" spans="11:11">
      <c r="K2231" s="1"/>
    </row>
    <row r="2232" spans="11:11">
      <c r="K2232" s="1"/>
    </row>
    <row r="2233" spans="11:11">
      <c r="K2233" s="1"/>
    </row>
    <row r="2234" spans="11:11">
      <c r="K2234" s="1"/>
    </row>
    <row r="2235" spans="11:11">
      <c r="K2235" s="1"/>
    </row>
    <row r="2236" spans="11:11">
      <c r="K2236" s="1"/>
    </row>
    <row r="2237" spans="11:11">
      <c r="K2237" s="1"/>
    </row>
    <row r="2238" spans="11:11">
      <c r="K2238" s="1"/>
    </row>
    <row r="2239" spans="11:11">
      <c r="K2239" s="1"/>
    </row>
    <row r="2240" spans="11:11">
      <c r="K2240" s="1"/>
    </row>
    <row r="2241" spans="11:11">
      <c r="K2241" s="1"/>
    </row>
    <row r="2242" spans="11:11">
      <c r="K2242" s="1"/>
    </row>
    <row r="2243" spans="11:11">
      <c r="K2243" s="1"/>
    </row>
    <row r="2244" spans="11:11">
      <c r="K2244" s="1"/>
    </row>
    <row r="2245" spans="11:11">
      <c r="K2245" s="1"/>
    </row>
    <row r="2246" spans="11:11">
      <c r="K2246" s="1"/>
    </row>
    <row r="2247" spans="11:11">
      <c r="K2247" s="1"/>
    </row>
    <row r="2248" spans="11:11">
      <c r="K2248" s="1"/>
    </row>
    <row r="2249" spans="11:11">
      <c r="K2249" s="1"/>
    </row>
    <row r="2250" spans="11:11">
      <c r="K2250" s="1"/>
    </row>
    <row r="2251" spans="11:11">
      <c r="K2251" s="1"/>
    </row>
    <row r="2252" spans="11:11">
      <c r="K2252" s="1"/>
    </row>
    <row r="2253" spans="11:11">
      <c r="K2253" s="1"/>
    </row>
    <row r="2254" spans="11:11">
      <c r="K2254" s="1"/>
    </row>
    <row r="2255" spans="11:11">
      <c r="K2255" s="1"/>
    </row>
    <row r="2256" spans="11:11">
      <c r="K2256" s="1"/>
    </row>
    <row r="2257" spans="11:11">
      <c r="K2257" s="1"/>
    </row>
    <row r="2258" spans="11:11">
      <c r="K2258" s="1"/>
    </row>
    <row r="2259" spans="11:11">
      <c r="K2259" s="1"/>
    </row>
    <row r="2260" spans="11:11">
      <c r="K2260" s="1"/>
    </row>
    <row r="2261" spans="11:11">
      <c r="K2261" s="1"/>
    </row>
    <row r="2262" spans="11:11">
      <c r="K2262" s="1"/>
    </row>
    <row r="2263" spans="11:11">
      <c r="K2263" s="1"/>
    </row>
    <row r="2264" spans="11:11">
      <c r="K2264" s="1"/>
    </row>
    <row r="2265" spans="11:11">
      <c r="K2265" s="1"/>
    </row>
    <row r="2266" spans="11:11">
      <c r="K2266" s="1"/>
    </row>
    <row r="2267" spans="11:11">
      <c r="K2267" s="1"/>
    </row>
    <row r="2268" spans="11:11">
      <c r="K2268" s="1"/>
    </row>
    <row r="2269" spans="11:11">
      <c r="K2269" s="1"/>
    </row>
    <row r="2270" spans="11:11">
      <c r="K2270" s="1"/>
    </row>
    <row r="2271" spans="11:11">
      <c r="K2271" s="1"/>
    </row>
    <row r="2272" spans="11:11">
      <c r="K2272" s="1"/>
    </row>
    <row r="2273" spans="11:11">
      <c r="K2273" s="1"/>
    </row>
    <row r="2274" spans="11:11">
      <c r="K2274" s="1"/>
    </row>
    <row r="2275" spans="11:11">
      <c r="K2275" s="1"/>
    </row>
    <row r="2276" spans="11:11">
      <c r="K2276" s="1"/>
    </row>
    <row r="2277" spans="11:11">
      <c r="K2277" s="1"/>
    </row>
    <row r="2278" spans="11:11">
      <c r="K2278" s="1"/>
    </row>
    <row r="2279" spans="11:11">
      <c r="K2279" s="1"/>
    </row>
    <row r="2280" spans="11:11">
      <c r="K2280" s="1"/>
    </row>
    <row r="2281" spans="11:11">
      <c r="K2281" s="1"/>
    </row>
    <row r="2282" spans="11:11">
      <c r="K2282" s="1"/>
    </row>
    <row r="2283" spans="11:11">
      <c r="K2283" s="1"/>
    </row>
    <row r="2284" spans="11:11">
      <c r="K2284" s="1"/>
    </row>
    <row r="2285" spans="11:11">
      <c r="K2285" s="1"/>
    </row>
    <row r="2286" spans="11:11">
      <c r="K2286" s="1"/>
    </row>
    <row r="2287" spans="11:11">
      <c r="K2287" s="1"/>
    </row>
    <row r="2288" spans="11:11">
      <c r="K2288" s="1"/>
    </row>
    <row r="2289" spans="11:11">
      <c r="K2289" s="1"/>
    </row>
    <row r="2290" spans="11:11">
      <c r="K2290" s="1"/>
    </row>
    <row r="2291" spans="11:11">
      <c r="K2291" s="1"/>
    </row>
    <row r="2292" spans="11:11">
      <c r="K2292" s="1"/>
    </row>
    <row r="2293" spans="11:11">
      <c r="K2293" s="1"/>
    </row>
    <row r="2294" spans="11:11">
      <c r="K2294" s="1"/>
    </row>
    <row r="2295" spans="11:11">
      <c r="K2295" s="1"/>
    </row>
    <row r="2296" spans="11:11">
      <c r="K2296" s="1"/>
    </row>
    <row r="2297" spans="11:11">
      <c r="K2297" s="1"/>
    </row>
    <row r="2298" spans="11:11">
      <c r="K2298" s="1"/>
    </row>
    <row r="2299" spans="11:11">
      <c r="K2299" s="1"/>
    </row>
    <row r="2300" spans="11:11">
      <c r="K2300" s="1"/>
    </row>
    <row r="2301" spans="11:11">
      <c r="K2301" s="1"/>
    </row>
    <row r="2302" spans="11:11">
      <c r="K2302" s="1"/>
    </row>
    <row r="2303" spans="11:11">
      <c r="K2303" s="1"/>
    </row>
    <row r="2304" spans="11:11">
      <c r="K2304" s="1"/>
    </row>
    <row r="2305" spans="11:11">
      <c r="K2305" s="1"/>
    </row>
    <row r="2306" spans="11:11">
      <c r="K2306" s="1"/>
    </row>
    <row r="2307" spans="11:11">
      <c r="K2307" s="1"/>
    </row>
    <row r="2308" spans="11:11">
      <c r="K2308" s="1"/>
    </row>
    <row r="2309" spans="11:11">
      <c r="K2309" s="1"/>
    </row>
    <row r="2310" spans="11:11">
      <c r="K2310" s="1"/>
    </row>
    <row r="2311" spans="11:11">
      <c r="K2311" s="1"/>
    </row>
    <row r="2312" spans="11:11">
      <c r="K2312" s="1"/>
    </row>
    <row r="2313" spans="11:11">
      <c r="K2313" s="1"/>
    </row>
    <row r="2314" spans="11:11">
      <c r="K2314" s="1"/>
    </row>
    <row r="2315" spans="11:11">
      <c r="K2315" s="1"/>
    </row>
    <row r="2316" spans="11:11">
      <c r="K2316" s="1"/>
    </row>
    <row r="2317" spans="11:11">
      <c r="K2317" s="1"/>
    </row>
    <row r="2318" spans="11:11">
      <c r="K2318" s="1"/>
    </row>
    <row r="2319" spans="11:11">
      <c r="K2319" s="1"/>
    </row>
    <row r="2320" spans="11:11">
      <c r="K2320" s="1"/>
    </row>
    <row r="2321" spans="11:11">
      <c r="K2321" s="1"/>
    </row>
    <row r="2322" spans="11:11">
      <c r="K2322" s="1"/>
    </row>
    <row r="2323" spans="11:11">
      <c r="K2323" s="1"/>
    </row>
    <row r="2324" spans="11:11">
      <c r="K2324" s="1"/>
    </row>
    <row r="2325" spans="11:11">
      <c r="K2325" s="1"/>
    </row>
    <row r="2326" spans="11:11">
      <c r="K2326" s="1"/>
    </row>
    <row r="2327" spans="11:11">
      <c r="K2327" s="1"/>
    </row>
    <row r="2328" spans="11:11">
      <c r="K2328" s="1"/>
    </row>
    <row r="2329" spans="11:11">
      <c r="K2329" s="1"/>
    </row>
    <row r="2330" spans="11:11">
      <c r="K2330" s="1"/>
    </row>
    <row r="2331" spans="11:11">
      <c r="K2331" s="1"/>
    </row>
    <row r="2332" spans="11:11">
      <c r="K2332" s="1"/>
    </row>
    <row r="2333" spans="11:11">
      <c r="K2333" s="1"/>
    </row>
    <row r="2334" spans="11:11">
      <c r="K2334" s="1"/>
    </row>
    <row r="2335" spans="11:11">
      <c r="K2335" s="1"/>
    </row>
    <row r="2336" spans="11:11">
      <c r="K2336" s="1"/>
    </row>
    <row r="2337" spans="11:11">
      <c r="K2337" s="1"/>
    </row>
    <row r="2338" spans="11:11">
      <c r="K2338" s="1"/>
    </row>
    <row r="2339" spans="11:11">
      <c r="K2339" s="1"/>
    </row>
    <row r="2340" spans="11:11">
      <c r="K2340" s="1"/>
    </row>
    <row r="2341" spans="11:11">
      <c r="K2341" s="1"/>
    </row>
    <row r="2342" spans="11:11">
      <c r="K2342" s="1"/>
    </row>
    <row r="2343" spans="11:11">
      <c r="K2343" s="1"/>
    </row>
    <row r="2344" spans="11:11">
      <c r="K2344" s="1"/>
    </row>
    <row r="2345" spans="11:11">
      <c r="K2345" s="1"/>
    </row>
    <row r="2346" spans="11:11">
      <c r="K2346" s="1"/>
    </row>
    <row r="2347" spans="11:11">
      <c r="K2347" s="1"/>
    </row>
    <row r="2348" spans="11:11">
      <c r="K2348" s="1"/>
    </row>
    <row r="2349" spans="11:11">
      <c r="K2349" s="1"/>
    </row>
    <row r="2350" spans="11:11">
      <c r="K2350" s="1"/>
    </row>
    <row r="2351" spans="11:11">
      <c r="K2351" s="1"/>
    </row>
    <row r="2352" spans="11:11">
      <c r="K2352" s="1"/>
    </row>
    <row r="2353" spans="11:11">
      <c r="K2353" s="1"/>
    </row>
    <row r="2354" spans="11:11">
      <c r="K2354" s="1"/>
    </row>
    <row r="2355" spans="11:11">
      <c r="K2355" s="1"/>
    </row>
    <row r="2356" spans="11:11">
      <c r="K2356" s="1"/>
    </row>
    <row r="2357" spans="11:11">
      <c r="K2357" s="1"/>
    </row>
    <row r="2358" spans="11:11">
      <c r="K2358" s="1"/>
    </row>
    <row r="2359" spans="11:11">
      <c r="K2359" s="1"/>
    </row>
    <row r="2360" spans="11:11">
      <c r="K2360" s="1"/>
    </row>
    <row r="2361" spans="11:11">
      <c r="K2361" s="1"/>
    </row>
    <row r="2362" spans="11:11">
      <c r="K2362" s="1"/>
    </row>
    <row r="2363" spans="11:11">
      <c r="K2363" s="1"/>
    </row>
    <row r="2364" spans="11:11">
      <c r="K2364" s="1"/>
    </row>
    <row r="2365" spans="11:11">
      <c r="K2365" s="1"/>
    </row>
    <row r="2366" spans="11:11">
      <c r="K2366" s="1"/>
    </row>
    <row r="2367" spans="11:11">
      <c r="K2367" s="1"/>
    </row>
    <row r="2368" spans="11:11">
      <c r="K2368" s="1"/>
    </row>
    <row r="2369" spans="11:11">
      <c r="K2369" s="1"/>
    </row>
    <row r="2370" spans="11:11">
      <c r="K2370" s="1"/>
    </row>
    <row r="2371" spans="11:11">
      <c r="K2371" s="1"/>
    </row>
    <row r="2372" spans="11:11">
      <c r="K2372" s="1"/>
    </row>
    <row r="2373" spans="11:11">
      <c r="K2373" s="1"/>
    </row>
    <row r="2374" spans="11:11">
      <c r="K2374" s="1"/>
    </row>
    <row r="2375" spans="11:11">
      <c r="K2375" s="1"/>
    </row>
    <row r="2376" spans="11:11">
      <c r="K2376" s="1"/>
    </row>
    <row r="2377" spans="11:11">
      <c r="K2377" s="1"/>
    </row>
    <row r="2378" spans="11:11">
      <c r="K2378" s="1"/>
    </row>
    <row r="2379" spans="11:11">
      <c r="K2379" s="1"/>
    </row>
    <row r="2380" spans="11:11">
      <c r="K2380" s="1"/>
    </row>
    <row r="2381" spans="11:11">
      <c r="K2381" s="1"/>
    </row>
    <row r="2382" spans="11:11">
      <c r="K2382" s="1"/>
    </row>
    <row r="2383" spans="11:11">
      <c r="K2383" s="1"/>
    </row>
    <row r="2384" spans="11:11">
      <c r="K2384" s="1"/>
    </row>
    <row r="2385" spans="11:11">
      <c r="K2385" s="1"/>
    </row>
    <row r="2386" spans="11:11">
      <c r="K2386" s="1"/>
    </row>
    <row r="2387" spans="11:11">
      <c r="K2387" s="1"/>
    </row>
    <row r="2388" spans="11:11">
      <c r="K2388" s="1"/>
    </row>
    <row r="2389" spans="11:11">
      <c r="K2389" s="1"/>
    </row>
    <row r="2390" spans="11:11">
      <c r="K2390" s="1"/>
    </row>
    <row r="2391" spans="11:11">
      <c r="K2391" s="1"/>
    </row>
    <row r="2392" spans="11:11">
      <c r="K2392" s="1"/>
    </row>
    <row r="2393" spans="11:11">
      <c r="K2393" s="1"/>
    </row>
    <row r="2394" spans="11:11">
      <c r="K2394" s="1"/>
    </row>
    <row r="2395" spans="11:11">
      <c r="K2395" s="1"/>
    </row>
    <row r="2396" spans="11:11">
      <c r="K2396" s="1"/>
    </row>
    <row r="2397" spans="11:11">
      <c r="K2397" s="1"/>
    </row>
    <row r="2398" spans="11:11">
      <c r="K2398" s="1"/>
    </row>
    <row r="2399" spans="11:11">
      <c r="K2399" s="1"/>
    </row>
    <row r="2400" spans="11:11">
      <c r="K2400" s="1"/>
    </row>
    <row r="2401" spans="11:11">
      <c r="K2401" s="1"/>
    </row>
    <row r="2402" spans="11:11">
      <c r="K2402" s="1"/>
    </row>
    <row r="2403" spans="11:11">
      <c r="K2403" s="1"/>
    </row>
    <row r="2404" spans="11:11">
      <c r="K2404" s="1"/>
    </row>
    <row r="2405" spans="11:11">
      <c r="K2405" s="1"/>
    </row>
    <row r="2406" spans="11:11">
      <c r="K2406" s="1"/>
    </row>
    <row r="2407" spans="11:11">
      <c r="K2407" s="1"/>
    </row>
    <row r="2408" spans="11:11">
      <c r="K2408" s="1"/>
    </row>
    <row r="2409" spans="11:11">
      <c r="K2409" s="1"/>
    </row>
    <row r="2410" spans="11:11">
      <c r="K2410" s="1"/>
    </row>
    <row r="2411" spans="11:11">
      <c r="K2411" s="1"/>
    </row>
    <row r="2412" spans="11:11">
      <c r="K2412" s="1"/>
    </row>
    <row r="2413" spans="11:11">
      <c r="K2413" s="1"/>
    </row>
    <row r="2414" spans="11:11">
      <c r="K2414" s="1"/>
    </row>
    <row r="2415" spans="11:11">
      <c r="K2415" s="1"/>
    </row>
    <row r="2416" spans="11:11">
      <c r="K2416" s="1"/>
    </row>
    <row r="2417" spans="11:11">
      <c r="K2417" s="1"/>
    </row>
    <row r="2418" spans="11:11">
      <c r="K2418" s="1"/>
    </row>
    <row r="2419" spans="11:11">
      <c r="K2419" s="1"/>
    </row>
    <row r="2420" spans="11:11">
      <c r="K2420" s="1"/>
    </row>
    <row r="2421" spans="11:11">
      <c r="K2421" s="1"/>
    </row>
    <row r="2422" spans="11:11">
      <c r="K2422" s="1"/>
    </row>
    <row r="2423" spans="11:11">
      <c r="K2423" s="1"/>
    </row>
    <row r="2424" spans="11:11">
      <c r="K2424" s="1"/>
    </row>
    <row r="2425" spans="11:11">
      <c r="K2425" s="1"/>
    </row>
    <row r="2426" spans="11:11">
      <c r="K2426" s="1"/>
    </row>
    <row r="2427" spans="11:11">
      <c r="K2427" s="1"/>
    </row>
    <row r="2428" spans="11:11">
      <c r="K2428" s="1"/>
    </row>
    <row r="2429" spans="11:11">
      <c r="K2429" s="1"/>
    </row>
    <row r="2430" spans="11:11">
      <c r="K2430" s="1"/>
    </row>
    <row r="2431" spans="11:11">
      <c r="K2431" s="1"/>
    </row>
    <row r="2432" spans="11:11">
      <c r="K2432" s="1"/>
    </row>
    <row r="2433" spans="11:11">
      <c r="K2433" s="1"/>
    </row>
    <row r="2434" spans="11:11">
      <c r="K2434" s="1"/>
    </row>
    <row r="2435" spans="11:11">
      <c r="K2435" s="1"/>
    </row>
    <row r="2436" spans="11:11">
      <c r="K2436" s="1"/>
    </row>
    <row r="2437" spans="11:11">
      <c r="K2437" s="1"/>
    </row>
    <row r="2438" spans="11:11">
      <c r="K2438" s="1"/>
    </row>
    <row r="2439" spans="11:11">
      <c r="K2439" s="1"/>
    </row>
    <row r="2440" spans="11:11">
      <c r="K2440" s="1"/>
    </row>
    <row r="2441" spans="11:11">
      <c r="K2441" s="1"/>
    </row>
    <row r="2442" spans="11:11">
      <c r="K2442" s="1"/>
    </row>
    <row r="2443" spans="11:11">
      <c r="K2443" s="1"/>
    </row>
    <row r="2444" spans="11:11">
      <c r="K2444" s="1"/>
    </row>
    <row r="2445" spans="11:11">
      <c r="K2445" s="1"/>
    </row>
    <row r="2446" spans="11:11">
      <c r="K2446" s="1"/>
    </row>
    <row r="2447" spans="11:11">
      <c r="K2447" s="1"/>
    </row>
    <row r="2448" spans="11:11">
      <c r="K2448" s="1"/>
    </row>
    <row r="2449" spans="11:11">
      <c r="K2449" s="1"/>
    </row>
    <row r="2450" spans="11:11">
      <c r="K2450" s="1"/>
    </row>
    <row r="2451" spans="11:11">
      <c r="K2451" s="1"/>
    </row>
    <row r="2452" spans="11:11">
      <c r="K2452" s="1"/>
    </row>
    <row r="2453" spans="11:11">
      <c r="K2453" s="1"/>
    </row>
    <row r="2454" spans="11:11">
      <c r="K2454" s="1"/>
    </row>
    <row r="2455" spans="11:11">
      <c r="K2455" s="1"/>
    </row>
    <row r="2456" spans="11:11">
      <c r="K2456" s="1"/>
    </row>
    <row r="2457" spans="11:11">
      <c r="K2457" s="1"/>
    </row>
    <row r="2458" spans="11:11">
      <c r="K2458" s="1"/>
    </row>
    <row r="2459" spans="11:11">
      <c r="K2459" s="1"/>
    </row>
    <row r="2460" spans="11:11">
      <c r="K2460" s="1"/>
    </row>
    <row r="2461" spans="11:11">
      <c r="K2461" s="1"/>
    </row>
    <row r="2462" spans="11:11">
      <c r="K2462" s="1"/>
    </row>
    <row r="2463" spans="11:11">
      <c r="K2463" s="1"/>
    </row>
    <row r="2464" spans="11:11">
      <c r="K2464" s="1"/>
    </row>
    <row r="2465" spans="11:11">
      <c r="K2465" s="1"/>
    </row>
    <row r="2466" spans="11:11">
      <c r="K2466" s="1"/>
    </row>
    <row r="2467" spans="11:11">
      <c r="K2467" s="1"/>
    </row>
    <row r="2468" spans="11:11">
      <c r="K2468" s="1"/>
    </row>
    <row r="2469" spans="11:11">
      <c r="K2469" s="1"/>
    </row>
    <row r="2470" spans="11:11">
      <c r="K2470" s="1"/>
    </row>
    <row r="2471" spans="11:11">
      <c r="K2471" s="1"/>
    </row>
    <row r="2472" spans="11:11">
      <c r="K2472" s="1"/>
    </row>
    <row r="2473" spans="11:11">
      <c r="K2473" s="1"/>
    </row>
    <row r="2474" spans="11:11">
      <c r="K2474" s="1"/>
    </row>
    <row r="2475" spans="11:11">
      <c r="K2475" s="1"/>
    </row>
    <row r="2476" spans="11:11">
      <c r="K2476" s="1"/>
    </row>
    <row r="2477" spans="11:11">
      <c r="K2477" s="1"/>
    </row>
    <row r="2478" spans="11:11">
      <c r="K2478" s="1"/>
    </row>
    <row r="2479" spans="11:11">
      <c r="K2479" s="1"/>
    </row>
    <row r="2480" spans="11:11">
      <c r="K2480" s="1"/>
    </row>
    <row r="2481" spans="11:11">
      <c r="K2481" s="1"/>
    </row>
    <row r="2482" spans="11:11">
      <c r="K2482" s="1"/>
    </row>
    <row r="2483" spans="11:11">
      <c r="K2483" s="1"/>
    </row>
    <row r="2484" spans="11:11">
      <c r="K2484" s="1"/>
    </row>
    <row r="2485" spans="11:11">
      <c r="K2485" s="1"/>
    </row>
    <row r="2486" spans="11:11">
      <c r="K2486" s="1"/>
    </row>
    <row r="2487" spans="11:11">
      <c r="K2487" s="1"/>
    </row>
    <row r="2488" spans="11:11">
      <c r="K2488" s="1"/>
    </row>
    <row r="2489" spans="11:11">
      <c r="K2489" s="1"/>
    </row>
    <row r="2490" spans="11:11">
      <c r="K2490" s="1"/>
    </row>
    <row r="2491" spans="11:11">
      <c r="K2491" s="1"/>
    </row>
    <row r="2492" spans="11:11">
      <c r="K2492" s="1"/>
    </row>
    <row r="2493" spans="11:11">
      <c r="K2493" s="1"/>
    </row>
    <row r="2494" spans="11:11">
      <c r="K2494" s="1"/>
    </row>
    <row r="2495" spans="11:11">
      <c r="K2495" s="1"/>
    </row>
    <row r="2496" spans="11:11">
      <c r="K2496" s="1"/>
    </row>
    <row r="2497" spans="11:11">
      <c r="K2497" s="1"/>
    </row>
    <row r="2498" spans="11:11">
      <c r="K2498" s="1"/>
    </row>
    <row r="2499" spans="11:11">
      <c r="K2499" s="1"/>
    </row>
    <row r="2500" spans="11:11">
      <c r="K2500" s="1"/>
    </row>
    <row r="2501" spans="11:11">
      <c r="K2501" s="1"/>
    </row>
    <row r="2502" spans="11:11">
      <c r="K2502" s="1"/>
    </row>
    <row r="2503" spans="11:11">
      <c r="K2503" s="1"/>
    </row>
    <row r="2504" spans="11:11">
      <c r="K2504" s="1"/>
    </row>
    <row r="2505" spans="11:11">
      <c r="K2505" s="1"/>
    </row>
    <row r="2506" spans="11:11">
      <c r="K2506" s="1"/>
    </row>
    <row r="2507" spans="11:11">
      <c r="K2507" s="1"/>
    </row>
    <row r="2508" spans="11:11">
      <c r="K2508" s="1"/>
    </row>
    <row r="2509" spans="11:11">
      <c r="K2509" s="1"/>
    </row>
    <row r="2510" spans="11:11">
      <c r="K2510" s="1"/>
    </row>
    <row r="2511" spans="11:11">
      <c r="K2511" s="1"/>
    </row>
    <row r="2512" spans="11:11">
      <c r="K2512" s="1"/>
    </row>
    <row r="2513" spans="11:11">
      <c r="K2513" s="1"/>
    </row>
    <row r="2514" spans="11:11">
      <c r="K2514" s="1"/>
    </row>
    <row r="2515" spans="11:11">
      <c r="K2515" s="1"/>
    </row>
    <row r="2516" spans="11:11">
      <c r="K2516" s="1"/>
    </row>
    <row r="2517" spans="11:11">
      <c r="K2517" s="1"/>
    </row>
    <row r="2518" spans="11:11">
      <c r="K2518" s="1"/>
    </row>
    <row r="2519" spans="11:11">
      <c r="K2519" s="1"/>
    </row>
    <row r="2520" spans="11:11">
      <c r="K2520" s="1"/>
    </row>
    <row r="2521" spans="11:11">
      <c r="K2521" s="1"/>
    </row>
    <row r="2522" spans="11:11">
      <c r="K2522" s="1"/>
    </row>
    <row r="2523" spans="11:11">
      <c r="K2523" s="1"/>
    </row>
    <row r="2524" spans="11:11">
      <c r="K2524" s="1"/>
    </row>
    <row r="2525" spans="11:11">
      <c r="K2525" s="1"/>
    </row>
    <row r="2526" spans="11:11">
      <c r="K2526" s="1"/>
    </row>
    <row r="2527" spans="11:11">
      <c r="K2527" s="1"/>
    </row>
    <row r="2528" spans="11:11">
      <c r="K2528" s="1"/>
    </row>
    <row r="2529" spans="11:11">
      <c r="K2529" s="1"/>
    </row>
    <row r="2530" spans="11:11">
      <c r="K2530" s="1"/>
    </row>
    <row r="2531" spans="11:11">
      <c r="K2531" s="1"/>
    </row>
    <row r="2532" spans="11:11">
      <c r="K2532" s="1"/>
    </row>
    <row r="2533" spans="11:11">
      <c r="K2533" s="1"/>
    </row>
    <row r="2534" spans="11:11">
      <c r="K2534" s="1"/>
    </row>
    <row r="2535" spans="11:11">
      <c r="K2535" s="1"/>
    </row>
    <row r="2536" spans="11:11">
      <c r="K2536" s="1"/>
    </row>
    <row r="2537" spans="11:11">
      <c r="K2537" s="1"/>
    </row>
    <row r="2538" spans="11:11">
      <c r="K2538" s="1"/>
    </row>
    <row r="2539" spans="11:11">
      <c r="K2539" s="1"/>
    </row>
    <row r="2540" spans="11:11">
      <c r="K2540" s="1"/>
    </row>
    <row r="2541" spans="11:11">
      <c r="K2541" s="1"/>
    </row>
    <row r="2542" spans="11:11">
      <c r="K2542" s="1"/>
    </row>
    <row r="2543" spans="11:11">
      <c r="K2543" s="1"/>
    </row>
    <row r="2544" spans="11:11">
      <c r="K2544" s="1"/>
    </row>
    <row r="2545" spans="11:11">
      <c r="K2545" s="1"/>
    </row>
    <row r="2546" spans="11:11">
      <c r="K2546" s="1"/>
    </row>
    <row r="2547" spans="11:11">
      <c r="K2547" s="1"/>
    </row>
    <row r="2548" spans="11:11">
      <c r="K2548" s="1"/>
    </row>
    <row r="2549" spans="11:11">
      <c r="K2549" s="1"/>
    </row>
    <row r="2550" spans="11:11">
      <c r="K2550" s="1"/>
    </row>
    <row r="2551" spans="11:11">
      <c r="K2551" s="1"/>
    </row>
    <row r="2552" spans="11:11">
      <c r="K2552" s="1"/>
    </row>
    <row r="2553" spans="11:11">
      <c r="K2553" s="1"/>
    </row>
    <row r="2554" spans="11:11">
      <c r="K2554" s="1"/>
    </row>
    <row r="2555" spans="11:11">
      <c r="K2555" s="1"/>
    </row>
    <row r="2556" spans="11:11">
      <c r="K2556" s="1"/>
    </row>
    <row r="2557" spans="11:11">
      <c r="K2557" s="1"/>
    </row>
    <row r="2558" spans="11:11">
      <c r="K2558" s="1"/>
    </row>
    <row r="2559" spans="11:11">
      <c r="K2559" s="1"/>
    </row>
    <row r="2560" spans="11:11">
      <c r="K2560" s="1"/>
    </row>
    <row r="2561" spans="11:11">
      <c r="K2561" s="1"/>
    </row>
    <row r="2562" spans="11:11">
      <c r="K2562" s="1"/>
    </row>
    <row r="2563" spans="11:11">
      <c r="K2563" s="1"/>
    </row>
    <row r="2564" spans="11:11">
      <c r="K2564" s="1"/>
    </row>
    <row r="2565" spans="11:11">
      <c r="K2565" s="1"/>
    </row>
    <row r="2566" spans="11:11">
      <c r="K2566" s="1"/>
    </row>
    <row r="2567" spans="11:11">
      <c r="K2567" s="1"/>
    </row>
    <row r="2568" spans="11:11">
      <c r="K2568" s="1"/>
    </row>
    <row r="2569" spans="11:11">
      <c r="K2569" s="1"/>
    </row>
    <row r="2570" spans="11:11">
      <c r="K2570" s="1"/>
    </row>
    <row r="2571" spans="11:11">
      <c r="K2571" s="1"/>
    </row>
    <row r="2572" spans="11:11">
      <c r="K2572" s="1"/>
    </row>
    <row r="2573" spans="11:11">
      <c r="K2573" s="1"/>
    </row>
    <row r="2574" spans="11:11">
      <c r="K2574" s="1"/>
    </row>
    <row r="2575" spans="11:11">
      <c r="K2575" s="1"/>
    </row>
    <row r="2576" spans="11:11">
      <c r="K2576" s="1"/>
    </row>
    <row r="2577" spans="11:11">
      <c r="K2577" s="1"/>
    </row>
    <row r="2578" spans="11:11">
      <c r="K2578" s="1"/>
    </row>
    <row r="2579" spans="11:11">
      <c r="K2579" s="1"/>
    </row>
    <row r="2580" spans="11:11">
      <c r="K2580" s="1"/>
    </row>
    <row r="2581" spans="11:11">
      <c r="K2581" s="1"/>
    </row>
    <row r="2582" spans="11:11">
      <c r="K2582" s="1"/>
    </row>
    <row r="2583" spans="11:11">
      <c r="K2583" s="1"/>
    </row>
    <row r="2584" spans="11:11">
      <c r="K2584" s="1"/>
    </row>
    <row r="2585" spans="11:11">
      <c r="K2585" s="1"/>
    </row>
    <row r="2586" spans="11:11">
      <c r="K2586" s="1"/>
    </row>
    <row r="2587" spans="11:11">
      <c r="K2587" s="1"/>
    </row>
    <row r="2588" spans="11:11">
      <c r="K2588" s="1"/>
    </row>
    <row r="2589" spans="11:11">
      <c r="K2589" s="1"/>
    </row>
    <row r="2590" spans="11:11">
      <c r="K2590" s="1"/>
    </row>
    <row r="2591" spans="11:11">
      <c r="K2591" s="1"/>
    </row>
    <row r="2592" spans="11:11">
      <c r="K2592" s="1"/>
    </row>
    <row r="2593" spans="11:11">
      <c r="K2593" s="1"/>
    </row>
    <row r="2594" spans="11:11">
      <c r="K2594" s="1"/>
    </row>
    <row r="2595" spans="11:11">
      <c r="K2595" s="1"/>
    </row>
    <row r="2596" spans="11:11">
      <c r="K2596" s="1"/>
    </row>
    <row r="2597" spans="11:11">
      <c r="K2597" s="1"/>
    </row>
    <row r="2598" spans="11:11">
      <c r="K2598" s="1"/>
    </row>
    <row r="2599" spans="11:11">
      <c r="K2599" s="1"/>
    </row>
    <row r="2600" spans="11:11">
      <c r="K2600" s="1"/>
    </row>
    <row r="2601" spans="11:11">
      <c r="K2601" s="1"/>
    </row>
    <row r="2602" spans="11:11">
      <c r="K2602" s="1"/>
    </row>
    <row r="2603" spans="11:11">
      <c r="K2603" s="1"/>
    </row>
    <row r="2604" spans="11:11">
      <c r="K2604" s="1"/>
    </row>
    <row r="2605" spans="11:11">
      <c r="K2605" s="1"/>
    </row>
    <row r="2606" spans="11:11">
      <c r="K2606" s="1"/>
    </row>
    <row r="2607" spans="11:11">
      <c r="K2607" s="1"/>
    </row>
    <row r="2608" spans="11:11">
      <c r="K2608" s="1"/>
    </row>
    <row r="2609" spans="11:11">
      <c r="K2609" s="1"/>
    </row>
    <row r="2610" spans="11:11">
      <c r="K2610" s="1"/>
    </row>
    <row r="2611" spans="11:11">
      <c r="K2611" s="1"/>
    </row>
    <row r="2612" spans="11:11">
      <c r="K2612" s="1"/>
    </row>
    <row r="2613" spans="11:11">
      <c r="K2613" s="1"/>
    </row>
    <row r="2614" spans="11:11">
      <c r="K2614" s="1"/>
    </row>
    <row r="2615" spans="11:11">
      <c r="K2615" s="1"/>
    </row>
    <row r="2616" spans="11:11">
      <c r="K2616" s="1"/>
    </row>
    <row r="2617" spans="11:11">
      <c r="K2617" s="1"/>
    </row>
    <row r="2618" spans="11:11">
      <c r="K2618" s="1"/>
    </row>
    <row r="2619" spans="11:11">
      <c r="K2619" s="1"/>
    </row>
    <row r="2620" spans="11:11">
      <c r="K2620" s="1"/>
    </row>
    <row r="2621" spans="11:11">
      <c r="K2621" s="1"/>
    </row>
    <row r="2622" spans="11:11">
      <c r="K2622" s="1"/>
    </row>
    <row r="2623" spans="11:11">
      <c r="K2623" s="1"/>
    </row>
    <row r="2624" spans="11:11">
      <c r="K2624" s="1"/>
    </row>
    <row r="2625" spans="11:11">
      <c r="K2625" s="1"/>
    </row>
    <row r="2626" spans="11:11">
      <c r="K2626" s="1"/>
    </row>
    <row r="2627" spans="11:11">
      <c r="K2627" s="1"/>
    </row>
    <row r="2628" spans="11:11">
      <c r="K2628" s="1"/>
    </row>
    <row r="2629" spans="11:11">
      <c r="K2629" s="1"/>
    </row>
    <row r="2630" spans="11:11">
      <c r="K2630" s="1"/>
    </row>
    <row r="2631" spans="11:11">
      <c r="K2631" s="1"/>
    </row>
    <row r="2632" spans="11:11">
      <c r="K2632" s="1"/>
    </row>
    <row r="2633" spans="11:11">
      <c r="K2633" s="1"/>
    </row>
    <row r="2634" spans="11:11">
      <c r="K2634" s="1"/>
    </row>
    <row r="2635" spans="11:11">
      <c r="K2635" s="1"/>
    </row>
    <row r="2636" spans="11:11">
      <c r="K2636" s="1"/>
    </row>
    <row r="2637" spans="11:11">
      <c r="K2637" s="1"/>
    </row>
    <row r="2638" spans="11:11">
      <c r="K2638" s="1"/>
    </row>
    <row r="2639" spans="11:11">
      <c r="K2639" s="1"/>
    </row>
    <row r="2640" spans="11:11">
      <c r="K2640" s="1"/>
    </row>
    <row r="2641" spans="11:11">
      <c r="K2641" s="1"/>
    </row>
    <row r="2642" spans="11:11">
      <c r="K2642" s="1"/>
    </row>
    <row r="2643" spans="11:11">
      <c r="K2643" s="1"/>
    </row>
    <row r="2644" spans="11:11">
      <c r="K2644" s="1"/>
    </row>
    <row r="2645" spans="11:11">
      <c r="K2645" s="1"/>
    </row>
    <row r="2646" spans="11:11">
      <c r="K2646" s="1"/>
    </row>
    <row r="2647" spans="11:11">
      <c r="K2647" s="1"/>
    </row>
    <row r="2648" spans="11:11">
      <c r="K2648" s="1"/>
    </row>
    <row r="2649" spans="11:11">
      <c r="K2649" s="1"/>
    </row>
    <row r="2650" spans="11:11">
      <c r="K2650" s="1"/>
    </row>
    <row r="2651" spans="11:11">
      <c r="K2651" s="1"/>
    </row>
    <row r="2652" spans="11:11">
      <c r="K2652" s="1"/>
    </row>
    <row r="2653" spans="11:11">
      <c r="K2653" s="1"/>
    </row>
    <row r="2654" spans="11:11">
      <c r="K2654" s="1"/>
    </row>
    <row r="2655" spans="11:11">
      <c r="K2655" s="1"/>
    </row>
    <row r="2656" spans="11:11">
      <c r="K2656" s="1"/>
    </row>
    <row r="2657" spans="11:11">
      <c r="K2657" s="1"/>
    </row>
    <row r="2658" spans="11:11">
      <c r="K2658" s="1"/>
    </row>
    <row r="2659" spans="11:11">
      <c r="K2659" s="1"/>
    </row>
    <row r="2660" spans="11:11">
      <c r="K2660" s="1"/>
    </row>
    <row r="2661" spans="11:11">
      <c r="K2661" s="1"/>
    </row>
    <row r="2662" spans="11:11">
      <c r="K2662" s="1"/>
    </row>
    <row r="2663" spans="11:11">
      <c r="K2663" s="1"/>
    </row>
    <row r="2664" spans="11:11">
      <c r="K2664" s="1"/>
    </row>
    <row r="2665" spans="11:11">
      <c r="K2665" s="1"/>
    </row>
    <row r="2666" spans="11:11">
      <c r="K2666" s="1"/>
    </row>
    <row r="2667" spans="11:11">
      <c r="K2667" s="1"/>
    </row>
    <row r="2668" spans="11:11">
      <c r="K2668" s="1"/>
    </row>
    <row r="2669" spans="11:11">
      <c r="K2669" s="1"/>
    </row>
    <row r="2670" spans="11:11">
      <c r="K2670" s="1"/>
    </row>
    <row r="2671" spans="11:11">
      <c r="K2671" s="1"/>
    </row>
    <row r="2672" spans="11:11">
      <c r="K2672" s="1"/>
    </row>
    <row r="2673" spans="11:11">
      <c r="K2673" s="1"/>
    </row>
    <row r="2674" spans="11:11">
      <c r="K2674" s="1"/>
    </row>
    <row r="2675" spans="11:11">
      <c r="K2675" s="1"/>
    </row>
    <row r="2676" spans="11:11">
      <c r="K2676" s="1"/>
    </row>
    <row r="2677" spans="11:11">
      <c r="K2677" s="1"/>
    </row>
    <row r="2678" spans="11:11">
      <c r="K2678" s="1"/>
    </row>
    <row r="2679" spans="11:11">
      <c r="K2679" s="1"/>
    </row>
    <row r="2680" spans="11:11">
      <c r="K2680" s="1"/>
    </row>
    <row r="2681" spans="11:11">
      <c r="K2681" s="1"/>
    </row>
    <row r="2682" spans="11:11">
      <c r="K2682" s="1"/>
    </row>
    <row r="2683" spans="11:11">
      <c r="K2683" s="1"/>
    </row>
    <row r="2684" spans="11:11">
      <c r="K2684" s="1"/>
    </row>
    <row r="2685" spans="11:11">
      <c r="K2685" s="1"/>
    </row>
    <row r="2686" spans="11:11">
      <c r="K2686" s="1"/>
    </row>
    <row r="2687" spans="11:11">
      <c r="K2687" s="1"/>
    </row>
    <row r="2688" spans="11:11">
      <c r="K2688" s="1"/>
    </row>
    <row r="2689" spans="11:11">
      <c r="K2689" s="1"/>
    </row>
    <row r="2690" spans="11:11">
      <c r="K2690" s="1"/>
    </row>
    <row r="2691" spans="11:11">
      <c r="K2691" s="1"/>
    </row>
    <row r="2692" spans="11:11">
      <c r="K2692" s="1"/>
    </row>
    <row r="2693" spans="11:11">
      <c r="K2693" s="1"/>
    </row>
    <row r="2694" spans="11:11">
      <c r="K2694" s="1"/>
    </row>
    <row r="2695" spans="11:11">
      <c r="K2695" s="1"/>
    </row>
    <row r="2696" spans="11:11">
      <c r="K2696" s="1"/>
    </row>
    <row r="2697" spans="11:11">
      <c r="K2697" s="1"/>
    </row>
    <row r="2698" spans="11:11">
      <c r="K2698" s="1"/>
    </row>
    <row r="2699" spans="11:11">
      <c r="K2699" s="1"/>
    </row>
    <row r="2700" spans="11:11">
      <c r="K2700" s="1"/>
    </row>
    <row r="2701" spans="11:11">
      <c r="K2701" s="1"/>
    </row>
    <row r="2702" spans="11:11">
      <c r="K2702" s="1"/>
    </row>
    <row r="2703" spans="11:11">
      <c r="K2703" s="1"/>
    </row>
    <row r="2704" spans="11:11">
      <c r="K2704" s="1"/>
    </row>
    <row r="2705" spans="11:11">
      <c r="K2705" s="1"/>
    </row>
    <row r="2706" spans="11:11">
      <c r="K2706" s="1"/>
    </row>
    <row r="2707" spans="11:11">
      <c r="K2707" s="1"/>
    </row>
    <row r="2708" spans="11:11">
      <c r="K2708" s="1"/>
    </row>
    <row r="2709" spans="11:11">
      <c r="K2709" s="1"/>
    </row>
    <row r="2710" spans="11:11">
      <c r="K2710" s="1"/>
    </row>
    <row r="2711" spans="11:11">
      <c r="K2711" s="1"/>
    </row>
    <row r="2712" spans="11:11">
      <c r="K2712" s="1"/>
    </row>
    <row r="2713" spans="11:11">
      <c r="K2713" s="1"/>
    </row>
    <row r="2714" spans="11:11">
      <c r="K2714" s="1"/>
    </row>
    <row r="2715" spans="11:11">
      <c r="K2715" s="1"/>
    </row>
    <row r="2716" spans="11:11">
      <c r="K2716" s="1"/>
    </row>
    <row r="2717" spans="11:11">
      <c r="K2717" s="1"/>
    </row>
    <row r="2718" spans="11:11">
      <c r="K2718" s="1"/>
    </row>
    <row r="2719" spans="11:11">
      <c r="K2719" s="1"/>
    </row>
    <row r="2720" spans="11:11">
      <c r="K2720" s="1"/>
    </row>
    <row r="2721" spans="11:11">
      <c r="K2721" s="1"/>
    </row>
    <row r="2722" spans="11:11">
      <c r="K2722" s="1"/>
    </row>
    <row r="2723" spans="11:11">
      <c r="K2723" s="1"/>
    </row>
    <row r="2724" spans="11:11">
      <c r="K2724" s="1"/>
    </row>
    <row r="2725" spans="11:11">
      <c r="K2725" s="1"/>
    </row>
    <row r="2726" spans="11:11">
      <c r="K2726" s="1"/>
    </row>
    <row r="2727" spans="11:11">
      <c r="K2727" s="1"/>
    </row>
    <row r="2728" spans="11:11">
      <c r="K2728" s="1"/>
    </row>
    <row r="2729" spans="11:11">
      <c r="K2729" s="1"/>
    </row>
    <row r="2730" spans="11:11">
      <c r="K2730" s="1"/>
    </row>
    <row r="2731" spans="11:11">
      <c r="K2731" s="1"/>
    </row>
    <row r="2732" spans="11:11">
      <c r="K2732" s="1"/>
    </row>
    <row r="2733" spans="11:11">
      <c r="K2733" s="1"/>
    </row>
    <row r="2734" spans="11:11">
      <c r="K2734" s="1"/>
    </row>
    <row r="2735" spans="11:11">
      <c r="K2735" s="1"/>
    </row>
    <row r="2736" spans="11:11">
      <c r="K2736" s="1"/>
    </row>
    <row r="2737" spans="11:11">
      <c r="K2737" s="1"/>
    </row>
    <row r="2738" spans="11:11">
      <c r="K2738" s="1"/>
    </row>
    <row r="2739" spans="11:11">
      <c r="K2739" s="1"/>
    </row>
    <row r="2740" spans="11:11">
      <c r="K2740" s="1"/>
    </row>
    <row r="2741" spans="11:11">
      <c r="K2741" s="1"/>
    </row>
    <row r="2742" spans="11:11">
      <c r="K2742" s="1"/>
    </row>
    <row r="2743" spans="11:11">
      <c r="K2743" s="1"/>
    </row>
    <row r="2744" spans="11:11">
      <c r="K2744" s="1"/>
    </row>
    <row r="2745" spans="11:11">
      <c r="K2745" s="1"/>
    </row>
    <row r="2746" spans="11:11">
      <c r="K2746" s="1"/>
    </row>
    <row r="2747" spans="11:11">
      <c r="K2747" s="1"/>
    </row>
    <row r="2748" spans="11:11">
      <c r="K2748" s="1"/>
    </row>
    <row r="2749" spans="11:11">
      <c r="K2749" s="1"/>
    </row>
    <row r="2750" spans="11:11">
      <c r="K2750" s="1"/>
    </row>
    <row r="2751" spans="11:11">
      <c r="K2751" s="1"/>
    </row>
    <row r="2752" spans="11:11">
      <c r="K2752" s="1"/>
    </row>
    <row r="2753" spans="11:11">
      <c r="K2753" s="1"/>
    </row>
    <row r="2754" spans="11:11">
      <c r="K2754" s="1"/>
    </row>
    <row r="2755" spans="11:11">
      <c r="K2755" s="1"/>
    </row>
    <row r="2756" spans="11:11">
      <c r="K2756" s="1"/>
    </row>
    <row r="2757" spans="11:11">
      <c r="K2757" s="1"/>
    </row>
    <row r="2758" spans="11:11">
      <c r="K2758" s="1"/>
    </row>
    <row r="2759" spans="11:11">
      <c r="K2759" s="1"/>
    </row>
    <row r="2760" spans="11:11">
      <c r="K2760" s="1"/>
    </row>
    <row r="2761" spans="11:11">
      <c r="K2761" s="1"/>
    </row>
    <row r="2762" spans="11:11">
      <c r="K2762" s="1"/>
    </row>
    <row r="2763" spans="11:11">
      <c r="K2763" s="1"/>
    </row>
    <row r="2764" spans="11:11">
      <c r="K2764" s="1"/>
    </row>
    <row r="2765" spans="11:11">
      <c r="K2765" s="1"/>
    </row>
    <row r="2766" spans="11:11">
      <c r="K2766" s="1"/>
    </row>
    <row r="2767" spans="11:11">
      <c r="K2767" s="1"/>
    </row>
    <row r="2768" spans="11:11">
      <c r="K2768" s="1"/>
    </row>
    <row r="2769" spans="11:11">
      <c r="K2769" s="1"/>
    </row>
    <row r="2770" spans="11:11">
      <c r="K2770" s="1"/>
    </row>
    <row r="2771" spans="11:11">
      <c r="K2771" s="1"/>
    </row>
    <row r="2772" spans="11:11">
      <c r="K2772" s="1"/>
    </row>
    <row r="2773" spans="11:11">
      <c r="K2773" s="1"/>
    </row>
    <row r="2774" spans="11:11">
      <c r="K2774" s="1"/>
    </row>
    <row r="2775" spans="11:11">
      <c r="K2775" s="1"/>
    </row>
    <row r="2776" spans="11:11">
      <c r="K2776" s="1"/>
    </row>
    <row r="2777" spans="11:11">
      <c r="K2777" s="1"/>
    </row>
    <row r="2778" spans="11:11">
      <c r="K2778" s="1"/>
    </row>
    <row r="2779" spans="11:11">
      <c r="K2779" s="1"/>
    </row>
    <row r="2780" spans="11:11">
      <c r="K2780" s="1"/>
    </row>
    <row r="2781" spans="11:11">
      <c r="K2781" s="1"/>
    </row>
    <row r="2782" spans="11:11">
      <c r="K2782" s="1"/>
    </row>
    <row r="2783" spans="11:11">
      <c r="K2783" s="1"/>
    </row>
    <row r="2784" spans="11:11">
      <c r="K2784" s="1"/>
    </row>
    <row r="2785" spans="11:11">
      <c r="K2785" s="1"/>
    </row>
    <row r="2786" spans="11:11">
      <c r="K2786" s="1"/>
    </row>
    <row r="2787" spans="11:11">
      <c r="K2787" s="1"/>
    </row>
    <row r="2788" spans="11:11">
      <c r="K2788" s="1"/>
    </row>
    <row r="2789" spans="11:11">
      <c r="K2789" s="1"/>
    </row>
    <row r="2790" spans="11:11">
      <c r="K2790" s="1"/>
    </row>
    <row r="2791" spans="11:11">
      <c r="K2791" s="1"/>
    </row>
    <row r="2792" spans="11:11">
      <c r="K2792" s="1"/>
    </row>
    <row r="2793" spans="11:11">
      <c r="K2793" s="1"/>
    </row>
    <row r="2794" spans="11:11">
      <c r="K2794" s="1"/>
    </row>
    <row r="2795" spans="11:11">
      <c r="K2795" s="1"/>
    </row>
    <row r="2796" spans="11:11">
      <c r="K2796" s="1"/>
    </row>
    <row r="2797" spans="11:11">
      <c r="K2797" s="1"/>
    </row>
    <row r="2798" spans="11:11">
      <c r="K2798" s="1"/>
    </row>
    <row r="2799" spans="11:11">
      <c r="K2799" s="1"/>
    </row>
    <row r="2800" spans="11:11">
      <c r="K2800" s="1"/>
    </row>
    <row r="2801" spans="11:11">
      <c r="K2801" s="1"/>
    </row>
    <row r="2802" spans="11:11">
      <c r="K2802" s="1"/>
    </row>
    <row r="2803" spans="11:11">
      <c r="K2803" s="1"/>
    </row>
    <row r="2804" spans="11:11">
      <c r="K2804" s="1"/>
    </row>
    <row r="2805" spans="11:11">
      <c r="K2805" s="1"/>
    </row>
    <row r="2806" spans="11:11">
      <c r="K2806" s="1"/>
    </row>
    <row r="2807" spans="11:11">
      <c r="K2807" s="1"/>
    </row>
    <row r="2808" spans="11:11">
      <c r="K2808" s="1"/>
    </row>
    <row r="2809" spans="11:11">
      <c r="K2809" s="1"/>
    </row>
    <row r="2810" spans="11:11">
      <c r="K2810" s="1"/>
    </row>
    <row r="2811" spans="11:11">
      <c r="K2811" s="1"/>
    </row>
    <row r="2812" spans="11:11">
      <c r="K2812" s="1"/>
    </row>
    <row r="2813" spans="11:11">
      <c r="K2813" s="1"/>
    </row>
    <row r="2814" spans="11:11">
      <c r="K2814" s="1"/>
    </row>
    <row r="2815" spans="11:11">
      <c r="K2815" s="1"/>
    </row>
    <row r="2816" spans="11:11">
      <c r="K2816" s="1"/>
    </row>
    <row r="2817" spans="11:11">
      <c r="K2817" s="1"/>
    </row>
    <row r="2818" spans="11:11">
      <c r="K2818" s="1"/>
    </row>
    <row r="2819" spans="11:11">
      <c r="K2819" s="1"/>
    </row>
    <row r="2820" spans="11:11">
      <c r="K2820" s="1"/>
    </row>
    <row r="2821" spans="11:11">
      <c r="K2821" s="1"/>
    </row>
    <row r="2822" spans="11:11">
      <c r="K2822" s="1"/>
    </row>
    <row r="2823" spans="11:11">
      <c r="K2823" s="1"/>
    </row>
    <row r="2824" spans="11:11">
      <c r="K2824" s="1"/>
    </row>
    <row r="2825" spans="11:11">
      <c r="K2825" s="1"/>
    </row>
    <row r="2826" spans="11:11">
      <c r="K2826" s="1"/>
    </row>
    <row r="2827" spans="11:11">
      <c r="K2827" s="1"/>
    </row>
    <row r="2828" spans="11:11">
      <c r="K2828" s="1"/>
    </row>
    <row r="2829" spans="11:11">
      <c r="K2829" s="1"/>
    </row>
    <row r="2830" spans="11:11">
      <c r="K2830" s="1"/>
    </row>
    <row r="2831" spans="11:11">
      <c r="K2831" s="1"/>
    </row>
    <row r="2832" spans="11:11">
      <c r="K2832" s="1"/>
    </row>
    <row r="2833" spans="11:11">
      <c r="K2833" s="1"/>
    </row>
    <row r="2834" spans="11:11">
      <c r="K2834" s="1"/>
    </row>
    <row r="2835" spans="11:11">
      <c r="K2835" s="1"/>
    </row>
    <row r="2836" spans="11:11">
      <c r="K2836" s="1"/>
    </row>
    <row r="2837" spans="11:11">
      <c r="K2837" s="1"/>
    </row>
    <row r="2838" spans="11:11">
      <c r="K2838" s="1"/>
    </row>
    <row r="2839" spans="11:11">
      <c r="K2839" s="1"/>
    </row>
    <row r="2840" spans="11:11">
      <c r="K2840" s="1"/>
    </row>
    <row r="2841" spans="11:11">
      <c r="K2841" s="1"/>
    </row>
    <row r="2842" spans="11:11">
      <c r="K2842" s="1"/>
    </row>
    <row r="2843" spans="11:11">
      <c r="K2843" s="1"/>
    </row>
    <row r="2844" spans="11:11">
      <c r="K2844" s="1"/>
    </row>
    <row r="2845" spans="11:11">
      <c r="K2845" s="1"/>
    </row>
    <row r="2846" spans="11:11">
      <c r="K2846" s="1"/>
    </row>
    <row r="2847" spans="11:11">
      <c r="K2847" s="1"/>
    </row>
    <row r="2848" spans="11:11">
      <c r="K2848" s="1"/>
    </row>
    <row r="2849" spans="11:11">
      <c r="K2849" s="1"/>
    </row>
    <row r="2850" spans="11:11">
      <c r="K2850" s="1"/>
    </row>
    <row r="2851" spans="11:11">
      <c r="K2851" s="1"/>
    </row>
    <row r="2852" spans="11:11">
      <c r="K2852" s="1"/>
    </row>
    <row r="2853" spans="11:11">
      <c r="K2853" s="1"/>
    </row>
    <row r="2854" spans="11:11">
      <c r="K2854" s="1"/>
    </row>
    <row r="2855" spans="11:11">
      <c r="K2855" s="1"/>
    </row>
    <row r="2856" spans="11:11">
      <c r="K2856" s="1"/>
    </row>
    <row r="2857" spans="11:11">
      <c r="K2857" s="1"/>
    </row>
    <row r="2858" spans="11:11">
      <c r="K2858" s="1"/>
    </row>
    <row r="2859" spans="11:11">
      <c r="K2859" s="1"/>
    </row>
    <row r="2860" spans="11:11">
      <c r="K2860" s="1"/>
    </row>
    <row r="2861" spans="11:11">
      <c r="K2861" s="1"/>
    </row>
    <row r="2862" spans="11:11">
      <c r="K2862" s="1"/>
    </row>
    <row r="2863" spans="11:11">
      <c r="K2863" s="1"/>
    </row>
    <row r="2864" spans="11:11">
      <c r="K2864" s="1"/>
    </row>
    <row r="2865" spans="11:11">
      <c r="K2865" s="1"/>
    </row>
    <row r="2866" spans="11:11">
      <c r="K2866" s="1"/>
    </row>
    <row r="2867" spans="11:11">
      <c r="K2867" s="1"/>
    </row>
    <row r="2868" spans="11:11">
      <c r="K2868" s="1"/>
    </row>
    <row r="2869" spans="11:11">
      <c r="K2869" s="1"/>
    </row>
    <row r="2870" spans="11:11">
      <c r="K2870" s="1"/>
    </row>
    <row r="2871" spans="11:11">
      <c r="K2871" s="1"/>
    </row>
    <row r="2872" spans="11:11">
      <c r="K2872" s="1"/>
    </row>
    <row r="2873" spans="11:11">
      <c r="K2873" s="1"/>
    </row>
    <row r="2874" spans="11:11">
      <c r="K2874" s="1"/>
    </row>
    <row r="2875" spans="11:11">
      <c r="K2875" s="1"/>
    </row>
    <row r="2876" spans="11:11">
      <c r="K2876" s="1"/>
    </row>
    <row r="2877" spans="11:11">
      <c r="K2877" s="1"/>
    </row>
    <row r="2878" spans="11:11">
      <c r="K2878" s="1"/>
    </row>
    <row r="2879" spans="11:11">
      <c r="K2879" s="1"/>
    </row>
    <row r="2880" spans="11:11">
      <c r="K2880" s="1"/>
    </row>
    <row r="2881" spans="11:11">
      <c r="K2881" s="1"/>
    </row>
    <row r="2882" spans="11:11">
      <c r="K2882" s="1"/>
    </row>
    <row r="2883" spans="11:11">
      <c r="K2883" s="1"/>
    </row>
    <row r="2884" spans="11:11">
      <c r="K2884" s="1"/>
    </row>
    <row r="2885" spans="11:11">
      <c r="K2885" s="1"/>
    </row>
    <row r="2886" spans="11:11">
      <c r="K2886" s="1"/>
    </row>
    <row r="2887" spans="11:11">
      <c r="K2887" s="1"/>
    </row>
    <row r="2888" spans="11:11">
      <c r="K2888" s="1"/>
    </row>
    <row r="2889" spans="11:11">
      <c r="K2889" s="1"/>
    </row>
    <row r="2890" spans="11:11">
      <c r="K2890" s="1"/>
    </row>
    <row r="2891" spans="11:11">
      <c r="K2891" s="1"/>
    </row>
    <row r="2892" spans="11:11">
      <c r="K2892" s="1"/>
    </row>
    <row r="2893" spans="11:11">
      <c r="K2893" s="1"/>
    </row>
    <row r="2894" spans="11:11">
      <c r="K2894" s="1"/>
    </row>
    <row r="2895" spans="11:11">
      <c r="K2895" s="1"/>
    </row>
    <row r="2896" spans="11:11">
      <c r="K2896" s="1"/>
    </row>
    <row r="2897" spans="11:11">
      <c r="K2897" s="1"/>
    </row>
    <row r="2898" spans="11:11">
      <c r="K2898" s="1"/>
    </row>
    <row r="2899" spans="11:11">
      <c r="K2899" s="1"/>
    </row>
    <row r="2900" spans="11:11">
      <c r="K2900" s="1"/>
    </row>
    <row r="2901" spans="11:11">
      <c r="K2901" s="1"/>
    </row>
    <row r="2902" spans="11:11">
      <c r="K2902" s="1"/>
    </row>
    <row r="2903" spans="11:11">
      <c r="K2903" s="1"/>
    </row>
    <row r="2904" spans="11:11">
      <c r="K2904" s="1"/>
    </row>
    <row r="2905" spans="11:11">
      <c r="K2905" s="1"/>
    </row>
    <row r="2906" spans="11:11">
      <c r="K2906" s="1"/>
    </row>
    <row r="2907" spans="11:11">
      <c r="K2907" s="1"/>
    </row>
    <row r="2908" spans="11:11">
      <c r="K2908" s="1"/>
    </row>
    <row r="2909" spans="11:11">
      <c r="K2909" s="1"/>
    </row>
    <row r="2910" spans="11:11">
      <c r="K2910" s="1"/>
    </row>
    <row r="2911" spans="11:11">
      <c r="K2911" s="1"/>
    </row>
    <row r="2912" spans="11:11">
      <c r="K2912" s="1"/>
    </row>
    <row r="2913" spans="11:11">
      <c r="K2913" s="1"/>
    </row>
    <row r="2914" spans="11:11">
      <c r="K2914" s="1"/>
    </row>
    <row r="2915" spans="11:11">
      <c r="K2915" s="1"/>
    </row>
    <row r="2916" spans="11:11">
      <c r="K2916" s="1"/>
    </row>
    <row r="2917" spans="11:11">
      <c r="K2917" s="1"/>
    </row>
    <row r="2918" spans="11:11">
      <c r="K2918" s="1"/>
    </row>
    <row r="2919" spans="11:11">
      <c r="K2919" s="1"/>
    </row>
    <row r="2920" spans="11:11">
      <c r="K2920" s="1"/>
    </row>
    <row r="2921" spans="11:11">
      <c r="K2921" s="1"/>
    </row>
    <row r="2922" spans="11:11">
      <c r="K2922" s="1"/>
    </row>
    <row r="2923" spans="11:11">
      <c r="K2923" s="1"/>
    </row>
    <row r="2924" spans="11:11">
      <c r="K2924" s="1"/>
    </row>
    <row r="2925" spans="11:11">
      <c r="K2925" s="1"/>
    </row>
    <row r="2926" spans="11:11">
      <c r="K2926" s="1"/>
    </row>
    <row r="2927" spans="11:11">
      <c r="K2927" s="1"/>
    </row>
    <row r="2928" spans="11:11">
      <c r="K2928" s="1"/>
    </row>
    <row r="2929" spans="11:11">
      <c r="K2929" s="1"/>
    </row>
    <row r="2930" spans="11:11">
      <c r="K2930" s="1"/>
    </row>
    <row r="2931" spans="11:11">
      <c r="K2931" s="1"/>
    </row>
    <row r="2932" spans="11:11">
      <c r="K2932" s="1"/>
    </row>
    <row r="2933" spans="11:11">
      <c r="K2933" s="1"/>
    </row>
    <row r="2934" spans="11:11">
      <c r="K2934" s="1"/>
    </row>
    <row r="2935" spans="11:11">
      <c r="K2935" s="1"/>
    </row>
    <row r="2936" spans="11:11">
      <c r="K2936" s="1"/>
    </row>
    <row r="2937" spans="11:11">
      <c r="K2937" s="1"/>
    </row>
    <row r="2938" spans="11:11">
      <c r="K2938" s="1"/>
    </row>
    <row r="2939" spans="11:11">
      <c r="K2939" s="1"/>
    </row>
    <row r="2940" spans="11:11">
      <c r="K2940" s="1"/>
    </row>
    <row r="2941" spans="11:11">
      <c r="K2941" s="1"/>
    </row>
    <row r="2942" spans="11:11">
      <c r="K2942" s="1"/>
    </row>
    <row r="2943" spans="11:11">
      <c r="K2943" s="1"/>
    </row>
    <row r="2944" spans="11:11">
      <c r="K2944" s="1"/>
    </row>
    <row r="2945" spans="11:11">
      <c r="K2945" s="1"/>
    </row>
    <row r="2946" spans="11:11">
      <c r="K2946" s="1"/>
    </row>
    <row r="2947" spans="11:11">
      <c r="K2947" s="1"/>
    </row>
    <row r="2948" spans="11:11">
      <c r="K2948" s="1"/>
    </row>
    <row r="2949" spans="11:11">
      <c r="K2949" s="1"/>
    </row>
    <row r="2950" spans="11:11">
      <c r="K2950" s="1"/>
    </row>
    <row r="2951" spans="11:11">
      <c r="K2951" s="1"/>
    </row>
    <row r="2952" spans="11:11">
      <c r="K2952" s="1"/>
    </row>
    <row r="2953" spans="11:11">
      <c r="K2953" s="1"/>
    </row>
    <row r="2954" spans="11:11">
      <c r="K2954" s="1"/>
    </row>
    <row r="2955" spans="11:11">
      <c r="K2955" s="1"/>
    </row>
    <row r="2956" spans="11:11">
      <c r="K2956" s="1"/>
    </row>
    <row r="2957" spans="11:11">
      <c r="K2957" s="1"/>
    </row>
    <row r="2958" spans="11:11">
      <c r="K2958" s="1"/>
    </row>
    <row r="2959" spans="11:11">
      <c r="K2959" s="1"/>
    </row>
    <row r="2960" spans="11:11">
      <c r="K2960" s="1"/>
    </row>
    <row r="2961" spans="11:11">
      <c r="K2961" s="1"/>
    </row>
    <row r="2962" spans="11:11">
      <c r="K2962" s="1"/>
    </row>
    <row r="2963" spans="11:11">
      <c r="K2963" s="1"/>
    </row>
    <row r="2964" spans="11:11">
      <c r="K2964" s="1"/>
    </row>
    <row r="2965" spans="11:11">
      <c r="K2965" s="1"/>
    </row>
    <row r="2966" spans="11:11">
      <c r="K2966" s="1"/>
    </row>
    <row r="2967" spans="11:11">
      <c r="K2967" s="1"/>
    </row>
    <row r="2968" spans="11:11">
      <c r="K2968" s="1"/>
    </row>
    <row r="2969" spans="11:11">
      <c r="K2969" s="1"/>
    </row>
    <row r="2970" spans="11:11">
      <c r="K2970" s="1"/>
    </row>
    <row r="2971" spans="11:11">
      <c r="K2971" s="1"/>
    </row>
    <row r="2972" spans="11:11">
      <c r="K2972" s="1"/>
    </row>
    <row r="2973" spans="11:11">
      <c r="K2973" s="1"/>
    </row>
    <row r="2974" spans="11:11">
      <c r="K2974" s="1"/>
    </row>
    <row r="2975" spans="11:11">
      <c r="K2975" s="1"/>
    </row>
    <row r="2976" spans="11:11">
      <c r="K2976" s="1"/>
    </row>
    <row r="2977" spans="11:11">
      <c r="K2977" s="1"/>
    </row>
    <row r="2978" spans="11:11">
      <c r="K2978" s="1"/>
    </row>
    <row r="2979" spans="11:11">
      <c r="K2979" s="1"/>
    </row>
    <row r="2980" spans="11:11">
      <c r="K2980" s="1"/>
    </row>
    <row r="2981" spans="11:11">
      <c r="K2981" s="1"/>
    </row>
    <row r="2982" spans="11:11">
      <c r="K2982" s="1"/>
    </row>
    <row r="2983" spans="11:11">
      <c r="K2983" s="1"/>
    </row>
    <row r="2984" spans="11:11">
      <c r="K2984" s="1"/>
    </row>
    <row r="2985" spans="11:11">
      <c r="K2985" s="1"/>
    </row>
    <row r="2986" spans="11:11">
      <c r="K2986" s="1"/>
    </row>
    <row r="2987" spans="11:11">
      <c r="K2987" s="1"/>
    </row>
    <row r="2988" spans="11:11">
      <c r="K2988" s="1"/>
    </row>
    <row r="2989" spans="11:11">
      <c r="K2989" s="1"/>
    </row>
    <row r="2990" spans="11:11">
      <c r="K2990" s="1"/>
    </row>
    <row r="2991" spans="11:11">
      <c r="K2991" s="1"/>
    </row>
    <row r="2992" spans="11:11">
      <c r="K2992" s="1"/>
    </row>
    <row r="2993" spans="11:11">
      <c r="K2993" s="1"/>
    </row>
    <row r="2994" spans="11:11">
      <c r="K2994" s="1"/>
    </row>
    <row r="2995" spans="11:11">
      <c r="K2995" s="1"/>
    </row>
    <row r="2996" spans="11:11">
      <c r="K2996" s="1"/>
    </row>
    <row r="2997" spans="11:11">
      <c r="K2997" s="1"/>
    </row>
    <row r="2998" spans="11:11">
      <c r="K2998" s="1"/>
    </row>
    <row r="2999" spans="11:11">
      <c r="K2999" s="1"/>
    </row>
    <row r="3000" spans="11:11">
      <c r="K3000" s="1"/>
    </row>
    <row r="3001" spans="11:11">
      <c r="K3001" s="1"/>
    </row>
    <row r="3002" spans="11:11">
      <c r="K3002" s="1"/>
    </row>
    <row r="3003" spans="11:11">
      <c r="K3003" s="1"/>
    </row>
    <row r="3004" spans="11:11">
      <c r="K3004" s="1"/>
    </row>
    <row r="3005" spans="11:11">
      <c r="K3005" s="1"/>
    </row>
    <row r="3006" spans="11:11">
      <c r="K3006" s="1"/>
    </row>
    <row r="3007" spans="11:11">
      <c r="K3007" s="1"/>
    </row>
    <row r="3008" spans="11:11">
      <c r="K3008" s="1"/>
    </row>
    <row r="3009" spans="11:11">
      <c r="K3009" s="1"/>
    </row>
    <row r="3010" spans="11:11">
      <c r="K3010" s="1"/>
    </row>
    <row r="3011" spans="11:11">
      <c r="K3011" s="1"/>
    </row>
    <row r="3012" spans="11:11">
      <c r="K3012" s="1"/>
    </row>
    <row r="3013" spans="11:11">
      <c r="K3013" s="1"/>
    </row>
    <row r="3014" spans="11:11">
      <c r="K3014" s="1"/>
    </row>
    <row r="3015" spans="11:11">
      <c r="K3015" s="1"/>
    </row>
    <row r="3016" spans="11:11">
      <c r="K3016" s="1"/>
    </row>
    <row r="3017" spans="11:11">
      <c r="K3017" s="1"/>
    </row>
    <row r="3018" spans="11:11">
      <c r="K3018" s="1"/>
    </row>
    <row r="3019" spans="11:11">
      <c r="K3019" s="1"/>
    </row>
    <row r="3020" spans="11:11">
      <c r="K3020" s="1"/>
    </row>
    <row r="3021" spans="11:11">
      <c r="K3021" s="1"/>
    </row>
    <row r="3022" spans="11:11">
      <c r="K3022" s="1"/>
    </row>
    <row r="3023" spans="11:11">
      <c r="K3023" s="1"/>
    </row>
    <row r="3024" spans="11:11">
      <c r="K3024" s="1"/>
    </row>
    <row r="3025" spans="11:11">
      <c r="K3025" s="1"/>
    </row>
    <row r="3026" spans="11:11">
      <c r="K3026" s="1"/>
    </row>
    <row r="3027" spans="11:11">
      <c r="K3027" s="1"/>
    </row>
    <row r="3028" spans="11:11">
      <c r="K3028" s="1"/>
    </row>
    <row r="3029" spans="11:11">
      <c r="K3029" s="1"/>
    </row>
    <row r="3030" spans="11:11">
      <c r="K3030" s="1"/>
    </row>
    <row r="3031" spans="11:11">
      <c r="K3031" s="1"/>
    </row>
    <row r="3032" spans="11:11">
      <c r="K3032" s="1"/>
    </row>
    <row r="3033" spans="11:11">
      <c r="K3033" s="1"/>
    </row>
    <row r="3034" spans="11:11">
      <c r="K3034" s="1"/>
    </row>
    <row r="3035" spans="11:11">
      <c r="K3035" s="1"/>
    </row>
    <row r="3036" spans="11:11">
      <c r="K3036" s="1"/>
    </row>
    <row r="3037" spans="11:11">
      <c r="K3037" s="1"/>
    </row>
    <row r="3038" spans="11:11">
      <c r="K3038" s="1"/>
    </row>
    <row r="3039" spans="11:11">
      <c r="K3039" s="1"/>
    </row>
    <row r="3040" spans="11:11">
      <c r="K3040" s="1"/>
    </row>
    <row r="3041" spans="11:11">
      <c r="K3041" s="1"/>
    </row>
    <row r="3042" spans="11:11">
      <c r="K3042" s="1"/>
    </row>
    <row r="3043" spans="11:11">
      <c r="K3043" s="1"/>
    </row>
    <row r="3044" spans="11:11">
      <c r="K3044" s="1"/>
    </row>
    <row r="3045" spans="11:11">
      <c r="K3045" s="1"/>
    </row>
    <row r="3046" spans="11:11">
      <c r="K3046" s="1"/>
    </row>
    <row r="3047" spans="11:11">
      <c r="K3047" s="1"/>
    </row>
    <row r="3048" spans="11:11">
      <c r="K3048" s="1"/>
    </row>
    <row r="3049" spans="11:11">
      <c r="K3049" s="1"/>
    </row>
    <row r="3050" spans="11:11">
      <c r="K3050" s="1"/>
    </row>
    <row r="3051" spans="11:11">
      <c r="K3051" s="1"/>
    </row>
    <row r="3052" spans="11:11">
      <c r="K3052" s="1"/>
    </row>
    <row r="3053" spans="11:11">
      <c r="K3053" s="1"/>
    </row>
    <row r="3054" spans="11:11">
      <c r="K3054" s="1"/>
    </row>
    <row r="3055" spans="11:11">
      <c r="K3055" s="1"/>
    </row>
    <row r="3056" spans="11:11">
      <c r="K3056" s="1"/>
    </row>
    <row r="3057" spans="11:11">
      <c r="K3057" s="1"/>
    </row>
    <row r="3058" spans="11:11">
      <c r="K3058" s="1"/>
    </row>
    <row r="3059" spans="11:11">
      <c r="K3059" s="1"/>
    </row>
    <row r="3060" spans="11:11">
      <c r="K3060" s="1"/>
    </row>
    <row r="3061" spans="11:11">
      <c r="K3061" s="1"/>
    </row>
    <row r="3062" spans="11:11">
      <c r="K3062" s="1"/>
    </row>
    <row r="3063" spans="11:11">
      <c r="K3063" s="1"/>
    </row>
    <row r="3064" spans="11:11">
      <c r="K3064" s="1"/>
    </row>
    <row r="3065" spans="11:11">
      <c r="K3065" s="1"/>
    </row>
    <row r="3066" spans="11:11">
      <c r="K3066" s="1"/>
    </row>
    <row r="3067" spans="11:11">
      <c r="K3067" s="1"/>
    </row>
    <row r="3068" spans="11:11">
      <c r="K3068" s="1"/>
    </row>
    <row r="3069" spans="11:11">
      <c r="K3069" s="1"/>
    </row>
    <row r="3070" spans="11:11">
      <c r="K3070" s="1"/>
    </row>
    <row r="3071" spans="11:11">
      <c r="K3071" s="1"/>
    </row>
    <row r="3072" spans="11:11">
      <c r="K3072" s="1"/>
    </row>
    <row r="3073" spans="11:11">
      <c r="K3073" s="1"/>
    </row>
    <row r="3074" spans="11:11">
      <c r="K3074" s="1"/>
    </row>
    <row r="3075" spans="11:11">
      <c r="K3075" s="1"/>
    </row>
    <row r="3076" spans="11:11">
      <c r="K3076" s="1"/>
    </row>
    <row r="3077" spans="11:11">
      <c r="K3077" s="1"/>
    </row>
    <row r="3078" spans="11:11">
      <c r="K3078" s="1"/>
    </row>
    <row r="3079" spans="11:11">
      <c r="K3079" s="1"/>
    </row>
    <row r="3080" spans="11:11">
      <c r="K3080" s="1"/>
    </row>
    <row r="3081" spans="11:11">
      <c r="K3081" s="1"/>
    </row>
    <row r="3082" spans="11:11">
      <c r="K3082" s="1"/>
    </row>
    <row r="3083" spans="11:11">
      <c r="K3083" s="1"/>
    </row>
    <row r="3084" spans="11:11">
      <c r="K3084" s="1"/>
    </row>
    <row r="3085" spans="11:11">
      <c r="K3085" s="1"/>
    </row>
    <row r="3086" spans="11:11">
      <c r="K3086" s="1"/>
    </row>
    <row r="3087" spans="11:11">
      <c r="K3087" s="1"/>
    </row>
    <row r="3088" spans="11:11">
      <c r="K3088" s="1"/>
    </row>
    <row r="3089" spans="11:11">
      <c r="K3089" s="1"/>
    </row>
    <row r="3090" spans="11:11">
      <c r="K3090" s="1"/>
    </row>
    <row r="3091" spans="11:11">
      <c r="K3091" s="1"/>
    </row>
    <row r="3092" spans="11:11">
      <c r="K3092" s="1"/>
    </row>
    <row r="3093" spans="11:11">
      <c r="K3093" s="1"/>
    </row>
    <row r="3094" spans="11:11">
      <c r="K3094" s="1"/>
    </row>
    <row r="3095" spans="11:11">
      <c r="K3095" s="1"/>
    </row>
    <row r="3096" spans="11:11">
      <c r="K3096" s="1"/>
    </row>
    <row r="3097" spans="11:11">
      <c r="K3097" s="1"/>
    </row>
    <row r="3098" spans="11:11">
      <c r="K3098" s="1"/>
    </row>
    <row r="3099" spans="11:11">
      <c r="K3099" s="1"/>
    </row>
    <row r="3100" spans="11:11">
      <c r="K3100" s="1"/>
    </row>
    <row r="3101" spans="11:11">
      <c r="K3101" s="1"/>
    </row>
    <row r="3102" spans="11:11">
      <c r="K3102" s="1"/>
    </row>
    <row r="3103" spans="11:11">
      <c r="K3103" s="1"/>
    </row>
    <row r="3104" spans="11:11">
      <c r="K3104" s="1"/>
    </row>
    <row r="3105" spans="11:11">
      <c r="K3105" s="1"/>
    </row>
    <row r="3106" spans="11:11">
      <c r="K3106" s="1"/>
    </row>
    <row r="3107" spans="11:11">
      <c r="K3107" s="1"/>
    </row>
    <row r="3108" spans="11:11">
      <c r="K3108" s="1"/>
    </row>
    <row r="3109" spans="11:11">
      <c r="K3109" s="1"/>
    </row>
    <row r="3110" spans="11:11">
      <c r="K3110" s="1"/>
    </row>
    <row r="3111" spans="11:11">
      <c r="K3111" s="1"/>
    </row>
    <row r="3112" spans="11:11">
      <c r="K3112" s="1"/>
    </row>
    <row r="3113" spans="11:11">
      <c r="K3113" s="1"/>
    </row>
    <row r="3114" spans="11:11">
      <c r="K3114" s="1"/>
    </row>
    <row r="3115" spans="11:11">
      <c r="K3115" s="1"/>
    </row>
    <row r="3116" spans="11:11">
      <c r="K3116" s="1"/>
    </row>
    <row r="3117" spans="11:11">
      <c r="K3117" s="1"/>
    </row>
    <row r="3118" spans="11:11">
      <c r="K3118" s="1"/>
    </row>
    <row r="3119" spans="11:11">
      <c r="K3119" s="1"/>
    </row>
    <row r="3120" spans="11:11">
      <c r="K3120" s="1"/>
    </row>
    <row r="3121" spans="11:11">
      <c r="K3121" s="1"/>
    </row>
    <row r="3122" spans="11:11">
      <c r="K3122" s="1"/>
    </row>
    <row r="3123" spans="11:11">
      <c r="K3123" s="1"/>
    </row>
    <row r="3124" spans="11:11">
      <c r="K3124" s="1"/>
    </row>
    <row r="3125" spans="11:11">
      <c r="K3125" s="1"/>
    </row>
    <row r="3126" spans="11:11">
      <c r="K3126" s="1"/>
    </row>
    <row r="3127" spans="11:11">
      <c r="K3127" s="1"/>
    </row>
    <row r="3128" spans="11:11">
      <c r="K3128" s="1"/>
    </row>
    <row r="3129" spans="11:11">
      <c r="K3129" s="1"/>
    </row>
    <row r="3130" spans="11:11">
      <c r="K3130" s="1"/>
    </row>
    <row r="3131" spans="11:11">
      <c r="K3131" s="1"/>
    </row>
    <row r="3132" spans="11:11">
      <c r="K3132" s="1"/>
    </row>
    <row r="3133" spans="11:11">
      <c r="K3133" s="1"/>
    </row>
    <row r="3134" spans="11:11">
      <c r="K3134" s="1"/>
    </row>
    <row r="3135" spans="11:11">
      <c r="K3135" s="1"/>
    </row>
    <row r="3136" spans="11:11">
      <c r="K3136" s="1"/>
    </row>
    <row r="3137" spans="11:11">
      <c r="K3137" s="1"/>
    </row>
    <row r="3138" spans="11:11">
      <c r="K3138" s="1"/>
    </row>
    <row r="3139" spans="11:11">
      <c r="K3139" s="1"/>
    </row>
    <row r="3140" spans="11:11">
      <c r="K3140" s="1"/>
    </row>
    <row r="3141" spans="11:11">
      <c r="K3141" s="1"/>
    </row>
    <row r="3142" spans="11:11">
      <c r="K3142" s="1"/>
    </row>
    <row r="3143" spans="11:11">
      <c r="K3143" s="1"/>
    </row>
    <row r="3144" spans="11:11">
      <c r="K3144" s="1"/>
    </row>
    <row r="3145" spans="11:11">
      <c r="K3145" s="1"/>
    </row>
    <row r="3146" spans="11:11">
      <c r="K3146" s="1"/>
    </row>
    <row r="3147" spans="11:11">
      <c r="K3147" s="1"/>
    </row>
    <row r="3148" spans="11:11">
      <c r="K3148" s="1"/>
    </row>
    <row r="3149" spans="11:11">
      <c r="K3149" s="1"/>
    </row>
    <row r="3150" spans="11:11">
      <c r="K3150" s="1"/>
    </row>
    <row r="3151" spans="11:11">
      <c r="K3151" s="1"/>
    </row>
    <row r="3152" spans="11:11">
      <c r="K3152" s="1"/>
    </row>
    <row r="3153" spans="11:11">
      <c r="K3153" s="1"/>
    </row>
    <row r="3154" spans="11:11">
      <c r="K3154" s="1"/>
    </row>
    <row r="3155" spans="11:11">
      <c r="K3155" s="1"/>
    </row>
    <row r="3156" spans="11:11">
      <c r="K3156" s="1"/>
    </row>
    <row r="3157" spans="11:11">
      <c r="K3157" s="1"/>
    </row>
    <row r="3158" spans="11:11">
      <c r="K3158" s="1"/>
    </row>
    <row r="3159" spans="11:11">
      <c r="K3159" s="1"/>
    </row>
    <row r="3160" spans="11:11">
      <c r="K3160" s="1"/>
    </row>
    <row r="3161" spans="11:11">
      <c r="K3161" s="1"/>
    </row>
    <row r="3162" spans="11:11">
      <c r="K3162" s="1"/>
    </row>
    <row r="3163" spans="11:11">
      <c r="K3163" s="1"/>
    </row>
    <row r="3164" spans="11:11">
      <c r="K3164" s="1"/>
    </row>
    <row r="3165" spans="11:11">
      <c r="K3165" s="1"/>
    </row>
    <row r="3166" spans="11:11">
      <c r="K3166" s="1"/>
    </row>
    <row r="3167" spans="11:11">
      <c r="K3167" s="1"/>
    </row>
    <row r="3168" spans="11:11">
      <c r="K3168" s="1"/>
    </row>
    <row r="3169" spans="11:11">
      <c r="K3169" s="1"/>
    </row>
    <row r="3170" spans="11:11">
      <c r="K3170" s="1"/>
    </row>
    <row r="3171" spans="11:11">
      <c r="K3171" s="1"/>
    </row>
    <row r="3172" spans="11:11">
      <c r="K3172" s="1"/>
    </row>
    <row r="3173" spans="11:11">
      <c r="K3173" s="1"/>
    </row>
    <row r="3174" spans="11:11">
      <c r="K3174" s="1"/>
    </row>
    <row r="3175" spans="11:11">
      <c r="K3175" s="1"/>
    </row>
    <row r="3176" spans="11:11">
      <c r="K3176" s="1"/>
    </row>
    <row r="3177" spans="11:11">
      <c r="K3177" s="1"/>
    </row>
    <row r="3178" spans="11:11">
      <c r="K3178" s="1"/>
    </row>
    <row r="3179" spans="11:11">
      <c r="K3179" s="1"/>
    </row>
    <row r="3180" spans="11:11">
      <c r="K3180" s="1"/>
    </row>
    <row r="3181" spans="11:11">
      <c r="K3181" s="1"/>
    </row>
    <row r="3182" spans="11:11">
      <c r="K3182" s="1"/>
    </row>
    <row r="3183" spans="11:11">
      <c r="K3183" s="1"/>
    </row>
    <row r="3184" spans="11:11">
      <c r="K3184" s="1"/>
    </row>
    <row r="3185" spans="11:11">
      <c r="K3185" s="1"/>
    </row>
    <row r="3186" spans="11:11">
      <c r="K3186" s="1"/>
    </row>
    <row r="3187" spans="11:11">
      <c r="K3187" s="1"/>
    </row>
    <row r="3188" spans="11:11">
      <c r="K3188" s="1"/>
    </row>
    <row r="3189" spans="11:11">
      <c r="K3189" s="1"/>
    </row>
    <row r="3190" spans="11:11">
      <c r="K3190" s="1"/>
    </row>
    <row r="3191" spans="11:11">
      <c r="K3191" s="1"/>
    </row>
    <row r="3192" spans="11:11">
      <c r="K3192" s="1"/>
    </row>
    <row r="3193" spans="11:11">
      <c r="K3193" s="1"/>
    </row>
    <row r="3194" spans="11:11">
      <c r="K3194" s="1"/>
    </row>
    <row r="3195" spans="11:11">
      <c r="K3195" s="1"/>
    </row>
    <row r="3196" spans="11:11">
      <c r="K3196" s="1"/>
    </row>
    <row r="3197" spans="11:11">
      <c r="K3197" s="1"/>
    </row>
    <row r="3198" spans="11:11">
      <c r="K3198" s="1"/>
    </row>
    <row r="3199" spans="11:11">
      <c r="K3199" s="1"/>
    </row>
    <row r="3200" spans="11:11">
      <c r="K3200" s="1"/>
    </row>
    <row r="3201" spans="11:11">
      <c r="K3201" s="1"/>
    </row>
    <row r="3202" spans="11:11">
      <c r="K3202" s="1"/>
    </row>
    <row r="3203" spans="11:11">
      <c r="K3203" s="1"/>
    </row>
    <row r="3204" spans="11:11">
      <c r="K3204" s="1"/>
    </row>
    <row r="3205" spans="11:11">
      <c r="K3205" s="1"/>
    </row>
    <row r="3206" spans="11:11">
      <c r="K3206" s="1"/>
    </row>
    <row r="3207" spans="11:11">
      <c r="K3207" s="1"/>
    </row>
    <row r="3208" spans="11:11">
      <c r="K3208" s="1"/>
    </row>
    <row r="3209" spans="11:11">
      <c r="K3209" s="1"/>
    </row>
    <row r="3210" spans="11:11">
      <c r="K3210" s="1"/>
    </row>
    <row r="3211" spans="11:11">
      <c r="K3211" s="1"/>
    </row>
    <row r="3212" spans="11:11">
      <c r="K3212" s="1"/>
    </row>
    <row r="3213" spans="11:11">
      <c r="K3213" s="1"/>
    </row>
    <row r="3214" spans="11:11">
      <c r="K3214" s="1"/>
    </row>
    <row r="3215" spans="11:11">
      <c r="K3215" s="1"/>
    </row>
    <row r="3216" spans="11:11">
      <c r="K3216" s="1"/>
    </row>
    <row r="3217" spans="11:11">
      <c r="K3217" s="1"/>
    </row>
    <row r="3218" spans="11:11">
      <c r="K3218" s="1"/>
    </row>
    <row r="3219" spans="11:11">
      <c r="K3219" s="1"/>
    </row>
    <row r="3220" spans="11:11">
      <c r="K3220" s="1"/>
    </row>
    <row r="3221" spans="11:11">
      <c r="K3221" s="1"/>
    </row>
    <row r="3222" spans="11:11">
      <c r="K3222" s="1"/>
    </row>
    <row r="3223" spans="11:11">
      <c r="K3223" s="1"/>
    </row>
    <row r="3224" spans="11:11">
      <c r="K3224" s="1"/>
    </row>
    <row r="3225" spans="11:11">
      <c r="K3225" s="1"/>
    </row>
    <row r="3226" spans="11:11">
      <c r="K3226" s="1"/>
    </row>
    <row r="3227" spans="11:11">
      <c r="K3227" s="1"/>
    </row>
    <row r="3228" spans="11:11">
      <c r="K3228" s="1"/>
    </row>
    <row r="3229" spans="11:11">
      <c r="K3229" s="1"/>
    </row>
    <row r="3230" spans="11:11">
      <c r="K3230" s="1"/>
    </row>
    <row r="3231" spans="11:11">
      <c r="K3231" s="1"/>
    </row>
    <row r="3232" spans="11:11">
      <c r="K3232" s="1"/>
    </row>
    <row r="3233" spans="11:11">
      <c r="K3233" s="1"/>
    </row>
    <row r="3234" spans="11:11">
      <c r="K3234" s="1"/>
    </row>
    <row r="3235" spans="11:11">
      <c r="K3235" s="1"/>
    </row>
    <row r="3236" spans="11:11">
      <c r="K3236" s="1"/>
    </row>
    <row r="3237" spans="11:11">
      <c r="K3237" s="1"/>
    </row>
    <row r="3238" spans="11:11">
      <c r="K3238" s="1"/>
    </row>
    <row r="3239" spans="11:11">
      <c r="K3239" s="1"/>
    </row>
    <row r="3240" spans="11:11">
      <c r="K3240" s="1"/>
    </row>
    <row r="3241" spans="11:11">
      <c r="K3241" s="1"/>
    </row>
    <row r="3242" spans="11:11">
      <c r="K3242" s="1"/>
    </row>
    <row r="3243" spans="11:11">
      <c r="K3243" s="1"/>
    </row>
    <row r="3244" spans="11:11">
      <c r="K3244" s="1"/>
    </row>
    <row r="3245" spans="11:11">
      <c r="K3245" s="1"/>
    </row>
    <row r="3246" spans="11:11">
      <c r="K3246" s="1"/>
    </row>
    <row r="3247" spans="11:11">
      <c r="K3247" s="1"/>
    </row>
    <row r="3248" spans="11:11">
      <c r="K3248" s="1"/>
    </row>
    <row r="3249" spans="11:11">
      <c r="K3249" s="1"/>
    </row>
    <row r="3250" spans="11:11">
      <c r="K3250" s="1"/>
    </row>
    <row r="3251" spans="11:11">
      <c r="K3251" s="1"/>
    </row>
    <row r="3252" spans="11:11">
      <c r="K3252" s="1"/>
    </row>
    <row r="3253" spans="11:11">
      <c r="K3253" s="1"/>
    </row>
    <row r="3254" spans="11:11">
      <c r="K3254" s="1"/>
    </row>
    <row r="3255" spans="11:11">
      <c r="K3255" s="1"/>
    </row>
    <row r="3256" spans="11:11">
      <c r="K3256" s="1"/>
    </row>
    <row r="3257" spans="11:11">
      <c r="K3257" s="1"/>
    </row>
    <row r="3258" spans="11:11">
      <c r="K3258" s="1"/>
    </row>
    <row r="3259" spans="11:11">
      <c r="K3259" s="1"/>
    </row>
    <row r="3260" spans="11:11">
      <c r="K3260" s="1"/>
    </row>
    <row r="3261" spans="11:11">
      <c r="K3261" s="1"/>
    </row>
    <row r="3262" spans="11:11">
      <c r="K3262" s="1"/>
    </row>
    <row r="3263" spans="11:11">
      <c r="K3263" s="1"/>
    </row>
    <row r="3264" spans="11:11">
      <c r="K3264" s="1"/>
    </row>
    <row r="3265" spans="11:11">
      <c r="K3265" s="1"/>
    </row>
    <row r="3266" spans="11:11">
      <c r="K3266" s="1"/>
    </row>
    <row r="3267" spans="11:11">
      <c r="K3267" s="1"/>
    </row>
    <row r="3268" spans="11:11">
      <c r="K3268" s="1"/>
    </row>
    <row r="3269" spans="11:11">
      <c r="K3269" s="1"/>
    </row>
    <row r="3270" spans="11:11">
      <c r="K3270" s="1"/>
    </row>
    <row r="3271" spans="11:11">
      <c r="K3271" s="1"/>
    </row>
    <row r="3272" spans="11:11">
      <c r="K3272" s="1"/>
    </row>
    <row r="3273" spans="11:11">
      <c r="K3273" s="1"/>
    </row>
    <row r="3274" spans="11:11">
      <c r="K3274" s="1"/>
    </row>
    <row r="3275" spans="11:11">
      <c r="K3275" s="1"/>
    </row>
    <row r="3276" spans="11:11">
      <c r="K3276" s="1"/>
    </row>
    <row r="3277" spans="11:11">
      <c r="K3277" s="1"/>
    </row>
    <row r="3278" spans="11:11">
      <c r="K3278" s="1"/>
    </row>
    <row r="3279" spans="11:11">
      <c r="K3279" s="1"/>
    </row>
    <row r="3280" spans="11:11">
      <c r="K3280" s="1"/>
    </row>
    <row r="3281" spans="11:11">
      <c r="K3281" s="1"/>
    </row>
    <row r="3282" spans="11:11">
      <c r="K3282" s="1"/>
    </row>
    <row r="3283" spans="11:11">
      <c r="K3283" s="1"/>
    </row>
    <row r="3284" spans="11:11">
      <c r="K3284" s="1"/>
    </row>
    <row r="3285" spans="11:11">
      <c r="K3285" s="1"/>
    </row>
    <row r="3286" spans="11:11">
      <c r="K3286" s="1"/>
    </row>
    <row r="3287" spans="11:11">
      <c r="K3287" s="1"/>
    </row>
    <row r="3288" spans="11:11">
      <c r="K3288" s="1"/>
    </row>
    <row r="3289" spans="11:11">
      <c r="K3289" s="1"/>
    </row>
    <row r="3290" spans="11:11">
      <c r="K3290" s="1"/>
    </row>
    <row r="3291" spans="11:11">
      <c r="K3291" s="1"/>
    </row>
    <row r="3292" spans="11:11">
      <c r="K3292" s="1"/>
    </row>
    <row r="3293" spans="11:11">
      <c r="K3293" s="1"/>
    </row>
    <row r="3294" spans="11:11">
      <c r="K3294" s="1"/>
    </row>
    <row r="3295" spans="11:11">
      <c r="K3295" s="1"/>
    </row>
    <row r="3296" spans="11:11">
      <c r="K3296" s="1"/>
    </row>
    <row r="3297" spans="11:11">
      <c r="K3297" s="1"/>
    </row>
    <row r="3298" spans="11:11">
      <c r="K3298" s="1"/>
    </row>
    <row r="3299" spans="11:11">
      <c r="K3299" s="1"/>
    </row>
    <row r="3300" spans="11:11">
      <c r="K3300" s="1"/>
    </row>
    <row r="3301" spans="11:11">
      <c r="K3301" s="1"/>
    </row>
    <row r="3302" spans="11:11">
      <c r="K3302" s="1"/>
    </row>
    <row r="3303" spans="11:11">
      <c r="K3303" s="1"/>
    </row>
    <row r="3304" spans="11:11">
      <c r="K3304" s="1"/>
    </row>
    <row r="3305" spans="11:11">
      <c r="K3305" s="1"/>
    </row>
    <row r="3306" spans="11:11">
      <c r="K3306" s="1"/>
    </row>
    <row r="3307" spans="11:11">
      <c r="K3307" s="1"/>
    </row>
    <row r="3308" spans="11:11">
      <c r="K3308" s="1"/>
    </row>
    <row r="3309" spans="11:11">
      <c r="K3309" s="1"/>
    </row>
    <row r="3310" spans="11:11">
      <c r="K3310" s="1"/>
    </row>
    <row r="3311" spans="11:11">
      <c r="K3311" s="1"/>
    </row>
    <row r="3312" spans="11:11">
      <c r="K3312" s="1"/>
    </row>
    <row r="3313" spans="11:11">
      <c r="K3313" s="1"/>
    </row>
    <row r="3314" spans="11:11">
      <c r="K3314" s="1"/>
    </row>
    <row r="3315" spans="11:11">
      <c r="K3315" s="1"/>
    </row>
    <row r="3316" spans="11:11">
      <c r="K3316" s="1"/>
    </row>
    <row r="3317" spans="11:11">
      <c r="K3317" s="1"/>
    </row>
    <row r="3318" spans="11:11">
      <c r="K3318" s="1"/>
    </row>
    <row r="3319" spans="11:11">
      <c r="K3319" s="1"/>
    </row>
    <row r="3320" spans="11:11">
      <c r="K3320" s="1"/>
    </row>
    <row r="3321" spans="11:11">
      <c r="K3321" s="1"/>
    </row>
    <row r="3322" spans="11:11">
      <c r="K3322" s="1"/>
    </row>
    <row r="3323" spans="11:11">
      <c r="K3323" s="1"/>
    </row>
    <row r="3324" spans="11:11">
      <c r="K3324" s="1"/>
    </row>
    <row r="3325" spans="11:11">
      <c r="K3325" s="1"/>
    </row>
    <row r="3326" spans="11:11">
      <c r="K3326" s="1"/>
    </row>
    <row r="3327" spans="11:11">
      <c r="K3327" s="1"/>
    </row>
    <row r="3328" spans="11:11">
      <c r="K3328" s="1"/>
    </row>
    <row r="3329" spans="11:11">
      <c r="K3329" s="1"/>
    </row>
    <row r="3330" spans="11:11">
      <c r="K3330" s="1"/>
    </row>
    <row r="3331" spans="11:11">
      <c r="K3331" s="1"/>
    </row>
    <row r="3332" spans="11:11">
      <c r="K3332" s="1"/>
    </row>
    <row r="3333" spans="11:11">
      <c r="K3333" s="1"/>
    </row>
    <row r="3334" spans="11:11">
      <c r="K3334" s="1"/>
    </row>
    <row r="3335" spans="11:11">
      <c r="K3335" s="1"/>
    </row>
    <row r="3336" spans="11:11">
      <c r="K3336" s="1"/>
    </row>
    <row r="3337" spans="11:11">
      <c r="K3337" s="1"/>
    </row>
    <row r="3338" spans="11:11">
      <c r="K3338" s="1"/>
    </row>
    <row r="3339" spans="11:11">
      <c r="K3339" s="1"/>
    </row>
    <row r="3340" spans="11:11">
      <c r="K3340" s="1"/>
    </row>
    <row r="3341" spans="11:11">
      <c r="K3341" s="1"/>
    </row>
    <row r="3342" spans="11:11">
      <c r="K3342" s="1"/>
    </row>
    <row r="3343" spans="11:11">
      <c r="K3343" s="1"/>
    </row>
    <row r="3344" spans="11:11">
      <c r="K3344" s="1"/>
    </row>
    <row r="3345" spans="11:11">
      <c r="K3345" s="1"/>
    </row>
    <row r="3346" spans="11:11">
      <c r="K3346" s="1"/>
    </row>
    <row r="3347" spans="11:11">
      <c r="K3347" s="1"/>
    </row>
    <row r="3348" spans="11:11">
      <c r="K3348" s="1"/>
    </row>
    <row r="3349" spans="11:11">
      <c r="K3349" s="1"/>
    </row>
    <row r="3350" spans="11:11">
      <c r="K3350" s="1"/>
    </row>
    <row r="3351" spans="11:11">
      <c r="K3351" s="1"/>
    </row>
    <row r="3352" spans="11:11">
      <c r="K3352" s="1"/>
    </row>
    <row r="3353" spans="11:11">
      <c r="K3353" s="1"/>
    </row>
    <row r="3354" spans="11:11">
      <c r="K3354" s="1"/>
    </row>
    <row r="3355" spans="11:11">
      <c r="K3355" s="1"/>
    </row>
    <row r="3356" spans="11:11">
      <c r="K3356" s="1"/>
    </row>
    <row r="3357" spans="11:11">
      <c r="K3357" s="1"/>
    </row>
    <row r="3358" spans="11:11">
      <c r="K3358" s="1"/>
    </row>
    <row r="3359" spans="11:11">
      <c r="K3359" s="1"/>
    </row>
    <row r="3360" spans="11:11">
      <c r="K3360" s="1"/>
    </row>
    <row r="3361" spans="11:11">
      <c r="K3361" s="1"/>
    </row>
    <row r="3362" spans="11:11">
      <c r="K3362" s="1"/>
    </row>
    <row r="3363" spans="11:11">
      <c r="K3363" s="1"/>
    </row>
    <row r="3364" spans="11:11">
      <c r="K3364" s="1"/>
    </row>
    <row r="3365" spans="11:11">
      <c r="K3365" s="1"/>
    </row>
    <row r="3366" spans="11:11">
      <c r="K3366" s="1"/>
    </row>
    <row r="3367" spans="11:11">
      <c r="K3367" s="1"/>
    </row>
    <row r="3368" spans="11:11">
      <c r="K3368" s="1"/>
    </row>
    <row r="3369" spans="11:11">
      <c r="K3369" s="1"/>
    </row>
    <row r="3370" spans="11:11">
      <c r="K3370" s="1"/>
    </row>
    <row r="3371" spans="11:11">
      <c r="K3371" s="1"/>
    </row>
    <row r="3372" spans="11:11">
      <c r="K3372" s="1"/>
    </row>
    <row r="3373" spans="11:11">
      <c r="K3373" s="1"/>
    </row>
    <row r="3374" spans="11:11">
      <c r="K3374" s="1"/>
    </row>
    <row r="3375" spans="11:11">
      <c r="K3375" s="1"/>
    </row>
    <row r="3376" spans="11:11">
      <c r="K3376" s="1"/>
    </row>
    <row r="3377" spans="11:11">
      <c r="K3377" s="1"/>
    </row>
    <row r="3378" spans="11:11">
      <c r="K3378" s="1"/>
    </row>
    <row r="3379" spans="11:11">
      <c r="K3379" s="1"/>
    </row>
    <row r="3380" spans="11:11">
      <c r="K3380" s="1"/>
    </row>
    <row r="3381" spans="11:11">
      <c r="K3381" s="1"/>
    </row>
    <row r="3382" spans="11:11">
      <c r="K3382" s="1"/>
    </row>
    <row r="3383" spans="11:11">
      <c r="K3383" s="1"/>
    </row>
    <row r="3384" spans="11:11">
      <c r="K3384" s="1"/>
    </row>
    <row r="3385" spans="11:11">
      <c r="K3385" s="1"/>
    </row>
    <row r="3386" spans="11:11">
      <c r="K3386" s="1"/>
    </row>
    <row r="3387" spans="11:11">
      <c r="K3387" s="1"/>
    </row>
    <row r="3388" spans="11:11">
      <c r="K3388" s="1"/>
    </row>
    <row r="3389" spans="11:11">
      <c r="K3389" s="1"/>
    </row>
    <row r="3390" spans="11:11">
      <c r="K3390" s="1"/>
    </row>
    <row r="3391" spans="11:11">
      <c r="K3391" s="1"/>
    </row>
    <row r="3392" spans="11:11">
      <c r="K3392" s="1"/>
    </row>
    <row r="3393" spans="11:11">
      <c r="K3393" s="1"/>
    </row>
    <row r="3394" spans="11:11">
      <c r="K3394" s="1"/>
    </row>
    <row r="3395" spans="11:11">
      <c r="K3395" s="1"/>
    </row>
    <row r="3396" spans="11:11">
      <c r="K3396" s="1"/>
    </row>
    <row r="3397" spans="11:11">
      <c r="K3397" s="1"/>
    </row>
    <row r="3398" spans="11:11">
      <c r="K3398" s="1"/>
    </row>
    <row r="3399" spans="11:11">
      <c r="K3399" s="1"/>
    </row>
    <row r="3400" spans="11:11">
      <c r="K3400" s="1"/>
    </row>
    <row r="3401" spans="11:11">
      <c r="K3401" s="1"/>
    </row>
    <row r="3402" spans="11:11">
      <c r="K3402" s="1"/>
    </row>
    <row r="3403" spans="11:11">
      <c r="K3403" s="1"/>
    </row>
    <row r="3404" spans="11:11">
      <c r="K3404" s="1"/>
    </row>
    <row r="3405" spans="11:11">
      <c r="K3405" s="1"/>
    </row>
    <row r="3406" spans="11:11">
      <c r="K3406" s="1"/>
    </row>
    <row r="3407" spans="11:11">
      <c r="K3407" s="1"/>
    </row>
    <row r="3408" spans="11:11">
      <c r="K3408" s="1"/>
    </row>
    <row r="3409" spans="11:11">
      <c r="K3409" s="1"/>
    </row>
    <row r="3410" spans="11:11">
      <c r="K3410" s="1"/>
    </row>
    <row r="3411" spans="11:11">
      <c r="K3411" s="1"/>
    </row>
    <row r="3412" spans="11:11">
      <c r="K3412" s="1"/>
    </row>
    <row r="3413" spans="11:11">
      <c r="K3413" s="1"/>
    </row>
    <row r="3414" spans="11:11">
      <c r="K3414" s="1"/>
    </row>
    <row r="3415" spans="11:11">
      <c r="K3415" s="1"/>
    </row>
    <row r="3416" spans="11:11">
      <c r="K3416" s="1"/>
    </row>
    <row r="3417" spans="11:11">
      <c r="K3417" s="1"/>
    </row>
    <row r="3418" spans="11:11">
      <c r="K3418" s="1"/>
    </row>
    <row r="3419" spans="11:11">
      <c r="K3419" s="1"/>
    </row>
    <row r="3420" spans="11:11">
      <c r="K3420" s="1"/>
    </row>
    <row r="3421" spans="11:11">
      <c r="K3421" s="1"/>
    </row>
    <row r="3422" spans="11:11">
      <c r="K3422" s="1"/>
    </row>
    <row r="3423" spans="11:11">
      <c r="K3423" s="1"/>
    </row>
    <row r="3424" spans="11:11">
      <c r="K3424" s="1"/>
    </row>
    <row r="3425" spans="11:11">
      <c r="K3425" s="1"/>
    </row>
    <row r="3426" spans="11:11">
      <c r="K3426" s="1"/>
    </row>
    <row r="3427" spans="11:11">
      <c r="K3427" s="1"/>
    </row>
    <row r="3428" spans="11:11">
      <c r="K3428" s="1"/>
    </row>
    <row r="3429" spans="11:11">
      <c r="K3429" s="1"/>
    </row>
    <row r="3430" spans="11:11">
      <c r="K3430" s="1"/>
    </row>
    <row r="3431" spans="11:11">
      <c r="K3431" s="1"/>
    </row>
    <row r="3432" spans="11:11">
      <c r="K3432" s="1"/>
    </row>
    <row r="3433" spans="11:11">
      <c r="K3433" s="1"/>
    </row>
    <row r="3434" spans="11:11">
      <c r="K3434" s="1"/>
    </row>
    <row r="3435" spans="11:11">
      <c r="K3435" s="1"/>
    </row>
    <row r="3436" spans="11:11">
      <c r="K3436" s="1"/>
    </row>
    <row r="3437" spans="11:11">
      <c r="K3437" s="1"/>
    </row>
    <row r="3438" spans="11:11">
      <c r="K3438" s="1"/>
    </row>
    <row r="3439" spans="11:11">
      <c r="K3439" s="1"/>
    </row>
    <row r="3440" spans="11:11">
      <c r="K3440" s="1"/>
    </row>
    <row r="3441" spans="11:11">
      <c r="K3441" s="1"/>
    </row>
    <row r="3442" spans="11:11">
      <c r="K3442" s="1"/>
    </row>
    <row r="3443" spans="11:11">
      <c r="K3443" s="1"/>
    </row>
    <row r="3444" spans="11:11">
      <c r="K3444" s="1"/>
    </row>
    <row r="3445" spans="11:11">
      <c r="K3445" s="1"/>
    </row>
    <row r="3446" spans="11:11">
      <c r="K3446" s="1"/>
    </row>
    <row r="3447" spans="11:11">
      <c r="K3447" s="1"/>
    </row>
    <row r="3448" spans="11:11">
      <c r="K3448" s="1"/>
    </row>
    <row r="3449" spans="11:11">
      <c r="K3449" s="1"/>
    </row>
    <row r="3450" spans="11:11">
      <c r="K3450" s="1"/>
    </row>
    <row r="3451" spans="11:11">
      <c r="K3451" s="1"/>
    </row>
    <row r="3452" spans="11:11">
      <c r="K3452" s="1"/>
    </row>
    <row r="3453" spans="11:11">
      <c r="K3453" s="1"/>
    </row>
    <row r="3454" spans="11:11">
      <c r="K3454" s="1"/>
    </row>
    <row r="3455" spans="11:11">
      <c r="K3455" s="1"/>
    </row>
    <row r="3456" spans="11:11">
      <c r="K3456" s="1"/>
    </row>
    <row r="3457" spans="11:11">
      <c r="K3457" s="1"/>
    </row>
    <row r="3458" spans="11:11">
      <c r="K3458" s="1"/>
    </row>
    <row r="3459" spans="11:11">
      <c r="K3459" s="1"/>
    </row>
    <row r="3460" spans="11:11">
      <c r="K3460" s="1"/>
    </row>
    <row r="3461" spans="11:11">
      <c r="K3461" s="1"/>
    </row>
    <row r="3462" spans="11:11">
      <c r="K3462" s="1"/>
    </row>
    <row r="3463" spans="11:11">
      <c r="K3463" s="1"/>
    </row>
    <row r="3464" spans="11:11">
      <c r="K3464" s="1"/>
    </row>
    <row r="3465" spans="11:11">
      <c r="K3465" s="1"/>
    </row>
    <row r="3466" spans="11:11">
      <c r="K3466" s="1"/>
    </row>
    <row r="3467" spans="11:11">
      <c r="K3467" s="1"/>
    </row>
    <row r="3468" spans="11:11">
      <c r="K3468" s="1"/>
    </row>
    <row r="3469" spans="11:11">
      <c r="K3469" s="1"/>
    </row>
    <row r="3470" spans="11:11">
      <c r="K3470" s="1"/>
    </row>
    <row r="3471" spans="11:11">
      <c r="K3471" s="1"/>
    </row>
    <row r="3472" spans="11:11">
      <c r="K3472" s="1"/>
    </row>
    <row r="3473" spans="11:11">
      <c r="K3473" s="1"/>
    </row>
    <row r="3474" spans="11:11">
      <c r="K3474" s="1"/>
    </row>
    <row r="3475" spans="11:11">
      <c r="K3475" s="1"/>
    </row>
    <row r="3476" spans="11:11">
      <c r="K3476" s="1"/>
    </row>
    <row r="3477" spans="11:11">
      <c r="K3477" s="1"/>
    </row>
    <row r="3478" spans="11:11">
      <c r="K3478" s="1"/>
    </row>
    <row r="3479" spans="11:11">
      <c r="K3479" s="1"/>
    </row>
    <row r="3480" spans="11:11">
      <c r="K3480" s="1"/>
    </row>
    <row r="3481" spans="11:11">
      <c r="K3481" s="1"/>
    </row>
    <row r="3482" spans="11:11">
      <c r="K3482" s="1"/>
    </row>
    <row r="3483" spans="11:11">
      <c r="K3483" s="1"/>
    </row>
    <row r="3484" spans="11:11">
      <c r="K3484" s="1"/>
    </row>
    <row r="3485" spans="11:11">
      <c r="K3485" s="1"/>
    </row>
    <row r="3486" spans="11:11">
      <c r="K3486" s="1"/>
    </row>
    <row r="3487" spans="11:11">
      <c r="K3487" s="1"/>
    </row>
    <row r="3488" spans="11:11">
      <c r="K3488" s="1"/>
    </row>
    <row r="3489" spans="11:11">
      <c r="K3489" s="1"/>
    </row>
    <row r="3490" spans="11:11">
      <c r="K3490" s="1"/>
    </row>
    <row r="3491" spans="11:11">
      <c r="K3491" s="1"/>
    </row>
    <row r="3492" spans="11:11">
      <c r="K3492" s="1"/>
    </row>
    <row r="3493" spans="11:11">
      <c r="K3493" s="1"/>
    </row>
    <row r="3494" spans="11:11">
      <c r="K3494" s="1"/>
    </row>
    <row r="3495" spans="11:11">
      <c r="K3495" s="1"/>
    </row>
    <row r="3496" spans="11:11">
      <c r="K3496" s="1"/>
    </row>
    <row r="3497" spans="11:11">
      <c r="K3497" s="1"/>
    </row>
    <row r="3498" spans="11:11">
      <c r="K3498" s="1"/>
    </row>
    <row r="3499" spans="11:11">
      <c r="K3499" s="1"/>
    </row>
    <row r="3500" spans="11:11">
      <c r="K3500" s="1"/>
    </row>
    <row r="3501" spans="11:11">
      <c r="K3501" s="1"/>
    </row>
    <row r="3502" spans="11:11">
      <c r="K3502" s="1"/>
    </row>
    <row r="3503" spans="11:11">
      <c r="K3503" s="1"/>
    </row>
    <row r="3504" spans="11:11">
      <c r="K3504" s="1"/>
    </row>
    <row r="3505" spans="11:11">
      <c r="K3505" s="1"/>
    </row>
    <row r="3506" spans="11:11">
      <c r="K3506" s="1"/>
    </row>
    <row r="3507" spans="11:11">
      <c r="K3507" s="1"/>
    </row>
    <row r="3508" spans="11:11">
      <c r="K3508" s="1"/>
    </row>
    <row r="3509" spans="11:11">
      <c r="K3509" s="1"/>
    </row>
    <row r="3510" spans="11:11">
      <c r="K3510" s="1"/>
    </row>
    <row r="3511" spans="11:11">
      <c r="K3511" s="1"/>
    </row>
    <row r="3512" spans="11:11">
      <c r="K3512" s="1"/>
    </row>
    <row r="3513" spans="11:11">
      <c r="K3513" s="1"/>
    </row>
    <row r="3514" spans="11:11">
      <c r="K3514" s="1"/>
    </row>
    <row r="3515" spans="11:11">
      <c r="K3515" s="1"/>
    </row>
    <row r="3516" spans="11:11">
      <c r="K3516" s="1"/>
    </row>
    <row r="3517" spans="11:11">
      <c r="K3517" s="1"/>
    </row>
    <row r="3518" spans="11:11">
      <c r="K3518" s="1"/>
    </row>
    <row r="3519" spans="11:11">
      <c r="K3519" s="1"/>
    </row>
    <row r="3520" spans="11:11">
      <c r="K3520" s="1"/>
    </row>
    <row r="3521" spans="11:11">
      <c r="K3521" s="1"/>
    </row>
    <row r="3522" spans="11:11">
      <c r="K3522" s="1"/>
    </row>
    <row r="3523" spans="11:11">
      <c r="K3523" s="1"/>
    </row>
    <row r="3524" spans="11:11">
      <c r="K3524" s="1"/>
    </row>
    <row r="3525" spans="11:11">
      <c r="K3525" s="1"/>
    </row>
    <row r="3526" spans="11:11">
      <c r="K3526" s="1"/>
    </row>
    <row r="3527" spans="11:11">
      <c r="K3527" s="1"/>
    </row>
    <row r="3528" spans="11:11">
      <c r="K3528" s="1"/>
    </row>
    <row r="3529" spans="11:11">
      <c r="K3529" s="1"/>
    </row>
    <row r="3530" spans="11:11">
      <c r="K3530" s="1"/>
    </row>
    <row r="3531" spans="11:11">
      <c r="K3531" s="1"/>
    </row>
    <row r="3532" spans="11:11">
      <c r="K3532" s="1"/>
    </row>
    <row r="3533" spans="11:11">
      <c r="K3533" s="1"/>
    </row>
    <row r="3534" spans="11:11">
      <c r="K3534" s="1"/>
    </row>
    <row r="3535" spans="11:11">
      <c r="K3535" s="1"/>
    </row>
    <row r="3536" spans="11:11">
      <c r="K3536" s="1"/>
    </row>
    <row r="3537" spans="11:11">
      <c r="K3537" s="1"/>
    </row>
    <row r="3538" spans="11:11">
      <c r="K3538" s="1"/>
    </row>
    <row r="3539" spans="11:11">
      <c r="K3539" s="1"/>
    </row>
    <row r="3540" spans="11:11">
      <c r="K3540" s="1"/>
    </row>
    <row r="3541" spans="11:11">
      <c r="K3541" s="1"/>
    </row>
    <row r="3542" spans="11:11">
      <c r="K3542" s="1"/>
    </row>
    <row r="3543" spans="11:11">
      <c r="K3543" s="1"/>
    </row>
    <row r="3544" spans="11:11">
      <c r="K3544" s="1"/>
    </row>
    <row r="3545" spans="11:11">
      <c r="K3545" s="1"/>
    </row>
    <row r="3546" spans="11:11">
      <c r="K3546" s="1"/>
    </row>
    <row r="3547" spans="11:11">
      <c r="K3547" s="1"/>
    </row>
    <row r="3548" spans="11:11">
      <c r="K3548" s="1"/>
    </row>
    <row r="3549" spans="11:11">
      <c r="K3549" s="1"/>
    </row>
    <row r="3550" spans="11:11">
      <c r="K3550" s="1"/>
    </row>
    <row r="3551" spans="11:11">
      <c r="K3551" s="1"/>
    </row>
    <row r="3552" spans="11:11">
      <c r="K3552" s="1"/>
    </row>
    <row r="3553" spans="11:11">
      <c r="K3553" s="1"/>
    </row>
    <row r="3554" spans="11:11">
      <c r="K3554" s="1"/>
    </row>
    <row r="3555" spans="11:11">
      <c r="K3555" s="1"/>
    </row>
    <row r="3556" spans="11:11">
      <c r="K3556" s="1"/>
    </row>
    <row r="3557" spans="11:11">
      <c r="K3557" s="1"/>
    </row>
    <row r="3558" spans="11:11">
      <c r="K3558" s="1"/>
    </row>
    <row r="3559" spans="11:11">
      <c r="K3559" s="1"/>
    </row>
    <row r="3560" spans="11:11">
      <c r="K3560" s="1"/>
    </row>
    <row r="3561" spans="11:11">
      <c r="K3561" s="1"/>
    </row>
    <row r="3562" spans="11:11">
      <c r="K3562" s="1"/>
    </row>
    <row r="3563" spans="11:11">
      <c r="K3563" s="1"/>
    </row>
    <row r="3564" spans="11:11">
      <c r="K3564" s="1"/>
    </row>
    <row r="3565" spans="11:11">
      <c r="K3565" s="1"/>
    </row>
    <row r="3566" spans="11:11">
      <c r="K3566" s="1"/>
    </row>
    <row r="3567" spans="11:11">
      <c r="K3567" s="1"/>
    </row>
    <row r="3568" spans="11:11">
      <c r="K3568" s="1"/>
    </row>
    <row r="3569" spans="11:11">
      <c r="K3569" s="1"/>
    </row>
    <row r="3570" spans="11:11">
      <c r="K3570" s="1"/>
    </row>
    <row r="3571" spans="11:11">
      <c r="K3571" s="1"/>
    </row>
    <row r="3572" spans="11:11">
      <c r="K3572" s="1"/>
    </row>
    <row r="3573" spans="11:11">
      <c r="K3573" s="1"/>
    </row>
    <row r="3574" spans="11:11">
      <c r="K3574" s="1"/>
    </row>
    <row r="3575" spans="11:11">
      <c r="K3575" s="1"/>
    </row>
    <row r="3576" spans="11:11">
      <c r="K3576" s="1"/>
    </row>
    <row r="3577" spans="11:11">
      <c r="K3577" s="1"/>
    </row>
    <row r="3578" spans="11:11">
      <c r="K3578" s="1"/>
    </row>
    <row r="3579" spans="11:11">
      <c r="K3579" s="1"/>
    </row>
    <row r="3580" spans="11:11">
      <c r="K3580" s="1"/>
    </row>
    <row r="3581" spans="11:11">
      <c r="K3581" s="1"/>
    </row>
    <row r="3582" spans="11:11">
      <c r="K3582" s="1"/>
    </row>
    <row r="3583" spans="11:11">
      <c r="K3583" s="1"/>
    </row>
    <row r="3584" spans="11:11">
      <c r="K3584" s="1"/>
    </row>
    <row r="3585" spans="11:11">
      <c r="K3585" s="1"/>
    </row>
    <row r="3586" spans="11:11">
      <c r="K3586" s="1"/>
    </row>
    <row r="3587" spans="11:11">
      <c r="K3587" s="1"/>
    </row>
    <row r="3588" spans="11:11">
      <c r="K3588" s="1"/>
    </row>
    <row r="3589" spans="11:11">
      <c r="K3589" s="1"/>
    </row>
    <row r="3590" spans="11:11">
      <c r="K3590" s="1"/>
    </row>
    <row r="3591" spans="11:11">
      <c r="K3591" s="1"/>
    </row>
    <row r="3592" spans="11:11">
      <c r="K3592" s="1"/>
    </row>
    <row r="3593" spans="11:11">
      <c r="K3593" s="1"/>
    </row>
    <row r="3594" spans="11:11">
      <c r="K3594" s="1"/>
    </row>
    <row r="3595" spans="11:11">
      <c r="K3595" s="1"/>
    </row>
    <row r="3596" spans="11:11">
      <c r="K3596" s="1"/>
    </row>
    <row r="3597" spans="11:11">
      <c r="K3597" s="1"/>
    </row>
    <row r="3598" spans="11:11">
      <c r="K3598" s="1"/>
    </row>
    <row r="3599" spans="11:11">
      <c r="K3599" s="1"/>
    </row>
    <row r="3600" spans="11:11">
      <c r="K3600" s="1"/>
    </row>
    <row r="3601" spans="11:11">
      <c r="K3601" s="1"/>
    </row>
    <row r="3602" spans="11:11">
      <c r="K3602" s="1"/>
    </row>
    <row r="3603" spans="11:11">
      <c r="K3603" s="1"/>
    </row>
    <row r="3604" spans="11:11">
      <c r="K3604" s="1"/>
    </row>
    <row r="3605" spans="11:11">
      <c r="K3605" s="1"/>
    </row>
    <row r="3606" spans="11:11">
      <c r="K3606" s="1"/>
    </row>
    <row r="3607" spans="11:11">
      <c r="K3607" s="1"/>
    </row>
    <row r="3608" spans="11:11">
      <c r="K3608" s="1"/>
    </row>
    <row r="3609" spans="11:11">
      <c r="K3609" s="1"/>
    </row>
    <row r="3610" spans="11:11">
      <c r="K3610" s="1"/>
    </row>
    <row r="3611" spans="11:11">
      <c r="K3611" s="1"/>
    </row>
    <row r="3612" spans="11:11">
      <c r="K3612" s="1"/>
    </row>
    <row r="3613" spans="11:11">
      <c r="K3613" s="1"/>
    </row>
    <row r="3614" spans="11:11">
      <c r="K3614" s="1"/>
    </row>
    <row r="3615" spans="11:11">
      <c r="K3615" s="1"/>
    </row>
    <row r="3616" spans="11:11">
      <c r="K3616" s="1"/>
    </row>
    <row r="3617" spans="11:11">
      <c r="K3617" s="1"/>
    </row>
    <row r="3618" spans="11:11">
      <c r="K3618" s="1"/>
    </row>
    <row r="3619" spans="11:11">
      <c r="K3619" s="1"/>
    </row>
    <row r="3620" spans="11:11">
      <c r="K3620" s="1"/>
    </row>
    <row r="3621" spans="11:11">
      <c r="K3621" s="1"/>
    </row>
    <row r="3622" spans="11:11">
      <c r="K3622" s="1"/>
    </row>
    <row r="3623" spans="11:11">
      <c r="K3623" s="1"/>
    </row>
    <row r="3624" spans="11:11">
      <c r="K3624" s="1"/>
    </row>
    <row r="3625" spans="11:11">
      <c r="K3625" s="1"/>
    </row>
    <row r="3626" spans="11:11">
      <c r="K3626" s="1"/>
    </row>
    <row r="3627" spans="11:11">
      <c r="K3627" s="1"/>
    </row>
    <row r="3628" spans="11:11">
      <c r="K3628" s="1"/>
    </row>
    <row r="3629" spans="11:11">
      <c r="K3629" s="1"/>
    </row>
    <row r="3630" spans="11:11">
      <c r="K3630" s="1"/>
    </row>
    <row r="3631" spans="11:11">
      <c r="K3631" s="1"/>
    </row>
    <row r="3632" spans="11:11">
      <c r="K3632" s="1"/>
    </row>
    <row r="3633" spans="11:11">
      <c r="K3633" s="1"/>
    </row>
    <row r="3634" spans="11:11">
      <c r="K3634" s="1"/>
    </row>
    <row r="3635" spans="11:11">
      <c r="K3635" s="1"/>
    </row>
    <row r="3636" spans="11:11">
      <c r="K3636" s="1"/>
    </row>
    <row r="3637" spans="11:11">
      <c r="K3637" s="1"/>
    </row>
    <row r="3638" spans="11:11">
      <c r="K3638" s="1"/>
    </row>
    <row r="3639" spans="11:11">
      <c r="K3639" s="1"/>
    </row>
    <row r="3640" spans="11:11">
      <c r="K3640" s="1"/>
    </row>
    <row r="3641" spans="11:11">
      <c r="K3641" s="1"/>
    </row>
    <row r="3642" spans="11:11">
      <c r="K3642" s="1"/>
    </row>
    <row r="3643" spans="11:11">
      <c r="K3643" s="1"/>
    </row>
    <row r="3644" spans="11:11">
      <c r="K3644" s="1"/>
    </row>
    <row r="3645" spans="11:11">
      <c r="K3645" s="1"/>
    </row>
    <row r="3646" spans="11:11">
      <c r="K3646" s="1"/>
    </row>
    <row r="3647" spans="11:11">
      <c r="K3647" s="1"/>
    </row>
    <row r="3648" spans="11:11">
      <c r="K3648" s="1"/>
    </row>
    <row r="3649" spans="11:11">
      <c r="K3649" s="1"/>
    </row>
    <row r="3650" spans="11:11">
      <c r="K3650" s="1"/>
    </row>
    <row r="3651" spans="11:11">
      <c r="K3651" s="1"/>
    </row>
    <row r="3652" spans="11:11">
      <c r="K3652" s="1"/>
    </row>
    <row r="3653" spans="11:11">
      <c r="K3653" s="1"/>
    </row>
    <row r="3654" spans="11:11">
      <c r="K3654" s="1"/>
    </row>
    <row r="3655" spans="11:11">
      <c r="K3655" s="1"/>
    </row>
    <row r="3656" spans="11:11">
      <c r="K3656" s="1"/>
    </row>
    <row r="3657" spans="11:11">
      <c r="K3657" s="1"/>
    </row>
    <row r="3658" spans="11:11">
      <c r="K3658" s="1"/>
    </row>
    <row r="3659" spans="11:11">
      <c r="K3659" s="1"/>
    </row>
    <row r="3660" spans="11:11">
      <c r="K3660" s="1"/>
    </row>
    <row r="3661" spans="11:11">
      <c r="K3661" s="1"/>
    </row>
    <row r="3662" spans="11:11">
      <c r="K3662" s="1"/>
    </row>
    <row r="3663" spans="11:11">
      <c r="K3663" s="1"/>
    </row>
    <row r="3664" spans="11:11">
      <c r="K3664" s="1"/>
    </row>
    <row r="3665" spans="11:11">
      <c r="K3665" s="1"/>
    </row>
    <row r="3666" spans="11:11">
      <c r="K3666" s="1"/>
    </row>
    <row r="3667" spans="11:11">
      <c r="K3667" s="1"/>
    </row>
    <row r="3668" spans="11:11">
      <c r="K3668" s="1"/>
    </row>
    <row r="3669" spans="11:11">
      <c r="K3669" s="1"/>
    </row>
    <row r="3670" spans="11:11">
      <c r="K3670" s="1"/>
    </row>
    <row r="3671" spans="11:11">
      <c r="K3671" s="1"/>
    </row>
    <row r="3672" spans="11:11">
      <c r="K3672" s="1"/>
    </row>
    <row r="3673" spans="11:11">
      <c r="K3673" s="1"/>
    </row>
    <row r="3674" spans="11:11">
      <c r="K3674" s="1"/>
    </row>
    <row r="3675" spans="11:11">
      <c r="K3675" s="1"/>
    </row>
    <row r="3676" spans="11:11">
      <c r="K3676" s="1"/>
    </row>
    <row r="3677" spans="11:11">
      <c r="K3677" s="1"/>
    </row>
    <row r="3678" spans="11:11">
      <c r="K3678" s="1"/>
    </row>
    <row r="3679" spans="11:11">
      <c r="K3679" s="1"/>
    </row>
    <row r="3680" spans="11:11">
      <c r="K3680" s="1"/>
    </row>
    <row r="3681" spans="11:11">
      <c r="K3681" s="1"/>
    </row>
    <row r="3682" spans="11:11">
      <c r="K3682" s="1"/>
    </row>
    <row r="3683" spans="11:11">
      <c r="K3683" s="1"/>
    </row>
    <row r="3684" spans="11:11">
      <c r="K3684" s="1"/>
    </row>
    <row r="3685" spans="11:11">
      <c r="K3685" s="1"/>
    </row>
    <row r="3686" spans="11:11">
      <c r="K3686" s="1"/>
    </row>
    <row r="3687" spans="11:11">
      <c r="K3687" s="1"/>
    </row>
    <row r="3688" spans="11:11">
      <c r="K3688" s="1"/>
    </row>
    <row r="3689" spans="11:11">
      <c r="K3689" s="1"/>
    </row>
    <row r="3690" spans="11:11">
      <c r="K3690" s="1"/>
    </row>
    <row r="3691" spans="11:11">
      <c r="K3691" s="1"/>
    </row>
    <row r="3692" spans="11:11">
      <c r="K3692" s="1"/>
    </row>
    <row r="3693" spans="11:11">
      <c r="K3693" s="1"/>
    </row>
    <row r="3694" spans="11:11">
      <c r="K3694" s="1"/>
    </row>
    <row r="3695" spans="11:11">
      <c r="K3695" s="1"/>
    </row>
    <row r="3696" spans="11:11">
      <c r="K3696" s="1"/>
    </row>
    <row r="3697" spans="11:11">
      <c r="K3697" s="1"/>
    </row>
    <row r="3698" spans="11:11">
      <c r="K3698" s="1"/>
    </row>
    <row r="3699" spans="11:11">
      <c r="K3699" s="1"/>
    </row>
    <row r="3700" spans="11:11">
      <c r="K3700" s="1"/>
    </row>
    <row r="3701" spans="11:11">
      <c r="K3701" s="1"/>
    </row>
    <row r="3702" spans="11:11">
      <c r="K3702" s="1"/>
    </row>
    <row r="3703" spans="11:11">
      <c r="K3703" s="1"/>
    </row>
    <row r="3704" spans="11:11">
      <c r="K3704" s="1"/>
    </row>
    <row r="3705" spans="11:11">
      <c r="K3705" s="1"/>
    </row>
    <row r="3706" spans="11:11">
      <c r="K3706" s="1"/>
    </row>
    <row r="3707" spans="11:11">
      <c r="K3707" s="1"/>
    </row>
    <row r="3708" spans="11:11">
      <c r="K3708" s="1"/>
    </row>
    <row r="3709" spans="11:11">
      <c r="K3709" s="1"/>
    </row>
    <row r="3710" spans="11:11">
      <c r="K3710" s="1"/>
    </row>
    <row r="3711" spans="11:11">
      <c r="K3711" s="1"/>
    </row>
    <row r="3712" spans="11:11">
      <c r="K3712" s="1"/>
    </row>
    <row r="3713" spans="11:11">
      <c r="K3713" s="1"/>
    </row>
    <row r="3714" spans="11:11">
      <c r="K3714" s="1"/>
    </row>
    <row r="3715" spans="11:11">
      <c r="K3715" s="1"/>
    </row>
    <row r="3716" spans="11:11">
      <c r="K3716" s="1"/>
    </row>
    <row r="3717" spans="11:11">
      <c r="K3717" s="1"/>
    </row>
    <row r="3718" spans="11:11">
      <c r="K3718" s="1"/>
    </row>
    <row r="3719" spans="11:11">
      <c r="K3719" s="1"/>
    </row>
    <row r="3720" spans="11:11">
      <c r="K3720" s="1"/>
    </row>
    <row r="3721" spans="11:11">
      <c r="K3721" s="1"/>
    </row>
    <row r="3722" spans="11:11">
      <c r="K3722" s="1"/>
    </row>
    <row r="3723" spans="11:11">
      <c r="K3723" s="1"/>
    </row>
    <row r="3724" spans="11:11">
      <c r="K3724" s="1"/>
    </row>
    <row r="3725" spans="11:11">
      <c r="K3725" s="1"/>
    </row>
    <row r="3726" spans="11:11">
      <c r="K3726" s="1"/>
    </row>
    <row r="3727" spans="11:11">
      <c r="K3727" s="1"/>
    </row>
    <row r="3728" spans="11:11">
      <c r="K3728" s="1"/>
    </row>
    <row r="3729" spans="11:11">
      <c r="K3729" s="1"/>
    </row>
    <row r="3730" spans="11:11">
      <c r="K3730" s="1"/>
    </row>
    <row r="3731" spans="11:11">
      <c r="K3731" s="1"/>
    </row>
    <row r="3732" spans="11:11">
      <c r="K3732" s="1"/>
    </row>
    <row r="3733" spans="11:11">
      <c r="K3733" s="1"/>
    </row>
    <row r="3734" spans="11:11">
      <c r="K3734" s="1"/>
    </row>
    <row r="3735" spans="11:11">
      <c r="K3735" s="1"/>
    </row>
    <row r="3736" spans="11:11">
      <c r="K3736" s="1"/>
    </row>
    <row r="3737" spans="11:11">
      <c r="K3737" s="1"/>
    </row>
    <row r="3738" spans="11:11">
      <c r="K3738" s="1"/>
    </row>
    <row r="3739" spans="11:11">
      <c r="K3739" s="1"/>
    </row>
    <row r="3740" spans="11:11">
      <c r="K3740" s="1"/>
    </row>
    <row r="3741" spans="11:11">
      <c r="K3741" s="1"/>
    </row>
    <row r="3742" spans="11:11">
      <c r="K3742" s="1"/>
    </row>
    <row r="3743" spans="11:11">
      <c r="K3743" s="1"/>
    </row>
    <row r="3744" spans="11:11">
      <c r="K3744" s="1"/>
    </row>
    <row r="3745" spans="11:11">
      <c r="K3745" s="1"/>
    </row>
    <row r="3746" spans="11:11">
      <c r="K3746" s="1"/>
    </row>
    <row r="3747" spans="11:11">
      <c r="K3747" s="1"/>
    </row>
    <row r="3748" spans="11:11">
      <c r="K3748" s="1"/>
    </row>
    <row r="3749" spans="11:11">
      <c r="K3749" s="1"/>
    </row>
    <row r="3750" spans="11:11">
      <c r="K3750" s="1"/>
    </row>
    <row r="3751" spans="11:11">
      <c r="K3751" s="1"/>
    </row>
    <row r="3752" spans="11:11">
      <c r="K3752" s="1"/>
    </row>
    <row r="3753" spans="11:11">
      <c r="K3753" s="1"/>
    </row>
    <row r="3754" spans="11:11">
      <c r="K3754" s="1"/>
    </row>
    <row r="3755" spans="11:11">
      <c r="K3755" s="1"/>
    </row>
    <row r="3756" spans="11:11">
      <c r="K3756" s="1"/>
    </row>
    <row r="3757" spans="11:11">
      <c r="K3757" s="1"/>
    </row>
    <row r="3758" spans="11:11">
      <c r="K3758" s="1"/>
    </row>
    <row r="3759" spans="11:11">
      <c r="K3759" s="1"/>
    </row>
    <row r="3760" spans="11:11">
      <c r="K3760" s="1"/>
    </row>
    <row r="3761" spans="11:11">
      <c r="K3761" s="1"/>
    </row>
    <row r="3762" spans="11:11">
      <c r="K3762" s="1"/>
    </row>
    <row r="3763" spans="11:11">
      <c r="K3763" s="1"/>
    </row>
    <row r="3764" spans="11:11">
      <c r="K3764" s="1"/>
    </row>
    <row r="3765" spans="11:11">
      <c r="K3765" s="1"/>
    </row>
    <row r="3766" spans="11:11">
      <c r="K3766" s="1"/>
    </row>
    <row r="3767" spans="11:11">
      <c r="K3767" s="1"/>
    </row>
    <row r="3768" spans="11:11">
      <c r="K3768" s="1"/>
    </row>
    <row r="3769" spans="11:11">
      <c r="K3769" s="1"/>
    </row>
    <row r="3770" spans="11:11">
      <c r="K3770" s="1"/>
    </row>
    <row r="3771" spans="11:11">
      <c r="K3771" s="1"/>
    </row>
    <row r="3772" spans="11:11">
      <c r="K3772" s="1"/>
    </row>
    <row r="3773" spans="11:11">
      <c r="K3773" s="1"/>
    </row>
    <row r="3774" spans="11:11">
      <c r="K3774" s="1"/>
    </row>
    <row r="3775" spans="11:11">
      <c r="K3775" s="1"/>
    </row>
    <row r="3776" spans="11:11">
      <c r="K3776" s="1"/>
    </row>
    <row r="3777" spans="11:11">
      <c r="K3777" s="1"/>
    </row>
    <row r="3778" spans="11:11">
      <c r="K3778" s="1"/>
    </row>
    <row r="3779" spans="11:11">
      <c r="K3779" s="1"/>
    </row>
    <row r="3780" spans="11:11">
      <c r="K3780" s="1"/>
    </row>
    <row r="3781" spans="11:11">
      <c r="K3781" s="1"/>
    </row>
    <row r="3782" spans="11:11">
      <c r="K3782" s="1"/>
    </row>
    <row r="3783" spans="11:11">
      <c r="K3783" s="1"/>
    </row>
    <row r="3784" spans="11:11">
      <c r="K3784" s="1"/>
    </row>
    <row r="3785" spans="11:11">
      <c r="K3785" s="1"/>
    </row>
    <row r="3786" spans="11:11">
      <c r="K3786" s="1"/>
    </row>
    <row r="3787" spans="11:11">
      <c r="K3787" s="1"/>
    </row>
    <row r="3788" spans="11:11">
      <c r="K3788" s="1"/>
    </row>
    <row r="3789" spans="11:11">
      <c r="K3789" s="1"/>
    </row>
    <row r="3790" spans="11:11">
      <c r="K3790" s="1"/>
    </row>
    <row r="3791" spans="11:11">
      <c r="K3791" s="1"/>
    </row>
    <row r="3792" spans="11:11">
      <c r="K3792" s="1"/>
    </row>
    <row r="3793" spans="11:11">
      <c r="K3793" s="1"/>
    </row>
    <row r="3794" spans="11:11">
      <c r="K3794" s="1"/>
    </row>
    <row r="3795" spans="11:11">
      <c r="K3795" s="1"/>
    </row>
    <row r="3796" spans="11:11">
      <c r="K3796" s="1"/>
    </row>
    <row r="3797" spans="11:11">
      <c r="K3797" s="1"/>
    </row>
    <row r="3798" spans="11:11">
      <c r="K3798" s="1"/>
    </row>
    <row r="3799" spans="11:11">
      <c r="K3799" s="1"/>
    </row>
    <row r="3800" spans="11:11">
      <c r="K3800" s="1"/>
    </row>
    <row r="3801" spans="11:11">
      <c r="K3801" s="1"/>
    </row>
    <row r="3802" spans="11:11">
      <c r="K3802" s="1"/>
    </row>
    <row r="3803" spans="11:11">
      <c r="K3803" s="1"/>
    </row>
    <row r="3804" spans="11:11">
      <c r="K3804" s="1"/>
    </row>
    <row r="3805" spans="11:11">
      <c r="K3805" s="1"/>
    </row>
    <row r="3806" spans="11:11">
      <c r="K3806" s="1"/>
    </row>
    <row r="3807" spans="11:11">
      <c r="K3807" s="1"/>
    </row>
    <row r="3808" spans="11:11">
      <c r="K3808" s="1"/>
    </row>
    <row r="3809" spans="11:11">
      <c r="K3809" s="1"/>
    </row>
    <row r="3810" spans="11:11">
      <c r="K3810" s="1"/>
    </row>
    <row r="3811" spans="11:11">
      <c r="K3811" s="1"/>
    </row>
    <row r="3812" spans="11:11">
      <c r="K3812" s="1"/>
    </row>
    <row r="3813" spans="11:11">
      <c r="K3813" s="1"/>
    </row>
    <row r="3814" spans="11:11">
      <c r="K3814" s="1"/>
    </row>
    <row r="3815" spans="11:11">
      <c r="K3815" s="1"/>
    </row>
    <row r="3816" spans="11:11">
      <c r="K3816" s="1"/>
    </row>
    <row r="3817" spans="11:11">
      <c r="K3817" s="1"/>
    </row>
    <row r="3818" spans="11:11">
      <c r="K3818" s="1"/>
    </row>
    <row r="3819" spans="11:11">
      <c r="K3819" s="1"/>
    </row>
    <row r="3820" spans="11:11">
      <c r="K3820" s="1"/>
    </row>
    <row r="3821" spans="11:11">
      <c r="K3821" s="1"/>
    </row>
    <row r="3822" spans="11:11">
      <c r="K3822" s="1"/>
    </row>
    <row r="3823" spans="11:11">
      <c r="K3823" s="1"/>
    </row>
    <row r="3824" spans="11:11">
      <c r="K3824" s="1"/>
    </row>
    <row r="3825" spans="11:11">
      <c r="K3825" s="1"/>
    </row>
    <row r="3826" spans="11:11">
      <c r="K3826" s="1"/>
    </row>
    <row r="3827" spans="11:11">
      <c r="K3827" s="1"/>
    </row>
    <row r="3828" spans="11:11">
      <c r="K3828" s="1"/>
    </row>
    <row r="3829" spans="11:11">
      <c r="K3829" s="1"/>
    </row>
    <row r="3830" spans="11:11">
      <c r="K3830" s="1"/>
    </row>
    <row r="3831" spans="11:11">
      <c r="K3831" s="1"/>
    </row>
    <row r="3832" spans="11:11">
      <c r="K3832" s="1"/>
    </row>
    <row r="3833" spans="11:11">
      <c r="K3833" s="1"/>
    </row>
    <row r="3834" spans="11:11">
      <c r="K3834" s="1"/>
    </row>
    <row r="3835" spans="11:11">
      <c r="K3835" s="1"/>
    </row>
    <row r="3836" spans="11:11">
      <c r="K3836" s="1"/>
    </row>
    <row r="3837" spans="11:11">
      <c r="K3837" s="1"/>
    </row>
    <row r="3838" spans="11:11">
      <c r="K3838" s="1"/>
    </row>
    <row r="3839" spans="11:11">
      <c r="K3839" s="1"/>
    </row>
    <row r="3840" spans="11:11">
      <c r="K3840" s="1"/>
    </row>
    <row r="3841" spans="11:11">
      <c r="K3841" s="1"/>
    </row>
    <row r="3842" spans="11:11">
      <c r="K3842" s="1"/>
    </row>
    <row r="3843" spans="11:11">
      <c r="K3843" s="1"/>
    </row>
    <row r="3844" spans="11:11">
      <c r="K3844" s="1"/>
    </row>
    <row r="3845" spans="11:11">
      <c r="K3845" s="1"/>
    </row>
    <row r="3846" spans="11:11">
      <c r="K3846" s="1"/>
    </row>
    <row r="3847" spans="11:11">
      <c r="K3847" s="1"/>
    </row>
    <row r="3848" spans="11:11">
      <c r="K3848" s="1"/>
    </row>
    <row r="3849" spans="11:11">
      <c r="K3849" s="1"/>
    </row>
    <row r="3850" spans="11:11">
      <c r="K3850" s="1"/>
    </row>
    <row r="3851" spans="11:11">
      <c r="K3851" s="1"/>
    </row>
    <row r="3852" spans="11:11">
      <c r="K3852" s="1"/>
    </row>
    <row r="3853" spans="11:11">
      <c r="K3853" s="1"/>
    </row>
    <row r="3854" spans="11:11">
      <c r="K3854" s="1"/>
    </row>
    <row r="3855" spans="11:11">
      <c r="K3855" s="1"/>
    </row>
    <row r="3856" spans="11:11">
      <c r="K3856" s="1"/>
    </row>
    <row r="3857" spans="11:11">
      <c r="K3857" s="1"/>
    </row>
    <row r="3858" spans="11:11">
      <c r="K3858" s="1"/>
    </row>
    <row r="3859" spans="11:11">
      <c r="K3859" s="1"/>
    </row>
    <row r="3860" spans="11:11">
      <c r="K3860" s="1"/>
    </row>
    <row r="3861" spans="11:11">
      <c r="K3861" s="1"/>
    </row>
    <row r="3862" spans="11:11">
      <c r="K3862" s="1"/>
    </row>
    <row r="3863" spans="11:11">
      <c r="K3863" s="1"/>
    </row>
    <row r="3864" spans="11:11">
      <c r="K3864" s="1"/>
    </row>
    <row r="3865" spans="11:11">
      <c r="K3865" s="1"/>
    </row>
    <row r="3866" spans="11:11">
      <c r="K3866" s="1"/>
    </row>
    <row r="3867" spans="11:11">
      <c r="K3867" s="1"/>
    </row>
    <row r="3868" spans="11:11">
      <c r="K3868" s="1"/>
    </row>
    <row r="3869" spans="11:11">
      <c r="K3869" s="1"/>
    </row>
    <row r="3870" spans="11:11">
      <c r="K3870" s="1"/>
    </row>
    <row r="3871" spans="11:11">
      <c r="K3871" s="1"/>
    </row>
    <row r="3872" spans="11:11">
      <c r="K3872" s="1"/>
    </row>
    <row r="3873" spans="11:11">
      <c r="K3873" s="1"/>
    </row>
    <row r="3874" spans="11:11">
      <c r="K3874" s="1"/>
    </row>
    <row r="3875" spans="11:11">
      <c r="K3875" s="1"/>
    </row>
    <row r="3876" spans="11:11">
      <c r="K3876" s="1"/>
    </row>
    <row r="3877" spans="11:11">
      <c r="K3877" s="1"/>
    </row>
    <row r="3878" spans="11:11">
      <c r="K3878" s="1"/>
    </row>
    <row r="3879" spans="11:11">
      <c r="K3879" s="1"/>
    </row>
    <row r="3880" spans="11:11">
      <c r="K3880" s="1"/>
    </row>
    <row r="3881" spans="11:11">
      <c r="K3881" s="1"/>
    </row>
    <row r="3882" spans="11:11">
      <c r="K3882" s="1"/>
    </row>
    <row r="3883" spans="11:11">
      <c r="K3883" s="1"/>
    </row>
    <row r="3884" spans="11:11">
      <c r="K3884" s="1"/>
    </row>
    <row r="3885" spans="11:11">
      <c r="K3885" s="1"/>
    </row>
    <row r="3886" spans="11:11">
      <c r="K3886" s="1"/>
    </row>
    <row r="3887" spans="11:11">
      <c r="K3887" s="1"/>
    </row>
    <row r="3888" spans="11:11">
      <c r="K3888" s="1"/>
    </row>
    <row r="3889" spans="11:11">
      <c r="K3889" s="1"/>
    </row>
    <row r="3890" spans="11:11">
      <c r="K3890" s="1"/>
    </row>
    <row r="3891" spans="11:11">
      <c r="K3891" s="1"/>
    </row>
    <row r="3892" spans="11:11">
      <c r="K3892" s="1"/>
    </row>
    <row r="3893" spans="11:11">
      <c r="K3893" s="1"/>
    </row>
    <row r="3894" spans="11:11">
      <c r="K3894" s="1"/>
    </row>
    <row r="3895" spans="11:11">
      <c r="K3895" s="1"/>
    </row>
    <row r="3896" spans="11:11">
      <c r="K3896" s="1"/>
    </row>
    <row r="3897" spans="11:11">
      <c r="K3897" s="1"/>
    </row>
    <row r="3898" spans="11:11">
      <c r="K3898" s="1"/>
    </row>
    <row r="3899" spans="11:11">
      <c r="K3899" s="1"/>
    </row>
    <row r="3900" spans="11:11">
      <c r="K3900" s="1"/>
    </row>
    <row r="3901" spans="11:11">
      <c r="K3901" s="1"/>
    </row>
    <row r="3902" spans="11:11">
      <c r="K3902" s="1"/>
    </row>
    <row r="3903" spans="11:11">
      <c r="K3903" s="1"/>
    </row>
    <row r="3904" spans="11:11">
      <c r="K3904" s="1"/>
    </row>
    <row r="3905" spans="11:11">
      <c r="K3905" s="1"/>
    </row>
    <row r="3906" spans="11:11">
      <c r="K3906" s="1"/>
    </row>
    <row r="3907" spans="11:11">
      <c r="K3907" s="1"/>
    </row>
    <row r="3908" spans="11:11">
      <c r="K3908" s="1"/>
    </row>
    <row r="3909" spans="11:11">
      <c r="K3909" s="1"/>
    </row>
    <row r="3910" spans="11:11">
      <c r="K3910" s="1"/>
    </row>
    <row r="3911" spans="11:11">
      <c r="K3911" s="1"/>
    </row>
    <row r="3912" spans="11:11">
      <c r="K3912" s="1"/>
    </row>
    <row r="3913" spans="11:11">
      <c r="K3913" s="1"/>
    </row>
    <row r="3914" spans="11:11">
      <c r="K3914" s="1"/>
    </row>
    <row r="3915" spans="11:11">
      <c r="K3915" s="1"/>
    </row>
    <row r="3916" spans="11:11">
      <c r="K3916" s="1"/>
    </row>
    <row r="3917" spans="11:11">
      <c r="K3917" s="1"/>
    </row>
    <row r="3918" spans="11:11">
      <c r="K3918" s="1"/>
    </row>
    <row r="3919" spans="11:11">
      <c r="K3919" s="1"/>
    </row>
    <row r="3920" spans="11:11">
      <c r="K3920" s="1"/>
    </row>
    <row r="3921" spans="11:11">
      <c r="K3921" s="1"/>
    </row>
    <row r="3922" spans="11:11">
      <c r="K3922" s="1"/>
    </row>
    <row r="3923" spans="11:11">
      <c r="K3923" s="1"/>
    </row>
    <row r="3924" spans="11:11">
      <c r="K3924" s="1"/>
    </row>
    <row r="3925" spans="11:11">
      <c r="K3925" s="1"/>
    </row>
    <row r="3926" spans="11:11">
      <c r="K3926" s="1"/>
    </row>
    <row r="3927" spans="11:11">
      <c r="K3927" s="1"/>
    </row>
    <row r="3928" spans="11:11">
      <c r="K3928" s="1"/>
    </row>
    <row r="3929" spans="11:11">
      <c r="K3929" s="1"/>
    </row>
    <row r="3930" spans="11:11">
      <c r="K3930" s="1"/>
    </row>
    <row r="3931" spans="11:11">
      <c r="K3931" s="1"/>
    </row>
    <row r="3932" spans="11:11">
      <c r="K3932" s="1"/>
    </row>
    <row r="3933" spans="11:11">
      <c r="K3933" s="1"/>
    </row>
    <row r="3934" spans="11:11">
      <c r="K3934" s="1"/>
    </row>
    <row r="3935" spans="11:11">
      <c r="K3935" s="1"/>
    </row>
    <row r="3936" spans="11:11">
      <c r="K3936" s="1"/>
    </row>
    <row r="3937" spans="11:11">
      <c r="K3937" s="1"/>
    </row>
    <row r="3938" spans="11:11">
      <c r="K3938" s="1"/>
    </row>
    <row r="3939" spans="11:11">
      <c r="K3939" s="1"/>
    </row>
    <row r="3940" spans="11:11">
      <c r="K3940" s="1"/>
    </row>
    <row r="3941" spans="11:11">
      <c r="K3941" s="1"/>
    </row>
    <row r="3942" spans="11:11">
      <c r="K3942" s="1"/>
    </row>
    <row r="3943" spans="11:11">
      <c r="K3943" s="1"/>
    </row>
    <row r="3944" spans="11:11">
      <c r="K3944" s="1"/>
    </row>
    <row r="3945" spans="11:11">
      <c r="K3945" s="1"/>
    </row>
    <row r="3946" spans="11:11">
      <c r="K3946" s="1"/>
    </row>
    <row r="3947" spans="11:11">
      <c r="K3947" s="1"/>
    </row>
    <row r="3948" spans="11:11">
      <c r="K3948" s="1"/>
    </row>
    <row r="3949" spans="11:11">
      <c r="K3949" s="1"/>
    </row>
    <row r="3950" spans="11:11">
      <c r="K3950" s="1"/>
    </row>
    <row r="3951" spans="11:11">
      <c r="K3951" s="1"/>
    </row>
    <row r="3952" spans="11:11">
      <c r="K3952" s="1"/>
    </row>
    <row r="3953" spans="11:11">
      <c r="K3953" s="1"/>
    </row>
    <row r="3954" spans="11:11">
      <c r="K3954" s="1"/>
    </row>
    <row r="3955" spans="11:11">
      <c r="K3955" s="1"/>
    </row>
    <row r="3956" spans="11:11">
      <c r="K3956" s="1"/>
    </row>
    <row r="3957" spans="11:11">
      <c r="K3957" s="1"/>
    </row>
    <row r="3958" spans="11:11">
      <c r="K3958" s="1"/>
    </row>
    <row r="3959" spans="11:11">
      <c r="K3959" s="1"/>
    </row>
    <row r="3960" spans="11:11">
      <c r="K3960" s="1"/>
    </row>
    <row r="3961" spans="11:11">
      <c r="K3961" s="1"/>
    </row>
    <row r="3962" spans="11:11">
      <c r="K3962" s="1"/>
    </row>
    <row r="3963" spans="11:11">
      <c r="K3963" s="1"/>
    </row>
    <row r="3964" spans="11:11">
      <c r="K3964" s="1"/>
    </row>
    <row r="3965" spans="11:11">
      <c r="K3965" s="1"/>
    </row>
    <row r="3966" spans="11:11">
      <c r="K3966" s="1"/>
    </row>
    <row r="3967" spans="11:11">
      <c r="K3967" s="1"/>
    </row>
    <row r="3968" spans="11:11">
      <c r="K3968" s="1"/>
    </row>
    <row r="3969" spans="11:11">
      <c r="K3969" s="1"/>
    </row>
    <row r="3970" spans="11:11">
      <c r="K3970" s="1"/>
    </row>
    <row r="3971" spans="11:11">
      <c r="K3971" s="1"/>
    </row>
    <row r="3972" spans="11:11">
      <c r="K3972" s="1"/>
    </row>
    <row r="3973" spans="11:11">
      <c r="K3973" s="1"/>
    </row>
    <row r="3974" spans="11:11">
      <c r="K3974" s="1"/>
    </row>
    <row r="3975" spans="11:11">
      <c r="K3975" s="1"/>
    </row>
    <row r="3976" spans="11:11">
      <c r="K3976" s="1"/>
    </row>
    <row r="3977" spans="11:11">
      <c r="K3977" s="1"/>
    </row>
    <row r="3978" spans="11:11">
      <c r="K3978" s="1"/>
    </row>
    <row r="3979" spans="11:11">
      <c r="K3979" s="1"/>
    </row>
    <row r="3980" spans="11:11">
      <c r="K3980" s="1"/>
    </row>
    <row r="3981" spans="11:11">
      <c r="K3981" s="1"/>
    </row>
    <row r="3982" spans="11:11">
      <c r="K3982" s="1"/>
    </row>
    <row r="3983" spans="11:11">
      <c r="K3983" s="1"/>
    </row>
    <row r="3984" spans="11:11">
      <c r="K3984" s="1"/>
    </row>
    <row r="3985" spans="11:11">
      <c r="K3985" s="1"/>
    </row>
    <row r="3986" spans="11:11">
      <c r="K3986" s="1"/>
    </row>
    <row r="3987" spans="11:11">
      <c r="K3987" s="1"/>
    </row>
    <row r="3988" spans="11:11">
      <c r="K3988" s="1"/>
    </row>
    <row r="3989" spans="11:11">
      <c r="K3989" s="1"/>
    </row>
    <row r="3990" spans="11:11">
      <c r="K3990" s="1"/>
    </row>
    <row r="3991" spans="11:11">
      <c r="K3991" s="1"/>
    </row>
    <row r="3992" spans="11:11">
      <c r="K3992" s="1"/>
    </row>
    <row r="3993" spans="11:11">
      <c r="K3993" s="1"/>
    </row>
    <row r="3994" spans="11:11">
      <c r="K3994" s="1"/>
    </row>
    <row r="3995" spans="11:11">
      <c r="K3995" s="1"/>
    </row>
    <row r="3996" spans="11:11">
      <c r="K3996" s="1"/>
    </row>
    <row r="3997" spans="11:11">
      <c r="K3997" s="1"/>
    </row>
    <row r="3998" spans="11:11">
      <c r="K3998" s="1"/>
    </row>
    <row r="3999" spans="11:11">
      <c r="K3999" s="1"/>
    </row>
    <row r="4000" spans="11:11">
      <c r="K4000" s="1"/>
    </row>
    <row r="4001" spans="11:11">
      <c r="K4001" s="1"/>
    </row>
    <row r="4002" spans="11:11">
      <c r="K4002" s="1"/>
    </row>
    <row r="4003" spans="11:11">
      <c r="K4003" s="1"/>
    </row>
    <row r="4004" spans="11:11">
      <c r="K4004" s="1"/>
    </row>
    <row r="4005" spans="11:11">
      <c r="K4005" s="1"/>
    </row>
    <row r="4006" spans="11:11">
      <c r="K4006" s="1"/>
    </row>
    <row r="4007" spans="11:11">
      <c r="K4007" s="1"/>
    </row>
    <row r="4008" spans="11:11">
      <c r="K4008" s="1"/>
    </row>
    <row r="4009" spans="11:11">
      <c r="K4009" s="1"/>
    </row>
    <row r="4010" spans="11:11">
      <c r="K4010" s="1"/>
    </row>
    <row r="4011" spans="11:11">
      <c r="K4011" s="1"/>
    </row>
    <row r="4012" spans="11:11">
      <c r="K4012" s="1"/>
    </row>
    <row r="4013" spans="11:11">
      <c r="K4013" s="1"/>
    </row>
    <row r="4014" spans="11:11">
      <c r="K4014" s="1"/>
    </row>
    <row r="4015" spans="11:11">
      <c r="K4015" s="1"/>
    </row>
    <row r="4016" spans="11:11">
      <c r="K4016" s="1"/>
    </row>
    <row r="4017" spans="11:11">
      <c r="K4017" s="1"/>
    </row>
    <row r="4018" spans="11:11">
      <c r="K4018" s="1"/>
    </row>
    <row r="4019" spans="11:11">
      <c r="K4019" s="1"/>
    </row>
    <row r="4020" spans="11:11">
      <c r="K4020" s="1"/>
    </row>
    <row r="4021" spans="11:11">
      <c r="K4021" s="1"/>
    </row>
    <row r="4022" spans="11:11">
      <c r="K4022" s="1"/>
    </row>
    <row r="4023" spans="11:11">
      <c r="K4023" s="1"/>
    </row>
    <row r="4024" spans="11:11">
      <c r="K4024" s="1"/>
    </row>
    <row r="4025" spans="11:11">
      <c r="K4025" s="1"/>
    </row>
    <row r="4026" spans="11:11">
      <c r="K4026" s="1"/>
    </row>
    <row r="4027" spans="11:11">
      <c r="K4027" s="1"/>
    </row>
    <row r="4028" spans="11:11">
      <c r="K4028" s="1"/>
    </row>
    <row r="4029" spans="11:11">
      <c r="K4029" s="1"/>
    </row>
    <row r="4030" spans="11:11">
      <c r="K4030" s="1"/>
    </row>
    <row r="4031" spans="11:11">
      <c r="K4031" s="1"/>
    </row>
    <row r="4032" spans="11:11">
      <c r="K4032" s="1"/>
    </row>
    <row r="4033" spans="11:11">
      <c r="K4033" s="1"/>
    </row>
    <row r="4034" spans="11:11">
      <c r="K4034" s="1"/>
    </row>
    <row r="4035" spans="11:11">
      <c r="K4035" s="1"/>
    </row>
    <row r="4036" spans="11:11">
      <c r="K4036" s="1"/>
    </row>
    <row r="4037" spans="11:11">
      <c r="K4037" s="1"/>
    </row>
    <row r="4038" spans="11:11">
      <c r="K4038" s="1"/>
    </row>
    <row r="4039" spans="11:11">
      <c r="K4039" s="1"/>
    </row>
    <row r="4040" spans="11:11">
      <c r="K4040" s="1"/>
    </row>
    <row r="4041" spans="11:11">
      <c r="K4041" s="1"/>
    </row>
    <row r="4042" spans="11:11">
      <c r="K4042" s="1"/>
    </row>
    <row r="4043" spans="11:11">
      <c r="K4043" s="1"/>
    </row>
    <row r="4044" spans="11:11">
      <c r="K4044" s="1"/>
    </row>
    <row r="4045" spans="11:11">
      <c r="K4045" s="1"/>
    </row>
    <row r="4046" spans="11:11">
      <c r="K4046" s="1"/>
    </row>
    <row r="4047" spans="11:11">
      <c r="K4047" s="1"/>
    </row>
    <row r="4048" spans="11:11">
      <c r="K4048" s="1"/>
    </row>
    <row r="4049" spans="11:11">
      <c r="K4049" s="1"/>
    </row>
    <row r="4050" spans="11:11">
      <c r="K4050" s="1"/>
    </row>
    <row r="4051" spans="11:11">
      <c r="K4051" s="1"/>
    </row>
    <row r="4052" spans="11:11">
      <c r="K4052" s="1"/>
    </row>
    <row r="4053" spans="11:11">
      <c r="K4053" s="1"/>
    </row>
    <row r="4054" spans="11:11">
      <c r="K4054" s="1"/>
    </row>
    <row r="4055" spans="11:11">
      <c r="K4055" s="1"/>
    </row>
    <row r="4056" spans="11:11">
      <c r="K4056" s="1"/>
    </row>
    <row r="4057" spans="11:11">
      <c r="K4057" s="1"/>
    </row>
    <row r="4058" spans="11:11">
      <c r="K4058" s="1"/>
    </row>
    <row r="4059" spans="11:11">
      <c r="K4059" s="1"/>
    </row>
    <row r="4060" spans="11:11">
      <c r="K4060" s="1"/>
    </row>
    <row r="4061" spans="11:11">
      <c r="K4061" s="1"/>
    </row>
    <row r="4062" spans="11:11">
      <c r="K4062" s="1"/>
    </row>
    <row r="4063" spans="11:11">
      <c r="K4063" s="1"/>
    </row>
    <row r="4064" spans="11:11">
      <c r="K4064" s="1"/>
    </row>
    <row r="4065" spans="11:11">
      <c r="K4065" s="1"/>
    </row>
    <row r="4066" spans="11:11">
      <c r="K4066" s="1"/>
    </row>
    <row r="4067" spans="11:11">
      <c r="K4067" s="1"/>
    </row>
    <row r="4068" spans="11:11">
      <c r="K4068" s="1"/>
    </row>
    <row r="4069" spans="11:11">
      <c r="K4069" s="1"/>
    </row>
    <row r="4070" spans="11:11">
      <c r="K4070" s="1"/>
    </row>
    <row r="4071" spans="11:11">
      <c r="K4071" s="1"/>
    </row>
    <row r="4072" spans="11:11">
      <c r="K4072" s="1"/>
    </row>
    <row r="4073" spans="11:11">
      <c r="K4073" s="1"/>
    </row>
    <row r="4074" spans="11:11">
      <c r="K4074" s="1"/>
    </row>
    <row r="4075" spans="11:11">
      <c r="K4075" s="1"/>
    </row>
    <row r="4076" spans="11:11">
      <c r="K4076" s="1"/>
    </row>
    <row r="4077" spans="11:11">
      <c r="K4077" s="1"/>
    </row>
    <row r="4078" spans="11:11">
      <c r="K4078" s="1"/>
    </row>
    <row r="4079" spans="11:11">
      <c r="K4079" s="1"/>
    </row>
    <row r="4080" spans="11:11">
      <c r="K4080" s="1"/>
    </row>
    <row r="4081" spans="11:11">
      <c r="K4081" s="1"/>
    </row>
    <row r="4082" spans="11:11">
      <c r="K4082" s="1"/>
    </row>
    <row r="4083" spans="11:11">
      <c r="K4083" s="1"/>
    </row>
    <row r="4084" spans="11:11">
      <c r="K4084" s="1"/>
    </row>
    <row r="4085" spans="11:11">
      <c r="K4085" s="1"/>
    </row>
    <row r="4086" spans="11:11">
      <c r="K4086" s="1"/>
    </row>
    <row r="4087" spans="11:11">
      <c r="K4087" s="1"/>
    </row>
    <row r="4088" spans="11:11">
      <c r="K4088" s="1"/>
    </row>
    <row r="4089" spans="11:11">
      <c r="K4089" s="1"/>
    </row>
    <row r="4090" spans="11:11">
      <c r="K4090" s="1"/>
    </row>
    <row r="4091" spans="11:11">
      <c r="K4091" s="1"/>
    </row>
    <row r="4092" spans="11:11">
      <c r="K4092" s="1"/>
    </row>
    <row r="4093" spans="11:11">
      <c r="K4093" s="1"/>
    </row>
    <row r="4094" spans="11:11">
      <c r="K4094" s="1"/>
    </row>
    <row r="4095" spans="11:11">
      <c r="K4095" s="1"/>
    </row>
    <row r="4096" spans="11:11">
      <c r="K4096" s="1"/>
    </row>
    <row r="4097" spans="11:11">
      <c r="K4097" s="1"/>
    </row>
    <row r="4098" spans="11:11">
      <c r="K4098" s="1"/>
    </row>
    <row r="4099" spans="11:11">
      <c r="K4099" s="1"/>
    </row>
    <row r="4100" spans="11:11">
      <c r="K4100" s="1"/>
    </row>
    <row r="4101" spans="11:11">
      <c r="K4101" s="1"/>
    </row>
    <row r="4102" spans="11:11">
      <c r="K4102" s="1"/>
    </row>
    <row r="4103" spans="11:11">
      <c r="K4103" s="1"/>
    </row>
    <row r="4104" spans="11:11">
      <c r="K4104" s="1"/>
    </row>
    <row r="4105" spans="11:11">
      <c r="K4105" s="1"/>
    </row>
    <row r="4106" spans="11:11">
      <c r="K4106" s="1"/>
    </row>
    <row r="4107" spans="11:11">
      <c r="K4107" s="1"/>
    </row>
    <row r="4108" spans="11:11">
      <c r="K4108" s="1"/>
    </row>
    <row r="4109" spans="11:11">
      <c r="K4109" s="1"/>
    </row>
    <row r="4110" spans="11:11">
      <c r="K4110" s="1"/>
    </row>
    <row r="4111" spans="11:11">
      <c r="K4111" s="1"/>
    </row>
    <row r="4112" spans="11:11">
      <c r="K4112" s="1"/>
    </row>
    <row r="4113" spans="11:11">
      <c r="K4113" s="1"/>
    </row>
    <row r="4114" spans="11:11">
      <c r="K4114" s="1"/>
    </row>
    <row r="4115" spans="11:11">
      <c r="K4115" s="1"/>
    </row>
    <row r="4116" spans="11:11">
      <c r="K4116" s="1"/>
    </row>
    <row r="4117" spans="11:11">
      <c r="K4117" s="1"/>
    </row>
    <row r="4118" spans="11:11">
      <c r="K4118" s="1"/>
    </row>
    <row r="4119" spans="11:11">
      <c r="K4119" s="1"/>
    </row>
    <row r="4120" spans="11:11">
      <c r="K4120" s="1"/>
    </row>
    <row r="4121" spans="11:11">
      <c r="K4121" s="1"/>
    </row>
    <row r="4122" spans="11:11">
      <c r="K4122" s="1"/>
    </row>
    <row r="4123" spans="11:11">
      <c r="K4123" s="1"/>
    </row>
    <row r="4124" spans="11:11">
      <c r="K4124" s="1"/>
    </row>
    <row r="4125" spans="11:11">
      <c r="K4125" s="1"/>
    </row>
    <row r="4126" spans="11:11">
      <c r="K4126" s="1"/>
    </row>
    <row r="4127" spans="11:11">
      <c r="K4127" s="1"/>
    </row>
    <row r="4128" spans="11:11">
      <c r="K4128" s="1"/>
    </row>
    <row r="4129" spans="11:11">
      <c r="K4129" s="1"/>
    </row>
    <row r="4130" spans="11:11">
      <c r="K4130" s="1"/>
    </row>
    <row r="4131" spans="11:11">
      <c r="K4131" s="1"/>
    </row>
    <row r="4132" spans="11:11">
      <c r="K4132" s="1"/>
    </row>
    <row r="4133" spans="11:11">
      <c r="K4133" s="1"/>
    </row>
    <row r="4134" spans="11:11">
      <c r="K4134" s="1"/>
    </row>
    <row r="4135" spans="11:11">
      <c r="K4135" s="1"/>
    </row>
    <row r="4136" spans="11:11">
      <c r="K4136" s="1"/>
    </row>
    <row r="4137" spans="11:11">
      <c r="K4137" s="1"/>
    </row>
    <row r="4138" spans="11:11">
      <c r="K4138" s="1"/>
    </row>
    <row r="4139" spans="11:11">
      <c r="K4139" s="1"/>
    </row>
    <row r="4140" spans="11:11">
      <c r="K4140" s="1"/>
    </row>
    <row r="4141" spans="11:11">
      <c r="K4141" s="1"/>
    </row>
    <row r="4142" spans="11:11">
      <c r="K4142" s="1"/>
    </row>
    <row r="4143" spans="11:11">
      <c r="K4143" s="1"/>
    </row>
    <row r="4144" spans="11:11">
      <c r="K4144" s="1"/>
    </row>
    <row r="4145" spans="11:11">
      <c r="K4145" s="1"/>
    </row>
    <row r="4146" spans="11:11">
      <c r="K4146" s="1"/>
    </row>
    <row r="4147" spans="11:11">
      <c r="K4147" s="1"/>
    </row>
    <row r="4148" spans="11:11">
      <c r="K4148" s="1"/>
    </row>
    <row r="4149" spans="11:11">
      <c r="K4149" s="1"/>
    </row>
    <row r="4150" spans="11:11">
      <c r="K4150" s="1"/>
    </row>
    <row r="4151" spans="11:11">
      <c r="K4151" s="1"/>
    </row>
    <row r="4152" spans="11:11">
      <c r="K4152" s="1"/>
    </row>
    <row r="4153" spans="11:11">
      <c r="K4153" s="1"/>
    </row>
    <row r="4154" spans="11:11">
      <c r="K4154" s="1"/>
    </row>
    <row r="4155" spans="11:11">
      <c r="K4155" s="1"/>
    </row>
    <row r="4156" spans="11:11">
      <c r="K4156" s="1"/>
    </row>
    <row r="4157" spans="11:11">
      <c r="K4157" s="1"/>
    </row>
    <row r="4158" spans="11:11">
      <c r="K4158" s="1"/>
    </row>
    <row r="4159" spans="11:11">
      <c r="K4159" s="1"/>
    </row>
    <row r="4160" spans="11:11">
      <c r="K4160" s="1"/>
    </row>
    <row r="4161" spans="11:11">
      <c r="K4161" s="1"/>
    </row>
    <row r="4162" spans="11:11">
      <c r="K4162" s="1"/>
    </row>
    <row r="4163" spans="11:11">
      <c r="K4163" s="1"/>
    </row>
    <row r="4164" spans="11:11">
      <c r="K4164" s="1"/>
    </row>
    <row r="4165" spans="11:11">
      <c r="K4165" s="1"/>
    </row>
    <row r="4166" spans="11:11">
      <c r="K4166" s="1"/>
    </row>
    <row r="4167" spans="11:11">
      <c r="K4167" s="1"/>
    </row>
    <row r="4168" spans="11:11">
      <c r="K4168" s="1"/>
    </row>
    <row r="4169" spans="11:11">
      <c r="K4169" s="1"/>
    </row>
    <row r="4170" spans="11:11">
      <c r="K4170" s="1"/>
    </row>
    <row r="4171" spans="11:11">
      <c r="K4171" s="1"/>
    </row>
    <row r="4172" spans="11:11">
      <c r="K4172" s="1"/>
    </row>
    <row r="4173" spans="11:11">
      <c r="K4173" s="1"/>
    </row>
    <row r="4174" spans="11:11">
      <c r="K4174" s="1"/>
    </row>
    <row r="4175" spans="11:11">
      <c r="K4175" s="1"/>
    </row>
    <row r="4176" spans="11:11">
      <c r="K4176" s="1"/>
    </row>
    <row r="4177" spans="11:11">
      <c r="K4177" s="1"/>
    </row>
    <row r="4178" spans="11:11">
      <c r="K4178" s="1"/>
    </row>
    <row r="4179" spans="11:11">
      <c r="K4179" s="1"/>
    </row>
    <row r="4180" spans="11:11">
      <c r="K4180" s="1"/>
    </row>
    <row r="4181" spans="11:11">
      <c r="K4181" s="1"/>
    </row>
    <row r="4182" spans="11:11">
      <c r="K4182" s="1"/>
    </row>
    <row r="4183" spans="11:11">
      <c r="K4183" s="1"/>
    </row>
    <row r="4184" spans="11:11">
      <c r="K4184" s="1"/>
    </row>
    <row r="4185" spans="11:11">
      <c r="K4185" s="1"/>
    </row>
    <row r="4186" spans="11:11">
      <c r="K4186" s="1"/>
    </row>
    <row r="4187" spans="11:11">
      <c r="K4187" s="1"/>
    </row>
    <row r="4188" spans="11:11">
      <c r="K4188" s="1"/>
    </row>
    <row r="4189" spans="11:11">
      <c r="K4189" s="1"/>
    </row>
    <row r="4190" spans="11:11">
      <c r="K4190" s="1"/>
    </row>
    <row r="4191" spans="11:11">
      <c r="K4191" s="1"/>
    </row>
    <row r="4192" spans="11:11">
      <c r="K4192" s="1"/>
    </row>
    <row r="4193" spans="11:11">
      <c r="K4193" s="1"/>
    </row>
    <row r="4194" spans="11:11">
      <c r="K4194" s="1"/>
    </row>
    <row r="4195" spans="11:11">
      <c r="K4195" s="1"/>
    </row>
    <row r="4196" spans="11:11">
      <c r="K4196" s="1"/>
    </row>
    <row r="4197" spans="11:11">
      <c r="K4197" s="1"/>
    </row>
    <row r="4198" spans="11:11">
      <c r="K4198" s="1"/>
    </row>
    <row r="4199" spans="11:11">
      <c r="K4199" s="1"/>
    </row>
    <row r="4200" spans="11:11">
      <c r="K4200" s="1"/>
    </row>
    <row r="4201" spans="11:11">
      <c r="K4201" s="1"/>
    </row>
    <row r="4202" spans="11:11">
      <c r="K4202" s="1"/>
    </row>
    <row r="4203" spans="11:11">
      <c r="K4203" s="1"/>
    </row>
    <row r="4204" spans="11:11">
      <c r="K4204" s="1"/>
    </row>
    <row r="4205" spans="11:11">
      <c r="K4205" s="1"/>
    </row>
    <row r="4206" spans="11:11">
      <c r="K4206" s="1"/>
    </row>
    <row r="4207" spans="11:11">
      <c r="K4207" s="1"/>
    </row>
    <row r="4208" spans="11:11">
      <c r="K4208" s="1"/>
    </row>
    <row r="4209" spans="11:11">
      <c r="K4209" s="1"/>
    </row>
    <row r="4210" spans="11:11">
      <c r="K4210" s="1"/>
    </row>
    <row r="4211" spans="11:11">
      <c r="K4211" s="1"/>
    </row>
    <row r="4212" spans="11:11">
      <c r="K4212" s="1"/>
    </row>
    <row r="4213" spans="11:11">
      <c r="K4213" s="1"/>
    </row>
    <row r="4214" spans="11:11">
      <c r="K4214" s="1"/>
    </row>
    <row r="4215" spans="11:11">
      <c r="K4215" s="1"/>
    </row>
    <row r="4216" spans="11:11">
      <c r="K4216" s="1"/>
    </row>
    <row r="4217" spans="11:11">
      <c r="K4217" s="1"/>
    </row>
    <row r="4218" spans="11:11">
      <c r="K4218" s="1"/>
    </row>
    <row r="4219" spans="11:11">
      <c r="K4219" s="1"/>
    </row>
    <row r="4220" spans="11:11">
      <c r="K4220" s="1"/>
    </row>
    <row r="4221" spans="11:11">
      <c r="K4221" s="1"/>
    </row>
    <row r="4222" spans="11:11">
      <c r="K4222" s="1"/>
    </row>
    <row r="4223" spans="11:11">
      <c r="K4223" s="1"/>
    </row>
    <row r="4224" spans="11:11">
      <c r="K4224" s="1"/>
    </row>
    <row r="4225" spans="11:11">
      <c r="K4225" s="1"/>
    </row>
    <row r="4226" spans="11:11">
      <c r="K4226" s="1"/>
    </row>
    <row r="4227" spans="11:11">
      <c r="K4227" s="1"/>
    </row>
    <row r="4228" spans="11:11">
      <c r="K4228" s="1"/>
    </row>
    <row r="4229" spans="11:11">
      <c r="K4229" s="1"/>
    </row>
    <row r="4230" spans="11:11">
      <c r="K4230" s="1"/>
    </row>
    <row r="4231" spans="11:11">
      <c r="K4231" s="1"/>
    </row>
    <row r="4232" spans="11:11">
      <c r="K4232" s="1"/>
    </row>
    <row r="4233" spans="11:11">
      <c r="K4233" s="1"/>
    </row>
    <row r="4234" spans="11:11">
      <c r="K4234" s="1"/>
    </row>
    <row r="4235" spans="11:11">
      <c r="K4235" s="1"/>
    </row>
    <row r="4236" spans="11:11">
      <c r="K4236" s="1"/>
    </row>
    <row r="4237" spans="11:11">
      <c r="K4237" s="1"/>
    </row>
    <row r="4238" spans="11:11">
      <c r="K4238" s="1"/>
    </row>
    <row r="4239" spans="11:11">
      <c r="K4239" s="1"/>
    </row>
    <row r="4240" spans="11:11">
      <c r="K4240" s="1"/>
    </row>
    <row r="4241" spans="11:11">
      <c r="K4241" s="1"/>
    </row>
    <row r="4242" spans="11:11">
      <c r="K4242" s="1"/>
    </row>
    <row r="4243" spans="11:11">
      <c r="K4243" s="1"/>
    </row>
    <row r="4244" spans="11:11">
      <c r="K4244" s="1"/>
    </row>
    <row r="4245" spans="11:11">
      <c r="K4245" s="1"/>
    </row>
    <row r="4246" spans="11:11">
      <c r="K4246" s="1"/>
    </row>
    <row r="4247" spans="11:11">
      <c r="K4247" s="1"/>
    </row>
    <row r="4248" spans="11:11">
      <c r="K4248" s="1"/>
    </row>
    <row r="4249" spans="11:11">
      <c r="K4249" s="1"/>
    </row>
    <row r="4250" spans="11:11">
      <c r="K4250" s="1"/>
    </row>
    <row r="4251" spans="11:11">
      <c r="K4251" s="1"/>
    </row>
    <row r="4252" spans="11:11">
      <c r="K4252" s="1"/>
    </row>
    <row r="4253" spans="11:11">
      <c r="K4253" s="1"/>
    </row>
    <row r="4254" spans="11:11">
      <c r="K4254" s="1"/>
    </row>
    <row r="4255" spans="11:11">
      <c r="K4255" s="1"/>
    </row>
    <row r="4256" spans="11:11">
      <c r="K4256" s="1"/>
    </row>
    <row r="4257" spans="11:11">
      <c r="K4257" s="1"/>
    </row>
    <row r="4258" spans="11:11">
      <c r="K4258" s="1"/>
    </row>
    <row r="4259" spans="11:11">
      <c r="K4259" s="1"/>
    </row>
    <row r="4260" spans="11:11">
      <c r="K4260" s="1"/>
    </row>
    <row r="4261" spans="11:11">
      <c r="K4261" s="1"/>
    </row>
    <row r="4262" spans="11:11">
      <c r="K4262" s="1"/>
    </row>
    <row r="4263" spans="11:11">
      <c r="K4263" s="1"/>
    </row>
    <row r="4264" spans="11:11">
      <c r="K4264" s="1"/>
    </row>
    <row r="4265" spans="11:11">
      <c r="K4265" s="1"/>
    </row>
    <row r="4266" spans="11:11">
      <c r="K4266" s="1"/>
    </row>
    <row r="4267" spans="11:11">
      <c r="K4267" s="1"/>
    </row>
    <row r="4268" spans="11:11">
      <c r="K4268" s="1"/>
    </row>
    <row r="4269" spans="11:11">
      <c r="K4269" s="1"/>
    </row>
    <row r="4270" spans="11:11">
      <c r="K4270" s="1"/>
    </row>
    <row r="4271" spans="11:11">
      <c r="K4271" s="1"/>
    </row>
    <row r="4272" spans="11:11">
      <c r="K4272" s="1"/>
    </row>
    <row r="4273" spans="11:11">
      <c r="K4273" s="1"/>
    </row>
    <row r="4274" spans="11:11">
      <c r="K4274" s="1"/>
    </row>
    <row r="4275" spans="11:11">
      <c r="K4275" s="1"/>
    </row>
    <row r="4276" spans="11:11">
      <c r="K4276" s="1"/>
    </row>
    <row r="4277" spans="11:11">
      <c r="K4277" s="1"/>
    </row>
    <row r="4278" spans="11:11">
      <c r="K4278" s="1"/>
    </row>
    <row r="4279" spans="11:11">
      <c r="K4279" s="1"/>
    </row>
    <row r="4280" spans="11:11">
      <c r="K4280" s="1"/>
    </row>
    <row r="4281" spans="11:11">
      <c r="K4281" s="1"/>
    </row>
    <row r="4282" spans="11:11">
      <c r="K4282" s="1"/>
    </row>
    <row r="4283" spans="11:11">
      <c r="K4283" s="1"/>
    </row>
    <row r="4284" spans="11:11">
      <c r="K4284" s="1"/>
    </row>
    <row r="4285" spans="11:11">
      <c r="K4285" s="1"/>
    </row>
    <row r="4286" spans="11:11">
      <c r="K4286" s="1"/>
    </row>
    <row r="4287" spans="11:11">
      <c r="K4287" s="1"/>
    </row>
    <row r="4288" spans="11:11">
      <c r="K4288" s="1"/>
    </row>
    <row r="4289" spans="11:11">
      <c r="K4289" s="1"/>
    </row>
    <row r="4290" spans="11:11">
      <c r="K4290" s="1"/>
    </row>
    <row r="4291" spans="11:11">
      <c r="K4291" s="1"/>
    </row>
    <row r="4292" spans="11:11">
      <c r="K4292" s="1"/>
    </row>
    <row r="4293" spans="11:11">
      <c r="K4293" s="1"/>
    </row>
    <row r="4294" spans="11:11">
      <c r="K4294" s="1"/>
    </row>
    <row r="4295" spans="11:11">
      <c r="K4295" s="1"/>
    </row>
    <row r="4296" spans="11:11">
      <c r="K4296" s="1"/>
    </row>
    <row r="4297" spans="11:11">
      <c r="K4297" s="1"/>
    </row>
    <row r="4298" spans="11:11">
      <c r="K4298" s="1"/>
    </row>
    <row r="4299" spans="11:11">
      <c r="K4299" s="1"/>
    </row>
    <row r="4300" spans="11:11">
      <c r="K4300" s="1"/>
    </row>
    <row r="4301" spans="11:11">
      <c r="K4301" s="1"/>
    </row>
    <row r="4302" spans="11:11">
      <c r="K4302" s="1"/>
    </row>
    <row r="4303" spans="11:11">
      <c r="K4303" s="1"/>
    </row>
    <row r="4304" spans="11:11">
      <c r="K4304" s="1"/>
    </row>
    <row r="4305" spans="11:11">
      <c r="K4305" s="1"/>
    </row>
    <row r="4306" spans="11:11">
      <c r="K4306" s="1"/>
    </row>
    <row r="4307" spans="11:11">
      <c r="K4307" s="1"/>
    </row>
    <row r="4308" spans="11:11">
      <c r="K4308" s="1"/>
    </row>
    <row r="4309" spans="11:11">
      <c r="K4309" s="1"/>
    </row>
    <row r="4310" spans="11:11">
      <c r="K4310" s="1"/>
    </row>
    <row r="4311" spans="11:11">
      <c r="K4311" s="1"/>
    </row>
    <row r="4312" spans="11:11">
      <c r="K4312" s="1"/>
    </row>
    <row r="4313" spans="11:11">
      <c r="K4313" s="1"/>
    </row>
    <row r="4314" spans="11:11">
      <c r="K4314" s="1"/>
    </row>
    <row r="4315" spans="11:11">
      <c r="K4315" s="1"/>
    </row>
    <row r="4316" spans="11:11">
      <c r="K4316" s="1"/>
    </row>
    <row r="4317" spans="11:11">
      <c r="K4317" s="1"/>
    </row>
    <row r="4318" spans="11:11">
      <c r="K4318" s="1"/>
    </row>
    <row r="4319" spans="11:11">
      <c r="K4319" s="1"/>
    </row>
    <row r="4320" spans="11:11">
      <c r="K4320" s="1"/>
    </row>
    <row r="4321" spans="11:11">
      <c r="K4321" s="1"/>
    </row>
    <row r="4322" spans="11:11">
      <c r="K4322" s="1"/>
    </row>
    <row r="4323" spans="11:11">
      <c r="K4323" s="1"/>
    </row>
    <row r="4324" spans="11:11">
      <c r="K4324" s="1"/>
    </row>
    <row r="4325" spans="11:11">
      <c r="K4325" s="1"/>
    </row>
    <row r="4326" spans="11:11">
      <c r="K4326" s="1"/>
    </row>
    <row r="4327" spans="11:11">
      <c r="K4327" s="1"/>
    </row>
    <row r="4328" spans="11:11">
      <c r="K4328" s="1"/>
    </row>
    <row r="4329" spans="11:11">
      <c r="K4329" s="1"/>
    </row>
    <row r="4330" spans="11:11">
      <c r="K4330" s="1"/>
    </row>
    <row r="4331" spans="11:11">
      <c r="K4331" s="1"/>
    </row>
    <row r="4332" spans="11:11">
      <c r="K4332" s="1"/>
    </row>
    <row r="4333" spans="11:11">
      <c r="K4333" s="1"/>
    </row>
    <row r="4334" spans="11:11">
      <c r="K4334" s="1"/>
    </row>
    <row r="4335" spans="11:11">
      <c r="K4335" s="1"/>
    </row>
    <row r="4336" spans="11:11">
      <c r="K4336" s="1"/>
    </row>
    <row r="4337" spans="11:11">
      <c r="K4337" s="1"/>
    </row>
    <row r="4338" spans="11:11">
      <c r="K4338" s="1"/>
    </row>
    <row r="4339" spans="11:11">
      <c r="K4339" s="1"/>
    </row>
    <row r="4340" spans="11:11">
      <c r="K4340" s="1"/>
    </row>
    <row r="4341" spans="11:11">
      <c r="K4341" s="1"/>
    </row>
    <row r="4342" spans="11:11">
      <c r="K4342" s="1"/>
    </row>
    <row r="4343" spans="11:11">
      <c r="K4343" s="1"/>
    </row>
    <row r="4344" spans="11:11">
      <c r="K4344" s="1"/>
    </row>
    <row r="4345" spans="11:11">
      <c r="K4345" s="1"/>
    </row>
    <row r="4346" spans="11:11">
      <c r="K4346" s="1"/>
    </row>
    <row r="4347" spans="11:11">
      <c r="K4347" s="1"/>
    </row>
    <row r="4348" spans="11:11">
      <c r="K4348" s="1"/>
    </row>
    <row r="4349" spans="11:11">
      <c r="K4349" s="1"/>
    </row>
    <row r="4350" spans="11:11">
      <c r="K4350" s="1"/>
    </row>
    <row r="4351" spans="11:11">
      <c r="K4351" s="1"/>
    </row>
    <row r="4352" spans="11:11">
      <c r="K4352" s="1"/>
    </row>
    <row r="4353" spans="11:11">
      <c r="K4353" s="1"/>
    </row>
    <row r="4354" spans="11:11">
      <c r="K4354" s="1"/>
    </row>
    <row r="4355" spans="11:11">
      <c r="K4355" s="1"/>
    </row>
    <row r="4356" spans="11:11">
      <c r="K4356" s="1"/>
    </row>
    <row r="4357" spans="11:11">
      <c r="K4357" s="1"/>
    </row>
    <row r="4358" spans="11:11">
      <c r="K4358" s="1"/>
    </row>
    <row r="4359" spans="11:11">
      <c r="K4359" s="1"/>
    </row>
    <row r="4360" spans="11:11">
      <c r="K4360" s="1"/>
    </row>
    <row r="4361" spans="11:11">
      <c r="K4361" s="1"/>
    </row>
    <row r="4362" spans="11:11">
      <c r="K4362" s="1"/>
    </row>
    <row r="4363" spans="11:11">
      <c r="K4363" s="1"/>
    </row>
    <row r="4364" spans="11:11">
      <c r="K4364" s="1"/>
    </row>
    <row r="4365" spans="11:11">
      <c r="K4365" s="1"/>
    </row>
    <row r="4366" spans="11:11">
      <c r="K4366" s="1"/>
    </row>
    <row r="4367" spans="11:11">
      <c r="K4367" s="1"/>
    </row>
    <row r="4368" spans="11:11">
      <c r="K4368" s="1"/>
    </row>
    <row r="4369" spans="11:11">
      <c r="K4369" s="1"/>
    </row>
    <row r="4370" spans="11:11">
      <c r="K4370" s="1"/>
    </row>
    <row r="4371" spans="11:11">
      <c r="K4371" s="1"/>
    </row>
    <row r="4372" spans="11:11">
      <c r="K4372" s="1"/>
    </row>
    <row r="4373" spans="11:11">
      <c r="K4373" s="1"/>
    </row>
    <row r="4374" spans="11:11">
      <c r="K4374" s="1"/>
    </row>
    <row r="4375" spans="11:11">
      <c r="K4375" s="1"/>
    </row>
    <row r="4376" spans="11:11">
      <c r="K4376" s="1"/>
    </row>
    <row r="4377" spans="11:11">
      <c r="K4377" s="1"/>
    </row>
    <row r="4378" spans="11:11">
      <c r="K4378" s="1"/>
    </row>
    <row r="4379" spans="11:11">
      <c r="K4379" s="1"/>
    </row>
    <row r="4380" spans="11:11">
      <c r="K4380" s="1"/>
    </row>
    <row r="4381" spans="11:11">
      <c r="K4381" s="1"/>
    </row>
    <row r="4382" spans="11:11">
      <c r="K4382" s="1"/>
    </row>
    <row r="4383" spans="11:11">
      <c r="K4383" s="1"/>
    </row>
    <row r="4384" spans="11:11">
      <c r="K4384" s="1"/>
    </row>
    <row r="4385" spans="11:11">
      <c r="K4385" s="1"/>
    </row>
    <row r="4386" spans="11:11">
      <c r="K4386" s="1"/>
    </row>
    <row r="4387" spans="11:11">
      <c r="K4387" s="1"/>
    </row>
    <row r="4388" spans="11:11">
      <c r="K4388" s="1"/>
    </row>
    <row r="4389" spans="11:11">
      <c r="K4389" s="1"/>
    </row>
    <row r="4390" spans="11:11">
      <c r="K4390" s="1"/>
    </row>
    <row r="4391" spans="11:11">
      <c r="K4391" s="1"/>
    </row>
    <row r="4392" spans="11:11">
      <c r="K4392" s="1"/>
    </row>
    <row r="4393" spans="11:11">
      <c r="K4393" s="1"/>
    </row>
    <row r="4394" spans="11:11">
      <c r="K4394" s="1"/>
    </row>
    <row r="4395" spans="11:11">
      <c r="K4395" s="1"/>
    </row>
    <row r="4396" spans="11:11">
      <c r="K4396" s="1"/>
    </row>
    <row r="4397" spans="11:11">
      <c r="K4397" s="1"/>
    </row>
    <row r="4398" spans="11:11">
      <c r="K4398" s="1"/>
    </row>
    <row r="4399" spans="11:11">
      <c r="K4399" s="1"/>
    </row>
    <row r="4400" spans="11:11">
      <c r="K4400" s="1"/>
    </row>
    <row r="4401" spans="11:11">
      <c r="K4401" s="1"/>
    </row>
    <row r="4402" spans="11:11">
      <c r="K4402" s="1"/>
    </row>
    <row r="4403" spans="11:11">
      <c r="K4403" s="1"/>
    </row>
    <row r="4404" spans="11:11">
      <c r="K4404" s="1"/>
    </row>
    <row r="4405" spans="11:11">
      <c r="K4405" s="1"/>
    </row>
    <row r="4406" spans="11:11">
      <c r="K4406" s="1"/>
    </row>
    <row r="4407" spans="11:11">
      <c r="K4407" s="1"/>
    </row>
    <row r="4408" spans="11:11">
      <c r="K4408" s="1"/>
    </row>
    <row r="4409" spans="11:11">
      <c r="K4409" s="1"/>
    </row>
    <row r="4410" spans="11:11">
      <c r="K4410" s="1"/>
    </row>
    <row r="4411" spans="11:11">
      <c r="K4411" s="1"/>
    </row>
    <row r="4412" spans="11:11">
      <c r="K4412" s="1"/>
    </row>
    <row r="4413" spans="11:11">
      <c r="K4413" s="1"/>
    </row>
    <row r="4414" spans="11:11">
      <c r="K4414" s="1"/>
    </row>
    <row r="4415" spans="11:11">
      <c r="K4415" s="1"/>
    </row>
    <row r="4416" spans="11:11">
      <c r="K4416" s="1"/>
    </row>
    <row r="4417" spans="11:11">
      <c r="K4417" s="1"/>
    </row>
    <row r="4418" spans="11:11">
      <c r="K4418" s="1"/>
    </row>
    <row r="4419" spans="11:11">
      <c r="K4419" s="1"/>
    </row>
    <row r="4420" spans="11:11">
      <c r="K4420" s="1"/>
    </row>
    <row r="4421" spans="11:11">
      <c r="K4421" s="1"/>
    </row>
    <row r="4422" spans="11:11">
      <c r="K4422" s="1"/>
    </row>
    <row r="4423" spans="11:11">
      <c r="K4423" s="1"/>
    </row>
    <row r="4424" spans="11:11">
      <c r="K4424" s="1"/>
    </row>
    <row r="4425" spans="11:11">
      <c r="K4425" s="1"/>
    </row>
    <row r="4426" spans="11:11">
      <c r="K4426" s="1"/>
    </row>
    <row r="4427" spans="11:11">
      <c r="K4427" s="1"/>
    </row>
    <row r="4428" spans="11:11">
      <c r="K4428" s="1"/>
    </row>
    <row r="4429" spans="11:11">
      <c r="K4429" s="1"/>
    </row>
    <row r="4430" spans="11:11">
      <c r="K4430" s="1"/>
    </row>
    <row r="4431" spans="11:11">
      <c r="K4431" s="1"/>
    </row>
    <row r="4432" spans="11:11">
      <c r="K4432" s="1"/>
    </row>
    <row r="4433" spans="11:11">
      <c r="K4433" s="1"/>
    </row>
    <row r="4434" spans="11:11">
      <c r="K4434" s="1"/>
    </row>
    <row r="4435" spans="11:11">
      <c r="K4435" s="1"/>
    </row>
    <row r="4436" spans="11:11">
      <c r="K4436" s="1"/>
    </row>
    <row r="4437" spans="11:11">
      <c r="K4437" s="1"/>
    </row>
    <row r="4438" spans="11:11">
      <c r="K4438" s="1"/>
    </row>
    <row r="4439" spans="11:11">
      <c r="K4439" s="1"/>
    </row>
    <row r="4440" spans="11:11">
      <c r="K4440" s="1"/>
    </row>
    <row r="4441" spans="11:11">
      <c r="K4441" s="1"/>
    </row>
    <row r="4442" spans="11:11">
      <c r="K4442" s="1"/>
    </row>
    <row r="4443" spans="11:11">
      <c r="K4443" s="1"/>
    </row>
    <row r="4444" spans="11:11">
      <c r="K4444" s="1"/>
    </row>
  </sheetData>
  <sortState xmlns:xlrd2="http://schemas.microsoft.com/office/spreadsheetml/2017/richdata2" ref="A5:L126">
    <sortCondition ref="A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36"/>
  <sheetViews>
    <sheetView workbookViewId="0">
      <selection activeCell="O2" sqref="O2"/>
    </sheetView>
  </sheetViews>
  <sheetFormatPr defaultRowHeight="14.45"/>
  <cols>
    <col min="1" max="1" width="15.85546875" bestFit="1" customWidth="1"/>
    <col min="2" max="2" width="15.85546875" customWidth="1"/>
    <col min="3" max="4" width="6.140625" bestFit="1" customWidth="1"/>
    <col min="5" max="5" width="3" bestFit="1" customWidth="1"/>
    <col min="6" max="12" width="6.140625" bestFit="1" customWidth="1"/>
  </cols>
  <sheetData>
    <row r="1" spans="1:16">
      <c r="A1" s="1">
        <v>42341.347222222219</v>
      </c>
      <c r="B1" s="1">
        <f>A2</f>
        <v>42341.5</v>
      </c>
      <c r="C1" s="11">
        <v>0.36499999999999999</v>
      </c>
      <c r="D1" s="12">
        <f>C2</f>
        <v>0.29499999999999998</v>
      </c>
      <c r="E1">
        <v>1</v>
      </c>
    </row>
    <row r="2" spans="1:16">
      <c r="A2" s="1">
        <v>42341.5</v>
      </c>
      <c r="B2" s="1">
        <f t="shared" ref="B2:B35" si="0">A3</f>
        <v>42341.652777777781</v>
      </c>
      <c r="C2" s="11">
        <v>0.29499999999999998</v>
      </c>
      <c r="D2" s="12">
        <f t="shared" ref="D2:D35" si="1">C3</f>
        <v>0.93100000000000005</v>
      </c>
      <c r="E2">
        <v>2</v>
      </c>
      <c r="N2">
        <v>16.5</v>
      </c>
      <c r="O2">
        <f>N2*8928/2</f>
        <v>73656</v>
      </c>
      <c r="P2">
        <f>N2*3824/2</f>
        <v>31548</v>
      </c>
    </row>
    <row r="3" spans="1:16">
      <c r="A3" s="1">
        <v>42341.652777777781</v>
      </c>
      <c r="B3" s="1">
        <f t="shared" si="0"/>
        <v>42342.381944444445</v>
      </c>
      <c r="C3" s="11">
        <v>0.93100000000000005</v>
      </c>
      <c r="D3" s="12">
        <f t="shared" si="1"/>
        <v>0.71</v>
      </c>
      <c r="E3">
        <v>3</v>
      </c>
      <c r="N3">
        <v>19.95</v>
      </c>
      <c r="O3">
        <f>N3*8928/2</f>
        <v>89056.8</v>
      </c>
      <c r="P3">
        <f>N3*3824/2</f>
        <v>38144.400000000001</v>
      </c>
    </row>
    <row r="4" spans="1:16">
      <c r="A4" s="1">
        <v>42342.381944444445</v>
      </c>
      <c r="B4" s="1">
        <f t="shared" si="0"/>
        <v>42342.482638888891</v>
      </c>
      <c r="C4" s="11">
        <v>0.71</v>
      </c>
      <c r="D4" s="12">
        <f t="shared" si="1"/>
        <v>0.67100000000000004</v>
      </c>
      <c r="E4">
        <v>4</v>
      </c>
    </row>
    <row r="5" spans="1:16">
      <c r="A5" s="1">
        <v>42342.482638888891</v>
      </c>
      <c r="B5" s="1">
        <f t="shared" si="0"/>
        <v>42342.670138888891</v>
      </c>
      <c r="C5" s="11">
        <v>0.67100000000000004</v>
      </c>
      <c r="D5" s="12">
        <f t="shared" si="1"/>
        <v>0.60399999999999998</v>
      </c>
      <c r="E5">
        <v>5</v>
      </c>
    </row>
    <row r="6" spans="1:16">
      <c r="A6" s="1">
        <v>42342.670138888891</v>
      </c>
      <c r="B6" s="1">
        <f t="shared" si="0"/>
        <v>42343.590277777781</v>
      </c>
      <c r="C6" s="11">
        <v>0.60399999999999998</v>
      </c>
      <c r="D6" s="12">
        <f t="shared" si="1"/>
        <v>0.26900000000000002</v>
      </c>
      <c r="E6">
        <v>6</v>
      </c>
    </row>
    <row r="7" spans="1:16">
      <c r="A7" s="1">
        <v>42343.590277777781</v>
      </c>
      <c r="B7" s="1">
        <f t="shared" si="0"/>
        <v>42343.645138888889</v>
      </c>
      <c r="C7" s="11">
        <v>0.26900000000000002</v>
      </c>
      <c r="D7" s="12">
        <f t="shared" si="1"/>
        <v>0.90800000000000003</v>
      </c>
      <c r="E7">
        <v>7</v>
      </c>
    </row>
    <row r="8" spans="1:16">
      <c r="A8" s="1">
        <v>42343.645138888889</v>
      </c>
      <c r="B8" s="1">
        <f t="shared" si="0"/>
        <v>42344.711805555555</v>
      </c>
      <c r="C8" s="11">
        <v>0.90800000000000003</v>
      </c>
      <c r="D8" s="12">
        <f t="shared" si="1"/>
        <v>0.46300000000000002</v>
      </c>
      <c r="E8">
        <v>8</v>
      </c>
    </row>
    <row r="9" spans="1:16">
      <c r="A9" s="1">
        <v>42344.711805555555</v>
      </c>
      <c r="B9" s="1">
        <f t="shared" si="0"/>
        <v>42345.361111111109</v>
      </c>
      <c r="C9" s="11">
        <v>0.46300000000000002</v>
      </c>
      <c r="D9" s="12">
        <f t="shared" si="1"/>
        <v>0.153</v>
      </c>
      <c r="E9">
        <v>9</v>
      </c>
    </row>
    <row r="10" spans="1:16">
      <c r="A10" s="1">
        <v>42345.361111111109</v>
      </c>
      <c r="B10" s="1">
        <f t="shared" si="0"/>
        <v>42345.409722222219</v>
      </c>
      <c r="C10" s="11">
        <v>0.153</v>
      </c>
      <c r="D10" s="12">
        <f t="shared" si="1"/>
        <v>0.64500000000000002</v>
      </c>
      <c r="E10">
        <v>10</v>
      </c>
    </row>
    <row r="11" spans="1:16">
      <c r="A11" s="1">
        <v>42345.409722222219</v>
      </c>
      <c r="B11" s="1">
        <f t="shared" si="0"/>
        <v>42346.34375</v>
      </c>
      <c r="C11" s="11">
        <v>0.64500000000000002</v>
      </c>
      <c r="D11" s="12">
        <f t="shared" si="1"/>
        <v>0.24</v>
      </c>
      <c r="E11">
        <v>11</v>
      </c>
    </row>
    <row r="12" spans="1:16">
      <c r="A12" s="1">
        <v>42346.34375</v>
      </c>
      <c r="B12" s="1">
        <f t="shared" si="0"/>
        <v>42346.412499999999</v>
      </c>
      <c r="C12" s="11">
        <v>0.24</v>
      </c>
      <c r="D12" s="12">
        <f t="shared" si="1"/>
        <v>0.90400000000000003</v>
      </c>
      <c r="E12">
        <v>12</v>
      </c>
    </row>
    <row r="13" spans="1:16">
      <c r="A13" s="1">
        <v>42346.412499999999</v>
      </c>
      <c r="B13" s="1">
        <f t="shared" si="0"/>
        <v>42346.67083333333</v>
      </c>
      <c r="C13" s="11">
        <v>0.90400000000000003</v>
      </c>
      <c r="D13" s="12">
        <f t="shared" si="1"/>
        <v>0.83799999999999997</v>
      </c>
      <c r="E13">
        <v>13</v>
      </c>
    </row>
    <row r="14" spans="1:16">
      <c r="A14" s="1">
        <v>42346.67083333333</v>
      </c>
      <c r="B14" s="1">
        <f t="shared" si="0"/>
        <v>42347.364583333336</v>
      </c>
      <c r="C14" s="11">
        <v>0.83799999999999997</v>
      </c>
      <c r="D14" s="12">
        <f t="shared" si="1"/>
        <v>0.64700000000000002</v>
      </c>
      <c r="E14">
        <v>14</v>
      </c>
    </row>
    <row r="15" spans="1:16">
      <c r="A15" s="1">
        <v>42347.364583333336</v>
      </c>
      <c r="B15" s="1">
        <f t="shared" si="0"/>
        <v>42348.34375</v>
      </c>
      <c r="C15" s="11">
        <v>0.64700000000000002</v>
      </c>
      <c r="D15" s="12">
        <f t="shared" si="1"/>
        <v>0.32700000000000001</v>
      </c>
      <c r="E15">
        <v>15</v>
      </c>
    </row>
    <row r="16" spans="1:16">
      <c r="A16" s="1">
        <v>42348.34375</v>
      </c>
      <c r="B16" s="1">
        <f t="shared" si="0"/>
        <v>42348.440972222219</v>
      </c>
      <c r="C16" s="11">
        <v>0.32700000000000001</v>
      </c>
      <c r="D16" s="12">
        <f t="shared" si="1"/>
        <v>0.308</v>
      </c>
      <c r="E16">
        <v>16</v>
      </c>
    </row>
    <row r="17" spans="1:5">
      <c r="A17" s="1">
        <v>42348.440972222219</v>
      </c>
      <c r="B17" s="1">
        <f t="shared" si="0"/>
        <v>42348.614583333336</v>
      </c>
      <c r="C17" s="11">
        <v>0.308</v>
      </c>
      <c r="D17" s="12">
        <f t="shared" si="1"/>
        <v>0.78900000000000003</v>
      </c>
      <c r="E17">
        <v>17</v>
      </c>
    </row>
    <row r="18" spans="1:5" s="16" customFormat="1">
      <c r="A18" s="13">
        <v>42348.614583333336</v>
      </c>
      <c r="B18" s="13">
        <f t="shared" si="0"/>
        <v>42349.357638888891</v>
      </c>
      <c r="C18" s="14">
        <v>0.78900000000000003</v>
      </c>
      <c r="D18" s="15">
        <f t="shared" si="1"/>
        <v>0.46200000000000002</v>
      </c>
      <c r="E18" s="16">
        <v>18</v>
      </c>
    </row>
    <row r="19" spans="1:5">
      <c r="A19" s="1">
        <v>42349.357638888891</v>
      </c>
      <c r="B19" s="1">
        <f t="shared" si="0"/>
        <v>42349.625</v>
      </c>
      <c r="C19" s="11">
        <v>0.46200000000000002</v>
      </c>
      <c r="D19" s="12">
        <f t="shared" si="1"/>
        <v>0.34200000000000003</v>
      </c>
      <c r="E19">
        <v>19</v>
      </c>
    </row>
    <row r="20" spans="1:5">
      <c r="A20" s="1">
        <v>42349.625</v>
      </c>
      <c r="B20" s="1">
        <f t="shared" si="0"/>
        <v>42349.680555555555</v>
      </c>
      <c r="C20" s="11">
        <v>0.34200000000000003</v>
      </c>
      <c r="D20" s="12">
        <f t="shared" si="1"/>
        <v>0.94899999999999995</v>
      </c>
      <c r="E20">
        <v>20</v>
      </c>
    </row>
    <row r="21" spans="1:5">
      <c r="A21" s="1">
        <v>42349.680555555555</v>
      </c>
      <c r="B21" s="1">
        <f t="shared" si="0"/>
        <v>42350.569444444445</v>
      </c>
      <c r="C21" s="11">
        <v>0.94899999999999995</v>
      </c>
      <c r="D21" s="12">
        <f t="shared" si="1"/>
        <v>0.60399999999999998</v>
      </c>
      <c r="E21">
        <v>21</v>
      </c>
    </row>
    <row r="22" spans="1:5">
      <c r="A22" s="1">
        <v>42350.569444444445</v>
      </c>
      <c r="B22" s="1">
        <f t="shared" si="0"/>
        <v>42351.451388888891</v>
      </c>
      <c r="C22" s="11">
        <v>0.60399999999999998</v>
      </c>
      <c r="D22" s="12">
        <f t="shared" si="1"/>
        <v>0.19400000000000001</v>
      </c>
      <c r="E22">
        <v>22</v>
      </c>
    </row>
    <row r="23" spans="1:5">
      <c r="A23" s="1">
        <v>42351.451388888891</v>
      </c>
      <c r="B23" s="1">
        <f t="shared" si="0"/>
        <v>42351.503472222219</v>
      </c>
      <c r="C23" s="11">
        <v>0.19400000000000001</v>
      </c>
      <c r="D23" s="12">
        <f t="shared" si="1"/>
        <v>0.82299999999999995</v>
      </c>
      <c r="E23">
        <v>23</v>
      </c>
    </row>
    <row r="24" spans="1:5">
      <c r="A24" s="1">
        <v>42351.503472222219</v>
      </c>
      <c r="B24" s="1">
        <f t="shared" si="0"/>
        <v>42352.368055555555</v>
      </c>
      <c r="C24" s="11">
        <v>0.82299999999999995</v>
      </c>
      <c r="D24" s="12">
        <f t="shared" si="1"/>
        <v>0.48299999999999998</v>
      </c>
      <c r="E24">
        <v>24</v>
      </c>
    </row>
    <row r="25" spans="1:5">
      <c r="A25" s="1">
        <v>42352.368055555555</v>
      </c>
      <c r="B25" s="1">
        <f t="shared" si="0"/>
        <v>42352.465277777781</v>
      </c>
      <c r="C25" s="11">
        <v>0.48299999999999998</v>
      </c>
      <c r="D25" s="12">
        <f t="shared" si="1"/>
        <v>0.437</v>
      </c>
      <c r="E25">
        <v>25</v>
      </c>
    </row>
    <row r="26" spans="1:5">
      <c r="A26" s="1">
        <v>42352.465277777781</v>
      </c>
      <c r="B26" s="1">
        <f t="shared" si="0"/>
        <v>42352.625</v>
      </c>
      <c r="C26" s="11">
        <v>0.437</v>
      </c>
      <c r="D26" s="12">
        <f t="shared" si="1"/>
        <v>0.36599999999999999</v>
      </c>
      <c r="E26">
        <v>26</v>
      </c>
    </row>
    <row r="27" spans="1:5">
      <c r="A27" s="1">
        <v>42352.625</v>
      </c>
      <c r="B27" s="1">
        <f t="shared" si="0"/>
        <v>42352.688888888886</v>
      </c>
      <c r="C27" s="11">
        <v>0.36599999999999999</v>
      </c>
      <c r="D27" s="12">
        <f t="shared" si="1"/>
        <v>0.91100000000000003</v>
      </c>
      <c r="E27">
        <v>27</v>
      </c>
    </row>
    <row r="28" spans="1:5">
      <c r="A28" s="1">
        <v>42352.688888888886</v>
      </c>
      <c r="B28" s="1">
        <f t="shared" si="0"/>
        <v>42353.368055555555</v>
      </c>
      <c r="C28" s="11">
        <v>0.91100000000000003</v>
      </c>
      <c r="D28" s="12">
        <f t="shared" si="1"/>
        <v>0.66400000000000003</v>
      </c>
      <c r="E28">
        <v>28</v>
      </c>
    </row>
    <row r="29" spans="1:5">
      <c r="A29" s="1">
        <v>42353.368055555555</v>
      </c>
      <c r="B29" s="1">
        <f t="shared" si="0"/>
        <v>42353.677083333336</v>
      </c>
      <c r="C29" s="11">
        <v>0.66400000000000003</v>
      </c>
      <c r="D29" s="12">
        <f t="shared" si="1"/>
        <v>0.53</v>
      </c>
      <c r="E29">
        <v>29</v>
      </c>
    </row>
    <row r="30" spans="1:5">
      <c r="A30" s="1">
        <v>42353.677083333336</v>
      </c>
      <c r="B30" s="1">
        <f t="shared" si="0"/>
        <v>42354.357638888891</v>
      </c>
      <c r="C30" s="11">
        <v>0.53</v>
      </c>
      <c r="D30" s="12">
        <f t="shared" si="1"/>
        <v>0.21099999999999999</v>
      </c>
      <c r="E30">
        <v>30</v>
      </c>
    </row>
    <row r="31" spans="1:5">
      <c r="A31" s="1">
        <v>42354.357638888891</v>
      </c>
      <c r="B31" s="1">
        <f t="shared" si="0"/>
        <v>42354.418749999997</v>
      </c>
      <c r="C31" s="11">
        <v>0.21099999999999999</v>
      </c>
      <c r="D31" s="12">
        <f t="shared" si="1"/>
        <v>0.88</v>
      </c>
      <c r="E31">
        <v>31</v>
      </c>
    </row>
    <row r="32" spans="1:5">
      <c r="A32" s="1">
        <v>42354.418749999997</v>
      </c>
      <c r="B32" s="1">
        <f t="shared" si="0"/>
        <v>42355.361111111109</v>
      </c>
      <c r="C32" s="11">
        <v>0.88</v>
      </c>
      <c r="D32" s="12">
        <f t="shared" si="1"/>
        <v>0.51300000000000001</v>
      </c>
      <c r="E32">
        <v>32</v>
      </c>
    </row>
    <row r="33" spans="1:5">
      <c r="A33" s="1">
        <v>42355.361111111109</v>
      </c>
      <c r="B33" s="1">
        <f t="shared" si="0"/>
        <v>42355.631944444445</v>
      </c>
      <c r="C33" s="11">
        <v>0.51300000000000001</v>
      </c>
      <c r="D33" s="12">
        <f t="shared" si="1"/>
        <v>0.39300000000000002</v>
      </c>
      <c r="E33">
        <v>33</v>
      </c>
    </row>
    <row r="34" spans="1:5">
      <c r="A34" s="1">
        <v>42355.631944444445</v>
      </c>
      <c r="B34" s="1">
        <f t="shared" si="0"/>
        <v>42355.719444444447</v>
      </c>
      <c r="C34" s="11">
        <v>0.39300000000000002</v>
      </c>
      <c r="D34" s="12">
        <f t="shared" si="1"/>
        <v>0.35199999999999998</v>
      </c>
      <c r="E34">
        <v>34</v>
      </c>
    </row>
    <row r="35" spans="1:5">
      <c r="A35" s="1">
        <v>42355.719444444447</v>
      </c>
      <c r="B35" s="1">
        <f t="shared" si="0"/>
        <v>42356.375</v>
      </c>
      <c r="C35" s="11">
        <v>0.35199999999999998</v>
      </c>
      <c r="D35" s="12">
        <f t="shared" si="1"/>
        <v>0.06</v>
      </c>
      <c r="E35">
        <v>35</v>
      </c>
    </row>
    <row r="36" spans="1:5">
      <c r="A36" s="1">
        <v>42356.375</v>
      </c>
      <c r="B36" s="1"/>
      <c r="C36" s="11">
        <v>0.06</v>
      </c>
      <c r="E36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4550"/>
  <sheetViews>
    <sheetView zoomScaleNormal="100" workbookViewId="0">
      <pane ySplit="2" topLeftCell="A693" activePane="bottomLeft" state="frozen"/>
      <selection pane="bottomLeft" activeCell="K711" sqref="K711"/>
      <selection activeCell="M21" sqref="M21"/>
    </sheetView>
  </sheetViews>
  <sheetFormatPr defaultColWidth="9" defaultRowHeight="15" thickBottom="1"/>
  <cols>
    <col min="1" max="1" width="16.140625" customWidth="1"/>
    <col min="2" max="2" width="5.85546875" customWidth="1"/>
    <col min="3" max="3" width="5.42578125" customWidth="1"/>
    <col min="4" max="4" width="6.42578125" customWidth="1"/>
    <col min="5" max="5" width="5.5703125" customWidth="1"/>
    <col min="6" max="6" width="4.85546875" customWidth="1"/>
    <col min="7" max="7" width="11.42578125" customWidth="1"/>
    <col min="8" max="8" width="19.5703125" style="42" customWidth="1"/>
    <col min="9" max="9" width="7.7109375" customWidth="1"/>
    <col min="10" max="10" width="15" customWidth="1"/>
    <col min="11" max="11" width="11.5703125" customWidth="1"/>
    <col min="12" max="12" width="14.28515625" customWidth="1"/>
    <col min="13" max="13" width="36.140625" customWidth="1"/>
    <col min="14" max="14" width="11.140625" style="12" bestFit="1" customWidth="1"/>
    <col min="15" max="15" width="9" style="12"/>
    <col min="16" max="16" width="14.140625" style="1" bestFit="1" customWidth="1"/>
    <col min="17" max="17" width="7.5703125" style="12" customWidth="1"/>
    <col min="18" max="18" width="5.7109375" style="12" bestFit="1" customWidth="1"/>
    <col min="19" max="19" width="14.28515625" style="1" bestFit="1" customWidth="1"/>
    <col min="20" max="20" width="7.85546875" bestFit="1" customWidth="1"/>
    <col min="21" max="21" width="4" bestFit="1" customWidth="1"/>
    <col min="22" max="22" width="4" customWidth="1"/>
    <col min="23" max="23" width="6" bestFit="1" customWidth="1"/>
    <col min="24" max="24" width="6" customWidth="1"/>
  </cols>
  <sheetData>
    <row r="1" spans="1:40" ht="14.45"/>
    <row r="2" spans="1:40" ht="55.9" thickBot="1">
      <c r="A2" s="27" t="s">
        <v>198</v>
      </c>
      <c r="B2" s="27" t="s">
        <v>199</v>
      </c>
      <c r="C2" s="27" t="s">
        <v>200</v>
      </c>
      <c r="D2" s="27" t="s">
        <v>201</v>
      </c>
      <c r="E2" s="27" t="s">
        <v>202</v>
      </c>
      <c r="F2" s="27" t="s">
        <v>203</v>
      </c>
      <c r="G2" s="27" t="s">
        <v>204</v>
      </c>
      <c r="H2" s="27" t="s">
        <v>205</v>
      </c>
      <c r="I2" s="27" t="s">
        <v>206</v>
      </c>
      <c r="J2" s="37" t="s">
        <v>12</v>
      </c>
      <c r="K2" s="37" t="s">
        <v>207</v>
      </c>
      <c r="L2" s="37" t="s">
        <v>10</v>
      </c>
      <c r="M2" s="37" t="s">
        <v>13</v>
      </c>
      <c r="N2" s="38" t="s">
        <v>14</v>
      </c>
      <c r="O2" s="38" t="s">
        <v>208</v>
      </c>
      <c r="P2" s="38" t="s">
        <v>209</v>
      </c>
      <c r="Q2" s="38" t="s">
        <v>210</v>
      </c>
      <c r="R2" s="38" t="s">
        <v>211</v>
      </c>
      <c r="S2" s="38" t="s">
        <v>212</v>
      </c>
      <c r="AD2" t="s">
        <v>213</v>
      </c>
    </row>
    <row r="3" spans="1:40" thickBot="1">
      <c r="A3" s="29" t="s">
        <v>214</v>
      </c>
      <c r="B3" s="30" t="s">
        <v>17</v>
      </c>
      <c r="C3" s="30">
        <v>56</v>
      </c>
      <c r="D3" s="30" t="s">
        <v>41</v>
      </c>
      <c r="E3" s="30">
        <v>1000</v>
      </c>
      <c r="F3" s="30">
        <v>31</v>
      </c>
      <c r="G3" s="30" t="s">
        <v>65</v>
      </c>
      <c r="H3" s="42" t="s">
        <v>215</v>
      </c>
      <c r="I3" s="30" t="s">
        <v>20</v>
      </c>
      <c r="J3" s="40" t="s">
        <v>75</v>
      </c>
      <c r="K3" s="44" t="str">
        <f>IF(AND(N3&lt;0.7,N3&gt;0.2),"lev OK","lev BAD")</f>
        <v>lev OK</v>
      </c>
      <c r="L3" s="1">
        <f>DATE(2000+MID(A3,3,2),MID(A3,5,2),MID(A3,7,2))+TIME(MID(A3,10,2),MID(A3,12,2),0)</f>
        <v>42373.632638888892</v>
      </c>
      <c r="M3" s="43" t="s">
        <v>216</v>
      </c>
      <c r="N3" s="11">
        <f>O3-(L3-P3)*24*Q3</f>
        <v>0.65486417910349526</v>
      </c>
      <c r="O3" s="11">
        <v>0.71399999999999997</v>
      </c>
      <c r="P3" s="1">
        <v>42373.4375</v>
      </c>
      <c r="Q3" s="11">
        <f>(O3-R3)/(S3-P3)/24</f>
        <v>1.262686567165276E-2</v>
      </c>
      <c r="R3" s="11">
        <v>0.432</v>
      </c>
      <c r="S3" s="1">
        <v>42374.368055555555</v>
      </c>
      <c r="T3" s="11"/>
      <c r="AC3" s="39">
        <v>1.57142E-10</v>
      </c>
      <c r="AD3" s="39">
        <v>1.2096500000000001E-10</v>
      </c>
      <c r="AE3" s="39">
        <v>1.34184E-10</v>
      </c>
      <c r="AF3" s="39">
        <v>9.8608499999999996E-11</v>
      </c>
      <c r="AG3" s="39">
        <v>1.64078E-10</v>
      </c>
      <c r="AH3" s="39">
        <v>1.7320999999999999E-10</v>
      </c>
      <c r="AI3" s="39">
        <v>8.0018100000000001E-11</v>
      </c>
      <c r="AJ3" s="39">
        <v>1.7857600000000001E-10</v>
      </c>
      <c r="AK3" s="39">
        <v>8.4008999999999994E-11</v>
      </c>
      <c r="AL3" s="39">
        <v>1.5692999999999999E-10</v>
      </c>
      <c r="AM3" s="39">
        <v>1.4337299999999999E-10</v>
      </c>
      <c r="AN3" s="39">
        <v>1.7366400000000001E-10</v>
      </c>
    </row>
    <row r="4" spans="1:40" thickBot="1">
      <c r="A4" s="29" t="s">
        <v>217</v>
      </c>
      <c r="B4" s="30" t="s">
        <v>17</v>
      </c>
      <c r="C4" s="30">
        <v>56</v>
      </c>
      <c r="D4" s="30" t="s">
        <v>41</v>
      </c>
      <c r="E4" s="30">
        <v>1000</v>
      </c>
      <c r="F4" s="30">
        <v>31</v>
      </c>
      <c r="G4" s="30" t="s">
        <v>65</v>
      </c>
      <c r="H4" s="42" t="s">
        <v>218</v>
      </c>
      <c r="I4" s="30" t="s">
        <v>20</v>
      </c>
      <c r="J4" s="40" t="s">
        <v>75</v>
      </c>
      <c r="K4" s="44" t="str">
        <f t="shared" ref="K4:K67" si="0">IF(AND(N4&lt;0.7,N4&gt;0.2),"lev OK","lev BAD")</f>
        <v>lev OK</v>
      </c>
      <c r="L4" s="1">
        <f t="shared" ref="L4:L67" si="1">DATE(2000+MID(A4,3,2),MID(A4,5,2),MID(A4,7,2))+TIME(MID(A4,10,2),MID(A4,12,2),0)</f>
        <v>42373.676388888889</v>
      </c>
      <c r="M4" s="43" t="s">
        <v>216</v>
      </c>
      <c r="N4" s="11">
        <f t="shared" ref="N4:N67" si="2">O4-(L4-P4)*24*Q4</f>
        <v>0.64160597014914178</v>
      </c>
      <c r="O4" s="11">
        <v>0.71399999999999997</v>
      </c>
      <c r="P4" s="1">
        <v>42373.4375</v>
      </c>
      <c r="Q4" s="11">
        <f>Q3</f>
        <v>1.262686567165276E-2</v>
      </c>
      <c r="R4" s="11"/>
      <c r="AC4" s="39">
        <v>1.1017300000000001E-10</v>
      </c>
      <c r="AD4" s="39">
        <v>7.9516899999999995E-11</v>
      </c>
      <c r="AE4" s="39">
        <v>9.4536899999999998E-11</v>
      </c>
      <c r="AF4" s="39">
        <v>6.8059900000000002E-11</v>
      </c>
      <c r="AG4" s="39">
        <v>1.05499E-10</v>
      </c>
      <c r="AH4" s="39">
        <v>1.02812E-10</v>
      </c>
      <c r="AI4" s="39">
        <v>5.68269E-11</v>
      </c>
      <c r="AJ4" s="39">
        <v>1.2336E-10</v>
      </c>
      <c r="AK4" s="39">
        <v>7.17762E-11</v>
      </c>
      <c r="AL4" s="39">
        <v>1.07485E-10</v>
      </c>
      <c r="AM4" s="39">
        <v>9.85408E-11</v>
      </c>
      <c r="AN4" s="39">
        <v>7.2573500000000005E-11</v>
      </c>
    </row>
    <row r="5" spans="1:40" thickBot="1">
      <c r="A5" s="29" t="s">
        <v>219</v>
      </c>
      <c r="B5" s="30" t="s">
        <v>17</v>
      </c>
      <c r="C5" s="30">
        <v>56</v>
      </c>
      <c r="D5" s="30" t="s">
        <v>41</v>
      </c>
      <c r="E5" s="30">
        <v>1000</v>
      </c>
      <c r="F5" s="30">
        <v>31</v>
      </c>
      <c r="G5" s="30" t="s">
        <v>65</v>
      </c>
      <c r="H5" s="42" t="s">
        <v>220</v>
      </c>
      <c r="I5" s="30" t="s">
        <v>20</v>
      </c>
      <c r="J5" s="40" t="s">
        <v>75</v>
      </c>
      <c r="K5" s="44" t="str">
        <f t="shared" si="0"/>
        <v>lev OK</v>
      </c>
      <c r="L5" s="1">
        <f t="shared" si="1"/>
        <v>42373.726388888892</v>
      </c>
      <c r="M5" s="43" t="s">
        <v>221</v>
      </c>
      <c r="N5" s="11">
        <f t="shared" si="2"/>
        <v>0.62645373134227655</v>
      </c>
      <c r="O5" s="11">
        <v>0.71399999999999997</v>
      </c>
      <c r="P5" s="1">
        <v>42373.4375</v>
      </c>
      <c r="Q5" s="11">
        <f t="shared" ref="Q5:Q18" si="3">Q4</f>
        <v>1.262686567165276E-2</v>
      </c>
      <c r="R5" s="11"/>
      <c r="AC5" s="39">
        <v>7.9743099999999994E-11</v>
      </c>
      <c r="AD5" s="39">
        <v>5.9641199999999995E-11</v>
      </c>
      <c r="AE5" s="39">
        <v>6.9484700000000001E-11</v>
      </c>
      <c r="AF5" s="39">
        <v>4.9464900000000001E-11</v>
      </c>
      <c r="AG5" s="39">
        <v>9.2613999999999999E-11</v>
      </c>
      <c r="AH5" s="39">
        <v>7.9800399999999997E-11</v>
      </c>
      <c r="AI5" s="39">
        <v>4.2824899999999999E-11</v>
      </c>
      <c r="AJ5" s="39">
        <v>9.5126900000000006E-11</v>
      </c>
      <c r="AK5" s="39">
        <v>4.4231799999999997E-11</v>
      </c>
      <c r="AL5" s="39">
        <v>7.7346500000000005E-11</v>
      </c>
      <c r="AM5" s="39">
        <v>7.4241000000000002E-11</v>
      </c>
      <c r="AN5" s="39">
        <v>5.6836299999999998E-11</v>
      </c>
    </row>
    <row r="6" spans="1:40" thickBot="1">
      <c r="A6" s="29" t="s">
        <v>222</v>
      </c>
      <c r="B6" s="30" t="s">
        <v>17</v>
      </c>
      <c r="C6" s="30">
        <v>56</v>
      </c>
      <c r="D6" s="30" t="s">
        <v>41</v>
      </c>
      <c r="E6" s="30">
        <v>1000</v>
      </c>
      <c r="F6" s="30">
        <v>31</v>
      </c>
      <c r="G6" s="30" t="s">
        <v>65</v>
      </c>
      <c r="H6" s="42" t="s">
        <v>220</v>
      </c>
      <c r="I6" s="30" t="s">
        <v>20</v>
      </c>
      <c r="J6" s="40" t="s">
        <v>75</v>
      </c>
      <c r="K6" s="44" t="str">
        <f t="shared" si="0"/>
        <v>lev OK</v>
      </c>
      <c r="L6" s="1">
        <f t="shared" si="1"/>
        <v>42373.765277777777</v>
      </c>
      <c r="M6" s="43" t="s">
        <v>221</v>
      </c>
      <c r="N6" s="11">
        <f t="shared" si="2"/>
        <v>0.61466865671667459</v>
      </c>
      <c r="O6" s="11">
        <v>0.71399999999999997</v>
      </c>
      <c r="P6" s="1">
        <v>42373.4375</v>
      </c>
      <c r="Q6" s="11">
        <f t="shared" si="3"/>
        <v>1.262686567165276E-2</v>
      </c>
      <c r="R6" s="11"/>
      <c r="AC6" s="39">
        <v>8.0000699999999999E-11</v>
      </c>
      <c r="AD6" s="39">
        <v>6.5251900000000006E-11</v>
      </c>
      <c r="AE6" s="39">
        <v>8.0356799999999995E-11</v>
      </c>
      <c r="AF6" s="39">
        <v>4.92034E-11</v>
      </c>
      <c r="AG6" s="39">
        <v>8.7526999999999994E-11</v>
      </c>
      <c r="AH6" s="39">
        <v>7.3317500000000003E-11</v>
      </c>
      <c r="AI6" s="39">
        <v>4.4470899999999999E-11</v>
      </c>
      <c r="AJ6" s="39">
        <v>9.6728299999999999E-11</v>
      </c>
      <c r="AK6" s="39">
        <v>4.4808299999999999E-11</v>
      </c>
      <c r="AL6" s="39">
        <v>8.4855900000000003E-11</v>
      </c>
      <c r="AM6" s="39">
        <v>7.3609899999999999E-11</v>
      </c>
      <c r="AN6" s="39">
        <v>5.5896499999999998E-11</v>
      </c>
    </row>
    <row r="7" spans="1:40" thickBot="1">
      <c r="A7" s="29" t="s">
        <v>223</v>
      </c>
      <c r="B7" s="30" t="s">
        <v>17</v>
      </c>
      <c r="C7" s="30">
        <v>56</v>
      </c>
      <c r="D7" s="30" t="s">
        <v>41</v>
      </c>
      <c r="E7" s="30">
        <v>1000</v>
      </c>
      <c r="F7" s="30">
        <v>31</v>
      </c>
      <c r="G7" s="30" t="s">
        <v>65</v>
      </c>
      <c r="H7" s="42" t="s">
        <v>220</v>
      </c>
      <c r="I7" s="30" t="s">
        <v>20</v>
      </c>
      <c r="J7" s="40" t="s">
        <v>75</v>
      </c>
      <c r="K7" s="44" t="str">
        <f t="shared" si="0"/>
        <v>lev OK</v>
      </c>
      <c r="L7" s="1">
        <f t="shared" si="1"/>
        <v>42373.804861111108</v>
      </c>
      <c r="M7" s="43" t="s">
        <v>221</v>
      </c>
      <c r="N7" s="11">
        <f t="shared" si="2"/>
        <v>0.60267313432919245</v>
      </c>
      <c r="O7" s="11">
        <v>0.71399999999999997</v>
      </c>
      <c r="P7" s="1">
        <v>42373.4375</v>
      </c>
      <c r="Q7" s="11">
        <f t="shared" si="3"/>
        <v>1.262686567165276E-2</v>
      </c>
      <c r="R7" s="11"/>
      <c r="AC7" s="39">
        <v>6.2179000000000003E-11</v>
      </c>
      <c r="AD7" s="39">
        <v>4.8681100000000002E-11</v>
      </c>
      <c r="AE7" s="39">
        <v>5.4853500000000001E-11</v>
      </c>
      <c r="AF7" s="39">
        <v>3.90895E-11</v>
      </c>
      <c r="AG7" s="39">
        <v>7.4104600000000001E-11</v>
      </c>
      <c r="AH7" s="39">
        <v>6.0485700000000002E-11</v>
      </c>
      <c r="AI7" s="39">
        <v>3.62911E-11</v>
      </c>
      <c r="AJ7" s="39">
        <v>7.6815199999999994E-11</v>
      </c>
      <c r="AK7" s="39">
        <v>3.6906400000000001E-11</v>
      </c>
      <c r="AL7" s="39">
        <v>7.0293500000000001E-11</v>
      </c>
      <c r="AM7" s="39">
        <v>5.7309299999999997E-11</v>
      </c>
      <c r="AN7" s="39">
        <v>4.8484900000000002E-11</v>
      </c>
    </row>
    <row r="8" spans="1:40" thickBot="1">
      <c r="A8" s="29" t="s">
        <v>224</v>
      </c>
      <c r="B8" s="30" t="s">
        <v>17</v>
      </c>
      <c r="C8" s="30">
        <v>56</v>
      </c>
      <c r="D8" s="30" t="s">
        <v>41</v>
      </c>
      <c r="E8" s="30">
        <v>1000</v>
      </c>
      <c r="F8" s="30">
        <v>31</v>
      </c>
      <c r="G8" s="30" t="s">
        <v>65</v>
      </c>
      <c r="H8" s="42" t="s">
        <v>220</v>
      </c>
      <c r="I8" s="30" t="s">
        <v>20</v>
      </c>
      <c r="J8" s="40" t="s">
        <v>75</v>
      </c>
      <c r="K8" s="44" t="str">
        <f t="shared" si="0"/>
        <v>lev OK</v>
      </c>
      <c r="L8" s="1">
        <f t="shared" si="1"/>
        <v>42373.844444444447</v>
      </c>
      <c r="M8" s="43" t="s">
        <v>221</v>
      </c>
      <c r="N8" s="11">
        <f t="shared" si="2"/>
        <v>0.59067761193950541</v>
      </c>
      <c r="O8" s="11">
        <v>0.71399999999999997</v>
      </c>
      <c r="P8" s="1">
        <v>42373.4375</v>
      </c>
      <c r="Q8" s="11">
        <f t="shared" si="3"/>
        <v>1.262686567165276E-2</v>
      </c>
      <c r="R8" s="11"/>
      <c r="AC8" s="39">
        <v>9.5991499999999996E-11</v>
      </c>
      <c r="AD8" s="39">
        <v>7.4731400000000004E-11</v>
      </c>
      <c r="AE8" s="39">
        <v>8.6090500000000001E-11</v>
      </c>
      <c r="AF8" s="39">
        <v>6.0624299999999994E-11</v>
      </c>
      <c r="AG8" s="39">
        <v>1.0288100000000001E-10</v>
      </c>
      <c r="AH8" s="39">
        <v>8.9496000000000006E-11</v>
      </c>
      <c r="AI8" s="39">
        <v>5.2685200000000003E-11</v>
      </c>
      <c r="AJ8" s="39">
        <v>1.19557E-10</v>
      </c>
      <c r="AK8" s="39">
        <v>5.1272700000000002E-11</v>
      </c>
      <c r="AL8" s="39">
        <v>9.70152E-11</v>
      </c>
      <c r="AM8" s="39">
        <v>8.8991000000000003E-11</v>
      </c>
      <c r="AN8" s="39">
        <v>6.7835400000000002E-11</v>
      </c>
    </row>
    <row r="9" spans="1:40" thickBot="1">
      <c r="A9" s="29" t="s">
        <v>225</v>
      </c>
      <c r="B9" s="30" t="s">
        <v>17</v>
      </c>
      <c r="C9" s="30">
        <v>56</v>
      </c>
      <c r="D9" s="30" t="s">
        <v>41</v>
      </c>
      <c r="E9" s="30">
        <v>1000</v>
      </c>
      <c r="F9" s="30">
        <v>31</v>
      </c>
      <c r="G9" s="30" t="s">
        <v>65</v>
      </c>
      <c r="H9" s="42" t="s">
        <v>220</v>
      </c>
      <c r="I9" s="30" t="s">
        <v>20</v>
      </c>
      <c r="J9" s="40" t="s">
        <v>75</v>
      </c>
      <c r="K9" s="44" t="str">
        <f t="shared" si="0"/>
        <v>lev OK</v>
      </c>
      <c r="L9" s="1">
        <f t="shared" si="1"/>
        <v>42373.883333333331</v>
      </c>
      <c r="M9" s="43" t="s">
        <v>221</v>
      </c>
      <c r="N9" s="11">
        <f t="shared" si="2"/>
        <v>0.57889253731390344</v>
      </c>
      <c r="O9" s="11">
        <v>0.71399999999999997</v>
      </c>
      <c r="P9" s="1">
        <v>42373.4375</v>
      </c>
      <c r="Q9" s="11">
        <f t="shared" si="3"/>
        <v>1.262686567165276E-2</v>
      </c>
      <c r="R9" s="11"/>
      <c r="AC9" s="39">
        <v>6.7488300000000005E-11</v>
      </c>
      <c r="AD9" s="39">
        <v>5.1577099999999998E-11</v>
      </c>
      <c r="AE9" s="39">
        <v>6.4616100000000003E-11</v>
      </c>
      <c r="AF9" s="39">
        <v>4.4320999999999997E-11</v>
      </c>
      <c r="AG9" s="39">
        <v>7.7798099999999994E-11</v>
      </c>
      <c r="AH9" s="39">
        <v>7.0470099999999996E-11</v>
      </c>
      <c r="AI9" s="39">
        <v>3.8240999999999998E-11</v>
      </c>
      <c r="AJ9" s="39">
        <v>8.7910300000000002E-11</v>
      </c>
      <c r="AK9" s="39">
        <v>4.1539200000000003E-11</v>
      </c>
      <c r="AL9" s="39">
        <v>7.3191000000000003E-11</v>
      </c>
      <c r="AM9" s="39">
        <v>6.4882699999999995E-11</v>
      </c>
      <c r="AN9" s="39">
        <v>5.3742500000000002E-11</v>
      </c>
    </row>
    <row r="10" spans="1:40" thickBot="1">
      <c r="A10" s="29" t="s">
        <v>226</v>
      </c>
      <c r="B10" s="30" t="s">
        <v>17</v>
      </c>
      <c r="C10" s="30">
        <v>56</v>
      </c>
      <c r="D10" s="30" t="s">
        <v>41</v>
      </c>
      <c r="E10" s="30">
        <v>1000</v>
      </c>
      <c r="F10" s="30">
        <v>31</v>
      </c>
      <c r="G10" s="30" t="s">
        <v>65</v>
      </c>
      <c r="H10" s="42" t="s">
        <v>220</v>
      </c>
      <c r="I10" s="30" t="s">
        <v>20</v>
      </c>
      <c r="J10" s="40" t="s">
        <v>75</v>
      </c>
      <c r="K10" s="44" t="str">
        <f t="shared" si="0"/>
        <v>lev OK</v>
      </c>
      <c r="L10" s="1">
        <f t="shared" si="1"/>
        <v>42373.92291666667</v>
      </c>
      <c r="M10" s="43" t="s">
        <v>221</v>
      </c>
      <c r="N10" s="11">
        <f t="shared" si="2"/>
        <v>0.56689701492421629</v>
      </c>
      <c r="O10" s="11">
        <v>0.71399999999999997</v>
      </c>
      <c r="P10" s="1">
        <v>42373.4375</v>
      </c>
      <c r="Q10" s="11">
        <f t="shared" si="3"/>
        <v>1.262686567165276E-2</v>
      </c>
      <c r="R10" s="11"/>
      <c r="AC10" s="39">
        <v>6.0648300000000006E-11</v>
      </c>
      <c r="AD10" s="39">
        <v>4.5873500000000003E-11</v>
      </c>
      <c r="AE10" s="39">
        <v>5.6704600000000001E-11</v>
      </c>
      <c r="AF10" s="39">
        <v>3.8931500000000001E-11</v>
      </c>
      <c r="AG10" s="39">
        <v>7.4728000000000006E-11</v>
      </c>
      <c r="AH10" s="39">
        <v>6.4209899999999998E-11</v>
      </c>
      <c r="AI10" s="39">
        <v>3.6225200000000002E-11</v>
      </c>
      <c r="AJ10" s="39">
        <v>7.5232900000000002E-11</v>
      </c>
      <c r="AK10" s="39">
        <v>3.9932999999999998E-11</v>
      </c>
      <c r="AL10" s="39">
        <v>6.4925399999999996E-11</v>
      </c>
      <c r="AM10" s="39">
        <v>5.8147399999999999E-11</v>
      </c>
      <c r="AN10" s="39">
        <v>4.9382099999999999E-11</v>
      </c>
    </row>
    <row r="11" spans="1:40" thickBot="1">
      <c r="A11" s="29" t="s">
        <v>227</v>
      </c>
      <c r="B11" s="30" t="s">
        <v>17</v>
      </c>
      <c r="C11" s="30">
        <v>56</v>
      </c>
      <c r="D11" s="30" t="s">
        <v>41</v>
      </c>
      <c r="E11" s="30">
        <v>1000</v>
      </c>
      <c r="F11" s="30">
        <v>31</v>
      </c>
      <c r="G11" s="30" t="s">
        <v>65</v>
      </c>
      <c r="H11" s="42" t="s">
        <v>220</v>
      </c>
      <c r="I11" s="30" t="s">
        <v>20</v>
      </c>
      <c r="J11" s="40" t="s">
        <v>75</v>
      </c>
      <c r="K11" s="44" t="str">
        <f t="shared" si="0"/>
        <v>lev OK</v>
      </c>
      <c r="L11" s="1">
        <f t="shared" si="1"/>
        <v>42373.962500000001</v>
      </c>
      <c r="M11" s="43" t="s">
        <v>221</v>
      </c>
      <c r="N11" s="11">
        <f t="shared" si="2"/>
        <v>0.55490149253673415</v>
      </c>
      <c r="O11" s="11">
        <v>0.71399999999999997</v>
      </c>
      <c r="P11" s="1">
        <v>42373.4375</v>
      </c>
      <c r="Q11" s="11">
        <f t="shared" si="3"/>
        <v>1.262686567165276E-2</v>
      </c>
      <c r="R11" s="11"/>
      <c r="AC11" s="39">
        <v>5.8723899999999995E-11</v>
      </c>
      <c r="AD11" s="39">
        <v>4.3908400000000001E-11</v>
      </c>
      <c r="AE11" s="39">
        <v>5.2825200000000002E-11</v>
      </c>
      <c r="AF11" s="39">
        <v>3.8392399999999999E-11</v>
      </c>
      <c r="AG11" s="39">
        <v>6.5001999999999999E-11</v>
      </c>
      <c r="AH11" s="39">
        <v>6.5785199999999995E-11</v>
      </c>
      <c r="AI11" s="39">
        <v>3.4750200000000002E-11</v>
      </c>
      <c r="AJ11" s="39">
        <v>7.4031500000000002E-11</v>
      </c>
      <c r="AK11" s="39">
        <v>3.5651400000000001E-11</v>
      </c>
      <c r="AL11" s="39">
        <v>6.2747200000000002E-11</v>
      </c>
      <c r="AM11" s="39">
        <v>5.3318800000000002E-11</v>
      </c>
      <c r="AN11" s="39">
        <v>4.7213700000000001E-11</v>
      </c>
    </row>
    <row r="12" spans="1:40" s="36" customFormat="1" thickBot="1">
      <c r="A12" s="32" t="s">
        <v>228</v>
      </c>
      <c r="B12" s="33" t="s">
        <v>17</v>
      </c>
      <c r="C12" s="33">
        <v>56</v>
      </c>
      <c r="D12" s="33" t="s">
        <v>41</v>
      </c>
      <c r="E12" s="33">
        <v>1000</v>
      </c>
      <c r="F12" s="33">
        <v>31</v>
      </c>
      <c r="G12" s="33" t="s">
        <v>65</v>
      </c>
      <c r="H12" s="42" t="s">
        <v>229</v>
      </c>
      <c r="I12" s="33" t="s">
        <v>20</v>
      </c>
      <c r="J12" s="41" t="s">
        <v>75</v>
      </c>
      <c r="K12" s="45" t="str">
        <f t="shared" si="0"/>
        <v>lev OK</v>
      </c>
      <c r="L12" s="34">
        <f t="shared" si="1"/>
        <v>42374.001388888886</v>
      </c>
      <c r="M12" s="43" t="s">
        <v>221</v>
      </c>
      <c r="N12" s="35">
        <f t="shared" si="2"/>
        <v>0.5431164179111323</v>
      </c>
      <c r="O12" s="35">
        <v>0.71399999999999997</v>
      </c>
      <c r="P12" s="34">
        <v>42373.4375</v>
      </c>
      <c r="Q12" s="35">
        <f t="shared" si="3"/>
        <v>1.262686567165276E-2</v>
      </c>
      <c r="R12" s="35"/>
      <c r="S12" s="34"/>
      <c r="AC12" s="39">
        <v>7.6012800000000005E-11</v>
      </c>
      <c r="AD12" s="39">
        <v>5.3698899999999998E-11</v>
      </c>
      <c r="AE12" s="39">
        <v>6.5511599999999995E-11</v>
      </c>
      <c r="AF12" s="39">
        <v>4.92258E-11</v>
      </c>
      <c r="AG12" s="39">
        <v>8.0416599999999994E-11</v>
      </c>
      <c r="AH12" s="39">
        <v>7.5279599999999999E-11</v>
      </c>
      <c r="AI12" s="39">
        <v>4.3478600000000001E-11</v>
      </c>
      <c r="AJ12" s="39">
        <v>9.3925799999999998E-11</v>
      </c>
      <c r="AK12" s="39">
        <v>4.3787500000000003E-11</v>
      </c>
      <c r="AL12" s="39">
        <v>7.4382199999999996E-11</v>
      </c>
      <c r="AM12" s="39">
        <v>6.8373899999999995E-11</v>
      </c>
      <c r="AN12" s="39">
        <v>5.5426699999999998E-11</v>
      </c>
    </row>
    <row r="13" spans="1:40" s="36" customFormat="1" thickBot="1">
      <c r="A13" s="32" t="s">
        <v>230</v>
      </c>
      <c r="B13" s="33" t="s">
        <v>17</v>
      </c>
      <c r="C13" s="33">
        <v>56</v>
      </c>
      <c r="D13" s="33" t="s">
        <v>41</v>
      </c>
      <c r="E13" s="33">
        <v>1000</v>
      </c>
      <c r="F13" s="33">
        <v>31</v>
      </c>
      <c r="G13" s="33" t="s">
        <v>65</v>
      </c>
      <c r="H13" s="42" t="s">
        <v>229</v>
      </c>
      <c r="I13" s="33" t="s">
        <v>20</v>
      </c>
      <c r="J13" s="41" t="s">
        <v>75</v>
      </c>
      <c r="K13" s="45" t="str">
        <f t="shared" si="0"/>
        <v>lev OK</v>
      </c>
      <c r="L13" s="34">
        <f t="shared" si="1"/>
        <v>42374.040972222225</v>
      </c>
      <c r="M13" s="43" t="s">
        <v>221</v>
      </c>
      <c r="N13" s="35">
        <f t="shared" si="2"/>
        <v>0.53112089552144515</v>
      </c>
      <c r="O13" s="35">
        <v>0.71399999999999997</v>
      </c>
      <c r="P13" s="34">
        <v>42373.4375</v>
      </c>
      <c r="Q13" s="35">
        <f t="shared" si="3"/>
        <v>1.262686567165276E-2</v>
      </c>
      <c r="R13" s="35"/>
      <c r="S13" s="34"/>
      <c r="AC13" s="39">
        <v>7.27977E-11</v>
      </c>
      <c r="AD13" s="39">
        <v>5.1716599999999999E-11</v>
      </c>
      <c r="AE13" s="39">
        <v>6.4046099999999999E-11</v>
      </c>
      <c r="AF13" s="39">
        <v>4.6216599999999998E-11</v>
      </c>
      <c r="AG13" s="39">
        <v>7.9421400000000002E-11</v>
      </c>
      <c r="AH13" s="39">
        <v>6.8262100000000003E-11</v>
      </c>
      <c r="AI13" s="39">
        <v>4.2178499999999997E-11</v>
      </c>
      <c r="AJ13" s="39">
        <v>9.1067200000000001E-11</v>
      </c>
      <c r="AK13" s="39">
        <v>4.4063499999999999E-11</v>
      </c>
      <c r="AL13" s="39">
        <v>7.2834000000000004E-11</v>
      </c>
      <c r="AM13" s="39">
        <v>6.4925399999999996E-11</v>
      </c>
      <c r="AN13" s="39">
        <v>5.6458399999999999E-11</v>
      </c>
    </row>
    <row r="14" spans="1:40" s="36" customFormat="1" thickBot="1">
      <c r="A14" s="32" t="s">
        <v>231</v>
      </c>
      <c r="B14" s="33" t="s">
        <v>17</v>
      </c>
      <c r="C14" s="33">
        <v>56</v>
      </c>
      <c r="D14" s="33" t="s">
        <v>41</v>
      </c>
      <c r="E14" s="33">
        <v>1000</v>
      </c>
      <c r="F14" s="33">
        <v>31</v>
      </c>
      <c r="G14" s="33" t="s">
        <v>65</v>
      </c>
      <c r="H14" s="42" t="s">
        <v>229</v>
      </c>
      <c r="I14" s="33" t="s">
        <v>20</v>
      </c>
      <c r="J14" s="41" t="s">
        <v>75</v>
      </c>
      <c r="K14" s="45" t="str">
        <f t="shared" si="0"/>
        <v>lev OK</v>
      </c>
      <c r="L14" s="34">
        <f t="shared" si="1"/>
        <v>42374.080555555556</v>
      </c>
      <c r="M14" s="43" t="s">
        <v>221</v>
      </c>
      <c r="N14" s="35">
        <f t="shared" si="2"/>
        <v>0.51912537313396301</v>
      </c>
      <c r="O14" s="35">
        <v>0.71399999999999997</v>
      </c>
      <c r="P14" s="34">
        <v>42373.4375</v>
      </c>
      <c r="Q14" s="35">
        <f t="shared" si="3"/>
        <v>1.262686567165276E-2</v>
      </c>
      <c r="R14" s="35"/>
      <c r="S14" s="34"/>
      <c r="AC14" s="39">
        <v>8.4034299999999994E-11</v>
      </c>
      <c r="AD14" s="39">
        <v>5.9370700000000001E-11</v>
      </c>
      <c r="AE14" s="39">
        <v>6.7822399999999994E-11</v>
      </c>
      <c r="AF14" s="39">
        <v>5.2316600000000002E-11</v>
      </c>
      <c r="AG14" s="39">
        <v>8.4862300000000001E-11</v>
      </c>
      <c r="AH14" s="39">
        <v>8.6221199999999995E-11</v>
      </c>
      <c r="AI14" s="39">
        <v>4.75039E-11</v>
      </c>
      <c r="AJ14" s="39">
        <v>1.04931E-10</v>
      </c>
      <c r="AK14" s="39">
        <v>4.4748799999999999E-11</v>
      </c>
      <c r="AL14" s="39">
        <v>7.9895300000000004E-11</v>
      </c>
      <c r="AM14" s="39">
        <v>7.2985200000000006E-11</v>
      </c>
      <c r="AN14" s="39">
        <v>6.2845900000000006E-11</v>
      </c>
    </row>
    <row r="15" spans="1:40" s="36" customFormat="1" thickBot="1">
      <c r="A15" s="32" t="s">
        <v>232</v>
      </c>
      <c r="B15" s="33" t="s">
        <v>17</v>
      </c>
      <c r="C15" s="33">
        <v>56</v>
      </c>
      <c r="D15" s="33" t="s">
        <v>41</v>
      </c>
      <c r="E15" s="33">
        <v>1000</v>
      </c>
      <c r="F15" s="33">
        <v>31</v>
      </c>
      <c r="G15" s="33" t="s">
        <v>65</v>
      </c>
      <c r="H15" s="42" t="s">
        <v>229</v>
      </c>
      <c r="I15" s="33" t="s">
        <v>20</v>
      </c>
      <c r="J15" s="41" t="s">
        <v>75</v>
      </c>
      <c r="K15" s="45" t="str">
        <f t="shared" si="0"/>
        <v>lev OK</v>
      </c>
      <c r="L15" s="34">
        <f t="shared" si="1"/>
        <v>42374.120138888888</v>
      </c>
      <c r="M15" s="43" t="s">
        <v>221</v>
      </c>
      <c r="N15" s="35">
        <f t="shared" si="2"/>
        <v>0.50712985074648087</v>
      </c>
      <c r="O15" s="35">
        <v>0.71399999999999997</v>
      </c>
      <c r="P15" s="34">
        <v>42373.4375</v>
      </c>
      <c r="Q15" s="35">
        <f t="shared" si="3"/>
        <v>1.262686567165276E-2</v>
      </c>
      <c r="R15" s="35"/>
      <c r="S15" s="34"/>
      <c r="AC15" s="39">
        <v>6.0711700000000002E-11</v>
      </c>
      <c r="AD15" s="39">
        <v>4.4327300000000002E-11</v>
      </c>
      <c r="AE15" s="39">
        <v>5.0198000000000001E-11</v>
      </c>
      <c r="AF15" s="39">
        <v>3.8520399999999998E-11</v>
      </c>
      <c r="AG15" s="39">
        <v>6.7690099999999994E-11</v>
      </c>
      <c r="AH15" s="39">
        <v>6.0167799999999994E-11</v>
      </c>
      <c r="AI15" s="39">
        <v>3.4264699999999999E-11</v>
      </c>
      <c r="AJ15" s="39">
        <v>7.2757799999999999E-11</v>
      </c>
      <c r="AK15" s="39">
        <v>3.7041099999999997E-11</v>
      </c>
      <c r="AL15" s="39">
        <v>6.1665900000000004E-11</v>
      </c>
      <c r="AM15" s="39">
        <v>5.2033599999999998E-11</v>
      </c>
      <c r="AN15" s="39">
        <v>4.5382199999999999E-11</v>
      </c>
    </row>
    <row r="16" spans="1:40" s="36" customFormat="1" thickBot="1">
      <c r="A16" s="32" t="s">
        <v>233</v>
      </c>
      <c r="B16" s="33" t="s">
        <v>17</v>
      </c>
      <c r="C16" s="33">
        <v>56</v>
      </c>
      <c r="D16" s="33" t="s">
        <v>41</v>
      </c>
      <c r="E16" s="33">
        <v>1000</v>
      </c>
      <c r="F16" s="33">
        <v>31</v>
      </c>
      <c r="G16" s="33" t="s">
        <v>65</v>
      </c>
      <c r="H16" s="42" t="s">
        <v>229</v>
      </c>
      <c r="I16" s="33" t="s">
        <v>20</v>
      </c>
      <c r="J16" s="41" t="s">
        <v>75</v>
      </c>
      <c r="K16" s="45" t="str">
        <f t="shared" si="0"/>
        <v>lev OK</v>
      </c>
      <c r="L16" s="34">
        <f t="shared" si="1"/>
        <v>42374.15902777778</v>
      </c>
      <c r="M16" s="43" t="s">
        <v>221</v>
      </c>
      <c r="N16" s="35">
        <f t="shared" si="2"/>
        <v>0.495344776118674</v>
      </c>
      <c r="O16" s="35">
        <v>0.71399999999999997</v>
      </c>
      <c r="P16" s="34">
        <v>42373.4375</v>
      </c>
      <c r="Q16" s="35">
        <f t="shared" si="3"/>
        <v>1.262686567165276E-2</v>
      </c>
      <c r="R16" s="35"/>
      <c r="S16" s="34"/>
      <c r="AC16" s="39">
        <v>6.69185E-11</v>
      </c>
      <c r="AD16" s="39">
        <v>4.7155600000000002E-11</v>
      </c>
      <c r="AE16" s="39">
        <v>5.11707E-11</v>
      </c>
      <c r="AF16" s="39">
        <v>4.2534999999999998E-11</v>
      </c>
      <c r="AG16" s="39">
        <v>6.8959200000000004E-11</v>
      </c>
      <c r="AH16" s="39">
        <v>6.5484399999999997E-11</v>
      </c>
      <c r="AI16" s="39">
        <v>3.8362799999999998E-11</v>
      </c>
      <c r="AJ16" s="39">
        <v>8.1914300000000005E-11</v>
      </c>
      <c r="AK16" s="39">
        <v>3.8918300000000001E-11</v>
      </c>
      <c r="AL16" s="39">
        <v>6.7970399999999997E-11</v>
      </c>
      <c r="AM16" s="39">
        <v>5.9285899999999995E-11</v>
      </c>
      <c r="AN16" s="39">
        <v>4.8144200000000002E-11</v>
      </c>
    </row>
    <row r="17" spans="1:40" s="36" customFormat="1" thickBot="1">
      <c r="A17" s="32" t="s">
        <v>234</v>
      </c>
      <c r="B17" s="33" t="s">
        <v>17</v>
      </c>
      <c r="C17" s="33">
        <v>56</v>
      </c>
      <c r="D17" s="33" t="s">
        <v>41</v>
      </c>
      <c r="E17" s="33">
        <v>1000</v>
      </c>
      <c r="F17" s="33">
        <v>31</v>
      </c>
      <c r="G17" s="33" t="s">
        <v>65</v>
      </c>
      <c r="H17" s="42" t="s">
        <v>229</v>
      </c>
      <c r="I17" s="33" t="s">
        <v>20</v>
      </c>
      <c r="J17" s="41" t="s">
        <v>75</v>
      </c>
      <c r="K17" s="45" t="str">
        <f t="shared" si="0"/>
        <v>lev OK</v>
      </c>
      <c r="L17" s="34">
        <f t="shared" si="1"/>
        <v>42374.198611111111</v>
      </c>
      <c r="M17" s="43" t="s">
        <v>221</v>
      </c>
      <c r="N17" s="35">
        <f t="shared" si="2"/>
        <v>0.48334925373119186</v>
      </c>
      <c r="O17" s="35">
        <v>0.71399999999999997</v>
      </c>
      <c r="P17" s="34">
        <v>42373.4375</v>
      </c>
      <c r="Q17" s="35">
        <f t="shared" si="3"/>
        <v>1.262686567165276E-2</v>
      </c>
      <c r="R17" s="35"/>
      <c r="S17" s="34"/>
      <c r="AC17" s="39">
        <v>5.0861499999999999E-11</v>
      </c>
      <c r="AD17" s="39">
        <v>3.6562700000000002E-11</v>
      </c>
      <c r="AE17" s="39">
        <v>4.35204E-11</v>
      </c>
      <c r="AF17" s="39">
        <v>3.3323599999999998E-11</v>
      </c>
      <c r="AG17" s="39">
        <v>4.93447E-11</v>
      </c>
      <c r="AH17" s="39">
        <v>5.2369299999999999E-11</v>
      </c>
      <c r="AI17" s="39">
        <v>2.6402499999999999E-11</v>
      </c>
      <c r="AJ17" s="39">
        <v>5.9886600000000001E-11</v>
      </c>
      <c r="AK17" s="39">
        <v>3.3163400000000003E-11</v>
      </c>
      <c r="AL17" s="39">
        <v>5.1563899999999997E-11</v>
      </c>
      <c r="AM17" s="39">
        <v>4.3182700000000001E-11</v>
      </c>
      <c r="AN17" s="39">
        <v>3.51074E-11</v>
      </c>
    </row>
    <row r="18" spans="1:40" s="36" customFormat="1" thickBot="1">
      <c r="A18" s="32" t="s">
        <v>235</v>
      </c>
      <c r="B18" s="33" t="s">
        <v>17</v>
      </c>
      <c r="C18" s="33">
        <v>56</v>
      </c>
      <c r="D18" s="33" t="s">
        <v>41</v>
      </c>
      <c r="E18" s="33">
        <v>1000</v>
      </c>
      <c r="F18" s="33">
        <v>31</v>
      </c>
      <c r="G18" s="33" t="s">
        <v>65</v>
      </c>
      <c r="H18" s="42" t="s">
        <v>229</v>
      </c>
      <c r="I18" s="33" t="s">
        <v>20</v>
      </c>
      <c r="J18" s="41" t="s">
        <v>75</v>
      </c>
      <c r="K18" s="45" t="str">
        <f t="shared" si="0"/>
        <v>lev OK</v>
      </c>
      <c r="L18" s="34">
        <f t="shared" si="1"/>
        <v>42374.238194444442</v>
      </c>
      <c r="M18" s="43" t="s">
        <v>221</v>
      </c>
      <c r="N18" s="35">
        <f t="shared" si="2"/>
        <v>0.47135373134370973</v>
      </c>
      <c r="O18" s="35">
        <v>0.71399999999999997</v>
      </c>
      <c r="P18" s="34">
        <v>42373.4375</v>
      </c>
      <c r="Q18" s="35">
        <f t="shared" si="3"/>
        <v>1.262686567165276E-2</v>
      </c>
      <c r="R18" s="35"/>
      <c r="S18" s="34"/>
      <c r="Z18" s="36">
        <v>161</v>
      </c>
      <c r="AA18" s="36">
        <v>46</v>
      </c>
      <c r="AC18" s="39">
        <v>6.2070599999999996E-11</v>
      </c>
      <c r="AD18" s="39">
        <v>4.1915199999999997E-11</v>
      </c>
      <c r="AE18" s="39">
        <v>5.1221299999999999E-11</v>
      </c>
      <c r="AF18" s="39">
        <v>4.1585700000000001E-11</v>
      </c>
      <c r="AG18" s="39">
        <v>5.4168100000000001E-11</v>
      </c>
      <c r="AH18" s="39">
        <v>6.3910500000000006E-11</v>
      </c>
      <c r="AI18" s="39">
        <v>3.62599E-11</v>
      </c>
      <c r="AJ18" s="39">
        <v>7.4676100000000005E-11</v>
      </c>
      <c r="AK18" s="39">
        <v>3.9276400000000002E-11</v>
      </c>
      <c r="AL18" s="39">
        <v>5.8367000000000001E-11</v>
      </c>
      <c r="AM18" s="39">
        <v>5.5847900000000002E-11</v>
      </c>
      <c r="AN18" s="39">
        <v>4.31086E-11</v>
      </c>
    </row>
    <row r="19" spans="1:40" s="36" customFormat="1" thickBot="1">
      <c r="A19" s="32" t="s">
        <v>236</v>
      </c>
      <c r="B19" s="33" t="s">
        <v>17</v>
      </c>
      <c r="C19" s="33">
        <v>56</v>
      </c>
      <c r="D19" s="33" t="s">
        <v>41</v>
      </c>
      <c r="E19" s="33">
        <v>1000</v>
      </c>
      <c r="F19" s="33">
        <v>31</v>
      </c>
      <c r="G19" s="33" t="s">
        <v>65</v>
      </c>
      <c r="H19" s="42" t="s">
        <v>237</v>
      </c>
      <c r="I19" s="33" t="s">
        <v>20</v>
      </c>
      <c r="J19" s="41" t="s">
        <v>75</v>
      </c>
      <c r="K19" s="45" t="str">
        <f t="shared" si="0"/>
        <v>lev OK</v>
      </c>
      <c r="L19" s="34">
        <f t="shared" si="1"/>
        <v>42374.436805555553</v>
      </c>
      <c r="M19" s="43" t="str">
        <f>""""&amp;A19&amp;""""</f>
        <v>"07160105_1029"</v>
      </c>
      <c r="N19" s="35">
        <f t="shared" si="2"/>
        <v>0.40543291139288912</v>
      </c>
      <c r="O19" s="35">
        <v>0.432</v>
      </c>
      <c r="P19" s="34">
        <v>42374.368055555555</v>
      </c>
      <c r="Q19" s="35">
        <f>(O19-R19)/(S19-P19)/24</f>
        <v>1.6101265822832261E-2</v>
      </c>
      <c r="R19" s="35">
        <v>0.32600000000000001</v>
      </c>
      <c r="S19" s="34">
        <v>42374.642361111109</v>
      </c>
      <c r="Z19" s="36">
        <v>262</v>
      </c>
      <c r="AA19" s="36">
        <v>19</v>
      </c>
      <c r="AC19" s="39">
        <v>5.6733599999999998E-11</v>
      </c>
      <c r="AD19" s="39">
        <v>4.4716299999999998E-11</v>
      </c>
      <c r="AE19" s="39">
        <v>4.79008E-11</v>
      </c>
      <c r="AF19" s="39">
        <v>3.6151999999999997E-11</v>
      </c>
      <c r="AG19" s="39">
        <v>6.18897E-11</v>
      </c>
      <c r="AH19" s="39">
        <v>6.1225500000000005E-11</v>
      </c>
      <c r="AI19" s="39">
        <v>3.3671399999999999E-11</v>
      </c>
      <c r="AJ19" s="39">
        <v>6.7186499999999999E-11</v>
      </c>
      <c r="AK19" s="39">
        <v>3.8716000000000001E-11</v>
      </c>
      <c r="AL19" s="39">
        <v>5.8748399999999998E-11</v>
      </c>
      <c r="AM19" s="39">
        <v>4.7074599999999998E-11</v>
      </c>
      <c r="AN19" s="39">
        <v>9.0946300000000003E-11</v>
      </c>
    </row>
    <row r="20" spans="1:40" s="36" customFormat="1" thickBot="1">
      <c r="A20" s="32" t="s">
        <v>238</v>
      </c>
      <c r="B20" s="33" t="s">
        <v>17</v>
      </c>
      <c r="C20" s="33">
        <v>56</v>
      </c>
      <c r="D20" s="33" t="s">
        <v>41</v>
      </c>
      <c r="E20" s="33">
        <v>1000</v>
      </c>
      <c r="F20" s="33">
        <v>31</v>
      </c>
      <c r="G20" s="33" t="s">
        <v>65</v>
      </c>
      <c r="H20" s="42" t="s">
        <v>237</v>
      </c>
      <c r="I20" s="33" t="s">
        <v>20</v>
      </c>
      <c r="J20" s="41" t="s">
        <v>75</v>
      </c>
      <c r="K20" s="45" t="str">
        <f t="shared" si="0"/>
        <v>lev OK</v>
      </c>
      <c r="L20" s="34">
        <f t="shared" si="1"/>
        <v>42374.477083333331</v>
      </c>
      <c r="M20" s="43" t="str">
        <f>M19&amp;", """&amp;A20&amp;""""</f>
        <v>"07160105_1029", "07160105_1127"</v>
      </c>
      <c r="N20" s="35">
        <f t="shared" si="2"/>
        <v>0.38986835443069295</v>
      </c>
      <c r="O20" s="35">
        <v>0.432</v>
      </c>
      <c r="P20" s="34">
        <v>42374.368055555555</v>
      </c>
      <c r="Q20" s="35">
        <f>Q19</f>
        <v>1.6101265822832261E-2</v>
      </c>
      <c r="R20" s="35"/>
      <c r="S20" s="34"/>
      <c r="Z20" s="36">
        <v>171</v>
      </c>
      <c r="AA20" s="36">
        <v>61</v>
      </c>
      <c r="AC20" s="39">
        <v>1.1569799999999999E-10</v>
      </c>
      <c r="AD20" s="39">
        <v>8.8123099999999995E-11</v>
      </c>
      <c r="AE20" s="39">
        <v>1.0353E-10</v>
      </c>
      <c r="AF20" s="39">
        <v>1.00304E-10</v>
      </c>
      <c r="AG20" s="39">
        <v>1.1603399999999999E-10</v>
      </c>
      <c r="AH20" s="39">
        <v>1.2170499999999999E-10</v>
      </c>
      <c r="AI20" s="39">
        <v>6.2898800000000003E-11</v>
      </c>
      <c r="AJ20" s="39">
        <v>1.3697599999999999E-10</v>
      </c>
      <c r="AK20" s="39">
        <v>5.6914000000000002E-11</v>
      </c>
      <c r="AL20" s="39">
        <v>1.2103500000000001E-10</v>
      </c>
      <c r="AM20" s="39">
        <v>1.15691E-10</v>
      </c>
      <c r="AN20" s="39">
        <v>1.4494200000000001E-10</v>
      </c>
    </row>
    <row r="21" spans="1:40" s="36" customFormat="1" thickBot="1">
      <c r="A21" s="32" t="s">
        <v>239</v>
      </c>
      <c r="B21" s="33" t="s">
        <v>17</v>
      </c>
      <c r="C21" s="33">
        <v>56</v>
      </c>
      <c r="D21" s="33" t="s">
        <v>41</v>
      </c>
      <c r="E21" s="33">
        <v>1000</v>
      </c>
      <c r="F21" s="33">
        <v>31</v>
      </c>
      <c r="G21" s="33" t="s">
        <v>65</v>
      </c>
      <c r="H21" s="42" t="s">
        <v>237</v>
      </c>
      <c r="I21" s="33" t="s">
        <v>20</v>
      </c>
      <c r="J21" s="41" t="s">
        <v>75</v>
      </c>
      <c r="K21" s="45" t="str">
        <f t="shared" si="0"/>
        <v>lev OK</v>
      </c>
      <c r="L21" s="34">
        <f t="shared" si="1"/>
        <v>42374.523611111108</v>
      </c>
      <c r="M21" s="43" t="str">
        <f t="shared" ref="M21:M40" si="4">M20&amp;", """&amp;A21&amp;""""</f>
        <v>"07160105_1029", "07160105_1127", "07160105_1234"</v>
      </c>
      <c r="N21" s="35">
        <f t="shared" si="2"/>
        <v>0.3718886075956343</v>
      </c>
      <c r="O21" s="35">
        <v>0.432</v>
      </c>
      <c r="P21" s="34">
        <v>42374.368055555555</v>
      </c>
      <c r="Q21" s="35">
        <f>Q20</f>
        <v>1.6101265822832261E-2</v>
      </c>
      <c r="R21" s="35"/>
      <c r="S21" s="34"/>
      <c r="Z21" s="36">
        <v>254</v>
      </c>
      <c r="AA21" s="36">
        <v>28</v>
      </c>
      <c r="AC21" s="39">
        <v>9.9596700000000005E-11</v>
      </c>
      <c r="AD21" s="39">
        <v>7.5919999999999995E-11</v>
      </c>
      <c r="AE21" s="39">
        <v>8.6973399999999996E-11</v>
      </c>
      <c r="AF21" s="39">
        <v>7.7395499999999999E-11</v>
      </c>
      <c r="AG21" s="39">
        <v>9.0101799999999996E-11</v>
      </c>
      <c r="AH21" s="39">
        <v>1.04282E-10</v>
      </c>
      <c r="AI21" s="39">
        <v>5.3370700000000002E-11</v>
      </c>
      <c r="AJ21" s="39">
        <v>1.1664799999999999E-10</v>
      </c>
      <c r="AK21" s="39">
        <v>5.11662E-11</v>
      </c>
      <c r="AL21" s="39">
        <v>1.07008E-10</v>
      </c>
      <c r="AM21" s="39">
        <v>9.8048699999999999E-11</v>
      </c>
      <c r="AN21" s="39">
        <v>1.5142300000000001E-10</v>
      </c>
    </row>
    <row r="22" spans="1:40" s="36" customFormat="1" thickBot="1">
      <c r="A22" s="32" t="s">
        <v>240</v>
      </c>
      <c r="B22" s="33" t="s">
        <v>17</v>
      </c>
      <c r="C22" s="33">
        <v>56</v>
      </c>
      <c r="D22" s="33" t="s">
        <v>41</v>
      </c>
      <c r="E22" s="33">
        <v>1000</v>
      </c>
      <c r="F22" s="33">
        <v>32</v>
      </c>
      <c r="G22" s="33" t="s">
        <v>65</v>
      </c>
      <c r="H22" s="42" t="s">
        <v>237</v>
      </c>
      <c r="I22" s="33" t="s">
        <v>20</v>
      </c>
      <c r="J22" s="41" t="s">
        <v>241</v>
      </c>
      <c r="K22" s="45" t="str">
        <f t="shared" si="0"/>
        <v>lev OK</v>
      </c>
      <c r="L22" s="34">
        <f t="shared" si="1"/>
        <v>42374.564583333333</v>
      </c>
      <c r="M22" s="43" t="str">
        <f t="shared" si="4"/>
        <v>"07160105_1029", "07160105_1127", "07160105_1234", "07160105_1333"</v>
      </c>
      <c r="N22" s="35">
        <f t="shared" si="2"/>
        <v>0.35605569620218286</v>
      </c>
      <c r="O22" s="35">
        <v>0.432</v>
      </c>
      <c r="P22" s="34">
        <v>42374.368055555555</v>
      </c>
      <c r="Q22" s="35">
        <f>Q21</f>
        <v>1.6101265822832261E-2</v>
      </c>
      <c r="R22" s="35"/>
      <c r="S22" s="34"/>
      <c r="Z22" s="36">
        <v>254</v>
      </c>
      <c r="AA22" s="36">
        <v>41</v>
      </c>
      <c r="AC22" s="39">
        <v>1.0091E-10</v>
      </c>
      <c r="AD22" s="39">
        <v>7.7653799999999995E-11</v>
      </c>
      <c r="AE22" s="39">
        <v>8.8082599999999996E-11</v>
      </c>
      <c r="AF22" s="39">
        <v>6.0635800000000002E-11</v>
      </c>
      <c r="AG22" s="39">
        <v>1.1166300000000001E-10</v>
      </c>
      <c r="AH22" s="39">
        <v>1.0173599999999999E-10</v>
      </c>
      <c r="AI22">
        <v>0</v>
      </c>
      <c r="AJ22" s="39">
        <v>1.17086E-10</v>
      </c>
      <c r="AK22" s="39">
        <v>5.0726299999999999E-11</v>
      </c>
      <c r="AL22" s="39">
        <v>1.04554E-10</v>
      </c>
      <c r="AM22" s="39">
        <v>9.0690100000000005E-11</v>
      </c>
      <c r="AN22" s="39">
        <v>1.3823700000000001E-10</v>
      </c>
    </row>
    <row r="23" spans="1:40" s="36" customFormat="1" thickBot="1">
      <c r="A23" s="32" t="s">
        <v>242</v>
      </c>
      <c r="B23" s="33" t="s">
        <v>17</v>
      </c>
      <c r="C23" s="33">
        <v>56</v>
      </c>
      <c r="D23" s="33" t="s">
        <v>41</v>
      </c>
      <c r="E23" s="33">
        <v>1000</v>
      </c>
      <c r="F23" s="33">
        <v>32</v>
      </c>
      <c r="G23" s="33" t="s">
        <v>65</v>
      </c>
      <c r="H23" s="42" t="s">
        <v>237</v>
      </c>
      <c r="I23" s="33" t="s">
        <v>20</v>
      </c>
      <c r="J23" s="41" t="s">
        <v>241</v>
      </c>
      <c r="K23" s="45" t="str">
        <f t="shared" si="0"/>
        <v>lev OK</v>
      </c>
      <c r="L23" s="34">
        <f t="shared" si="1"/>
        <v>42374.603472222225</v>
      </c>
      <c r="M23" s="43" t="str">
        <f t="shared" si="4"/>
        <v>"07160105_1029", "07160105_1127", "07160105_1234", "07160105_1333", "07160105_1429"</v>
      </c>
      <c r="N23" s="35">
        <f t="shared" si="2"/>
        <v>0.34102784809968562</v>
      </c>
      <c r="O23" s="35">
        <v>0.432</v>
      </c>
      <c r="P23" s="34">
        <v>42374.368055555555</v>
      </c>
      <c r="Q23" s="35">
        <f>Q22</f>
        <v>1.6101265822832261E-2</v>
      </c>
      <c r="R23" s="35"/>
      <c r="S23" s="34"/>
      <c r="Z23" s="36">
        <v>375</v>
      </c>
      <c r="AA23" s="36">
        <v>22</v>
      </c>
      <c r="AC23" s="39">
        <v>6.9592299999999999E-11</v>
      </c>
      <c r="AD23" s="39">
        <v>5.4122799999999997E-11</v>
      </c>
      <c r="AE23" s="39">
        <v>6.7481099999999998E-11</v>
      </c>
      <c r="AF23" s="39">
        <v>4.5166300000000001E-11</v>
      </c>
      <c r="AG23" s="39">
        <v>7.7377699999999999E-11</v>
      </c>
      <c r="AH23" s="39">
        <v>7.4911100000000005E-11</v>
      </c>
      <c r="AI23">
        <v>0</v>
      </c>
      <c r="AJ23" s="39">
        <v>8.1770699999999996E-11</v>
      </c>
      <c r="AK23" s="39">
        <v>4.0967899999999998E-11</v>
      </c>
      <c r="AL23" s="39">
        <v>7.3009499999999997E-11</v>
      </c>
      <c r="AM23" s="39">
        <v>6.4949100000000003E-11</v>
      </c>
      <c r="AN23" s="39">
        <v>1.19934E-10</v>
      </c>
    </row>
    <row r="24" spans="1:40" s="36" customFormat="1" thickBot="1">
      <c r="A24" s="32" t="s">
        <v>243</v>
      </c>
      <c r="B24" s="33" t="s">
        <v>17</v>
      </c>
      <c r="C24" s="33">
        <v>56</v>
      </c>
      <c r="D24" s="33" t="s">
        <v>41</v>
      </c>
      <c r="E24" s="33">
        <v>1000</v>
      </c>
      <c r="F24" s="33">
        <v>31</v>
      </c>
      <c r="G24" s="33" t="s">
        <v>65</v>
      </c>
      <c r="H24" s="42" t="s">
        <v>237</v>
      </c>
      <c r="I24" s="33" t="s">
        <v>20</v>
      </c>
      <c r="J24" s="41" t="s">
        <v>75</v>
      </c>
      <c r="K24" s="45" t="str">
        <f t="shared" si="0"/>
        <v>lev BAD</v>
      </c>
      <c r="L24" s="34">
        <f t="shared" si="1"/>
        <v>42374.714583333334</v>
      </c>
      <c r="M24" s="43" t="str">
        <f t="shared" si="4"/>
        <v>"07160105_1029", "07160105_1127", "07160105_1234", "07160105_1333", "07160105_1429", "07160105_1709"</v>
      </c>
      <c r="N24" s="35">
        <f t="shared" si="2"/>
        <v>0.91373299492476234</v>
      </c>
      <c r="O24" s="35">
        <v>0.92700000000000005</v>
      </c>
      <c r="P24" s="34">
        <v>42374.684027777781</v>
      </c>
      <c r="Q24" s="35">
        <f>(O24-R24)/(S24-P24)/24</f>
        <v>1.8091370558482547E-2</v>
      </c>
      <c r="R24" s="35">
        <v>0.63</v>
      </c>
      <c r="S24" s="34">
        <v>42375.368055555555</v>
      </c>
      <c r="Z24" s="36">
        <v>242</v>
      </c>
      <c r="AA24" s="36">
        <v>27</v>
      </c>
      <c r="AC24" s="39">
        <v>2.5341000000000001E-10</v>
      </c>
      <c r="AD24" s="39">
        <v>2.08243E-10</v>
      </c>
      <c r="AE24" s="39">
        <v>2.1902999999999999E-10</v>
      </c>
      <c r="AF24" s="39">
        <v>1.4609099999999999E-10</v>
      </c>
      <c r="AG24" s="39">
        <v>2.4326900000000002E-10</v>
      </c>
      <c r="AH24" s="39">
        <v>2.2115000000000001E-10</v>
      </c>
      <c r="AI24" s="39">
        <v>1.00308E-10</v>
      </c>
      <c r="AJ24" s="39">
        <v>2.6888700000000001E-10</v>
      </c>
      <c r="AK24" s="39">
        <v>9.1079299999999994E-11</v>
      </c>
      <c r="AL24" s="39">
        <v>2.57869E-10</v>
      </c>
      <c r="AM24" s="39">
        <v>3.3186400000000001E-10</v>
      </c>
      <c r="AN24" s="39">
        <v>1.96347E-10</v>
      </c>
    </row>
    <row r="25" spans="1:40" s="36" customFormat="1" thickBot="1">
      <c r="A25" s="32" t="s">
        <v>244</v>
      </c>
      <c r="B25" s="33" t="s">
        <v>17</v>
      </c>
      <c r="C25" s="33">
        <v>56</v>
      </c>
      <c r="D25" s="33" t="s">
        <v>41</v>
      </c>
      <c r="E25" s="33">
        <v>1000</v>
      </c>
      <c r="F25" s="33">
        <v>31</v>
      </c>
      <c r="G25" s="33" t="s">
        <v>65</v>
      </c>
      <c r="H25" s="42" t="s">
        <v>237</v>
      </c>
      <c r="I25" s="33" t="s">
        <v>20</v>
      </c>
      <c r="J25" s="41" t="s">
        <v>245</v>
      </c>
      <c r="K25" s="45" t="str">
        <f t="shared" si="0"/>
        <v>lev BAD</v>
      </c>
      <c r="L25" s="34">
        <f t="shared" si="1"/>
        <v>42374.754166666666</v>
      </c>
      <c r="M25" s="43" t="str">
        <f t="shared" si="4"/>
        <v>"07160105_1029", "07160105_1127", "07160105_1234", "07160105_1333", "07160105_1429", "07160105_1709", "07160105_1806"</v>
      </c>
      <c r="N25" s="35">
        <f t="shared" si="2"/>
        <v>0.89654619289504645</v>
      </c>
      <c r="O25" s="35">
        <v>0.92700000000000005</v>
      </c>
      <c r="P25" s="34">
        <v>42374.684027777781</v>
      </c>
      <c r="Q25" s="35">
        <f>Q24</f>
        <v>1.8091370558482547E-2</v>
      </c>
      <c r="R25" s="35"/>
      <c r="S25" s="34"/>
      <c r="T25" s="36">
        <v>265</v>
      </c>
      <c r="V25" s="36">
        <f>(173+188)/2</f>
        <v>180.5</v>
      </c>
      <c r="Z25" s="36">
        <v>229</v>
      </c>
      <c r="AA25" s="36">
        <v>24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s="36" customFormat="1" thickBot="1">
      <c r="A26" s="32" t="s">
        <v>246</v>
      </c>
      <c r="B26" s="33" t="s">
        <v>17</v>
      </c>
      <c r="C26" s="33">
        <v>56</v>
      </c>
      <c r="D26" s="33" t="s">
        <v>41</v>
      </c>
      <c r="E26" s="33">
        <v>1000</v>
      </c>
      <c r="F26" s="33">
        <v>31</v>
      </c>
      <c r="G26" s="33" t="s">
        <v>65</v>
      </c>
      <c r="H26" s="42" t="s">
        <v>237</v>
      </c>
      <c r="I26" s="33" t="s">
        <v>20</v>
      </c>
      <c r="J26" s="41" t="s">
        <v>245</v>
      </c>
      <c r="K26" s="45" t="str">
        <f t="shared" si="0"/>
        <v>lev BAD</v>
      </c>
      <c r="L26" s="34">
        <f t="shared" si="1"/>
        <v>42374.793055555558</v>
      </c>
      <c r="M26" s="43" t="str">
        <f t="shared" si="4"/>
        <v>"07160105_1029", "07160105_1127", "07160105_1234", "07160105_1333", "07160105_1429", "07160105_1709", "07160105_1806", "07160105_1902"</v>
      </c>
      <c r="N26" s="35">
        <f t="shared" si="2"/>
        <v>0.87966091370579547</v>
      </c>
      <c r="O26" s="35">
        <v>0.92700000000000005</v>
      </c>
      <c r="P26" s="34">
        <v>42374.684027777781</v>
      </c>
      <c r="Q26" s="35">
        <f t="shared" ref="Q26:Q40" si="5">Q25</f>
        <v>1.8091370558482547E-2</v>
      </c>
      <c r="R26" s="35"/>
      <c r="S26" s="34"/>
      <c r="Z26" s="36">
        <v>209</v>
      </c>
      <c r="AA26" s="36">
        <v>34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s="36" customFormat="1" thickBot="1">
      <c r="A27" s="32" t="s">
        <v>247</v>
      </c>
      <c r="B27" s="33" t="s">
        <v>17</v>
      </c>
      <c r="C27" s="33">
        <v>56</v>
      </c>
      <c r="D27" s="33" t="s">
        <v>41</v>
      </c>
      <c r="E27" s="33">
        <v>1000</v>
      </c>
      <c r="F27" s="33">
        <v>31</v>
      </c>
      <c r="G27" s="33" t="s">
        <v>65</v>
      </c>
      <c r="H27" s="42" t="s">
        <v>237</v>
      </c>
      <c r="I27" s="33" t="s">
        <v>20</v>
      </c>
      <c r="J27" s="41" t="s">
        <v>245</v>
      </c>
      <c r="K27" s="45" t="str">
        <f t="shared" si="0"/>
        <v>lev BAD</v>
      </c>
      <c r="L27" s="34">
        <f t="shared" si="1"/>
        <v>42374.832638888889</v>
      </c>
      <c r="M27" s="43" t="str">
        <f t="shared" si="4"/>
        <v>"07160105_1029", "07160105_1127", "07160105_1234", "07160105_1333", "07160105_1429", "07160105_1709", "07160105_1806", "07160105_1902", "07160105_1959"</v>
      </c>
      <c r="N27" s="35">
        <f t="shared" si="2"/>
        <v>0.86247411167607946</v>
      </c>
      <c r="O27" s="35">
        <v>0.92700000000000005</v>
      </c>
      <c r="P27" s="34">
        <v>42374.684027777781</v>
      </c>
      <c r="Q27" s="35">
        <f t="shared" si="5"/>
        <v>1.8091370558482547E-2</v>
      </c>
      <c r="R27" s="35"/>
      <c r="S27" s="34"/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s="36" customFormat="1" thickBot="1">
      <c r="A28" s="32" t="s">
        <v>248</v>
      </c>
      <c r="B28" s="33" t="s">
        <v>17</v>
      </c>
      <c r="C28" s="33">
        <v>56</v>
      </c>
      <c r="D28" s="33" t="s">
        <v>41</v>
      </c>
      <c r="E28" s="33">
        <v>1000</v>
      </c>
      <c r="F28" s="33">
        <v>31</v>
      </c>
      <c r="G28" s="33" t="s">
        <v>65</v>
      </c>
      <c r="H28" s="42" t="s">
        <v>237</v>
      </c>
      <c r="I28" s="33" t="s">
        <v>20</v>
      </c>
      <c r="J28" s="41" t="s">
        <v>245</v>
      </c>
      <c r="K28" s="45" t="str">
        <f t="shared" si="0"/>
        <v>lev BAD</v>
      </c>
      <c r="L28" s="34">
        <f t="shared" si="1"/>
        <v>42374.87222222222</v>
      </c>
      <c r="M28" s="43" t="str">
        <f t="shared" si="4"/>
        <v>"07160105_1029", "07160105_1127", "07160105_1234", "07160105_1333", "07160105_1429", "07160105_1709", "07160105_1806", "07160105_1902", "07160105_1959", "07160105_2056"</v>
      </c>
      <c r="N28" s="35">
        <f t="shared" si="2"/>
        <v>0.84528730964636356</v>
      </c>
      <c r="O28" s="35">
        <v>0.92700000000000005</v>
      </c>
      <c r="P28" s="34">
        <v>42374.684027777781</v>
      </c>
      <c r="Q28" s="35">
        <f t="shared" si="5"/>
        <v>1.8091370558482547E-2</v>
      </c>
      <c r="R28" s="35"/>
      <c r="S28" s="34"/>
      <c r="T28" s="36">
        <v>187</v>
      </c>
      <c r="V28" s="36">
        <v>174</v>
      </c>
      <c r="Z28" s="36">
        <f>AVERAGE((Z18:Z26))</f>
        <v>239.66666666666666</v>
      </c>
      <c r="AA28" s="36">
        <f>AVERAGE((AA18:AA26))</f>
        <v>33.555555555555557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s="36" customFormat="1" thickBot="1">
      <c r="A29" s="32" t="s">
        <v>249</v>
      </c>
      <c r="B29" s="33" t="s">
        <v>17</v>
      </c>
      <c r="C29" s="33">
        <v>56</v>
      </c>
      <c r="D29" s="33" t="s">
        <v>41</v>
      </c>
      <c r="E29" s="33">
        <v>1000</v>
      </c>
      <c r="F29" s="33">
        <v>31</v>
      </c>
      <c r="G29" s="33" t="s">
        <v>65</v>
      </c>
      <c r="H29" s="42" t="s">
        <v>237</v>
      </c>
      <c r="I29" s="33" t="s">
        <v>20</v>
      </c>
      <c r="J29" s="41" t="s">
        <v>245</v>
      </c>
      <c r="K29" s="45" t="str">
        <f t="shared" si="0"/>
        <v>lev BAD</v>
      </c>
      <c r="L29" s="34">
        <f t="shared" si="1"/>
        <v>42374.911111111112</v>
      </c>
      <c r="M29" s="43" t="str">
        <f t="shared" si="4"/>
        <v>"07160105_1029", "07160105_1127", "07160105_1234", "07160105_1333", "07160105_1429", "07160105_1709", "07160105_1806", "07160105_1902", "07160105_1959", "07160105_2056", "07160105_2152"</v>
      </c>
      <c r="N29" s="35">
        <f t="shared" si="2"/>
        <v>0.82840203045711258</v>
      </c>
      <c r="O29" s="35">
        <v>0.92700000000000005</v>
      </c>
      <c r="P29" s="34">
        <v>42374.684027777781</v>
      </c>
      <c r="Q29" s="35">
        <f t="shared" si="5"/>
        <v>1.8091370558482547E-2</v>
      </c>
      <c r="R29" s="35"/>
      <c r="S29" s="34"/>
      <c r="Z29" s="36">
        <f>STDEV(Z18:Z26)</f>
        <v>62.437969217456136</v>
      </c>
      <c r="AA29" s="36">
        <f>STDEV(AA18:AA26)</f>
        <v>13.574895129531493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s="36" customFormat="1" thickBot="1">
      <c r="A30" s="32" t="s">
        <v>250</v>
      </c>
      <c r="B30" s="33" t="s">
        <v>17</v>
      </c>
      <c r="C30" s="33">
        <v>56</v>
      </c>
      <c r="D30" s="33" t="s">
        <v>41</v>
      </c>
      <c r="E30" s="33">
        <v>1000</v>
      </c>
      <c r="F30" s="33">
        <v>31</v>
      </c>
      <c r="G30" s="33" t="s">
        <v>65</v>
      </c>
      <c r="H30" s="42" t="s">
        <v>237</v>
      </c>
      <c r="I30" s="33" t="s">
        <v>20</v>
      </c>
      <c r="J30" s="41" t="s">
        <v>245</v>
      </c>
      <c r="K30" s="45" t="str">
        <f t="shared" si="0"/>
        <v>lev BAD</v>
      </c>
      <c r="L30" s="34">
        <f t="shared" si="1"/>
        <v>42374.950694444444</v>
      </c>
      <c r="M30" s="43" t="str">
        <f t="shared" si="4"/>
        <v>"07160105_1029", "07160105_1127", "07160105_1234", "07160105_1333", "07160105_1429", "07160105_1709", "07160105_1806", "07160105_1902", "07160105_1959", "07160105_2056", "07160105_2152", "07160105_2249"</v>
      </c>
      <c r="N30" s="35">
        <f t="shared" si="2"/>
        <v>0.81121522842739657</v>
      </c>
      <c r="O30" s="35">
        <v>0.92700000000000005</v>
      </c>
      <c r="P30" s="34">
        <v>42374.684027777781</v>
      </c>
      <c r="Q30" s="35">
        <f t="shared" si="5"/>
        <v>1.8091370558482547E-2</v>
      </c>
      <c r="R30" s="35"/>
      <c r="S30" s="34"/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s="36" customFormat="1" thickBot="1">
      <c r="A31" s="32" t="s">
        <v>251</v>
      </c>
      <c r="B31" s="33" t="s">
        <v>17</v>
      </c>
      <c r="C31" s="33">
        <v>56</v>
      </c>
      <c r="D31" s="33" t="s">
        <v>41</v>
      </c>
      <c r="E31" s="33">
        <v>1000</v>
      </c>
      <c r="F31" s="33">
        <v>31</v>
      </c>
      <c r="G31" s="33" t="s">
        <v>65</v>
      </c>
      <c r="H31" s="42" t="s">
        <v>237</v>
      </c>
      <c r="I31" s="33" t="s">
        <v>20</v>
      </c>
      <c r="J31" s="41" t="s">
        <v>75</v>
      </c>
      <c r="K31" s="45" t="str">
        <f t="shared" si="0"/>
        <v>lev BAD</v>
      </c>
      <c r="L31" s="34">
        <f t="shared" si="1"/>
        <v>42374.990277777775</v>
      </c>
      <c r="M31" s="43" t="str">
        <f t="shared" si="4"/>
        <v>"07160105_1029", "07160105_1127", "07160105_1234", "07160105_1333", "07160105_1429", "07160105_1709", "07160105_1806", "07160105_1902", "07160105_1959", "07160105_2056", "07160105_2152", "07160105_2249", "07160105_2346"</v>
      </c>
      <c r="N31" s="35">
        <f t="shared" si="2"/>
        <v>0.79402842639768068</v>
      </c>
      <c r="O31" s="35">
        <v>0.92700000000000005</v>
      </c>
      <c r="P31" s="34">
        <v>42374.684027777781</v>
      </c>
      <c r="Q31" s="35">
        <f t="shared" si="5"/>
        <v>1.8091370558482547E-2</v>
      </c>
      <c r="R31" s="35"/>
      <c r="S31" s="34"/>
      <c r="T31" s="36">
        <v>233</v>
      </c>
      <c r="V31" s="36">
        <v>99</v>
      </c>
      <c r="AC31" s="39">
        <v>7.8689800000000003E-10</v>
      </c>
      <c r="AD31" s="39">
        <v>5.1391900000000001E-10</v>
      </c>
      <c r="AE31" s="39">
        <v>4.7452499999999997E-10</v>
      </c>
      <c r="AF31" s="39">
        <v>3.9569000000000001E-10</v>
      </c>
      <c r="AG31" s="39">
        <v>4.1956900000000002E-10</v>
      </c>
      <c r="AH31" s="39">
        <v>6.0830600000000001E-10</v>
      </c>
      <c r="AI31" s="39">
        <v>2.8040099999999999E-10</v>
      </c>
      <c r="AJ31" s="39">
        <v>7.1055300000000002E-10</v>
      </c>
      <c r="AK31" s="39">
        <v>1.9284799999999999E-10</v>
      </c>
      <c r="AL31" s="39">
        <v>7.2776700000000004E-10</v>
      </c>
      <c r="AM31" s="39">
        <v>6.2632900000000004E-10</v>
      </c>
      <c r="AN31" s="39">
        <v>3.0886800000000002E-10</v>
      </c>
    </row>
    <row r="32" spans="1:40" thickBot="1">
      <c r="A32" s="29" t="s">
        <v>252</v>
      </c>
      <c r="B32" s="30" t="s">
        <v>17</v>
      </c>
      <c r="C32" s="30">
        <v>56</v>
      </c>
      <c r="D32" s="30" t="s">
        <v>41</v>
      </c>
      <c r="E32" s="30">
        <v>1000</v>
      </c>
      <c r="F32" s="30">
        <v>31</v>
      </c>
      <c r="G32" s="30" t="s">
        <v>65</v>
      </c>
      <c r="H32" s="42" t="s">
        <v>215</v>
      </c>
      <c r="I32" s="30" t="s">
        <v>20</v>
      </c>
      <c r="J32" s="40" t="s">
        <v>245</v>
      </c>
      <c r="K32" s="44" t="str">
        <f t="shared" si="0"/>
        <v>lev BAD</v>
      </c>
      <c r="L32" s="1">
        <f t="shared" si="1"/>
        <v>42375.029861111114</v>
      </c>
      <c r="M32" s="43" t="str">
        <f t="shared" si="4"/>
        <v>"07160105_1029", "07160105_1127", "07160105_1234", "07160105_1333", "07160105_1429", "07160105_1709", "07160105_1806", "07160105_1902", "07160105_1959", "07160105_2056", "07160105_2152", "07160105_2249", "07160105_2346", "07160106_0043"</v>
      </c>
      <c r="N32" s="11">
        <f t="shared" si="2"/>
        <v>0.77684162436480553</v>
      </c>
      <c r="O32" s="11">
        <v>0.92700000000000005</v>
      </c>
      <c r="P32" s="1">
        <v>42374.684027777781</v>
      </c>
      <c r="Q32" s="11">
        <f t="shared" si="5"/>
        <v>1.8091370558482547E-2</v>
      </c>
      <c r="R32" s="11"/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thickBot="1">
      <c r="A33" s="29" t="s">
        <v>253</v>
      </c>
      <c r="B33" s="30" t="s">
        <v>17</v>
      </c>
      <c r="C33" s="30">
        <v>56</v>
      </c>
      <c r="D33" s="30" t="s">
        <v>41</v>
      </c>
      <c r="E33" s="30">
        <v>1000</v>
      </c>
      <c r="F33" s="30">
        <v>32</v>
      </c>
      <c r="G33" s="30" t="s">
        <v>65</v>
      </c>
      <c r="H33" s="42" t="s">
        <v>215</v>
      </c>
      <c r="I33" s="30" t="s">
        <v>20</v>
      </c>
      <c r="J33" s="40" t="s">
        <v>75</v>
      </c>
      <c r="K33" s="44" t="str">
        <f t="shared" si="0"/>
        <v>lev BAD</v>
      </c>
      <c r="L33" s="1">
        <f t="shared" si="1"/>
        <v>42375.068749999999</v>
      </c>
      <c r="M33" s="43" t="str">
        <f t="shared" si="4"/>
        <v>"07160105_1029", "07160105_1127", "07160105_1234", "07160105_1333", "07160105_1429", "07160105_1709", "07160105_1806", "07160105_1902", "07160105_1959", "07160105_2056", "07160105_2152", "07160105_2249", "07160105_2346", "07160106_0043", "07160106_0139"</v>
      </c>
      <c r="N33" s="11">
        <f t="shared" si="2"/>
        <v>0.7599563451787138</v>
      </c>
      <c r="O33" s="11">
        <v>0.92700000000000005</v>
      </c>
      <c r="P33" s="1">
        <v>42374.684027777781</v>
      </c>
      <c r="Q33" s="11">
        <f t="shared" si="5"/>
        <v>1.8091370558482547E-2</v>
      </c>
      <c r="R33" s="11"/>
      <c r="AC33" s="39">
        <v>1.04813E-9</v>
      </c>
      <c r="AD33" s="39">
        <v>8.6123100000000004E-10</v>
      </c>
      <c r="AE33" s="39">
        <v>8.7228699999999997E-10</v>
      </c>
      <c r="AF33" s="39">
        <v>5.7116200000000004E-10</v>
      </c>
      <c r="AG33" s="39">
        <v>1.02634E-9</v>
      </c>
      <c r="AH33" s="39">
        <v>8.5037100000000004E-10</v>
      </c>
      <c r="AI33" s="39">
        <v>4.0133700000000001E-10</v>
      </c>
      <c r="AJ33" s="39">
        <v>1.0739399999999999E-9</v>
      </c>
      <c r="AK33" s="39">
        <v>3.4587299999999999E-10</v>
      </c>
      <c r="AL33" s="39">
        <v>1.0289E-9</v>
      </c>
      <c r="AM33" s="39">
        <v>8.9300000000000002E-10</v>
      </c>
      <c r="AN33" s="39">
        <v>6.9692100000000002E-10</v>
      </c>
    </row>
    <row r="34" spans="1:40" thickBot="1">
      <c r="A34" s="29" t="s">
        <v>254</v>
      </c>
      <c r="B34" s="30" t="s">
        <v>17</v>
      </c>
      <c r="C34" s="30">
        <v>56</v>
      </c>
      <c r="D34" s="30" t="s">
        <v>41</v>
      </c>
      <c r="E34" s="30">
        <v>1000</v>
      </c>
      <c r="F34" s="30">
        <v>32</v>
      </c>
      <c r="G34" s="30" t="s">
        <v>65</v>
      </c>
      <c r="H34" s="42" t="s">
        <v>215</v>
      </c>
      <c r="I34" s="30" t="s">
        <v>20</v>
      </c>
      <c r="J34" s="40" t="s">
        <v>75</v>
      </c>
      <c r="K34" s="44" t="str">
        <f t="shared" si="0"/>
        <v>lev BAD</v>
      </c>
      <c r="L34" s="1">
        <f t="shared" si="1"/>
        <v>42375.10833333333</v>
      </c>
      <c r="M34" s="43" t="str">
        <f t="shared" si="4"/>
        <v>"07160105_1029", "07160105_1127", "07160105_1234", "07160105_1333", "07160105_1429", "07160105_1709", "07160105_1806", "07160105_1902", "07160105_1959", "07160105_2056", "07160105_2152", "07160105_2249", "07160105_2346", "07160106_0043", "07160106_0139", "07160106_0236"</v>
      </c>
      <c r="N34" s="11">
        <f t="shared" si="2"/>
        <v>0.74276954314899779</v>
      </c>
      <c r="O34" s="11">
        <v>0.92700000000000005</v>
      </c>
      <c r="P34" s="1">
        <v>42374.684027777781</v>
      </c>
      <c r="Q34" s="11">
        <f t="shared" si="5"/>
        <v>1.8091370558482547E-2</v>
      </c>
      <c r="R34" s="11"/>
      <c r="T34">
        <v>240</v>
      </c>
      <c r="U34">
        <v>34</v>
      </c>
      <c r="V34">
        <v>34</v>
      </c>
      <c r="X34">
        <v>14</v>
      </c>
      <c r="AC34" s="39">
        <v>5.9713799999999995E-10</v>
      </c>
      <c r="AD34" s="39">
        <v>4.7294200000000004E-10</v>
      </c>
      <c r="AE34" s="39">
        <v>4.8454299999999999E-10</v>
      </c>
      <c r="AF34" s="39">
        <v>3.51587E-10</v>
      </c>
      <c r="AG34" s="39">
        <v>5.8404600000000003E-10</v>
      </c>
      <c r="AH34" s="39">
        <v>5.1610699999999996E-10</v>
      </c>
      <c r="AI34" s="39">
        <v>2.2627000000000001E-10</v>
      </c>
      <c r="AJ34" s="39">
        <v>6.2206899999999999E-10</v>
      </c>
      <c r="AK34" s="39">
        <v>2.0724E-10</v>
      </c>
      <c r="AL34" s="39">
        <v>6.3784800000000001E-10</v>
      </c>
      <c r="AM34" s="39">
        <v>5.1150499999999998E-10</v>
      </c>
      <c r="AN34" s="39">
        <v>3.8352300000000001E-10</v>
      </c>
    </row>
    <row r="35" spans="1:40" thickBot="1">
      <c r="A35" s="29" t="s">
        <v>255</v>
      </c>
      <c r="B35" s="30" t="s">
        <v>17</v>
      </c>
      <c r="C35" s="30">
        <v>56</v>
      </c>
      <c r="D35" s="30" t="s">
        <v>41</v>
      </c>
      <c r="E35" s="30">
        <v>1000</v>
      </c>
      <c r="F35" s="30">
        <v>31</v>
      </c>
      <c r="G35" s="30" t="s">
        <v>65</v>
      </c>
      <c r="H35" s="42" t="s">
        <v>215</v>
      </c>
      <c r="I35" s="30" t="s">
        <v>20</v>
      </c>
      <c r="J35" s="40" t="s">
        <v>75</v>
      </c>
      <c r="K35" s="44" t="str">
        <f t="shared" si="0"/>
        <v>lev BAD</v>
      </c>
      <c r="L35" s="1">
        <f t="shared" si="1"/>
        <v>42375.147916666669</v>
      </c>
      <c r="M35" s="43" t="str">
        <f t="shared" si="4"/>
        <v>"07160105_1029", "07160105_1127", "07160105_1234", "07160105_1333", "07160105_1429", "07160105_1709", "07160105_1806", "07160105_1902", "07160105_1959", "07160105_2056", "07160105_2152", "07160105_2249", "07160105_2346", "07160106_0043", "07160106_0139", "07160106_0236", "07160106_0333"</v>
      </c>
      <c r="N35" s="11">
        <f t="shared" si="2"/>
        <v>0.72558274111612264</v>
      </c>
      <c r="O35" s="11">
        <v>0.92700000000000005</v>
      </c>
      <c r="P35" s="1">
        <v>42374.684027777781</v>
      </c>
      <c r="Q35" s="11">
        <f t="shared" si="5"/>
        <v>1.8091370558482547E-2</v>
      </c>
      <c r="R35" s="11"/>
      <c r="AC35" s="39">
        <v>3.3601199999999998E-10</v>
      </c>
      <c r="AD35" s="39">
        <v>2.5929400000000003E-10</v>
      </c>
      <c r="AE35" s="39">
        <v>2.6187E-10</v>
      </c>
      <c r="AF35" s="39">
        <v>1.8044100000000001E-10</v>
      </c>
      <c r="AG35" s="39">
        <v>2.7326599999999999E-10</v>
      </c>
      <c r="AH35" s="39">
        <v>2.61219E-10</v>
      </c>
      <c r="AI35" s="39">
        <v>1.2686800000000001E-10</v>
      </c>
      <c r="AJ35" s="39">
        <v>3.3737499999999999E-10</v>
      </c>
      <c r="AK35" s="39">
        <v>1.0743400000000001E-10</v>
      </c>
      <c r="AL35" s="39">
        <v>3.25926E-10</v>
      </c>
      <c r="AM35" s="39">
        <v>2.8336599999999999E-10</v>
      </c>
      <c r="AN35" s="39">
        <v>2.1704300000000001E-10</v>
      </c>
    </row>
    <row r="36" spans="1:40" thickBot="1">
      <c r="A36" s="29" t="s">
        <v>256</v>
      </c>
      <c r="B36" s="30" t="s">
        <v>17</v>
      </c>
      <c r="C36" s="30">
        <v>56</v>
      </c>
      <c r="D36" s="30" t="s">
        <v>41</v>
      </c>
      <c r="E36" s="30">
        <v>1000</v>
      </c>
      <c r="F36" s="30">
        <v>31</v>
      </c>
      <c r="G36" s="30" t="s">
        <v>65</v>
      </c>
      <c r="H36" s="42" t="s">
        <v>215</v>
      </c>
      <c r="I36" s="30" t="s">
        <v>20</v>
      </c>
      <c r="J36" s="40" t="s">
        <v>75</v>
      </c>
      <c r="K36" s="44" t="str">
        <f t="shared" si="0"/>
        <v>lev BAD</v>
      </c>
      <c r="L36" s="1">
        <f t="shared" si="1"/>
        <v>42375.186805555553</v>
      </c>
      <c r="M36" s="43" t="str">
        <f t="shared" si="4"/>
        <v>"07160105_1029", "07160105_1127", "07160105_1234", "07160105_1333", "07160105_1429", "07160105_1709", "07160105_1806", "07160105_1902", "07160105_1959", "07160105_2056", "07160105_2152", "07160105_2249", "07160105_2346", "07160106_0043", "07160106_0139", "07160106_0236", "07160106_0333", "07160106_0429"</v>
      </c>
      <c r="N36" s="11">
        <f t="shared" si="2"/>
        <v>0.70869746193003091</v>
      </c>
      <c r="O36" s="11">
        <v>0.92700000000000005</v>
      </c>
      <c r="P36" s="1">
        <v>42374.684027777781</v>
      </c>
      <c r="Q36" s="11">
        <f t="shared" si="5"/>
        <v>1.8091370558482547E-2</v>
      </c>
      <c r="R36" s="11"/>
      <c r="AC36" s="39">
        <v>1.8630299999999999E-10</v>
      </c>
      <c r="AD36" s="39">
        <v>1.46459E-10</v>
      </c>
      <c r="AE36" s="39">
        <v>1.62945E-10</v>
      </c>
      <c r="AF36" s="39">
        <v>1.09009E-10</v>
      </c>
      <c r="AG36" s="39">
        <v>1.80784E-10</v>
      </c>
      <c r="AH36" s="39">
        <v>1.6676100000000001E-10</v>
      </c>
      <c r="AI36" s="39">
        <v>7.4580799999999999E-11</v>
      </c>
      <c r="AJ36" s="39">
        <v>2.05643E-10</v>
      </c>
      <c r="AK36" s="39">
        <v>7.5558299999999996E-11</v>
      </c>
      <c r="AL36" s="39">
        <v>1.8570299999999999E-10</v>
      </c>
      <c r="AM36" s="39">
        <v>1.64102E-10</v>
      </c>
      <c r="AN36" s="39">
        <v>1.6997000000000001E-10</v>
      </c>
    </row>
    <row r="37" spans="1:40" thickBot="1">
      <c r="A37" s="29" t="s">
        <v>257</v>
      </c>
      <c r="B37" s="30" t="s">
        <v>17</v>
      </c>
      <c r="C37" s="30">
        <v>56</v>
      </c>
      <c r="D37" s="30" t="s">
        <v>41</v>
      </c>
      <c r="E37" s="30">
        <v>1000</v>
      </c>
      <c r="F37" s="30">
        <v>31</v>
      </c>
      <c r="G37" s="30" t="s">
        <v>65</v>
      </c>
      <c r="H37" s="42" t="s">
        <v>215</v>
      </c>
      <c r="I37" s="30" t="s">
        <v>20</v>
      </c>
      <c r="J37" s="40" t="s">
        <v>75</v>
      </c>
      <c r="K37" s="44" t="str">
        <f t="shared" si="0"/>
        <v>lev OK</v>
      </c>
      <c r="L37" s="1">
        <f t="shared" si="1"/>
        <v>42375.226388888892</v>
      </c>
      <c r="M37" s="43" t="str">
        <f t="shared" si="4"/>
        <v>"07160105_1029", "07160105_1127", "07160105_1234", "07160105_1333", "07160105_1429", "07160105_1709", "07160105_1806", "07160105_1902", "07160105_1959", "07160105_2056", "07160105_2152", "07160105_2249", "07160105_2346", "07160106_0043", "07160106_0139", "07160106_0236", "07160106_0333", "07160106_0429", "07160106_0526"</v>
      </c>
      <c r="N37" s="11">
        <f t="shared" si="2"/>
        <v>0.69151065989715577</v>
      </c>
      <c r="O37" s="11">
        <v>0.92700000000000005</v>
      </c>
      <c r="P37" s="1">
        <v>42374.684027777781</v>
      </c>
      <c r="Q37" s="11">
        <f t="shared" si="5"/>
        <v>1.8091370558482547E-2</v>
      </c>
      <c r="R37" s="11"/>
      <c r="AC37" s="39">
        <v>1.11206E-10</v>
      </c>
      <c r="AD37" s="39">
        <v>1.16848E-10</v>
      </c>
      <c r="AE37" s="39">
        <v>1.0163500000000001E-10</v>
      </c>
      <c r="AF37" s="39">
        <v>6.8838999999999996E-11</v>
      </c>
      <c r="AG37" s="39">
        <v>1.02603E-10</v>
      </c>
      <c r="AH37" s="39">
        <v>1.1114199999999999E-10</v>
      </c>
      <c r="AI37" s="39">
        <v>4.86547E-11</v>
      </c>
      <c r="AJ37" s="39">
        <v>1.2566099999999999E-10</v>
      </c>
      <c r="AK37" s="39">
        <v>5.36598E-11</v>
      </c>
      <c r="AL37" s="39">
        <v>1.13815E-10</v>
      </c>
      <c r="AM37" s="39">
        <v>1.0069E-10</v>
      </c>
      <c r="AN37" s="39">
        <v>1.5864999999999999E-10</v>
      </c>
    </row>
    <row r="38" spans="1:40" thickBot="1">
      <c r="A38" s="29" t="s">
        <v>258</v>
      </c>
      <c r="B38" s="30" t="s">
        <v>17</v>
      </c>
      <c r="C38" s="30">
        <v>56</v>
      </c>
      <c r="D38" s="30" t="s">
        <v>41</v>
      </c>
      <c r="E38" s="30">
        <v>1000</v>
      </c>
      <c r="F38" s="30">
        <v>31</v>
      </c>
      <c r="G38" s="30" t="s">
        <v>65</v>
      </c>
      <c r="H38" s="42" t="s">
        <v>215</v>
      </c>
      <c r="I38" s="30" t="s">
        <v>20</v>
      </c>
      <c r="J38" s="40" t="s">
        <v>75</v>
      </c>
      <c r="K38" s="44" t="str">
        <f t="shared" si="0"/>
        <v>lev OK</v>
      </c>
      <c r="L38" s="1">
        <f t="shared" si="1"/>
        <v>42375.265972222223</v>
      </c>
      <c r="M38" s="43" t="str">
        <f t="shared" si="4"/>
        <v>"07160105_1029", "07160105_1127", "07160105_1234", "07160105_1333", "07160105_1429", "07160105_1709", "07160105_1806", "07160105_1902", "07160105_1959", "07160105_2056", "07160105_2152", "07160105_2249", "07160105_2346", "07160106_0043", "07160106_0139", "07160106_0236", "07160106_0333", "07160106_0429", "07160106_0526", "07160106_0623"</v>
      </c>
      <c r="N38" s="11">
        <f t="shared" si="2"/>
        <v>0.67432385786743976</v>
      </c>
      <c r="O38" s="11">
        <v>0.92700000000000005</v>
      </c>
      <c r="P38" s="1">
        <v>42374.684027777781</v>
      </c>
      <c r="Q38" s="11">
        <f t="shared" si="5"/>
        <v>1.8091370558482547E-2</v>
      </c>
      <c r="R38" s="11"/>
      <c r="AC38" s="39">
        <v>1.3230100000000001E-10</v>
      </c>
      <c r="AD38" s="39">
        <v>9.9410300000000001E-11</v>
      </c>
      <c r="AE38" s="39">
        <v>1.06727E-10</v>
      </c>
      <c r="AF38" s="39">
        <v>7.6519900000000005E-11</v>
      </c>
      <c r="AG38" s="39">
        <v>1.11215E-10</v>
      </c>
      <c r="AH38" s="39">
        <v>1.2226700000000001E-10</v>
      </c>
      <c r="AI38" s="39">
        <v>5.6437599999999999E-11</v>
      </c>
      <c r="AJ38" s="39">
        <v>1.4134400000000001E-10</v>
      </c>
      <c r="AK38" s="39">
        <v>5.88432E-11</v>
      </c>
      <c r="AL38" s="39">
        <v>1.2855300000000001E-10</v>
      </c>
      <c r="AM38" s="39">
        <v>1.16178E-10</v>
      </c>
      <c r="AN38" s="39">
        <v>1.4655199999999999E-10</v>
      </c>
    </row>
    <row r="39" spans="1:40" thickBot="1">
      <c r="A39" s="29" t="s">
        <v>259</v>
      </c>
      <c r="B39" s="30" t="s">
        <v>17</v>
      </c>
      <c r="C39" s="30">
        <v>56</v>
      </c>
      <c r="D39" s="30" t="s">
        <v>41</v>
      </c>
      <c r="E39" s="30">
        <v>1000</v>
      </c>
      <c r="F39" s="30">
        <v>31</v>
      </c>
      <c r="G39" s="30" t="s">
        <v>65</v>
      </c>
      <c r="H39" s="42" t="s">
        <v>215</v>
      </c>
      <c r="I39" s="30" t="s">
        <v>20</v>
      </c>
      <c r="J39" s="40" t="s">
        <v>75</v>
      </c>
      <c r="K39" s="44" t="str">
        <f t="shared" si="0"/>
        <v>lev OK</v>
      </c>
      <c r="L39" s="1">
        <f t="shared" si="1"/>
        <v>42375.305555555555</v>
      </c>
      <c r="M39" s="43" t="str">
        <f t="shared" si="4"/>
        <v>"07160105_1029", "07160105_1127", "07160105_1234", "07160105_1333", "07160105_1429", "07160105_1709", "07160105_1806", "07160105_1902", "07160105_1959", "07160105_2056", "07160105_2152", "07160105_2249", "07160105_2346", "07160106_0043", "07160106_0139", "07160106_0236", "07160106_0333", "07160106_0429", "07160106_0526", "07160106_0623", "07160106_0720"</v>
      </c>
      <c r="N39" s="11">
        <f t="shared" si="2"/>
        <v>0.65713705583772386</v>
      </c>
      <c r="O39" s="11">
        <v>0.92700000000000005</v>
      </c>
      <c r="P39" s="1">
        <v>42374.684027777781</v>
      </c>
      <c r="Q39" s="11">
        <f t="shared" si="5"/>
        <v>1.8091370558482547E-2</v>
      </c>
      <c r="R39" s="11"/>
      <c r="AC39" s="39">
        <v>1.75815E-10</v>
      </c>
      <c r="AD39" s="39">
        <v>1.3369000000000001E-10</v>
      </c>
      <c r="AE39" s="39">
        <v>1.48346E-10</v>
      </c>
      <c r="AF39" s="39">
        <v>1.13396E-10</v>
      </c>
      <c r="AG39" s="39">
        <v>1.5746500000000001E-10</v>
      </c>
      <c r="AH39" s="39">
        <v>1.6251800000000001E-10</v>
      </c>
      <c r="AI39" s="39">
        <v>7.3160800000000005E-11</v>
      </c>
      <c r="AJ39" s="39">
        <v>1.9316999999999999E-10</v>
      </c>
      <c r="AK39" s="39">
        <v>7.4537300000000001E-11</v>
      </c>
      <c r="AL39" s="39">
        <v>1.7758E-10</v>
      </c>
      <c r="AM39" s="39">
        <v>1.5668200000000001E-10</v>
      </c>
      <c r="AN39" s="39">
        <v>1.8358E-10</v>
      </c>
    </row>
    <row r="40" spans="1:40" thickBot="1">
      <c r="A40" s="29" t="s">
        <v>260</v>
      </c>
      <c r="B40" s="30" t="s">
        <v>17</v>
      </c>
      <c r="C40" s="30">
        <v>56</v>
      </c>
      <c r="D40" s="30" t="s">
        <v>41</v>
      </c>
      <c r="E40" s="30">
        <v>1000</v>
      </c>
      <c r="F40" s="30">
        <v>31</v>
      </c>
      <c r="G40" s="30" t="s">
        <v>65</v>
      </c>
      <c r="H40" s="42" t="s">
        <v>215</v>
      </c>
      <c r="I40" s="30" t="s">
        <v>20</v>
      </c>
      <c r="J40" s="40" t="s">
        <v>75</v>
      </c>
      <c r="K40" s="44" t="str">
        <f t="shared" si="0"/>
        <v>lev OK</v>
      </c>
      <c r="L40" s="1">
        <f t="shared" si="1"/>
        <v>42375.344444444447</v>
      </c>
      <c r="M40" s="43" t="str">
        <f t="shared" si="4"/>
        <v>"07160105_1029", "07160105_1127", "07160105_1234", "07160105_1333", "07160105_1429", "07160105_1709", "07160105_1806", "07160105_1902", "07160105_1959", "07160105_2056", "07160105_2152", "07160105_2249", "07160105_2346", "07160106_0043", "07160106_0139", "07160106_0236", "07160106_0333", "07160106_0429", "07160106_0526", "07160106_0623", "07160106_0720", "07160106_0816"</v>
      </c>
      <c r="N40" s="11">
        <f t="shared" si="2"/>
        <v>0.64025177664847288</v>
      </c>
      <c r="O40" s="11">
        <v>0.92700000000000005</v>
      </c>
      <c r="P40" s="1">
        <v>42374.684027777781</v>
      </c>
      <c r="Q40" s="11">
        <f t="shared" si="5"/>
        <v>1.8091370558482547E-2</v>
      </c>
      <c r="R40" s="11"/>
      <c r="AC40" s="39">
        <v>1.2724899999999999E-10</v>
      </c>
      <c r="AD40" s="39">
        <v>1.00757E-10</v>
      </c>
      <c r="AE40" s="39">
        <v>1.07548E-10</v>
      </c>
      <c r="AF40" s="39">
        <v>7.7098499999999997E-11</v>
      </c>
      <c r="AG40" s="39">
        <v>1.1960699999999999E-10</v>
      </c>
      <c r="AH40" s="39">
        <v>1.2118299999999999E-10</v>
      </c>
      <c r="AI40" s="39">
        <v>5.4692900000000001E-11</v>
      </c>
      <c r="AJ40" s="39">
        <v>1.41108E-10</v>
      </c>
      <c r="AK40" s="39">
        <v>5.6044600000000001E-11</v>
      </c>
      <c r="AL40" s="39">
        <v>1.28139E-10</v>
      </c>
      <c r="AM40" s="39">
        <v>1.1788399999999999E-10</v>
      </c>
      <c r="AN40" s="39">
        <v>2.02328E-10</v>
      </c>
    </row>
    <row r="41" spans="1:40" thickBot="1">
      <c r="A41" s="29" t="s">
        <v>261</v>
      </c>
      <c r="B41" s="30" t="s">
        <v>17</v>
      </c>
      <c r="C41" s="30">
        <v>56</v>
      </c>
      <c r="D41" s="30" t="s">
        <v>41</v>
      </c>
      <c r="E41" s="30">
        <v>1000</v>
      </c>
      <c r="F41" s="30">
        <v>32</v>
      </c>
      <c r="G41" s="30" t="s">
        <v>18</v>
      </c>
      <c r="H41" s="42" t="s">
        <v>215</v>
      </c>
      <c r="I41" s="30" t="s">
        <v>20</v>
      </c>
      <c r="J41" s="40" t="s">
        <v>75</v>
      </c>
      <c r="K41" s="44" t="str">
        <f t="shared" si="0"/>
        <v>lev OK</v>
      </c>
      <c r="L41" s="1">
        <f t="shared" si="1"/>
        <v>42375.456944444442</v>
      </c>
      <c r="M41" s="43" t="s">
        <v>262</v>
      </c>
      <c r="N41" s="11">
        <f t="shared" si="2"/>
        <v>0.58669787234127013</v>
      </c>
      <c r="O41" s="11">
        <v>0.63</v>
      </c>
      <c r="P41" s="1">
        <v>42375.368055555555</v>
      </c>
      <c r="Q41" s="11">
        <f>(O41-R41)/(S41-P41)/24</f>
        <v>2.0297872340324982E-2</v>
      </c>
      <c r="R41" s="11">
        <v>0.47099999999999997</v>
      </c>
      <c r="S41" s="1">
        <v>42375.694444444445</v>
      </c>
      <c r="AC41" s="39">
        <v>1.67815E-10</v>
      </c>
      <c r="AD41" s="39">
        <v>1.3945599999999999E-10</v>
      </c>
      <c r="AE41" s="39">
        <v>1.41714E-10</v>
      </c>
      <c r="AF41" s="39">
        <v>9.5883300000000001E-11</v>
      </c>
      <c r="AG41" s="39">
        <v>1.8355700000000001E-10</v>
      </c>
      <c r="AH41" s="39">
        <v>1.52133E-10</v>
      </c>
      <c r="AI41" s="39">
        <v>6.6636600000000004E-11</v>
      </c>
      <c r="AJ41" s="39">
        <v>1.79403E-10</v>
      </c>
      <c r="AK41" s="39">
        <v>6.3738199999999999E-11</v>
      </c>
      <c r="AL41" s="39">
        <v>1.7326E-10</v>
      </c>
      <c r="AM41" s="39">
        <v>1.49117E-10</v>
      </c>
      <c r="AN41" s="39">
        <v>1.7563599999999999E-10</v>
      </c>
    </row>
    <row r="42" spans="1:40" thickBot="1">
      <c r="A42" s="29" t="s">
        <v>263</v>
      </c>
      <c r="B42" s="30" t="s">
        <v>17</v>
      </c>
      <c r="C42" s="30">
        <v>56</v>
      </c>
      <c r="D42" s="30" t="s">
        <v>41</v>
      </c>
      <c r="E42" s="30">
        <v>1000</v>
      </c>
      <c r="F42" s="30">
        <v>31</v>
      </c>
      <c r="G42" s="30" t="s">
        <v>18</v>
      </c>
      <c r="H42" s="42" t="s">
        <v>215</v>
      </c>
      <c r="I42" s="30" t="s">
        <v>20</v>
      </c>
      <c r="J42" s="40" t="s">
        <v>75</v>
      </c>
      <c r="K42" s="44" t="str">
        <f t="shared" si="0"/>
        <v>lev OK</v>
      </c>
      <c r="L42" s="1">
        <f t="shared" si="1"/>
        <v>42375.496527777781</v>
      </c>
      <c r="M42" s="43" t="s">
        <v>262</v>
      </c>
      <c r="N42" s="11">
        <f t="shared" si="2"/>
        <v>0.56741489361536213</v>
      </c>
      <c r="O42" s="11">
        <v>0.63</v>
      </c>
      <c r="P42" s="1">
        <v>42375.368055555555</v>
      </c>
      <c r="Q42" s="11">
        <f>Q41</f>
        <v>2.0297872340324982E-2</v>
      </c>
      <c r="R42" s="11"/>
      <c r="AC42" s="39">
        <v>9.8872499999999999E-11</v>
      </c>
      <c r="AD42" s="39">
        <v>7.8927600000000003E-11</v>
      </c>
      <c r="AE42" s="39">
        <v>8.8293100000000006E-11</v>
      </c>
      <c r="AF42" s="39">
        <v>6.4845199999999996E-11</v>
      </c>
      <c r="AG42" s="39">
        <v>1.0910499999999999E-10</v>
      </c>
      <c r="AH42" s="39">
        <v>1.02234E-10</v>
      </c>
      <c r="AI42" s="39">
        <v>4.2009200000000002E-11</v>
      </c>
      <c r="AJ42" s="39">
        <v>1.2092900000000001E-10</v>
      </c>
      <c r="AK42" s="39">
        <v>4.5856899999999998E-11</v>
      </c>
      <c r="AL42" s="39">
        <v>9.8474299999999998E-11</v>
      </c>
      <c r="AM42" s="39">
        <v>8.7510299999999996E-11</v>
      </c>
      <c r="AN42" s="39">
        <v>1.55545E-10</v>
      </c>
    </row>
    <row r="43" spans="1:40" thickBot="1">
      <c r="A43" s="29" t="s">
        <v>264</v>
      </c>
      <c r="B43" s="30" t="s">
        <v>17</v>
      </c>
      <c r="C43" s="30">
        <v>56</v>
      </c>
      <c r="D43" s="30" t="s">
        <v>41</v>
      </c>
      <c r="E43" s="30">
        <v>1000</v>
      </c>
      <c r="F43" s="30">
        <v>1</v>
      </c>
      <c r="G43" s="30" t="s">
        <v>18</v>
      </c>
      <c r="H43" s="42" t="s">
        <v>265</v>
      </c>
      <c r="I43" s="30" t="s">
        <v>20</v>
      </c>
      <c r="J43" s="40" t="s">
        <v>75</v>
      </c>
      <c r="K43" s="44" t="str">
        <f t="shared" si="0"/>
        <v>lev BAD</v>
      </c>
      <c r="L43" s="1">
        <f t="shared" si="1"/>
        <v>42375.73333333333</v>
      </c>
      <c r="M43" s="43" t="s">
        <v>191</v>
      </c>
      <c r="N43" s="11">
        <f t="shared" si="2"/>
        <v>0.93936296296303035</v>
      </c>
      <c r="O43" s="11">
        <v>0.94399999999999995</v>
      </c>
      <c r="P43" s="1">
        <v>42375.722222222219</v>
      </c>
      <c r="Q43" s="11">
        <f>(O43-R43)/(S43-P43)/24</f>
        <v>1.7388888888888888E-2</v>
      </c>
      <c r="R43" s="11">
        <v>0.63100000000000001</v>
      </c>
      <c r="S43" s="1">
        <v>42376.472222222219</v>
      </c>
      <c r="AC43" s="39">
        <v>7.1719000000000003E-11</v>
      </c>
      <c r="AD43" s="39">
        <v>4.89134E-11</v>
      </c>
      <c r="AE43" s="39">
        <v>5.3111900000000003E-11</v>
      </c>
      <c r="AF43" s="39">
        <v>4.8864699999999999E-11</v>
      </c>
      <c r="AG43" s="39">
        <v>8.5527000000000001E-11</v>
      </c>
      <c r="AH43" s="39">
        <v>5.9431200000000003E-11</v>
      </c>
      <c r="AI43" s="39">
        <v>3.3942800000000002E-11</v>
      </c>
      <c r="AJ43" s="39">
        <v>7.1294000000000002E-11</v>
      </c>
      <c r="AK43" s="39">
        <v>3.8500799999999999E-11</v>
      </c>
      <c r="AL43" s="39">
        <v>5.7325499999999998E-11</v>
      </c>
      <c r="AM43" s="39">
        <v>5.5241400000000002E-11</v>
      </c>
      <c r="AN43" s="39">
        <v>4.6350299999999999E-11</v>
      </c>
    </row>
    <row r="44" spans="1:40" thickBot="1">
      <c r="A44" s="29" t="s">
        <v>266</v>
      </c>
      <c r="B44" s="30" t="s">
        <v>17</v>
      </c>
      <c r="C44" s="30">
        <v>56</v>
      </c>
      <c r="D44" s="30" t="s">
        <v>41</v>
      </c>
      <c r="E44" s="30">
        <v>0</v>
      </c>
      <c r="F44" s="30">
        <v>1</v>
      </c>
      <c r="G44" s="30" t="s">
        <v>18</v>
      </c>
      <c r="H44" s="42" t="s">
        <v>265</v>
      </c>
      <c r="I44" s="30" t="s">
        <v>20</v>
      </c>
      <c r="J44" s="40" t="s">
        <v>245</v>
      </c>
      <c r="K44" s="44" t="str">
        <f t="shared" si="0"/>
        <v>lev BAD</v>
      </c>
      <c r="L44" s="1">
        <f t="shared" si="1"/>
        <v>42375.73541666667</v>
      </c>
      <c r="M44" s="43" t="s">
        <v>191</v>
      </c>
      <c r="N44" s="11">
        <f t="shared" si="2"/>
        <v>0.93849351851575191</v>
      </c>
      <c r="O44" s="11">
        <v>0.94399999999999995</v>
      </c>
      <c r="P44" s="1">
        <v>42375.722222222219</v>
      </c>
      <c r="Q44" s="11">
        <f>Q43</f>
        <v>1.7388888888888888E-2</v>
      </c>
      <c r="R44" s="11"/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thickBot="1">
      <c r="A45" s="29" t="s">
        <v>267</v>
      </c>
      <c r="B45" s="30" t="s">
        <v>17</v>
      </c>
      <c r="C45" s="30">
        <v>56</v>
      </c>
      <c r="D45" s="30" t="s">
        <v>41</v>
      </c>
      <c r="E45" s="30">
        <v>0</v>
      </c>
      <c r="F45" s="30">
        <v>1</v>
      </c>
      <c r="G45" s="30" t="s">
        <v>268</v>
      </c>
      <c r="H45" s="42" t="s">
        <v>265</v>
      </c>
      <c r="I45" s="30" t="s">
        <v>20</v>
      </c>
      <c r="J45" s="40" t="s">
        <v>245</v>
      </c>
      <c r="K45" s="44" t="str">
        <f t="shared" si="0"/>
        <v>lev BAD</v>
      </c>
      <c r="L45" s="1">
        <f t="shared" si="1"/>
        <v>42375.751388888886</v>
      </c>
      <c r="M45" s="43" t="s">
        <v>191</v>
      </c>
      <c r="N45" s="11">
        <f t="shared" si="2"/>
        <v>0.93182777777757531</v>
      </c>
      <c r="O45" s="11">
        <v>0.94399999999999995</v>
      </c>
      <c r="P45" s="1">
        <v>42375.722222222219</v>
      </c>
      <c r="Q45" s="11">
        <f t="shared" ref="Q45:Q63" si="6">Q44</f>
        <v>1.7388888888888888E-2</v>
      </c>
      <c r="R45" s="11"/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thickBot="1">
      <c r="A46" s="29" t="s">
        <v>269</v>
      </c>
      <c r="B46" s="30" t="s">
        <v>17</v>
      </c>
      <c r="C46" s="30">
        <v>56</v>
      </c>
      <c r="D46" s="30" t="s">
        <v>41</v>
      </c>
      <c r="E46" s="30">
        <v>1000</v>
      </c>
      <c r="F46" s="30">
        <v>31</v>
      </c>
      <c r="G46" s="30" t="s">
        <v>268</v>
      </c>
      <c r="H46" s="42" t="s">
        <v>215</v>
      </c>
      <c r="I46" s="30" t="s">
        <v>20</v>
      </c>
      <c r="J46" s="40" t="s">
        <v>75</v>
      </c>
      <c r="K46" s="44" t="str">
        <f t="shared" si="0"/>
        <v>lev BAD</v>
      </c>
      <c r="L46" s="1">
        <f t="shared" si="1"/>
        <v>42375.777777777781</v>
      </c>
      <c r="M46" s="43" t="s">
        <v>270</v>
      </c>
      <c r="N46" s="11">
        <f t="shared" si="2"/>
        <v>0.92081481481211569</v>
      </c>
      <c r="O46" s="11">
        <v>0.94399999999999995</v>
      </c>
      <c r="P46" s="1">
        <v>42375.722222222219</v>
      </c>
      <c r="Q46" s="11">
        <f t="shared" si="6"/>
        <v>1.7388888888888888E-2</v>
      </c>
      <c r="R46" s="11"/>
      <c r="Z46">
        <v>105</v>
      </c>
      <c r="AA46">
        <v>72</v>
      </c>
      <c r="AC46" s="39">
        <v>8.8754399999999995E-10</v>
      </c>
      <c r="AD46" s="39">
        <v>7.1623899999999999E-10</v>
      </c>
      <c r="AE46" s="39">
        <v>7.3189599999999999E-10</v>
      </c>
      <c r="AF46" s="39">
        <v>5.0774900000000002E-10</v>
      </c>
      <c r="AG46" s="39">
        <v>7.4980399999999997E-10</v>
      </c>
      <c r="AH46" s="39">
        <v>7.6299600000000002E-10</v>
      </c>
      <c r="AI46" s="39">
        <v>3.4657400000000001E-10</v>
      </c>
      <c r="AJ46" s="39">
        <v>9.2528900000000001E-10</v>
      </c>
      <c r="AK46" s="39">
        <v>2.87194E-10</v>
      </c>
      <c r="AL46" s="39">
        <v>8.9107300000000003E-10</v>
      </c>
      <c r="AM46" s="39">
        <v>7.7065499999999996E-10</v>
      </c>
      <c r="AN46" s="39">
        <v>5.6965400000000003E-10</v>
      </c>
    </row>
    <row r="47" spans="1:40" thickBot="1">
      <c r="A47" s="29" t="s">
        <v>271</v>
      </c>
      <c r="B47" s="30" t="s">
        <v>17</v>
      </c>
      <c r="C47" s="30">
        <v>56</v>
      </c>
      <c r="D47" s="30" t="s">
        <v>41</v>
      </c>
      <c r="E47" s="30">
        <v>1000</v>
      </c>
      <c r="F47" s="30">
        <v>31</v>
      </c>
      <c r="G47" s="30" t="s">
        <v>268</v>
      </c>
      <c r="H47" s="42" t="s">
        <v>215</v>
      </c>
      <c r="I47" s="30" t="s">
        <v>20</v>
      </c>
      <c r="J47" s="40" t="s">
        <v>272</v>
      </c>
      <c r="K47" s="44" t="str">
        <f t="shared" si="0"/>
        <v>lev BAD</v>
      </c>
      <c r="L47" s="1">
        <f t="shared" si="1"/>
        <v>42375.816666666666</v>
      </c>
      <c r="M47" s="43" t="s">
        <v>270</v>
      </c>
      <c r="N47" s="11">
        <f t="shared" si="2"/>
        <v>0.90458518518424047</v>
      </c>
      <c r="O47" s="11">
        <v>0.94399999999999995</v>
      </c>
      <c r="P47" s="1">
        <v>42375.722222222219</v>
      </c>
      <c r="Q47" s="11">
        <f t="shared" si="6"/>
        <v>1.7388888888888888E-2</v>
      </c>
      <c r="R47" s="11"/>
      <c r="T47">
        <v>211</v>
      </c>
      <c r="U47">
        <v>25</v>
      </c>
      <c r="W47">
        <v>191</v>
      </c>
      <c r="X47">
        <v>57</v>
      </c>
      <c r="Z47">
        <v>85</v>
      </c>
      <c r="AA47">
        <v>109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thickBot="1">
      <c r="A48" s="29" t="s">
        <v>273</v>
      </c>
      <c r="B48" s="30" t="s">
        <v>17</v>
      </c>
      <c r="C48" s="30">
        <v>56</v>
      </c>
      <c r="D48" s="30" t="s">
        <v>41</v>
      </c>
      <c r="E48" s="30">
        <v>1000</v>
      </c>
      <c r="F48" s="30">
        <v>31</v>
      </c>
      <c r="G48" s="30" t="s">
        <v>268</v>
      </c>
      <c r="H48" s="42" t="s">
        <v>215</v>
      </c>
      <c r="I48" s="30" t="s">
        <v>20</v>
      </c>
      <c r="J48" s="40" t="s">
        <v>272</v>
      </c>
      <c r="K48" s="44" t="str">
        <f t="shared" si="0"/>
        <v>lev BAD</v>
      </c>
      <c r="L48" s="1">
        <f t="shared" si="1"/>
        <v>42375.856249999997</v>
      </c>
      <c r="M48" s="43" t="s">
        <v>270</v>
      </c>
      <c r="N48" s="11">
        <f t="shared" si="2"/>
        <v>0.88806574074060574</v>
      </c>
      <c r="O48" s="11">
        <v>0.94399999999999995</v>
      </c>
      <c r="P48" s="1">
        <v>42375.722222222219</v>
      </c>
      <c r="Q48" s="11">
        <f t="shared" si="6"/>
        <v>1.7388888888888888E-2</v>
      </c>
      <c r="R48" s="11"/>
      <c r="Z48">
        <v>237</v>
      </c>
      <c r="AA48">
        <v>48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 thickBot="1">
      <c r="A49" s="29" t="s">
        <v>274</v>
      </c>
      <c r="B49" s="30" t="s">
        <v>17</v>
      </c>
      <c r="C49" s="30">
        <v>56</v>
      </c>
      <c r="D49" s="30" t="s">
        <v>41</v>
      </c>
      <c r="E49" s="30">
        <v>1000</v>
      </c>
      <c r="F49" s="30">
        <v>32</v>
      </c>
      <c r="G49" s="30" t="s">
        <v>268</v>
      </c>
      <c r="H49" s="42" t="s">
        <v>215</v>
      </c>
      <c r="I49" s="30" t="s">
        <v>20</v>
      </c>
      <c r="J49" s="40" t="s">
        <v>272</v>
      </c>
      <c r="K49" s="44" t="str">
        <f t="shared" si="0"/>
        <v>lev BAD</v>
      </c>
      <c r="L49" s="1">
        <f t="shared" si="1"/>
        <v>42375.895833333336</v>
      </c>
      <c r="M49" s="43" t="s">
        <v>270</v>
      </c>
      <c r="N49" s="11">
        <f t="shared" si="2"/>
        <v>0.87154629629393454</v>
      </c>
      <c r="O49" s="11">
        <v>0.94399999999999995</v>
      </c>
      <c r="P49" s="1">
        <v>42375.722222222219</v>
      </c>
      <c r="Q49" s="11">
        <f t="shared" si="6"/>
        <v>1.7388888888888888E-2</v>
      </c>
      <c r="R49" s="11"/>
      <c r="Z49">
        <v>322</v>
      </c>
      <c r="AA49">
        <v>23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 thickBot="1">
      <c r="A50" s="29" t="s">
        <v>275</v>
      </c>
      <c r="B50" s="30" t="s">
        <v>17</v>
      </c>
      <c r="C50" s="30">
        <v>56</v>
      </c>
      <c r="D50" s="30" t="s">
        <v>41</v>
      </c>
      <c r="E50" s="30">
        <v>1000</v>
      </c>
      <c r="F50" s="30">
        <v>31</v>
      </c>
      <c r="G50" s="30" t="s">
        <v>268</v>
      </c>
      <c r="H50" s="42" t="s">
        <v>215</v>
      </c>
      <c r="I50" s="30" t="s">
        <v>20</v>
      </c>
      <c r="J50" s="40" t="s">
        <v>272</v>
      </c>
      <c r="K50" s="44" t="str">
        <f t="shared" si="0"/>
        <v>lev BAD</v>
      </c>
      <c r="L50" s="1">
        <f t="shared" si="1"/>
        <v>42375.935416666667</v>
      </c>
      <c r="M50" s="43" t="s">
        <v>270</v>
      </c>
      <c r="N50" s="11">
        <f t="shared" si="2"/>
        <v>0.85502685185029981</v>
      </c>
      <c r="O50" s="11">
        <v>0.94399999999999995</v>
      </c>
      <c r="P50" s="1">
        <v>42375.722222222219</v>
      </c>
      <c r="Q50" s="11">
        <f t="shared" si="6"/>
        <v>1.7388888888888888E-2</v>
      </c>
      <c r="R50" s="11"/>
      <c r="T50">
        <v>217</v>
      </c>
      <c r="U50">
        <v>45</v>
      </c>
      <c r="W50">
        <v>318</v>
      </c>
      <c r="X50">
        <v>43</v>
      </c>
      <c r="Z50">
        <v>186</v>
      </c>
      <c r="AA50">
        <v>55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 thickBot="1">
      <c r="A51" s="29" t="s">
        <v>276</v>
      </c>
      <c r="B51" s="30" t="s">
        <v>17</v>
      </c>
      <c r="C51" s="30">
        <v>56</v>
      </c>
      <c r="D51" s="30" t="s">
        <v>41</v>
      </c>
      <c r="E51" s="30">
        <v>1000</v>
      </c>
      <c r="F51" s="30">
        <v>31</v>
      </c>
      <c r="G51" s="30" t="s">
        <v>268</v>
      </c>
      <c r="H51" s="42" t="s">
        <v>215</v>
      </c>
      <c r="I51" s="30" t="s">
        <v>20</v>
      </c>
      <c r="J51" s="40" t="s">
        <v>272</v>
      </c>
      <c r="K51" s="44" t="str">
        <f t="shared" si="0"/>
        <v>lev BAD</v>
      </c>
      <c r="L51" s="1">
        <f t="shared" si="1"/>
        <v>42375.974305555559</v>
      </c>
      <c r="M51" s="43" t="s">
        <v>270</v>
      </c>
      <c r="N51" s="11">
        <f t="shared" si="2"/>
        <v>0.83879722221938813</v>
      </c>
      <c r="O51" s="11">
        <v>0.94399999999999995</v>
      </c>
      <c r="P51" s="1">
        <v>42375.722222222219</v>
      </c>
      <c r="Q51" s="11">
        <f t="shared" si="6"/>
        <v>1.7388888888888888E-2</v>
      </c>
      <c r="R51" s="11"/>
      <c r="Z51">
        <v>208</v>
      </c>
      <c r="AA51">
        <v>42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 thickBot="1">
      <c r="A52" s="29" t="s">
        <v>277</v>
      </c>
      <c r="B52" s="30" t="s">
        <v>17</v>
      </c>
      <c r="C52" s="30">
        <v>56</v>
      </c>
      <c r="D52" s="30" t="s">
        <v>41</v>
      </c>
      <c r="E52" s="30">
        <v>1000</v>
      </c>
      <c r="F52" s="30">
        <v>31</v>
      </c>
      <c r="G52" s="30" t="s">
        <v>268</v>
      </c>
      <c r="H52" s="42" t="s">
        <v>215</v>
      </c>
      <c r="I52" s="30" t="s">
        <v>20</v>
      </c>
      <c r="J52" s="40" t="s">
        <v>272</v>
      </c>
      <c r="K52" s="44" t="str">
        <f t="shared" si="0"/>
        <v>lev BAD</v>
      </c>
      <c r="L52" s="1">
        <f t="shared" si="1"/>
        <v>42376.013888888891</v>
      </c>
      <c r="M52" s="43" t="s">
        <v>270</v>
      </c>
      <c r="N52" s="11">
        <f t="shared" si="2"/>
        <v>0.82227777777575339</v>
      </c>
      <c r="O52" s="11">
        <v>0.94399999999999995</v>
      </c>
      <c r="P52" s="1">
        <v>42375.722222222219</v>
      </c>
      <c r="Q52" s="11">
        <f t="shared" si="6"/>
        <v>1.7388888888888888E-2</v>
      </c>
      <c r="R52" s="11"/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 thickBot="1">
      <c r="A53" s="29" t="s">
        <v>278</v>
      </c>
      <c r="B53" s="30" t="s">
        <v>17</v>
      </c>
      <c r="C53" s="30">
        <v>56</v>
      </c>
      <c r="D53" s="30" t="s">
        <v>41</v>
      </c>
      <c r="E53" s="30">
        <v>1000</v>
      </c>
      <c r="F53" s="30">
        <v>31</v>
      </c>
      <c r="G53" s="30" t="s">
        <v>268</v>
      </c>
      <c r="H53" s="42" t="s">
        <v>215</v>
      </c>
      <c r="I53" s="30" t="s">
        <v>20</v>
      </c>
      <c r="J53" s="40" t="s">
        <v>272</v>
      </c>
      <c r="K53" s="44" t="str">
        <f t="shared" si="0"/>
        <v>lev BAD</v>
      </c>
      <c r="L53" s="1">
        <f t="shared" si="1"/>
        <v>42376.053472222222</v>
      </c>
      <c r="M53" s="43" t="s">
        <v>270</v>
      </c>
      <c r="N53" s="11">
        <f t="shared" si="2"/>
        <v>0.80575833333211866</v>
      </c>
      <c r="O53" s="11">
        <v>0.94399999999999995</v>
      </c>
      <c r="P53" s="1">
        <v>42375.722222222219</v>
      </c>
      <c r="Q53" s="11">
        <f t="shared" si="6"/>
        <v>1.7388888888888888E-2</v>
      </c>
      <c r="R53" s="11"/>
      <c r="T53">
        <v>239</v>
      </c>
      <c r="U53">
        <v>42</v>
      </c>
      <c r="W53">
        <v>192</v>
      </c>
      <c r="X53">
        <v>21</v>
      </c>
      <c r="Z53" s="28">
        <f>AVERAGE((Z43:Z51))</f>
        <v>190.5</v>
      </c>
      <c r="AA53" s="28">
        <f>AVERAGE((AA43:AA51))</f>
        <v>58.166666666666664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 thickBot="1">
      <c r="A54" s="29" t="s">
        <v>279</v>
      </c>
      <c r="B54" s="30" t="s">
        <v>17</v>
      </c>
      <c r="C54" s="30">
        <v>56</v>
      </c>
      <c r="D54" s="30" t="s">
        <v>41</v>
      </c>
      <c r="E54" s="30">
        <v>1000</v>
      </c>
      <c r="F54" s="30">
        <v>31</v>
      </c>
      <c r="G54" s="30" t="s">
        <v>268</v>
      </c>
      <c r="H54" s="42" t="s">
        <v>215</v>
      </c>
      <c r="I54" s="30" t="s">
        <v>20</v>
      </c>
      <c r="J54" s="40" t="s">
        <v>272</v>
      </c>
      <c r="K54" s="44" t="str">
        <f t="shared" si="0"/>
        <v>lev BAD</v>
      </c>
      <c r="L54" s="1">
        <f t="shared" si="1"/>
        <v>42376.092361111114</v>
      </c>
      <c r="M54" s="43" t="s">
        <v>270</v>
      </c>
      <c r="N54" s="11">
        <f t="shared" si="2"/>
        <v>0.78952870370120698</v>
      </c>
      <c r="O54" s="11">
        <v>0.94399999999999995</v>
      </c>
      <c r="P54" s="1">
        <v>42375.722222222219</v>
      </c>
      <c r="Q54" s="11">
        <f t="shared" si="6"/>
        <v>1.7388888888888888E-2</v>
      </c>
      <c r="R54" s="11"/>
      <c r="Z54" s="28">
        <f>STDEV(Z43:Z51)</f>
        <v>87.431687619535282</v>
      </c>
      <c r="AA54" s="28">
        <f>STDEV(AA43:AA51)</f>
        <v>29.620375869773603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 thickBot="1">
      <c r="A55" s="29" t="s">
        <v>280</v>
      </c>
      <c r="B55" s="30" t="s">
        <v>17</v>
      </c>
      <c r="C55" s="30">
        <v>56</v>
      </c>
      <c r="D55" s="30" t="s">
        <v>41</v>
      </c>
      <c r="E55" s="30">
        <v>1000</v>
      </c>
      <c r="F55" s="30">
        <v>31</v>
      </c>
      <c r="G55" s="30" t="s">
        <v>268</v>
      </c>
      <c r="H55" s="42" t="s">
        <v>215</v>
      </c>
      <c r="I55" s="30" t="s">
        <v>20</v>
      </c>
      <c r="J55" s="40" t="s">
        <v>75</v>
      </c>
      <c r="K55" s="44" t="str">
        <f t="shared" si="0"/>
        <v>lev BAD</v>
      </c>
      <c r="L55" s="1">
        <f t="shared" si="1"/>
        <v>42376.131944444445</v>
      </c>
      <c r="M55" s="43" t="s">
        <v>270</v>
      </c>
      <c r="N55" s="11">
        <f t="shared" si="2"/>
        <v>0.77300925925757225</v>
      </c>
      <c r="O55" s="11">
        <v>0.94399999999999995</v>
      </c>
      <c r="P55" s="1">
        <v>42375.722222222219</v>
      </c>
      <c r="Q55" s="11">
        <f t="shared" si="6"/>
        <v>1.7388888888888888E-2</v>
      </c>
      <c r="R55" s="11"/>
      <c r="AC55" s="39">
        <v>1.26326E-9</v>
      </c>
      <c r="AD55" s="39">
        <v>1.0083400000000001E-9</v>
      </c>
      <c r="AE55" s="39">
        <v>1.01501E-9</v>
      </c>
      <c r="AF55" s="39">
        <v>6.8628100000000004E-10</v>
      </c>
      <c r="AG55" s="39">
        <v>1.1278600000000001E-9</v>
      </c>
      <c r="AH55" s="39">
        <v>1.01865E-9</v>
      </c>
      <c r="AI55" s="39">
        <v>4.7856399999999998E-10</v>
      </c>
      <c r="AJ55" s="39">
        <v>1.28649E-9</v>
      </c>
      <c r="AK55" s="39">
        <v>4.1824800000000001E-10</v>
      </c>
      <c r="AL55" s="39">
        <v>1.22175E-9</v>
      </c>
      <c r="AM55" s="39">
        <v>1.07286E-9</v>
      </c>
      <c r="AN55" s="39">
        <v>7.9959100000000004E-10</v>
      </c>
    </row>
    <row r="56" spans="1:40" thickBot="1">
      <c r="A56" s="29" t="s">
        <v>281</v>
      </c>
      <c r="B56" s="30" t="s">
        <v>17</v>
      </c>
      <c r="C56" s="30">
        <v>56</v>
      </c>
      <c r="D56" s="30" t="s">
        <v>41</v>
      </c>
      <c r="E56" s="30">
        <v>1000</v>
      </c>
      <c r="F56" s="30">
        <v>31</v>
      </c>
      <c r="G56" s="30" t="s">
        <v>268</v>
      </c>
      <c r="H56" s="42" t="s">
        <v>215</v>
      </c>
      <c r="I56" s="30" t="s">
        <v>20</v>
      </c>
      <c r="J56" s="40" t="s">
        <v>75</v>
      </c>
      <c r="K56" s="44" t="str">
        <f t="shared" si="0"/>
        <v>lev BAD</v>
      </c>
      <c r="L56" s="1">
        <f t="shared" si="1"/>
        <v>42376.171527777777</v>
      </c>
      <c r="M56" s="43" t="s">
        <v>270</v>
      </c>
      <c r="N56" s="11">
        <f t="shared" si="2"/>
        <v>0.75648981481393762</v>
      </c>
      <c r="O56" s="11">
        <v>0.94399999999999995</v>
      </c>
      <c r="P56" s="1">
        <v>42375.722222222219</v>
      </c>
      <c r="Q56" s="11">
        <f t="shared" si="6"/>
        <v>1.7388888888888888E-2</v>
      </c>
      <c r="R56" s="11"/>
      <c r="T56">
        <v>191</v>
      </c>
      <c r="U56">
        <v>87</v>
      </c>
      <c r="W56">
        <v>59</v>
      </c>
      <c r="X56">
        <v>30</v>
      </c>
      <c r="AC56" s="39">
        <v>5.4597799999999999E-10</v>
      </c>
      <c r="AD56" s="39">
        <v>4.3963000000000001E-10</v>
      </c>
      <c r="AE56" s="39">
        <v>4.4469300000000002E-10</v>
      </c>
      <c r="AF56" s="39">
        <v>3.2587500000000002E-10</v>
      </c>
      <c r="AG56" s="39">
        <v>4.7369499999999999E-10</v>
      </c>
      <c r="AH56" s="39">
        <v>4.95934E-10</v>
      </c>
      <c r="AI56" s="39">
        <v>2.1167100000000001E-10</v>
      </c>
      <c r="AJ56" s="39">
        <v>5.7663799999999997E-10</v>
      </c>
      <c r="AK56" s="39">
        <v>1.89085E-10</v>
      </c>
      <c r="AL56" s="39">
        <v>5.4251200000000004E-10</v>
      </c>
      <c r="AM56" s="39">
        <v>4.8072099999999998E-10</v>
      </c>
      <c r="AN56" s="39">
        <v>4.0517299999999998E-10</v>
      </c>
    </row>
    <row r="57" spans="1:40" thickBot="1">
      <c r="A57" s="29" t="s">
        <v>282</v>
      </c>
      <c r="B57" s="30" t="s">
        <v>17</v>
      </c>
      <c r="C57" s="30">
        <v>56</v>
      </c>
      <c r="D57" s="30" t="s">
        <v>41</v>
      </c>
      <c r="E57" s="30">
        <v>1000</v>
      </c>
      <c r="F57" s="30">
        <v>31</v>
      </c>
      <c r="G57" s="30" t="s">
        <v>268</v>
      </c>
      <c r="H57" s="42" t="s">
        <v>215</v>
      </c>
      <c r="I57" s="30" t="s">
        <v>20</v>
      </c>
      <c r="J57" s="40" t="s">
        <v>75</v>
      </c>
      <c r="K57" s="44" t="str">
        <f t="shared" si="0"/>
        <v>lev BAD</v>
      </c>
      <c r="L57" s="1">
        <f t="shared" si="1"/>
        <v>42376.210416666669</v>
      </c>
      <c r="M57" s="43" t="s">
        <v>270</v>
      </c>
      <c r="N57" s="11">
        <f t="shared" si="2"/>
        <v>0.74026018518302583</v>
      </c>
      <c r="O57" s="11">
        <v>0.94399999999999995</v>
      </c>
      <c r="P57" s="1">
        <v>42375.722222222219</v>
      </c>
      <c r="Q57" s="11">
        <f t="shared" si="6"/>
        <v>1.7388888888888888E-2</v>
      </c>
      <c r="R57" s="11"/>
      <c r="AC57" s="39">
        <v>4.7745199999999996E-10</v>
      </c>
      <c r="AD57" s="39">
        <v>3.9288399999999997E-10</v>
      </c>
      <c r="AE57" s="39">
        <v>3.87777E-10</v>
      </c>
      <c r="AF57" s="39">
        <v>2.7496499999999999E-10</v>
      </c>
      <c r="AG57" s="39">
        <v>4.34024E-10</v>
      </c>
      <c r="AH57" s="39">
        <v>4.1473799999999999E-10</v>
      </c>
      <c r="AI57" s="39">
        <v>1.8624299999999999E-10</v>
      </c>
      <c r="AJ57" s="39">
        <v>5.08445E-10</v>
      </c>
      <c r="AK57" s="39">
        <v>1.6789400000000001E-10</v>
      </c>
      <c r="AL57" s="39">
        <v>4.7249899999999996E-10</v>
      </c>
      <c r="AM57" s="39">
        <v>4.3184500000000002E-10</v>
      </c>
      <c r="AN57" s="39">
        <v>3.423E-10</v>
      </c>
    </row>
    <row r="58" spans="1:40" thickBot="1">
      <c r="A58" s="29" t="s">
        <v>283</v>
      </c>
      <c r="B58" s="30" t="s">
        <v>17</v>
      </c>
      <c r="C58" s="30">
        <v>56</v>
      </c>
      <c r="D58" s="30" t="s">
        <v>41</v>
      </c>
      <c r="E58" s="30">
        <v>1000</v>
      </c>
      <c r="F58" s="30">
        <v>31</v>
      </c>
      <c r="G58" s="30" t="s">
        <v>268</v>
      </c>
      <c r="H58" s="42" t="s">
        <v>215</v>
      </c>
      <c r="I58" s="30" t="s">
        <v>20</v>
      </c>
      <c r="J58" s="40" t="s">
        <v>75</v>
      </c>
      <c r="K58" s="44" t="str">
        <f t="shared" si="0"/>
        <v>lev BAD</v>
      </c>
      <c r="L58" s="1">
        <f t="shared" si="1"/>
        <v>42376.25</v>
      </c>
      <c r="M58" s="43" t="s">
        <v>270</v>
      </c>
      <c r="N58" s="11">
        <f t="shared" si="2"/>
        <v>0.72374074073939121</v>
      </c>
      <c r="O58" s="11">
        <v>0.94399999999999995</v>
      </c>
      <c r="P58" s="1">
        <v>42375.722222222219</v>
      </c>
      <c r="Q58" s="11">
        <f t="shared" si="6"/>
        <v>1.7388888888888888E-2</v>
      </c>
      <c r="R58" s="11"/>
      <c r="AC58" s="39">
        <v>1.9979899999999999E-10</v>
      </c>
      <c r="AD58" s="39">
        <v>1.7519299999999999E-10</v>
      </c>
      <c r="AE58" s="39">
        <v>1.77463E-10</v>
      </c>
      <c r="AF58" s="39">
        <v>1.1911899999999999E-10</v>
      </c>
      <c r="AG58" s="39">
        <v>1.7636400000000001E-10</v>
      </c>
      <c r="AH58" s="39">
        <v>1.8006799999999999E-10</v>
      </c>
      <c r="AI58" s="39">
        <v>7.8639200000000003E-11</v>
      </c>
      <c r="AJ58" s="39">
        <v>2.1971699999999999E-10</v>
      </c>
      <c r="AK58" s="39">
        <v>7.57477E-11</v>
      </c>
      <c r="AL58" s="39">
        <v>2.07566E-10</v>
      </c>
      <c r="AM58" s="39">
        <v>1.7987200000000001E-10</v>
      </c>
      <c r="AN58" s="39">
        <v>2.5963899999999999E-10</v>
      </c>
    </row>
    <row r="59" spans="1:40" thickBot="1">
      <c r="A59" s="29" t="s">
        <v>284</v>
      </c>
      <c r="B59" s="30" t="s">
        <v>17</v>
      </c>
      <c r="C59" s="30">
        <v>56</v>
      </c>
      <c r="D59" s="30" t="s">
        <v>41</v>
      </c>
      <c r="E59" s="30">
        <v>1000</v>
      </c>
      <c r="F59" s="30">
        <v>31</v>
      </c>
      <c r="G59" s="30" t="s">
        <v>268</v>
      </c>
      <c r="H59" s="42" t="s">
        <v>215</v>
      </c>
      <c r="I59" s="30" t="s">
        <v>20</v>
      </c>
      <c r="J59" s="40" t="s">
        <v>75</v>
      </c>
      <c r="K59" s="44" t="str">
        <f t="shared" si="0"/>
        <v>lev BAD</v>
      </c>
      <c r="L59" s="1">
        <f t="shared" si="1"/>
        <v>42376.289583333331</v>
      </c>
      <c r="M59" s="43" t="s">
        <v>270</v>
      </c>
      <c r="N59" s="11">
        <f t="shared" si="2"/>
        <v>0.70722129629575647</v>
      </c>
      <c r="O59" s="11">
        <v>0.94399999999999995</v>
      </c>
      <c r="P59" s="1">
        <v>42375.722222222219</v>
      </c>
      <c r="Q59" s="11">
        <f t="shared" si="6"/>
        <v>1.7388888888888888E-2</v>
      </c>
      <c r="R59" s="11"/>
      <c r="AC59" s="39">
        <v>1.09537E-10</v>
      </c>
      <c r="AD59" s="39">
        <v>9.0167700000000001E-11</v>
      </c>
      <c r="AE59" s="39">
        <v>1.05854E-10</v>
      </c>
      <c r="AF59" s="39">
        <v>7.0357400000000001E-11</v>
      </c>
      <c r="AG59" s="39">
        <v>1.18213E-10</v>
      </c>
      <c r="AH59" s="39">
        <v>1.14169E-10</v>
      </c>
      <c r="AI59" s="39">
        <v>4.7890699999999999E-11</v>
      </c>
      <c r="AJ59" s="39">
        <v>1.2790500000000001E-10</v>
      </c>
      <c r="AK59" s="39">
        <v>4.8601599999999998E-11</v>
      </c>
      <c r="AL59" s="39">
        <v>1.16078E-10</v>
      </c>
      <c r="AM59" s="39">
        <v>1.0285099999999999E-10</v>
      </c>
      <c r="AN59" s="39">
        <v>1.8991500000000001E-10</v>
      </c>
    </row>
    <row r="60" spans="1:40" thickBot="1">
      <c r="A60" s="29" t="s">
        <v>285</v>
      </c>
      <c r="B60" s="30" t="s">
        <v>17</v>
      </c>
      <c r="C60" s="30">
        <v>56</v>
      </c>
      <c r="D60" s="30" t="s">
        <v>41</v>
      </c>
      <c r="E60" s="30">
        <v>1000</v>
      </c>
      <c r="F60" s="30">
        <v>31</v>
      </c>
      <c r="G60" s="30" t="s">
        <v>268</v>
      </c>
      <c r="H60" s="42" t="s">
        <v>215</v>
      </c>
      <c r="I60" s="30" t="s">
        <v>20</v>
      </c>
      <c r="J60" s="40" t="s">
        <v>75</v>
      </c>
      <c r="K60" s="44" t="str">
        <f t="shared" si="0"/>
        <v>lev OK</v>
      </c>
      <c r="L60" s="1">
        <f t="shared" si="1"/>
        <v>42376.32916666667</v>
      </c>
      <c r="M60" s="43" t="s">
        <v>270</v>
      </c>
      <c r="N60" s="11">
        <f t="shared" si="2"/>
        <v>0.69070185184908528</v>
      </c>
      <c r="O60" s="11">
        <v>0.94399999999999995</v>
      </c>
      <c r="P60" s="1">
        <v>42375.722222222219</v>
      </c>
      <c r="Q60" s="11">
        <f t="shared" si="6"/>
        <v>1.7388888888888888E-2</v>
      </c>
      <c r="R60" s="11"/>
      <c r="AC60" s="39">
        <v>8.0214800000000005E-11</v>
      </c>
      <c r="AD60" s="39">
        <v>6.3938100000000003E-11</v>
      </c>
      <c r="AE60" s="39">
        <v>8.6911699999999999E-11</v>
      </c>
      <c r="AF60" s="39">
        <v>5.0365800000000002E-11</v>
      </c>
      <c r="AG60" s="39">
        <v>8.95731E-11</v>
      </c>
      <c r="AH60" s="39">
        <v>8.1504199999999998E-11</v>
      </c>
      <c r="AI60" s="39">
        <v>3.7714399999999999E-11</v>
      </c>
      <c r="AJ60" s="39">
        <v>9.6095299999999997E-11</v>
      </c>
      <c r="AK60" s="39">
        <v>4.28661E-11</v>
      </c>
      <c r="AL60" s="39">
        <v>8.4123999999999998E-11</v>
      </c>
      <c r="AM60" s="39">
        <v>7.4405399999999999E-11</v>
      </c>
      <c r="AN60" s="39">
        <v>1.1563300000000001E-10</v>
      </c>
    </row>
    <row r="61" spans="1:40" thickBot="1">
      <c r="A61" s="29" t="s">
        <v>286</v>
      </c>
      <c r="B61" s="30" t="s">
        <v>17</v>
      </c>
      <c r="C61" s="30">
        <v>56</v>
      </c>
      <c r="D61" s="30" t="s">
        <v>41</v>
      </c>
      <c r="E61" s="30">
        <v>1000</v>
      </c>
      <c r="F61" s="30">
        <v>32</v>
      </c>
      <c r="G61" s="30" t="s">
        <v>268</v>
      </c>
      <c r="H61" s="42" t="s">
        <v>215</v>
      </c>
      <c r="I61" s="30" t="s">
        <v>20</v>
      </c>
      <c r="J61" s="40" t="s">
        <v>75</v>
      </c>
      <c r="K61" s="44" t="str">
        <f t="shared" si="0"/>
        <v>lev OK</v>
      </c>
      <c r="L61" s="1">
        <f t="shared" si="1"/>
        <v>42376.368055555555</v>
      </c>
      <c r="M61" s="43" t="s">
        <v>270</v>
      </c>
      <c r="N61" s="11">
        <f t="shared" si="2"/>
        <v>0.67447222222121006</v>
      </c>
      <c r="O61" s="11">
        <v>0.94399999999999995</v>
      </c>
      <c r="P61" s="1">
        <v>42375.722222222219</v>
      </c>
      <c r="Q61" s="11">
        <f t="shared" si="6"/>
        <v>1.7388888888888888E-2</v>
      </c>
      <c r="R61" s="11"/>
      <c r="AC61" s="39">
        <v>1.1093699999999999E-10</v>
      </c>
      <c r="AD61" s="39">
        <v>9.1311700000000005E-11</v>
      </c>
      <c r="AE61" s="39">
        <v>1.04751E-10</v>
      </c>
      <c r="AF61" s="39">
        <v>6.8015500000000002E-11</v>
      </c>
      <c r="AG61" s="39">
        <v>1.14771E-10</v>
      </c>
      <c r="AH61" s="39">
        <v>1.2011000000000001E-10</v>
      </c>
      <c r="AI61" s="39">
        <v>5.0777800000000001E-11</v>
      </c>
      <c r="AJ61" s="39">
        <v>1.3301200000000001E-10</v>
      </c>
      <c r="AK61" s="39">
        <v>5.30427E-11</v>
      </c>
      <c r="AL61" s="39">
        <v>1.15943E-10</v>
      </c>
      <c r="AM61" s="39">
        <v>1.07087E-10</v>
      </c>
      <c r="AN61" s="39">
        <v>1.8579099999999999E-10</v>
      </c>
    </row>
    <row r="62" spans="1:40" thickBot="1">
      <c r="A62" s="29" t="s">
        <v>287</v>
      </c>
      <c r="B62" s="30" t="s">
        <v>17</v>
      </c>
      <c r="C62" s="30">
        <v>56</v>
      </c>
      <c r="D62" s="30" t="s">
        <v>41</v>
      </c>
      <c r="E62" s="30">
        <v>1000</v>
      </c>
      <c r="F62" s="30">
        <v>31</v>
      </c>
      <c r="G62" s="30" t="s">
        <v>268</v>
      </c>
      <c r="H62" s="42" t="s">
        <v>215</v>
      </c>
      <c r="I62" s="30" t="s">
        <v>20</v>
      </c>
      <c r="J62" s="40" t="s">
        <v>75</v>
      </c>
      <c r="K62" s="44" t="str">
        <f t="shared" si="0"/>
        <v>lev OK</v>
      </c>
      <c r="L62" s="1">
        <f t="shared" si="1"/>
        <v>42376.407638888886</v>
      </c>
      <c r="M62" s="43" t="s">
        <v>270</v>
      </c>
      <c r="N62" s="11">
        <f t="shared" si="2"/>
        <v>0.65795277777757533</v>
      </c>
      <c r="O62" s="11">
        <v>0.94399999999999995</v>
      </c>
      <c r="P62" s="1">
        <v>42375.722222222219</v>
      </c>
      <c r="Q62" s="11">
        <f t="shared" si="6"/>
        <v>1.7388888888888888E-2</v>
      </c>
      <c r="R62" s="11"/>
      <c r="AC62" s="39">
        <v>1.30312E-10</v>
      </c>
      <c r="AD62" s="39">
        <v>1.06124E-10</v>
      </c>
      <c r="AE62" s="39">
        <v>1.3384199999999999E-10</v>
      </c>
      <c r="AF62" s="39">
        <v>9.3353499999999997E-11</v>
      </c>
      <c r="AG62" s="39">
        <v>1.3473900000000001E-10</v>
      </c>
      <c r="AH62" s="39">
        <v>1.5232799999999999E-10</v>
      </c>
      <c r="AI62" s="39">
        <v>5.7302200000000002E-11</v>
      </c>
      <c r="AJ62" s="39">
        <v>1.5796800000000001E-10</v>
      </c>
      <c r="AK62" s="39">
        <v>6.0242400000000006E-11</v>
      </c>
      <c r="AL62" s="39">
        <v>1.3298500000000001E-10</v>
      </c>
      <c r="AM62" s="39">
        <v>1.31716E-10</v>
      </c>
      <c r="AN62" s="39">
        <v>2.03395E-10</v>
      </c>
    </row>
    <row r="63" spans="1:40" thickBot="1">
      <c r="A63" s="29" t="s">
        <v>288</v>
      </c>
      <c r="B63" s="30" t="s">
        <v>17</v>
      </c>
      <c r="C63" s="30">
        <v>56</v>
      </c>
      <c r="D63" s="30" t="s">
        <v>41</v>
      </c>
      <c r="E63" s="30">
        <v>1000</v>
      </c>
      <c r="F63" s="30">
        <v>31</v>
      </c>
      <c r="G63" s="30" t="s">
        <v>268</v>
      </c>
      <c r="H63" s="42" t="s">
        <v>215</v>
      </c>
      <c r="I63" s="30" t="s">
        <v>20</v>
      </c>
      <c r="J63" s="40" t="s">
        <v>75</v>
      </c>
      <c r="K63" s="44" t="str">
        <f t="shared" si="0"/>
        <v>lev OK</v>
      </c>
      <c r="L63" s="1">
        <f t="shared" si="1"/>
        <v>42376.447222222225</v>
      </c>
      <c r="M63" s="43" t="s">
        <v>270</v>
      </c>
      <c r="N63" s="11">
        <f t="shared" si="2"/>
        <v>0.64143333333090413</v>
      </c>
      <c r="O63" s="11">
        <v>0.94399999999999995</v>
      </c>
      <c r="P63" s="1">
        <v>42375.722222222219</v>
      </c>
      <c r="Q63" s="11">
        <f t="shared" si="6"/>
        <v>1.7388888888888888E-2</v>
      </c>
      <c r="R63" s="11"/>
      <c r="AC63" s="39">
        <v>1.2285500000000001E-10</v>
      </c>
      <c r="AD63" s="39">
        <v>1.02339E-10</v>
      </c>
      <c r="AE63" s="39">
        <v>1.1712000000000001E-10</v>
      </c>
      <c r="AF63" s="39">
        <v>8.0451599999999997E-11</v>
      </c>
      <c r="AG63" s="39">
        <v>1.32427E-10</v>
      </c>
      <c r="AH63" s="39">
        <v>1.3036199999999999E-10</v>
      </c>
      <c r="AI63" s="39">
        <v>5.5499E-11</v>
      </c>
      <c r="AJ63" s="39">
        <v>1.46906E-10</v>
      </c>
      <c r="AK63" s="39">
        <v>6.1641799999999999E-11</v>
      </c>
      <c r="AL63" s="39">
        <v>1.31499E-10</v>
      </c>
      <c r="AM63" s="39">
        <v>1.14986E-10</v>
      </c>
      <c r="AN63" s="39">
        <v>2.00289E-10</v>
      </c>
    </row>
    <row r="64" spans="1:40" thickBot="1">
      <c r="A64" s="29" t="s">
        <v>289</v>
      </c>
      <c r="B64" s="30" t="s">
        <v>17</v>
      </c>
      <c r="C64" s="30">
        <v>56</v>
      </c>
      <c r="D64" s="30" t="s">
        <v>41</v>
      </c>
      <c r="E64" s="30">
        <v>1000</v>
      </c>
      <c r="F64" s="30">
        <v>31</v>
      </c>
      <c r="G64" s="30" t="s">
        <v>18</v>
      </c>
      <c r="H64" s="42" t="s">
        <v>220</v>
      </c>
      <c r="I64" s="30" t="s">
        <v>20</v>
      </c>
      <c r="J64" s="40" t="s">
        <v>75</v>
      </c>
      <c r="K64" s="44" t="str">
        <f t="shared" si="0"/>
        <v>lev OK</v>
      </c>
      <c r="L64" s="1">
        <f t="shared" si="1"/>
        <v>42376.511111111111</v>
      </c>
      <c r="M64" s="43"/>
      <c r="N64" s="11">
        <f t="shared" si="2"/>
        <v>0.61294202898412642</v>
      </c>
      <c r="O64" s="11">
        <v>0.63100000000000001</v>
      </c>
      <c r="P64" s="1">
        <v>42376.472222222219</v>
      </c>
      <c r="Q64" s="11">
        <f>(O64-R64)/(S64-P64)/24</f>
        <v>1.9347826086907556E-2</v>
      </c>
      <c r="R64" s="11">
        <v>0.186</v>
      </c>
      <c r="S64" s="1">
        <v>42377.430555555555</v>
      </c>
      <c r="AC64" s="39">
        <v>1.3424899999999999E-10</v>
      </c>
      <c r="AD64" s="39">
        <v>1.0514399999999999E-10</v>
      </c>
      <c r="AE64" s="39">
        <v>1.34358E-10</v>
      </c>
      <c r="AF64" s="39">
        <v>7.7195500000000002E-11</v>
      </c>
      <c r="AG64" s="39">
        <v>1.0857000000000001E-10</v>
      </c>
      <c r="AH64" s="39">
        <v>1.13802E-10</v>
      </c>
      <c r="AI64" s="39">
        <v>5.45906E-11</v>
      </c>
      <c r="AJ64" s="39">
        <v>1.47713E-10</v>
      </c>
      <c r="AK64" s="39">
        <v>5.2821399999999999E-11</v>
      </c>
      <c r="AL64" s="39">
        <v>1.2861300000000001E-10</v>
      </c>
      <c r="AM64" s="39">
        <v>1.2040299999999999E-10</v>
      </c>
      <c r="AN64" s="39">
        <v>8.9752899999999994E-11</v>
      </c>
    </row>
    <row r="65" spans="1:40" thickBot="1">
      <c r="A65" s="29" t="s">
        <v>290</v>
      </c>
      <c r="B65" s="30" t="s">
        <v>17</v>
      </c>
      <c r="C65" s="30">
        <v>56</v>
      </c>
      <c r="D65" s="30" t="s">
        <v>41</v>
      </c>
      <c r="E65" s="30">
        <v>0</v>
      </c>
      <c r="F65" s="30" t="s">
        <v>41</v>
      </c>
      <c r="G65" s="30" t="s">
        <v>18</v>
      </c>
      <c r="H65" s="42" t="s">
        <v>291</v>
      </c>
      <c r="I65" s="30" t="s">
        <v>20</v>
      </c>
      <c r="J65" s="40" t="s">
        <v>292</v>
      </c>
      <c r="K65" s="44" t="str">
        <f t="shared" si="0"/>
        <v>lev OK</v>
      </c>
      <c r="L65" s="1">
        <f t="shared" si="1"/>
        <v>42376.704861111109</v>
      </c>
      <c r="M65" s="43"/>
      <c r="N65" s="11">
        <f t="shared" si="2"/>
        <v>0.52297463768068198</v>
      </c>
      <c r="O65" s="11">
        <v>0.63100000000000001</v>
      </c>
      <c r="P65" s="1">
        <v>42376.472222222219</v>
      </c>
      <c r="Q65" s="11">
        <f>Q64</f>
        <v>1.9347826086907556E-2</v>
      </c>
      <c r="R65" s="11"/>
      <c r="AC65" s="39">
        <v>9.7869100000000008E-12</v>
      </c>
      <c r="AD65" s="39">
        <v>1.8203300000000001E-11</v>
      </c>
      <c r="AE65" s="39">
        <v>1.5544000000000001E-11</v>
      </c>
      <c r="AF65" s="39">
        <v>6.7136800000000001E-12</v>
      </c>
      <c r="AG65" s="39">
        <v>6.5507500000000001E-12</v>
      </c>
      <c r="AH65" s="39">
        <v>4.2055999999999999E-11</v>
      </c>
      <c r="AI65" s="39">
        <v>1.22502E-11</v>
      </c>
      <c r="AJ65" s="39">
        <v>6.0042599999999997E-12</v>
      </c>
      <c r="AK65" s="39">
        <v>1.21348E-11</v>
      </c>
      <c r="AL65" s="39">
        <v>1.18459E-11</v>
      </c>
      <c r="AM65">
        <v>0</v>
      </c>
      <c r="AN65" s="39">
        <v>6.7901199999999997E-12</v>
      </c>
    </row>
    <row r="66" spans="1:40" thickBot="1">
      <c r="A66" s="29" t="s">
        <v>293</v>
      </c>
      <c r="B66" s="30" t="s">
        <v>17</v>
      </c>
      <c r="C66" s="30">
        <v>56</v>
      </c>
      <c r="D66" s="30" t="s">
        <v>41</v>
      </c>
      <c r="E66" s="30">
        <v>0</v>
      </c>
      <c r="F66" s="30">
        <v>1</v>
      </c>
      <c r="G66" s="30" t="s">
        <v>191</v>
      </c>
      <c r="H66" s="42" t="s">
        <v>42</v>
      </c>
      <c r="I66" s="30" t="s">
        <v>20</v>
      </c>
      <c r="J66" s="40" t="s">
        <v>245</v>
      </c>
      <c r="K66" s="44" t="str">
        <f t="shared" si="0"/>
        <v>lev OK</v>
      </c>
      <c r="L66" s="1">
        <f t="shared" si="1"/>
        <v>42376.742361111108</v>
      </c>
      <c r="M66" s="43"/>
      <c r="N66" s="11">
        <f t="shared" si="2"/>
        <v>0.50556159420314095</v>
      </c>
      <c r="O66" s="11">
        <v>0.63100000000000001</v>
      </c>
      <c r="P66" s="1">
        <v>42376.472222222219</v>
      </c>
      <c r="Q66" s="11">
        <f t="shared" ref="Q66:Q81" si="7">Q65</f>
        <v>1.9347826086907556E-2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thickBot="1">
      <c r="A67" s="29" t="s">
        <v>294</v>
      </c>
      <c r="B67" s="30" t="s">
        <v>17</v>
      </c>
      <c r="C67" s="30">
        <v>56</v>
      </c>
      <c r="D67" s="30" t="s">
        <v>41</v>
      </c>
      <c r="E67" s="30">
        <v>0</v>
      </c>
      <c r="F67" s="30">
        <v>2</v>
      </c>
      <c r="G67" s="30" t="s">
        <v>191</v>
      </c>
      <c r="H67" s="42" t="s">
        <v>42</v>
      </c>
      <c r="I67" s="30" t="s">
        <v>20</v>
      </c>
      <c r="J67" s="40" t="s">
        <v>75</v>
      </c>
      <c r="K67" s="44" t="str">
        <f t="shared" si="0"/>
        <v>lev OK</v>
      </c>
      <c r="L67" s="1">
        <f t="shared" si="1"/>
        <v>42376.786805555559</v>
      </c>
      <c r="M67" s="43"/>
      <c r="N67" s="11">
        <f t="shared" si="2"/>
        <v>0.4849239130406946</v>
      </c>
      <c r="O67" s="11">
        <v>0.63100000000000001</v>
      </c>
      <c r="P67" s="1">
        <v>42376.472222222219</v>
      </c>
      <c r="Q67" s="11">
        <f t="shared" si="7"/>
        <v>1.9347826086907556E-2</v>
      </c>
      <c r="AC67" s="39">
        <v>3.0401099999999998E-10</v>
      </c>
      <c r="AD67" s="39">
        <v>5.0048699999999997E-10</v>
      </c>
      <c r="AE67" s="39">
        <v>2.61455E-10</v>
      </c>
      <c r="AF67" s="39">
        <v>1.6507E-10</v>
      </c>
      <c r="AG67" s="39">
        <v>2.34859E-10</v>
      </c>
      <c r="AH67" s="39">
        <v>5.7527399999999995E-10</v>
      </c>
      <c r="AI67" s="39">
        <v>1.08372E-10</v>
      </c>
      <c r="AJ67" s="39">
        <v>3.2696799999999999E-10</v>
      </c>
      <c r="AK67" s="39">
        <v>9.5252100000000004E-11</v>
      </c>
      <c r="AL67" s="39">
        <v>3.4089700000000001E-10</v>
      </c>
      <c r="AM67" s="39">
        <v>4.6241399999999999E-10</v>
      </c>
      <c r="AN67" s="39">
        <v>1.70755E-10</v>
      </c>
    </row>
    <row r="68" spans="1:40" thickBot="1">
      <c r="A68" s="29" t="s">
        <v>295</v>
      </c>
      <c r="B68" s="30" t="s">
        <v>17</v>
      </c>
      <c r="C68" s="30">
        <v>56</v>
      </c>
      <c r="D68" s="30" t="s">
        <v>41</v>
      </c>
      <c r="E68" s="30">
        <v>1000</v>
      </c>
      <c r="F68" s="30">
        <v>31</v>
      </c>
      <c r="G68" s="30" t="s">
        <v>268</v>
      </c>
      <c r="H68" s="42" t="s">
        <v>296</v>
      </c>
      <c r="I68" s="30" t="s">
        <v>20</v>
      </c>
      <c r="J68" s="40" t="s">
        <v>75</v>
      </c>
      <c r="K68" s="44" t="str">
        <f t="shared" ref="K68:K131" si="8">IF(AND(N68&lt;0.7,N68&gt;0.2),"lev OK","lev BAD")</f>
        <v>lev OK</v>
      </c>
      <c r="L68" s="1">
        <f t="shared" ref="L68:L131" si="9">DATE(2000+MID(A68,3,2),MID(A68,5,2),MID(A68,7,2))+TIME(MID(A68,10,2),MID(A68,12,2),0)</f>
        <v>42376.82708333333</v>
      </c>
      <c r="M68" s="43"/>
      <c r="N68" s="11">
        <f t="shared" ref="N68:N131" si="10">O68-(L68-P68)*24*Q68</f>
        <v>0.46622101449324571</v>
      </c>
      <c r="O68" s="11">
        <v>0.63100000000000001</v>
      </c>
      <c r="P68" s="1">
        <v>42376.472222222219</v>
      </c>
      <c r="Q68" s="11">
        <f t="shared" si="7"/>
        <v>1.9347826086907556E-2</v>
      </c>
      <c r="AC68" s="39">
        <v>4.5560200000000001E-11</v>
      </c>
      <c r="AD68" s="39">
        <v>3.6009900000000001E-11</v>
      </c>
      <c r="AE68" s="39">
        <v>6.8659900000000006E-11</v>
      </c>
      <c r="AF68" s="39">
        <v>3.03939E-11</v>
      </c>
      <c r="AG68" s="39">
        <v>4.0748700000000001E-11</v>
      </c>
      <c r="AH68" s="39">
        <v>4.9257699999999997E-11</v>
      </c>
      <c r="AI68" s="39">
        <v>2.6382499999999999E-11</v>
      </c>
      <c r="AJ68" s="39">
        <v>5.7798299999999998E-11</v>
      </c>
      <c r="AK68" s="39">
        <v>3.2289300000000002E-11</v>
      </c>
      <c r="AL68" s="39">
        <v>4.6435399999999997E-11</v>
      </c>
      <c r="AM68" s="39">
        <v>4.3161099999999998E-11</v>
      </c>
      <c r="AN68" s="39">
        <v>3.7931799999999997E-11</v>
      </c>
    </row>
    <row r="69" spans="1:40" thickBot="1">
      <c r="A69" s="29" t="s">
        <v>297</v>
      </c>
      <c r="B69" s="30" t="s">
        <v>17</v>
      </c>
      <c r="C69" s="30">
        <v>56</v>
      </c>
      <c r="D69" s="30" t="s">
        <v>41</v>
      </c>
      <c r="E69" s="30">
        <v>1000</v>
      </c>
      <c r="F69" s="30">
        <v>31</v>
      </c>
      <c r="G69" s="30" t="s">
        <v>268</v>
      </c>
      <c r="H69" s="42" t="s">
        <v>296</v>
      </c>
      <c r="I69" s="30" t="s">
        <v>20</v>
      </c>
      <c r="J69" s="40" t="s">
        <v>75</v>
      </c>
      <c r="K69" s="44" t="str">
        <f t="shared" si="8"/>
        <v>lev OK</v>
      </c>
      <c r="L69" s="1">
        <f t="shared" si="9"/>
        <v>42376.866666666669</v>
      </c>
      <c r="M69" s="43"/>
      <c r="N69" s="11">
        <f t="shared" si="10"/>
        <v>0.4478405797082059</v>
      </c>
      <c r="O69" s="11">
        <v>0.63100000000000001</v>
      </c>
      <c r="P69" s="1">
        <v>42376.472222222219</v>
      </c>
      <c r="Q69" s="11">
        <f t="shared" si="7"/>
        <v>1.9347826086907556E-2</v>
      </c>
      <c r="AC69" s="39">
        <v>5.4218100000000003E-11</v>
      </c>
      <c r="AD69" s="39">
        <v>3.8721299999999997E-11</v>
      </c>
      <c r="AE69" s="39">
        <v>6.1386999999999994E-11</v>
      </c>
      <c r="AF69" s="39">
        <v>3.8673900000000003E-11</v>
      </c>
      <c r="AG69" s="39">
        <v>4.3421499999999997E-11</v>
      </c>
      <c r="AH69" s="39">
        <v>5.1356000000000002E-11</v>
      </c>
      <c r="AI69" s="39">
        <v>2.9916200000000002E-11</v>
      </c>
      <c r="AJ69" s="39">
        <v>6.6778100000000003E-11</v>
      </c>
      <c r="AK69" s="39">
        <v>3.4061399999999997E-11</v>
      </c>
      <c r="AL69" s="39">
        <v>5.4062500000000001E-11</v>
      </c>
      <c r="AM69" s="39">
        <v>5.19795E-11</v>
      </c>
      <c r="AN69" s="39">
        <v>3.7952099999999999E-11</v>
      </c>
    </row>
    <row r="70" spans="1:40" thickBot="1">
      <c r="A70" s="29" t="s">
        <v>298</v>
      </c>
      <c r="B70" s="30" t="s">
        <v>17</v>
      </c>
      <c r="C70" s="30">
        <v>56</v>
      </c>
      <c r="D70" s="30" t="s">
        <v>41</v>
      </c>
      <c r="E70" s="30">
        <v>1000</v>
      </c>
      <c r="F70" s="30">
        <v>32</v>
      </c>
      <c r="G70" s="30" t="s">
        <v>268</v>
      </c>
      <c r="H70" s="42" t="s">
        <v>296</v>
      </c>
      <c r="I70" s="30" t="s">
        <v>20</v>
      </c>
      <c r="J70" s="40" t="s">
        <v>75</v>
      </c>
      <c r="K70" s="44" t="str">
        <f t="shared" si="8"/>
        <v>lev OK</v>
      </c>
      <c r="L70" s="1">
        <f t="shared" si="9"/>
        <v>42376.90625</v>
      </c>
      <c r="M70" s="43"/>
      <c r="N70" s="11">
        <f t="shared" si="10"/>
        <v>0.42946014492654472</v>
      </c>
      <c r="O70" s="11">
        <v>0.63100000000000001</v>
      </c>
      <c r="P70" s="1">
        <v>42376.472222222219</v>
      </c>
      <c r="Q70" s="11">
        <f t="shared" si="7"/>
        <v>1.9347826086907556E-2</v>
      </c>
      <c r="AC70" s="39">
        <v>5.9984000000000005E-11</v>
      </c>
      <c r="AD70" s="39">
        <v>4.0689599999999999E-11</v>
      </c>
      <c r="AE70" s="39">
        <v>6.6694999999999996E-11</v>
      </c>
      <c r="AF70" s="39">
        <v>3.7127800000000002E-11</v>
      </c>
      <c r="AG70" s="39">
        <v>4.919E-11</v>
      </c>
      <c r="AH70" s="39">
        <v>5.9340500000000003E-11</v>
      </c>
      <c r="AI70" s="39">
        <v>3.1650300000000001E-11</v>
      </c>
      <c r="AJ70" s="39">
        <v>7.3526800000000005E-11</v>
      </c>
      <c r="AK70" s="39">
        <v>3.7275100000000001E-11</v>
      </c>
      <c r="AL70" s="39">
        <v>5.8537900000000002E-11</v>
      </c>
      <c r="AM70" s="39">
        <v>5.5983400000000002E-11</v>
      </c>
      <c r="AN70" s="39">
        <v>4.5268700000000002E-11</v>
      </c>
    </row>
    <row r="71" spans="1:40" thickBot="1">
      <c r="A71" s="29" t="s">
        <v>299</v>
      </c>
      <c r="B71" s="30" t="s">
        <v>17</v>
      </c>
      <c r="C71" s="30">
        <v>56</v>
      </c>
      <c r="D71" s="30" t="s">
        <v>41</v>
      </c>
      <c r="E71" s="30">
        <v>1000</v>
      </c>
      <c r="F71" s="30">
        <v>31</v>
      </c>
      <c r="G71" s="30" t="s">
        <v>268</v>
      </c>
      <c r="H71" s="42" t="s">
        <v>296</v>
      </c>
      <c r="I71" s="30" t="s">
        <v>20</v>
      </c>
      <c r="J71" s="40" t="s">
        <v>75</v>
      </c>
      <c r="K71" s="44" t="str">
        <f t="shared" si="8"/>
        <v>lev OK</v>
      </c>
      <c r="L71" s="1">
        <f t="shared" si="9"/>
        <v>42376.945138888892</v>
      </c>
      <c r="M71" s="43"/>
      <c r="N71" s="11">
        <f t="shared" si="10"/>
        <v>0.41140217391067113</v>
      </c>
      <c r="O71" s="11">
        <v>0.63100000000000001</v>
      </c>
      <c r="P71" s="1">
        <v>42376.472222222219</v>
      </c>
      <c r="Q71" s="11">
        <f t="shared" si="7"/>
        <v>1.9347826086907556E-2</v>
      </c>
      <c r="AC71" s="39">
        <v>4.5600000000000003E-11</v>
      </c>
      <c r="AD71" s="39">
        <v>3.3533099999999999E-11</v>
      </c>
      <c r="AE71" s="39">
        <v>4.9535900000000003E-11</v>
      </c>
      <c r="AF71" s="39">
        <v>3.03866E-11</v>
      </c>
      <c r="AG71" s="39">
        <v>3.8664599999999998E-11</v>
      </c>
      <c r="AH71" s="39">
        <v>4.6227299999999997E-11</v>
      </c>
      <c r="AI71" s="39">
        <v>2.7087500000000001E-11</v>
      </c>
      <c r="AJ71" s="39">
        <v>5.6771500000000001E-11</v>
      </c>
      <c r="AK71" s="39">
        <v>3.2645699999999998E-11</v>
      </c>
      <c r="AL71" s="39">
        <v>4.6833499999999999E-11</v>
      </c>
      <c r="AM71" s="39">
        <v>4.1696399999999998E-11</v>
      </c>
      <c r="AN71" s="39">
        <v>3.4657599999999997E-11</v>
      </c>
    </row>
    <row r="72" spans="1:40" thickBot="1">
      <c r="A72" s="29" t="s">
        <v>300</v>
      </c>
      <c r="B72" s="30" t="s">
        <v>17</v>
      </c>
      <c r="C72" s="30">
        <v>56</v>
      </c>
      <c r="D72" s="30" t="s">
        <v>41</v>
      </c>
      <c r="E72" s="30">
        <v>1000</v>
      </c>
      <c r="F72" s="30">
        <v>31</v>
      </c>
      <c r="G72" s="30" t="s">
        <v>268</v>
      </c>
      <c r="H72" s="42" t="s">
        <v>296</v>
      </c>
      <c r="I72" s="30" t="s">
        <v>20</v>
      </c>
      <c r="J72" s="40" t="s">
        <v>75</v>
      </c>
      <c r="K72" s="44" t="str">
        <f t="shared" si="8"/>
        <v>lev OK</v>
      </c>
      <c r="L72" s="1">
        <f t="shared" si="9"/>
        <v>42376.984722222223</v>
      </c>
      <c r="M72" s="43"/>
      <c r="N72" s="11">
        <f t="shared" si="10"/>
        <v>0.39302173912900995</v>
      </c>
      <c r="O72" s="11">
        <v>0.63100000000000001</v>
      </c>
      <c r="P72" s="1">
        <v>42376.472222222219</v>
      </c>
      <c r="Q72" s="11">
        <f t="shared" si="7"/>
        <v>1.9347826086907556E-2</v>
      </c>
      <c r="AC72" s="39">
        <v>5.6808700000000001E-11</v>
      </c>
      <c r="AD72" s="39">
        <v>4.4959899999999999E-11</v>
      </c>
      <c r="AE72" s="39">
        <v>6.1533000000000006E-11</v>
      </c>
      <c r="AF72" s="39">
        <v>4.0927000000000001E-11</v>
      </c>
      <c r="AG72" s="39">
        <v>4.9969499999999999E-11</v>
      </c>
      <c r="AH72" s="39">
        <v>6.1370299999999996E-11</v>
      </c>
      <c r="AI72" s="39">
        <v>3.0233699999999999E-11</v>
      </c>
      <c r="AJ72" s="39">
        <v>7.2915700000000004E-11</v>
      </c>
      <c r="AK72" s="39">
        <v>3.6206200000000001E-11</v>
      </c>
      <c r="AL72" s="39">
        <v>5.5347200000000001E-11</v>
      </c>
      <c r="AM72" s="39">
        <v>5.6489799999999998E-11</v>
      </c>
      <c r="AN72" s="39">
        <v>4.5913399999999998E-11</v>
      </c>
    </row>
    <row r="73" spans="1:40" thickBot="1">
      <c r="A73" s="29" t="s">
        <v>301</v>
      </c>
      <c r="B73" s="30" t="s">
        <v>17</v>
      </c>
      <c r="C73" s="30">
        <v>56</v>
      </c>
      <c r="D73" s="30" t="s">
        <v>41</v>
      </c>
      <c r="E73" s="30">
        <v>1000</v>
      </c>
      <c r="F73" s="30">
        <v>32</v>
      </c>
      <c r="G73" s="30" t="s">
        <v>268</v>
      </c>
      <c r="H73" s="42" t="s">
        <v>296</v>
      </c>
      <c r="I73" s="30" t="s">
        <v>20</v>
      </c>
      <c r="J73" s="40" t="s">
        <v>75</v>
      </c>
      <c r="K73" s="44" t="str">
        <f t="shared" si="8"/>
        <v>lev OK</v>
      </c>
      <c r="L73" s="1">
        <f t="shared" si="9"/>
        <v>42377.024305555555</v>
      </c>
      <c r="M73" s="43"/>
      <c r="N73" s="11">
        <f t="shared" si="10"/>
        <v>0.37464130434734871</v>
      </c>
      <c r="O73" s="11">
        <v>0.63100000000000001</v>
      </c>
      <c r="P73" s="1">
        <v>42376.472222222219</v>
      </c>
      <c r="Q73" s="11">
        <f t="shared" si="7"/>
        <v>1.9347826086907556E-2</v>
      </c>
      <c r="AC73" s="39">
        <v>5.9713699999999997E-11</v>
      </c>
      <c r="AD73" s="39">
        <v>4.4618299999999998E-11</v>
      </c>
      <c r="AE73" s="39">
        <v>6.8362599999999999E-11</v>
      </c>
      <c r="AF73" s="39">
        <v>4.3699599999999997E-11</v>
      </c>
      <c r="AG73" s="39">
        <v>4.7913399999999997E-11</v>
      </c>
      <c r="AH73" s="39">
        <v>6.0884399999999994E-11</v>
      </c>
      <c r="AI73" s="39">
        <v>3.00133E-11</v>
      </c>
      <c r="AJ73" s="39">
        <v>6.9426699999999995E-11</v>
      </c>
      <c r="AK73" s="39">
        <v>3.5290599999999999E-11</v>
      </c>
      <c r="AL73" s="39">
        <v>5.9269100000000003E-11</v>
      </c>
      <c r="AM73" s="39">
        <v>5.5041E-11</v>
      </c>
      <c r="AN73" s="39">
        <v>3.8955400000000001E-11</v>
      </c>
    </row>
    <row r="74" spans="1:40" thickBot="1">
      <c r="A74" s="29" t="s">
        <v>302</v>
      </c>
      <c r="B74" s="30" t="s">
        <v>17</v>
      </c>
      <c r="C74" s="30">
        <v>56</v>
      </c>
      <c r="D74" s="30" t="s">
        <v>41</v>
      </c>
      <c r="E74" s="30">
        <v>1000</v>
      </c>
      <c r="F74" s="30">
        <v>31</v>
      </c>
      <c r="G74" s="30" t="s">
        <v>268</v>
      </c>
      <c r="H74" s="42" t="s">
        <v>296</v>
      </c>
      <c r="I74" s="30" t="s">
        <v>20</v>
      </c>
      <c r="J74" s="40" t="s">
        <v>75</v>
      </c>
      <c r="K74" s="44" t="str">
        <f t="shared" si="8"/>
        <v>lev OK</v>
      </c>
      <c r="L74" s="1">
        <f t="shared" si="9"/>
        <v>42377.063888888886</v>
      </c>
      <c r="M74" s="43"/>
      <c r="N74" s="11">
        <f t="shared" si="10"/>
        <v>0.35626086956568748</v>
      </c>
      <c r="O74" s="11">
        <v>0.63100000000000001</v>
      </c>
      <c r="P74" s="1">
        <v>42376.472222222219</v>
      </c>
      <c r="Q74" s="11">
        <f t="shared" si="7"/>
        <v>1.9347826086907556E-2</v>
      </c>
      <c r="AC74" s="39">
        <v>7.8578599999999995E-11</v>
      </c>
      <c r="AD74" s="39">
        <v>5.8143099999999998E-11</v>
      </c>
      <c r="AE74" s="39">
        <v>7.45924E-11</v>
      </c>
      <c r="AF74" s="39">
        <v>5.1368999999999997E-11</v>
      </c>
      <c r="AG74" s="39">
        <v>5.9165300000000002E-11</v>
      </c>
      <c r="AH74" s="39">
        <v>7.2655299999999999E-11</v>
      </c>
      <c r="AI74" s="39">
        <v>3.8330800000000001E-11</v>
      </c>
      <c r="AJ74" s="39">
        <v>9.4069300000000001E-11</v>
      </c>
      <c r="AK74" s="39">
        <v>4.1317700000000003E-11</v>
      </c>
      <c r="AL74" s="39">
        <v>7.6713900000000002E-11</v>
      </c>
      <c r="AM74" s="39">
        <v>7.4187600000000002E-11</v>
      </c>
      <c r="AN74" s="39">
        <v>5.6228099999999998E-11</v>
      </c>
    </row>
    <row r="75" spans="1:40" thickBot="1">
      <c r="A75" s="29" t="s">
        <v>303</v>
      </c>
      <c r="B75" s="30" t="s">
        <v>17</v>
      </c>
      <c r="C75" s="30">
        <v>56</v>
      </c>
      <c r="D75" s="30" t="s">
        <v>41</v>
      </c>
      <c r="E75" s="30">
        <v>1000</v>
      </c>
      <c r="F75" s="30">
        <v>32</v>
      </c>
      <c r="G75" s="30" t="s">
        <v>268</v>
      </c>
      <c r="H75" s="42" t="s">
        <v>296</v>
      </c>
      <c r="I75" s="30" t="s">
        <v>20</v>
      </c>
      <c r="J75" s="40" t="s">
        <v>75</v>
      </c>
      <c r="K75" s="44" t="str">
        <f t="shared" si="8"/>
        <v>lev OK</v>
      </c>
      <c r="L75" s="1">
        <f t="shared" si="9"/>
        <v>42377.102777777778</v>
      </c>
      <c r="M75" s="43"/>
      <c r="N75" s="11">
        <f t="shared" si="10"/>
        <v>0.33820289854981389</v>
      </c>
      <c r="O75" s="11">
        <v>0.63100000000000001</v>
      </c>
      <c r="P75" s="1">
        <v>42376.472222222219</v>
      </c>
      <c r="Q75" s="11">
        <f t="shared" si="7"/>
        <v>1.9347826086907556E-2</v>
      </c>
      <c r="AC75" s="39">
        <v>6.0455399999999998E-11</v>
      </c>
      <c r="AD75" s="39">
        <v>4.4099299999999998E-11</v>
      </c>
      <c r="AE75" s="39">
        <v>6.1745000000000002E-11</v>
      </c>
      <c r="AF75" s="39">
        <v>4.1638299999999999E-11</v>
      </c>
      <c r="AG75" s="39">
        <v>4.4381599999999999E-11</v>
      </c>
      <c r="AH75" s="39">
        <v>6.4567499999999994E-11</v>
      </c>
      <c r="AI75" s="39">
        <v>3.2458299999999998E-11</v>
      </c>
      <c r="AJ75" s="39">
        <v>7.0442800000000005E-11</v>
      </c>
      <c r="AK75" s="39">
        <v>3.5907000000000002E-11</v>
      </c>
      <c r="AL75" s="39">
        <v>5.93679E-11</v>
      </c>
      <c r="AM75" s="39">
        <v>5.7233499999999997E-11</v>
      </c>
      <c r="AN75" s="39">
        <v>3.9517200000000002E-11</v>
      </c>
    </row>
    <row r="76" spans="1:40" thickBot="1">
      <c r="A76" s="29" t="s">
        <v>304</v>
      </c>
      <c r="B76" s="30" t="s">
        <v>17</v>
      </c>
      <c r="C76" s="30">
        <v>56</v>
      </c>
      <c r="D76" s="30" t="s">
        <v>41</v>
      </c>
      <c r="E76" s="30">
        <v>1000</v>
      </c>
      <c r="F76" s="30">
        <v>31</v>
      </c>
      <c r="G76" s="30" t="s">
        <v>268</v>
      </c>
      <c r="H76" s="42" t="s">
        <v>296</v>
      </c>
      <c r="I76" s="30" t="s">
        <v>20</v>
      </c>
      <c r="J76" s="40" t="s">
        <v>75</v>
      </c>
      <c r="K76" s="44" t="str">
        <f t="shared" si="8"/>
        <v>lev OK</v>
      </c>
      <c r="L76" s="1">
        <f t="shared" si="9"/>
        <v>42377.142361111109</v>
      </c>
      <c r="M76" s="43"/>
      <c r="N76" s="11">
        <f t="shared" si="10"/>
        <v>0.31982246376815271</v>
      </c>
      <c r="O76" s="11">
        <v>0.63100000000000001</v>
      </c>
      <c r="P76" s="1">
        <v>42376.472222222219</v>
      </c>
      <c r="Q76" s="11">
        <f t="shared" si="7"/>
        <v>1.9347826086907556E-2</v>
      </c>
      <c r="AC76" s="39">
        <v>6.8837000000000005E-11</v>
      </c>
      <c r="AD76" s="39">
        <v>5.2350399999999997E-11</v>
      </c>
      <c r="AE76" s="39">
        <v>7.1091200000000005E-11</v>
      </c>
      <c r="AF76" s="39">
        <v>5.1784500000000001E-11</v>
      </c>
      <c r="AG76" s="39">
        <v>5.2948600000000002E-11</v>
      </c>
      <c r="AH76" s="39">
        <v>7.2722599999999997E-11</v>
      </c>
      <c r="AI76" s="39">
        <v>3.4616100000000003E-11</v>
      </c>
      <c r="AJ76" s="39">
        <v>8.5777999999999996E-11</v>
      </c>
      <c r="AK76" s="39">
        <v>4.0984499999999997E-11</v>
      </c>
      <c r="AL76" s="39">
        <v>6.8104100000000004E-11</v>
      </c>
      <c r="AM76" s="39">
        <v>6.85719E-11</v>
      </c>
      <c r="AN76" s="39">
        <v>5.2947799999999999E-11</v>
      </c>
    </row>
    <row r="77" spans="1:40" thickBot="1">
      <c r="A77" s="29" t="s">
        <v>305</v>
      </c>
      <c r="B77" s="30" t="s">
        <v>17</v>
      </c>
      <c r="C77" s="30">
        <v>56</v>
      </c>
      <c r="D77" s="30" t="s">
        <v>41</v>
      </c>
      <c r="E77" s="30">
        <v>1000</v>
      </c>
      <c r="F77" s="30">
        <v>31</v>
      </c>
      <c r="G77" s="30" t="s">
        <v>268</v>
      </c>
      <c r="H77" s="42" t="s">
        <v>296</v>
      </c>
      <c r="I77" s="30" t="s">
        <v>20</v>
      </c>
      <c r="J77" s="40" t="s">
        <v>75</v>
      </c>
      <c r="K77" s="44" t="str">
        <f t="shared" si="8"/>
        <v>lev OK</v>
      </c>
      <c r="L77" s="1">
        <f t="shared" si="9"/>
        <v>42377.181944444441</v>
      </c>
      <c r="M77" s="43"/>
      <c r="N77" s="11">
        <f t="shared" si="10"/>
        <v>0.30144202898649147</v>
      </c>
      <c r="O77" s="11">
        <v>0.63100000000000001</v>
      </c>
      <c r="P77" s="1">
        <v>42376.472222222219</v>
      </c>
      <c r="Q77" s="11">
        <f t="shared" si="7"/>
        <v>1.9347826086907556E-2</v>
      </c>
      <c r="AC77" s="39">
        <v>6.6849599999999996E-11</v>
      </c>
      <c r="AD77" s="39">
        <v>4.99217E-11</v>
      </c>
      <c r="AE77" s="39">
        <v>7.3801099999999995E-11</v>
      </c>
      <c r="AF77" s="39">
        <v>4.4304900000000003E-11</v>
      </c>
      <c r="AG77" s="39">
        <v>6.8350099999999995E-11</v>
      </c>
      <c r="AH77" s="39">
        <v>7.0472199999999994E-11</v>
      </c>
      <c r="AI77" s="39">
        <v>3.4209899999999998E-11</v>
      </c>
      <c r="AJ77" s="39">
        <v>8.3494899999999999E-11</v>
      </c>
      <c r="AK77" s="39">
        <v>3.82955E-11</v>
      </c>
      <c r="AL77" s="39">
        <v>6.9003499999999999E-11</v>
      </c>
      <c r="AM77" s="39">
        <v>6.2142300000000001E-11</v>
      </c>
      <c r="AN77" s="39">
        <v>4.5963799999999998E-11</v>
      </c>
    </row>
    <row r="78" spans="1:40" thickBot="1">
      <c r="A78" s="29" t="s">
        <v>306</v>
      </c>
      <c r="B78" s="30" t="s">
        <v>17</v>
      </c>
      <c r="C78" s="30">
        <v>56</v>
      </c>
      <c r="D78" s="30" t="s">
        <v>41</v>
      </c>
      <c r="E78" s="30">
        <v>1000</v>
      </c>
      <c r="F78" s="30">
        <v>31</v>
      </c>
      <c r="G78" s="30" t="s">
        <v>268</v>
      </c>
      <c r="H78" s="42" t="s">
        <v>296</v>
      </c>
      <c r="I78" s="30" t="s">
        <v>20</v>
      </c>
      <c r="J78" s="40" t="s">
        <v>75</v>
      </c>
      <c r="K78" s="44" t="str">
        <f t="shared" si="8"/>
        <v>lev OK</v>
      </c>
      <c r="L78" s="1">
        <f t="shared" si="9"/>
        <v>42377.22152777778</v>
      </c>
      <c r="M78" s="43"/>
      <c r="N78" s="11">
        <f t="shared" si="10"/>
        <v>0.28306159420145166</v>
      </c>
      <c r="O78" s="11">
        <v>0.63100000000000001</v>
      </c>
      <c r="P78" s="1">
        <v>42376.472222222219</v>
      </c>
      <c r="Q78" s="11">
        <f t="shared" si="7"/>
        <v>1.9347826086907556E-2</v>
      </c>
      <c r="AC78" s="39">
        <v>6.5073300000000006E-11</v>
      </c>
      <c r="AD78" s="39">
        <v>5.10189E-11</v>
      </c>
      <c r="AE78" s="39">
        <v>6.7991300000000003E-11</v>
      </c>
      <c r="AF78" s="39">
        <v>4.1667200000000002E-11</v>
      </c>
      <c r="AG78" s="39">
        <v>4.5869999999999999E-11</v>
      </c>
      <c r="AH78" s="39">
        <v>6.3903899999999996E-11</v>
      </c>
      <c r="AI78" s="39">
        <v>3.3634099999999999E-11</v>
      </c>
      <c r="AJ78" s="39">
        <v>7.7031900000000003E-11</v>
      </c>
      <c r="AK78" s="39">
        <v>3.7524399999999997E-11</v>
      </c>
      <c r="AL78" s="39">
        <v>6.6494400000000001E-11</v>
      </c>
      <c r="AM78" s="39">
        <v>5.9968100000000003E-11</v>
      </c>
      <c r="AN78" s="39">
        <v>4.5796700000000001E-11</v>
      </c>
    </row>
    <row r="79" spans="1:40" thickBot="1">
      <c r="A79" s="29" t="s">
        <v>307</v>
      </c>
      <c r="B79" s="30" t="s">
        <v>17</v>
      </c>
      <c r="C79" s="30">
        <v>56</v>
      </c>
      <c r="D79" s="30" t="s">
        <v>41</v>
      </c>
      <c r="E79" s="30">
        <v>1000</v>
      </c>
      <c r="F79" s="30">
        <v>31</v>
      </c>
      <c r="G79" s="30" t="s">
        <v>268</v>
      </c>
      <c r="H79" s="42" t="s">
        <v>296</v>
      </c>
      <c r="I79" s="30" t="s">
        <v>20</v>
      </c>
      <c r="J79" s="40" t="s">
        <v>75</v>
      </c>
      <c r="K79" s="44" t="str">
        <f t="shared" si="8"/>
        <v>lev OK</v>
      </c>
      <c r="L79" s="1">
        <f t="shared" si="9"/>
        <v>42377.260416666664</v>
      </c>
      <c r="M79" s="43"/>
      <c r="N79" s="11">
        <f t="shared" si="10"/>
        <v>0.26500362318895665</v>
      </c>
      <c r="O79" s="11">
        <v>0.63100000000000001</v>
      </c>
      <c r="P79" s="1">
        <v>42376.472222222219</v>
      </c>
      <c r="Q79" s="11">
        <f t="shared" si="7"/>
        <v>1.9347826086907556E-2</v>
      </c>
      <c r="AC79" s="39">
        <v>6.3028300000000002E-11</v>
      </c>
      <c r="AD79" s="39">
        <v>4.6385400000000001E-11</v>
      </c>
      <c r="AE79" s="39">
        <v>7.1818999999999995E-11</v>
      </c>
      <c r="AF79" s="39">
        <v>7.5459600000000005E-11</v>
      </c>
      <c r="AG79" s="39">
        <v>4.9951699999999998E-11</v>
      </c>
      <c r="AH79" s="39">
        <v>6.6470699999999995E-11</v>
      </c>
      <c r="AI79" s="39">
        <v>3.30481E-11</v>
      </c>
      <c r="AJ79" s="39">
        <v>7.4664399999999998E-11</v>
      </c>
      <c r="AK79" s="39">
        <v>3.6721800000000002E-11</v>
      </c>
      <c r="AL79" s="39">
        <v>6.0393399999999996E-11</v>
      </c>
      <c r="AM79" s="39">
        <v>5.8043000000000001E-11</v>
      </c>
      <c r="AN79" s="39">
        <v>4.2731700000000003E-11</v>
      </c>
    </row>
    <row r="80" spans="1:40" thickBot="1">
      <c r="A80" s="29" t="s">
        <v>308</v>
      </c>
      <c r="B80" s="30" t="s">
        <v>17</v>
      </c>
      <c r="C80" s="30">
        <v>56</v>
      </c>
      <c r="D80" s="30" t="s">
        <v>41</v>
      </c>
      <c r="E80" s="30">
        <v>1000</v>
      </c>
      <c r="F80" s="30">
        <v>31</v>
      </c>
      <c r="G80" s="30" t="s">
        <v>268</v>
      </c>
      <c r="H80" s="42" t="s">
        <v>296</v>
      </c>
      <c r="I80" s="30" t="s">
        <v>20</v>
      </c>
      <c r="J80" s="40" t="s">
        <v>75</v>
      </c>
      <c r="K80" s="44" t="str">
        <f t="shared" si="8"/>
        <v>lev OK</v>
      </c>
      <c r="L80" s="1">
        <f t="shared" si="9"/>
        <v>42377.3</v>
      </c>
      <c r="M80" s="43"/>
      <c r="N80" s="11">
        <f t="shared" si="10"/>
        <v>0.24662318840391689</v>
      </c>
      <c r="O80" s="11">
        <v>0.63100000000000001</v>
      </c>
      <c r="P80" s="1">
        <v>42376.472222222219</v>
      </c>
      <c r="Q80" s="11">
        <f t="shared" si="7"/>
        <v>1.9347826086907556E-2</v>
      </c>
      <c r="AC80" s="39">
        <v>1.05087E-10</v>
      </c>
      <c r="AD80" s="39">
        <v>9.5147700000000006E-11</v>
      </c>
      <c r="AE80" s="39">
        <v>1.16698E-10</v>
      </c>
      <c r="AF80" s="39">
        <v>7.2166799999999996E-11</v>
      </c>
      <c r="AG80" s="39">
        <v>8.2197500000000002E-11</v>
      </c>
      <c r="AH80" s="39">
        <v>1.03252E-10</v>
      </c>
      <c r="AI80" s="39">
        <v>4.5656700000000002E-11</v>
      </c>
      <c r="AJ80" s="39">
        <v>1.2064999999999999E-10</v>
      </c>
      <c r="AK80" s="39">
        <v>4.8777299999999997E-11</v>
      </c>
      <c r="AL80" s="39">
        <v>1.1019E-10</v>
      </c>
      <c r="AM80" s="39">
        <v>9.6230199999999999E-11</v>
      </c>
      <c r="AN80" s="39">
        <v>7.4634099999999994E-11</v>
      </c>
    </row>
    <row r="81" spans="1:40" thickBot="1">
      <c r="A81" s="29" t="s">
        <v>309</v>
      </c>
      <c r="B81" s="30" t="s">
        <v>17</v>
      </c>
      <c r="C81" s="30">
        <v>56</v>
      </c>
      <c r="D81" s="30" t="s">
        <v>41</v>
      </c>
      <c r="E81" s="30">
        <v>1000</v>
      </c>
      <c r="F81" s="30">
        <v>31</v>
      </c>
      <c r="G81" s="30" t="s">
        <v>268</v>
      </c>
      <c r="H81" s="42" t="s">
        <v>296</v>
      </c>
      <c r="I81" s="30" t="s">
        <v>20</v>
      </c>
      <c r="J81" s="40" t="s">
        <v>75</v>
      </c>
      <c r="K81" s="44" t="str">
        <f t="shared" si="8"/>
        <v>lev OK</v>
      </c>
      <c r="L81" s="1">
        <f t="shared" si="9"/>
        <v>42377.339583333334</v>
      </c>
      <c r="M81" s="43"/>
      <c r="N81" s="11">
        <f t="shared" si="10"/>
        <v>0.22824275362225566</v>
      </c>
      <c r="O81" s="11">
        <v>0.63100000000000001</v>
      </c>
      <c r="P81" s="1">
        <v>42376.472222222219</v>
      </c>
      <c r="Q81" s="11">
        <f t="shared" si="7"/>
        <v>1.9347826086907556E-2</v>
      </c>
      <c r="AC81" s="39">
        <v>2.8179199999999998E-10</v>
      </c>
      <c r="AD81" s="39">
        <v>2.1238800000000001E-10</v>
      </c>
      <c r="AE81" s="39">
        <v>2.4181899999999999E-10</v>
      </c>
      <c r="AF81" s="39">
        <v>1.6057200000000001E-10</v>
      </c>
      <c r="AG81" s="39">
        <v>1.6045100000000001E-10</v>
      </c>
      <c r="AH81" s="39">
        <v>2.3418600000000001E-10</v>
      </c>
      <c r="AI81" s="39">
        <v>1.10331E-10</v>
      </c>
      <c r="AJ81" s="39">
        <v>2.8920300000000002E-10</v>
      </c>
      <c r="AK81" s="39">
        <v>9.9414099999999997E-11</v>
      </c>
      <c r="AL81" s="39">
        <v>2.6417699999999999E-10</v>
      </c>
      <c r="AM81" s="39">
        <v>2.45623E-10</v>
      </c>
      <c r="AN81" s="39">
        <v>1.50979E-10</v>
      </c>
    </row>
    <row r="82" spans="1:40" thickBot="1">
      <c r="A82" s="29" t="s">
        <v>310</v>
      </c>
      <c r="B82" s="30" t="s">
        <v>17</v>
      </c>
      <c r="C82" s="30">
        <v>56</v>
      </c>
      <c r="D82" s="30" t="s">
        <v>41</v>
      </c>
      <c r="E82" s="30">
        <v>1000</v>
      </c>
      <c r="F82" s="30">
        <v>31</v>
      </c>
      <c r="G82" s="30" t="s">
        <v>268</v>
      </c>
      <c r="H82" s="42" t="s">
        <v>296</v>
      </c>
      <c r="I82" s="30" t="s">
        <v>20</v>
      </c>
      <c r="J82" s="40" t="s">
        <v>245</v>
      </c>
      <c r="K82" s="44" t="str">
        <f t="shared" si="8"/>
        <v>lev BAD</v>
      </c>
      <c r="L82" s="1">
        <f t="shared" si="9"/>
        <v>42377.836111111108</v>
      </c>
      <c r="M82" s="43"/>
      <c r="N82" s="11">
        <f t="shared" si="10"/>
        <v>0.80150156740032896</v>
      </c>
      <c r="O82" s="12">
        <v>0.81100000000000005</v>
      </c>
      <c r="P82" s="1">
        <v>42377.81527777778</v>
      </c>
      <c r="Q82" s="11">
        <f>(O82-R82)/(S82-P82)/24</f>
        <v>1.8996865203765225E-2</v>
      </c>
      <c r="R82" s="12">
        <v>0.40699999999999997</v>
      </c>
      <c r="S82" s="1">
        <v>42378.701388888891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thickBot="1">
      <c r="A83" s="29" t="s">
        <v>311</v>
      </c>
      <c r="B83" s="30" t="s">
        <v>17</v>
      </c>
      <c r="C83" s="30">
        <v>56</v>
      </c>
      <c r="D83" s="30" t="s">
        <v>41</v>
      </c>
      <c r="E83" s="30">
        <v>1000</v>
      </c>
      <c r="F83" s="30">
        <v>31</v>
      </c>
      <c r="G83" s="30" t="s">
        <v>268</v>
      </c>
      <c r="H83" s="42" t="s">
        <v>296</v>
      </c>
      <c r="I83" s="30" t="s">
        <v>20</v>
      </c>
      <c r="J83" s="40" t="s">
        <v>75</v>
      </c>
      <c r="K83" s="44" t="str">
        <f t="shared" si="8"/>
        <v>lev BAD</v>
      </c>
      <c r="L83" s="1">
        <f t="shared" si="9"/>
        <v>42377.875694444447</v>
      </c>
      <c r="M83" s="43"/>
      <c r="N83" s="11">
        <f t="shared" si="10"/>
        <v>0.78345454545431936</v>
      </c>
      <c r="O83" s="11">
        <f>O82</f>
        <v>0.81100000000000005</v>
      </c>
      <c r="P83" s="1">
        <f>P82</f>
        <v>42377.81527777778</v>
      </c>
      <c r="Q83" s="12">
        <f>Q82</f>
        <v>1.8996865203765225E-2</v>
      </c>
      <c r="AC83" s="39">
        <v>1.1444000000000001E-9</v>
      </c>
      <c r="AD83" s="39">
        <v>9.2416900000000002E-10</v>
      </c>
      <c r="AE83" s="39">
        <v>9.30748E-10</v>
      </c>
      <c r="AF83" s="39">
        <v>6.1579500000000004E-10</v>
      </c>
      <c r="AG83" s="39">
        <v>8.9414800000000004E-10</v>
      </c>
      <c r="AH83" s="39">
        <v>9.1394199999999997E-10</v>
      </c>
      <c r="AI83" s="39">
        <v>4.5047399999999998E-10</v>
      </c>
      <c r="AJ83" s="39">
        <v>1.1841999999999999E-9</v>
      </c>
      <c r="AK83" s="39">
        <v>3.7244600000000001E-10</v>
      </c>
      <c r="AL83" s="39">
        <v>1.14494E-9</v>
      </c>
      <c r="AM83" s="39">
        <v>9.8697899999999993E-10</v>
      </c>
      <c r="AN83" s="39">
        <v>6.8537999999999996E-10</v>
      </c>
    </row>
    <row r="84" spans="1:40" thickBot="1">
      <c r="A84" s="29" t="s">
        <v>312</v>
      </c>
      <c r="B84" s="30" t="s">
        <v>17</v>
      </c>
      <c r="C84" s="30">
        <v>56</v>
      </c>
      <c r="D84" s="30" t="s">
        <v>41</v>
      </c>
      <c r="E84" s="30">
        <v>1000</v>
      </c>
      <c r="F84" s="30">
        <v>31</v>
      </c>
      <c r="G84" s="30" t="s">
        <v>268</v>
      </c>
      <c r="H84" s="42" t="s">
        <v>296</v>
      </c>
      <c r="I84" s="30" t="s">
        <v>20</v>
      </c>
      <c r="J84" s="40" t="s">
        <v>75</v>
      </c>
      <c r="K84" s="44" t="str">
        <f t="shared" si="8"/>
        <v>lev BAD</v>
      </c>
      <c r="L84" s="1">
        <f t="shared" si="9"/>
        <v>42377.915277777778</v>
      </c>
      <c r="M84" s="43"/>
      <c r="N84" s="11">
        <f t="shared" si="10"/>
        <v>0.765407523511627</v>
      </c>
      <c r="O84" s="11">
        <f t="shared" ref="O84:O100" si="11">O83</f>
        <v>0.81100000000000005</v>
      </c>
      <c r="P84" s="1">
        <f t="shared" ref="P84:P100" si="12">P83</f>
        <v>42377.81527777778</v>
      </c>
      <c r="Q84" s="12">
        <f t="shared" ref="Q84:Q100" si="13">Q83</f>
        <v>1.8996865203765225E-2</v>
      </c>
      <c r="AC84" s="39">
        <v>7.6445400000000002E-10</v>
      </c>
      <c r="AD84" s="39">
        <v>6.2508700000000004E-10</v>
      </c>
      <c r="AE84" s="39">
        <v>6.5056900000000005E-10</v>
      </c>
      <c r="AF84" s="39">
        <v>4.2499200000000001E-10</v>
      </c>
      <c r="AG84" s="39">
        <v>5.2688399999999998E-10</v>
      </c>
      <c r="AH84" s="39">
        <v>6.2195699999999996E-10</v>
      </c>
      <c r="AI84" s="39">
        <v>2.9656200000000002E-10</v>
      </c>
      <c r="AJ84" s="39">
        <v>8.0905100000000002E-10</v>
      </c>
      <c r="AK84" s="39">
        <v>2.51535E-10</v>
      </c>
      <c r="AL84" s="39">
        <v>7.5817600000000003E-10</v>
      </c>
      <c r="AM84" s="39">
        <v>6.6453899999999995E-10</v>
      </c>
      <c r="AN84" s="39">
        <v>4.9835399999999997E-10</v>
      </c>
    </row>
    <row r="85" spans="1:40" thickBot="1">
      <c r="A85" s="29" t="s">
        <v>313</v>
      </c>
      <c r="B85" s="30" t="s">
        <v>17</v>
      </c>
      <c r="C85" s="30">
        <v>56</v>
      </c>
      <c r="D85" s="30" t="s">
        <v>41</v>
      </c>
      <c r="E85" s="30">
        <v>1000</v>
      </c>
      <c r="F85" s="30">
        <v>31</v>
      </c>
      <c r="G85" s="30" t="s">
        <v>268</v>
      </c>
      <c r="H85" s="42" t="s">
        <v>296</v>
      </c>
      <c r="I85" s="30" t="s">
        <v>20</v>
      </c>
      <c r="J85" s="40" t="s">
        <v>75</v>
      </c>
      <c r="K85" s="44" t="str">
        <f t="shared" si="8"/>
        <v>lev BAD</v>
      </c>
      <c r="L85" s="1">
        <f t="shared" si="9"/>
        <v>42377.954861111109</v>
      </c>
      <c r="M85" s="43"/>
      <c r="N85" s="11">
        <f t="shared" si="10"/>
        <v>0.74736050156893463</v>
      </c>
      <c r="O85" s="11">
        <f t="shared" si="11"/>
        <v>0.81100000000000005</v>
      </c>
      <c r="P85" s="1">
        <f t="shared" si="12"/>
        <v>42377.81527777778</v>
      </c>
      <c r="Q85" s="12">
        <f t="shared" si="13"/>
        <v>1.8996865203765225E-2</v>
      </c>
      <c r="AC85" s="39">
        <v>5.1499799999999996E-10</v>
      </c>
      <c r="AD85" s="39">
        <v>4.1974499999999998E-10</v>
      </c>
      <c r="AE85" s="39">
        <v>4.3357900000000001E-10</v>
      </c>
      <c r="AF85" s="39">
        <v>2.9668700000000001E-10</v>
      </c>
      <c r="AG85" s="39">
        <v>3.3893499999999998E-10</v>
      </c>
      <c r="AH85" s="39">
        <v>4.4603000000000001E-10</v>
      </c>
      <c r="AI85" s="39">
        <v>2.03651E-10</v>
      </c>
      <c r="AJ85" s="39">
        <v>5.4892799999999997E-10</v>
      </c>
      <c r="AK85" s="39">
        <v>1.7316700000000001E-10</v>
      </c>
      <c r="AL85" s="39">
        <v>5.0729899999999999E-10</v>
      </c>
      <c r="AM85" s="39">
        <v>4.6071700000000001E-10</v>
      </c>
      <c r="AN85" s="39">
        <v>3.2555199999999999E-10</v>
      </c>
    </row>
    <row r="86" spans="1:40" thickBot="1">
      <c r="A86" s="29" t="s">
        <v>314</v>
      </c>
      <c r="B86" s="30" t="s">
        <v>17</v>
      </c>
      <c r="C86" s="30">
        <v>56</v>
      </c>
      <c r="D86" s="30" t="s">
        <v>41</v>
      </c>
      <c r="E86" s="30">
        <v>1000</v>
      </c>
      <c r="F86" s="30">
        <v>31</v>
      </c>
      <c r="G86" s="30" t="s">
        <v>268</v>
      </c>
      <c r="H86" s="42" t="s">
        <v>296</v>
      </c>
      <c r="I86" s="30" t="s">
        <v>20</v>
      </c>
      <c r="J86" s="40" t="s">
        <v>75</v>
      </c>
      <c r="K86" s="44" t="str">
        <f t="shared" si="8"/>
        <v>lev BAD</v>
      </c>
      <c r="L86" s="1">
        <f t="shared" si="9"/>
        <v>42377.993750000001</v>
      </c>
      <c r="M86" s="43"/>
      <c r="N86" s="11">
        <f t="shared" si="10"/>
        <v>0.72963009404401979</v>
      </c>
      <c r="O86" s="11">
        <f t="shared" si="11"/>
        <v>0.81100000000000005</v>
      </c>
      <c r="P86" s="1">
        <f t="shared" si="12"/>
        <v>42377.81527777778</v>
      </c>
      <c r="Q86" s="12">
        <f t="shared" si="13"/>
        <v>1.8996865203765225E-2</v>
      </c>
      <c r="AC86" s="39">
        <v>2.7647500000000002E-10</v>
      </c>
      <c r="AD86" s="39">
        <v>2.2783199999999999E-10</v>
      </c>
      <c r="AE86" s="39">
        <v>2.3242999999999999E-10</v>
      </c>
      <c r="AF86" s="39">
        <v>1.61921E-10</v>
      </c>
      <c r="AG86" s="39">
        <v>2.2230499999999999E-10</v>
      </c>
      <c r="AH86" s="39">
        <v>2.36204E-10</v>
      </c>
      <c r="AI86" s="39">
        <v>1.0995300000000001E-10</v>
      </c>
      <c r="AJ86" s="39">
        <v>2.98252E-10</v>
      </c>
      <c r="AK86" s="39">
        <v>9.6840100000000005E-11</v>
      </c>
      <c r="AL86" s="39">
        <v>2.7612099999999998E-10</v>
      </c>
      <c r="AM86" s="39">
        <v>2.4486000000000002E-10</v>
      </c>
      <c r="AN86" s="39">
        <v>1.76059E-10</v>
      </c>
    </row>
    <row r="87" spans="1:40" thickBot="1">
      <c r="A87" s="29" t="s">
        <v>315</v>
      </c>
      <c r="B87" s="30" t="s">
        <v>17</v>
      </c>
      <c r="C87" s="30">
        <v>56</v>
      </c>
      <c r="D87" s="30" t="s">
        <v>41</v>
      </c>
      <c r="E87" s="30">
        <v>1000</v>
      </c>
      <c r="F87" s="30">
        <v>31</v>
      </c>
      <c r="G87" s="30" t="s">
        <v>268</v>
      </c>
      <c r="H87" s="42" t="s">
        <v>296</v>
      </c>
      <c r="I87" s="30" t="s">
        <v>20</v>
      </c>
      <c r="J87" s="40" t="s">
        <v>75</v>
      </c>
      <c r="K87" s="44" t="str">
        <f t="shared" si="8"/>
        <v>lev BAD</v>
      </c>
      <c r="L87" s="1">
        <f t="shared" si="9"/>
        <v>42378.033333333333</v>
      </c>
      <c r="M87" s="43"/>
      <c r="N87" s="11">
        <f t="shared" si="10"/>
        <v>0.71158307210132743</v>
      </c>
      <c r="O87" s="11">
        <f t="shared" si="11"/>
        <v>0.81100000000000005</v>
      </c>
      <c r="P87" s="1">
        <f t="shared" si="12"/>
        <v>42377.81527777778</v>
      </c>
      <c r="Q87" s="12">
        <f t="shared" si="13"/>
        <v>1.8996865203765225E-2</v>
      </c>
      <c r="AC87" s="39">
        <v>5.3488300000000002E-11</v>
      </c>
      <c r="AD87" s="39">
        <v>4.15146E-11</v>
      </c>
      <c r="AE87" s="39">
        <v>4.8298099999999999E-11</v>
      </c>
      <c r="AF87" s="39">
        <v>3.3388200000000002E-11</v>
      </c>
      <c r="AG87" s="39">
        <v>6.8524499999999999E-11</v>
      </c>
      <c r="AH87" s="39">
        <v>5.5935099999999998E-11</v>
      </c>
      <c r="AI87" s="39">
        <v>2.88357E-11</v>
      </c>
      <c r="AJ87" s="39">
        <v>6.6646099999999995E-11</v>
      </c>
      <c r="AK87" s="39">
        <v>3.5787599999999997E-11</v>
      </c>
      <c r="AL87" s="39">
        <v>6.0654999999999996E-11</v>
      </c>
      <c r="AM87" s="39">
        <v>4.8236200000000003E-11</v>
      </c>
      <c r="AN87" s="39">
        <v>3.8067600000000001E-11</v>
      </c>
    </row>
    <row r="88" spans="1:40" thickBot="1">
      <c r="A88" s="29" t="s">
        <v>316</v>
      </c>
      <c r="B88" s="30" t="s">
        <v>17</v>
      </c>
      <c r="C88" s="30">
        <v>56</v>
      </c>
      <c r="D88" s="30" t="s">
        <v>41</v>
      </c>
      <c r="E88" s="30">
        <v>1000</v>
      </c>
      <c r="F88" s="30">
        <v>31</v>
      </c>
      <c r="G88" s="30" t="s">
        <v>268</v>
      </c>
      <c r="H88" s="42" t="s">
        <v>296</v>
      </c>
      <c r="I88" s="30" t="s">
        <v>20</v>
      </c>
      <c r="J88" s="40" t="s">
        <v>75</v>
      </c>
      <c r="K88" s="44" t="str">
        <f t="shared" si="8"/>
        <v>lev OK</v>
      </c>
      <c r="L88" s="1">
        <f t="shared" si="9"/>
        <v>42378.072916666664</v>
      </c>
      <c r="M88" s="43"/>
      <c r="N88" s="11">
        <f t="shared" si="10"/>
        <v>0.69353605015863506</v>
      </c>
      <c r="O88" s="11">
        <f t="shared" si="11"/>
        <v>0.81100000000000005</v>
      </c>
      <c r="P88" s="1">
        <f t="shared" si="12"/>
        <v>42377.81527777778</v>
      </c>
      <c r="Q88" s="12">
        <f t="shared" si="13"/>
        <v>1.8996865203765225E-2</v>
      </c>
      <c r="AC88" s="39">
        <v>1.0036799999999999E-10</v>
      </c>
      <c r="AD88" s="39">
        <v>8.2562900000000004E-11</v>
      </c>
      <c r="AE88" s="39">
        <v>9.2351800000000002E-11</v>
      </c>
      <c r="AF88" s="39">
        <v>6.9891199999999998E-11</v>
      </c>
      <c r="AG88" s="39">
        <v>1.2004399999999999E-10</v>
      </c>
      <c r="AH88" s="39">
        <v>9.9482699999999997E-11</v>
      </c>
      <c r="AI88" s="39">
        <v>4.4682500000000003E-11</v>
      </c>
      <c r="AJ88" s="39">
        <v>1.21778E-10</v>
      </c>
      <c r="AK88" s="39">
        <v>4.9094300000000003E-11</v>
      </c>
      <c r="AL88" s="39">
        <v>1.0254500000000001E-10</v>
      </c>
      <c r="AM88" s="39">
        <v>9.1546999999999997E-11</v>
      </c>
      <c r="AN88" s="39">
        <v>8.0146899999999996E-11</v>
      </c>
    </row>
    <row r="89" spans="1:40" thickBot="1">
      <c r="A89" s="29" t="s">
        <v>317</v>
      </c>
      <c r="B89" s="30" t="s">
        <v>17</v>
      </c>
      <c r="C89" s="30">
        <v>56</v>
      </c>
      <c r="D89" s="30" t="s">
        <v>41</v>
      </c>
      <c r="E89" s="30">
        <v>1000</v>
      </c>
      <c r="F89" s="30">
        <v>31</v>
      </c>
      <c r="G89" s="30" t="s">
        <v>268</v>
      </c>
      <c r="H89" s="42" t="s">
        <v>296</v>
      </c>
      <c r="I89" s="30" t="s">
        <v>20</v>
      </c>
      <c r="J89" s="40" t="s">
        <v>75</v>
      </c>
      <c r="K89" s="44" t="str">
        <f t="shared" si="8"/>
        <v>lev OK</v>
      </c>
      <c r="L89" s="1">
        <f t="shared" si="9"/>
        <v>42378.112500000003</v>
      </c>
      <c r="M89" s="43"/>
      <c r="N89" s="11">
        <f t="shared" si="10"/>
        <v>0.67548902821262546</v>
      </c>
      <c r="O89" s="11">
        <f t="shared" si="11"/>
        <v>0.81100000000000005</v>
      </c>
      <c r="P89" s="1">
        <f t="shared" si="12"/>
        <v>42377.81527777778</v>
      </c>
      <c r="Q89" s="12">
        <f t="shared" si="13"/>
        <v>1.8996865203765225E-2</v>
      </c>
      <c r="AC89" s="39">
        <v>5.62113E-11</v>
      </c>
      <c r="AD89" s="39">
        <v>4.3025000000000001E-11</v>
      </c>
      <c r="AE89" s="39">
        <v>5.3998300000000002E-11</v>
      </c>
      <c r="AF89" s="39">
        <v>3.6980199999999997E-11</v>
      </c>
      <c r="AG89" s="39">
        <v>6.9324400000000006E-11</v>
      </c>
      <c r="AH89" s="39">
        <v>5.4527400000000003E-11</v>
      </c>
      <c r="AI89" s="39">
        <v>3.0122399999999998E-11</v>
      </c>
      <c r="AJ89" s="39">
        <v>7.1698699999999995E-11</v>
      </c>
      <c r="AK89" s="39">
        <v>3.6050699999999998E-11</v>
      </c>
      <c r="AL89" s="39">
        <v>6.2771200000000001E-11</v>
      </c>
      <c r="AM89" s="39">
        <v>5.1913400000000003E-11</v>
      </c>
      <c r="AN89" s="39">
        <v>4.3255500000000001E-11</v>
      </c>
    </row>
    <row r="90" spans="1:40" thickBot="1">
      <c r="A90" s="29" t="s">
        <v>318</v>
      </c>
      <c r="B90" s="30" t="s">
        <v>17</v>
      </c>
      <c r="C90" s="30">
        <v>56</v>
      </c>
      <c r="D90" s="30" t="s">
        <v>41</v>
      </c>
      <c r="E90" s="30">
        <v>1000</v>
      </c>
      <c r="F90" s="30">
        <v>31</v>
      </c>
      <c r="G90" s="30" t="s">
        <v>268</v>
      </c>
      <c r="H90" s="42" t="s">
        <v>296</v>
      </c>
      <c r="I90" s="30" t="s">
        <v>20</v>
      </c>
      <c r="J90" s="40" t="s">
        <v>75</v>
      </c>
      <c r="K90" s="44" t="str">
        <f t="shared" si="8"/>
        <v>lev OK</v>
      </c>
      <c r="L90" s="1">
        <f t="shared" si="9"/>
        <v>42378.151388888888</v>
      </c>
      <c r="M90" s="43"/>
      <c r="N90" s="11">
        <f t="shared" si="10"/>
        <v>0.65775862069102786</v>
      </c>
      <c r="O90" s="11">
        <f t="shared" si="11"/>
        <v>0.81100000000000005</v>
      </c>
      <c r="P90" s="1">
        <f t="shared" si="12"/>
        <v>42377.81527777778</v>
      </c>
      <c r="Q90" s="12">
        <f t="shared" si="13"/>
        <v>1.8996865203765225E-2</v>
      </c>
      <c r="AC90" s="39">
        <v>5.8637699999999994E-11</v>
      </c>
      <c r="AD90" s="39">
        <v>4.8170499999999998E-11</v>
      </c>
      <c r="AE90" s="39">
        <v>6.2407899999999997E-11</v>
      </c>
      <c r="AF90" s="39">
        <v>3.7873899999999997E-11</v>
      </c>
      <c r="AG90" s="39">
        <v>8.7827899999999998E-11</v>
      </c>
      <c r="AH90" s="39">
        <v>6.0550300000000005E-11</v>
      </c>
      <c r="AI90" s="39">
        <v>3.1501300000000002E-11</v>
      </c>
      <c r="AJ90" s="39">
        <v>7.6676299999999997E-11</v>
      </c>
      <c r="AK90" s="39">
        <v>3.6718700000000003E-11</v>
      </c>
      <c r="AL90" s="39">
        <v>5.9760699999999999E-11</v>
      </c>
      <c r="AM90" s="39">
        <v>5.4580900000000003E-11</v>
      </c>
      <c r="AN90" s="39">
        <v>5.1454799999999999E-11</v>
      </c>
    </row>
    <row r="91" spans="1:40" thickBot="1">
      <c r="A91" s="29" t="s">
        <v>319</v>
      </c>
      <c r="B91" s="30" t="s">
        <v>17</v>
      </c>
      <c r="C91" s="30">
        <v>56</v>
      </c>
      <c r="D91" s="30" t="s">
        <v>41</v>
      </c>
      <c r="E91" s="30">
        <v>1000</v>
      </c>
      <c r="F91" s="30">
        <v>31</v>
      </c>
      <c r="G91" s="30" t="s">
        <v>268</v>
      </c>
      <c r="H91" s="42" t="s">
        <v>296</v>
      </c>
      <c r="I91" s="30" t="s">
        <v>20</v>
      </c>
      <c r="J91" s="40" t="s">
        <v>75</v>
      </c>
      <c r="K91" s="44" t="str">
        <f t="shared" si="8"/>
        <v>lev OK</v>
      </c>
      <c r="L91" s="1">
        <f t="shared" si="9"/>
        <v>42378.190972222219</v>
      </c>
      <c r="M91" s="43"/>
      <c r="N91" s="11">
        <f t="shared" si="10"/>
        <v>0.6397115987483355</v>
      </c>
      <c r="O91" s="11">
        <f t="shared" si="11"/>
        <v>0.81100000000000005</v>
      </c>
      <c r="P91" s="1">
        <f t="shared" si="12"/>
        <v>42377.81527777778</v>
      </c>
      <c r="Q91" s="12">
        <f t="shared" si="13"/>
        <v>1.8996865203765225E-2</v>
      </c>
      <c r="AC91" s="39">
        <v>4.9482600000000002E-11</v>
      </c>
      <c r="AD91" s="39">
        <v>3.92962E-11</v>
      </c>
      <c r="AE91" s="39">
        <v>5.1339800000000001E-11</v>
      </c>
      <c r="AF91" s="39">
        <v>3.29544E-11</v>
      </c>
      <c r="AG91" s="39">
        <v>6.6019999999999995E-11</v>
      </c>
      <c r="AH91" s="39">
        <v>5.2494199999999999E-11</v>
      </c>
      <c r="AI91" s="39">
        <v>2.6988800000000001E-11</v>
      </c>
      <c r="AJ91" s="39">
        <v>6.3928900000000004E-11</v>
      </c>
      <c r="AK91" s="39">
        <v>3.2424299999999997E-11</v>
      </c>
      <c r="AL91" s="39">
        <v>5.4774200000000003E-11</v>
      </c>
      <c r="AM91" s="39">
        <v>4.4706700000000001E-11</v>
      </c>
      <c r="AN91" s="39">
        <v>4.1929200000000001E-11</v>
      </c>
    </row>
    <row r="92" spans="1:40" thickBot="1">
      <c r="A92" s="29" t="s">
        <v>320</v>
      </c>
      <c r="B92" s="30" t="s">
        <v>17</v>
      </c>
      <c r="C92" s="30">
        <v>56</v>
      </c>
      <c r="D92" s="30" t="s">
        <v>41</v>
      </c>
      <c r="E92" s="30">
        <v>1000</v>
      </c>
      <c r="F92" s="30">
        <v>31</v>
      </c>
      <c r="G92" s="30" t="s">
        <v>268</v>
      </c>
      <c r="H92" s="42" t="s">
        <v>296</v>
      </c>
      <c r="I92" s="30" t="s">
        <v>20</v>
      </c>
      <c r="J92" s="40" t="s">
        <v>75</v>
      </c>
      <c r="K92" s="44" t="str">
        <f t="shared" si="8"/>
        <v>lev OK</v>
      </c>
      <c r="L92" s="1">
        <f t="shared" si="9"/>
        <v>42378.230555555558</v>
      </c>
      <c r="M92" s="43"/>
      <c r="N92" s="11">
        <f t="shared" si="10"/>
        <v>0.6216645768023259</v>
      </c>
      <c r="O92" s="11">
        <f t="shared" si="11"/>
        <v>0.81100000000000005</v>
      </c>
      <c r="P92" s="1">
        <f t="shared" si="12"/>
        <v>42377.81527777778</v>
      </c>
      <c r="Q92" s="12">
        <f t="shared" si="13"/>
        <v>1.8996865203765225E-2</v>
      </c>
      <c r="AC92" s="39">
        <v>9.5186799999999997E-11</v>
      </c>
      <c r="AD92" s="39">
        <v>7.8883699999999994E-11</v>
      </c>
      <c r="AE92" s="39">
        <v>8.5566199999999999E-11</v>
      </c>
      <c r="AF92" s="39">
        <v>6.1911299999999997E-11</v>
      </c>
      <c r="AG92" s="39">
        <v>1.2795600000000001E-10</v>
      </c>
      <c r="AH92" s="39">
        <v>9.1360600000000006E-11</v>
      </c>
      <c r="AI92" s="39">
        <v>4.0311899999999999E-11</v>
      </c>
      <c r="AJ92" s="39">
        <v>1.12387E-10</v>
      </c>
      <c r="AK92" s="39">
        <v>4.4413700000000002E-11</v>
      </c>
      <c r="AL92" s="39">
        <v>9.4328199999999994E-11</v>
      </c>
      <c r="AM92" s="39">
        <v>8.5197799999999997E-11</v>
      </c>
      <c r="AN92" s="39">
        <v>7.3571899999999996E-11</v>
      </c>
    </row>
    <row r="93" spans="1:40" thickBot="1">
      <c r="A93" s="29" t="s">
        <v>321</v>
      </c>
      <c r="B93" s="30" t="s">
        <v>17</v>
      </c>
      <c r="C93" s="30">
        <v>56</v>
      </c>
      <c r="D93" s="30" t="s">
        <v>41</v>
      </c>
      <c r="E93" s="30">
        <v>1000</v>
      </c>
      <c r="F93" s="30">
        <v>32</v>
      </c>
      <c r="G93" s="30" t="s">
        <v>268</v>
      </c>
      <c r="H93" s="42" t="s">
        <v>296</v>
      </c>
      <c r="I93" s="30" t="s">
        <v>20</v>
      </c>
      <c r="J93" s="40" t="s">
        <v>75</v>
      </c>
      <c r="K93" s="44" t="str">
        <f t="shared" si="8"/>
        <v>lev OK</v>
      </c>
      <c r="L93" s="1">
        <f t="shared" si="9"/>
        <v>42378.269444444442</v>
      </c>
      <c r="M93" s="43"/>
      <c r="N93" s="11">
        <f t="shared" si="10"/>
        <v>0.60393416928072829</v>
      </c>
      <c r="O93" s="11">
        <f t="shared" si="11"/>
        <v>0.81100000000000005</v>
      </c>
      <c r="P93" s="1">
        <f t="shared" si="12"/>
        <v>42377.81527777778</v>
      </c>
      <c r="Q93" s="12">
        <f t="shared" si="13"/>
        <v>1.8996865203765225E-2</v>
      </c>
      <c r="AC93" s="39">
        <v>6.8022600000000003E-11</v>
      </c>
      <c r="AD93" s="39">
        <v>5.3001800000000003E-11</v>
      </c>
      <c r="AE93" s="39">
        <v>6.0062000000000002E-11</v>
      </c>
      <c r="AF93" s="39">
        <v>4.4994099999999999E-11</v>
      </c>
      <c r="AG93" s="39">
        <v>9.5224099999999997E-11</v>
      </c>
      <c r="AH93" s="39">
        <v>7.11801E-11</v>
      </c>
      <c r="AI93" s="39">
        <v>3.3926700000000001E-11</v>
      </c>
      <c r="AJ93" s="39">
        <v>8.5618200000000005E-11</v>
      </c>
      <c r="AK93" s="39">
        <v>3.8921100000000001E-11</v>
      </c>
      <c r="AL93" s="39">
        <v>7.2163500000000004E-11</v>
      </c>
      <c r="AM93" s="39">
        <v>6.2691099999999994E-11</v>
      </c>
      <c r="AN93" s="39">
        <v>5.4572400000000001E-11</v>
      </c>
    </row>
    <row r="94" spans="1:40" thickBot="1">
      <c r="A94" s="29" t="s">
        <v>322</v>
      </c>
      <c r="B94" s="30" t="s">
        <v>17</v>
      </c>
      <c r="C94" s="30">
        <v>56</v>
      </c>
      <c r="D94" s="30" t="s">
        <v>41</v>
      </c>
      <c r="E94" s="30">
        <v>1000</v>
      </c>
      <c r="F94" s="30">
        <v>31</v>
      </c>
      <c r="G94" s="30" t="s">
        <v>268</v>
      </c>
      <c r="H94" s="42" t="s">
        <v>296</v>
      </c>
      <c r="I94" s="30" t="s">
        <v>20</v>
      </c>
      <c r="J94" s="40" t="s">
        <v>75</v>
      </c>
      <c r="K94" s="44" t="str">
        <f t="shared" si="8"/>
        <v>lev OK</v>
      </c>
      <c r="L94" s="1">
        <f t="shared" si="9"/>
        <v>42378.309027777781</v>
      </c>
      <c r="M94" s="43"/>
      <c r="N94" s="11">
        <f t="shared" si="10"/>
        <v>0.58588714733471869</v>
      </c>
      <c r="O94" s="11">
        <f t="shared" si="11"/>
        <v>0.81100000000000005</v>
      </c>
      <c r="P94" s="1">
        <f t="shared" si="12"/>
        <v>42377.81527777778</v>
      </c>
      <c r="Q94" s="12">
        <f t="shared" si="13"/>
        <v>1.8996865203765225E-2</v>
      </c>
      <c r="AC94" s="39">
        <v>5.51481E-11</v>
      </c>
      <c r="AD94" s="39">
        <v>4.4972500000000003E-11</v>
      </c>
      <c r="AE94" s="39">
        <v>5.6296800000000003E-11</v>
      </c>
      <c r="AF94" s="39">
        <v>3.5954800000000001E-11</v>
      </c>
      <c r="AG94" s="39">
        <v>9.22956E-11</v>
      </c>
      <c r="AH94" s="39">
        <v>6.1438099999999998E-11</v>
      </c>
      <c r="AI94" s="39">
        <v>3.0421600000000003E-11</v>
      </c>
      <c r="AJ94" s="39">
        <v>7.4606400000000004E-11</v>
      </c>
      <c r="AK94" s="39">
        <v>3.6770700000000003E-11</v>
      </c>
      <c r="AL94" s="39">
        <v>5.90156E-11</v>
      </c>
      <c r="AM94" s="39">
        <v>5.1348199999999997E-11</v>
      </c>
      <c r="AN94" s="39">
        <v>5.12226E-11</v>
      </c>
    </row>
    <row r="95" spans="1:40" thickBot="1">
      <c r="A95" s="29" t="s">
        <v>323</v>
      </c>
      <c r="B95" s="30" t="s">
        <v>17</v>
      </c>
      <c r="C95" s="30">
        <v>56</v>
      </c>
      <c r="D95" s="30" t="s">
        <v>41</v>
      </c>
      <c r="E95" s="30">
        <v>1000</v>
      </c>
      <c r="F95" s="30">
        <v>31</v>
      </c>
      <c r="G95" s="30" t="s">
        <v>268</v>
      </c>
      <c r="H95" s="42" t="s">
        <v>296</v>
      </c>
      <c r="I95" s="30" t="s">
        <v>20</v>
      </c>
      <c r="J95" s="40" t="s">
        <v>75</v>
      </c>
      <c r="K95" s="44" t="str">
        <f t="shared" si="8"/>
        <v>lev OK</v>
      </c>
      <c r="L95" s="1">
        <f t="shared" si="9"/>
        <v>42378.348611111112</v>
      </c>
      <c r="M95" s="43"/>
      <c r="N95" s="11">
        <f t="shared" si="10"/>
        <v>0.56784012539202633</v>
      </c>
      <c r="O95" s="11">
        <f t="shared" si="11"/>
        <v>0.81100000000000005</v>
      </c>
      <c r="P95" s="1">
        <f t="shared" si="12"/>
        <v>42377.81527777778</v>
      </c>
      <c r="Q95" s="12">
        <f t="shared" si="13"/>
        <v>1.8996865203765225E-2</v>
      </c>
      <c r="AC95" s="39">
        <v>6.5327300000000001E-11</v>
      </c>
      <c r="AD95" s="39">
        <v>4.8342100000000002E-11</v>
      </c>
      <c r="AE95" s="39">
        <v>5.8995900000000001E-11</v>
      </c>
      <c r="AF95" s="39">
        <v>6.6889299999999998E-11</v>
      </c>
      <c r="AG95" s="39">
        <v>8.9300899999999994E-11</v>
      </c>
      <c r="AH95" s="39">
        <v>6.5833800000000003E-11</v>
      </c>
      <c r="AI95" s="39">
        <v>3.3653000000000001E-11</v>
      </c>
      <c r="AJ95" s="39">
        <v>8.0947099999999995E-11</v>
      </c>
      <c r="AK95" s="39">
        <v>3.7242100000000003E-11</v>
      </c>
      <c r="AL95" s="39">
        <v>6.5979600000000003E-11</v>
      </c>
      <c r="AM95" s="39">
        <v>5.8131900000000002E-11</v>
      </c>
      <c r="AN95" s="39">
        <v>4.8944000000000003E-11</v>
      </c>
    </row>
    <row r="96" spans="1:40" thickBot="1">
      <c r="A96" s="29" t="s">
        <v>324</v>
      </c>
      <c r="B96" s="30" t="s">
        <v>17</v>
      </c>
      <c r="C96" s="30">
        <v>56</v>
      </c>
      <c r="D96" s="30" t="s">
        <v>41</v>
      </c>
      <c r="E96" s="30">
        <v>1000</v>
      </c>
      <c r="F96" s="30">
        <v>31</v>
      </c>
      <c r="G96" s="30" t="s">
        <v>268</v>
      </c>
      <c r="H96" s="42" t="s">
        <v>296</v>
      </c>
      <c r="I96" s="30" t="s">
        <v>20</v>
      </c>
      <c r="J96" s="40" t="s">
        <v>75</v>
      </c>
      <c r="K96" s="44" t="str">
        <f t="shared" si="8"/>
        <v>lev OK</v>
      </c>
      <c r="L96" s="1">
        <f t="shared" si="9"/>
        <v>42378.388194444444</v>
      </c>
      <c r="M96" s="43"/>
      <c r="N96" s="11">
        <f t="shared" si="10"/>
        <v>0.54979310344933396</v>
      </c>
      <c r="O96" s="11">
        <f t="shared" si="11"/>
        <v>0.81100000000000005</v>
      </c>
      <c r="P96" s="1">
        <f t="shared" si="12"/>
        <v>42377.81527777778</v>
      </c>
      <c r="Q96" s="12">
        <f t="shared" si="13"/>
        <v>1.8996865203765225E-2</v>
      </c>
      <c r="AC96" s="39">
        <v>7.9980699999999995E-11</v>
      </c>
      <c r="AD96" s="39">
        <v>6.3402599999999997E-11</v>
      </c>
      <c r="AE96" s="39">
        <v>7.3938700000000004E-11</v>
      </c>
      <c r="AF96" s="39">
        <v>5.2835300000000003E-11</v>
      </c>
      <c r="AG96" s="39">
        <v>1.1962499999999999E-10</v>
      </c>
      <c r="AH96" s="39">
        <v>8.5438700000000003E-11</v>
      </c>
      <c r="AI96" s="39">
        <v>3.8137200000000003E-11</v>
      </c>
      <c r="AJ96" s="39">
        <v>9.9389899999999999E-11</v>
      </c>
      <c r="AK96" s="39">
        <v>4.4570000000000001E-11</v>
      </c>
      <c r="AL96" s="39">
        <v>8.0522599999999999E-11</v>
      </c>
      <c r="AM96" s="39">
        <v>8.3266299999999997E-11</v>
      </c>
      <c r="AN96" s="39">
        <v>6.7946799999999996E-11</v>
      </c>
    </row>
    <row r="97" spans="1:40" thickBot="1">
      <c r="A97" s="29" t="s">
        <v>325</v>
      </c>
      <c r="B97" s="30" t="s">
        <v>17</v>
      </c>
      <c r="C97" s="30">
        <v>56</v>
      </c>
      <c r="D97" s="30" t="s">
        <v>41</v>
      </c>
      <c r="E97" s="30">
        <v>1000</v>
      </c>
      <c r="F97" s="30">
        <v>31</v>
      </c>
      <c r="G97" s="30" t="s">
        <v>268</v>
      </c>
      <c r="H97" s="42" t="s">
        <v>296</v>
      </c>
      <c r="I97" s="30" t="s">
        <v>20</v>
      </c>
      <c r="J97" s="40" t="s">
        <v>75</v>
      </c>
      <c r="K97" s="44" t="str">
        <f t="shared" si="8"/>
        <v>lev OK</v>
      </c>
      <c r="L97" s="1">
        <f t="shared" si="9"/>
        <v>42378.427083333336</v>
      </c>
      <c r="M97" s="43"/>
      <c r="N97" s="11">
        <f t="shared" si="10"/>
        <v>0.53206269592441913</v>
      </c>
      <c r="O97" s="11">
        <f t="shared" si="11"/>
        <v>0.81100000000000005</v>
      </c>
      <c r="P97" s="1">
        <f t="shared" si="12"/>
        <v>42377.81527777778</v>
      </c>
      <c r="Q97" s="12">
        <f t="shared" si="13"/>
        <v>1.8996865203765225E-2</v>
      </c>
      <c r="AC97" s="39">
        <v>5.4869800000000001E-11</v>
      </c>
      <c r="AD97" s="39">
        <v>4.2730200000000003E-11</v>
      </c>
      <c r="AE97" s="39">
        <v>5.7554099999999999E-11</v>
      </c>
      <c r="AF97" s="39">
        <v>3.60858E-11</v>
      </c>
      <c r="AG97" s="39">
        <v>8.5620599999999995E-11</v>
      </c>
      <c r="AH97" s="39">
        <v>6.6595600000000001E-11</v>
      </c>
      <c r="AI97" s="39">
        <v>2.8813699999999999E-11</v>
      </c>
      <c r="AJ97" s="39">
        <v>7.5309700000000004E-11</v>
      </c>
      <c r="AK97" s="39">
        <v>3.5448299999999999E-11</v>
      </c>
      <c r="AL97" s="39">
        <v>5.5509899999999998E-11</v>
      </c>
      <c r="AM97" s="39">
        <v>5.0553000000000002E-11</v>
      </c>
      <c r="AN97" s="39">
        <v>4.5325999999999998E-11</v>
      </c>
    </row>
    <row r="98" spans="1:40" thickBot="1">
      <c r="A98" s="29" t="s">
        <v>326</v>
      </c>
      <c r="B98" s="30" t="s">
        <v>17</v>
      </c>
      <c r="C98" s="30">
        <v>56</v>
      </c>
      <c r="D98" s="30" t="s">
        <v>41</v>
      </c>
      <c r="E98" s="30">
        <v>1000</v>
      </c>
      <c r="F98" s="30">
        <v>31</v>
      </c>
      <c r="G98" s="30" t="s">
        <v>268</v>
      </c>
      <c r="H98" s="42" t="s">
        <v>296</v>
      </c>
      <c r="I98" s="30" t="s">
        <v>20</v>
      </c>
      <c r="J98" s="40" t="s">
        <v>75</v>
      </c>
      <c r="K98" s="44" t="str">
        <f t="shared" si="8"/>
        <v>lev OK</v>
      </c>
      <c r="L98" s="1">
        <f t="shared" si="9"/>
        <v>42378.466666666667</v>
      </c>
      <c r="M98" s="43"/>
      <c r="N98" s="11">
        <f t="shared" si="10"/>
        <v>0.51401567398172676</v>
      </c>
      <c r="O98" s="11">
        <f t="shared" si="11"/>
        <v>0.81100000000000005</v>
      </c>
      <c r="P98" s="1">
        <f t="shared" si="12"/>
        <v>42377.81527777778</v>
      </c>
      <c r="Q98" s="12">
        <f t="shared" si="13"/>
        <v>1.8996865203765225E-2</v>
      </c>
      <c r="AC98" s="39">
        <v>5.8011200000000003E-11</v>
      </c>
      <c r="AD98" s="39">
        <v>4.67425E-11</v>
      </c>
      <c r="AE98" s="39">
        <v>5.6517100000000002E-11</v>
      </c>
      <c r="AF98" s="39">
        <v>3.9732600000000003E-11</v>
      </c>
      <c r="AG98" s="39">
        <v>8.6386700000000006E-11</v>
      </c>
      <c r="AH98" s="39">
        <v>6.4793699999999994E-11</v>
      </c>
      <c r="AI98" s="39">
        <v>2.9844499999999997E-11</v>
      </c>
      <c r="AJ98" s="39">
        <v>7.2615599999999997E-11</v>
      </c>
      <c r="AK98" s="39">
        <v>3.67936E-11</v>
      </c>
      <c r="AL98" s="39">
        <v>6.1223599999999994E-11</v>
      </c>
      <c r="AM98" s="39">
        <v>5.2875700000000002E-11</v>
      </c>
      <c r="AN98" s="39">
        <v>5.0659699999999997E-11</v>
      </c>
    </row>
    <row r="99" spans="1:40" thickBot="1">
      <c r="A99" s="29" t="s">
        <v>327</v>
      </c>
      <c r="B99" s="30" t="s">
        <v>17</v>
      </c>
      <c r="C99" s="30">
        <v>56</v>
      </c>
      <c r="D99" s="30" t="s">
        <v>41</v>
      </c>
      <c r="E99" s="30">
        <v>1000</v>
      </c>
      <c r="F99" s="30">
        <v>31</v>
      </c>
      <c r="G99" s="30" t="s">
        <v>268</v>
      </c>
      <c r="H99" s="42" t="s">
        <v>296</v>
      </c>
      <c r="I99" s="30" t="s">
        <v>20</v>
      </c>
      <c r="J99" s="40" t="s">
        <v>75</v>
      </c>
      <c r="K99" s="44" t="str">
        <f t="shared" si="8"/>
        <v>lev OK</v>
      </c>
      <c r="L99" s="1">
        <f t="shared" si="9"/>
        <v>42378.506249999999</v>
      </c>
      <c r="M99" s="43"/>
      <c r="N99" s="11">
        <f t="shared" si="10"/>
        <v>0.4959686520390344</v>
      </c>
      <c r="O99" s="11">
        <f t="shared" si="11"/>
        <v>0.81100000000000005</v>
      </c>
      <c r="P99" s="1">
        <f t="shared" si="12"/>
        <v>42377.81527777778</v>
      </c>
      <c r="Q99" s="12">
        <f t="shared" si="13"/>
        <v>1.8996865203765225E-2</v>
      </c>
      <c r="AC99" s="39">
        <v>7.4591000000000006E-11</v>
      </c>
      <c r="AD99" s="39">
        <v>5.4889699999999999E-11</v>
      </c>
      <c r="AE99" s="39">
        <v>6.5123699999999994E-11</v>
      </c>
      <c r="AF99" s="39">
        <v>4.8201699999999998E-11</v>
      </c>
      <c r="AG99" s="39">
        <v>8.8355999999999997E-11</v>
      </c>
      <c r="AH99" s="39">
        <v>7.8055300000000001E-11</v>
      </c>
      <c r="AI99" s="39">
        <v>3.7959999999999997E-11</v>
      </c>
      <c r="AJ99" s="39">
        <v>9.0827500000000002E-11</v>
      </c>
      <c r="AK99" s="39">
        <v>4.2384999999999998E-11</v>
      </c>
      <c r="AL99" s="39">
        <v>7.4423700000000003E-11</v>
      </c>
      <c r="AM99" s="39">
        <v>6.9044800000000006E-11</v>
      </c>
      <c r="AN99" s="39">
        <v>5.5604799999999999E-11</v>
      </c>
    </row>
    <row r="100" spans="1:40" thickBot="1">
      <c r="A100" s="29" t="s">
        <v>328</v>
      </c>
      <c r="B100" s="30" t="s">
        <v>17</v>
      </c>
      <c r="C100" s="30">
        <v>56</v>
      </c>
      <c r="D100" s="30" t="s">
        <v>41</v>
      </c>
      <c r="E100" s="30">
        <v>1000</v>
      </c>
      <c r="F100" s="30">
        <v>31</v>
      </c>
      <c r="G100" s="30" t="s">
        <v>268</v>
      </c>
      <c r="H100" s="42" t="s">
        <v>296</v>
      </c>
      <c r="I100" s="30" t="s">
        <v>20</v>
      </c>
      <c r="J100" s="40" t="s">
        <v>75</v>
      </c>
      <c r="K100" s="44" t="str">
        <f t="shared" si="8"/>
        <v>lev OK</v>
      </c>
      <c r="L100" s="1">
        <f t="shared" si="9"/>
        <v>42378.545138888891</v>
      </c>
      <c r="M100" s="43"/>
      <c r="N100" s="11">
        <f t="shared" si="10"/>
        <v>0.47823824451411956</v>
      </c>
      <c r="O100" s="11">
        <f t="shared" si="11"/>
        <v>0.81100000000000005</v>
      </c>
      <c r="P100" s="1">
        <f t="shared" si="12"/>
        <v>42377.81527777778</v>
      </c>
      <c r="Q100" s="12">
        <f t="shared" si="13"/>
        <v>1.8996865203765225E-2</v>
      </c>
      <c r="AC100" s="39">
        <v>6.7294000000000003E-11</v>
      </c>
      <c r="AD100" s="39">
        <v>5.1964200000000002E-11</v>
      </c>
      <c r="AE100" s="39">
        <v>6.4137700000000001E-11</v>
      </c>
      <c r="AF100" s="39">
        <v>4.3155199999999998E-11</v>
      </c>
      <c r="AG100" s="39">
        <v>9.7737000000000003E-11</v>
      </c>
      <c r="AH100" s="39">
        <v>7.8584700000000001E-11</v>
      </c>
      <c r="AI100" s="39">
        <v>3.3536800000000002E-11</v>
      </c>
      <c r="AJ100" s="39">
        <v>8.7412200000000002E-11</v>
      </c>
      <c r="AK100" s="39">
        <v>3.8597000000000001E-11</v>
      </c>
      <c r="AL100" s="39">
        <v>6.7034399999999994E-11</v>
      </c>
      <c r="AM100" s="39">
        <v>6.0033799999999995E-11</v>
      </c>
      <c r="AN100" s="39">
        <v>5.5621700000000003E-11</v>
      </c>
    </row>
    <row r="101" spans="1:40" thickBot="1">
      <c r="A101" s="29" t="s">
        <v>329</v>
      </c>
      <c r="B101" s="30" t="s">
        <v>17</v>
      </c>
      <c r="C101" s="30">
        <v>56</v>
      </c>
      <c r="D101" s="30" t="s">
        <v>41</v>
      </c>
      <c r="E101" s="30">
        <v>10</v>
      </c>
      <c r="F101" s="30">
        <v>1</v>
      </c>
      <c r="G101" s="30" t="s">
        <v>191</v>
      </c>
      <c r="H101" s="42" t="s">
        <v>42</v>
      </c>
      <c r="I101" s="30" t="s">
        <v>20</v>
      </c>
      <c r="J101" s="40" t="s">
        <v>245</v>
      </c>
      <c r="K101" s="44" t="str">
        <f t="shared" si="8"/>
        <v>lev OK</v>
      </c>
      <c r="L101" s="1">
        <f t="shared" si="9"/>
        <v>42378.727083333331</v>
      </c>
      <c r="M101" s="43"/>
      <c r="N101" s="11">
        <f t="shared" si="10"/>
        <v>0.3952852664592999</v>
      </c>
      <c r="O101" s="11">
        <f>O100</f>
        <v>0.81100000000000005</v>
      </c>
      <c r="P101" s="1">
        <f>P100</f>
        <v>42377.81527777778</v>
      </c>
      <c r="Q101" s="12">
        <f>Q100</f>
        <v>1.8996865203765225E-2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 thickBot="1">
      <c r="A102" s="29" t="s">
        <v>330</v>
      </c>
      <c r="B102" s="30" t="s">
        <v>17</v>
      </c>
      <c r="C102" s="30">
        <v>56</v>
      </c>
      <c r="D102" s="30" t="s">
        <v>41</v>
      </c>
      <c r="E102" s="30">
        <v>10</v>
      </c>
      <c r="F102" s="30">
        <v>5</v>
      </c>
      <c r="G102" s="30" t="s">
        <v>191</v>
      </c>
      <c r="H102" s="42" t="s">
        <v>331</v>
      </c>
      <c r="I102" s="30" t="s">
        <v>20</v>
      </c>
      <c r="J102" s="40" t="s">
        <v>292</v>
      </c>
      <c r="K102" s="44" t="str">
        <f t="shared" si="8"/>
        <v>lev BAD</v>
      </c>
      <c r="L102" s="1">
        <f t="shared" si="9"/>
        <v>42378.763888888891</v>
      </c>
      <c r="M102" s="43"/>
      <c r="N102" s="11">
        <f t="shared" si="10"/>
        <v>0.92874402730423544</v>
      </c>
      <c r="O102" s="12">
        <v>0.93400000000000005</v>
      </c>
      <c r="P102" s="1">
        <v>42378.746527777781</v>
      </c>
      <c r="Q102" s="11">
        <f>(O102-R102)/(S102-P102)/24</f>
        <v>1.2614334471009811E-2</v>
      </c>
      <c r="R102" s="12">
        <v>0.626</v>
      </c>
      <c r="S102" s="1">
        <v>42379.763888888891</v>
      </c>
      <c r="AC102" s="39">
        <v>9.33766E-12</v>
      </c>
      <c r="AD102" s="39">
        <v>1.01894E-11</v>
      </c>
      <c r="AE102" s="39">
        <v>9.7037100000000005E-12</v>
      </c>
      <c r="AF102" s="39">
        <v>2.5345700000000001E-11</v>
      </c>
      <c r="AG102" s="39">
        <v>5.3936900000000002E-12</v>
      </c>
      <c r="AH102" s="39">
        <v>5.5762499999999999E-11</v>
      </c>
      <c r="AI102" s="39">
        <v>2.1193400000000001E-11</v>
      </c>
      <c r="AJ102" s="39">
        <v>6.2675999999999997E-12</v>
      </c>
      <c r="AK102" s="39">
        <v>1.2262400000000001E-11</v>
      </c>
      <c r="AL102" s="39">
        <v>1.169E-11</v>
      </c>
      <c r="AM102">
        <v>0</v>
      </c>
      <c r="AN102" s="39">
        <v>6.9035800000000004E-12</v>
      </c>
    </row>
    <row r="103" spans="1:40" thickBot="1">
      <c r="A103" s="29" t="s">
        <v>332</v>
      </c>
      <c r="B103" s="30" t="s">
        <v>17</v>
      </c>
      <c r="C103" s="30">
        <v>56</v>
      </c>
      <c r="D103" s="30" t="s">
        <v>41</v>
      </c>
      <c r="E103" s="30">
        <v>10</v>
      </c>
      <c r="F103" s="30">
        <v>5</v>
      </c>
      <c r="G103" s="30" t="s">
        <v>191</v>
      </c>
      <c r="H103" s="42" t="s">
        <v>331</v>
      </c>
      <c r="I103" s="30" t="s">
        <v>20</v>
      </c>
      <c r="J103" s="40" t="s">
        <v>75</v>
      </c>
      <c r="K103" s="44" t="str">
        <f t="shared" si="8"/>
        <v>lev BAD</v>
      </c>
      <c r="L103" s="1">
        <f t="shared" si="9"/>
        <v>42378.767361111109</v>
      </c>
      <c r="M103" s="43"/>
      <c r="N103" s="11">
        <f t="shared" si="10"/>
        <v>0.9276928327659637</v>
      </c>
      <c r="O103" s="11">
        <f t="shared" ref="O103:O127" si="14">O102</f>
        <v>0.93400000000000005</v>
      </c>
      <c r="P103" s="1">
        <f t="shared" ref="P103:P127" si="15">P102</f>
        <v>42378.746527777781</v>
      </c>
      <c r="Q103" s="12">
        <f t="shared" ref="Q103:Q127" si="16">Q102</f>
        <v>1.2614334471009811E-2</v>
      </c>
      <c r="AC103" s="39">
        <v>8.5172899999999995E-12</v>
      </c>
      <c r="AD103" s="39">
        <v>1.08661E-11</v>
      </c>
      <c r="AE103" s="39">
        <v>7.62176E-12</v>
      </c>
      <c r="AF103" s="39">
        <v>1.60736E-11</v>
      </c>
      <c r="AG103" s="39">
        <v>4.6694799999999996E-12</v>
      </c>
      <c r="AH103" s="39">
        <v>4.3953599999999998E-11</v>
      </c>
      <c r="AI103" s="39">
        <v>2.7751500000000001E-11</v>
      </c>
      <c r="AJ103" s="39">
        <v>7.3201400000000004E-12</v>
      </c>
      <c r="AK103" s="39">
        <v>7.6196299999999999E-12</v>
      </c>
      <c r="AL103" s="39">
        <v>9.1258799999999999E-12</v>
      </c>
      <c r="AM103" s="39">
        <v>4.9973999999999997E-12</v>
      </c>
      <c r="AN103" s="39">
        <v>6.1589199999999998E-12</v>
      </c>
    </row>
    <row r="104" spans="1:40" thickBot="1">
      <c r="A104" s="29" t="s">
        <v>333</v>
      </c>
      <c r="B104" s="30" t="s">
        <v>17</v>
      </c>
      <c r="C104" s="30">
        <v>56</v>
      </c>
      <c r="D104" s="30" t="s">
        <v>41</v>
      </c>
      <c r="E104" s="30">
        <v>10</v>
      </c>
      <c r="F104" s="30">
        <v>31</v>
      </c>
      <c r="G104" s="30" t="s">
        <v>268</v>
      </c>
      <c r="H104" s="42" t="s">
        <v>46</v>
      </c>
      <c r="I104" s="30" t="s">
        <v>20</v>
      </c>
      <c r="J104" s="40" t="s">
        <v>75</v>
      </c>
      <c r="K104" s="44" t="str">
        <f t="shared" si="8"/>
        <v>lev BAD</v>
      </c>
      <c r="L104" s="1">
        <f t="shared" si="9"/>
        <v>42378.802083333336</v>
      </c>
      <c r="M104" s="43"/>
      <c r="N104" s="11">
        <f t="shared" si="10"/>
        <v>0.91718088737223169</v>
      </c>
      <c r="O104" s="11">
        <f t="shared" si="14"/>
        <v>0.93400000000000005</v>
      </c>
      <c r="P104" s="1">
        <f t="shared" si="15"/>
        <v>42378.746527777781</v>
      </c>
      <c r="Q104" s="12">
        <f t="shared" si="16"/>
        <v>1.2614334471009811E-2</v>
      </c>
      <c r="AC104" s="39">
        <v>1.3291399999999999E-10</v>
      </c>
      <c r="AD104" s="39">
        <v>9.8354300000000002E-11</v>
      </c>
      <c r="AE104" s="39">
        <v>9.7586700000000004E-11</v>
      </c>
      <c r="AF104" s="39">
        <v>8.1936600000000005E-11</v>
      </c>
      <c r="AG104" s="39">
        <v>6.5001999999999999E-11</v>
      </c>
      <c r="AH104" s="39">
        <v>1.2332800000000001E-10</v>
      </c>
      <c r="AI104" s="39">
        <v>6.1658699999999996E-11</v>
      </c>
      <c r="AJ104" s="39">
        <v>1.4847999999999999E-10</v>
      </c>
      <c r="AK104" s="39">
        <v>5.7256699999999999E-11</v>
      </c>
      <c r="AL104" s="39">
        <v>1.2201700000000001E-10</v>
      </c>
      <c r="AM104" s="39">
        <v>1.2497699999999999E-10</v>
      </c>
      <c r="AN104" s="39">
        <v>1.11688E-10</v>
      </c>
    </row>
    <row r="105" spans="1:40" thickBot="1">
      <c r="A105" s="29" t="s">
        <v>334</v>
      </c>
      <c r="B105" s="30" t="s">
        <v>17</v>
      </c>
      <c r="C105" s="30">
        <v>56</v>
      </c>
      <c r="D105" s="30" t="s">
        <v>41</v>
      </c>
      <c r="E105" s="30">
        <v>10</v>
      </c>
      <c r="F105" s="30">
        <v>31</v>
      </c>
      <c r="G105" s="30" t="s">
        <v>268</v>
      </c>
      <c r="H105" s="42" t="s">
        <v>46</v>
      </c>
      <c r="I105" s="30" t="s">
        <v>20</v>
      </c>
      <c r="J105" s="40" t="s">
        <v>75</v>
      </c>
      <c r="K105" s="44" t="str">
        <f t="shared" si="8"/>
        <v>lev BAD</v>
      </c>
      <c r="L105" s="1">
        <f t="shared" si="9"/>
        <v>42378.84097222222</v>
      </c>
      <c r="M105" s="43"/>
      <c r="N105" s="11">
        <f t="shared" si="10"/>
        <v>0.90540750853389529</v>
      </c>
      <c r="O105" s="11">
        <f t="shared" si="14"/>
        <v>0.93400000000000005</v>
      </c>
      <c r="P105" s="1">
        <f t="shared" si="15"/>
        <v>42378.746527777781</v>
      </c>
      <c r="Q105" s="12">
        <f t="shared" si="16"/>
        <v>1.2614334471009811E-2</v>
      </c>
      <c r="AC105" s="39">
        <v>2.53958E-10</v>
      </c>
      <c r="AD105" s="39">
        <v>4.3281199999999999E-10</v>
      </c>
      <c r="AE105" s="39">
        <v>2.4384600000000001E-10</v>
      </c>
      <c r="AF105" s="39">
        <v>1.4757299999999999E-10</v>
      </c>
      <c r="AG105" s="39">
        <v>3.10245E-10</v>
      </c>
      <c r="AH105" s="39">
        <v>5.8783499999999997E-10</v>
      </c>
      <c r="AI105" s="39">
        <v>9.1524000000000006E-11</v>
      </c>
      <c r="AJ105" s="39">
        <v>3.67618E-10</v>
      </c>
      <c r="AK105" s="39">
        <v>1.15694E-10</v>
      </c>
      <c r="AL105" s="39">
        <v>2.8166599999999999E-10</v>
      </c>
      <c r="AM105" s="39">
        <v>2.4141300000000002E-10</v>
      </c>
      <c r="AN105" s="39">
        <v>2.8412300000000002E-10</v>
      </c>
    </row>
    <row r="106" spans="1:40" thickBot="1">
      <c r="A106" s="29" t="s">
        <v>335</v>
      </c>
      <c r="B106" s="30" t="s">
        <v>17</v>
      </c>
      <c r="C106" s="30">
        <v>56</v>
      </c>
      <c r="D106" s="30" t="s">
        <v>41</v>
      </c>
      <c r="E106" s="30">
        <v>10</v>
      </c>
      <c r="F106" s="30">
        <v>31</v>
      </c>
      <c r="G106" s="30" t="s">
        <v>268</v>
      </c>
      <c r="H106" s="42" t="s">
        <v>46</v>
      </c>
      <c r="I106" s="30" t="s">
        <v>20</v>
      </c>
      <c r="J106" s="40" t="s">
        <v>75</v>
      </c>
      <c r="K106" s="44" t="str">
        <f t="shared" si="8"/>
        <v>lev BAD</v>
      </c>
      <c r="L106" s="1">
        <f t="shared" si="9"/>
        <v>42378.879861111112</v>
      </c>
      <c r="M106" s="43"/>
      <c r="N106" s="11">
        <f t="shared" si="10"/>
        <v>0.89363412969335609</v>
      </c>
      <c r="O106" s="11">
        <f t="shared" si="14"/>
        <v>0.93400000000000005</v>
      </c>
      <c r="P106" s="1">
        <f t="shared" si="15"/>
        <v>42378.746527777781</v>
      </c>
      <c r="Q106" s="12">
        <f t="shared" si="16"/>
        <v>1.2614334471009811E-2</v>
      </c>
      <c r="AC106" s="39">
        <v>4.9786700000000003E-10</v>
      </c>
      <c r="AD106" s="39">
        <v>7.4331400000000002E-10</v>
      </c>
      <c r="AE106" s="39">
        <v>5.5682900000000002E-10</v>
      </c>
      <c r="AF106" s="39">
        <v>4.3960899999999999E-10</v>
      </c>
      <c r="AG106" s="39">
        <v>4.9328800000000004E-10</v>
      </c>
      <c r="AH106" s="39">
        <v>6.7881900000000003E-10</v>
      </c>
      <c r="AI106" s="39">
        <v>1.88832E-10</v>
      </c>
      <c r="AJ106" s="39">
        <v>5.5677200000000005E-10</v>
      </c>
      <c r="AK106" s="39">
        <v>1.77626E-10</v>
      </c>
      <c r="AL106" s="39">
        <v>5.0071200000000004E-10</v>
      </c>
      <c r="AM106" s="39">
        <v>6.9175799999999998E-10</v>
      </c>
      <c r="AN106" s="39">
        <v>3.8459000000000001E-10</v>
      </c>
    </row>
    <row r="107" spans="1:40" thickBot="1">
      <c r="A107" s="29" t="s">
        <v>336</v>
      </c>
      <c r="B107" s="30" t="s">
        <v>17</v>
      </c>
      <c r="C107" s="30">
        <v>56</v>
      </c>
      <c r="D107" s="30" t="s">
        <v>41</v>
      </c>
      <c r="E107" s="30">
        <v>10</v>
      </c>
      <c r="F107" s="30">
        <v>31</v>
      </c>
      <c r="G107" s="30" t="s">
        <v>268</v>
      </c>
      <c r="H107" s="42" t="s">
        <v>46</v>
      </c>
      <c r="I107" s="30" t="s">
        <v>20</v>
      </c>
      <c r="J107" s="40" t="s">
        <v>75</v>
      </c>
      <c r="K107" s="44" t="str">
        <f t="shared" si="8"/>
        <v>lev BAD</v>
      </c>
      <c r="L107" s="1">
        <f t="shared" si="9"/>
        <v>42378.918749999997</v>
      </c>
      <c r="M107" s="43"/>
      <c r="N107" s="11">
        <f t="shared" si="10"/>
        <v>0.88186075085501958</v>
      </c>
      <c r="O107" s="11">
        <f t="shared" si="14"/>
        <v>0.93400000000000005</v>
      </c>
      <c r="P107" s="1">
        <f t="shared" si="15"/>
        <v>42378.746527777781</v>
      </c>
      <c r="Q107" s="12">
        <f t="shared" si="16"/>
        <v>1.2614334471009811E-2</v>
      </c>
      <c r="AC107" s="39">
        <v>2.76907E-11</v>
      </c>
      <c r="AD107" s="39">
        <v>1.0723100000000001E-11</v>
      </c>
      <c r="AE107" s="39">
        <v>3.4634799999999999E-11</v>
      </c>
      <c r="AF107" s="39">
        <v>1.2851899999999999E-11</v>
      </c>
      <c r="AG107" s="39">
        <v>9.5950700000000002E-12</v>
      </c>
      <c r="AH107" s="39">
        <v>2.37816E-11</v>
      </c>
      <c r="AI107" s="39">
        <v>1.67814E-11</v>
      </c>
      <c r="AJ107" s="39">
        <v>2.4372899999999999E-11</v>
      </c>
      <c r="AK107" s="39">
        <v>4.0371000000000001E-11</v>
      </c>
      <c r="AL107" s="39">
        <v>3.6018200000000001E-12</v>
      </c>
      <c r="AM107" s="39">
        <v>1.3554200000000001E-11</v>
      </c>
      <c r="AN107" s="39">
        <v>2.66544E-11</v>
      </c>
    </row>
    <row r="108" spans="1:40" thickBot="1">
      <c r="A108" s="29" t="s">
        <v>337</v>
      </c>
      <c r="B108" s="30" t="s">
        <v>17</v>
      </c>
      <c r="C108" s="30">
        <v>56</v>
      </c>
      <c r="D108" s="30" t="s">
        <v>41</v>
      </c>
      <c r="E108" s="30">
        <v>10</v>
      </c>
      <c r="F108" s="30">
        <v>31</v>
      </c>
      <c r="G108" s="30" t="s">
        <v>268</v>
      </c>
      <c r="H108" s="42" t="s">
        <v>46</v>
      </c>
      <c r="I108" s="30" t="s">
        <v>20</v>
      </c>
      <c r="J108" s="40" t="s">
        <v>75</v>
      </c>
      <c r="K108" s="44" t="str">
        <f t="shared" si="8"/>
        <v>lev BAD</v>
      </c>
      <c r="L108" s="1">
        <f t="shared" si="9"/>
        <v>42378.956944444442</v>
      </c>
      <c r="M108" s="43"/>
      <c r="N108" s="11">
        <f t="shared" si="10"/>
        <v>0.87029761092301583</v>
      </c>
      <c r="O108" s="11">
        <f t="shared" si="14"/>
        <v>0.93400000000000005</v>
      </c>
      <c r="P108" s="1">
        <f t="shared" si="15"/>
        <v>42378.746527777781</v>
      </c>
      <c r="Q108" s="12">
        <f t="shared" si="16"/>
        <v>1.2614334471009811E-2</v>
      </c>
      <c r="AC108" s="39">
        <v>5.6215199999999998E-10</v>
      </c>
      <c r="AD108" s="39">
        <v>7.8165600000000004E-10</v>
      </c>
      <c r="AE108" s="39">
        <v>4.9989000000000002E-10</v>
      </c>
      <c r="AF108" s="39">
        <v>4.7783899999999997E-10</v>
      </c>
      <c r="AG108" s="39">
        <v>6.4273100000000002E-10</v>
      </c>
      <c r="AH108" s="39">
        <v>6.8538600000000002E-10</v>
      </c>
      <c r="AI108" s="39">
        <v>2.20559E-10</v>
      </c>
      <c r="AJ108" s="39">
        <v>6.0932399999999995E-10</v>
      </c>
      <c r="AK108" s="39">
        <v>1.9358800000000001E-10</v>
      </c>
      <c r="AL108" s="39">
        <v>5.8214399999999995E-10</v>
      </c>
      <c r="AM108" s="39">
        <v>6.9190099999999997E-10</v>
      </c>
      <c r="AN108" s="39">
        <v>4.3603900000000002E-10</v>
      </c>
    </row>
    <row r="109" spans="1:40" thickBot="1">
      <c r="A109" s="29" t="s">
        <v>338</v>
      </c>
      <c r="B109" s="30" t="s">
        <v>17</v>
      </c>
      <c r="C109" s="30">
        <v>56</v>
      </c>
      <c r="D109" s="30" t="s">
        <v>41</v>
      </c>
      <c r="E109" s="30">
        <v>1000</v>
      </c>
      <c r="F109" s="30">
        <v>31</v>
      </c>
      <c r="G109" s="30" t="s">
        <v>268</v>
      </c>
      <c r="H109" s="42" t="s">
        <v>339</v>
      </c>
      <c r="I109" s="30" t="s">
        <v>20</v>
      </c>
      <c r="J109" s="40" t="s">
        <v>340</v>
      </c>
      <c r="K109" s="44" t="str">
        <f t="shared" si="8"/>
        <v>lev BAD</v>
      </c>
      <c r="L109" s="1">
        <f t="shared" si="9"/>
        <v>42379.019444444442</v>
      </c>
      <c r="M109" s="43"/>
      <c r="N109" s="11">
        <f t="shared" si="10"/>
        <v>0.85137610921650109</v>
      </c>
      <c r="O109" s="11">
        <f t="shared" si="14"/>
        <v>0.93400000000000005</v>
      </c>
      <c r="P109" s="1">
        <f t="shared" si="15"/>
        <v>42378.746527777781</v>
      </c>
      <c r="Q109" s="12">
        <f t="shared" si="16"/>
        <v>1.2614334471009811E-2</v>
      </c>
      <c r="AC109" s="39">
        <v>7.2136999999999996E-11</v>
      </c>
      <c r="AD109" s="39">
        <v>5.88921E-11</v>
      </c>
      <c r="AE109" s="39">
        <v>7.2254499999999996E-11</v>
      </c>
      <c r="AF109" s="39">
        <v>5.41578E-11</v>
      </c>
      <c r="AG109" s="39">
        <v>1.06368E-10</v>
      </c>
      <c r="AH109" s="39">
        <v>8.3204099999999996E-11</v>
      </c>
      <c r="AI109" s="39">
        <v>3.4001899999999997E-11</v>
      </c>
      <c r="AJ109" s="39">
        <v>9.1219500000000005E-11</v>
      </c>
      <c r="AK109" s="39">
        <v>4.0205400000000003E-11</v>
      </c>
      <c r="AL109" s="39">
        <v>7.4064199999999995E-11</v>
      </c>
      <c r="AM109" s="39">
        <v>6.9061300000000006E-11</v>
      </c>
      <c r="AN109" s="39">
        <v>6.0690199999999998E-11</v>
      </c>
    </row>
    <row r="110" spans="1:40" thickBot="1">
      <c r="A110" s="29" t="s">
        <v>341</v>
      </c>
      <c r="B110" s="30" t="s">
        <v>17</v>
      </c>
      <c r="C110" s="30">
        <v>56</v>
      </c>
      <c r="D110" s="30" t="s">
        <v>41</v>
      </c>
      <c r="E110" s="30">
        <v>1000</v>
      </c>
      <c r="F110" s="30">
        <v>31</v>
      </c>
      <c r="G110" s="30" t="s">
        <v>268</v>
      </c>
      <c r="H110" s="42" t="s">
        <v>339</v>
      </c>
      <c r="I110" s="30" t="s">
        <v>20</v>
      </c>
      <c r="J110" s="40" t="s">
        <v>340</v>
      </c>
      <c r="K110" s="44" t="str">
        <f t="shared" si="8"/>
        <v>lev BAD</v>
      </c>
      <c r="L110" s="1">
        <f t="shared" si="9"/>
        <v>42379.059027777781</v>
      </c>
      <c r="M110" s="43"/>
      <c r="N110" s="11">
        <f t="shared" si="10"/>
        <v>0.83939249146742645</v>
      </c>
      <c r="O110" s="11">
        <f t="shared" si="14"/>
        <v>0.93400000000000005</v>
      </c>
      <c r="P110" s="1">
        <f t="shared" si="15"/>
        <v>42378.746527777781</v>
      </c>
      <c r="Q110" s="12">
        <f t="shared" si="16"/>
        <v>1.2614334471009811E-2</v>
      </c>
      <c r="AC110" s="39">
        <v>5.6228099999999998E-11</v>
      </c>
      <c r="AD110" s="39">
        <v>3.9174399999999999E-11</v>
      </c>
      <c r="AE110" s="39">
        <v>5.3941900000000001E-11</v>
      </c>
      <c r="AF110" s="39">
        <v>3.7982600000000003E-11</v>
      </c>
      <c r="AG110" s="39">
        <v>7.7141700000000004E-11</v>
      </c>
      <c r="AH110" s="39">
        <v>5.4868799999999999E-11</v>
      </c>
      <c r="AI110" s="39">
        <v>2.9562400000000002E-11</v>
      </c>
      <c r="AJ110">
        <v>0</v>
      </c>
      <c r="AK110" s="39">
        <v>3.3691800000000001E-11</v>
      </c>
      <c r="AL110" s="39">
        <v>5.5147299999999997E-11</v>
      </c>
      <c r="AM110" s="39">
        <v>5.0669999999999998E-11</v>
      </c>
      <c r="AN110">
        <v>0</v>
      </c>
    </row>
    <row r="111" spans="1:40" thickBot="1">
      <c r="A111" s="29" t="s">
        <v>342</v>
      </c>
      <c r="B111" s="30" t="s">
        <v>17</v>
      </c>
      <c r="C111" s="30">
        <v>56</v>
      </c>
      <c r="D111" s="30" t="s">
        <v>41</v>
      </c>
      <c r="E111" s="30">
        <v>1000</v>
      </c>
      <c r="F111" s="30">
        <v>31</v>
      </c>
      <c r="G111" s="30" t="s">
        <v>268</v>
      </c>
      <c r="H111" s="42" t="s">
        <v>339</v>
      </c>
      <c r="I111" s="30" t="s">
        <v>20</v>
      </c>
      <c r="J111" s="40" t="s">
        <v>340</v>
      </c>
      <c r="K111" s="44" t="str">
        <f t="shared" si="8"/>
        <v>lev BAD</v>
      </c>
      <c r="L111" s="1">
        <f t="shared" si="9"/>
        <v>42379.098611111112</v>
      </c>
      <c r="M111" s="43"/>
      <c r="N111" s="11">
        <f t="shared" si="10"/>
        <v>0.82740887372055449</v>
      </c>
      <c r="O111" s="11">
        <f t="shared" si="14"/>
        <v>0.93400000000000005</v>
      </c>
      <c r="P111" s="1">
        <f t="shared" si="15"/>
        <v>42378.746527777781</v>
      </c>
      <c r="Q111" s="12">
        <f t="shared" si="16"/>
        <v>1.2614334471009811E-2</v>
      </c>
      <c r="AC111" s="39">
        <v>7.9186299999999997E-11</v>
      </c>
      <c r="AD111" s="39">
        <v>6.0932499999999999E-11</v>
      </c>
      <c r="AE111" s="39">
        <v>7.5062200000000001E-11</v>
      </c>
      <c r="AF111" s="39">
        <v>7.47961E-11</v>
      </c>
      <c r="AG111" s="39">
        <v>8.8429900000000006E-11</v>
      </c>
      <c r="AH111" s="39">
        <v>8.1097500000000001E-11</v>
      </c>
      <c r="AI111" s="39">
        <v>3.9160600000000001E-11</v>
      </c>
      <c r="AJ111">
        <v>0</v>
      </c>
      <c r="AK111" s="39">
        <v>4.3292400000000002E-11</v>
      </c>
      <c r="AL111" s="39">
        <v>7.8397600000000006E-11</v>
      </c>
      <c r="AM111" s="39">
        <v>7.5096100000000002E-11</v>
      </c>
      <c r="AN111">
        <v>0</v>
      </c>
    </row>
    <row r="112" spans="1:40" thickBot="1">
      <c r="A112" s="29" t="s">
        <v>343</v>
      </c>
      <c r="B112" s="30" t="s">
        <v>17</v>
      </c>
      <c r="C112" s="30">
        <v>56</v>
      </c>
      <c r="D112" s="30" t="s">
        <v>41</v>
      </c>
      <c r="E112" s="30">
        <v>1000</v>
      </c>
      <c r="F112" s="30">
        <v>31</v>
      </c>
      <c r="G112" s="30" t="s">
        <v>268</v>
      </c>
      <c r="H112" s="42" t="s">
        <v>339</v>
      </c>
      <c r="I112" s="30" t="s">
        <v>20</v>
      </c>
      <c r="J112" s="40" t="s">
        <v>340</v>
      </c>
      <c r="K112" s="44" t="str">
        <f t="shared" si="8"/>
        <v>lev BAD</v>
      </c>
      <c r="L112" s="1">
        <f t="shared" si="9"/>
        <v>42379.137499999997</v>
      </c>
      <c r="M112" s="43"/>
      <c r="N112" s="11">
        <f t="shared" si="10"/>
        <v>0.81563549488221809</v>
      </c>
      <c r="O112" s="11">
        <f t="shared" si="14"/>
        <v>0.93400000000000005</v>
      </c>
      <c r="P112" s="1">
        <f t="shared" si="15"/>
        <v>42378.746527777781</v>
      </c>
      <c r="Q112" s="12">
        <f t="shared" si="16"/>
        <v>1.2614334471009811E-2</v>
      </c>
      <c r="AC112" s="39">
        <v>5.4371600000000001E-11</v>
      </c>
      <c r="AD112" s="39">
        <v>3.9721899999999998E-11</v>
      </c>
      <c r="AE112" s="39">
        <v>5.0646500000000003E-11</v>
      </c>
      <c r="AF112" s="39">
        <v>3.4480299999999999E-11</v>
      </c>
      <c r="AG112" s="39">
        <v>7.3224200000000001E-11</v>
      </c>
      <c r="AH112" s="39">
        <v>5.7513600000000001E-11</v>
      </c>
      <c r="AI112" s="39">
        <v>2.8512499999999999E-11</v>
      </c>
      <c r="AJ112">
        <v>0</v>
      </c>
      <c r="AK112" s="39">
        <v>3.3133199999999999E-11</v>
      </c>
      <c r="AL112" s="39">
        <v>5.3510800000000001E-11</v>
      </c>
      <c r="AM112" s="39">
        <v>5.0055799999999998E-11</v>
      </c>
      <c r="AN112">
        <v>0</v>
      </c>
    </row>
    <row r="113" spans="1:40" thickBot="1">
      <c r="A113" s="29" t="s">
        <v>344</v>
      </c>
      <c r="B113" s="30" t="s">
        <v>17</v>
      </c>
      <c r="C113" s="30">
        <v>56</v>
      </c>
      <c r="D113" s="30" t="s">
        <v>41</v>
      </c>
      <c r="E113" s="30">
        <v>1000</v>
      </c>
      <c r="F113" s="30">
        <v>31</v>
      </c>
      <c r="G113" s="30" t="s">
        <v>268</v>
      </c>
      <c r="H113" s="42" t="s">
        <v>339</v>
      </c>
      <c r="I113" s="30" t="s">
        <v>20</v>
      </c>
      <c r="J113" s="40" t="s">
        <v>340</v>
      </c>
      <c r="K113" s="44" t="str">
        <f t="shared" si="8"/>
        <v>lev BAD</v>
      </c>
      <c r="L113" s="1">
        <f t="shared" si="9"/>
        <v>42379.177083333336</v>
      </c>
      <c r="M113" s="43"/>
      <c r="N113" s="11">
        <f t="shared" si="10"/>
        <v>0.80365187713314346</v>
      </c>
      <c r="O113" s="11">
        <f t="shared" si="14"/>
        <v>0.93400000000000005</v>
      </c>
      <c r="P113" s="1">
        <f t="shared" si="15"/>
        <v>42378.746527777781</v>
      </c>
      <c r="Q113" s="12">
        <f t="shared" si="16"/>
        <v>1.2614334471009811E-2</v>
      </c>
      <c r="AC113" s="39">
        <v>5.46395E-11</v>
      </c>
      <c r="AD113" s="39">
        <v>4.0525400000000002E-11</v>
      </c>
      <c r="AE113" s="39">
        <v>5.0401300000000003E-11</v>
      </c>
      <c r="AF113" s="39">
        <v>3.7532000000000003E-11</v>
      </c>
      <c r="AG113" s="39">
        <v>6.5632999999999997E-11</v>
      </c>
      <c r="AH113" s="39">
        <v>5.6155199999999998E-11</v>
      </c>
      <c r="AI113" s="39">
        <v>3.0010899999999998E-11</v>
      </c>
      <c r="AJ113">
        <v>0</v>
      </c>
      <c r="AK113" s="39">
        <v>3.2023100000000002E-11</v>
      </c>
      <c r="AL113" s="39">
        <v>5.5046099999999997E-11</v>
      </c>
      <c r="AM113" s="39">
        <v>4.6291299999999997E-11</v>
      </c>
      <c r="AN113">
        <v>0</v>
      </c>
    </row>
    <row r="114" spans="1:40" thickBot="1">
      <c r="A114" s="29" t="s">
        <v>345</v>
      </c>
      <c r="B114" s="30" t="s">
        <v>17</v>
      </c>
      <c r="C114" s="30">
        <v>56</v>
      </c>
      <c r="D114" s="30" t="s">
        <v>41</v>
      </c>
      <c r="E114" s="30">
        <v>1000</v>
      </c>
      <c r="F114" s="30">
        <v>31</v>
      </c>
      <c r="G114" s="30" t="s">
        <v>268</v>
      </c>
      <c r="H114" s="42" t="s">
        <v>339</v>
      </c>
      <c r="I114" s="30" t="s">
        <v>20</v>
      </c>
      <c r="J114" s="40" t="s">
        <v>340</v>
      </c>
      <c r="K114" s="44" t="str">
        <f t="shared" si="8"/>
        <v>lev BAD</v>
      </c>
      <c r="L114" s="1">
        <f t="shared" si="9"/>
        <v>42379.216666666667</v>
      </c>
      <c r="M114" s="43"/>
      <c r="N114" s="11">
        <f t="shared" si="10"/>
        <v>0.7916682593862715</v>
      </c>
      <c r="O114" s="11">
        <f t="shared" si="14"/>
        <v>0.93400000000000005</v>
      </c>
      <c r="P114" s="1">
        <f t="shared" si="15"/>
        <v>42378.746527777781</v>
      </c>
      <c r="Q114" s="12">
        <f t="shared" si="16"/>
        <v>1.2614334471009811E-2</v>
      </c>
      <c r="AC114" s="39">
        <v>5.37786E-11</v>
      </c>
      <c r="AD114" s="39">
        <v>4.2423799999999997E-11</v>
      </c>
      <c r="AE114" s="39">
        <v>5.20493E-11</v>
      </c>
      <c r="AF114" s="39">
        <v>3.4287199999999998E-11</v>
      </c>
      <c r="AG114" s="39">
        <v>6.2283900000000006E-11</v>
      </c>
      <c r="AH114" s="39">
        <v>5.49354E-11</v>
      </c>
      <c r="AI114" s="39">
        <v>2.9250100000000002E-11</v>
      </c>
      <c r="AJ114">
        <v>0</v>
      </c>
      <c r="AK114" s="39">
        <v>3.18779E-11</v>
      </c>
      <c r="AL114" s="39">
        <v>5.3496299999999999E-11</v>
      </c>
      <c r="AM114" s="39">
        <v>4.8948099999999998E-11</v>
      </c>
      <c r="AN114">
        <v>0</v>
      </c>
    </row>
    <row r="115" spans="1:40" thickBot="1">
      <c r="A115" s="29" t="s">
        <v>346</v>
      </c>
      <c r="B115" s="30" t="s">
        <v>17</v>
      </c>
      <c r="C115" s="30">
        <v>56</v>
      </c>
      <c r="D115" s="30" t="s">
        <v>41</v>
      </c>
      <c r="E115" s="30">
        <v>1000</v>
      </c>
      <c r="F115" s="30">
        <v>31</v>
      </c>
      <c r="G115" s="30" t="s">
        <v>268</v>
      </c>
      <c r="H115" s="42" t="s">
        <v>339</v>
      </c>
      <c r="I115" s="30" t="s">
        <v>20</v>
      </c>
      <c r="J115" s="40" t="s">
        <v>340</v>
      </c>
      <c r="K115" s="44" t="str">
        <f t="shared" si="8"/>
        <v>lev BAD</v>
      </c>
      <c r="L115" s="1">
        <f t="shared" si="9"/>
        <v>42379.256249999999</v>
      </c>
      <c r="M115" s="43"/>
      <c r="N115" s="11">
        <f t="shared" si="10"/>
        <v>0.77968464163939966</v>
      </c>
      <c r="O115" s="11">
        <f t="shared" si="14"/>
        <v>0.93400000000000005</v>
      </c>
      <c r="P115" s="1">
        <f t="shared" si="15"/>
        <v>42378.746527777781</v>
      </c>
      <c r="Q115" s="12">
        <f t="shared" si="16"/>
        <v>1.2614334471009811E-2</v>
      </c>
      <c r="AC115" s="39">
        <v>4.7061900000000002E-11</v>
      </c>
      <c r="AD115" s="39">
        <v>3.5642300000000002E-11</v>
      </c>
      <c r="AE115" s="39">
        <v>5.0241999999999997E-11</v>
      </c>
      <c r="AF115" s="39">
        <v>3.0502799999999999E-11</v>
      </c>
      <c r="AG115" s="39">
        <v>6.4018999999999994E-11</v>
      </c>
      <c r="AH115" s="39">
        <v>5.3487100000000001E-11</v>
      </c>
      <c r="AI115" s="39">
        <v>2.7422699999999999E-11</v>
      </c>
      <c r="AJ115">
        <v>0</v>
      </c>
      <c r="AK115" s="39">
        <v>2.9394300000000002E-11</v>
      </c>
      <c r="AL115" s="39">
        <v>4.7018800000000002E-11</v>
      </c>
      <c r="AM115" s="39">
        <v>4.1046699999999998E-11</v>
      </c>
      <c r="AN115">
        <v>0</v>
      </c>
    </row>
    <row r="116" spans="1:40" thickBot="1">
      <c r="A116" s="29" t="s">
        <v>347</v>
      </c>
      <c r="B116" s="30" t="s">
        <v>17</v>
      </c>
      <c r="C116" s="30">
        <v>56</v>
      </c>
      <c r="D116" s="30" t="s">
        <v>41</v>
      </c>
      <c r="E116" s="30">
        <v>1000</v>
      </c>
      <c r="F116" s="30">
        <v>31</v>
      </c>
      <c r="G116" s="30" t="s">
        <v>268</v>
      </c>
      <c r="H116" s="42" t="s">
        <v>339</v>
      </c>
      <c r="I116" s="30" t="s">
        <v>20</v>
      </c>
      <c r="J116" s="40" t="s">
        <v>340</v>
      </c>
      <c r="K116" s="44" t="str">
        <f t="shared" si="8"/>
        <v>lev BAD</v>
      </c>
      <c r="L116" s="1">
        <f t="shared" si="9"/>
        <v>42379.295138888891</v>
      </c>
      <c r="M116" s="43"/>
      <c r="N116" s="11">
        <f t="shared" si="10"/>
        <v>0.76791126279886035</v>
      </c>
      <c r="O116" s="11">
        <f t="shared" si="14"/>
        <v>0.93400000000000005</v>
      </c>
      <c r="P116" s="1">
        <f t="shared" si="15"/>
        <v>42378.746527777781</v>
      </c>
      <c r="Q116" s="12">
        <f t="shared" si="16"/>
        <v>1.2614334471009811E-2</v>
      </c>
      <c r="AC116" s="39">
        <v>6.6370500000000004E-11</v>
      </c>
      <c r="AD116" s="39">
        <v>5.0297500000000001E-11</v>
      </c>
      <c r="AE116" s="39">
        <v>6.0934300000000004E-11</v>
      </c>
      <c r="AF116" s="39">
        <v>4.2752399999999997E-11</v>
      </c>
      <c r="AG116" s="39">
        <v>9.1663599999999994E-11</v>
      </c>
      <c r="AH116" s="39">
        <v>7.06537E-11</v>
      </c>
      <c r="AI116" s="39">
        <v>3.3445299999999999E-11</v>
      </c>
      <c r="AJ116">
        <v>0</v>
      </c>
      <c r="AK116" s="39">
        <v>3.7522699999999998E-11</v>
      </c>
      <c r="AL116" s="39">
        <v>6.7414599999999996E-11</v>
      </c>
      <c r="AM116" s="39">
        <v>6.0986299999999998E-11</v>
      </c>
      <c r="AN116">
        <v>0</v>
      </c>
    </row>
    <row r="117" spans="1:40" thickBot="1">
      <c r="A117" s="29" t="s">
        <v>348</v>
      </c>
      <c r="B117" s="30" t="s">
        <v>17</v>
      </c>
      <c r="C117" s="30">
        <v>56</v>
      </c>
      <c r="D117" s="30" t="s">
        <v>41</v>
      </c>
      <c r="E117" s="30">
        <v>1000</v>
      </c>
      <c r="F117" s="30">
        <v>31</v>
      </c>
      <c r="G117" s="30" t="s">
        <v>268</v>
      </c>
      <c r="H117" s="42" t="s">
        <v>339</v>
      </c>
      <c r="I117" s="30" t="s">
        <v>20</v>
      </c>
      <c r="J117" s="40" t="s">
        <v>340</v>
      </c>
      <c r="K117" s="44" t="str">
        <f t="shared" si="8"/>
        <v>lev BAD</v>
      </c>
      <c r="L117" s="1">
        <f t="shared" si="9"/>
        <v>42379.334722222222</v>
      </c>
      <c r="M117" s="43"/>
      <c r="N117" s="11">
        <f t="shared" si="10"/>
        <v>0.75592764505198851</v>
      </c>
      <c r="O117" s="11">
        <f t="shared" si="14"/>
        <v>0.93400000000000005</v>
      </c>
      <c r="P117" s="1">
        <f t="shared" si="15"/>
        <v>42378.746527777781</v>
      </c>
      <c r="Q117" s="12">
        <f t="shared" si="16"/>
        <v>1.2614334471009811E-2</v>
      </c>
      <c r="AC117" s="39">
        <v>7.9398399999999999E-11</v>
      </c>
      <c r="AD117" s="39">
        <v>5.76997E-11</v>
      </c>
      <c r="AE117" s="39">
        <v>7.0854900000000004E-11</v>
      </c>
      <c r="AF117" s="39">
        <v>5.0767400000000001E-11</v>
      </c>
      <c r="AG117" s="39">
        <v>8.2755200000000002E-11</v>
      </c>
      <c r="AH117" s="39">
        <v>7.9186400000000003E-11</v>
      </c>
      <c r="AI117" s="39">
        <v>3.8520499999999998E-11</v>
      </c>
      <c r="AJ117">
        <v>0</v>
      </c>
      <c r="AK117" s="39">
        <v>4.0969199999999999E-11</v>
      </c>
      <c r="AL117" s="39">
        <v>7.7960600000000005E-11</v>
      </c>
      <c r="AM117" s="39">
        <v>7.0621600000000004E-11</v>
      </c>
      <c r="AN117">
        <v>0</v>
      </c>
    </row>
    <row r="118" spans="1:40" thickBot="1">
      <c r="A118" s="29" t="s">
        <v>349</v>
      </c>
      <c r="B118" s="30" t="s">
        <v>17</v>
      </c>
      <c r="C118" s="30">
        <v>56</v>
      </c>
      <c r="D118" s="30" t="s">
        <v>41</v>
      </c>
      <c r="E118" s="30">
        <v>1000</v>
      </c>
      <c r="F118" s="30">
        <v>31</v>
      </c>
      <c r="G118" s="30" t="s">
        <v>268</v>
      </c>
      <c r="H118" s="42" t="s">
        <v>339</v>
      </c>
      <c r="I118" s="30" t="s">
        <v>20</v>
      </c>
      <c r="J118" s="40" t="s">
        <v>340</v>
      </c>
      <c r="K118" s="44" t="str">
        <f t="shared" si="8"/>
        <v>lev BAD</v>
      </c>
      <c r="L118" s="1">
        <f t="shared" si="9"/>
        <v>42379.374305555553</v>
      </c>
      <c r="M118" s="43"/>
      <c r="N118" s="11">
        <f t="shared" si="10"/>
        <v>0.74394402730511655</v>
      </c>
      <c r="O118" s="11">
        <f t="shared" si="14"/>
        <v>0.93400000000000005</v>
      </c>
      <c r="P118" s="1">
        <f t="shared" si="15"/>
        <v>42378.746527777781</v>
      </c>
      <c r="Q118" s="12">
        <f t="shared" si="16"/>
        <v>1.2614334471009811E-2</v>
      </c>
      <c r="AC118" s="39">
        <v>7.3599099999999994E-11</v>
      </c>
      <c r="AD118" s="39">
        <v>5.2630600000000001E-11</v>
      </c>
      <c r="AE118" s="39">
        <v>6.7479999999999996E-11</v>
      </c>
      <c r="AF118" s="39">
        <v>5.4083699999999999E-11</v>
      </c>
      <c r="AG118" s="39">
        <v>7.6400900000000005E-11</v>
      </c>
      <c r="AH118" s="39">
        <v>7.0604999999999998E-11</v>
      </c>
      <c r="AI118" s="39">
        <v>3.5023199999999998E-11</v>
      </c>
      <c r="AJ118">
        <v>0</v>
      </c>
      <c r="AK118" s="39">
        <v>4.0783599999999998E-11</v>
      </c>
      <c r="AL118" s="39">
        <v>7.0387700000000006E-11</v>
      </c>
      <c r="AM118" s="39">
        <v>6.7275800000000005E-11</v>
      </c>
      <c r="AN118">
        <v>0</v>
      </c>
    </row>
    <row r="119" spans="1:40" thickBot="1">
      <c r="A119" s="29" t="s">
        <v>350</v>
      </c>
      <c r="B119" s="30" t="s">
        <v>17</v>
      </c>
      <c r="C119" s="30">
        <v>56</v>
      </c>
      <c r="D119" s="30" t="s">
        <v>41</v>
      </c>
      <c r="E119" s="30">
        <v>1000</v>
      </c>
      <c r="F119" s="30">
        <v>31</v>
      </c>
      <c r="G119" s="30" t="s">
        <v>268</v>
      </c>
      <c r="H119" s="42" t="s">
        <v>339</v>
      </c>
      <c r="I119" s="30" t="s">
        <v>20</v>
      </c>
      <c r="J119" s="40" t="s">
        <v>340</v>
      </c>
      <c r="K119" s="44" t="str">
        <f t="shared" si="8"/>
        <v>lev BAD</v>
      </c>
      <c r="L119" s="1">
        <f t="shared" si="9"/>
        <v>42379.413888888892</v>
      </c>
      <c r="M119" s="43"/>
      <c r="N119" s="11">
        <f t="shared" si="10"/>
        <v>0.73196040955604191</v>
      </c>
      <c r="O119" s="11">
        <f t="shared" si="14"/>
        <v>0.93400000000000005</v>
      </c>
      <c r="P119" s="1">
        <f t="shared" si="15"/>
        <v>42378.746527777781</v>
      </c>
      <c r="Q119" s="12">
        <f t="shared" si="16"/>
        <v>1.2614334471009811E-2</v>
      </c>
      <c r="AC119" s="39">
        <v>6.2830699999999995E-11</v>
      </c>
      <c r="AD119" s="39">
        <v>4.9930200000000001E-11</v>
      </c>
      <c r="AE119" s="39">
        <v>5.83837E-11</v>
      </c>
      <c r="AF119" s="39">
        <v>4.2186899999999999E-11</v>
      </c>
      <c r="AG119" s="39">
        <v>7.15665E-11</v>
      </c>
      <c r="AH119" s="39">
        <v>6.9068100000000002E-11</v>
      </c>
      <c r="AI119" s="39">
        <v>3.1064000000000003E-11</v>
      </c>
      <c r="AJ119">
        <v>0</v>
      </c>
      <c r="AK119" s="39">
        <v>3.6159099999999998E-11</v>
      </c>
      <c r="AL119" s="39">
        <v>6.1795299999999997E-11</v>
      </c>
      <c r="AM119" s="39">
        <v>5.7282900000000002E-11</v>
      </c>
      <c r="AN119">
        <v>0</v>
      </c>
    </row>
    <row r="120" spans="1:40" thickBot="1">
      <c r="A120" s="29" t="s">
        <v>351</v>
      </c>
      <c r="B120" s="30" t="s">
        <v>17</v>
      </c>
      <c r="C120" s="30">
        <v>56</v>
      </c>
      <c r="D120" s="30" t="s">
        <v>41</v>
      </c>
      <c r="E120" s="30">
        <v>1000</v>
      </c>
      <c r="F120" s="30">
        <v>31</v>
      </c>
      <c r="G120" s="30" t="s">
        <v>268</v>
      </c>
      <c r="H120" s="42" t="s">
        <v>339</v>
      </c>
      <c r="I120" s="30" t="s">
        <v>20</v>
      </c>
      <c r="J120" s="40" t="s">
        <v>340</v>
      </c>
      <c r="K120" s="44" t="str">
        <f t="shared" si="8"/>
        <v>lev BAD</v>
      </c>
      <c r="L120" s="1">
        <f t="shared" si="9"/>
        <v>42379.452777777777</v>
      </c>
      <c r="M120" s="43"/>
      <c r="N120" s="11">
        <f t="shared" si="10"/>
        <v>0.7201870307177054</v>
      </c>
      <c r="O120" s="11">
        <f t="shared" si="14"/>
        <v>0.93400000000000005</v>
      </c>
      <c r="P120" s="1">
        <f t="shared" si="15"/>
        <v>42378.746527777781</v>
      </c>
      <c r="Q120" s="12">
        <f t="shared" si="16"/>
        <v>1.2614334471009811E-2</v>
      </c>
      <c r="AC120" s="39">
        <v>5.65816E-11</v>
      </c>
      <c r="AD120" s="39">
        <v>4.3456699999999999E-11</v>
      </c>
      <c r="AE120" s="39">
        <v>5.5632300000000002E-11</v>
      </c>
      <c r="AF120" s="39">
        <v>3.7344900000000002E-11</v>
      </c>
      <c r="AG120" s="39">
        <v>7.9666399999999997E-11</v>
      </c>
      <c r="AH120" s="39">
        <v>6.5069600000000003E-11</v>
      </c>
      <c r="AI120" s="39">
        <v>3.0997899999999999E-11</v>
      </c>
      <c r="AJ120">
        <v>0</v>
      </c>
      <c r="AK120" s="39">
        <v>3.5824699999999998E-11</v>
      </c>
      <c r="AL120" s="39">
        <v>5.6587300000000001E-11</v>
      </c>
      <c r="AM120" s="39">
        <v>5.3142000000000001E-11</v>
      </c>
      <c r="AN120">
        <v>0</v>
      </c>
    </row>
    <row r="121" spans="1:40" thickBot="1">
      <c r="A121" s="29" t="s">
        <v>352</v>
      </c>
      <c r="B121" s="30" t="s">
        <v>17</v>
      </c>
      <c r="C121" s="30">
        <v>56</v>
      </c>
      <c r="D121" s="30" t="s">
        <v>41</v>
      </c>
      <c r="E121" s="30">
        <v>1000</v>
      </c>
      <c r="F121" s="30">
        <v>31</v>
      </c>
      <c r="G121" s="30" t="s">
        <v>268</v>
      </c>
      <c r="H121" s="42" t="s">
        <v>339</v>
      </c>
      <c r="I121" s="30" t="s">
        <v>20</v>
      </c>
      <c r="J121" s="40" t="s">
        <v>340</v>
      </c>
      <c r="K121" s="44" t="str">
        <f t="shared" si="8"/>
        <v>lev BAD</v>
      </c>
      <c r="L121" s="1">
        <f t="shared" si="9"/>
        <v>42379.492361111108</v>
      </c>
      <c r="M121" s="43"/>
      <c r="N121" s="11">
        <f t="shared" si="10"/>
        <v>0.70820341297083345</v>
      </c>
      <c r="O121" s="11">
        <f t="shared" si="14"/>
        <v>0.93400000000000005</v>
      </c>
      <c r="P121" s="1">
        <f t="shared" si="15"/>
        <v>42378.746527777781</v>
      </c>
      <c r="Q121" s="12">
        <f t="shared" si="16"/>
        <v>1.2614334471009811E-2</v>
      </c>
      <c r="AC121" s="39">
        <v>5.3257600000000003E-11</v>
      </c>
      <c r="AD121" s="39">
        <v>3.8518100000000002E-11</v>
      </c>
      <c r="AE121" s="39">
        <v>5.2966600000000001E-11</v>
      </c>
      <c r="AF121" s="39">
        <v>3.5796599999999997E-11</v>
      </c>
      <c r="AG121" s="39">
        <v>6.2454500000000001E-11</v>
      </c>
      <c r="AH121" s="39">
        <v>5.6081200000000003E-11</v>
      </c>
      <c r="AI121" s="39">
        <v>2.8857399999999999E-11</v>
      </c>
      <c r="AJ121">
        <v>0</v>
      </c>
      <c r="AK121" s="39">
        <v>3.1870799999999999E-11</v>
      </c>
      <c r="AL121" s="39">
        <v>5.31453E-11</v>
      </c>
      <c r="AM121" s="39">
        <v>4.80838E-11</v>
      </c>
      <c r="AN121">
        <v>0</v>
      </c>
    </row>
    <row r="122" spans="1:40" thickBot="1">
      <c r="A122" s="29" t="s">
        <v>353</v>
      </c>
      <c r="B122" s="30" t="s">
        <v>17</v>
      </c>
      <c r="C122" s="30">
        <v>56</v>
      </c>
      <c r="D122" s="30" t="s">
        <v>41</v>
      </c>
      <c r="E122" s="30">
        <v>1000</v>
      </c>
      <c r="F122" s="30">
        <v>32</v>
      </c>
      <c r="G122" s="30" t="s">
        <v>268</v>
      </c>
      <c r="H122" s="42" t="s">
        <v>339</v>
      </c>
      <c r="I122" s="30" t="s">
        <v>20</v>
      </c>
      <c r="J122" s="40" t="s">
        <v>340</v>
      </c>
      <c r="K122" s="44" t="str">
        <f t="shared" si="8"/>
        <v>lev OK</v>
      </c>
      <c r="L122" s="1">
        <f t="shared" si="9"/>
        <v>42379.531944444447</v>
      </c>
      <c r="M122" s="43"/>
      <c r="N122" s="11">
        <f t="shared" si="10"/>
        <v>0.69621979522175881</v>
      </c>
      <c r="O122" s="11">
        <f t="shared" si="14"/>
        <v>0.93400000000000005</v>
      </c>
      <c r="P122" s="1">
        <f t="shared" si="15"/>
        <v>42378.746527777781</v>
      </c>
      <c r="Q122" s="12">
        <f t="shared" si="16"/>
        <v>1.2614334471009811E-2</v>
      </c>
      <c r="AC122" s="39">
        <v>6.8846699999999995E-11</v>
      </c>
      <c r="AD122" s="39">
        <v>4.98057E-11</v>
      </c>
      <c r="AE122" s="39">
        <v>6.40324E-11</v>
      </c>
      <c r="AF122" s="39">
        <v>4.3473399999999998E-11</v>
      </c>
      <c r="AG122" s="39">
        <v>8.1181800000000003E-11</v>
      </c>
      <c r="AH122" s="39">
        <v>6.8770199999999998E-11</v>
      </c>
      <c r="AI122" s="39">
        <v>3.4992300000000003E-11</v>
      </c>
      <c r="AJ122">
        <v>0</v>
      </c>
      <c r="AK122" s="39">
        <v>3.7280099999999999E-11</v>
      </c>
      <c r="AL122" s="39">
        <v>6.6248900000000002E-11</v>
      </c>
      <c r="AM122" s="39">
        <v>6.2767600000000004E-11</v>
      </c>
      <c r="AN122">
        <v>0</v>
      </c>
    </row>
    <row r="123" spans="1:40" thickBot="1">
      <c r="A123" s="29" t="s">
        <v>354</v>
      </c>
      <c r="B123" s="30" t="s">
        <v>17</v>
      </c>
      <c r="C123" s="30">
        <v>56</v>
      </c>
      <c r="D123" s="30" t="s">
        <v>41</v>
      </c>
      <c r="E123" s="30">
        <v>1000</v>
      </c>
      <c r="F123" s="30">
        <v>8</v>
      </c>
      <c r="G123" s="30" t="s">
        <v>268</v>
      </c>
      <c r="H123" s="42" t="s">
        <v>339</v>
      </c>
      <c r="I123" s="30" t="s">
        <v>20</v>
      </c>
      <c r="J123" s="40" t="s">
        <v>340</v>
      </c>
      <c r="K123" s="44" t="str">
        <f t="shared" si="8"/>
        <v>lev OK</v>
      </c>
      <c r="L123" s="1">
        <f t="shared" si="9"/>
        <v>42379.591666666667</v>
      </c>
      <c r="M123" s="43"/>
      <c r="N123" s="11">
        <f t="shared" si="10"/>
        <v>0.67813924914718315</v>
      </c>
      <c r="O123" s="11">
        <f t="shared" si="14"/>
        <v>0.93400000000000005</v>
      </c>
      <c r="P123" s="1">
        <f t="shared" si="15"/>
        <v>42378.746527777781</v>
      </c>
      <c r="Q123" s="12">
        <f t="shared" si="16"/>
        <v>1.2614334471009811E-2</v>
      </c>
      <c r="AC123" s="39">
        <v>5.5509100000000001E-11</v>
      </c>
      <c r="AD123" s="39">
        <v>3.8599299999999998E-11</v>
      </c>
      <c r="AE123" s="39">
        <v>5.5487699999999998E-11</v>
      </c>
      <c r="AF123" s="39">
        <v>3.8335799999999999E-11</v>
      </c>
      <c r="AG123" s="39">
        <v>6.2025900000000003E-11</v>
      </c>
      <c r="AH123" s="39">
        <v>5.8438499999999994E-11</v>
      </c>
      <c r="AI123" s="39">
        <v>2.8796700000000001E-11</v>
      </c>
      <c r="AJ123">
        <v>0</v>
      </c>
      <c r="AK123" s="39">
        <v>3.2666900000000003E-11</v>
      </c>
      <c r="AL123" s="39">
        <v>5.42901E-11</v>
      </c>
      <c r="AM123" s="39">
        <v>5.2182399999999997E-11</v>
      </c>
      <c r="AN123">
        <v>0</v>
      </c>
    </row>
    <row r="124" spans="1:40" thickBot="1">
      <c r="A124" s="29" t="s">
        <v>355</v>
      </c>
      <c r="B124" s="30" t="s">
        <v>17</v>
      </c>
      <c r="C124" s="30">
        <v>56</v>
      </c>
      <c r="D124" s="30" t="s">
        <v>41</v>
      </c>
      <c r="E124" s="30">
        <v>1000</v>
      </c>
      <c r="F124" s="30">
        <v>31</v>
      </c>
      <c r="G124" s="30" t="s">
        <v>268</v>
      </c>
      <c r="H124" s="42" t="s">
        <v>46</v>
      </c>
      <c r="I124" s="30" t="s">
        <v>20</v>
      </c>
      <c r="J124" s="40" t="s">
        <v>340</v>
      </c>
      <c r="K124" s="44" t="str">
        <f t="shared" si="8"/>
        <v>lev OK</v>
      </c>
      <c r="L124" s="1">
        <f t="shared" si="9"/>
        <v>42379.617361111108</v>
      </c>
      <c r="M124" s="43"/>
      <c r="N124" s="11">
        <f t="shared" si="10"/>
        <v>0.67036040955780407</v>
      </c>
      <c r="O124" s="11">
        <f t="shared" si="14"/>
        <v>0.93400000000000005</v>
      </c>
      <c r="P124" s="1">
        <f t="shared" si="15"/>
        <v>42378.746527777781</v>
      </c>
      <c r="Q124" s="12">
        <f t="shared" si="16"/>
        <v>1.2614334471009811E-2</v>
      </c>
      <c r="AC124" s="39">
        <v>8.9334700000000002E-11</v>
      </c>
      <c r="AD124" s="39">
        <v>7.1633200000000001E-11</v>
      </c>
      <c r="AE124" s="39">
        <v>8.2346500000000001E-11</v>
      </c>
      <c r="AF124" s="39">
        <v>5.8595800000000002E-11</v>
      </c>
      <c r="AG124" s="39">
        <v>9.4676199999999994E-11</v>
      </c>
      <c r="AH124" s="39">
        <v>9.33722E-11</v>
      </c>
      <c r="AI124" s="39">
        <v>4.1757199999999999E-11</v>
      </c>
      <c r="AJ124">
        <v>0</v>
      </c>
      <c r="AK124" s="39">
        <v>4.3655999999999999E-11</v>
      </c>
      <c r="AL124" s="39">
        <v>9.3298399999999998E-11</v>
      </c>
      <c r="AM124" s="39">
        <v>8.18664E-11</v>
      </c>
      <c r="AN124">
        <v>0</v>
      </c>
    </row>
    <row r="125" spans="1:40" thickBot="1">
      <c r="A125" s="29" t="s">
        <v>356</v>
      </c>
      <c r="B125" s="30" t="s">
        <v>17</v>
      </c>
      <c r="C125" s="30">
        <v>56</v>
      </c>
      <c r="D125" s="30" t="s">
        <v>41</v>
      </c>
      <c r="E125" s="30">
        <v>1000</v>
      </c>
      <c r="F125" s="30">
        <v>31</v>
      </c>
      <c r="G125" s="30" t="s">
        <v>268</v>
      </c>
      <c r="H125" s="42" t="s">
        <v>46</v>
      </c>
      <c r="I125" s="30" t="s">
        <v>20</v>
      </c>
      <c r="J125" s="40" t="s">
        <v>340</v>
      </c>
      <c r="K125" s="44" t="str">
        <f t="shared" si="8"/>
        <v>lev OK</v>
      </c>
      <c r="L125" s="1">
        <f t="shared" si="9"/>
        <v>42379.65625</v>
      </c>
      <c r="M125" s="43"/>
      <c r="N125" s="11">
        <f t="shared" si="10"/>
        <v>0.65858703071726488</v>
      </c>
      <c r="O125" s="11">
        <f t="shared" si="14"/>
        <v>0.93400000000000005</v>
      </c>
      <c r="P125" s="1">
        <f t="shared" si="15"/>
        <v>42378.746527777781</v>
      </c>
      <c r="Q125" s="12">
        <f t="shared" si="16"/>
        <v>1.2614334471009811E-2</v>
      </c>
      <c r="AC125" s="39">
        <v>1.33698E-10</v>
      </c>
      <c r="AD125" s="39">
        <v>1.1780100000000001E-10</v>
      </c>
      <c r="AE125" s="39">
        <v>1.26753E-10</v>
      </c>
      <c r="AF125" s="39">
        <v>9.9319200000000003E-11</v>
      </c>
      <c r="AG125" s="39">
        <v>1.6013500000000001E-10</v>
      </c>
      <c r="AH125" s="39">
        <v>1.36504E-10</v>
      </c>
      <c r="AI125" s="39">
        <v>5.7767500000000002E-11</v>
      </c>
      <c r="AJ125">
        <v>0</v>
      </c>
      <c r="AK125" s="39">
        <v>6.1816400000000002E-11</v>
      </c>
      <c r="AL125" s="39">
        <v>1.34479E-10</v>
      </c>
      <c r="AM125" s="39">
        <v>1.2821200000000001E-10</v>
      </c>
      <c r="AN125">
        <v>0</v>
      </c>
    </row>
    <row r="126" spans="1:40" thickBot="1">
      <c r="A126" s="29" t="s">
        <v>357</v>
      </c>
      <c r="B126" s="30" t="s">
        <v>17</v>
      </c>
      <c r="C126" s="30">
        <v>56</v>
      </c>
      <c r="D126" s="30" t="s">
        <v>41</v>
      </c>
      <c r="E126" s="30">
        <v>1000</v>
      </c>
      <c r="F126" s="30">
        <v>31</v>
      </c>
      <c r="G126" s="30" t="s">
        <v>268</v>
      </c>
      <c r="H126" s="42" t="s">
        <v>46</v>
      </c>
      <c r="I126" s="30" t="s">
        <v>20</v>
      </c>
      <c r="J126" s="40" t="s">
        <v>340</v>
      </c>
      <c r="K126" s="44" t="str">
        <f t="shared" si="8"/>
        <v>lev OK</v>
      </c>
      <c r="L126" s="1">
        <f t="shared" si="9"/>
        <v>42379.695833333331</v>
      </c>
      <c r="M126" s="43"/>
      <c r="N126" s="11">
        <f t="shared" si="10"/>
        <v>0.64660341297039292</v>
      </c>
      <c r="O126" s="11">
        <f t="shared" si="14"/>
        <v>0.93400000000000005</v>
      </c>
      <c r="P126" s="1">
        <f t="shared" si="15"/>
        <v>42378.746527777781</v>
      </c>
      <c r="Q126" s="12">
        <f t="shared" si="16"/>
        <v>1.2614334471009811E-2</v>
      </c>
      <c r="AC126" s="39">
        <v>7.5474899999999997E-11</v>
      </c>
      <c r="AD126" s="39">
        <v>5.9902100000000005E-11</v>
      </c>
      <c r="AE126" s="39">
        <v>7.24216E-11</v>
      </c>
      <c r="AF126" s="39">
        <v>4.7259300000000003E-11</v>
      </c>
      <c r="AG126" s="39">
        <v>9.1153200000000002E-11</v>
      </c>
      <c r="AH126" s="39">
        <v>7.8371400000000003E-11</v>
      </c>
      <c r="AI126" s="39">
        <v>3.6724399999999997E-11</v>
      </c>
      <c r="AJ126">
        <v>0</v>
      </c>
      <c r="AK126" s="39">
        <v>4.0136799999999998E-11</v>
      </c>
      <c r="AL126" s="39">
        <v>7.7596399999999998E-11</v>
      </c>
      <c r="AM126" s="39">
        <v>7.0285000000000006E-11</v>
      </c>
      <c r="AN126">
        <v>0</v>
      </c>
    </row>
    <row r="127" spans="1:40" thickBot="1">
      <c r="A127" s="29" t="s">
        <v>358</v>
      </c>
      <c r="B127" s="30" t="s">
        <v>17</v>
      </c>
      <c r="C127" s="30">
        <v>56</v>
      </c>
      <c r="D127" s="30" t="s">
        <v>41</v>
      </c>
      <c r="E127" s="30">
        <v>1000</v>
      </c>
      <c r="F127" s="30">
        <v>31</v>
      </c>
      <c r="G127" s="30" t="s">
        <v>268</v>
      </c>
      <c r="H127" s="42" t="s">
        <v>46</v>
      </c>
      <c r="I127" s="30" t="s">
        <v>20</v>
      </c>
      <c r="J127" s="40" t="s">
        <v>340</v>
      </c>
      <c r="K127" s="44" t="str">
        <f t="shared" si="8"/>
        <v>lev OK</v>
      </c>
      <c r="L127" s="1">
        <f t="shared" si="9"/>
        <v>42379.73541666667</v>
      </c>
      <c r="M127" s="43"/>
      <c r="N127" s="11">
        <f t="shared" si="10"/>
        <v>0.63461979522131828</v>
      </c>
      <c r="O127" s="11">
        <f t="shared" si="14"/>
        <v>0.93400000000000005</v>
      </c>
      <c r="P127" s="1">
        <f t="shared" si="15"/>
        <v>42378.746527777781</v>
      </c>
      <c r="Q127" s="12">
        <f t="shared" si="16"/>
        <v>1.2614334471009811E-2</v>
      </c>
      <c r="AC127" s="39">
        <v>1.3425700000000001E-10</v>
      </c>
      <c r="AD127" s="39">
        <v>1.07475E-10</v>
      </c>
      <c r="AE127" s="39">
        <v>1.2398200000000001E-10</v>
      </c>
      <c r="AF127" s="39">
        <v>9.2318499999999998E-11</v>
      </c>
      <c r="AG127" s="39">
        <v>1.5791700000000001E-10</v>
      </c>
      <c r="AH127" s="39">
        <v>1.40092E-10</v>
      </c>
      <c r="AI127" s="39">
        <v>5.8270599999999994E-11</v>
      </c>
      <c r="AJ127">
        <v>0</v>
      </c>
      <c r="AK127" s="39">
        <v>5.9560900000000002E-11</v>
      </c>
      <c r="AL127" s="39">
        <v>1.5791799999999999E-10</v>
      </c>
      <c r="AM127" s="39">
        <v>1.25761E-10</v>
      </c>
      <c r="AN127">
        <v>0</v>
      </c>
    </row>
    <row r="128" spans="1:40" thickBot="1">
      <c r="A128" s="29" t="s">
        <v>359</v>
      </c>
      <c r="B128" s="30" t="s">
        <v>17</v>
      </c>
      <c r="C128" s="30">
        <v>56</v>
      </c>
      <c r="D128" s="30" t="s">
        <v>41</v>
      </c>
      <c r="E128" s="30">
        <v>1000</v>
      </c>
      <c r="F128" s="30">
        <v>31</v>
      </c>
      <c r="G128" s="30" t="s">
        <v>268</v>
      </c>
      <c r="H128" s="42" t="s">
        <v>46</v>
      </c>
      <c r="I128" s="30" t="s">
        <v>20</v>
      </c>
      <c r="J128" s="40" t="s">
        <v>340</v>
      </c>
      <c r="K128" s="44" t="str">
        <f t="shared" si="8"/>
        <v>lev OK</v>
      </c>
      <c r="L128" s="1">
        <f t="shared" si="9"/>
        <v>42379.774305555555</v>
      </c>
      <c r="M128" s="43"/>
      <c r="N128" s="11">
        <f t="shared" si="10"/>
        <v>0.62231382978806948</v>
      </c>
      <c r="O128" s="12">
        <v>0.626</v>
      </c>
      <c r="P128" s="1">
        <v>42379.763888888891</v>
      </c>
      <c r="Q128" s="11">
        <f>(O128-R128)/(S128-P128)/24</f>
        <v>1.4744680851155134E-2</v>
      </c>
      <c r="R128" s="12">
        <v>0.39500000000000002</v>
      </c>
      <c r="S128" s="1">
        <v>42380.416666666664</v>
      </c>
      <c r="AC128" s="39">
        <v>7.3642499999999999E-11</v>
      </c>
      <c r="AD128" s="39">
        <v>5.6607600000000003E-11</v>
      </c>
      <c r="AE128" s="39">
        <v>6.8035700000000004E-11</v>
      </c>
      <c r="AF128" s="39">
        <v>4.5780999999999998E-11</v>
      </c>
      <c r="AG128" s="39">
        <v>8.5625700000000005E-11</v>
      </c>
      <c r="AH128" s="39">
        <v>7.6855700000000006E-11</v>
      </c>
      <c r="AI128" s="39">
        <v>3.4833700000000001E-11</v>
      </c>
      <c r="AJ128">
        <v>0</v>
      </c>
      <c r="AK128" s="39">
        <v>3.92649E-11</v>
      </c>
      <c r="AL128" s="39">
        <v>7.71485E-11</v>
      </c>
      <c r="AM128" s="39">
        <v>6.7907099999999994E-11</v>
      </c>
      <c r="AN128">
        <v>0</v>
      </c>
    </row>
    <row r="129" spans="1:40" thickBot="1">
      <c r="A129" s="29" t="s">
        <v>360</v>
      </c>
      <c r="B129" s="30" t="s">
        <v>17</v>
      </c>
      <c r="C129" s="30">
        <v>56</v>
      </c>
      <c r="D129" s="30" t="s">
        <v>41</v>
      </c>
      <c r="E129" s="30">
        <v>1000</v>
      </c>
      <c r="F129" s="30">
        <v>31</v>
      </c>
      <c r="G129" s="30" t="s">
        <v>268</v>
      </c>
      <c r="H129" s="42" t="s">
        <v>46</v>
      </c>
      <c r="I129" s="30" t="s">
        <v>20</v>
      </c>
      <c r="J129" s="40" t="s">
        <v>340</v>
      </c>
      <c r="K129" s="44" t="str">
        <f t="shared" si="8"/>
        <v>lev OK</v>
      </c>
      <c r="L129" s="1">
        <f t="shared" si="9"/>
        <v>42379.813888888886</v>
      </c>
      <c r="M129" s="43"/>
      <c r="N129" s="11">
        <f t="shared" si="10"/>
        <v>0.60830638298015871</v>
      </c>
      <c r="O129" s="11">
        <f t="shared" ref="O129:O142" si="17">O128</f>
        <v>0.626</v>
      </c>
      <c r="P129" s="1">
        <f t="shared" ref="P129:P142" si="18">P128</f>
        <v>42379.763888888891</v>
      </c>
      <c r="Q129" s="12">
        <f t="shared" ref="Q129:Q142" si="19">Q128</f>
        <v>1.4744680851155134E-2</v>
      </c>
      <c r="AC129" s="39">
        <v>9.4740799999999997E-11</v>
      </c>
      <c r="AD129" s="39">
        <v>7.5974099999999999E-11</v>
      </c>
      <c r="AE129" s="39">
        <v>8.8658700000000006E-11</v>
      </c>
      <c r="AF129" s="39">
        <v>5.7494899999999998E-11</v>
      </c>
      <c r="AG129" s="39">
        <v>1.04414E-10</v>
      </c>
      <c r="AH129" s="39">
        <v>9.9369099999999999E-11</v>
      </c>
      <c r="AI129" s="39">
        <v>4.28483E-11</v>
      </c>
      <c r="AJ129">
        <v>0</v>
      </c>
      <c r="AK129" s="39">
        <v>4.7271800000000001E-11</v>
      </c>
      <c r="AL129" s="39">
        <v>9.8584499999999997E-11</v>
      </c>
      <c r="AM129" s="39">
        <v>8.6732300000000004E-11</v>
      </c>
      <c r="AN129">
        <v>0</v>
      </c>
    </row>
    <row r="130" spans="1:40" thickBot="1">
      <c r="A130" s="29" t="s">
        <v>361</v>
      </c>
      <c r="B130" s="30" t="s">
        <v>17</v>
      </c>
      <c r="C130" s="30">
        <v>56</v>
      </c>
      <c r="D130" s="30" t="s">
        <v>41</v>
      </c>
      <c r="E130" s="30">
        <v>1000</v>
      </c>
      <c r="F130" s="30">
        <v>31</v>
      </c>
      <c r="G130" s="30" t="s">
        <v>268</v>
      </c>
      <c r="H130" s="42" t="s">
        <v>46</v>
      </c>
      <c r="I130" s="30" t="s">
        <v>20</v>
      </c>
      <c r="J130" s="40" t="s">
        <v>340</v>
      </c>
      <c r="K130" s="44" t="str">
        <f t="shared" si="8"/>
        <v>lev OK</v>
      </c>
      <c r="L130" s="1">
        <f t="shared" si="9"/>
        <v>42379.852777777778</v>
      </c>
      <c r="M130" s="43"/>
      <c r="N130" s="11">
        <f t="shared" si="10"/>
        <v>0.59454468085132683</v>
      </c>
      <c r="O130" s="11">
        <f t="shared" si="17"/>
        <v>0.626</v>
      </c>
      <c r="P130" s="1">
        <f t="shared" si="18"/>
        <v>42379.763888888891</v>
      </c>
      <c r="Q130" s="12">
        <f t="shared" si="19"/>
        <v>1.4744680851155134E-2</v>
      </c>
      <c r="AC130" s="39">
        <v>9.3893900000000001E-11</v>
      </c>
      <c r="AD130" s="39">
        <v>7.1305499999999997E-11</v>
      </c>
      <c r="AE130" s="39">
        <v>8.3119399999999996E-11</v>
      </c>
      <c r="AF130" s="39">
        <v>5.7869399999999999E-11</v>
      </c>
      <c r="AG130" s="39">
        <v>8.7495899999999994E-11</v>
      </c>
      <c r="AH130" s="39">
        <v>9.55149E-11</v>
      </c>
      <c r="AI130" s="39">
        <v>4.2201999999999998E-11</v>
      </c>
      <c r="AJ130">
        <v>0</v>
      </c>
      <c r="AK130" s="39">
        <v>4.5128099999999999E-11</v>
      </c>
      <c r="AL130" s="39">
        <v>9.3591699999999996E-11</v>
      </c>
      <c r="AM130" s="39">
        <v>8.3724600000000002E-11</v>
      </c>
      <c r="AN130">
        <v>0</v>
      </c>
    </row>
    <row r="131" spans="1:40" thickBot="1">
      <c r="A131" s="29" t="s">
        <v>362</v>
      </c>
      <c r="B131" s="30" t="s">
        <v>17</v>
      </c>
      <c r="C131" s="30">
        <v>56</v>
      </c>
      <c r="D131" s="30" t="s">
        <v>41</v>
      </c>
      <c r="E131" s="30">
        <v>1000</v>
      </c>
      <c r="F131" s="30">
        <v>31</v>
      </c>
      <c r="G131" s="30" t="s">
        <v>268</v>
      </c>
      <c r="H131" s="42" t="s">
        <v>46</v>
      </c>
      <c r="I131" s="30" t="s">
        <v>20</v>
      </c>
      <c r="J131" s="40" t="s">
        <v>340</v>
      </c>
      <c r="K131" s="44" t="str">
        <f t="shared" si="8"/>
        <v>lev OK</v>
      </c>
      <c r="L131" s="1">
        <f t="shared" si="9"/>
        <v>42379.892361111109</v>
      </c>
      <c r="M131" s="43"/>
      <c r="N131" s="11">
        <f t="shared" si="10"/>
        <v>0.58053723404341606</v>
      </c>
      <c r="O131" s="11">
        <f t="shared" si="17"/>
        <v>0.626</v>
      </c>
      <c r="P131" s="1">
        <f t="shared" si="18"/>
        <v>42379.763888888891</v>
      </c>
      <c r="Q131" s="12">
        <f t="shared" si="19"/>
        <v>1.4744680851155134E-2</v>
      </c>
      <c r="AC131" s="39">
        <v>1.1720599999999999E-10</v>
      </c>
      <c r="AD131" s="39">
        <v>8.9572999999999994E-11</v>
      </c>
      <c r="AE131" s="39">
        <v>1.08173E-10</v>
      </c>
      <c r="AF131" s="39">
        <v>7.9761300000000005E-11</v>
      </c>
      <c r="AG131" s="39">
        <v>1.2140599999999999E-10</v>
      </c>
      <c r="AH131" s="39">
        <v>1.2525999999999999E-10</v>
      </c>
      <c r="AI131" s="39">
        <v>5.15125E-11</v>
      </c>
      <c r="AJ131">
        <v>0</v>
      </c>
      <c r="AK131" s="39">
        <v>5.3881999999999997E-11</v>
      </c>
      <c r="AL131" s="39">
        <v>1.1836299999999999E-10</v>
      </c>
      <c r="AM131" s="39">
        <v>1.10828E-10</v>
      </c>
      <c r="AN131">
        <v>0</v>
      </c>
    </row>
    <row r="132" spans="1:40" thickBot="1">
      <c r="A132" s="29" t="s">
        <v>363</v>
      </c>
      <c r="B132" s="30" t="s">
        <v>17</v>
      </c>
      <c r="C132" s="30">
        <v>56</v>
      </c>
      <c r="D132" s="30" t="s">
        <v>41</v>
      </c>
      <c r="E132" s="30">
        <v>1000</v>
      </c>
      <c r="F132" s="30">
        <v>32</v>
      </c>
      <c r="G132" s="30" t="s">
        <v>268</v>
      </c>
      <c r="H132" s="42" t="s">
        <v>46</v>
      </c>
      <c r="I132" s="30" t="s">
        <v>20</v>
      </c>
      <c r="J132" s="40" t="s">
        <v>340</v>
      </c>
      <c r="K132" s="44" t="str">
        <f t="shared" ref="K132:K189" si="20">IF(AND(N132&lt;0.7,N132&gt;0.2),"lev OK","lev BAD")</f>
        <v>lev OK</v>
      </c>
      <c r="L132" s="1">
        <f t="shared" ref="L132:L189" si="21">DATE(2000+MID(A132,3,2),MID(A132,5,2),MID(A132,7,2))+TIME(MID(A132,10,2),MID(A132,12,2),0)</f>
        <v>42379.931944444441</v>
      </c>
      <c r="M132" s="43"/>
      <c r="N132" s="11">
        <f t="shared" ref="N132:N195" si="22">O132-(L132-P132)*24*Q132</f>
        <v>0.56652978723550529</v>
      </c>
      <c r="O132" s="11">
        <f t="shared" si="17"/>
        <v>0.626</v>
      </c>
      <c r="P132" s="1">
        <f t="shared" si="18"/>
        <v>42379.763888888891</v>
      </c>
      <c r="Q132" s="12">
        <f t="shared" si="19"/>
        <v>1.4744680851155134E-2</v>
      </c>
      <c r="AC132" s="39">
        <v>8.2323200000000005E-11</v>
      </c>
      <c r="AD132" s="39">
        <v>6.5422899999999999E-11</v>
      </c>
      <c r="AE132" s="39">
        <v>7.5072899999999999E-11</v>
      </c>
      <c r="AF132" s="39">
        <v>5.4981400000000001E-11</v>
      </c>
      <c r="AG132" s="39">
        <v>9.5971700000000005E-11</v>
      </c>
      <c r="AH132" s="39">
        <v>8.3901100000000004E-11</v>
      </c>
      <c r="AI132" s="39">
        <v>3.8471900000000002E-11</v>
      </c>
      <c r="AJ132">
        <v>0</v>
      </c>
      <c r="AK132" s="39">
        <v>4.1003E-11</v>
      </c>
      <c r="AL132" s="39">
        <v>8.5367500000000003E-11</v>
      </c>
      <c r="AM132" s="39">
        <v>7.65166E-11</v>
      </c>
      <c r="AN132">
        <v>0</v>
      </c>
    </row>
    <row r="133" spans="1:40" thickBot="1">
      <c r="A133" s="29" t="s">
        <v>364</v>
      </c>
      <c r="B133" s="30" t="s">
        <v>17</v>
      </c>
      <c r="C133" s="30">
        <v>56</v>
      </c>
      <c r="D133" s="30" t="s">
        <v>41</v>
      </c>
      <c r="E133" s="30">
        <v>1000</v>
      </c>
      <c r="F133" s="30">
        <v>31</v>
      </c>
      <c r="G133" s="30" t="s">
        <v>268</v>
      </c>
      <c r="H133" s="42" t="s">
        <v>46</v>
      </c>
      <c r="I133" s="30" t="s">
        <v>20</v>
      </c>
      <c r="J133" s="40" t="s">
        <v>340</v>
      </c>
      <c r="K133" s="44" t="str">
        <f t="shared" si="20"/>
        <v>lev OK</v>
      </c>
      <c r="L133" s="1">
        <f t="shared" si="21"/>
        <v>42379.970833333333</v>
      </c>
      <c r="M133" s="43"/>
      <c r="N133" s="11">
        <f t="shared" si="22"/>
        <v>0.5527680851066733</v>
      </c>
      <c r="O133" s="11">
        <f t="shared" si="17"/>
        <v>0.626</v>
      </c>
      <c r="P133" s="1">
        <f t="shared" si="18"/>
        <v>42379.763888888891</v>
      </c>
      <c r="Q133" s="12">
        <f t="shared" si="19"/>
        <v>1.4744680851155134E-2</v>
      </c>
      <c r="AC133" s="39">
        <v>9.8104700000000001E-11</v>
      </c>
      <c r="AD133" s="39">
        <v>7.7687000000000005E-11</v>
      </c>
      <c r="AE133" s="39">
        <v>8.9692200000000006E-11</v>
      </c>
      <c r="AF133" s="39">
        <v>6.5842699999999997E-11</v>
      </c>
      <c r="AG133" s="39">
        <v>1.0161E-10</v>
      </c>
      <c r="AH133" s="39">
        <v>1.0572400000000001E-10</v>
      </c>
      <c r="AI133" s="39">
        <v>4.4111800000000002E-11</v>
      </c>
      <c r="AJ133">
        <v>0</v>
      </c>
      <c r="AK133" s="39">
        <v>4.8618800000000001E-11</v>
      </c>
      <c r="AL133" s="39">
        <v>1.0091199999999999E-10</v>
      </c>
      <c r="AM133" s="39">
        <v>8.9630400000000003E-11</v>
      </c>
      <c r="AN133">
        <v>0</v>
      </c>
    </row>
    <row r="134" spans="1:40" thickBot="1">
      <c r="A134" s="29" t="s">
        <v>365</v>
      </c>
      <c r="B134" s="30" t="s">
        <v>17</v>
      </c>
      <c r="C134" s="30">
        <v>56</v>
      </c>
      <c r="D134" s="30" t="s">
        <v>41</v>
      </c>
      <c r="E134" s="30">
        <v>1000</v>
      </c>
      <c r="F134" s="30">
        <v>31</v>
      </c>
      <c r="G134" s="30" t="s">
        <v>268</v>
      </c>
      <c r="H134" s="42" t="s">
        <v>46</v>
      </c>
      <c r="I134" s="30" t="s">
        <v>20</v>
      </c>
      <c r="J134" s="40" t="s">
        <v>340</v>
      </c>
      <c r="K134" s="44" t="str">
        <f t="shared" si="20"/>
        <v>lev OK</v>
      </c>
      <c r="L134" s="1">
        <f t="shared" si="21"/>
        <v>42380.010416666664</v>
      </c>
      <c r="M134" s="43"/>
      <c r="N134" s="11">
        <f t="shared" si="22"/>
        <v>0.53876063829876253</v>
      </c>
      <c r="O134" s="11">
        <f t="shared" si="17"/>
        <v>0.626</v>
      </c>
      <c r="P134" s="1">
        <f t="shared" si="18"/>
        <v>42379.763888888891</v>
      </c>
      <c r="Q134" s="12">
        <f t="shared" si="19"/>
        <v>1.4744680851155134E-2</v>
      </c>
      <c r="AC134" s="39">
        <v>8.2282400000000002E-11</v>
      </c>
      <c r="AD134" s="39">
        <v>6.4321500000000004E-11</v>
      </c>
      <c r="AE134" s="39">
        <v>7.6166199999999998E-11</v>
      </c>
      <c r="AF134" s="39">
        <v>5.2550799999999999E-11</v>
      </c>
      <c r="AG134" s="39">
        <v>9.6556600000000002E-11</v>
      </c>
      <c r="AH134" s="39">
        <v>8.8501399999999998E-11</v>
      </c>
      <c r="AI134" s="39">
        <v>3.84234E-11</v>
      </c>
      <c r="AJ134">
        <v>0</v>
      </c>
      <c r="AK134" s="39">
        <v>4.2824899999999999E-11</v>
      </c>
      <c r="AL134" s="39">
        <v>8.4594799999999994E-11</v>
      </c>
      <c r="AM134" s="39">
        <v>7.4306099999999997E-11</v>
      </c>
      <c r="AN134">
        <v>0</v>
      </c>
    </row>
    <row r="135" spans="1:40" thickBot="1">
      <c r="A135" s="29" t="s">
        <v>366</v>
      </c>
      <c r="B135" s="30" t="s">
        <v>17</v>
      </c>
      <c r="C135" s="30">
        <v>56</v>
      </c>
      <c r="D135" s="30" t="s">
        <v>41</v>
      </c>
      <c r="E135" s="30">
        <v>1000</v>
      </c>
      <c r="F135" s="30">
        <v>31</v>
      </c>
      <c r="G135" s="30" t="s">
        <v>268</v>
      </c>
      <c r="H135" s="42" t="s">
        <v>46</v>
      </c>
      <c r="I135" s="30" t="s">
        <v>20</v>
      </c>
      <c r="J135" s="40" t="s">
        <v>340</v>
      </c>
      <c r="K135" s="44" t="str">
        <f t="shared" si="20"/>
        <v>lev OK</v>
      </c>
      <c r="L135" s="1">
        <f t="shared" si="21"/>
        <v>42380.05</v>
      </c>
      <c r="M135" s="43"/>
      <c r="N135" s="11">
        <f t="shared" si="22"/>
        <v>0.52475319148827704</v>
      </c>
      <c r="O135" s="11">
        <f t="shared" si="17"/>
        <v>0.626</v>
      </c>
      <c r="P135" s="1">
        <f t="shared" si="18"/>
        <v>42379.763888888891</v>
      </c>
      <c r="Q135" s="12">
        <f t="shared" si="19"/>
        <v>1.4744680851155134E-2</v>
      </c>
      <c r="AC135" s="39">
        <v>7.8332200000000006E-11</v>
      </c>
      <c r="AD135" s="39">
        <v>6.0621500000000006E-11</v>
      </c>
      <c r="AE135" s="39">
        <v>7.3769999999999994E-11</v>
      </c>
      <c r="AF135" s="39">
        <v>4.9057600000000001E-11</v>
      </c>
      <c r="AG135" s="39">
        <v>7.9211799999999996E-11</v>
      </c>
      <c r="AH135" s="39">
        <v>8.2349899999999999E-11</v>
      </c>
      <c r="AI135" s="39">
        <v>3.8146200000000002E-11</v>
      </c>
      <c r="AJ135">
        <v>0</v>
      </c>
      <c r="AK135" s="39">
        <v>4.2106699999999999E-11</v>
      </c>
      <c r="AL135" s="39">
        <v>8.2182599999999996E-11</v>
      </c>
      <c r="AM135" s="39">
        <v>7.1799099999999998E-11</v>
      </c>
      <c r="AN135">
        <v>0</v>
      </c>
    </row>
    <row r="136" spans="1:40" thickBot="1">
      <c r="A136" s="29" t="s">
        <v>367</v>
      </c>
      <c r="B136" s="30" t="s">
        <v>17</v>
      </c>
      <c r="C136" s="30">
        <v>56</v>
      </c>
      <c r="D136" s="30" t="s">
        <v>41</v>
      </c>
      <c r="E136" s="30">
        <v>1000</v>
      </c>
      <c r="F136" s="30">
        <v>31</v>
      </c>
      <c r="G136" s="30" t="s">
        <v>268</v>
      </c>
      <c r="H136" s="42" t="s">
        <v>46</v>
      </c>
      <c r="I136" s="30" t="s">
        <v>20</v>
      </c>
      <c r="J136" s="40" t="s">
        <v>340</v>
      </c>
      <c r="K136" s="44" t="str">
        <f t="shared" si="20"/>
        <v>lev OK</v>
      </c>
      <c r="L136" s="1">
        <f t="shared" si="21"/>
        <v>42380.088888888888</v>
      </c>
      <c r="M136" s="43"/>
      <c r="N136" s="11">
        <f t="shared" si="22"/>
        <v>0.51099148936201988</v>
      </c>
      <c r="O136" s="11">
        <f t="shared" si="17"/>
        <v>0.626</v>
      </c>
      <c r="P136" s="1">
        <f t="shared" si="18"/>
        <v>42379.763888888891</v>
      </c>
      <c r="Q136" s="12">
        <f t="shared" si="19"/>
        <v>1.4744680851155134E-2</v>
      </c>
      <c r="AC136" s="39">
        <v>8.9622000000000001E-11</v>
      </c>
      <c r="AD136" s="39">
        <v>6.9274800000000002E-11</v>
      </c>
      <c r="AE136" s="39">
        <v>8.2381E-11</v>
      </c>
      <c r="AF136" s="39">
        <v>5.5598300000000002E-11</v>
      </c>
      <c r="AG136" s="39">
        <v>1.04114E-10</v>
      </c>
      <c r="AH136" s="39">
        <v>9.1073799999999998E-11</v>
      </c>
      <c r="AI136" s="39">
        <v>4.2323000000000002E-11</v>
      </c>
      <c r="AJ136">
        <v>0</v>
      </c>
      <c r="AK136" s="39">
        <v>4.6692699999999997E-11</v>
      </c>
      <c r="AL136" s="39">
        <v>9.0414300000000002E-11</v>
      </c>
      <c r="AM136" s="39">
        <v>8.2449000000000001E-11</v>
      </c>
      <c r="AN136">
        <v>0</v>
      </c>
    </row>
    <row r="137" spans="1:40" thickBot="1">
      <c r="A137" s="29" t="s">
        <v>368</v>
      </c>
      <c r="B137" s="30" t="s">
        <v>17</v>
      </c>
      <c r="C137" s="30">
        <v>56</v>
      </c>
      <c r="D137" s="30" t="s">
        <v>41</v>
      </c>
      <c r="E137" s="30">
        <v>1000</v>
      </c>
      <c r="F137" s="30">
        <v>31</v>
      </c>
      <c r="G137" s="30" t="s">
        <v>268</v>
      </c>
      <c r="H137" s="42" t="s">
        <v>46</v>
      </c>
      <c r="I137" s="30" t="s">
        <v>20</v>
      </c>
      <c r="J137" s="40" t="s">
        <v>340</v>
      </c>
      <c r="K137" s="44" t="str">
        <f t="shared" si="20"/>
        <v>lev OK</v>
      </c>
      <c r="L137" s="1">
        <f t="shared" si="21"/>
        <v>42380.128472222219</v>
      </c>
      <c r="M137" s="43"/>
      <c r="N137" s="11">
        <f t="shared" si="22"/>
        <v>0.49698404255410911</v>
      </c>
      <c r="O137" s="11">
        <f t="shared" si="17"/>
        <v>0.626</v>
      </c>
      <c r="P137" s="1">
        <f t="shared" si="18"/>
        <v>42379.763888888891</v>
      </c>
      <c r="Q137" s="12">
        <f t="shared" si="19"/>
        <v>1.4744680851155134E-2</v>
      </c>
      <c r="AC137" s="39">
        <v>6.3229999999999998E-11</v>
      </c>
      <c r="AD137" s="39">
        <v>5.0574100000000001E-11</v>
      </c>
      <c r="AE137" s="39">
        <v>5.9180500000000001E-11</v>
      </c>
      <c r="AF137" s="39">
        <v>4.1714900000000002E-11</v>
      </c>
      <c r="AG137" s="39">
        <v>6.9173200000000004E-11</v>
      </c>
      <c r="AH137" s="39">
        <v>6.6061399999999996E-11</v>
      </c>
      <c r="AI137" s="39">
        <v>3.1676600000000003E-11</v>
      </c>
      <c r="AJ137">
        <v>0</v>
      </c>
      <c r="AK137" s="39">
        <v>3.6201400000000002E-11</v>
      </c>
      <c r="AL137" s="39">
        <v>6.8145999999999997E-11</v>
      </c>
      <c r="AM137" s="39">
        <v>5.8307999999999999E-11</v>
      </c>
      <c r="AN137">
        <v>0</v>
      </c>
    </row>
    <row r="138" spans="1:40" thickBot="1">
      <c r="A138" s="29" t="s">
        <v>369</v>
      </c>
      <c r="B138" s="30" t="s">
        <v>17</v>
      </c>
      <c r="C138" s="30">
        <v>56</v>
      </c>
      <c r="D138" s="30" t="s">
        <v>41</v>
      </c>
      <c r="E138" s="30">
        <v>1000</v>
      </c>
      <c r="F138" s="30">
        <v>32</v>
      </c>
      <c r="G138" s="30" t="s">
        <v>268</v>
      </c>
      <c r="H138" s="42" t="s">
        <v>46</v>
      </c>
      <c r="I138" s="30" t="s">
        <v>20</v>
      </c>
      <c r="J138" s="40" t="s">
        <v>340</v>
      </c>
      <c r="K138" s="44" t="str">
        <f t="shared" si="20"/>
        <v>lev OK</v>
      </c>
      <c r="L138" s="1">
        <f t="shared" si="21"/>
        <v>42380.168055555558</v>
      </c>
      <c r="M138" s="43"/>
      <c r="N138" s="11">
        <f t="shared" si="22"/>
        <v>0.48297659574362356</v>
      </c>
      <c r="O138" s="11">
        <f t="shared" si="17"/>
        <v>0.626</v>
      </c>
      <c r="P138" s="1">
        <f t="shared" si="18"/>
        <v>42379.763888888891</v>
      </c>
      <c r="Q138" s="12">
        <f t="shared" si="19"/>
        <v>1.4744680851155134E-2</v>
      </c>
      <c r="AC138" s="39">
        <v>7.3747499999999995E-11</v>
      </c>
      <c r="AD138" s="39">
        <v>8.9972499999999996E-11</v>
      </c>
      <c r="AE138" s="39">
        <v>6.89958E-11</v>
      </c>
      <c r="AF138" s="39">
        <v>4.8465300000000003E-11</v>
      </c>
      <c r="AG138" s="39">
        <v>8.6308600000000003E-11</v>
      </c>
      <c r="AH138" s="39">
        <v>7.7273600000000005E-11</v>
      </c>
      <c r="AI138" s="39">
        <v>3.4775500000000002E-11</v>
      </c>
      <c r="AJ138">
        <v>0</v>
      </c>
      <c r="AK138" s="39">
        <v>3.9857600000000003E-11</v>
      </c>
      <c r="AL138" s="39">
        <v>7.9445099999999996E-11</v>
      </c>
      <c r="AM138" s="39">
        <v>6.79355E-11</v>
      </c>
      <c r="AN138">
        <v>0</v>
      </c>
    </row>
    <row r="139" spans="1:40" thickBot="1">
      <c r="A139" s="29" t="s">
        <v>370</v>
      </c>
      <c r="B139" s="30" t="s">
        <v>17</v>
      </c>
      <c r="C139" s="30">
        <v>56</v>
      </c>
      <c r="D139" s="30" t="s">
        <v>41</v>
      </c>
      <c r="E139" s="30">
        <v>1000</v>
      </c>
      <c r="F139" s="30">
        <v>31</v>
      </c>
      <c r="G139" s="30" t="s">
        <v>268</v>
      </c>
      <c r="H139" s="42" t="s">
        <v>46</v>
      </c>
      <c r="I139" s="30" t="s">
        <v>20</v>
      </c>
      <c r="J139" s="40" t="s">
        <v>340</v>
      </c>
      <c r="K139" s="44" t="str">
        <f t="shared" si="20"/>
        <v>lev OK</v>
      </c>
      <c r="L139" s="1">
        <f t="shared" si="21"/>
        <v>42380.206944444442</v>
      </c>
      <c r="M139" s="43"/>
      <c r="N139" s="11">
        <f t="shared" si="22"/>
        <v>0.4692148936173664</v>
      </c>
      <c r="O139" s="11">
        <f t="shared" si="17"/>
        <v>0.626</v>
      </c>
      <c r="P139" s="1">
        <f t="shared" si="18"/>
        <v>42379.763888888891</v>
      </c>
      <c r="Q139" s="12">
        <f t="shared" si="19"/>
        <v>1.4744680851155134E-2</v>
      </c>
      <c r="AC139" s="39">
        <v>8.7752500000000003E-11</v>
      </c>
      <c r="AD139" s="39">
        <v>6.9438999999999999E-11</v>
      </c>
      <c r="AE139" s="39">
        <v>8.1005399999999994E-11</v>
      </c>
      <c r="AF139" s="39">
        <v>6.0267499999999994E-11</v>
      </c>
      <c r="AG139" s="39">
        <v>1.01231E-10</v>
      </c>
      <c r="AH139" s="39">
        <v>8.9671499999999999E-11</v>
      </c>
      <c r="AI139" s="39">
        <v>3.9809599999999998E-11</v>
      </c>
      <c r="AJ139">
        <v>0</v>
      </c>
      <c r="AK139" s="39">
        <v>4.4009100000000002E-11</v>
      </c>
      <c r="AL139" s="39">
        <v>8.7861799999999999E-11</v>
      </c>
      <c r="AM139" s="39">
        <v>8.0899899999999994E-11</v>
      </c>
      <c r="AN139">
        <v>0</v>
      </c>
    </row>
    <row r="140" spans="1:40" thickBot="1">
      <c r="A140" s="29" t="s">
        <v>371</v>
      </c>
      <c r="B140" s="30" t="s">
        <v>17</v>
      </c>
      <c r="C140" s="30">
        <v>56</v>
      </c>
      <c r="D140" s="30" t="s">
        <v>41</v>
      </c>
      <c r="E140" s="30">
        <v>1000</v>
      </c>
      <c r="F140" s="30">
        <v>31</v>
      </c>
      <c r="G140" s="30" t="s">
        <v>268</v>
      </c>
      <c r="H140" s="42" t="s">
        <v>46</v>
      </c>
      <c r="I140" s="30" t="s">
        <v>20</v>
      </c>
      <c r="J140" s="40" t="s">
        <v>340</v>
      </c>
      <c r="K140" s="44" t="str">
        <f t="shared" si="20"/>
        <v>lev OK</v>
      </c>
      <c r="L140" s="1">
        <f t="shared" si="21"/>
        <v>42380.246527777781</v>
      </c>
      <c r="M140" s="43"/>
      <c r="N140" s="11">
        <f t="shared" si="22"/>
        <v>0.45520744680688086</v>
      </c>
      <c r="O140" s="11">
        <f t="shared" si="17"/>
        <v>0.626</v>
      </c>
      <c r="P140" s="1">
        <f t="shared" si="18"/>
        <v>42379.763888888891</v>
      </c>
      <c r="Q140" s="12">
        <f t="shared" si="19"/>
        <v>1.4744680851155134E-2</v>
      </c>
      <c r="AC140" s="39">
        <v>8.1479499999999995E-11</v>
      </c>
      <c r="AD140" s="39">
        <v>6.4528200000000004E-11</v>
      </c>
      <c r="AE140" s="39">
        <v>7.4654299999999996E-11</v>
      </c>
      <c r="AF140" s="39">
        <v>6.1329399999999999E-11</v>
      </c>
      <c r="AG140" s="39">
        <v>8.4010299999999995E-11</v>
      </c>
      <c r="AH140" s="39">
        <v>9.0138499999999998E-11</v>
      </c>
      <c r="AI140" s="39">
        <v>3.4924000000000003E-11</v>
      </c>
      <c r="AJ140">
        <v>0</v>
      </c>
      <c r="AK140" s="39">
        <v>4.1868000000000002E-11</v>
      </c>
      <c r="AL140" s="39">
        <v>8.7807200000000004E-11</v>
      </c>
      <c r="AM140" s="39">
        <v>7.7230700000000005E-11</v>
      </c>
      <c r="AN140">
        <v>0</v>
      </c>
    </row>
    <row r="141" spans="1:40" thickBot="1">
      <c r="A141" s="29" t="s">
        <v>372</v>
      </c>
      <c r="B141" s="30" t="s">
        <v>17</v>
      </c>
      <c r="C141" s="30">
        <v>56</v>
      </c>
      <c r="D141" s="30" t="s">
        <v>41</v>
      </c>
      <c r="E141" s="30">
        <v>1000</v>
      </c>
      <c r="F141" s="30">
        <v>32</v>
      </c>
      <c r="G141" s="30" t="s">
        <v>268</v>
      </c>
      <c r="H141" s="42" t="s">
        <v>46</v>
      </c>
      <c r="I141" s="30" t="s">
        <v>20</v>
      </c>
      <c r="J141" s="40" t="s">
        <v>340</v>
      </c>
      <c r="K141" s="44" t="str">
        <f t="shared" si="20"/>
        <v>lev OK</v>
      </c>
      <c r="L141" s="1">
        <f t="shared" si="21"/>
        <v>42380.286111111112</v>
      </c>
      <c r="M141" s="43"/>
      <c r="N141" s="11">
        <f t="shared" si="22"/>
        <v>0.44119999999897008</v>
      </c>
      <c r="O141" s="11">
        <f t="shared" si="17"/>
        <v>0.626</v>
      </c>
      <c r="P141" s="1">
        <f t="shared" si="18"/>
        <v>42379.763888888891</v>
      </c>
      <c r="Q141" s="12">
        <f t="shared" si="19"/>
        <v>1.4744680851155134E-2</v>
      </c>
      <c r="AC141" s="39">
        <v>9.1248699999999994E-11</v>
      </c>
      <c r="AD141" s="39">
        <v>6.2247499999999996E-11</v>
      </c>
      <c r="AE141" s="39">
        <v>7.5983099999999998E-11</v>
      </c>
      <c r="AF141" s="39">
        <v>5.7604999999999998E-11</v>
      </c>
      <c r="AG141" s="39">
        <v>9.1614299999999995E-11</v>
      </c>
      <c r="AH141" s="39">
        <v>8.9434099999999997E-11</v>
      </c>
      <c r="AI141" s="39">
        <v>3.7430199999999999E-11</v>
      </c>
      <c r="AJ141">
        <v>0</v>
      </c>
      <c r="AK141" s="39">
        <v>4.29243E-11</v>
      </c>
      <c r="AL141" s="39">
        <v>9.4774899999999998E-11</v>
      </c>
      <c r="AM141" s="39">
        <v>8.3140399999999995E-11</v>
      </c>
      <c r="AN141">
        <v>0</v>
      </c>
    </row>
    <row r="142" spans="1:40" thickBot="1">
      <c r="A142" s="29" t="s">
        <v>373</v>
      </c>
      <c r="B142" s="30" t="s">
        <v>17</v>
      </c>
      <c r="C142" s="30">
        <v>56</v>
      </c>
      <c r="D142" s="30" t="s">
        <v>41</v>
      </c>
      <c r="E142" s="30">
        <v>1000</v>
      </c>
      <c r="F142" s="30">
        <v>31</v>
      </c>
      <c r="G142" s="30" t="s">
        <v>268</v>
      </c>
      <c r="H142" s="42" t="s">
        <v>46</v>
      </c>
      <c r="I142" s="30" t="s">
        <v>20</v>
      </c>
      <c r="J142" s="40" t="s">
        <v>340</v>
      </c>
      <c r="K142" s="44" t="str">
        <f t="shared" si="20"/>
        <v>lev OK</v>
      </c>
      <c r="L142" s="1">
        <f t="shared" si="21"/>
        <v>42380.325694444444</v>
      </c>
      <c r="M142" s="43"/>
      <c r="N142" s="11">
        <f t="shared" si="22"/>
        <v>0.42719255319105931</v>
      </c>
      <c r="O142" s="11">
        <f t="shared" si="17"/>
        <v>0.626</v>
      </c>
      <c r="P142" s="1">
        <f t="shared" si="18"/>
        <v>42379.763888888891</v>
      </c>
      <c r="Q142" s="12">
        <f t="shared" si="19"/>
        <v>1.4744680851155134E-2</v>
      </c>
      <c r="AC142" s="39">
        <v>9.7368899999999994E-11</v>
      </c>
      <c r="AD142" s="39">
        <v>8.0172599999999995E-11</v>
      </c>
      <c r="AE142" s="39">
        <v>9.5454399999999998E-11</v>
      </c>
      <c r="AF142" s="39">
        <v>7.2330799999999994E-11</v>
      </c>
      <c r="AG142" s="39">
        <v>1.15571E-10</v>
      </c>
      <c r="AH142" s="39">
        <v>1.04156E-10</v>
      </c>
      <c r="AI142" s="39">
        <v>4.3060400000000003E-11</v>
      </c>
      <c r="AJ142">
        <v>0</v>
      </c>
      <c r="AK142" s="39">
        <v>4.7993900000000003E-11</v>
      </c>
      <c r="AL142" s="39">
        <v>1.0194099999999999E-10</v>
      </c>
      <c r="AM142" s="39">
        <v>9.0717399999999996E-11</v>
      </c>
      <c r="AN142">
        <v>0</v>
      </c>
    </row>
    <row r="143" spans="1:40" thickBot="1">
      <c r="A143" s="29" t="s">
        <v>374</v>
      </c>
      <c r="B143" s="30" t="s">
        <v>17</v>
      </c>
      <c r="C143" s="30">
        <v>56</v>
      </c>
      <c r="D143" s="30" t="s">
        <v>41</v>
      </c>
      <c r="E143" s="30">
        <v>1000</v>
      </c>
      <c r="F143" s="30">
        <v>32</v>
      </c>
      <c r="G143" s="30" t="s">
        <v>268</v>
      </c>
      <c r="H143" s="42" t="s">
        <v>296</v>
      </c>
      <c r="I143" s="30" t="s">
        <v>20</v>
      </c>
      <c r="J143" s="40" t="s">
        <v>75</v>
      </c>
      <c r="K143" s="44" t="str">
        <f t="shared" si="20"/>
        <v>lev OK</v>
      </c>
      <c r="L143" s="1">
        <f t="shared" si="21"/>
        <v>42380.463194444441</v>
      </c>
      <c r="M143" s="43"/>
      <c r="N143" s="11">
        <f t="shared" si="22"/>
        <v>0.37825000000074099</v>
      </c>
      <c r="O143" s="12">
        <v>0.39500000000000002</v>
      </c>
      <c r="P143" s="1">
        <v>42380.416666666664</v>
      </c>
      <c r="Q143" s="11">
        <f>(O143-R143)/(S143-P143)/24</f>
        <v>1.4999999999701306E-2</v>
      </c>
      <c r="R143" s="12">
        <v>0.31900000000000001</v>
      </c>
      <c r="S143" s="1">
        <v>42380.62777777778</v>
      </c>
      <c r="AC143" s="39">
        <v>6.9399200000000004E-11</v>
      </c>
      <c r="AD143" s="39">
        <v>5.1287299999999997E-11</v>
      </c>
      <c r="AE143" s="39">
        <v>6.8085000000000003E-11</v>
      </c>
      <c r="AF143" s="39">
        <v>5.1756100000000002E-11</v>
      </c>
      <c r="AG143" s="39">
        <v>8.4649800000000001E-11</v>
      </c>
      <c r="AH143" s="39">
        <v>8.2233100000000003E-11</v>
      </c>
      <c r="AI143" s="39">
        <v>3.4140199999999997E-11</v>
      </c>
      <c r="AJ143" s="39">
        <v>9.0587600000000005E-11</v>
      </c>
      <c r="AK143" s="39">
        <v>3.8965800000000001E-11</v>
      </c>
      <c r="AL143" s="39">
        <v>6.8281600000000002E-11</v>
      </c>
      <c r="AM143" s="39">
        <v>6.6669000000000005E-11</v>
      </c>
      <c r="AN143" s="39">
        <v>5.87047E-11</v>
      </c>
    </row>
    <row r="144" spans="1:40" thickBot="1">
      <c r="A144" s="29" t="s">
        <v>375</v>
      </c>
      <c r="B144" s="30" t="s">
        <v>17</v>
      </c>
      <c r="C144" s="30">
        <v>56</v>
      </c>
      <c r="D144" s="30" t="s">
        <v>41</v>
      </c>
      <c r="E144" s="30">
        <v>1000</v>
      </c>
      <c r="F144" s="30">
        <v>32</v>
      </c>
      <c r="G144" s="30" t="s">
        <v>268</v>
      </c>
      <c r="H144" s="42" t="s">
        <v>296</v>
      </c>
      <c r="I144" s="30" t="s">
        <v>20</v>
      </c>
      <c r="J144" s="40" t="s">
        <v>75</v>
      </c>
      <c r="K144" s="44" t="str">
        <f t="shared" si="20"/>
        <v>lev OK</v>
      </c>
      <c r="L144" s="1">
        <f t="shared" si="21"/>
        <v>42380.502083333333</v>
      </c>
      <c r="M144" s="43"/>
      <c r="N144" s="11">
        <f t="shared" si="22"/>
        <v>0.36424999999991386</v>
      </c>
      <c r="O144" s="11">
        <f t="shared" ref="O144:Q146" si="23">O143</f>
        <v>0.39500000000000002</v>
      </c>
      <c r="P144" s="1">
        <f t="shared" si="23"/>
        <v>42380.416666666664</v>
      </c>
      <c r="Q144" s="12">
        <f t="shared" si="23"/>
        <v>1.4999999999701306E-2</v>
      </c>
      <c r="AC144" s="39">
        <v>4.73313E-11</v>
      </c>
      <c r="AD144" s="39">
        <v>3.5192599999999998E-11</v>
      </c>
      <c r="AE144" s="39">
        <v>4.9229199999999998E-11</v>
      </c>
      <c r="AF144" s="39">
        <v>3.3401500000000002E-11</v>
      </c>
      <c r="AG144" s="39">
        <v>6.4748699999999995E-11</v>
      </c>
      <c r="AH144" s="39">
        <v>5.6964099999999998E-11</v>
      </c>
      <c r="AI144" s="39">
        <v>2.68158E-11</v>
      </c>
      <c r="AJ144" s="39">
        <v>6.43506E-11</v>
      </c>
      <c r="AK144" s="39">
        <v>3.2555500000000002E-11</v>
      </c>
      <c r="AL144" s="39">
        <v>4.7200200000000002E-11</v>
      </c>
      <c r="AM144" s="39">
        <v>4.4524000000000001E-11</v>
      </c>
      <c r="AN144" s="39">
        <v>4.2502E-11</v>
      </c>
    </row>
    <row r="145" spans="1:40" thickBot="1">
      <c r="A145" s="29" t="s">
        <v>376</v>
      </c>
      <c r="B145" s="30" t="s">
        <v>17</v>
      </c>
      <c r="C145" s="30">
        <v>56</v>
      </c>
      <c r="D145" s="30" t="s">
        <v>41</v>
      </c>
      <c r="E145" s="30">
        <v>1000</v>
      </c>
      <c r="F145" s="30">
        <v>32</v>
      </c>
      <c r="G145" s="30" t="s">
        <v>268</v>
      </c>
      <c r="H145" s="42" t="s">
        <v>296</v>
      </c>
      <c r="I145" s="30" t="s">
        <v>20</v>
      </c>
      <c r="J145" s="40" t="s">
        <v>75</v>
      </c>
      <c r="K145" s="44" t="str">
        <f t="shared" si="20"/>
        <v>lev OK</v>
      </c>
      <c r="L145" s="1">
        <f t="shared" si="21"/>
        <v>42380.541666666664</v>
      </c>
      <c r="M145" s="43"/>
      <c r="N145" s="11">
        <f t="shared" si="22"/>
        <v>0.35000000000089609</v>
      </c>
      <c r="O145" s="11">
        <f t="shared" si="23"/>
        <v>0.39500000000000002</v>
      </c>
      <c r="P145" s="1">
        <f t="shared" si="23"/>
        <v>42380.416666666664</v>
      </c>
      <c r="Q145" s="12">
        <f t="shared" si="23"/>
        <v>1.4999999999701306E-2</v>
      </c>
      <c r="AC145" s="39">
        <v>6.0121699999999994E-11</v>
      </c>
      <c r="AD145" s="39">
        <v>4.3245599999999999E-11</v>
      </c>
      <c r="AE145" s="39">
        <v>6.0389799999999999E-11</v>
      </c>
      <c r="AF145" s="39">
        <v>3.9876699999999997E-11</v>
      </c>
      <c r="AG145" s="39">
        <v>8.3686099999999995E-11</v>
      </c>
      <c r="AH145" s="39">
        <v>6.2947300000000005E-11</v>
      </c>
      <c r="AI145" s="39">
        <v>3.1504100000000003E-11</v>
      </c>
      <c r="AJ145" s="39">
        <v>8.0118599999999997E-11</v>
      </c>
      <c r="AK145" s="39">
        <v>3.7832300000000003E-11</v>
      </c>
      <c r="AL145" s="39">
        <v>6.1804299999999997E-11</v>
      </c>
      <c r="AM145" s="39">
        <v>5.4399199999999998E-11</v>
      </c>
      <c r="AN145" s="39">
        <v>5.0749200000000003E-11</v>
      </c>
    </row>
    <row r="146" spans="1:40" thickBot="1">
      <c r="A146" s="29" t="s">
        <v>377</v>
      </c>
      <c r="B146" s="30" t="s">
        <v>17</v>
      </c>
      <c r="C146" s="30">
        <v>56</v>
      </c>
      <c r="D146" s="30" t="s">
        <v>41</v>
      </c>
      <c r="E146" s="30">
        <v>1000</v>
      </c>
      <c r="F146" s="30">
        <v>32</v>
      </c>
      <c r="G146" s="30" t="s">
        <v>268</v>
      </c>
      <c r="H146" s="42" t="s">
        <v>296</v>
      </c>
      <c r="I146" s="30" t="s">
        <v>20</v>
      </c>
      <c r="J146" s="40" t="s">
        <v>75</v>
      </c>
      <c r="K146" s="44" t="str">
        <f t="shared" si="20"/>
        <v>lev OK</v>
      </c>
      <c r="L146" s="1">
        <f t="shared" si="21"/>
        <v>42380.581250000003</v>
      </c>
      <c r="M146" s="43"/>
      <c r="N146" s="11">
        <f t="shared" si="22"/>
        <v>0.33574999999925903</v>
      </c>
      <c r="O146" s="11">
        <f t="shared" si="23"/>
        <v>0.39500000000000002</v>
      </c>
      <c r="P146" s="1">
        <f t="shared" si="23"/>
        <v>42380.416666666664</v>
      </c>
      <c r="Q146" s="12">
        <f t="shared" si="23"/>
        <v>1.4999999999701306E-2</v>
      </c>
      <c r="AC146" s="39">
        <v>5.8168E-11</v>
      </c>
      <c r="AD146" s="39">
        <v>4.5627000000000002E-11</v>
      </c>
      <c r="AE146" s="39">
        <v>5.7883800000000001E-11</v>
      </c>
      <c r="AF146" s="39">
        <v>4.0885300000000001E-11</v>
      </c>
      <c r="AG146" s="39">
        <v>7.3313600000000001E-11</v>
      </c>
      <c r="AH146" s="39">
        <v>6.7262100000000006E-11</v>
      </c>
      <c r="AI146" s="39">
        <v>3.0860300000000003E-11</v>
      </c>
      <c r="AJ146" s="39">
        <v>7.6612700000000002E-11</v>
      </c>
      <c r="AK146" s="39">
        <v>3.6836500000000001E-11</v>
      </c>
      <c r="AL146" s="39">
        <v>5.8897199999999997E-11</v>
      </c>
      <c r="AM146" s="39">
        <v>5.5517199999999999E-11</v>
      </c>
      <c r="AN146" s="39">
        <v>4.8190600000000001E-11</v>
      </c>
    </row>
    <row r="147" spans="1:40" thickBot="1">
      <c r="A147" s="29" t="s">
        <v>378</v>
      </c>
      <c r="B147" s="30" t="s">
        <v>17</v>
      </c>
      <c r="C147" s="30">
        <v>56</v>
      </c>
      <c r="D147" s="30" t="s">
        <v>41</v>
      </c>
      <c r="E147" s="30">
        <v>1000</v>
      </c>
      <c r="F147" s="30">
        <v>31</v>
      </c>
      <c r="G147" s="30" t="s">
        <v>268</v>
      </c>
      <c r="H147" s="42" t="s">
        <v>296</v>
      </c>
      <c r="I147" s="30" t="s">
        <v>20</v>
      </c>
      <c r="J147" s="40" t="s">
        <v>75</v>
      </c>
      <c r="K147" s="44" t="str">
        <f t="shared" si="20"/>
        <v>lev BAD</v>
      </c>
      <c r="L147" s="1">
        <f t="shared" si="21"/>
        <v>42380.713194444441</v>
      </c>
      <c r="M147" s="43"/>
      <c r="N147" s="11">
        <f t="shared" si="22"/>
        <v>0.93630873786642843</v>
      </c>
      <c r="O147" s="12">
        <v>0.95099999999999996</v>
      </c>
      <c r="P147" s="1">
        <v>42380.677083333336</v>
      </c>
      <c r="Q147" s="11">
        <f>(O147-R147)/(S147-P147)/24</f>
        <v>1.6951456310775406E-2</v>
      </c>
      <c r="R147" s="12">
        <v>0.66</v>
      </c>
      <c r="S147" s="1">
        <v>42381.392361111109</v>
      </c>
      <c r="AC147" s="39">
        <v>9.2078799999999999E-11</v>
      </c>
      <c r="AD147" s="39">
        <v>7.9043200000000005E-11</v>
      </c>
      <c r="AE147" s="39">
        <v>1.3225600000000001E-10</v>
      </c>
      <c r="AF147" s="39">
        <v>5.8730500000000005E-11</v>
      </c>
      <c r="AG147" s="39">
        <v>1.50066E-10</v>
      </c>
      <c r="AH147" s="39">
        <v>9.4655899999999998E-11</v>
      </c>
      <c r="AI147" s="39">
        <v>4.1277900000000001E-11</v>
      </c>
      <c r="AJ147" s="39">
        <v>1.12806E-10</v>
      </c>
      <c r="AK147" s="39">
        <v>4.4496499999999997E-11</v>
      </c>
      <c r="AL147" s="39">
        <v>9.73482E-11</v>
      </c>
      <c r="AM147" s="39">
        <v>8.6073699999999997E-11</v>
      </c>
      <c r="AN147" s="39">
        <v>8.1550400000000004E-11</v>
      </c>
    </row>
    <row r="148" spans="1:40" thickBot="1">
      <c r="A148" s="29" t="s">
        <v>379</v>
      </c>
      <c r="B148" s="30" t="s">
        <v>17</v>
      </c>
      <c r="C148" s="30">
        <v>56</v>
      </c>
      <c r="D148" s="30" t="s">
        <v>41</v>
      </c>
      <c r="E148" s="30">
        <v>1000</v>
      </c>
      <c r="F148" s="30">
        <v>31</v>
      </c>
      <c r="G148" s="30" t="s">
        <v>268</v>
      </c>
      <c r="H148" s="42" t="s">
        <v>296</v>
      </c>
      <c r="I148" s="30" t="s">
        <v>20</v>
      </c>
      <c r="J148" s="40" t="s">
        <v>75</v>
      </c>
      <c r="K148" s="44" t="str">
        <f t="shared" si="20"/>
        <v>lev BAD</v>
      </c>
      <c r="L148" s="1">
        <f t="shared" si="21"/>
        <v>42380.75277777778</v>
      </c>
      <c r="M148" s="43"/>
      <c r="N148" s="11">
        <f t="shared" si="22"/>
        <v>0.92020485436902111</v>
      </c>
      <c r="O148" s="11">
        <f t="shared" ref="O148:O164" si="24">O147</f>
        <v>0.95099999999999996</v>
      </c>
      <c r="P148" s="1">
        <f t="shared" ref="P148:P164" si="25">P147</f>
        <v>42380.677083333336</v>
      </c>
      <c r="Q148" s="12">
        <f t="shared" ref="Q148:Q164" si="26">Q147</f>
        <v>1.6951456310775406E-2</v>
      </c>
      <c r="AC148" s="39">
        <v>4.64548E-10</v>
      </c>
      <c r="AD148" s="39">
        <v>3.9767599999999998E-10</v>
      </c>
      <c r="AE148" s="39">
        <v>4.09496E-10</v>
      </c>
      <c r="AF148" s="39">
        <v>2.62166E-10</v>
      </c>
      <c r="AG148" s="39">
        <v>5.0934399999999995E-10</v>
      </c>
      <c r="AH148" s="39">
        <v>4.0983500000000001E-10</v>
      </c>
      <c r="AI148" s="39">
        <v>1.7465300000000001E-10</v>
      </c>
      <c r="AJ148" s="39">
        <v>5.0970799999999997E-10</v>
      </c>
      <c r="AK148" s="39">
        <v>1.54614E-10</v>
      </c>
      <c r="AL148" s="39">
        <v>4.7129000000000003E-10</v>
      </c>
      <c r="AM148" s="39">
        <v>4.1178800000000002E-10</v>
      </c>
      <c r="AN148" s="39">
        <v>3.2253600000000002E-10</v>
      </c>
    </row>
    <row r="149" spans="1:40" thickBot="1">
      <c r="A149" s="29" t="s">
        <v>380</v>
      </c>
      <c r="B149" s="30" t="s">
        <v>17</v>
      </c>
      <c r="C149" s="30">
        <v>56</v>
      </c>
      <c r="D149" s="30" t="s">
        <v>41</v>
      </c>
      <c r="E149" s="30">
        <v>1000</v>
      </c>
      <c r="F149" s="30">
        <v>32</v>
      </c>
      <c r="G149" s="30" t="s">
        <v>268</v>
      </c>
      <c r="H149" s="42" t="s">
        <v>296</v>
      </c>
      <c r="I149" s="30" t="s">
        <v>20</v>
      </c>
      <c r="J149" s="40" t="s">
        <v>245</v>
      </c>
      <c r="K149" s="44" t="str">
        <f t="shared" si="20"/>
        <v>lev BAD</v>
      </c>
      <c r="L149" s="1">
        <f t="shared" si="21"/>
        <v>42380.792361111111</v>
      </c>
      <c r="M149" s="43"/>
      <c r="N149" s="11">
        <f t="shared" si="22"/>
        <v>0.90410097087457386</v>
      </c>
      <c r="O149" s="11">
        <f t="shared" si="24"/>
        <v>0.95099999999999996</v>
      </c>
      <c r="P149" s="1">
        <f t="shared" si="25"/>
        <v>42380.677083333336</v>
      </c>
      <c r="Q149" s="12">
        <f t="shared" si="26"/>
        <v>1.6951456310775406E-2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</row>
    <row r="150" spans="1:40" thickBot="1">
      <c r="A150" s="29" t="s">
        <v>381</v>
      </c>
      <c r="B150" s="30" t="s">
        <v>17</v>
      </c>
      <c r="C150" s="30">
        <v>56</v>
      </c>
      <c r="D150" s="30" t="s">
        <v>41</v>
      </c>
      <c r="E150" s="30">
        <v>1000</v>
      </c>
      <c r="F150" s="30">
        <v>32</v>
      </c>
      <c r="G150" s="30" t="s">
        <v>268</v>
      </c>
      <c r="H150" s="42" t="s">
        <v>296</v>
      </c>
      <c r="I150" s="30" t="s">
        <v>20</v>
      </c>
      <c r="J150" s="40" t="s">
        <v>75</v>
      </c>
      <c r="K150" s="44" t="str">
        <f t="shared" si="20"/>
        <v>lev BAD</v>
      </c>
      <c r="L150" s="1">
        <f t="shared" si="21"/>
        <v>42380.831944444442</v>
      </c>
      <c r="M150" s="43"/>
      <c r="N150" s="11">
        <f t="shared" si="22"/>
        <v>0.8879970873801265</v>
      </c>
      <c r="O150" s="11">
        <f t="shared" si="24"/>
        <v>0.95099999999999996</v>
      </c>
      <c r="P150" s="1">
        <f t="shared" si="25"/>
        <v>42380.677083333336</v>
      </c>
      <c r="Q150" s="12">
        <f t="shared" si="26"/>
        <v>1.6951456310775406E-2</v>
      </c>
      <c r="AC150" s="39">
        <v>1.1129600000000001E-9</v>
      </c>
      <c r="AD150" s="39">
        <v>8.7561299999999996E-10</v>
      </c>
      <c r="AE150" s="39">
        <v>9.0311600000000005E-10</v>
      </c>
      <c r="AF150" s="39">
        <v>5.9795400000000002E-10</v>
      </c>
      <c r="AG150" s="39">
        <v>5.9373099999999998E-10</v>
      </c>
      <c r="AH150" s="39">
        <v>8.87273E-10</v>
      </c>
      <c r="AI150" s="39">
        <v>4.2443999999999998E-10</v>
      </c>
      <c r="AJ150" s="39">
        <v>1.1260799999999999E-9</v>
      </c>
      <c r="AK150" s="39">
        <v>3.43994E-10</v>
      </c>
      <c r="AL150" s="39">
        <v>1.05722E-9</v>
      </c>
      <c r="AM150" s="39">
        <v>9.6960099999999995E-10</v>
      </c>
      <c r="AN150" s="39">
        <v>6.2771400000000003E-10</v>
      </c>
    </row>
    <row r="151" spans="1:40" thickBot="1">
      <c r="A151" s="29" t="s">
        <v>382</v>
      </c>
      <c r="B151" s="30" t="s">
        <v>17</v>
      </c>
      <c r="C151" s="30">
        <v>56</v>
      </c>
      <c r="D151" s="30" t="s">
        <v>41</v>
      </c>
      <c r="E151" s="30">
        <v>1000</v>
      </c>
      <c r="F151" s="30">
        <v>32</v>
      </c>
      <c r="G151" s="30" t="s">
        <v>268</v>
      </c>
      <c r="H151" s="42" t="s">
        <v>296</v>
      </c>
      <c r="I151" s="30" t="s">
        <v>20</v>
      </c>
      <c r="J151" s="40" t="s">
        <v>75</v>
      </c>
      <c r="K151" s="44" t="str">
        <f t="shared" si="20"/>
        <v>lev BAD</v>
      </c>
      <c r="L151" s="1">
        <f t="shared" si="21"/>
        <v>42380.870833333334</v>
      </c>
      <c r="M151" s="43"/>
      <c r="N151" s="11">
        <f t="shared" si="22"/>
        <v>0.87217572815548638</v>
      </c>
      <c r="O151" s="11">
        <f t="shared" si="24"/>
        <v>0.95099999999999996</v>
      </c>
      <c r="P151" s="1">
        <f t="shared" si="25"/>
        <v>42380.677083333336</v>
      </c>
      <c r="Q151" s="12">
        <f t="shared" si="26"/>
        <v>1.6951456310775406E-2</v>
      </c>
      <c r="AC151" s="39">
        <v>1.1493699999999999E-9</v>
      </c>
      <c r="AD151" s="39">
        <v>9.4966299999999993E-10</v>
      </c>
      <c r="AE151" s="39">
        <v>9.7614599999999995E-10</v>
      </c>
      <c r="AF151" s="39">
        <v>6.1878100000000002E-10</v>
      </c>
      <c r="AG151" s="39">
        <v>9.2530699999999996E-10</v>
      </c>
      <c r="AH151" s="39">
        <v>9.2506100000000002E-10</v>
      </c>
      <c r="AI151" s="39">
        <v>4.3868500000000002E-10</v>
      </c>
      <c r="AJ151" s="39">
        <v>1.21263E-9</v>
      </c>
      <c r="AK151" s="39">
        <v>3.7046300000000001E-10</v>
      </c>
      <c r="AL151" s="39">
        <v>1.1310200000000001E-9</v>
      </c>
      <c r="AM151" s="39">
        <v>9.9180699999999999E-10</v>
      </c>
      <c r="AN151" s="39">
        <v>7.5966599999999999E-10</v>
      </c>
    </row>
    <row r="152" spans="1:40" thickBot="1">
      <c r="A152" s="29" t="s">
        <v>383</v>
      </c>
      <c r="B152" s="30" t="s">
        <v>17</v>
      </c>
      <c r="C152" s="30">
        <v>56</v>
      </c>
      <c r="D152" s="30" t="s">
        <v>41</v>
      </c>
      <c r="E152" s="30">
        <v>1000</v>
      </c>
      <c r="F152" s="30">
        <v>31</v>
      </c>
      <c r="G152" s="30" t="s">
        <v>268</v>
      </c>
      <c r="H152" s="42" t="s">
        <v>296</v>
      </c>
      <c r="I152" s="30" t="s">
        <v>20</v>
      </c>
      <c r="J152" s="40" t="s">
        <v>75</v>
      </c>
      <c r="K152" s="44" t="str">
        <f t="shared" si="20"/>
        <v>lev BAD</v>
      </c>
      <c r="L152" s="1">
        <f t="shared" si="21"/>
        <v>42380.910416666666</v>
      </c>
      <c r="M152" s="43"/>
      <c r="N152" s="11">
        <f t="shared" si="22"/>
        <v>0.85607184466103903</v>
      </c>
      <c r="O152" s="11">
        <f t="shared" si="24"/>
        <v>0.95099999999999996</v>
      </c>
      <c r="P152" s="1">
        <f t="shared" si="25"/>
        <v>42380.677083333336</v>
      </c>
      <c r="Q152" s="12">
        <f t="shared" si="26"/>
        <v>1.6951456310775406E-2</v>
      </c>
      <c r="AC152" s="39">
        <v>1.0425700000000001E-9</v>
      </c>
      <c r="AD152" s="39">
        <v>8.4273299999999997E-10</v>
      </c>
      <c r="AE152" s="39">
        <v>8.4653199999999999E-10</v>
      </c>
      <c r="AF152" s="39">
        <v>5.6168999999999995E-10</v>
      </c>
      <c r="AG152" s="39">
        <v>6.3921699999999997E-10</v>
      </c>
      <c r="AH152" s="39">
        <v>8.1356599999999998E-10</v>
      </c>
      <c r="AI152" s="39">
        <v>3.9551700000000002E-10</v>
      </c>
      <c r="AJ152" s="39">
        <v>1.0645899999999999E-9</v>
      </c>
      <c r="AK152" s="39">
        <v>3.30844E-10</v>
      </c>
      <c r="AL152" s="39">
        <v>1.00783E-9</v>
      </c>
      <c r="AM152" s="39">
        <v>8.9176399999999996E-10</v>
      </c>
      <c r="AN152" s="39">
        <v>6.1508499999999995E-10</v>
      </c>
    </row>
    <row r="153" spans="1:40" thickBot="1">
      <c r="A153" s="29" t="s">
        <v>384</v>
      </c>
      <c r="B153" s="30" t="s">
        <v>17</v>
      </c>
      <c r="C153" s="30">
        <v>56</v>
      </c>
      <c r="D153" s="30" t="s">
        <v>41</v>
      </c>
      <c r="E153" s="30">
        <v>1000</v>
      </c>
      <c r="F153" s="30">
        <v>32</v>
      </c>
      <c r="G153" s="30" t="s">
        <v>268</v>
      </c>
      <c r="H153" s="42" t="s">
        <v>296</v>
      </c>
      <c r="I153" s="30" t="s">
        <v>20</v>
      </c>
      <c r="J153" s="40" t="s">
        <v>75</v>
      </c>
      <c r="K153" s="44" t="str">
        <f t="shared" si="20"/>
        <v>lev BAD</v>
      </c>
      <c r="L153" s="1">
        <f t="shared" si="21"/>
        <v>42380.95</v>
      </c>
      <c r="M153" s="43"/>
      <c r="N153" s="11">
        <f t="shared" si="22"/>
        <v>0.83996796116659178</v>
      </c>
      <c r="O153" s="11">
        <f t="shared" si="24"/>
        <v>0.95099999999999996</v>
      </c>
      <c r="P153" s="1">
        <f t="shared" si="25"/>
        <v>42380.677083333336</v>
      </c>
      <c r="Q153" s="12">
        <f t="shared" si="26"/>
        <v>1.6951456310775406E-2</v>
      </c>
      <c r="AC153" s="39">
        <v>1.2134899999999999E-9</v>
      </c>
      <c r="AD153" s="39">
        <v>9.8574899999999992E-10</v>
      </c>
      <c r="AE153" s="39">
        <v>1.0359999999999999E-9</v>
      </c>
      <c r="AF153" s="39">
        <v>6.5624799999999997E-10</v>
      </c>
      <c r="AG153" s="39">
        <v>9.2298099999999996E-10</v>
      </c>
      <c r="AH153" s="39">
        <v>9.7988300000000006E-10</v>
      </c>
      <c r="AI153" s="39">
        <v>4.62095E-10</v>
      </c>
      <c r="AJ153" s="39">
        <v>1.28228E-9</v>
      </c>
      <c r="AK153" s="39">
        <v>3.9219299999999999E-10</v>
      </c>
      <c r="AL153" s="39">
        <v>1.18209E-9</v>
      </c>
      <c r="AM153" s="39">
        <v>1.05148E-9</v>
      </c>
      <c r="AN153" s="39">
        <v>8.0892000000000004E-10</v>
      </c>
    </row>
    <row r="154" spans="1:40" thickBot="1">
      <c r="A154" s="29" t="s">
        <v>385</v>
      </c>
      <c r="B154" s="30" t="s">
        <v>17</v>
      </c>
      <c r="C154" s="30">
        <v>56</v>
      </c>
      <c r="D154" s="30" t="s">
        <v>41</v>
      </c>
      <c r="E154" s="30">
        <v>1000</v>
      </c>
      <c r="F154" s="30">
        <v>32</v>
      </c>
      <c r="G154" s="30" t="s">
        <v>268</v>
      </c>
      <c r="H154" s="42" t="s">
        <v>296</v>
      </c>
      <c r="I154" s="30" t="s">
        <v>20</v>
      </c>
      <c r="J154" s="40" t="s">
        <v>75</v>
      </c>
      <c r="K154" s="44" t="str">
        <f t="shared" si="20"/>
        <v>lev BAD</v>
      </c>
      <c r="L154" s="1">
        <f t="shared" si="21"/>
        <v>42380.989583333336</v>
      </c>
      <c r="M154" s="43"/>
      <c r="N154" s="11">
        <f t="shared" si="22"/>
        <v>0.82386407766918435</v>
      </c>
      <c r="O154" s="11">
        <f t="shared" si="24"/>
        <v>0.95099999999999996</v>
      </c>
      <c r="P154" s="1">
        <f t="shared" si="25"/>
        <v>42380.677083333336</v>
      </c>
      <c r="Q154" s="12">
        <f t="shared" si="26"/>
        <v>1.6951456310775406E-2</v>
      </c>
      <c r="AC154" s="39">
        <v>8.8709899999999996E-10</v>
      </c>
      <c r="AD154" s="39">
        <v>7.33982E-10</v>
      </c>
      <c r="AE154" s="39">
        <v>7.3701699999999998E-10</v>
      </c>
      <c r="AF154" s="39">
        <v>5.0248500000000005E-10</v>
      </c>
      <c r="AG154" s="39">
        <v>6.0547700000000004E-10</v>
      </c>
      <c r="AH154" s="39">
        <v>7.3560399999999995E-10</v>
      </c>
      <c r="AI154" s="39">
        <v>3.4268499999999999E-10</v>
      </c>
      <c r="AJ154" s="39">
        <v>9.2304000000000005E-10</v>
      </c>
      <c r="AK154" s="39">
        <v>2.9009199999999999E-10</v>
      </c>
      <c r="AL154" s="39">
        <v>8.7043700000000002E-10</v>
      </c>
      <c r="AM154" s="39">
        <v>8.0152000000000004E-10</v>
      </c>
      <c r="AN154" s="39">
        <v>5.2805299999999998E-10</v>
      </c>
    </row>
    <row r="155" spans="1:40" thickBot="1">
      <c r="A155" s="29" t="s">
        <v>386</v>
      </c>
      <c r="B155" s="30" t="s">
        <v>17</v>
      </c>
      <c r="C155" s="30">
        <v>56</v>
      </c>
      <c r="D155" s="30" t="s">
        <v>41</v>
      </c>
      <c r="E155" s="30">
        <v>1000</v>
      </c>
      <c r="F155" s="30">
        <v>32</v>
      </c>
      <c r="G155" s="30" t="s">
        <v>268</v>
      </c>
      <c r="H155" s="42" t="s">
        <v>296</v>
      </c>
      <c r="I155" s="30" t="s">
        <v>20</v>
      </c>
      <c r="J155" s="40" t="s">
        <v>75</v>
      </c>
      <c r="K155" s="44" t="str">
        <f t="shared" si="20"/>
        <v>lev BAD</v>
      </c>
      <c r="L155" s="1">
        <f t="shared" si="21"/>
        <v>42381.029166666667</v>
      </c>
      <c r="M155" s="43"/>
      <c r="N155" s="11">
        <f t="shared" si="22"/>
        <v>0.80776019417473721</v>
      </c>
      <c r="O155" s="11">
        <f t="shared" si="24"/>
        <v>0.95099999999999996</v>
      </c>
      <c r="P155" s="1">
        <f t="shared" si="25"/>
        <v>42380.677083333336</v>
      </c>
      <c r="Q155" s="12">
        <f t="shared" si="26"/>
        <v>1.6951456310775406E-2</v>
      </c>
      <c r="AC155" s="39">
        <v>8.5591200000000001E-10</v>
      </c>
      <c r="AD155" s="39">
        <v>6.8773099999999997E-10</v>
      </c>
      <c r="AE155" s="39">
        <v>7.0384300000000005E-10</v>
      </c>
      <c r="AF155" s="39">
        <v>4.4218500000000001E-10</v>
      </c>
      <c r="AG155" s="39">
        <v>6.1146099999999998E-10</v>
      </c>
      <c r="AH155" s="39">
        <v>5.9964799999999997E-10</v>
      </c>
      <c r="AI155" s="39">
        <v>3.2999600000000002E-10</v>
      </c>
      <c r="AJ155" s="39">
        <v>8.3563499999999998E-10</v>
      </c>
      <c r="AK155" s="39">
        <v>2.5640700000000002E-10</v>
      </c>
      <c r="AL155" s="39">
        <v>8.3429499999999996E-10</v>
      </c>
      <c r="AM155" s="39">
        <v>7.46385E-10</v>
      </c>
      <c r="AN155" s="39">
        <v>5.17027E-10</v>
      </c>
    </row>
    <row r="156" spans="1:40" thickBot="1">
      <c r="A156" s="29" t="s">
        <v>387</v>
      </c>
      <c r="B156" s="30" t="s">
        <v>17</v>
      </c>
      <c r="C156" s="30">
        <v>56</v>
      </c>
      <c r="D156" s="30" t="s">
        <v>41</v>
      </c>
      <c r="E156" s="30">
        <v>1000</v>
      </c>
      <c r="F156" s="30">
        <v>32</v>
      </c>
      <c r="G156" s="30" t="s">
        <v>268</v>
      </c>
      <c r="H156" s="42" t="s">
        <v>296</v>
      </c>
      <c r="I156" s="30" t="s">
        <v>20</v>
      </c>
      <c r="J156" s="40" t="s">
        <v>75</v>
      </c>
      <c r="K156" s="44" t="str">
        <f t="shared" si="20"/>
        <v>lev BAD</v>
      </c>
      <c r="L156" s="1">
        <f t="shared" si="21"/>
        <v>42381.068055555559</v>
      </c>
      <c r="M156" s="43"/>
      <c r="N156" s="11">
        <f t="shared" si="22"/>
        <v>0.79193883495009687</v>
      </c>
      <c r="O156" s="11">
        <f t="shared" si="24"/>
        <v>0.95099999999999996</v>
      </c>
      <c r="P156" s="1">
        <f t="shared" si="25"/>
        <v>42380.677083333336</v>
      </c>
      <c r="Q156" s="12">
        <f t="shared" si="26"/>
        <v>1.6951456310775406E-2</v>
      </c>
      <c r="AC156" s="39">
        <v>1.0080300000000001E-9</v>
      </c>
      <c r="AD156" s="39">
        <v>8.1019700000000003E-10</v>
      </c>
      <c r="AE156" s="39">
        <v>8.2260299999999996E-10</v>
      </c>
      <c r="AF156" s="39">
        <v>5.4530700000000003E-10</v>
      </c>
      <c r="AG156" s="39">
        <v>5.9911799999999998E-10</v>
      </c>
      <c r="AH156" s="39">
        <v>7.9498700000000004E-10</v>
      </c>
      <c r="AI156" s="39">
        <v>3.8575300000000001E-10</v>
      </c>
      <c r="AJ156" s="39">
        <v>1.0386499999999999E-9</v>
      </c>
      <c r="AK156" s="39">
        <v>3.2200799999999999E-10</v>
      </c>
      <c r="AL156" s="39">
        <v>9.7297499999999994E-10</v>
      </c>
      <c r="AM156" s="39">
        <v>8.8317900000000004E-10</v>
      </c>
      <c r="AN156" s="39">
        <v>5.9537899999999996E-10</v>
      </c>
    </row>
    <row r="157" spans="1:40" thickBot="1">
      <c r="A157" s="29" t="s">
        <v>388</v>
      </c>
      <c r="B157" s="30" t="s">
        <v>17</v>
      </c>
      <c r="C157" s="30">
        <v>56</v>
      </c>
      <c r="D157" s="30" t="s">
        <v>41</v>
      </c>
      <c r="E157" s="30">
        <v>1000</v>
      </c>
      <c r="F157" s="30">
        <v>31</v>
      </c>
      <c r="G157" s="30" t="s">
        <v>268</v>
      </c>
      <c r="H157" s="42" t="s">
        <v>296</v>
      </c>
      <c r="I157" s="30" t="s">
        <v>20</v>
      </c>
      <c r="J157" s="40" t="s">
        <v>75</v>
      </c>
      <c r="K157" s="44" t="str">
        <f t="shared" si="20"/>
        <v>lev BAD</v>
      </c>
      <c r="L157" s="1">
        <f t="shared" si="21"/>
        <v>42381.107638888891</v>
      </c>
      <c r="M157" s="43"/>
      <c r="N157" s="11">
        <f t="shared" si="22"/>
        <v>0.77583495145564974</v>
      </c>
      <c r="O157" s="11">
        <f t="shared" si="24"/>
        <v>0.95099999999999996</v>
      </c>
      <c r="P157" s="1">
        <f t="shared" si="25"/>
        <v>42380.677083333336</v>
      </c>
      <c r="Q157" s="12">
        <f t="shared" si="26"/>
        <v>1.6951456310775406E-2</v>
      </c>
      <c r="AC157" s="39">
        <v>3.8103199999999999E-10</v>
      </c>
      <c r="AD157" s="39">
        <v>3.2127199999999998E-10</v>
      </c>
      <c r="AE157" s="39">
        <v>3.2623199999999999E-10</v>
      </c>
      <c r="AF157" s="39">
        <v>2.2695799999999999E-10</v>
      </c>
      <c r="AG157" s="39">
        <v>4.8930900000000003E-10</v>
      </c>
      <c r="AH157" s="39">
        <v>3.3906500000000001E-10</v>
      </c>
      <c r="AI157" s="39">
        <v>1.4477699999999999E-10</v>
      </c>
      <c r="AJ157" s="39">
        <v>4.17114E-10</v>
      </c>
      <c r="AK157" s="39">
        <v>1.2972500000000001E-10</v>
      </c>
      <c r="AL157" s="39">
        <v>3.8248800000000002E-10</v>
      </c>
      <c r="AM157" s="39">
        <v>3.3585300000000001E-10</v>
      </c>
      <c r="AN157" s="39">
        <v>2.7227699999999999E-10</v>
      </c>
    </row>
    <row r="158" spans="1:40" thickBot="1">
      <c r="A158" s="29" t="s">
        <v>389</v>
      </c>
      <c r="B158" s="30" t="s">
        <v>17</v>
      </c>
      <c r="C158" s="30">
        <v>56</v>
      </c>
      <c r="D158" s="30" t="s">
        <v>41</v>
      </c>
      <c r="E158" s="30">
        <v>1000</v>
      </c>
      <c r="F158" s="30">
        <v>32</v>
      </c>
      <c r="G158" s="30" t="s">
        <v>268</v>
      </c>
      <c r="H158" s="42" t="s">
        <v>296</v>
      </c>
      <c r="I158" s="30" t="s">
        <v>20</v>
      </c>
      <c r="J158" s="40" t="s">
        <v>75</v>
      </c>
      <c r="K158" s="44" t="str">
        <f t="shared" si="20"/>
        <v>lev BAD</v>
      </c>
      <c r="L158" s="1">
        <f t="shared" si="21"/>
        <v>42381.147222222222</v>
      </c>
      <c r="M158" s="43"/>
      <c r="N158" s="11">
        <f t="shared" si="22"/>
        <v>0.75973106796120238</v>
      </c>
      <c r="O158" s="11">
        <f t="shared" si="24"/>
        <v>0.95099999999999996</v>
      </c>
      <c r="P158" s="1">
        <f t="shared" si="25"/>
        <v>42380.677083333336</v>
      </c>
      <c r="Q158" s="12">
        <f t="shared" si="26"/>
        <v>1.6951456310775406E-2</v>
      </c>
      <c r="AC158" s="39">
        <v>3.1942199999999999E-10</v>
      </c>
      <c r="AD158" s="39">
        <v>2.66005E-10</v>
      </c>
      <c r="AE158" s="39">
        <v>2.66179E-10</v>
      </c>
      <c r="AF158" s="39">
        <v>1.74682E-10</v>
      </c>
      <c r="AG158" s="39">
        <v>3.7418499999999999E-10</v>
      </c>
      <c r="AH158" s="39">
        <v>2.7037600000000002E-10</v>
      </c>
      <c r="AI158" s="39">
        <v>1.2159299999999999E-10</v>
      </c>
      <c r="AJ158" s="39">
        <v>3.4199699999999998E-10</v>
      </c>
      <c r="AK158" s="39">
        <v>1.0571799999999999E-10</v>
      </c>
      <c r="AL158" s="39">
        <v>3.1313500000000003E-10</v>
      </c>
      <c r="AM158" s="39">
        <v>2.7732699999999999E-10</v>
      </c>
      <c r="AN158" s="39">
        <v>2.19995E-10</v>
      </c>
    </row>
    <row r="159" spans="1:40" thickBot="1">
      <c r="A159" s="29" t="s">
        <v>390</v>
      </c>
      <c r="B159" s="30" t="s">
        <v>17</v>
      </c>
      <c r="C159" s="30">
        <v>56</v>
      </c>
      <c r="D159" s="30" t="s">
        <v>41</v>
      </c>
      <c r="E159" s="30">
        <v>1000</v>
      </c>
      <c r="F159" s="30">
        <v>31</v>
      </c>
      <c r="G159" s="30" t="s">
        <v>268</v>
      </c>
      <c r="H159" s="42" t="s">
        <v>296</v>
      </c>
      <c r="I159" s="30" t="s">
        <v>20</v>
      </c>
      <c r="J159" s="40" t="s">
        <v>75</v>
      </c>
      <c r="K159" s="44" t="str">
        <f t="shared" si="20"/>
        <v>lev BAD</v>
      </c>
      <c r="L159" s="1">
        <f t="shared" si="21"/>
        <v>42381.186805555553</v>
      </c>
      <c r="M159" s="43"/>
      <c r="N159" s="11">
        <f t="shared" si="22"/>
        <v>0.74362718446675513</v>
      </c>
      <c r="O159" s="11">
        <f t="shared" si="24"/>
        <v>0.95099999999999996</v>
      </c>
      <c r="P159" s="1">
        <f t="shared" si="25"/>
        <v>42380.677083333336</v>
      </c>
      <c r="Q159" s="12">
        <f t="shared" si="26"/>
        <v>1.6951456310775406E-2</v>
      </c>
      <c r="AC159" s="39">
        <v>4.3969100000000002E-10</v>
      </c>
      <c r="AD159" s="39">
        <v>3.7125400000000002E-10</v>
      </c>
      <c r="AE159" s="39">
        <v>3.7868400000000001E-10</v>
      </c>
      <c r="AF159" s="39">
        <v>2.60183E-10</v>
      </c>
      <c r="AG159" s="39">
        <v>4.7013699999999997E-10</v>
      </c>
      <c r="AH159" s="39">
        <v>3.7403999999999998E-10</v>
      </c>
      <c r="AI159" s="39">
        <v>1.70792E-10</v>
      </c>
      <c r="AJ159" s="39">
        <v>4.77927E-10</v>
      </c>
      <c r="AK159" s="39">
        <v>1.4994799999999999E-10</v>
      </c>
      <c r="AL159" s="39">
        <v>4.3793000000000001E-10</v>
      </c>
      <c r="AM159" s="39">
        <v>3.9070100000000001E-10</v>
      </c>
      <c r="AN159" s="39">
        <v>3.0474199999999999E-10</v>
      </c>
    </row>
    <row r="160" spans="1:40" thickBot="1">
      <c r="A160" s="29" t="s">
        <v>391</v>
      </c>
      <c r="B160" s="30" t="s">
        <v>17</v>
      </c>
      <c r="C160" s="30">
        <v>56</v>
      </c>
      <c r="D160" s="30" t="s">
        <v>41</v>
      </c>
      <c r="E160" s="30">
        <v>1000</v>
      </c>
      <c r="F160" s="30">
        <v>32</v>
      </c>
      <c r="G160" s="30" t="s">
        <v>268</v>
      </c>
      <c r="H160" s="42" t="s">
        <v>296</v>
      </c>
      <c r="I160" s="30" t="s">
        <v>20</v>
      </c>
      <c r="J160" s="40" t="s">
        <v>75</v>
      </c>
      <c r="K160" s="44" t="str">
        <f t="shared" si="20"/>
        <v>lev BAD</v>
      </c>
      <c r="L160" s="1">
        <f t="shared" si="21"/>
        <v>42381.226388888892</v>
      </c>
      <c r="M160" s="43"/>
      <c r="N160" s="11">
        <f t="shared" si="22"/>
        <v>0.7275233009693477</v>
      </c>
      <c r="O160" s="11">
        <f t="shared" si="24"/>
        <v>0.95099999999999996</v>
      </c>
      <c r="P160" s="1">
        <f t="shared" si="25"/>
        <v>42380.677083333336</v>
      </c>
      <c r="Q160" s="12">
        <f t="shared" si="26"/>
        <v>1.6951456310775406E-2</v>
      </c>
      <c r="AC160" s="39">
        <v>2.4502900000000002E-10</v>
      </c>
      <c r="AD160" s="39">
        <v>1.9430500000000001E-10</v>
      </c>
      <c r="AE160" s="39">
        <v>2.0670299999999999E-10</v>
      </c>
      <c r="AF160" s="39">
        <v>1.48722E-10</v>
      </c>
      <c r="AG160" s="39">
        <v>2.6286600000000001E-10</v>
      </c>
      <c r="AH160" s="39">
        <v>2.15466E-10</v>
      </c>
      <c r="AI160" s="39">
        <v>9.4601799999999994E-11</v>
      </c>
      <c r="AJ160" s="39">
        <v>2.6435400000000001E-10</v>
      </c>
      <c r="AK160" s="39">
        <v>8.4205899999999998E-11</v>
      </c>
      <c r="AL160" s="39">
        <v>2.3910400000000002E-10</v>
      </c>
      <c r="AM160" s="39">
        <v>2.15524E-10</v>
      </c>
      <c r="AN160" s="39">
        <v>1.5945499999999999E-10</v>
      </c>
    </row>
    <row r="161" spans="1:40" thickBot="1">
      <c r="A161" s="29" t="s">
        <v>392</v>
      </c>
      <c r="B161" s="30" t="s">
        <v>17</v>
      </c>
      <c r="C161" s="30">
        <v>56</v>
      </c>
      <c r="D161" s="30" t="s">
        <v>41</v>
      </c>
      <c r="E161" s="30">
        <v>1000</v>
      </c>
      <c r="F161" s="30">
        <v>32</v>
      </c>
      <c r="G161" s="30" t="s">
        <v>268</v>
      </c>
      <c r="H161" s="42" t="s">
        <v>296</v>
      </c>
      <c r="I161" s="30" t="s">
        <v>20</v>
      </c>
      <c r="J161" s="40" t="s">
        <v>75</v>
      </c>
      <c r="K161" s="44" t="str">
        <f t="shared" si="20"/>
        <v>lev BAD</v>
      </c>
      <c r="L161" s="1">
        <f t="shared" si="21"/>
        <v>42381.265277777777</v>
      </c>
      <c r="M161" s="43"/>
      <c r="N161" s="11">
        <f t="shared" si="22"/>
        <v>0.71170194174766765</v>
      </c>
      <c r="O161" s="11">
        <f t="shared" si="24"/>
        <v>0.95099999999999996</v>
      </c>
      <c r="P161" s="1">
        <f t="shared" si="25"/>
        <v>42380.677083333336</v>
      </c>
      <c r="Q161" s="12">
        <f t="shared" si="26"/>
        <v>1.6951456310775406E-2</v>
      </c>
      <c r="AC161" s="39">
        <v>2.6445499999999999E-10</v>
      </c>
      <c r="AD161" s="39">
        <v>2.2243100000000001E-10</v>
      </c>
      <c r="AE161" s="39">
        <v>2.3195900000000001E-10</v>
      </c>
      <c r="AF161" s="39">
        <v>1.47113E-10</v>
      </c>
      <c r="AG161" s="39">
        <v>3.2900899999999998E-10</v>
      </c>
      <c r="AH161" s="39">
        <v>2.3366E-10</v>
      </c>
      <c r="AI161" s="39">
        <v>1.00717E-10</v>
      </c>
      <c r="AJ161" s="39">
        <v>2.9096E-10</v>
      </c>
      <c r="AK161" s="39">
        <v>9.2899700000000005E-11</v>
      </c>
      <c r="AL161" s="39">
        <v>2.6305400000000002E-10</v>
      </c>
      <c r="AM161" s="39">
        <v>2.3366300000000002E-10</v>
      </c>
      <c r="AN161" s="39">
        <v>1.7816600000000001E-10</v>
      </c>
    </row>
    <row r="162" spans="1:40" thickBot="1">
      <c r="A162" s="29" t="s">
        <v>393</v>
      </c>
      <c r="B162" s="30" t="s">
        <v>17</v>
      </c>
      <c r="C162" s="30">
        <v>56</v>
      </c>
      <c r="D162" s="30" t="s">
        <v>41</v>
      </c>
      <c r="E162" s="30">
        <v>1000</v>
      </c>
      <c r="F162" s="30">
        <v>32</v>
      </c>
      <c r="G162" s="30" t="s">
        <v>268</v>
      </c>
      <c r="H162" s="42" t="s">
        <v>296</v>
      </c>
      <c r="I162" s="30" t="s">
        <v>20</v>
      </c>
      <c r="J162" s="40" t="s">
        <v>75</v>
      </c>
      <c r="K162" s="44" t="str">
        <f t="shared" si="20"/>
        <v>lev OK</v>
      </c>
      <c r="L162" s="1">
        <f t="shared" si="21"/>
        <v>42381.304861111108</v>
      </c>
      <c r="M162" s="43"/>
      <c r="N162" s="11">
        <f t="shared" si="22"/>
        <v>0.69559805825322041</v>
      </c>
      <c r="O162" s="11">
        <f t="shared" si="24"/>
        <v>0.95099999999999996</v>
      </c>
      <c r="P162" s="1">
        <f t="shared" si="25"/>
        <v>42380.677083333336</v>
      </c>
      <c r="Q162" s="12">
        <f t="shared" si="26"/>
        <v>1.6951456310775406E-2</v>
      </c>
      <c r="AC162" s="39">
        <v>7.8364300000000002E-11</v>
      </c>
      <c r="AD162" s="39">
        <v>6.9247699999999997E-11</v>
      </c>
      <c r="AE162" s="39">
        <v>8.7175799999999995E-11</v>
      </c>
      <c r="AF162" s="39">
        <v>4.9350100000000002E-11</v>
      </c>
      <c r="AG162" s="39">
        <v>9.73467E-11</v>
      </c>
      <c r="AH162" s="39">
        <v>8.8339000000000006E-11</v>
      </c>
      <c r="AI162" s="39">
        <v>3.7325600000000002E-11</v>
      </c>
      <c r="AJ162" s="39">
        <v>9.3140500000000005E-11</v>
      </c>
      <c r="AK162" s="39">
        <v>4.1053500000000001E-11</v>
      </c>
      <c r="AL162" s="39">
        <v>7.9318199999999999E-11</v>
      </c>
      <c r="AM162" s="39">
        <v>7.5492200000000006E-11</v>
      </c>
      <c r="AN162" s="39">
        <v>6.0663599999999998E-11</v>
      </c>
    </row>
    <row r="163" spans="1:40" thickBot="1">
      <c r="A163" s="29" t="s">
        <v>394</v>
      </c>
      <c r="B163" s="30" t="s">
        <v>17</v>
      </c>
      <c r="C163" s="30">
        <v>56</v>
      </c>
      <c r="D163" s="30" t="s">
        <v>41</v>
      </c>
      <c r="E163" s="30">
        <v>1000</v>
      </c>
      <c r="F163" s="30">
        <v>32</v>
      </c>
      <c r="G163" s="30" t="s">
        <v>268</v>
      </c>
      <c r="H163" s="42" t="s">
        <v>296</v>
      </c>
      <c r="I163" s="30" t="s">
        <v>20</v>
      </c>
      <c r="J163" s="40" t="s">
        <v>75</v>
      </c>
      <c r="K163" s="44" t="str">
        <f t="shared" si="20"/>
        <v>lev OK</v>
      </c>
      <c r="L163" s="1">
        <f t="shared" si="21"/>
        <v>42381.344444444447</v>
      </c>
      <c r="M163" s="43"/>
      <c r="N163" s="11">
        <f t="shared" si="22"/>
        <v>0.67949417475581297</v>
      </c>
      <c r="O163" s="11">
        <f t="shared" si="24"/>
        <v>0.95099999999999996</v>
      </c>
      <c r="P163" s="1">
        <f t="shared" si="25"/>
        <v>42380.677083333336</v>
      </c>
      <c r="Q163" s="12">
        <f t="shared" si="26"/>
        <v>1.6951456310775406E-2</v>
      </c>
      <c r="AC163" s="39">
        <v>5.6979400000000003E-11</v>
      </c>
      <c r="AD163" s="39">
        <v>4.1842900000000001E-11</v>
      </c>
      <c r="AE163" s="39">
        <v>5.7249399999999999E-11</v>
      </c>
      <c r="AF163" s="39">
        <v>3.81913E-11</v>
      </c>
      <c r="AG163" s="39">
        <v>7.1353600000000002E-11</v>
      </c>
      <c r="AH163" s="39">
        <v>6.3591099999999999E-11</v>
      </c>
      <c r="AI163" s="39">
        <v>3.0778400000000003E-11</v>
      </c>
      <c r="AJ163" s="39">
        <v>7.34742E-11</v>
      </c>
      <c r="AK163" s="39">
        <v>3.5187600000000001E-11</v>
      </c>
      <c r="AL163" s="39">
        <v>6.1008399999999998E-11</v>
      </c>
      <c r="AM163" s="39">
        <v>5.27645E-11</v>
      </c>
      <c r="AN163" s="39">
        <v>4.6734199999999998E-11</v>
      </c>
    </row>
    <row r="164" spans="1:40" thickBot="1">
      <c r="A164" s="29" t="s">
        <v>395</v>
      </c>
      <c r="B164" s="30" t="s">
        <v>17</v>
      </c>
      <c r="C164" s="30">
        <v>56</v>
      </c>
      <c r="D164" s="30" t="s">
        <v>41</v>
      </c>
      <c r="E164" s="30">
        <v>1000</v>
      </c>
      <c r="F164" s="30" t="s">
        <v>41</v>
      </c>
      <c r="G164" s="30" t="s">
        <v>268</v>
      </c>
      <c r="H164" s="42" t="s">
        <v>296</v>
      </c>
      <c r="I164" s="30" t="s">
        <v>20</v>
      </c>
      <c r="J164" s="40" t="s">
        <v>75</v>
      </c>
      <c r="K164" s="44" t="str">
        <f t="shared" si="20"/>
        <v>lev OK</v>
      </c>
      <c r="L164" s="1">
        <f t="shared" si="21"/>
        <v>42381.384027777778</v>
      </c>
      <c r="M164" s="43"/>
      <c r="N164" s="11">
        <f t="shared" si="22"/>
        <v>0.66339029126136573</v>
      </c>
      <c r="O164" s="11">
        <f t="shared" si="24"/>
        <v>0.95099999999999996</v>
      </c>
      <c r="P164" s="1">
        <f t="shared" si="25"/>
        <v>42380.677083333336</v>
      </c>
      <c r="Q164" s="12">
        <f t="shared" si="26"/>
        <v>1.6951456310775406E-2</v>
      </c>
      <c r="AC164" s="39">
        <v>6.6397599999999996E-11</v>
      </c>
      <c r="AD164" s="39">
        <v>4.8739000000000002E-11</v>
      </c>
      <c r="AE164" s="39">
        <v>6.8300900000000002E-11</v>
      </c>
      <c r="AF164" s="39">
        <v>4.8220799999999999E-11</v>
      </c>
      <c r="AG164" s="39">
        <v>7.9254000000000006E-11</v>
      </c>
      <c r="AH164" s="39">
        <v>7.3850100000000002E-11</v>
      </c>
      <c r="AI164" s="39">
        <v>3.4349599999999998E-11</v>
      </c>
      <c r="AJ164" s="39">
        <v>8.3798899999999996E-11</v>
      </c>
      <c r="AK164" s="39">
        <v>3.6643300000000001E-11</v>
      </c>
      <c r="AL164" s="39">
        <v>6.7791799999999998E-11</v>
      </c>
      <c r="AM164" s="39">
        <v>6.0214E-11</v>
      </c>
      <c r="AN164" s="39">
        <v>5.2984100000000002E-11</v>
      </c>
    </row>
    <row r="165" spans="1:40" thickBot="1">
      <c r="A165" s="29" t="s">
        <v>396</v>
      </c>
      <c r="B165" s="30" t="s">
        <v>17</v>
      </c>
      <c r="C165" s="30">
        <v>56</v>
      </c>
      <c r="D165" s="30" t="s">
        <v>41</v>
      </c>
      <c r="E165" s="30">
        <v>1000</v>
      </c>
      <c r="F165" s="30">
        <v>31</v>
      </c>
      <c r="G165" s="30" t="s">
        <v>268</v>
      </c>
      <c r="H165" s="42" t="s">
        <v>397</v>
      </c>
      <c r="I165" s="30" t="s">
        <v>20</v>
      </c>
      <c r="J165" s="40" t="s">
        <v>75</v>
      </c>
      <c r="K165" s="44" t="str">
        <f t="shared" si="20"/>
        <v>lev OK</v>
      </c>
      <c r="L165" s="1">
        <f t="shared" si="21"/>
        <v>42381.513888888891</v>
      </c>
      <c r="M165" s="43"/>
      <c r="N165" s="11">
        <f t="shared" si="22"/>
        <v>0.60316239316164422</v>
      </c>
      <c r="O165" s="12">
        <v>0.66</v>
      </c>
      <c r="P165" s="1">
        <v>42381.392361111109</v>
      </c>
      <c r="Q165" s="11">
        <f>(O165-R165)/(S165-P165)/24</f>
        <v>1.9487179486917729E-2</v>
      </c>
      <c r="R165" s="12">
        <v>0.50800000000000001</v>
      </c>
      <c r="S165" s="1">
        <v>42381.717361111114</v>
      </c>
      <c r="W165" s="31" t="s">
        <v>75</v>
      </c>
      <c r="AC165" s="39">
        <v>1.0164E-10</v>
      </c>
      <c r="AD165" s="39">
        <v>6.2738600000000001E-11</v>
      </c>
      <c r="AE165" s="39">
        <v>8.4332599999999996E-11</v>
      </c>
      <c r="AF165" s="39">
        <v>7.6601699999999998E-11</v>
      </c>
      <c r="AG165" s="39">
        <v>8.6432800000000006E-11</v>
      </c>
      <c r="AH165" s="39">
        <v>7.7665700000000001E-11</v>
      </c>
      <c r="AI165" s="39">
        <v>4.1552299999999998E-11</v>
      </c>
      <c r="AJ165" s="39">
        <v>9.0549299999999997E-11</v>
      </c>
      <c r="AK165" s="39">
        <v>3.9185700000000002E-11</v>
      </c>
      <c r="AL165" s="39">
        <v>8.0989599999999998E-11</v>
      </c>
      <c r="AM165" s="39">
        <v>7.93581E-11</v>
      </c>
      <c r="AN165" s="39">
        <v>1.0620000000000001E-10</v>
      </c>
    </row>
    <row r="166" spans="1:40" thickBot="1">
      <c r="A166" s="29" t="s">
        <v>398</v>
      </c>
      <c r="B166" s="30" t="s">
        <v>17</v>
      </c>
      <c r="C166" s="30">
        <v>56</v>
      </c>
      <c r="D166" s="30" t="s">
        <v>41</v>
      </c>
      <c r="E166" s="30">
        <v>1000</v>
      </c>
      <c r="F166" s="30">
        <v>31</v>
      </c>
      <c r="G166" s="30" t="s">
        <v>268</v>
      </c>
      <c r="H166" s="42" t="s">
        <v>397</v>
      </c>
      <c r="I166" s="30" t="s">
        <v>20</v>
      </c>
      <c r="J166" s="40" t="s">
        <v>75</v>
      </c>
      <c r="K166" s="44" t="str">
        <f t="shared" si="20"/>
        <v>lev OK</v>
      </c>
      <c r="L166" s="1">
        <f t="shared" si="21"/>
        <v>42381.553472222222</v>
      </c>
      <c r="M166" s="43"/>
      <c r="N166" s="11">
        <f t="shared" si="22"/>
        <v>0.58464957264997985</v>
      </c>
      <c r="O166" s="11">
        <f t="shared" ref="O166:Q168" si="27">O165</f>
        <v>0.66</v>
      </c>
      <c r="P166" s="1">
        <f t="shared" si="27"/>
        <v>42381.392361111109</v>
      </c>
      <c r="Q166" s="12">
        <f t="shared" si="27"/>
        <v>1.9487179486917729E-2</v>
      </c>
      <c r="AC166" s="39">
        <v>9.8804099999999999E-11</v>
      </c>
      <c r="AD166" s="39">
        <v>1.15195E-10</v>
      </c>
      <c r="AE166" s="39">
        <v>9.2218500000000006E-11</v>
      </c>
      <c r="AF166" s="39">
        <v>6.2336200000000005E-11</v>
      </c>
      <c r="AG166" s="39">
        <v>1.1426200000000001E-10</v>
      </c>
      <c r="AH166" s="39">
        <v>1.04761E-10</v>
      </c>
      <c r="AI166" s="39">
        <v>4.35263E-11</v>
      </c>
      <c r="AJ166" s="39">
        <v>1.24426E-10</v>
      </c>
      <c r="AK166" s="39">
        <v>4.7080699999999997E-11</v>
      </c>
      <c r="AL166" s="39">
        <v>9.9781900000000002E-11</v>
      </c>
      <c r="AM166" s="39">
        <v>8.7073400000000001E-11</v>
      </c>
      <c r="AN166" s="39">
        <v>1.32587E-10</v>
      </c>
    </row>
    <row r="167" spans="1:40" thickBot="1">
      <c r="A167" s="29" t="s">
        <v>399</v>
      </c>
      <c r="B167" s="30" t="s">
        <v>17</v>
      </c>
      <c r="C167" s="30">
        <v>56</v>
      </c>
      <c r="D167" s="30" t="s">
        <v>41</v>
      </c>
      <c r="E167" s="30">
        <v>1000</v>
      </c>
      <c r="F167" s="30">
        <v>31</v>
      </c>
      <c r="G167" s="30" t="s">
        <v>268</v>
      </c>
      <c r="H167" s="42" t="s">
        <v>397</v>
      </c>
      <c r="I167" s="30" t="s">
        <v>20</v>
      </c>
      <c r="J167" s="40" t="s">
        <v>75</v>
      </c>
      <c r="K167" s="44" t="str">
        <f t="shared" si="20"/>
        <v>lev OK</v>
      </c>
      <c r="L167" s="1">
        <f t="shared" si="21"/>
        <v>42381.593055555553</v>
      </c>
      <c r="M167" s="43"/>
      <c r="N167" s="11">
        <f t="shared" si="22"/>
        <v>0.56613675213831549</v>
      </c>
      <c r="O167" s="11">
        <f t="shared" si="27"/>
        <v>0.66</v>
      </c>
      <c r="P167" s="1">
        <f t="shared" si="27"/>
        <v>42381.392361111109</v>
      </c>
      <c r="Q167" s="12">
        <f t="shared" si="27"/>
        <v>1.9487179486917729E-2</v>
      </c>
      <c r="AC167" s="39">
        <v>6.8648500000000003E-11</v>
      </c>
      <c r="AD167" s="39">
        <v>6.0941699999999997E-11</v>
      </c>
      <c r="AE167" s="39">
        <v>6.6554300000000006E-11</v>
      </c>
      <c r="AF167" s="39">
        <v>6.79548E-11</v>
      </c>
      <c r="AG167" s="39">
        <v>8.4748E-11</v>
      </c>
      <c r="AH167" s="39">
        <v>7.3245999999999997E-11</v>
      </c>
      <c r="AI167" s="39">
        <v>3.5774199999999998E-11</v>
      </c>
      <c r="AJ167" s="39">
        <v>8.2934799999999997E-11</v>
      </c>
      <c r="AK167" s="39">
        <v>3.7278100000000001E-11</v>
      </c>
      <c r="AL167" s="39">
        <v>7.33256E-11</v>
      </c>
      <c r="AM167" s="39">
        <v>7.1480400000000006E-11</v>
      </c>
      <c r="AN167" s="39">
        <v>9.3191399999999997E-11</v>
      </c>
    </row>
    <row r="168" spans="1:40" thickBot="1">
      <c r="A168" s="29" t="s">
        <v>400</v>
      </c>
      <c r="B168" s="30" t="s">
        <v>17</v>
      </c>
      <c r="C168" s="30">
        <v>56</v>
      </c>
      <c r="D168" s="30" t="s">
        <v>41</v>
      </c>
      <c r="E168" s="30">
        <v>1000</v>
      </c>
      <c r="F168" s="30" t="s">
        <v>41</v>
      </c>
      <c r="G168" s="30" t="s">
        <v>268</v>
      </c>
      <c r="H168" s="42" t="s">
        <v>397</v>
      </c>
      <c r="I168" s="30" t="s">
        <v>20</v>
      </c>
      <c r="J168" s="40" t="s">
        <v>75</v>
      </c>
      <c r="K168" s="44" t="str">
        <f t="shared" si="20"/>
        <v>lev OK</v>
      </c>
      <c r="L168" s="1">
        <f t="shared" si="21"/>
        <v>42381.632638888892</v>
      </c>
      <c r="M168" s="43"/>
      <c r="N168" s="11">
        <f t="shared" si="22"/>
        <v>0.54762393162324818</v>
      </c>
      <c r="O168" s="11">
        <f t="shared" si="27"/>
        <v>0.66</v>
      </c>
      <c r="P168" s="1">
        <f t="shared" si="27"/>
        <v>42381.392361111109</v>
      </c>
      <c r="Q168" s="12">
        <f t="shared" si="27"/>
        <v>1.9487179486917729E-2</v>
      </c>
      <c r="AC168" s="39">
        <v>1.05217E-10</v>
      </c>
      <c r="AD168" s="39">
        <v>6.13991E-11</v>
      </c>
      <c r="AE168" s="39">
        <v>9.54776E-11</v>
      </c>
      <c r="AF168" s="39">
        <v>5.7136799999999997E-11</v>
      </c>
      <c r="AG168" s="39">
        <v>9.6255199999999994E-11</v>
      </c>
      <c r="AH168" s="39">
        <v>8.1736599999999996E-11</v>
      </c>
      <c r="AI168" s="39">
        <v>3.7256299999999999E-11</v>
      </c>
      <c r="AJ168" s="39">
        <v>9.4781200000000002E-11</v>
      </c>
      <c r="AK168" s="39">
        <v>4.1911100000000002E-11</v>
      </c>
      <c r="AL168" s="39">
        <v>8.2273099999999997E-11</v>
      </c>
      <c r="AM168" s="39">
        <v>7.3033800000000002E-11</v>
      </c>
      <c r="AN168" s="39">
        <v>1.2077900000000001E-10</v>
      </c>
    </row>
    <row r="169" spans="1:40" thickBot="1">
      <c r="A169" s="29" t="s">
        <v>401</v>
      </c>
      <c r="B169" s="30" t="s">
        <v>17</v>
      </c>
      <c r="C169" s="30">
        <v>56</v>
      </c>
      <c r="D169" s="30" t="s">
        <v>41</v>
      </c>
      <c r="E169" s="30">
        <v>1000</v>
      </c>
      <c r="F169" s="30">
        <v>31</v>
      </c>
      <c r="G169" s="30" t="s">
        <v>268</v>
      </c>
      <c r="H169" s="42" t="s">
        <v>46</v>
      </c>
      <c r="I169" s="30" t="s">
        <v>20</v>
      </c>
      <c r="J169" s="40" t="s">
        <v>75</v>
      </c>
      <c r="K169" s="46" t="s">
        <v>402</v>
      </c>
      <c r="L169" s="1">
        <f t="shared" si="21"/>
        <v>42382.572916666664</v>
      </c>
      <c r="M169" s="43"/>
      <c r="N169" s="11">
        <f t="shared" si="22"/>
        <v>0.80695756718544798</v>
      </c>
      <c r="O169" s="11">
        <v>0.85699999999999998</v>
      </c>
      <c r="P169" s="1">
        <v>42382.40347222222</v>
      </c>
      <c r="Q169" s="11">
        <f>(O169-R169)/(S169-P169)/24</f>
        <v>1.2305516265920411E-2</v>
      </c>
      <c r="R169" s="12">
        <v>0.56699999999999995</v>
      </c>
      <c r="S169" s="1">
        <v>42383.385416666664</v>
      </c>
      <c r="AC169" s="39">
        <v>9.2892699999999997E-11</v>
      </c>
      <c r="AD169" s="39">
        <v>7.6233899999999994E-11</v>
      </c>
      <c r="AE169" s="39">
        <v>8.7657100000000004E-11</v>
      </c>
      <c r="AF169" s="39">
        <v>5.9897800000000004E-11</v>
      </c>
      <c r="AG169" s="39">
        <v>1.1085100000000001E-10</v>
      </c>
      <c r="AH169" s="39">
        <v>1.0329999999999999E-10</v>
      </c>
      <c r="AI169" s="39">
        <v>4.4119400000000001E-11</v>
      </c>
      <c r="AJ169" s="39">
        <v>1.1825699999999999E-10</v>
      </c>
      <c r="AK169" s="39">
        <v>4.8066199999999999E-11</v>
      </c>
      <c r="AL169" s="39">
        <v>9.9485000000000006E-11</v>
      </c>
      <c r="AM169" s="39">
        <v>9.0349499999999999E-11</v>
      </c>
      <c r="AN169" s="39">
        <v>1.6309700000000001E-10</v>
      </c>
    </row>
    <row r="170" spans="1:40" thickBot="1">
      <c r="A170" s="29" t="s">
        <v>403</v>
      </c>
      <c r="B170" s="30" t="s">
        <v>17</v>
      </c>
      <c r="C170" s="30">
        <v>56</v>
      </c>
      <c r="D170" s="30" t="s">
        <v>41</v>
      </c>
      <c r="E170" s="30">
        <v>1000</v>
      </c>
      <c r="F170" s="30">
        <v>32</v>
      </c>
      <c r="G170" s="30" t="s">
        <v>268</v>
      </c>
      <c r="H170" s="42" t="s">
        <v>46</v>
      </c>
      <c r="I170" s="30" t="s">
        <v>20</v>
      </c>
      <c r="J170" s="40" t="s">
        <v>75</v>
      </c>
      <c r="K170" s="46" t="s">
        <v>402</v>
      </c>
      <c r="L170" s="1">
        <f t="shared" si="21"/>
        <v>42382.612500000003</v>
      </c>
      <c r="M170" s="43"/>
      <c r="N170" s="11">
        <f t="shared" si="22"/>
        <v>0.79526732673124778</v>
      </c>
      <c r="O170" s="11">
        <f t="shared" ref="O170:O189" si="28">O169</f>
        <v>0.85699999999999998</v>
      </c>
      <c r="P170" s="1">
        <f t="shared" ref="P170:P189" si="29">P169</f>
        <v>42382.40347222222</v>
      </c>
      <c r="Q170" s="12">
        <f t="shared" ref="Q170:Q189" si="30">Q169</f>
        <v>1.2305516265920411E-2</v>
      </c>
      <c r="AC170" s="39">
        <v>6.3375000000000001E-11</v>
      </c>
      <c r="AD170" s="39">
        <v>4.96169E-11</v>
      </c>
      <c r="AE170" s="39">
        <v>6.0961700000000001E-11</v>
      </c>
      <c r="AF170" s="39">
        <v>4.2511399999999998E-11</v>
      </c>
      <c r="AG170" s="39">
        <v>7.8291299999999996E-11</v>
      </c>
      <c r="AH170" s="39">
        <v>6.9400599999999998E-11</v>
      </c>
      <c r="AI170" s="39">
        <v>3.2759300000000002E-11</v>
      </c>
      <c r="AJ170" s="39">
        <v>8.2539300000000003E-11</v>
      </c>
      <c r="AK170" s="39">
        <v>3.4312299999999999E-11</v>
      </c>
      <c r="AL170" s="39">
        <v>6.95578E-11</v>
      </c>
      <c r="AM170" s="39">
        <v>7.2838500000000004E-11</v>
      </c>
      <c r="AN170" s="39">
        <v>9.9230099999999996E-11</v>
      </c>
    </row>
    <row r="171" spans="1:40" thickBot="1">
      <c r="A171" s="29" t="s">
        <v>404</v>
      </c>
      <c r="B171" s="30" t="s">
        <v>17</v>
      </c>
      <c r="C171" s="30">
        <v>56</v>
      </c>
      <c r="D171" s="30" t="s">
        <v>41</v>
      </c>
      <c r="E171" s="30">
        <v>1000</v>
      </c>
      <c r="F171" s="30">
        <v>32</v>
      </c>
      <c r="G171" s="30" t="s">
        <v>268</v>
      </c>
      <c r="H171" s="42" t="s">
        <v>46</v>
      </c>
      <c r="I171" s="30" t="s">
        <v>20</v>
      </c>
      <c r="J171" s="40" t="s">
        <v>75</v>
      </c>
      <c r="K171" s="46" t="s">
        <v>402</v>
      </c>
      <c r="L171" s="1">
        <f t="shared" si="21"/>
        <v>42382.652083333334</v>
      </c>
      <c r="M171" s="43"/>
      <c r="N171" s="11">
        <f t="shared" si="22"/>
        <v>0.78357708627919642</v>
      </c>
      <c r="O171" s="11">
        <f t="shared" si="28"/>
        <v>0.85699999999999998</v>
      </c>
      <c r="P171" s="1">
        <f t="shared" si="29"/>
        <v>42382.40347222222</v>
      </c>
      <c r="Q171" s="12">
        <f t="shared" si="30"/>
        <v>1.2305516265920411E-2</v>
      </c>
      <c r="AC171" s="39">
        <v>9.0902899999999998E-11</v>
      </c>
      <c r="AD171" s="39">
        <v>6.62019E-11</v>
      </c>
      <c r="AE171" s="39">
        <v>9.4619500000000001E-11</v>
      </c>
      <c r="AF171" s="39">
        <v>8.2839999999999995E-11</v>
      </c>
      <c r="AG171" s="39">
        <v>1.3961199999999999E-10</v>
      </c>
      <c r="AH171" s="39">
        <v>9.0123899999999997E-11</v>
      </c>
      <c r="AI171" s="39">
        <v>4.2300500000000003E-11</v>
      </c>
      <c r="AJ171" s="39">
        <v>1.3737300000000001E-10</v>
      </c>
      <c r="AK171" s="39">
        <v>4.5057600000000001E-11</v>
      </c>
      <c r="AL171" s="39">
        <v>8.7774200000000005E-11</v>
      </c>
      <c r="AM171" s="39">
        <v>1.9222699999999999E-10</v>
      </c>
      <c r="AN171" s="39">
        <v>1.15295E-10</v>
      </c>
    </row>
    <row r="172" spans="1:40" thickBot="1">
      <c r="A172" s="29" t="s">
        <v>405</v>
      </c>
      <c r="B172" s="30" t="s">
        <v>17</v>
      </c>
      <c r="C172" s="30">
        <v>56</v>
      </c>
      <c r="D172" s="30" t="s">
        <v>41</v>
      </c>
      <c r="E172" s="30">
        <v>1000</v>
      </c>
      <c r="F172" s="30">
        <v>31</v>
      </c>
      <c r="G172" s="30" t="s">
        <v>268</v>
      </c>
      <c r="H172" s="42" t="s">
        <v>46</v>
      </c>
      <c r="I172" s="30" t="s">
        <v>20</v>
      </c>
      <c r="J172" s="40" t="s">
        <v>75</v>
      </c>
      <c r="K172" s="46" t="s">
        <v>402</v>
      </c>
      <c r="L172" s="1">
        <f t="shared" si="21"/>
        <v>42382.690972222219</v>
      </c>
      <c r="M172" s="43"/>
      <c r="N172" s="11">
        <f t="shared" si="22"/>
        <v>0.77209193776557894</v>
      </c>
      <c r="O172" s="11">
        <f t="shared" si="28"/>
        <v>0.85699999999999998</v>
      </c>
      <c r="P172" s="1">
        <f t="shared" si="29"/>
        <v>42382.40347222222</v>
      </c>
      <c r="Q172" s="12">
        <f t="shared" si="30"/>
        <v>1.2305516265920411E-2</v>
      </c>
      <c r="AC172" s="39">
        <v>6.9535800000000005E-11</v>
      </c>
      <c r="AD172" s="39">
        <v>5.4268499999999997E-11</v>
      </c>
      <c r="AE172" s="39">
        <v>6.4906900000000006E-11</v>
      </c>
      <c r="AF172" s="39">
        <v>4.2263300000000003E-11</v>
      </c>
      <c r="AG172" s="39">
        <v>7.8370899999999999E-11</v>
      </c>
      <c r="AH172" s="39">
        <v>7.6710399999999998E-11</v>
      </c>
      <c r="AI172" s="39">
        <v>3.18601E-11</v>
      </c>
      <c r="AJ172" s="39">
        <v>8.4332500000000003E-11</v>
      </c>
      <c r="AK172" s="39">
        <v>3.8643499999999999E-11</v>
      </c>
      <c r="AL172" s="39">
        <v>7.3576399999999996E-11</v>
      </c>
      <c r="AM172" s="39">
        <v>6.2799100000000003E-11</v>
      </c>
      <c r="AN172" s="39">
        <v>1.0598000000000001E-10</v>
      </c>
    </row>
    <row r="173" spans="1:40" thickBot="1">
      <c r="A173" s="29" t="s">
        <v>406</v>
      </c>
      <c r="B173" s="30" t="s">
        <v>17</v>
      </c>
      <c r="C173" s="30">
        <v>56</v>
      </c>
      <c r="D173" s="30" t="s">
        <v>41</v>
      </c>
      <c r="E173" s="30">
        <v>1000</v>
      </c>
      <c r="F173" s="30">
        <v>31</v>
      </c>
      <c r="G173" s="30" t="s">
        <v>268</v>
      </c>
      <c r="H173" s="42" t="s">
        <v>46</v>
      </c>
      <c r="I173" s="30" t="s">
        <v>20</v>
      </c>
      <c r="J173" s="40" t="s">
        <v>75</v>
      </c>
      <c r="K173" s="46" t="s">
        <v>402</v>
      </c>
      <c r="L173" s="1">
        <f t="shared" si="21"/>
        <v>42382.730555555558</v>
      </c>
      <c r="M173" s="43"/>
      <c r="N173" s="11">
        <f t="shared" si="22"/>
        <v>0.76040169731137874</v>
      </c>
      <c r="O173" s="11">
        <f t="shared" si="28"/>
        <v>0.85699999999999998</v>
      </c>
      <c r="P173" s="1">
        <f t="shared" si="29"/>
        <v>42382.40347222222</v>
      </c>
      <c r="Q173" s="12">
        <f t="shared" si="30"/>
        <v>1.2305516265920411E-2</v>
      </c>
      <c r="AC173" s="39">
        <v>9.4875899999999998E-11</v>
      </c>
      <c r="AD173" s="39">
        <v>7.7007900000000003E-11</v>
      </c>
      <c r="AE173" s="39">
        <v>1.0632200000000001E-10</v>
      </c>
      <c r="AF173" s="39">
        <v>9.3100600000000004E-11</v>
      </c>
      <c r="AG173" s="39">
        <v>1.17029E-10</v>
      </c>
      <c r="AH173" s="39">
        <v>1.00013E-10</v>
      </c>
      <c r="AI173" s="39">
        <v>5.9261800000000003E-11</v>
      </c>
      <c r="AJ173" s="39">
        <v>1.1893499999999999E-10</v>
      </c>
      <c r="AK173" s="39">
        <v>5.4335099999999999E-11</v>
      </c>
      <c r="AL173" s="39">
        <v>1.33304E-10</v>
      </c>
      <c r="AM173" s="39">
        <v>1.2766400000000001E-10</v>
      </c>
      <c r="AN173" s="39">
        <v>1.1828100000000001E-10</v>
      </c>
    </row>
    <row r="174" spans="1:40" thickBot="1">
      <c r="A174" s="29" t="s">
        <v>407</v>
      </c>
      <c r="B174" s="30" t="s">
        <v>17</v>
      </c>
      <c r="C174" s="30">
        <v>56</v>
      </c>
      <c r="D174" s="30" t="s">
        <v>41</v>
      </c>
      <c r="E174" s="30">
        <v>1000</v>
      </c>
      <c r="F174" s="30">
        <v>32</v>
      </c>
      <c r="G174" s="30" t="s">
        <v>268</v>
      </c>
      <c r="H174" s="42" t="s">
        <v>46</v>
      </c>
      <c r="I174" s="30" t="s">
        <v>20</v>
      </c>
      <c r="J174" s="40" t="s">
        <v>75</v>
      </c>
      <c r="K174" s="46" t="s">
        <v>402</v>
      </c>
      <c r="L174" s="1">
        <f t="shared" si="21"/>
        <v>42382.770138888889</v>
      </c>
      <c r="M174" s="43"/>
      <c r="N174" s="11">
        <f t="shared" si="22"/>
        <v>0.74871145685932738</v>
      </c>
      <c r="O174" s="11">
        <f t="shared" si="28"/>
        <v>0.85699999999999998</v>
      </c>
      <c r="P174" s="1">
        <f t="shared" si="29"/>
        <v>42382.40347222222</v>
      </c>
      <c r="Q174" s="12">
        <f t="shared" si="30"/>
        <v>1.2305516265920411E-2</v>
      </c>
      <c r="AC174" s="39">
        <v>8.0971700000000005E-11</v>
      </c>
      <c r="AD174" s="39">
        <v>6.3600299999999997E-11</v>
      </c>
      <c r="AE174" s="39">
        <v>7.8568099999999995E-11</v>
      </c>
      <c r="AF174" s="39">
        <v>5.3757300000000002E-11</v>
      </c>
      <c r="AG174" s="39">
        <v>9.4746300000000006E-11</v>
      </c>
      <c r="AH174" s="39">
        <v>8.41176E-11</v>
      </c>
      <c r="AI174" s="39">
        <v>3.9269000000000002E-11</v>
      </c>
      <c r="AJ174" s="39">
        <v>1.01813E-10</v>
      </c>
      <c r="AK174" s="39">
        <v>4.4304499999999998E-11</v>
      </c>
      <c r="AL174" s="39">
        <v>8.2537400000000005E-11</v>
      </c>
      <c r="AM174" s="39">
        <v>7.6222099999999994E-11</v>
      </c>
      <c r="AN174" s="39">
        <v>9.1102299999999997E-11</v>
      </c>
    </row>
    <row r="175" spans="1:40" thickBot="1">
      <c r="A175" s="29" t="s">
        <v>408</v>
      </c>
      <c r="B175" s="30" t="s">
        <v>17</v>
      </c>
      <c r="C175" s="30">
        <v>56</v>
      </c>
      <c r="D175" s="30" t="s">
        <v>41</v>
      </c>
      <c r="E175" s="30">
        <v>1000</v>
      </c>
      <c r="F175" s="30">
        <v>31</v>
      </c>
      <c r="G175" s="30" t="s">
        <v>268</v>
      </c>
      <c r="H175" s="42" t="s">
        <v>46</v>
      </c>
      <c r="I175" s="30" t="s">
        <v>20</v>
      </c>
      <c r="J175" s="40" t="s">
        <v>75</v>
      </c>
      <c r="K175" s="46" t="s">
        <v>402</v>
      </c>
      <c r="L175" s="1">
        <f t="shared" si="21"/>
        <v>42382.80972222222</v>
      </c>
      <c r="M175" s="43"/>
      <c r="N175" s="11">
        <f t="shared" si="22"/>
        <v>0.73702121640727603</v>
      </c>
      <c r="O175" s="11">
        <f t="shared" si="28"/>
        <v>0.85699999999999998</v>
      </c>
      <c r="P175" s="1">
        <f t="shared" si="29"/>
        <v>42382.40347222222</v>
      </c>
      <c r="Q175" s="12">
        <f t="shared" si="30"/>
        <v>1.2305516265920411E-2</v>
      </c>
      <c r="AC175" s="39">
        <v>7.72495E-11</v>
      </c>
      <c r="AD175" s="39">
        <v>6.0150499999999998E-11</v>
      </c>
      <c r="AE175" s="39">
        <v>7.1001600000000006E-11</v>
      </c>
      <c r="AF175" s="39">
        <v>5.1208299999999998E-11</v>
      </c>
      <c r="AG175" s="39">
        <v>8.0277000000000006E-11</v>
      </c>
      <c r="AH175" s="39">
        <v>8.3495200000000004E-11</v>
      </c>
      <c r="AI175" s="39">
        <v>3.6320600000000001E-11</v>
      </c>
      <c r="AJ175" s="39">
        <v>9.4232599999999996E-11</v>
      </c>
      <c r="AK175" s="39">
        <v>4.0854699999999999E-11</v>
      </c>
      <c r="AL175" s="39">
        <v>8.2333999999999997E-11</v>
      </c>
      <c r="AM175" s="39">
        <v>7.2447800000000002E-11</v>
      </c>
      <c r="AN175" s="39">
        <v>1.4295000000000001E-10</v>
      </c>
    </row>
    <row r="176" spans="1:40" thickBot="1">
      <c r="A176" s="29" t="s">
        <v>409</v>
      </c>
      <c r="B176" s="30" t="s">
        <v>17</v>
      </c>
      <c r="C176" s="30">
        <v>56</v>
      </c>
      <c r="D176" s="30" t="s">
        <v>41</v>
      </c>
      <c r="E176" s="30">
        <v>1000</v>
      </c>
      <c r="F176" s="30">
        <v>31</v>
      </c>
      <c r="G176" s="30" t="s">
        <v>268</v>
      </c>
      <c r="H176" s="42" t="s">
        <v>46</v>
      </c>
      <c r="I176" s="30" t="s">
        <v>20</v>
      </c>
      <c r="J176" s="40" t="s">
        <v>75</v>
      </c>
      <c r="K176" s="46" t="s">
        <v>402</v>
      </c>
      <c r="L176" s="1">
        <f t="shared" si="21"/>
        <v>42382.848611111112</v>
      </c>
      <c r="M176" s="43"/>
      <c r="N176" s="11">
        <f t="shared" si="22"/>
        <v>0.72553606789150971</v>
      </c>
      <c r="O176" s="11">
        <f t="shared" si="28"/>
        <v>0.85699999999999998</v>
      </c>
      <c r="P176" s="1">
        <f t="shared" si="29"/>
        <v>42382.40347222222</v>
      </c>
      <c r="Q176" s="12">
        <f t="shared" si="30"/>
        <v>1.2305516265920411E-2</v>
      </c>
      <c r="AC176" s="39">
        <v>6.9770699999999999E-11</v>
      </c>
      <c r="AD176" s="39">
        <v>5.44657E-11</v>
      </c>
      <c r="AE176" s="39">
        <v>6.8937899999999999E-11</v>
      </c>
      <c r="AF176" s="39">
        <v>4.5726500000000002E-11</v>
      </c>
      <c r="AG176" s="39">
        <v>7.8088600000000005E-11</v>
      </c>
      <c r="AH176" s="39">
        <v>7.6070900000000005E-11</v>
      </c>
      <c r="AI176" s="39">
        <v>3.4679999999999997E-11</v>
      </c>
      <c r="AJ176" s="39">
        <v>8.6763200000000005E-11</v>
      </c>
      <c r="AK176" s="39">
        <v>3.8445300000000001E-11</v>
      </c>
      <c r="AL176" s="39">
        <v>7.3344300000000003E-11</v>
      </c>
      <c r="AM176" s="39">
        <v>6.5211399999999994E-11</v>
      </c>
      <c r="AN176" s="39">
        <v>1.03026E-10</v>
      </c>
    </row>
    <row r="177" spans="1:40" thickBot="1">
      <c r="A177" s="29" t="s">
        <v>410</v>
      </c>
      <c r="B177" s="30" t="s">
        <v>17</v>
      </c>
      <c r="C177" s="30">
        <v>56</v>
      </c>
      <c r="D177" s="30" t="s">
        <v>41</v>
      </c>
      <c r="E177" s="30">
        <v>1000</v>
      </c>
      <c r="F177" s="30">
        <v>32</v>
      </c>
      <c r="G177" s="30" t="s">
        <v>268</v>
      </c>
      <c r="H177" s="42" t="s">
        <v>46</v>
      </c>
      <c r="I177" s="30" t="s">
        <v>20</v>
      </c>
      <c r="J177" s="40" t="s">
        <v>75</v>
      </c>
      <c r="K177" s="46" t="s">
        <v>402</v>
      </c>
      <c r="L177" s="1">
        <f t="shared" si="21"/>
        <v>42382.888194444444</v>
      </c>
      <c r="M177" s="43"/>
      <c r="N177" s="11">
        <f t="shared" si="22"/>
        <v>0.71384582743945824</v>
      </c>
      <c r="O177" s="11">
        <f t="shared" si="28"/>
        <v>0.85699999999999998</v>
      </c>
      <c r="P177" s="1">
        <f t="shared" si="29"/>
        <v>42382.40347222222</v>
      </c>
      <c r="Q177" s="12">
        <f t="shared" si="30"/>
        <v>1.2305516265920411E-2</v>
      </c>
      <c r="AC177" s="39">
        <v>7.0048299999999994E-11</v>
      </c>
      <c r="AD177" s="39">
        <v>5.4776000000000002E-11</v>
      </c>
      <c r="AE177" s="39">
        <v>6.6215700000000004E-11</v>
      </c>
      <c r="AF177" s="39">
        <v>4.7311700000000002E-11</v>
      </c>
      <c r="AG177" s="39">
        <v>8.0381600000000004E-11</v>
      </c>
      <c r="AH177" s="39">
        <v>7.5005400000000002E-11</v>
      </c>
      <c r="AI177" s="39">
        <v>3.3753499999999997E-11</v>
      </c>
      <c r="AJ177" s="39">
        <v>8.5294499999999997E-11</v>
      </c>
      <c r="AK177" s="39">
        <v>3.8096599999999998E-11</v>
      </c>
      <c r="AL177" s="39">
        <v>7.2933300000000005E-11</v>
      </c>
      <c r="AM177" s="39">
        <v>6.3705099999999994E-11</v>
      </c>
      <c r="AN177" s="39">
        <v>1.14337E-10</v>
      </c>
    </row>
    <row r="178" spans="1:40" thickBot="1">
      <c r="A178" s="29" t="s">
        <v>411</v>
      </c>
      <c r="B178" s="30" t="s">
        <v>17</v>
      </c>
      <c r="C178" s="30">
        <v>56</v>
      </c>
      <c r="D178" s="30" t="s">
        <v>41</v>
      </c>
      <c r="E178" s="30">
        <v>1000</v>
      </c>
      <c r="F178" s="30">
        <v>32</v>
      </c>
      <c r="G178" s="30" t="s">
        <v>268</v>
      </c>
      <c r="H178" s="42" t="s">
        <v>46</v>
      </c>
      <c r="I178" s="30" t="s">
        <v>20</v>
      </c>
      <c r="J178" s="40" t="s">
        <v>75</v>
      </c>
      <c r="K178" s="46" t="s">
        <v>402</v>
      </c>
      <c r="L178" s="1">
        <f t="shared" si="21"/>
        <v>42382.927777777775</v>
      </c>
      <c r="M178" s="43"/>
      <c r="N178" s="11">
        <f t="shared" si="22"/>
        <v>0.70215558698740688</v>
      </c>
      <c r="O178" s="11">
        <f t="shared" si="28"/>
        <v>0.85699999999999998</v>
      </c>
      <c r="P178" s="1">
        <f t="shared" si="29"/>
        <v>42382.40347222222</v>
      </c>
      <c r="Q178" s="12">
        <f t="shared" si="30"/>
        <v>1.2305516265920411E-2</v>
      </c>
      <c r="AC178" s="39">
        <v>9.1295499999999998E-11</v>
      </c>
      <c r="AD178" s="39">
        <v>7.3503800000000001E-11</v>
      </c>
      <c r="AE178" s="39">
        <v>8.3567999999999998E-11</v>
      </c>
      <c r="AF178" s="39">
        <v>5.7445999999999997E-11</v>
      </c>
      <c r="AG178" s="39">
        <v>9.8739600000000001E-11</v>
      </c>
      <c r="AH178" s="39">
        <v>9.5434699999999999E-11</v>
      </c>
      <c r="AI178" s="39">
        <v>4.0900000000000002E-11</v>
      </c>
      <c r="AJ178" s="39">
        <v>1.13061E-10</v>
      </c>
      <c r="AK178" s="39">
        <v>4.4141300000000003E-11</v>
      </c>
      <c r="AL178" s="39">
        <v>9.4939999999999997E-11</v>
      </c>
      <c r="AM178" s="39">
        <v>8.5450700000000003E-11</v>
      </c>
      <c r="AN178" s="39">
        <v>1.9319000000000001E-10</v>
      </c>
    </row>
    <row r="179" spans="1:40" thickBot="1">
      <c r="A179" s="29" t="s">
        <v>412</v>
      </c>
      <c r="B179" s="30" t="s">
        <v>17</v>
      </c>
      <c r="C179" s="30">
        <v>56</v>
      </c>
      <c r="D179" s="30" t="s">
        <v>41</v>
      </c>
      <c r="E179" s="30">
        <v>1000</v>
      </c>
      <c r="F179" s="30">
        <v>31</v>
      </c>
      <c r="G179" s="30" t="s">
        <v>268</v>
      </c>
      <c r="H179" s="42" t="s">
        <v>46</v>
      </c>
      <c r="I179" s="30" t="s">
        <v>20</v>
      </c>
      <c r="J179" s="40" t="s">
        <v>75</v>
      </c>
      <c r="K179" s="46" t="str">
        <f t="shared" si="20"/>
        <v>lev OK</v>
      </c>
      <c r="L179" s="1">
        <f t="shared" si="21"/>
        <v>42382.967361111114</v>
      </c>
      <c r="M179" s="43"/>
      <c r="N179" s="11">
        <f t="shared" si="22"/>
        <v>0.69046534653320668</v>
      </c>
      <c r="O179" s="11">
        <f t="shared" si="28"/>
        <v>0.85699999999999998</v>
      </c>
      <c r="P179" s="1">
        <f t="shared" si="29"/>
        <v>42382.40347222222</v>
      </c>
      <c r="Q179" s="12">
        <f t="shared" si="30"/>
        <v>1.2305516265920411E-2</v>
      </c>
      <c r="AC179" s="39">
        <v>7.6185299999999998E-11</v>
      </c>
      <c r="AD179" s="39">
        <v>6.22973E-11</v>
      </c>
      <c r="AE179" s="39">
        <v>7.4455499999999994E-11</v>
      </c>
      <c r="AF179" s="39">
        <v>6.7732599999999997E-11</v>
      </c>
      <c r="AG179" s="39">
        <v>9.0832999999999998E-11</v>
      </c>
      <c r="AH179" s="39">
        <v>8.25266E-11</v>
      </c>
      <c r="AI179" s="39">
        <v>3.74999E-11</v>
      </c>
      <c r="AJ179" s="39">
        <v>9.5591199999999998E-11</v>
      </c>
      <c r="AK179" s="39">
        <v>4.1605499999999999E-11</v>
      </c>
      <c r="AL179" s="39">
        <v>8.2469200000000004E-11</v>
      </c>
      <c r="AM179" s="39">
        <v>7.3389800000000005E-11</v>
      </c>
      <c r="AN179" s="39">
        <v>1.2299099999999999E-10</v>
      </c>
    </row>
    <row r="180" spans="1:40" thickBot="1">
      <c r="A180" s="29" t="s">
        <v>413</v>
      </c>
      <c r="B180" s="30" t="s">
        <v>17</v>
      </c>
      <c r="C180" s="30">
        <v>56</v>
      </c>
      <c r="D180" s="30" t="s">
        <v>41</v>
      </c>
      <c r="E180" s="30">
        <v>1000</v>
      </c>
      <c r="F180" s="30">
        <v>32</v>
      </c>
      <c r="G180" s="30" t="s">
        <v>268</v>
      </c>
      <c r="H180" s="42" t="s">
        <v>46</v>
      </c>
      <c r="I180" s="30" t="s">
        <v>20</v>
      </c>
      <c r="J180" s="40" t="s">
        <v>75</v>
      </c>
      <c r="K180" s="46" t="str">
        <f t="shared" si="20"/>
        <v>lev OK</v>
      </c>
      <c r="L180" s="1">
        <f t="shared" si="21"/>
        <v>42383.006249999999</v>
      </c>
      <c r="M180" s="43"/>
      <c r="N180" s="11">
        <f t="shared" si="22"/>
        <v>0.6789801980195892</v>
      </c>
      <c r="O180" s="11">
        <f t="shared" si="28"/>
        <v>0.85699999999999998</v>
      </c>
      <c r="P180" s="1">
        <f t="shared" si="29"/>
        <v>42382.40347222222</v>
      </c>
      <c r="Q180" s="12">
        <f t="shared" si="30"/>
        <v>1.2305516265920411E-2</v>
      </c>
      <c r="AC180" s="39">
        <v>6.3643100000000005E-11</v>
      </c>
      <c r="AD180" s="39">
        <v>5.2681200000000001E-11</v>
      </c>
      <c r="AE180" s="39">
        <v>6.5442100000000006E-11</v>
      </c>
      <c r="AF180" s="39">
        <v>4.11042E-11</v>
      </c>
      <c r="AG180" s="39">
        <v>7.3378200000000004E-11</v>
      </c>
      <c r="AH180" s="39">
        <v>7.1365900000000006E-11</v>
      </c>
      <c r="AI180" s="39">
        <v>3.2441100000000002E-11</v>
      </c>
      <c r="AJ180" s="39">
        <v>8.0294399999999995E-11</v>
      </c>
      <c r="AK180" s="39">
        <v>3.7906399999999998E-11</v>
      </c>
      <c r="AL180" s="39">
        <v>7.2689399999999999E-11</v>
      </c>
      <c r="AM180" s="39">
        <v>6.0476399999999997E-11</v>
      </c>
      <c r="AN180" s="39">
        <v>8.8030299999999997E-11</v>
      </c>
    </row>
    <row r="181" spans="1:40" thickBot="1">
      <c r="A181" s="29" t="s">
        <v>414</v>
      </c>
      <c r="B181" s="30" t="s">
        <v>17</v>
      </c>
      <c r="C181" s="30">
        <v>56</v>
      </c>
      <c r="D181" s="30" t="s">
        <v>41</v>
      </c>
      <c r="E181" s="30">
        <v>1000</v>
      </c>
      <c r="F181" s="30">
        <v>31</v>
      </c>
      <c r="G181" s="30" t="s">
        <v>268</v>
      </c>
      <c r="H181" s="42" t="s">
        <v>46</v>
      </c>
      <c r="I181" s="30" t="s">
        <v>20</v>
      </c>
      <c r="J181" s="40" t="s">
        <v>75</v>
      </c>
      <c r="K181" s="46" t="str">
        <f t="shared" si="20"/>
        <v>lev OK</v>
      </c>
      <c r="L181" s="1">
        <f t="shared" si="21"/>
        <v>42383.04583333333</v>
      </c>
      <c r="M181" s="43"/>
      <c r="N181" s="11">
        <f t="shared" si="22"/>
        <v>0.66728995756753784</v>
      </c>
      <c r="O181" s="11">
        <f t="shared" si="28"/>
        <v>0.85699999999999998</v>
      </c>
      <c r="P181" s="1">
        <f t="shared" si="29"/>
        <v>42382.40347222222</v>
      </c>
      <c r="Q181" s="12">
        <f t="shared" si="30"/>
        <v>1.2305516265920411E-2</v>
      </c>
      <c r="AC181" s="39">
        <v>7.42877E-11</v>
      </c>
      <c r="AD181" s="39">
        <v>5.7309199999999997E-11</v>
      </c>
      <c r="AE181" s="39">
        <v>6.6181899999999996E-11</v>
      </c>
      <c r="AF181" s="39">
        <v>5.3106999999999998E-11</v>
      </c>
      <c r="AG181" s="39">
        <v>8.1792799999999997E-11</v>
      </c>
      <c r="AH181" s="39">
        <v>8.3143100000000003E-11</v>
      </c>
      <c r="AI181" s="39">
        <v>3.4027700000000001E-11</v>
      </c>
      <c r="AJ181" s="39">
        <v>8.8698100000000003E-11</v>
      </c>
      <c r="AK181" s="39">
        <v>4.1256499999999997E-11</v>
      </c>
      <c r="AL181" s="39">
        <v>7.8125999999999997E-11</v>
      </c>
      <c r="AM181" s="39">
        <v>6.6307599999999999E-11</v>
      </c>
      <c r="AN181" s="39">
        <v>1.15332E-10</v>
      </c>
    </row>
    <row r="182" spans="1:40" thickBot="1">
      <c r="A182" s="29" t="s">
        <v>415</v>
      </c>
      <c r="B182" s="30" t="s">
        <v>17</v>
      </c>
      <c r="C182" s="30">
        <v>56</v>
      </c>
      <c r="D182" s="30" t="s">
        <v>41</v>
      </c>
      <c r="E182" s="30">
        <v>1000</v>
      </c>
      <c r="F182" s="30">
        <v>31</v>
      </c>
      <c r="G182" s="30" t="s">
        <v>268</v>
      </c>
      <c r="H182" s="42" t="s">
        <v>46</v>
      </c>
      <c r="I182" s="30" t="s">
        <v>20</v>
      </c>
      <c r="J182" s="40" t="s">
        <v>75</v>
      </c>
      <c r="K182" s="46" t="str">
        <f t="shared" si="20"/>
        <v>lev OK</v>
      </c>
      <c r="L182" s="1">
        <f t="shared" si="21"/>
        <v>42383.085416666669</v>
      </c>
      <c r="M182" s="43"/>
      <c r="N182" s="11">
        <f t="shared" si="22"/>
        <v>0.65559971711333764</v>
      </c>
      <c r="O182" s="11">
        <f t="shared" si="28"/>
        <v>0.85699999999999998</v>
      </c>
      <c r="P182" s="1">
        <f t="shared" si="29"/>
        <v>42382.40347222222</v>
      </c>
      <c r="Q182" s="12">
        <f t="shared" si="30"/>
        <v>1.2305516265920411E-2</v>
      </c>
      <c r="AC182" s="39">
        <v>7.7832800000000005E-11</v>
      </c>
      <c r="AD182" s="39">
        <v>6.09694E-11</v>
      </c>
      <c r="AE182" s="39">
        <v>7.9326699999999994E-11</v>
      </c>
      <c r="AF182" s="39">
        <v>5.0547200000000002E-11</v>
      </c>
      <c r="AG182" s="39">
        <v>8.3998200000000002E-11</v>
      </c>
      <c r="AH182" s="39">
        <v>8.7611600000000001E-11</v>
      </c>
      <c r="AI182" s="39">
        <v>3.7680199999999999E-11</v>
      </c>
      <c r="AJ182" s="39">
        <v>9.5356799999999995E-11</v>
      </c>
      <c r="AK182" s="39">
        <v>4.2170799999999998E-11</v>
      </c>
      <c r="AL182" s="39">
        <v>8.5183599999999994E-11</v>
      </c>
      <c r="AM182" s="39">
        <v>7.4797200000000002E-11</v>
      </c>
      <c r="AN182" s="39">
        <v>1.10347E-10</v>
      </c>
    </row>
    <row r="183" spans="1:40" thickBot="1">
      <c r="A183" s="29" t="s">
        <v>416</v>
      </c>
      <c r="B183" s="30" t="s">
        <v>17</v>
      </c>
      <c r="C183" s="30">
        <v>56</v>
      </c>
      <c r="D183" s="30" t="s">
        <v>41</v>
      </c>
      <c r="E183" s="30">
        <v>1000</v>
      </c>
      <c r="F183" s="30">
        <v>32</v>
      </c>
      <c r="G183" s="30" t="s">
        <v>268</v>
      </c>
      <c r="H183" s="42" t="s">
        <v>46</v>
      </c>
      <c r="I183" s="30" t="s">
        <v>20</v>
      </c>
      <c r="J183" s="40" t="s">
        <v>75</v>
      </c>
      <c r="K183" s="46" t="str">
        <f t="shared" si="20"/>
        <v>lev OK</v>
      </c>
      <c r="L183" s="1">
        <f t="shared" si="21"/>
        <v>42383.124305555553</v>
      </c>
      <c r="M183" s="43"/>
      <c r="N183" s="11">
        <f t="shared" si="22"/>
        <v>0.64411456859972016</v>
      </c>
      <c r="O183" s="11">
        <f t="shared" si="28"/>
        <v>0.85699999999999998</v>
      </c>
      <c r="P183" s="1">
        <f t="shared" si="29"/>
        <v>42382.40347222222</v>
      </c>
      <c r="Q183" s="12">
        <f t="shared" si="30"/>
        <v>1.2305516265920411E-2</v>
      </c>
      <c r="AC183" s="39">
        <v>7.9232199999999998E-11</v>
      </c>
      <c r="AD183" s="39">
        <v>6.1275700000000006E-11</v>
      </c>
      <c r="AE183" s="39">
        <v>7.8003599999999999E-11</v>
      </c>
      <c r="AF183" s="39">
        <v>5.1496000000000001E-11</v>
      </c>
      <c r="AG183" s="39">
        <v>8.7925899999999999E-11</v>
      </c>
      <c r="AH183" s="39">
        <v>8.3346499999999998E-11</v>
      </c>
      <c r="AI183" s="39">
        <v>3.8110500000000002E-11</v>
      </c>
      <c r="AJ183" s="39">
        <v>9.8924799999999998E-11</v>
      </c>
      <c r="AK183" s="39">
        <v>4.3651000000000001E-11</v>
      </c>
      <c r="AL183" s="39">
        <v>8.6129699999999999E-11</v>
      </c>
      <c r="AM183" s="39">
        <v>7.4068400000000003E-11</v>
      </c>
      <c r="AN183" s="39">
        <v>1.05327E-10</v>
      </c>
    </row>
    <row r="184" spans="1:40" thickBot="1">
      <c r="A184" s="29" t="s">
        <v>417</v>
      </c>
      <c r="B184" s="30" t="s">
        <v>17</v>
      </c>
      <c r="C184" s="30">
        <v>56</v>
      </c>
      <c r="D184" s="30" t="s">
        <v>41</v>
      </c>
      <c r="E184" s="30">
        <v>1000</v>
      </c>
      <c r="F184" s="30">
        <v>32</v>
      </c>
      <c r="G184" s="30" t="s">
        <v>268</v>
      </c>
      <c r="H184" s="42" t="s">
        <v>46</v>
      </c>
      <c r="I184" s="30" t="s">
        <v>20</v>
      </c>
      <c r="J184" s="40" t="s">
        <v>75</v>
      </c>
      <c r="K184" s="46" t="str">
        <f t="shared" si="20"/>
        <v>lev OK</v>
      </c>
      <c r="L184" s="1">
        <f t="shared" si="21"/>
        <v>42383.163888888892</v>
      </c>
      <c r="M184" s="43"/>
      <c r="N184" s="11">
        <f t="shared" si="22"/>
        <v>0.63242432814551997</v>
      </c>
      <c r="O184" s="11">
        <f t="shared" si="28"/>
        <v>0.85699999999999998</v>
      </c>
      <c r="P184" s="1">
        <f t="shared" si="29"/>
        <v>42382.40347222222</v>
      </c>
      <c r="Q184" s="12">
        <f t="shared" si="30"/>
        <v>1.2305516265920411E-2</v>
      </c>
      <c r="AC184" s="39">
        <v>7.3744200000000003E-11</v>
      </c>
      <c r="AD184" s="39">
        <v>5.8830499999999997E-11</v>
      </c>
      <c r="AE184" s="39">
        <v>7.1406600000000004E-11</v>
      </c>
      <c r="AF184" s="39">
        <v>4.64228E-11</v>
      </c>
      <c r="AG184" s="39">
        <v>8.9168599999999994E-11</v>
      </c>
      <c r="AH184" s="39">
        <v>9.6774500000000005E-11</v>
      </c>
      <c r="AI184" s="39">
        <v>3.5127800000000002E-11</v>
      </c>
      <c r="AJ184" s="39">
        <v>1.2116E-10</v>
      </c>
      <c r="AK184" s="39">
        <v>3.9965799999999998E-11</v>
      </c>
      <c r="AL184" s="39">
        <v>8.1886499999999997E-11</v>
      </c>
      <c r="AM184" s="39">
        <v>6.8720199999999996E-11</v>
      </c>
      <c r="AN184" s="39">
        <v>1.03961E-10</v>
      </c>
    </row>
    <row r="185" spans="1:40" thickBot="1">
      <c r="A185" s="29" t="s">
        <v>418</v>
      </c>
      <c r="B185" s="30" t="s">
        <v>17</v>
      </c>
      <c r="C185" s="30">
        <v>56</v>
      </c>
      <c r="D185" s="30" t="s">
        <v>41</v>
      </c>
      <c r="E185" s="30">
        <v>1000</v>
      </c>
      <c r="F185" s="30">
        <v>31</v>
      </c>
      <c r="G185" s="30" t="s">
        <v>268</v>
      </c>
      <c r="H185" s="42" t="s">
        <v>46</v>
      </c>
      <c r="I185" s="30" t="s">
        <v>20</v>
      </c>
      <c r="J185" s="40" t="s">
        <v>75</v>
      </c>
      <c r="K185" s="46" t="str">
        <f t="shared" si="20"/>
        <v>lev OK</v>
      </c>
      <c r="L185" s="1">
        <f t="shared" si="21"/>
        <v>42383.203472222223</v>
      </c>
      <c r="M185" s="43"/>
      <c r="N185" s="11">
        <f t="shared" si="22"/>
        <v>0.62073408769346861</v>
      </c>
      <c r="O185" s="11">
        <f t="shared" si="28"/>
        <v>0.85699999999999998</v>
      </c>
      <c r="P185" s="1">
        <f t="shared" si="29"/>
        <v>42382.40347222222</v>
      </c>
      <c r="Q185" s="12">
        <f t="shared" si="30"/>
        <v>1.2305516265920411E-2</v>
      </c>
      <c r="AC185" s="39">
        <v>6.0406099999999999E-11</v>
      </c>
      <c r="AD185" s="39">
        <v>4.8115800000000003E-11</v>
      </c>
      <c r="AE185" s="39">
        <v>5.58232E-11</v>
      </c>
      <c r="AF185" s="39">
        <v>5.0722500000000002E-11</v>
      </c>
      <c r="AG185" s="39">
        <v>7.8964599999999997E-11</v>
      </c>
      <c r="AH185" s="39">
        <v>6.5855999999999997E-11</v>
      </c>
      <c r="AI185" s="39">
        <v>3.2441200000000001E-11</v>
      </c>
      <c r="AJ185" s="39">
        <v>7.7518299999999995E-11</v>
      </c>
      <c r="AK185" s="39">
        <v>3.52072E-11</v>
      </c>
      <c r="AL185" s="39">
        <v>6.3618099999999998E-11</v>
      </c>
      <c r="AM185" s="39">
        <v>5.6466099999999997E-11</v>
      </c>
      <c r="AN185" s="39">
        <v>9.3668899999999996E-11</v>
      </c>
    </row>
    <row r="186" spans="1:40" thickBot="1">
      <c r="A186" s="29" t="s">
        <v>419</v>
      </c>
      <c r="B186" s="30" t="s">
        <v>17</v>
      </c>
      <c r="C186" s="30">
        <v>56</v>
      </c>
      <c r="D186" s="30" t="s">
        <v>41</v>
      </c>
      <c r="E186" s="30">
        <v>1000</v>
      </c>
      <c r="F186" s="30">
        <v>31</v>
      </c>
      <c r="G186" s="30" t="s">
        <v>268</v>
      </c>
      <c r="H186" s="42" t="s">
        <v>46</v>
      </c>
      <c r="I186" s="30" t="s">
        <v>20</v>
      </c>
      <c r="J186" s="40" t="s">
        <v>75</v>
      </c>
      <c r="K186" s="46" t="str">
        <f t="shared" si="20"/>
        <v>lev OK</v>
      </c>
      <c r="L186" s="1">
        <f t="shared" si="21"/>
        <v>42383.243055555555</v>
      </c>
      <c r="M186" s="43"/>
      <c r="N186" s="11">
        <f t="shared" si="22"/>
        <v>0.60904384724141725</v>
      </c>
      <c r="O186" s="11">
        <f t="shared" si="28"/>
        <v>0.85699999999999998</v>
      </c>
      <c r="P186" s="1">
        <f t="shared" si="29"/>
        <v>42382.40347222222</v>
      </c>
      <c r="Q186" s="12">
        <f t="shared" si="30"/>
        <v>1.2305516265920411E-2</v>
      </c>
      <c r="AC186" s="39">
        <v>7.08722E-11</v>
      </c>
      <c r="AD186" s="39">
        <v>5.8686199999999997E-11</v>
      </c>
      <c r="AE186" s="39">
        <v>6.9373999999999997E-11</v>
      </c>
      <c r="AF186" s="39">
        <v>4.9126399999999999E-11</v>
      </c>
      <c r="AG186" s="39">
        <v>7.8682700000000001E-11</v>
      </c>
      <c r="AH186" s="39">
        <v>8.0732299999999998E-11</v>
      </c>
      <c r="AI186" s="39">
        <v>3.6023100000000001E-11</v>
      </c>
      <c r="AJ186" s="39">
        <v>8.9225200000000006E-11</v>
      </c>
      <c r="AK186" s="39">
        <v>3.8714999999999999E-11</v>
      </c>
      <c r="AL186" s="39">
        <v>7.5414199999999996E-11</v>
      </c>
      <c r="AM186" s="39">
        <v>6.8829399999999999E-11</v>
      </c>
      <c r="AN186" s="39">
        <v>1.11809E-10</v>
      </c>
    </row>
    <row r="187" spans="1:40" thickBot="1">
      <c r="A187" s="29" t="s">
        <v>420</v>
      </c>
      <c r="B187" s="30" t="s">
        <v>17</v>
      </c>
      <c r="C187" s="30">
        <v>56</v>
      </c>
      <c r="D187" s="30" t="s">
        <v>41</v>
      </c>
      <c r="E187" s="30">
        <v>1000</v>
      </c>
      <c r="F187" s="30">
        <v>31</v>
      </c>
      <c r="G187" s="30" t="s">
        <v>268</v>
      </c>
      <c r="H187" s="42" t="s">
        <v>46</v>
      </c>
      <c r="I187" s="30" t="s">
        <v>20</v>
      </c>
      <c r="J187" s="40" t="s">
        <v>75</v>
      </c>
      <c r="K187" s="46" t="str">
        <f t="shared" si="20"/>
        <v>lev OK</v>
      </c>
      <c r="L187" s="1">
        <f t="shared" si="21"/>
        <v>42383.281944444447</v>
      </c>
      <c r="M187" s="43"/>
      <c r="N187" s="11">
        <f t="shared" si="22"/>
        <v>0.59755869872565093</v>
      </c>
      <c r="O187" s="11">
        <f t="shared" si="28"/>
        <v>0.85699999999999998</v>
      </c>
      <c r="P187" s="1">
        <f t="shared" si="29"/>
        <v>42382.40347222222</v>
      </c>
      <c r="Q187" s="12">
        <f t="shared" si="30"/>
        <v>1.2305516265920411E-2</v>
      </c>
      <c r="AC187" s="39">
        <v>7.7503600000000001E-11</v>
      </c>
      <c r="AD187" s="39">
        <v>6.7523400000000001E-11</v>
      </c>
      <c r="AE187" s="39">
        <v>7.6018800000000005E-11</v>
      </c>
      <c r="AF187" s="39">
        <v>5.1584399999999998E-11</v>
      </c>
      <c r="AG187" s="39">
        <v>9.0169900000000004E-11</v>
      </c>
      <c r="AH187" s="39">
        <v>8.4163199999999996E-11</v>
      </c>
      <c r="AI187" s="39">
        <v>3.98062E-11</v>
      </c>
      <c r="AJ187" s="39">
        <v>9.74211E-11</v>
      </c>
      <c r="AK187" s="39">
        <v>3.97764E-11</v>
      </c>
      <c r="AL187" s="39">
        <v>9.1811700000000003E-11</v>
      </c>
      <c r="AM187" s="39">
        <v>7.4039500000000006E-11</v>
      </c>
      <c r="AN187" s="39">
        <v>9.8945500000000005E-11</v>
      </c>
    </row>
    <row r="188" spans="1:40" thickBot="1">
      <c r="A188" s="29" t="s">
        <v>421</v>
      </c>
      <c r="B188" s="30" t="s">
        <v>17</v>
      </c>
      <c r="C188" s="30">
        <v>56</v>
      </c>
      <c r="D188" s="30" t="s">
        <v>41</v>
      </c>
      <c r="E188" s="30">
        <v>1000</v>
      </c>
      <c r="F188" s="30">
        <v>32</v>
      </c>
      <c r="G188" s="30" t="s">
        <v>268</v>
      </c>
      <c r="H188" s="42" t="s">
        <v>46</v>
      </c>
      <c r="I188" s="30" t="s">
        <v>20</v>
      </c>
      <c r="J188" s="40" t="s">
        <v>75</v>
      </c>
      <c r="K188" s="46" t="str">
        <f t="shared" si="20"/>
        <v>lev OK</v>
      </c>
      <c r="L188" s="1">
        <f t="shared" si="21"/>
        <v>42383.321527777778</v>
      </c>
      <c r="M188" s="43"/>
      <c r="N188" s="11">
        <f t="shared" si="22"/>
        <v>0.58586845827359946</v>
      </c>
      <c r="O188" s="11">
        <f t="shared" si="28"/>
        <v>0.85699999999999998</v>
      </c>
      <c r="P188" s="1">
        <f t="shared" si="29"/>
        <v>42382.40347222222</v>
      </c>
      <c r="Q188" s="12">
        <f t="shared" si="30"/>
        <v>1.2305516265920411E-2</v>
      </c>
      <c r="AC188" s="39">
        <v>6.7991399999999996E-11</v>
      </c>
      <c r="AD188" s="39">
        <v>5.4594400000000003E-11</v>
      </c>
      <c r="AE188" s="39">
        <v>6.5837000000000002E-11</v>
      </c>
      <c r="AF188" s="39">
        <v>5.1509100000000002E-11</v>
      </c>
      <c r="AG188" s="39">
        <v>8.1376100000000005E-11</v>
      </c>
      <c r="AH188" s="39">
        <v>8.1168399999999997E-11</v>
      </c>
      <c r="AI188" s="39">
        <v>3.4646300000000001E-11</v>
      </c>
      <c r="AJ188" s="39">
        <v>8.5395299999999998E-11</v>
      </c>
      <c r="AK188" s="39">
        <v>3.9375900000000002E-11</v>
      </c>
      <c r="AL188" s="39">
        <v>7.5456600000000005E-11</v>
      </c>
      <c r="AM188" s="39">
        <v>6.5286200000000005E-11</v>
      </c>
      <c r="AN188" s="39">
        <v>1.0796599999999999E-10</v>
      </c>
    </row>
    <row r="189" spans="1:40" thickBot="1">
      <c r="A189" s="29" t="s">
        <v>422</v>
      </c>
      <c r="B189" s="30" t="s">
        <v>17</v>
      </c>
      <c r="C189" s="30">
        <v>56</v>
      </c>
      <c r="D189" s="30" t="s">
        <v>41</v>
      </c>
      <c r="E189" s="30">
        <v>1000</v>
      </c>
      <c r="F189" s="30">
        <v>32</v>
      </c>
      <c r="G189" s="30" t="s">
        <v>268</v>
      </c>
      <c r="H189" s="42" t="s">
        <v>46</v>
      </c>
      <c r="I189" s="30" t="s">
        <v>20</v>
      </c>
      <c r="J189" s="40" t="s">
        <v>75</v>
      </c>
      <c r="K189" s="46" t="str">
        <f t="shared" si="20"/>
        <v>lev OK</v>
      </c>
      <c r="L189" s="1">
        <f t="shared" si="21"/>
        <v>42383.361111111109</v>
      </c>
      <c r="M189" s="43"/>
      <c r="N189" s="11">
        <f t="shared" si="22"/>
        <v>0.5741782178215481</v>
      </c>
      <c r="O189" s="11">
        <f t="shared" si="28"/>
        <v>0.85699999999999998</v>
      </c>
      <c r="P189" s="1">
        <f t="shared" si="29"/>
        <v>42382.40347222222</v>
      </c>
      <c r="Q189" s="12">
        <f t="shared" si="30"/>
        <v>1.2305516265920411E-2</v>
      </c>
      <c r="AC189" s="39">
        <v>8.5555100000000002E-11</v>
      </c>
      <c r="AD189" s="39">
        <v>7.1007199999999995E-11</v>
      </c>
      <c r="AE189" s="39">
        <v>8.5827400000000001E-11</v>
      </c>
      <c r="AF189" s="39">
        <v>7.0603499999999998E-11</v>
      </c>
      <c r="AG189" s="39">
        <v>1.0265800000000001E-10</v>
      </c>
      <c r="AH189" s="39">
        <v>1.0653000000000001E-10</v>
      </c>
      <c r="AI189" s="39">
        <v>4.2243699999999998E-11</v>
      </c>
      <c r="AJ189" s="39">
        <v>1.05948E-10</v>
      </c>
      <c r="AK189" s="39">
        <v>4.5633999999999997E-11</v>
      </c>
      <c r="AL189" s="39">
        <v>9.3042599999999998E-11</v>
      </c>
      <c r="AM189" s="39">
        <v>8.1978699999999997E-11</v>
      </c>
      <c r="AN189" s="39">
        <v>1.13764E-10</v>
      </c>
    </row>
    <row r="190" spans="1:40" thickBot="1">
      <c r="A190" s="29" t="s">
        <v>423</v>
      </c>
      <c r="B190" s="30" t="s">
        <v>17</v>
      </c>
      <c r="C190" s="30">
        <v>56</v>
      </c>
      <c r="D190" s="30" t="s">
        <v>41</v>
      </c>
      <c r="E190" s="30">
        <v>1000</v>
      </c>
      <c r="F190" s="30">
        <v>31</v>
      </c>
      <c r="G190" s="30" t="s">
        <v>268</v>
      </c>
      <c r="H190" s="42" t="s">
        <v>55</v>
      </c>
      <c r="I190" s="30" t="s">
        <v>20</v>
      </c>
      <c r="J190" s="40" t="s">
        <v>75</v>
      </c>
      <c r="K190" s="44" t="str">
        <f t="shared" ref="K190:K209" si="31">IF(AND(N190&lt;0.7,N190&gt;0.2),"lev OK","lev BAD")</f>
        <v>lev OK</v>
      </c>
      <c r="L190" s="1">
        <f t="shared" ref="L190:L209" si="32">DATE(2000+MID(A190,3,2),MID(A190,5,2),MID(A190,7,2))+TIME(MID(A190,10,2),MID(A190,12,2),0)</f>
        <v>42383.476388888892</v>
      </c>
      <c r="M190" s="43"/>
      <c r="N190" s="11">
        <f t="shared" si="22"/>
        <v>0.53567391304237799</v>
      </c>
      <c r="O190" s="12">
        <v>0.56699999999999995</v>
      </c>
      <c r="P190" s="1">
        <v>42383.385416666664</v>
      </c>
      <c r="Q190" s="11">
        <f>(O190-R190)/(S190-P190)/24</f>
        <v>1.4347826086593395E-2</v>
      </c>
      <c r="R190" s="12">
        <v>0.51200000000000001</v>
      </c>
      <c r="S190" s="1">
        <v>42383.545138888891</v>
      </c>
      <c r="AC190" s="39">
        <v>6.4669900000000002E-11</v>
      </c>
      <c r="AD190" s="39">
        <v>4.6372200000000001E-11</v>
      </c>
      <c r="AE190" s="39">
        <v>6.3303999999999999E-11</v>
      </c>
      <c r="AF190" s="39">
        <v>4.1879299999999998E-11</v>
      </c>
      <c r="AG190" s="39">
        <v>7.1456899999999999E-11</v>
      </c>
      <c r="AH190" s="39">
        <v>8.1109899999999999E-11</v>
      </c>
      <c r="AI190" s="39">
        <v>3.3021000000000002E-11</v>
      </c>
      <c r="AJ190" s="39">
        <v>8.3110199999999997E-11</v>
      </c>
      <c r="AK190" s="39">
        <v>3.9998099999999999E-11</v>
      </c>
      <c r="AL190" s="39">
        <v>6.4695900000000005E-11</v>
      </c>
      <c r="AM190" s="39">
        <v>6.1318100000000003E-11</v>
      </c>
      <c r="AN190" s="39">
        <v>5.0559100000000002E-11</v>
      </c>
    </row>
    <row r="191" spans="1:40" thickBot="1">
      <c r="A191" s="29" t="s">
        <v>424</v>
      </c>
      <c r="B191" s="30" t="s">
        <v>17</v>
      </c>
      <c r="C191" s="30">
        <v>56</v>
      </c>
      <c r="D191" s="30" t="s">
        <v>41</v>
      </c>
      <c r="E191" s="30">
        <v>1000</v>
      </c>
      <c r="F191" s="30">
        <v>31</v>
      </c>
      <c r="G191" s="30" t="s">
        <v>268</v>
      </c>
      <c r="H191" s="42" t="s">
        <v>55</v>
      </c>
      <c r="I191" s="30" t="s">
        <v>20</v>
      </c>
      <c r="J191" s="40" t="s">
        <v>75</v>
      </c>
      <c r="K191" s="44" t="str">
        <f t="shared" si="31"/>
        <v>lev OK</v>
      </c>
      <c r="L191" s="1">
        <f t="shared" si="32"/>
        <v>42383.515277777777</v>
      </c>
      <c r="M191" s="43"/>
      <c r="N191" s="11">
        <f t="shared" si="22"/>
        <v>0.52228260869633847</v>
      </c>
      <c r="O191" s="11">
        <f>O190</f>
        <v>0.56699999999999995</v>
      </c>
      <c r="P191" s="1">
        <f>P190</f>
        <v>42383.385416666664</v>
      </c>
      <c r="Q191" s="12">
        <f>Q190</f>
        <v>1.4347826086593395E-2</v>
      </c>
      <c r="AC191" s="39">
        <v>1.2499799999999999E-10</v>
      </c>
      <c r="AD191" s="39">
        <v>6.5865800000000006E-11</v>
      </c>
      <c r="AE191" s="39">
        <v>9.2816500000000005E-11</v>
      </c>
      <c r="AF191" s="39">
        <v>6.7268E-11</v>
      </c>
      <c r="AG191" s="39">
        <v>1.2223400000000001E-10</v>
      </c>
      <c r="AH191" s="39">
        <v>1.06361E-10</v>
      </c>
      <c r="AI191" s="39">
        <v>4.9377999999999997E-11</v>
      </c>
      <c r="AJ191" s="39">
        <v>1.1958800000000001E-10</v>
      </c>
      <c r="AK191" s="39">
        <v>9.9877899999999998E-11</v>
      </c>
      <c r="AL191" s="39">
        <v>1.1878499999999999E-10</v>
      </c>
      <c r="AM191" s="39">
        <v>1.1363E-10</v>
      </c>
      <c r="AN191" s="39">
        <v>8.5083200000000004E-11</v>
      </c>
    </row>
    <row r="192" spans="1:40" thickBot="1">
      <c r="A192" s="29" t="s">
        <v>425</v>
      </c>
      <c r="B192" s="30" t="s">
        <v>17</v>
      </c>
      <c r="C192" s="30">
        <v>56</v>
      </c>
      <c r="D192" s="30" t="s">
        <v>41</v>
      </c>
      <c r="E192" s="30">
        <v>1000</v>
      </c>
      <c r="F192" s="30">
        <v>35</v>
      </c>
      <c r="G192" s="30" t="s">
        <v>268</v>
      </c>
      <c r="H192" s="42" t="s">
        <v>46</v>
      </c>
      <c r="I192" s="30" t="s">
        <v>20</v>
      </c>
      <c r="J192" s="40" t="s">
        <v>75</v>
      </c>
      <c r="K192" s="44" t="str">
        <f t="shared" si="31"/>
        <v>lev BAD</v>
      </c>
      <c r="L192" s="1">
        <f t="shared" si="32"/>
        <v>42383.635416666664</v>
      </c>
      <c r="M192" s="43"/>
      <c r="N192" s="11">
        <f t="shared" si="22"/>
        <v>0.83331304347990143</v>
      </c>
      <c r="O192" s="12">
        <v>0.85799999999999998</v>
      </c>
      <c r="P192" s="1">
        <v>42383.576388888891</v>
      </c>
      <c r="Q192" s="11">
        <f>(O192-R192)/(S192-P192)/24</f>
        <v>1.7426086956557018E-2</v>
      </c>
      <c r="R192" s="12">
        <v>0.52400000000000002</v>
      </c>
      <c r="S192" s="1">
        <v>42384.375</v>
      </c>
      <c r="AC192" s="39">
        <v>1.33707E-10</v>
      </c>
      <c r="AD192" s="39">
        <v>9.7720399999999998E-11</v>
      </c>
      <c r="AE192" s="39">
        <v>1.07896E-10</v>
      </c>
      <c r="AF192" s="39">
        <v>7.1004899999999998E-11</v>
      </c>
      <c r="AG192" s="39">
        <v>1.50624E-10</v>
      </c>
      <c r="AH192" s="39">
        <v>1.1989900000000001E-10</v>
      </c>
      <c r="AI192" s="39">
        <v>5.5714500000000001E-11</v>
      </c>
      <c r="AJ192" s="39">
        <v>1.3730999999999999E-10</v>
      </c>
      <c r="AK192" s="39">
        <v>9.7959499999999999E-11</v>
      </c>
      <c r="AL192" s="39">
        <v>1.3392200000000001E-10</v>
      </c>
      <c r="AM192" s="39">
        <v>1.2515499999999999E-10</v>
      </c>
      <c r="AN192" s="39">
        <v>1.7348699999999999E-10</v>
      </c>
    </row>
    <row r="193" spans="1:40" thickBot="1">
      <c r="A193" s="29" t="s">
        <v>426</v>
      </c>
      <c r="B193" s="30" t="s">
        <v>17</v>
      </c>
      <c r="C193" s="30">
        <v>56</v>
      </c>
      <c r="D193" s="30" t="s">
        <v>41</v>
      </c>
      <c r="E193" s="30">
        <v>1000</v>
      </c>
      <c r="F193" s="30">
        <v>31</v>
      </c>
      <c r="G193" s="30" t="s">
        <v>268</v>
      </c>
      <c r="H193" s="42" t="s">
        <v>46</v>
      </c>
      <c r="I193" s="30" t="s">
        <v>20</v>
      </c>
      <c r="J193" s="40" t="s">
        <v>75</v>
      </c>
      <c r="K193" s="44" t="str">
        <f t="shared" si="31"/>
        <v>lev BAD</v>
      </c>
      <c r="L193" s="1">
        <f t="shared" si="32"/>
        <v>42383.7</v>
      </c>
      <c r="M193" s="43"/>
      <c r="N193" s="11">
        <f t="shared" si="22"/>
        <v>0.80630260869744097</v>
      </c>
      <c r="O193" s="11">
        <f t="shared" ref="O193:O209" si="33">O192</f>
        <v>0.85799999999999998</v>
      </c>
      <c r="P193" s="1">
        <f t="shared" ref="P193:P209" si="34">P192</f>
        <v>42383.576388888891</v>
      </c>
      <c r="Q193" s="12">
        <f t="shared" ref="Q193:Q209" si="35">Q192</f>
        <v>1.7426086956557018E-2</v>
      </c>
      <c r="AC193" s="39">
        <v>5.0931700000000003E-10</v>
      </c>
      <c r="AD193" s="39">
        <v>4.2440399999999999E-10</v>
      </c>
      <c r="AE193" s="39">
        <v>4.2368400000000001E-10</v>
      </c>
      <c r="AF193" s="39">
        <v>2.8382299999999998E-10</v>
      </c>
      <c r="AG193" s="39">
        <v>3.4145499999999999E-10</v>
      </c>
      <c r="AH193" s="39">
        <v>4.4127600000000002E-10</v>
      </c>
      <c r="AI193" s="39">
        <v>1.9378100000000001E-10</v>
      </c>
      <c r="AJ193" s="39">
        <v>5.2931599999999995E-10</v>
      </c>
      <c r="AK193" s="39">
        <v>1.6881600000000001E-10</v>
      </c>
      <c r="AL193" s="39">
        <v>4.9917599999999999E-10</v>
      </c>
      <c r="AM193" s="39">
        <v>4.4741899999999998E-10</v>
      </c>
      <c r="AN193" s="39">
        <v>3.3444900000000001E-10</v>
      </c>
    </row>
    <row r="194" spans="1:40" thickBot="1">
      <c r="A194" s="29" t="s">
        <v>427</v>
      </c>
      <c r="B194" s="30" t="s">
        <v>17</v>
      </c>
      <c r="C194" s="30">
        <v>56</v>
      </c>
      <c r="D194" s="30" t="s">
        <v>41</v>
      </c>
      <c r="E194" s="30">
        <v>1000</v>
      </c>
      <c r="F194" s="30">
        <v>32</v>
      </c>
      <c r="G194" s="30" t="s">
        <v>268</v>
      </c>
      <c r="H194" s="42" t="s">
        <v>46</v>
      </c>
      <c r="I194" s="30" t="s">
        <v>20</v>
      </c>
      <c r="J194" s="40" t="s">
        <v>75</v>
      </c>
      <c r="K194" s="44" t="str">
        <f t="shared" si="31"/>
        <v>lev BAD</v>
      </c>
      <c r="L194" s="1">
        <f t="shared" si="32"/>
        <v>42383.739583333336</v>
      </c>
      <c r="M194" s="43"/>
      <c r="N194" s="11">
        <f t="shared" si="22"/>
        <v>0.7897478260864802</v>
      </c>
      <c r="O194" s="11">
        <f t="shared" si="33"/>
        <v>0.85799999999999998</v>
      </c>
      <c r="P194" s="1">
        <f t="shared" si="34"/>
        <v>42383.576388888891</v>
      </c>
      <c r="Q194" s="12">
        <f t="shared" si="35"/>
        <v>1.7426086956557018E-2</v>
      </c>
      <c r="AC194" s="39">
        <v>5.7206400000000002E-10</v>
      </c>
      <c r="AD194" s="39">
        <v>4.7178899999999997E-10</v>
      </c>
      <c r="AE194" s="39">
        <v>4.8446200000000002E-10</v>
      </c>
      <c r="AF194" s="39">
        <v>3.1647300000000002E-10</v>
      </c>
      <c r="AG194" s="39">
        <v>4.8652799999999996E-10</v>
      </c>
      <c r="AH194" s="39">
        <v>4.8475799999999997E-10</v>
      </c>
      <c r="AI194" s="39">
        <v>2.1661599999999999E-10</v>
      </c>
      <c r="AJ194" s="39">
        <v>6.1126300000000004E-10</v>
      </c>
      <c r="AK194" s="39">
        <v>1.89986E-10</v>
      </c>
      <c r="AL194" s="39">
        <v>5.6396300000000001E-10</v>
      </c>
      <c r="AM194" s="39">
        <v>5.3306300000000004E-10</v>
      </c>
      <c r="AN194" s="39">
        <v>3.8276599999999998E-10</v>
      </c>
    </row>
    <row r="195" spans="1:40" thickBot="1">
      <c r="A195" s="29" t="s">
        <v>428</v>
      </c>
      <c r="B195" s="30" t="s">
        <v>17</v>
      </c>
      <c r="C195" s="30">
        <v>56</v>
      </c>
      <c r="D195" s="30" t="s">
        <v>41</v>
      </c>
      <c r="E195" s="30">
        <v>1000</v>
      </c>
      <c r="F195" s="30">
        <v>32</v>
      </c>
      <c r="G195" s="30" t="s">
        <v>268</v>
      </c>
      <c r="H195" s="42" t="s">
        <v>46</v>
      </c>
      <c r="I195" s="30" t="s">
        <v>20</v>
      </c>
      <c r="J195" s="40" t="s">
        <v>75</v>
      </c>
      <c r="K195" s="44" t="str">
        <f t="shared" si="31"/>
        <v>lev BAD</v>
      </c>
      <c r="L195" s="1">
        <f t="shared" si="32"/>
        <v>42383.779166666667</v>
      </c>
      <c r="M195" s="43"/>
      <c r="N195" s="11">
        <f t="shared" si="22"/>
        <v>0.77319304347856255</v>
      </c>
      <c r="O195" s="11">
        <f t="shared" si="33"/>
        <v>0.85799999999999998</v>
      </c>
      <c r="P195" s="1">
        <f t="shared" si="34"/>
        <v>42383.576388888891</v>
      </c>
      <c r="Q195" s="12">
        <f t="shared" si="35"/>
        <v>1.7426086956557018E-2</v>
      </c>
      <c r="AC195" s="39">
        <v>8.3853899999999997E-10</v>
      </c>
      <c r="AD195" s="39">
        <v>6.8363000000000005E-10</v>
      </c>
      <c r="AE195" s="39">
        <v>7.08719E-10</v>
      </c>
      <c r="AF195" s="39">
        <v>4.7372200000000001E-10</v>
      </c>
      <c r="AG195" s="39">
        <v>6.6697399999999996E-10</v>
      </c>
      <c r="AH195" s="39">
        <v>7.0343899999999999E-10</v>
      </c>
      <c r="AI195" s="39">
        <v>3.1963199999999998E-10</v>
      </c>
      <c r="AJ195" s="39">
        <v>8.8700000000000004E-10</v>
      </c>
      <c r="AK195" s="39">
        <v>2.7283500000000002E-10</v>
      </c>
      <c r="AL195" s="39">
        <v>8.2004400000000003E-10</v>
      </c>
      <c r="AM195" s="39">
        <v>7.3567100000000001E-10</v>
      </c>
      <c r="AN195" s="39">
        <v>5.4718500000000001E-10</v>
      </c>
    </row>
    <row r="196" spans="1:40" thickBot="1">
      <c r="A196" s="29" t="s">
        <v>429</v>
      </c>
      <c r="B196" s="30" t="s">
        <v>17</v>
      </c>
      <c r="C196" s="30">
        <v>56</v>
      </c>
      <c r="D196" s="30" t="s">
        <v>41</v>
      </c>
      <c r="E196" s="30">
        <v>1000</v>
      </c>
      <c r="F196" s="30">
        <v>32</v>
      </c>
      <c r="G196" s="30" t="s">
        <v>268</v>
      </c>
      <c r="H196" s="42" t="s">
        <v>46</v>
      </c>
      <c r="I196" s="30" t="s">
        <v>20</v>
      </c>
      <c r="J196" s="40" t="s">
        <v>75</v>
      </c>
      <c r="K196" s="44" t="str">
        <f t="shared" si="31"/>
        <v>lev BAD</v>
      </c>
      <c r="L196" s="1">
        <f t="shared" si="32"/>
        <v>42383.818749999999</v>
      </c>
      <c r="M196" s="43"/>
      <c r="N196" s="11">
        <f t="shared" ref="N196:N210" si="36">O196-(L196-P196)*24*Q196</f>
        <v>0.75663826087064479</v>
      </c>
      <c r="O196" s="11">
        <f t="shared" si="33"/>
        <v>0.85799999999999998</v>
      </c>
      <c r="P196" s="1">
        <f t="shared" si="34"/>
        <v>42383.576388888891</v>
      </c>
      <c r="Q196" s="12">
        <f t="shared" si="35"/>
        <v>1.7426086956557018E-2</v>
      </c>
      <c r="AC196" s="39">
        <v>3.5880800000000001E-10</v>
      </c>
      <c r="AD196" s="39">
        <v>2.9868900000000002E-10</v>
      </c>
      <c r="AE196" s="39">
        <v>3.0915000000000001E-10</v>
      </c>
      <c r="AF196" s="39">
        <v>1.9835599999999999E-10</v>
      </c>
      <c r="AG196" s="39">
        <v>2.7145599999999998E-10</v>
      </c>
      <c r="AH196" s="39">
        <v>3.0797199999999999E-10</v>
      </c>
      <c r="AI196" s="39">
        <v>1.3779E-10</v>
      </c>
      <c r="AJ196" s="39">
        <v>3.7947300000000001E-10</v>
      </c>
      <c r="AK196" s="39">
        <v>1.1920699999999999E-10</v>
      </c>
      <c r="AL196" s="39">
        <v>3.5562200000000003E-10</v>
      </c>
      <c r="AM196" s="39">
        <v>3.1659300000000002E-10</v>
      </c>
      <c r="AN196" s="39">
        <v>2.4143899999999999E-10</v>
      </c>
    </row>
    <row r="197" spans="1:40" thickBot="1">
      <c r="A197" s="29" t="s">
        <v>430</v>
      </c>
      <c r="B197" s="30" t="s">
        <v>17</v>
      </c>
      <c r="C197" s="30">
        <v>56</v>
      </c>
      <c r="D197" s="30" t="s">
        <v>41</v>
      </c>
      <c r="E197" s="30">
        <v>1000</v>
      </c>
      <c r="F197" s="30">
        <v>32</v>
      </c>
      <c r="G197" s="30" t="s">
        <v>268</v>
      </c>
      <c r="H197" s="42" t="s">
        <v>46</v>
      </c>
      <c r="I197" s="30" t="s">
        <v>20</v>
      </c>
      <c r="J197" s="40" t="s">
        <v>75</v>
      </c>
      <c r="K197" s="44" t="str">
        <f t="shared" si="31"/>
        <v>lev BAD</v>
      </c>
      <c r="L197" s="1">
        <f t="shared" si="32"/>
        <v>42383.85833333333</v>
      </c>
      <c r="M197" s="43"/>
      <c r="N197" s="11">
        <f t="shared" si="36"/>
        <v>0.74008347826272713</v>
      </c>
      <c r="O197" s="11">
        <f t="shared" si="33"/>
        <v>0.85799999999999998</v>
      </c>
      <c r="P197" s="1">
        <f t="shared" si="34"/>
        <v>42383.576388888891</v>
      </c>
      <c r="Q197" s="12">
        <f t="shared" si="35"/>
        <v>1.7426086956557018E-2</v>
      </c>
      <c r="AC197" s="39">
        <v>1.68278E-10</v>
      </c>
      <c r="AD197" s="39">
        <v>1.3933199999999999E-10</v>
      </c>
      <c r="AE197" s="39">
        <v>1.58579E-10</v>
      </c>
      <c r="AF197" s="39">
        <v>9.4932200000000005E-11</v>
      </c>
      <c r="AG197" s="39">
        <v>1.8127999999999999E-10</v>
      </c>
      <c r="AH197" s="39">
        <v>1.5129100000000001E-10</v>
      </c>
      <c r="AI197" s="39">
        <v>6.7428499999999994E-11</v>
      </c>
      <c r="AJ197" s="39">
        <v>1.8275500000000001E-10</v>
      </c>
      <c r="AK197" s="39">
        <v>6.3628500000000004E-11</v>
      </c>
      <c r="AL197" s="39">
        <v>1.6634899999999999E-10</v>
      </c>
      <c r="AM197" s="39">
        <v>1.5118800000000001E-10</v>
      </c>
      <c r="AN197" s="39">
        <v>1.5350600000000001E-10</v>
      </c>
    </row>
    <row r="198" spans="1:40" thickBot="1">
      <c r="A198" s="29" t="s">
        <v>431</v>
      </c>
      <c r="B198" s="30" t="s">
        <v>17</v>
      </c>
      <c r="C198" s="30">
        <v>56</v>
      </c>
      <c r="D198" s="30" t="s">
        <v>41</v>
      </c>
      <c r="E198" s="30">
        <v>1000</v>
      </c>
      <c r="F198" s="30">
        <v>31</v>
      </c>
      <c r="G198" s="30" t="s">
        <v>268</v>
      </c>
      <c r="H198" s="42" t="s">
        <v>46</v>
      </c>
      <c r="I198" s="30" t="s">
        <v>20</v>
      </c>
      <c r="J198" s="40" t="s">
        <v>75</v>
      </c>
      <c r="K198" s="44" t="str">
        <f t="shared" si="31"/>
        <v>lev BAD</v>
      </c>
      <c r="L198" s="1">
        <f t="shared" si="32"/>
        <v>42383.897222222222</v>
      </c>
      <c r="M198" s="43"/>
      <c r="N198" s="11">
        <f t="shared" si="36"/>
        <v>0.72381913043532242</v>
      </c>
      <c r="O198" s="11">
        <f t="shared" si="33"/>
        <v>0.85799999999999998</v>
      </c>
      <c r="P198" s="1">
        <f t="shared" si="34"/>
        <v>42383.576388888891</v>
      </c>
      <c r="Q198" s="12">
        <f t="shared" si="35"/>
        <v>1.7426086956557018E-2</v>
      </c>
      <c r="AC198" s="39">
        <v>2.1344599999999999E-10</v>
      </c>
      <c r="AD198" s="39">
        <v>1.7537300000000001E-10</v>
      </c>
      <c r="AE198" s="39">
        <v>1.9638700000000001E-10</v>
      </c>
      <c r="AF198" s="39">
        <v>1.2415900000000001E-10</v>
      </c>
      <c r="AG198" s="39">
        <v>2.0106E-10</v>
      </c>
      <c r="AH198" s="39">
        <v>1.98559E-10</v>
      </c>
      <c r="AI198" s="39">
        <v>8.4836400000000004E-11</v>
      </c>
      <c r="AJ198" s="39">
        <v>2.3389200000000002E-10</v>
      </c>
      <c r="AK198" s="39">
        <v>7.7081400000000001E-11</v>
      </c>
      <c r="AL198" s="39">
        <v>2.12905E-10</v>
      </c>
      <c r="AM198" s="39">
        <v>1.9180499999999999E-10</v>
      </c>
      <c r="AN198" s="39">
        <v>1.94675E-10</v>
      </c>
    </row>
    <row r="199" spans="1:40" thickBot="1">
      <c r="A199" s="29" t="s">
        <v>432</v>
      </c>
      <c r="B199" s="30" t="s">
        <v>17</v>
      </c>
      <c r="C199" s="30">
        <v>56</v>
      </c>
      <c r="D199" s="30" t="s">
        <v>41</v>
      </c>
      <c r="E199" s="30">
        <v>1000</v>
      </c>
      <c r="F199" s="30">
        <v>32</v>
      </c>
      <c r="G199" s="30" t="s">
        <v>268</v>
      </c>
      <c r="H199" s="42" t="s">
        <v>46</v>
      </c>
      <c r="I199" s="30" t="s">
        <v>20</v>
      </c>
      <c r="J199" s="40" t="s">
        <v>75</v>
      </c>
      <c r="K199" s="44" t="str">
        <f t="shared" si="31"/>
        <v>lev BAD</v>
      </c>
      <c r="L199" s="1">
        <f t="shared" si="32"/>
        <v>42383.936805555553</v>
      </c>
      <c r="M199" s="43"/>
      <c r="N199" s="11">
        <f t="shared" si="36"/>
        <v>0.70726434782740477</v>
      </c>
      <c r="O199" s="11">
        <f t="shared" si="33"/>
        <v>0.85799999999999998</v>
      </c>
      <c r="P199" s="1">
        <f t="shared" si="34"/>
        <v>42383.576388888891</v>
      </c>
      <c r="Q199" s="12">
        <f t="shared" si="35"/>
        <v>1.7426086956557018E-2</v>
      </c>
      <c r="AC199" s="39">
        <v>9.6824400000000002E-11</v>
      </c>
      <c r="AD199" s="39">
        <v>7.9414800000000005E-11</v>
      </c>
      <c r="AE199" s="39">
        <v>1.08655E-10</v>
      </c>
      <c r="AF199" s="39">
        <v>7.0966299999999998E-11</v>
      </c>
      <c r="AG199" s="39">
        <v>1.1104699999999999E-10</v>
      </c>
      <c r="AH199" s="39">
        <v>9.9103700000000002E-11</v>
      </c>
      <c r="AI199" s="39">
        <v>4.2830100000000002E-11</v>
      </c>
      <c r="AJ199" s="39">
        <v>1.12789E-10</v>
      </c>
      <c r="AK199" s="39">
        <v>4.4288700000000002E-11</v>
      </c>
      <c r="AL199" s="39">
        <v>9.8163199999999999E-11</v>
      </c>
      <c r="AM199" s="39">
        <v>1.17828E-10</v>
      </c>
      <c r="AN199" s="39">
        <v>1.06674E-10</v>
      </c>
    </row>
    <row r="200" spans="1:40" thickBot="1">
      <c r="A200" s="29" t="s">
        <v>433</v>
      </c>
      <c r="B200" s="30" t="s">
        <v>17</v>
      </c>
      <c r="C200" s="30">
        <v>56</v>
      </c>
      <c r="D200" s="30" t="s">
        <v>41</v>
      </c>
      <c r="E200" s="30">
        <v>1000</v>
      </c>
      <c r="F200" s="30">
        <v>31</v>
      </c>
      <c r="G200" s="30" t="s">
        <v>268</v>
      </c>
      <c r="H200" s="42" t="s">
        <v>46</v>
      </c>
      <c r="I200" s="30" t="s">
        <v>20</v>
      </c>
      <c r="J200" s="40" t="s">
        <v>75</v>
      </c>
      <c r="K200" s="44" t="str">
        <f t="shared" si="31"/>
        <v>lev OK</v>
      </c>
      <c r="L200" s="1">
        <f t="shared" si="32"/>
        <v>42383.976388888892</v>
      </c>
      <c r="M200" s="43"/>
      <c r="N200" s="11">
        <f t="shared" si="36"/>
        <v>0.690709565216444</v>
      </c>
      <c r="O200" s="11">
        <f t="shared" si="33"/>
        <v>0.85799999999999998</v>
      </c>
      <c r="P200" s="1">
        <f t="shared" si="34"/>
        <v>42383.576388888891</v>
      </c>
      <c r="Q200" s="12">
        <f t="shared" si="35"/>
        <v>1.7426086956557018E-2</v>
      </c>
      <c r="AC200" s="39">
        <v>1.4109199999999999E-10</v>
      </c>
      <c r="AD200" s="39">
        <v>1.15795E-10</v>
      </c>
      <c r="AE200" s="39">
        <v>1.32346E-10</v>
      </c>
      <c r="AF200" s="39">
        <v>8.6383700000000006E-11</v>
      </c>
      <c r="AG200" s="39">
        <v>1.47833E-10</v>
      </c>
      <c r="AH200" s="39">
        <v>1.3569799999999999E-10</v>
      </c>
      <c r="AI200" s="39">
        <v>5.7233700000000002E-11</v>
      </c>
      <c r="AJ200" s="39">
        <v>1.5750700000000001E-10</v>
      </c>
      <c r="AK200" s="39">
        <v>5.7860399999999999E-11</v>
      </c>
      <c r="AL200" s="39">
        <v>1.4413700000000001E-10</v>
      </c>
      <c r="AM200" s="39">
        <v>1.27735E-10</v>
      </c>
      <c r="AN200" s="39">
        <v>1.3054E-10</v>
      </c>
    </row>
    <row r="201" spans="1:40" thickBot="1">
      <c r="A201" s="29" t="s">
        <v>434</v>
      </c>
      <c r="B201" s="30" t="s">
        <v>17</v>
      </c>
      <c r="C201" s="30">
        <v>56</v>
      </c>
      <c r="D201" s="30" t="s">
        <v>41</v>
      </c>
      <c r="E201" s="30">
        <v>1000</v>
      </c>
      <c r="F201" s="30">
        <v>31</v>
      </c>
      <c r="G201" s="30" t="s">
        <v>268</v>
      </c>
      <c r="H201" s="42" t="s">
        <v>46</v>
      </c>
      <c r="I201" s="30" t="s">
        <v>20</v>
      </c>
      <c r="J201" s="40" t="s">
        <v>75</v>
      </c>
      <c r="K201" s="44" t="str">
        <f t="shared" si="31"/>
        <v>lev OK</v>
      </c>
      <c r="L201" s="1">
        <f t="shared" si="32"/>
        <v>42384.015972222223</v>
      </c>
      <c r="M201" s="43"/>
      <c r="N201" s="11">
        <f t="shared" si="36"/>
        <v>0.67415478260852635</v>
      </c>
      <c r="O201" s="11">
        <f t="shared" si="33"/>
        <v>0.85799999999999998</v>
      </c>
      <c r="P201" s="1">
        <f t="shared" si="34"/>
        <v>42383.576388888891</v>
      </c>
      <c r="Q201" s="12">
        <f t="shared" si="35"/>
        <v>1.7426086956557018E-2</v>
      </c>
      <c r="AC201" s="39">
        <v>6.64056E-11</v>
      </c>
      <c r="AD201" s="39">
        <v>5.5140400000000001E-11</v>
      </c>
      <c r="AE201" s="39">
        <v>6.6297600000000004E-11</v>
      </c>
      <c r="AF201" s="39">
        <v>5.0886000000000003E-11</v>
      </c>
      <c r="AG201" s="39">
        <v>8.0454100000000006E-11</v>
      </c>
      <c r="AH201" s="39">
        <v>7.3409399999999998E-11</v>
      </c>
      <c r="AI201" s="39">
        <v>3.2251499999999998E-11</v>
      </c>
      <c r="AJ201" s="39">
        <v>8.4839400000000004E-11</v>
      </c>
      <c r="AK201" s="39">
        <v>3.7809599999999998E-11</v>
      </c>
      <c r="AL201" s="39">
        <v>6.9356999999999994E-11</v>
      </c>
      <c r="AM201" s="39">
        <v>1.1991E-10</v>
      </c>
      <c r="AN201" s="39">
        <v>8.3603399999999999E-11</v>
      </c>
    </row>
    <row r="202" spans="1:40" thickBot="1">
      <c r="A202" s="29" t="s">
        <v>435</v>
      </c>
      <c r="B202" s="30" t="s">
        <v>17</v>
      </c>
      <c r="C202" s="30">
        <v>56</v>
      </c>
      <c r="D202" s="30" t="s">
        <v>41</v>
      </c>
      <c r="E202" s="30">
        <v>1000</v>
      </c>
      <c r="F202" s="30">
        <v>32</v>
      </c>
      <c r="G202" s="30" t="s">
        <v>268</v>
      </c>
      <c r="H202" s="42" t="s">
        <v>46</v>
      </c>
      <c r="I202" s="30" t="s">
        <v>20</v>
      </c>
      <c r="J202" s="40" t="s">
        <v>75</v>
      </c>
      <c r="K202" s="44" t="str">
        <f t="shared" si="31"/>
        <v>lev OK</v>
      </c>
      <c r="L202" s="1">
        <f t="shared" si="32"/>
        <v>42384.054861111108</v>
      </c>
      <c r="M202" s="43"/>
      <c r="N202" s="11">
        <f t="shared" si="36"/>
        <v>0.65789043478416454</v>
      </c>
      <c r="O202" s="11">
        <f t="shared" si="33"/>
        <v>0.85799999999999998</v>
      </c>
      <c r="P202" s="1">
        <f t="shared" si="34"/>
        <v>42383.576388888891</v>
      </c>
      <c r="Q202" s="12">
        <f t="shared" si="35"/>
        <v>1.7426086956557018E-2</v>
      </c>
      <c r="AC202" s="39">
        <v>7.8511800000000001E-11</v>
      </c>
      <c r="AD202" s="39">
        <v>6.3774300000000004E-11</v>
      </c>
      <c r="AE202" s="39">
        <v>8.0354499999999999E-11</v>
      </c>
      <c r="AF202" s="39">
        <v>5.5705200000000002E-11</v>
      </c>
      <c r="AG202" s="39">
        <v>1.01601E-10</v>
      </c>
      <c r="AH202" s="39">
        <v>8.5699099999999996E-11</v>
      </c>
      <c r="AI202" s="39">
        <v>3.6894200000000002E-11</v>
      </c>
      <c r="AJ202" s="39">
        <v>9.7137900000000003E-11</v>
      </c>
      <c r="AK202" s="39">
        <v>3.9199799999999999E-11</v>
      </c>
      <c r="AL202" s="39">
        <v>8.2235000000000001E-11</v>
      </c>
      <c r="AM202" s="39">
        <v>7.5236600000000005E-11</v>
      </c>
      <c r="AN202" s="39">
        <v>9.8280399999999994E-11</v>
      </c>
    </row>
    <row r="203" spans="1:40" thickBot="1">
      <c r="A203" s="29" t="s">
        <v>436</v>
      </c>
      <c r="B203" s="30" t="s">
        <v>17</v>
      </c>
      <c r="C203" s="30">
        <v>56</v>
      </c>
      <c r="D203" s="30" t="s">
        <v>41</v>
      </c>
      <c r="E203" s="30">
        <v>1000</v>
      </c>
      <c r="F203" s="30">
        <v>31</v>
      </c>
      <c r="G203" s="30" t="s">
        <v>268</v>
      </c>
      <c r="H203" s="42" t="s">
        <v>46</v>
      </c>
      <c r="I203" s="30" t="s">
        <v>20</v>
      </c>
      <c r="J203" s="40" t="s">
        <v>75</v>
      </c>
      <c r="K203" s="44" t="str">
        <f t="shared" si="31"/>
        <v>lev OK</v>
      </c>
      <c r="L203" s="1">
        <f t="shared" si="32"/>
        <v>42384.094444444447</v>
      </c>
      <c r="M203" s="43"/>
      <c r="N203" s="11">
        <f t="shared" si="36"/>
        <v>0.64133565217320387</v>
      </c>
      <c r="O203" s="11">
        <f t="shared" si="33"/>
        <v>0.85799999999999998</v>
      </c>
      <c r="P203" s="1">
        <f t="shared" si="34"/>
        <v>42383.576388888891</v>
      </c>
      <c r="Q203" s="12">
        <f t="shared" si="35"/>
        <v>1.7426086956557018E-2</v>
      </c>
      <c r="AC203" s="39">
        <v>8.78631E-11</v>
      </c>
      <c r="AD203" s="39">
        <v>7.0854200000000001E-11</v>
      </c>
      <c r="AE203" s="39">
        <v>8.38099E-11</v>
      </c>
      <c r="AF203" s="39">
        <v>6.8406699999999994E-11</v>
      </c>
      <c r="AG203" s="39">
        <v>1.08956E-10</v>
      </c>
      <c r="AH203" s="39">
        <v>9.9754100000000006E-11</v>
      </c>
      <c r="AI203" s="39">
        <v>4.07681E-11</v>
      </c>
      <c r="AJ203" s="39">
        <v>1.0830799999999999E-10</v>
      </c>
      <c r="AK203" s="39">
        <v>4.2968400000000002E-11</v>
      </c>
      <c r="AL203" s="39">
        <v>9.2452699999999996E-11</v>
      </c>
      <c r="AM203" s="39">
        <v>8.7733200000000003E-11</v>
      </c>
      <c r="AN203" s="39">
        <v>1.5997200000000001E-10</v>
      </c>
    </row>
    <row r="204" spans="1:40" thickBot="1">
      <c r="A204" s="29" t="s">
        <v>437</v>
      </c>
      <c r="B204" s="30" t="s">
        <v>17</v>
      </c>
      <c r="C204" s="30">
        <v>56</v>
      </c>
      <c r="D204" s="30" t="s">
        <v>41</v>
      </c>
      <c r="E204" s="30">
        <v>1000</v>
      </c>
      <c r="F204" s="30">
        <v>31</v>
      </c>
      <c r="G204" s="30" t="s">
        <v>268</v>
      </c>
      <c r="H204" s="42" t="s">
        <v>46</v>
      </c>
      <c r="I204" s="30" t="s">
        <v>20</v>
      </c>
      <c r="J204" s="40" t="s">
        <v>75</v>
      </c>
      <c r="K204" s="44" t="str">
        <f t="shared" si="31"/>
        <v>lev OK</v>
      </c>
      <c r="L204" s="1">
        <f t="shared" si="32"/>
        <v>42384.134027777778</v>
      </c>
      <c r="M204" s="43"/>
      <c r="N204" s="11">
        <f t="shared" si="36"/>
        <v>0.62478086956528622</v>
      </c>
      <c r="O204" s="11">
        <f t="shared" si="33"/>
        <v>0.85799999999999998</v>
      </c>
      <c r="P204" s="1">
        <f t="shared" si="34"/>
        <v>42383.576388888891</v>
      </c>
      <c r="Q204" s="12">
        <f t="shared" si="35"/>
        <v>1.7426086956557018E-2</v>
      </c>
      <c r="AC204" s="39">
        <v>1.07952E-10</v>
      </c>
      <c r="AD204" s="39">
        <v>8.7379499999999995E-11</v>
      </c>
      <c r="AE204" s="39">
        <v>1.10668E-10</v>
      </c>
      <c r="AF204" s="39">
        <v>7.3123500000000006E-11</v>
      </c>
      <c r="AG204" s="39">
        <v>1.21196E-10</v>
      </c>
      <c r="AH204" s="39">
        <v>1.11356E-10</v>
      </c>
      <c r="AI204" s="39">
        <v>4.5682100000000001E-11</v>
      </c>
      <c r="AJ204" s="39">
        <v>1.26557E-10</v>
      </c>
      <c r="AK204" s="39">
        <v>4.8923300000000003E-11</v>
      </c>
      <c r="AL204" s="39">
        <v>1.0890300000000001E-10</v>
      </c>
      <c r="AM204" s="39">
        <v>1.01487E-10</v>
      </c>
      <c r="AN204" s="39">
        <v>1.2854499999999999E-10</v>
      </c>
    </row>
    <row r="205" spans="1:40" thickBot="1">
      <c r="A205" s="29" t="s">
        <v>438</v>
      </c>
      <c r="B205" s="30" t="s">
        <v>17</v>
      </c>
      <c r="C205" s="30">
        <v>56</v>
      </c>
      <c r="D205" s="30" t="s">
        <v>41</v>
      </c>
      <c r="E205" s="30">
        <v>1000</v>
      </c>
      <c r="F205" s="30">
        <v>31</v>
      </c>
      <c r="G205" s="30" t="s">
        <v>268</v>
      </c>
      <c r="H205" s="42" t="s">
        <v>46</v>
      </c>
      <c r="I205" s="30" t="s">
        <v>20</v>
      </c>
      <c r="J205" s="40" t="s">
        <v>75</v>
      </c>
      <c r="K205" s="44" t="str">
        <f t="shared" si="31"/>
        <v>lev OK</v>
      </c>
      <c r="L205" s="1">
        <f t="shared" si="32"/>
        <v>42384.173611111109</v>
      </c>
      <c r="M205" s="43"/>
      <c r="N205" s="11">
        <f t="shared" si="36"/>
        <v>0.60822608695736846</v>
      </c>
      <c r="O205" s="11">
        <f t="shared" si="33"/>
        <v>0.85799999999999998</v>
      </c>
      <c r="P205" s="1">
        <f t="shared" si="34"/>
        <v>42383.576388888891</v>
      </c>
      <c r="Q205" s="12">
        <f t="shared" si="35"/>
        <v>1.7426086956557018E-2</v>
      </c>
      <c r="AC205" s="39">
        <v>9.4148599999999999E-11</v>
      </c>
      <c r="AD205" s="39">
        <v>7.6138400000000002E-11</v>
      </c>
      <c r="AE205" s="39">
        <v>8.7946399999999994E-11</v>
      </c>
      <c r="AF205" s="39">
        <v>6.10228E-11</v>
      </c>
      <c r="AG205" s="39">
        <v>1.1733499999999999E-10</v>
      </c>
      <c r="AH205" s="39">
        <v>1.02576E-10</v>
      </c>
      <c r="AI205" s="39">
        <v>4.3498000000000001E-11</v>
      </c>
      <c r="AJ205" s="39">
        <v>1.14515E-10</v>
      </c>
      <c r="AK205" s="39">
        <v>4.8415699999999999E-11</v>
      </c>
      <c r="AL205" s="39">
        <v>9.8896400000000005E-11</v>
      </c>
      <c r="AM205" s="39">
        <v>8.8666899999999997E-11</v>
      </c>
      <c r="AN205" s="39">
        <v>1.20169E-10</v>
      </c>
    </row>
    <row r="206" spans="1:40" thickBot="1">
      <c r="A206" s="29" t="s">
        <v>439</v>
      </c>
      <c r="B206" s="30" t="s">
        <v>17</v>
      </c>
      <c r="C206" s="30">
        <v>56</v>
      </c>
      <c r="D206" s="30" t="s">
        <v>41</v>
      </c>
      <c r="E206" s="30">
        <v>1000</v>
      </c>
      <c r="F206" s="30">
        <v>32</v>
      </c>
      <c r="G206" s="30" t="s">
        <v>268</v>
      </c>
      <c r="H206" s="42" t="s">
        <v>46</v>
      </c>
      <c r="I206" s="30" t="s">
        <v>20</v>
      </c>
      <c r="J206" s="40" t="s">
        <v>75</v>
      </c>
      <c r="K206" s="44" t="str">
        <f t="shared" si="31"/>
        <v>lev OK</v>
      </c>
      <c r="L206" s="1">
        <f t="shared" si="32"/>
        <v>42384.212500000001</v>
      </c>
      <c r="M206" s="43"/>
      <c r="N206" s="11">
        <f t="shared" si="36"/>
        <v>0.59196173912996386</v>
      </c>
      <c r="O206" s="11">
        <f t="shared" si="33"/>
        <v>0.85799999999999998</v>
      </c>
      <c r="P206" s="1">
        <f t="shared" si="34"/>
        <v>42383.576388888891</v>
      </c>
      <c r="Q206" s="12">
        <f t="shared" si="35"/>
        <v>1.7426086956557018E-2</v>
      </c>
      <c r="AC206" s="39">
        <v>6.49795E-11</v>
      </c>
      <c r="AD206" s="39">
        <v>5.4792500000000001E-11</v>
      </c>
      <c r="AE206" s="39">
        <v>6.71846E-11</v>
      </c>
      <c r="AF206" s="39">
        <v>4.96853E-11</v>
      </c>
      <c r="AG206" s="39">
        <v>8.8927599999999994E-11</v>
      </c>
      <c r="AH206" s="39">
        <v>7.0751199999999996E-11</v>
      </c>
      <c r="AI206" s="39">
        <v>3.1845399999999999E-11</v>
      </c>
      <c r="AJ206" s="39">
        <v>8.2061800000000004E-11</v>
      </c>
      <c r="AK206" s="39">
        <v>3.6845500000000001E-11</v>
      </c>
      <c r="AL206" s="39">
        <v>6.6134499999999995E-11</v>
      </c>
      <c r="AM206" s="39">
        <v>5.9385100000000003E-11</v>
      </c>
      <c r="AN206" s="39">
        <v>9.4677700000000006E-11</v>
      </c>
    </row>
    <row r="207" spans="1:40" thickBot="1">
      <c r="A207" s="29" t="s">
        <v>440</v>
      </c>
      <c r="B207" s="30" t="s">
        <v>17</v>
      </c>
      <c r="C207" s="30">
        <v>56</v>
      </c>
      <c r="D207" s="30" t="s">
        <v>41</v>
      </c>
      <c r="E207" s="30">
        <v>1000</v>
      </c>
      <c r="F207" s="30">
        <v>31</v>
      </c>
      <c r="G207" s="30" t="s">
        <v>268</v>
      </c>
      <c r="H207" s="42" t="s">
        <v>46</v>
      </c>
      <c r="I207" s="30" t="s">
        <v>20</v>
      </c>
      <c r="J207" s="40" t="s">
        <v>75</v>
      </c>
      <c r="K207" s="44" t="str">
        <f t="shared" si="31"/>
        <v>lev OK</v>
      </c>
      <c r="L207" s="1">
        <f t="shared" si="32"/>
        <v>42384.252083333333</v>
      </c>
      <c r="M207" s="43"/>
      <c r="N207" s="11">
        <f t="shared" si="36"/>
        <v>0.5754069565220461</v>
      </c>
      <c r="O207" s="11">
        <f t="shared" si="33"/>
        <v>0.85799999999999998</v>
      </c>
      <c r="P207" s="1">
        <f t="shared" si="34"/>
        <v>42383.576388888891</v>
      </c>
      <c r="Q207" s="12">
        <f t="shared" si="35"/>
        <v>1.7426086956557018E-2</v>
      </c>
      <c r="AC207" s="39">
        <v>6.6934000000000004E-11</v>
      </c>
      <c r="AD207" s="39">
        <v>5.41355E-11</v>
      </c>
      <c r="AE207" s="39">
        <v>7.4510899999999999E-11</v>
      </c>
      <c r="AF207" s="39">
        <v>4.6520500000000002E-11</v>
      </c>
      <c r="AG207" s="39">
        <v>9.0156000000000006E-11</v>
      </c>
      <c r="AH207" s="39">
        <v>7.4652199999999999E-11</v>
      </c>
      <c r="AI207" s="39">
        <v>3.3709200000000003E-11</v>
      </c>
      <c r="AJ207" s="39">
        <v>8.6132899999999998E-11</v>
      </c>
      <c r="AK207" s="39">
        <v>3.8899900000000003E-11</v>
      </c>
      <c r="AL207" s="39">
        <v>7.3303800000000004E-11</v>
      </c>
      <c r="AM207" s="39">
        <v>6.2161099999999997E-11</v>
      </c>
      <c r="AN207" s="39">
        <v>9.0899699999999999E-11</v>
      </c>
    </row>
    <row r="208" spans="1:40" thickBot="1">
      <c r="A208" s="29" t="s">
        <v>441</v>
      </c>
      <c r="B208" s="30" t="s">
        <v>17</v>
      </c>
      <c r="C208" s="30">
        <v>56</v>
      </c>
      <c r="D208" s="30" t="s">
        <v>41</v>
      </c>
      <c r="E208" s="30">
        <v>1000</v>
      </c>
      <c r="F208" s="30">
        <v>31</v>
      </c>
      <c r="G208" s="30" t="s">
        <v>268</v>
      </c>
      <c r="H208" s="42" t="s">
        <v>46</v>
      </c>
      <c r="I208" s="30" t="s">
        <v>20</v>
      </c>
      <c r="J208" s="40" t="s">
        <v>75</v>
      </c>
      <c r="K208" s="44" t="str">
        <f t="shared" si="31"/>
        <v>lev OK</v>
      </c>
      <c r="L208" s="1">
        <f t="shared" si="32"/>
        <v>42384.291666666664</v>
      </c>
      <c r="M208" s="43"/>
      <c r="N208" s="11">
        <f t="shared" si="36"/>
        <v>0.55885217391412834</v>
      </c>
      <c r="O208" s="11">
        <f t="shared" si="33"/>
        <v>0.85799999999999998</v>
      </c>
      <c r="P208" s="1">
        <f t="shared" si="34"/>
        <v>42383.576388888891</v>
      </c>
      <c r="Q208" s="12">
        <f t="shared" si="35"/>
        <v>1.7426086956557018E-2</v>
      </c>
      <c r="AC208" s="39">
        <v>7.7203900000000005E-11</v>
      </c>
      <c r="AD208" s="39">
        <v>6.2270600000000006E-11</v>
      </c>
      <c r="AE208" s="39">
        <v>7.3700999999999997E-11</v>
      </c>
      <c r="AF208" s="39">
        <v>5.0698299999999998E-11</v>
      </c>
      <c r="AG208" s="39">
        <v>9.8053599999999997E-11</v>
      </c>
      <c r="AH208" s="39">
        <v>8.5593300000000004E-11</v>
      </c>
      <c r="AI208" s="39">
        <v>3.75564E-11</v>
      </c>
      <c r="AJ208" s="39">
        <v>9.5129499999999994E-11</v>
      </c>
      <c r="AK208" s="39">
        <v>4.1860800000000001E-11</v>
      </c>
      <c r="AL208" s="39">
        <v>8.2522800000000004E-11</v>
      </c>
      <c r="AM208" s="39">
        <v>7.4071699999999995E-11</v>
      </c>
      <c r="AN208" s="39">
        <v>1.0801E-10</v>
      </c>
    </row>
    <row r="209" spans="1:40" thickBot="1">
      <c r="A209" s="29" t="s">
        <v>442</v>
      </c>
      <c r="B209" s="30" t="s">
        <v>17</v>
      </c>
      <c r="C209" s="30">
        <v>56</v>
      </c>
      <c r="D209" s="30" t="s">
        <v>41</v>
      </c>
      <c r="E209" s="30">
        <v>1000</v>
      </c>
      <c r="F209" s="30">
        <v>32</v>
      </c>
      <c r="G209" s="30" t="s">
        <v>268</v>
      </c>
      <c r="H209" s="42" t="s">
        <v>46</v>
      </c>
      <c r="I209" s="30" t="s">
        <v>20</v>
      </c>
      <c r="J209" s="40" t="s">
        <v>75</v>
      </c>
      <c r="K209" s="44" t="str">
        <f t="shared" si="31"/>
        <v>lev OK</v>
      </c>
      <c r="L209" s="1">
        <f t="shared" si="32"/>
        <v>42384.331250000003</v>
      </c>
      <c r="M209" s="43"/>
      <c r="N209" s="11">
        <f t="shared" si="36"/>
        <v>0.54229739130316768</v>
      </c>
      <c r="O209" s="11">
        <f t="shared" si="33"/>
        <v>0.85799999999999998</v>
      </c>
      <c r="P209" s="1">
        <f t="shared" si="34"/>
        <v>42383.576388888891</v>
      </c>
      <c r="Q209" s="12">
        <f t="shared" si="35"/>
        <v>1.7426086956557018E-2</v>
      </c>
      <c r="AC209" s="39">
        <v>6.9673400000000002E-11</v>
      </c>
      <c r="AD209" s="39">
        <v>5.6441400000000001E-11</v>
      </c>
      <c r="AE209" s="39">
        <v>6.7457800000000002E-11</v>
      </c>
      <c r="AF209" s="39">
        <v>4.5067900000000002E-11</v>
      </c>
      <c r="AG209" s="39">
        <v>9.4360199999999997E-11</v>
      </c>
      <c r="AH209" s="39">
        <v>8.0159999999999998E-11</v>
      </c>
      <c r="AI209" s="39">
        <v>3.4307999999999998E-11</v>
      </c>
      <c r="AJ209" s="39">
        <v>9.00637E-11</v>
      </c>
      <c r="AK209" s="39">
        <v>3.96514E-11</v>
      </c>
      <c r="AL209" s="39">
        <v>7.5439600000000002E-11</v>
      </c>
      <c r="AM209" s="39">
        <v>6.7216600000000003E-11</v>
      </c>
      <c r="AN209" s="39">
        <v>9.1005900000000003E-11</v>
      </c>
    </row>
    <row r="210" spans="1:40" thickBot="1">
      <c r="A210" s="29" t="s">
        <v>443</v>
      </c>
      <c r="B210" s="30" t="s">
        <v>17</v>
      </c>
      <c r="C210" s="30">
        <v>56</v>
      </c>
      <c r="D210" s="30" t="s">
        <v>41</v>
      </c>
      <c r="E210" s="30">
        <v>1000</v>
      </c>
      <c r="F210" s="30">
        <v>31</v>
      </c>
      <c r="G210" s="30" t="s">
        <v>268</v>
      </c>
      <c r="H210" s="42" t="s">
        <v>19</v>
      </c>
      <c r="I210" s="30" t="s">
        <v>20</v>
      </c>
      <c r="J210" s="40" t="s">
        <v>75</v>
      </c>
      <c r="K210" s="46" t="s">
        <v>402</v>
      </c>
      <c r="L210" s="1">
        <f t="shared" ref="L210:L241" si="37">DATE(2000+MID(A210,3,2),MID(A210,5,2),MID(A210,7,2))+TIME(MID(A210,10,2),MID(A210,12,2),0)</f>
        <v>42384.772916666669</v>
      </c>
      <c r="M210" s="43"/>
      <c r="N210" s="11">
        <f t="shared" si="36"/>
        <v>0.86080936454727808</v>
      </c>
      <c r="O210" s="12">
        <v>0.89100000000000001</v>
      </c>
      <c r="P210" s="1">
        <v>42384.666666666664</v>
      </c>
      <c r="Q210" s="11">
        <f>(O210-R210)/(S210-P210)/24</f>
        <v>1.1839464882933923E-2</v>
      </c>
      <c r="R210" s="12">
        <v>0.65500000000000003</v>
      </c>
      <c r="S210" s="1">
        <v>42385.49722222222</v>
      </c>
      <c r="AC210" s="39">
        <v>7.3890700000000006E-11</v>
      </c>
      <c r="AD210" s="39">
        <v>6.2169499999999999E-11</v>
      </c>
      <c r="AE210" s="39">
        <v>7.3757900000000002E-11</v>
      </c>
      <c r="AF210" s="39">
        <v>5.8025100000000001E-11</v>
      </c>
      <c r="AG210" s="39">
        <v>5.9052199999999996E-11</v>
      </c>
      <c r="AH210" s="39">
        <v>8.3779900000000001E-11</v>
      </c>
      <c r="AI210" s="39">
        <v>3.52116E-11</v>
      </c>
      <c r="AJ210" s="39">
        <v>5.09506E-11</v>
      </c>
      <c r="AK210" s="39">
        <v>3.9515099999999998E-11</v>
      </c>
      <c r="AL210" s="39">
        <v>7.8297000000000004E-11</v>
      </c>
      <c r="AM210" s="39">
        <v>7.0575900000000002E-11</v>
      </c>
      <c r="AN210" s="39">
        <v>1.21621E-10</v>
      </c>
    </row>
    <row r="211" spans="1:40" thickBot="1">
      <c r="A211" s="29" t="s">
        <v>444</v>
      </c>
      <c r="B211" s="30" t="s">
        <v>17</v>
      </c>
      <c r="C211" s="30">
        <v>56</v>
      </c>
      <c r="D211" s="30" t="s">
        <v>41</v>
      </c>
      <c r="E211" s="30">
        <v>1000</v>
      </c>
      <c r="F211" s="30">
        <v>32</v>
      </c>
      <c r="G211" s="30" t="s">
        <v>268</v>
      </c>
      <c r="H211" s="42" t="s">
        <v>19</v>
      </c>
      <c r="I211" s="30" t="s">
        <v>20</v>
      </c>
      <c r="J211" s="40" t="s">
        <v>75</v>
      </c>
      <c r="K211" s="46" t="s">
        <v>402</v>
      </c>
      <c r="L211" s="1">
        <f t="shared" si="37"/>
        <v>42384.8125</v>
      </c>
      <c r="M211" s="43"/>
      <c r="N211" s="11">
        <f t="shared" ref="N211:N229" si="38">O211-(L211-P211)*24*Q211</f>
        <v>0.84956187290904217</v>
      </c>
      <c r="O211" s="11">
        <f t="shared" ref="O211:O228" si="39">O210</f>
        <v>0.89100000000000001</v>
      </c>
      <c r="P211" s="1">
        <f t="shared" ref="P211:P228" si="40">P210</f>
        <v>42384.666666666664</v>
      </c>
      <c r="Q211" s="12">
        <f t="shared" ref="Q211:Q228" si="41">Q210</f>
        <v>1.1839464882933923E-2</v>
      </c>
      <c r="AC211" s="39">
        <v>9.9315400000000006E-11</v>
      </c>
      <c r="AD211" s="39">
        <v>8.1802699999999999E-11</v>
      </c>
      <c r="AE211" s="39">
        <v>9.1957399999999997E-11</v>
      </c>
      <c r="AF211" s="39">
        <v>6.135E-11</v>
      </c>
      <c r="AG211" s="39">
        <v>7.3146899999999995E-11</v>
      </c>
      <c r="AH211" s="39">
        <v>1.05827E-10</v>
      </c>
      <c r="AI211" s="39">
        <v>4.4375100000000001E-11</v>
      </c>
      <c r="AJ211" s="39">
        <v>5.2317199999999999E-11</v>
      </c>
      <c r="AK211" s="39">
        <v>4.6895100000000003E-11</v>
      </c>
      <c r="AL211" s="39">
        <v>1.01692E-10</v>
      </c>
      <c r="AM211" s="39">
        <v>9.5070599999999998E-11</v>
      </c>
      <c r="AN211" s="39">
        <v>1.9693999999999999E-10</v>
      </c>
    </row>
    <row r="212" spans="1:40" thickBot="1">
      <c r="A212" s="29" t="s">
        <v>445</v>
      </c>
      <c r="B212" s="30" t="s">
        <v>17</v>
      </c>
      <c r="C212" s="30">
        <v>56</v>
      </c>
      <c r="D212" s="30" t="s">
        <v>41</v>
      </c>
      <c r="E212" s="30">
        <v>1000</v>
      </c>
      <c r="F212" s="30">
        <v>32</v>
      </c>
      <c r="G212" s="30" t="s">
        <v>268</v>
      </c>
      <c r="H212" s="42" t="s">
        <v>19</v>
      </c>
      <c r="I212" s="30" t="s">
        <v>20</v>
      </c>
      <c r="J212" s="40" t="s">
        <v>75</v>
      </c>
      <c r="K212" s="46" t="s">
        <v>402</v>
      </c>
      <c r="L212" s="1">
        <f t="shared" si="37"/>
        <v>42384.851388888892</v>
      </c>
      <c r="M212" s="43"/>
      <c r="N212" s="11">
        <f t="shared" si="38"/>
        <v>0.83851170568409761</v>
      </c>
      <c r="O212" s="11">
        <f t="shared" si="39"/>
        <v>0.89100000000000001</v>
      </c>
      <c r="P212" s="1">
        <f t="shared" si="40"/>
        <v>42384.666666666664</v>
      </c>
      <c r="Q212" s="12">
        <f t="shared" si="41"/>
        <v>1.1839464882933923E-2</v>
      </c>
      <c r="AC212" s="39">
        <v>9.7146100000000006E-11</v>
      </c>
      <c r="AD212" s="39">
        <v>8.0918199999999998E-11</v>
      </c>
      <c r="AE212" s="39">
        <v>9.0428900000000003E-11</v>
      </c>
      <c r="AF212" s="39">
        <v>6.0353099999999997E-11</v>
      </c>
      <c r="AG212" s="39">
        <v>7.3257900000000004E-11</v>
      </c>
      <c r="AH212" s="39">
        <v>1.0000499999999999E-10</v>
      </c>
      <c r="AI212" s="39">
        <v>4.5151200000000002E-11</v>
      </c>
      <c r="AJ212" s="39">
        <v>4.9609100000000001E-11</v>
      </c>
      <c r="AK212" s="39">
        <v>4.7012299999999997E-11</v>
      </c>
      <c r="AL212" s="39">
        <v>9.4498299999999998E-11</v>
      </c>
      <c r="AM212" s="39">
        <v>8.9395299999999997E-11</v>
      </c>
      <c r="AN212" s="39">
        <v>1.50413E-10</v>
      </c>
    </row>
    <row r="213" spans="1:40" thickBot="1">
      <c r="A213" s="29" t="s">
        <v>446</v>
      </c>
      <c r="B213" s="30" t="s">
        <v>17</v>
      </c>
      <c r="C213" s="30">
        <v>56</v>
      </c>
      <c r="D213" s="30" t="s">
        <v>41</v>
      </c>
      <c r="E213" s="30">
        <v>1000</v>
      </c>
      <c r="F213" s="30">
        <v>32</v>
      </c>
      <c r="G213" s="30" t="s">
        <v>268</v>
      </c>
      <c r="H213" s="42" t="s">
        <v>19</v>
      </c>
      <c r="I213" s="30" t="s">
        <v>20</v>
      </c>
      <c r="J213" s="40" t="s">
        <v>75</v>
      </c>
      <c r="K213" s="46" t="s">
        <v>402</v>
      </c>
      <c r="L213" s="1">
        <f t="shared" si="37"/>
        <v>42384.890972222223</v>
      </c>
      <c r="M213" s="43"/>
      <c r="N213" s="11">
        <f t="shared" si="38"/>
        <v>0.8272642140458617</v>
      </c>
      <c r="O213" s="11">
        <f t="shared" si="39"/>
        <v>0.89100000000000001</v>
      </c>
      <c r="P213" s="1">
        <f t="shared" si="40"/>
        <v>42384.666666666664</v>
      </c>
      <c r="Q213" s="12">
        <f t="shared" si="41"/>
        <v>1.1839464882933923E-2</v>
      </c>
      <c r="AC213" s="39">
        <v>9.5499799999999994E-11</v>
      </c>
      <c r="AD213" s="39">
        <v>7.4842300000000006E-11</v>
      </c>
      <c r="AE213" s="39">
        <v>8.8953199999999999E-11</v>
      </c>
      <c r="AF213" s="39">
        <v>6.6281100000000004E-11</v>
      </c>
      <c r="AG213" s="39">
        <v>7.1040199999999994E-11</v>
      </c>
      <c r="AH213" s="39">
        <v>9.7674600000000003E-11</v>
      </c>
      <c r="AI213" s="39">
        <v>4.3044200000000002E-11</v>
      </c>
      <c r="AJ213" s="39">
        <v>5.17595E-11</v>
      </c>
      <c r="AK213" s="39">
        <v>4.9158700000000001E-11</v>
      </c>
      <c r="AL213" s="39">
        <v>9.5548499999999996E-11</v>
      </c>
      <c r="AM213" s="39">
        <v>8.83747E-11</v>
      </c>
      <c r="AN213" s="39">
        <v>1.1721499999999999E-10</v>
      </c>
    </row>
    <row r="214" spans="1:40" thickBot="1">
      <c r="A214" s="29" t="s">
        <v>447</v>
      </c>
      <c r="B214" s="30" t="s">
        <v>17</v>
      </c>
      <c r="C214" s="30">
        <v>56</v>
      </c>
      <c r="D214" s="30" t="s">
        <v>41</v>
      </c>
      <c r="E214" s="30">
        <v>1000</v>
      </c>
      <c r="F214" s="30">
        <v>32</v>
      </c>
      <c r="G214" s="30" t="s">
        <v>268</v>
      </c>
      <c r="H214" s="42" t="s">
        <v>19</v>
      </c>
      <c r="I214" s="30" t="s">
        <v>20</v>
      </c>
      <c r="J214" s="40" t="s">
        <v>75</v>
      </c>
      <c r="K214" s="46" t="s">
        <v>402</v>
      </c>
      <c r="L214" s="1">
        <f t="shared" si="37"/>
        <v>42384.930555555555</v>
      </c>
      <c r="M214" s="43"/>
      <c r="N214" s="11">
        <f t="shared" si="38"/>
        <v>0.81601672240762579</v>
      </c>
      <c r="O214" s="11">
        <f t="shared" si="39"/>
        <v>0.89100000000000001</v>
      </c>
      <c r="P214" s="1">
        <f t="shared" si="40"/>
        <v>42384.666666666664</v>
      </c>
      <c r="Q214" s="12">
        <f t="shared" si="41"/>
        <v>1.1839464882933923E-2</v>
      </c>
      <c r="AC214" s="39">
        <v>8.6753399999999996E-11</v>
      </c>
      <c r="AD214" s="39">
        <v>9.5422800000000006E-11</v>
      </c>
      <c r="AE214" s="39">
        <v>8.2489199999999995E-11</v>
      </c>
      <c r="AF214" s="39">
        <v>5.3204999999999999E-11</v>
      </c>
      <c r="AG214" s="39">
        <v>6.1591199999999999E-11</v>
      </c>
      <c r="AH214" s="39">
        <v>9.0909900000000006E-11</v>
      </c>
      <c r="AI214" s="39">
        <v>3.9295199999999998E-11</v>
      </c>
      <c r="AJ214" s="39">
        <v>5.2775900000000003E-11</v>
      </c>
      <c r="AK214" s="39">
        <v>4.64035E-11</v>
      </c>
      <c r="AL214" s="39">
        <v>8.5664999999999996E-11</v>
      </c>
      <c r="AM214" s="39">
        <v>8.3327199999999997E-11</v>
      </c>
      <c r="AN214" s="39">
        <v>1.16713E-10</v>
      </c>
    </row>
    <row r="215" spans="1:40" thickBot="1">
      <c r="A215" s="29" t="s">
        <v>448</v>
      </c>
      <c r="B215" s="30" t="s">
        <v>17</v>
      </c>
      <c r="C215" s="30">
        <v>56</v>
      </c>
      <c r="D215" s="30" t="s">
        <v>41</v>
      </c>
      <c r="E215" s="30">
        <v>1000</v>
      </c>
      <c r="F215" s="30">
        <v>31</v>
      </c>
      <c r="G215" s="30" t="s">
        <v>268</v>
      </c>
      <c r="H215" s="42" t="s">
        <v>19</v>
      </c>
      <c r="I215" s="30" t="s">
        <v>20</v>
      </c>
      <c r="J215" s="40" t="s">
        <v>75</v>
      </c>
      <c r="K215" s="46" t="s">
        <v>402</v>
      </c>
      <c r="L215" s="1">
        <f t="shared" si="37"/>
        <v>42384.970138888886</v>
      </c>
      <c r="M215" s="43"/>
      <c r="N215" s="11">
        <f t="shared" si="38"/>
        <v>0.80476923076938989</v>
      </c>
      <c r="O215" s="11">
        <f t="shared" si="39"/>
        <v>0.89100000000000001</v>
      </c>
      <c r="P215" s="1">
        <f t="shared" si="40"/>
        <v>42384.666666666664</v>
      </c>
      <c r="Q215" s="12">
        <f t="shared" si="41"/>
        <v>1.1839464882933923E-2</v>
      </c>
      <c r="AC215" s="39">
        <v>8.5250999999999999E-11</v>
      </c>
      <c r="AD215" s="39">
        <v>7.0204800000000006E-11</v>
      </c>
      <c r="AE215" s="39">
        <v>8.2429799999999994E-11</v>
      </c>
      <c r="AF215" s="39">
        <v>5.3245399999999998E-11</v>
      </c>
      <c r="AG215" s="39">
        <v>6.5666100000000002E-11</v>
      </c>
      <c r="AH215" s="39">
        <v>8.9014299999999999E-11</v>
      </c>
      <c r="AI215" s="39">
        <v>3.9102300000000002E-11</v>
      </c>
      <c r="AJ215" s="39">
        <v>5.5090699999999997E-11</v>
      </c>
      <c r="AK215" s="39">
        <v>4.2278400000000002E-11</v>
      </c>
      <c r="AL215" s="39">
        <v>8.6865900000000005E-11</v>
      </c>
      <c r="AM215" s="39">
        <v>7.7056899999999997E-11</v>
      </c>
      <c r="AN215" s="39">
        <v>1.09095E-10</v>
      </c>
    </row>
    <row r="216" spans="1:40" thickBot="1">
      <c r="A216" s="29" t="s">
        <v>449</v>
      </c>
      <c r="B216" s="30" t="s">
        <v>17</v>
      </c>
      <c r="C216" s="30">
        <v>56</v>
      </c>
      <c r="D216" s="30" t="s">
        <v>41</v>
      </c>
      <c r="E216" s="30">
        <v>1000</v>
      </c>
      <c r="F216" s="30">
        <v>32</v>
      </c>
      <c r="G216" s="30" t="s">
        <v>268</v>
      </c>
      <c r="H216" s="42" t="s">
        <v>19</v>
      </c>
      <c r="I216" s="30" t="s">
        <v>20</v>
      </c>
      <c r="J216" s="40" t="s">
        <v>75</v>
      </c>
      <c r="K216" s="46" t="s">
        <v>402</v>
      </c>
      <c r="L216" s="1">
        <f t="shared" si="37"/>
        <v>42385.009027777778</v>
      </c>
      <c r="M216" s="43"/>
      <c r="N216" s="11">
        <f t="shared" si="38"/>
        <v>0.79371906354444521</v>
      </c>
      <c r="O216" s="11">
        <f t="shared" si="39"/>
        <v>0.89100000000000001</v>
      </c>
      <c r="P216" s="1">
        <f t="shared" si="40"/>
        <v>42384.666666666664</v>
      </c>
      <c r="Q216" s="12">
        <f t="shared" si="41"/>
        <v>1.1839464882933923E-2</v>
      </c>
      <c r="AC216" s="39">
        <v>8.0458499999999999E-11</v>
      </c>
      <c r="AD216" s="39">
        <v>6.5139199999999998E-11</v>
      </c>
      <c r="AE216" s="39">
        <v>7.7004099999999994E-11</v>
      </c>
      <c r="AF216" s="39">
        <v>6.8737100000000006E-11</v>
      </c>
      <c r="AG216" s="39">
        <v>6.4364600000000004E-11</v>
      </c>
      <c r="AH216" s="39">
        <v>8.5983899999999999E-11</v>
      </c>
      <c r="AI216" s="39">
        <v>3.6407199999999999E-11</v>
      </c>
      <c r="AJ216" s="39">
        <v>5.2502099999999997E-11</v>
      </c>
      <c r="AK216" s="39">
        <v>4.0687999999999999E-11</v>
      </c>
      <c r="AL216" s="39">
        <v>8.4233400000000001E-11</v>
      </c>
      <c r="AM216" s="39">
        <v>7.55189E-11</v>
      </c>
      <c r="AN216" s="39">
        <v>1.1363999999999999E-10</v>
      </c>
    </row>
    <row r="217" spans="1:40" thickBot="1">
      <c r="A217" s="29" t="s">
        <v>450</v>
      </c>
      <c r="B217" s="30" t="s">
        <v>17</v>
      </c>
      <c r="C217" s="30">
        <v>56</v>
      </c>
      <c r="D217" s="30" t="s">
        <v>41</v>
      </c>
      <c r="E217" s="30">
        <v>1000</v>
      </c>
      <c r="F217" s="30">
        <v>32</v>
      </c>
      <c r="G217" s="30" t="s">
        <v>268</v>
      </c>
      <c r="H217" s="42" t="s">
        <v>19</v>
      </c>
      <c r="I217" s="30" t="s">
        <v>20</v>
      </c>
      <c r="J217" s="40" t="s">
        <v>75</v>
      </c>
      <c r="K217" s="46" t="s">
        <v>402</v>
      </c>
      <c r="L217" s="1">
        <f t="shared" si="37"/>
        <v>42385.048611111109</v>
      </c>
      <c r="M217" s="43"/>
      <c r="N217" s="11">
        <f t="shared" si="38"/>
        <v>0.78247157190620931</v>
      </c>
      <c r="O217" s="11">
        <f t="shared" si="39"/>
        <v>0.89100000000000001</v>
      </c>
      <c r="P217" s="1">
        <f t="shared" si="40"/>
        <v>42384.666666666664</v>
      </c>
      <c r="Q217" s="12">
        <f t="shared" si="41"/>
        <v>1.1839464882933923E-2</v>
      </c>
      <c r="AC217" s="39">
        <v>1.0616099999999999E-10</v>
      </c>
      <c r="AD217" s="39">
        <v>8.5981600000000003E-11</v>
      </c>
      <c r="AE217" s="39">
        <v>1.00018E-10</v>
      </c>
      <c r="AF217" s="39">
        <v>7.6414299999999998E-11</v>
      </c>
      <c r="AG217" s="39">
        <v>8.1102599999999998E-11</v>
      </c>
      <c r="AH217" s="39">
        <v>1.1640900000000001E-10</v>
      </c>
      <c r="AI217" s="39">
        <v>4.7227699999999998E-11</v>
      </c>
      <c r="AJ217" s="39">
        <v>5.3316799999999998E-11</v>
      </c>
      <c r="AK217" s="39">
        <v>5.0173800000000003E-11</v>
      </c>
      <c r="AL217" s="39">
        <v>1.08663E-10</v>
      </c>
      <c r="AM217" s="39">
        <v>1.01782E-10</v>
      </c>
      <c r="AN217" s="39">
        <v>1.1794999999999999E-10</v>
      </c>
    </row>
    <row r="218" spans="1:40" thickBot="1">
      <c r="A218" s="29" t="s">
        <v>451</v>
      </c>
      <c r="B218" s="30" t="s">
        <v>17</v>
      </c>
      <c r="C218" s="30">
        <v>56</v>
      </c>
      <c r="D218" s="30" t="s">
        <v>41</v>
      </c>
      <c r="E218" s="30">
        <v>1000</v>
      </c>
      <c r="F218" s="30">
        <v>31</v>
      </c>
      <c r="G218" s="30" t="s">
        <v>268</v>
      </c>
      <c r="H218" s="42" t="s">
        <v>19</v>
      </c>
      <c r="I218" s="30" t="s">
        <v>20</v>
      </c>
      <c r="J218" s="40" t="s">
        <v>75</v>
      </c>
      <c r="K218" s="46" t="s">
        <v>402</v>
      </c>
      <c r="L218" s="1">
        <f t="shared" si="37"/>
        <v>42385.088194444441</v>
      </c>
      <c r="M218" s="43"/>
      <c r="N218" s="11">
        <f t="shared" si="38"/>
        <v>0.7712240802679734</v>
      </c>
      <c r="O218" s="11">
        <f t="shared" si="39"/>
        <v>0.89100000000000001</v>
      </c>
      <c r="P218" s="1">
        <f t="shared" si="40"/>
        <v>42384.666666666664</v>
      </c>
      <c r="Q218" s="12">
        <f t="shared" si="41"/>
        <v>1.1839464882933923E-2</v>
      </c>
      <c r="AC218" s="39">
        <v>9.1355200000000003E-11</v>
      </c>
      <c r="AD218" s="39">
        <v>7.12127E-11</v>
      </c>
      <c r="AE218" s="39">
        <v>8.6569899999999998E-11</v>
      </c>
      <c r="AF218" s="39">
        <v>5.8989300000000004E-11</v>
      </c>
      <c r="AG218" s="39">
        <v>6.4155700000000001E-11</v>
      </c>
      <c r="AH218" s="39">
        <v>9.7369100000000006E-11</v>
      </c>
      <c r="AI218" s="39">
        <v>4.1441999999999999E-11</v>
      </c>
      <c r="AJ218" s="39">
        <v>5.2465000000000003E-11</v>
      </c>
      <c r="AK218" s="39">
        <v>4.5692400000000002E-11</v>
      </c>
      <c r="AL218" s="39">
        <v>9.2034900000000002E-11</v>
      </c>
      <c r="AM218" s="39">
        <v>8.4772999999999995E-11</v>
      </c>
      <c r="AN218" s="39">
        <v>1.10909E-10</v>
      </c>
    </row>
    <row r="219" spans="1:40" thickBot="1">
      <c r="A219" s="29" t="s">
        <v>452</v>
      </c>
      <c r="B219" s="30" t="s">
        <v>17</v>
      </c>
      <c r="C219" s="30">
        <v>56</v>
      </c>
      <c r="D219" s="30" t="s">
        <v>41</v>
      </c>
      <c r="E219" s="30">
        <v>1000</v>
      </c>
      <c r="F219" s="30">
        <v>31</v>
      </c>
      <c r="G219" s="30" t="s">
        <v>268</v>
      </c>
      <c r="H219" s="42" t="s">
        <v>19</v>
      </c>
      <c r="I219" s="30" t="s">
        <v>20</v>
      </c>
      <c r="J219" s="40" t="s">
        <v>75</v>
      </c>
      <c r="K219" s="46" t="s">
        <v>402</v>
      </c>
      <c r="L219" s="1">
        <f t="shared" si="37"/>
        <v>42385.127083333333</v>
      </c>
      <c r="M219" s="43"/>
      <c r="N219" s="11">
        <f t="shared" si="38"/>
        <v>0.76017391304302884</v>
      </c>
      <c r="O219" s="11">
        <f t="shared" si="39"/>
        <v>0.89100000000000001</v>
      </c>
      <c r="P219" s="1">
        <f t="shared" si="40"/>
        <v>42384.666666666664</v>
      </c>
      <c r="Q219" s="12">
        <f t="shared" si="41"/>
        <v>1.1839464882933923E-2</v>
      </c>
      <c r="AC219" s="39">
        <v>8.1287399999999996E-11</v>
      </c>
      <c r="AD219" s="39">
        <v>6.3802499999999998E-11</v>
      </c>
      <c r="AE219" s="39">
        <v>7.4413000000000005E-11</v>
      </c>
      <c r="AF219" s="39">
        <v>5.0420500000000003E-11</v>
      </c>
      <c r="AG219" s="39">
        <v>5.6698199999999997E-11</v>
      </c>
      <c r="AH219" s="39">
        <v>8.3056999999999996E-11</v>
      </c>
      <c r="AI219" s="39">
        <v>3.7490500000000002E-11</v>
      </c>
      <c r="AJ219" s="39">
        <v>5.3747599999999999E-11</v>
      </c>
      <c r="AK219" s="39">
        <v>4.25732E-11</v>
      </c>
      <c r="AL219" s="39">
        <v>7.9553500000000003E-11</v>
      </c>
      <c r="AM219" s="39">
        <v>7.3139800000000006E-11</v>
      </c>
      <c r="AN219" s="39">
        <v>1.16951E-10</v>
      </c>
    </row>
    <row r="220" spans="1:40" thickBot="1">
      <c r="A220" s="29" t="s">
        <v>453</v>
      </c>
      <c r="B220" s="30" t="s">
        <v>17</v>
      </c>
      <c r="C220" s="30">
        <v>56</v>
      </c>
      <c r="D220" s="30" t="s">
        <v>41</v>
      </c>
      <c r="E220" s="30">
        <v>1000</v>
      </c>
      <c r="F220" s="30">
        <v>31</v>
      </c>
      <c r="G220" s="30" t="s">
        <v>268</v>
      </c>
      <c r="H220" s="42" t="s">
        <v>19</v>
      </c>
      <c r="I220" s="30" t="s">
        <v>20</v>
      </c>
      <c r="J220" s="40" t="s">
        <v>75</v>
      </c>
      <c r="K220" s="46" t="s">
        <v>402</v>
      </c>
      <c r="L220" s="1">
        <f t="shared" si="37"/>
        <v>42385.166666666664</v>
      </c>
      <c r="M220" s="43"/>
      <c r="N220" s="11">
        <f t="shared" si="38"/>
        <v>0.74892642140479293</v>
      </c>
      <c r="O220" s="11">
        <f t="shared" si="39"/>
        <v>0.89100000000000001</v>
      </c>
      <c r="P220" s="1">
        <f t="shared" si="40"/>
        <v>42384.666666666664</v>
      </c>
      <c r="Q220" s="12">
        <f t="shared" si="41"/>
        <v>1.1839464882933923E-2</v>
      </c>
      <c r="AC220" s="39">
        <v>8.9102399999999997E-11</v>
      </c>
      <c r="AD220" s="39">
        <v>6.7872300000000004E-11</v>
      </c>
      <c r="AE220" s="39">
        <v>8.1010199999999999E-11</v>
      </c>
      <c r="AF220" s="39">
        <v>6.26198E-11</v>
      </c>
      <c r="AG220" s="39">
        <v>6.7565099999999994E-11</v>
      </c>
      <c r="AH220" s="39">
        <v>8.9439800000000004E-11</v>
      </c>
      <c r="AI220" s="39">
        <v>4.0790899999999998E-11</v>
      </c>
      <c r="AJ220" s="39">
        <v>5.2078400000000003E-11</v>
      </c>
      <c r="AK220" s="39">
        <v>4.3910199999999999E-11</v>
      </c>
      <c r="AL220" s="39">
        <v>8.3663399999999997E-11</v>
      </c>
      <c r="AM220" s="39">
        <v>8.0187300000000002E-11</v>
      </c>
      <c r="AN220" s="39">
        <v>1.02029E-10</v>
      </c>
    </row>
    <row r="221" spans="1:40" thickBot="1">
      <c r="A221" s="29" t="s">
        <v>454</v>
      </c>
      <c r="B221" s="30" t="s">
        <v>17</v>
      </c>
      <c r="C221" s="30">
        <v>56</v>
      </c>
      <c r="D221" s="30" t="s">
        <v>41</v>
      </c>
      <c r="E221" s="30">
        <v>1000</v>
      </c>
      <c r="F221" s="30">
        <v>32</v>
      </c>
      <c r="G221" s="30" t="s">
        <v>268</v>
      </c>
      <c r="H221" s="42" t="s">
        <v>19</v>
      </c>
      <c r="I221" s="30" t="s">
        <v>20</v>
      </c>
      <c r="J221" s="40" t="s">
        <v>75</v>
      </c>
      <c r="K221" s="46" t="s">
        <v>402</v>
      </c>
      <c r="L221" s="1">
        <f t="shared" si="37"/>
        <v>42385.206250000003</v>
      </c>
      <c r="M221" s="43"/>
      <c r="N221" s="11">
        <f t="shared" si="38"/>
        <v>0.73767892976448957</v>
      </c>
      <c r="O221" s="11">
        <f t="shared" si="39"/>
        <v>0.89100000000000001</v>
      </c>
      <c r="P221" s="1">
        <f t="shared" si="40"/>
        <v>42384.666666666664</v>
      </c>
      <c r="Q221" s="12">
        <f t="shared" si="41"/>
        <v>1.1839464882933923E-2</v>
      </c>
      <c r="AC221" s="39">
        <v>8.5470999999999999E-11</v>
      </c>
      <c r="AD221" s="39">
        <v>6.4801400000000005E-11</v>
      </c>
      <c r="AE221" s="39">
        <v>7.5235700000000003E-11</v>
      </c>
      <c r="AF221" s="39">
        <v>5.74752E-11</v>
      </c>
      <c r="AG221" s="39">
        <v>5.8991000000000003E-11</v>
      </c>
      <c r="AH221" s="39">
        <v>8.7384400000000006E-11</v>
      </c>
      <c r="AI221" s="39">
        <v>3.8634000000000002E-11</v>
      </c>
      <c r="AJ221" s="39">
        <v>5.2185700000000002E-11</v>
      </c>
      <c r="AK221" s="39">
        <v>4.3826500000000001E-11</v>
      </c>
      <c r="AL221" s="39">
        <v>8.1156199999999998E-11</v>
      </c>
      <c r="AM221" s="39">
        <v>7.7996400000000005E-11</v>
      </c>
      <c r="AN221" s="39">
        <v>1.02391E-10</v>
      </c>
    </row>
    <row r="222" spans="1:40" thickBot="1">
      <c r="A222" s="29" t="s">
        <v>455</v>
      </c>
      <c r="B222" s="30" t="s">
        <v>17</v>
      </c>
      <c r="C222" s="30">
        <v>56</v>
      </c>
      <c r="D222" s="30" t="s">
        <v>41</v>
      </c>
      <c r="E222" s="30">
        <v>1000</v>
      </c>
      <c r="F222" s="30">
        <v>32</v>
      </c>
      <c r="G222" s="30" t="s">
        <v>268</v>
      </c>
      <c r="H222" s="42" t="s">
        <v>19</v>
      </c>
      <c r="I222" s="30" t="s">
        <v>20</v>
      </c>
      <c r="J222" s="40" t="s">
        <v>75</v>
      </c>
      <c r="K222" s="46" t="s">
        <v>402</v>
      </c>
      <c r="L222" s="1">
        <f t="shared" si="37"/>
        <v>42385.245833333334</v>
      </c>
      <c r="M222" s="43"/>
      <c r="N222" s="11">
        <f t="shared" si="38"/>
        <v>0.72643143812625366</v>
      </c>
      <c r="O222" s="11">
        <f t="shared" si="39"/>
        <v>0.89100000000000001</v>
      </c>
      <c r="P222" s="1">
        <f t="shared" si="40"/>
        <v>42384.666666666664</v>
      </c>
      <c r="Q222" s="12">
        <f t="shared" si="41"/>
        <v>1.1839464882933923E-2</v>
      </c>
      <c r="AC222" s="39">
        <v>8.6841900000000005E-11</v>
      </c>
      <c r="AD222" s="39">
        <v>6.6361799999999996E-11</v>
      </c>
      <c r="AE222" s="39">
        <v>7.9947699999999996E-11</v>
      </c>
      <c r="AF222" s="39">
        <v>5.5651700000000002E-11</v>
      </c>
      <c r="AG222" s="39">
        <v>6.0560300000000001E-11</v>
      </c>
      <c r="AH222" s="39">
        <v>8.8571699999999997E-11</v>
      </c>
      <c r="AI222" s="39">
        <v>4.0470400000000002E-11</v>
      </c>
      <c r="AJ222" s="39">
        <v>4.9509899999999999E-11</v>
      </c>
      <c r="AK222" s="39">
        <v>4.4652399999999998E-11</v>
      </c>
      <c r="AL222" s="39">
        <v>8.1472600000000006E-11</v>
      </c>
      <c r="AM222" s="39">
        <v>7.9909700000000006E-11</v>
      </c>
      <c r="AN222" s="39">
        <v>1.1822300000000001E-10</v>
      </c>
    </row>
    <row r="223" spans="1:40" thickBot="1">
      <c r="A223" s="29" t="s">
        <v>456</v>
      </c>
      <c r="B223" s="30" t="s">
        <v>17</v>
      </c>
      <c r="C223" s="30">
        <v>56</v>
      </c>
      <c r="D223" s="30" t="s">
        <v>41</v>
      </c>
      <c r="E223" s="30">
        <v>1000</v>
      </c>
      <c r="F223" s="30">
        <v>31</v>
      </c>
      <c r="G223" s="30" t="s">
        <v>268</v>
      </c>
      <c r="H223" s="42" t="s">
        <v>19</v>
      </c>
      <c r="I223" s="30" t="s">
        <v>20</v>
      </c>
      <c r="J223" s="40" t="s">
        <v>75</v>
      </c>
      <c r="K223" s="46" t="s">
        <v>402</v>
      </c>
      <c r="L223" s="1">
        <f t="shared" si="37"/>
        <v>42385.284722222219</v>
      </c>
      <c r="M223" s="43"/>
      <c r="N223" s="11">
        <f t="shared" si="38"/>
        <v>0.71538127090337655</v>
      </c>
      <c r="O223" s="11">
        <f t="shared" si="39"/>
        <v>0.89100000000000001</v>
      </c>
      <c r="P223" s="1">
        <f t="shared" si="40"/>
        <v>42384.666666666664</v>
      </c>
      <c r="Q223" s="12">
        <f t="shared" si="41"/>
        <v>1.1839464882933923E-2</v>
      </c>
      <c r="AC223" s="39">
        <v>7.54505E-11</v>
      </c>
      <c r="AD223" s="39">
        <v>5.93889E-11</v>
      </c>
      <c r="AE223" s="39">
        <v>6.9894300000000004E-11</v>
      </c>
      <c r="AF223" s="39">
        <v>5.5170899999999998E-11</v>
      </c>
      <c r="AG223" s="39">
        <v>5.6139099999999997E-11</v>
      </c>
      <c r="AH223" s="39">
        <v>7.9827700000000001E-11</v>
      </c>
      <c r="AI223" s="39">
        <v>3.6667100000000001E-11</v>
      </c>
      <c r="AJ223" s="39">
        <v>5.5738300000000001E-11</v>
      </c>
      <c r="AK223" s="39">
        <v>4.0061300000000003E-11</v>
      </c>
      <c r="AL223" s="39">
        <v>8.1480100000000005E-11</v>
      </c>
      <c r="AM223" s="39">
        <v>7.3908000000000002E-11</v>
      </c>
      <c r="AN223" s="39">
        <v>8.8335100000000004E-11</v>
      </c>
    </row>
    <row r="224" spans="1:40" thickBot="1">
      <c r="A224" s="29" t="s">
        <v>457</v>
      </c>
      <c r="B224" s="30" t="s">
        <v>17</v>
      </c>
      <c r="C224" s="30">
        <v>56</v>
      </c>
      <c r="D224" s="30" t="s">
        <v>41</v>
      </c>
      <c r="E224" s="30">
        <v>1000</v>
      </c>
      <c r="F224" s="30">
        <v>32</v>
      </c>
      <c r="G224" s="30" t="s">
        <v>268</v>
      </c>
      <c r="H224" s="42" t="s">
        <v>19</v>
      </c>
      <c r="I224" s="30" t="s">
        <v>20</v>
      </c>
      <c r="J224" s="40" t="s">
        <v>75</v>
      </c>
      <c r="K224" s="46" t="s">
        <v>402</v>
      </c>
      <c r="L224" s="1">
        <f t="shared" si="37"/>
        <v>42385.324305555558</v>
      </c>
      <c r="M224" s="43"/>
      <c r="N224" s="11">
        <f t="shared" si="38"/>
        <v>0.70413377926307319</v>
      </c>
      <c r="O224" s="11">
        <f t="shared" si="39"/>
        <v>0.89100000000000001</v>
      </c>
      <c r="P224" s="1">
        <f t="shared" si="40"/>
        <v>42384.666666666664</v>
      </c>
      <c r="Q224" s="12">
        <f t="shared" si="41"/>
        <v>1.1839464882933923E-2</v>
      </c>
      <c r="AC224" s="39">
        <v>9.3040600000000006E-11</v>
      </c>
      <c r="AD224" s="39">
        <v>7.4233399999999997E-11</v>
      </c>
      <c r="AE224" s="39">
        <v>8.5259499999999994E-11</v>
      </c>
      <c r="AF224" s="39">
        <v>5.7807099999999998E-11</v>
      </c>
      <c r="AG224" s="39">
        <v>7.0616599999999999E-11</v>
      </c>
      <c r="AH224" s="39">
        <v>9.9335700000000002E-11</v>
      </c>
      <c r="AI224" s="39">
        <v>4.2986400000000001E-11</v>
      </c>
      <c r="AJ224" s="39">
        <v>5.0965599999999999E-11</v>
      </c>
      <c r="AK224" s="39">
        <v>4.7777899999999998E-11</v>
      </c>
      <c r="AL224" s="39">
        <v>8.98392E-11</v>
      </c>
      <c r="AM224" s="39">
        <v>8.8474500000000006E-11</v>
      </c>
      <c r="AN224" s="39">
        <v>1.33352E-10</v>
      </c>
    </row>
    <row r="225" spans="1:40" thickBot="1">
      <c r="A225" s="29" t="s">
        <v>458</v>
      </c>
      <c r="B225" s="30" t="s">
        <v>17</v>
      </c>
      <c r="C225" s="30">
        <v>56</v>
      </c>
      <c r="D225" s="30" t="s">
        <v>41</v>
      </c>
      <c r="E225" s="30">
        <v>1000</v>
      </c>
      <c r="F225" s="30">
        <v>32</v>
      </c>
      <c r="G225" s="30" t="s">
        <v>268</v>
      </c>
      <c r="H225" s="42" t="s">
        <v>19</v>
      </c>
      <c r="I225" s="30" t="s">
        <v>20</v>
      </c>
      <c r="J225" s="40" t="s">
        <v>75</v>
      </c>
      <c r="K225" s="44" t="str">
        <f t="shared" ref="K225:K241" si="42">IF(AND(N225&lt;0.7,N225&gt;0.2),"lev OK","lev BAD")</f>
        <v>lev OK</v>
      </c>
      <c r="L225" s="1">
        <f t="shared" si="37"/>
        <v>42385.363888888889</v>
      </c>
      <c r="M225" s="43"/>
      <c r="N225" s="11">
        <f t="shared" si="38"/>
        <v>0.69288628762483728</v>
      </c>
      <c r="O225" s="11">
        <f t="shared" si="39"/>
        <v>0.89100000000000001</v>
      </c>
      <c r="P225" s="1">
        <f t="shared" si="40"/>
        <v>42384.666666666664</v>
      </c>
      <c r="Q225" s="12">
        <f t="shared" si="41"/>
        <v>1.1839464882933923E-2</v>
      </c>
      <c r="AC225" s="39">
        <v>8.3062100000000006E-11</v>
      </c>
      <c r="AD225" s="39">
        <v>7.2380300000000005E-11</v>
      </c>
      <c r="AE225" s="39">
        <v>7.2187399999999997E-11</v>
      </c>
      <c r="AF225" s="39">
        <v>5.1002100000000002E-11</v>
      </c>
      <c r="AG225" s="39">
        <v>5.6050200000000002E-11</v>
      </c>
      <c r="AH225" s="39">
        <v>8.6011800000000001E-11</v>
      </c>
      <c r="AI225" s="39">
        <v>3.7574599999999999E-11</v>
      </c>
      <c r="AJ225" s="39">
        <v>5.1615399999999999E-11</v>
      </c>
      <c r="AK225" s="39">
        <v>4.1956499999999999E-11</v>
      </c>
      <c r="AL225" s="39">
        <v>8.0685900000000006E-11</v>
      </c>
      <c r="AM225" s="39">
        <v>7.6483000000000004E-11</v>
      </c>
      <c r="AN225" s="39">
        <v>1.11816E-10</v>
      </c>
    </row>
    <row r="226" spans="1:40" thickBot="1">
      <c r="A226" s="29" t="s">
        <v>459</v>
      </c>
      <c r="B226" s="30" t="s">
        <v>17</v>
      </c>
      <c r="C226" s="30">
        <v>56</v>
      </c>
      <c r="D226" s="30" t="s">
        <v>41</v>
      </c>
      <c r="E226" s="30">
        <v>1000</v>
      </c>
      <c r="F226" s="30">
        <v>31</v>
      </c>
      <c r="G226" s="30" t="s">
        <v>268</v>
      </c>
      <c r="H226" s="42" t="s">
        <v>19</v>
      </c>
      <c r="I226" s="30" t="s">
        <v>20</v>
      </c>
      <c r="J226" s="40" t="s">
        <v>75</v>
      </c>
      <c r="K226" s="44" t="str">
        <f t="shared" si="42"/>
        <v>lev OK</v>
      </c>
      <c r="L226" s="1">
        <f t="shared" si="37"/>
        <v>42385.402777777781</v>
      </c>
      <c r="M226" s="43"/>
      <c r="N226" s="11">
        <f t="shared" si="38"/>
        <v>0.68183612039989272</v>
      </c>
      <c r="O226" s="11">
        <f t="shared" si="39"/>
        <v>0.89100000000000001</v>
      </c>
      <c r="P226" s="1">
        <f t="shared" si="40"/>
        <v>42384.666666666664</v>
      </c>
      <c r="Q226" s="12">
        <f t="shared" si="41"/>
        <v>1.1839464882933923E-2</v>
      </c>
      <c r="AC226" s="39">
        <v>6.7859200000000002E-11</v>
      </c>
      <c r="AD226" s="39">
        <v>5.3489299999999997E-11</v>
      </c>
      <c r="AE226" s="39">
        <v>6.63818E-11</v>
      </c>
      <c r="AF226" s="39">
        <v>4.5307000000000003E-11</v>
      </c>
      <c r="AG226" s="39">
        <v>4.7123000000000001E-11</v>
      </c>
      <c r="AH226" s="39">
        <v>7.2634699999999998E-11</v>
      </c>
      <c r="AI226" s="39">
        <v>3.3154600000000003E-11</v>
      </c>
      <c r="AJ226" s="39">
        <v>5.3159900000000001E-11</v>
      </c>
      <c r="AK226" s="39">
        <v>3.9761699999999999E-11</v>
      </c>
      <c r="AL226" s="39">
        <v>6.5612599999999995E-11</v>
      </c>
      <c r="AM226" s="39">
        <v>6.4531899999999994E-11</v>
      </c>
      <c r="AN226" s="39">
        <v>1.0301800000000001E-10</v>
      </c>
    </row>
    <row r="227" spans="1:40" thickBot="1">
      <c r="A227" s="29" t="s">
        <v>460</v>
      </c>
      <c r="B227" s="30" t="s">
        <v>17</v>
      </c>
      <c r="C227" s="30">
        <v>56</v>
      </c>
      <c r="D227" s="30" t="s">
        <v>41</v>
      </c>
      <c r="E227" s="30">
        <v>1000</v>
      </c>
      <c r="F227" s="30">
        <v>32</v>
      </c>
      <c r="G227" s="30" t="s">
        <v>268</v>
      </c>
      <c r="H227" s="42" t="s">
        <v>19</v>
      </c>
      <c r="I227" s="30" t="s">
        <v>20</v>
      </c>
      <c r="J227" s="40" t="s">
        <v>75</v>
      </c>
      <c r="K227" s="44" t="str">
        <f t="shared" si="42"/>
        <v>lev OK</v>
      </c>
      <c r="L227" s="1">
        <f t="shared" si="37"/>
        <v>42385.442361111112</v>
      </c>
      <c r="M227" s="43"/>
      <c r="N227" s="11">
        <f t="shared" si="38"/>
        <v>0.67058862876165681</v>
      </c>
      <c r="O227" s="11">
        <f t="shared" si="39"/>
        <v>0.89100000000000001</v>
      </c>
      <c r="P227" s="1">
        <f t="shared" si="40"/>
        <v>42384.666666666664</v>
      </c>
      <c r="Q227" s="12">
        <f t="shared" si="41"/>
        <v>1.1839464882933923E-2</v>
      </c>
      <c r="AC227" s="39">
        <v>1.00726E-10</v>
      </c>
      <c r="AD227" s="39">
        <v>8.0450600000000001E-11</v>
      </c>
      <c r="AE227" s="39">
        <v>9.5517399999999995E-11</v>
      </c>
      <c r="AF227" s="39">
        <v>6.35819E-11</v>
      </c>
      <c r="AG227" s="39">
        <v>7.4053899999999995E-11</v>
      </c>
      <c r="AH227" s="39">
        <v>1.03718E-10</v>
      </c>
      <c r="AI227" s="39">
        <v>4.6124399999999998E-11</v>
      </c>
      <c r="AJ227" s="39">
        <v>5.2411299999999997E-11</v>
      </c>
      <c r="AK227" s="39">
        <v>4.93908E-11</v>
      </c>
      <c r="AL227" s="39">
        <v>9.9254700000000005E-11</v>
      </c>
      <c r="AM227" s="39">
        <v>9.9554000000000003E-11</v>
      </c>
      <c r="AN227" s="39">
        <v>1.4136899999999999E-10</v>
      </c>
    </row>
    <row r="228" spans="1:40" thickBot="1">
      <c r="A228" s="29" t="s">
        <v>461</v>
      </c>
      <c r="B228" s="30" t="s">
        <v>17</v>
      </c>
      <c r="C228" s="30">
        <v>56</v>
      </c>
      <c r="D228" s="30" t="s">
        <v>41</v>
      </c>
      <c r="E228" s="30">
        <v>1000</v>
      </c>
      <c r="F228" s="30">
        <v>31</v>
      </c>
      <c r="G228" s="30" t="s">
        <v>268</v>
      </c>
      <c r="H228" s="42" t="s">
        <v>19</v>
      </c>
      <c r="I228" s="30" t="s">
        <v>20</v>
      </c>
      <c r="J228" s="40" t="s">
        <v>462</v>
      </c>
      <c r="K228" s="44" t="str">
        <f t="shared" si="42"/>
        <v>lev OK</v>
      </c>
      <c r="L228" s="1">
        <f t="shared" si="37"/>
        <v>42385.481944444444</v>
      </c>
      <c r="M228" s="43"/>
      <c r="N228" s="11">
        <f t="shared" si="38"/>
        <v>0.65934113712342091</v>
      </c>
      <c r="O228" s="11">
        <f t="shared" si="39"/>
        <v>0.89100000000000001</v>
      </c>
      <c r="P228" s="1">
        <f t="shared" si="40"/>
        <v>42384.666666666664</v>
      </c>
      <c r="Q228" s="12">
        <f t="shared" si="41"/>
        <v>1.1839464882933923E-2</v>
      </c>
      <c r="AC228" s="39">
        <v>7.8760100000000001E-11</v>
      </c>
      <c r="AD228" s="39">
        <v>6.3837300000000001E-11</v>
      </c>
      <c r="AE228">
        <v>0</v>
      </c>
      <c r="AF228" s="39">
        <v>4.9078000000000002E-11</v>
      </c>
      <c r="AG228" s="39">
        <v>6.0455300000000005E-11</v>
      </c>
      <c r="AH228" s="39">
        <v>8.9323699999999998E-11</v>
      </c>
      <c r="AI228" s="39">
        <v>3.5620699999999999E-11</v>
      </c>
      <c r="AJ228" s="39">
        <v>5.2734200000000003E-11</v>
      </c>
      <c r="AK228" s="39">
        <v>4.0982899999999997E-11</v>
      </c>
      <c r="AL228" s="39">
        <v>7.4957499999999997E-11</v>
      </c>
      <c r="AM228" s="39">
        <v>9.7688100000000003E-11</v>
      </c>
      <c r="AN228" s="39">
        <v>1.1824100000000001E-10</v>
      </c>
    </row>
    <row r="229" spans="1:40" thickBot="1">
      <c r="A229" s="29" t="s">
        <v>463</v>
      </c>
      <c r="B229" s="30" t="s">
        <v>17</v>
      </c>
      <c r="C229" s="30">
        <v>56</v>
      </c>
      <c r="D229" s="30" t="s">
        <v>41</v>
      </c>
      <c r="E229" s="30">
        <v>1000</v>
      </c>
      <c r="F229" s="30">
        <v>32</v>
      </c>
      <c r="G229" s="30" t="s">
        <v>268</v>
      </c>
      <c r="H229" s="42" t="s">
        <v>19</v>
      </c>
      <c r="I229" s="30" t="s">
        <v>20</v>
      </c>
      <c r="J229" s="40" t="s">
        <v>462</v>
      </c>
      <c r="K229" s="44" t="str">
        <f t="shared" si="42"/>
        <v>lev OK</v>
      </c>
      <c r="L229" s="1">
        <f t="shared" si="37"/>
        <v>42385.521527777775</v>
      </c>
      <c r="M229" s="43"/>
      <c r="N229" s="11">
        <f t="shared" si="38"/>
        <v>0.64640625000029484</v>
      </c>
      <c r="O229" s="12">
        <v>0.65500000000000003</v>
      </c>
      <c r="P229" s="1">
        <v>42385.49722222222</v>
      </c>
      <c r="Q229" s="11">
        <f>(O229-R229)/(S229-P229)/24</f>
        <v>1.4732142857127544E-2</v>
      </c>
      <c r="R229" s="12">
        <v>0.32500000000000001</v>
      </c>
      <c r="S229" s="1">
        <v>42386.430555555555</v>
      </c>
      <c r="AC229" s="39">
        <v>7.7647300000000003E-11</v>
      </c>
      <c r="AD229" s="39">
        <v>6.2039400000000002E-11</v>
      </c>
      <c r="AE229">
        <v>0</v>
      </c>
      <c r="AF229" s="39">
        <v>4.9482099999999997E-11</v>
      </c>
      <c r="AG229" s="39">
        <v>5.9005600000000005E-11</v>
      </c>
      <c r="AH229" s="39">
        <v>8.0710700000000002E-11</v>
      </c>
      <c r="AI229" s="39">
        <v>3.6930000000000002E-11</v>
      </c>
      <c r="AJ229" s="39">
        <v>5.4326099999999999E-11</v>
      </c>
      <c r="AK229" s="39">
        <v>4.1703899999999998E-11</v>
      </c>
      <c r="AL229" s="39">
        <v>7.7870700000000002E-11</v>
      </c>
      <c r="AM229" s="39">
        <v>9.1176200000000006E-11</v>
      </c>
      <c r="AN229" s="39">
        <v>1.0653000000000001E-10</v>
      </c>
    </row>
    <row r="230" spans="1:40" thickBot="1">
      <c r="A230" s="29" t="s">
        <v>464</v>
      </c>
      <c r="B230" s="30" t="s">
        <v>17</v>
      </c>
      <c r="C230" s="30">
        <v>56</v>
      </c>
      <c r="D230" s="30" t="s">
        <v>41</v>
      </c>
      <c r="E230" s="30">
        <v>1000</v>
      </c>
      <c r="F230" s="30" t="s">
        <v>41</v>
      </c>
      <c r="G230" s="30" t="s">
        <v>268</v>
      </c>
      <c r="H230" s="42" t="s">
        <v>19</v>
      </c>
      <c r="I230" s="30" t="s">
        <v>20</v>
      </c>
      <c r="J230" s="40" t="s">
        <v>462</v>
      </c>
      <c r="K230" s="44" t="str">
        <f t="shared" si="42"/>
        <v>lev OK</v>
      </c>
      <c r="L230" s="1">
        <f t="shared" si="37"/>
        <v>42385.560416666667</v>
      </c>
      <c r="M230" s="43"/>
      <c r="N230" s="11">
        <f>O230-(L230-P230)*24*Q230</f>
        <v>0.63265624999922287</v>
      </c>
      <c r="O230" s="11">
        <f>O229</f>
        <v>0.65500000000000003</v>
      </c>
      <c r="P230" s="1">
        <f>P229</f>
        <v>42385.49722222222</v>
      </c>
      <c r="Q230" s="12">
        <f>Q229</f>
        <v>1.4732142857127544E-2</v>
      </c>
      <c r="AC230" s="39">
        <v>7.63708E-11</v>
      </c>
      <c r="AD230" s="39">
        <v>6.2427300000000003E-11</v>
      </c>
      <c r="AE230">
        <v>0</v>
      </c>
      <c r="AF230" s="39">
        <v>5.2048800000000003E-11</v>
      </c>
      <c r="AG230" s="39">
        <v>5.9782900000000006E-11</v>
      </c>
      <c r="AH230" s="39">
        <v>8.0784E-11</v>
      </c>
      <c r="AI230" s="39">
        <v>3.6755699999999997E-11</v>
      </c>
      <c r="AJ230" s="39">
        <v>5.2881400000000003E-11</v>
      </c>
      <c r="AK230" s="39">
        <v>4.0794600000000001E-11</v>
      </c>
      <c r="AL230" s="39">
        <v>8.0969599999999995E-11</v>
      </c>
      <c r="AM230" s="39">
        <v>7.1971699999999997E-11</v>
      </c>
      <c r="AN230" s="39">
        <v>1.13436E-10</v>
      </c>
    </row>
    <row r="231" spans="1:40" thickBot="1">
      <c r="A231" s="29" t="s">
        <v>465</v>
      </c>
      <c r="B231" s="30" t="s">
        <v>17</v>
      </c>
      <c r="C231" s="30">
        <v>56</v>
      </c>
      <c r="D231" s="30" t="s">
        <v>41</v>
      </c>
      <c r="E231" s="30">
        <v>1000</v>
      </c>
      <c r="F231" s="30">
        <v>31</v>
      </c>
      <c r="G231" s="30" t="s">
        <v>268</v>
      </c>
      <c r="H231" s="42" t="s">
        <v>19</v>
      </c>
      <c r="I231" s="30" t="s">
        <v>20</v>
      </c>
      <c r="J231" s="40" t="s">
        <v>462</v>
      </c>
      <c r="K231" s="44" t="str">
        <f t="shared" si="42"/>
        <v>lev OK</v>
      </c>
      <c r="L231" s="1">
        <f t="shared" si="37"/>
        <v>42385.599999999999</v>
      </c>
      <c r="M231" s="43"/>
      <c r="N231" s="11">
        <f t="shared" ref="N231:N249" si="43">O231-(L231-P231)*24*Q231</f>
        <v>0.61866071428563774</v>
      </c>
      <c r="O231" s="11">
        <f t="shared" ref="O231:O241" si="44">O230</f>
        <v>0.65500000000000003</v>
      </c>
      <c r="P231" s="1">
        <f t="shared" ref="P231:P241" si="45">P230</f>
        <v>42385.49722222222</v>
      </c>
      <c r="Q231" s="12">
        <f t="shared" ref="Q231:Q241" si="46">Q230</f>
        <v>1.4732142857127544E-2</v>
      </c>
      <c r="AC231" s="39">
        <v>1.1049700000000001E-10</v>
      </c>
      <c r="AD231" s="39">
        <v>9.1586199999999994E-11</v>
      </c>
      <c r="AE231">
        <v>0</v>
      </c>
      <c r="AF231" s="39">
        <v>7.6618100000000004E-11</v>
      </c>
      <c r="AG231" s="39">
        <v>8.0189099999999994E-11</v>
      </c>
      <c r="AH231" s="39">
        <v>1.13E-10</v>
      </c>
      <c r="AI231" s="39">
        <v>4.8435700000000002E-11</v>
      </c>
      <c r="AJ231" s="39">
        <v>5.0802700000000003E-11</v>
      </c>
      <c r="AK231" s="39">
        <v>5.1536000000000002E-11</v>
      </c>
      <c r="AL231" s="39">
        <v>1.06449E-10</v>
      </c>
      <c r="AM231" s="39">
        <v>1.01505E-10</v>
      </c>
      <c r="AN231" s="39">
        <v>1.48801E-10</v>
      </c>
    </row>
    <row r="232" spans="1:40" thickBot="1">
      <c r="A232" s="29" t="s">
        <v>466</v>
      </c>
      <c r="B232" s="30" t="s">
        <v>17</v>
      </c>
      <c r="C232" s="30">
        <v>56</v>
      </c>
      <c r="D232" s="30" t="s">
        <v>41</v>
      </c>
      <c r="E232" s="30">
        <v>1000</v>
      </c>
      <c r="F232" s="30">
        <v>32</v>
      </c>
      <c r="G232" s="30" t="s">
        <v>268</v>
      </c>
      <c r="H232" s="42" t="s">
        <v>19</v>
      </c>
      <c r="I232" s="30" t="s">
        <v>20</v>
      </c>
      <c r="J232" s="40" t="s">
        <v>462</v>
      </c>
      <c r="K232" s="44" t="str">
        <f t="shared" si="42"/>
        <v>lev OK</v>
      </c>
      <c r="L232" s="1">
        <f t="shared" si="37"/>
        <v>42385.63958333333</v>
      </c>
      <c r="M232" s="43"/>
      <c r="N232" s="11">
        <f t="shared" si="43"/>
        <v>0.6046651785720526</v>
      </c>
      <c r="O232" s="11">
        <f t="shared" si="44"/>
        <v>0.65500000000000003</v>
      </c>
      <c r="P232" s="1">
        <f t="shared" si="45"/>
        <v>42385.49722222222</v>
      </c>
      <c r="Q232" s="12">
        <f t="shared" si="46"/>
        <v>1.4732142857127544E-2</v>
      </c>
      <c r="AC232" s="39">
        <v>8.1175200000000006E-11</v>
      </c>
      <c r="AD232" s="39">
        <v>6.6377800000000004E-11</v>
      </c>
      <c r="AE232">
        <v>0</v>
      </c>
      <c r="AF232" s="39">
        <v>5.8727300000000006E-11</v>
      </c>
      <c r="AG232" s="39">
        <v>6.2750200000000002E-11</v>
      </c>
      <c r="AH232" s="39">
        <v>8.8605700000000004E-11</v>
      </c>
      <c r="AI232" s="39">
        <v>3.7943599999999998E-11</v>
      </c>
      <c r="AJ232" s="39">
        <v>5.2891699999999997E-11</v>
      </c>
      <c r="AK232" s="39">
        <v>4.5075300000000002E-11</v>
      </c>
      <c r="AL232" s="39">
        <v>8.2166000000000003E-11</v>
      </c>
      <c r="AM232" s="39">
        <v>7.6614000000000003E-11</v>
      </c>
      <c r="AN232" s="39">
        <v>1.0037699999999999E-10</v>
      </c>
    </row>
    <row r="233" spans="1:40" thickBot="1">
      <c r="A233" s="29" t="s">
        <v>467</v>
      </c>
      <c r="B233" s="30" t="s">
        <v>17</v>
      </c>
      <c r="C233" s="30">
        <v>56</v>
      </c>
      <c r="D233" s="30" t="s">
        <v>41</v>
      </c>
      <c r="E233" s="30">
        <v>1000</v>
      </c>
      <c r="F233" s="30">
        <v>31</v>
      </c>
      <c r="G233" s="30" t="s">
        <v>268</v>
      </c>
      <c r="H233" s="42" t="s">
        <v>19</v>
      </c>
      <c r="I233" s="30" t="s">
        <v>20</v>
      </c>
      <c r="J233" s="40" t="s">
        <v>462</v>
      </c>
      <c r="K233" s="44" t="str">
        <f t="shared" si="42"/>
        <v>lev OK</v>
      </c>
      <c r="L233" s="1">
        <f t="shared" si="37"/>
        <v>42385.679166666669</v>
      </c>
      <c r="M233" s="43"/>
      <c r="N233" s="11">
        <f t="shared" si="43"/>
        <v>0.59066964285589485</v>
      </c>
      <c r="O233" s="11">
        <f t="shared" si="44"/>
        <v>0.65500000000000003</v>
      </c>
      <c r="P233" s="1">
        <f t="shared" si="45"/>
        <v>42385.49722222222</v>
      </c>
      <c r="Q233" s="12">
        <f t="shared" si="46"/>
        <v>1.4732142857127544E-2</v>
      </c>
      <c r="AC233" s="39">
        <v>7.0957000000000006E-11</v>
      </c>
      <c r="AD233" s="39">
        <v>6.8622699999999999E-11</v>
      </c>
      <c r="AE233">
        <v>0</v>
      </c>
      <c r="AF233" s="39">
        <v>4.5883899999999997E-11</v>
      </c>
      <c r="AG233" s="39">
        <v>5.2819200000000002E-11</v>
      </c>
      <c r="AH233" s="39">
        <v>7.4170099999999994E-11</v>
      </c>
      <c r="AI233" s="39">
        <v>3.3666300000000002E-11</v>
      </c>
      <c r="AJ233" s="39">
        <v>5.1219500000000001E-11</v>
      </c>
      <c r="AK233" s="39">
        <v>3.8814499999999999E-11</v>
      </c>
      <c r="AL233" s="39">
        <v>7.5528800000000002E-11</v>
      </c>
      <c r="AM233" s="39">
        <v>6.6218900000000003E-11</v>
      </c>
      <c r="AN233" s="39">
        <v>9.2526299999999999E-11</v>
      </c>
    </row>
    <row r="234" spans="1:40" thickBot="1">
      <c r="A234" s="29" t="s">
        <v>468</v>
      </c>
      <c r="B234" s="30" t="s">
        <v>17</v>
      </c>
      <c r="C234" s="30">
        <v>56</v>
      </c>
      <c r="D234" s="30" t="s">
        <v>41</v>
      </c>
      <c r="E234" s="30">
        <v>1000</v>
      </c>
      <c r="F234" s="30">
        <v>31</v>
      </c>
      <c r="G234" s="30" t="s">
        <v>268</v>
      </c>
      <c r="H234" s="42" t="s">
        <v>19</v>
      </c>
      <c r="I234" s="30" t="s">
        <v>20</v>
      </c>
      <c r="J234" s="40" t="s">
        <v>462</v>
      </c>
      <c r="K234" s="44" t="str">
        <f t="shared" si="42"/>
        <v>lev OK</v>
      </c>
      <c r="L234" s="1">
        <f t="shared" si="37"/>
        <v>42385.718055555553</v>
      </c>
      <c r="M234" s="43"/>
      <c r="N234" s="11">
        <f t="shared" si="43"/>
        <v>0.5769196428573955</v>
      </c>
      <c r="O234" s="11">
        <f t="shared" si="44"/>
        <v>0.65500000000000003</v>
      </c>
      <c r="P234" s="1">
        <f t="shared" si="45"/>
        <v>42385.49722222222</v>
      </c>
      <c r="Q234" s="12">
        <f t="shared" si="46"/>
        <v>1.4732142857127544E-2</v>
      </c>
      <c r="AC234" s="39">
        <v>7.8293800000000005E-11</v>
      </c>
      <c r="AD234" s="39">
        <v>6.3251399999999995E-11</v>
      </c>
      <c r="AE234">
        <v>0</v>
      </c>
      <c r="AF234" s="39">
        <v>5.4930600000000002E-11</v>
      </c>
      <c r="AG234" s="39">
        <v>6.0236800000000004E-11</v>
      </c>
      <c r="AH234" s="39">
        <v>8.3083599999999996E-11</v>
      </c>
      <c r="AI234" s="39">
        <v>3.62524E-11</v>
      </c>
      <c r="AJ234" s="39">
        <v>5.4736000000000001E-11</v>
      </c>
      <c r="AK234" s="39">
        <v>4.1384399999999997E-11</v>
      </c>
      <c r="AL234" s="39">
        <v>8.0102099999999997E-11</v>
      </c>
      <c r="AM234" s="39">
        <v>7.2436200000000001E-11</v>
      </c>
      <c r="AN234" s="39">
        <v>1.00581E-10</v>
      </c>
    </row>
    <row r="235" spans="1:40" thickBot="1">
      <c r="A235" s="29" t="s">
        <v>469</v>
      </c>
      <c r="B235" s="30" t="s">
        <v>17</v>
      </c>
      <c r="C235" s="30">
        <v>56</v>
      </c>
      <c r="D235" s="30" t="s">
        <v>41</v>
      </c>
      <c r="E235" s="30">
        <v>1000</v>
      </c>
      <c r="F235" s="30">
        <v>32</v>
      </c>
      <c r="G235" s="30" t="s">
        <v>268</v>
      </c>
      <c r="H235" s="42" t="s">
        <v>19</v>
      </c>
      <c r="I235" s="30" t="s">
        <v>20</v>
      </c>
      <c r="J235" s="40" t="s">
        <v>462</v>
      </c>
      <c r="K235" s="44" t="str">
        <f t="shared" si="42"/>
        <v>lev OK</v>
      </c>
      <c r="L235" s="1">
        <f t="shared" si="37"/>
        <v>42385.757638888892</v>
      </c>
      <c r="M235" s="43"/>
      <c r="N235" s="11">
        <f t="shared" si="43"/>
        <v>0.56292410714123786</v>
      </c>
      <c r="O235" s="11">
        <f t="shared" si="44"/>
        <v>0.65500000000000003</v>
      </c>
      <c r="P235" s="1">
        <f t="shared" si="45"/>
        <v>42385.49722222222</v>
      </c>
      <c r="Q235" s="12">
        <f t="shared" si="46"/>
        <v>1.4732142857127544E-2</v>
      </c>
      <c r="AC235" s="39">
        <v>8.1661399999999999E-11</v>
      </c>
      <c r="AD235" s="39">
        <v>6.7432700000000001E-11</v>
      </c>
      <c r="AE235">
        <v>0</v>
      </c>
      <c r="AF235" s="39">
        <v>5.3909100000000002E-11</v>
      </c>
      <c r="AG235" s="39">
        <v>6.4185300000000001E-11</v>
      </c>
      <c r="AH235" s="39">
        <v>8.61829E-11</v>
      </c>
      <c r="AI235" s="39">
        <v>3.8034500000000003E-11</v>
      </c>
      <c r="AJ235" s="39">
        <v>5.2958499999999997E-11</v>
      </c>
      <c r="AK235" s="39">
        <v>4.2613599999999999E-11</v>
      </c>
      <c r="AL235" s="39">
        <v>8.1991799999999998E-11</v>
      </c>
      <c r="AM235" s="39">
        <v>7.7866700000000006E-11</v>
      </c>
      <c r="AN235" s="39">
        <v>1.1674400000000001E-10</v>
      </c>
    </row>
    <row r="236" spans="1:40" thickBot="1">
      <c r="A236" s="29" t="s">
        <v>470</v>
      </c>
      <c r="B236" s="30" t="s">
        <v>17</v>
      </c>
      <c r="C236" s="30">
        <v>56</v>
      </c>
      <c r="D236" s="30" t="s">
        <v>41</v>
      </c>
      <c r="E236" s="30">
        <v>1000</v>
      </c>
      <c r="F236" s="30">
        <v>32</v>
      </c>
      <c r="G236" s="30" t="s">
        <v>268</v>
      </c>
      <c r="H236" s="42" t="s">
        <v>19</v>
      </c>
      <c r="I236" s="30" t="s">
        <v>20</v>
      </c>
      <c r="J236" s="40" t="s">
        <v>462</v>
      </c>
      <c r="K236" s="44" t="str">
        <f t="shared" si="42"/>
        <v>lev OK</v>
      </c>
      <c r="L236" s="1">
        <f t="shared" si="37"/>
        <v>42385.797222222223</v>
      </c>
      <c r="M236" s="43"/>
      <c r="N236" s="11">
        <f t="shared" si="43"/>
        <v>0.54892857142765272</v>
      </c>
      <c r="O236" s="11">
        <f t="shared" si="44"/>
        <v>0.65500000000000003</v>
      </c>
      <c r="P236" s="1">
        <f t="shared" si="45"/>
        <v>42385.49722222222</v>
      </c>
      <c r="Q236" s="12">
        <f t="shared" si="46"/>
        <v>1.4732142857127544E-2</v>
      </c>
      <c r="AC236" s="39">
        <v>8.1574099999999998E-11</v>
      </c>
      <c r="AD236" s="39">
        <v>6.43626E-11</v>
      </c>
      <c r="AE236">
        <v>0</v>
      </c>
      <c r="AF236" s="39">
        <v>5.5558699999999999E-11</v>
      </c>
      <c r="AG236" s="39">
        <v>6.0361899999999997E-11</v>
      </c>
      <c r="AH236" s="39">
        <v>8.7887200000000005E-11</v>
      </c>
      <c r="AI236" s="39">
        <v>3.8074800000000003E-11</v>
      </c>
      <c r="AJ236" s="39">
        <v>5.4711299999999999E-11</v>
      </c>
      <c r="AK236" s="39">
        <v>4.3278E-11</v>
      </c>
      <c r="AL236" s="39">
        <v>8.15126E-11</v>
      </c>
      <c r="AM236" s="39">
        <v>7.5130200000000002E-11</v>
      </c>
      <c r="AN236" s="39">
        <v>1.03406E-10</v>
      </c>
    </row>
    <row r="237" spans="1:40" thickBot="1">
      <c r="A237" s="29" t="s">
        <v>471</v>
      </c>
      <c r="B237" s="30" t="s">
        <v>17</v>
      </c>
      <c r="C237" s="30">
        <v>56</v>
      </c>
      <c r="D237" s="30" t="s">
        <v>41</v>
      </c>
      <c r="E237" s="30">
        <v>1000</v>
      </c>
      <c r="F237" s="30">
        <v>31</v>
      </c>
      <c r="G237" s="30" t="s">
        <v>268</v>
      </c>
      <c r="H237" s="42" t="s">
        <v>19</v>
      </c>
      <c r="I237" s="30" t="s">
        <v>20</v>
      </c>
      <c r="J237" s="40" t="s">
        <v>462</v>
      </c>
      <c r="K237" s="44" t="str">
        <f t="shared" si="42"/>
        <v>lev OK</v>
      </c>
      <c r="L237" s="1">
        <f t="shared" si="37"/>
        <v>42385.836111111108</v>
      </c>
      <c r="M237" s="43"/>
      <c r="N237" s="11">
        <f t="shared" si="43"/>
        <v>0.53517857142915337</v>
      </c>
      <c r="O237" s="11">
        <f t="shared" si="44"/>
        <v>0.65500000000000003</v>
      </c>
      <c r="P237" s="1">
        <f t="shared" si="45"/>
        <v>42385.49722222222</v>
      </c>
      <c r="Q237" s="12">
        <f t="shared" si="46"/>
        <v>1.4732142857127544E-2</v>
      </c>
      <c r="AC237" s="39">
        <v>1.11003E-10</v>
      </c>
      <c r="AD237" s="39">
        <v>9.4507099999999998E-11</v>
      </c>
      <c r="AE237">
        <v>0</v>
      </c>
      <c r="AF237" s="39">
        <v>7.3709599999999998E-11</v>
      </c>
      <c r="AG237" s="39">
        <v>8.7633900000000001E-11</v>
      </c>
      <c r="AH237" s="39">
        <v>1.1911200000000001E-10</v>
      </c>
      <c r="AI237" s="39">
        <v>4.8045299999999999E-11</v>
      </c>
      <c r="AJ237" s="39">
        <v>5.18739E-11</v>
      </c>
      <c r="AK237" s="39">
        <v>5.1382499999999997E-11</v>
      </c>
      <c r="AL237" s="39">
        <v>1.06285E-10</v>
      </c>
      <c r="AM237" s="39">
        <v>1.0538800000000001E-10</v>
      </c>
      <c r="AN237" s="39">
        <v>2.17148E-10</v>
      </c>
    </row>
    <row r="238" spans="1:40" thickBot="1">
      <c r="A238" s="29" t="s">
        <v>472</v>
      </c>
      <c r="B238" s="30" t="s">
        <v>17</v>
      </c>
      <c r="C238" s="30">
        <v>56</v>
      </c>
      <c r="D238" s="30" t="s">
        <v>41</v>
      </c>
      <c r="E238" s="30">
        <v>1000</v>
      </c>
      <c r="F238" s="30">
        <v>31</v>
      </c>
      <c r="G238" s="30" t="s">
        <v>268</v>
      </c>
      <c r="H238" s="42" t="s">
        <v>19</v>
      </c>
      <c r="I238" s="30" t="s">
        <v>20</v>
      </c>
      <c r="J238" s="40" t="s">
        <v>462</v>
      </c>
      <c r="K238" s="44" t="str">
        <f t="shared" si="42"/>
        <v>lev OK</v>
      </c>
      <c r="L238" s="1">
        <f t="shared" si="37"/>
        <v>42385.875694444447</v>
      </c>
      <c r="M238" s="43"/>
      <c r="N238" s="11">
        <f t="shared" si="43"/>
        <v>0.52118303571299562</v>
      </c>
      <c r="O238" s="11">
        <f t="shared" si="44"/>
        <v>0.65500000000000003</v>
      </c>
      <c r="P238" s="1">
        <f t="shared" si="45"/>
        <v>42385.49722222222</v>
      </c>
      <c r="Q238" s="12">
        <f t="shared" si="46"/>
        <v>1.4732142857127544E-2</v>
      </c>
      <c r="AC238" s="39">
        <v>1.0391300000000001E-10</v>
      </c>
      <c r="AD238" s="39">
        <v>8.0609300000000003E-11</v>
      </c>
      <c r="AE238">
        <v>0</v>
      </c>
      <c r="AF238" s="39">
        <v>6.7722800000000001E-11</v>
      </c>
      <c r="AG238" s="39">
        <v>7.2018399999999995E-11</v>
      </c>
      <c r="AH238" s="39">
        <v>1.10386E-10</v>
      </c>
      <c r="AI238" s="39">
        <v>4.66921E-11</v>
      </c>
      <c r="AJ238" s="39">
        <v>5.2884600000000002E-11</v>
      </c>
      <c r="AK238" s="39">
        <v>5.0795600000000001E-11</v>
      </c>
      <c r="AL238" s="39">
        <v>1.00849E-10</v>
      </c>
      <c r="AM238" s="39">
        <v>1.02049E-10</v>
      </c>
      <c r="AN238" s="39">
        <v>1.48496E-10</v>
      </c>
    </row>
    <row r="239" spans="1:40" thickBot="1">
      <c r="A239" s="29" t="s">
        <v>473</v>
      </c>
      <c r="B239" s="30" t="s">
        <v>17</v>
      </c>
      <c r="C239" s="30">
        <v>56</v>
      </c>
      <c r="D239" s="30" t="s">
        <v>41</v>
      </c>
      <c r="E239" s="30">
        <v>1000</v>
      </c>
      <c r="F239" s="30">
        <v>31</v>
      </c>
      <c r="G239" s="30" t="s">
        <v>268</v>
      </c>
      <c r="H239" s="42" t="s">
        <v>19</v>
      </c>
      <c r="I239" s="30" t="s">
        <v>20</v>
      </c>
      <c r="J239" s="40" t="s">
        <v>462</v>
      </c>
      <c r="K239" s="44" t="str">
        <f t="shared" si="42"/>
        <v>lev OK</v>
      </c>
      <c r="L239" s="1">
        <f t="shared" si="37"/>
        <v>42385.915277777778</v>
      </c>
      <c r="M239" s="43"/>
      <c r="N239" s="11">
        <f t="shared" si="43"/>
        <v>0.50718749999941048</v>
      </c>
      <c r="O239" s="11">
        <f t="shared" si="44"/>
        <v>0.65500000000000003</v>
      </c>
      <c r="P239" s="1">
        <f t="shared" si="45"/>
        <v>42385.49722222222</v>
      </c>
      <c r="Q239" s="12">
        <f t="shared" si="46"/>
        <v>1.4732142857127544E-2</v>
      </c>
      <c r="AC239" s="39">
        <v>7.9164500000000001E-11</v>
      </c>
      <c r="AD239" s="39">
        <v>6.5007699999999994E-11</v>
      </c>
      <c r="AE239">
        <v>0</v>
      </c>
      <c r="AF239" s="39">
        <v>5.4632599999999998E-11</v>
      </c>
      <c r="AG239" s="39">
        <v>6.2132000000000001E-11</v>
      </c>
      <c r="AH239" s="39">
        <v>8.4166100000000003E-11</v>
      </c>
      <c r="AI239" s="39">
        <v>3.7501799999999998E-11</v>
      </c>
      <c r="AJ239" s="39">
        <v>5.29698E-11</v>
      </c>
      <c r="AK239" s="39">
        <v>4.20975E-11</v>
      </c>
      <c r="AL239" s="39">
        <v>8.1010100000000006E-11</v>
      </c>
      <c r="AM239" s="39">
        <v>7.4612099999999999E-11</v>
      </c>
      <c r="AN239" s="39">
        <v>1.2768200000000001E-10</v>
      </c>
    </row>
    <row r="240" spans="1:40" thickBot="1">
      <c r="A240" s="29" t="s">
        <v>474</v>
      </c>
      <c r="B240" s="30" t="s">
        <v>17</v>
      </c>
      <c r="C240" s="30">
        <v>56</v>
      </c>
      <c r="D240" s="30" t="s">
        <v>41</v>
      </c>
      <c r="E240" s="30">
        <v>1000</v>
      </c>
      <c r="F240" s="30">
        <v>31</v>
      </c>
      <c r="G240" s="30" t="s">
        <v>268</v>
      </c>
      <c r="H240" s="42" t="s">
        <v>19</v>
      </c>
      <c r="I240" s="30" t="s">
        <v>20</v>
      </c>
      <c r="J240" s="40" t="s">
        <v>462</v>
      </c>
      <c r="K240" s="44" t="str">
        <f t="shared" si="42"/>
        <v>lev OK</v>
      </c>
      <c r="L240" s="1">
        <f t="shared" si="37"/>
        <v>42385.954861111109</v>
      </c>
      <c r="M240" s="43"/>
      <c r="N240" s="11">
        <f t="shared" si="43"/>
        <v>0.49319196428582535</v>
      </c>
      <c r="O240" s="11">
        <f t="shared" si="44"/>
        <v>0.65500000000000003</v>
      </c>
      <c r="P240" s="1">
        <f t="shared" si="45"/>
        <v>42385.49722222222</v>
      </c>
      <c r="Q240" s="12">
        <f t="shared" si="46"/>
        <v>1.4732142857127544E-2</v>
      </c>
      <c r="AC240" s="39">
        <v>7.2507499999999995E-11</v>
      </c>
      <c r="AD240" s="39">
        <v>5.7038900000000002E-11</v>
      </c>
      <c r="AE240">
        <v>0</v>
      </c>
      <c r="AF240" s="39">
        <v>4.66415E-11</v>
      </c>
      <c r="AG240" s="39">
        <v>5.3948299999999999E-11</v>
      </c>
      <c r="AH240" s="39">
        <v>7.6230499999999996E-11</v>
      </c>
      <c r="AI240" s="39">
        <v>3.5159999999999998E-11</v>
      </c>
      <c r="AJ240" s="39">
        <v>5.14352E-11</v>
      </c>
      <c r="AK240" s="39">
        <v>3.9602100000000001E-11</v>
      </c>
      <c r="AL240" s="39">
        <v>7.3473899999999995E-11</v>
      </c>
      <c r="AM240" s="39">
        <v>6.6830099999999997E-11</v>
      </c>
      <c r="AN240" s="39">
        <v>9.42569E-11</v>
      </c>
    </row>
    <row r="241" spans="1:40" thickBot="1">
      <c r="A241" s="29" t="s">
        <v>475</v>
      </c>
      <c r="B241" s="30" t="s">
        <v>17</v>
      </c>
      <c r="C241" s="30">
        <v>56</v>
      </c>
      <c r="D241" s="30" t="s">
        <v>41</v>
      </c>
      <c r="E241" s="30">
        <v>1000</v>
      </c>
      <c r="F241" s="30">
        <v>31</v>
      </c>
      <c r="G241" s="30" t="s">
        <v>268</v>
      </c>
      <c r="H241" s="42" t="s">
        <v>19</v>
      </c>
      <c r="I241" s="30" t="s">
        <v>20</v>
      </c>
      <c r="J241" s="40" t="s">
        <v>462</v>
      </c>
      <c r="K241" s="44" t="str">
        <f t="shared" si="42"/>
        <v>lev OK</v>
      </c>
      <c r="L241" s="1">
        <f t="shared" si="37"/>
        <v>42385.993750000001</v>
      </c>
      <c r="M241" s="43"/>
      <c r="N241" s="11">
        <f t="shared" si="43"/>
        <v>0.47944196428475339</v>
      </c>
      <c r="O241" s="11">
        <f t="shared" si="44"/>
        <v>0.65500000000000003</v>
      </c>
      <c r="P241" s="1">
        <f t="shared" si="45"/>
        <v>42385.49722222222</v>
      </c>
      <c r="Q241" s="12">
        <f t="shared" si="46"/>
        <v>1.4732142857127544E-2</v>
      </c>
      <c r="AC241" s="39">
        <v>8.6386200000000002E-11</v>
      </c>
      <c r="AD241" s="39">
        <v>6.8959600000000002E-11</v>
      </c>
      <c r="AE241">
        <v>0</v>
      </c>
      <c r="AF241" s="39">
        <v>5.6266399999999999E-11</v>
      </c>
      <c r="AG241" s="39">
        <v>6.1996199999999996E-11</v>
      </c>
      <c r="AH241" s="39">
        <v>8.94022E-11</v>
      </c>
      <c r="AI241" s="39">
        <v>3.9469800000000001E-11</v>
      </c>
      <c r="AJ241" s="39">
        <v>5.1849199999999998E-11</v>
      </c>
      <c r="AK241" s="39">
        <v>4.4060000000000001E-11</v>
      </c>
      <c r="AL241" s="39">
        <v>8.3500600000000006E-11</v>
      </c>
      <c r="AM241" s="39">
        <v>7.7745599999999996E-11</v>
      </c>
      <c r="AN241" s="39">
        <v>1.48879E-10</v>
      </c>
    </row>
    <row r="242" spans="1:40" thickBot="1">
      <c r="A242" s="29" t="s">
        <v>476</v>
      </c>
      <c r="B242" s="30" t="s">
        <v>17</v>
      </c>
      <c r="C242" s="30">
        <v>56</v>
      </c>
      <c r="D242" s="30" t="s">
        <v>41</v>
      </c>
      <c r="E242" s="30">
        <v>1000</v>
      </c>
      <c r="F242" s="30">
        <v>31</v>
      </c>
      <c r="G242" s="30" t="s">
        <v>268</v>
      </c>
      <c r="H242" s="42" t="s">
        <v>19</v>
      </c>
      <c r="I242" s="30" t="s">
        <v>20</v>
      </c>
      <c r="J242" s="40" t="s">
        <v>462</v>
      </c>
      <c r="K242" s="44" t="str">
        <f t="shared" ref="K242:K248" si="47">IF(AND(N242&lt;0.7,N242&gt;0.2),"lev OK","lev BAD")</f>
        <v>lev OK</v>
      </c>
      <c r="L242" s="1">
        <f t="shared" ref="L242:L248" si="48">DATE(2000+MID(A242,3,2),MID(A242,5,2),MID(A242,7,2))+TIME(MID(A242,10,2),MID(A242,12,2),0)</f>
        <v>42386.033333333333</v>
      </c>
      <c r="M242" s="43"/>
      <c r="N242" s="11">
        <f t="shared" ref="N242:N248" si="49">O242-(L242-P242)*24*Q242</f>
        <v>0.46544642857116825</v>
      </c>
      <c r="O242" s="11">
        <f t="shared" ref="O242:O248" si="50">O241</f>
        <v>0.65500000000000003</v>
      </c>
      <c r="P242" s="1">
        <f t="shared" ref="P242:P248" si="51">P241</f>
        <v>42385.49722222222</v>
      </c>
      <c r="Q242" s="12">
        <f t="shared" ref="Q242:Q248" si="52">Q241</f>
        <v>1.4732142857127544E-2</v>
      </c>
      <c r="AC242" s="39">
        <v>9.9636100000000002E-11</v>
      </c>
      <c r="AD242" s="39">
        <v>8.0669300000000001E-11</v>
      </c>
      <c r="AE242" s="39">
        <v>9.5019499999999997E-14</v>
      </c>
      <c r="AF242" s="39">
        <v>6.7956499999999999E-11</v>
      </c>
      <c r="AG242" s="39">
        <v>6.7102199999999997E-11</v>
      </c>
      <c r="AH242" s="39">
        <v>1.04883E-10</v>
      </c>
      <c r="AI242" s="39">
        <v>4.3503299999999997E-11</v>
      </c>
      <c r="AJ242" s="39">
        <v>5.3097200000000002E-11</v>
      </c>
      <c r="AK242" s="39">
        <v>4.7167099999999997E-11</v>
      </c>
      <c r="AL242" s="39">
        <v>9.8065199999999999E-11</v>
      </c>
      <c r="AM242" s="39">
        <v>9.1801099999999997E-11</v>
      </c>
      <c r="AN242" s="39">
        <v>1.7083200000000001E-10</v>
      </c>
    </row>
    <row r="243" spans="1:40" thickBot="1">
      <c r="A243" s="29" t="s">
        <v>477</v>
      </c>
      <c r="B243" s="30" t="s">
        <v>17</v>
      </c>
      <c r="C243" s="30">
        <v>56</v>
      </c>
      <c r="D243" s="30" t="s">
        <v>41</v>
      </c>
      <c r="E243" s="30">
        <v>1000</v>
      </c>
      <c r="F243" s="30">
        <v>31</v>
      </c>
      <c r="G243" s="30" t="s">
        <v>268</v>
      </c>
      <c r="H243" s="42" t="s">
        <v>19</v>
      </c>
      <c r="I243" s="30" t="s">
        <v>20</v>
      </c>
      <c r="J243" s="40" t="s">
        <v>462</v>
      </c>
      <c r="K243" s="44" t="str">
        <f t="shared" si="47"/>
        <v>lev OK</v>
      </c>
      <c r="L243" s="1">
        <f t="shared" si="48"/>
        <v>42386.072916666664</v>
      </c>
      <c r="M243" s="43"/>
      <c r="N243" s="11">
        <f t="shared" si="49"/>
        <v>0.45145089285758311</v>
      </c>
      <c r="O243" s="11">
        <f t="shared" si="50"/>
        <v>0.65500000000000003</v>
      </c>
      <c r="P243" s="1">
        <f t="shared" si="51"/>
        <v>42385.49722222222</v>
      </c>
      <c r="Q243" s="12">
        <f t="shared" si="52"/>
        <v>1.4732142857127544E-2</v>
      </c>
      <c r="AC243" s="39">
        <v>8.29921E-11</v>
      </c>
      <c r="AD243" s="39">
        <v>6.5042699999999997E-11</v>
      </c>
      <c r="AE243">
        <v>0</v>
      </c>
      <c r="AF243" s="39">
        <v>5.1720200000000003E-11</v>
      </c>
      <c r="AG243" s="39">
        <v>6.2657699999999997E-11</v>
      </c>
      <c r="AH243" s="39">
        <v>9.1160599999999996E-11</v>
      </c>
      <c r="AI243" s="39">
        <v>3.9524600000000002E-11</v>
      </c>
      <c r="AJ243" s="39">
        <v>5.3528600000000001E-11</v>
      </c>
      <c r="AK243" s="39">
        <v>4.37495E-11</v>
      </c>
      <c r="AL243" s="39">
        <v>8.0506000000000006E-11</v>
      </c>
      <c r="AM243" s="39">
        <v>7.5983800000000002E-11</v>
      </c>
      <c r="AN243" s="39">
        <v>1.0836200000000001E-10</v>
      </c>
    </row>
    <row r="244" spans="1:40" thickBot="1">
      <c r="A244" s="29" t="s">
        <v>478</v>
      </c>
      <c r="B244" s="30" t="s">
        <v>17</v>
      </c>
      <c r="C244" s="30">
        <v>56</v>
      </c>
      <c r="D244" s="30" t="s">
        <v>41</v>
      </c>
      <c r="E244" s="30">
        <v>1000</v>
      </c>
      <c r="F244" s="30">
        <v>31</v>
      </c>
      <c r="G244" s="30" t="s">
        <v>268</v>
      </c>
      <c r="H244" s="42" t="s">
        <v>19</v>
      </c>
      <c r="I244" s="30" t="s">
        <v>20</v>
      </c>
      <c r="J244" s="40" t="s">
        <v>462</v>
      </c>
      <c r="K244" s="44" t="str">
        <f t="shared" si="47"/>
        <v>lev OK</v>
      </c>
      <c r="L244" s="1">
        <f t="shared" si="48"/>
        <v>42386.112500000003</v>
      </c>
      <c r="M244" s="43"/>
      <c r="N244" s="11">
        <f t="shared" si="49"/>
        <v>0.43745535714142542</v>
      </c>
      <c r="O244" s="11">
        <f t="shared" si="50"/>
        <v>0.65500000000000003</v>
      </c>
      <c r="P244" s="1">
        <f t="shared" si="51"/>
        <v>42385.49722222222</v>
      </c>
      <c r="Q244" s="12">
        <f t="shared" si="52"/>
        <v>1.4732142857127544E-2</v>
      </c>
      <c r="AC244" s="39">
        <v>9.5645399999999995E-11</v>
      </c>
      <c r="AD244" s="39">
        <v>7.6678800000000006E-11</v>
      </c>
      <c r="AE244">
        <v>0</v>
      </c>
      <c r="AF244" s="39">
        <v>6.3373100000000003E-11</v>
      </c>
      <c r="AG244" s="39">
        <v>7.0915199999999994E-11</v>
      </c>
      <c r="AH244" s="39">
        <v>1.0186E-10</v>
      </c>
      <c r="AI244" s="39">
        <v>4.3654100000000001E-11</v>
      </c>
      <c r="AJ244" s="39">
        <v>5.2812899999999997E-11</v>
      </c>
      <c r="AK244" s="39">
        <v>4.83069E-11</v>
      </c>
      <c r="AL244" s="39">
        <v>9.2595200000000004E-11</v>
      </c>
      <c r="AM244" s="39">
        <v>8.9048399999999999E-11</v>
      </c>
      <c r="AN244" s="39">
        <v>1.67857E-10</v>
      </c>
    </row>
    <row r="245" spans="1:40" thickBot="1">
      <c r="A245" s="29" t="s">
        <v>479</v>
      </c>
      <c r="B245" s="30" t="s">
        <v>17</v>
      </c>
      <c r="C245" s="30">
        <v>56</v>
      </c>
      <c r="D245" s="30" t="s">
        <v>41</v>
      </c>
      <c r="E245" s="30">
        <v>1000</v>
      </c>
      <c r="F245" s="30">
        <v>31</v>
      </c>
      <c r="G245" s="30" t="s">
        <v>268</v>
      </c>
      <c r="H245" s="42" t="s">
        <v>19</v>
      </c>
      <c r="I245" s="30" t="s">
        <v>20</v>
      </c>
      <c r="J245" s="40" t="s">
        <v>462</v>
      </c>
      <c r="K245" s="44" t="str">
        <f t="shared" si="47"/>
        <v>lev OK</v>
      </c>
      <c r="L245" s="1">
        <f t="shared" si="48"/>
        <v>42386.151388888888</v>
      </c>
      <c r="M245" s="43"/>
      <c r="N245" s="11">
        <f t="shared" si="49"/>
        <v>0.42370535714292606</v>
      </c>
      <c r="O245" s="11">
        <f t="shared" si="50"/>
        <v>0.65500000000000003</v>
      </c>
      <c r="P245" s="1">
        <f t="shared" si="51"/>
        <v>42385.49722222222</v>
      </c>
      <c r="Q245" s="12">
        <f t="shared" si="52"/>
        <v>1.4732142857127544E-2</v>
      </c>
      <c r="AC245" s="39">
        <v>8.7455599999999994E-11</v>
      </c>
      <c r="AD245" s="39">
        <v>7.0133499999999999E-11</v>
      </c>
      <c r="AE245">
        <v>0</v>
      </c>
      <c r="AF245" s="39">
        <v>9.3072799999999996E-11</v>
      </c>
      <c r="AG245" s="39">
        <v>6.9948700000000001E-11</v>
      </c>
      <c r="AH245" s="39">
        <v>9.2251900000000003E-11</v>
      </c>
      <c r="AI245" s="39">
        <v>3.9170900000000001E-11</v>
      </c>
      <c r="AJ245" s="39">
        <v>5.3148799999999997E-11</v>
      </c>
      <c r="AK245" s="39">
        <v>4.5918999999999999E-11</v>
      </c>
      <c r="AL245" s="39">
        <v>9.5435099999999998E-11</v>
      </c>
      <c r="AM245" s="39">
        <v>8.0356300000000004E-11</v>
      </c>
      <c r="AN245" s="39">
        <v>1.3755900000000001E-10</v>
      </c>
    </row>
    <row r="246" spans="1:40" thickBot="1">
      <c r="A246" s="29" t="s">
        <v>480</v>
      </c>
      <c r="B246" s="30" t="s">
        <v>17</v>
      </c>
      <c r="C246" s="30">
        <v>56</v>
      </c>
      <c r="D246" s="30" t="s">
        <v>41</v>
      </c>
      <c r="E246" s="30">
        <v>1000</v>
      </c>
      <c r="F246" s="30">
        <v>31</v>
      </c>
      <c r="G246" s="30" t="s">
        <v>268</v>
      </c>
      <c r="H246" s="42" t="s">
        <v>19</v>
      </c>
      <c r="I246" s="30" t="s">
        <v>20</v>
      </c>
      <c r="J246" s="40" t="s">
        <v>462</v>
      </c>
      <c r="K246" s="44" t="str">
        <f t="shared" si="47"/>
        <v>lev OK</v>
      </c>
      <c r="L246" s="1">
        <f t="shared" si="48"/>
        <v>42386.190972222219</v>
      </c>
      <c r="M246" s="43"/>
      <c r="N246" s="11">
        <f t="shared" si="49"/>
        <v>0.40970982142934093</v>
      </c>
      <c r="O246" s="11">
        <f t="shared" si="50"/>
        <v>0.65500000000000003</v>
      </c>
      <c r="P246" s="1">
        <f t="shared" si="51"/>
        <v>42385.49722222222</v>
      </c>
      <c r="Q246" s="12">
        <f t="shared" si="52"/>
        <v>1.4732142857127544E-2</v>
      </c>
      <c r="AC246" s="39">
        <v>7.9678700000000002E-11</v>
      </c>
      <c r="AD246" s="39">
        <v>7.4120500000000003E-11</v>
      </c>
      <c r="AE246">
        <v>0</v>
      </c>
      <c r="AF246" s="39">
        <v>5.0938500000000001E-11</v>
      </c>
      <c r="AG246" s="39">
        <v>5.5479200000000002E-11</v>
      </c>
      <c r="AH246" s="39">
        <v>8.5004799999999996E-11</v>
      </c>
      <c r="AI246" s="39">
        <v>3.7731500000000002E-11</v>
      </c>
      <c r="AJ246" s="39">
        <v>5.0468200000000003E-11</v>
      </c>
      <c r="AK246" s="39">
        <v>4.0771599999999998E-11</v>
      </c>
      <c r="AL246" s="39">
        <v>7.8623699999999999E-11</v>
      </c>
      <c r="AM246" s="39">
        <v>7.5678500000000004E-11</v>
      </c>
      <c r="AN246" s="39">
        <v>1.1796199999999999E-10</v>
      </c>
    </row>
    <row r="247" spans="1:40" thickBot="1">
      <c r="A247" s="29" t="s">
        <v>481</v>
      </c>
      <c r="B247" s="30" t="s">
        <v>17</v>
      </c>
      <c r="C247" s="30">
        <v>56</v>
      </c>
      <c r="D247" s="30" t="s">
        <v>41</v>
      </c>
      <c r="E247" s="30">
        <v>1000</v>
      </c>
      <c r="F247" s="30">
        <v>31</v>
      </c>
      <c r="G247" s="30" t="s">
        <v>268</v>
      </c>
      <c r="H247" s="42" t="s">
        <v>19</v>
      </c>
      <c r="I247" s="30" t="s">
        <v>20</v>
      </c>
      <c r="J247" s="40" t="s">
        <v>462</v>
      </c>
      <c r="K247" s="44" t="str">
        <f t="shared" si="47"/>
        <v>lev OK</v>
      </c>
      <c r="L247" s="1">
        <f t="shared" si="48"/>
        <v>42386.230555555558</v>
      </c>
      <c r="M247" s="43"/>
      <c r="N247" s="11">
        <f t="shared" si="49"/>
        <v>0.39571428571318323</v>
      </c>
      <c r="O247" s="11">
        <f t="shared" si="50"/>
        <v>0.65500000000000003</v>
      </c>
      <c r="P247" s="1">
        <f t="shared" si="51"/>
        <v>42385.49722222222</v>
      </c>
      <c r="Q247" s="12">
        <f t="shared" si="52"/>
        <v>1.4732142857127544E-2</v>
      </c>
      <c r="AC247" s="39">
        <v>9.3879199999999994E-11</v>
      </c>
      <c r="AD247" s="39">
        <v>7.34178E-11</v>
      </c>
      <c r="AE247">
        <v>0</v>
      </c>
      <c r="AF247" s="39">
        <v>6.1153600000000001E-11</v>
      </c>
      <c r="AG247" s="39">
        <v>6.56294E-11</v>
      </c>
      <c r="AH247" s="39">
        <v>9.7256799999999997E-11</v>
      </c>
      <c r="AI247" s="39">
        <v>4.3494800000000002E-11</v>
      </c>
      <c r="AJ247" s="39">
        <v>5.0905300000000003E-11</v>
      </c>
      <c r="AK247" s="39">
        <v>4.6452799999999999E-11</v>
      </c>
      <c r="AL247" s="39">
        <v>8.8386800000000005E-11</v>
      </c>
      <c r="AM247" s="39">
        <v>8.5055100000000003E-11</v>
      </c>
      <c r="AN247" s="39">
        <v>1.53628E-10</v>
      </c>
    </row>
    <row r="248" spans="1:40" thickBot="1">
      <c r="A248" s="29" t="s">
        <v>482</v>
      </c>
      <c r="B248" s="30" t="s">
        <v>17</v>
      </c>
      <c r="C248" s="30">
        <v>56</v>
      </c>
      <c r="D248" s="30" t="s">
        <v>41</v>
      </c>
      <c r="E248" s="30">
        <v>1000</v>
      </c>
      <c r="F248" s="30">
        <v>32</v>
      </c>
      <c r="G248" s="30" t="s">
        <v>268</v>
      </c>
      <c r="H248" s="42" t="s">
        <v>19</v>
      </c>
      <c r="I248" s="30" t="s">
        <v>20</v>
      </c>
      <c r="J248" s="40" t="s">
        <v>462</v>
      </c>
      <c r="K248" s="44" t="str">
        <f t="shared" si="47"/>
        <v>lev OK</v>
      </c>
      <c r="L248" s="1">
        <f t="shared" si="48"/>
        <v>42386.270138888889</v>
      </c>
      <c r="M248" s="43"/>
      <c r="N248" s="11">
        <f t="shared" si="49"/>
        <v>0.38171874999959804</v>
      </c>
      <c r="O248" s="11">
        <f t="shared" si="50"/>
        <v>0.65500000000000003</v>
      </c>
      <c r="P248" s="1">
        <f t="shared" si="51"/>
        <v>42385.49722222222</v>
      </c>
      <c r="Q248" s="12">
        <f t="shared" si="52"/>
        <v>1.4732142857127544E-2</v>
      </c>
      <c r="AC248" s="39">
        <v>7.0469100000000001E-11</v>
      </c>
      <c r="AD248" s="39">
        <v>5.6748800000000003E-11</v>
      </c>
      <c r="AE248">
        <v>0</v>
      </c>
      <c r="AF248" s="39">
        <v>4.6122400000000001E-11</v>
      </c>
      <c r="AG248" s="39">
        <v>5.1028099999999999E-11</v>
      </c>
      <c r="AH248" s="39">
        <v>7.5713200000000002E-11</v>
      </c>
      <c r="AI248" s="39">
        <v>3.5994099999999998E-11</v>
      </c>
      <c r="AJ248" s="39">
        <v>5.4693499999999998E-11</v>
      </c>
      <c r="AK248" s="39">
        <v>3.9930800000000001E-11</v>
      </c>
      <c r="AL248" s="39">
        <v>7.3568299999999999E-11</v>
      </c>
      <c r="AM248" s="39">
        <v>6.6442199999999996E-11</v>
      </c>
      <c r="AN248" s="39">
        <v>9.6266100000000005E-11</v>
      </c>
    </row>
    <row r="249" spans="1:40" thickBot="1">
      <c r="A249" s="29" t="s">
        <v>483</v>
      </c>
      <c r="B249" s="30" t="s">
        <v>17</v>
      </c>
      <c r="C249" s="30">
        <v>56</v>
      </c>
      <c r="D249" s="30" t="s">
        <v>41</v>
      </c>
      <c r="E249" s="30">
        <v>1000</v>
      </c>
      <c r="F249" s="30">
        <v>31</v>
      </c>
      <c r="G249" s="30" t="s">
        <v>268</v>
      </c>
      <c r="H249" s="42" t="s">
        <v>25</v>
      </c>
      <c r="I249" s="30" t="s">
        <v>20</v>
      </c>
      <c r="J249" s="40" t="s">
        <v>484</v>
      </c>
      <c r="K249" s="46" t="s">
        <v>402</v>
      </c>
      <c r="L249" s="1">
        <f t="shared" ref="L249:L291" si="53">DATE(2000+MID(A249,3,2),MID(A249,5,2),MID(A249,7,2))+TIME(MID(A249,10,2),MID(A249,12,2),0)</f>
        <v>42386.545138888891</v>
      </c>
      <c r="M249" s="43"/>
      <c r="N249" s="11">
        <f t="shared" si="43"/>
        <v>0.89153723742766067</v>
      </c>
      <c r="O249" s="12">
        <v>0.91100000000000003</v>
      </c>
      <c r="P249" s="1">
        <v>42386.481944444444</v>
      </c>
      <c r="Q249" s="11">
        <f>(O249-R249)/(S249-P249)/24</f>
        <v>1.2832590706577258E-2</v>
      </c>
      <c r="R249" s="12">
        <v>0.57499999999999996</v>
      </c>
      <c r="S249" s="1">
        <v>42387.572916666664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</row>
    <row r="250" spans="1:40" thickBot="1">
      <c r="A250" s="29" t="s">
        <v>485</v>
      </c>
      <c r="B250" s="30" t="s">
        <v>17</v>
      </c>
      <c r="C250" s="30">
        <v>56</v>
      </c>
      <c r="D250" s="30" t="s">
        <v>41</v>
      </c>
      <c r="E250" s="30">
        <v>1000</v>
      </c>
      <c r="F250" s="30">
        <v>31</v>
      </c>
      <c r="G250" s="30" t="s">
        <v>268</v>
      </c>
      <c r="H250" s="42" t="s">
        <v>25</v>
      </c>
      <c r="I250" s="30" t="s">
        <v>20</v>
      </c>
      <c r="J250" s="40" t="s">
        <v>75</v>
      </c>
      <c r="K250" s="46" t="s">
        <v>402</v>
      </c>
      <c r="L250" s="1">
        <f t="shared" si="53"/>
        <v>42386.584722222222</v>
      </c>
      <c r="M250" s="43"/>
      <c r="N250" s="11">
        <f t="shared" ref="N250:N292" si="54">O250-(L250-P250)*24*Q250</f>
        <v>0.8793462762570099</v>
      </c>
      <c r="O250" s="11">
        <f t="shared" ref="O250:O274" si="55">O249</f>
        <v>0.91100000000000003</v>
      </c>
      <c r="P250" s="1">
        <f t="shared" ref="P250:P274" si="56">P249</f>
        <v>42386.481944444444</v>
      </c>
      <c r="Q250" s="12">
        <f t="shared" ref="Q250:Q274" si="57">Q249</f>
        <v>1.2832590706577258E-2</v>
      </c>
      <c r="AC250" s="39">
        <v>8.4075499999999996E-11</v>
      </c>
      <c r="AD250" s="39">
        <v>6.9078099999999997E-11</v>
      </c>
      <c r="AE250" s="39">
        <v>7.8136099999999999E-11</v>
      </c>
      <c r="AF250" s="39">
        <v>6.0080999999999997E-11</v>
      </c>
      <c r="AG250" s="39">
        <v>8.1511299999999999E-11</v>
      </c>
      <c r="AH250" s="39">
        <v>7.1134700000000003E-11</v>
      </c>
      <c r="AI250" s="39">
        <v>3.9168399999999999E-11</v>
      </c>
      <c r="AJ250" s="39">
        <v>1.5846500000000001E-10</v>
      </c>
      <c r="AK250" s="39">
        <v>4.1869300000000003E-11</v>
      </c>
      <c r="AL250" s="39">
        <v>7.9112499999999994E-11</v>
      </c>
      <c r="AM250" s="39">
        <v>7.7620599999999997E-11</v>
      </c>
      <c r="AN250" s="39">
        <v>8.3684700000000001E-11</v>
      </c>
    </row>
    <row r="251" spans="1:40" thickBot="1">
      <c r="A251" s="29" t="s">
        <v>486</v>
      </c>
      <c r="B251" s="30" t="s">
        <v>17</v>
      </c>
      <c r="C251" s="30">
        <v>56</v>
      </c>
      <c r="D251" s="30" t="s">
        <v>41</v>
      </c>
      <c r="E251" s="30">
        <v>1000</v>
      </c>
      <c r="F251" s="30">
        <v>32</v>
      </c>
      <c r="G251" s="30" t="s">
        <v>268</v>
      </c>
      <c r="H251" s="42" t="s">
        <v>25</v>
      </c>
      <c r="I251" s="30" t="s">
        <v>20</v>
      </c>
      <c r="J251" s="40" t="s">
        <v>75</v>
      </c>
      <c r="K251" s="46" t="s">
        <v>402</v>
      </c>
      <c r="L251" s="1">
        <f t="shared" si="53"/>
        <v>42386.624305555553</v>
      </c>
      <c r="M251" s="43"/>
      <c r="N251" s="11">
        <f t="shared" si="54"/>
        <v>0.86715531508635901</v>
      </c>
      <c r="O251" s="11">
        <f t="shared" si="55"/>
        <v>0.91100000000000003</v>
      </c>
      <c r="P251" s="1">
        <f t="shared" si="56"/>
        <v>42386.481944444444</v>
      </c>
      <c r="Q251" s="12">
        <f t="shared" si="57"/>
        <v>1.2832590706577258E-2</v>
      </c>
      <c r="AC251" s="39">
        <v>1.25951E-10</v>
      </c>
      <c r="AD251" s="39">
        <v>9.8088400000000001E-11</v>
      </c>
      <c r="AE251" s="39">
        <v>1.08545E-10</v>
      </c>
      <c r="AF251" s="39">
        <v>8.3171600000000002E-11</v>
      </c>
      <c r="AG251" s="39">
        <v>1.05551E-10</v>
      </c>
      <c r="AH251" s="39">
        <v>1.1059499999999999E-10</v>
      </c>
      <c r="AI251" s="39">
        <v>5.2769900000000003E-11</v>
      </c>
      <c r="AJ251" s="39">
        <v>2.2671399999999999E-10</v>
      </c>
      <c r="AK251" s="39">
        <v>5.0778799999999997E-11</v>
      </c>
      <c r="AL251" s="39">
        <v>1.11873E-10</v>
      </c>
      <c r="AM251" s="39">
        <v>1.12681E-10</v>
      </c>
      <c r="AN251" s="39">
        <v>1.1859799999999999E-10</v>
      </c>
    </row>
    <row r="252" spans="1:40" thickBot="1">
      <c r="A252" s="29" t="s">
        <v>487</v>
      </c>
      <c r="B252" s="30" t="s">
        <v>17</v>
      </c>
      <c r="C252" s="30">
        <v>56</v>
      </c>
      <c r="D252" s="30" t="s">
        <v>41</v>
      </c>
      <c r="E252" s="30">
        <v>1000</v>
      </c>
      <c r="F252" s="30">
        <v>32</v>
      </c>
      <c r="G252" s="30" t="s">
        <v>268</v>
      </c>
      <c r="H252" s="42" t="s">
        <v>25</v>
      </c>
      <c r="I252" s="30" t="s">
        <v>20</v>
      </c>
      <c r="J252" s="40" t="s">
        <v>75</v>
      </c>
      <c r="K252" s="46" t="s">
        <v>402</v>
      </c>
      <c r="L252" s="1">
        <f t="shared" si="53"/>
        <v>42386.663194444445</v>
      </c>
      <c r="M252" s="43"/>
      <c r="N252" s="11">
        <f t="shared" si="54"/>
        <v>0.85517823042594077</v>
      </c>
      <c r="O252" s="11">
        <f t="shared" si="55"/>
        <v>0.91100000000000003</v>
      </c>
      <c r="P252" s="1">
        <f t="shared" si="56"/>
        <v>42386.481944444444</v>
      </c>
      <c r="Q252" s="12">
        <f t="shared" si="57"/>
        <v>1.2832590706577258E-2</v>
      </c>
      <c r="AC252" s="39">
        <v>7.7153799999999996E-11</v>
      </c>
      <c r="AD252" s="39">
        <v>6.3989499999999999E-11</v>
      </c>
      <c r="AE252" s="39">
        <v>7.4382199999999996E-11</v>
      </c>
      <c r="AF252" s="39">
        <v>5.0003100000000001E-11</v>
      </c>
      <c r="AG252" s="39">
        <v>6.7500100000000006E-11</v>
      </c>
      <c r="AH252" s="39">
        <v>7.0069700000000005E-11</v>
      </c>
      <c r="AI252" s="39">
        <v>3.6297199999999999E-11</v>
      </c>
      <c r="AJ252" s="39">
        <v>1.49629E-10</v>
      </c>
      <c r="AK252" s="39">
        <v>3.5935000000000003E-11</v>
      </c>
      <c r="AL252" s="39">
        <v>7.3763300000000004E-11</v>
      </c>
      <c r="AM252" s="39">
        <v>7.09511E-11</v>
      </c>
      <c r="AN252" s="39">
        <v>7.1506900000000001E-11</v>
      </c>
    </row>
    <row r="253" spans="1:40" thickBot="1">
      <c r="A253" s="29" t="s">
        <v>488</v>
      </c>
      <c r="B253" s="30" t="s">
        <v>17</v>
      </c>
      <c r="C253" s="30">
        <v>56</v>
      </c>
      <c r="D253" s="30" t="s">
        <v>41</v>
      </c>
      <c r="E253" s="30">
        <v>1000</v>
      </c>
      <c r="F253" s="30">
        <v>31</v>
      </c>
      <c r="G253" s="30" t="s">
        <v>268</v>
      </c>
      <c r="H253" s="42" t="s">
        <v>25</v>
      </c>
      <c r="I253" s="30" t="s">
        <v>20</v>
      </c>
      <c r="J253" s="40" t="s">
        <v>75</v>
      </c>
      <c r="K253" s="46" t="s">
        <v>402</v>
      </c>
      <c r="L253" s="1">
        <f t="shared" si="53"/>
        <v>42386.702777777777</v>
      </c>
      <c r="M253" s="43"/>
      <c r="N253" s="11">
        <f t="shared" si="54"/>
        <v>0.84298726925528999</v>
      </c>
      <c r="O253" s="11">
        <f t="shared" si="55"/>
        <v>0.91100000000000003</v>
      </c>
      <c r="P253" s="1">
        <f t="shared" si="56"/>
        <v>42386.481944444444</v>
      </c>
      <c r="Q253" s="12">
        <f t="shared" si="57"/>
        <v>1.2832590706577258E-2</v>
      </c>
      <c r="AC253" s="39">
        <v>6.4523100000000006E-11</v>
      </c>
      <c r="AD253" s="39">
        <v>5.0133399999999997E-11</v>
      </c>
      <c r="AE253" s="39">
        <v>5.4235799999999997E-11</v>
      </c>
      <c r="AF253" s="39">
        <v>3.8532199999999999E-11</v>
      </c>
      <c r="AG253" s="39">
        <v>5.8288699999999999E-11</v>
      </c>
      <c r="AH253" s="39">
        <v>5.7560299999999998E-11</v>
      </c>
      <c r="AI253" s="39">
        <v>3.2102699999999999E-11</v>
      </c>
      <c r="AJ253" s="39">
        <v>1.2288899999999999E-10</v>
      </c>
      <c r="AK253" s="39">
        <v>3.4159600000000003E-11</v>
      </c>
      <c r="AL253" s="39">
        <v>5.8875000000000003E-11</v>
      </c>
      <c r="AM253" s="39">
        <v>5.68745E-11</v>
      </c>
      <c r="AN253" s="39">
        <v>4.9843099999999999E-11</v>
      </c>
    </row>
    <row r="254" spans="1:40" thickBot="1">
      <c r="A254" s="29" t="s">
        <v>489</v>
      </c>
      <c r="B254" s="30" t="s">
        <v>17</v>
      </c>
      <c r="C254" s="30">
        <v>56</v>
      </c>
      <c r="D254" s="30" t="s">
        <v>41</v>
      </c>
      <c r="E254" s="30">
        <v>1000</v>
      </c>
      <c r="F254" s="30">
        <v>32</v>
      </c>
      <c r="G254" s="30" t="s">
        <v>268</v>
      </c>
      <c r="H254" s="42" t="s">
        <v>25</v>
      </c>
      <c r="I254" s="30" t="s">
        <v>20</v>
      </c>
      <c r="J254" s="40" t="s">
        <v>75</v>
      </c>
      <c r="K254" s="46" t="s">
        <v>402</v>
      </c>
      <c r="L254" s="1">
        <f t="shared" si="53"/>
        <v>42386.742361111108</v>
      </c>
      <c r="M254" s="43"/>
      <c r="N254" s="11">
        <f t="shared" si="54"/>
        <v>0.83079630808463911</v>
      </c>
      <c r="O254" s="11">
        <f t="shared" si="55"/>
        <v>0.91100000000000003</v>
      </c>
      <c r="P254" s="1">
        <f t="shared" si="56"/>
        <v>42386.481944444444</v>
      </c>
      <c r="Q254" s="12">
        <f t="shared" si="57"/>
        <v>1.2832590706577258E-2</v>
      </c>
      <c r="AC254" s="39">
        <v>9.1593900000000006E-11</v>
      </c>
      <c r="AD254" s="39">
        <v>7.9155300000000002E-11</v>
      </c>
      <c r="AE254" s="39">
        <v>8.1875000000000002E-11</v>
      </c>
      <c r="AF254" s="39">
        <v>5.7596800000000001E-11</v>
      </c>
      <c r="AG254" s="39">
        <v>8.3863100000000001E-11</v>
      </c>
      <c r="AH254" s="39">
        <v>8.2838600000000001E-11</v>
      </c>
      <c r="AI254" s="39">
        <v>4.0832599999999998E-11</v>
      </c>
      <c r="AJ254" s="39">
        <v>1.7633400000000001E-10</v>
      </c>
      <c r="AK254" s="39">
        <v>4.53747E-11</v>
      </c>
      <c r="AL254" s="39">
        <v>8.3818599999999994E-11</v>
      </c>
      <c r="AM254" s="39">
        <v>8.4977E-11</v>
      </c>
      <c r="AN254" s="39">
        <v>8.9806499999999994E-11</v>
      </c>
    </row>
    <row r="255" spans="1:40" thickBot="1">
      <c r="A255" s="29" t="s">
        <v>490</v>
      </c>
      <c r="B255" s="30" t="s">
        <v>17</v>
      </c>
      <c r="C255" s="30">
        <v>56</v>
      </c>
      <c r="D255" s="30" t="s">
        <v>41</v>
      </c>
      <c r="E255" s="30">
        <v>1000</v>
      </c>
      <c r="F255" s="30">
        <v>32</v>
      </c>
      <c r="G255" s="30" t="s">
        <v>268</v>
      </c>
      <c r="H255" s="42" t="s">
        <v>25</v>
      </c>
      <c r="I255" s="30" t="s">
        <v>20</v>
      </c>
      <c r="J255" s="40" t="s">
        <v>75</v>
      </c>
      <c r="K255" s="46" t="s">
        <v>402</v>
      </c>
      <c r="L255" s="1">
        <f t="shared" si="53"/>
        <v>42386.781944444447</v>
      </c>
      <c r="M255" s="43"/>
      <c r="N255" s="11">
        <f t="shared" si="54"/>
        <v>0.81860534691174747</v>
      </c>
      <c r="O255" s="11">
        <f t="shared" si="55"/>
        <v>0.91100000000000003</v>
      </c>
      <c r="P255" s="1">
        <f t="shared" si="56"/>
        <v>42386.481944444444</v>
      </c>
      <c r="Q255" s="12">
        <f t="shared" si="57"/>
        <v>1.2832590706577258E-2</v>
      </c>
      <c r="AC255" s="39">
        <v>7.6404999999999994E-11</v>
      </c>
      <c r="AD255" s="39">
        <v>5.6759500000000002E-11</v>
      </c>
      <c r="AE255" s="39">
        <v>6.2911000000000001E-11</v>
      </c>
      <c r="AF255" s="39">
        <v>4.45733E-11</v>
      </c>
      <c r="AG255" s="39">
        <v>6.0425000000000001E-11</v>
      </c>
      <c r="AH255" s="39">
        <v>6.7893799999999994E-11</v>
      </c>
      <c r="AI255" s="39">
        <v>3.5671900000000003E-11</v>
      </c>
      <c r="AJ255" s="39">
        <v>1.4698599999999999E-10</v>
      </c>
      <c r="AK255" s="39">
        <v>3.80263E-11</v>
      </c>
      <c r="AL255" s="39">
        <v>6.9746399999999995E-11</v>
      </c>
      <c r="AM255" s="39">
        <v>6.6994200000000001E-11</v>
      </c>
      <c r="AN255" s="39">
        <v>6.33394E-11</v>
      </c>
    </row>
    <row r="256" spans="1:40" thickBot="1">
      <c r="A256" s="29" t="s">
        <v>491</v>
      </c>
      <c r="B256" s="30" t="s">
        <v>17</v>
      </c>
      <c r="C256" s="30">
        <v>56</v>
      </c>
      <c r="D256" s="30" t="s">
        <v>41</v>
      </c>
      <c r="E256" s="30">
        <v>1000</v>
      </c>
      <c r="F256" s="30">
        <v>32</v>
      </c>
      <c r="G256" s="30" t="s">
        <v>268</v>
      </c>
      <c r="H256" s="42" t="s">
        <v>25</v>
      </c>
      <c r="I256" s="30" t="s">
        <v>20</v>
      </c>
      <c r="J256" s="40" t="s">
        <v>75</v>
      </c>
      <c r="K256" s="46" t="s">
        <v>402</v>
      </c>
      <c r="L256" s="1">
        <f t="shared" si="53"/>
        <v>42386.820833333331</v>
      </c>
      <c r="M256" s="43"/>
      <c r="N256" s="11">
        <f t="shared" si="54"/>
        <v>0.80662826225357009</v>
      </c>
      <c r="O256" s="11">
        <f t="shared" si="55"/>
        <v>0.91100000000000003</v>
      </c>
      <c r="P256" s="1">
        <f t="shared" si="56"/>
        <v>42386.481944444444</v>
      </c>
      <c r="Q256" s="12">
        <f t="shared" si="57"/>
        <v>1.2832590706577258E-2</v>
      </c>
      <c r="AC256" s="39">
        <v>7.7209799999999998E-11</v>
      </c>
      <c r="AD256" s="39">
        <v>6.1046200000000002E-11</v>
      </c>
      <c r="AE256" s="39">
        <v>7.2757200000000002E-11</v>
      </c>
      <c r="AF256" s="39">
        <v>4.7811300000000002E-11</v>
      </c>
      <c r="AG256" s="39">
        <v>6.2272300000000005E-11</v>
      </c>
      <c r="AH256" s="39">
        <v>6.7713899999999994E-11</v>
      </c>
      <c r="AI256" s="39">
        <v>3.7615200000000003E-11</v>
      </c>
      <c r="AJ256" s="39">
        <v>1.5105000000000001E-10</v>
      </c>
      <c r="AK256" s="39">
        <v>4.07207E-11</v>
      </c>
      <c r="AL256" s="39">
        <v>6.9554200000000003E-11</v>
      </c>
      <c r="AM256" s="39">
        <v>7.3378299999999997E-11</v>
      </c>
      <c r="AN256" s="39">
        <v>7.1893399999999995E-11</v>
      </c>
    </row>
    <row r="257" spans="1:40" thickBot="1">
      <c r="A257" s="29" t="s">
        <v>492</v>
      </c>
      <c r="B257" s="30" t="s">
        <v>17</v>
      </c>
      <c r="C257" s="30">
        <v>56</v>
      </c>
      <c r="D257" s="30" t="s">
        <v>41</v>
      </c>
      <c r="E257" s="30">
        <v>1000</v>
      </c>
      <c r="F257" s="30">
        <v>31</v>
      </c>
      <c r="G257" s="30" t="s">
        <v>268</v>
      </c>
      <c r="H257" s="42" t="s">
        <v>25</v>
      </c>
      <c r="I257" s="30" t="s">
        <v>20</v>
      </c>
      <c r="J257" s="40" t="s">
        <v>75</v>
      </c>
      <c r="K257" s="46" t="s">
        <v>402</v>
      </c>
      <c r="L257" s="1">
        <f t="shared" si="53"/>
        <v>42386.86041666667</v>
      </c>
      <c r="M257" s="43"/>
      <c r="N257" s="11">
        <f t="shared" si="54"/>
        <v>0.79443730108067834</v>
      </c>
      <c r="O257" s="11">
        <f t="shared" si="55"/>
        <v>0.91100000000000003</v>
      </c>
      <c r="P257" s="1">
        <f t="shared" si="56"/>
        <v>42386.481944444444</v>
      </c>
      <c r="Q257" s="12">
        <f t="shared" si="57"/>
        <v>1.2832590706577258E-2</v>
      </c>
      <c r="AC257" s="39">
        <v>8.49727E-11</v>
      </c>
      <c r="AD257" s="39">
        <v>6.3027099999999994E-11</v>
      </c>
      <c r="AE257" s="39">
        <v>7.2286499999999999E-11</v>
      </c>
      <c r="AF257" s="39">
        <v>5.74232E-11</v>
      </c>
      <c r="AG257" s="39">
        <v>6.7116700000000005E-11</v>
      </c>
      <c r="AH257" s="39">
        <v>8.1077099999999999E-11</v>
      </c>
      <c r="AI257" s="39">
        <v>3.95133E-11</v>
      </c>
      <c r="AJ257" s="39">
        <v>1.6399800000000001E-10</v>
      </c>
      <c r="AK257" s="39">
        <v>4.2047399999999998E-11</v>
      </c>
      <c r="AL257" s="39">
        <v>7.27949E-11</v>
      </c>
      <c r="AM257" s="39">
        <v>7.9659299999999996E-11</v>
      </c>
      <c r="AN257" s="39">
        <v>7.4228699999999998E-11</v>
      </c>
    </row>
    <row r="258" spans="1:40" thickBot="1">
      <c r="A258" s="29" t="s">
        <v>493</v>
      </c>
      <c r="B258" s="30" t="s">
        <v>17</v>
      </c>
      <c r="C258" s="30">
        <v>56</v>
      </c>
      <c r="D258" s="30" t="s">
        <v>41</v>
      </c>
      <c r="E258" s="30">
        <v>1000</v>
      </c>
      <c r="F258" s="30">
        <v>31</v>
      </c>
      <c r="G258" s="30" t="s">
        <v>268</v>
      </c>
      <c r="H258" s="42" t="s">
        <v>25</v>
      </c>
      <c r="I258" s="30" t="s">
        <v>20</v>
      </c>
      <c r="J258" s="40" t="s">
        <v>75</v>
      </c>
      <c r="K258" s="46" t="s">
        <v>402</v>
      </c>
      <c r="L258" s="1">
        <f t="shared" si="53"/>
        <v>42386.9</v>
      </c>
      <c r="M258" s="43"/>
      <c r="N258" s="11">
        <f t="shared" si="54"/>
        <v>0.78224633991002746</v>
      </c>
      <c r="O258" s="11">
        <f t="shared" si="55"/>
        <v>0.91100000000000003</v>
      </c>
      <c r="P258" s="1">
        <f t="shared" si="56"/>
        <v>42386.481944444444</v>
      </c>
      <c r="Q258" s="12">
        <f t="shared" si="57"/>
        <v>1.2832590706577258E-2</v>
      </c>
      <c r="AC258" s="39">
        <v>8.4153099999999994E-11</v>
      </c>
      <c r="AD258" s="39">
        <v>6.0868000000000001E-11</v>
      </c>
      <c r="AE258" s="39">
        <v>7.0788600000000002E-11</v>
      </c>
      <c r="AF258" s="39">
        <v>6.3908300000000003E-11</v>
      </c>
      <c r="AG258" s="39">
        <v>7.6142300000000004E-11</v>
      </c>
      <c r="AH258" s="39">
        <v>7.0853099999999999E-11</v>
      </c>
      <c r="AI258" s="39">
        <v>3.7606800000000001E-11</v>
      </c>
      <c r="AJ258" s="39">
        <v>1.5028E-10</v>
      </c>
      <c r="AK258" s="39">
        <v>4.2029299999999999E-11</v>
      </c>
      <c r="AL258" s="39">
        <v>7.4944100000000003E-11</v>
      </c>
      <c r="AM258" s="39">
        <v>7.6952600000000005E-11</v>
      </c>
      <c r="AN258" s="39">
        <v>7.5021900000000001E-11</v>
      </c>
    </row>
    <row r="259" spans="1:40" thickBot="1">
      <c r="A259" s="29" t="s">
        <v>494</v>
      </c>
      <c r="B259" s="30" t="s">
        <v>17</v>
      </c>
      <c r="C259" s="30">
        <v>56</v>
      </c>
      <c r="D259" s="30" t="s">
        <v>41</v>
      </c>
      <c r="E259" s="30">
        <v>1000</v>
      </c>
      <c r="F259" s="30">
        <v>31</v>
      </c>
      <c r="G259" s="30" t="s">
        <v>268</v>
      </c>
      <c r="H259" s="42" t="s">
        <v>25</v>
      </c>
      <c r="I259" s="30" t="s">
        <v>20</v>
      </c>
      <c r="J259" s="40" t="s">
        <v>75</v>
      </c>
      <c r="K259" s="46" t="s">
        <v>402</v>
      </c>
      <c r="L259" s="1">
        <f t="shared" si="53"/>
        <v>42386.938888888886</v>
      </c>
      <c r="M259" s="43"/>
      <c r="N259" s="11">
        <f t="shared" si="54"/>
        <v>0.77026925525185019</v>
      </c>
      <c r="O259" s="11">
        <f t="shared" si="55"/>
        <v>0.91100000000000003</v>
      </c>
      <c r="P259" s="1">
        <f t="shared" si="56"/>
        <v>42386.481944444444</v>
      </c>
      <c r="Q259" s="12">
        <f t="shared" si="57"/>
        <v>1.2832590706577258E-2</v>
      </c>
      <c r="AC259" s="39">
        <v>7.20468E-11</v>
      </c>
      <c r="AD259" s="39">
        <v>5.77904E-11</v>
      </c>
      <c r="AE259" s="39">
        <v>6.5454199999999999E-11</v>
      </c>
      <c r="AF259" s="39">
        <v>4.52766E-11</v>
      </c>
      <c r="AG259" s="39">
        <v>6.1947200000000002E-11</v>
      </c>
      <c r="AH259" s="39">
        <v>6.4101100000000005E-11</v>
      </c>
      <c r="AI259" s="39">
        <v>3.48815E-11</v>
      </c>
      <c r="AJ259" s="39">
        <v>1.3900900000000001E-10</v>
      </c>
      <c r="AK259" s="39">
        <v>3.8168900000000001E-11</v>
      </c>
      <c r="AL259" s="39">
        <v>6.4098599999999997E-11</v>
      </c>
      <c r="AM259" s="39">
        <v>6.5109700000000003E-11</v>
      </c>
      <c r="AN259" s="39">
        <v>6.7544700000000006E-11</v>
      </c>
    </row>
    <row r="260" spans="1:40" thickBot="1">
      <c r="A260" s="29" t="s">
        <v>495</v>
      </c>
      <c r="B260" s="30" t="s">
        <v>17</v>
      </c>
      <c r="C260" s="30">
        <v>56</v>
      </c>
      <c r="D260" s="30" t="s">
        <v>41</v>
      </c>
      <c r="E260" s="30">
        <v>1000</v>
      </c>
      <c r="F260" s="30">
        <v>32</v>
      </c>
      <c r="G260" s="30" t="s">
        <v>268</v>
      </c>
      <c r="H260" s="42" t="s">
        <v>25</v>
      </c>
      <c r="I260" s="30" t="s">
        <v>20</v>
      </c>
      <c r="J260" s="40" t="s">
        <v>75</v>
      </c>
      <c r="K260" s="46" t="s">
        <v>402</v>
      </c>
      <c r="L260" s="1">
        <f t="shared" si="53"/>
        <v>42386.978472222225</v>
      </c>
      <c r="M260" s="43"/>
      <c r="N260" s="11">
        <f t="shared" si="54"/>
        <v>0.75807829407895844</v>
      </c>
      <c r="O260" s="11">
        <f t="shared" si="55"/>
        <v>0.91100000000000003</v>
      </c>
      <c r="P260" s="1">
        <f t="shared" si="56"/>
        <v>42386.481944444444</v>
      </c>
      <c r="Q260" s="12">
        <f t="shared" si="57"/>
        <v>1.2832590706577258E-2</v>
      </c>
      <c r="AC260" s="39">
        <v>6.8337699999999997E-11</v>
      </c>
      <c r="AD260" s="39">
        <v>5.0506E-11</v>
      </c>
      <c r="AE260" s="39">
        <v>7.0779099999999998E-11</v>
      </c>
      <c r="AF260" s="39">
        <v>3.9193999999999998E-11</v>
      </c>
      <c r="AG260" s="39">
        <v>5.5070500000000001E-11</v>
      </c>
      <c r="AH260" s="39">
        <v>6.0982500000000001E-11</v>
      </c>
      <c r="AI260" s="39">
        <v>3.2504700000000003E-11</v>
      </c>
      <c r="AJ260" s="39">
        <v>1.2867099999999999E-10</v>
      </c>
      <c r="AK260" s="39">
        <v>3.6818700000000001E-11</v>
      </c>
      <c r="AL260" s="39">
        <v>5.8820399999999995E-11</v>
      </c>
      <c r="AM260" s="39">
        <v>8.4082500000000004E-11</v>
      </c>
      <c r="AN260" s="39">
        <v>7.1840800000000004E-11</v>
      </c>
    </row>
    <row r="261" spans="1:40" thickBot="1">
      <c r="A261" s="29" t="s">
        <v>496</v>
      </c>
      <c r="B261" s="30" t="s">
        <v>17</v>
      </c>
      <c r="C261" s="30">
        <v>56</v>
      </c>
      <c r="D261" s="30" t="s">
        <v>41</v>
      </c>
      <c r="E261" s="30">
        <v>1000</v>
      </c>
      <c r="F261" s="30">
        <v>32</v>
      </c>
      <c r="G261" s="30" t="s">
        <v>268</v>
      </c>
      <c r="H261" s="42" t="s">
        <v>25</v>
      </c>
      <c r="I261" s="30" t="s">
        <v>20</v>
      </c>
      <c r="J261" s="40" t="s">
        <v>75</v>
      </c>
      <c r="K261" s="46" t="s">
        <v>402</v>
      </c>
      <c r="L261" s="1">
        <f t="shared" si="53"/>
        <v>42387.018055555556</v>
      </c>
      <c r="M261" s="43"/>
      <c r="N261" s="11">
        <f t="shared" si="54"/>
        <v>0.74588733290830755</v>
      </c>
      <c r="O261" s="11">
        <f t="shared" si="55"/>
        <v>0.91100000000000003</v>
      </c>
      <c r="P261" s="1">
        <f t="shared" si="56"/>
        <v>42386.481944444444</v>
      </c>
      <c r="Q261" s="12">
        <f t="shared" si="57"/>
        <v>1.2832590706577258E-2</v>
      </c>
      <c r="AC261" s="39">
        <v>7.1556999999999997E-11</v>
      </c>
      <c r="AD261" s="39">
        <v>5.4673600000000001E-11</v>
      </c>
      <c r="AE261" s="39">
        <v>6.3603699999999996E-11</v>
      </c>
      <c r="AF261" s="39">
        <v>4.5491600000000002E-11</v>
      </c>
      <c r="AG261" s="39">
        <v>6.0558200000000003E-11</v>
      </c>
      <c r="AH261" s="39">
        <v>6.4118200000000002E-11</v>
      </c>
      <c r="AI261" s="39">
        <v>3.4100200000000003E-11</v>
      </c>
      <c r="AJ261" s="39">
        <v>1.3874100000000001E-10</v>
      </c>
      <c r="AK261" s="39">
        <v>3.8479700000000001E-11</v>
      </c>
      <c r="AL261" s="39">
        <v>6.3833099999999994E-11</v>
      </c>
      <c r="AM261" s="39">
        <v>6.4490000000000002E-11</v>
      </c>
      <c r="AN261" s="39">
        <v>6.3458000000000002E-11</v>
      </c>
    </row>
    <row r="262" spans="1:40" thickBot="1">
      <c r="A262" s="29" t="s">
        <v>497</v>
      </c>
      <c r="B262" s="30" t="s">
        <v>17</v>
      </c>
      <c r="C262" s="30">
        <v>56</v>
      </c>
      <c r="D262" s="30" t="s">
        <v>41</v>
      </c>
      <c r="E262" s="30">
        <v>1000</v>
      </c>
      <c r="F262" s="30">
        <v>32</v>
      </c>
      <c r="G262" s="30" t="s">
        <v>268</v>
      </c>
      <c r="H262" s="42" t="s">
        <v>25</v>
      </c>
      <c r="I262" s="30" t="s">
        <v>20</v>
      </c>
      <c r="J262" s="40" t="s">
        <v>75</v>
      </c>
      <c r="K262" s="46" t="s">
        <v>402</v>
      </c>
      <c r="L262" s="1">
        <f t="shared" si="53"/>
        <v>42387.056944444441</v>
      </c>
      <c r="M262" s="43"/>
      <c r="N262" s="11">
        <f t="shared" si="54"/>
        <v>0.73391024825013018</v>
      </c>
      <c r="O262" s="11">
        <f t="shared" si="55"/>
        <v>0.91100000000000003</v>
      </c>
      <c r="P262" s="1">
        <f t="shared" si="56"/>
        <v>42386.481944444444</v>
      </c>
      <c r="Q262" s="12">
        <f t="shared" si="57"/>
        <v>1.2832590706577258E-2</v>
      </c>
      <c r="AC262" s="39">
        <v>6.5920600000000001E-11</v>
      </c>
      <c r="AD262" s="39">
        <v>5.3303800000000002E-11</v>
      </c>
      <c r="AE262" s="39">
        <v>6.3166000000000004E-11</v>
      </c>
      <c r="AF262" s="39">
        <v>4.0292000000000002E-11</v>
      </c>
      <c r="AG262" s="39">
        <v>5.8525799999999996E-11</v>
      </c>
      <c r="AH262" s="39">
        <v>6.5491699999999997E-11</v>
      </c>
      <c r="AI262" s="39">
        <v>3.3909800000000003E-11</v>
      </c>
      <c r="AJ262" s="39">
        <v>1.2929400000000001E-10</v>
      </c>
      <c r="AK262" s="39">
        <v>3.6118799999999999E-11</v>
      </c>
      <c r="AL262" s="39">
        <v>6.0876299999999997E-11</v>
      </c>
      <c r="AM262" s="39">
        <v>6.0688899999999998E-11</v>
      </c>
      <c r="AN262" s="39">
        <v>6.6634000000000002E-11</v>
      </c>
    </row>
    <row r="263" spans="1:40" thickBot="1">
      <c r="A263" s="29" t="s">
        <v>498</v>
      </c>
      <c r="B263" s="30" t="s">
        <v>17</v>
      </c>
      <c r="C263" s="30">
        <v>56</v>
      </c>
      <c r="D263" s="30" t="s">
        <v>41</v>
      </c>
      <c r="E263" s="30">
        <v>1000</v>
      </c>
      <c r="F263" s="30">
        <v>32</v>
      </c>
      <c r="G263" s="30" t="s">
        <v>268</v>
      </c>
      <c r="H263" s="42" t="s">
        <v>25</v>
      </c>
      <c r="I263" s="30" t="s">
        <v>20</v>
      </c>
      <c r="J263" s="40" t="s">
        <v>75</v>
      </c>
      <c r="K263" s="46" t="s">
        <v>402</v>
      </c>
      <c r="L263" s="1">
        <f t="shared" si="53"/>
        <v>42387.09652777778</v>
      </c>
      <c r="M263" s="43"/>
      <c r="N263" s="11">
        <f t="shared" si="54"/>
        <v>0.72171928707723854</v>
      </c>
      <c r="O263" s="11">
        <f t="shared" si="55"/>
        <v>0.91100000000000003</v>
      </c>
      <c r="P263" s="1">
        <f t="shared" si="56"/>
        <v>42386.481944444444</v>
      </c>
      <c r="Q263" s="12">
        <f t="shared" si="57"/>
        <v>1.2832590706577258E-2</v>
      </c>
      <c r="AC263" s="39">
        <v>5.9304599999999998E-11</v>
      </c>
      <c r="AD263" s="39">
        <v>4.64541E-11</v>
      </c>
      <c r="AE263" s="39">
        <v>5.9972499999999996E-11</v>
      </c>
      <c r="AF263" s="39">
        <v>3.87296E-11</v>
      </c>
      <c r="AG263" s="39">
        <v>5.5592300000000002E-11</v>
      </c>
      <c r="AH263" s="39">
        <v>5.3955400000000001E-11</v>
      </c>
      <c r="AI263" s="39">
        <v>3.1540799999999998E-11</v>
      </c>
      <c r="AJ263" s="39">
        <v>1.21486E-10</v>
      </c>
      <c r="AK263" s="39">
        <v>3.3410400000000002E-11</v>
      </c>
      <c r="AL263" s="39">
        <v>5.5453700000000003E-11</v>
      </c>
      <c r="AM263" s="39">
        <v>5.4518600000000002E-11</v>
      </c>
      <c r="AN263" s="39">
        <v>5.7361299999999997E-11</v>
      </c>
    </row>
    <row r="264" spans="1:40" thickBot="1">
      <c r="A264" s="29" t="s">
        <v>499</v>
      </c>
      <c r="B264" s="30" t="s">
        <v>17</v>
      </c>
      <c r="C264" s="30">
        <v>56</v>
      </c>
      <c r="D264" s="30" t="s">
        <v>41</v>
      </c>
      <c r="E264" s="30">
        <v>1000</v>
      </c>
      <c r="F264" s="30">
        <v>31</v>
      </c>
      <c r="G264" s="30" t="s">
        <v>268</v>
      </c>
      <c r="H264" s="42" t="s">
        <v>25</v>
      </c>
      <c r="I264" s="30" t="s">
        <v>20</v>
      </c>
      <c r="J264" s="40" t="s">
        <v>75</v>
      </c>
      <c r="K264" s="46" t="s">
        <v>402</v>
      </c>
      <c r="L264" s="1">
        <f t="shared" si="53"/>
        <v>42387.136111111111</v>
      </c>
      <c r="M264" s="43"/>
      <c r="N264" s="11">
        <f t="shared" si="54"/>
        <v>0.70952832590658765</v>
      </c>
      <c r="O264" s="11">
        <f t="shared" si="55"/>
        <v>0.91100000000000003</v>
      </c>
      <c r="P264" s="1">
        <f t="shared" si="56"/>
        <v>42386.481944444444</v>
      </c>
      <c r="Q264" s="12">
        <f t="shared" si="57"/>
        <v>1.2832590706577258E-2</v>
      </c>
      <c r="AC264" s="39">
        <v>8.1164700000000006E-11</v>
      </c>
      <c r="AD264" s="39">
        <v>6.5928600000000005E-11</v>
      </c>
      <c r="AE264" s="39">
        <v>7.6269099999999996E-11</v>
      </c>
      <c r="AF264" s="39">
        <v>5.2807200000000002E-11</v>
      </c>
      <c r="AG264" s="39">
        <v>7.0864100000000003E-11</v>
      </c>
      <c r="AH264" s="39">
        <v>9.6593999999999995E-11</v>
      </c>
      <c r="AI264" s="39">
        <v>3.9640800000000001E-11</v>
      </c>
      <c r="AJ264" s="39">
        <v>1.6123500000000001E-10</v>
      </c>
      <c r="AK264" s="39">
        <v>4.26386E-11</v>
      </c>
      <c r="AL264" s="39">
        <v>7.48036E-11</v>
      </c>
      <c r="AM264" s="39">
        <v>7.7783700000000005E-11</v>
      </c>
      <c r="AN264" s="39">
        <v>8.0995500000000005E-11</v>
      </c>
    </row>
    <row r="265" spans="1:40" thickBot="1">
      <c r="A265" s="29" t="s">
        <v>500</v>
      </c>
      <c r="B265" s="30" t="s">
        <v>17</v>
      </c>
      <c r="C265" s="30">
        <v>56</v>
      </c>
      <c r="D265" s="30" t="s">
        <v>41</v>
      </c>
      <c r="E265" s="30">
        <v>1000</v>
      </c>
      <c r="F265" s="30">
        <v>32</v>
      </c>
      <c r="G265" s="30" t="s">
        <v>268</v>
      </c>
      <c r="H265" s="42" t="s">
        <v>25</v>
      </c>
      <c r="I265" s="30" t="s">
        <v>20</v>
      </c>
      <c r="J265" s="40" t="s">
        <v>75</v>
      </c>
      <c r="K265" s="44" t="str">
        <f t="shared" ref="K265:K274" si="58">IF(AND(N265&lt;0.7,N265&gt;0.2),"lev OK","lev BAD")</f>
        <v>lev OK</v>
      </c>
      <c r="L265" s="1">
        <f t="shared" si="53"/>
        <v>42387.175694444442</v>
      </c>
      <c r="M265" s="43"/>
      <c r="N265" s="11">
        <f t="shared" si="54"/>
        <v>0.69733736473593688</v>
      </c>
      <c r="O265" s="11">
        <f t="shared" si="55"/>
        <v>0.91100000000000003</v>
      </c>
      <c r="P265" s="1">
        <f t="shared" si="56"/>
        <v>42386.481944444444</v>
      </c>
      <c r="Q265" s="12">
        <f t="shared" si="57"/>
        <v>1.2832590706577258E-2</v>
      </c>
      <c r="AC265" s="39">
        <v>7.1520000000000002E-11</v>
      </c>
      <c r="AD265" s="39">
        <v>5.6083999999999997E-11</v>
      </c>
      <c r="AE265" s="39">
        <v>6.3192199999999994E-11</v>
      </c>
      <c r="AF265" s="39">
        <v>4.4508600000000003E-11</v>
      </c>
      <c r="AG265" s="39">
        <v>6.2225199999999996E-11</v>
      </c>
      <c r="AH265" s="39">
        <v>6.1402499999999998E-11</v>
      </c>
      <c r="AI265" s="39">
        <v>3.4936699999999999E-11</v>
      </c>
      <c r="AJ265" s="39">
        <v>1.3535799999999999E-10</v>
      </c>
      <c r="AK265" s="39">
        <v>3.7671199999999999E-11</v>
      </c>
      <c r="AL265" s="39">
        <v>6.2380300000000001E-11</v>
      </c>
      <c r="AM265" s="39">
        <v>6.4573099999999996E-11</v>
      </c>
      <c r="AN265" s="39">
        <v>6.5878499999999996E-11</v>
      </c>
    </row>
    <row r="266" spans="1:40" thickBot="1">
      <c r="A266" s="29" t="s">
        <v>501</v>
      </c>
      <c r="B266" s="30" t="s">
        <v>17</v>
      </c>
      <c r="C266" s="30">
        <v>56</v>
      </c>
      <c r="D266" s="30" t="s">
        <v>41</v>
      </c>
      <c r="E266" s="30">
        <v>1000</v>
      </c>
      <c r="F266" s="30">
        <v>32</v>
      </c>
      <c r="G266" s="30" t="s">
        <v>268</v>
      </c>
      <c r="H266" s="42" t="s">
        <v>25</v>
      </c>
      <c r="I266" s="30" t="s">
        <v>20</v>
      </c>
      <c r="J266" s="40" t="s">
        <v>75</v>
      </c>
      <c r="K266" s="44" t="str">
        <f t="shared" si="58"/>
        <v>lev OK</v>
      </c>
      <c r="L266" s="1">
        <f t="shared" si="53"/>
        <v>42387.214583333334</v>
      </c>
      <c r="M266" s="43"/>
      <c r="N266" s="11">
        <f t="shared" si="54"/>
        <v>0.68536028007551864</v>
      </c>
      <c r="O266" s="11">
        <f t="shared" si="55"/>
        <v>0.91100000000000003</v>
      </c>
      <c r="P266" s="1">
        <f t="shared" si="56"/>
        <v>42386.481944444444</v>
      </c>
      <c r="Q266" s="12">
        <f t="shared" si="57"/>
        <v>1.2832590706577258E-2</v>
      </c>
      <c r="AC266" s="39">
        <v>6.9697499999999994E-11</v>
      </c>
      <c r="AD266" s="39">
        <v>5.8366299999999998E-11</v>
      </c>
      <c r="AE266" s="39">
        <v>6.6034999999999995E-11</v>
      </c>
      <c r="AF266" s="39">
        <v>4.3170199999999997E-11</v>
      </c>
      <c r="AG266" s="39">
        <v>6.1458600000000006E-11</v>
      </c>
      <c r="AH266" s="39">
        <v>6.7627699999999994E-11</v>
      </c>
      <c r="AI266" s="39">
        <v>3.3790799999999997E-11</v>
      </c>
      <c r="AJ266" s="39">
        <v>1.3761799999999999E-10</v>
      </c>
      <c r="AK266" s="39">
        <v>3.6580500000000002E-11</v>
      </c>
      <c r="AL266" s="39">
        <v>6.6618600000000005E-11</v>
      </c>
      <c r="AM266" s="39">
        <v>6.4500500000000001E-11</v>
      </c>
      <c r="AN266" s="39">
        <v>6.6675400000000003E-11</v>
      </c>
    </row>
    <row r="267" spans="1:40" thickBot="1">
      <c r="A267" s="29" t="s">
        <v>502</v>
      </c>
      <c r="B267" s="30" t="s">
        <v>17</v>
      </c>
      <c r="C267" s="30">
        <v>56</v>
      </c>
      <c r="D267" s="30" t="s">
        <v>41</v>
      </c>
      <c r="E267" s="30">
        <v>1000</v>
      </c>
      <c r="F267" s="30">
        <v>32</v>
      </c>
      <c r="G267" s="30" t="s">
        <v>268</v>
      </c>
      <c r="H267" s="42" t="s">
        <v>25</v>
      </c>
      <c r="I267" s="30" t="s">
        <v>20</v>
      </c>
      <c r="J267" s="40" t="s">
        <v>75</v>
      </c>
      <c r="K267" s="44" t="str">
        <f t="shared" si="58"/>
        <v>lev OK</v>
      </c>
      <c r="L267" s="1">
        <f t="shared" si="53"/>
        <v>42387.254166666666</v>
      </c>
      <c r="M267" s="43"/>
      <c r="N267" s="11">
        <f t="shared" si="54"/>
        <v>0.67316931890486775</v>
      </c>
      <c r="O267" s="11">
        <f t="shared" si="55"/>
        <v>0.91100000000000003</v>
      </c>
      <c r="P267" s="1">
        <f t="shared" si="56"/>
        <v>42386.481944444444</v>
      </c>
      <c r="Q267" s="12">
        <f t="shared" si="57"/>
        <v>1.2832590706577258E-2</v>
      </c>
      <c r="AC267" s="39">
        <v>7.8772800000000004E-11</v>
      </c>
      <c r="AD267" s="39">
        <v>6.0865900000000004E-11</v>
      </c>
      <c r="AE267" s="39">
        <v>7.1074999999999998E-11</v>
      </c>
      <c r="AF267" s="39">
        <v>5.1045200000000002E-11</v>
      </c>
      <c r="AG267" s="39">
        <v>6.7147199999999995E-11</v>
      </c>
      <c r="AH267" s="39">
        <v>7.4373599999999995E-11</v>
      </c>
      <c r="AI267" s="39">
        <v>3.8574300000000003E-11</v>
      </c>
      <c r="AJ267" s="39">
        <v>1.54014E-10</v>
      </c>
      <c r="AK267" s="39">
        <v>3.9530500000000002E-11</v>
      </c>
      <c r="AL267" s="39">
        <v>7.3048499999999996E-11</v>
      </c>
      <c r="AM267" s="39">
        <v>7.2457599999999999E-11</v>
      </c>
      <c r="AN267" s="39">
        <v>7.0146499999999994E-11</v>
      </c>
    </row>
    <row r="268" spans="1:40" thickBot="1">
      <c r="A268" s="29" t="s">
        <v>503</v>
      </c>
      <c r="B268" s="30" t="s">
        <v>17</v>
      </c>
      <c r="C268" s="30">
        <v>56</v>
      </c>
      <c r="D268" s="30" t="s">
        <v>41</v>
      </c>
      <c r="E268" s="30">
        <v>1000</v>
      </c>
      <c r="F268" s="30">
        <v>31</v>
      </c>
      <c r="G268" s="30" t="s">
        <v>268</v>
      </c>
      <c r="H268" s="42" t="s">
        <v>25</v>
      </c>
      <c r="I268" s="30" t="s">
        <v>20</v>
      </c>
      <c r="J268" s="40" t="s">
        <v>75</v>
      </c>
      <c r="K268" s="44" t="str">
        <f t="shared" si="58"/>
        <v>lev OK</v>
      </c>
      <c r="L268" s="1">
        <f t="shared" si="53"/>
        <v>42387.293749999997</v>
      </c>
      <c r="M268" s="43"/>
      <c r="N268" s="11">
        <f t="shared" si="54"/>
        <v>0.66097835773421698</v>
      </c>
      <c r="O268" s="11">
        <f t="shared" si="55"/>
        <v>0.91100000000000003</v>
      </c>
      <c r="P268" s="1">
        <f t="shared" si="56"/>
        <v>42386.481944444444</v>
      </c>
      <c r="Q268" s="12">
        <f t="shared" si="57"/>
        <v>1.2832590706577258E-2</v>
      </c>
      <c r="AC268" s="39">
        <v>6.8463599999999999E-11</v>
      </c>
      <c r="AD268" s="39">
        <v>6.5946200000000006E-11</v>
      </c>
      <c r="AE268" s="39">
        <v>6.6881000000000001E-11</v>
      </c>
      <c r="AF268" s="39">
        <v>4.2096299999999999E-11</v>
      </c>
      <c r="AG268" s="39">
        <v>6.5567500000000004E-11</v>
      </c>
      <c r="AH268" s="39">
        <v>6.7029400000000003E-11</v>
      </c>
      <c r="AI268" s="39">
        <v>3.5384399999999999E-11</v>
      </c>
      <c r="AJ268" s="39">
        <v>1.3843000000000001E-10</v>
      </c>
      <c r="AK268" s="39">
        <v>3.5639400000000002E-11</v>
      </c>
      <c r="AL268" s="39">
        <v>6.4354199999999997E-11</v>
      </c>
      <c r="AM268" s="39">
        <v>6.3325700000000002E-11</v>
      </c>
      <c r="AN268" s="39">
        <v>7.2418700000000006E-11</v>
      </c>
    </row>
    <row r="269" spans="1:40" thickBot="1">
      <c r="A269" s="29" t="s">
        <v>504</v>
      </c>
      <c r="B269" s="30" t="s">
        <v>17</v>
      </c>
      <c r="C269" s="30">
        <v>56</v>
      </c>
      <c r="D269" s="30" t="s">
        <v>41</v>
      </c>
      <c r="E269" s="30">
        <v>1000</v>
      </c>
      <c r="F269" s="30">
        <v>32</v>
      </c>
      <c r="G269" s="30" t="s">
        <v>268</v>
      </c>
      <c r="H269" s="42" t="s">
        <v>25</v>
      </c>
      <c r="I269" s="30" t="s">
        <v>20</v>
      </c>
      <c r="J269" s="40" t="s">
        <v>75</v>
      </c>
      <c r="K269" s="44" t="str">
        <f t="shared" si="58"/>
        <v>lev OK</v>
      </c>
      <c r="L269" s="1">
        <f t="shared" si="53"/>
        <v>42387.332638888889</v>
      </c>
      <c r="M269" s="43"/>
      <c r="N269" s="11">
        <f t="shared" si="54"/>
        <v>0.64900127307379862</v>
      </c>
      <c r="O269" s="11">
        <f t="shared" si="55"/>
        <v>0.91100000000000003</v>
      </c>
      <c r="P269" s="1">
        <f t="shared" si="56"/>
        <v>42386.481944444444</v>
      </c>
      <c r="Q269" s="12">
        <f t="shared" si="57"/>
        <v>1.2832590706577258E-2</v>
      </c>
      <c r="AC269" s="39">
        <v>8.4412799999999997E-11</v>
      </c>
      <c r="AD269" s="39">
        <v>7.3299799999999996E-11</v>
      </c>
      <c r="AE269" s="39">
        <v>7.7112500000000001E-11</v>
      </c>
      <c r="AF269" s="39">
        <v>5.4589E-11</v>
      </c>
      <c r="AG269" s="39">
        <v>7.4484299999999998E-11</v>
      </c>
      <c r="AH269" s="39">
        <v>7.9205300000000005E-11</v>
      </c>
      <c r="AI269" s="39">
        <v>4.1290499999999998E-11</v>
      </c>
      <c r="AJ269" s="39">
        <v>1.60345E-10</v>
      </c>
      <c r="AK269" s="39">
        <v>4.4449600000000001E-11</v>
      </c>
      <c r="AL269" s="39">
        <v>7.9248699999999997E-11</v>
      </c>
      <c r="AM269" s="39">
        <v>7.6323999999999997E-11</v>
      </c>
      <c r="AN269" s="39">
        <v>7.8786500000000002E-11</v>
      </c>
    </row>
    <row r="270" spans="1:40" thickBot="1">
      <c r="A270" s="29" t="s">
        <v>505</v>
      </c>
      <c r="B270" s="30" t="s">
        <v>17</v>
      </c>
      <c r="C270" s="30">
        <v>56</v>
      </c>
      <c r="D270" s="30" t="s">
        <v>41</v>
      </c>
      <c r="E270" s="30">
        <v>1000</v>
      </c>
      <c r="F270" s="30">
        <v>31</v>
      </c>
      <c r="G270" s="30" t="s">
        <v>268</v>
      </c>
      <c r="H270" s="42" t="s">
        <v>25</v>
      </c>
      <c r="I270" s="30" t="s">
        <v>20</v>
      </c>
      <c r="J270" s="40" t="s">
        <v>75</v>
      </c>
      <c r="K270" s="44" t="str">
        <f t="shared" si="58"/>
        <v>lev OK</v>
      </c>
      <c r="L270" s="1">
        <f t="shared" si="53"/>
        <v>42387.37222222222</v>
      </c>
      <c r="M270" s="43"/>
      <c r="N270" s="11">
        <f t="shared" si="54"/>
        <v>0.63681031190314785</v>
      </c>
      <c r="O270" s="11">
        <f t="shared" si="55"/>
        <v>0.91100000000000003</v>
      </c>
      <c r="P270" s="1">
        <f t="shared" si="56"/>
        <v>42386.481944444444</v>
      </c>
      <c r="Q270" s="12">
        <f t="shared" si="57"/>
        <v>1.2832590706577258E-2</v>
      </c>
      <c r="AC270" s="39">
        <v>7.4870699999999999E-11</v>
      </c>
      <c r="AD270" s="39">
        <v>5.8806699999999997E-11</v>
      </c>
      <c r="AE270" s="39">
        <v>6.7452500000000006E-11</v>
      </c>
      <c r="AF270" s="39">
        <v>4.6943000000000001E-11</v>
      </c>
      <c r="AG270" s="39">
        <v>6.24682E-11</v>
      </c>
      <c r="AH270" s="39">
        <v>7.0851200000000001E-11</v>
      </c>
      <c r="AI270" s="39">
        <v>3.5384900000000003E-11</v>
      </c>
      <c r="AJ270" s="39">
        <v>1.4661400000000001E-10</v>
      </c>
      <c r="AK270" s="39">
        <v>3.8992600000000001E-11</v>
      </c>
      <c r="AL270" s="39">
        <v>6.9831200000000001E-11</v>
      </c>
      <c r="AM270" s="39">
        <v>6.7993499999999994E-11</v>
      </c>
      <c r="AN270" s="39">
        <v>7.0804199999999998E-11</v>
      </c>
    </row>
    <row r="271" spans="1:40" thickBot="1">
      <c r="A271" s="29" t="s">
        <v>506</v>
      </c>
      <c r="B271" s="30" t="s">
        <v>17</v>
      </c>
      <c r="C271" s="30">
        <v>56</v>
      </c>
      <c r="D271" s="30" t="s">
        <v>41</v>
      </c>
      <c r="E271" s="30">
        <v>1000</v>
      </c>
      <c r="F271" s="30">
        <v>32</v>
      </c>
      <c r="G271" s="30" t="s">
        <v>268</v>
      </c>
      <c r="H271" s="42" t="s">
        <v>25</v>
      </c>
      <c r="I271" s="30" t="s">
        <v>20</v>
      </c>
      <c r="J271" s="40" t="s">
        <v>75</v>
      </c>
      <c r="K271" s="44" t="str">
        <f t="shared" si="58"/>
        <v>lev OK</v>
      </c>
      <c r="L271" s="1">
        <f t="shared" si="53"/>
        <v>42387.411805555559</v>
      </c>
      <c r="M271" s="43"/>
      <c r="N271" s="11">
        <f t="shared" si="54"/>
        <v>0.62461935073025621</v>
      </c>
      <c r="O271" s="11">
        <f t="shared" si="55"/>
        <v>0.91100000000000003</v>
      </c>
      <c r="P271" s="1">
        <f t="shared" si="56"/>
        <v>42386.481944444444</v>
      </c>
      <c r="Q271" s="12">
        <f t="shared" si="57"/>
        <v>1.2832590706577258E-2</v>
      </c>
      <c r="AC271" s="39">
        <v>6.7118000000000005E-11</v>
      </c>
      <c r="AD271" s="39">
        <v>5.1315700000000003E-11</v>
      </c>
      <c r="AE271" s="39">
        <v>5.9110600000000001E-11</v>
      </c>
      <c r="AF271" s="39">
        <v>6.0307100000000003E-11</v>
      </c>
      <c r="AG271" s="39">
        <v>5.7259400000000001E-11</v>
      </c>
      <c r="AH271" s="39">
        <v>5.6875600000000001E-11</v>
      </c>
      <c r="AI271" s="39">
        <v>3.4560100000000001E-11</v>
      </c>
      <c r="AJ271" s="39">
        <v>1.2706400000000001E-10</v>
      </c>
      <c r="AK271" s="39">
        <v>3.5411199999999998E-11</v>
      </c>
      <c r="AL271" s="39">
        <v>6.0867400000000004E-11</v>
      </c>
      <c r="AM271" s="39">
        <v>5.9845000000000001E-11</v>
      </c>
      <c r="AN271" s="39">
        <v>6.1794399999999994E-11</v>
      </c>
    </row>
    <row r="272" spans="1:40" thickBot="1">
      <c r="A272" s="29" t="s">
        <v>507</v>
      </c>
      <c r="B272" s="30" t="s">
        <v>17</v>
      </c>
      <c r="C272" s="30">
        <v>56</v>
      </c>
      <c r="D272" s="30" t="s">
        <v>41</v>
      </c>
      <c r="E272" s="30">
        <v>1000</v>
      </c>
      <c r="F272" s="30">
        <v>31</v>
      </c>
      <c r="G272" s="30" t="s">
        <v>268</v>
      </c>
      <c r="H272" s="42" t="s">
        <v>25</v>
      </c>
      <c r="I272" s="30" t="s">
        <v>20</v>
      </c>
      <c r="J272" s="40" t="s">
        <v>75</v>
      </c>
      <c r="K272" s="44" t="str">
        <f t="shared" si="58"/>
        <v>lev OK</v>
      </c>
      <c r="L272" s="1">
        <f t="shared" si="53"/>
        <v>42387.451388888891</v>
      </c>
      <c r="M272" s="43"/>
      <c r="N272" s="11">
        <f t="shared" si="54"/>
        <v>0.61242838955960532</v>
      </c>
      <c r="O272" s="11">
        <f t="shared" si="55"/>
        <v>0.91100000000000003</v>
      </c>
      <c r="P272" s="1">
        <f t="shared" si="56"/>
        <v>42386.481944444444</v>
      </c>
      <c r="Q272" s="12">
        <f t="shared" si="57"/>
        <v>1.2832590706577258E-2</v>
      </c>
      <c r="AC272" s="39">
        <v>6.7667399999999996E-11</v>
      </c>
      <c r="AD272" s="39">
        <v>5.4824099999999999E-11</v>
      </c>
      <c r="AE272" s="39">
        <v>6.4033799999999994E-11</v>
      </c>
      <c r="AF272" s="39">
        <v>4.1917400000000001E-11</v>
      </c>
      <c r="AG272" s="39">
        <v>5.5751300000000002E-11</v>
      </c>
      <c r="AH272" s="39">
        <v>6.4671999999999999E-11</v>
      </c>
      <c r="AI272" s="39">
        <v>3.3978500000000002E-11</v>
      </c>
      <c r="AJ272" s="39">
        <v>1.34096E-10</v>
      </c>
      <c r="AK272" s="39">
        <v>3.7122499999999999E-11</v>
      </c>
      <c r="AL272" s="39">
        <v>6.3253099999999994E-11</v>
      </c>
      <c r="AM272" s="39">
        <v>6.3396999999999996E-11</v>
      </c>
      <c r="AN272" s="39">
        <v>6.8581099999999999E-11</v>
      </c>
    </row>
    <row r="273" spans="1:40" thickBot="1">
      <c r="A273" s="29" t="s">
        <v>508</v>
      </c>
      <c r="B273" s="30" t="s">
        <v>17</v>
      </c>
      <c r="C273" s="30">
        <v>56</v>
      </c>
      <c r="D273" s="30" t="s">
        <v>41</v>
      </c>
      <c r="E273" s="30">
        <v>1000</v>
      </c>
      <c r="F273" s="30">
        <v>31</v>
      </c>
      <c r="G273" s="30" t="s">
        <v>268</v>
      </c>
      <c r="H273" s="42" t="s">
        <v>25</v>
      </c>
      <c r="I273" s="30" t="s">
        <v>20</v>
      </c>
      <c r="J273" s="40" t="s">
        <v>75</v>
      </c>
      <c r="K273" s="44" t="str">
        <f t="shared" si="58"/>
        <v>lev OK</v>
      </c>
      <c r="L273" s="1">
        <f t="shared" si="53"/>
        <v>42387.490277777775</v>
      </c>
      <c r="M273" s="43"/>
      <c r="N273" s="11">
        <f t="shared" si="54"/>
        <v>0.60045130490142795</v>
      </c>
      <c r="O273" s="11">
        <f t="shared" si="55"/>
        <v>0.91100000000000003</v>
      </c>
      <c r="P273" s="1">
        <f t="shared" si="56"/>
        <v>42386.481944444444</v>
      </c>
      <c r="Q273" s="12">
        <f t="shared" si="57"/>
        <v>1.2832590706577258E-2</v>
      </c>
      <c r="AC273" s="39">
        <v>6.4480800000000003E-11</v>
      </c>
      <c r="AD273" s="39">
        <v>5.3972299999999999E-11</v>
      </c>
      <c r="AE273" s="39">
        <v>6.3353000000000006E-11</v>
      </c>
      <c r="AF273" s="39">
        <v>3.86761E-11</v>
      </c>
      <c r="AG273" s="39">
        <v>6.1310800000000002E-11</v>
      </c>
      <c r="AH273" s="39">
        <v>6.0395599999999999E-11</v>
      </c>
      <c r="AI273" s="39">
        <v>3.3536900000000002E-11</v>
      </c>
      <c r="AJ273" s="39">
        <v>1.2726699999999999E-10</v>
      </c>
      <c r="AK273" s="39">
        <v>3.4452399999999997E-11</v>
      </c>
      <c r="AL273" s="39">
        <v>6.2098000000000006E-11</v>
      </c>
      <c r="AM273" s="39">
        <v>5.9732099999999994E-11</v>
      </c>
      <c r="AN273" s="39">
        <v>6.6670799999999997E-11</v>
      </c>
    </row>
    <row r="274" spans="1:40" thickBot="1">
      <c r="A274" s="29" t="s">
        <v>509</v>
      </c>
      <c r="B274" s="30" t="s">
        <v>17</v>
      </c>
      <c r="C274" s="30">
        <v>56</v>
      </c>
      <c r="D274" s="30" t="s">
        <v>41</v>
      </c>
      <c r="E274" s="30">
        <v>1000</v>
      </c>
      <c r="F274" s="30">
        <v>32</v>
      </c>
      <c r="G274" s="30" t="s">
        <v>268</v>
      </c>
      <c r="H274" s="42" t="s">
        <v>25</v>
      </c>
      <c r="I274" s="30" t="s">
        <v>20</v>
      </c>
      <c r="J274" s="40" t="s">
        <v>75</v>
      </c>
      <c r="K274" s="44" t="str">
        <f t="shared" si="58"/>
        <v>lev OK</v>
      </c>
      <c r="L274" s="1">
        <f t="shared" si="53"/>
        <v>42387.529861111114</v>
      </c>
      <c r="M274" s="43"/>
      <c r="N274" s="11">
        <f t="shared" si="54"/>
        <v>0.58826034372853631</v>
      </c>
      <c r="O274" s="11">
        <f t="shared" si="55"/>
        <v>0.91100000000000003</v>
      </c>
      <c r="P274" s="1">
        <f t="shared" si="56"/>
        <v>42386.481944444444</v>
      </c>
      <c r="Q274" s="12">
        <f t="shared" si="57"/>
        <v>1.2832590706577258E-2</v>
      </c>
      <c r="AC274" s="39">
        <v>6.9987600000000006E-11</v>
      </c>
      <c r="AD274" s="39">
        <v>5.7493299999999999E-11</v>
      </c>
      <c r="AE274" s="39">
        <v>7.2830300000000001E-11</v>
      </c>
      <c r="AF274" s="39">
        <v>4.8130199999999999E-11</v>
      </c>
      <c r="AG274" s="39">
        <v>6.0796099999999997E-11</v>
      </c>
      <c r="AH274" s="39">
        <v>6.6184800000000003E-11</v>
      </c>
      <c r="AI274" s="39">
        <v>3.3934999999999997E-11</v>
      </c>
      <c r="AJ274" s="39">
        <v>1.40472E-10</v>
      </c>
      <c r="AK274" s="39">
        <v>3.7621600000000001E-11</v>
      </c>
      <c r="AL274" s="39">
        <v>6.5274000000000006E-11</v>
      </c>
      <c r="AM274" s="39">
        <v>6.52323E-11</v>
      </c>
      <c r="AN274" s="39">
        <v>7.1345900000000003E-11</v>
      </c>
    </row>
    <row r="275" spans="1:40" thickBot="1">
      <c r="A275" s="29" t="s">
        <v>510</v>
      </c>
      <c r="B275" s="30" t="s">
        <v>17</v>
      </c>
      <c r="C275" s="30">
        <v>56</v>
      </c>
      <c r="D275" s="30" t="s">
        <v>41</v>
      </c>
      <c r="E275" s="30">
        <v>1000</v>
      </c>
      <c r="F275" s="30">
        <v>31</v>
      </c>
      <c r="G275" s="30" t="s">
        <v>268</v>
      </c>
      <c r="H275" s="42" t="s">
        <v>19</v>
      </c>
      <c r="I275" s="30" t="s">
        <v>20</v>
      </c>
      <c r="J275" s="40" t="s">
        <v>511</v>
      </c>
      <c r="K275" s="46" t="s">
        <v>402</v>
      </c>
      <c r="L275" s="1">
        <f t="shared" si="53"/>
        <v>42387.659722222219</v>
      </c>
      <c r="M275" s="43"/>
      <c r="N275" s="11">
        <f t="shared" si="54"/>
        <v>0.89662500000185619</v>
      </c>
      <c r="O275" s="12">
        <v>0.91100000000000003</v>
      </c>
      <c r="P275" s="1">
        <v>42387.61041666667</v>
      </c>
      <c r="Q275" s="11">
        <f>(O275-R275)/(S275-P275)/24</f>
        <v>1.2147887324008394E-2</v>
      </c>
      <c r="R275" s="12">
        <v>0.68100000000000005</v>
      </c>
      <c r="S275" s="1">
        <v>42388.399305555555</v>
      </c>
      <c r="AC275" s="39">
        <v>7.2056599999999997E-11</v>
      </c>
      <c r="AD275" s="39">
        <v>6.5335799999999996E-11</v>
      </c>
      <c r="AE275" s="39">
        <v>7.4448199999999994E-11</v>
      </c>
      <c r="AF275" s="39">
        <v>4.6307199999999999E-11</v>
      </c>
      <c r="AG275" s="39">
        <v>8.1275300000000004E-11</v>
      </c>
      <c r="AH275" s="39">
        <v>8.5851700000000005E-11</v>
      </c>
      <c r="AI275" s="39">
        <v>3.36101E-11</v>
      </c>
      <c r="AJ275" s="39">
        <v>1.4561E-10</v>
      </c>
      <c r="AK275" s="39">
        <v>4.1078600000000001E-11</v>
      </c>
      <c r="AL275" s="39">
        <v>7.5399399999999996E-11</v>
      </c>
      <c r="AM275" s="39">
        <v>7.7100100000000003E-11</v>
      </c>
      <c r="AN275" s="39">
        <v>2.02606E-10</v>
      </c>
    </row>
    <row r="276" spans="1:40" thickBot="1">
      <c r="A276" s="29" t="s">
        <v>512</v>
      </c>
      <c r="B276" s="30" t="s">
        <v>17</v>
      </c>
      <c r="C276" s="30">
        <v>56</v>
      </c>
      <c r="D276" s="30" t="s">
        <v>41</v>
      </c>
      <c r="E276" s="30">
        <v>1000</v>
      </c>
      <c r="F276" s="30">
        <v>31</v>
      </c>
      <c r="G276" s="30" t="s">
        <v>268</v>
      </c>
      <c r="H276" s="42" t="s">
        <v>19</v>
      </c>
      <c r="I276" s="30" t="s">
        <v>20</v>
      </c>
      <c r="J276" s="40" t="s">
        <v>511</v>
      </c>
      <c r="K276" s="46" t="s">
        <v>402</v>
      </c>
      <c r="L276" s="1">
        <f t="shared" si="53"/>
        <v>42387.699305555558</v>
      </c>
      <c r="M276" s="43"/>
      <c r="N276" s="11">
        <f t="shared" si="54"/>
        <v>0.88508450704249253</v>
      </c>
      <c r="O276" s="11">
        <f t="shared" ref="O276:O291" si="59">O275</f>
        <v>0.91100000000000003</v>
      </c>
      <c r="P276" s="1">
        <f t="shared" ref="P276:P291" si="60">P275</f>
        <v>42387.61041666667</v>
      </c>
      <c r="Q276" s="12">
        <f t="shared" ref="Q276:Q291" si="61">Q275</f>
        <v>1.2147887324008394E-2</v>
      </c>
      <c r="AC276" s="39">
        <v>9.1322899999999995E-11</v>
      </c>
      <c r="AD276" s="39">
        <v>7.7100700000000001E-11</v>
      </c>
      <c r="AE276" s="39">
        <v>8.4278999999999997E-11</v>
      </c>
      <c r="AF276" s="39">
        <v>5.3202399999999997E-11</v>
      </c>
      <c r="AG276" s="39">
        <v>8.8732000000000004E-11</v>
      </c>
      <c r="AH276" s="39">
        <v>9.7808099999999998E-11</v>
      </c>
      <c r="AI276" s="39">
        <v>4.2161200000000001E-11</v>
      </c>
      <c r="AJ276" s="39">
        <v>1.7593600000000001E-10</v>
      </c>
      <c r="AK276" s="39">
        <v>4.3444300000000001E-11</v>
      </c>
      <c r="AL276" s="39">
        <v>9.2918800000000006E-11</v>
      </c>
      <c r="AM276" s="39">
        <v>8.7109099999999994E-11</v>
      </c>
      <c r="AN276" s="39">
        <v>2.0954300000000001E-10</v>
      </c>
    </row>
    <row r="277" spans="1:40" thickBot="1">
      <c r="A277" s="29" t="s">
        <v>513</v>
      </c>
      <c r="B277" s="30" t="s">
        <v>17</v>
      </c>
      <c r="C277" s="30">
        <v>56</v>
      </c>
      <c r="D277" s="30" t="s">
        <v>41</v>
      </c>
      <c r="E277" s="30">
        <v>1000</v>
      </c>
      <c r="F277" s="30">
        <v>31</v>
      </c>
      <c r="G277" s="30" t="s">
        <v>268</v>
      </c>
      <c r="H277" s="42" t="s">
        <v>19</v>
      </c>
      <c r="I277" s="30" t="s">
        <v>20</v>
      </c>
      <c r="J277" s="40" t="s">
        <v>511</v>
      </c>
      <c r="K277" s="46" t="s">
        <v>402</v>
      </c>
      <c r="L277" s="1">
        <f t="shared" si="53"/>
        <v>42387.738888888889</v>
      </c>
      <c r="M277" s="43"/>
      <c r="N277" s="11">
        <f t="shared" si="54"/>
        <v>0.87354401408525029</v>
      </c>
      <c r="O277" s="11">
        <f t="shared" si="59"/>
        <v>0.91100000000000003</v>
      </c>
      <c r="P277" s="1">
        <f t="shared" si="60"/>
        <v>42387.61041666667</v>
      </c>
      <c r="Q277" s="12">
        <f t="shared" si="61"/>
        <v>1.2147887324008394E-2</v>
      </c>
      <c r="AC277" s="39">
        <v>1.10466E-10</v>
      </c>
      <c r="AD277" s="39">
        <v>9.0627200000000001E-11</v>
      </c>
      <c r="AE277" s="39">
        <v>1.06449E-10</v>
      </c>
      <c r="AF277" s="39">
        <v>7.7713600000000006E-11</v>
      </c>
      <c r="AG277" s="39">
        <v>1.1654599999999999E-10</v>
      </c>
      <c r="AH277" s="39">
        <v>1.2194899999999999E-10</v>
      </c>
      <c r="AI277" s="39">
        <v>4.79588E-11</v>
      </c>
      <c r="AJ277" s="39">
        <v>2.0613299999999999E-10</v>
      </c>
      <c r="AK277" s="39">
        <v>5.0372499999999998E-11</v>
      </c>
      <c r="AL277" s="39">
        <v>1.1243600000000001E-10</v>
      </c>
      <c r="AM277" s="39">
        <v>1.0551900000000001E-10</v>
      </c>
      <c r="AN277" s="39">
        <v>1.8098E-10</v>
      </c>
    </row>
    <row r="278" spans="1:40" thickBot="1">
      <c r="A278" s="29" t="s">
        <v>514</v>
      </c>
      <c r="B278" s="30" t="s">
        <v>17</v>
      </c>
      <c r="C278" s="30">
        <v>56</v>
      </c>
      <c r="D278" s="30" t="s">
        <v>41</v>
      </c>
      <c r="E278" s="30">
        <v>1000</v>
      </c>
      <c r="F278" s="30">
        <v>32</v>
      </c>
      <c r="G278" s="30" t="s">
        <v>268</v>
      </c>
      <c r="H278" s="42" t="s">
        <v>19</v>
      </c>
      <c r="I278" s="30" t="s">
        <v>20</v>
      </c>
      <c r="J278" s="40" t="s">
        <v>511</v>
      </c>
      <c r="K278" s="46" t="s">
        <v>402</v>
      </c>
      <c r="L278" s="1">
        <f t="shared" si="53"/>
        <v>42387.777777777781</v>
      </c>
      <c r="M278" s="43"/>
      <c r="N278" s="11">
        <f t="shared" si="54"/>
        <v>0.86220598591528008</v>
      </c>
      <c r="O278" s="11">
        <f t="shared" si="59"/>
        <v>0.91100000000000003</v>
      </c>
      <c r="P278" s="1">
        <f t="shared" si="60"/>
        <v>42387.61041666667</v>
      </c>
      <c r="Q278" s="12">
        <f t="shared" si="61"/>
        <v>1.2147887324008394E-2</v>
      </c>
      <c r="AC278" s="39">
        <v>9.8282100000000006E-11</v>
      </c>
      <c r="AD278" s="39">
        <v>7.7415599999999996E-11</v>
      </c>
      <c r="AE278" s="39">
        <v>9.2027299999999997E-11</v>
      </c>
      <c r="AF278" s="39">
        <v>6.2847800000000004E-11</v>
      </c>
      <c r="AG278" s="39">
        <v>9.4061299999999997E-11</v>
      </c>
      <c r="AH278" s="39">
        <v>1.01371E-10</v>
      </c>
      <c r="AI278" s="39">
        <v>4.4493299999999998E-11</v>
      </c>
      <c r="AJ278" s="39">
        <v>1.84888E-10</v>
      </c>
      <c r="AK278" s="39">
        <v>4.66802E-11</v>
      </c>
      <c r="AL278" s="39">
        <v>9.25885E-11</v>
      </c>
      <c r="AM278" s="39">
        <v>9.1974799999999999E-11</v>
      </c>
      <c r="AN278" s="39">
        <v>1.4585500000000001E-10</v>
      </c>
    </row>
    <row r="279" spans="1:40" thickBot="1">
      <c r="A279" s="29" t="s">
        <v>515</v>
      </c>
      <c r="B279" s="30" t="s">
        <v>17</v>
      </c>
      <c r="C279" s="30">
        <v>56</v>
      </c>
      <c r="D279" s="30" t="s">
        <v>41</v>
      </c>
      <c r="E279" s="30">
        <v>1000</v>
      </c>
      <c r="F279" s="30">
        <v>31</v>
      </c>
      <c r="G279" s="30" t="s">
        <v>268</v>
      </c>
      <c r="H279" s="42" t="s">
        <v>19</v>
      </c>
      <c r="I279" s="30" t="s">
        <v>20</v>
      </c>
      <c r="J279" s="40" t="s">
        <v>511</v>
      </c>
      <c r="K279" s="46" t="s">
        <v>402</v>
      </c>
      <c r="L279" s="1">
        <f t="shared" si="53"/>
        <v>42387.817361111112</v>
      </c>
      <c r="M279" s="43"/>
      <c r="N279" s="11">
        <f t="shared" si="54"/>
        <v>0.85066549295803784</v>
      </c>
      <c r="O279" s="11">
        <f t="shared" si="59"/>
        <v>0.91100000000000003</v>
      </c>
      <c r="P279" s="1">
        <f t="shared" si="60"/>
        <v>42387.61041666667</v>
      </c>
      <c r="Q279" s="12">
        <f t="shared" si="61"/>
        <v>1.2147887324008394E-2</v>
      </c>
      <c r="AC279" s="39">
        <v>9.0033399999999996E-11</v>
      </c>
      <c r="AD279" s="39">
        <v>7.1940799999999996E-11</v>
      </c>
      <c r="AE279" s="39">
        <v>8.7212499999999997E-11</v>
      </c>
      <c r="AF279" s="39">
        <v>5.5199800000000002E-11</v>
      </c>
      <c r="AG279" s="39">
        <v>9.5216700000000003E-11</v>
      </c>
      <c r="AH279" s="39">
        <v>9.65364E-11</v>
      </c>
      <c r="AI279" s="39">
        <v>4.1119499999999998E-11</v>
      </c>
      <c r="AJ279" s="39">
        <v>1.7533199999999999E-10</v>
      </c>
      <c r="AK279" s="39">
        <v>4.47605E-11</v>
      </c>
      <c r="AL279" s="39">
        <v>8.9168199999999996E-11</v>
      </c>
      <c r="AM279" s="39">
        <v>8.4122899999999997E-11</v>
      </c>
      <c r="AN279" s="39">
        <v>1.7414399999999999E-10</v>
      </c>
    </row>
    <row r="280" spans="1:40" thickBot="1">
      <c r="A280" s="29" t="s">
        <v>516</v>
      </c>
      <c r="B280" s="30" t="s">
        <v>17</v>
      </c>
      <c r="C280" s="30">
        <v>56</v>
      </c>
      <c r="D280" s="30" t="s">
        <v>41</v>
      </c>
      <c r="E280" s="30">
        <v>1000</v>
      </c>
      <c r="F280" s="30">
        <v>31</v>
      </c>
      <c r="G280" s="30" t="s">
        <v>268</v>
      </c>
      <c r="H280" s="42" t="s">
        <v>19</v>
      </c>
      <c r="I280" s="30" t="s">
        <v>20</v>
      </c>
      <c r="J280" s="40" t="s">
        <v>511</v>
      </c>
      <c r="K280" s="46" t="s">
        <v>402</v>
      </c>
      <c r="L280" s="1">
        <f t="shared" si="53"/>
        <v>42387.856944444444</v>
      </c>
      <c r="M280" s="43"/>
      <c r="N280" s="11">
        <f t="shared" si="54"/>
        <v>0.83912500000079548</v>
      </c>
      <c r="O280" s="11">
        <f t="shared" si="59"/>
        <v>0.91100000000000003</v>
      </c>
      <c r="P280" s="1">
        <f t="shared" si="60"/>
        <v>42387.61041666667</v>
      </c>
      <c r="Q280" s="12">
        <f t="shared" si="61"/>
        <v>1.2147887324008394E-2</v>
      </c>
      <c r="AC280" s="39">
        <v>1.07352E-10</v>
      </c>
      <c r="AD280" s="39">
        <v>8.8138099999999994E-11</v>
      </c>
      <c r="AE280" s="39">
        <v>1.08438E-10</v>
      </c>
      <c r="AF280" s="39">
        <v>6.5700600000000001E-11</v>
      </c>
      <c r="AG280" s="39">
        <v>1.0511699999999999E-10</v>
      </c>
      <c r="AH280" s="39">
        <v>1.2221000000000001E-10</v>
      </c>
      <c r="AI280" s="39">
        <v>4.6771399999999998E-11</v>
      </c>
      <c r="AJ280" s="39">
        <v>2.0562099999999999E-10</v>
      </c>
      <c r="AK280" s="39">
        <v>4.9005999999999999E-11</v>
      </c>
      <c r="AL280" s="39">
        <v>1.03548E-10</v>
      </c>
      <c r="AM280" s="39">
        <v>1.00328E-10</v>
      </c>
      <c r="AN280" s="39">
        <v>2.3457900000000002E-10</v>
      </c>
    </row>
    <row r="281" spans="1:40" thickBot="1">
      <c r="A281" s="29" t="s">
        <v>517</v>
      </c>
      <c r="B281" s="30" t="s">
        <v>17</v>
      </c>
      <c r="C281" s="30">
        <v>56</v>
      </c>
      <c r="D281" s="30" t="s">
        <v>41</v>
      </c>
      <c r="E281" s="30">
        <v>1000</v>
      </c>
      <c r="F281" s="30">
        <v>31</v>
      </c>
      <c r="G281" s="30" t="s">
        <v>268</v>
      </c>
      <c r="H281" s="42" t="s">
        <v>19</v>
      </c>
      <c r="I281" s="30" t="s">
        <v>20</v>
      </c>
      <c r="J281" s="40" t="s">
        <v>511</v>
      </c>
      <c r="K281" s="46" t="s">
        <v>402</v>
      </c>
      <c r="L281" s="1">
        <f t="shared" si="53"/>
        <v>42387.895833333336</v>
      </c>
      <c r="M281" s="43"/>
      <c r="N281" s="11">
        <f t="shared" si="54"/>
        <v>0.82778697183082539</v>
      </c>
      <c r="O281" s="11">
        <f t="shared" si="59"/>
        <v>0.91100000000000003</v>
      </c>
      <c r="P281" s="1">
        <f t="shared" si="60"/>
        <v>42387.61041666667</v>
      </c>
      <c r="Q281" s="12">
        <f t="shared" si="61"/>
        <v>1.2147887324008394E-2</v>
      </c>
      <c r="AC281" s="39">
        <v>1.00396E-10</v>
      </c>
      <c r="AD281" s="39">
        <v>8.0855900000000004E-11</v>
      </c>
      <c r="AE281" s="39">
        <v>9.5271400000000005E-11</v>
      </c>
      <c r="AF281" s="39">
        <v>6.1865100000000004E-11</v>
      </c>
      <c r="AG281" s="39">
        <v>1.0538800000000001E-10</v>
      </c>
      <c r="AH281" s="39">
        <v>1.12557E-10</v>
      </c>
      <c r="AI281" s="39">
        <v>4.6187199999999997E-11</v>
      </c>
      <c r="AJ281" s="39">
        <v>1.9062900000000001E-10</v>
      </c>
      <c r="AK281" s="39">
        <v>4.7486399999999998E-11</v>
      </c>
      <c r="AL281" s="39">
        <v>9.8524199999999994E-11</v>
      </c>
      <c r="AM281" s="39">
        <v>9.2142199999999995E-11</v>
      </c>
      <c r="AN281" s="39">
        <v>1.8845399999999999E-10</v>
      </c>
    </row>
    <row r="282" spans="1:40" thickBot="1">
      <c r="A282" s="29" t="s">
        <v>518</v>
      </c>
      <c r="B282" s="30" t="s">
        <v>17</v>
      </c>
      <c r="C282" s="30">
        <v>56</v>
      </c>
      <c r="D282" s="30" t="s">
        <v>41</v>
      </c>
      <c r="E282" s="30">
        <v>1000</v>
      </c>
      <c r="F282" s="30">
        <v>31</v>
      </c>
      <c r="G282" s="30" t="s">
        <v>268</v>
      </c>
      <c r="H282" s="42" t="s">
        <v>19</v>
      </c>
      <c r="I282" s="30" t="s">
        <v>20</v>
      </c>
      <c r="J282" s="40" t="s">
        <v>511</v>
      </c>
      <c r="K282" s="46" t="s">
        <v>402</v>
      </c>
      <c r="L282" s="1">
        <f t="shared" si="53"/>
        <v>42387.935416666667</v>
      </c>
      <c r="M282" s="43"/>
      <c r="N282" s="11">
        <f t="shared" si="54"/>
        <v>0.81624647887358304</v>
      </c>
      <c r="O282" s="11">
        <f t="shared" si="59"/>
        <v>0.91100000000000003</v>
      </c>
      <c r="P282" s="1">
        <f t="shared" si="60"/>
        <v>42387.61041666667</v>
      </c>
      <c r="Q282" s="12">
        <f t="shared" si="61"/>
        <v>1.2147887324008394E-2</v>
      </c>
      <c r="AC282" s="39">
        <v>1.0561E-10</v>
      </c>
      <c r="AD282" s="39">
        <v>8.50261E-11</v>
      </c>
      <c r="AE282" s="39">
        <v>9.8711199999999996E-11</v>
      </c>
      <c r="AF282" s="39">
        <v>7.8380200000000004E-11</v>
      </c>
      <c r="AG282" s="39">
        <v>1.07014E-10</v>
      </c>
      <c r="AH282" s="39">
        <v>1.2086699999999999E-10</v>
      </c>
      <c r="AI282" s="39">
        <v>4.6203099999999999E-11</v>
      </c>
      <c r="AJ282" s="39">
        <v>2.02786E-10</v>
      </c>
      <c r="AK282" s="39">
        <v>5.1816800000000003E-11</v>
      </c>
      <c r="AL282" s="39">
        <v>1.0133E-10</v>
      </c>
      <c r="AM282" s="39">
        <v>1.0128399999999999E-10</v>
      </c>
      <c r="AN282" s="39">
        <v>1.83233E-10</v>
      </c>
    </row>
    <row r="283" spans="1:40" thickBot="1">
      <c r="A283" s="29" t="s">
        <v>519</v>
      </c>
      <c r="B283" s="30" t="s">
        <v>17</v>
      </c>
      <c r="C283" s="30">
        <v>56</v>
      </c>
      <c r="D283" s="30" t="s">
        <v>41</v>
      </c>
      <c r="E283" s="30">
        <v>1000</v>
      </c>
      <c r="F283" s="30">
        <v>32</v>
      </c>
      <c r="G283" s="30" t="s">
        <v>268</v>
      </c>
      <c r="H283" s="42" t="s">
        <v>19</v>
      </c>
      <c r="I283" s="30" t="s">
        <v>20</v>
      </c>
      <c r="J283" s="40" t="s">
        <v>511</v>
      </c>
      <c r="K283" s="46" t="s">
        <v>402</v>
      </c>
      <c r="L283" s="1">
        <f t="shared" si="53"/>
        <v>42387.974999999999</v>
      </c>
      <c r="M283" s="43"/>
      <c r="N283" s="11">
        <f t="shared" si="54"/>
        <v>0.80470598591634079</v>
      </c>
      <c r="O283" s="11">
        <f t="shared" si="59"/>
        <v>0.91100000000000003</v>
      </c>
      <c r="P283" s="1">
        <f t="shared" si="60"/>
        <v>42387.61041666667</v>
      </c>
      <c r="Q283" s="12">
        <f t="shared" si="61"/>
        <v>1.2147887324008394E-2</v>
      </c>
      <c r="AC283" s="39">
        <v>1.3667399999999999E-10</v>
      </c>
      <c r="AD283" s="39">
        <v>1.11076E-10</v>
      </c>
      <c r="AE283" s="39">
        <v>1.32089E-10</v>
      </c>
      <c r="AF283" s="39">
        <v>9.1989900000000004E-11</v>
      </c>
      <c r="AG283" s="39">
        <v>1.3593800000000001E-10</v>
      </c>
      <c r="AH283" s="39">
        <v>1.4250700000000001E-10</v>
      </c>
      <c r="AI283" s="39">
        <v>5.8903199999999997E-11</v>
      </c>
      <c r="AJ283" s="39">
        <v>2.5747300000000002E-10</v>
      </c>
      <c r="AK283" s="39">
        <v>6.1652400000000004E-11</v>
      </c>
      <c r="AL283" s="39">
        <v>1.30794E-10</v>
      </c>
      <c r="AM283" s="39">
        <v>1.2960700000000001E-10</v>
      </c>
      <c r="AN283" s="39">
        <v>3.2024600000000002E-10</v>
      </c>
    </row>
    <row r="284" spans="1:40" thickBot="1">
      <c r="A284" s="29" t="s">
        <v>520</v>
      </c>
      <c r="B284" s="30" t="s">
        <v>17</v>
      </c>
      <c r="C284" s="30">
        <v>56</v>
      </c>
      <c r="D284" s="30" t="s">
        <v>41</v>
      </c>
      <c r="E284" s="30">
        <v>1000</v>
      </c>
      <c r="F284" s="30">
        <v>31</v>
      </c>
      <c r="G284" s="30" t="s">
        <v>268</v>
      </c>
      <c r="H284" s="42" t="s">
        <v>19</v>
      </c>
      <c r="I284" s="30" t="s">
        <v>20</v>
      </c>
      <c r="J284" s="40" t="s">
        <v>511</v>
      </c>
      <c r="K284" s="46" t="s">
        <v>402</v>
      </c>
      <c r="L284" s="1">
        <f t="shared" si="53"/>
        <v>42388.01458333333</v>
      </c>
      <c r="M284" s="43"/>
      <c r="N284" s="11">
        <f t="shared" si="54"/>
        <v>0.79316549295909844</v>
      </c>
      <c r="O284" s="11">
        <f t="shared" si="59"/>
        <v>0.91100000000000003</v>
      </c>
      <c r="P284" s="1">
        <f t="shared" si="60"/>
        <v>42387.61041666667</v>
      </c>
      <c r="Q284" s="12">
        <f t="shared" si="61"/>
        <v>1.2147887324008394E-2</v>
      </c>
      <c r="AC284" s="39">
        <v>1.1002699999999999E-10</v>
      </c>
      <c r="AD284" s="39">
        <v>8.7863400000000005E-11</v>
      </c>
      <c r="AE284" s="39">
        <v>9.6722800000000004E-11</v>
      </c>
      <c r="AF284" s="39">
        <v>7.01123E-11</v>
      </c>
      <c r="AG284" s="39">
        <v>1.0669E-10</v>
      </c>
      <c r="AH284" s="39">
        <v>1.15955E-10</v>
      </c>
      <c r="AI284" s="39">
        <v>4.7606200000000001E-11</v>
      </c>
      <c r="AJ284" s="39">
        <v>2.0307100000000001E-10</v>
      </c>
      <c r="AK284" s="39">
        <v>5.1394700000000002E-11</v>
      </c>
      <c r="AL284" s="39">
        <v>1.03356E-10</v>
      </c>
      <c r="AM284" s="39">
        <v>1.03022E-10</v>
      </c>
      <c r="AN284" s="39">
        <v>2.1390000000000001E-10</v>
      </c>
    </row>
    <row r="285" spans="1:40" thickBot="1">
      <c r="A285" s="29" t="s">
        <v>521</v>
      </c>
      <c r="B285" s="30" t="s">
        <v>17</v>
      </c>
      <c r="C285" s="30">
        <v>56</v>
      </c>
      <c r="D285" s="30" t="s">
        <v>41</v>
      </c>
      <c r="E285" s="30">
        <v>1000</v>
      </c>
      <c r="F285" s="30">
        <v>31</v>
      </c>
      <c r="G285" s="30" t="s">
        <v>268</v>
      </c>
      <c r="H285" s="42" t="s">
        <v>19</v>
      </c>
      <c r="I285" s="30" t="s">
        <v>20</v>
      </c>
      <c r="J285" s="40" t="s">
        <v>511</v>
      </c>
      <c r="K285" s="46" t="s">
        <v>402</v>
      </c>
      <c r="L285" s="1">
        <f t="shared" si="53"/>
        <v>42388.053472222222</v>
      </c>
      <c r="M285" s="43"/>
      <c r="N285" s="11">
        <f t="shared" si="54"/>
        <v>0.78182746478912835</v>
      </c>
      <c r="O285" s="11">
        <f t="shared" si="59"/>
        <v>0.91100000000000003</v>
      </c>
      <c r="P285" s="1">
        <f t="shared" si="60"/>
        <v>42387.61041666667</v>
      </c>
      <c r="Q285" s="12">
        <f t="shared" si="61"/>
        <v>1.2147887324008394E-2</v>
      </c>
      <c r="AC285" s="39">
        <v>1.0643200000000001E-10</v>
      </c>
      <c r="AD285" s="39">
        <v>8.1057099999999996E-11</v>
      </c>
      <c r="AE285" s="39">
        <v>9.4468800000000003E-11</v>
      </c>
      <c r="AF285" s="39">
        <v>7.0266199999999997E-11</v>
      </c>
      <c r="AG285" s="39">
        <v>9.48487E-11</v>
      </c>
      <c r="AH285" s="39">
        <v>1.1058599999999999E-10</v>
      </c>
      <c r="AI285" s="39">
        <v>4.5004100000000001E-11</v>
      </c>
      <c r="AJ285" s="39">
        <v>1.9189E-10</v>
      </c>
      <c r="AK285" s="39">
        <v>5.03096E-11</v>
      </c>
      <c r="AL285" s="39">
        <v>1.02797E-10</v>
      </c>
      <c r="AM285" s="39">
        <v>1.05311E-10</v>
      </c>
      <c r="AN285" s="39">
        <v>1.7482199999999999E-10</v>
      </c>
    </row>
    <row r="286" spans="1:40" thickBot="1">
      <c r="A286" s="29" t="s">
        <v>522</v>
      </c>
      <c r="B286" s="30" t="s">
        <v>17</v>
      </c>
      <c r="C286" s="30">
        <v>56</v>
      </c>
      <c r="D286" s="30" t="s">
        <v>41</v>
      </c>
      <c r="E286" s="30">
        <v>1000</v>
      </c>
      <c r="F286" s="30">
        <v>31</v>
      </c>
      <c r="G286" s="30" t="s">
        <v>268</v>
      </c>
      <c r="H286" s="42" t="s">
        <v>19</v>
      </c>
      <c r="I286" s="30" t="s">
        <v>20</v>
      </c>
      <c r="J286" s="40" t="s">
        <v>511</v>
      </c>
      <c r="K286" s="46" t="s">
        <v>402</v>
      </c>
      <c r="L286" s="1">
        <f t="shared" si="53"/>
        <v>42388.093055555553</v>
      </c>
      <c r="M286" s="43"/>
      <c r="N286" s="11">
        <f t="shared" si="54"/>
        <v>0.77028697183188599</v>
      </c>
      <c r="O286" s="11">
        <f t="shared" si="59"/>
        <v>0.91100000000000003</v>
      </c>
      <c r="P286" s="1">
        <f t="shared" si="60"/>
        <v>42387.61041666667</v>
      </c>
      <c r="Q286" s="12">
        <f t="shared" si="61"/>
        <v>1.2147887324008394E-2</v>
      </c>
      <c r="AC286" s="39">
        <v>1.10076E-10</v>
      </c>
      <c r="AD286" s="39">
        <v>8.7226300000000002E-11</v>
      </c>
      <c r="AE286" s="39">
        <v>1.10514E-10</v>
      </c>
      <c r="AF286" s="39">
        <v>7.3229299999999999E-11</v>
      </c>
      <c r="AG286" s="39">
        <v>1.05124E-10</v>
      </c>
      <c r="AH286" s="39">
        <v>1.1981E-10</v>
      </c>
      <c r="AI286" s="39">
        <v>4.7393999999999999E-11</v>
      </c>
      <c r="AJ286" s="39">
        <v>2.0370699999999999E-10</v>
      </c>
      <c r="AK286" s="39">
        <v>5.15542E-11</v>
      </c>
      <c r="AL286" s="39">
        <v>1.0608400000000001E-10</v>
      </c>
      <c r="AM286" s="39">
        <v>1.0471900000000001E-10</v>
      </c>
      <c r="AN286" s="39">
        <v>2.5533499999999998E-10</v>
      </c>
    </row>
    <row r="287" spans="1:40" thickBot="1">
      <c r="A287" s="29" t="s">
        <v>523</v>
      </c>
      <c r="B287" s="30" t="s">
        <v>17</v>
      </c>
      <c r="C287" s="30">
        <v>56</v>
      </c>
      <c r="D287" s="30" t="s">
        <v>41</v>
      </c>
      <c r="E287" s="30">
        <v>1000</v>
      </c>
      <c r="F287" s="30">
        <v>31</v>
      </c>
      <c r="G287" s="30" t="s">
        <v>268</v>
      </c>
      <c r="H287" s="42" t="s">
        <v>19</v>
      </c>
      <c r="I287" s="30" t="s">
        <v>20</v>
      </c>
      <c r="J287" s="40" t="s">
        <v>511</v>
      </c>
      <c r="K287" s="46" t="s">
        <v>402</v>
      </c>
      <c r="L287" s="1">
        <f t="shared" si="53"/>
        <v>42388.132638888892</v>
      </c>
      <c r="M287" s="43"/>
      <c r="N287" s="11">
        <f t="shared" si="54"/>
        <v>0.75874647887252245</v>
      </c>
      <c r="O287" s="11">
        <f t="shared" si="59"/>
        <v>0.91100000000000003</v>
      </c>
      <c r="P287" s="1">
        <f t="shared" si="60"/>
        <v>42387.61041666667</v>
      </c>
      <c r="Q287" s="12">
        <f t="shared" si="61"/>
        <v>1.2147887324008394E-2</v>
      </c>
      <c r="AC287" s="39">
        <v>9.9197400000000002E-11</v>
      </c>
      <c r="AD287" s="39">
        <v>8.0573999999999995E-11</v>
      </c>
      <c r="AE287" s="39">
        <v>9.3104799999999999E-11</v>
      </c>
      <c r="AF287" s="39">
        <v>6.5082599999999998E-11</v>
      </c>
      <c r="AG287" s="39">
        <v>1.02701E-10</v>
      </c>
      <c r="AH287" s="39">
        <v>1.08938E-10</v>
      </c>
      <c r="AI287" s="39">
        <v>4.5924999999999999E-11</v>
      </c>
      <c r="AJ287" s="39">
        <v>1.9799699999999999E-10</v>
      </c>
      <c r="AK287" s="39">
        <v>5.02741E-11</v>
      </c>
      <c r="AL287" s="39">
        <v>9.91489E-11</v>
      </c>
      <c r="AM287" s="39">
        <v>9.5091900000000003E-11</v>
      </c>
      <c r="AN287" s="39">
        <v>1.9182599999999999E-10</v>
      </c>
    </row>
    <row r="288" spans="1:40" thickBot="1">
      <c r="A288" s="29" t="s">
        <v>524</v>
      </c>
      <c r="B288" s="30" t="s">
        <v>17</v>
      </c>
      <c r="C288" s="30">
        <v>56</v>
      </c>
      <c r="D288" s="30" t="s">
        <v>41</v>
      </c>
      <c r="E288" s="30">
        <v>1000</v>
      </c>
      <c r="F288" s="30">
        <v>31</v>
      </c>
      <c r="G288" s="30" t="s">
        <v>268</v>
      </c>
      <c r="H288" s="42" t="s">
        <v>19</v>
      </c>
      <c r="I288" s="30" t="s">
        <v>20</v>
      </c>
      <c r="J288" s="40" t="s">
        <v>511</v>
      </c>
      <c r="K288" s="46" t="s">
        <v>402</v>
      </c>
      <c r="L288" s="1">
        <f t="shared" si="53"/>
        <v>42388.171527777777</v>
      </c>
      <c r="M288" s="43"/>
      <c r="N288" s="11">
        <f t="shared" si="54"/>
        <v>0.74740845070467354</v>
      </c>
      <c r="O288" s="11">
        <f t="shared" si="59"/>
        <v>0.91100000000000003</v>
      </c>
      <c r="P288" s="1">
        <f t="shared" si="60"/>
        <v>42387.61041666667</v>
      </c>
      <c r="Q288" s="12">
        <f t="shared" si="61"/>
        <v>1.2147887324008394E-2</v>
      </c>
      <c r="AC288" s="39">
        <v>8.8903799999999994E-11</v>
      </c>
      <c r="AD288" s="39">
        <v>7.2913199999999996E-11</v>
      </c>
      <c r="AE288" s="39">
        <v>8.0680599999999997E-11</v>
      </c>
      <c r="AF288" s="39">
        <v>5.25535E-11</v>
      </c>
      <c r="AG288" s="39">
        <v>8.5589799999999999E-11</v>
      </c>
      <c r="AH288" s="39">
        <v>9.2183700000000002E-11</v>
      </c>
      <c r="AI288" s="39">
        <v>3.8786000000000001E-11</v>
      </c>
      <c r="AJ288" s="39">
        <v>1.67227E-10</v>
      </c>
      <c r="AK288" s="39">
        <v>4.4952999999999997E-11</v>
      </c>
      <c r="AL288" s="39">
        <v>8.9041000000000006E-11</v>
      </c>
      <c r="AM288" s="39">
        <v>8.2601500000000004E-11</v>
      </c>
      <c r="AN288" s="39">
        <v>1.83797E-10</v>
      </c>
    </row>
    <row r="289" spans="1:40" thickBot="1">
      <c r="A289" s="29" t="s">
        <v>525</v>
      </c>
      <c r="B289" s="30" t="s">
        <v>17</v>
      </c>
      <c r="C289" s="30">
        <v>56</v>
      </c>
      <c r="D289" s="30" t="s">
        <v>41</v>
      </c>
      <c r="E289" s="30">
        <v>1000</v>
      </c>
      <c r="F289" s="30">
        <v>31</v>
      </c>
      <c r="G289" s="30" t="s">
        <v>268</v>
      </c>
      <c r="H289" s="42" t="s">
        <v>19</v>
      </c>
      <c r="I289" s="30" t="s">
        <v>20</v>
      </c>
      <c r="J289" s="40" t="s">
        <v>511</v>
      </c>
      <c r="K289" s="46" t="s">
        <v>402</v>
      </c>
      <c r="L289" s="1">
        <f t="shared" si="53"/>
        <v>42388.211111111108</v>
      </c>
      <c r="M289" s="43"/>
      <c r="N289" s="11">
        <f t="shared" si="54"/>
        <v>0.7358679577474313</v>
      </c>
      <c r="O289" s="11">
        <f t="shared" si="59"/>
        <v>0.91100000000000003</v>
      </c>
      <c r="P289" s="1">
        <f t="shared" si="60"/>
        <v>42387.61041666667</v>
      </c>
      <c r="Q289" s="12">
        <f t="shared" si="61"/>
        <v>1.2147887324008394E-2</v>
      </c>
      <c r="AC289" s="39">
        <v>8.8105000000000002E-11</v>
      </c>
      <c r="AD289" s="39">
        <v>7.7640999999999998E-11</v>
      </c>
      <c r="AE289" s="39">
        <v>8.3527699999999998E-11</v>
      </c>
      <c r="AF289" s="39">
        <v>8.7368599999999998E-11</v>
      </c>
      <c r="AG289" s="39">
        <v>9.2324600000000003E-11</v>
      </c>
      <c r="AH289" s="39">
        <v>9.7708100000000006E-11</v>
      </c>
      <c r="AI289" s="39">
        <v>4.15816E-11</v>
      </c>
      <c r="AJ289" s="39">
        <v>1.7184E-10</v>
      </c>
      <c r="AK289" s="39">
        <v>4.4482699999999999E-11</v>
      </c>
      <c r="AL289" s="39">
        <v>9.2443699999999996E-11</v>
      </c>
      <c r="AM289" s="39">
        <v>8.3157E-11</v>
      </c>
      <c r="AN289" s="39">
        <v>1.4367000000000001E-10</v>
      </c>
    </row>
    <row r="290" spans="1:40" thickBot="1">
      <c r="A290" s="29" t="s">
        <v>526</v>
      </c>
      <c r="B290" s="30" t="s">
        <v>17</v>
      </c>
      <c r="C290" s="30">
        <v>56</v>
      </c>
      <c r="D290" s="30" t="s">
        <v>41</v>
      </c>
      <c r="E290" s="30">
        <v>1000</v>
      </c>
      <c r="F290" s="30">
        <v>32</v>
      </c>
      <c r="G290" s="30" t="s">
        <v>268</v>
      </c>
      <c r="H290" s="42" t="s">
        <v>19</v>
      </c>
      <c r="I290" s="30" t="s">
        <v>20</v>
      </c>
      <c r="J290" s="40" t="s">
        <v>511</v>
      </c>
      <c r="K290" s="46" t="s">
        <v>402</v>
      </c>
      <c r="L290" s="1">
        <f t="shared" si="53"/>
        <v>42388.250694444447</v>
      </c>
      <c r="M290" s="43"/>
      <c r="N290" s="11">
        <f t="shared" si="54"/>
        <v>0.72432746478806775</v>
      </c>
      <c r="O290" s="11">
        <f t="shared" si="59"/>
        <v>0.91100000000000003</v>
      </c>
      <c r="P290" s="1">
        <f t="shared" si="60"/>
        <v>42387.61041666667</v>
      </c>
      <c r="Q290" s="12">
        <f t="shared" si="61"/>
        <v>1.2147887324008394E-2</v>
      </c>
      <c r="AC290" s="39">
        <v>9.4408100000000002E-11</v>
      </c>
      <c r="AD290" s="39">
        <v>7.6411899999999996E-11</v>
      </c>
      <c r="AE290" s="39">
        <v>8.8097700000000002E-11</v>
      </c>
      <c r="AF290" s="39">
        <v>6.0447399999999994E-11</v>
      </c>
      <c r="AG290" s="39">
        <v>8.7488100000000002E-11</v>
      </c>
      <c r="AH290" s="39">
        <v>9.9599200000000001E-11</v>
      </c>
      <c r="AI290" s="39">
        <v>4.1794699999999998E-11</v>
      </c>
      <c r="AJ290" s="39">
        <v>1.7720899999999999E-10</v>
      </c>
      <c r="AK290" s="39">
        <v>4.6110300000000002E-11</v>
      </c>
      <c r="AL290" s="39">
        <v>9.3479799999999998E-11</v>
      </c>
      <c r="AM290" s="39">
        <v>8.8825799999999997E-11</v>
      </c>
      <c r="AN290" s="39">
        <v>1.8778100000000001E-10</v>
      </c>
    </row>
    <row r="291" spans="1:40" thickBot="1">
      <c r="A291" s="29" t="s">
        <v>527</v>
      </c>
      <c r="B291" s="30" t="s">
        <v>17</v>
      </c>
      <c r="C291" s="30">
        <v>56</v>
      </c>
      <c r="D291" s="30" t="s">
        <v>41</v>
      </c>
      <c r="E291" s="30">
        <v>1000</v>
      </c>
      <c r="F291" s="30">
        <v>32</v>
      </c>
      <c r="G291" s="30" t="s">
        <v>268</v>
      </c>
      <c r="H291" s="42" t="s">
        <v>19</v>
      </c>
      <c r="I291" s="30" t="s">
        <v>20</v>
      </c>
      <c r="J291" s="40" t="s">
        <v>511</v>
      </c>
      <c r="K291" s="46" t="s">
        <v>402</v>
      </c>
      <c r="L291" s="1">
        <f t="shared" si="53"/>
        <v>42388.289583333331</v>
      </c>
      <c r="M291" s="43"/>
      <c r="N291" s="11">
        <f t="shared" si="54"/>
        <v>0.71298943662021885</v>
      </c>
      <c r="O291" s="11">
        <f t="shared" si="59"/>
        <v>0.91100000000000003</v>
      </c>
      <c r="P291" s="1">
        <f t="shared" si="60"/>
        <v>42387.61041666667</v>
      </c>
      <c r="Q291" s="12">
        <f t="shared" si="61"/>
        <v>1.2147887324008394E-2</v>
      </c>
      <c r="AC291" s="39">
        <v>8.7640600000000004E-11</v>
      </c>
      <c r="AD291" s="39">
        <v>6.9411699999999995E-11</v>
      </c>
      <c r="AE291" s="39">
        <v>7.9904700000000002E-11</v>
      </c>
      <c r="AF291" s="39">
        <v>5.6659600000000003E-11</v>
      </c>
      <c r="AG291" s="39">
        <v>8.6921499999999996E-11</v>
      </c>
      <c r="AH291" s="39">
        <v>9.5122499999999999E-11</v>
      </c>
      <c r="AI291" s="39">
        <v>4.2166099999999999E-11</v>
      </c>
      <c r="AJ291" s="39">
        <v>1.64756E-10</v>
      </c>
      <c r="AK291" s="39">
        <v>4.4171500000000001E-11</v>
      </c>
      <c r="AL291" s="39">
        <v>8.6140300000000004E-11</v>
      </c>
      <c r="AM291" s="39">
        <v>8.2737099999999996E-11</v>
      </c>
      <c r="AN291" s="39">
        <v>1.5458400000000001E-10</v>
      </c>
    </row>
    <row r="292" spans="1:40" ht="28.15" thickBot="1">
      <c r="A292" s="29" t="s">
        <v>528</v>
      </c>
      <c r="B292" s="30" t="s">
        <v>17</v>
      </c>
      <c r="C292" s="30">
        <v>56</v>
      </c>
      <c r="D292" s="30" t="s">
        <v>41</v>
      </c>
      <c r="E292" s="30">
        <v>1000</v>
      </c>
      <c r="F292" s="30">
        <v>31</v>
      </c>
      <c r="G292" s="30" t="s">
        <v>268</v>
      </c>
      <c r="H292" s="42" t="s">
        <v>25</v>
      </c>
      <c r="I292" s="30" t="s">
        <v>20</v>
      </c>
      <c r="J292" s="40" t="s">
        <v>529</v>
      </c>
      <c r="K292" s="44" t="str">
        <f t="shared" ref="K292:K323" si="62">IF(AND(N292&lt;0.7,N292&gt;0.2),"lev OK","lev BAD")</f>
        <v>lev OK</v>
      </c>
      <c r="L292" s="1">
        <f t="shared" ref="L292:L323" si="63">DATE(2000+MID(A292,3,2),MID(A292,5,2),MID(A292,7,2))+TIME(MID(A292,10,2),MID(A292,12,2),0)</f>
        <v>42388.509027777778</v>
      </c>
      <c r="M292" s="43"/>
      <c r="N292" s="11">
        <f t="shared" si="54"/>
        <v>0.64155602836828984</v>
      </c>
      <c r="O292" s="12">
        <v>0.68100000000000005</v>
      </c>
      <c r="P292" s="1">
        <v>42388.399305555555</v>
      </c>
      <c r="Q292" s="11">
        <f>(O292-R292)/(S292-P292)/24</f>
        <v>1.497872340429242E-2</v>
      </c>
      <c r="R292" s="12">
        <v>0.32900000000000001</v>
      </c>
      <c r="S292" s="1">
        <v>42389.378472222219</v>
      </c>
      <c r="AC292" s="39">
        <v>2.3092799999999999E-11</v>
      </c>
      <c r="AD292" s="39">
        <v>5.6689800000000001E-11</v>
      </c>
      <c r="AE292" s="39">
        <v>7.0797699999999994E-11</v>
      </c>
      <c r="AF292" s="39">
        <v>1.5492299999999999E-11</v>
      </c>
      <c r="AG292" s="39">
        <v>7.0559800000000001E-11</v>
      </c>
      <c r="AH292" s="39">
        <v>6.9783400000000002E-11</v>
      </c>
      <c r="AI292" s="39">
        <v>1.1298E-11</v>
      </c>
      <c r="AJ292" s="39">
        <v>1.4206199999999999E-10</v>
      </c>
      <c r="AK292" s="39">
        <v>1.39148E-11</v>
      </c>
      <c r="AL292" s="39">
        <v>6.5110899999999998E-11</v>
      </c>
      <c r="AM292" s="39">
        <v>6.7795800000000006E-11</v>
      </c>
      <c r="AN292" s="39">
        <v>7.2215499999999997E-11</v>
      </c>
    </row>
    <row r="293" spans="1:40" ht="28.15" thickBot="1">
      <c r="A293" s="29" t="s">
        <v>530</v>
      </c>
      <c r="B293" s="30" t="s">
        <v>17</v>
      </c>
      <c r="C293" s="30">
        <v>56</v>
      </c>
      <c r="D293" s="30" t="s">
        <v>41</v>
      </c>
      <c r="E293" s="30">
        <v>1000</v>
      </c>
      <c r="F293" s="30">
        <v>31</v>
      </c>
      <c r="G293" s="30" t="s">
        <v>268</v>
      </c>
      <c r="H293" s="42" t="s">
        <v>25</v>
      </c>
      <c r="I293" s="30" t="s">
        <v>20</v>
      </c>
      <c r="J293" s="40" t="s">
        <v>529</v>
      </c>
      <c r="K293" s="44" t="str">
        <f t="shared" si="62"/>
        <v>lev OK</v>
      </c>
      <c r="L293" s="1">
        <f t="shared" si="63"/>
        <v>42388.548611111109</v>
      </c>
      <c r="M293" s="43"/>
      <c r="N293" s="11">
        <f t="shared" ref="N293:N323" si="64">O293-(L293-P293)*24*Q293</f>
        <v>0.62732624113490953</v>
      </c>
      <c r="O293" s="11">
        <f t="shared" ref="O293:O323" si="65">O292</f>
        <v>0.68100000000000005</v>
      </c>
      <c r="P293" s="1">
        <f t="shared" ref="P293:P323" si="66">P292</f>
        <v>42388.399305555555</v>
      </c>
      <c r="Q293" s="12">
        <f t="shared" ref="Q293:Q323" si="67">Q292</f>
        <v>1.497872340429242E-2</v>
      </c>
      <c r="AC293" s="39">
        <v>2.0984199999999999E-11</v>
      </c>
      <c r="AD293" s="39">
        <v>5.0766899999999997E-11</v>
      </c>
      <c r="AE293" s="39">
        <v>5.88891E-11</v>
      </c>
      <c r="AF293" s="39">
        <v>2.0955299999999999E-11</v>
      </c>
      <c r="AG293" s="39">
        <v>9.7028800000000005E-11</v>
      </c>
      <c r="AH293" s="39">
        <v>5.8465799999999998E-11</v>
      </c>
      <c r="AI293" s="39">
        <v>1.35323E-11</v>
      </c>
      <c r="AJ293" s="39">
        <v>1.1875E-10</v>
      </c>
      <c r="AK293" s="39">
        <v>1.72743E-11</v>
      </c>
      <c r="AL293" s="39">
        <v>5.76343E-11</v>
      </c>
      <c r="AM293" s="39">
        <v>5.9579400000000005E-11</v>
      </c>
      <c r="AN293" s="39">
        <v>6.1637000000000006E-11</v>
      </c>
    </row>
    <row r="294" spans="1:40" ht="28.15" thickBot="1">
      <c r="A294" s="29" t="s">
        <v>531</v>
      </c>
      <c r="B294" s="30" t="s">
        <v>17</v>
      </c>
      <c r="C294" s="30">
        <v>56</v>
      </c>
      <c r="D294" s="30" t="s">
        <v>41</v>
      </c>
      <c r="E294" s="30">
        <v>1000</v>
      </c>
      <c r="F294" s="30">
        <v>32</v>
      </c>
      <c r="G294" s="30" t="s">
        <v>268</v>
      </c>
      <c r="H294" s="42" t="s">
        <v>25</v>
      </c>
      <c r="I294" s="30" t="s">
        <v>20</v>
      </c>
      <c r="J294" s="40" t="s">
        <v>529</v>
      </c>
      <c r="K294" s="44" t="str">
        <f t="shared" si="62"/>
        <v>lev OK</v>
      </c>
      <c r="L294" s="1">
        <f t="shared" si="63"/>
        <v>42388.587500000001</v>
      </c>
      <c r="M294" s="43"/>
      <c r="N294" s="11">
        <f t="shared" si="64"/>
        <v>0.61334609928979889</v>
      </c>
      <c r="O294" s="11">
        <f t="shared" si="65"/>
        <v>0.68100000000000005</v>
      </c>
      <c r="P294" s="1">
        <f t="shared" si="66"/>
        <v>42388.399305555555</v>
      </c>
      <c r="Q294" s="12">
        <f t="shared" si="67"/>
        <v>1.497872340429242E-2</v>
      </c>
      <c r="AC294" s="39">
        <v>2.47994E-11</v>
      </c>
      <c r="AD294" s="39">
        <v>5.7963099999999999E-11</v>
      </c>
      <c r="AE294" s="39">
        <v>7.2845199999999994E-11</v>
      </c>
      <c r="AF294" s="39">
        <v>2.1864900000000001E-11</v>
      </c>
      <c r="AG294" s="39">
        <v>7.6795000000000005E-11</v>
      </c>
      <c r="AH294" s="39">
        <v>7.1244900000000002E-11</v>
      </c>
      <c r="AI294" s="39">
        <v>1.25249E-11</v>
      </c>
      <c r="AJ294" s="39">
        <v>1.88669E-10</v>
      </c>
      <c r="AK294" s="39">
        <v>2.2424999999999999E-11</v>
      </c>
      <c r="AL294" s="39">
        <v>7.2267700000000003E-11</v>
      </c>
      <c r="AM294" s="39">
        <v>7.7931800000000001E-11</v>
      </c>
      <c r="AN294" s="39">
        <v>7.9249799999999999E-11</v>
      </c>
    </row>
    <row r="295" spans="1:40" ht="28.15" thickBot="1">
      <c r="A295" s="29" t="s">
        <v>532</v>
      </c>
      <c r="B295" s="30" t="s">
        <v>17</v>
      </c>
      <c r="C295" s="30">
        <v>56</v>
      </c>
      <c r="D295" s="30" t="s">
        <v>41</v>
      </c>
      <c r="E295" s="30">
        <v>1000</v>
      </c>
      <c r="F295" s="30">
        <v>32</v>
      </c>
      <c r="G295" s="30" t="s">
        <v>268</v>
      </c>
      <c r="H295" s="42" t="s">
        <v>25</v>
      </c>
      <c r="I295" s="30" t="s">
        <v>20</v>
      </c>
      <c r="J295" s="40" t="s">
        <v>529</v>
      </c>
      <c r="K295" s="44" t="str">
        <f t="shared" si="62"/>
        <v>lev OK</v>
      </c>
      <c r="L295" s="1">
        <f t="shared" si="63"/>
        <v>42388.627083333333</v>
      </c>
      <c r="M295" s="43"/>
      <c r="N295" s="11">
        <f t="shared" si="64"/>
        <v>0.59911631205641858</v>
      </c>
      <c r="O295" s="11">
        <f t="shared" si="65"/>
        <v>0.68100000000000005</v>
      </c>
      <c r="P295" s="1">
        <f t="shared" si="66"/>
        <v>42388.399305555555</v>
      </c>
      <c r="Q295" s="12">
        <f t="shared" si="67"/>
        <v>1.497872340429242E-2</v>
      </c>
      <c r="AC295" s="39">
        <v>3.2128299999999998E-11</v>
      </c>
      <c r="AD295" s="39">
        <v>6.9039699999999996E-11</v>
      </c>
      <c r="AE295" s="39">
        <v>1.13106E-10</v>
      </c>
      <c r="AF295" s="39">
        <v>6.6578799999999997E-11</v>
      </c>
      <c r="AG295" s="39">
        <v>1.5130399999999999E-10</v>
      </c>
      <c r="AH295" s="39">
        <v>8.3535799999999996E-11</v>
      </c>
      <c r="AI295" s="39">
        <v>1.64779E-11</v>
      </c>
      <c r="AJ295" s="39">
        <v>2.0197400000000001E-10</v>
      </c>
      <c r="AK295" s="39">
        <v>3.4379800000000003E-11</v>
      </c>
      <c r="AL295" s="39">
        <v>8.0468499999999995E-11</v>
      </c>
      <c r="AM295" s="39">
        <v>8.6682100000000002E-11</v>
      </c>
      <c r="AN295" s="39">
        <v>1.2053E-10</v>
      </c>
    </row>
    <row r="296" spans="1:40" ht="15.75" customHeight="1" thickBot="1">
      <c r="A296" s="29" t="s">
        <v>533</v>
      </c>
      <c r="B296" s="30" t="s">
        <v>17</v>
      </c>
      <c r="C296" s="30">
        <v>56</v>
      </c>
      <c r="D296" s="30" t="s">
        <v>41</v>
      </c>
      <c r="E296" s="30">
        <v>1000</v>
      </c>
      <c r="F296" s="30">
        <v>31</v>
      </c>
      <c r="G296" s="30" t="s">
        <v>268</v>
      </c>
      <c r="H296" s="42" t="s">
        <v>25</v>
      </c>
      <c r="I296" s="30" t="s">
        <v>20</v>
      </c>
      <c r="J296" s="40" t="s">
        <v>529</v>
      </c>
      <c r="K296" s="44" t="str">
        <f t="shared" si="62"/>
        <v>lev OK</v>
      </c>
      <c r="L296" s="1">
        <f t="shared" si="63"/>
        <v>42388.666666666664</v>
      </c>
      <c r="M296" s="43"/>
      <c r="N296" s="11">
        <f t="shared" si="64"/>
        <v>0.58488652482303827</v>
      </c>
      <c r="O296" s="11">
        <f t="shared" si="65"/>
        <v>0.68100000000000005</v>
      </c>
      <c r="P296" s="1">
        <f t="shared" si="66"/>
        <v>42388.399305555555</v>
      </c>
      <c r="Q296" s="12">
        <f t="shared" si="67"/>
        <v>1.497872340429242E-2</v>
      </c>
      <c r="AC296" s="39">
        <v>2.6706799999999998E-11</v>
      </c>
      <c r="AD296" s="39">
        <v>6.1091999999999997E-11</v>
      </c>
      <c r="AE296" s="39">
        <v>6.9427500000000004E-11</v>
      </c>
      <c r="AF296" s="39">
        <v>1.80928E-11</v>
      </c>
      <c r="AG296" s="39">
        <v>7.54921E-11</v>
      </c>
      <c r="AH296" s="39">
        <v>7.6285999999999994E-11</v>
      </c>
      <c r="AI296" s="39">
        <v>1.21058E-11</v>
      </c>
      <c r="AJ296" s="39">
        <v>1.5771299999999999E-10</v>
      </c>
      <c r="AK296" s="39">
        <v>1.3932600000000001E-11</v>
      </c>
      <c r="AL296" s="39">
        <v>7.1630499999999994E-11</v>
      </c>
      <c r="AM296" s="39">
        <v>7.24544E-11</v>
      </c>
      <c r="AN296" s="39">
        <v>7.0394100000000004E-11</v>
      </c>
    </row>
    <row r="297" spans="1:40" ht="28.15" thickBot="1">
      <c r="A297" s="29" t="s">
        <v>534</v>
      </c>
      <c r="B297" s="30" t="s">
        <v>17</v>
      </c>
      <c r="C297" s="30">
        <v>56</v>
      </c>
      <c r="D297" s="30" t="s">
        <v>41</v>
      </c>
      <c r="E297" s="30">
        <v>1000</v>
      </c>
      <c r="F297" s="30">
        <v>31</v>
      </c>
      <c r="G297" s="30" t="s">
        <v>268</v>
      </c>
      <c r="H297" s="42" t="s">
        <v>25</v>
      </c>
      <c r="I297" s="30" t="s">
        <v>20</v>
      </c>
      <c r="J297" s="40" t="s">
        <v>529</v>
      </c>
      <c r="K297" s="44" t="str">
        <f t="shared" si="62"/>
        <v>lev OK</v>
      </c>
      <c r="L297" s="1">
        <f t="shared" si="63"/>
        <v>42388.705555555556</v>
      </c>
      <c r="M297" s="43"/>
      <c r="N297" s="11">
        <f t="shared" si="64"/>
        <v>0.57090638297792762</v>
      </c>
      <c r="O297" s="11">
        <f t="shared" si="65"/>
        <v>0.68100000000000005</v>
      </c>
      <c r="P297" s="1">
        <f t="shared" si="66"/>
        <v>42388.399305555555</v>
      </c>
      <c r="Q297" s="12">
        <f t="shared" si="67"/>
        <v>1.497872340429242E-2</v>
      </c>
      <c r="AC297" s="39">
        <v>2.3386399999999999E-11</v>
      </c>
      <c r="AD297" s="39">
        <v>5.54678E-11</v>
      </c>
      <c r="AE297" s="39">
        <v>7.07191E-11</v>
      </c>
      <c r="AF297" s="39">
        <v>1.76691E-11</v>
      </c>
      <c r="AG297" s="39">
        <v>9.9695100000000004E-11</v>
      </c>
      <c r="AH297" s="39">
        <v>7.3417600000000001E-11</v>
      </c>
      <c r="AI297" s="39">
        <v>1.5220299999999999E-11</v>
      </c>
      <c r="AJ297" s="39">
        <v>1.6319300000000001E-10</v>
      </c>
      <c r="AK297" s="39">
        <v>1.4475E-11</v>
      </c>
      <c r="AL297" s="39">
        <v>6.4074500000000005E-11</v>
      </c>
      <c r="AM297" s="39">
        <v>6.7024199999999999E-11</v>
      </c>
      <c r="AN297" s="39">
        <v>7.0301500000000005E-11</v>
      </c>
    </row>
    <row r="298" spans="1:40" ht="28.15" thickBot="1">
      <c r="A298" s="29" t="s">
        <v>535</v>
      </c>
      <c r="B298" s="30" t="s">
        <v>17</v>
      </c>
      <c r="C298" s="30">
        <v>56</v>
      </c>
      <c r="D298" s="30" t="s">
        <v>41</v>
      </c>
      <c r="E298" s="30">
        <v>1000</v>
      </c>
      <c r="F298" s="30">
        <v>32</v>
      </c>
      <c r="G298" s="30" t="s">
        <v>268</v>
      </c>
      <c r="H298" s="42" t="s">
        <v>25</v>
      </c>
      <c r="I298" s="30" t="s">
        <v>20</v>
      </c>
      <c r="J298" s="40" t="s">
        <v>529</v>
      </c>
      <c r="K298" s="44" t="str">
        <f t="shared" si="62"/>
        <v>lev OK</v>
      </c>
      <c r="L298" s="1">
        <f t="shared" si="63"/>
        <v>42388.745138888888</v>
      </c>
      <c r="M298" s="43"/>
      <c r="N298" s="11">
        <f t="shared" si="64"/>
        <v>0.55667659574454731</v>
      </c>
      <c r="O298" s="11">
        <f t="shared" si="65"/>
        <v>0.68100000000000005</v>
      </c>
      <c r="P298" s="1">
        <f t="shared" si="66"/>
        <v>42388.399305555555</v>
      </c>
      <c r="Q298" s="12">
        <f t="shared" si="67"/>
        <v>1.497872340429242E-2</v>
      </c>
      <c r="AC298" s="39">
        <v>2.25103E-11</v>
      </c>
      <c r="AD298" s="39">
        <v>5.2026299999999997E-11</v>
      </c>
      <c r="AE298" s="39">
        <v>7.8811000000000006E-11</v>
      </c>
      <c r="AF298" s="39">
        <v>5.2746600000000001E-11</v>
      </c>
      <c r="AG298" s="39">
        <v>1.4562999999999999E-10</v>
      </c>
      <c r="AH298" s="39">
        <v>6.13991E-11</v>
      </c>
      <c r="AI298" s="39">
        <v>1.06196E-11</v>
      </c>
      <c r="AJ298" s="39">
        <v>1.6950600000000001E-10</v>
      </c>
      <c r="AK298" s="39">
        <v>1.7653499999999999E-11</v>
      </c>
      <c r="AL298" s="39">
        <v>5.95225E-11</v>
      </c>
      <c r="AM298" s="39">
        <v>5.6462999999999998E-11</v>
      </c>
      <c r="AN298" s="39">
        <v>7.7644500000000003E-11</v>
      </c>
    </row>
    <row r="299" spans="1:40" ht="28.15" thickBot="1">
      <c r="A299" s="29" t="s">
        <v>536</v>
      </c>
      <c r="B299" s="30" t="s">
        <v>17</v>
      </c>
      <c r="C299" s="30">
        <v>56</v>
      </c>
      <c r="D299" s="30" t="s">
        <v>41</v>
      </c>
      <c r="E299" s="30">
        <v>1000</v>
      </c>
      <c r="F299" s="30">
        <v>32</v>
      </c>
      <c r="G299" s="30" t="s">
        <v>268</v>
      </c>
      <c r="H299" s="42" t="s">
        <v>25</v>
      </c>
      <c r="I299" s="30" t="s">
        <v>20</v>
      </c>
      <c r="J299" s="40" t="s">
        <v>529</v>
      </c>
      <c r="K299" s="44" t="str">
        <f t="shared" si="62"/>
        <v>lev OK</v>
      </c>
      <c r="L299" s="1">
        <f t="shared" si="63"/>
        <v>42388.784722222219</v>
      </c>
      <c r="M299" s="43"/>
      <c r="N299" s="11">
        <f t="shared" si="64"/>
        <v>0.542446808511167</v>
      </c>
      <c r="O299" s="11">
        <f t="shared" si="65"/>
        <v>0.68100000000000005</v>
      </c>
      <c r="P299" s="1">
        <f t="shared" si="66"/>
        <v>42388.399305555555</v>
      </c>
      <c r="Q299" s="12">
        <f t="shared" si="67"/>
        <v>1.497872340429242E-2</v>
      </c>
      <c r="AC299" s="39">
        <v>2.2143999999999999E-11</v>
      </c>
      <c r="AD299" s="39">
        <v>5.5284200000000003E-11</v>
      </c>
      <c r="AE299" s="39">
        <v>6.8546799999999999E-11</v>
      </c>
      <c r="AF299" s="39">
        <v>1.5929700000000001E-11</v>
      </c>
      <c r="AG299" s="39">
        <v>7.98264E-11</v>
      </c>
      <c r="AH299" s="39">
        <v>6.4576299999999995E-11</v>
      </c>
      <c r="AI299" s="39">
        <v>1.1027E-11</v>
      </c>
      <c r="AJ299" s="39">
        <v>1.3423699999999999E-10</v>
      </c>
      <c r="AK299" s="39">
        <v>1.29491E-11</v>
      </c>
      <c r="AL299" s="39">
        <v>6.22066E-11</v>
      </c>
      <c r="AM299" s="39">
        <v>6.2719899999999998E-11</v>
      </c>
      <c r="AN299" s="39">
        <v>7.4041699999999996E-11</v>
      </c>
    </row>
    <row r="300" spans="1:40" ht="28.15" thickBot="1">
      <c r="A300" s="29" t="s">
        <v>537</v>
      </c>
      <c r="B300" s="30" t="s">
        <v>17</v>
      </c>
      <c r="C300" s="30">
        <v>56</v>
      </c>
      <c r="D300" s="30" t="s">
        <v>41</v>
      </c>
      <c r="E300" s="30">
        <v>1000</v>
      </c>
      <c r="F300" s="30">
        <v>32</v>
      </c>
      <c r="G300" s="30" t="s">
        <v>268</v>
      </c>
      <c r="H300" s="42" t="s">
        <v>25</v>
      </c>
      <c r="I300" s="30" t="s">
        <v>20</v>
      </c>
      <c r="J300" s="40" t="s">
        <v>529</v>
      </c>
      <c r="K300" s="44" t="str">
        <f t="shared" si="62"/>
        <v>lev OK</v>
      </c>
      <c r="L300" s="1">
        <f t="shared" si="63"/>
        <v>42388.824305555558</v>
      </c>
      <c r="M300" s="43"/>
      <c r="N300" s="11">
        <f t="shared" si="64"/>
        <v>0.52821702127517112</v>
      </c>
      <c r="O300" s="11">
        <f t="shared" si="65"/>
        <v>0.68100000000000005</v>
      </c>
      <c r="P300" s="1">
        <f t="shared" si="66"/>
        <v>42388.399305555555</v>
      </c>
      <c r="Q300" s="12">
        <f t="shared" si="67"/>
        <v>1.497872340429242E-2</v>
      </c>
      <c r="AC300" s="39">
        <v>2.2456399999999999E-11</v>
      </c>
      <c r="AD300" s="39">
        <v>5.3985699999999998E-11</v>
      </c>
      <c r="AE300" s="39">
        <v>6.3289999999999995E-11</v>
      </c>
      <c r="AF300" s="39">
        <v>1.7016100000000001E-11</v>
      </c>
      <c r="AG300" s="39">
        <v>6.4605699999999996E-11</v>
      </c>
      <c r="AH300" s="39">
        <v>6.6278399999999997E-11</v>
      </c>
      <c r="AI300" s="39">
        <v>1.15176E-11</v>
      </c>
      <c r="AJ300" s="39">
        <v>1.3494199999999999E-10</v>
      </c>
      <c r="AK300" s="39">
        <v>1.30699E-11</v>
      </c>
      <c r="AL300" s="39">
        <v>6.3561499999999998E-11</v>
      </c>
      <c r="AM300" s="39">
        <v>6.14585E-11</v>
      </c>
      <c r="AN300" s="39">
        <v>6.1961299999999999E-11</v>
      </c>
    </row>
    <row r="301" spans="1:40" ht="28.15" thickBot="1">
      <c r="A301" s="29" t="s">
        <v>538</v>
      </c>
      <c r="B301" s="30" t="s">
        <v>17</v>
      </c>
      <c r="C301" s="30">
        <v>56</v>
      </c>
      <c r="D301" s="30" t="s">
        <v>41</v>
      </c>
      <c r="E301" s="30">
        <v>1000</v>
      </c>
      <c r="F301" s="30">
        <v>31</v>
      </c>
      <c r="G301" s="30" t="s">
        <v>268</v>
      </c>
      <c r="H301" s="42" t="s">
        <v>25</v>
      </c>
      <c r="I301" s="30" t="s">
        <v>20</v>
      </c>
      <c r="J301" s="40" t="s">
        <v>529</v>
      </c>
      <c r="K301" s="44" t="str">
        <f t="shared" si="62"/>
        <v>lev OK</v>
      </c>
      <c r="L301" s="1">
        <f t="shared" si="63"/>
        <v>42388.863194444442</v>
      </c>
      <c r="M301" s="43"/>
      <c r="N301" s="11">
        <f t="shared" si="64"/>
        <v>0.51423687943267615</v>
      </c>
      <c r="O301" s="11">
        <f t="shared" si="65"/>
        <v>0.68100000000000005</v>
      </c>
      <c r="P301" s="1">
        <f t="shared" si="66"/>
        <v>42388.399305555555</v>
      </c>
      <c r="Q301" s="12">
        <f t="shared" si="67"/>
        <v>1.497872340429242E-2</v>
      </c>
      <c r="AC301" s="39">
        <v>2.6301499999999999E-11</v>
      </c>
      <c r="AD301" s="39">
        <v>6.6350199999999995E-11</v>
      </c>
      <c r="AE301" s="39">
        <v>7.7807099999999994E-11</v>
      </c>
      <c r="AF301" s="39">
        <v>1.8305100000000001E-11</v>
      </c>
      <c r="AG301" s="39">
        <v>8.7358699999999995E-11</v>
      </c>
      <c r="AH301" s="39">
        <v>7.85714E-11</v>
      </c>
      <c r="AI301" s="39">
        <v>1.26123E-11</v>
      </c>
      <c r="AJ301" s="39">
        <v>1.5588000000000001E-10</v>
      </c>
      <c r="AK301" s="39">
        <v>1.38064E-11</v>
      </c>
      <c r="AL301" s="39">
        <v>7.5109800000000001E-11</v>
      </c>
      <c r="AM301" s="39">
        <v>7.9042799999999994E-11</v>
      </c>
      <c r="AN301" s="39">
        <v>8.8974E-11</v>
      </c>
    </row>
    <row r="302" spans="1:40" ht="28.15" thickBot="1">
      <c r="A302" s="29" t="s">
        <v>539</v>
      </c>
      <c r="B302" s="30" t="s">
        <v>17</v>
      </c>
      <c r="C302" s="30">
        <v>56</v>
      </c>
      <c r="D302" s="30" t="s">
        <v>41</v>
      </c>
      <c r="E302" s="30">
        <v>1000</v>
      </c>
      <c r="F302" s="30">
        <v>32</v>
      </c>
      <c r="G302" s="30" t="s">
        <v>268</v>
      </c>
      <c r="H302" s="42" t="s">
        <v>25</v>
      </c>
      <c r="I302" s="30" t="s">
        <v>20</v>
      </c>
      <c r="J302" s="40" t="s">
        <v>529</v>
      </c>
      <c r="K302" s="44" t="str">
        <f t="shared" si="62"/>
        <v>lev OK</v>
      </c>
      <c r="L302" s="1">
        <f t="shared" si="63"/>
        <v>42388.902777777781</v>
      </c>
      <c r="M302" s="43"/>
      <c r="N302" s="11">
        <f t="shared" si="64"/>
        <v>0.50000709219668016</v>
      </c>
      <c r="O302" s="11">
        <f t="shared" si="65"/>
        <v>0.68100000000000005</v>
      </c>
      <c r="P302" s="1">
        <f t="shared" si="66"/>
        <v>42388.399305555555</v>
      </c>
      <c r="Q302" s="12">
        <f t="shared" si="67"/>
        <v>1.497872340429242E-2</v>
      </c>
      <c r="AC302" s="39">
        <v>2.4346199999999999E-11</v>
      </c>
      <c r="AD302" s="39">
        <v>5.5999099999999998E-11</v>
      </c>
      <c r="AE302" s="39">
        <v>6.6537500000000002E-11</v>
      </c>
      <c r="AF302" s="39">
        <v>1.7144E-11</v>
      </c>
      <c r="AG302" s="39">
        <v>6.9246199999999997E-11</v>
      </c>
      <c r="AH302" s="39">
        <v>7.2609500000000004E-11</v>
      </c>
      <c r="AI302" s="39">
        <v>1.2340799999999999E-11</v>
      </c>
      <c r="AJ302" s="39">
        <v>1.4856400000000001E-10</v>
      </c>
      <c r="AK302" s="39">
        <v>1.3671199999999999E-11</v>
      </c>
      <c r="AL302" s="39">
        <v>6.7851399999999997E-11</v>
      </c>
      <c r="AM302" s="39">
        <v>6.7980899999999997E-11</v>
      </c>
      <c r="AN302" s="39">
        <v>7.0801399999999998E-11</v>
      </c>
    </row>
    <row r="303" spans="1:40" ht="28.15" thickBot="1">
      <c r="A303" s="29" t="s">
        <v>540</v>
      </c>
      <c r="B303" s="30" t="s">
        <v>17</v>
      </c>
      <c r="C303" s="30">
        <v>56</v>
      </c>
      <c r="D303" s="30" t="s">
        <v>41</v>
      </c>
      <c r="E303" s="30">
        <v>1000</v>
      </c>
      <c r="F303" s="30">
        <v>31</v>
      </c>
      <c r="G303" s="30" t="s">
        <v>268</v>
      </c>
      <c r="H303" s="42" t="s">
        <v>25</v>
      </c>
      <c r="I303" s="30" t="s">
        <v>20</v>
      </c>
      <c r="J303" s="40" t="s">
        <v>529</v>
      </c>
      <c r="K303" s="44" t="str">
        <f t="shared" si="62"/>
        <v>lev OK</v>
      </c>
      <c r="L303" s="1">
        <f t="shared" si="63"/>
        <v>42388.942361111112</v>
      </c>
      <c r="M303" s="43"/>
      <c r="N303" s="11">
        <f t="shared" si="64"/>
        <v>0.48577730496329985</v>
      </c>
      <c r="O303" s="11">
        <f t="shared" si="65"/>
        <v>0.68100000000000005</v>
      </c>
      <c r="P303" s="1">
        <f t="shared" si="66"/>
        <v>42388.399305555555</v>
      </c>
      <c r="Q303" s="12">
        <f t="shared" si="67"/>
        <v>1.497872340429242E-2</v>
      </c>
      <c r="AC303" s="39">
        <v>2.6745999999999999E-11</v>
      </c>
      <c r="AD303" s="39">
        <v>6.3022799999999994E-11</v>
      </c>
      <c r="AE303" s="39">
        <v>7.4724399999999995E-11</v>
      </c>
      <c r="AF303" s="39">
        <v>1.7797099999999999E-11</v>
      </c>
      <c r="AG303" s="39">
        <v>7.1957799999999999E-11</v>
      </c>
      <c r="AH303" s="39">
        <v>8.0411200000000005E-11</v>
      </c>
      <c r="AI303" s="39">
        <v>1.24083E-11</v>
      </c>
      <c r="AJ303" s="39">
        <v>1.6602900000000001E-10</v>
      </c>
      <c r="AK303" s="39">
        <v>1.34795E-11</v>
      </c>
      <c r="AL303" s="39">
        <v>7.5086300000000006E-11</v>
      </c>
      <c r="AM303" s="39">
        <v>7.40006E-11</v>
      </c>
      <c r="AN303" s="39">
        <v>7.3454300000000003E-11</v>
      </c>
    </row>
    <row r="304" spans="1:40" ht="28.15" thickBot="1">
      <c r="A304" s="29" t="s">
        <v>541</v>
      </c>
      <c r="B304" s="30" t="s">
        <v>17</v>
      </c>
      <c r="C304" s="30">
        <v>56</v>
      </c>
      <c r="D304" s="30" t="s">
        <v>41</v>
      </c>
      <c r="E304" s="30">
        <v>1000</v>
      </c>
      <c r="F304" s="30">
        <v>32</v>
      </c>
      <c r="G304" s="30" t="s">
        <v>268</v>
      </c>
      <c r="H304" s="42" t="s">
        <v>25</v>
      </c>
      <c r="I304" s="30" t="s">
        <v>20</v>
      </c>
      <c r="J304" s="40" t="s">
        <v>529</v>
      </c>
      <c r="K304" s="44" t="str">
        <f t="shared" si="62"/>
        <v>lev OK</v>
      </c>
      <c r="L304" s="1">
        <f t="shared" si="63"/>
        <v>42388.981249999997</v>
      </c>
      <c r="M304" s="43"/>
      <c r="N304" s="11">
        <f t="shared" si="64"/>
        <v>0.47179716312080489</v>
      </c>
      <c r="O304" s="11">
        <f t="shared" si="65"/>
        <v>0.68100000000000005</v>
      </c>
      <c r="P304" s="1">
        <f t="shared" si="66"/>
        <v>42388.399305555555</v>
      </c>
      <c r="Q304" s="12">
        <f t="shared" si="67"/>
        <v>1.497872340429242E-2</v>
      </c>
      <c r="AC304" s="39">
        <v>2.3569500000000001E-11</v>
      </c>
      <c r="AD304" s="39">
        <v>5.5885799999999999E-11</v>
      </c>
      <c r="AE304" s="39">
        <v>6.4304699999999999E-11</v>
      </c>
      <c r="AF304" s="39">
        <v>1.5216499999999999E-11</v>
      </c>
      <c r="AG304" s="39">
        <v>6.49156E-11</v>
      </c>
      <c r="AH304" s="39">
        <v>6.6855900000000001E-11</v>
      </c>
      <c r="AI304" s="39">
        <v>1.08787E-11</v>
      </c>
      <c r="AJ304" s="39">
        <v>1.4178199999999999E-10</v>
      </c>
      <c r="AK304" s="39">
        <v>1.26919E-11</v>
      </c>
      <c r="AL304" s="39">
        <v>6.5286899999999996E-11</v>
      </c>
      <c r="AM304" s="39">
        <v>7.7180900000000001E-11</v>
      </c>
      <c r="AN304" s="39">
        <v>5.9976799999999997E-11</v>
      </c>
    </row>
    <row r="305" spans="1:40" thickBot="1">
      <c r="A305" s="29" t="s">
        <v>542</v>
      </c>
      <c r="B305" s="30" t="s">
        <v>17</v>
      </c>
      <c r="C305" s="30">
        <v>56</v>
      </c>
      <c r="D305" s="30" t="s">
        <v>41</v>
      </c>
      <c r="E305" s="30">
        <v>1000</v>
      </c>
      <c r="F305" s="30">
        <v>31</v>
      </c>
      <c r="G305" s="30" t="s">
        <v>268</v>
      </c>
      <c r="H305" s="42" t="s">
        <v>25</v>
      </c>
      <c r="I305" s="30" t="s">
        <v>20</v>
      </c>
      <c r="J305" s="40" t="s">
        <v>75</v>
      </c>
      <c r="K305" s="44" t="str">
        <f t="shared" si="62"/>
        <v>lev OK</v>
      </c>
      <c r="L305" s="1">
        <f t="shared" si="63"/>
        <v>42389.42291666667</v>
      </c>
      <c r="M305" s="43"/>
      <c r="N305" s="11">
        <f t="shared" si="64"/>
        <v>0.31302269503303837</v>
      </c>
      <c r="O305" s="11">
        <f t="shared" si="65"/>
        <v>0.68100000000000005</v>
      </c>
      <c r="P305" s="1">
        <f t="shared" si="66"/>
        <v>42388.399305555555</v>
      </c>
      <c r="Q305" s="12">
        <f t="shared" si="67"/>
        <v>1.497872340429242E-2</v>
      </c>
      <c r="AC305" s="39">
        <v>6.5589600000000005E-11</v>
      </c>
      <c r="AD305" s="39">
        <v>5.07573E-11</v>
      </c>
      <c r="AE305" s="39">
        <v>7.0271799999999999E-11</v>
      </c>
      <c r="AF305" s="39">
        <v>4.4975700000000002E-11</v>
      </c>
      <c r="AG305" s="39">
        <v>7.4508600000000003E-11</v>
      </c>
      <c r="AH305" s="39">
        <v>7.1797999999999996E-11</v>
      </c>
      <c r="AI305" s="39">
        <v>3.3786500000000003E-11</v>
      </c>
      <c r="AJ305" s="39">
        <v>1.3065900000000001E-10</v>
      </c>
      <c r="AK305" s="39">
        <v>3.6745900000000001E-11</v>
      </c>
      <c r="AL305" s="39">
        <v>5.9461200000000002E-11</v>
      </c>
      <c r="AM305" s="39">
        <v>6.4771600000000006E-11</v>
      </c>
      <c r="AN305" s="39">
        <v>7.7355599999999998E-11</v>
      </c>
    </row>
    <row r="306" spans="1:40" thickBot="1">
      <c r="A306" s="29" t="s">
        <v>543</v>
      </c>
      <c r="B306" s="30" t="s">
        <v>17</v>
      </c>
      <c r="C306" s="30">
        <v>56</v>
      </c>
      <c r="D306" s="30" t="s">
        <v>41</v>
      </c>
      <c r="E306" s="30">
        <v>1000</v>
      </c>
      <c r="F306" s="30">
        <v>32</v>
      </c>
      <c r="G306" s="30" t="s">
        <v>268</v>
      </c>
      <c r="H306" s="42" t="s">
        <v>25</v>
      </c>
      <c r="I306" s="30" t="s">
        <v>20</v>
      </c>
      <c r="J306" s="40" t="s">
        <v>75</v>
      </c>
      <c r="K306" s="44" t="str">
        <f t="shared" si="62"/>
        <v>lev OK</v>
      </c>
      <c r="L306" s="1">
        <f t="shared" si="63"/>
        <v>42389.463194444441</v>
      </c>
      <c r="M306" s="43"/>
      <c r="N306" s="11">
        <f t="shared" si="64"/>
        <v>0.2985432624113884</v>
      </c>
      <c r="O306" s="11">
        <f t="shared" si="65"/>
        <v>0.68100000000000005</v>
      </c>
      <c r="P306" s="1">
        <f t="shared" si="66"/>
        <v>42388.399305555555</v>
      </c>
      <c r="Q306" s="12">
        <f t="shared" si="67"/>
        <v>1.497872340429242E-2</v>
      </c>
      <c r="AC306" s="39">
        <v>5.4278699999999998E-11</v>
      </c>
      <c r="AD306" s="39">
        <v>4.5613900000000001E-11</v>
      </c>
      <c r="AE306" s="39">
        <v>6.1599000000000004E-11</v>
      </c>
      <c r="AF306" s="39">
        <v>5.1898700000000002E-11</v>
      </c>
      <c r="AG306" s="39">
        <v>8.1938700000000003E-11</v>
      </c>
      <c r="AH306" s="39">
        <v>6.32607E-11</v>
      </c>
      <c r="AI306" s="39">
        <v>3.0635499999999997E-11</v>
      </c>
      <c r="AJ306" s="39">
        <v>1.26711E-10</v>
      </c>
      <c r="AK306" s="39">
        <v>3.79446E-11</v>
      </c>
      <c r="AL306" s="39">
        <v>5.3105599999999998E-11</v>
      </c>
      <c r="AM306" s="39">
        <v>5.6771200000000003E-11</v>
      </c>
      <c r="AN306" s="39">
        <v>7.2010800000000002E-11</v>
      </c>
    </row>
    <row r="307" spans="1:40" thickBot="1">
      <c r="A307" s="29" t="s">
        <v>544</v>
      </c>
      <c r="B307" s="30" t="s">
        <v>17</v>
      </c>
      <c r="C307" s="30">
        <v>56</v>
      </c>
      <c r="D307" s="30" t="s">
        <v>41</v>
      </c>
      <c r="E307" s="30">
        <v>1000</v>
      </c>
      <c r="F307" s="30">
        <v>31</v>
      </c>
      <c r="G307" s="30" t="s">
        <v>268</v>
      </c>
      <c r="H307" s="42" t="s">
        <v>19</v>
      </c>
      <c r="I307" s="30" t="s">
        <v>20</v>
      </c>
      <c r="J307" s="40" t="s">
        <v>75</v>
      </c>
      <c r="K307" s="46" t="s">
        <v>402</v>
      </c>
      <c r="L307" s="1">
        <f t="shared" si="63"/>
        <v>42389.723611111112</v>
      </c>
      <c r="M307" s="43"/>
      <c r="N307" s="11">
        <f t="shared" si="64"/>
        <v>0.87377798861459377</v>
      </c>
      <c r="O307" s="11">
        <v>0.89700000000000002</v>
      </c>
      <c r="P307" s="1">
        <v>42389.643055555556</v>
      </c>
      <c r="Q307" s="11">
        <f>(O307-R307)/(S307-P307)/24</f>
        <v>1.2011385199251599E-2</v>
      </c>
      <c r="R307" s="12">
        <v>0.68600000000000005</v>
      </c>
      <c r="S307" s="1">
        <v>42390.375</v>
      </c>
      <c r="AC307" s="39">
        <v>1.2698099999999999E-10</v>
      </c>
      <c r="AD307" s="39">
        <v>1.06901E-10</v>
      </c>
      <c r="AE307" s="39">
        <v>1.1898600000000001E-10</v>
      </c>
      <c r="AF307" s="39">
        <v>7.81923E-11</v>
      </c>
      <c r="AG307" s="39">
        <v>1.13098E-10</v>
      </c>
      <c r="AH307" s="39">
        <v>1.2481399999999999E-10</v>
      </c>
      <c r="AI307" s="39">
        <v>5.4544699999999999E-11</v>
      </c>
      <c r="AJ307" s="39">
        <v>2.2431199999999999E-10</v>
      </c>
      <c r="AK307" s="39">
        <v>5.3854100000000002E-11</v>
      </c>
      <c r="AL307" s="39">
        <v>1.27362E-10</v>
      </c>
      <c r="AM307" s="39">
        <v>1.61499E-10</v>
      </c>
      <c r="AN307" s="39">
        <v>2.0686499999999999E-10</v>
      </c>
    </row>
    <row r="308" spans="1:40" thickBot="1">
      <c r="A308" s="29" t="s">
        <v>545</v>
      </c>
      <c r="B308" s="30" t="s">
        <v>17</v>
      </c>
      <c r="C308" s="30">
        <v>56</v>
      </c>
      <c r="D308" s="30" t="s">
        <v>41</v>
      </c>
      <c r="E308" s="30">
        <v>1000</v>
      </c>
      <c r="F308" s="30">
        <v>32</v>
      </c>
      <c r="G308" s="30" t="s">
        <v>268</v>
      </c>
      <c r="H308" s="42" t="s">
        <v>19</v>
      </c>
      <c r="I308" s="30" t="s">
        <v>20</v>
      </c>
      <c r="J308" s="40" t="s">
        <v>75</v>
      </c>
      <c r="K308" s="46" t="s">
        <v>402</v>
      </c>
      <c r="L308" s="1">
        <f t="shared" si="63"/>
        <v>42389.763194444444</v>
      </c>
      <c r="M308" s="43"/>
      <c r="N308" s="11">
        <f t="shared" si="64"/>
        <v>0.86236717267586416</v>
      </c>
      <c r="O308" s="11">
        <f t="shared" si="65"/>
        <v>0.89700000000000002</v>
      </c>
      <c r="P308" s="1">
        <f t="shared" si="66"/>
        <v>42389.643055555556</v>
      </c>
      <c r="Q308" s="12">
        <f t="shared" si="67"/>
        <v>1.2011385199251599E-2</v>
      </c>
      <c r="AC308" s="39">
        <v>1.2432899999999999E-10</v>
      </c>
      <c r="AD308" s="39">
        <v>1.01505E-10</v>
      </c>
      <c r="AE308" s="39">
        <v>1.1696799999999999E-10</v>
      </c>
      <c r="AF308" s="39">
        <v>7.5808099999999996E-11</v>
      </c>
      <c r="AG308" s="39">
        <v>1.23658E-10</v>
      </c>
      <c r="AH308" s="39">
        <v>1.2341800000000001E-10</v>
      </c>
      <c r="AI308" s="39">
        <v>5.3445300000000001E-11</v>
      </c>
      <c r="AJ308" s="39">
        <v>2.2768099999999999E-10</v>
      </c>
      <c r="AK308" s="39">
        <v>5.25937E-11</v>
      </c>
      <c r="AL308" s="39">
        <v>1.20337E-10</v>
      </c>
      <c r="AM308" s="39">
        <v>1.17089E-10</v>
      </c>
      <c r="AN308" s="39">
        <v>2.45599E-10</v>
      </c>
    </row>
    <row r="309" spans="1:40" thickBot="1">
      <c r="A309" s="29" t="s">
        <v>546</v>
      </c>
      <c r="B309" s="30" t="s">
        <v>17</v>
      </c>
      <c r="C309" s="30">
        <v>56</v>
      </c>
      <c r="D309" s="30" t="s">
        <v>41</v>
      </c>
      <c r="E309" s="30">
        <v>1000</v>
      </c>
      <c r="F309" s="30">
        <v>32</v>
      </c>
      <c r="G309" s="30" t="s">
        <v>268</v>
      </c>
      <c r="H309" s="42" t="s">
        <v>19</v>
      </c>
      <c r="I309" s="30" t="s">
        <v>20</v>
      </c>
      <c r="J309" s="40" t="s">
        <v>75</v>
      </c>
      <c r="K309" s="46" t="s">
        <v>402</v>
      </c>
      <c r="L309" s="1">
        <f t="shared" si="63"/>
        <v>42389.802777777775</v>
      </c>
      <c r="M309" s="43"/>
      <c r="N309" s="11">
        <f t="shared" si="64"/>
        <v>0.85095635673713443</v>
      </c>
      <c r="O309" s="11">
        <f t="shared" si="65"/>
        <v>0.89700000000000002</v>
      </c>
      <c r="P309" s="1">
        <f t="shared" si="66"/>
        <v>42389.643055555556</v>
      </c>
      <c r="Q309" s="12">
        <f t="shared" si="67"/>
        <v>1.2011385199251599E-2</v>
      </c>
      <c r="AC309" s="39">
        <v>1.07123E-10</v>
      </c>
      <c r="AD309" s="39">
        <v>8.9446299999999995E-11</v>
      </c>
      <c r="AE309" s="39">
        <v>1.03668E-10</v>
      </c>
      <c r="AF309" s="39">
        <v>6.4113700000000002E-11</v>
      </c>
      <c r="AG309" s="39">
        <v>1.04224E-10</v>
      </c>
      <c r="AH309" s="39">
        <v>1.05454E-10</v>
      </c>
      <c r="AI309" s="39">
        <v>4.8255499999999997E-11</v>
      </c>
      <c r="AJ309" s="39">
        <v>1.9790099999999999E-10</v>
      </c>
      <c r="AK309" s="39">
        <v>4.9038999999999997E-11</v>
      </c>
      <c r="AL309" s="39">
        <v>1.07762E-10</v>
      </c>
      <c r="AM309" s="39">
        <v>1.1427100000000001E-10</v>
      </c>
      <c r="AN309" s="39">
        <v>1.8090899999999999E-10</v>
      </c>
    </row>
    <row r="310" spans="1:40" thickBot="1">
      <c r="A310" s="29" t="s">
        <v>547</v>
      </c>
      <c r="B310" s="30" t="s">
        <v>17</v>
      </c>
      <c r="C310" s="30">
        <v>56</v>
      </c>
      <c r="D310" s="30" t="s">
        <v>41</v>
      </c>
      <c r="E310" s="30">
        <v>1000</v>
      </c>
      <c r="F310" s="30">
        <v>32</v>
      </c>
      <c r="G310" s="30" t="s">
        <v>268</v>
      </c>
      <c r="H310" s="42" t="s">
        <v>19</v>
      </c>
      <c r="I310" s="30" t="s">
        <v>20</v>
      </c>
      <c r="J310" s="40" t="s">
        <v>75</v>
      </c>
      <c r="K310" s="46" t="s">
        <v>402</v>
      </c>
      <c r="L310" s="1">
        <f t="shared" si="63"/>
        <v>42389.842361111114</v>
      </c>
      <c r="M310" s="43"/>
      <c r="N310" s="11">
        <f t="shared" si="64"/>
        <v>0.83954554079630728</v>
      </c>
      <c r="O310" s="11">
        <f t="shared" si="65"/>
        <v>0.89700000000000002</v>
      </c>
      <c r="P310" s="1">
        <f t="shared" si="66"/>
        <v>42389.643055555556</v>
      </c>
      <c r="Q310" s="12">
        <f t="shared" si="67"/>
        <v>1.2011385199251599E-2</v>
      </c>
      <c r="AC310" s="39">
        <v>1.0824300000000001E-10</v>
      </c>
      <c r="AD310" s="39">
        <v>8.8387200000000004E-11</v>
      </c>
      <c r="AE310" s="39">
        <v>9.8812100000000003E-11</v>
      </c>
      <c r="AF310" s="39">
        <v>6.5748000000000001E-11</v>
      </c>
      <c r="AG310" s="39">
        <v>1.09101E-10</v>
      </c>
      <c r="AH310" s="39">
        <v>1.0950400000000001E-10</v>
      </c>
      <c r="AI310" s="39">
        <v>4.7010499999999999E-11</v>
      </c>
      <c r="AJ310" s="39">
        <v>2.0265299999999999E-10</v>
      </c>
      <c r="AK310" s="39">
        <v>5.0018599999999999E-11</v>
      </c>
      <c r="AL310" s="39">
        <v>1.06356E-10</v>
      </c>
      <c r="AM310" s="39">
        <v>1.00786E-10</v>
      </c>
      <c r="AN310" s="39">
        <v>2.5021999999999999E-10</v>
      </c>
    </row>
    <row r="311" spans="1:40" thickBot="1">
      <c r="A311" s="29" t="s">
        <v>548</v>
      </c>
      <c r="B311" s="30" t="s">
        <v>17</v>
      </c>
      <c r="C311" s="30">
        <v>56</v>
      </c>
      <c r="D311" s="30" t="s">
        <v>41</v>
      </c>
      <c r="E311" s="30">
        <v>1000</v>
      </c>
      <c r="F311" s="30">
        <v>32</v>
      </c>
      <c r="G311" s="30" t="s">
        <v>268</v>
      </c>
      <c r="H311" s="42" t="s">
        <v>19</v>
      </c>
      <c r="I311" s="30" t="s">
        <v>20</v>
      </c>
      <c r="J311" s="40" t="s">
        <v>75</v>
      </c>
      <c r="K311" s="46" t="s">
        <v>402</v>
      </c>
      <c r="L311" s="1">
        <f t="shared" si="63"/>
        <v>42389.881944444445</v>
      </c>
      <c r="M311" s="43"/>
      <c r="N311" s="11">
        <f t="shared" si="64"/>
        <v>0.82813472485757755</v>
      </c>
      <c r="O311" s="11">
        <f t="shared" si="65"/>
        <v>0.89700000000000002</v>
      </c>
      <c r="P311" s="1">
        <f t="shared" si="66"/>
        <v>42389.643055555556</v>
      </c>
      <c r="Q311" s="12">
        <f t="shared" si="67"/>
        <v>1.2011385199251599E-2</v>
      </c>
      <c r="AC311" s="39">
        <v>8.9126799999999995E-11</v>
      </c>
      <c r="AD311" s="39">
        <v>7.2384100000000001E-11</v>
      </c>
      <c r="AE311" s="39">
        <v>8.5704699999999998E-11</v>
      </c>
      <c r="AF311" s="39">
        <v>6.2734899999999998E-11</v>
      </c>
      <c r="AG311" s="39">
        <v>9.6877400000000004E-11</v>
      </c>
      <c r="AH311" s="39">
        <v>9.6608599999999996E-11</v>
      </c>
      <c r="AI311" s="39">
        <v>4.14001E-11</v>
      </c>
      <c r="AJ311" s="39">
        <v>1.70526E-10</v>
      </c>
      <c r="AK311" s="39">
        <v>4.54965E-11</v>
      </c>
      <c r="AL311" s="39">
        <v>8.8047199999999995E-11</v>
      </c>
      <c r="AM311" s="39">
        <v>8.7062700000000002E-11</v>
      </c>
      <c r="AN311" s="39">
        <v>1.3182899999999999E-10</v>
      </c>
    </row>
    <row r="312" spans="1:40" thickBot="1">
      <c r="A312" s="29" t="s">
        <v>549</v>
      </c>
      <c r="B312" s="30" t="s">
        <v>17</v>
      </c>
      <c r="C312" s="30">
        <v>56</v>
      </c>
      <c r="D312" s="30" t="s">
        <v>41</v>
      </c>
      <c r="E312" s="30">
        <v>1000</v>
      </c>
      <c r="F312" s="30">
        <v>32</v>
      </c>
      <c r="G312" s="30" t="s">
        <v>268</v>
      </c>
      <c r="H312" s="42" t="s">
        <v>19</v>
      </c>
      <c r="I312" s="30" t="s">
        <v>20</v>
      </c>
      <c r="J312" s="40" t="s">
        <v>75</v>
      </c>
      <c r="K312" s="46" t="s">
        <v>402</v>
      </c>
      <c r="L312" s="1">
        <f t="shared" si="63"/>
        <v>42389.921527777777</v>
      </c>
      <c r="M312" s="43"/>
      <c r="N312" s="11">
        <f t="shared" si="64"/>
        <v>0.81672390891884783</v>
      </c>
      <c r="O312" s="11">
        <f t="shared" si="65"/>
        <v>0.89700000000000002</v>
      </c>
      <c r="P312" s="1">
        <f t="shared" si="66"/>
        <v>42389.643055555556</v>
      </c>
      <c r="Q312" s="12">
        <f t="shared" si="67"/>
        <v>1.2011385199251599E-2</v>
      </c>
      <c r="AC312" s="39">
        <v>1.2329500000000001E-10</v>
      </c>
      <c r="AD312" s="39">
        <v>1.00262E-10</v>
      </c>
      <c r="AE312" s="39">
        <v>1.16041E-10</v>
      </c>
      <c r="AF312" s="39">
        <v>8.6363100000000005E-11</v>
      </c>
      <c r="AG312" s="39">
        <v>1.30055E-10</v>
      </c>
      <c r="AH312" s="39">
        <v>1.3114700000000001E-10</v>
      </c>
      <c r="AI312" s="39">
        <v>7.4244799999999999E-11</v>
      </c>
      <c r="AJ312" s="39">
        <v>2.3230899999999999E-10</v>
      </c>
      <c r="AK312" s="39">
        <v>7.72928E-11</v>
      </c>
      <c r="AL312" s="39">
        <v>1.2141100000000001E-10</v>
      </c>
      <c r="AM312" s="39">
        <v>1.1661700000000001E-10</v>
      </c>
      <c r="AN312" s="39">
        <v>2.20227E-10</v>
      </c>
    </row>
    <row r="313" spans="1:40" thickBot="1">
      <c r="A313" s="29" t="s">
        <v>550</v>
      </c>
      <c r="B313" s="30" t="s">
        <v>17</v>
      </c>
      <c r="C313" s="30">
        <v>56</v>
      </c>
      <c r="D313" s="30" t="s">
        <v>41</v>
      </c>
      <c r="E313" s="30">
        <v>1000</v>
      </c>
      <c r="F313" s="30">
        <v>31</v>
      </c>
      <c r="G313" s="30" t="s">
        <v>268</v>
      </c>
      <c r="H313" s="42" t="s">
        <v>19</v>
      </c>
      <c r="I313" s="30" t="s">
        <v>20</v>
      </c>
      <c r="J313" s="40" t="s">
        <v>75</v>
      </c>
      <c r="K313" s="46" t="s">
        <v>402</v>
      </c>
      <c r="L313" s="1">
        <f t="shared" si="63"/>
        <v>42389.960416666669</v>
      </c>
      <c r="M313" s="43"/>
      <c r="N313" s="11">
        <f t="shared" si="64"/>
        <v>0.80551328273199418</v>
      </c>
      <c r="O313" s="11">
        <f t="shared" si="65"/>
        <v>0.89700000000000002</v>
      </c>
      <c r="P313" s="1">
        <f t="shared" si="66"/>
        <v>42389.643055555556</v>
      </c>
      <c r="Q313" s="12">
        <f t="shared" si="67"/>
        <v>1.2011385199251599E-2</v>
      </c>
      <c r="AC313" s="39">
        <v>8.8546799999999995E-11</v>
      </c>
      <c r="AD313" s="39">
        <v>7.16752E-11</v>
      </c>
      <c r="AE313" s="39">
        <v>8.3238300000000002E-11</v>
      </c>
      <c r="AF313" s="39">
        <v>5.4784499999999997E-11</v>
      </c>
      <c r="AG313" s="39">
        <v>9.1960199999999997E-11</v>
      </c>
      <c r="AH313" s="39">
        <v>9.2269900000000002E-11</v>
      </c>
      <c r="AI313" s="39">
        <v>3.9738099999999998E-11</v>
      </c>
      <c r="AJ313" s="39">
        <v>1.67564E-10</v>
      </c>
      <c r="AK313" s="39">
        <v>4.3941000000000001E-11</v>
      </c>
      <c r="AL313" s="39">
        <v>8.4839200000000005E-11</v>
      </c>
      <c r="AM313" s="39">
        <v>8.2773200000000001E-11</v>
      </c>
      <c r="AN313" s="39">
        <v>1.6233199999999999E-10</v>
      </c>
    </row>
    <row r="314" spans="1:40" thickBot="1">
      <c r="A314" s="29" t="s">
        <v>551</v>
      </c>
      <c r="B314" s="30" t="s">
        <v>17</v>
      </c>
      <c r="C314" s="30">
        <v>56</v>
      </c>
      <c r="D314" s="30" t="s">
        <v>41</v>
      </c>
      <c r="E314" s="30">
        <v>1000</v>
      </c>
      <c r="F314" s="30">
        <v>31</v>
      </c>
      <c r="G314" s="30" t="s">
        <v>268</v>
      </c>
      <c r="H314" s="42" t="s">
        <v>19</v>
      </c>
      <c r="I314" s="30" t="s">
        <v>20</v>
      </c>
      <c r="J314" s="40" t="s">
        <v>75</v>
      </c>
      <c r="K314" s="46" t="s">
        <v>402</v>
      </c>
      <c r="L314" s="1">
        <f t="shared" si="63"/>
        <v>42390</v>
      </c>
      <c r="M314" s="43"/>
      <c r="N314" s="11">
        <f t="shared" si="64"/>
        <v>0.79410246679326446</v>
      </c>
      <c r="O314" s="11">
        <f t="shared" si="65"/>
        <v>0.89700000000000002</v>
      </c>
      <c r="P314" s="1">
        <f t="shared" si="66"/>
        <v>42389.643055555556</v>
      </c>
      <c r="Q314" s="12">
        <f t="shared" si="67"/>
        <v>1.2011385199251599E-2</v>
      </c>
      <c r="AC314" s="39">
        <v>9.0069300000000002E-11</v>
      </c>
      <c r="AD314" s="39">
        <v>7.4131200000000001E-11</v>
      </c>
      <c r="AE314" s="39">
        <v>8.69979E-11</v>
      </c>
      <c r="AF314" s="39">
        <v>5.5735699999999999E-11</v>
      </c>
      <c r="AG314" s="39">
        <v>9.5847300000000003E-11</v>
      </c>
      <c r="AH314" s="39">
        <v>1.0243200000000001E-10</v>
      </c>
      <c r="AI314" s="39">
        <v>3.9376799999999998E-11</v>
      </c>
      <c r="AJ314" s="39">
        <v>1.74353E-10</v>
      </c>
      <c r="AK314" s="39">
        <v>4.5206799999999999E-11</v>
      </c>
      <c r="AL314" s="39">
        <v>9.00429E-11</v>
      </c>
      <c r="AM314" s="39">
        <v>8.4561399999999997E-11</v>
      </c>
      <c r="AN314" s="39">
        <v>1.7124599999999999E-10</v>
      </c>
    </row>
    <row r="315" spans="1:40" thickBot="1">
      <c r="A315" s="29" t="s">
        <v>552</v>
      </c>
      <c r="B315" s="30" t="s">
        <v>17</v>
      </c>
      <c r="C315" s="30">
        <v>56</v>
      </c>
      <c r="D315" s="30" t="s">
        <v>41</v>
      </c>
      <c r="E315" s="30">
        <v>1000</v>
      </c>
      <c r="F315" s="30">
        <v>31</v>
      </c>
      <c r="G315" s="30" t="s">
        <v>268</v>
      </c>
      <c r="H315" s="42" t="s">
        <v>19</v>
      </c>
      <c r="I315" s="30" t="s">
        <v>20</v>
      </c>
      <c r="J315" s="40" t="s">
        <v>75</v>
      </c>
      <c r="K315" s="46" t="s">
        <v>402</v>
      </c>
      <c r="L315" s="1">
        <f t="shared" si="63"/>
        <v>42390.039583333331</v>
      </c>
      <c r="M315" s="43"/>
      <c r="N315" s="11">
        <f t="shared" si="64"/>
        <v>0.78269165085453474</v>
      </c>
      <c r="O315" s="11">
        <f t="shared" si="65"/>
        <v>0.89700000000000002</v>
      </c>
      <c r="P315" s="1">
        <f t="shared" si="66"/>
        <v>42389.643055555556</v>
      </c>
      <c r="Q315" s="12">
        <f t="shared" si="67"/>
        <v>1.2011385199251599E-2</v>
      </c>
      <c r="AC315" s="39">
        <v>9.9796300000000004E-11</v>
      </c>
      <c r="AD315" s="39">
        <v>8.2099700000000001E-11</v>
      </c>
      <c r="AE315" s="39">
        <v>9.0432800000000005E-11</v>
      </c>
      <c r="AF315" s="39">
        <v>6.9279800000000006E-11</v>
      </c>
      <c r="AG315" s="39">
        <v>1.00086E-10</v>
      </c>
      <c r="AH315" s="39">
        <v>1.08253E-10</v>
      </c>
      <c r="AI315" s="39">
        <v>4.46833E-11</v>
      </c>
      <c r="AJ315" s="39">
        <v>1.90652E-10</v>
      </c>
      <c r="AK315" s="39">
        <v>4.58862E-11</v>
      </c>
      <c r="AL315" s="39">
        <v>9.7892799999999998E-11</v>
      </c>
      <c r="AM315" s="39">
        <v>9.5634099999999999E-11</v>
      </c>
      <c r="AN315" s="39">
        <v>2.5469599999999998E-10</v>
      </c>
    </row>
    <row r="316" spans="1:40" thickBot="1">
      <c r="A316" s="29" t="s">
        <v>553</v>
      </c>
      <c r="B316" s="30" t="s">
        <v>17</v>
      </c>
      <c r="C316" s="30">
        <v>56</v>
      </c>
      <c r="D316" s="30" t="s">
        <v>41</v>
      </c>
      <c r="E316" s="30">
        <v>1000</v>
      </c>
      <c r="F316" s="30">
        <v>31</v>
      </c>
      <c r="G316" s="30" t="s">
        <v>268</v>
      </c>
      <c r="H316" s="42" t="s">
        <v>19</v>
      </c>
      <c r="I316" s="30" t="s">
        <v>20</v>
      </c>
      <c r="J316" s="40" t="s">
        <v>75</v>
      </c>
      <c r="K316" s="46" t="s">
        <v>402</v>
      </c>
      <c r="L316" s="1">
        <f t="shared" si="63"/>
        <v>42390.07916666667</v>
      </c>
      <c r="M316" s="43"/>
      <c r="N316" s="11">
        <f t="shared" si="64"/>
        <v>0.77128083491370758</v>
      </c>
      <c r="O316" s="11">
        <f t="shared" si="65"/>
        <v>0.89700000000000002</v>
      </c>
      <c r="P316" s="1">
        <f t="shared" si="66"/>
        <v>42389.643055555556</v>
      </c>
      <c r="Q316" s="12">
        <f t="shared" si="67"/>
        <v>1.2011385199251599E-2</v>
      </c>
      <c r="AC316" s="39">
        <v>9.4874900000000002E-11</v>
      </c>
      <c r="AD316" s="39">
        <v>7.5424299999999997E-11</v>
      </c>
      <c r="AE316" s="39">
        <v>8.5947999999999994E-11</v>
      </c>
      <c r="AF316" s="39">
        <v>6.1217100000000003E-11</v>
      </c>
      <c r="AG316" s="39">
        <v>8.7122500000000001E-11</v>
      </c>
      <c r="AH316" s="39">
        <v>9.3533399999999997E-11</v>
      </c>
      <c r="AI316" s="39">
        <v>4.0936399999999999E-11</v>
      </c>
      <c r="AJ316" s="39">
        <v>1.7490300000000001E-10</v>
      </c>
      <c r="AK316" s="39">
        <v>4.5917499999999999E-11</v>
      </c>
      <c r="AL316" s="39">
        <v>9.4024599999999995E-11</v>
      </c>
      <c r="AM316" s="39">
        <v>8.8073700000000003E-11</v>
      </c>
      <c r="AN316" s="39">
        <v>1.8949900000000001E-10</v>
      </c>
    </row>
    <row r="317" spans="1:40" thickBot="1">
      <c r="A317" s="29" t="s">
        <v>554</v>
      </c>
      <c r="B317" s="30" t="s">
        <v>17</v>
      </c>
      <c r="C317" s="30">
        <v>56</v>
      </c>
      <c r="D317" s="30" t="s">
        <v>41</v>
      </c>
      <c r="E317" s="30">
        <v>1000</v>
      </c>
      <c r="F317" s="30">
        <v>32</v>
      </c>
      <c r="G317" s="30" t="s">
        <v>268</v>
      </c>
      <c r="H317" s="42" t="s">
        <v>19</v>
      </c>
      <c r="I317" s="30" t="s">
        <v>20</v>
      </c>
      <c r="J317" s="40" t="s">
        <v>75</v>
      </c>
      <c r="K317" s="46" t="s">
        <v>402</v>
      </c>
      <c r="L317" s="1">
        <f t="shared" si="63"/>
        <v>42390.118055555555</v>
      </c>
      <c r="M317" s="43"/>
      <c r="N317" s="11">
        <f t="shared" si="64"/>
        <v>0.76007020872895126</v>
      </c>
      <c r="O317" s="11">
        <f t="shared" si="65"/>
        <v>0.89700000000000002</v>
      </c>
      <c r="P317" s="1">
        <f t="shared" si="66"/>
        <v>42389.643055555556</v>
      </c>
      <c r="Q317" s="12">
        <f t="shared" si="67"/>
        <v>1.2011385199251599E-2</v>
      </c>
      <c r="AC317" s="39">
        <v>1.01473E-10</v>
      </c>
      <c r="AD317" s="39">
        <v>8.3999700000000002E-11</v>
      </c>
      <c r="AE317" s="39">
        <v>9.5821400000000005E-11</v>
      </c>
      <c r="AF317" s="39">
        <v>6.5825999999999998E-11</v>
      </c>
      <c r="AG317" s="39">
        <v>1.0915000000000001E-10</v>
      </c>
      <c r="AH317" s="39">
        <v>1.12377E-10</v>
      </c>
      <c r="AI317" s="39">
        <v>4.51158E-11</v>
      </c>
      <c r="AJ317" s="39">
        <v>1.93219E-10</v>
      </c>
      <c r="AK317" s="39">
        <v>4.98458E-11</v>
      </c>
      <c r="AL317" s="39">
        <v>1.01547E-10</v>
      </c>
      <c r="AM317" s="39">
        <v>9.7557300000000002E-11</v>
      </c>
      <c r="AN317" s="39">
        <v>1.9794800000000001E-10</v>
      </c>
    </row>
    <row r="318" spans="1:40" thickBot="1">
      <c r="A318" s="29" t="s">
        <v>555</v>
      </c>
      <c r="B318" s="30" t="s">
        <v>17</v>
      </c>
      <c r="C318" s="30">
        <v>56</v>
      </c>
      <c r="D318" s="30" t="s">
        <v>41</v>
      </c>
      <c r="E318" s="30">
        <v>1000</v>
      </c>
      <c r="F318" s="30">
        <v>31</v>
      </c>
      <c r="G318" s="30" t="s">
        <v>268</v>
      </c>
      <c r="H318" s="42" t="s">
        <v>19</v>
      </c>
      <c r="I318" s="30" t="s">
        <v>20</v>
      </c>
      <c r="J318" s="40" t="s">
        <v>75</v>
      </c>
      <c r="K318" s="46" t="s">
        <v>402</v>
      </c>
      <c r="L318" s="1">
        <f t="shared" si="63"/>
        <v>42390.157638888886</v>
      </c>
      <c r="M318" s="43"/>
      <c r="N318" s="11">
        <f t="shared" si="64"/>
        <v>0.74865939279022164</v>
      </c>
      <c r="O318" s="11">
        <f t="shared" si="65"/>
        <v>0.89700000000000002</v>
      </c>
      <c r="P318" s="1">
        <f t="shared" si="66"/>
        <v>42389.643055555556</v>
      </c>
      <c r="Q318" s="12">
        <f t="shared" si="67"/>
        <v>1.2011385199251599E-2</v>
      </c>
      <c r="AC318" s="39">
        <v>1.0834400000000001E-10</v>
      </c>
      <c r="AD318" s="39">
        <v>8.6262500000000003E-11</v>
      </c>
      <c r="AE318" s="39">
        <v>1.0487E-10</v>
      </c>
      <c r="AF318" s="39">
        <v>6.5790999999999995E-11</v>
      </c>
      <c r="AG318" s="39">
        <v>1.08589E-10</v>
      </c>
      <c r="AH318" s="39">
        <v>1.26533E-10</v>
      </c>
      <c r="AI318" s="39">
        <v>7.3243599999999995E-11</v>
      </c>
      <c r="AJ318" s="39">
        <v>2.0077500000000001E-10</v>
      </c>
      <c r="AK318" s="39">
        <v>6.1760200000000001E-11</v>
      </c>
      <c r="AL318" s="39">
        <v>1.02392E-10</v>
      </c>
      <c r="AM318" s="39">
        <v>1.06483E-10</v>
      </c>
      <c r="AN318" s="39">
        <v>1.53381E-10</v>
      </c>
    </row>
    <row r="319" spans="1:40" ht="15.75" customHeight="1" thickBot="1">
      <c r="A319" s="29" t="s">
        <v>556</v>
      </c>
      <c r="B319" s="30" t="s">
        <v>17</v>
      </c>
      <c r="C319" s="30">
        <v>56</v>
      </c>
      <c r="D319" s="30" t="s">
        <v>41</v>
      </c>
      <c r="E319" s="30">
        <v>1000</v>
      </c>
      <c r="F319" s="30">
        <v>31</v>
      </c>
      <c r="G319" s="30" t="s">
        <v>268</v>
      </c>
      <c r="H319" s="42" t="s">
        <v>19</v>
      </c>
      <c r="I319" s="30" t="s">
        <v>20</v>
      </c>
      <c r="J319" s="40" t="s">
        <v>75</v>
      </c>
      <c r="K319" s="46" t="s">
        <v>402</v>
      </c>
      <c r="L319" s="1">
        <f t="shared" si="63"/>
        <v>42390.197222222225</v>
      </c>
      <c r="M319" s="43"/>
      <c r="N319" s="11">
        <f t="shared" si="64"/>
        <v>0.73724857684939438</v>
      </c>
      <c r="O319" s="11">
        <f t="shared" si="65"/>
        <v>0.89700000000000002</v>
      </c>
      <c r="P319" s="1">
        <f t="shared" si="66"/>
        <v>42389.643055555556</v>
      </c>
      <c r="Q319" s="12">
        <f t="shared" si="67"/>
        <v>1.2011385199251599E-2</v>
      </c>
      <c r="AC319" s="39">
        <v>9.9077699999999999E-11</v>
      </c>
      <c r="AD319" s="39">
        <v>8.0523800000000006E-11</v>
      </c>
      <c r="AE319" s="39">
        <v>9.3265300000000006E-11</v>
      </c>
      <c r="AF319" s="39">
        <v>6.2168700000000003E-11</v>
      </c>
      <c r="AG319" s="39">
        <v>1.0328E-10</v>
      </c>
      <c r="AH319" s="39">
        <v>1.07358E-10</v>
      </c>
      <c r="AI319" s="39">
        <v>4.4292000000000001E-11</v>
      </c>
      <c r="AJ319" s="39">
        <v>1.9019299999999999E-10</v>
      </c>
      <c r="AK319" s="39">
        <v>4.89031E-11</v>
      </c>
      <c r="AL319" s="39">
        <v>9.8294700000000003E-11</v>
      </c>
      <c r="AM319" s="39">
        <v>9.1316800000000002E-11</v>
      </c>
      <c r="AN319" s="39">
        <v>1.7012E-10</v>
      </c>
    </row>
    <row r="320" spans="1:40" thickBot="1">
      <c r="A320" s="29" t="s">
        <v>557</v>
      </c>
      <c r="B320" s="30" t="s">
        <v>17</v>
      </c>
      <c r="C320" s="30">
        <v>56</v>
      </c>
      <c r="D320" s="30" t="s">
        <v>41</v>
      </c>
      <c r="E320" s="30">
        <v>1000</v>
      </c>
      <c r="F320" s="30">
        <v>31</v>
      </c>
      <c r="G320" s="30" t="s">
        <v>268</v>
      </c>
      <c r="H320" s="42" t="s">
        <v>19</v>
      </c>
      <c r="I320" s="30" t="s">
        <v>20</v>
      </c>
      <c r="J320" s="40" t="s">
        <v>75</v>
      </c>
      <c r="K320" s="46" t="s">
        <v>402</v>
      </c>
      <c r="L320" s="1">
        <f t="shared" si="63"/>
        <v>42390.236111111109</v>
      </c>
      <c r="M320" s="43"/>
      <c r="N320" s="11">
        <f t="shared" si="64"/>
        <v>0.72603795066463817</v>
      </c>
      <c r="O320" s="11">
        <f t="shared" si="65"/>
        <v>0.89700000000000002</v>
      </c>
      <c r="P320" s="1">
        <f t="shared" si="66"/>
        <v>42389.643055555556</v>
      </c>
      <c r="Q320" s="12">
        <f t="shared" si="67"/>
        <v>1.2011385199251599E-2</v>
      </c>
      <c r="AC320" s="39">
        <v>1.09984E-10</v>
      </c>
      <c r="AD320" s="39">
        <v>9.0472400000000001E-11</v>
      </c>
      <c r="AE320" s="39">
        <v>1.04305E-10</v>
      </c>
      <c r="AF320" s="39">
        <v>6.7499900000000006E-11</v>
      </c>
      <c r="AG320" s="39">
        <v>1.1255500000000001E-10</v>
      </c>
      <c r="AH320" s="39">
        <v>1.15244E-10</v>
      </c>
      <c r="AI320" s="39">
        <v>4.8120199999999997E-11</v>
      </c>
      <c r="AJ320" s="39">
        <v>2.0873000000000001E-10</v>
      </c>
      <c r="AK320" s="39">
        <v>5.3525400000000002E-11</v>
      </c>
      <c r="AL320" s="39">
        <v>1.0844199999999999E-10</v>
      </c>
      <c r="AM320" s="39">
        <v>1.03801E-10</v>
      </c>
      <c r="AN320" s="39">
        <v>2.5220500000000001E-10</v>
      </c>
    </row>
    <row r="321" spans="1:40" thickBot="1">
      <c r="A321" s="29" t="s">
        <v>558</v>
      </c>
      <c r="B321" s="30" t="s">
        <v>17</v>
      </c>
      <c r="C321" s="30">
        <v>56</v>
      </c>
      <c r="D321" s="30" t="s">
        <v>41</v>
      </c>
      <c r="E321" s="30">
        <v>1000</v>
      </c>
      <c r="F321" s="30">
        <v>31</v>
      </c>
      <c r="G321" s="30" t="s">
        <v>268</v>
      </c>
      <c r="H321" s="42" t="s">
        <v>19</v>
      </c>
      <c r="I321" s="30" t="s">
        <v>20</v>
      </c>
      <c r="J321" s="40" t="s">
        <v>75</v>
      </c>
      <c r="K321" s="46" t="s">
        <v>402</v>
      </c>
      <c r="L321" s="1">
        <f t="shared" si="63"/>
        <v>42390.275694444441</v>
      </c>
      <c r="M321" s="43"/>
      <c r="N321" s="11">
        <f t="shared" si="64"/>
        <v>0.71462713472590844</v>
      </c>
      <c r="O321" s="11">
        <f t="shared" si="65"/>
        <v>0.89700000000000002</v>
      </c>
      <c r="P321" s="1">
        <f t="shared" si="66"/>
        <v>42389.643055555556</v>
      </c>
      <c r="Q321" s="12">
        <f t="shared" si="67"/>
        <v>1.2011385199251599E-2</v>
      </c>
      <c r="AC321" s="39">
        <v>1.14373E-10</v>
      </c>
      <c r="AD321" s="39">
        <v>9.3029400000000003E-11</v>
      </c>
      <c r="AE321" s="39">
        <v>1.02537E-10</v>
      </c>
      <c r="AF321" s="39">
        <v>7.7135E-11</v>
      </c>
      <c r="AG321" s="39">
        <v>1.11017E-10</v>
      </c>
      <c r="AH321" s="39">
        <v>1.2916199999999999E-10</v>
      </c>
      <c r="AI321" s="39">
        <v>5.0997700000000002E-11</v>
      </c>
      <c r="AJ321" s="39">
        <v>2.1145400000000001E-10</v>
      </c>
      <c r="AK321" s="39">
        <v>5.22486E-11</v>
      </c>
      <c r="AL321" s="39">
        <v>1.1178E-10</v>
      </c>
      <c r="AM321" s="39">
        <v>1.08694E-10</v>
      </c>
      <c r="AN321" s="39">
        <v>2.3534099999999999E-10</v>
      </c>
    </row>
    <row r="322" spans="1:40" thickBot="1">
      <c r="A322" s="29" t="s">
        <v>559</v>
      </c>
      <c r="B322" s="30" t="s">
        <v>17</v>
      </c>
      <c r="C322" s="30">
        <v>56</v>
      </c>
      <c r="D322" s="30" t="s">
        <v>41</v>
      </c>
      <c r="E322" s="30">
        <v>1000</v>
      </c>
      <c r="F322" s="30">
        <v>31</v>
      </c>
      <c r="G322" s="30" t="s">
        <v>268</v>
      </c>
      <c r="H322" s="42" t="s">
        <v>19</v>
      </c>
      <c r="I322" s="30" t="s">
        <v>20</v>
      </c>
      <c r="J322" s="40" t="s">
        <v>75</v>
      </c>
      <c r="K322" s="46" t="s">
        <v>402</v>
      </c>
      <c r="L322" s="1">
        <f t="shared" si="63"/>
        <v>42390.31527777778</v>
      </c>
      <c r="M322" s="43"/>
      <c r="N322" s="11">
        <f t="shared" si="64"/>
        <v>0.70321631878508128</v>
      </c>
      <c r="O322" s="11">
        <f t="shared" si="65"/>
        <v>0.89700000000000002</v>
      </c>
      <c r="P322" s="1">
        <f t="shared" si="66"/>
        <v>42389.643055555556</v>
      </c>
      <c r="Q322" s="12">
        <f t="shared" si="67"/>
        <v>1.2011385199251599E-2</v>
      </c>
      <c r="AC322" s="39">
        <v>8.5280900000000004E-11</v>
      </c>
      <c r="AD322" s="39">
        <v>7.0805600000000005E-11</v>
      </c>
      <c r="AE322" s="39">
        <v>8.3787200000000001E-11</v>
      </c>
      <c r="AF322" s="39">
        <v>5.3336700000000002E-11</v>
      </c>
      <c r="AG322" s="39">
        <v>8.6304199999999997E-11</v>
      </c>
      <c r="AH322" s="39">
        <v>8.9749899999999994E-11</v>
      </c>
      <c r="AI322" s="39">
        <v>3.9596200000000001E-11</v>
      </c>
      <c r="AJ322" s="39">
        <v>1.6269000000000001E-10</v>
      </c>
      <c r="AK322" s="39">
        <v>4.4165400000000002E-11</v>
      </c>
      <c r="AL322" s="39">
        <v>8.8434600000000004E-11</v>
      </c>
      <c r="AM322" s="39">
        <v>8.1138700000000003E-11</v>
      </c>
      <c r="AN322" s="39">
        <v>1.6439299999999999E-10</v>
      </c>
    </row>
    <row r="323" spans="1:40" thickBot="1">
      <c r="A323" s="29" t="s">
        <v>560</v>
      </c>
      <c r="B323" s="30" t="s">
        <v>17</v>
      </c>
      <c r="C323" s="30">
        <v>56</v>
      </c>
      <c r="D323" s="30" t="s">
        <v>41</v>
      </c>
      <c r="E323" s="30">
        <v>1000</v>
      </c>
      <c r="F323" s="30">
        <v>31</v>
      </c>
      <c r="G323" s="30" t="s">
        <v>268</v>
      </c>
      <c r="H323" s="42" t="s">
        <v>19</v>
      </c>
      <c r="I323" s="30" t="s">
        <v>20</v>
      </c>
      <c r="J323" s="40" t="s">
        <v>75</v>
      </c>
      <c r="K323" s="44" t="str">
        <f t="shared" si="62"/>
        <v>lev OK</v>
      </c>
      <c r="L323" s="1">
        <f t="shared" si="63"/>
        <v>42390.354166666664</v>
      </c>
      <c r="M323" s="43"/>
      <c r="N323" s="11">
        <f t="shared" si="64"/>
        <v>0.69200569260032496</v>
      </c>
      <c r="O323" s="11">
        <f t="shared" si="65"/>
        <v>0.89700000000000002</v>
      </c>
      <c r="P323" s="1">
        <f t="shared" si="66"/>
        <v>42389.643055555556</v>
      </c>
      <c r="Q323" s="12">
        <f t="shared" si="67"/>
        <v>1.2011385199251599E-2</v>
      </c>
      <c r="AC323" s="39">
        <v>9.2704199999999995E-11</v>
      </c>
      <c r="AD323" s="39">
        <v>7.7219500000000002E-11</v>
      </c>
      <c r="AE323" s="39">
        <v>9.6584799999999996E-11</v>
      </c>
      <c r="AF323" s="39">
        <v>5.4549299999999998E-11</v>
      </c>
      <c r="AG323" s="39">
        <v>9.1392399999999997E-11</v>
      </c>
      <c r="AH323" s="39">
        <v>9.8892500000000003E-11</v>
      </c>
      <c r="AI323" s="39">
        <v>4.2690899999999999E-11</v>
      </c>
      <c r="AJ323" s="39">
        <v>1.7043700000000001E-10</v>
      </c>
      <c r="AK323" s="39">
        <v>4.4158000000000001E-11</v>
      </c>
      <c r="AL323" s="39">
        <v>9.2706399999999998E-11</v>
      </c>
      <c r="AM323" s="39">
        <v>8.5753999999999997E-11</v>
      </c>
      <c r="AN323" s="39">
        <v>1.4761500000000001E-10</v>
      </c>
    </row>
    <row r="324" spans="1:40" thickBot="1">
      <c r="A324" s="29" t="s">
        <v>561</v>
      </c>
      <c r="B324" s="30" t="s">
        <v>17</v>
      </c>
      <c r="C324" s="30">
        <v>56</v>
      </c>
      <c r="D324" s="30" t="s">
        <v>41</v>
      </c>
      <c r="E324" s="30">
        <v>1000</v>
      </c>
      <c r="F324" s="30">
        <v>31</v>
      </c>
      <c r="G324" s="30" t="s">
        <v>268</v>
      </c>
      <c r="H324" s="42" t="s">
        <v>19</v>
      </c>
      <c r="I324" s="30" t="s">
        <v>20</v>
      </c>
      <c r="J324" s="40" t="s">
        <v>75</v>
      </c>
      <c r="K324" s="44" t="str">
        <f t="shared" ref="K324:K387" si="68">IF(AND(N324&lt;0.7,N324&gt;0.2),"lev OK","lev BAD")</f>
        <v>lev OK</v>
      </c>
      <c r="L324" s="1">
        <f t="shared" ref="L324:L387" si="69">DATE(2000+MID(A324,3,2),MID(A324,5,2),MID(A324,7,2))+TIME(MID(A324,10,2),MID(A324,12,2),0)</f>
        <v>42390.393750000003</v>
      </c>
      <c r="M324" s="43"/>
      <c r="N324" s="11">
        <f t="shared" ref="N324:N368" si="70">O324-(L324-P324)*24*Q324</f>
        <v>0.6793866396750432</v>
      </c>
      <c r="O324" s="12">
        <v>0.68600000000000005</v>
      </c>
      <c r="P324" s="1">
        <v>42390.375</v>
      </c>
      <c r="Q324" s="11">
        <f>(O324-R324)/(S324-P324)/24</f>
        <v>1.4696356275400628E-2</v>
      </c>
      <c r="R324" s="12">
        <v>0.56499999999999995</v>
      </c>
      <c r="S324" s="1">
        <v>42390.718055555553</v>
      </c>
      <c r="AC324" s="39">
        <v>8.97976E-11</v>
      </c>
      <c r="AD324" s="39">
        <v>7.4394399999999995E-11</v>
      </c>
      <c r="AE324" s="39">
        <v>8.5560999999999995E-11</v>
      </c>
      <c r="AF324" s="39">
        <v>5.4842499999999997E-11</v>
      </c>
      <c r="AG324" s="39">
        <v>8.8732899999999994E-11</v>
      </c>
      <c r="AH324" s="39">
        <v>1.0034999999999999E-10</v>
      </c>
      <c r="AI324" s="39">
        <v>4.15725E-11</v>
      </c>
      <c r="AJ324" s="39">
        <v>1.6401900000000001E-10</v>
      </c>
      <c r="AK324" s="39">
        <v>4.3397900000000003E-11</v>
      </c>
      <c r="AL324" s="39">
        <v>9.0791300000000005E-11</v>
      </c>
      <c r="AM324" s="39">
        <v>8.1857900000000005E-11</v>
      </c>
      <c r="AN324" s="39">
        <v>1.6740999999999999E-10</v>
      </c>
    </row>
    <row r="325" spans="1:40" thickBot="1">
      <c r="A325" s="29" t="s">
        <v>562</v>
      </c>
      <c r="B325" s="30" t="s">
        <v>17</v>
      </c>
      <c r="C325" s="30">
        <v>56</v>
      </c>
      <c r="D325" s="30" t="s">
        <v>41</v>
      </c>
      <c r="E325" s="30">
        <v>1000</v>
      </c>
      <c r="F325" s="30">
        <v>31</v>
      </c>
      <c r="G325" s="30" t="s">
        <v>18</v>
      </c>
      <c r="H325" s="42" t="s">
        <v>19</v>
      </c>
      <c r="I325" s="30" t="s">
        <v>20</v>
      </c>
      <c r="J325" s="40" t="s">
        <v>75</v>
      </c>
      <c r="K325" s="44" t="str">
        <f t="shared" si="68"/>
        <v>lev OK</v>
      </c>
      <c r="L325" s="1">
        <f t="shared" si="69"/>
        <v>42390.498611111114</v>
      </c>
      <c r="M325" s="43" t="str">
        <f>""""&amp;A325&amp;""""</f>
        <v>"07160121_1158"</v>
      </c>
      <c r="N325" s="11">
        <f t="shared" si="70"/>
        <v>0.64240080971534197</v>
      </c>
      <c r="O325" s="11">
        <f t="shared" ref="O325:Q326" si="71">O324</f>
        <v>0.68600000000000005</v>
      </c>
      <c r="P325" s="1">
        <f t="shared" si="71"/>
        <v>42390.375</v>
      </c>
      <c r="Q325" s="12">
        <f t="shared" si="71"/>
        <v>1.4696356275400628E-2</v>
      </c>
      <c r="AC325" s="39">
        <v>1.51187E-10</v>
      </c>
      <c r="AD325" s="39">
        <v>1.27605E-10</v>
      </c>
      <c r="AE325" s="39">
        <v>1.9558999999999999E-10</v>
      </c>
      <c r="AF325" s="39">
        <v>1.6083499999999999E-10</v>
      </c>
      <c r="AG325" s="39">
        <v>2.3896299999999999E-10</v>
      </c>
      <c r="AH325" s="39">
        <v>1.59835E-10</v>
      </c>
      <c r="AI325" s="39">
        <v>1.8151799999999999E-10</v>
      </c>
      <c r="AJ325" s="39">
        <v>4.2235300000000002E-10</v>
      </c>
      <c r="AK325" s="39">
        <v>1.2805900000000001E-10</v>
      </c>
      <c r="AL325" s="39">
        <v>1.5316299999999999E-10</v>
      </c>
      <c r="AM325" s="39">
        <v>1.45761E-10</v>
      </c>
      <c r="AN325" s="39">
        <v>2.5599199999999998E-10</v>
      </c>
    </row>
    <row r="326" spans="1:40" thickBot="1">
      <c r="A326" s="29" t="s">
        <v>563</v>
      </c>
      <c r="B326" s="30" t="s">
        <v>17</v>
      </c>
      <c r="C326" s="30">
        <v>56</v>
      </c>
      <c r="D326" s="30" t="s">
        <v>41</v>
      </c>
      <c r="E326" s="30">
        <v>1000</v>
      </c>
      <c r="F326" s="30">
        <v>32</v>
      </c>
      <c r="G326" s="30" t="s">
        <v>18</v>
      </c>
      <c r="H326" s="42" t="s">
        <v>25</v>
      </c>
      <c r="I326" s="30" t="s">
        <v>20</v>
      </c>
      <c r="J326" s="40" t="s">
        <v>75</v>
      </c>
      <c r="K326" s="44" t="str">
        <f t="shared" si="68"/>
        <v>lev OK</v>
      </c>
      <c r="L326" s="1">
        <f t="shared" si="69"/>
        <v>42390.554861111108</v>
      </c>
      <c r="M326" s="43"/>
      <c r="N326" s="11">
        <f t="shared" si="70"/>
        <v>0.6225607287456042</v>
      </c>
      <c r="O326" s="11">
        <f t="shared" si="71"/>
        <v>0.68600000000000005</v>
      </c>
      <c r="P326" s="1">
        <f t="shared" si="71"/>
        <v>42390.375</v>
      </c>
      <c r="Q326" s="12">
        <f t="shared" si="71"/>
        <v>1.4696356275400628E-2</v>
      </c>
      <c r="AC326" s="39">
        <v>7.2459600000000003E-11</v>
      </c>
      <c r="AD326" s="39">
        <v>5.3213200000000002E-11</v>
      </c>
      <c r="AE326" s="39">
        <v>6.7514200000000002E-11</v>
      </c>
      <c r="AF326" s="39">
        <v>4.1277800000000002E-11</v>
      </c>
      <c r="AG326" s="39">
        <v>6.1035100000000005E-11</v>
      </c>
      <c r="AH326" s="39">
        <v>6.0041499999999994E-11</v>
      </c>
      <c r="AI326" s="39">
        <v>3.3681699999999999E-11</v>
      </c>
      <c r="AJ326" s="39">
        <v>1.2158099999999999E-10</v>
      </c>
      <c r="AK326" s="39">
        <v>3.5183200000000001E-11</v>
      </c>
      <c r="AL326" s="39">
        <v>6.0585600000000001E-11</v>
      </c>
      <c r="AM326" s="39">
        <v>8.0881699999999995E-11</v>
      </c>
      <c r="AN326" s="39">
        <v>6.7864699999999998E-11</v>
      </c>
    </row>
    <row r="327" spans="1:40" thickBot="1">
      <c r="A327" s="29" t="s">
        <v>564</v>
      </c>
      <c r="B327" s="30" t="s">
        <v>17</v>
      </c>
      <c r="C327" s="30">
        <v>56</v>
      </c>
      <c r="D327" s="30" t="s">
        <v>41</v>
      </c>
      <c r="E327" s="30">
        <v>1000</v>
      </c>
      <c r="F327" s="30">
        <v>31</v>
      </c>
      <c r="G327" s="30" t="s">
        <v>18</v>
      </c>
      <c r="H327" s="42" t="s">
        <v>19</v>
      </c>
      <c r="I327" s="30" t="s">
        <v>20</v>
      </c>
      <c r="J327" s="40" t="s">
        <v>75</v>
      </c>
      <c r="K327" s="44" t="str">
        <f t="shared" si="68"/>
        <v>lev OK</v>
      </c>
      <c r="L327" s="1">
        <f t="shared" si="69"/>
        <v>42391.611805555556</v>
      </c>
      <c r="M327" s="43"/>
      <c r="N327" s="11">
        <f t="shared" si="70"/>
        <v>0.23122439024414515</v>
      </c>
      <c r="O327" s="12">
        <v>0.33800000000000002</v>
      </c>
      <c r="P327" s="1">
        <v>42391.354166666664</v>
      </c>
      <c r="Q327" s="11">
        <f>(O327-R327)/(S327-P327)/24</f>
        <v>1.7268292682681676E-2</v>
      </c>
      <c r="R327" s="12">
        <v>0.22</v>
      </c>
      <c r="S327" s="1">
        <v>42391.638888888891</v>
      </c>
      <c r="AC327" s="39">
        <v>1.10892E-10</v>
      </c>
      <c r="AD327" s="39">
        <v>9.2271900000000006E-11</v>
      </c>
      <c r="AE327" s="39">
        <v>1.03132E-10</v>
      </c>
      <c r="AF327" s="39">
        <v>6.8057399999999994E-11</v>
      </c>
      <c r="AG327" s="39">
        <v>1.17843E-10</v>
      </c>
      <c r="AH327" s="39">
        <v>1.2045900000000001E-10</v>
      </c>
      <c r="AI327" s="39">
        <v>4.9112300000000002E-11</v>
      </c>
      <c r="AJ327" s="39">
        <v>2.1163499999999999E-10</v>
      </c>
      <c r="AK327" s="39">
        <v>5.3827300000000002E-11</v>
      </c>
      <c r="AL327" s="39">
        <v>1.0889E-10</v>
      </c>
      <c r="AM327" s="39">
        <v>1.0569099999999999E-10</v>
      </c>
      <c r="AN327" s="39">
        <v>2.90737E-10</v>
      </c>
    </row>
    <row r="328" spans="1:40" thickBot="1">
      <c r="A328" s="29" t="s">
        <v>565</v>
      </c>
      <c r="B328" s="30" t="s">
        <v>17</v>
      </c>
      <c r="C328" s="30">
        <v>56</v>
      </c>
      <c r="D328" s="30" t="s">
        <v>41</v>
      </c>
      <c r="E328" s="30">
        <v>1000</v>
      </c>
      <c r="F328" s="30">
        <v>31</v>
      </c>
      <c r="G328" s="30" t="s">
        <v>566</v>
      </c>
      <c r="H328" s="42" t="s">
        <v>19</v>
      </c>
      <c r="I328" s="30" t="s">
        <v>20</v>
      </c>
      <c r="J328" s="40" t="s">
        <v>75</v>
      </c>
      <c r="K328" s="46" t="s">
        <v>402</v>
      </c>
      <c r="L328" s="1">
        <f t="shared" si="69"/>
        <v>42391.73333333333</v>
      </c>
      <c r="M328" s="43" t="s">
        <v>567</v>
      </c>
      <c r="N328" s="11">
        <f t="shared" si="70"/>
        <v>0.88988590604064455</v>
      </c>
      <c r="O328" s="12">
        <v>0.90700000000000003</v>
      </c>
      <c r="P328" s="1">
        <v>42391.677777777775</v>
      </c>
      <c r="Q328" s="11">
        <f>(O328-R328)/(S328-P328)/24</f>
        <v>1.2835570469703387E-2</v>
      </c>
      <c r="R328" s="12">
        <v>0.65200000000000002</v>
      </c>
      <c r="S328" s="1">
        <v>42392.505555555559</v>
      </c>
      <c r="AC328" s="39">
        <v>8.7685299999999998E-11</v>
      </c>
      <c r="AD328" s="39">
        <v>6.7543499999999998E-11</v>
      </c>
      <c r="AE328" s="39">
        <v>9.07001E-11</v>
      </c>
      <c r="AF328" s="39">
        <v>6.4390199999999996E-11</v>
      </c>
      <c r="AG328" s="39">
        <v>7.7697799999999997E-11</v>
      </c>
      <c r="AH328" s="39">
        <v>9.3506500000000004E-11</v>
      </c>
      <c r="AI328" s="39">
        <v>3.9705E-11</v>
      </c>
      <c r="AJ328" s="39">
        <v>1.7102899999999999E-10</v>
      </c>
      <c r="AK328" s="39">
        <v>4.3567600000000002E-11</v>
      </c>
      <c r="AL328" s="39">
        <v>9.3751199999999994E-11</v>
      </c>
      <c r="AM328" s="39">
        <v>1.12274E-10</v>
      </c>
      <c r="AN328" s="39">
        <v>1.6152400000000001E-10</v>
      </c>
    </row>
    <row r="329" spans="1:40" thickBot="1">
      <c r="A329" s="29" t="s">
        <v>568</v>
      </c>
      <c r="B329" s="30" t="s">
        <v>17</v>
      </c>
      <c r="C329" s="30">
        <v>56</v>
      </c>
      <c r="D329" s="30" t="s">
        <v>41</v>
      </c>
      <c r="E329" s="30">
        <v>1000</v>
      </c>
      <c r="F329" s="30">
        <v>31</v>
      </c>
      <c r="G329" s="30" t="s">
        <v>566</v>
      </c>
      <c r="H329" s="42" t="s">
        <v>19</v>
      </c>
      <c r="I329" s="30" t="s">
        <v>20</v>
      </c>
      <c r="J329" s="40" t="s">
        <v>75</v>
      </c>
      <c r="K329" s="46" t="s">
        <v>402</v>
      </c>
      <c r="L329" s="1">
        <f t="shared" si="69"/>
        <v>42391.772916666669</v>
      </c>
      <c r="M329" s="43"/>
      <c r="N329" s="11">
        <f t="shared" ref="N329:N347" si="72">O329-(L329-P329)*24*Q329</f>
        <v>0.87769211409278269</v>
      </c>
      <c r="O329" s="11">
        <f t="shared" ref="O329:O347" si="73">O328</f>
        <v>0.90700000000000003</v>
      </c>
      <c r="P329" s="1">
        <f t="shared" ref="P329:P347" si="74">P328</f>
        <v>42391.677777777775</v>
      </c>
      <c r="Q329" s="12">
        <f t="shared" ref="Q329:Q347" si="75">Q328</f>
        <v>1.2835570469703387E-2</v>
      </c>
      <c r="AC329" s="39">
        <v>1.0659799999999999E-10</v>
      </c>
      <c r="AD329" s="39">
        <v>8.3672999999999994E-11</v>
      </c>
      <c r="AE329" s="39">
        <v>9.4990799999999996E-11</v>
      </c>
      <c r="AF329" s="39">
        <v>6.4835299999999994E-11</v>
      </c>
      <c r="AG329" s="39">
        <v>1.0648199999999999E-10</v>
      </c>
      <c r="AH329" s="39">
        <v>1.07042E-10</v>
      </c>
      <c r="AI329" s="39">
        <v>4.7067900000000001E-11</v>
      </c>
      <c r="AJ329" s="39">
        <v>1.9510199999999999E-10</v>
      </c>
      <c r="AK329" s="39">
        <v>4.9576999999999998E-11</v>
      </c>
      <c r="AL329" s="39">
        <v>1.0252399999999999E-10</v>
      </c>
      <c r="AM329" s="39">
        <v>9.8483699999999996E-11</v>
      </c>
      <c r="AN329" s="39">
        <v>1.5786000000000001E-10</v>
      </c>
    </row>
    <row r="330" spans="1:40" thickBot="1">
      <c r="A330" s="29" t="s">
        <v>569</v>
      </c>
      <c r="B330" s="30" t="s">
        <v>17</v>
      </c>
      <c r="C330" s="30">
        <v>56</v>
      </c>
      <c r="D330" s="30" t="s">
        <v>41</v>
      </c>
      <c r="E330" s="30">
        <v>1000</v>
      </c>
      <c r="F330" s="30">
        <v>31</v>
      </c>
      <c r="G330" s="30" t="s">
        <v>566</v>
      </c>
      <c r="H330" s="42" t="s">
        <v>19</v>
      </c>
      <c r="I330" s="30" t="s">
        <v>20</v>
      </c>
      <c r="J330" s="40" t="s">
        <v>75</v>
      </c>
      <c r="K330" s="46" t="s">
        <v>402</v>
      </c>
      <c r="L330" s="1">
        <f t="shared" si="69"/>
        <v>42391.8125</v>
      </c>
      <c r="M330" s="43"/>
      <c r="N330" s="11">
        <f t="shared" si="72"/>
        <v>0.86549832214716216</v>
      </c>
      <c r="O330" s="11">
        <f t="shared" si="73"/>
        <v>0.90700000000000003</v>
      </c>
      <c r="P330" s="1">
        <f t="shared" si="74"/>
        <v>42391.677777777775</v>
      </c>
      <c r="Q330" s="12">
        <f t="shared" si="75"/>
        <v>1.2835570469703387E-2</v>
      </c>
      <c r="AC330" s="39">
        <v>1.17059E-10</v>
      </c>
      <c r="AD330" s="39">
        <v>9.2271499999999995E-11</v>
      </c>
      <c r="AE330" s="39">
        <v>1.0855499999999999E-10</v>
      </c>
      <c r="AF330" s="39">
        <v>7.0442899999999998E-11</v>
      </c>
      <c r="AG330" s="39">
        <v>1.19268E-10</v>
      </c>
      <c r="AH330" s="39">
        <v>1.1528200000000001E-10</v>
      </c>
      <c r="AI330" s="39">
        <v>5.1434800000000002E-11</v>
      </c>
      <c r="AJ330" s="39">
        <v>2.1530500000000001E-10</v>
      </c>
      <c r="AK330" s="39">
        <v>5.2933800000000001E-11</v>
      </c>
      <c r="AL330" s="39">
        <v>1.16264E-10</v>
      </c>
      <c r="AM330" s="39">
        <v>1.13299E-10</v>
      </c>
      <c r="AN330" s="39">
        <v>1.6216099999999999E-10</v>
      </c>
    </row>
    <row r="331" spans="1:40" thickBot="1">
      <c r="A331" s="29" t="s">
        <v>570</v>
      </c>
      <c r="B331" s="30" t="s">
        <v>17</v>
      </c>
      <c r="C331" s="30">
        <v>56</v>
      </c>
      <c r="D331" s="30" t="s">
        <v>41</v>
      </c>
      <c r="E331" s="30">
        <v>1000</v>
      </c>
      <c r="F331" s="30">
        <v>31</v>
      </c>
      <c r="G331" s="30" t="s">
        <v>566</v>
      </c>
      <c r="H331" s="42" t="s">
        <v>19</v>
      </c>
      <c r="I331" s="30" t="s">
        <v>20</v>
      </c>
      <c r="J331" s="40" t="s">
        <v>75</v>
      </c>
      <c r="K331" s="46" t="s">
        <v>402</v>
      </c>
      <c r="L331" s="1">
        <f t="shared" si="69"/>
        <v>42391.852083333331</v>
      </c>
      <c r="M331" s="43"/>
      <c r="N331" s="11">
        <f t="shared" si="72"/>
        <v>0.85330453020154162</v>
      </c>
      <c r="O331" s="11">
        <f t="shared" si="73"/>
        <v>0.90700000000000003</v>
      </c>
      <c r="P331" s="1">
        <f t="shared" si="74"/>
        <v>42391.677777777775</v>
      </c>
      <c r="Q331" s="12">
        <f t="shared" si="75"/>
        <v>1.2835570469703387E-2</v>
      </c>
      <c r="AC331" s="39">
        <v>1.6459799999999999E-10</v>
      </c>
      <c r="AD331" s="39">
        <v>1.31414E-10</v>
      </c>
      <c r="AE331" s="39">
        <v>1.48418E-10</v>
      </c>
      <c r="AF331" s="39">
        <v>1.08756E-10</v>
      </c>
      <c r="AG331" s="39">
        <v>1.51329E-10</v>
      </c>
      <c r="AH331" s="39">
        <v>1.7685800000000001E-10</v>
      </c>
      <c r="AI331" s="39">
        <v>6.9364500000000006E-11</v>
      </c>
      <c r="AJ331" s="39">
        <v>2.9785100000000002E-10</v>
      </c>
      <c r="AK331" s="39">
        <v>6.9745700000000004E-11</v>
      </c>
      <c r="AL331" s="39">
        <v>1.61182E-10</v>
      </c>
      <c r="AM331" s="39">
        <v>1.62147E-10</v>
      </c>
      <c r="AN331" s="39">
        <v>2.2796399999999999E-10</v>
      </c>
    </row>
    <row r="332" spans="1:40" thickBot="1">
      <c r="A332" s="29" t="s">
        <v>571</v>
      </c>
      <c r="B332" s="30" t="s">
        <v>17</v>
      </c>
      <c r="C332" s="30">
        <v>56</v>
      </c>
      <c r="D332" s="30" t="s">
        <v>41</v>
      </c>
      <c r="E332" s="30">
        <v>1000</v>
      </c>
      <c r="F332" s="30">
        <v>31</v>
      </c>
      <c r="G332" s="30" t="s">
        <v>566</v>
      </c>
      <c r="H332" s="42" t="s">
        <v>19</v>
      </c>
      <c r="I332" s="30" t="s">
        <v>20</v>
      </c>
      <c r="J332" s="40" t="s">
        <v>75</v>
      </c>
      <c r="K332" s="46" t="s">
        <v>402</v>
      </c>
      <c r="L332" s="1">
        <f t="shared" si="69"/>
        <v>42391.890972222223</v>
      </c>
      <c r="M332" s="43"/>
      <c r="N332" s="11">
        <f t="shared" si="72"/>
        <v>0.8413246644288721</v>
      </c>
      <c r="O332" s="11">
        <f t="shared" si="73"/>
        <v>0.90700000000000003</v>
      </c>
      <c r="P332" s="1">
        <f t="shared" si="74"/>
        <v>42391.677777777775</v>
      </c>
      <c r="Q332" s="12">
        <f t="shared" si="75"/>
        <v>1.2835570469703387E-2</v>
      </c>
      <c r="AC332" s="39">
        <v>9.5274699999999997E-11</v>
      </c>
      <c r="AD332" s="39">
        <v>7.7670000000000002E-11</v>
      </c>
      <c r="AE332" s="39">
        <v>9.2135399999999999E-11</v>
      </c>
      <c r="AF332" s="39">
        <v>6.1868500000000002E-11</v>
      </c>
      <c r="AG332" s="39">
        <v>9.4563499999999999E-11</v>
      </c>
      <c r="AH332" s="39">
        <v>1.0268800000000001E-10</v>
      </c>
      <c r="AI332" s="39">
        <v>4.3684399999999998E-11</v>
      </c>
      <c r="AJ332" s="39">
        <v>1.8505400000000001E-10</v>
      </c>
      <c r="AK332" s="39">
        <v>4.7313899999999999E-11</v>
      </c>
      <c r="AL332" s="39">
        <v>9.6160699999999998E-11</v>
      </c>
      <c r="AM332" s="39">
        <v>8.8651499999999999E-11</v>
      </c>
      <c r="AN332" s="39">
        <v>1.7182699999999999E-10</v>
      </c>
    </row>
    <row r="333" spans="1:40" thickBot="1">
      <c r="A333" s="29" t="s">
        <v>572</v>
      </c>
      <c r="B333" s="30" t="s">
        <v>17</v>
      </c>
      <c r="C333" s="30">
        <v>56</v>
      </c>
      <c r="D333" s="30" t="s">
        <v>41</v>
      </c>
      <c r="E333" s="30">
        <v>1000</v>
      </c>
      <c r="F333" s="30">
        <v>31</v>
      </c>
      <c r="G333" s="30" t="s">
        <v>566</v>
      </c>
      <c r="H333" s="42" t="s">
        <v>19</v>
      </c>
      <c r="I333" s="30" t="s">
        <v>20</v>
      </c>
      <c r="J333" s="40" t="s">
        <v>75</v>
      </c>
      <c r="K333" s="46" t="s">
        <v>402</v>
      </c>
      <c r="L333" s="1">
        <f t="shared" si="69"/>
        <v>42391.930555555555</v>
      </c>
      <c r="M333" s="43"/>
      <c r="N333" s="11">
        <f t="shared" si="72"/>
        <v>0.82913087248325157</v>
      </c>
      <c r="O333" s="11">
        <f t="shared" si="73"/>
        <v>0.90700000000000003</v>
      </c>
      <c r="P333" s="1">
        <f t="shared" si="74"/>
        <v>42391.677777777775</v>
      </c>
      <c r="Q333" s="12">
        <f t="shared" si="75"/>
        <v>1.2835570469703387E-2</v>
      </c>
      <c r="AC333" s="39">
        <v>7.4598799999999998E-11</v>
      </c>
      <c r="AD333" s="39">
        <v>5.7413199999999998E-11</v>
      </c>
      <c r="AE333" s="39">
        <v>6.98983E-11</v>
      </c>
      <c r="AF333" s="39">
        <v>4.3009099999999999E-11</v>
      </c>
      <c r="AG333" s="39">
        <v>7.5055099999999999E-11</v>
      </c>
      <c r="AH333" s="39">
        <v>8.1143000000000004E-11</v>
      </c>
      <c r="AI333" s="39">
        <v>3.5658900000000001E-11</v>
      </c>
      <c r="AJ333" s="39">
        <v>1.3593500000000001E-10</v>
      </c>
      <c r="AK333" s="39">
        <v>3.9282300000000002E-11</v>
      </c>
      <c r="AL333" s="39">
        <v>7.3626700000000003E-11</v>
      </c>
      <c r="AM333" s="39">
        <v>6.7332099999999999E-11</v>
      </c>
      <c r="AN333" s="39">
        <v>1.3159900000000001E-10</v>
      </c>
    </row>
    <row r="334" spans="1:40" thickBot="1">
      <c r="A334" s="29" t="s">
        <v>573</v>
      </c>
      <c r="B334" s="30" t="s">
        <v>17</v>
      </c>
      <c r="C334" s="30">
        <v>56</v>
      </c>
      <c r="D334" s="30" t="s">
        <v>41</v>
      </c>
      <c r="E334" s="30">
        <v>1000</v>
      </c>
      <c r="F334" s="30">
        <v>31</v>
      </c>
      <c r="G334" s="30" t="s">
        <v>566</v>
      </c>
      <c r="H334" s="42" t="s">
        <v>19</v>
      </c>
      <c r="I334" s="30" t="s">
        <v>20</v>
      </c>
      <c r="J334" s="40" t="s">
        <v>75</v>
      </c>
      <c r="K334" s="46" t="s">
        <v>402</v>
      </c>
      <c r="L334" s="1">
        <f t="shared" si="69"/>
        <v>42391.970138888886</v>
      </c>
      <c r="M334" s="43"/>
      <c r="N334" s="11">
        <f t="shared" si="72"/>
        <v>0.81693708053763103</v>
      </c>
      <c r="O334" s="11">
        <f t="shared" si="73"/>
        <v>0.90700000000000003</v>
      </c>
      <c r="P334" s="1">
        <f t="shared" si="74"/>
        <v>42391.677777777775</v>
      </c>
      <c r="Q334" s="12">
        <f t="shared" si="75"/>
        <v>1.2835570469703387E-2</v>
      </c>
      <c r="AC334" s="39">
        <v>1.1034499999999999E-10</v>
      </c>
      <c r="AD334" s="39">
        <v>1.0205099999999999E-10</v>
      </c>
      <c r="AE334" s="39">
        <v>1.07115E-10</v>
      </c>
      <c r="AF334" s="39">
        <v>7.40216E-11</v>
      </c>
      <c r="AG334" s="39">
        <v>1.15649E-10</v>
      </c>
      <c r="AH334" s="39">
        <v>1.10692E-10</v>
      </c>
      <c r="AI334" s="39">
        <v>4.9127200000000002E-11</v>
      </c>
      <c r="AJ334" s="39">
        <v>2.0913300000000001E-10</v>
      </c>
      <c r="AK334" s="39">
        <v>5.1174299999999997E-11</v>
      </c>
      <c r="AL334" s="39">
        <v>1.09354E-10</v>
      </c>
      <c r="AM334" s="39">
        <v>1.03001E-10</v>
      </c>
      <c r="AN334" s="39">
        <v>1.7877800000000001E-10</v>
      </c>
    </row>
    <row r="335" spans="1:40" thickBot="1">
      <c r="A335" s="29" t="s">
        <v>574</v>
      </c>
      <c r="B335" s="30" t="s">
        <v>17</v>
      </c>
      <c r="C335" s="30">
        <v>56</v>
      </c>
      <c r="D335" s="30" t="s">
        <v>41</v>
      </c>
      <c r="E335" s="30">
        <v>1000</v>
      </c>
      <c r="F335" s="30">
        <v>31</v>
      </c>
      <c r="G335" s="30" t="s">
        <v>566</v>
      </c>
      <c r="H335" s="42" t="s">
        <v>19</v>
      </c>
      <c r="I335" s="30" t="s">
        <v>20</v>
      </c>
      <c r="J335" s="40" t="s">
        <v>75</v>
      </c>
      <c r="K335" s="46" t="s">
        <v>402</v>
      </c>
      <c r="L335" s="1">
        <f t="shared" si="69"/>
        <v>42392.009027777778</v>
      </c>
      <c r="M335" s="43"/>
      <c r="N335" s="11">
        <f t="shared" si="72"/>
        <v>0.80495721476496152</v>
      </c>
      <c r="O335" s="11">
        <f t="shared" si="73"/>
        <v>0.90700000000000003</v>
      </c>
      <c r="P335" s="1">
        <f t="shared" si="74"/>
        <v>42391.677777777775</v>
      </c>
      <c r="Q335" s="12">
        <f t="shared" si="75"/>
        <v>1.2835570469703387E-2</v>
      </c>
      <c r="AC335" s="39">
        <v>1.39544E-10</v>
      </c>
      <c r="AD335" s="39">
        <v>1.12685E-10</v>
      </c>
      <c r="AE335" s="39">
        <v>1.3444E-10</v>
      </c>
      <c r="AF335" s="39">
        <v>8.8725600000000006E-11</v>
      </c>
      <c r="AG335" s="39">
        <v>1.5806299999999999E-10</v>
      </c>
      <c r="AH335" s="39">
        <v>1.52287E-10</v>
      </c>
      <c r="AI335" s="39">
        <v>6.15196E-11</v>
      </c>
      <c r="AJ335" s="39">
        <v>2.6151399999999999E-10</v>
      </c>
      <c r="AK335" s="39">
        <v>6.4002000000000003E-11</v>
      </c>
      <c r="AL335" s="39">
        <v>1.34855E-10</v>
      </c>
      <c r="AM335" s="39">
        <v>1.28344E-10</v>
      </c>
      <c r="AN335" s="39">
        <v>3.2524700000000001E-10</v>
      </c>
    </row>
    <row r="336" spans="1:40" thickBot="1">
      <c r="A336" s="29" t="s">
        <v>575</v>
      </c>
      <c r="B336" s="30" t="s">
        <v>17</v>
      </c>
      <c r="C336" s="30">
        <v>56</v>
      </c>
      <c r="D336" s="30" t="s">
        <v>41</v>
      </c>
      <c r="E336" s="30">
        <v>1000</v>
      </c>
      <c r="F336" s="30">
        <v>31</v>
      </c>
      <c r="G336" s="30" t="s">
        <v>566</v>
      </c>
      <c r="H336" s="42" t="s">
        <v>19</v>
      </c>
      <c r="I336" s="30" t="s">
        <v>20</v>
      </c>
      <c r="J336" s="40" t="s">
        <v>75</v>
      </c>
      <c r="K336" s="46" t="s">
        <v>402</v>
      </c>
      <c r="L336" s="1">
        <f t="shared" si="69"/>
        <v>42392.048611111109</v>
      </c>
      <c r="M336" s="43"/>
      <c r="N336" s="11">
        <f t="shared" si="72"/>
        <v>0.79276342281934098</v>
      </c>
      <c r="O336" s="11">
        <f t="shared" si="73"/>
        <v>0.90700000000000003</v>
      </c>
      <c r="P336" s="1">
        <f t="shared" si="74"/>
        <v>42391.677777777775</v>
      </c>
      <c r="Q336" s="12">
        <f t="shared" si="75"/>
        <v>1.2835570469703387E-2</v>
      </c>
      <c r="AC336" s="39">
        <v>1.49675E-10</v>
      </c>
      <c r="AD336" s="39">
        <v>1.1639699999999999E-10</v>
      </c>
      <c r="AE336" s="39">
        <v>1.3642699999999999E-10</v>
      </c>
      <c r="AF336" s="39">
        <v>9.9721099999999994E-11</v>
      </c>
      <c r="AG336" s="39">
        <v>1.4948300000000001E-10</v>
      </c>
      <c r="AH336" s="39">
        <v>1.4948300000000001E-10</v>
      </c>
      <c r="AI336" s="39">
        <v>6.3831300000000002E-11</v>
      </c>
      <c r="AJ336" s="39">
        <v>2.75991E-10</v>
      </c>
      <c r="AK336" s="39">
        <v>6.6965900000000001E-11</v>
      </c>
      <c r="AL336" s="39">
        <v>1.3947399999999999E-10</v>
      </c>
      <c r="AM336" s="39">
        <v>1.4408099999999999E-10</v>
      </c>
      <c r="AN336" s="39">
        <v>2.09015E-10</v>
      </c>
    </row>
    <row r="337" spans="1:40" thickBot="1">
      <c r="A337" s="29" t="s">
        <v>576</v>
      </c>
      <c r="B337" s="30" t="s">
        <v>17</v>
      </c>
      <c r="C337" s="30">
        <v>56</v>
      </c>
      <c r="D337" s="30" t="s">
        <v>41</v>
      </c>
      <c r="E337" s="30">
        <v>1000</v>
      </c>
      <c r="F337" s="30">
        <v>31</v>
      </c>
      <c r="G337" s="30" t="s">
        <v>566</v>
      </c>
      <c r="H337" s="42" t="s">
        <v>19</v>
      </c>
      <c r="I337" s="30" t="s">
        <v>20</v>
      </c>
      <c r="J337" s="40" t="s">
        <v>75</v>
      </c>
      <c r="K337" s="46" t="s">
        <v>402</v>
      </c>
      <c r="L337" s="1">
        <f t="shared" si="69"/>
        <v>42392.088194444441</v>
      </c>
      <c r="M337" s="43"/>
      <c r="N337" s="11">
        <f t="shared" si="72"/>
        <v>0.78056963087372055</v>
      </c>
      <c r="O337" s="11">
        <f t="shared" si="73"/>
        <v>0.90700000000000003</v>
      </c>
      <c r="P337" s="1">
        <f t="shared" si="74"/>
        <v>42391.677777777775</v>
      </c>
      <c r="Q337" s="12">
        <f t="shared" si="75"/>
        <v>1.2835570469703387E-2</v>
      </c>
      <c r="AC337" s="39">
        <v>1.04239E-10</v>
      </c>
      <c r="AD337" s="39">
        <v>8.2257600000000006E-11</v>
      </c>
      <c r="AE337" s="39">
        <v>9.5286499999999997E-11</v>
      </c>
      <c r="AF337" s="39">
        <v>6.7071499999999994E-11</v>
      </c>
      <c r="AG337" s="39">
        <v>1.14995E-10</v>
      </c>
      <c r="AH337" s="39">
        <v>1.13485E-10</v>
      </c>
      <c r="AI337" s="39">
        <v>4.8993300000000002E-11</v>
      </c>
      <c r="AJ337" s="39">
        <v>1.9956600000000001E-10</v>
      </c>
      <c r="AK337" s="39">
        <v>5.32552E-11</v>
      </c>
      <c r="AL337" s="39">
        <v>1.03908E-10</v>
      </c>
      <c r="AM337" s="39">
        <v>9.9702000000000006E-11</v>
      </c>
      <c r="AN337" s="39">
        <v>2.0224800000000001E-10</v>
      </c>
    </row>
    <row r="338" spans="1:40" thickBot="1">
      <c r="A338" s="29" t="s">
        <v>577</v>
      </c>
      <c r="B338" s="30" t="s">
        <v>17</v>
      </c>
      <c r="C338" s="30">
        <v>56</v>
      </c>
      <c r="D338" s="30" t="s">
        <v>41</v>
      </c>
      <c r="E338" s="30">
        <v>1000</v>
      </c>
      <c r="F338" s="30">
        <v>31</v>
      </c>
      <c r="G338" s="30" t="s">
        <v>566</v>
      </c>
      <c r="H338" s="42" t="s">
        <v>19</v>
      </c>
      <c r="I338" s="30" t="s">
        <v>20</v>
      </c>
      <c r="J338" s="40" t="s">
        <v>75</v>
      </c>
      <c r="K338" s="46" t="s">
        <v>402</v>
      </c>
      <c r="L338" s="1">
        <f t="shared" si="69"/>
        <v>42392.127083333333</v>
      </c>
      <c r="M338" s="43"/>
      <c r="N338" s="11">
        <f t="shared" si="72"/>
        <v>0.76858976510105104</v>
      </c>
      <c r="O338" s="11">
        <f t="shared" si="73"/>
        <v>0.90700000000000003</v>
      </c>
      <c r="P338" s="1">
        <f t="shared" si="74"/>
        <v>42391.677777777775</v>
      </c>
      <c r="Q338" s="12">
        <f t="shared" si="75"/>
        <v>1.2835570469703387E-2</v>
      </c>
      <c r="AC338" s="39">
        <v>8.9046399999999995E-11</v>
      </c>
      <c r="AD338" s="39">
        <v>7.4900199999999994E-11</v>
      </c>
      <c r="AE338" s="39">
        <v>9.0761999999999996E-11</v>
      </c>
      <c r="AF338" s="39">
        <v>5.5929700000000002E-11</v>
      </c>
      <c r="AG338" s="39">
        <v>8.96415E-11</v>
      </c>
      <c r="AH338" s="39">
        <v>9.9095199999999994E-11</v>
      </c>
      <c r="AI338" s="39">
        <v>4.1543700000000003E-11</v>
      </c>
      <c r="AJ338" s="39">
        <v>1.7045200000000001E-10</v>
      </c>
      <c r="AK338" s="39">
        <v>4.6515399999999999E-11</v>
      </c>
      <c r="AL338" s="39">
        <v>9.4941800000000002E-11</v>
      </c>
      <c r="AM338" s="39">
        <v>8.5806299999999996E-11</v>
      </c>
      <c r="AN338" s="39">
        <v>1.9019500000000001E-10</v>
      </c>
    </row>
    <row r="339" spans="1:40" thickBot="1">
      <c r="A339" s="29" t="s">
        <v>578</v>
      </c>
      <c r="B339" s="30" t="s">
        <v>17</v>
      </c>
      <c r="C339" s="30">
        <v>56</v>
      </c>
      <c r="D339" s="30" t="s">
        <v>41</v>
      </c>
      <c r="E339" s="30">
        <v>1000</v>
      </c>
      <c r="F339" s="30">
        <v>31</v>
      </c>
      <c r="G339" s="30" t="s">
        <v>566</v>
      </c>
      <c r="H339" s="42" t="s">
        <v>19</v>
      </c>
      <c r="I339" s="30" t="s">
        <v>20</v>
      </c>
      <c r="J339" s="40" t="s">
        <v>75</v>
      </c>
      <c r="K339" s="46" t="s">
        <v>402</v>
      </c>
      <c r="L339" s="1">
        <f t="shared" si="69"/>
        <v>42392.166666666664</v>
      </c>
      <c r="M339" s="43"/>
      <c r="N339" s="11">
        <f t="shared" si="72"/>
        <v>0.7563959731554305</v>
      </c>
      <c r="O339" s="11">
        <f t="shared" si="73"/>
        <v>0.90700000000000003</v>
      </c>
      <c r="P339" s="1">
        <f t="shared" si="74"/>
        <v>42391.677777777775</v>
      </c>
      <c r="Q339" s="12">
        <f t="shared" si="75"/>
        <v>1.2835570469703387E-2</v>
      </c>
      <c r="AC339" s="39">
        <v>8.2582400000000003E-11</v>
      </c>
      <c r="AD339" s="39">
        <v>6.7191900000000001E-11</v>
      </c>
      <c r="AE339" s="39">
        <v>8.0933700000000002E-11</v>
      </c>
      <c r="AF339" s="39">
        <v>5.22738E-11</v>
      </c>
      <c r="AG339" s="39">
        <v>8.8363899999999995E-11</v>
      </c>
      <c r="AH339" s="39">
        <v>8.3952600000000006E-11</v>
      </c>
      <c r="AI339" s="39">
        <v>3.8724600000000002E-11</v>
      </c>
      <c r="AJ339" s="39">
        <v>1.5707600000000001E-10</v>
      </c>
      <c r="AK339" s="39">
        <v>4.5209200000000002E-11</v>
      </c>
      <c r="AL339" s="39">
        <v>9.5323E-11</v>
      </c>
      <c r="AM339" s="39">
        <v>7.3096099999999996E-11</v>
      </c>
      <c r="AN339" s="39">
        <v>1.4286699999999999E-10</v>
      </c>
    </row>
    <row r="340" spans="1:40" thickBot="1">
      <c r="A340" s="29" t="s">
        <v>579</v>
      </c>
      <c r="B340" s="30" t="s">
        <v>17</v>
      </c>
      <c r="C340" s="30">
        <v>56</v>
      </c>
      <c r="D340" s="30" t="s">
        <v>41</v>
      </c>
      <c r="E340" s="30">
        <v>1000</v>
      </c>
      <c r="F340" s="30">
        <v>31</v>
      </c>
      <c r="G340" s="30" t="s">
        <v>566</v>
      </c>
      <c r="H340" s="42" t="s">
        <v>19</v>
      </c>
      <c r="I340" s="30" t="s">
        <v>20</v>
      </c>
      <c r="J340" s="40" t="s">
        <v>75</v>
      </c>
      <c r="K340" s="46" t="s">
        <v>402</v>
      </c>
      <c r="L340" s="1">
        <f t="shared" si="69"/>
        <v>42392.206250000003</v>
      </c>
      <c r="M340" s="43"/>
      <c r="N340" s="11">
        <f t="shared" si="72"/>
        <v>0.74420218120756854</v>
      </c>
      <c r="O340" s="11">
        <f t="shared" si="73"/>
        <v>0.90700000000000003</v>
      </c>
      <c r="P340" s="1">
        <f t="shared" si="74"/>
        <v>42391.677777777775</v>
      </c>
      <c r="Q340" s="12">
        <f t="shared" si="75"/>
        <v>1.2835570469703387E-2</v>
      </c>
      <c r="AC340" s="39">
        <v>1.0740099999999999E-10</v>
      </c>
      <c r="AD340" s="39">
        <v>8.5533399999999999E-11</v>
      </c>
      <c r="AE340" s="39">
        <v>1.06154E-10</v>
      </c>
      <c r="AF340" s="39">
        <v>6.83266E-11</v>
      </c>
      <c r="AG340" s="39">
        <v>1.0562600000000001E-10</v>
      </c>
      <c r="AH340" s="39">
        <v>1.04532E-10</v>
      </c>
      <c r="AI340" s="39">
        <v>4.9155200000000003E-11</v>
      </c>
      <c r="AJ340" s="39">
        <v>2.04612E-10</v>
      </c>
      <c r="AK340" s="39">
        <v>5.2971699999999998E-11</v>
      </c>
      <c r="AL340" s="39">
        <v>1.10074E-10</v>
      </c>
      <c r="AM340" s="39">
        <v>9.7380400000000002E-11</v>
      </c>
      <c r="AN340" s="39">
        <v>1.5704300000000001E-10</v>
      </c>
    </row>
    <row r="341" spans="1:40" thickBot="1">
      <c r="A341" s="29" t="s">
        <v>580</v>
      </c>
      <c r="B341" s="30" t="s">
        <v>17</v>
      </c>
      <c r="C341" s="30">
        <v>56</v>
      </c>
      <c r="D341" s="30" t="s">
        <v>41</v>
      </c>
      <c r="E341" s="30">
        <v>1000</v>
      </c>
      <c r="F341" s="30">
        <v>31</v>
      </c>
      <c r="G341" s="30" t="s">
        <v>566</v>
      </c>
      <c r="H341" s="42" t="s">
        <v>19</v>
      </c>
      <c r="I341" s="30" t="s">
        <v>20</v>
      </c>
      <c r="J341" s="40" t="s">
        <v>75</v>
      </c>
      <c r="K341" s="46" t="s">
        <v>402</v>
      </c>
      <c r="L341" s="1">
        <f t="shared" si="69"/>
        <v>42392.245833333334</v>
      </c>
      <c r="M341" s="43"/>
      <c r="N341" s="11">
        <f t="shared" si="72"/>
        <v>0.732008389261948</v>
      </c>
      <c r="O341" s="11">
        <f t="shared" si="73"/>
        <v>0.90700000000000003</v>
      </c>
      <c r="P341" s="1">
        <f t="shared" si="74"/>
        <v>42391.677777777775</v>
      </c>
      <c r="Q341" s="12">
        <f t="shared" si="75"/>
        <v>1.2835570469703387E-2</v>
      </c>
      <c r="AC341" s="39">
        <v>9.9800200000000006E-11</v>
      </c>
      <c r="AD341" s="39">
        <v>8.1061599999999995E-11</v>
      </c>
      <c r="AE341" s="39">
        <v>9.5958200000000005E-11</v>
      </c>
      <c r="AF341" s="39">
        <v>6.5128800000000004E-11</v>
      </c>
      <c r="AG341" s="39">
        <v>1.10199E-10</v>
      </c>
      <c r="AH341" s="39">
        <v>1.05621E-10</v>
      </c>
      <c r="AI341" s="39">
        <v>4.5335800000000001E-11</v>
      </c>
      <c r="AJ341" s="39">
        <v>1.9329699999999999E-10</v>
      </c>
      <c r="AK341" s="39">
        <v>5.1680300000000001E-11</v>
      </c>
      <c r="AL341" s="39">
        <v>1.10972E-10</v>
      </c>
      <c r="AM341" s="39">
        <v>9.1992799999999998E-11</v>
      </c>
      <c r="AN341" s="39">
        <v>1.8676600000000001E-10</v>
      </c>
    </row>
    <row r="342" spans="1:40" thickBot="1">
      <c r="A342" s="29" t="s">
        <v>581</v>
      </c>
      <c r="B342" s="30" t="s">
        <v>17</v>
      </c>
      <c r="C342" s="30">
        <v>56</v>
      </c>
      <c r="D342" s="30" t="s">
        <v>41</v>
      </c>
      <c r="E342" s="30">
        <v>1000</v>
      </c>
      <c r="F342" s="30">
        <v>31</v>
      </c>
      <c r="G342" s="30" t="s">
        <v>566</v>
      </c>
      <c r="H342" s="42" t="s">
        <v>19</v>
      </c>
      <c r="I342" s="30" t="s">
        <v>20</v>
      </c>
      <c r="J342" s="40" t="s">
        <v>75</v>
      </c>
      <c r="K342" s="46" t="s">
        <v>402</v>
      </c>
      <c r="L342" s="1">
        <f t="shared" si="69"/>
        <v>42392.284722222219</v>
      </c>
      <c r="M342" s="43"/>
      <c r="N342" s="11">
        <f t="shared" si="72"/>
        <v>0.72002852349151991</v>
      </c>
      <c r="O342" s="11">
        <f t="shared" si="73"/>
        <v>0.90700000000000003</v>
      </c>
      <c r="P342" s="1">
        <f t="shared" si="74"/>
        <v>42391.677777777775</v>
      </c>
      <c r="Q342" s="12">
        <f t="shared" si="75"/>
        <v>1.2835570469703387E-2</v>
      </c>
      <c r="AC342" s="39">
        <v>1.2318699999999999E-10</v>
      </c>
      <c r="AD342" s="39">
        <v>1.00664E-10</v>
      </c>
      <c r="AE342" s="39">
        <v>1.1823500000000001E-10</v>
      </c>
      <c r="AF342" s="39">
        <v>8.4855700000000004E-11</v>
      </c>
      <c r="AG342" s="39">
        <v>1.2209299999999999E-10</v>
      </c>
      <c r="AH342" s="39">
        <v>1.3943199999999999E-10</v>
      </c>
      <c r="AI342" s="39">
        <v>5.6965499999999998E-11</v>
      </c>
      <c r="AJ342" s="39">
        <v>2.3598499999999999E-10</v>
      </c>
      <c r="AK342" s="39">
        <v>6.2960499999999999E-11</v>
      </c>
      <c r="AL342" s="39">
        <v>1.28621E-10</v>
      </c>
      <c r="AM342" s="39">
        <v>1.2698300000000001E-10</v>
      </c>
      <c r="AN342" s="39">
        <v>2.7032299999999998E-10</v>
      </c>
    </row>
    <row r="343" spans="1:40" thickBot="1">
      <c r="A343" s="29" t="s">
        <v>582</v>
      </c>
      <c r="B343" s="30" t="s">
        <v>17</v>
      </c>
      <c r="C343" s="30">
        <v>56</v>
      </c>
      <c r="D343" s="30" t="s">
        <v>41</v>
      </c>
      <c r="E343" s="30">
        <v>1000</v>
      </c>
      <c r="F343" s="30">
        <v>31</v>
      </c>
      <c r="G343" s="30" t="s">
        <v>566</v>
      </c>
      <c r="H343" s="42" t="s">
        <v>19</v>
      </c>
      <c r="I343" s="30" t="s">
        <v>20</v>
      </c>
      <c r="J343" s="40" t="s">
        <v>75</v>
      </c>
      <c r="K343" s="46" t="s">
        <v>402</v>
      </c>
      <c r="L343" s="1">
        <f t="shared" si="69"/>
        <v>42392.324305555558</v>
      </c>
      <c r="M343" s="43"/>
      <c r="N343" s="11">
        <f t="shared" si="72"/>
        <v>0.70783473154365806</v>
      </c>
      <c r="O343" s="11">
        <f t="shared" si="73"/>
        <v>0.90700000000000003</v>
      </c>
      <c r="P343" s="1">
        <f t="shared" si="74"/>
        <v>42391.677777777775</v>
      </c>
      <c r="Q343" s="12">
        <f t="shared" si="75"/>
        <v>1.2835570469703387E-2</v>
      </c>
      <c r="AC343" s="39">
        <v>4.8712999999999999E-11</v>
      </c>
      <c r="AD343" s="39">
        <v>3.9966000000000003E-11</v>
      </c>
      <c r="AE343" s="39">
        <v>4.9364E-11</v>
      </c>
      <c r="AF343" s="39">
        <v>3.2480399999999999E-11</v>
      </c>
      <c r="AG343" s="39">
        <v>5.8831399999999999E-11</v>
      </c>
      <c r="AH343" s="39">
        <v>5.4050200000000002E-11</v>
      </c>
      <c r="AI343" s="39">
        <v>2.7199599999999999E-11</v>
      </c>
      <c r="AJ343" s="39">
        <v>1.0718E-10</v>
      </c>
      <c r="AK343" s="39">
        <v>3.4419799999999997E-11</v>
      </c>
      <c r="AL343" s="39">
        <v>5.8544400000000006E-11</v>
      </c>
      <c r="AM343" s="39">
        <v>4.7763400000000003E-11</v>
      </c>
      <c r="AN343" s="39">
        <v>9.5371799999999995E-11</v>
      </c>
    </row>
    <row r="344" spans="1:40" thickBot="1">
      <c r="A344" s="29" t="s">
        <v>583</v>
      </c>
      <c r="B344" s="30" t="s">
        <v>17</v>
      </c>
      <c r="C344" s="30">
        <v>56</v>
      </c>
      <c r="D344" s="30" t="s">
        <v>41</v>
      </c>
      <c r="E344" s="30">
        <v>1000</v>
      </c>
      <c r="F344" s="30">
        <v>31</v>
      </c>
      <c r="G344" s="30" t="s">
        <v>566</v>
      </c>
      <c r="H344" s="42" t="s">
        <v>19</v>
      </c>
      <c r="I344" s="30" t="s">
        <v>20</v>
      </c>
      <c r="J344" s="40" t="s">
        <v>75</v>
      </c>
      <c r="K344" s="44" t="str">
        <f t="shared" si="68"/>
        <v>lev OK</v>
      </c>
      <c r="L344" s="1">
        <f t="shared" si="69"/>
        <v>42392.363888888889</v>
      </c>
      <c r="M344" s="43"/>
      <c r="N344" s="11">
        <f t="shared" si="72"/>
        <v>0.69564093959803752</v>
      </c>
      <c r="O344" s="11">
        <f t="shared" si="73"/>
        <v>0.90700000000000003</v>
      </c>
      <c r="P344" s="1">
        <f t="shared" si="74"/>
        <v>42391.677777777775</v>
      </c>
      <c r="Q344" s="12">
        <f t="shared" si="75"/>
        <v>1.2835570469703387E-2</v>
      </c>
      <c r="AC344" s="39">
        <v>1.46255E-10</v>
      </c>
      <c r="AD344" s="39">
        <v>1.2000799999999999E-10</v>
      </c>
      <c r="AE344" s="39">
        <v>1.39183E-10</v>
      </c>
      <c r="AF344" s="39">
        <v>9.6140999999999999E-11</v>
      </c>
      <c r="AG344" s="39">
        <v>1.4571300000000001E-10</v>
      </c>
      <c r="AH344" s="39">
        <v>1.44085E-10</v>
      </c>
      <c r="AI344" s="39">
        <v>6.33857E-11</v>
      </c>
      <c r="AJ344" s="39">
        <v>2.6313399999999998E-10</v>
      </c>
      <c r="AK344" s="39">
        <v>6.8352499999999997E-11</v>
      </c>
      <c r="AL344" s="39">
        <v>1.3986500000000001E-10</v>
      </c>
      <c r="AM344" s="39">
        <v>1.42316E-10</v>
      </c>
      <c r="AN344" s="39">
        <v>2.1545200000000001E-10</v>
      </c>
    </row>
    <row r="345" spans="1:40" thickBot="1">
      <c r="A345" s="29" t="s">
        <v>584</v>
      </c>
      <c r="B345" s="30" t="s">
        <v>17</v>
      </c>
      <c r="C345" s="30">
        <v>56</v>
      </c>
      <c r="D345" s="30" t="s">
        <v>41</v>
      </c>
      <c r="E345" s="30">
        <v>1000</v>
      </c>
      <c r="F345" s="30">
        <v>31</v>
      </c>
      <c r="G345" s="30" t="s">
        <v>566</v>
      </c>
      <c r="H345" s="42" t="s">
        <v>19</v>
      </c>
      <c r="I345" s="30" t="s">
        <v>20</v>
      </c>
      <c r="J345" s="40" t="s">
        <v>75</v>
      </c>
      <c r="K345" s="44" t="str">
        <f t="shared" si="68"/>
        <v>lev OK</v>
      </c>
      <c r="L345" s="1">
        <f t="shared" si="69"/>
        <v>42392.402777777781</v>
      </c>
      <c r="M345" s="43"/>
      <c r="N345" s="11">
        <f t="shared" si="72"/>
        <v>0.683661073825368</v>
      </c>
      <c r="O345" s="11">
        <f t="shared" si="73"/>
        <v>0.90700000000000003</v>
      </c>
      <c r="P345" s="1">
        <f t="shared" si="74"/>
        <v>42391.677777777775</v>
      </c>
      <c r="Q345" s="12">
        <f t="shared" si="75"/>
        <v>1.2835570469703387E-2</v>
      </c>
      <c r="AC345" s="39">
        <v>9.6644399999999996E-11</v>
      </c>
      <c r="AD345" s="39">
        <v>7.7804399999999999E-11</v>
      </c>
      <c r="AE345" s="39">
        <v>9.5362399999999997E-11</v>
      </c>
      <c r="AF345" s="39">
        <v>6.17053E-11</v>
      </c>
      <c r="AG345" s="39">
        <v>1.0329E-10</v>
      </c>
      <c r="AH345" s="39">
        <v>1.01553E-10</v>
      </c>
      <c r="AI345" s="39">
        <v>4.6384899999999997E-11</v>
      </c>
      <c r="AJ345" s="39">
        <v>1.8144800000000001E-10</v>
      </c>
      <c r="AK345" s="39">
        <v>5.0500599999999997E-11</v>
      </c>
      <c r="AL345" s="39">
        <v>9.9798999999999998E-11</v>
      </c>
      <c r="AM345" s="39">
        <v>9.1272400000000001E-11</v>
      </c>
      <c r="AN345" s="39">
        <v>1.8136900000000001E-10</v>
      </c>
    </row>
    <row r="346" spans="1:40" thickBot="1">
      <c r="A346" s="29" t="s">
        <v>585</v>
      </c>
      <c r="B346" s="30" t="s">
        <v>17</v>
      </c>
      <c r="C346" s="30">
        <v>56</v>
      </c>
      <c r="D346" s="30" t="s">
        <v>41</v>
      </c>
      <c r="E346" s="30">
        <v>1000</v>
      </c>
      <c r="F346" s="30">
        <v>31</v>
      </c>
      <c r="G346" s="30" t="s">
        <v>566</v>
      </c>
      <c r="H346" s="42" t="s">
        <v>19</v>
      </c>
      <c r="I346" s="30" t="s">
        <v>20</v>
      </c>
      <c r="J346" s="40" t="s">
        <v>75</v>
      </c>
      <c r="K346" s="44" t="str">
        <f t="shared" si="68"/>
        <v>lev OK</v>
      </c>
      <c r="L346" s="1">
        <f t="shared" si="69"/>
        <v>42392.442361111112</v>
      </c>
      <c r="M346" s="43"/>
      <c r="N346" s="11">
        <f t="shared" si="72"/>
        <v>0.67146728187974747</v>
      </c>
      <c r="O346" s="11">
        <f t="shared" si="73"/>
        <v>0.90700000000000003</v>
      </c>
      <c r="P346" s="1">
        <f t="shared" si="74"/>
        <v>42391.677777777775</v>
      </c>
      <c r="Q346" s="12">
        <f t="shared" si="75"/>
        <v>1.2835570469703387E-2</v>
      </c>
      <c r="AC346" s="39">
        <v>1.3576E-10</v>
      </c>
      <c r="AD346" s="39">
        <v>1.0886999999999999E-10</v>
      </c>
      <c r="AE346" s="39">
        <v>1.27859E-10</v>
      </c>
      <c r="AF346" s="39">
        <v>8.6027100000000005E-11</v>
      </c>
      <c r="AG346" s="39">
        <v>1.30185E-10</v>
      </c>
      <c r="AH346" s="39">
        <v>1.4507199999999999E-10</v>
      </c>
      <c r="AI346" s="39">
        <v>6.0628399999999996E-11</v>
      </c>
      <c r="AJ346" s="39">
        <v>2.5137099999999999E-10</v>
      </c>
      <c r="AK346" s="39">
        <v>6.3708399999999999E-11</v>
      </c>
      <c r="AL346" s="39">
        <v>1.3527299999999999E-10</v>
      </c>
      <c r="AM346" s="39">
        <v>1.2458199999999999E-10</v>
      </c>
      <c r="AN346" s="39">
        <v>1.67254E-10</v>
      </c>
    </row>
    <row r="347" spans="1:40" thickBot="1">
      <c r="A347" s="29" t="s">
        <v>586</v>
      </c>
      <c r="B347" s="30" t="s">
        <v>17</v>
      </c>
      <c r="C347" s="30">
        <v>56</v>
      </c>
      <c r="D347" s="30" t="s">
        <v>41</v>
      </c>
      <c r="E347" s="30">
        <v>1000</v>
      </c>
      <c r="F347" s="30">
        <v>4</v>
      </c>
      <c r="G347" s="30" t="s">
        <v>566</v>
      </c>
      <c r="H347" s="42" t="s">
        <v>19</v>
      </c>
      <c r="I347" s="30" t="s">
        <v>20</v>
      </c>
      <c r="J347" s="40" t="s">
        <v>75</v>
      </c>
      <c r="K347" s="44" t="str">
        <f t="shared" si="68"/>
        <v>lev OK</v>
      </c>
      <c r="L347" s="1">
        <f t="shared" si="69"/>
        <v>42392.481944444444</v>
      </c>
      <c r="M347" s="43"/>
      <c r="N347" s="11">
        <f t="shared" si="72"/>
        <v>0.65927348993412693</v>
      </c>
      <c r="O347" s="11">
        <f t="shared" si="73"/>
        <v>0.90700000000000003</v>
      </c>
      <c r="P347" s="1">
        <f t="shared" si="74"/>
        <v>42391.677777777775</v>
      </c>
      <c r="Q347" s="12">
        <f t="shared" si="75"/>
        <v>1.2835570469703387E-2</v>
      </c>
      <c r="AC347" s="39">
        <v>1.08141E-10</v>
      </c>
      <c r="AD347" s="39">
        <v>8.3958199999999995E-11</v>
      </c>
      <c r="AE347" s="39">
        <v>1.01117E-10</v>
      </c>
      <c r="AF347" s="39">
        <v>6.4393399999999995E-11</v>
      </c>
      <c r="AG347" s="39">
        <v>1.1698899999999999E-10</v>
      </c>
      <c r="AH347" s="39">
        <v>1.10112E-10</v>
      </c>
      <c r="AI347" s="39">
        <v>4.6812100000000002E-11</v>
      </c>
      <c r="AJ347" s="39">
        <v>1.99161E-10</v>
      </c>
      <c r="AK347" s="39">
        <v>5.05654E-11</v>
      </c>
      <c r="AL347" s="39">
        <v>1.08221E-10</v>
      </c>
      <c r="AM347" s="39">
        <v>9.6661900000000004E-11</v>
      </c>
      <c r="AN347" s="39">
        <v>1.7604500000000001E-10</v>
      </c>
    </row>
    <row r="348" spans="1:40" thickBot="1">
      <c r="A348" s="29" t="s">
        <v>587</v>
      </c>
      <c r="B348" s="30" t="s">
        <v>17</v>
      </c>
      <c r="C348" s="30">
        <v>56</v>
      </c>
      <c r="D348" s="30" t="s">
        <v>41</v>
      </c>
      <c r="E348" s="30">
        <v>1000</v>
      </c>
      <c r="F348" s="30">
        <v>2</v>
      </c>
      <c r="G348" s="30" t="s">
        <v>566</v>
      </c>
      <c r="H348" s="42" t="s">
        <v>19</v>
      </c>
      <c r="I348" s="30" t="s">
        <v>20</v>
      </c>
      <c r="J348" s="40" t="s">
        <v>75</v>
      </c>
      <c r="K348" s="44" t="str">
        <f t="shared" si="68"/>
        <v>lev OK</v>
      </c>
      <c r="L348" s="1">
        <f t="shared" si="69"/>
        <v>42392.520833333336</v>
      </c>
      <c r="M348" s="43"/>
      <c r="N348" s="11">
        <f t="shared" si="70"/>
        <v>0.64619034852586599</v>
      </c>
      <c r="O348" s="12">
        <v>0.65200000000000002</v>
      </c>
      <c r="P348" s="1">
        <v>42392.505555555559</v>
      </c>
      <c r="Q348" s="11">
        <f>(O348-R348)/(S348-P348)/24</f>
        <v>1.5844504021539207E-2</v>
      </c>
      <c r="R348" s="12">
        <v>0.25800000000000001</v>
      </c>
      <c r="S348" s="1">
        <v>42393.541666666664</v>
      </c>
      <c r="AC348" s="39">
        <v>8.0601200000000006E-11</v>
      </c>
      <c r="AD348" s="39">
        <v>6.4194600000000006E-11</v>
      </c>
      <c r="AE348" s="39">
        <v>7.9733899999999995E-11</v>
      </c>
      <c r="AF348" s="39">
        <v>4.9511499999999999E-11</v>
      </c>
      <c r="AG348" s="39">
        <v>7.3834999999999996E-11</v>
      </c>
      <c r="AH348" s="39">
        <v>7.8206500000000003E-11</v>
      </c>
      <c r="AI348" s="39">
        <v>3.6410199999999999E-11</v>
      </c>
      <c r="AJ348" s="39">
        <v>1.56488E-10</v>
      </c>
      <c r="AK348" s="39">
        <v>4.3261999999999999E-11</v>
      </c>
      <c r="AL348" s="39">
        <v>8.6724899999999997E-11</v>
      </c>
      <c r="AM348" s="39">
        <v>7.2858299999999995E-11</v>
      </c>
      <c r="AN348" s="39">
        <v>1.2356900000000001E-10</v>
      </c>
    </row>
    <row r="349" spans="1:40" thickBot="1">
      <c r="A349" s="29" t="s">
        <v>588</v>
      </c>
      <c r="B349" s="30" t="s">
        <v>17</v>
      </c>
      <c r="C349" s="30">
        <v>56</v>
      </c>
      <c r="D349" s="30" t="s">
        <v>41</v>
      </c>
      <c r="E349" s="30">
        <v>1000</v>
      </c>
      <c r="F349" s="30">
        <v>2</v>
      </c>
      <c r="G349" s="30" t="s">
        <v>566</v>
      </c>
      <c r="H349" s="42" t="s">
        <v>19</v>
      </c>
      <c r="I349" s="30" t="s">
        <v>20</v>
      </c>
      <c r="J349" s="40" t="s">
        <v>75</v>
      </c>
      <c r="K349" s="44" t="str">
        <f t="shared" si="68"/>
        <v>lev OK</v>
      </c>
      <c r="L349" s="1">
        <f t="shared" si="69"/>
        <v>42392.559027777781</v>
      </c>
      <c r="M349" s="43"/>
      <c r="N349" s="11">
        <f t="shared" si="70"/>
        <v>0.63166621983914772</v>
      </c>
      <c r="O349" s="11">
        <f t="shared" ref="O349:O367" si="76">O348</f>
        <v>0.65200000000000002</v>
      </c>
      <c r="P349" s="1">
        <f t="shared" ref="P349:P367" si="77">P348</f>
        <v>42392.505555555559</v>
      </c>
      <c r="Q349" s="12">
        <f t="shared" ref="Q349:Q367" si="78">Q348</f>
        <v>1.5844504021539207E-2</v>
      </c>
      <c r="AC349" s="39">
        <v>1.11873E-10</v>
      </c>
      <c r="AD349" s="39">
        <v>8.48031E-11</v>
      </c>
      <c r="AE349" s="39">
        <v>1.01817E-10</v>
      </c>
      <c r="AF349" s="39">
        <v>6.81377E-11</v>
      </c>
      <c r="AG349" s="39">
        <v>1.13283E-10</v>
      </c>
      <c r="AH349" s="39">
        <v>1.1176700000000001E-10</v>
      </c>
      <c r="AI349" s="39">
        <v>4.9420899999999998E-11</v>
      </c>
      <c r="AJ349" s="39">
        <v>2.1025E-10</v>
      </c>
      <c r="AK349" s="39">
        <v>5.3312800000000002E-11</v>
      </c>
      <c r="AL349" s="39">
        <v>1.11875E-10</v>
      </c>
      <c r="AM349" s="39">
        <v>1.07732E-10</v>
      </c>
      <c r="AN349" s="39">
        <v>2.17359E-10</v>
      </c>
    </row>
    <row r="350" spans="1:40" thickBot="1">
      <c r="A350" s="29" t="s">
        <v>589</v>
      </c>
      <c r="B350" s="30" t="s">
        <v>17</v>
      </c>
      <c r="C350" s="30">
        <v>56</v>
      </c>
      <c r="D350" s="30" t="s">
        <v>41</v>
      </c>
      <c r="E350" s="30">
        <v>1000</v>
      </c>
      <c r="F350" s="30">
        <v>2</v>
      </c>
      <c r="G350" s="30" t="s">
        <v>566</v>
      </c>
      <c r="H350" s="42" t="s">
        <v>19</v>
      </c>
      <c r="I350" s="30" t="s">
        <v>20</v>
      </c>
      <c r="J350" s="40" t="s">
        <v>75</v>
      </c>
      <c r="K350" s="44" t="str">
        <f t="shared" si="68"/>
        <v>lev OK</v>
      </c>
      <c r="L350" s="1">
        <f t="shared" si="69"/>
        <v>42392.597916666666</v>
      </c>
      <c r="M350" s="43"/>
      <c r="N350" s="11">
        <f t="shared" si="70"/>
        <v>0.61687801608730974</v>
      </c>
      <c r="O350" s="11">
        <f t="shared" si="76"/>
        <v>0.65200000000000002</v>
      </c>
      <c r="P350" s="1">
        <f t="shared" si="77"/>
        <v>42392.505555555559</v>
      </c>
      <c r="Q350" s="12">
        <f t="shared" si="78"/>
        <v>1.5844504021539207E-2</v>
      </c>
      <c r="AC350" s="39">
        <v>5.7191699999999998E-11</v>
      </c>
      <c r="AD350" s="39">
        <v>4.80437E-11</v>
      </c>
      <c r="AE350" s="39">
        <v>6.0148099999999996E-11</v>
      </c>
      <c r="AF350" s="39">
        <v>4.7131500000000003E-11</v>
      </c>
      <c r="AG350" s="39">
        <v>6.5683E-11</v>
      </c>
      <c r="AH350" s="39">
        <v>6.5718499999999994E-11</v>
      </c>
      <c r="AI350" s="39">
        <v>3.1942299999999998E-11</v>
      </c>
      <c r="AJ350" s="39">
        <v>1.2066499999999999E-10</v>
      </c>
      <c r="AK350" s="39">
        <v>3.2213600000000002E-11</v>
      </c>
      <c r="AL350" s="39">
        <v>6.4077999999999996E-11</v>
      </c>
      <c r="AM350" s="39">
        <v>5.5887299999999999E-11</v>
      </c>
      <c r="AN350" s="39">
        <v>1.16017E-10</v>
      </c>
    </row>
    <row r="351" spans="1:40" thickBot="1">
      <c r="A351" s="29" t="s">
        <v>590</v>
      </c>
      <c r="B351" s="30" t="s">
        <v>17</v>
      </c>
      <c r="C351" s="30">
        <v>56</v>
      </c>
      <c r="D351" s="30" t="s">
        <v>41</v>
      </c>
      <c r="E351" s="30">
        <v>1000</v>
      </c>
      <c r="F351" s="30">
        <v>32</v>
      </c>
      <c r="G351" s="30" t="s">
        <v>566</v>
      </c>
      <c r="H351" s="42" t="s">
        <v>19</v>
      </c>
      <c r="I351" s="30" t="s">
        <v>20</v>
      </c>
      <c r="J351" s="40" t="s">
        <v>75</v>
      </c>
      <c r="K351" s="44" t="str">
        <f t="shared" si="68"/>
        <v>lev OK</v>
      </c>
      <c r="L351" s="1">
        <f t="shared" si="69"/>
        <v>42392.790277777778</v>
      </c>
      <c r="M351" s="43"/>
      <c r="N351" s="11">
        <f t="shared" si="70"/>
        <v>0.54372922252071176</v>
      </c>
      <c r="O351" s="11">
        <f t="shared" si="76"/>
        <v>0.65200000000000002</v>
      </c>
      <c r="P351" s="1">
        <f t="shared" si="77"/>
        <v>42392.505555555559</v>
      </c>
      <c r="Q351" s="12">
        <f t="shared" si="78"/>
        <v>1.5844504021539207E-2</v>
      </c>
      <c r="AC351" s="39">
        <v>1.2495800000000001E-10</v>
      </c>
      <c r="AD351" s="39">
        <v>8.9491200000000001E-11</v>
      </c>
      <c r="AE351" s="39">
        <v>1.02821E-10</v>
      </c>
      <c r="AF351" s="39">
        <v>7.4101600000000001E-11</v>
      </c>
      <c r="AG351" s="39">
        <v>1.06567E-10</v>
      </c>
      <c r="AH351" s="39">
        <v>1.16677E-10</v>
      </c>
      <c r="AI351" s="39">
        <v>5.1012300000000003E-11</v>
      </c>
      <c r="AJ351" s="39">
        <v>2.20655E-10</v>
      </c>
      <c r="AK351" s="39">
        <v>5.4427800000000003E-11</v>
      </c>
      <c r="AL351" s="39">
        <v>1.1196299999999999E-10</v>
      </c>
      <c r="AM351" s="39">
        <v>1.04984E-10</v>
      </c>
      <c r="AN351" s="39">
        <v>1.86894E-10</v>
      </c>
    </row>
    <row r="352" spans="1:40" thickBot="1">
      <c r="A352" s="29" t="s">
        <v>591</v>
      </c>
      <c r="B352" s="30" t="s">
        <v>17</v>
      </c>
      <c r="C352" s="30">
        <v>56</v>
      </c>
      <c r="D352" s="30" t="s">
        <v>41</v>
      </c>
      <c r="E352" s="30">
        <v>1000</v>
      </c>
      <c r="F352" s="30">
        <v>31</v>
      </c>
      <c r="G352" s="30" t="s">
        <v>566</v>
      </c>
      <c r="H352" s="42" t="s">
        <v>19</v>
      </c>
      <c r="I352" s="30" t="s">
        <v>20</v>
      </c>
      <c r="J352" s="40" t="s">
        <v>75</v>
      </c>
      <c r="K352" s="44" t="str">
        <f t="shared" si="68"/>
        <v>lev OK</v>
      </c>
      <c r="L352" s="1">
        <f t="shared" si="69"/>
        <v>42392.829861111109</v>
      </c>
      <c r="M352" s="43"/>
      <c r="N352" s="11">
        <f t="shared" si="70"/>
        <v>0.52867694370098739</v>
      </c>
      <c r="O352" s="11">
        <f t="shared" si="76"/>
        <v>0.65200000000000002</v>
      </c>
      <c r="P352" s="1">
        <f t="shared" si="77"/>
        <v>42392.505555555559</v>
      </c>
      <c r="Q352" s="12">
        <f t="shared" si="78"/>
        <v>1.5844504021539207E-2</v>
      </c>
      <c r="AC352" s="39">
        <v>8.5570899999999998E-11</v>
      </c>
      <c r="AD352" s="39">
        <v>6.5575999999999999E-11</v>
      </c>
      <c r="AE352" s="39">
        <v>7.8832000000000005E-11</v>
      </c>
      <c r="AF352" s="39">
        <v>5.3317000000000003E-11</v>
      </c>
      <c r="AG352" s="39">
        <v>9.4793299999999995E-11</v>
      </c>
      <c r="AH352" s="39">
        <v>9.0197100000000002E-11</v>
      </c>
      <c r="AI352" s="39">
        <v>3.8538499999999997E-11</v>
      </c>
      <c r="AJ352" s="39">
        <v>1.65199E-10</v>
      </c>
      <c r="AK352" s="39">
        <v>4.5450300000000001E-11</v>
      </c>
      <c r="AL352" s="39">
        <v>8.25757E-11</v>
      </c>
      <c r="AM352" s="39">
        <v>7.5884300000000001E-11</v>
      </c>
      <c r="AN352" s="39">
        <v>1.52233E-10</v>
      </c>
    </row>
    <row r="353" spans="1:40" thickBot="1">
      <c r="A353" s="29" t="s">
        <v>592</v>
      </c>
      <c r="B353" s="30" t="s">
        <v>17</v>
      </c>
      <c r="C353" s="30">
        <v>56</v>
      </c>
      <c r="D353" s="30" t="s">
        <v>41</v>
      </c>
      <c r="E353" s="30">
        <v>1000</v>
      </c>
      <c r="F353" s="30">
        <v>32</v>
      </c>
      <c r="G353" s="30" t="s">
        <v>566</v>
      </c>
      <c r="H353" s="42" t="s">
        <v>19</v>
      </c>
      <c r="I353" s="30" t="s">
        <v>20</v>
      </c>
      <c r="J353" s="40" t="s">
        <v>75</v>
      </c>
      <c r="K353" s="44" t="str">
        <f t="shared" si="68"/>
        <v>lev OK</v>
      </c>
      <c r="L353" s="1">
        <f t="shared" si="69"/>
        <v>42392.869444444441</v>
      </c>
      <c r="M353" s="43"/>
      <c r="N353" s="11">
        <f t="shared" si="70"/>
        <v>0.51362466488126302</v>
      </c>
      <c r="O353" s="11">
        <f t="shared" si="76"/>
        <v>0.65200000000000002</v>
      </c>
      <c r="P353" s="1">
        <f t="shared" si="77"/>
        <v>42392.505555555559</v>
      </c>
      <c r="Q353" s="12">
        <f t="shared" si="78"/>
        <v>1.5844504021539207E-2</v>
      </c>
      <c r="AC353" s="39">
        <v>9.8868100000000005E-11</v>
      </c>
      <c r="AD353" s="39">
        <v>7.7421900000000001E-11</v>
      </c>
      <c r="AE353" s="39">
        <v>9.4148500000000006E-11</v>
      </c>
      <c r="AF353" s="39">
        <v>6.2470400000000003E-11</v>
      </c>
      <c r="AG353" s="39">
        <v>9.37766E-11</v>
      </c>
      <c r="AH353" s="39">
        <v>9.7829299999999996E-11</v>
      </c>
      <c r="AI353" s="39">
        <v>4.5394499999999998E-11</v>
      </c>
      <c r="AJ353" s="39">
        <v>1.8246900000000001E-10</v>
      </c>
      <c r="AK353" s="39">
        <v>4.7901900000000002E-11</v>
      </c>
      <c r="AL353" s="39">
        <v>1.01107E-10</v>
      </c>
      <c r="AM353" s="39">
        <v>8.8275700000000004E-11</v>
      </c>
      <c r="AN353" s="39">
        <v>1.63795E-10</v>
      </c>
    </row>
    <row r="354" spans="1:40" thickBot="1">
      <c r="A354" s="29" t="s">
        <v>593</v>
      </c>
      <c r="B354" s="30" t="s">
        <v>17</v>
      </c>
      <c r="C354" s="30">
        <v>56</v>
      </c>
      <c r="D354" s="30" t="s">
        <v>41</v>
      </c>
      <c r="E354" s="30">
        <v>1000</v>
      </c>
      <c r="F354" s="30">
        <v>32</v>
      </c>
      <c r="G354" s="30" t="s">
        <v>566</v>
      </c>
      <c r="H354" s="42" t="s">
        <v>19</v>
      </c>
      <c r="I354" s="30" t="s">
        <v>20</v>
      </c>
      <c r="J354" s="40" t="s">
        <v>75</v>
      </c>
      <c r="K354" s="44" t="str">
        <f t="shared" si="68"/>
        <v>lev OK</v>
      </c>
      <c r="L354" s="1">
        <f t="shared" si="69"/>
        <v>42392.90902777778</v>
      </c>
      <c r="M354" s="43"/>
      <c r="N354" s="11">
        <f t="shared" si="70"/>
        <v>0.49857238605877174</v>
      </c>
      <c r="O354" s="11">
        <f t="shared" si="76"/>
        <v>0.65200000000000002</v>
      </c>
      <c r="P354" s="1">
        <f t="shared" si="77"/>
        <v>42392.505555555559</v>
      </c>
      <c r="Q354" s="12">
        <f t="shared" si="78"/>
        <v>1.5844504021539207E-2</v>
      </c>
      <c r="AC354" s="39">
        <v>1.1125799999999999E-10</v>
      </c>
      <c r="AD354" s="39">
        <v>8.8918500000000002E-11</v>
      </c>
      <c r="AE354" s="39">
        <v>1.0762699999999999E-10</v>
      </c>
      <c r="AF354" s="39">
        <v>8.2598799999999997E-11</v>
      </c>
      <c r="AG354" s="39">
        <v>1.12203E-10</v>
      </c>
      <c r="AH354" s="39">
        <v>1.2581199999999999E-10</v>
      </c>
      <c r="AI354" s="39">
        <v>5.1571900000000001E-11</v>
      </c>
      <c r="AJ354" s="39">
        <v>2.1164999999999999E-10</v>
      </c>
      <c r="AK354" s="39">
        <v>5.6499200000000002E-11</v>
      </c>
      <c r="AL354" s="39">
        <v>1.05982E-10</v>
      </c>
      <c r="AM354" s="39">
        <v>1.03078E-10</v>
      </c>
      <c r="AN354" s="39">
        <v>1.65196E-10</v>
      </c>
    </row>
    <row r="355" spans="1:40" thickBot="1">
      <c r="A355" s="29" t="s">
        <v>594</v>
      </c>
      <c r="B355" s="30" t="s">
        <v>17</v>
      </c>
      <c r="C355" s="30">
        <v>56</v>
      </c>
      <c r="D355" s="30" t="s">
        <v>41</v>
      </c>
      <c r="E355" s="30">
        <v>1000</v>
      </c>
      <c r="F355" s="30">
        <v>32</v>
      </c>
      <c r="G355" s="30" t="s">
        <v>566</v>
      </c>
      <c r="H355" s="42" t="s">
        <v>19</v>
      </c>
      <c r="I355" s="30" t="s">
        <v>20</v>
      </c>
      <c r="J355" s="40" t="s">
        <v>75</v>
      </c>
      <c r="K355" s="44" t="str">
        <f t="shared" si="68"/>
        <v>lev OK</v>
      </c>
      <c r="L355" s="1">
        <f t="shared" si="69"/>
        <v>42392.948611111111</v>
      </c>
      <c r="M355" s="43"/>
      <c r="N355" s="11">
        <f t="shared" si="70"/>
        <v>0.48352010723904726</v>
      </c>
      <c r="O355" s="11">
        <f t="shared" si="76"/>
        <v>0.65200000000000002</v>
      </c>
      <c r="P355" s="1">
        <f t="shared" si="77"/>
        <v>42392.505555555559</v>
      </c>
      <c r="Q355" s="12">
        <f t="shared" si="78"/>
        <v>1.5844504021539207E-2</v>
      </c>
      <c r="AC355" s="39">
        <v>8.0057699999999996E-11</v>
      </c>
      <c r="AD355" s="39">
        <v>6.59787E-11</v>
      </c>
      <c r="AE355" s="39">
        <v>8.1322000000000001E-11</v>
      </c>
      <c r="AF355" s="39">
        <v>4.9058299999999997E-11</v>
      </c>
      <c r="AG355" s="39">
        <v>6.9779499999999999E-11</v>
      </c>
      <c r="AH355" s="39">
        <v>7.9959499999999997E-11</v>
      </c>
      <c r="AI355" s="39">
        <v>3.6678900000000001E-11</v>
      </c>
      <c r="AJ355" s="39">
        <v>1.48349E-10</v>
      </c>
      <c r="AK355" s="39">
        <v>4.1909099999999998E-11</v>
      </c>
      <c r="AL355" s="39">
        <v>8.10889E-11</v>
      </c>
      <c r="AM355" s="39">
        <v>7.0279899999999996E-11</v>
      </c>
      <c r="AN355" s="39">
        <v>1.17906E-10</v>
      </c>
    </row>
    <row r="356" spans="1:40" thickBot="1">
      <c r="A356" s="29" t="s">
        <v>595</v>
      </c>
      <c r="B356" s="30" t="s">
        <v>17</v>
      </c>
      <c r="C356" s="30">
        <v>56</v>
      </c>
      <c r="D356" s="30" t="s">
        <v>41</v>
      </c>
      <c r="E356" s="30">
        <v>1000</v>
      </c>
      <c r="F356" s="30">
        <v>32</v>
      </c>
      <c r="G356" s="30" t="s">
        <v>566</v>
      </c>
      <c r="H356" s="42" t="s">
        <v>19</v>
      </c>
      <c r="I356" s="30" t="s">
        <v>20</v>
      </c>
      <c r="J356" s="40" t="s">
        <v>75</v>
      </c>
      <c r="K356" s="44" t="str">
        <f t="shared" si="68"/>
        <v>lev OK</v>
      </c>
      <c r="L356" s="1">
        <f t="shared" si="69"/>
        <v>42392.987500000003</v>
      </c>
      <c r="M356" s="43"/>
      <c r="N356" s="11">
        <f t="shared" si="70"/>
        <v>0.46873190348444249</v>
      </c>
      <c r="O356" s="11">
        <f t="shared" si="76"/>
        <v>0.65200000000000002</v>
      </c>
      <c r="P356" s="1">
        <f t="shared" si="77"/>
        <v>42392.505555555559</v>
      </c>
      <c r="Q356" s="12">
        <f t="shared" si="78"/>
        <v>1.5844504021539207E-2</v>
      </c>
      <c r="AC356" s="39">
        <v>1.0075800000000001E-10</v>
      </c>
      <c r="AD356" s="39">
        <v>8.3358000000000006E-11</v>
      </c>
      <c r="AE356" s="39">
        <v>9.8346899999999996E-11</v>
      </c>
      <c r="AF356" s="39">
        <v>6.1042899999999997E-11</v>
      </c>
      <c r="AG356" s="39">
        <v>1.01234E-10</v>
      </c>
      <c r="AH356" s="39">
        <v>1.12824E-10</v>
      </c>
      <c r="AI356" s="39">
        <v>4.4770800000000001E-11</v>
      </c>
      <c r="AJ356" s="39">
        <v>1.8688699999999999E-10</v>
      </c>
      <c r="AK356" s="39">
        <v>5.0933099999999998E-11</v>
      </c>
      <c r="AL356" s="39">
        <v>1.08244E-10</v>
      </c>
      <c r="AM356" s="39">
        <v>9.3032099999999998E-11</v>
      </c>
      <c r="AN356" s="39">
        <v>1.6997399999999999E-10</v>
      </c>
    </row>
    <row r="357" spans="1:40" thickBot="1">
      <c r="A357" s="29" t="s">
        <v>596</v>
      </c>
      <c r="B357" s="30" t="s">
        <v>17</v>
      </c>
      <c r="C357" s="30">
        <v>56</v>
      </c>
      <c r="D357" s="30" t="s">
        <v>41</v>
      </c>
      <c r="E357" s="30">
        <v>1000</v>
      </c>
      <c r="F357" s="30">
        <v>32</v>
      </c>
      <c r="G357" s="30" t="s">
        <v>566</v>
      </c>
      <c r="H357" s="42" t="s">
        <v>19</v>
      </c>
      <c r="I357" s="30" t="s">
        <v>20</v>
      </c>
      <c r="J357" s="40" t="s">
        <v>75</v>
      </c>
      <c r="K357" s="44" t="str">
        <f t="shared" si="68"/>
        <v>lev OK</v>
      </c>
      <c r="L357" s="1">
        <f t="shared" si="69"/>
        <v>42393.027083333334</v>
      </c>
      <c r="M357" s="43"/>
      <c r="N357" s="11">
        <f t="shared" si="70"/>
        <v>0.45367962466471801</v>
      </c>
      <c r="O357" s="11">
        <f t="shared" si="76"/>
        <v>0.65200000000000002</v>
      </c>
      <c r="P357" s="1">
        <f t="shared" si="77"/>
        <v>42392.505555555559</v>
      </c>
      <c r="Q357" s="12">
        <f t="shared" si="78"/>
        <v>1.5844504021539207E-2</v>
      </c>
      <c r="AC357" s="39">
        <v>8.9540100000000001E-11</v>
      </c>
      <c r="AD357" s="39">
        <v>7.0835200000000006E-11</v>
      </c>
      <c r="AE357" s="39">
        <v>8.6251800000000005E-11</v>
      </c>
      <c r="AF357" s="39">
        <v>6.3247099999999995E-11</v>
      </c>
      <c r="AG357" s="39">
        <v>8.9196899999999994E-11</v>
      </c>
      <c r="AH357" s="39">
        <v>9.4810800000000003E-11</v>
      </c>
      <c r="AI357" s="39">
        <v>3.93897E-11</v>
      </c>
      <c r="AJ357" s="39">
        <v>1.72928E-10</v>
      </c>
      <c r="AK357" s="39">
        <v>4.2925500000000001E-11</v>
      </c>
      <c r="AL357" s="39">
        <v>8.8049E-11</v>
      </c>
      <c r="AM357" s="39">
        <v>8.2175999999999999E-11</v>
      </c>
      <c r="AN357" s="39">
        <v>1.5309099999999999E-10</v>
      </c>
    </row>
    <row r="358" spans="1:40" thickBot="1">
      <c r="A358" s="29" t="s">
        <v>597</v>
      </c>
      <c r="B358" s="30" t="s">
        <v>17</v>
      </c>
      <c r="C358" s="30">
        <v>56</v>
      </c>
      <c r="D358" s="30" t="s">
        <v>41</v>
      </c>
      <c r="E358" s="30">
        <v>1000</v>
      </c>
      <c r="F358" s="30">
        <v>32</v>
      </c>
      <c r="G358" s="30" t="s">
        <v>566</v>
      </c>
      <c r="H358" s="42" t="s">
        <v>19</v>
      </c>
      <c r="I358" s="30" t="s">
        <v>20</v>
      </c>
      <c r="J358" s="40" t="s">
        <v>75</v>
      </c>
      <c r="K358" s="44" t="str">
        <f t="shared" si="68"/>
        <v>lev OK</v>
      </c>
      <c r="L358" s="1">
        <f t="shared" si="69"/>
        <v>42393.066666666666</v>
      </c>
      <c r="M358" s="43"/>
      <c r="N358" s="11">
        <f t="shared" si="70"/>
        <v>0.43862734584499363</v>
      </c>
      <c r="O358" s="11">
        <f t="shared" si="76"/>
        <v>0.65200000000000002</v>
      </c>
      <c r="P358" s="1">
        <f t="shared" si="77"/>
        <v>42392.505555555559</v>
      </c>
      <c r="Q358" s="12">
        <f t="shared" si="78"/>
        <v>1.5844504021539207E-2</v>
      </c>
      <c r="AC358" s="39">
        <v>9.6840100000000005E-11</v>
      </c>
      <c r="AD358" s="39">
        <v>7.9725300000000006E-11</v>
      </c>
      <c r="AE358" s="39">
        <v>9.5487199999999997E-11</v>
      </c>
      <c r="AF358" s="39">
        <v>6.4146100000000004E-11</v>
      </c>
      <c r="AG358" s="39">
        <v>1.01945E-10</v>
      </c>
      <c r="AH358" s="39">
        <v>1.10325E-10</v>
      </c>
      <c r="AI358" s="39">
        <v>4.38343E-11</v>
      </c>
      <c r="AJ358" s="39">
        <v>1.91655E-10</v>
      </c>
      <c r="AK358" s="39">
        <v>5.1377799999999998E-11</v>
      </c>
      <c r="AL358" s="39">
        <v>1.00204E-10</v>
      </c>
      <c r="AM358" s="39">
        <v>9.6844499999999998E-11</v>
      </c>
      <c r="AN358" s="39">
        <v>2.0041000000000001E-10</v>
      </c>
    </row>
    <row r="359" spans="1:40" thickBot="1">
      <c r="A359" s="29" t="s">
        <v>598</v>
      </c>
      <c r="B359" s="30" t="s">
        <v>17</v>
      </c>
      <c r="C359" s="30">
        <v>56</v>
      </c>
      <c r="D359" s="30" t="s">
        <v>41</v>
      </c>
      <c r="E359" s="30">
        <v>1000</v>
      </c>
      <c r="F359" s="30">
        <v>32</v>
      </c>
      <c r="G359" s="30" t="s">
        <v>566</v>
      </c>
      <c r="H359" s="42" t="s">
        <v>19</v>
      </c>
      <c r="I359" s="30" t="s">
        <v>20</v>
      </c>
      <c r="J359" s="40" t="s">
        <v>75</v>
      </c>
      <c r="K359" s="44" t="str">
        <f t="shared" si="68"/>
        <v>lev OK</v>
      </c>
      <c r="L359" s="1">
        <f t="shared" si="69"/>
        <v>42393.106249999997</v>
      </c>
      <c r="M359" s="43"/>
      <c r="N359" s="11">
        <f t="shared" si="70"/>
        <v>0.42357506702526915</v>
      </c>
      <c r="O359" s="11">
        <f t="shared" si="76"/>
        <v>0.65200000000000002</v>
      </c>
      <c r="P359" s="1">
        <f t="shared" si="77"/>
        <v>42392.505555555559</v>
      </c>
      <c r="Q359" s="12">
        <f t="shared" si="78"/>
        <v>1.5844504021539207E-2</v>
      </c>
      <c r="AC359" s="39">
        <v>1.06615E-10</v>
      </c>
      <c r="AD359" s="39">
        <v>8.7566499999999997E-11</v>
      </c>
      <c r="AE359" s="39">
        <v>1.03759E-10</v>
      </c>
      <c r="AF359" s="39">
        <v>6.7847099999999997E-11</v>
      </c>
      <c r="AG359" s="39">
        <v>1.08441E-10</v>
      </c>
      <c r="AH359" s="39">
        <v>1.13067E-10</v>
      </c>
      <c r="AI359" s="39">
        <v>4.8928100000000001E-11</v>
      </c>
      <c r="AJ359" s="39">
        <v>2.14345E-10</v>
      </c>
      <c r="AK359" s="39">
        <v>5.3822399999999997E-11</v>
      </c>
      <c r="AL359" s="39">
        <v>1.08077E-10</v>
      </c>
      <c r="AM359" s="39">
        <v>1.0276499999999999E-10</v>
      </c>
      <c r="AN359" s="39">
        <v>1.5388800000000001E-10</v>
      </c>
    </row>
    <row r="360" spans="1:40" thickBot="1">
      <c r="A360" s="29" t="s">
        <v>599</v>
      </c>
      <c r="B360" s="30" t="s">
        <v>17</v>
      </c>
      <c r="C360" s="30">
        <v>56</v>
      </c>
      <c r="D360" s="30" t="s">
        <v>41</v>
      </c>
      <c r="E360" s="30">
        <v>1000</v>
      </c>
      <c r="F360" s="30">
        <v>31</v>
      </c>
      <c r="G360" s="30" t="s">
        <v>566</v>
      </c>
      <c r="H360" s="42" t="s">
        <v>19</v>
      </c>
      <c r="I360" s="30" t="s">
        <v>20</v>
      </c>
      <c r="J360" s="40" t="s">
        <v>75</v>
      </c>
      <c r="K360" s="44" t="str">
        <f t="shared" si="68"/>
        <v>lev OK</v>
      </c>
      <c r="L360" s="1">
        <f t="shared" si="69"/>
        <v>42393.145833333336</v>
      </c>
      <c r="M360" s="43"/>
      <c r="N360" s="11">
        <f t="shared" si="70"/>
        <v>0.40852278820277793</v>
      </c>
      <c r="O360" s="11">
        <f t="shared" si="76"/>
        <v>0.65200000000000002</v>
      </c>
      <c r="P360" s="1">
        <f t="shared" si="77"/>
        <v>42392.505555555559</v>
      </c>
      <c r="Q360" s="12">
        <f t="shared" si="78"/>
        <v>1.5844504021539207E-2</v>
      </c>
      <c r="AC360" s="39">
        <v>9.8101700000000002E-11</v>
      </c>
      <c r="AD360" s="39">
        <v>7.5416300000000006E-11</v>
      </c>
      <c r="AE360" s="39">
        <v>8.9986899999999998E-11</v>
      </c>
      <c r="AF360" s="39">
        <v>6.0088600000000002E-11</v>
      </c>
      <c r="AG360" s="39">
        <v>9.9680300000000004E-11</v>
      </c>
      <c r="AH360" s="39">
        <v>1.04046E-10</v>
      </c>
      <c r="AI360" s="39">
        <v>4.4072E-11</v>
      </c>
      <c r="AJ360" s="39">
        <v>1.8935400000000001E-10</v>
      </c>
      <c r="AK360" s="39">
        <v>4.71248E-11</v>
      </c>
      <c r="AL360" s="39">
        <v>9.9896000000000003E-11</v>
      </c>
      <c r="AM360" s="39">
        <v>8.8314399999999997E-11</v>
      </c>
      <c r="AN360" s="39">
        <v>1.75209E-10</v>
      </c>
    </row>
    <row r="361" spans="1:40" thickBot="1">
      <c r="A361" s="29" t="s">
        <v>600</v>
      </c>
      <c r="B361" s="30" t="s">
        <v>17</v>
      </c>
      <c r="C361" s="30">
        <v>56</v>
      </c>
      <c r="D361" s="30" t="s">
        <v>41</v>
      </c>
      <c r="E361" s="30">
        <v>1000</v>
      </c>
      <c r="F361" s="30">
        <v>31</v>
      </c>
      <c r="G361" s="30" t="s">
        <v>566</v>
      </c>
      <c r="H361" s="42" t="s">
        <v>19</v>
      </c>
      <c r="I361" s="30" t="s">
        <v>20</v>
      </c>
      <c r="J361" s="40" t="s">
        <v>75</v>
      </c>
      <c r="K361" s="44" t="str">
        <f t="shared" si="68"/>
        <v>lev OK</v>
      </c>
      <c r="L361" s="1">
        <f t="shared" si="69"/>
        <v>42393.185416666667</v>
      </c>
      <c r="M361" s="43"/>
      <c r="N361" s="11">
        <f t="shared" si="70"/>
        <v>0.3934705093830535</v>
      </c>
      <c r="O361" s="11">
        <f t="shared" si="76"/>
        <v>0.65200000000000002</v>
      </c>
      <c r="P361" s="1">
        <f t="shared" si="77"/>
        <v>42392.505555555559</v>
      </c>
      <c r="Q361" s="12">
        <f t="shared" si="78"/>
        <v>1.5844504021539207E-2</v>
      </c>
      <c r="AC361" s="39">
        <v>1.24427E-10</v>
      </c>
      <c r="AD361" s="39">
        <v>1.0006200000000001E-10</v>
      </c>
      <c r="AE361" s="39">
        <v>1.15477E-10</v>
      </c>
      <c r="AF361" s="39">
        <v>8.0468699999999994E-11</v>
      </c>
      <c r="AG361" s="39">
        <v>1.2008599999999999E-10</v>
      </c>
      <c r="AH361" s="39">
        <v>1.2999999999999999E-10</v>
      </c>
      <c r="AI361" s="39">
        <v>5.48878E-11</v>
      </c>
      <c r="AJ361" s="39">
        <v>2.4443800000000002E-10</v>
      </c>
      <c r="AK361" s="39">
        <v>5.99449E-11</v>
      </c>
      <c r="AL361" s="39">
        <v>1.2264100000000001E-10</v>
      </c>
      <c r="AM361" s="39">
        <v>1.2355E-10</v>
      </c>
      <c r="AN361" s="39">
        <v>2.0333999999999999E-10</v>
      </c>
    </row>
    <row r="362" spans="1:40" thickBot="1">
      <c r="A362" s="29" t="s">
        <v>601</v>
      </c>
      <c r="B362" s="30" t="s">
        <v>17</v>
      </c>
      <c r="C362" s="30">
        <v>56</v>
      </c>
      <c r="D362" s="30" t="s">
        <v>41</v>
      </c>
      <c r="E362" s="30">
        <v>1000</v>
      </c>
      <c r="F362" s="30">
        <v>31</v>
      </c>
      <c r="G362" s="30" t="s">
        <v>566</v>
      </c>
      <c r="H362" s="42" t="s">
        <v>19</v>
      </c>
      <c r="I362" s="30" t="s">
        <v>20</v>
      </c>
      <c r="J362" s="40" t="s">
        <v>75</v>
      </c>
      <c r="K362" s="44" t="str">
        <f t="shared" si="68"/>
        <v>lev OK</v>
      </c>
      <c r="L362" s="1">
        <f t="shared" si="69"/>
        <v>42393.224999999999</v>
      </c>
      <c r="M362" s="43"/>
      <c r="N362" s="11">
        <f t="shared" si="70"/>
        <v>0.37841823056332907</v>
      </c>
      <c r="O362" s="11">
        <f t="shared" si="76"/>
        <v>0.65200000000000002</v>
      </c>
      <c r="P362" s="1">
        <f t="shared" si="77"/>
        <v>42392.505555555559</v>
      </c>
      <c r="Q362" s="12">
        <f t="shared" si="78"/>
        <v>1.5844504021539207E-2</v>
      </c>
      <c r="AC362" s="39">
        <v>1.04703E-10</v>
      </c>
      <c r="AD362" s="39">
        <v>8.4819700000000005E-11</v>
      </c>
      <c r="AE362" s="39">
        <v>9.8950600000000002E-11</v>
      </c>
      <c r="AF362" s="39">
        <v>7.4927200000000006E-11</v>
      </c>
      <c r="AG362" s="39">
        <v>1.10452E-10</v>
      </c>
      <c r="AH362" s="39">
        <v>1.08342E-10</v>
      </c>
      <c r="AI362" s="39">
        <v>4.8069399999999998E-11</v>
      </c>
      <c r="AJ362" s="39">
        <v>1.9705300000000001E-10</v>
      </c>
      <c r="AK362" s="39">
        <v>5.59764E-11</v>
      </c>
      <c r="AL362" s="39">
        <v>1.06692E-10</v>
      </c>
      <c r="AM362" s="39">
        <v>9.5825200000000002E-11</v>
      </c>
      <c r="AN362" s="39">
        <v>1.62261E-10</v>
      </c>
    </row>
    <row r="363" spans="1:40" thickBot="1">
      <c r="A363" s="29" t="s">
        <v>602</v>
      </c>
      <c r="B363" s="30" t="s">
        <v>17</v>
      </c>
      <c r="C363" s="30">
        <v>56</v>
      </c>
      <c r="D363" s="30" t="s">
        <v>41</v>
      </c>
      <c r="E363" s="30">
        <v>1000</v>
      </c>
      <c r="F363" s="30">
        <v>31</v>
      </c>
      <c r="G363" s="30" t="s">
        <v>566</v>
      </c>
      <c r="H363" s="42" t="s">
        <v>19</v>
      </c>
      <c r="I363" s="30" t="s">
        <v>20</v>
      </c>
      <c r="J363" s="40" t="s">
        <v>75</v>
      </c>
      <c r="K363" s="44" t="str">
        <f t="shared" si="68"/>
        <v>lev OK</v>
      </c>
      <c r="L363" s="1">
        <f t="shared" si="69"/>
        <v>42393.263888888891</v>
      </c>
      <c r="M363" s="43"/>
      <c r="N363" s="11">
        <f t="shared" si="70"/>
        <v>0.3636300268087243</v>
      </c>
      <c r="O363" s="11">
        <f t="shared" si="76"/>
        <v>0.65200000000000002</v>
      </c>
      <c r="P363" s="1">
        <f t="shared" si="77"/>
        <v>42392.505555555559</v>
      </c>
      <c r="Q363" s="12">
        <f t="shared" si="78"/>
        <v>1.5844504021539207E-2</v>
      </c>
      <c r="AC363" s="39">
        <v>9.18005E-11</v>
      </c>
      <c r="AD363" s="39">
        <v>6.6788600000000002E-11</v>
      </c>
      <c r="AE363" s="39">
        <v>7.8590399999999995E-11</v>
      </c>
      <c r="AF363" s="39">
        <v>5.6128499999999998E-11</v>
      </c>
      <c r="AG363" s="39">
        <v>8.0024200000000006E-11</v>
      </c>
      <c r="AH363" s="39">
        <v>9.2516900000000001E-11</v>
      </c>
      <c r="AI363" s="39">
        <v>3.8874499999999997E-11</v>
      </c>
      <c r="AJ363" s="39">
        <v>1.5757099999999999E-10</v>
      </c>
      <c r="AK363" s="39">
        <v>4.4075599999999998E-11</v>
      </c>
      <c r="AL363" s="39">
        <v>9.0121699999999994E-11</v>
      </c>
      <c r="AM363" s="39">
        <v>8.7025000000000005E-11</v>
      </c>
      <c r="AN363" s="39">
        <v>1.276E-10</v>
      </c>
    </row>
    <row r="364" spans="1:40" thickBot="1">
      <c r="A364" s="29" t="s">
        <v>603</v>
      </c>
      <c r="B364" s="30" t="s">
        <v>17</v>
      </c>
      <c r="C364" s="30">
        <v>56</v>
      </c>
      <c r="D364" s="30" t="s">
        <v>41</v>
      </c>
      <c r="E364" s="30">
        <v>1000</v>
      </c>
      <c r="F364" s="30">
        <v>31</v>
      </c>
      <c r="G364" s="30" t="s">
        <v>566</v>
      </c>
      <c r="H364" s="42" t="s">
        <v>19</v>
      </c>
      <c r="I364" s="30" t="s">
        <v>20</v>
      </c>
      <c r="J364" s="40" t="s">
        <v>75</v>
      </c>
      <c r="K364" s="44" t="str">
        <f t="shared" si="68"/>
        <v>lev OK</v>
      </c>
      <c r="L364" s="1">
        <f t="shared" si="69"/>
        <v>42393.303472222222</v>
      </c>
      <c r="M364" s="43"/>
      <c r="N364" s="11">
        <f t="shared" si="70"/>
        <v>0.34857774798899988</v>
      </c>
      <c r="O364" s="11">
        <f t="shared" si="76"/>
        <v>0.65200000000000002</v>
      </c>
      <c r="P364" s="1">
        <f t="shared" si="77"/>
        <v>42392.505555555559</v>
      </c>
      <c r="Q364" s="12">
        <f t="shared" si="78"/>
        <v>1.5844504021539207E-2</v>
      </c>
      <c r="AC364" s="39">
        <v>8.7885799999999999E-11</v>
      </c>
      <c r="AD364" s="39">
        <v>7.0493699999999997E-11</v>
      </c>
      <c r="AE364" s="39">
        <v>8.8496800000000006E-11</v>
      </c>
      <c r="AF364" s="39">
        <v>6.9891999999999995E-11</v>
      </c>
      <c r="AG364" s="39">
        <v>9.4929600000000004E-11</v>
      </c>
      <c r="AH364" s="39">
        <v>9.9598499999999997E-11</v>
      </c>
      <c r="AI364" s="39">
        <v>4.2481399999999999E-11</v>
      </c>
      <c r="AJ364" s="39">
        <v>1.7804300000000001E-10</v>
      </c>
      <c r="AK364" s="39">
        <v>4.9196199999999999E-11</v>
      </c>
      <c r="AL364" s="39">
        <v>9.1595100000000001E-11</v>
      </c>
      <c r="AM364" s="39">
        <v>8.7013899999999995E-11</v>
      </c>
      <c r="AN364" s="39">
        <v>1.3979500000000001E-10</v>
      </c>
    </row>
    <row r="365" spans="1:40" thickBot="1">
      <c r="A365" s="29" t="s">
        <v>604</v>
      </c>
      <c r="B365" s="30" t="s">
        <v>17</v>
      </c>
      <c r="C365" s="30">
        <v>56</v>
      </c>
      <c r="D365" s="30" t="s">
        <v>41</v>
      </c>
      <c r="E365" s="30">
        <v>1000</v>
      </c>
      <c r="F365" s="30">
        <v>31</v>
      </c>
      <c r="G365" s="30" t="s">
        <v>566</v>
      </c>
      <c r="H365" s="42" t="s">
        <v>19</v>
      </c>
      <c r="I365" s="30" t="s">
        <v>20</v>
      </c>
      <c r="J365" s="40" t="s">
        <v>75</v>
      </c>
      <c r="K365" s="44" t="str">
        <f t="shared" si="68"/>
        <v>lev OK</v>
      </c>
      <c r="L365" s="1">
        <f t="shared" si="69"/>
        <v>42393.343055555553</v>
      </c>
      <c r="M365" s="43"/>
      <c r="N365" s="11">
        <f t="shared" si="70"/>
        <v>0.33352546916927545</v>
      </c>
      <c r="O365" s="11">
        <f t="shared" si="76"/>
        <v>0.65200000000000002</v>
      </c>
      <c r="P365" s="1">
        <f t="shared" si="77"/>
        <v>42392.505555555559</v>
      </c>
      <c r="Q365" s="12">
        <f t="shared" si="78"/>
        <v>1.5844504021539207E-2</v>
      </c>
      <c r="AC365" s="39">
        <v>9.3662600000000004E-11</v>
      </c>
      <c r="AD365" s="39">
        <v>7.40988E-11</v>
      </c>
      <c r="AE365" s="39">
        <v>9.04949E-11</v>
      </c>
      <c r="AF365" s="39">
        <v>6.3490400000000003E-11</v>
      </c>
      <c r="AG365" s="39">
        <v>9.3026899999999995E-11</v>
      </c>
      <c r="AH365" s="39">
        <v>9.8282599999999997E-11</v>
      </c>
      <c r="AI365" s="39">
        <v>4.2291900000000002E-11</v>
      </c>
      <c r="AJ365" s="39">
        <v>1.7760999999999999E-10</v>
      </c>
      <c r="AK365" s="39">
        <v>4.8800599999999999E-11</v>
      </c>
      <c r="AL365" s="39">
        <v>9.6815400000000002E-11</v>
      </c>
      <c r="AM365" s="39">
        <v>8.7050700000000003E-11</v>
      </c>
      <c r="AN365" s="39">
        <v>1.5097499999999999E-10</v>
      </c>
    </row>
    <row r="366" spans="1:40" thickBot="1">
      <c r="A366" s="29" t="s">
        <v>605</v>
      </c>
      <c r="B366" s="30" t="s">
        <v>17</v>
      </c>
      <c r="C366" s="30">
        <v>56</v>
      </c>
      <c r="D366" s="30" t="s">
        <v>41</v>
      </c>
      <c r="E366" s="30">
        <v>1000</v>
      </c>
      <c r="F366" s="30">
        <v>31</v>
      </c>
      <c r="G366" s="30" t="s">
        <v>566</v>
      </c>
      <c r="H366" s="42" t="s">
        <v>19</v>
      </c>
      <c r="I366" s="30" t="s">
        <v>20</v>
      </c>
      <c r="J366" s="40" t="s">
        <v>75</v>
      </c>
      <c r="K366" s="44" t="str">
        <f t="shared" si="68"/>
        <v>lev OK</v>
      </c>
      <c r="L366" s="1">
        <f t="shared" si="69"/>
        <v>42393.382638888892</v>
      </c>
      <c r="M366" s="43"/>
      <c r="N366" s="11">
        <f t="shared" si="70"/>
        <v>0.31847319034678417</v>
      </c>
      <c r="O366" s="11">
        <f t="shared" si="76"/>
        <v>0.65200000000000002</v>
      </c>
      <c r="P366" s="1">
        <f t="shared" si="77"/>
        <v>42392.505555555559</v>
      </c>
      <c r="Q366" s="12">
        <f t="shared" si="78"/>
        <v>1.5844504021539207E-2</v>
      </c>
      <c r="AC366" s="39">
        <v>1.00001E-10</v>
      </c>
      <c r="AD366" s="39">
        <v>7.9598399999999996E-11</v>
      </c>
      <c r="AE366" s="39">
        <v>9.47297E-11</v>
      </c>
      <c r="AF366" s="39">
        <v>6.31923E-11</v>
      </c>
      <c r="AG366" s="39">
        <v>1.02137E-10</v>
      </c>
      <c r="AH366" s="39">
        <v>1.04944E-10</v>
      </c>
      <c r="AI366" s="39">
        <v>4.6916999999999998E-11</v>
      </c>
      <c r="AJ366" s="39">
        <v>1.95805E-10</v>
      </c>
      <c r="AK366" s="39">
        <v>5.2356500000000003E-11</v>
      </c>
      <c r="AL366" s="39">
        <v>9.8984399999999997E-11</v>
      </c>
      <c r="AM366" s="39">
        <v>9.3758600000000001E-11</v>
      </c>
      <c r="AN366" s="39">
        <v>1.59857E-10</v>
      </c>
    </row>
    <row r="367" spans="1:40" thickBot="1">
      <c r="A367" s="29" t="s">
        <v>606</v>
      </c>
      <c r="B367" s="30" t="s">
        <v>17</v>
      </c>
      <c r="C367" s="30">
        <v>56</v>
      </c>
      <c r="D367" s="30" t="s">
        <v>41</v>
      </c>
      <c r="E367" s="30">
        <v>1000</v>
      </c>
      <c r="F367" s="30">
        <v>31</v>
      </c>
      <c r="G367" s="30" t="s">
        <v>566</v>
      </c>
      <c r="H367" s="42" t="s">
        <v>19</v>
      </c>
      <c r="I367" s="30" t="s">
        <v>20</v>
      </c>
      <c r="J367" s="40" t="s">
        <v>75</v>
      </c>
      <c r="K367" s="44" t="str">
        <f t="shared" si="68"/>
        <v>lev OK</v>
      </c>
      <c r="L367" s="1">
        <f t="shared" si="69"/>
        <v>42393.421527777777</v>
      </c>
      <c r="M367" s="43"/>
      <c r="N367" s="11">
        <f t="shared" si="70"/>
        <v>0.30368498659494619</v>
      </c>
      <c r="O367" s="11">
        <f t="shared" si="76"/>
        <v>0.65200000000000002</v>
      </c>
      <c r="P367" s="1">
        <f t="shared" si="77"/>
        <v>42392.505555555559</v>
      </c>
      <c r="Q367" s="12">
        <f t="shared" si="78"/>
        <v>1.5844504021539207E-2</v>
      </c>
      <c r="AC367" s="39">
        <v>1.03219E-10</v>
      </c>
      <c r="AD367" s="39">
        <v>1.2119499999999999E-10</v>
      </c>
      <c r="AE367" s="39">
        <v>1.0001399999999999E-10</v>
      </c>
      <c r="AF367" s="39">
        <v>6.9414499999999996E-11</v>
      </c>
      <c r="AG367" s="39">
        <v>1.0085300000000001E-10</v>
      </c>
      <c r="AH367" s="39">
        <v>1.06785E-10</v>
      </c>
      <c r="AI367" s="39">
        <v>4.9101600000000003E-11</v>
      </c>
      <c r="AJ367" s="39">
        <v>2.0254000000000001E-10</v>
      </c>
      <c r="AK367" s="39">
        <v>5.2920000000000003E-11</v>
      </c>
      <c r="AL367" s="39">
        <v>1.03493E-10</v>
      </c>
      <c r="AM367" s="39">
        <v>9.5251099999999996E-11</v>
      </c>
      <c r="AN367" s="39">
        <v>1.68951E-10</v>
      </c>
    </row>
    <row r="368" spans="1:40" thickBot="1">
      <c r="A368" s="29" t="s">
        <v>607</v>
      </c>
      <c r="B368" s="30" t="s">
        <v>17</v>
      </c>
      <c r="C368" s="30">
        <v>56</v>
      </c>
      <c r="D368" s="30" t="s">
        <v>41</v>
      </c>
      <c r="E368" s="30">
        <v>1000</v>
      </c>
      <c r="F368" s="30">
        <v>31</v>
      </c>
      <c r="G368" s="30" t="s">
        <v>566</v>
      </c>
      <c r="H368" s="42" t="s">
        <v>19</v>
      </c>
      <c r="I368" s="30" t="s">
        <v>20</v>
      </c>
      <c r="J368" s="40" t="s">
        <v>75</v>
      </c>
      <c r="K368" s="44" t="str">
        <f t="shared" si="68"/>
        <v>lev BAD</v>
      </c>
      <c r="L368" s="1">
        <f t="shared" si="69"/>
        <v>42393.602777777778</v>
      </c>
      <c r="M368" s="43"/>
      <c r="N368" s="11">
        <f t="shared" si="70"/>
        <v>0.89680786026283599</v>
      </c>
      <c r="O368" s="12">
        <v>0.90500000000000003</v>
      </c>
      <c r="P368" s="1">
        <v>42393.583333333336</v>
      </c>
      <c r="Q368" s="11">
        <f>(O368-R368)/(S368-P368)/24</f>
        <v>1.7554585152963369E-2</v>
      </c>
      <c r="R368" s="12">
        <v>0.56999999999999995</v>
      </c>
      <c r="S368" s="1">
        <v>42394.378472222219</v>
      </c>
      <c r="AC368" s="39">
        <v>2.50143E-10</v>
      </c>
      <c r="AD368" s="39">
        <v>1.9451999999999999E-10</v>
      </c>
      <c r="AE368" s="39">
        <v>2.1069199999999999E-10</v>
      </c>
      <c r="AF368" s="39">
        <v>1.3869599999999999E-10</v>
      </c>
      <c r="AG368" s="39">
        <v>2.1208099999999999E-10</v>
      </c>
      <c r="AH368" s="39">
        <v>2.17024E-10</v>
      </c>
      <c r="AI368" s="39">
        <v>9.4919799999999995E-11</v>
      </c>
      <c r="AJ368" s="39">
        <v>4.1097799999999999E-10</v>
      </c>
      <c r="AK368" s="39">
        <v>8.6491100000000005E-11</v>
      </c>
      <c r="AL368" s="39">
        <v>2.2739100000000001E-10</v>
      </c>
      <c r="AM368" s="39">
        <v>2.20914E-10</v>
      </c>
      <c r="AN368" s="39">
        <v>2.57067E-10</v>
      </c>
    </row>
    <row r="369" spans="1:40" thickBot="1">
      <c r="A369" s="29" t="s">
        <v>608</v>
      </c>
      <c r="B369" s="30" t="s">
        <v>17</v>
      </c>
      <c r="C369" s="30">
        <v>56</v>
      </c>
      <c r="D369" s="30" t="s">
        <v>41</v>
      </c>
      <c r="E369" s="30">
        <v>1000</v>
      </c>
      <c r="F369" s="30">
        <v>31</v>
      </c>
      <c r="G369" s="30" t="s">
        <v>566</v>
      </c>
      <c r="H369" s="42" t="s">
        <v>19</v>
      </c>
      <c r="I369" s="30" t="s">
        <v>20</v>
      </c>
      <c r="J369" s="40" t="s">
        <v>609</v>
      </c>
      <c r="K369" s="44" t="str">
        <f t="shared" si="68"/>
        <v>lev BAD</v>
      </c>
      <c r="L369" s="1">
        <f t="shared" si="69"/>
        <v>42393.642361111109</v>
      </c>
      <c r="M369" s="43"/>
      <c r="N369" s="11">
        <f t="shared" ref="N369:N389" si="79">O369-(L369-P369)*24*Q369</f>
        <v>0.88013100436833824</v>
      </c>
      <c r="O369" s="11">
        <f t="shared" ref="O369:O387" si="80">O368</f>
        <v>0.90500000000000003</v>
      </c>
      <c r="P369" s="1">
        <f t="shared" ref="P369:P387" si="81">P368</f>
        <v>42393.583333333336</v>
      </c>
      <c r="Q369" s="12">
        <f t="shared" ref="Q369:Q387" si="82">Q368</f>
        <v>1.7554585152963369E-2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</row>
    <row r="370" spans="1:40" thickBot="1">
      <c r="A370" s="29" t="s">
        <v>610</v>
      </c>
      <c r="B370" s="30" t="s">
        <v>17</v>
      </c>
      <c r="C370" s="30">
        <v>56</v>
      </c>
      <c r="D370" s="30" t="s">
        <v>41</v>
      </c>
      <c r="E370" s="30">
        <v>1000</v>
      </c>
      <c r="F370" s="30">
        <v>31</v>
      </c>
      <c r="G370" s="30" t="s">
        <v>566</v>
      </c>
      <c r="H370" s="42" t="s">
        <v>19</v>
      </c>
      <c r="I370" s="30" t="s">
        <v>20</v>
      </c>
      <c r="J370" s="40" t="s">
        <v>609</v>
      </c>
      <c r="K370" s="44" t="str">
        <f t="shared" si="68"/>
        <v>lev BAD</v>
      </c>
      <c r="L370" s="1">
        <f t="shared" si="69"/>
        <v>42393.681944444441</v>
      </c>
      <c r="M370" s="43"/>
      <c r="N370" s="11">
        <f t="shared" si="79"/>
        <v>0.8634541484738405</v>
      </c>
      <c r="O370" s="11">
        <f t="shared" si="80"/>
        <v>0.90500000000000003</v>
      </c>
      <c r="P370" s="1">
        <f t="shared" si="81"/>
        <v>42393.583333333336</v>
      </c>
      <c r="Q370" s="12">
        <f t="shared" si="82"/>
        <v>1.7554585152963369E-2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</row>
    <row r="371" spans="1:40" thickBot="1">
      <c r="A371" s="29" t="s">
        <v>611</v>
      </c>
      <c r="B371" s="30" t="s">
        <v>17</v>
      </c>
      <c r="C371" s="30">
        <v>56</v>
      </c>
      <c r="D371" s="30" t="s">
        <v>41</v>
      </c>
      <c r="E371" s="30">
        <v>1000</v>
      </c>
      <c r="F371" s="30">
        <v>31</v>
      </c>
      <c r="G371" s="30" t="s">
        <v>566</v>
      </c>
      <c r="H371" s="42" t="s">
        <v>19</v>
      </c>
      <c r="I371" s="30" t="s">
        <v>20</v>
      </c>
      <c r="J371" s="40" t="s">
        <v>609</v>
      </c>
      <c r="K371" s="44" t="str">
        <f t="shared" si="68"/>
        <v>lev BAD</v>
      </c>
      <c r="L371" s="1">
        <f t="shared" si="69"/>
        <v>42393.720833333333</v>
      </c>
      <c r="M371" s="43"/>
      <c r="N371" s="11">
        <f t="shared" si="79"/>
        <v>0.8470698689964471</v>
      </c>
      <c r="O371" s="11">
        <f t="shared" si="80"/>
        <v>0.90500000000000003</v>
      </c>
      <c r="P371" s="1">
        <f t="shared" si="81"/>
        <v>42393.583333333336</v>
      </c>
      <c r="Q371" s="12">
        <f t="shared" si="82"/>
        <v>1.7554585152963369E-2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</row>
    <row r="372" spans="1:40" thickBot="1">
      <c r="A372" s="29" t="s">
        <v>612</v>
      </c>
      <c r="B372" s="30" t="s">
        <v>17</v>
      </c>
      <c r="C372" s="30">
        <v>56</v>
      </c>
      <c r="D372" s="30" t="s">
        <v>41</v>
      </c>
      <c r="E372" s="30">
        <v>1000</v>
      </c>
      <c r="F372" s="30">
        <v>31</v>
      </c>
      <c r="G372" s="30" t="s">
        <v>566</v>
      </c>
      <c r="H372" s="42" t="s">
        <v>19</v>
      </c>
      <c r="I372" s="30" t="s">
        <v>20</v>
      </c>
      <c r="J372" s="40" t="s">
        <v>75</v>
      </c>
      <c r="K372" s="44" t="str">
        <f t="shared" si="68"/>
        <v>lev BAD</v>
      </c>
      <c r="L372" s="1">
        <f t="shared" si="69"/>
        <v>42393.760416666664</v>
      </c>
      <c r="M372" s="43"/>
      <c r="N372" s="11">
        <f t="shared" si="79"/>
        <v>0.83039301310194935</v>
      </c>
      <c r="O372" s="11">
        <f t="shared" si="80"/>
        <v>0.90500000000000003</v>
      </c>
      <c r="P372" s="1">
        <f t="shared" si="81"/>
        <v>42393.583333333336</v>
      </c>
      <c r="Q372" s="12">
        <f t="shared" si="82"/>
        <v>1.7554585152963369E-2</v>
      </c>
      <c r="AC372" s="39">
        <v>9.2347799999999998E-10</v>
      </c>
      <c r="AD372" s="39">
        <v>7.5918099999999997E-10</v>
      </c>
      <c r="AE372" s="39">
        <v>7.4519799999999995E-10</v>
      </c>
      <c r="AF372" s="39">
        <v>5.1430500000000001E-10</v>
      </c>
      <c r="AG372" s="39">
        <v>8.04384E-10</v>
      </c>
      <c r="AH372" s="39">
        <v>7.4916200000000004E-10</v>
      </c>
      <c r="AI372" s="39">
        <v>3.4844900000000001E-10</v>
      </c>
      <c r="AJ372" s="39">
        <v>1.3939200000000001E-9</v>
      </c>
      <c r="AK372" s="39">
        <v>2.9286000000000001E-10</v>
      </c>
      <c r="AL372" s="39">
        <v>8.5553000000000004E-10</v>
      </c>
      <c r="AM372" s="39">
        <v>7.9821899999999995E-10</v>
      </c>
      <c r="AN372" s="39">
        <v>6.8325500000000004E-10</v>
      </c>
    </row>
    <row r="373" spans="1:40" thickBot="1">
      <c r="A373" s="29" t="s">
        <v>613</v>
      </c>
      <c r="B373" s="30" t="s">
        <v>17</v>
      </c>
      <c r="C373" s="30">
        <v>56</v>
      </c>
      <c r="D373" s="30" t="s">
        <v>41</v>
      </c>
      <c r="E373" s="30">
        <v>1000</v>
      </c>
      <c r="F373" s="30">
        <v>31</v>
      </c>
      <c r="G373" s="30" t="s">
        <v>566</v>
      </c>
      <c r="H373" s="42" t="s">
        <v>19</v>
      </c>
      <c r="I373" s="30" t="s">
        <v>20</v>
      </c>
      <c r="J373" s="40" t="s">
        <v>75</v>
      </c>
      <c r="K373" s="44" t="str">
        <f t="shared" si="68"/>
        <v>lev BAD</v>
      </c>
      <c r="L373" s="1">
        <f t="shared" si="69"/>
        <v>42393.8</v>
      </c>
      <c r="M373" s="43"/>
      <c r="N373" s="11">
        <f t="shared" si="79"/>
        <v>0.81371615720438617</v>
      </c>
      <c r="O373" s="11">
        <f t="shared" si="80"/>
        <v>0.90500000000000003</v>
      </c>
      <c r="P373" s="1">
        <f t="shared" si="81"/>
        <v>42393.583333333336</v>
      </c>
      <c r="Q373" s="12">
        <f t="shared" si="82"/>
        <v>1.7554585152963369E-2</v>
      </c>
      <c r="AC373" s="39">
        <v>9.1809500000000002E-10</v>
      </c>
      <c r="AD373" s="39">
        <v>7.68502E-10</v>
      </c>
      <c r="AE373" s="39">
        <v>7.8875700000000005E-10</v>
      </c>
      <c r="AF373" s="39">
        <v>5.0549800000000005E-10</v>
      </c>
      <c r="AG373" s="39">
        <v>8.9229799999999999E-10</v>
      </c>
      <c r="AH373" s="39">
        <v>7.9325100000000004E-10</v>
      </c>
      <c r="AI373" s="39">
        <v>3.5627399999999998E-10</v>
      </c>
      <c r="AJ373" s="39">
        <v>1.4250199999999999E-9</v>
      </c>
      <c r="AK373" s="39">
        <v>3.0646300000000002E-10</v>
      </c>
      <c r="AL373" s="39">
        <v>8.4849399999999997E-10</v>
      </c>
      <c r="AM373" s="39">
        <v>8.23235E-10</v>
      </c>
      <c r="AN373" s="39">
        <v>8.4873300000000005E-10</v>
      </c>
    </row>
    <row r="374" spans="1:40" thickBot="1">
      <c r="A374" s="29" t="s">
        <v>614</v>
      </c>
      <c r="B374" s="30" t="s">
        <v>17</v>
      </c>
      <c r="C374" s="30">
        <v>56</v>
      </c>
      <c r="D374" s="30" t="s">
        <v>41</v>
      </c>
      <c r="E374" s="30">
        <v>1000</v>
      </c>
      <c r="F374" s="30">
        <v>31</v>
      </c>
      <c r="G374" s="30" t="s">
        <v>566</v>
      </c>
      <c r="H374" s="42" t="s">
        <v>19</v>
      </c>
      <c r="I374" s="30" t="s">
        <v>20</v>
      </c>
      <c r="J374" s="40" t="s">
        <v>75</v>
      </c>
      <c r="K374" s="44" t="str">
        <f t="shared" si="68"/>
        <v>lev BAD</v>
      </c>
      <c r="L374" s="1">
        <f t="shared" si="69"/>
        <v>42393.839583333334</v>
      </c>
      <c r="M374" s="43"/>
      <c r="N374" s="11">
        <f t="shared" si="79"/>
        <v>0.79703930130988843</v>
      </c>
      <c r="O374" s="11">
        <f t="shared" si="80"/>
        <v>0.90500000000000003</v>
      </c>
      <c r="P374" s="1">
        <f t="shared" si="81"/>
        <v>42393.583333333336</v>
      </c>
      <c r="Q374" s="12">
        <f t="shared" si="82"/>
        <v>1.7554585152963369E-2</v>
      </c>
      <c r="AC374" s="39">
        <v>1.00084E-9</v>
      </c>
      <c r="AD374" s="39">
        <v>8.2313499999999997E-10</v>
      </c>
      <c r="AE374" s="39">
        <v>8.7909799999999998E-10</v>
      </c>
      <c r="AF374" s="39">
        <v>5.5623700000000001E-10</v>
      </c>
      <c r="AG374" s="39">
        <v>9.3879800000000009E-10</v>
      </c>
      <c r="AH374" s="39">
        <v>8.3900100000000001E-10</v>
      </c>
      <c r="AI374" s="39">
        <v>3.7908999999999998E-10</v>
      </c>
      <c r="AJ374" s="39">
        <v>1.59225E-9</v>
      </c>
      <c r="AK374" s="39">
        <v>3.3113400000000001E-10</v>
      </c>
      <c r="AL374" s="39">
        <v>9.5212099999999992E-10</v>
      </c>
      <c r="AM374" s="39">
        <v>8.6536500000000004E-10</v>
      </c>
      <c r="AN374" s="39">
        <v>9.3358499999999994E-10</v>
      </c>
    </row>
    <row r="375" spans="1:40" thickBot="1">
      <c r="A375" s="29" t="s">
        <v>615</v>
      </c>
      <c r="B375" s="30" t="s">
        <v>17</v>
      </c>
      <c r="C375" s="30">
        <v>56</v>
      </c>
      <c r="D375" s="30" t="s">
        <v>41</v>
      </c>
      <c r="E375" s="30">
        <v>1000</v>
      </c>
      <c r="F375" s="30">
        <v>31</v>
      </c>
      <c r="G375" s="30" t="s">
        <v>566</v>
      </c>
      <c r="H375" s="42" t="s">
        <v>19</v>
      </c>
      <c r="I375" s="30" t="s">
        <v>20</v>
      </c>
      <c r="J375" s="40" t="s">
        <v>75</v>
      </c>
      <c r="K375" s="44" t="str">
        <f t="shared" si="68"/>
        <v>lev BAD</v>
      </c>
      <c r="L375" s="1">
        <f t="shared" si="69"/>
        <v>42393.878472222219</v>
      </c>
      <c r="M375" s="43"/>
      <c r="N375" s="11">
        <f t="shared" si="79"/>
        <v>0.78065502183556035</v>
      </c>
      <c r="O375" s="11">
        <f t="shared" si="80"/>
        <v>0.90500000000000003</v>
      </c>
      <c r="P375" s="1">
        <f t="shared" si="81"/>
        <v>42393.583333333336</v>
      </c>
      <c r="Q375" s="12">
        <f t="shared" si="82"/>
        <v>1.7554585152963369E-2</v>
      </c>
      <c r="AC375" s="39">
        <v>4.7025999999999999E-10</v>
      </c>
      <c r="AD375" s="39">
        <v>4.1584900000000001E-10</v>
      </c>
      <c r="AE375" s="39">
        <v>4.4452900000000001E-10</v>
      </c>
      <c r="AF375" s="39">
        <v>2.7339799999999999E-10</v>
      </c>
      <c r="AG375" s="39">
        <v>4.9937E-10</v>
      </c>
      <c r="AH375" s="39">
        <v>4.18892E-10</v>
      </c>
      <c r="AI375" s="39">
        <v>1.7821E-10</v>
      </c>
      <c r="AJ375" s="39">
        <v>7.3400199999999996E-10</v>
      </c>
      <c r="AK375" s="39">
        <v>1.6286299999999999E-10</v>
      </c>
      <c r="AL375" s="39">
        <v>4.6827600000000003E-10</v>
      </c>
      <c r="AM375" s="39">
        <v>4.1183100000000002E-10</v>
      </c>
      <c r="AN375" s="39">
        <v>4.63934E-10</v>
      </c>
    </row>
    <row r="376" spans="1:40" thickBot="1">
      <c r="A376" s="29" t="s">
        <v>616</v>
      </c>
      <c r="B376" s="30" t="s">
        <v>17</v>
      </c>
      <c r="C376" s="30">
        <v>56</v>
      </c>
      <c r="D376" s="30" t="s">
        <v>41</v>
      </c>
      <c r="E376" s="30">
        <v>1000</v>
      </c>
      <c r="F376" s="30">
        <v>31</v>
      </c>
      <c r="G376" s="30" t="s">
        <v>566</v>
      </c>
      <c r="H376" s="42" t="s">
        <v>19</v>
      </c>
      <c r="I376" s="30" t="s">
        <v>20</v>
      </c>
      <c r="J376" s="40" t="s">
        <v>75</v>
      </c>
      <c r="K376" s="44" t="str">
        <f t="shared" si="68"/>
        <v>lev BAD</v>
      </c>
      <c r="L376" s="1">
        <f t="shared" si="69"/>
        <v>42393.918055555558</v>
      </c>
      <c r="M376" s="43"/>
      <c r="N376" s="11">
        <f t="shared" si="79"/>
        <v>0.76397816593799717</v>
      </c>
      <c r="O376" s="11">
        <f t="shared" si="80"/>
        <v>0.90500000000000003</v>
      </c>
      <c r="P376" s="1">
        <f t="shared" si="81"/>
        <v>42393.583333333336</v>
      </c>
      <c r="Q376" s="12">
        <f t="shared" si="82"/>
        <v>1.7554585152963369E-2</v>
      </c>
      <c r="AC376" s="39">
        <v>9.6717799999999995E-10</v>
      </c>
      <c r="AD376" s="39">
        <v>8.0502199999999999E-10</v>
      </c>
      <c r="AE376" s="39">
        <v>8.1556200000000004E-10</v>
      </c>
      <c r="AF376" s="39">
        <v>5.37783E-10</v>
      </c>
      <c r="AG376" s="39">
        <v>8.89514E-10</v>
      </c>
      <c r="AH376" s="39">
        <v>8.2159299999999998E-10</v>
      </c>
      <c r="AI376" s="39">
        <v>3.7861900000000002E-10</v>
      </c>
      <c r="AJ376" s="39">
        <v>1.55229E-9</v>
      </c>
      <c r="AK376" s="39">
        <v>3.2985899999999998E-10</v>
      </c>
      <c r="AL376" s="39">
        <v>8.9046499999999999E-10</v>
      </c>
      <c r="AM376" s="39">
        <v>8.6771899999999997E-10</v>
      </c>
      <c r="AN376" s="39">
        <v>8.2724499999999997E-10</v>
      </c>
    </row>
    <row r="377" spans="1:40" thickBot="1">
      <c r="A377" s="29" t="s">
        <v>617</v>
      </c>
      <c r="B377" s="30" t="s">
        <v>17</v>
      </c>
      <c r="C377" s="30">
        <v>56</v>
      </c>
      <c r="D377" s="30" t="s">
        <v>41</v>
      </c>
      <c r="E377" s="30">
        <v>1000</v>
      </c>
      <c r="F377" s="30">
        <v>31</v>
      </c>
      <c r="G377" s="30" t="s">
        <v>566</v>
      </c>
      <c r="H377" s="42" t="s">
        <v>19</v>
      </c>
      <c r="I377" s="30" t="s">
        <v>20</v>
      </c>
      <c r="J377" s="40" t="s">
        <v>75</v>
      </c>
      <c r="K377" s="44" t="str">
        <f t="shared" si="68"/>
        <v>lev BAD</v>
      </c>
      <c r="L377" s="1">
        <f t="shared" si="69"/>
        <v>42393.957638888889</v>
      </c>
      <c r="M377" s="43"/>
      <c r="N377" s="11">
        <f t="shared" si="79"/>
        <v>0.74730131004349942</v>
      </c>
      <c r="O377" s="11">
        <f t="shared" si="80"/>
        <v>0.90500000000000003</v>
      </c>
      <c r="P377" s="1">
        <f t="shared" si="81"/>
        <v>42393.583333333336</v>
      </c>
      <c r="Q377" s="12">
        <f t="shared" si="82"/>
        <v>1.7554585152963369E-2</v>
      </c>
      <c r="AC377" s="39">
        <v>3.0328600000000001E-10</v>
      </c>
      <c r="AD377" s="39">
        <v>2.5231699999999999E-10</v>
      </c>
      <c r="AE377" s="39">
        <v>2.5509900000000002E-10</v>
      </c>
      <c r="AF377" s="39">
        <v>1.7731999999999999E-10</v>
      </c>
      <c r="AG377" s="39">
        <v>2.6943899999999999E-10</v>
      </c>
      <c r="AH377" s="39">
        <v>2.8324E-10</v>
      </c>
      <c r="AI377" s="39">
        <v>1.1907900000000001E-10</v>
      </c>
      <c r="AJ377" s="39">
        <v>5.1279900000000002E-10</v>
      </c>
      <c r="AK377" s="39">
        <v>1.13116E-10</v>
      </c>
      <c r="AL377" s="39">
        <v>2.8378599999999998E-10</v>
      </c>
      <c r="AM377" s="39">
        <v>2.7519700000000002E-10</v>
      </c>
      <c r="AN377" s="39">
        <v>2.8168100000000001E-10</v>
      </c>
    </row>
    <row r="378" spans="1:40" thickBot="1">
      <c r="A378" s="29" t="s">
        <v>618</v>
      </c>
      <c r="B378" s="30" t="s">
        <v>17</v>
      </c>
      <c r="C378" s="30">
        <v>56</v>
      </c>
      <c r="D378" s="30" t="s">
        <v>41</v>
      </c>
      <c r="E378" s="30">
        <v>1000</v>
      </c>
      <c r="F378" s="30">
        <v>31</v>
      </c>
      <c r="G378" s="30" t="s">
        <v>566</v>
      </c>
      <c r="H378" s="42" t="s">
        <v>19</v>
      </c>
      <c r="I378" s="30" t="s">
        <v>20</v>
      </c>
      <c r="J378" s="40" t="s">
        <v>75</v>
      </c>
      <c r="K378" s="44" t="str">
        <f t="shared" si="68"/>
        <v>lev BAD</v>
      </c>
      <c r="L378" s="1">
        <f t="shared" si="69"/>
        <v>42393.99722222222</v>
      </c>
      <c r="M378" s="43"/>
      <c r="N378" s="11">
        <f t="shared" si="79"/>
        <v>0.73062445414900168</v>
      </c>
      <c r="O378" s="11">
        <f t="shared" si="80"/>
        <v>0.90500000000000003</v>
      </c>
      <c r="P378" s="1">
        <f t="shared" si="81"/>
        <v>42393.583333333336</v>
      </c>
      <c r="Q378" s="12">
        <f t="shared" si="82"/>
        <v>1.7554585152963369E-2</v>
      </c>
      <c r="AC378" s="39">
        <v>1.7990599999999999E-10</v>
      </c>
      <c r="AD378" s="39">
        <v>1.46559E-10</v>
      </c>
      <c r="AE378" s="39">
        <v>1.73009E-10</v>
      </c>
      <c r="AF378" s="39">
        <v>1.07212E-10</v>
      </c>
      <c r="AG378" s="39">
        <v>1.7299299999999999E-10</v>
      </c>
      <c r="AH378" s="39">
        <v>1.7916399999999999E-10</v>
      </c>
      <c r="AI378" s="39">
        <v>7.5259900000000001E-11</v>
      </c>
      <c r="AJ378" s="39">
        <v>3.21865E-10</v>
      </c>
      <c r="AK378" s="39">
        <v>7.3746199999999994E-11</v>
      </c>
      <c r="AL378" s="39">
        <v>1.7503500000000001E-10</v>
      </c>
      <c r="AM378" s="39">
        <v>1.7018199999999999E-10</v>
      </c>
      <c r="AN378" s="39">
        <v>2.14339E-10</v>
      </c>
    </row>
    <row r="379" spans="1:40" thickBot="1">
      <c r="A379" s="29" t="s">
        <v>619</v>
      </c>
      <c r="B379" s="30" t="s">
        <v>17</v>
      </c>
      <c r="C379" s="30">
        <v>56</v>
      </c>
      <c r="D379" s="30" t="s">
        <v>41</v>
      </c>
      <c r="E379" s="30">
        <v>1000</v>
      </c>
      <c r="F379" s="30">
        <v>31</v>
      </c>
      <c r="G379" s="30" t="s">
        <v>566</v>
      </c>
      <c r="H379" s="42" t="s">
        <v>19</v>
      </c>
      <c r="I379" s="30" t="s">
        <v>20</v>
      </c>
      <c r="J379" s="40" t="s">
        <v>75</v>
      </c>
      <c r="K379" s="44" t="str">
        <f t="shared" si="68"/>
        <v>lev BAD</v>
      </c>
      <c r="L379" s="1">
        <f t="shared" si="69"/>
        <v>42394.036111111112</v>
      </c>
      <c r="M379" s="43"/>
      <c r="N379" s="11">
        <f t="shared" si="79"/>
        <v>0.71424017467160827</v>
      </c>
      <c r="O379" s="11">
        <f t="shared" si="80"/>
        <v>0.90500000000000003</v>
      </c>
      <c r="P379" s="1">
        <f t="shared" si="81"/>
        <v>42393.583333333336</v>
      </c>
      <c r="Q379" s="12">
        <f t="shared" si="82"/>
        <v>1.7554585152963369E-2</v>
      </c>
      <c r="AC379" s="39">
        <v>9.6751599999999995E-11</v>
      </c>
      <c r="AD379" s="39">
        <v>7.9682699999999998E-11</v>
      </c>
      <c r="AE379" s="39">
        <v>1.0898299999999999E-10</v>
      </c>
      <c r="AF379" s="39">
        <v>5.9444300000000004E-11</v>
      </c>
      <c r="AG379" s="39">
        <v>9.4964100000000002E-11</v>
      </c>
      <c r="AH379" s="39">
        <v>1.00666E-10</v>
      </c>
      <c r="AI379" s="39">
        <v>4.3764100000000001E-11</v>
      </c>
      <c r="AJ379" s="39">
        <v>1.8704699999999999E-10</v>
      </c>
      <c r="AK379" s="39">
        <v>4.8675799999999999E-11</v>
      </c>
      <c r="AL379" s="39">
        <v>1.0140900000000001E-10</v>
      </c>
      <c r="AM379" s="39">
        <v>9.2002100000000003E-11</v>
      </c>
      <c r="AN379" s="39">
        <v>1.6950699999999999E-10</v>
      </c>
    </row>
    <row r="380" spans="1:40" thickBot="1">
      <c r="A380" s="29" t="s">
        <v>620</v>
      </c>
      <c r="B380" s="30" t="s">
        <v>17</v>
      </c>
      <c r="C380" s="30">
        <v>56</v>
      </c>
      <c r="D380" s="30" t="s">
        <v>41</v>
      </c>
      <c r="E380" s="30">
        <v>1000</v>
      </c>
      <c r="F380" s="30">
        <v>31</v>
      </c>
      <c r="G380" s="30" t="s">
        <v>566</v>
      </c>
      <c r="H380" s="42" t="s">
        <v>19</v>
      </c>
      <c r="I380" s="30" t="s">
        <v>20</v>
      </c>
      <c r="J380" s="40" t="s">
        <v>75</v>
      </c>
      <c r="K380" s="44" t="str">
        <f t="shared" si="68"/>
        <v>lev OK</v>
      </c>
      <c r="L380" s="1">
        <f t="shared" si="69"/>
        <v>42394.075694444444</v>
      </c>
      <c r="M380" s="43"/>
      <c r="N380" s="11">
        <f t="shared" si="79"/>
        <v>0.69756331877711053</v>
      </c>
      <c r="O380" s="11">
        <f t="shared" si="80"/>
        <v>0.90500000000000003</v>
      </c>
      <c r="P380" s="1">
        <f t="shared" si="81"/>
        <v>42393.583333333336</v>
      </c>
      <c r="Q380" s="12">
        <f t="shared" si="82"/>
        <v>1.7554585152963369E-2</v>
      </c>
      <c r="AC380" s="39">
        <v>8.1054999999999998E-11</v>
      </c>
      <c r="AD380" s="39">
        <v>6.66331E-11</v>
      </c>
      <c r="AE380" s="39">
        <v>8.5385199999999997E-11</v>
      </c>
      <c r="AF380" s="39">
        <v>5.45488E-11</v>
      </c>
      <c r="AG380" s="39">
        <v>9.0894499999999996E-11</v>
      </c>
      <c r="AH380" s="39">
        <v>8.83359E-11</v>
      </c>
      <c r="AI380" s="39">
        <v>4.0871499999999997E-11</v>
      </c>
      <c r="AJ380" s="39">
        <v>1.6404600000000001E-10</v>
      </c>
      <c r="AK380" s="39">
        <v>4.5588400000000002E-11</v>
      </c>
      <c r="AL380" s="39">
        <v>8.7668799999999998E-11</v>
      </c>
      <c r="AM380" s="39">
        <v>7.7219399999999995E-11</v>
      </c>
      <c r="AN380" s="39">
        <v>1.7294400000000001E-10</v>
      </c>
    </row>
    <row r="381" spans="1:40" thickBot="1">
      <c r="A381" s="29" t="s">
        <v>621</v>
      </c>
      <c r="B381" s="30" t="s">
        <v>17</v>
      </c>
      <c r="C381" s="30">
        <v>56</v>
      </c>
      <c r="D381" s="30" t="s">
        <v>41</v>
      </c>
      <c r="E381" s="30">
        <v>1000</v>
      </c>
      <c r="F381" s="30">
        <v>31</v>
      </c>
      <c r="G381" s="30" t="s">
        <v>566</v>
      </c>
      <c r="H381" s="42" t="s">
        <v>19</v>
      </c>
      <c r="I381" s="30" t="s">
        <v>20</v>
      </c>
      <c r="J381" s="40" t="s">
        <v>75</v>
      </c>
      <c r="K381" s="44" t="str">
        <f t="shared" si="68"/>
        <v>lev OK</v>
      </c>
      <c r="L381" s="1">
        <f t="shared" si="69"/>
        <v>42394.115277777775</v>
      </c>
      <c r="M381" s="43"/>
      <c r="N381" s="11">
        <f t="shared" si="79"/>
        <v>0.68088646288261279</v>
      </c>
      <c r="O381" s="11">
        <f t="shared" si="80"/>
        <v>0.90500000000000003</v>
      </c>
      <c r="P381" s="1">
        <f t="shared" si="81"/>
        <v>42393.583333333336</v>
      </c>
      <c r="Q381" s="12">
        <f t="shared" si="82"/>
        <v>1.7554585152963369E-2</v>
      </c>
      <c r="AC381" s="39">
        <v>1.2053799999999999E-10</v>
      </c>
      <c r="AD381" s="39">
        <v>9.8420199999999994E-11</v>
      </c>
      <c r="AE381" s="39">
        <v>1.1279300000000001E-10</v>
      </c>
      <c r="AF381" s="39">
        <v>7.4748899999999999E-11</v>
      </c>
      <c r="AG381" s="39">
        <v>1.2071599999999999E-10</v>
      </c>
      <c r="AH381" s="39">
        <v>1.2588300000000001E-10</v>
      </c>
      <c r="AI381" s="39">
        <v>5.3813700000000003E-11</v>
      </c>
      <c r="AJ381" s="39">
        <v>2.2753500000000001E-10</v>
      </c>
      <c r="AK381" s="39">
        <v>5.5355099999999999E-11</v>
      </c>
      <c r="AL381" s="39">
        <v>1.2213800000000001E-10</v>
      </c>
      <c r="AM381" s="39">
        <v>1.1686199999999999E-10</v>
      </c>
      <c r="AN381" s="39">
        <v>2.2727000000000001E-10</v>
      </c>
    </row>
    <row r="382" spans="1:40" thickBot="1">
      <c r="A382" s="29" t="s">
        <v>622</v>
      </c>
      <c r="B382" s="30" t="s">
        <v>17</v>
      </c>
      <c r="C382" s="30">
        <v>56</v>
      </c>
      <c r="D382" s="30" t="s">
        <v>41</v>
      </c>
      <c r="E382" s="30">
        <v>1000</v>
      </c>
      <c r="F382" s="30">
        <v>31</v>
      </c>
      <c r="G382" s="30" t="s">
        <v>566</v>
      </c>
      <c r="H382" s="42" t="s">
        <v>19</v>
      </c>
      <c r="I382" s="30" t="s">
        <v>20</v>
      </c>
      <c r="J382" s="40" t="s">
        <v>75</v>
      </c>
      <c r="K382" s="44" t="str">
        <f t="shared" si="68"/>
        <v>lev OK</v>
      </c>
      <c r="L382" s="1">
        <f t="shared" si="69"/>
        <v>42394.154861111114</v>
      </c>
      <c r="M382" s="43"/>
      <c r="N382" s="11">
        <f t="shared" si="79"/>
        <v>0.66420960698504961</v>
      </c>
      <c r="O382" s="11">
        <f t="shared" si="80"/>
        <v>0.90500000000000003</v>
      </c>
      <c r="P382" s="1">
        <f t="shared" si="81"/>
        <v>42393.583333333336</v>
      </c>
      <c r="Q382" s="12">
        <f t="shared" si="82"/>
        <v>1.7554585152963369E-2</v>
      </c>
      <c r="AC382" s="39">
        <v>9.3650100000000001E-11</v>
      </c>
      <c r="AD382" s="39">
        <v>7.4305699999999999E-11</v>
      </c>
      <c r="AE382" s="39">
        <v>9.3889799999999999E-11</v>
      </c>
      <c r="AF382" s="39">
        <v>6.0484900000000005E-11</v>
      </c>
      <c r="AG382" s="39">
        <v>9.9925800000000003E-11</v>
      </c>
      <c r="AH382" s="39">
        <v>9.9631299999999997E-11</v>
      </c>
      <c r="AI382" s="39">
        <v>4.3688599999999999E-11</v>
      </c>
      <c r="AJ382" s="39">
        <v>1.8354800000000001E-10</v>
      </c>
      <c r="AK382" s="39">
        <v>4.6039399999999999E-11</v>
      </c>
      <c r="AL382" s="39">
        <v>9.2493199999999994E-11</v>
      </c>
      <c r="AM382" s="39">
        <v>8.7830399999999994E-11</v>
      </c>
      <c r="AN382" s="39">
        <v>1.8854E-10</v>
      </c>
    </row>
    <row r="383" spans="1:40" thickBot="1">
      <c r="A383" s="29" t="s">
        <v>623</v>
      </c>
      <c r="B383" s="30" t="s">
        <v>17</v>
      </c>
      <c r="C383" s="30">
        <v>56</v>
      </c>
      <c r="D383" s="30" t="s">
        <v>41</v>
      </c>
      <c r="E383" s="30">
        <v>1000</v>
      </c>
      <c r="F383" s="30">
        <v>31</v>
      </c>
      <c r="G383" s="30" t="s">
        <v>566</v>
      </c>
      <c r="H383" s="42" t="s">
        <v>19</v>
      </c>
      <c r="I383" s="30" t="s">
        <v>20</v>
      </c>
      <c r="J383" s="40" t="s">
        <v>75</v>
      </c>
      <c r="K383" s="44" t="str">
        <f t="shared" si="68"/>
        <v>lev OK</v>
      </c>
      <c r="L383" s="1">
        <f t="shared" si="69"/>
        <v>42394.193749999999</v>
      </c>
      <c r="M383" s="43"/>
      <c r="N383" s="11">
        <f t="shared" si="79"/>
        <v>0.64782532751072153</v>
      </c>
      <c r="O383" s="11">
        <f t="shared" si="80"/>
        <v>0.90500000000000003</v>
      </c>
      <c r="P383" s="1">
        <f t="shared" si="81"/>
        <v>42393.583333333336</v>
      </c>
      <c r="Q383" s="12">
        <f t="shared" si="82"/>
        <v>1.7554585152963369E-2</v>
      </c>
      <c r="AC383" s="39">
        <v>9.3347499999999997E-11</v>
      </c>
      <c r="AD383" s="39">
        <v>7.5544999999999996E-11</v>
      </c>
      <c r="AE383" s="39">
        <v>9.1097399999999999E-11</v>
      </c>
      <c r="AF383" s="39">
        <v>6.5585199999999998E-11</v>
      </c>
      <c r="AG383" s="39">
        <v>9.1940600000000005E-11</v>
      </c>
      <c r="AH383" s="39">
        <v>9.6815699999999994E-11</v>
      </c>
      <c r="AI383" s="39">
        <v>4.4812000000000003E-11</v>
      </c>
      <c r="AJ383" s="39">
        <v>1.8083900000000001E-10</v>
      </c>
      <c r="AK383" s="39">
        <v>4.6665799999999998E-11</v>
      </c>
      <c r="AL383" s="39">
        <v>9.2008800000000006E-11</v>
      </c>
      <c r="AM383" s="39">
        <v>8.9787199999999994E-11</v>
      </c>
      <c r="AN383" s="39">
        <v>1.9423699999999999E-10</v>
      </c>
    </row>
    <row r="384" spans="1:40" thickBot="1">
      <c r="A384" s="29" t="s">
        <v>624</v>
      </c>
      <c r="B384" s="30" t="s">
        <v>17</v>
      </c>
      <c r="C384" s="30">
        <v>56</v>
      </c>
      <c r="D384" s="30" t="s">
        <v>41</v>
      </c>
      <c r="E384" s="30">
        <v>1000</v>
      </c>
      <c r="F384" s="30">
        <v>31</v>
      </c>
      <c r="G384" s="30" t="s">
        <v>566</v>
      </c>
      <c r="H384" s="42" t="s">
        <v>19</v>
      </c>
      <c r="I384" s="30" t="s">
        <v>20</v>
      </c>
      <c r="J384" s="40" t="s">
        <v>75</v>
      </c>
      <c r="K384" s="44" t="str">
        <f t="shared" si="68"/>
        <v>lev OK</v>
      </c>
      <c r="L384" s="1">
        <f t="shared" si="69"/>
        <v>42394.23333333333</v>
      </c>
      <c r="M384" s="43"/>
      <c r="N384" s="11">
        <f t="shared" si="79"/>
        <v>0.63114847161622389</v>
      </c>
      <c r="O384" s="11">
        <f t="shared" si="80"/>
        <v>0.90500000000000003</v>
      </c>
      <c r="P384" s="1">
        <f t="shared" si="81"/>
        <v>42393.583333333336</v>
      </c>
      <c r="Q384" s="12">
        <f t="shared" si="82"/>
        <v>1.7554585152963369E-2</v>
      </c>
      <c r="AC384" s="39">
        <v>1.17153E-10</v>
      </c>
      <c r="AD384" s="39">
        <v>9.3233500000000002E-11</v>
      </c>
      <c r="AE384" s="39">
        <v>1.09879E-10</v>
      </c>
      <c r="AF384" s="39">
        <v>7.3553200000000006E-11</v>
      </c>
      <c r="AG384" s="39">
        <v>1.10087E-10</v>
      </c>
      <c r="AH384" s="39">
        <v>1.1751299999999999E-10</v>
      </c>
      <c r="AI384" s="39">
        <v>5.2812499999999999E-11</v>
      </c>
      <c r="AJ384" s="39">
        <v>2.1582099999999999E-10</v>
      </c>
      <c r="AK384" s="39">
        <v>5.8294600000000006E-11</v>
      </c>
      <c r="AL384" s="39">
        <v>1.13873E-10</v>
      </c>
      <c r="AM384" s="39">
        <v>1.1107400000000001E-10</v>
      </c>
      <c r="AN384" s="39">
        <v>1.7034199999999999E-10</v>
      </c>
    </row>
    <row r="385" spans="1:40" thickBot="1">
      <c r="A385" s="29" t="s">
        <v>625</v>
      </c>
      <c r="B385" s="30" t="s">
        <v>17</v>
      </c>
      <c r="C385" s="30">
        <v>56</v>
      </c>
      <c r="D385" s="30" t="s">
        <v>41</v>
      </c>
      <c r="E385" s="30">
        <v>1000</v>
      </c>
      <c r="F385" s="30">
        <v>31</v>
      </c>
      <c r="G385" s="30" t="s">
        <v>566</v>
      </c>
      <c r="H385" s="42" t="s">
        <v>19</v>
      </c>
      <c r="I385" s="30" t="s">
        <v>20</v>
      </c>
      <c r="J385" s="40" t="s">
        <v>75</v>
      </c>
      <c r="K385" s="44" t="str">
        <f t="shared" si="68"/>
        <v>lev OK</v>
      </c>
      <c r="L385" s="1">
        <f t="shared" si="69"/>
        <v>42394.272916666669</v>
      </c>
      <c r="M385" s="43"/>
      <c r="N385" s="11">
        <f t="shared" si="79"/>
        <v>0.61447161571866071</v>
      </c>
      <c r="O385" s="11">
        <f t="shared" si="80"/>
        <v>0.90500000000000003</v>
      </c>
      <c r="P385" s="1">
        <f t="shared" si="81"/>
        <v>42393.583333333336</v>
      </c>
      <c r="Q385" s="12">
        <f t="shared" si="82"/>
        <v>1.7554585152963369E-2</v>
      </c>
      <c r="AC385" s="39">
        <v>2.7929699999999998E-10</v>
      </c>
      <c r="AD385" s="39">
        <v>2.18471E-10</v>
      </c>
      <c r="AE385" s="39">
        <v>2.3829299999999999E-10</v>
      </c>
      <c r="AF385" s="39">
        <v>1.8161099999999999E-10</v>
      </c>
      <c r="AG385" s="39">
        <v>2.4903199999999998E-10</v>
      </c>
      <c r="AH385" s="39">
        <v>2.68222E-10</v>
      </c>
      <c r="AI385" s="39">
        <v>1.05915E-10</v>
      </c>
      <c r="AJ385" s="39">
        <v>4.5901700000000001E-10</v>
      </c>
      <c r="AK385" s="39">
        <v>9.9251200000000001E-11</v>
      </c>
      <c r="AL385" s="39">
        <v>2.4884900000000002E-10</v>
      </c>
      <c r="AM385" s="39">
        <v>2.5617100000000001E-10</v>
      </c>
      <c r="AN385" s="39">
        <v>3.7195200000000001E-10</v>
      </c>
    </row>
    <row r="386" spans="1:40" thickBot="1">
      <c r="A386" s="29" t="s">
        <v>626</v>
      </c>
      <c r="B386" s="30" t="s">
        <v>17</v>
      </c>
      <c r="C386" s="30">
        <v>56</v>
      </c>
      <c r="D386" s="30" t="s">
        <v>41</v>
      </c>
      <c r="E386" s="30">
        <v>1000</v>
      </c>
      <c r="F386" s="30">
        <v>31</v>
      </c>
      <c r="G386" s="30" t="s">
        <v>566</v>
      </c>
      <c r="H386" s="42" t="s">
        <v>19</v>
      </c>
      <c r="I386" s="30" t="s">
        <v>20</v>
      </c>
      <c r="J386" s="40" t="s">
        <v>75</v>
      </c>
      <c r="K386" s="44" t="str">
        <f t="shared" si="68"/>
        <v>lev OK</v>
      </c>
      <c r="L386" s="1">
        <f t="shared" si="69"/>
        <v>42394.3125</v>
      </c>
      <c r="M386" s="43"/>
      <c r="N386" s="11">
        <f t="shared" si="79"/>
        <v>0.59779475982416286</v>
      </c>
      <c r="O386" s="11">
        <f t="shared" si="80"/>
        <v>0.90500000000000003</v>
      </c>
      <c r="P386" s="1">
        <f t="shared" si="81"/>
        <v>42393.583333333336</v>
      </c>
      <c r="Q386" s="12">
        <f t="shared" si="82"/>
        <v>1.7554585152963369E-2</v>
      </c>
      <c r="AC386" s="39">
        <v>1.83935E-10</v>
      </c>
      <c r="AD386" s="39">
        <v>1.5073699999999999E-10</v>
      </c>
      <c r="AE386" s="39">
        <v>1.6936499999999999E-10</v>
      </c>
      <c r="AF386" s="39">
        <v>1.28431E-10</v>
      </c>
      <c r="AG386" s="39">
        <v>1.7469500000000001E-10</v>
      </c>
      <c r="AH386" s="39">
        <v>1.77873E-10</v>
      </c>
      <c r="AI386" s="39">
        <v>7.7683199999999996E-11</v>
      </c>
      <c r="AJ386" s="39">
        <v>3.4218499999999999E-10</v>
      </c>
      <c r="AK386" s="39">
        <v>7.7646000000000003E-11</v>
      </c>
      <c r="AL386" s="39">
        <v>1.7817200000000001E-10</v>
      </c>
      <c r="AM386" s="39">
        <v>1.7686499999999999E-10</v>
      </c>
      <c r="AN386" s="39">
        <v>2.4698700000000002E-10</v>
      </c>
    </row>
    <row r="387" spans="1:40" thickBot="1">
      <c r="A387" s="29" t="s">
        <v>627</v>
      </c>
      <c r="B387" s="30" t="s">
        <v>17</v>
      </c>
      <c r="C387" s="30">
        <v>56</v>
      </c>
      <c r="D387" s="30" t="s">
        <v>41</v>
      </c>
      <c r="E387" s="30">
        <v>1000</v>
      </c>
      <c r="F387" s="30">
        <v>31</v>
      </c>
      <c r="G387" s="30" t="s">
        <v>566</v>
      </c>
      <c r="H387" s="42" t="s">
        <v>19</v>
      </c>
      <c r="I387" s="30" t="s">
        <v>20</v>
      </c>
      <c r="J387" s="40" t="s">
        <v>75</v>
      </c>
      <c r="K387" s="44" t="str">
        <f t="shared" si="68"/>
        <v>lev OK</v>
      </c>
      <c r="L387" s="1">
        <f t="shared" si="69"/>
        <v>42394.351388888892</v>
      </c>
      <c r="M387" s="43"/>
      <c r="N387" s="11">
        <f t="shared" si="79"/>
        <v>0.58141048034676945</v>
      </c>
      <c r="O387" s="11">
        <f t="shared" si="80"/>
        <v>0.90500000000000003</v>
      </c>
      <c r="P387" s="1">
        <f t="shared" si="81"/>
        <v>42393.583333333336</v>
      </c>
      <c r="Q387" s="12">
        <f t="shared" si="82"/>
        <v>1.7554585152963369E-2</v>
      </c>
      <c r="AC387" s="39">
        <v>1.0979E-10</v>
      </c>
      <c r="AD387" s="39">
        <v>9.1114000000000005E-11</v>
      </c>
      <c r="AE387" s="39">
        <v>1.0016000000000001E-10</v>
      </c>
      <c r="AF387" s="39">
        <v>6.7618200000000003E-11</v>
      </c>
      <c r="AG387" s="39">
        <v>1.03386E-10</v>
      </c>
      <c r="AH387" s="39">
        <v>1.04401E-10</v>
      </c>
      <c r="AI387" s="39">
        <v>4.81195E-11</v>
      </c>
      <c r="AJ387" s="39">
        <v>1.9084099999999999E-10</v>
      </c>
      <c r="AK387" s="39">
        <v>5.1640899999999998E-11</v>
      </c>
      <c r="AL387" s="39">
        <v>1.11372E-10</v>
      </c>
      <c r="AM387" s="39">
        <v>1.02136E-10</v>
      </c>
      <c r="AN387" s="39">
        <v>1.7391400000000001E-10</v>
      </c>
    </row>
    <row r="388" spans="1:40" thickBot="1">
      <c r="A388" s="29" t="s">
        <v>628</v>
      </c>
      <c r="B388" s="30" t="s">
        <v>17</v>
      </c>
      <c r="C388" s="30">
        <v>56</v>
      </c>
      <c r="D388" s="30" t="s">
        <v>41</v>
      </c>
      <c r="E388" s="30">
        <v>1000</v>
      </c>
      <c r="F388" s="30">
        <v>31</v>
      </c>
      <c r="G388" s="30" t="s">
        <v>629</v>
      </c>
      <c r="H388" s="42" t="s">
        <v>19</v>
      </c>
      <c r="I388" s="30" t="s">
        <v>20</v>
      </c>
      <c r="J388" s="31" t="s">
        <v>75</v>
      </c>
      <c r="K388" s="44" t="str">
        <f>IF(AND(N388&lt;0.7,N388&gt;0.2),"lev OK","lev BAD")</f>
        <v>lev OK</v>
      </c>
      <c r="L388" s="1">
        <f t="shared" ref="L388:L450" si="83">DATE(2000+MID(A388,3,2),MID(A388,5,2),MID(A388,7,2))+TIME(MID(A388,10,2),MID(A388,12,2),0)</f>
        <v>42394.650694444441</v>
      </c>
      <c r="M388" s="43"/>
      <c r="N388" s="11">
        <f t="shared" si="79"/>
        <v>0.43735555555888761</v>
      </c>
      <c r="O388" s="12">
        <v>0.55900000000000005</v>
      </c>
      <c r="P388" s="1">
        <v>42394.402777777781</v>
      </c>
      <c r="Q388" s="11">
        <f>(O388-R388)/(S388-P388)/24</f>
        <v>2.0444444444444456E-2</v>
      </c>
      <c r="R388" s="12">
        <v>0.42099999999999999</v>
      </c>
      <c r="S388" s="1">
        <v>42394.684027777781</v>
      </c>
      <c r="AC388" s="39">
        <v>8.76223E-11</v>
      </c>
      <c r="AD388" s="39">
        <v>6.8807699999999996E-11</v>
      </c>
      <c r="AE388" s="39">
        <v>8.2839E-11</v>
      </c>
      <c r="AF388" s="39">
        <v>7.1813800000000005E-11</v>
      </c>
      <c r="AG388" s="39">
        <v>8.4203400000000002E-11</v>
      </c>
      <c r="AH388" s="39">
        <v>1.01166E-10</v>
      </c>
      <c r="AI388" s="39">
        <v>4.1879900000000002E-11</v>
      </c>
      <c r="AJ388" s="39">
        <v>1.8275200000000001E-10</v>
      </c>
      <c r="AK388" s="39">
        <v>4.5730499999999998E-11</v>
      </c>
      <c r="AL388" s="39">
        <v>8.8727300000000005E-11</v>
      </c>
      <c r="AM388" s="39">
        <v>8.7272499999999995E-11</v>
      </c>
      <c r="AN388" s="39">
        <v>1.9329699999999999E-10</v>
      </c>
    </row>
    <row r="389" spans="1:40" thickBot="1">
      <c r="A389" s="29" t="s">
        <v>630</v>
      </c>
      <c r="B389" s="30" t="s">
        <v>17</v>
      </c>
      <c r="C389" s="30">
        <v>56</v>
      </c>
      <c r="D389" s="30" t="s">
        <v>41</v>
      </c>
      <c r="E389" s="30">
        <v>1000</v>
      </c>
      <c r="F389" s="30">
        <v>33</v>
      </c>
      <c r="G389" s="30" t="s">
        <v>566</v>
      </c>
      <c r="H389" s="42" t="s">
        <v>19</v>
      </c>
      <c r="I389" s="30" t="s">
        <v>20</v>
      </c>
      <c r="J389" s="31" t="s">
        <v>75</v>
      </c>
      <c r="K389" s="46" t="s">
        <v>402</v>
      </c>
      <c r="L389" s="1">
        <f t="shared" si="83"/>
        <v>42394.734722222223</v>
      </c>
      <c r="M389" s="43" t="s">
        <v>631</v>
      </c>
      <c r="N389" s="11">
        <f t="shared" si="79"/>
        <v>0.89371851851775619</v>
      </c>
      <c r="O389" s="12">
        <v>0.90200000000000002</v>
      </c>
      <c r="P389" s="1">
        <v>42394.704861111109</v>
      </c>
      <c r="Q389" s="11">
        <f>(O389-R389)/(S389-P389)/24</f>
        <v>1.155555555555556E-2</v>
      </c>
      <c r="R389" s="12">
        <v>0.69399999999999995</v>
      </c>
      <c r="S389" s="1">
        <v>42395.454861111109</v>
      </c>
      <c r="AC389" s="39">
        <v>1.27976E-10</v>
      </c>
      <c r="AD389" s="39">
        <v>1.01807E-10</v>
      </c>
      <c r="AE389" s="39">
        <v>1.19446E-10</v>
      </c>
      <c r="AF389" s="39">
        <v>8.2631300000000004E-11</v>
      </c>
      <c r="AG389" s="39">
        <v>1.3687500000000001E-10</v>
      </c>
      <c r="AH389" s="39">
        <v>1.3401000000000001E-10</v>
      </c>
      <c r="AI389" s="39">
        <v>5.7981299999999997E-11</v>
      </c>
      <c r="AJ389" s="39">
        <v>2.5992799999999998E-10</v>
      </c>
      <c r="AK389" s="39">
        <v>5.9042299999999994E-11</v>
      </c>
      <c r="AL389" s="39">
        <v>1.2764099999999999E-10</v>
      </c>
      <c r="AM389" s="39">
        <v>1.2157199999999999E-10</v>
      </c>
      <c r="AN389" s="39">
        <v>1.8462099999999999E-10</v>
      </c>
    </row>
    <row r="390" spans="1:40" thickBot="1">
      <c r="A390" s="29" t="s">
        <v>632</v>
      </c>
      <c r="B390" s="30" t="s">
        <v>17</v>
      </c>
      <c r="C390" s="30">
        <v>56</v>
      </c>
      <c r="D390" s="30" t="s">
        <v>41</v>
      </c>
      <c r="E390" s="30">
        <v>1000</v>
      </c>
      <c r="F390" s="30">
        <v>33</v>
      </c>
      <c r="G390" s="30" t="s">
        <v>566</v>
      </c>
      <c r="H390" s="42" t="s">
        <v>19</v>
      </c>
      <c r="I390" s="30" t="s">
        <v>20</v>
      </c>
      <c r="J390" s="31" t="s">
        <v>75</v>
      </c>
      <c r="K390" s="46" t="s">
        <v>402</v>
      </c>
      <c r="L390" s="1">
        <f t="shared" si="83"/>
        <v>42394.774305555555</v>
      </c>
      <c r="M390" s="43"/>
      <c r="N390" s="11">
        <f t="shared" ref="N390:N404" si="84">O390-(L390-P390)*24*Q390</f>
        <v>0.88274074074051656</v>
      </c>
      <c r="O390" s="11">
        <f t="shared" ref="O390:O404" si="85">O389</f>
        <v>0.90200000000000002</v>
      </c>
      <c r="P390" s="1">
        <f t="shared" ref="P390:P404" si="86">P389</f>
        <v>42394.704861111109</v>
      </c>
      <c r="Q390" s="12">
        <f t="shared" ref="Q390:Q404" si="87">Q389</f>
        <v>1.155555555555556E-2</v>
      </c>
      <c r="AC390" s="39">
        <v>1.6525799999999999E-10</v>
      </c>
      <c r="AD390" s="39">
        <v>1.367E-10</v>
      </c>
      <c r="AE390" s="39">
        <v>1.5979E-10</v>
      </c>
      <c r="AF390" s="39">
        <v>1.1105299999999999E-10</v>
      </c>
      <c r="AG390" s="39">
        <v>1.6425799999999999E-10</v>
      </c>
      <c r="AH390" s="39">
        <v>1.84821E-10</v>
      </c>
      <c r="AI390" s="39">
        <v>7.2875400000000005E-11</v>
      </c>
      <c r="AJ390" s="39">
        <v>3.1870900000000002E-10</v>
      </c>
      <c r="AK390" s="39">
        <v>7.1955300000000004E-11</v>
      </c>
      <c r="AL390" s="39">
        <v>1.59242E-10</v>
      </c>
      <c r="AM390" s="39">
        <v>1.5004000000000001E-10</v>
      </c>
      <c r="AN390" s="39">
        <v>2.0703300000000001E-10</v>
      </c>
    </row>
    <row r="391" spans="1:40" thickBot="1">
      <c r="A391" s="29" t="s">
        <v>633</v>
      </c>
      <c r="B391" s="30" t="s">
        <v>17</v>
      </c>
      <c r="C391" s="30">
        <v>56</v>
      </c>
      <c r="D391" s="30" t="s">
        <v>41</v>
      </c>
      <c r="E391" s="30">
        <v>1000</v>
      </c>
      <c r="F391" s="30">
        <v>32</v>
      </c>
      <c r="G391" s="30" t="s">
        <v>566</v>
      </c>
      <c r="H391" s="42" t="s">
        <v>19</v>
      </c>
      <c r="I391" s="30" t="s">
        <v>20</v>
      </c>
      <c r="J391" s="31" t="s">
        <v>75</v>
      </c>
      <c r="K391" s="46" t="s">
        <v>402</v>
      </c>
      <c r="L391" s="1">
        <f t="shared" si="83"/>
        <v>42394.81527777778</v>
      </c>
      <c r="M391" s="43"/>
      <c r="N391" s="11">
        <f t="shared" si="84"/>
        <v>0.87137777777683612</v>
      </c>
      <c r="O391" s="11">
        <f t="shared" si="85"/>
        <v>0.90200000000000002</v>
      </c>
      <c r="P391" s="1">
        <f t="shared" si="86"/>
        <v>42394.704861111109</v>
      </c>
      <c r="Q391" s="12">
        <f t="shared" si="87"/>
        <v>1.155555555555556E-2</v>
      </c>
      <c r="AC391" s="39">
        <v>1.1073200000000001E-10</v>
      </c>
      <c r="AD391" s="39">
        <v>9.0603999999999998E-11</v>
      </c>
      <c r="AE391" s="39">
        <v>1.4427099999999999E-10</v>
      </c>
      <c r="AF391" s="39">
        <v>7.7183100000000005E-11</v>
      </c>
      <c r="AG391" s="39">
        <v>9.9060899999999994E-11</v>
      </c>
      <c r="AH391" s="39">
        <v>1.13579E-10</v>
      </c>
      <c r="AI391" s="39">
        <v>4.5393400000000002E-11</v>
      </c>
      <c r="AJ391" s="39">
        <v>1.97688E-10</v>
      </c>
      <c r="AK391" s="39">
        <v>4.5032999999999998E-11</v>
      </c>
      <c r="AL391" s="39">
        <v>1.03168E-10</v>
      </c>
      <c r="AM391" s="39">
        <v>9.7043600000000005E-11</v>
      </c>
      <c r="AN391" s="39">
        <v>1.9242200000000001E-10</v>
      </c>
    </row>
    <row r="392" spans="1:40" thickBot="1">
      <c r="A392" s="29" t="s">
        <v>634</v>
      </c>
      <c r="B392" s="30" t="s">
        <v>17</v>
      </c>
      <c r="C392" s="30">
        <v>56</v>
      </c>
      <c r="D392" s="30" t="s">
        <v>41</v>
      </c>
      <c r="E392" s="30">
        <v>1000</v>
      </c>
      <c r="F392" s="30">
        <v>32</v>
      </c>
      <c r="G392" s="30" t="s">
        <v>566</v>
      </c>
      <c r="H392" s="42" t="s">
        <v>19</v>
      </c>
      <c r="I392" s="30" t="s">
        <v>20</v>
      </c>
      <c r="J392" s="31" t="s">
        <v>75</v>
      </c>
      <c r="K392" s="46" t="s">
        <v>402</v>
      </c>
      <c r="L392" s="1">
        <f t="shared" si="83"/>
        <v>42394.854861111111</v>
      </c>
      <c r="M392" s="43"/>
      <c r="N392" s="11">
        <f t="shared" si="84"/>
        <v>0.86039999999959638</v>
      </c>
      <c r="O392" s="11">
        <f t="shared" si="85"/>
        <v>0.90200000000000002</v>
      </c>
      <c r="P392" s="1">
        <f t="shared" si="86"/>
        <v>42394.704861111109</v>
      </c>
      <c r="Q392" s="12">
        <f t="shared" si="87"/>
        <v>1.155555555555556E-2</v>
      </c>
      <c r="AC392" s="39">
        <v>9.21678E-11</v>
      </c>
      <c r="AD392" s="39">
        <v>7.3397599999999997E-11</v>
      </c>
      <c r="AE392" s="39">
        <v>1.5234299999999999E-10</v>
      </c>
      <c r="AF392" s="39">
        <v>5.5655299999999999E-11</v>
      </c>
      <c r="AG392" s="39">
        <v>9.7352300000000002E-11</v>
      </c>
      <c r="AH392" s="39">
        <v>8.5253000000000003E-11</v>
      </c>
      <c r="AI392" s="39">
        <v>3.67045E-11</v>
      </c>
      <c r="AJ392" s="39">
        <v>1.6017400000000001E-10</v>
      </c>
      <c r="AK392" s="39">
        <v>4.6123700000000001E-11</v>
      </c>
      <c r="AL392" s="39">
        <v>1.01059E-10</v>
      </c>
      <c r="AM392" s="39">
        <v>8.39853E-11</v>
      </c>
      <c r="AN392" s="39">
        <v>1.2459999999999999E-10</v>
      </c>
    </row>
    <row r="393" spans="1:40" thickBot="1">
      <c r="A393" s="29" t="s">
        <v>635</v>
      </c>
      <c r="B393" s="30" t="s">
        <v>17</v>
      </c>
      <c r="C393" s="30">
        <v>56</v>
      </c>
      <c r="D393" s="30" t="s">
        <v>41</v>
      </c>
      <c r="E393" s="30">
        <v>1000</v>
      </c>
      <c r="F393" s="30">
        <v>32</v>
      </c>
      <c r="G393" s="30" t="s">
        <v>566</v>
      </c>
      <c r="H393" s="42" t="s">
        <v>19</v>
      </c>
      <c r="I393" s="30" t="s">
        <v>20</v>
      </c>
      <c r="J393" s="31" t="s">
        <v>75</v>
      </c>
      <c r="K393" s="46" t="s">
        <v>402</v>
      </c>
      <c r="L393" s="1">
        <f t="shared" si="83"/>
        <v>42394.895138888889</v>
      </c>
      <c r="M393" s="43"/>
      <c r="N393" s="11">
        <f t="shared" si="84"/>
        <v>0.8492296296291364</v>
      </c>
      <c r="O393" s="11">
        <f t="shared" si="85"/>
        <v>0.90200000000000002</v>
      </c>
      <c r="P393" s="1">
        <f t="shared" si="86"/>
        <v>42394.704861111109</v>
      </c>
      <c r="Q393" s="12">
        <f t="shared" si="87"/>
        <v>1.155555555555556E-2</v>
      </c>
      <c r="AC393" s="39">
        <v>1.0993E-10</v>
      </c>
      <c r="AD393" s="39">
        <v>9.6825599999999996E-11</v>
      </c>
      <c r="AE393" s="39">
        <v>1.2154799999999999E-10</v>
      </c>
      <c r="AF393" s="39">
        <v>7.3126000000000002E-11</v>
      </c>
      <c r="AG393" s="39">
        <v>1.0813900000000001E-10</v>
      </c>
      <c r="AH393" s="39">
        <v>1.05155E-10</v>
      </c>
      <c r="AI393" s="39">
        <v>5.0862100000000003E-11</v>
      </c>
      <c r="AJ393" s="39">
        <v>2.2448600000000001E-10</v>
      </c>
      <c r="AK393" s="39">
        <v>5.25654E-11</v>
      </c>
      <c r="AL393" s="39">
        <v>1.1995900000000001E-10</v>
      </c>
      <c r="AM393" s="39">
        <v>9.9819700000000005E-11</v>
      </c>
      <c r="AN393" s="39">
        <v>1.84119E-10</v>
      </c>
    </row>
    <row r="394" spans="1:40" thickBot="1">
      <c r="A394" s="29" t="s">
        <v>636</v>
      </c>
      <c r="B394" s="30" t="s">
        <v>17</v>
      </c>
      <c r="C394" s="30">
        <v>56</v>
      </c>
      <c r="D394" s="30" t="s">
        <v>41</v>
      </c>
      <c r="E394" s="30">
        <v>1000</v>
      </c>
      <c r="F394" s="30">
        <v>32</v>
      </c>
      <c r="G394" s="30" t="s">
        <v>566</v>
      </c>
      <c r="H394" s="42" t="s">
        <v>19</v>
      </c>
      <c r="I394" s="30" t="s">
        <v>20</v>
      </c>
      <c r="J394" s="31" t="s">
        <v>75</v>
      </c>
      <c r="K394" s="46" t="s">
        <v>402</v>
      </c>
      <c r="L394" s="1">
        <f t="shared" si="83"/>
        <v>42394.93472222222</v>
      </c>
      <c r="M394" s="43"/>
      <c r="N394" s="11">
        <f t="shared" si="84"/>
        <v>0.83825185185189666</v>
      </c>
      <c r="O394" s="11">
        <f t="shared" si="85"/>
        <v>0.90200000000000002</v>
      </c>
      <c r="P394" s="1">
        <f t="shared" si="86"/>
        <v>42394.704861111109</v>
      </c>
      <c r="Q394" s="12">
        <f t="shared" si="87"/>
        <v>1.155555555555556E-2</v>
      </c>
      <c r="AC394" s="39">
        <v>8.6011499999999996E-11</v>
      </c>
      <c r="AD394" s="39">
        <v>7.5866599999999994E-11</v>
      </c>
      <c r="AE394" s="39">
        <v>1.02968E-10</v>
      </c>
      <c r="AF394" s="39">
        <v>5.4651000000000002E-11</v>
      </c>
      <c r="AG394" s="39">
        <v>1.0217599999999999E-10</v>
      </c>
      <c r="AH394" s="39">
        <v>9.8036599999999994E-11</v>
      </c>
      <c r="AI394" s="39">
        <v>4.1708499999999997E-11</v>
      </c>
      <c r="AJ394" s="39">
        <v>1.6539300000000001E-10</v>
      </c>
      <c r="AK394" s="39">
        <v>4.1027199999999999E-11</v>
      </c>
      <c r="AL394" s="39">
        <v>9.2077899999999996E-11</v>
      </c>
      <c r="AM394" s="39">
        <v>8.3833800000000006E-11</v>
      </c>
      <c r="AN394" s="39">
        <v>1.4912499999999999E-10</v>
      </c>
    </row>
    <row r="395" spans="1:40" thickBot="1">
      <c r="A395" s="29" t="s">
        <v>637</v>
      </c>
      <c r="B395" s="30" t="s">
        <v>17</v>
      </c>
      <c r="C395" s="30">
        <v>56</v>
      </c>
      <c r="D395" s="30" t="s">
        <v>41</v>
      </c>
      <c r="E395" s="30">
        <v>1000</v>
      </c>
      <c r="F395" s="30">
        <v>32</v>
      </c>
      <c r="G395" s="30" t="s">
        <v>566</v>
      </c>
      <c r="H395" s="42" t="s">
        <v>19</v>
      </c>
      <c r="I395" s="30" t="s">
        <v>20</v>
      </c>
      <c r="J395" s="31" t="s">
        <v>75</v>
      </c>
      <c r="K395" s="46" t="s">
        <v>402</v>
      </c>
      <c r="L395" s="1">
        <f t="shared" si="83"/>
        <v>42394.974305555559</v>
      </c>
      <c r="M395" s="43"/>
      <c r="N395" s="11">
        <f t="shared" si="84"/>
        <v>0.8272740740726392</v>
      </c>
      <c r="O395" s="11">
        <f t="shared" si="85"/>
        <v>0.90200000000000002</v>
      </c>
      <c r="P395" s="1">
        <f t="shared" si="86"/>
        <v>42394.704861111109</v>
      </c>
      <c r="Q395" s="12">
        <f t="shared" si="87"/>
        <v>1.155555555555556E-2</v>
      </c>
      <c r="AC395" s="39">
        <v>1.30607E-10</v>
      </c>
      <c r="AD395" s="39">
        <v>1.07364E-10</v>
      </c>
      <c r="AE395" s="39">
        <v>1.36621E-10</v>
      </c>
      <c r="AF395" s="39">
        <v>7.9084699999999999E-11</v>
      </c>
      <c r="AG395" s="39">
        <v>1.3424899999999999E-10</v>
      </c>
      <c r="AH395" s="39">
        <v>1.27832E-10</v>
      </c>
      <c r="AI395" s="39">
        <v>5.3937500000000001E-11</v>
      </c>
      <c r="AJ395" s="39">
        <v>2.4320100000000001E-10</v>
      </c>
      <c r="AK395" s="39">
        <v>5.9514800000000002E-11</v>
      </c>
      <c r="AL395" s="39">
        <v>1.3147900000000001E-10</v>
      </c>
      <c r="AM395" s="39">
        <v>2.2846999999999999E-10</v>
      </c>
      <c r="AN395" s="39">
        <v>1.9395900000000001E-10</v>
      </c>
    </row>
    <row r="396" spans="1:40" thickBot="1">
      <c r="A396" s="29" t="s">
        <v>638</v>
      </c>
      <c r="B396" s="30" t="s">
        <v>17</v>
      </c>
      <c r="C396" s="30">
        <v>56</v>
      </c>
      <c r="D396" s="30" t="s">
        <v>41</v>
      </c>
      <c r="E396" s="30">
        <v>1000</v>
      </c>
      <c r="F396" s="30">
        <v>32</v>
      </c>
      <c r="G396" s="30" t="s">
        <v>566</v>
      </c>
      <c r="H396" s="42" t="s">
        <v>19</v>
      </c>
      <c r="I396" s="30" t="s">
        <v>20</v>
      </c>
      <c r="J396" s="31" t="s">
        <v>75</v>
      </c>
      <c r="K396" s="46" t="s">
        <v>402</v>
      </c>
      <c r="L396" s="1">
        <f t="shared" si="83"/>
        <v>42395.013888888891</v>
      </c>
      <c r="M396" s="43"/>
      <c r="N396" s="11">
        <f t="shared" si="84"/>
        <v>0.81629629629539946</v>
      </c>
      <c r="O396" s="11">
        <f t="shared" si="85"/>
        <v>0.90200000000000002</v>
      </c>
      <c r="P396" s="1">
        <f t="shared" si="86"/>
        <v>42394.704861111109</v>
      </c>
      <c r="Q396" s="12">
        <f t="shared" si="87"/>
        <v>1.155555555555556E-2</v>
      </c>
      <c r="AC396" s="39">
        <v>1.08458E-10</v>
      </c>
      <c r="AD396" s="39">
        <v>9.3071200000000003E-11</v>
      </c>
      <c r="AE396" s="39">
        <v>1.2227699999999999E-10</v>
      </c>
      <c r="AF396" s="39">
        <v>7.0835899999999996E-11</v>
      </c>
      <c r="AG396" s="39">
        <v>9.9588399999999996E-11</v>
      </c>
      <c r="AH396" s="39">
        <v>1.04776E-10</v>
      </c>
      <c r="AI396" s="39">
        <v>4.8513100000000002E-11</v>
      </c>
      <c r="AJ396" s="39">
        <v>2.0310100000000001E-10</v>
      </c>
      <c r="AK396" s="39">
        <v>5.2328400000000002E-11</v>
      </c>
      <c r="AL396" s="39">
        <v>1.12935E-10</v>
      </c>
      <c r="AM396" s="39">
        <v>9.6665500000000001E-11</v>
      </c>
      <c r="AN396" s="39">
        <v>1.69683E-10</v>
      </c>
    </row>
    <row r="397" spans="1:40" thickBot="1">
      <c r="A397" s="29" t="s">
        <v>639</v>
      </c>
      <c r="B397" s="30" t="s">
        <v>17</v>
      </c>
      <c r="C397" s="30">
        <v>56</v>
      </c>
      <c r="D397" s="30" t="s">
        <v>41</v>
      </c>
      <c r="E397" s="30">
        <v>1000</v>
      </c>
      <c r="F397" s="30">
        <v>32</v>
      </c>
      <c r="G397" s="30" t="s">
        <v>566</v>
      </c>
      <c r="H397" s="42" t="s">
        <v>19</v>
      </c>
      <c r="I397" s="30" t="s">
        <v>20</v>
      </c>
      <c r="J397" s="31" t="s">
        <v>75</v>
      </c>
      <c r="K397" s="46" t="s">
        <v>402</v>
      </c>
      <c r="L397" s="1">
        <f t="shared" si="83"/>
        <v>42395.054166666669</v>
      </c>
      <c r="M397" s="43"/>
      <c r="N397" s="11">
        <f t="shared" si="84"/>
        <v>0.80512592592493937</v>
      </c>
      <c r="O397" s="11">
        <f t="shared" si="85"/>
        <v>0.90200000000000002</v>
      </c>
      <c r="P397" s="1">
        <f t="shared" si="86"/>
        <v>42394.704861111109</v>
      </c>
      <c r="Q397" s="12">
        <f t="shared" si="87"/>
        <v>1.155555555555556E-2</v>
      </c>
      <c r="AC397" s="39">
        <v>1.01233E-10</v>
      </c>
      <c r="AD397" s="39">
        <v>8.4378200000000005E-11</v>
      </c>
      <c r="AE397" s="39">
        <v>1.2309900000000001E-10</v>
      </c>
      <c r="AF397" s="39">
        <v>6.5989399999999999E-11</v>
      </c>
      <c r="AG397" s="39">
        <v>1.1007500000000001E-10</v>
      </c>
      <c r="AH397" s="39">
        <v>1.1693199999999999E-10</v>
      </c>
      <c r="AI397" s="39">
        <v>4.8246299999999998E-11</v>
      </c>
      <c r="AJ397" s="39">
        <v>2.0957300000000001E-10</v>
      </c>
      <c r="AK397" s="39">
        <v>4.9667999999999997E-11</v>
      </c>
      <c r="AL397" s="39">
        <v>1.2863400000000001E-10</v>
      </c>
      <c r="AM397" s="39">
        <v>9.8105699999999997E-11</v>
      </c>
      <c r="AN397" s="39">
        <v>1.84752E-10</v>
      </c>
    </row>
    <row r="398" spans="1:40" thickBot="1">
      <c r="A398" s="29" t="s">
        <v>640</v>
      </c>
      <c r="B398" s="30" t="s">
        <v>17</v>
      </c>
      <c r="C398" s="30">
        <v>56</v>
      </c>
      <c r="D398" s="30" t="s">
        <v>41</v>
      </c>
      <c r="E398" s="30">
        <v>1000</v>
      </c>
      <c r="F398" s="30">
        <v>32</v>
      </c>
      <c r="G398" s="30" t="s">
        <v>566</v>
      </c>
      <c r="H398" s="42" t="s">
        <v>19</v>
      </c>
      <c r="I398" s="30" t="s">
        <v>20</v>
      </c>
      <c r="J398" s="31" t="s">
        <v>75</v>
      </c>
      <c r="K398" s="46" t="s">
        <v>402</v>
      </c>
      <c r="L398" s="1">
        <f t="shared" si="83"/>
        <v>42395.09375</v>
      </c>
      <c r="M398" s="43"/>
      <c r="N398" s="11">
        <f t="shared" si="84"/>
        <v>0.79414814814769974</v>
      </c>
      <c r="O398" s="11">
        <f t="shared" si="85"/>
        <v>0.90200000000000002</v>
      </c>
      <c r="P398" s="1">
        <f t="shared" si="86"/>
        <v>42394.704861111109</v>
      </c>
      <c r="Q398" s="12">
        <f t="shared" si="87"/>
        <v>1.155555555555556E-2</v>
      </c>
      <c r="AC398" s="39">
        <v>1.8638999999999999E-10</v>
      </c>
      <c r="AD398" s="39">
        <v>1.4797999999999999E-10</v>
      </c>
      <c r="AE398" s="39">
        <v>1.79265E-10</v>
      </c>
      <c r="AF398" s="39">
        <v>1.2763700000000001E-10</v>
      </c>
      <c r="AG398" s="39">
        <v>1.8104700000000001E-10</v>
      </c>
      <c r="AH398" s="39">
        <v>2.0652E-10</v>
      </c>
      <c r="AI398" s="39">
        <v>8.1870599999999995E-11</v>
      </c>
      <c r="AJ398" s="39">
        <v>3.6687499999999999E-10</v>
      </c>
      <c r="AK398" s="39">
        <v>8.3203499999999999E-11</v>
      </c>
      <c r="AL398" s="39">
        <v>2.00276E-10</v>
      </c>
      <c r="AM398" s="39">
        <v>1.9987700000000001E-10</v>
      </c>
      <c r="AN398" s="39">
        <v>2.32377E-10</v>
      </c>
    </row>
    <row r="399" spans="1:40" thickBot="1">
      <c r="A399" s="29" t="s">
        <v>641</v>
      </c>
      <c r="B399" s="30" t="s">
        <v>17</v>
      </c>
      <c r="C399" s="30">
        <v>56</v>
      </c>
      <c r="D399" s="30" t="s">
        <v>41</v>
      </c>
      <c r="E399" s="30">
        <v>1000</v>
      </c>
      <c r="F399" s="30">
        <v>32</v>
      </c>
      <c r="G399" s="30" t="s">
        <v>566</v>
      </c>
      <c r="H399" s="42" t="s">
        <v>19</v>
      </c>
      <c r="I399" s="30" t="s">
        <v>20</v>
      </c>
      <c r="J399" s="31" t="s">
        <v>75</v>
      </c>
      <c r="K399" s="46" t="s">
        <v>402</v>
      </c>
      <c r="L399" s="1">
        <f t="shared" si="83"/>
        <v>42395.132638888892</v>
      </c>
      <c r="M399" s="43"/>
      <c r="N399" s="11">
        <f t="shared" si="84"/>
        <v>0.78336296296166252</v>
      </c>
      <c r="O399" s="11">
        <f t="shared" si="85"/>
        <v>0.90200000000000002</v>
      </c>
      <c r="P399" s="1">
        <f t="shared" si="86"/>
        <v>42394.704861111109</v>
      </c>
      <c r="Q399" s="12">
        <f t="shared" si="87"/>
        <v>1.155555555555556E-2</v>
      </c>
      <c r="AC399" s="39">
        <v>1.17659E-10</v>
      </c>
      <c r="AD399" s="39">
        <v>8.9071499999999996E-11</v>
      </c>
      <c r="AE399" s="39">
        <v>1.5557699999999999E-10</v>
      </c>
      <c r="AF399" s="39">
        <v>7.0807900000000002E-11</v>
      </c>
      <c r="AG399" s="39">
        <v>1.11415E-10</v>
      </c>
      <c r="AH399" s="39">
        <v>1.15204E-10</v>
      </c>
      <c r="AI399" s="39">
        <v>5.3646200000000001E-11</v>
      </c>
      <c r="AJ399" s="39">
        <v>2.3947700000000001E-10</v>
      </c>
      <c r="AK399" s="39">
        <v>5.7477400000000003E-11</v>
      </c>
      <c r="AL399" s="39">
        <v>1.1778300000000001E-10</v>
      </c>
      <c r="AM399" s="39">
        <v>1.09436E-10</v>
      </c>
      <c r="AN399" s="39">
        <v>1.5610900000000001E-10</v>
      </c>
    </row>
    <row r="400" spans="1:40" thickBot="1">
      <c r="A400" s="29" t="s">
        <v>642</v>
      </c>
      <c r="B400" s="30" t="s">
        <v>17</v>
      </c>
      <c r="C400" s="30">
        <v>56</v>
      </c>
      <c r="D400" s="30" t="s">
        <v>41</v>
      </c>
      <c r="E400" s="30">
        <v>1000</v>
      </c>
      <c r="F400" s="30">
        <v>32</v>
      </c>
      <c r="G400" s="30" t="s">
        <v>566</v>
      </c>
      <c r="H400" s="42" t="s">
        <v>19</v>
      </c>
      <c r="I400" s="30" t="s">
        <v>20</v>
      </c>
      <c r="J400" s="31" t="s">
        <v>75</v>
      </c>
      <c r="K400" s="46" t="s">
        <v>402</v>
      </c>
      <c r="L400" s="1">
        <f t="shared" si="83"/>
        <v>42395.172222222223</v>
      </c>
      <c r="M400" s="43"/>
      <c r="N400" s="11">
        <f t="shared" si="84"/>
        <v>0.77238518518442278</v>
      </c>
      <c r="O400" s="11">
        <f t="shared" si="85"/>
        <v>0.90200000000000002</v>
      </c>
      <c r="P400" s="1">
        <f t="shared" si="86"/>
        <v>42394.704861111109</v>
      </c>
      <c r="Q400" s="12">
        <f t="shared" si="87"/>
        <v>1.155555555555556E-2</v>
      </c>
      <c r="AC400" s="39">
        <v>1.13312E-10</v>
      </c>
      <c r="AD400" s="39">
        <v>9.00429E-11</v>
      </c>
      <c r="AE400" s="39">
        <v>1.54788E-10</v>
      </c>
      <c r="AF400" s="39">
        <v>6.6144599999999997E-11</v>
      </c>
      <c r="AG400" s="39">
        <v>1.1344399999999999E-10</v>
      </c>
      <c r="AH400" s="39">
        <v>1.14805E-10</v>
      </c>
      <c r="AI400" s="39">
        <v>5.1996299999999998E-11</v>
      </c>
      <c r="AJ400" s="39">
        <v>2.17753E-10</v>
      </c>
      <c r="AK400" s="39">
        <v>5.2903399999999998E-11</v>
      </c>
      <c r="AL400" s="39">
        <v>1.24589E-10</v>
      </c>
      <c r="AM400" s="39">
        <v>1.10761E-10</v>
      </c>
      <c r="AN400" s="39">
        <v>1.9826E-10</v>
      </c>
    </row>
    <row r="401" spans="1:40" thickBot="1">
      <c r="A401" s="29" t="s">
        <v>643</v>
      </c>
      <c r="B401" s="30" t="s">
        <v>17</v>
      </c>
      <c r="C401" s="30">
        <v>56</v>
      </c>
      <c r="D401" s="30" t="s">
        <v>41</v>
      </c>
      <c r="E401" s="30">
        <v>1000</v>
      </c>
      <c r="F401" s="30">
        <v>32</v>
      </c>
      <c r="G401" s="30" t="s">
        <v>566</v>
      </c>
      <c r="H401" s="42" t="s">
        <v>19</v>
      </c>
      <c r="I401" s="30" t="s">
        <v>20</v>
      </c>
      <c r="J401" s="31" t="s">
        <v>75</v>
      </c>
      <c r="K401" s="46" t="s">
        <v>402</v>
      </c>
      <c r="L401" s="1">
        <f t="shared" si="83"/>
        <v>42395.211805555555</v>
      </c>
      <c r="M401" s="43"/>
      <c r="N401" s="11">
        <f t="shared" si="84"/>
        <v>0.76140740740718316</v>
      </c>
      <c r="O401" s="11">
        <f t="shared" si="85"/>
        <v>0.90200000000000002</v>
      </c>
      <c r="P401" s="1">
        <f t="shared" si="86"/>
        <v>42394.704861111109</v>
      </c>
      <c r="Q401" s="12">
        <f t="shared" si="87"/>
        <v>1.155555555555556E-2</v>
      </c>
      <c r="AC401" s="39">
        <v>1.49569E-10</v>
      </c>
      <c r="AD401" s="39">
        <v>1.2580599999999999E-10</v>
      </c>
      <c r="AE401" s="39">
        <v>1.8485299999999999E-10</v>
      </c>
      <c r="AF401" s="39">
        <v>9.6410800000000003E-11</v>
      </c>
      <c r="AG401" s="39">
        <v>1.5367100000000001E-10</v>
      </c>
      <c r="AH401" s="39">
        <v>1.7270900000000001E-10</v>
      </c>
      <c r="AI401" s="39">
        <v>6.7806999999999997E-11</v>
      </c>
      <c r="AJ401" s="39">
        <v>3.0965799999999998E-10</v>
      </c>
      <c r="AK401" s="39">
        <v>6.8634800000000005E-11</v>
      </c>
      <c r="AL401" s="39">
        <v>1.78524E-10</v>
      </c>
      <c r="AM401" s="39">
        <v>1.7249800000000001E-10</v>
      </c>
      <c r="AN401" s="39">
        <v>2.55681E-10</v>
      </c>
    </row>
    <row r="402" spans="1:40" thickBot="1">
      <c r="A402" s="29" t="s">
        <v>644</v>
      </c>
      <c r="B402" s="30" t="s">
        <v>17</v>
      </c>
      <c r="C402" s="30">
        <v>56</v>
      </c>
      <c r="D402" s="30" t="s">
        <v>41</v>
      </c>
      <c r="E402" s="30">
        <v>1000</v>
      </c>
      <c r="F402" s="30">
        <v>32</v>
      </c>
      <c r="G402" s="30" t="s">
        <v>566</v>
      </c>
      <c r="H402" s="42" t="s">
        <v>19</v>
      </c>
      <c r="I402" s="30" t="s">
        <v>20</v>
      </c>
      <c r="J402" s="31" t="s">
        <v>75</v>
      </c>
      <c r="K402" s="46" t="s">
        <v>402</v>
      </c>
      <c r="L402" s="1">
        <f t="shared" si="83"/>
        <v>42395.251388888886</v>
      </c>
      <c r="M402" s="43"/>
      <c r="N402" s="11">
        <f t="shared" si="84"/>
        <v>0.75042962962994353</v>
      </c>
      <c r="O402" s="11">
        <f t="shared" si="85"/>
        <v>0.90200000000000002</v>
      </c>
      <c r="P402" s="1">
        <f t="shared" si="86"/>
        <v>42394.704861111109</v>
      </c>
      <c r="Q402" s="12">
        <f t="shared" si="87"/>
        <v>1.155555555555556E-2</v>
      </c>
      <c r="AC402" s="39">
        <v>1.05461E-10</v>
      </c>
      <c r="AD402" s="39">
        <v>9.5985899999999995E-11</v>
      </c>
      <c r="AE402" s="39">
        <v>1.12289E-10</v>
      </c>
      <c r="AF402" s="39">
        <v>6.2145600000000006E-11</v>
      </c>
      <c r="AG402" s="39">
        <v>9.9975899999999999E-11</v>
      </c>
      <c r="AH402" s="39">
        <v>1.05432E-10</v>
      </c>
      <c r="AI402" s="39">
        <v>4.8166900000000001E-11</v>
      </c>
      <c r="AJ402" s="39">
        <v>2.0923999999999999E-10</v>
      </c>
      <c r="AK402" s="39">
        <v>4.9580299999999997E-11</v>
      </c>
      <c r="AL402" s="39">
        <v>1.10397E-10</v>
      </c>
      <c r="AM402" s="39">
        <v>9.7105700000000001E-11</v>
      </c>
      <c r="AN402" s="39">
        <v>1.8223E-10</v>
      </c>
    </row>
    <row r="403" spans="1:40" thickBot="1">
      <c r="A403" s="29" t="s">
        <v>645</v>
      </c>
      <c r="B403" s="30" t="s">
        <v>17</v>
      </c>
      <c r="C403" s="30">
        <v>56</v>
      </c>
      <c r="D403" s="30" t="s">
        <v>41</v>
      </c>
      <c r="E403" s="30">
        <v>1000</v>
      </c>
      <c r="F403" s="30">
        <v>32</v>
      </c>
      <c r="G403" s="30" t="s">
        <v>566</v>
      </c>
      <c r="H403" s="42" t="s">
        <v>19</v>
      </c>
      <c r="I403" s="30" t="s">
        <v>20</v>
      </c>
      <c r="J403" s="31" t="s">
        <v>75</v>
      </c>
      <c r="K403" s="46" t="s">
        <v>402</v>
      </c>
      <c r="L403" s="1">
        <f t="shared" si="83"/>
        <v>42395.290972222225</v>
      </c>
      <c r="M403" s="43"/>
      <c r="N403" s="11">
        <f t="shared" si="84"/>
        <v>0.73945185185068596</v>
      </c>
      <c r="O403" s="11">
        <f t="shared" si="85"/>
        <v>0.90200000000000002</v>
      </c>
      <c r="P403" s="1">
        <f t="shared" si="86"/>
        <v>42394.704861111109</v>
      </c>
      <c r="Q403" s="12">
        <f t="shared" si="87"/>
        <v>1.155555555555556E-2</v>
      </c>
      <c r="AC403" s="39">
        <v>1.2511299999999999E-10</v>
      </c>
      <c r="AD403" s="39">
        <v>9.6041200000000006E-11</v>
      </c>
      <c r="AE403" s="39">
        <v>1.1693400000000001E-10</v>
      </c>
      <c r="AF403" s="39">
        <v>7.7222799999999994E-11</v>
      </c>
      <c r="AG403" s="39">
        <v>1.14011E-10</v>
      </c>
      <c r="AH403" s="39">
        <v>1.3700899999999999E-10</v>
      </c>
      <c r="AI403" s="39">
        <v>5.3077800000000002E-11</v>
      </c>
      <c r="AJ403" s="39">
        <v>2.4238499999999999E-10</v>
      </c>
      <c r="AK403" s="39">
        <v>5.6831999999999997E-11</v>
      </c>
      <c r="AL403" s="39">
        <v>1.2834800000000001E-10</v>
      </c>
      <c r="AM403" s="39">
        <v>1.13291E-10</v>
      </c>
      <c r="AN403" s="39">
        <v>1.7806100000000001E-10</v>
      </c>
    </row>
    <row r="404" spans="1:40" thickBot="1">
      <c r="A404" s="29" t="s">
        <v>646</v>
      </c>
      <c r="B404" s="30" t="s">
        <v>17</v>
      </c>
      <c r="C404" s="30">
        <v>56</v>
      </c>
      <c r="D404" s="30" t="s">
        <v>41</v>
      </c>
      <c r="E404" s="30">
        <v>1000</v>
      </c>
      <c r="F404" s="30">
        <v>32</v>
      </c>
      <c r="G404" s="30" t="s">
        <v>566</v>
      </c>
      <c r="H404" s="42" t="s">
        <v>19</v>
      </c>
      <c r="I404" s="30" t="s">
        <v>20</v>
      </c>
      <c r="J404" s="31" t="s">
        <v>75</v>
      </c>
      <c r="K404" s="46" t="s">
        <v>402</v>
      </c>
      <c r="L404" s="1">
        <f t="shared" si="83"/>
        <v>42395.330555555556</v>
      </c>
      <c r="M404" s="43"/>
      <c r="N404" s="11">
        <f t="shared" si="84"/>
        <v>0.72847407407344622</v>
      </c>
      <c r="O404" s="11">
        <f t="shared" si="85"/>
        <v>0.90200000000000002</v>
      </c>
      <c r="P404" s="1">
        <f t="shared" si="86"/>
        <v>42394.704861111109</v>
      </c>
      <c r="Q404" s="12">
        <f t="shared" si="87"/>
        <v>1.155555555555556E-2</v>
      </c>
      <c r="AC404" s="39">
        <v>1.06773E-10</v>
      </c>
      <c r="AD404" s="39">
        <v>8.6345900000000003E-11</v>
      </c>
      <c r="AE404" s="39">
        <v>9.9586200000000006E-11</v>
      </c>
      <c r="AF404" s="39">
        <v>6.5669899999999998E-11</v>
      </c>
      <c r="AG404" s="39">
        <v>1.0357100000000001E-10</v>
      </c>
      <c r="AH404" s="39">
        <v>1.1762E-10</v>
      </c>
      <c r="AI404" s="39">
        <v>4.7812399999999997E-11</v>
      </c>
      <c r="AJ404" s="39">
        <v>2.12088E-10</v>
      </c>
      <c r="AK404" s="39">
        <v>5.3414200000000001E-11</v>
      </c>
      <c r="AL404" s="39">
        <v>1.0596200000000001E-10</v>
      </c>
      <c r="AM404" s="39">
        <v>1.01006E-10</v>
      </c>
      <c r="AN404" s="39">
        <v>1.65847E-10</v>
      </c>
    </row>
    <row r="405" spans="1:40" thickBot="1">
      <c r="A405" s="29" t="s">
        <v>647</v>
      </c>
      <c r="B405" s="30" t="s">
        <v>17</v>
      </c>
      <c r="C405" s="30">
        <v>56</v>
      </c>
      <c r="D405" s="30" t="s">
        <v>41</v>
      </c>
      <c r="E405" s="30">
        <v>1000</v>
      </c>
      <c r="F405" s="30">
        <v>31</v>
      </c>
      <c r="G405" s="30" t="s">
        <v>629</v>
      </c>
      <c r="H405" s="42" t="s">
        <v>19</v>
      </c>
      <c r="I405" s="30" t="s">
        <v>20</v>
      </c>
      <c r="J405" s="31" t="s">
        <v>75</v>
      </c>
      <c r="K405" s="44" t="str">
        <f t="shared" ref="K405:K468" si="88">IF(AND(N405&lt;0.7,N405&gt;0.2),"lev OK","lev BAD")</f>
        <v>lev OK</v>
      </c>
      <c r="L405" s="1">
        <f t="shared" si="83"/>
        <v>42395.605555555558</v>
      </c>
      <c r="M405" s="43"/>
      <c r="N405" s="11">
        <f t="shared" ref="N405:N468" si="89">O405-(L405-P405)*24*Q405</f>
        <v>0.64217060367402179</v>
      </c>
      <c r="O405" s="11">
        <v>0.69399999999999995</v>
      </c>
      <c r="P405" s="1">
        <v>42395.454861111109</v>
      </c>
      <c r="Q405" s="11">
        <f>(O405-R405)/(S405-P405)/24</f>
        <v>1.4330708661207137E-2</v>
      </c>
      <c r="R405" s="12">
        <v>0.60299999999999998</v>
      </c>
      <c r="S405" s="1">
        <v>42395.719444444447</v>
      </c>
    </row>
    <row r="406" spans="1:40" thickBot="1">
      <c r="A406" s="29" t="s">
        <v>648</v>
      </c>
      <c r="B406" s="30" t="s">
        <v>17</v>
      </c>
      <c r="C406" s="30">
        <v>56</v>
      </c>
      <c r="D406" s="30" t="s">
        <v>41</v>
      </c>
      <c r="E406" s="30">
        <v>1000</v>
      </c>
      <c r="F406" s="30">
        <v>31</v>
      </c>
      <c r="G406" s="30" t="s">
        <v>629</v>
      </c>
      <c r="H406" s="42" t="s">
        <v>19</v>
      </c>
      <c r="I406" s="30" t="s">
        <v>20</v>
      </c>
      <c r="J406" s="31" t="s">
        <v>75</v>
      </c>
      <c r="K406" s="44" t="str">
        <f t="shared" si="88"/>
        <v>lev OK</v>
      </c>
      <c r="L406" s="1">
        <f t="shared" si="83"/>
        <v>42395.645138888889</v>
      </c>
      <c r="M406" s="43"/>
      <c r="N406" s="11">
        <f t="shared" si="89"/>
        <v>0.6285564304465423</v>
      </c>
      <c r="O406" s="11">
        <f t="shared" ref="O406:O468" si="90">O405</f>
        <v>0.69399999999999995</v>
      </c>
      <c r="P406" s="1">
        <f t="shared" ref="P406:P468" si="91">P405</f>
        <v>42395.454861111109</v>
      </c>
      <c r="Q406" s="12">
        <f t="shared" ref="Q406:Q468" si="92">Q405</f>
        <v>1.4330708661207137E-2</v>
      </c>
    </row>
    <row r="407" spans="1:40" thickBot="1">
      <c r="A407" s="29" t="s">
        <v>649</v>
      </c>
      <c r="B407" s="30" t="s">
        <v>17</v>
      </c>
      <c r="C407" s="30">
        <v>56</v>
      </c>
      <c r="D407" s="30" t="s">
        <v>41</v>
      </c>
      <c r="E407" s="30">
        <v>1000</v>
      </c>
      <c r="F407" s="30">
        <v>31</v>
      </c>
      <c r="G407" s="30" t="s">
        <v>566</v>
      </c>
      <c r="H407" s="42" t="s">
        <v>19</v>
      </c>
      <c r="I407" s="30" t="s">
        <v>20</v>
      </c>
      <c r="J407" s="31" t="s">
        <v>75</v>
      </c>
      <c r="K407" s="44" t="str">
        <f t="shared" si="88"/>
        <v>lev OK</v>
      </c>
      <c r="L407" s="1">
        <f t="shared" si="83"/>
        <v>42395.759027777778</v>
      </c>
      <c r="M407" s="43"/>
      <c r="N407" s="11">
        <f t="shared" si="89"/>
        <v>0.58883778234156003</v>
      </c>
      <c r="O407" s="12">
        <v>0.60299999999999998</v>
      </c>
      <c r="P407" s="1">
        <v>42395.719444444447</v>
      </c>
      <c r="Q407" s="11">
        <f>(O407-R407)/(S407-P407)/24</f>
        <v>1.4907597535930727E-2</v>
      </c>
      <c r="R407" s="12">
        <v>0.36099999999999999</v>
      </c>
      <c r="S407" s="1">
        <v>42396.395833333336</v>
      </c>
    </row>
    <row r="408" spans="1:40" thickBot="1">
      <c r="A408" s="29" t="s">
        <v>650</v>
      </c>
      <c r="B408" s="30" t="s">
        <v>17</v>
      </c>
      <c r="C408" s="30">
        <v>56</v>
      </c>
      <c r="D408" s="30" t="s">
        <v>41</v>
      </c>
      <c r="E408" s="30">
        <v>1000</v>
      </c>
      <c r="F408" s="30">
        <v>31</v>
      </c>
      <c r="G408" s="30" t="s">
        <v>566</v>
      </c>
      <c r="H408" s="42" t="s">
        <v>19</v>
      </c>
      <c r="I408" s="30" t="s">
        <v>20</v>
      </c>
      <c r="J408" s="31" t="s">
        <v>75</v>
      </c>
      <c r="K408" s="44" t="str">
        <f t="shared" si="88"/>
        <v>lev OK</v>
      </c>
      <c r="L408" s="1">
        <f t="shared" si="83"/>
        <v>42395.798611111109</v>
      </c>
      <c r="M408" s="43"/>
      <c r="N408" s="11">
        <f t="shared" si="89"/>
        <v>0.57467556468311998</v>
      </c>
      <c r="O408" s="11">
        <f t="shared" si="90"/>
        <v>0.60299999999999998</v>
      </c>
      <c r="P408" s="1">
        <f t="shared" si="91"/>
        <v>42395.719444444447</v>
      </c>
      <c r="Q408" s="12">
        <f t="shared" si="92"/>
        <v>1.4907597535930727E-2</v>
      </c>
    </row>
    <row r="409" spans="1:40" thickBot="1">
      <c r="A409" s="29" t="s">
        <v>651</v>
      </c>
      <c r="B409" s="30" t="s">
        <v>17</v>
      </c>
      <c r="C409" s="30">
        <v>56</v>
      </c>
      <c r="D409" s="30" t="s">
        <v>41</v>
      </c>
      <c r="E409" s="30">
        <v>1000</v>
      </c>
      <c r="F409" s="30">
        <v>31</v>
      </c>
      <c r="G409" s="30" t="s">
        <v>566</v>
      </c>
      <c r="H409" s="42" t="s">
        <v>19</v>
      </c>
      <c r="I409" s="30" t="s">
        <v>20</v>
      </c>
      <c r="J409" s="31" t="s">
        <v>75</v>
      </c>
      <c r="K409" s="44" t="str">
        <f t="shared" si="88"/>
        <v>lev OK</v>
      </c>
      <c r="L409" s="1">
        <f t="shared" si="83"/>
        <v>42395.837500000001</v>
      </c>
      <c r="M409" s="43"/>
      <c r="N409" s="11">
        <f t="shared" si="89"/>
        <v>0.56076180698181888</v>
      </c>
      <c r="O409" s="11">
        <f t="shared" si="90"/>
        <v>0.60299999999999998</v>
      </c>
      <c r="P409" s="1">
        <f t="shared" si="91"/>
        <v>42395.719444444447</v>
      </c>
      <c r="Q409" s="12">
        <f t="shared" si="92"/>
        <v>1.4907597535930727E-2</v>
      </c>
    </row>
    <row r="410" spans="1:40" thickBot="1">
      <c r="A410" s="29" t="s">
        <v>652</v>
      </c>
      <c r="B410" s="30" t="s">
        <v>17</v>
      </c>
      <c r="C410" s="30">
        <v>56</v>
      </c>
      <c r="D410" s="30" t="s">
        <v>41</v>
      </c>
      <c r="E410" s="30">
        <v>1000</v>
      </c>
      <c r="F410" s="30" t="s">
        <v>41</v>
      </c>
      <c r="G410" s="30" t="s">
        <v>566</v>
      </c>
      <c r="H410" s="42" t="s">
        <v>19</v>
      </c>
      <c r="I410" s="30" t="s">
        <v>20</v>
      </c>
      <c r="J410" s="31" t="s">
        <v>75</v>
      </c>
      <c r="K410" s="44" t="str">
        <f t="shared" si="88"/>
        <v>lev OK</v>
      </c>
      <c r="L410" s="1">
        <f t="shared" si="83"/>
        <v>42395.877083333333</v>
      </c>
      <c r="M410" s="43"/>
      <c r="N410" s="11">
        <f t="shared" si="89"/>
        <v>0.54659958932337882</v>
      </c>
      <c r="O410" s="11">
        <f t="shared" si="90"/>
        <v>0.60299999999999998</v>
      </c>
      <c r="P410" s="1">
        <f t="shared" si="91"/>
        <v>42395.719444444447</v>
      </c>
      <c r="Q410" s="12">
        <f t="shared" si="92"/>
        <v>1.4907597535930727E-2</v>
      </c>
    </row>
    <row r="411" spans="1:40" thickBot="1">
      <c r="A411" s="29" t="s">
        <v>653</v>
      </c>
      <c r="B411" s="30" t="s">
        <v>17</v>
      </c>
      <c r="C411" s="30">
        <v>56</v>
      </c>
      <c r="D411" s="30" t="s">
        <v>41</v>
      </c>
      <c r="E411" s="30">
        <v>1000</v>
      </c>
      <c r="F411" s="30">
        <v>32</v>
      </c>
      <c r="G411" s="30" t="s">
        <v>18</v>
      </c>
      <c r="H411" s="42" t="s">
        <v>19</v>
      </c>
      <c r="I411" s="30" t="s">
        <v>20</v>
      </c>
      <c r="J411" s="31" t="s">
        <v>654</v>
      </c>
      <c r="K411" s="44" t="str">
        <f t="shared" si="88"/>
        <v>lev OK</v>
      </c>
      <c r="L411" s="1">
        <f t="shared" si="83"/>
        <v>42396.43472222222</v>
      </c>
      <c r="M411" s="43"/>
      <c r="N411" s="11">
        <f t="shared" si="89"/>
        <v>0.3459552238818574</v>
      </c>
      <c r="O411" s="12">
        <v>0.36099999999999999</v>
      </c>
      <c r="P411" s="1">
        <v>42396.395833333336</v>
      </c>
      <c r="Q411" s="11">
        <f>(O411-R411)/(S411-P411)/24</f>
        <v>1.6119402985466737E-2</v>
      </c>
      <c r="R411" s="12">
        <v>0.27100000000000002</v>
      </c>
      <c r="S411" s="1">
        <v>42396.628472222219</v>
      </c>
    </row>
    <row r="412" spans="1:40" thickBot="1">
      <c r="A412" s="29" t="s">
        <v>655</v>
      </c>
      <c r="B412" s="30" t="s">
        <v>17</v>
      </c>
      <c r="C412" s="30">
        <v>56</v>
      </c>
      <c r="D412" s="30" t="s">
        <v>41</v>
      </c>
      <c r="E412" s="30">
        <v>1000</v>
      </c>
      <c r="F412" s="30">
        <v>32</v>
      </c>
      <c r="G412" s="30" t="s">
        <v>18</v>
      </c>
      <c r="H412" s="42" t="s">
        <v>19</v>
      </c>
      <c r="I412" s="30" t="s">
        <v>20</v>
      </c>
      <c r="J412" s="31" t="s">
        <v>654</v>
      </c>
      <c r="K412" s="44" t="str">
        <f t="shared" si="88"/>
        <v>lev OK</v>
      </c>
      <c r="L412" s="1">
        <f t="shared" si="83"/>
        <v>42396.474305555559</v>
      </c>
      <c r="M412" s="43"/>
      <c r="N412" s="11">
        <f t="shared" si="89"/>
        <v>0.33064179104359975</v>
      </c>
      <c r="O412" s="11">
        <f t="shared" si="90"/>
        <v>0.36099999999999999</v>
      </c>
      <c r="P412" s="1">
        <f t="shared" si="91"/>
        <v>42396.395833333336</v>
      </c>
      <c r="Q412" s="12">
        <f t="shared" si="92"/>
        <v>1.6119402985466737E-2</v>
      </c>
    </row>
    <row r="413" spans="1:40" thickBot="1">
      <c r="A413" s="29" t="s">
        <v>656</v>
      </c>
      <c r="B413" s="30" t="s">
        <v>17</v>
      </c>
      <c r="C413" s="30">
        <v>56</v>
      </c>
      <c r="D413" s="30" t="s">
        <v>41</v>
      </c>
      <c r="E413" s="30">
        <v>1000</v>
      </c>
      <c r="F413" s="30">
        <v>31</v>
      </c>
      <c r="G413" s="30" t="s">
        <v>18</v>
      </c>
      <c r="H413" s="42" t="s">
        <v>19</v>
      </c>
      <c r="I413" s="30" t="s">
        <v>20</v>
      </c>
      <c r="J413" s="31" t="s">
        <v>654</v>
      </c>
      <c r="K413" s="44" t="str">
        <f t="shared" si="88"/>
        <v>lev OK</v>
      </c>
      <c r="L413" s="1">
        <f t="shared" si="83"/>
        <v>42396.513888888891</v>
      </c>
      <c r="M413" s="43"/>
      <c r="N413" s="11">
        <f t="shared" si="89"/>
        <v>0.31532835820815697</v>
      </c>
      <c r="O413" s="11">
        <f t="shared" si="90"/>
        <v>0.36099999999999999</v>
      </c>
      <c r="P413" s="1">
        <f t="shared" si="91"/>
        <v>42396.395833333336</v>
      </c>
      <c r="Q413" s="12">
        <f t="shared" si="92"/>
        <v>1.6119402985466737E-2</v>
      </c>
    </row>
    <row r="414" spans="1:40" thickBot="1">
      <c r="A414" s="29" t="s">
        <v>657</v>
      </c>
      <c r="B414" s="30" t="s">
        <v>17</v>
      </c>
      <c r="C414" s="30">
        <v>56</v>
      </c>
      <c r="D414" s="30" t="s">
        <v>41</v>
      </c>
      <c r="E414" s="30">
        <v>1000</v>
      </c>
      <c r="F414" s="30">
        <v>31</v>
      </c>
      <c r="G414" s="30" t="s">
        <v>566</v>
      </c>
      <c r="H414" s="42" t="s">
        <v>19</v>
      </c>
      <c r="I414" s="30" t="s">
        <v>20</v>
      </c>
      <c r="J414" s="31" t="s">
        <v>245</v>
      </c>
      <c r="K414" s="44" t="str">
        <f t="shared" si="88"/>
        <v>lev BAD</v>
      </c>
      <c r="L414" s="1">
        <f t="shared" si="83"/>
        <v>42396.720833333333</v>
      </c>
      <c r="M414" s="43" t="s">
        <v>658</v>
      </c>
      <c r="N414" s="11">
        <f t="shared" si="89"/>
        <v>0.89674851485074902</v>
      </c>
      <c r="O414" s="11">
        <v>0.91400000000000003</v>
      </c>
      <c r="P414" s="1">
        <v>42396.659722222219</v>
      </c>
      <c r="Q414" s="11">
        <f>(O414-R414)/(S414-P414)/24</f>
        <v>1.176237623759665E-2</v>
      </c>
      <c r="R414" s="12">
        <v>0.71599999999999997</v>
      </c>
      <c r="S414" s="1">
        <v>42397.361111111109</v>
      </c>
    </row>
    <row r="415" spans="1:40" thickBot="1">
      <c r="A415" s="29" t="s">
        <v>659</v>
      </c>
      <c r="B415" s="30" t="s">
        <v>17</v>
      </c>
      <c r="C415" s="30">
        <v>56</v>
      </c>
      <c r="D415" s="30" t="s">
        <v>41</v>
      </c>
      <c r="E415" s="30">
        <v>1000</v>
      </c>
      <c r="F415" s="30">
        <v>31</v>
      </c>
      <c r="G415" s="30" t="s">
        <v>566</v>
      </c>
      <c r="H415" s="42" t="s">
        <v>19</v>
      </c>
      <c r="I415" s="30" t="s">
        <v>20</v>
      </c>
      <c r="J415" s="31" t="s">
        <v>245</v>
      </c>
      <c r="K415" s="44" t="str">
        <f t="shared" si="88"/>
        <v>lev BAD</v>
      </c>
      <c r="L415" s="1">
        <f t="shared" si="83"/>
        <v>42396.759722222225</v>
      </c>
      <c r="M415" s="43"/>
      <c r="N415" s="11">
        <f t="shared" si="89"/>
        <v>0.88577029702812493</v>
      </c>
      <c r="O415" s="11">
        <f t="shared" si="90"/>
        <v>0.91400000000000003</v>
      </c>
      <c r="P415" s="1">
        <f t="shared" si="91"/>
        <v>42396.659722222219</v>
      </c>
      <c r="Q415" s="12">
        <f t="shared" si="92"/>
        <v>1.176237623759665E-2</v>
      </c>
    </row>
    <row r="416" spans="1:40" thickBot="1">
      <c r="A416" s="29" t="s">
        <v>660</v>
      </c>
      <c r="B416" s="30" t="s">
        <v>17</v>
      </c>
      <c r="C416" s="30">
        <v>56</v>
      </c>
      <c r="D416" s="30" t="s">
        <v>41</v>
      </c>
      <c r="E416" s="30">
        <v>1000</v>
      </c>
      <c r="F416" s="30">
        <v>31</v>
      </c>
      <c r="G416" s="30" t="s">
        <v>566</v>
      </c>
      <c r="H416" s="42" t="s">
        <v>19</v>
      </c>
      <c r="I416" s="30" t="s">
        <v>20</v>
      </c>
      <c r="J416" s="31" t="s">
        <v>245</v>
      </c>
      <c r="K416" s="44" t="str">
        <f t="shared" si="88"/>
        <v>lev BAD</v>
      </c>
      <c r="L416" s="1">
        <f t="shared" si="83"/>
        <v>42396.799305555556</v>
      </c>
      <c r="M416" s="43"/>
      <c r="N416" s="11">
        <f t="shared" si="89"/>
        <v>0.87459603960295584</v>
      </c>
      <c r="O416" s="11">
        <f t="shared" si="90"/>
        <v>0.91400000000000003</v>
      </c>
      <c r="P416" s="1">
        <f t="shared" si="91"/>
        <v>42396.659722222219</v>
      </c>
      <c r="Q416" s="12">
        <f t="shared" si="92"/>
        <v>1.176237623759665E-2</v>
      </c>
    </row>
    <row r="417" spans="1:19" thickBot="1">
      <c r="A417" s="29" t="s">
        <v>661</v>
      </c>
      <c r="B417" s="30" t="s">
        <v>17</v>
      </c>
      <c r="C417" s="30">
        <v>56</v>
      </c>
      <c r="D417" s="30" t="s">
        <v>41</v>
      </c>
      <c r="E417" s="30">
        <v>1000</v>
      </c>
      <c r="F417" s="30">
        <v>31</v>
      </c>
      <c r="G417" s="30" t="s">
        <v>566</v>
      </c>
      <c r="H417" s="42" t="s">
        <v>19</v>
      </c>
      <c r="I417" s="30" t="s">
        <v>20</v>
      </c>
      <c r="J417" s="31" t="s">
        <v>245</v>
      </c>
      <c r="K417" s="44" t="str">
        <f t="shared" si="88"/>
        <v>lev BAD</v>
      </c>
      <c r="L417" s="1">
        <f t="shared" si="83"/>
        <v>42396.838194444441</v>
      </c>
      <c r="M417" s="43"/>
      <c r="N417" s="11">
        <f t="shared" si="89"/>
        <v>0.86361782178238566</v>
      </c>
      <c r="O417" s="11">
        <f t="shared" si="90"/>
        <v>0.91400000000000003</v>
      </c>
      <c r="P417" s="1">
        <f t="shared" si="91"/>
        <v>42396.659722222219</v>
      </c>
      <c r="Q417" s="12">
        <f t="shared" si="92"/>
        <v>1.176237623759665E-2</v>
      </c>
    </row>
    <row r="418" spans="1:19" thickBot="1">
      <c r="A418" s="29" t="s">
        <v>662</v>
      </c>
      <c r="B418" s="30" t="s">
        <v>17</v>
      </c>
      <c r="C418" s="30">
        <v>56</v>
      </c>
      <c r="D418" s="30" t="s">
        <v>41</v>
      </c>
      <c r="E418" s="30">
        <v>1000</v>
      </c>
      <c r="F418" s="30">
        <v>31</v>
      </c>
      <c r="G418" s="30" t="s">
        <v>566</v>
      </c>
      <c r="H418" s="42" t="s">
        <v>19</v>
      </c>
      <c r="I418" s="30" t="s">
        <v>20</v>
      </c>
      <c r="J418" s="31" t="s">
        <v>245</v>
      </c>
      <c r="K418" s="44" t="str">
        <f t="shared" si="88"/>
        <v>lev BAD</v>
      </c>
      <c r="L418" s="1">
        <f t="shared" si="83"/>
        <v>42396.87777777778</v>
      </c>
      <c r="M418" s="43"/>
      <c r="N418" s="11">
        <f t="shared" si="89"/>
        <v>0.85244356435516255</v>
      </c>
      <c r="O418" s="11">
        <f t="shared" si="90"/>
        <v>0.91400000000000003</v>
      </c>
      <c r="P418" s="1">
        <f t="shared" si="91"/>
        <v>42396.659722222219</v>
      </c>
      <c r="Q418" s="12">
        <f t="shared" si="92"/>
        <v>1.176237623759665E-2</v>
      </c>
    </row>
    <row r="419" spans="1:19" thickBot="1">
      <c r="A419" s="29" t="s">
        <v>663</v>
      </c>
      <c r="B419" s="30" t="s">
        <v>17</v>
      </c>
      <c r="C419" s="30">
        <v>56</v>
      </c>
      <c r="D419" s="30" t="s">
        <v>41</v>
      </c>
      <c r="E419" s="30">
        <v>1000</v>
      </c>
      <c r="F419" s="30">
        <v>31</v>
      </c>
      <c r="G419" s="30" t="s">
        <v>566</v>
      </c>
      <c r="H419" s="42" t="s">
        <v>19</v>
      </c>
      <c r="I419" s="30" t="s">
        <v>20</v>
      </c>
      <c r="J419" s="31" t="s">
        <v>245</v>
      </c>
      <c r="K419" s="44" t="str">
        <f t="shared" si="88"/>
        <v>lev BAD</v>
      </c>
      <c r="L419" s="1">
        <f t="shared" si="83"/>
        <v>42396.917361111111</v>
      </c>
      <c r="M419" s="43"/>
      <c r="N419" s="11">
        <f t="shared" si="89"/>
        <v>0.84126930692999347</v>
      </c>
      <c r="O419" s="11">
        <f t="shared" si="90"/>
        <v>0.91400000000000003</v>
      </c>
      <c r="P419" s="1">
        <f t="shared" si="91"/>
        <v>42396.659722222219</v>
      </c>
      <c r="Q419" s="12">
        <f t="shared" si="92"/>
        <v>1.176237623759665E-2</v>
      </c>
    </row>
    <row r="420" spans="1:19" thickBot="1">
      <c r="A420" s="29" t="s">
        <v>664</v>
      </c>
      <c r="B420" s="30" t="s">
        <v>17</v>
      </c>
      <c r="C420" s="30">
        <v>56</v>
      </c>
      <c r="D420" s="30" t="s">
        <v>41</v>
      </c>
      <c r="E420" s="30">
        <v>1000</v>
      </c>
      <c r="F420" s="30">
        <v>31</v>
      </c>
      <c r="G420" s="30" t="s">
        <v>566</v>
      </c>
      <c r="H420" s="42" t="s">
        <v>19</v>
      </c>
      <c r="I420" s="30" t="s">
        <v>20</v>
      </c>
      <c r="J420" s="31" t="s">
        <v>245</v>
      </c>
      <c r="K420" s="44" t="str">
        <f t="shared" si="88"/>
        <v>lev BAD</v>
      </c>
      <c r="L420" s="1">
        <f t="shared" si="83"/>
        <v>42396.956250000003</v>
      </c>
      <c r="M420" s="43"/>
      <c r="N420" s="11">
        <f t="shared" si="89"/>
        <v>0.83029108910736937</v>
      </c>
      <c r="O420" s="11">
        <f t="shared" si="90"/>
        <v>0.91400000000000003</v>
      </c>
      <c r="P420" s="1">
        <f t="shared" si="91"/>
        <v>42396.659722222219</v>
      </c>
      <c r="Q420" s="12">
        <f t="shared" si="92"/>
        <v>1.176237623759665E-2</v>
      </c>
    </row>
    <row r="421" spans="1:19" thickBot="1">
      <c r="A421" s="29" t="s">
        <v>665</v>
      </c>
      <c r="B421" s="30" t="s">
        <v>17</v>
      </c>
      <c r="C421" s="30">
        <v>56</v>
      </c>
      <c r="D421" s="30" t="s">
        <v>41</v>
      </c>
      <c r="E421" s="30">
        <v>1000</v>
      </c>
      <c r="F421" s="30">
        <v>31</v>
      </c>
      <c r="G421" s="30" t="s">
        <v>566</v>
      </c>
      <c r="H421" s="42" t="s">
        <v>19</v>
      </c>
      <c r="I421" s="30" t="s">
        <v>20</v>
      </c>
      <c r="J421" s="31" t="s">
        <v>245</v>
      </c>
      <c r="K421" s="44" t="str">
        <f t="shared" si="88"/>
        <v>lev BAD</v>
      </c>
      <c r="L421" s="1">
        <f t="shared" si="83"/>
        <v>42396.995833333334</v>
      </c>
      <c r="M421" s="43"/>
      <c r="N421" s="11">
        <f t="shared" si="89"/>
        <v>0.81911683168220029</v>
      </c>
      <c r="O421" s="11">
        <f t="shared" si="90"/>
        <v>0.91400000000000003</v>
      </c>
      <c r="P421" s="1">
        <f t="shared" si="91"/>
        <v>42396.659722222219</v>
      </c>
      <c r="Q421" s="12">
        <f t="shared" si="92"/>
        <v>1.176237623759665E-2</v>
      </c>
    </row>
    <row r="422" spans="1:19" thickBot="1">
      <c r="A422" s="29" t="s">
        <v>666</v>
      </c>
      <c r="B422" s="30" t="s">
        <v>17</v>
      </c>
      <c r="C422" s="30">
        <v>56</v>
      </c>
      <c r="D422" s="30" t="s">
        <v>41</v>
      </c>
      <c r="E422" s="30">
        <v>1000</v>
      </c>
      <c r="F422" s="30">
        <v>31</v>
      </c>
      <c r="G422" s="30" t="s">
        <v>566</v>
      </c>
      <c r="H422" s="42" t="s">
        <v>19</v>
      </c>
      <c r="I422" s="30" t="s">
        <v>20</v>
      </c>
      <c r="J422" s="31" t="s">
        <v>245</v>
      </c>
      <c r="K422" s="44" t="str">
        <f t="shared" si="88"/>
        <v>lev BAD</v>
      </c>
      <c r="L422" s="1">
        <f t="shared" si="83"/>
        <v>42397.035416666666</v>
      </c>
      <c r="M422" s="43"/>
      <c r="N422" s="11">
        <f t="shared" si="89"/>
        <v>0.8079425742570312</v>
      </c>
      <c r="O422" s="11">
        <f t="shared" si="90"/>
        <v>0.91400000000000003</v>
      </c>
      <c r="P422" s="1">
        <f t="shared" si="91"/>
        <v>42396.659722222219</v>
      </c>
      <c r="Q422" s="12">
        <f t="shared" si="92"/>
        <v>1.176237623759665E-2</v>
      </c>
    </row>
    <row r="423" spans="1:19" thickBot="1">
      <c r="A423" s="29" t="s">
        <v>667</v>
      </c>
      <c r="B423" s="30" t="s">
        <v>17</v>
      </c>
      <c r="C423" s="30">
        <v>56</v>
      </c>
      <c r="D423" s="30" t="s">
        <v>41</v>
      </c>
      <c r="E423" s="30">
        <v>1000</v>
      </c>
      <c r="F423" s="30">
        <v>31</v>
      </c>
      <c r="G423" s="30" t="s">
        <v>566</v>
      </c>
      <c r="H423" s="42" t="s">
        <v>19</v>
      </c>
      <c r="I423" s="30" t="s">
        <v>20</v>
      </c>
      <c r="J423" s="31" t="s">
        <v>245</v>
      </c>
      <c r="K423" s="44" t="str">
        <f t="shared" si="88"/>
        <v>lev BAD</v>
      </c>
      <c r="L423" s="1">
        <f t="shared" si="83"/>
        <v>42397.074305555558</v>
      </c>
      <c r="M423" s="43"/>
      <c r="N423" s="11">
        <f t="shared" si="89"/>
        <v>0.79696435643440711</v>
      </c>
      <c r="O423" s="11">
        <f t="shared" si="90"/>
        <v>0.91400000000000003</v>
      </c>
      <c r="P423" s="1">
        <f t="shared" si="91"/>
        <v>42396.659722222219</v>
      </c>
      <c r="Q423" s="12">
        <f t="shared" si="92"/>
        <v>1.176237623759665E-2</v>
      </c>
    </row>
    <row r="424" spans="1:19" thickBot="1">
      <c r="A424" s="29" t="s">
        <v>668</v>
      </c>
      <c r="B424" s="30" t="s">
        <v>17</v>
      </c>
      <c r="C424" s="30">
        <v>56</v>
      </c>
      <c r="D424" s="30" t="s">
        <v>41</v>
      </c>
      <c r="E424" s="30">
        <v>1000</v>
      </c>
      <c r="F424" s="30">
        <v>31</v>
      </c>
      <c r="G424" s="30" t="s">
        <v>566</v>
      </c>
      <c r="H424" s="42" t="s">
        <v>19</v>
      </c>
      <c r="I424" s="30" t="s">
        <v>20</v>
      </c>
      <c r="J424" s="31" t="s">
        <v>245</v>
      </c>
      <c r="K424" s="44" t="str">
        <f t="shared" si="88"/>
        <v>lev BAD</v>
      </c>
      <c r="L424" s="1">
        <f t="shared" si="83"/>
        <v>42397.113888888889</v>
      </c>
      <c r="M424" s="43"/>
      <c r="N424" s="11">
        <f t="shared" si="89"/>
        <v>0.78579009900923802</v>
      </c>
      <c r="O424" s="11">
        <f t="shared" si="90"/>
        <v>0.91400000000000003</v>
      </c>
      <c r="P424" s="1">
        <f t="shared" si="91"/>
        <v>42396.659722222219</v>
      </c>
      <c r="Q424" s="12">
        <f t="shared" si="92"/>
        <v>1.176237623759665E-2</v>
      </c>
    </row>
    <row r="425" spans="1:19" thickBot="1">
      <c r="A425" s="29" t="s">
        <v>669</v>
      </c>
      <c r="B425" s="30" t="s">
        <v>17</v>
      </c>
      <c r="C425" s="30">
        <v>56</v>
      </c>
      <c r="D425" s="30" t="s">
        <v>41</v>
      </c>
      <c r="E425" s="30">
        <v>1000</v>
      </c>
      <c r="F425" s="30">
        <v>31</v>
      </c>
      <c r="G425" s="30" t="s">
        <v>566</v>
      </c>
      <c r="H425" s="42" t="s">
        <v>19</v>
      </c>
      <c r="I425" s="30" t="s">
        <v>20</v>
      </c>
      <c r="J425" s="31" t="s">
        <v>245</v>
      </c>
      <c r="K425" s="44" t="str">
        <f t="shared" si="88"/>
        <v>lev BAD</v>
      </c>
      <c r="L425" s="1">
        <f t="shared" si="83"/>
        <v>42397.15347222222</v>
      </c>
      <c r="M425" s="43"/>
      <c r="N425" s="11">
        <f t="shared" si="89"/>
        <v>0.77461584158406893</v>
      </c>
      <c r="O425" s="11">
        <f t="shared" si="90"/>
        <v>0.91400000000000003</v>
      </c>
      <c r="P425" s="1">
        <f t="shared" si="91"/>
        <v>42396.659722222219</v>
      </c>
      <c r="Q425" s="12">
        <f t="shared" si="92"/>
        <v>1.176237623759665E-2</v>
      </c>
    </row>
    <row r="426" spans="1:19" thickBot="1">
      <c r="A426" s="29" t="s">
        <v>670</v>
      </c>
      <c r="B426" s="30" t="s">
        <v>17</v>
      </c>
      <c r="C426" s="30">
        <v>56</v>
      </c>
      <c r="D426" s="30" t="s">
        <v>41</v>
      </c>
      <c r="E426" s="30">
        <v>1000</v>
      </c>
      <c r="F426" s="30">
        <v>31</v>
      </c>
      <c r="G426" s="30" t="s">
        <v>566</v>
      </c>
      <c r="H426" s="42" t="s">
        <v>19</v>
      </c>
      <c r="I426" s="30" t="s">
        <v>20</v>
      </c>
      <c r="J426" s="31" t="s">
        <v>245</v>
      </c>
      <c r="K426" s="44" t="str">
        <f t="shared" si="88"/>
        <v>lev BAD</v>
      </c>
      <c r="L426" s="1">
        <f t="shared" si="83"/>
        <v>42397.192361111112</v>
      </c>
      <c r="M426" s="43"/>
      <c r="N426" s="11">
        <f t="shared" si="89"/>
        <v>0.76363762376144484</v>
      </c>
      <c r="O426" s="11">
        <f t="shared" si="90"/>
        <v>0.91400000000000003</v>
      </c>
      <c r="P426" s="1">
        <f t="shared" si="91"/>
        <v>42396.659722222219</v>
      </c>
      <c r="Q426" s="12">
        <f t="shared" si="92"/>
        <v>1.176237623759665E-2</v>
      </c>
    </row>
    <row r="427" spans="1:19" thickBot="1">
      <c r="A427" s="29" t="s">
        <v>671</v>
      </c>
      <c r="B427" s="30" t="s">
        <v>17</v>
      </c>
      <c r="C427" s="30">
        <v>56</v>
      </c>
      <c r="D427" s="30" t="s">
        <v>41</v>
      </c>
      <c r="E427" s="30">
        <v>1000</v>
      </c>
      <c r="F427" s="30">
        <v>31</v>
      </c>
      <c r="G427" s="30" t="s">
        <v>566</v>
      </c>
      <c r="H427" s="42" t="s">
        <v>19</v>
      </c>
      <c r="I427" s="30" t="s">
        <v>20</v>
      </c>
      <c r="J427" s="31" t="s">
        <v>245</v>
      </c>
      <c r="K427" s="44" t="str">
        <f t="shared" si="88"/>
        <v>lev BAD</v>
      </c>
      <c r="L427" s="1">
        <f t="shared" si="83"/>
        <v>42397.231944444444</v>
      </c>
      <c r="M427" s="43"/>
      <c r="N427" s="11">
        <f t="shared" si="89"/>
        <v>0.75246336633627575</v>
      </c>
      <c r="O427" s="11">
        <f t="shared" si="90"/>
        <v>0.91400000000000003</v>
      </c>
      <c r="P427" s="1">
        <f t="shared" si="91"/>
        <v>42396.659722222219</v>
      </c>
      <c r="Q427" s="12">
        <f t="shared" si="92"/>
        <v>1.176237623759665E-2</v>
      </c>
    </row>
    <row r="428" spans="1:19" thickBot="1">
      <c r="A428" s="29" t="s">
        <v>672</v>
      </c>
      <c r="B428" s="30" t="s">
        <v>17</v>
      </c>
      <c r="C428" s="30">
        <v>56</v>
      </c>
      <c r="D428" s="30" t="s">
        <v>41</v>
      </c>
      <c r="E428" s="30">
        <v>1000</v>
      </c>
      <c r="F428" s="30">
        <v>31</v>
      </c>
      <c r="G428" s="30" t="s">
        <v>566</v>
      </c>
      <c r="H428" s="42" t="s">
        <v>19</v>
      </c>
      <c r="I428" s="30" t="s">
        <v>20</v>
      </c>
      <c r="J428" s="31" t="s">
        <v>245</v>
      </c>
      <c r="K428" s="44" t="str">
        <f t="shared" si="88"/>
        <v>lev BAD</v>
      </c>
      <c r="L428" s="1">
        <f t="shared" si="83"/>
        <v>42397.271527777775</v>
      </c>
      <c r="M428" s="43"/>
      <c r="N428" s="11">
        <f t="shared" si="89"/>
        <v>0.74128910891110666</v>
      </c>
      <c r="O428" s="11">
        <f t="shared" si="90"/>
        <v>0.91400000000000003</v>
      </c>
      <c r="P428" s="1">
        <f t="shared" si="91"/>
        <v>42396.659722222219</v>
      </c>
      <c r="Q428" s="12">
        <f t="shared" si="92"/>
        <v>1.176237623759665E-2</v>
      </c>
    </row>
    <row r="429" spans="1:19" thickBot="1">
      <c r="A429" s="29" t="s">
        <v>673</v>
      </c>
      <c r="B429" s="30" t="s">
        <v>17</v>
      </c>
      <c r="C429" s="30">
        <v>56</v>
      </c>
      <c r="D429" s="30" t="s">
        <v>41</v>
      </c>
      <c r="E429" s="30">
        <v>1000</v>
      </c>
      <c r="F429" s="30">
        <v>32</v>
      </c>
      <c r="G429" s="30" t="s">
        <v>566</v>
      </c>
      <c r="H429" s="42" t="s">
        <v>19</v>
      </c>
      <c r="I429" s="30" t="s">
        <v>20</v>
      </c>
      <c r="J429" s="31" t="s">
        <v>245</v>
      </c>
      <c r="K429" s="44" t="str">
        <f t="shared" si="88"/>
        <v>lev BAD</v>
      </c>
      <c r="L429" s="1">
        <f t="shared" si="83"/>
        <v>42397.310416666667</v>
      </c>
      <c r="M429" s="43"/>
      <c r="N429" s="11">
        <f t="shared" si="89"/>
        <v>0.73031089108848257</v>
      </c>
      <c r="O429" s="11">
        <f t="shared" si="90"/>
        <v>0.91400000000000003</v>
      </c>
      <c r="P429" s="1">
        <f t="shared" si="91"/>
        <v>42396.659722222219</v>
      </c>
      <c r="Q429" s="12">
        <f t="shared" si="92"/>
        <v>1.176237623759665E-2</v>
      </c>
    </row>
    <row r="430" spans="1:19" thickBot="1">
      <c r="A430" s="29" t="s">
        <v>674</v>
      </c>
      <c r="B430" s="30" t="s">
        <v>17</v>
      </c>
      <c r="C430" s="30">
        <v>56</v>
      </c>
      <c r="D430" s="30" t="s">
        <v>41</v>
      </c>
      <c r="E430" s="30">
        <v>1000</v>
      </c>
      <c r="F430" s="30">
        <v>31</v>
      </c>
      <c r="G430" s="30" t="s">
        <v>18</v>
      </c>
      <c r="H430" s="42" t="s">
        <v>19</v>
      </c>
      <c r="I430" s="30" t="s">
        <v>20</v>
      </c>
      <c r="J430" s="31" t="s">
        <v>75</v>
      </c>
      <c r="K430" s="44" t="str">
        <f t="shared" si="88"/>
        <v>lev OK</v>
      </c>
      <c r="L430" s="1">
        <f t="shared" si="83"/>
        <v>42397.443055555559</v>
      </c>
      <c r="M430" s="43"/>
      <c r="N430" s="11">
        <f t="shared" si="89"/>
        <v>0.6869728222979129</v>
      </c>
      <c r="O430" s="12">
        <v>0.71599999999999997</v>
      </c>
      <c r="P430" s="1">
        <v>42397.361111111109</v>
      </c>
      <c r="Q430" s="11">
        <f>(O430-R430)/(S430-P430)/24</f>
        <v>1.4759581881485205E-2</v>
      </c>
      <c r="R430" s="12">
        <v>0.36299999999999999</v>
      </c>
      <c r="S430" s="1">
        <v>42398.357638888891</v>
      </c>
    </row>
    <row r="431" spans="1:19" thickBot="1">
      <c r="A431" s="29" t="s">
        <v>675</v>
      </c>
      <c r="B431" s="30" t="s">
        <v>17</v>
      </c>
      <c r="C431" s="30">
        <v>56</v>
      </c>
      <c r="D431" s="30" t="s">
        <v>41</v>
      </c>
      <c r="E431" s="30">
        <v>1000</v>
      </c>
      <c r="F431" s="30">
        <v>31</v>
      </c>
      <c r="G431" s="30" t="s">
        <v>629</v>
      </c>
      <c r="H431" s="42" t="s">
        <v>25</v>
      </c>
      <c r="I431" s="30" t="s">
        <v>20</v>
      </c>
      <c r="J431" s="31" t="s">
        <v>75</v>
      </c>
      <c r="K431" s="44" t="str">
        <f t="shared" si="88"/>
        <v>lev OK</v>
      </c>
      <c r="L431" s="1">
        <f t="shared" si="83"/>
        <v>42397.660416666666</v>
      </c>
      <c r="M431" s="43"/>
      <c r="N431" s="11">
        <f t="shared" si="89"/>
        <v>0.60997700348443551</v>
      </c>
      <c r="O431" s="11">
        <f t="shared" si="90"/>
        <v>0.71599999999999997</v>
      </c>
      <c r="P431" s="1">
        <f t="shared" si="91"/>
        <v>42397.361111111109</v>
      </c>
      <c r="Q431" s="12">
        <f t="shared" si="92"/>
        <v>1.4759581881485205E-2</v>
      </c>
    </row>
    <row r="432" spans="1:19" thickBot="1">
      <c r="A432" s="29" t="s">
        <v>676</v>
      </c>
      <c r="B432" s="30" t="s">
        <v>17</v>
      </c>
      <c r="C432" s="30">
        <v>56</v>
      </c>
      <c r="D432" s="30" t="s">
        <v>41</v>
      </c>
      <c r="E432" s="30">
        <v>1000</v>
      </c>
      <c r="F432" s="30">
        <v>32</v>
      </c>
      <c r="G432" s="30" t="s">
        <v>566</v>
      </c>
      <c r="H432" s="42" t="s">
        <v>19</v>
      </c>
      <c r="I432" s="30" t="s">
        <v>20</v>
      </c>
      <c r="J432" s="31" t="s">
        <v>75</v>
      </c>
      <c r="K432" s="44" t="str">
        <f t="shared" si="88"/>
        <v>lev OK</v>
      </c>
      <c r="L432" s="1">
        <f t="shared" si="83"/>
        <v>42397.723611111112</v>
      </c>
      <c r="M432" s="43"/>
      <c r="N432" s="11">
        <f t="shared" si="89"/>
        <v>0.58759163763004774</v>
      </c>
      <c r="O432" s="11">
        <f t="shared" si="90"/>
        <v>0.71599999999999997</v>
      </c>
      <c r="P432" s="1">
        <f t="shared" si="91"/>
        <v>42397.361111111109</v>
      </c>
      <c r="Q432" s="12">
        <f t="shared" si="92"/>
        <v>1.4759581881485205E-2</v>
      </c>
    </row>
    <row r="433" spans="1:19" thickBot="1">
      <c r="A433" s="29" t="s">
        <v>677</v>
      </c>
      <c r="B433" s="30" t="s">
        <v>17</v>
      </c>
      <c r="C433" s="30">
        <v>56</v>
      </c>
      <c r="D433" s="30" t="s">
        <v>41</v>
      </c>
      <c r="E433" s="30">
        <v>1000</v>
      </c>
      <c r="F433" s="30" t="s">
        <v>41</v>
      </c>
      <c r="G433" s="30" t="s">
        <v>566</v>
      </c>
      <c r="H433" s="42" t="s">
        <v>19</v>
      </c>
      <c r="I433" s="30" t="s">
        <v>20</v>
      </c>
      <c r="J433" s="31" t="s">
        <v>75</v>
      </c>
      <c r="K433" s="44" t="str">
        <f t="shared" si="88"/>
        <v>lev OK</v>
      </c>
      <c r="L433" s="1">
        <f t="shared" si="83"/>
        <v>42397.762499999997</v>
      </c>
      <c r="M433" s="43"/>
      <c r="N433" s="11">
        <f t="shared" si="89"/>
        <v>0.57381602787548402</v>
      </c>
      <c r="O433" s="11">
        <f t="shared" si="90"/>
        <v>0.71599999999999997</v>
      </c>
      <c r="P433" s="1">
        <f t="shared" si="91"/>
        <v>42397.361111111109</v>
      </c>
      <c r="Q433" s="12">
        <f t="shared" si="92"/>
        <v>1.4759581881485205E-2</v>
      </c>
    </row>
    <row r="434" spans="1:19" thickBot="1">
      <c r="A434" s="29" t="s">
        <v>678</v>
      </c>
      <c r="B434" s="30" t="s">
        <v>17</v>
      </c>
      <c r="C434" s="30">
        <v>56</v>
      </c>
      <c r="D434" s="30" t="s">
        <v>41</v>
      </c>
      <c r="E434" s="30">
        <v>1000</v>
      </c>
      <c r="F434" s="30">
        <v>16</v>
      </c>
      <c r="G434" s="30" t="s">
        <v>191</v>
      </c>
      <c r="H434" s="42" t="s">
        <v>19</v>
      </c>
      <c r="I434" s="30" t="s">
        <v>20</v>
      </c>
      <c r="J434" s="31" t="s">
        <v>75</v>
      </c>
      <c r="K434" s="44" t="s">
        <v>679</v>
      </c>
      <c r="L434" s="1">
        <f t="shared" si="83"/>
        <v>42399.626388888886</v>
      </c>
      <c r="M434" s="43"/>
      <c r="N434" s="11">
        <f t="shared" si="89"/>
        <v>0.61581203007630259</v>
      </c>
      <c r="O434" s="11">
        <v>0.89200000000000002</v>
      </c>
      <c r="P434" s="1">
        <v>42398.718055555553</v>
      </c>
      <c r="Q434" s="11">
        <f>(O434-R434)/(S434-P434)/24</f>
        <v>1.2669172932286468E-2</v>
      </c>
      <c r="R434" s="12">
        <v>0.55500000000000005</v>
      </c>
      <c r="S434" s="1">
        <v>42399.826388888891</v>
      </c>
    </row>
    <row r="435" spans="1:19" thickBot="1">
      <c r="A435" s="29" t="s">
        <v>680</v>
      </c>
      <c r="B435" s="30" t="s">
        <v>17</v>
      </c>
      <c r="C435" s="30">
        <v>56</v>
      </c>
      <c r="D435" s="30" t="s">
        <v>41</v>
      </c>
      <c r="E435" s="30">
        <v>1000</v>
      </c>
      <c r="F435" s="30">
        <v>19</v>
      </c>
      <c r="G435" s="30" t="s">
        <v>191</v>
      </c>
      <c r="H435" s="42" t="s">
        <v>19</v>
      </c>
      <c r="I435" s="30" t="s">
        <v>20</v>
      </c>
      <c r="J435" s="31" t="s">
        <v>75</v>
      </c>
      <c r="K435" s="44" t="s">
        <v>679</v>
      </c>
      <c r="L435" s="1">
        <f t="shared" si="83"/>
        <v>42399.637499999997</v>
      </c>
      <c r="M435" s="43"/>
      <c r="N435" s="11">
        <f t="shared" si="89"/>
        <v>0.61243358396107528</v>
      </c>
      <c r="O435" s="11">
        <f t="shared" si="90"/>
        <v>0.89200000000000002</v>
      </c>
      <c r="P435" s="1">
        <f t="shared" si="91"/>
        <v>42398.718055555553</v>
      </c>
      <c r="Q435" s="12">
        <f t="shared" si="92"/>
        <v>1.2669172932286468E-2</v>
      </c>
    </row>
    <row r="436" spans="1:19" thickBot="1">
      <c r="A436" s="29" t="s">
        <v>681</v>
      </c>
      <c r="B436" s="30" t="s">
        <v>17</v>
      </c>
      <c r="C436" s="30">
        <v>56</v>
      </c>
      <c r="D436" s="30" t="s">
        <v>41</v>
      </c>
      <c r="E436" s="30">
        <v>1000</v>
      </c>
      <c r="F436" s="30">
        <v>17</v>
      </c>
      <c r="G436" s="30" t="s">
        <v>191</v>
      </c>
      <c r="H436" s="42" t="s">
        <v>19</v>
      </c>
      <c r="I436" s="30" t="s">
        <v>20</v>
      </c>
      <c r="J436" s="31" t="s">
        <v>75</v>
      </c>
      <c r="K436" s="44" t="s">
        <v>679</v>
      </c>
      <c r="L436" s="1">
        <f t="shared" si="83"/>
        <v>42399.76666666667</v>
      </c>
      <c r="M436" s="43"/>
      <c r="N436" s="11">
        <f t="shared" si="89"/>
        <v>0.57315914786906985</v>
      </c>
      <c r="O436" s="11">
        <f t="shared" si="90"/>
        <v>0.89200000000000002</v>
      </c>
      <c r="P436" s="1">
        <f t="shared" si="91"/>
        <v>42398.718055555553</v>
      </c>
      <c r="Q436" s="12">
        <f t="shared" si="92"/>
        <v>1.2669172932286468E-2</v>
      </c>
    </row>
    <row r="437" spans="1:19" thickBot="1">
      <c r="A437" s="29" t="s">
        <v>682</v>
      </c>
      <c r="B437" s="30" t="s">
        <v>17</v>
      </c>
      <c r="C437" s="30">
        <v>56</v>
      </c>
      <c r="D437" s="30" t="s">
        <v>41</v>
      </c>
      <c r="E437" s="30">
        <v>1000</v>
      </c>
      <c r="F437" s="30">
        <v>3</v>
      </c>
      <c r="G437" s="30" t="s">
        <v>191</v>
      </c>
      <c r="H437" s="42" t="s">
        <v>19</v>
      </c>
      <c r="I437" s="30" t="s">
        <v>20</v>
      </c>
      <c r="J437" s="31" t="s">
        <v>75</v>
      </c>
      <c r="K437" s="44" t="s">
        <v>679</v>
      </c>
      <c r="L437" s="1">
        <f t="shared" si="83"/>
        <v>42399.793055555558</v>
      </c>
      <c r="M437" s="43"/>
      <c r="N437" s="11">
        <f t="shared" si="89"/>
        <v>0.56513533834568175</v>
      </c>
      <c r="O437" s="11">
        <f t="shared" si="90"/>
        <v>0.89200000000000002</v>
      </c>
      <c r="P437" s="1">
        <f t="shared" si="91"/>
        <v>42398.718055555553</v>
      </c>
      <c r="Q437" s="12">
        <f t="shared" si="92"/>
        <v>1.2669172932286468E-2</v>
      </c>
    </row>
    <row r="438" spans="1:19" thickBot="1">
      <c r="A438" s="29" t="s">
        <v>683</v>
      </c>
      <c r="B438" s="30" t="s">
        <v>17</v>
      </c>
      <c r="C438" s="30">
        <v>56</v>
      </c>
      <c r="D438" s="30" t="s">
        <v>41</v>
      </c>
      <c r="E438" s="30">
        <v>1000</v>
      </c>
      <c r="F438" s="30">
        <v>7</v>
      </c>
      <c r="G438" s="30" t="s">
        <v>191</v>
      </c>
      <c r="H438" s="42" t="s">
        <v>19</v>
      </c>
      <c r="I438" s="30" t="s">
        <v>20</v>
      </c>
      <c r="J438" s="31" t="s">
        <v>75</v>
      </c>
      <c r="K438" s="44" t="s">
        <v>679</v>
      </c>
      <c r="L438" s="1">
        <f t="shared" si="83"/>
        <v>42399.79583333333</v>
      </c>
      <c r="M438" s="43"/>
      <c r="N438" s="11">
        <f t="shared" si="89"/>
        <v>0.56429072681853421</v>
      </c>
      <c r="O438" s="11">
        <f t="shared" si="90"/>
        <v>0.89200000000000002</v>
      </c>
      <c r="P438" s="1">
        <f t="shared" si="91"/>
        <v>42398.718055555553</v>
      </c>
      <c r="Q438" s="12">
        <f t="shared" si="92"/>
        <v>1.2669172932286468E-2</v>
      </c>
    </row>
    <row r="439" spans="1:19" thickBot="1">
      <c r="A439" s="29" t="s">
        <v>684</v>
      </c>
      <c r="B439" s="30" t="s">
        <v>17</v>
      </c>
      <c r="C439" s="30">
        <v>56</v>
      </c>
      <c r="D439" s="30" t="s">
        <v>41</v>
      </c>
      <c r="E439" s="30">
        <v>1000</v>
      </c>
      <c r="F439" s="30">
        <v>8</v>
      </c>
      <c r="G439" s="30" t="s">
        <v>191</v>
      </c>
      <c r="H439" s="42" t="s">
        <v>19</v>
      </c>
      <c r="I439" s="30" t="s">
        <v>20</v>
      </c>
      <c r="J439" s="31" t="s">
        <v>75</v>
      </c>
      <c r="K439" s="44" t="s">
        <v>679</v>
      </c>
      <c r="L439" s="1">
        <f t="shared" si="83"/>
        <v>42399.800694444442</v>
      </c>
      <c r="M439" s="43"/>
      <c r="N439" s="11">
        <f t="shared" si="89"/>
        <v>0.56281265664270741</v>
      </c>
      <c r="O439" s="11">
        <f t="shared" si="90"/>
        <v>0.89200000000000002</v>
      </c>
      <c r="P439" s="1">
        <f t="shared" si="91"/>
        <v>42398.718055555553</v>
      </c>
      <c r="Q439" s="12">
        <f t="shared" si="92"/>
        <v>1.2669172932286468E-2</v>
      </c>
    </row>
    <row r="440" spans="1:19" thickBot="1">
      <c r="A440" s="29" t="s">
        <v>685</v>
      </c>
      <c r="B440" s="30" t="s">
        <v>17</v>
      </c>
      <c r="C440" s="30">
        <v>56</v>
      </c>
      <c r="D440" s="30" t="s">
        <v>41</v>
      </c>
      <c r="E440" s="30">
        <v>1000</v>
      </c>
      <c r="F440" s="30">
        <v>2</v>
      </c>
      <c r="G440" s="30" t="s">
        <v>191</v>
      </c>
      <c r="H440" s="42" t="s">
        <v>19</v>
      </c>
      <c r="I440" s="30" t="s">
        <v>20</v>
      </c>
      <c r="J440" s="31" t="s">
        <v>75</v>
      </c>
      <c r="K440" s="44" t="s">
        <v>679</v>
      </c>
      <c r="L440" s="1">
        <f t="shared" si="83"/>
        <v>42399.836111111108</v>
      </c>
      <c r="M440" s="43"/>
      <c r="N440" s="11">
        <f t="shared" si="89"/>
        <v>0.55132537961131023</v>
      </c>
      <c r="O440" s="12">
        <v>0.55500000000000005</v>
      </c>
      <c r="P440" s="1">
        <v>42399.826388888891</v>
      </c>
      <c r="Q440" s="11">
        <f>(O440-R440)/(S440-P440)/24</f>
        <v>1.5748373101980118E-2</v>
      </c>
      <c r="R440" s="12">
        <v>0.313</v>
      </c>
      <c r="S440" s="1">
        <v>42400.466666666667</v>
      </c>
    </row>
    <row r="441" spans="1:19" thickBot="1">
      <c r="A441" s="29" t="s">
        <v>686</v>
      </c>
      <c r="B441" s="30" t="s">
        <v>17</v>
      </c>
      <c r="C441" s="30">
        <v>56</v>
      </c>
      <c r="D441" s="30" t="s">
        <v>41</v>
      </c>
      <c r="E441" s="30">
        <v>0</v>
      </c>
      <c r="F441" s="30">
        <v>4</v>
      </c>
      <c r="G441" s="30" t="s">
        <v>191</v>
      </c>
      <c r="H441" s="42" t="s">
        <v>19</v>
      </c>
      <c r="I441" s="30" t="s">
        <v>20</v>
      </c>
      <c r="J441" s="31" t="s">
        <v>75</v>
      </c>
      <c r="K441" s="44" t="s">
        <v>679</v>
      </c>
      <c r="L441" s="1">
        <f t="shared" si="83"/>
        <v>42399.836805555555</v>
      </c>
      <c r="M441" s="43"/>
      <c r="N441" s="11">
        <f t="shared" si="89"/>
        <v>0.55106290672542169</v>
      </c>
      <c r="O441" s="11">
        <f t="shared" si="90"/>
        <v>0.55500000000000005</v>
      </c>
      <c r="P441" s="1">
        <f t="shared" si="91"/>
        <v>42399.826388888891</v>
      </c>
      <c r="Q441" s="12">
        <f t="shared" si="92"/>
        <v>1.5748373101980118E-2</v>
      </c>
    </row>
    <row r="442" spans="1:19" thickBot="1">
      <c r="A442" s="29" t="s">
        <v>687</v>
      </c>
      <c r="B442" s="30" t="s">
        <v>17</v>
      </c>
      <c r="C442" s="30">
        <v>56</v>
      </c>
      <c r="D442" s="30" t="s">
        <v>41</v>
      </c>
      <c r="E442" s="30">
        <v>0</v>
      </c>
      <c r="F442" s="30">
        <v>2</v>
      </c>
      <c r="G442" s="30" t="s">
        <v>191</v>
      </c>
      <c r="H442" s="42" t="s">
        <v>19</v>
      </c>
      <c r="I442" s="30" t="s">
        <v>20</v>
      </c>
      <c r="J442" s="31" t="s">
        <v>75</v>
      </c>
      <c r="K442" s="44" t="s">
        <v>679</v>
      </c>
      <c r="L442" s="1">
        <f t="shared" si="83"/>
        <v>42399.841666666667</v>
      </c>
      <c r="M442" s="43"/>
      <c r="N442" s="11">
        <f t="shared" si="89"/>
        <v>0.54922559652970182</v>
      </c>
      <c r="O442" s="11">
        <f t="shared" si="90"/>
        <v>0.55500000000000005</v>
      </c>
      <c r="P442" s="1">
        <f t="shared" si="91"/>
        <v>42399.826388888891</v>
      </c>
      <c r="Q442" s="12">
        <f t="shared" si="92"/>
        <v>1.5748373101980118E-2</v>
      </c>
    </row>
    <row r="443" spans="1:19" thickBot="1">
      <c r="A443" s="29" t="s">
        <v>688</v>
      </c>
      <c r="B443" s="30" t="s">
        <v>17</v>
      </c>
      <c r="C443" s="30">
        <v>56</v>
      </c>
      <c r="D443" s="30" t="s">
        <v>41</v>
      </c>
      <c r="E443" s="30">
        <v>1000</v>
      </c>
      <c r="F443" s="30">
        <v>3</v>
      </c>
      <c r="G443" s="30" t="s">
        <v>191</v>
      </c>
      <c r="H443" s="42" t="s">
        <v>19</v>
      </c>
      <c r="I443" s="30" t="s">
        <v>20</v>
      </c>
      <c r="J443" s="31" t="s">
        <v>75</v>
      </c>
      <c r="K443" s="44" t="s">
        <v>679</v>
      </c>
      <c r="L443" s="1">
        <f t="shared" si="83"/>
        <v>42399.848611111112</v>
      </c>
      <c r="M443" s="43"/>
      <c r="N443" s="11">
        <f t="shared" si="89"/>
        <v>0.54660086767906624</v>
      </c>
      <c r="O443" s="11">
        <f t="shared" si="90"/>
        <v>0.55500000000000005</v>
      </c>
      <c r="P443" s="1">
        <f t="shared" si="91"/>
        <v>42399.826388888891</v>
      </c>
      <c r="Q443" s="12">
        <f t="shared" si="92"/>
        <v>1.5748373101980118E-2</v>
      </c>
    </row>
    <row r="444" spans="1:19" thickBot="1">
      <c r="A444" s="29" t="s">
        <v>689</v>
      </c>
      <c r="B444" s="30" t="s">
        <v>17</v>
      </c>
      <c r="C444" s="30">
        <v>56</v>
      </c>
      <c r="D444" s="30" t="s">
        <v>41</v>
      </c>
      <c r="E444" s="30">
        <v>1000</v>
      </c>
      <c r="F444" s="30">
        <v>17</v>
      </c>
      <c r="G444" s="30" t="s">
        <v>191</v>
      </c>
      <c r="H444" s="42" t="s">
        <v>19</v>
      </c>
      <c r="I444" s="30" t="s">
        <v>20</v>
      </c>
      <c r="J444" s="31" t="s">
        <v>75</v>
      </c>
      <c r="K444" s="44" t="s">
        <v>679</v>
      </c>
      <c r="L444" s="1">
        <f t="shared" si="83"/>
        <v>42399.850694444445</v>
      </c>
      <c r="M444" s="43"/>
      <c r="N444" s="11">
        <f t="shared" si="89"/>
        <v>0.54581344902415052</v>
      </c>
      <c r="O444" s="11">
        <f t="shared" si="90"/>
        <v>0.55500000000000005</v>
      </c>
      <c r="P444" s="1">
        <f t="shared" si="91"/>
        <v>42399.826388888891</v>
      </c>
      <c r="Q444" s="12">
        <f t="shared" si="92"/>
        <v>1.5748373101980118E-2</v>
      </c>
    </row>
    <row r="445" spans="1:19" thickBot="1">
      <c r="A445" s="29" t="s">
        <v>690</v>
      </c>
      <c r="B445" s="30" t="s">
        <v>17</v>
      </c>
      <c r="C445" s="30">
        <v>56</v>
      </c>
      <c r="D445" s="30" t="s">
        <v>41</v>
      </c>
      <c r="E445" s="30">
        <v>1000</v>
      </c>
      <c r="F445" s="30">
        <v>17</v>
      </c>
      <c r="G445" s="30" t="s">
        <v>191</v>
      </c>
      <c r="H445" s="42" t="s">
        <v>19</v>
      </c>
      <c r="I445" s="30" t="s">
        <v>20</v>
      </c>
      <c r="J445" s="31" t="s">
        <v>75</v>
      </c>
      <c r="K445" s="44" t="s">
        <v>679</v>
      </c>
      <c r="L445" s="1">
        <f t="shared" si="83"/>
        <v>42399.862500000003</v>
      </c>
      <c r="M445" s="43"/>
      <c r="N445" s="11">
        <f t="shared" si="89"/>
        <v>0.54135140997779507</v>
      </c>
      <c r="O445" s="11">
        <f t="shared" si="90"/>
        <v>0.55500000000000005</v>
      </c>
      <c r="P445" s="1">
        <f t="shared" si="91"/>
        <v>42399.826388888891</v>
      </c>
      <c r="Q445" s="12">
        <f t="shared" si="92"/>
        <v>1.5748373101980118E-2</v>
      </c>
    </row>
    <row r="446" spans="1:19" thickBot="1">
      <c r="A446" s="29" t="s">
        <v>691</v>
      </c>
      <c r="B446" s="30" t="s">
        <v>17</v>
      </c>
      <c r="C446" s="30">
        <v>56</v>
      </c>
      <c r="D446" s="30" t="s">
        <v>41</v>
      </c>
      <c r="E446" s="30">
        <v>1000</v>
      </c>
      <c r="F446" s="30">
        <v>1</v>
      </c>
      <c r="G446" s="30" t="s">
        <v>191</v>
      </c>
      <c r="H446" s="42" t="s">
        <v>19</v>
      </c>
      <c r="I446" s="30" t="s">
        <v>20</v>
      </c>
      <c r="J446" s="31" t="s">
        <v>75</v>
      </c>
      <c r="K446" s="44" t="s">
        <v>679</v>
      </c>
      <c r="L446" s="1">
        <f t="shared" si="83"/>
        <v>42399.9</v>
      </c>
      <c r="M446" s="43"/>
      <c r="N446" s="11">
        <f t="shared" si="89"/>
        <v>0.52717787418656292</v>
      </c>
      <c r="O446" s="11">
        <f t="shared" si="90"/>
        <v>0.55500000000000005</v>
      </c>
      <c r="P446" s="1">
        <f t="shared" si="91"/>
        <v>42399.826388888891</v>
      </c>
      <c r="Q446" s="12">
        <f t="shared" si="92"/>
        <v>1.5748373101980118E-2</v>
      </c>
    </row>
    <row r="447" spans="1:19" thickBot="1">
      <c r="A447" s="29" t="s">
        <v>692</v>
      </c>
      <c r="B447" s="30" t="s">
        <v>17</v>
      </c>
      <c r="C447" s="30">
        <v>56</v>
      </c>
      <c r="D447" s="30" t="s">
        <v>41</v>
      </c>
      <c r="E447" s="30">
        <v>1000</v>
      </c>
      <c r="F447" s="30">
        <v>3</v>
      </c>
      <c r="G447" s="30" t="s">
        <v>191</v>
      </c>
      <c r="H447" s="42" t="s">
        <v>19</v>
      </c>
      <c r="I447" s="30" t="s">
        <v>20</v>
      </c>
      <c r="J447" s="31" t="s">
        <v>75</v>
      </c>
      <c r="K447" s="44" t="s">
        <v>679</v>
      </c>
      <c r="L447" s="1">
        <f t="shared" si="83"/>
        <v>42399.900694444441</v>
      </c>
      <c r="M447" s="43"/>
      <c r="N447" s="11">
        <f t="shared" si="89"/>
        <v>0.5269154013034244</v>
      </c>
      <c r="O447" s="11">
        <f t="shared" si="90"/>
        <v>0.55500000000000005</v>
      </c>
      <c r="P447" s="1">
        <f t="shared" si="91"/>
        <v>42399.826388888891</v>
      </c>
      <c r="Q447" s="12">
        <f t="shared" si="92"/>
        <v>1.5748373101980118E-2</v>
      </c>
    </row>
    <row r="448" spans="1:19" thickBot="1">
      <c r="A448" s="29" t="s">
        <v>693</v>
      </c>
      <c r="B448" s="30" t="s">
        <v>17</v>
      </c>
      <c r="C448" s="30">
        <v>56</v>
      </c>
      <c r="D448" s="30" t="s">
        <v>41</v>
      </c>
      <c r="E448" s="30">
        <v>1000</v>
      </c>
      <c r="F448" s="30">
        <v>5</v>
      </c>
      <c r="G448" s="30" t="s">
        <v>191</v>
      </c>
      <c r="H448" s="42" t="s">
        <v>19</v>
      </c>
      <c r="I448" s="30" t="s">
        <v>20</v>
      </c>
      <c r="J448" s="31" t="s">
        <v>75</v>
      </c>
      <c r="K448" s="44" t="s">
        <v>679</v>
      </c>
      <c r="L448" s="1">
        <f t="shared" si="83"/>
        <v>42399.904861111114</v>
      </c>
      <c r="M448" s="43"/>
      <c r="N448" s="11">
        <f t="shared" si="89"/>
        <v>0.52534056399084306</v>
      </c>
      <c r="O448" s="11">
        <f t="shared" si="90"/>
        <v>0.55500000000000005</v>
      </c>
      <c r="P448" s="1">
        <f t="shared" si="91"/>
        <v>42399.826388888891</v>
      </c>
      <c r="Q448" s="12">
        <f t="shared" si="92"/>
        <v>1.5748373101980118E-2</v>
      </c>
    </row>
    <row r="449" spans="1:17" thickBot="1">
      <c r="A449" s="29" t="s">
        <v>694</v>
      </c>
      <c r="B449" s="30" t="s">
        <v>17</v>
      </c>
      <c r="C449" s="30">
        <v>56</v>
      </c>
      <c r="D449" s="30" t="s">
        <v>41</v>
      </c>
      <c r="E449" s="30">
        <v>1000</v>
      </c>
      <c r="F449" s="30">
        <v>1</v>
      </c>
      <c r="G449" s="30" t="s">
        <v>191</v>
      </c>
      <c r="H449" s="42" t="s">
        <v>19</v>
      </c>
      <c r="I449" s="30" t="s">
        <v>20</v>
      </c>
      <c r="J449" s="31" t="s">
        <v>245</v>
      </c>
      <c r="K449" s="44" t="str">
        <f t="shared" si="88"/>
        <v>lev OK</v>
      </c>
      <c r="L449" s="1">
        <f t="shared" si="83"/>
        <v>42399.90902777778</v>
      </c>
      <c r="M449" s="43"/>
      <c r="N449" s="11">
        <f t="shared" si="89"/>
        <v>0.52376572668101173</v>
      </c>
      <c r="O449" s="11">
        <f t="shared" si="90"/>
        <v>0.55500000000000005</v>
      </c>
      <c r="P449" s="1">
        <f t="shared" si="91"/>
        <v>42399.826388888891</v>
      </c>
      <c r="Q449" s="12">
        <f t="shared" si="92"/>
        <v>1.5748373101980118E-2</v>
      </c>
    </row>
    <row r="450" spans="1:17" thickBot="1">
      <c r="A450" s="29" t="s">
        <v>695</v>
      </c>
      <c r="B450" s="30" t="s">
        <v>17</v>
      </c>
      <c r="C450" s="30">
        <v>56</v>
      </c>
      <c r="D450" s="30" t="s">
        <v>41</v>
      </c>
      <c r="E450" s="30">
        <v>0</v>
      </c>
      <c r="F450" s="30">
        <v>1</v>
      </c>
      <c r="G450" s="30" t="s">
        <v>191</v>
      </c>
      <c r="H450" s="42" t="s">
        <v>19</v>
      </c>
      <c r="I450" s="30" t="s">
        <v>20</v>
      </c>
      <c r="J450" s="31" t="s">
        <v>245</v>
      </c>
      <c r="K450" s="44" t="str">
        <f t="shared" si="88"/>
        <v>lev OK</v>
      </c>
      <c r="L450" s="1">
        <f t="shared" si="83"/>
        <v>42399.909722222219</v>
      </c>
      <c r="M450" s="43"/>
      <c r="N450" s="11">
        <f t="shared" si="89"/>
        <v>0.52350325379787321</v>
      </c>
      <c r="O450" s="11">
        <f t="shared" si="90"/>
        <v>0.55500000000000005</v>
      </c>
      <c r="P450" s="1">
        <f t="shared" si="91"/>
        <v>42399.826388888891</v>
      </c>
      <c r="Q450" s="12">
        <f t="shared" si="92"/>
        <v>1.5748373101980118E-2</v>
      </c>
    </row>
    <row r="451" spans="1:17" thickBot="1">
      <c r="A451" s="29" t="s">
        <v>696</v>
      </c>
      <c r="B451" s="30" t="s">
        <v>17</v>
      </c>
      <c r="C451" s="30">
        <v>56</v>
      </c>
      <c r="D451" s="30" t="s">
        <v>41</v>
      </c>
      <c r="E451" s="30">
        <v>0</v>
      </c>
      <c r="F451" s="30">
        <v>1</v>
      </c>
      <c r="G451" s="30" t="s">
        <v>191</v>
      </c>
      <c r="H451" s="42" t="s">
        <v>19</v>
      </c>
      <c r="I451" s="30" t="s">
        <v>20</v>
      </c>
      <c r="J451" s="31" t="s">
        <v>245</v>
      </c>
      <c r="K451" s="44" t="str">
        <f t="shared" si="88"/>
        <v>lev OK</v>
      </c>
      <c r="L451" s="1">
        <f t="shared" ref="L451:L497" si="93">DATE(2000+MID(A451,3,2),MID(A451,5,2),MID(A451,7,2))+TIME(MID(A451,10,2),MID(A451,12,2),0)</f>
        <v>42399.910416666666</v>
      </c>
      <c r="M451" s="43"/>
      <c r="N451" s="11">
        <f t="shared" si="89"/>
        <v>0.52324078091198456</v>
      </c>
      <c r="O451" s="11">
        <f t="shared" si="90"/>
        <v>0.55500000000000005</v>
      </c>
      <c r="P451" s="1">
        <f t="shared" si="91"/>
        <v>42399.826388888891</v>
      </c>
      <c r="Q451" s="12">
        <f t="shared" si="92"/>
        <v>1.5748373101980118E-2</v>
      </c>
    </row>
    <row r="452" spans="1:17" thickBot="1">
      <c r="A452" s="29" t="s">
        <v>697</v>
      </c>
      <c r="B452" s="30" t="s">
        <v>17</v>
      </c>
      <c r="C452" s="30">
        <v>56</v>
      </c>
      <c r="D452" s="30" t="s">
        <v>41</v>
      </c>
      <c r="E452" s="30">
        <v>0</v>
      </c>
      <c r="F452" s="30">
        <v>1</v>
      </c>
      <c r="G452" s="30" t="s">
        <v>191</v>
      </c>
      <c r="H452" s="42" t="s">
        <v>19</v>
      </c>
      <c r="I452" s="30" t="s">
        <v>20</v>
      </c>
      <c r="J452" s="31" t="s">
        <v>245</v>
      </c>
      <c r="K452" s="44" t="str">
        <f t="shared" si="88"/>
        <v>lev OK</v>
      </c>
      <c r="L452" s="1">
        <f t="shared" si="93"/>
        <v>42399.911805555559</v>
      </c>
      <c r="M452" s="43"/>
      <c r="N452" s="11">
        <f t="shared" si="89"/>
        <v>0.52271583514020747</v>
      </c>
      <c r="O452" s="11">
        <f t="shared" si="90"/>
        <v>0.55500000000000005</v>
      </c>
      <c r="P452" s="1">
        <f t="shared" si="91"/>
        <v>42399.826388888891</v>
      </c>
      <c r="Q452" s="12">
        <f t="shared" si="92"/>
        <v>1.5748373101980118E-2</v>
      </c>
    </row>
    <row r="453" spans="1:17" thickBot="1">
      <c r="A453" s="29" t="s">
        <v>698</v>
      </c>
      <c r="B453" s="30" t="s">
        <v>17</v>
      </c>
      <c r="C453" s="30">
        <v>56</v>
      </c>
      <c r="D453" s="30" t="s">
        <v>41</v>
      </c>
      <c r="E453" s="30">
        <v>0</v>
      </c>
      <c r="F453" s="30">
        <v>1</v>
      </c>
      <c r="G453" s="30" t="s">
        <v>191</v>
      </c>
      <c r="H453" s="42" t="s">
        <v>19</v>
      </c>
      <c r="I453" s="30" t="s">
        <v>20</v>
      </c>
      <c r="J453" s="31" t="s">
        <v>245</v>
      </c>
      <c r="K453" s="44" t="str">
        <f t="shared" si="88"/>
        <v>lev OK</v>
      </c>
      <c r="L453" s="1">
        <f t="shared" si="93"/>
        <v>42399.912499999999</v>
      </c>
      <c r="M453" s="43"/>
      <c r="N453" s="11">
        <f t="shared" si="89"/>
        <v>0.52245336225706895</v>
      </c>
      <c r="O453" s="11">
        <f t="shared" si="90"/>
        <v>0.55500000000000005</v>
      </c>
      <c r="P453" s="1">
        <f t="shared" si="91"/>
        <v>42399.826388888891</v>
      </c>
      <c r="Q453" s="12">
        <f t="shared" si="92"/>
        <v>1.5748373101980118E-2</v>
      </c>
    </row>
    <row r="454" spans="1:17" thickBot="1">
      <c r="A454" s="29" t="s">
        <v>699</v>
      </c>
      <c r="B454" s="30" t="s">
        <v>17</v>
      </c>
      <c r="C454" s="30">
        <v>56</v>
      </c>
      <c r="D454" s="30" t="s">
        <v>41</v>
      </c>
      <c r="E454" s="30">
        <v>0</v>
      </c>
      <c r="F454" s="30">
        <v>1</v>
      </c>
      <c r="G454" s="30" t="s">
        <v>191</v>
      </c>
      <c r="H454" s="42" t="s">
        <v>19</v>
      </c>
      <c r="I454" s="30" t="s">
        <v>20</v>
      </c>
      <c r="J454" s="31" t="s">
        <v>245</v>
      </c>
      <c r="K454" s="44" t="str">
        <f t="shared" si="88"/>
        <v>lev OK</v>
      </c>
      <c r="L454" s="1">
        <f t="shared" si="93"/>
        <v>42399.913194444445</v>
      </c>
      <c r="M454" s="43"/>
      <c r="N454" s="11">
        <f t="shared" si="89"/>
        <v>0.52219088937118041</v>
      </c>
      <c r="O454" s="11">
        <f t="shared" si="90"/>
        <v>0.55500000000000005</v>
      </c>
      <c r="P454" s="1">
        <f t="shared" si="91"/>
        <v>42399.826388888891</v>
      </c>
      <c r="Q454" s="12">
        <f t="shared" si="92"/>
        <v>1.5748373101980118E-2</v>
      </c>
    </row>
    <row r="455" spans="1:17" thickBot="1">
      <c r="A455" s="29" t="s">
        <v>700</v>
      </c>
      <c r="B455" s="30" t="s">
        <v>17</v>
      </c>
      <c r="C455" s="30">
        <v>56</v>
      </c>
      <c r="D455" s="30" t="s">
        <v>41</v>
      </c>
      <c r="E455" s="30">
        <v>0</v>
      </c>
      <c r="F455" s="30">
        <v>1</v>
      </c>
      <c r="G455" s="30" t="s">
        <v>191</v>
      </c>
      <c r="H455" s="42" t="s">
        <v>19</v>
      </c>
      <c r="I455" s="30" t="s">
        <v>20</v>
      </c>
      <c r="J455" s="31" t="s">
        <v>75</v>
      </c>
      <c r="K455" s="44" t="s">
        <v>679</v>
      </c>
      <c r="L455" s="1">
        <f t="shared" si="93"/>
        <v>42399.913888888892</v>
      </c>
      <c r="M455" s="43"/>
      <c r="N455" s="11">
        <f t="shared" si="89"/>
        <v>0.52192841648529176</v>
      </c>
      <c r="O455" s="11">
        <f t="shared" si="90"/>
        <v>0.55500000000000005</v>
      </c>
      <c r="P455" s="1">
        <f t="shared" si="91"/>
        <v>42399.826388888891</v>
      </c>
      <c r="Q455" s="12">
        <f t="shared" si="92"/>
        <v>1.5748373101980118E-2</v>
      </c>
    </row>
    <row r="456" spans="1:17" thickBot="1">
      <c r="A456" s="29" t="s">
        <v>701</v>
      </c>
      <c r="B456" s="30" t="s">
        <v>17</v>
      </c>
      <c r="C456" s="30">
        <v>56</v>
      </c>
      <c r="D456" s="30" t="s">
        <v>41</v>
      </c>
      <c r="E456" s="30">
        <v>0</v>
      </c>
      <c r="F456" s="30">
        <v>1</v>
      </c>
      <c r="G456" s="30" t="s">
        <v>191</v>
      </c>
      <c r="H456" s="42" t="s">
        <v>19</v>
      </c>
      <c r="I456" s="30" t="s">
        <v>20</v>
      </c>
      <c r="J456" s="31" t="s">
        <v>75</v>
      </c>
      <c r="K456" s="44" t="s">
        <v>679</v>
      </c>
      <c r="L456" s="1">
        <f t="shared" si="93"/>
        <v>42399.914583333331</v>
      </c>
      <c r="M456" s="43"/>
      <c r="N456" s="11">
        <f t="shared" si="89"/>
        <v>0.52166594360215324</v>
      </c>
      <c r="O456" s="11">
        <f t="shared" si="90"/>
        <v>0.55500000000000005</v>
      </c>
      <c r="P456" s="1">
        <f t="shared" si="91"/>
        <v>42399.826388888891</v>
      </c>
      <c r="Q456" s="12">
        <f t="shared" si="92"/>
        <v>1.5748373101980118E-2</v>
      </c>
    </row>
    <row r="457" spans="1:17" thickBot="1">
      <c r="A457" s="29" t="s">
        <v>702</v>
      </c>
      <c r="B457" s="30" t="s">
        <v>17</v>
      </c>
      <c r="C457" s="30">
        <v>56</v>
      </c>
      <c r="D457" s="30" t="s">
        <v>41</v>
      </c>
      <c r="E457" s="30">
        <v>0</v>
      </c>
      <c r="F457" s="30" t="s">
        <v>41</v>
      </c>
      <c r="G457" s="30" t="s">
        <v>191</v>
      </c>
      <c r="H457" s="42" t="s">
        <v>19</v>
      </c>
      <c r="I457" s="30" t="s">
        <v>20</v>
      </c>
      <c r="J457" s="31" t="s">
        <v>245</v>
      </c>
      <c r="K457" s="44" t="str">
        <f t="shared" si="88"/>
        <v>lev OK</v>
      </c>
      <c r="L457" s="1">
        <f t="shared" si="93"/>
        <v>42399.916666666664</v>
      </c>
      <c r="M457" s="43"/>
      <c r="N457" s="11">
        <f t="shared" si="89"/>
        <v>0.52087852494723763</v>
      </c>
      <c r="O457" s="11">
        <f t="shared" si="90"/>
        <v>0.55500000000000005</v>
      </c>
      <c r="P457" s="1">
        <f t="shared" si="91"/>
        <v>42399.826388888891</v>
      </c>
      <c r="Q457" s="12">
        <f t="shared" si="92"/>
        <v>1.5748373101980118E-2</v>
      </c>
    </row>
    <row r="458" spans="1:17" thickBot="1">
      <c r="A458" s="29" t="s">
        <v>703</v>
      </c>
      <c r="B458" s="30" t="s">
        <v>17</v>
      </c>
      <c r="C458" s="30">
        <v>56</v>
      </c>
      <c r="D458" s="30" t="s">
        <v>41</v>
      </c>
      <c r="E458" s="30">
        <v>0</v>
      </c>
      <c r="F458" s="30">
        <v>2</v>
      </c>
      <c r="G458" s="30" t="s">
        <v>191</v>
      </c>
      <c r="H458" s="42" t="s">
        <v>19</v>
      </c>
      <c r="I458" s="30" t="s">
        <v>20</v>
      </c>
      <c r="J458" s="31" t="s">
        <v>75</v>
      </c>
      <c r="K458" s="44" t="s">
        <v>679</v>
      </c>
      <c r="L458" s="1">
        <f t="shared" si="93"/>
        <v>42399.922222222223</v>
      </c>
      <c r="M458" s="43"/>
      <c r="N458" s="11">
        <f t="shared" si="89"/>
        <v>0.51877874186562911</v>
      </c>
      <c r="O458" s="11">
        <f t="shared" si="90"/>
        <v>0.55500000000000005</v>
      </c>
      <c r="P458" s="1">
        <f t="shared" si="91"/>
        <v>42399.826388888891</v>
      </c>
      <c r="Q458" s="12">
        <f t="shared" si="92"/>
        <v>1.5748373101980118E-2</v>
      </c>
    </row>
    <row r="459" spans="1:17" thickBot="1">
      <c r="A459" s="29" t="s">
        <v>704</v>
      </c>
      <c r="B459" s="30" t="s">
        <v>17</v>
      </c>
      <c r="C459" s="30">
        <v>56</v>
      </c>
      <c r="D459" s="30" t="s">
        <v>41</v>
      </c>
      <c r="E459" s="30">
        <v>0</v>
      </c>
      <c r="F459" s="30">
        <v>2</v>
      </c>
      <c r="G459" s="30" t="s">
        <v>191</v>
      </c>
      <c r="H459" s="42" t="s">
        <v>19</v>
      </c>
      <c r="I459" s="30" t="s">
        <v>20</v>
      </c>
      <c r="J459" s="31" t="s">
        <v>75</v>
      </c>
      <c r="K459" s="44" t="s">
        <v>679</v>
      </c>
      <c r="L459" s="1">
        <f t="shared" si="93"/>
        <v>42399.925000000003</v>
      </c>
      <c r="M459" s="43"/>
      <c r="N459" s="11">
        <f t="shared" si="89"/>
        <v>0.51772885032482485</v>
      </c>
      <c r="O459" s="11">
        <f t="shared" si="90"/>
        <v>0.55500000000000005</v>
      </c>
      <c r="P459" s="1">
        <f t="shared" si="91"/>
        <v>42399.826388888891</v>
      </c>
      <c r="Q459" s="12">
        <f t="shared" si="92"/>
        <v>1.5748373101980118E-2</v>
      </c>
    </row>
    <row r="460" spans="1:17" thickBot="1">
      <c r="A460" s="29" t="s">
        <v>705</v>
      </c>
      <c r="B460" s="30" t="s">
        <v>17</v>
      </c>
      <c r="C460" s="30">
        <v>56</v>
      </c>
      <c r="D460" s="30" t="s">
        <v>41</v>
      </c>
      <c r="E460" s="30">
        <v>0</v>
      </c>
      <c r="F460" s="30">
        <v>3</v>
      </c>
      <c r="G460" s="30" t="s">
        <v>191</v>
      </c>
      <c r="H460" s="42" t="s">
        <v>19</v>
      </c>
      <c r="I460" s="30" t="s">
        <v>20</v>
      </c>
      <c r="J460" s="31" t="s">
        <v>75</v>
      </c>
      <c r="K460" s="44" t="s">
        <v>679</v>
      </c>
      <c r="L460" s="1">
        <f t="shared" si="93"/>
        <v>42399.928472222222</v>
      </c>
      <c r="M460" s="43"/>
      <c r="N460" s="11">
        <f t="shared" si="89"/>
        <v>0.51641648590088207</v>
      </c>
      <c r="O460" s="11">
        <f t="shared" si="90"/>
        <v>0.55500000000000005</v>
      </c>
      <c r="P460" s="1">
        <f t="shared" si="91"/>
        <v>42399.826388888891</v>
      </c>
      <c r="Q460" s="12">
        <f t="shared" si="92"/>
        <v>1.5748373101980118E-2</v>
      </c>
    </row>
    <row r="461" spans="1:17" thickBot="1">
      <c r="A461" s="29" t="s">
        <v>706</v>
      </c>
      <c r="B461" s="30" t="s">
        <v>17</v>
      </c>
      <c r="C461" s="30">
        <v>56</v>
      </c>
      <c r="D461" s="30" t="s">
        <v>41</v>
      </c>
      <c r="E461" s="30">
        <v>0</v>
      </c>
      <c r="F461" s="30">
        <v>3</v>
      </c>
      <c r="G461" s="30" t="s">
        <v>191</v>
      </c>
      <c r="H461" s="42" t="s">
        <v>19</v>
      </c>
      <c r="I461" s="30" t="s">
        <v>20</v>
      </c>
      <c r="J461" s="31" t="s">
        <v>75</v>
      </c>
      <c r="K461" s="44" t="s">
        <v>679</v>
      </c>
      <c r="L461" s="1">
        <f t="shared" si="93"/>
        <v>42399.931944444441</v>
      </c>
      <c r="M461" s="43"/>
      <c r="N461" s="11">
        <f t="shared" si="89"/>
        <v>0.51510412147693929</v>
      </c>
      <c r="O461" s="11">
        <f t="shared" si="90"/>
        <v>0.55500000000000005</v>
      </c>
      <c r="P461" s="1">
        <f t="shared" si="91"/>
        <v>42399.826388888891</v>
      </c>
      <c r="Q461" s="12">
        <f t="shared" si="92"/>
        <v>1.5748373101980118E-2</v>
      </c>
    </row>
    <row r="462" spans="1:17" thickBot="1">
      <c r="A462" s="29" t="s">
        <v>707</v>
      </c>
      <c r="B462" s="30" t="s">
        <v>17</v>
      </c>
      <c r="C462" s="30">
        <v>56</v>
      </c>
      <c r="D462" s="30" t="s">
        <v>41</v>
      </c>
      <c r="E462" s="30">
        <v>0</v>
      </c>
      <c r="F462" s="30">
        <v>6</v>
      </c>
      <c r="G462" s="30" t="s">
        <v>191</v>
      </c>
      <c r="H462" s="42" t="s">
        <v>19</v>
      </c>
      <c r="I462" s="30" t="s">
        <v>20</v>
      </c>
      <c r="J462" s="31" t="s">
        <v>75</v>
      </c>
      <c r="K462" s="44" t="s">
        <v>679</v>
      </c>
      <c r="L462" s="1">
        <f t="shared" si="93"/>
        <v>42399.941666666666</v>
      </c>
      <c r="M462" s="43"/>
      <c r="N462" s="11">
        <f t="shared" si="89"/>
        <v>0.51142950108549956</v>
      </c>
      <c r="O462" s="11">
        <f t="shared" si="90"/>
        <v>0.55500000000000005</v>
      </c>
      <c r="P462" s="1">
        <f t="shared" si="91"/>
        <v>42399.826388888891</v>
      </c>
      <c r="Q462" s="12">
        <f t="shared" si="92"/>
        <v>1.5748373101980118E-2</v>
      </c>
    </row>
    <row r="463" spans="1:17" thickBot="1">
      <c r="A463" s="29" t="s">
        <v>708</v>
      </c>
      <c r="B463" s="30" t="s">
        <v>17</v>
      </c>
      <c r="C463" s="30">
        <v>56</v>
      </c>
      <c r="D463" s="30" t="s">
        <v>41</v>
      </c>
      <c r="E463" s="30">
        <v>0</v>
      </c>
      <c r="F463" s="30">
        <v>3</v>
      </c>
      <c r="G463" s="30" t="s">
        <v>191</v>
      </c>
      <c r="H463" s="42" t="s">
        <v>19</v>
      </c>
      <c r="I463" s="30" t="s">
        <v>20</v>
      </c>
      <c r="J463" s="31" t="s">
        <v>75</v>
      </c>
      <c r="K463" s="44" t="s">
        <v>679</v>
      </c>
      <c r="L463" s="1">
        <f t="shared" si="93"/>
        <v>42399.947916666664</v>
      </c>
      <c r="M463" s="43"/>
      <c r="N463" s="11">
        <f t="shared" si="89"/>
        <v>0.50906724512075252</v>
      </c>
      <c r="O463" s="11">
        <f t="shared" si="90"/>
        <v>0.55500000000000005</v>
      </c>
      <c r="P463" s="1">
        <f t="shared" si="91"/>
        <v>42399.826388888891</v>
      </c>
      <c r="Q463" s="12">
        <f t="shared" si="92"/>
        <v>1.5748373101980118E-2</v>
      </c>
    </row>
    <row r="464" spans="1:17" thickBot="1">
      <c r="A464" s="29" t="s">
        <v>709</v>
      </c>
      <c r="B464" s="30" t="s">
        <v>17</v>
      </c>
      <c r="C464" s="30">
        <v>56</v>
      </c>
      <c r="D464" s="30" t="s">
        <v>41</v>
      </c>
      <c r="E464" s="30">
        <v>1000</v>
      </c>
      <c r="F464" s="30">
        <v>31</v>
      </c>
      <c r="G464" s="30" t="s">
        <v>710</v>
      </c>
      <c r="H464" s="42" t="s">
        <v>19</v>
      </c>
      <c r="I464" s="30" t="s">
        <v>20</v>
      </c>
      <c r="J464" s="31" t="s">
        <v>75</v>
      </c>
      <c r="K464" s="44" t="str">
        <f t="shared" si="88"/>
        <v>lev OK</v>
      </c>
      <c r="L464" s="1">
        <f t="shared" si="93"/>
        <v>42399.970138888886</v>
      </c>
      <c r="M464" s="43"/>
      <c r="N464" s="11">
        <f t="shared" si="89"/>
        <v>0.50066811279981871</v>
      </c>
      <c r="O464" s="11">
        <f t="shared" si="90"/>
        <v>0.55500000000000005</v>
      </c>
      <c r="P464" s="1">
        <f t="shared" si="91"/>
        <v>42399.826388888891</v>
      </c>
      <c r="Q464" s="12">
        <f t="shared" si="92"/>
        <v>1.5748373101980118E-2</v>
      </c>
    </row>
    <row r="465" spans="1:19" thickBot="1">
      <c r="A465" s="29" t="s">
        <v>711</v>
      </c>
      <c r="B465" s="30" t="s">
        <v>17</v>
      </c>
      <c r="C465" s="30">
        <v>56</v>
      </c>
      <c r="D465" s="30" t="s">
        <v>41</v>
      </c>
      <c r="E465" s="30">
        <v>1000</v>
      </c>
      <c r="F465" s="30">
        <v>31</v>
      </c>
      <c r="G465" s="30" t="s">
        <v>710</v>
      </c>
      <c r="H465" s="42" t="s">
        <v>19</v>
      </c>
      <c r="I465" s="30" t="s">
        <v>20</v>
      </c>
      <c r="J465" s="31" t="s">
        <v>75</v>
      </c>
      <c r="K465" s="44" t="str">
        <f t="shared" si="88"/>
        <v>lev OK</v>
      </c>
      <c r="L465" s="1">
        <f t="shared" si="93"/>
        <v>42400.009027777778</v>
      </c>
      <c r="M465" s="43"/>
      <c r="N465" s="11">
        <f t="shared" si="89"/>
        <v>0.48596963123680942</v>
      </c>
      <c r="O465" s="11">
        <f t="shared" si="90"/>
        <v>0.55500000000000005</v>
      </c>
      <c r="P465" s="1">
        <f t="shared" si="91"/>
        <v>42399.826388888891</v>
      </c>
      <c r="Q465" s="12">
        <f t="shared" si="92"/>
        <v>1.5748373101980118E-2</v>
      </c>
    </row>
    <row r="466" spans="1:19" thickBot="1">
      <c r="A466" s="29" t="s">
        <v>712</v>
      </c>
      <c r="B466" s="30" t="s">
        <v>17</v>
      </c>
      <c r="C466" s="30">
        <v>56</v>
      </c>
      <c r="D466" s="30" t="s">
        <v>41</v>
      </c>
      <c r="E466" s="30">
        <v>1000</v>
      </c>
      <c r="F466" s="30">
        <v>31</v>
      </c>
      <c r="G466" s="30" t="s">
        <v>710</v>
      </c>
      <c r="H466" s="42" t="s">
        <v>19</v>
      </c>
      <c r="I466" s="30" t="s">
        <v>20</v>
      </c>
      <c r="J466" s="31" t="s">
        <v>75</v>
      </c>
      <c r="K466" s="44" t="str">
        <f t="shared" si="88"/>
        <v>lev OK</v>
      </c>
      <c r="L466" s="1">
        <f t="shared" si="93"/>
        <v>42400.048611111109</v>
      </c>
      <c r="M466" s="43"/>
      <c r="N466" s="11">
        <f t="shared" si="89"/>
        <v>0.47100867679066166</v>
      </c>
      <c r="O466" s="11">
        <f t="shared" si="90"/>
        <v>0.55500000000000005</v>
      </c>
      <c r="P466" s="1">
        <f t="shared" si="91"/>
        <v>42399.826388888891</v>
      </c>
      <c r="Q466" s="12">
        <f t="shared" si="92"/>
        <v>1.5748373101980118E-2</v>
      </c>
    </row>
    <row r="467" spans="1:19" thickBot="1">
      <c r="A467" s="29" t="s">
        <v>713</v>
      </c>
      <c r="B467" s="30" t="s">
        <v>17</v>
      </c>
      <c r="C467" s="30">
        <v>56</v>
      </c>
      <c r="D467" s="30" t="s">
        <v>41</v>
      </c>
      <c r="E467" s="30">
        <v>1000</v>
      </c>
      <c r="F467" s="30">
        <v>31</v>
      </c>
      <c r="G467" s="30" t="s">
        <v>710</v>
      </c>
      <c r="H467" s="42" t="s">
        <v>19</v>
      </c>
      <c r="I467" s="30" t="s">
        <v>20</v>
      </c>
      <c r="J467" s="31" t="s">
        <v>75</v>
      </c>
      <c r="K467" s="44" t="str">
        <f t="shared" si="88"/>
        <v>lev OK</v>
      </c>
      <c r="L467" s="1">
        <f t="shared" si="93"/>
        <v>42400.087500000001</v>
      </c>
      <c r="M467" s="43"/>
      <c r="N467" s="11">
        <f t="shared" si="89"/>
        <v>0.45631019522765243</v>
      </c>
      <c r="O467" s="11">
        <f t="shared" si="90"/>
        <v>0.55500000000000005</v>
      </c>
      <c r="P467" s="1">
        <f t="shared" si="91"/>
        <v>42399.826388888891</v>
      </c>
      <c r="Q467" s="12">
        <f t="shared" si="92"/>
        <v>1.5748373101980118E-2</v>
      </c>
    </row>
    <row r="468" spans="1:19" thickBot="1">
      <c r="A468" s="29" t="s">
        <v>714</v>
      </c>
      <c r="B468" s="30" t="s">
        <v>17</v>
      </c>
      <c r="C468" s="30">
        <v>56</v>
      </c>
      <c r="D468" s="30" t="s">
        <v>41</v>
      </c>
      <c r="E468" s="30">
        <v>1000</v>
      </c>
      <c r="F468" s="30">
        <v>31</v>
      </c>
      <c r="G468" s="30" t="s">
        <v>710</v>
      </c>
      <c r="H468" s="42" t="s">
        <v>19</v>
      </c>
      <c r="I468" s="30" t="s">
        <v>20</v>
      </c>
      <c r="J468" s="31" t="s">
        <v>75</v>
      </c>
      <c r="K468" s="44" t="str">
        <f t="shared" si="88"/>
        <v>lev OK</v>
      </c>
      <c r="L468" s="1">
        <f t="shared" si="93"/>
        <v>42400.127083333333</v>
      </c>
      <c r="M468" s="43"/>
      <c r="N468" s="11">
        <f t="shared" si="89"/>
        <v>0.44134924078150461</v>
      </c>
      <c r="O468" s="11">
        <f t="shared" si="90"/>
        <v>0.55500000000000005</v>
      </c>
      <c r="P468" s="1">
        <f t="shared" si="91"/>
        <v>42399.826388888891</v>
      </c>
      <c r="Q468" s="12">
        <f t="shared" si="92"/>
        <v>1.5748373101980118E-2</v>
      </c>
    </row>
    <row r="469" spans="1:19" thickBot="1">
      <c r="A469" s="29" t="s">
        <v>715</v>
      </c>
      <c r="B469" s="30" t="s">
        <v>17</v>
      </c>
      <c r="C469" s="30">
        <v>56</v>
      </c>
      <c r="D469" s="30" t="s">
        <v>41</v>
      </c>
      <c r="E469" s="30">
        <v>1000</v>
      </c>
      <c r="F469" s="30">
        <v>31</v>
      </c>
      <c r="G469" s="30" t="s">
        <v>710</v>
      </c>
      <c r="H469" s="42" t="s">
        <v>19</v>
      </c>
      <c r="I469" s="30" t="s">
        <v>20</v>
      </c>
      <c r="J469" s="31" t="s">
        <v>75</v>
      </c>
      <c r="K469" s="44" t="str">
        <f t="shared" ref="K469:K474" si="94">IF(AND(N469&lt;0.7,N469&gt;0.2),"lev OK","lev BAD")</f>
        <v>lev OK</v>
      </c>
      <c r="L469" s="1">
        <f t="shared" si="93"/>
        <v>42400.165972222225</v>
      </c>
      <c r="M469" s="43"/>
      <c r="N469" s="11">
        <f t="shared" ref="N469:N497" si="95">O469-(L469-P469)*24*Q469</f>
        <v>0.42665075921849538</v>
      </c>
      <c r="O469" s="11">
        <f t="shared" ref="O469:O497" si="96">O468</f>
        <v>0.55500000000000005</v>
      </c>
      <c r="P469" s="1">
        <f t="shared" ref="P469:P497" si="97">P468</f>
        <v>42399.826388888891</v>
      </c>
      <c r="Q469" s="12">
        <f t="shared" ref="Q469:Q497" si="98">Q468</f>
        <v>1.5748373101980118E-2</v>
      </c>
    </row>
    <row r="470" spans="1:19" thickBot="1">
      <c r="A470" s="29" t="s">
        <v>716</v>
      </c>
      <c r="B470" s="30" t="s">
        <v>17</v>
      </c>
      <c r="C470" s="30">
        <v>56</v>
      </c>
      <c r="D470" s="30" t="s">
        <v>41</v>
      </c>
      <c r="E470" s="30">
        <v>1000</v>
      </c>
      <c r="F470" s="30">
        <v>31</v>
      </c>
      <c r="G470" s="30" t="s">
        <v>710</v>
      </c>
      <c r="H470" s="42" t="s">
        <v>19</v>
      </c>
      <c r="I470" s="30" t="s">
        <v>20</v>
      </c>
      <c r="J470" s="31" t="s">
        <v>75</v>
      </c>
      <c r="K470" s="44" t="str">
        <f t="shared" si="94"/>
        <v>lev OK</v>
      </c>
      <c r="L470" s="1">
        <f t="shared" si="93"/>
        <v>42400.205555555556</v>
      </c>
      <c r="M470" s="43"/>
      <c r="N470" s="11">
        <f t="shared" si="95"/>
        <v>0.41168980477234762</v>
      </c>
      <c r="O470" s="11">
        <f t="shared" si="96"/>
        <v>0.55500000000000005</v>
      </c>
      <c r="P470" s="1">
        <f t="shared" si="97"/>
        <v>42399.826388888891</v>
      </c>
      <c r="Q470" s="12">
        <f t="shared" si="98"/>
        <v>1.5748373101980118E-2</v>
      </c>
    </row>
    <row r="471" spans="1:19" thickBot="1">
      <c r="A471" s="29" t="s">
        <v>717</v>
      </c>
      <c r="B471" s="30" t="s">
        <v>17</v>
      </c>
      <c r="C471" s="30">
        <v>56</v>
      </c>
      <c r="D471" s="30" t="s">
        <v>41</v>
      </c>
      <c r="E471" s="30">
        <v>1000</v>
      </c>
      <c r="F471" s="30">
        <v>31</v>
      </c>
      <c r="G471" s="30" t="s">
        <v>710</v>
      </c>
      <c r="H471" s="42" t="s">
        <v>19</v>
      </c>
      <c r="I471" s="30" t="s">
        <v>20</v>
      </c>
      <c r="J471" s="31" t="s">
        <v>75</v>
      </c>
      <c r="K471" s="44" t="str">
        <f t="shared" si="94"/>
        <v>lev OK</v>
      </c>
      <c r="L471" s="1">
        <f t="shared" si="93"/>
        <v>42400.244444444441</v>
      </c>
      <c r="M471" s="43"/>
      <c r="N471" s="11">
        <f t="shared" si="95"/>
        <v>0.39699132321208841</v>
      </c>
      <c r="O471" s="11">
        <f t="shared" si="96"/>
        <v>0.55500000000000005</v>
      </c>
      <c r="P471" s="1">
        <f t="shared" si="97"/>
        <v>42399.826388888891</v>
      </c>
      <c r="Q471" s="12">
        <f t="shared" si="98"/>
        <v>1.5748373101980118E-2</v>
      </c>
    </row>
    <row r="472" spans="1:19" thickBot="1">
      <c r="A472" s="29" t="s">
        <v>718</v>
      </c>
      <c r="B472" s="30" t="s">
        <v>17</v>
      </c>
      <c r="C472" s="30">
        <v>56</v>
      </c>
      <c r="D472" s="30" t="s">
        <v>41</v>
      </c>
      <c r="E472" s="30">
        <v>1000</v>
      </c>
      <c r="F472" s="30">
        <v>31</v>
      </c>
      <c r="G472" s="30" t="s">
        <v>710</v>
      </c>
      <c r="H472" s="42" t="s">
        <v>19</v>
      </c>
      <c r="I472" s="30" t="s">
        <v>20</v>
      </c>
      <c r="J472" s="31" t="s">
        <v>75</v>
      </c>
      <c r="K472" s="44" t="str">
        <f t="shared" si="94"/>
        <v>lev OK</v>
      </c>
      <c r="L472" s="1">
        <f t="shared" si="93"/>
        <v>42400.28402777778</v>
      </c>
      <c r="M472" s="43"/>
      <c r="N472" s="11">
        <f t="shared" si="95"/>
        <v>0.38203036876319063</v>
      </c>
      <c r="O472" s="11">
        <f t="shared" si="96"/>
        <v>0.55500000000000005</v>
      </c>
      <c r="P472" s="1">
        <f t="shared" si="97"/>
        <v>42399.826388888891</v>
      </c>
      <c r="Q472" s="12">
        <f t="shared" si="98"/>
        <v>1.5748373101980118E-2</v>
      </c>
    </row>
    <row r="473" spans="1:19" thickBot="1">
      <c r="A473" s="29" t="s">
        <v>719</v>
      </c>
      <c r="B473" s="30" t="s">
        <v>17</v>
      </c>
      <c r="C473" s="30">
        <v>56</v>
      </c>
      <c r="D473" s="30" t="s">
        <v>41</v>
      </c>
      <c r="E473" s="30">
        <v>1000</v>
      </c>
      <c r="F473" s="30">
        <v>8</v>
      </c>
      <c r="G473" s="30" t="s">
        <v>710</v>
      </c>
      <c r="H473" s="42" t="s">
        <v>42</v>
      </c>
      <c r="I473" s="30" t="s">
        <v>20</v>
      </c>
      <c r="J473" s="31" t="s">
        <v>75</v>
      </c>
      <c r="K473" s="44" t="str">
        <f t="shared" si="94"/>
        <v>lev OK</v>
      </c>
      <c r="L473" s="1">
        <f t="shared" si="93"/>
        <v>42400.45</v>
      </c>
      <c r="M473" s="43"/>
      <c r="N473" s="11">
        <f t="shared" si="95"/>
        <v>0.31929934924207537</v>
      </c>
      <c r="O473" s="11">
        <f t="shared" si="96"/>
        <v>0.55500000000000005</v>
      </c>
      <c r="P473" s="1">
        <f t="shared" si="97"/>
        <v>42399.826388888891</v>
      </c>
      <c r="Q473" s="12">
        <f t="shared" si="98"/>
        <v>1.5748373101980118E-2</v>
      </c>
    </row>
    <row r="474" spans="1:19" thickBot="1">
      <c r="A474" s="29" t="s">
        <v>720</v>
      </c>
      <c r="B474" s="30" t="s">
        <v>17</v>
      </c>
      <c r="C474" s="30">
        <v>56</v>
      </c>
      <c r="D474" s="30" t="s">
        <v>41</v>
      </c>
      <c r="E474" s="30">
        <v>10</v>
      </c>
      <c r="F474" s="30">
        <v>11</v>
      </c>
      <c r="G474" s="30" t="s">
        <v>710</v>
      </c>
      <c r="H474" s="42" t="s">
        <v>42</v>
      </c>
      <c r="I474" s="30" t="s">
        <v>20</v>
      </c>
      <c r="J474" s="31" t="s">
        <v>75</v>
      </c>
      <c r="K474" s="44" t="str">
        <f t="shared" si="94"/>
        <v>lev OK</v>
      </c>
      <c r="L474" s="1">
        <f t="shared" si="93"/>
        <v>42400.459027777775</v>
      </c>
      <c r="M474" s="43"/>
      <c r="N474" s="11">
        <f t="shared" si="95"/>
        <v>0.31588720173652418</v>
      </c>
      <c r="O474" s="11">
        <f t="shared" si="96"/>
        <v>0.55500000000000005</v>
      </c>
      <c r="P474" s="1">
        <f t="shared" si="97"/>
        <v>42399.826388888891</v>
      </c>
      <c r="Q474" s="12">
        <f t="shared" si="98"/>
        <v>1.5748373101980118E-2</v>
      </c>
    </row>
    <row r="475" spans="1:19" thickBot="1">
      <c r="A475" s="29" t="s">
        <v>721</v>
      </c>
      <c r="B475" s="30" t="s">
        <v>17</v>
      </c>
      <c r="C475" s="30">
        <v>56</v>
      </c>
      <c r="D475" s="30" t="s">
        <v>41</v>
      </c>
      <c r="E475" s="30">
        <v>10</v>
      </c>
      <c r="F475" s="30">
        <v>3</v>
      </c>
      <c r="G475" s="30" t="s">
        <v>710</v>
      </c>
      <c r="H475" s="42" t="s">
        <v>42</v>
      </c>
      <c r="I475" s="30" t="s">
        <v>20</v>
      </c>
      <c r="J475" s="31" t="s">
        <v>75</v>
      </c>
      <c r="K475" s="44" t="s">
        <v>722</v>
      </c>
      <c r="L475" s="1">
        <f t="shared" si="93"/>
        <v>42400.468055555553</v>
      </c>
      <c r="M475" s="43"/>
      <c r="N475" s="11">
        <f t="shared" si="95"/>
        <v>0.33848936165382926</v>
      </c>
      <c r="O475" s="12">
        <v>0.313</v>
      </c>
      <c r="P475" s="1">
        <v>42400.466666666667</v>
      </c>
      <c r="Q475" s="11">
        <f>(O475-R475)/(S475-P475)/24</f>
        <v>-0.76468085112822759</v>
      </c>
      <c r="R475" s="12">
        <v>0.91200000000000003</v>
      </c>
      <c r="S475" s="1">
        <v>42400.499305555553</v>
      </c>
    </row>
    <row r="476" spans="1:19" thickBot="1">
      <c r="A476" s="29" t="s">
        <v>723</v>
      </c>
      <c r="B476" s="30" t="s">
        <v>17</v>
      </c>
      <c r="C476" s="30">
        <v>56</v>
      </c>
      <c r="D476" s="30" t="s">
        <v>41</v>
      </c>
      <c r="E476" s="30">
        <v>1000</v>
      </c>
      <c r="F476" s="30">
        <v>31</v>
      </c>
      <c r="G476" s="30" t="s">
        <v>710</v>
      </c>
      <c r="H476" s="42" t="s">
        <v>42</v>
      </c>
      <c r="I476" s="30" t="s">
        <v>20</v>
      </c>
      <c r="J476" s="31" t="s">
        <v>75</v>
      </c>
      <c r="K476" s="46" t="s">
        <v>402</v>
      </c>
      <c r="L476" s="1">
        <f t="shared" si="93"/>
        <v>42400.493750000001</v>
      </c>
      <c r="M476" s="43"/>
      <c r="N476" s="11">
        <f t="shared" si="95"/>
        <v>0.81004255325115204</v>
      </c>
      <c r="O476" s="11">
        <f t="shared" si="96"/>
        <v>0.313</v>
      </c>
      <c r="P476" s="1">
        <f t="shared" si="97"/>
        <v>42400.466666666667</v>
      </c>
      <c r="Q476" s="12">
        <f t="shared" si="98"/>
        <v>-0.76468085112822759</v>
      </c>
    </row>
    <row r="477" spans="1:19" thickBot="1">
      <c r="A477" s="29" t="s">
        <v>724</v>
      </c>
      <c r="B477" s="30" t="s">
        <v>17</v>
      </c>
      <c r="C477" s="30">
        <v>56</v>
      </c>
      <c r="D477" s="30" t="s">
        <v>41</v>
      </c>
      <c r="E477" s="30">
        <v>1000</v>
      </c>
      <c r="F477" s="30">
        <v>31</v>
      </c>
      <c r="G477" s="30" t="s">
        <v>710</v>
      </c>
      <c r="H477" s="42" t="s">
        <v>42</v>
      </c>
      <c r="I477" s="30" t="s">
        <v>20</v>
      </c>
      <c r="J477" s="31" t="s">
        <v>75</v>
      </c>
      <c r="K477" s="46" t="s">
        <v>402</v>
      </c>
      <c r="L477" s="1">
        <f t="shared" si="93"/>
        <v>42400.533333333333</v>
      </c>
      <c r="M477" s="43"/>
      <c r="N477" s="11">
        <f t="shared" si="95"/>
        <v>0.90189570063647828</v>
      </c>
      <c r="O477" s="11">
        <v>0.91200000000000003</v>
      </c>
      <c r="P477" s="1">
        <v>42400.499305555553</v>
      </c>
      <c r="Q477" s="11">
        <f>(O477-R477)/(S477-P477)/24</f>
        <v>1.2372611464890172E-2</v>
      </c>
      <c r="R477" s="12">
        <v>0.65300000000000002</v>
      </c>
      <c r="S477" s="1">
        <v>42401.371527777781</v>
      </c>
    </row>
    <row r="478" spans="1:19" thickBot="1">
      <c r="A478" s="29" t="s">
        <v>725</v>
      </c>
      <c r="B478" s="30" t="s">
        <v>17</v>
      </c>
      <c r="C478" s="30">
        <v>56</v>
      </c>
      <c r="D478" s="30" t="s">
        <v>41</v>
      </c>
      <c r="E478" s="30">
        <v>1000</v>
      </c>
      <c r="F478" s="30">
        <v>31</v>
      </c>
      <c r="G478" s="30" t="s">
        <v>710</v>
      </c>
      <c r="H478" s="42" t="s">
        <v>42</v>
      </c>
      <c r="I478" s="30" t="s">
        <v>20</v>
      </c>
      <c r="J478" s="31" t="s">
        <v>75</v>
      </c>
      <c r="K478" s="46" t="s">
        <v>402</v>
      </c>
      <c r="L478" s="1">
        <f t="shared" si="93"/>
        <v>42400.572916666664</v>
      </c>
      <c r="M478" s="43"/>
      <c r="N478" s="11">
        <f t="shared" si="95"/>
        <v>0.89014171974540879</v>
      </c>
      <c r="O478" s="11">
        <f t="shared" si="96"/>
        <v>0.91200000000000003</v>
      </c>
      <c r="P478" s="1">
        <f t="shared" si="97"/>
        <v>42400.499305555553</v>
      </c>
      <c r="Q478" s="12">
        <f t="shared" si="98"/>
        <v>1.2372611464890172E-2</v>
      </c>
    </row>
    <row r="479" spans="1:19" thickBot="1">
      <c r="A479" s="29" t="s">
        <v>726</v>
      </c>
      <c r="B479" s="30" t="s">
        <v>17</v>
      </c>
      <c r="C479" s="30">
        <v>56</v>
      </c>
      <c r="D479" s="30" t="s">
        <v>41</v>
      </c>
      <c r="E479" s="30">
        <v>1000</v>
      </c>
      <c r="F479" s="30">
        <v>32</v>
      </c>
      <c r="G479" s="30" t="s">
        <v>710</v>
      </c>
      <c r="H479" s="42" t="s">
        <v>42</v>
      </c>
      <c r="I479" s="30" t="s">
        <v>20</v>
      </c>
      <c r="J479" s="31" t="s">
        <v>75</v>
      </c>
      <c r="K479" s="46" t="s">
        <v>402</v>
      </c>
      <c r="L479" s="1">
        <f t="shared" si="93"/>
        <v>42400.611805555556</v>
      </c>
      <c r="M479" s="43"/>
      <c r="N479" s="11">
        <f t="shared" si="95"/>
        <v>0.8785939490439324</v>
      </c>
      <c r="O479" s="11">
        <f t="shared" si="96"/>
        <v>0.91200000000000003</v>
      </c>
      <c r="P479" s="1">
        <f t="shared" si="97"/>
        <v>42400.499305555553</v>
      </c>
      <c r="Q479" s="12">
        <f t="shared" si="98"/>
        <v>1.2372611464890172E-2</v>
      </c>
    </row>
    <row r="480" spans="1:19" thickBot="1">
      <c r="A480" s="29" t="s">
        <v>727</v>
      </c>
      <c r="B480" s="30" t="s">
        <v>17</v>
      </c>
      <c r="C480" s="30">
        <v>56</v>
      </c>
      <c r="D480" s="30" t="s">
        <v>41</v>
      </c>
      <c r="E480" s="30">
        <v>1000</v>
      </c>
      <c r="F480" s="30">
        <v>31</v>
      </c>
      <c r="G480" s="30" t="s">
        <v>710</v>
      </c>
      <c r="H480" s="42" t="s">
        <v>42</v>
      </c>
      <c r="I480" s="30" t="s">
        <v>20</v>
      </c>
      <c r="J480" s="31" t="s">
        <v>75</v>
      </c>
      <c r="K480" s="46" t="s">
        <v>402</v>
      </c>
      <c r="L480" s="1">
        <f t="shared" si="93"/>
        <v>42400.651388888888</v>
      </c>
      <c r="M480" s="43"/>
      <c r="N480" s="11">
        <f t="shared" si="95"/>
        <v>0.86683996815286279</v>
      </c>
      <c r="O480" s="11">
        <f t="shared" si="96"/>
        <v>0.91200000000000003</v>
      </c>
      <c r="P480" s="1">
        <f t="shared" si="97"/>
        <v>42400.499305555553</v>
      </c>
      <c r="Q480" s="12">
        <f t="shared" si="98"/>
        <v>1.2372611464890172E-2</v>
      </c>
    </row>
    <row r="481" spans="1:17" thickBot="1">
      <c r="A481" s="29" t="s">
        <v>728</v>
      </c>
      <c r="B481" s="30" t="s">
        <v>17</v>
      </c>
      <c r="C481" s="30">
        <v>56</v>
      </c>
      <c r="D481" s="30" t="s">
        <v>41</v>
      </c>
      <c r="E481" s="30">
        <v>1000</v>
      </c>
      <c r="F481" s="30">
        <v>31</v>
      </c>
      <c r="G481" s="30" t="s">
        <v>710</v>
      </c>
      <c r="H481" s="42" t="s">
        <v>42</v>
      </c>
      <c r="I481" s="30" t="s">
        <v>20</v>
      </c>
      <c r="J481" s="31" t="s">
        <v>75</v>
      </c>
      <c r="K481" s="46" t="s">
        <v>402</v>
      </c>
      <c r="L481" s="1">
        <f t="shared" si="93"/>
        <v>42400.69027777778</v>
      </c>
      <c r="M481" s="43"/>
      <c r="N481" s="11">
        <f t="shared" si="95"/>
        <v>0.8552921974513864</v>
      </c>
      <c r="O481" s="11">
        <f t="shared" si="96"/>
        <v>0.91200000000000003</v>
      </c>
      <c r="P481" s="1">
        <f t="shared" si="97"/>
        <v>42400.499305555553</v>
      </c>
      <c r="Q481" s="12">
        <f t="shared" si="98"/>
        <v>1.2372611464890172E-2</v>
      </c>
    </row>
    <row r="482" spans="1:17" thickBot="1">
      <c r="A482" s="29" t="s">
        <v>729</v>
      </c>
      <c r="B482" s="30" t="s">
        <v>17</v>
      </c>
      <c r="C482" s="30">
        <v>56</v>
      </c>
      <c r="D482" s="30" t="s">
        <v>41</v>
      </c>
      <c r="E482" s="30">
        <v>1000</v>
      </c>
      <c r="F482" s="30">
        <v>31</v>
      </c>
      <c r="G482" s="30" t="s">
        <v>710</v>
      </c>
      <c r="H482" s="42" t="s">
        <v>42</v>
      </c>
      <c r="I482" s="30" t="s">
        <v>20</v>
      </c>
      <c r="J482" s="31" t="s">
        <v>75</v>
      </c>
      <c r="K482" s="46" t="s">
        <v>402</v>
      </c>
      <c r="L482" s="1">
        <f t="shared" si="93"/>
        <v>42400.729861111111</v>
      </c>
      <c r="M482" s="43"/>
      <c r="N482" s="11">
        <f t="shared" si="95"/>
        <v>0.84353821656031691</v>
      </c>
      <c r="O482" s="11">
        <f t="shared" si="96"/>
        <v>0.91200000000000003</v>
      </c>
      <c r="P482" s="1">
        <f t="shared" si="97"/>
        <v>42400.499305555553</v>
      </c>
      <c r="Q482" s="12">
        <f t="shared" si="98"/>
        <v>1.2372611464890172E-2</v>
      </c>
    </row>
    <row r="483" spans="1:17" thickBot="1">
      <c r="A483" s="29" t="s">
        <v>730</v>
      </c>
      <c r="B483" s="30" t="s">
        <v>17</v>
      </c>
      <c r="C483" s="30">
        <v>56</v>
      </c>
      <c r="D483" s="30" t="s">
        <v>41</v>
      </c>
      <c r="E483" s="30">
        <v>1000</v>
      </c>
      <c r="F483" s="30">
        <v>31</v>
      </c>
      <c r="G483" s="30" t="s">
        <v>710</v>
      </c>
      <c r="H483" s="42" t="s">
        <v>42</v>
      </c>
      <c r="I483" s="30" t="s">
        <v>20</v>
      </c>
      <c r="J483" s="31" t="s">
        <v>75</v>
      </c>
      <c r="K483" s="46" t="s">
        <v>402</v>
      </c>
      <c r="L483" s="1">
        <f t="shared" si="93"/>
        <v>42400.769444444442</v>
      </c>
      <c r="M483" s="43"/>
      <c r="N483" s="11">
        <f t="shared" si="95"/>
        <v>0.83178423566924742</v>
      </c>
      <c r="O483" s="11">
        <f t="shared" si="96"/>
        <v>0.91200000000000003</v>
      </c>
      <c r="P483" s="1">
        <f t="shared" si="97"/>
        <v>42400.499305555553</v>
      </c>
      <c r="Q483" s="12">
        <f t="shared" si="98"/>
        <v>1.2372611464890172E-2</v>
      </c>
    </row>
    <row r="484" spans="1:17" thickBot="1">
      <c r="A484" s="29" t="s">
        <v>731</v>
      </c>
      <c r="B484" s="30" t="s">
        <v>17</v>
      </c>
      <c r="C484" s="30">
        <v>56</v>
      </c>
      <c r="D484" s="30" t="s">
        <v>41</v>
      </c>
      <c r="E484" s="30">
        <v>1000</v>
      </c>
      <c r="F484" s="30">
        <v>31</v>
      </c>
      <c r="G484" s="30" t="s">
        <v>710</v>
      </c>
      <c r="H484" s="42" t="s">
        <v>42</v>
      </c>
      <c r="I484" s="30" t="s">
        <v>20</v>
      </c>
      <c r="J484" s="31" t="s">
        <v>75</v>
      </c>
      <c r="K484" s="46" t="s">
        <v>402</v>
      </c>
      <c r="L484" s="1">
        <f t="shared" si="93"/>
        <v>42400.808333333334</v>
      </c>
      <c r="M484" s="43"/>
      <c r="N484" s="11">
        <f t="shared" si="95"/>
        <v>0.82023646496777103</v>
      </c>
      <c r="O484" s="11">
        <f t="shared" si="96"/>
        <v>0.91200000000000003</v>
      </c>
      <c r="P484" s="1">
        <f t="shared" si="97"/>
        <v>42400.499305555553</v>
      </c>
      <c r="Q484" s="12">
        <f t="shared" si="98"/>
        <v>1.2372611464890172E-2</v>
      </c>
    </row>
    <row r="485" spans="1:17" thickBot="1">
      <c r="A485" s="29" t="s">
        <v>732</v>
      </c>
      <c r="B485" s="30" t="s">
        <v>17</v>
      </c>
      <c r="C485" s="30">
        <v>56</v>
      </c>
      <c r="D485" s="30" t="s">
        <v>41</v>
      </c>
      <c r="E485" s="30">
        <v>1000</v>
      </c>
      <c r="F485" s="30">
        <v>31</v>
      </c>
      <c r="G485" s="30" t="s">
        <v>710</v>
      </c>
      <c r="H485" s="42" t="s">
        <v>42</v>
      </c>
      <c r="I485" s="30" t="s">
        <v>20</v>
      </c>
      <c r="J485" s="31" t="s">
        <v>75</v>
      </c>
      <c r="K485" s="46" t="s">
        <v>402</v>
      </c>
      <c r="L485" s="1">
        <f t="shared" si="93"/>
        <v>42400.847916666666</v>
      </c>
      <c r="M485" s="43"/>
      <c r="N485" s="11">
        <f t="shared" si="95"/>
        <v>0.80848248407670154</v>
      </c>
      <c r="O485" s="11">
        <f t="shared" si="96"/>
        <v>0.91200000000000003</v>
      </c>
      <c r="P485" s="1">
        <f t="shared" si="97"/>
        <v>42400.499305555553</v>
      </c>
      <c r="Q485" s="12">
        <f t="shared" si="98"/>
        <v>1.2372611464890172E-2</v>
      </c>
    </row>
    <row r="486" spans="1:17" thickBot="1">
      <c r="A486" s="29" t="s">
        <v>733</v>
      </c>
      <c r="B486" s="30" t="s">
        <v>17</v>
      </c>
      <c r="C486" s="30">
        <v>56</v>
      </c>
      <c r="D486" s="30" t="s">
        <v>41</v>
      </c>
      <c r="E486" s="30">
        <v>1000</v>
      </c>
      <c r="F486" s="30">
        <v>31</v>
      </c>
      <c r="G486" s="30" t="s">
        <v>710</v>
      </c>
      <c r="H486" s="42" t="s">
        <v>42</v>
      </c>
      <c r="I486" s="30" t="s">
        <v>20</v>
      </c>
      <c r="J486" s="31" t="s">
        <v>75</v>
      </c>
      <c r="K486" s="46" t="s">
        <v>402</v>
      </c>
      <c r="L486" s="1">
        <f t="shared" si="93"/>
        <v>42400.886805555558</v>
      </c>
      <c r="M486" s="43"/>
      <c r="N486" s="11">
        <f t="shared" si="95"/>
        <v>0.79693471337522515</v>
      </c>
      <c r="O486" s="11">
        <f t="shared" si="96"/>
        <v>0.91200000000000003</v>
      </c>
      <c r="P486" s="1">
        <f t="shared" si="97"/>
        <v>42400.499305555553</v>
      </c>
      <c r="Q486" s="12">
        <f t="shared" si="98"/>
        <v>1.2372611464890172E-2</v>
      </c>
    </row>
    <row r="487" spans="1:17" thickBot="1">
      <c r="A487" s="29" t="s">
        <v>734</v>
      </c>
      <c r="B487" s="30" t="s">
        <v>17</v>
      </c>
      <c r="C487" s="30">
        <v>56</v>
      </c>
      <c r="D487" s="30" t="s">
        <v>41</v>
      </c>
      <c r="E487" s="30">
        <v>1000</v>
      </c>
      <c r="F487" s="30">
        <v>31</v>
      </c>
      <c r="G487" s="30" t="s">
        <v>710</v>
      </c>
      <c r="H487" s="42" t="s">
        <v>42</v>
      </c>
      <c r="I487" s="30" t="s">
        <v>20</v>
      </c>
      <c r="J487" s="31" t="s">
        <v>75</v>
      </c>
      <c r="K487" s="46" t="s">
        <v>402</v>
      </c>
      <c r="L487" s="1">
        <f t="shared" si="93"/>
        <v>42400.926388888889</v>
      </c>
      <c r="M487" s="43"/>
      <c r="N487" s="11">
        <f t="shared" si="95"/>
        <v>0.78518073248415554</v>
      </c>
      <c r="O487" s="11">
        <f t="shared" si="96"/>
        <v>0.91200000000000003</v>
      </c>
      <c r="P487" s="1">
        <f t="shared" si="97"/>
        <v>42400.499305555553</v>
      </c>
      <c r="Q487" s="12">
        <f t="shared" si="98"/>
        <v>1.2372611464890172E-2</v>
      </c>
    </row>
    <row r="488" spans="1:17" thickBot="1">
      <c r="A488" s="29" t="s">
        <v>735</v>
      </c>
      <c r="B488" s="30" t="s">
        <v>17</v>
      </c>
      <c r="C488" s="30">
        <v>56</v>
      </c>
      <c r="D488" s="30" t="s">
        <v>41</v>
      </c>
      <c r="E488" s="30">
        <v>1000</v>
      </c>
      <c r="F488" s="30">
        <v>31</v>
      </c>
      <c r="G488" s="30" t="s">
        <v>710</v>
      </c>
      <c r="H488" s="42" t="s">
        <v>42</v>
      </c>
      <c r="I488" s="30" t="s">
        <v>20</v>
      </c>
      <c r="J488" s="31" t="s">
        <v>75</v>
      </c>
      <c r="K488" s="46" t="s">
        <v>402</v>
      </c>
      <c r="L488" s="1">
        <f t="shared" si="93"/>
        <v>42400.96597222222</v>
      </c>
      <c r="M488" s="43"/>
      <c r="N488" s="11">
        <f t="shared" si="95"/>
        <v>0.77342675159308605</v>
      </c>
      <c r="O488" s="11">
        <f t="shared" si="96"/>
        <v>0.91200000000000003</v>
      </c>
      <c r="P488" s="1">
        <f t="shared" si="97"/>
        <v>42400.499305555553</v>
      </c>
      <c r="Q488" s="12">
        <f t="shared" si="98"/>
        <v>1.2372611464890172E-2</v>
      </c>
    </row>
    <row r="489" spans="1:17" thickBot="1">
      <c r="A489" s="29" t="s">
        <v>736</v>
      </c>
      <c r="B489" s="30" t="s">
        <v>17</v>
      </c>
      <c r="C489" s="30">
        <v>56</v>
      </c>
      <c r="D489" s="30" t="s">
        <v>41</v>
      </c>
      <c r="E489" s="30">
        <v>1000</v>
      </c>
      <c r="F489" s="30">
        <v>31</v>
      </c>
      <c r="G489" s="30" t="s">
        <v>710</v>
      </c>
      <c r="H489" s="42" t="s">
        <v>42</v>
      </c>
      <c r="I489" s="30" t="s">
        <v>20</v>
      </c>
      <c r="J489" s="31" t="s">
        <v>75</v>
      </c>
      <c r="K489" s="46" t="s">
        <v>402</v>
      </c>
      <c r="L489" s="1">
        <f t="shared" si="93"/>
        <v>42401.004861111112</v>
      </c>
      <c r="M489" s="43"/>
      <c r="N489" s="11">
        <f t="shared" si="95"/>
        <v>0.76187898089160966</v>
      </c>
      <c r="O489" s="11">
        <f t="shared" si="96"/>
        <v>0.91200000000000003</v>
      </c>
      <c r="P489" s="1">
        <f t="shared" si="97"/>
        <v>42400.499305555553</v>
      </c>
      <c r="Q489" s="12">
        <f t="shared" si="98"/>
        <v>1.2372611464890172E-2</v>
      </c>
    </row>
    <row r="490" spans="1:17" thickBot="1">
      <c r="A490" s="29" t="s">
        <v>737</v>
      </c>
      <c r="B490" s="30" t="s">
        <v>17</v>
      </c>
      <c r="C490" s="30">
        <v>56</v>
      </c>
      <c r="D490" s="30" t="s">
        <v>41</v>
      </c>
      <c r="E490" s="30">
        <v>1000</v>
      </c>
      <c r="F490" s="30">
        <v>31</v>
      </c>
      <c r="G490" s="30" t="s">
        <v>710</v>
      </c>
      <c r="H490" s="42" t="s">
        <v>42</v>
      </c>
      <c r="I490" s="30" t="s">
        <v>20</v>
      </c>
      <c r="J490" s="31" t="s">
        <v>75</v>
      </c>
      <c r="K490" s="46" t="s">
        <v>402</v>
      </c>
      <c r="L490" s="1">
        <f t="shared" si="93"/>
        <v>42401.044444444444</v>
      </c>
      <c r="M490" s="43"/>
      <c r="N490" s="11">
        <f t="shared" si="95"/>
        <v>0.75012500000054017</v>
      </c>
      <c r="O490" s="11">
        <f t="shared" si="96"/>
        <v>0.91200000000000003</v>
      </c>
      <c r="P490" s="1">
        <f t="shared" si="97"/>
        <v>42400.499305555553</v>
      </c>
      <c r="Q490" s="12">
        <f t="shared" si="98"/>
        <v>1.2372611464890172E-2</v>
      </c>
    </row>
    <row r="491" spans="1:17" thickBot="1">
      <c r="A491" s="29" t="s">
        <v>738</v>
      </c>
      <c r="B491" s="30" t="s">
        <v>17</v>
      </c>
      <c r="C491" s="30">
        <v>56</v>
      </c>
      <c r="D491" s="30" t="s">
        <v>41</v>
      </c>
      <c r="E491" s="30">
        <v>1000</v>
      </c>
      <c r="F491" s="30">
        <v>31</v>
      </c>
      <c r="G491" s="30" t="s">
        <v>710</v>
      </c>
      <c r="H491" s="42" t="s">
        <v>42</v>
      </c>
      <c r="I491" s="30" t="s">
        <v>20</v>
      </c>
      <c r="J491" s="31" t="s">
        <v>75</v>
      </c>
      <c r="K491" s="46" t="s">
        <v>402</v>
      </c>
      <c r="L491" s="1">
        <f t="shared" si="93"/>
        <v>42401.083333333336</v>
      </c>
      <c r="M491" s="43"/>
      <c r="N491" s="11">
        <f t="shared" si="95"/>
        <v>0.73857722929906378</v>
      </c>
      <c r="O491" s="11">
        <f t="shared" si="96"/>
        <v>0.91200000000000003</v>
      </c>
      <c r="P491" s="1">
        <f t="shared" si="97"/>
        <v>42400.499305555553</v>
      </c>
      <c r="Q491" s="12">
        <f t="shared" si="98"/>
        <v>1.2372611464890172E-2</v>
      </c>
    </row>
    <row r="492" spans="1:17" thickBot="1">
      <c r="A492" s="29" t="s">
        <v>739</v>
      </c>
      <c r="B492" s="30" t="s">
        <v>17</v>
      </c>
      <c r="C492" s="30">
        <v>56</v>
      </c>
      <c r="D492" s="30" t="s">
        <v>41</v>
      </c>
      <c r="E492" s="30">
        <v>1000</v>
      </c>
      <c r="F492" s="30">
        <v>31</v>
      </c>
      <c r="G492" s="30" t="s">
        <v>710</v>
      </c>
      <c r="H492" s="42" t="s">
        <v>42</v>
      </c>
      <c r="I492" s="30" t="s">
        <v>20</v>
      </c>
      <c r="J492" s="31" t="s">
        <v>75</v>
      </c>
      <c r="K492" s="46" t="s">
        <v>402</v>
      </c>
      <c r="L492" s="1">
        <f t="shared" si="93"/>
        <v>42401.122916666667</v>
      </c>
      <c r="M492" s="43"/>
      <c r="N492" s="11">
        <f t="shared" si="95"/>
        <v>0.72682324840799428</v>
      </c>
      <c r="O492" s="11">
        <f t="shared" si="96"/>
        <v>0.91200000000000003</v>
      </c>
      <c r="P492" s="1">
        <f t="shared" si="97"/>
        <v>42400.499305555553</v>
      </c>
      <c r="Q492" s="12">
        <f t="shared" si="98"/>
        <v>1.2372611464890172E-2</v>
      </c>
    </row>
    <row r="493" spans="1:17" thickBot="1">
      <c r="A493" s="29" t="s">
        <v>740</v>
      </c>
      <c r="B493" s="30" t="s">
        <v>17</v>
      </c>
      <c r="C493" s="30">
        <v>56</v>
      </c>
      <c r="D493" s="30" t="s">
        <v>41</v>
      </c>
      <c r="E493" s="30">
        <v>1000</v>
      </c>
      <c r="F493" s="30">
        <v>31</v>
      </c>
      <c r="G493" s="30" t="s">
        <v>710</v>
      </c>
      <c r="H493" s="42" t="s">
        <v>42</v>
      </c>
      <c r="I493" s="30" t="s">
        <v>20</v>
      </c>
      <c r="J493" s="31" t="s">
        <v>75</v>
      </c>
      <c r="K493" s="46" t="s">
        <v>402</v>
      </c>
      <c r="L493" s="1">
        <f t="shared" si="93"/>
        <v>42401.161805555559</v>
      </c>
      <c r="M493" s="43"/>
      <c r="N493" s="11">
        <f t="shared" si="95"/>
        <v>0.71527547770651789</v>
      </c>
      <c r="O493" s="11">
        <f t="shared" si="96"/>
        <v>0.91200000000000003</v>
      </c>
      <c r="P493" s="1">
        <f t="shared" si="97"/>
        <v>42400.499305555553</v>
      </c>
      <c r="Q493" s="12">
        <f t="shared" si="98"/>
        <v>1.2372611464890172E-2</v>
      </c>
    </row>
    <row r="494" spans="1:17" thickBot="1">
      <c r="A494" s="29" t="s">
        <v>741</v>
      </c>
      <c r="B494" s="30" t="s">
        <v>17</v>
      </c>
      <c r="C494" s="30">
        <v>56</v>
      </c>
      <c r="D494" s="30" t="s">
        <v>41</v>
      </c>
      <c r="E494" s="30">
        <v>1000</v>
      </c>
      <c r="F494" s="30">
        <v>31</v>
      </c>
      <c r="G494" s="30" t="s">
        <v>710</v>
      </c>
      <c r="H494" s="42" t="s">
        <v>42</v>
      </c>
      <c r="I494" s="30" t="s">
        <v>20</v>
      </c>
      <c r="J494" s="31" t="s">
        <v>75</v>
      </c>
      <c r="K494" s="46" t="s">
        <v>402</v>
      </c>
      <c r="L494" s="1">
        <f t="shared" si="93"/>
        <v>42401.201388888891</v>
      </c>
      <c r="M494" s="43"/>
      <c r="N494" s="11">
        <f t="shared" si="95"/>
        <v>0.7035214968154484</v>
      </c>
      <c r="O494" s="11">
        <f t="shared" si="96"/>
        <v>0.91200000000000003</v>
      </c>
      <c r="P494" s="1">
        <f t="shared" si="97"/>
        <v>42400.499305555553</v>
      </c>
      <c r="Q494" s="12">
        <f t="shared" si="98"/>
        <v>1.2372611464890172E-2</v>
      </c>
    </row>
    <row r="495" spans="1:17" thickBot="1">
      <c r="A495" s="29" t="s">
        <v>742</v>
      </c>
      <c r="B495" s="30" t="s">
        <v>17</v>
      </c>
      <c r="C495" s="30">
        <v>56</v>
      </c>
      <c r="D495" s="30" t="s">
        <v>41</v>
      </c>
      <c r="E495" s="30">
        <v>1000</v>
      </c>
      <c r="F495" s="30">
        <v>31</v>
      </c>
      <c r="G495" s="30" t="s">
        <v>710</v>
      </c>
      <c r="H495" s="42" t="s">
        <v>42</v>
      </c>
      <c r="I495" s="30" t="s">
        <v>20</v>
      </c>
      <c r="J495" s="31" t="s">
        <v>75</v>
      </c>
      <c r="K495" s="44" t="str">
        <f>IF(AND(N495&lt;0.7,N495&gt;0.2),"lev OK","lev BAD")</f>
        <v>lev OK</v>
      </c>
      <c r="L495" s="1">
        <f t="shared" si="93"/>
        <v>42401.240972222222</v>
      </c>
      <c r="M495" s="43"/>
      <c r="N495" s="11">
        <f t="shared" si="95"/>
        <v>0.6917675159243788</v>
      </c>
      <c r="O495" s="11">
        <f t="shared" si="96"/>
        <v>0.91200000000000003</v>
      </c>
      <c r="P495" s="1">
        <f t="shared" si="97"/>
        <v>42400.499305555553</v>
      </c>
      <c r="Q495" s="12">
        <f t="shared" si="98"/>
        <v>1.2372611464890172E-2</v>
      </c>
    </row>
    <row r="496" spans="1:17" thickBot="1">
      <c r="A496" s="29" t="s">
        <v>743</v>
      </c>
      <c r="B496" s="30" t="s">
        <v>17</v>
      </c>
      <c r="C496" s="30">
        <v>56</v>
      </c>
      <c r="D496" s="30" t="s">
        <v>41</v>
      </c>
      <c r="E496" s="30">
        <v>1000</v>
      </c>
      <c r="F496" s="30">
        <v>31</v>
      </c>
      <c r="G496" s="30" t="s">
        <v>710</v>
      </c>
      <c r="H496" s="42" t="s">
        <v>42</v>
      </c>
      <c r="I496" s="30" t="s">
        <v>20</v>
      </c>
      <c r="J496" s="31" t="s">
        <v>75</v>
      </c>
      <c r="K496" s="44" t="str">
        <f>IF(AND(N496&lt;0.7,N496&gt;0.2),"lev OK","lev BAD")</f>
        <v>lev OK</v>
      </c>
      <c r="L496" s="1">
        <f t="shared" si="93"/>
        <v>42401.279861111114</v>
      </c>
      <c r="M496" s="43"/>
      <c r="N496" s="11">
        <f t="shared" si="95"/>
        <v>0.68021974522290241</v>
      </c>
      <c r="O496" s="11">
        <f t="shared" si="96"/>
        <v>0.91200000000000003</v>
      </c>
      <c r="P496" s="1">
        <f t="shared" si="97"/>
        <v>42400.499305555553</v>
      </c>
      <c r="Q496" s="12">
        <f t="shared" si="98"/>
        <v>1.2372611464890172E-2</v>
      </c>
    </row>
    <row r="497" spans="1:17" thickBot="1">
      <c r="A497" s="29" t="s">
        <v>744</v>
      </c>
      <c r="B497" s="30" t="s">
        <v>17</v>
      </c>
      <c r="C497" s="30">
        <v>56</v>
      </c>
      <c r="D497" s="30" t="s">
        <v>41</v>
      </c>
      <c r="E497" s="30">
        <v>1000</v>
      </c>
      <c r="F497" s="30">
        <v>31</v>
      </c>
      <c r="G497" s="30" t="s">
        <v>710</v>
      </c>
      <c r="H497" s="42" t="s">
        <v>42</v>
      </c>
      <c r="I497" s="30" t="s">
        <v>20</v>
      </c>
      <c r="J497" s="31" t="s">
        <v>75</v>
      </c>
      <c r="K497" s="44" t="str">
        <f>IF(AND(N497&lt;0.7,N497&gt;0.2),"lev OK","lev BAD")</f>
        <v>lev OK</v>
      </c>
      <c r="L497" s="1">
        <f t="shared" si="93"/>
        <v>42401.319444444445</v>
      </c>
      <c r="M497" s="43"/>
      <c r="N497" s="11">
        <f t="shared" si="95"/>
        <v>0.66846576433183291</v>
      </c>
      <c r="O497" s="11">
        <f t="shared" si="96"/>
        <v>0.91200000000000003</v>
      </c>
      <c r="P497" s="1">
        <f t="shared" si="97"/>
        <v>42400.499305555553</v>
      </c>
      <c r="Q497" s="12">
        <f t="shared" si="98"/>
        <v>1.2372611464890172E-2</v>
      </c>
    </row>
    <row r="498" spans="1:17" thickBot="1">
      <c r="A498" s="29" t="s">
        <v>745</v>
      </c>
      <c r="B498" s="30" t="s">
        <v>17</v>
      </c>
      <c r="C498" s="30">
        <v>56</v>
      </c>
      <c r="D498" s="30" t="s">
        <v>41</v>
      </c>
      <c r="E498" s="30">
        <v>1000</v>
      </c>
      <c r="F498" s="30">
        <v>31</v>
      </c>
      <c r="G498" s="30" t="s">
        <v>629</v>
      </c>
      <c r="H498" s="42" t="s">
        <v>19</v>
      </c>
      <c r="I498" s="30" t="s">
        <v>20</v>
      </c>
      <c r="J498" s="31" t="s">
        <v>75</v>
      </c>
    </row>
    <row r="499" spans="1:17" thickBot="1">
      <c r="A499" s="29" t="s">
        <v>746</v>
      </c>
      <c r="B499" s="30" t="s">
        <v>17</v>
      </c>
      <c r="C499" s="30">
        <v>56</v>
      </c>
      <c r="D499" s="30" t="s">
        <v>41</v>
      </c>
      <c r="E499" s="30">
        <v>1000</v>
      </c>
      <c r="F499" s="30">
        <v>31</v>
      </c>
      <c r="G499" s="30" t="s">
        <v>629</v>
      </c>
      <c r="H499" s="42" t="s">
        <v>19</v>
      </c>
      <c r="I499" s="30" t="s">
        <v>20</v>
      </c>
      <c r="J499" s="31" t="s">
        <v>75</v>
      </c>
    </row>
    <row r="500" spans="1:17" thickBot="1">
      <c r="A500" s="29" t="s">
        <v>747</v>
      </c>
      <c r="B500" s="30" t="s">
        <v>17</v>
      </c>
      <c r="C500" s="30">
        <v>56</v>
      </c>
      <c r="D500" s="30" t="s">
        <v>41</v>
      </c>
      <c r="E500" s="30">
        <v>1000</v>
      </c>
      <c r="F500" s="30">
        <v>31</v>
      </c>
      <c r="G500" s="30" t="s">
        <v>566</v>
      </c>
      <c r="H500" s="42" t="s">
        <v>19</v>
      </c>
      <c r="I500" s="30" t="s">
        <v>20</v>
      </c>
      <c r="J500" s="31" t="s">
        <v>75</v>
      </c>
    </row>
    <row r="501" spans="1:17" thickBot="1">
      <c r="A501" s="29" t="s">
        <v>748</v>
      </c>
      <c r="B501" s="30" t="s">
        <v>17</v>
      </c>
      <c r="C501" s="30">
        <v>56</v>
      </c>
      <c r="D501" s="30" t="s">
        <v>41</v>
      </c>
      <c r="E501" s="30">
        <v>1000</v>
      </c>
      <c r="F501" s="30">
        <v>31</v>
      </c>
      <c r="G501" s="30" t="s">
        <v>566</v>
      </c>
      <c r="H501" s="42" t="s">
        <v>19</v>
      </c>
      <c r="I501" s="30" t="s">
        <v>20</v>
      </c>
      <c r="J501" s="31" t="s">
        <v>75</v>
      </c>
    </row>
    <row r="502" spans="1:17" thickBot="1">
      <c r="A502" s="29" t="s">
        <v>749</v>
      </c>
      <c r="B502" s="30" t="s">
        <v>17</v>
      </c>
      <c r="C502" s="30">
        <v>56</v>
      </c>
      <c r="D502" s="30" t="s">
        <v>41</v>
      </c>
      <c r="E502" s="30">
        <v>1000</v>
      </c>
      <c r="F502" s="30">
        <v>31</v>
      </c>
      <c r="G502" s="30" t="s">
        <v>566</v>
      </c>
      <c r="H502" s="42" t="s">
        <v>19</v>
      </c>
      <c r="I502" s="30" t="s">
        <v>20</v>
      </c>
      <c r="J502" s="31" t="s">
        <v>75</v>
      </c>
    </row>
    <row r="503" spans="1:17" thickBot="1">
      <c r="A503" s="29" t="s">
        <v>750</v>
      </c>
      <c r="B503" s="30" t="s">
        <v>17</v>
      </c>
      <c r="C503" s="30">
        <v>56</v>
      </c>
      <c r="D503" s="30" t="s">
        <v>41</v>
      </c>
      <c r="E503" s="30">
        <v>1000</v>
      </c>
      <c r="F503" s="30">
        <v>31</v>
      </c>
      <c r="G503" s="30" t="s">
        <v>566</v>
      </c>
      <c r="H503" s="42" t="s">
        <v>19</v>
      </c>
      <c r="I503" s="30" t="s">
        <v>20</v>
      </c>
      <c r="J503" s="31" t="s">
        <v>75</v>
      </c>
    </row>
    <row r="504" spans="1:17" thickBot="1">
      <c r="A504" s="29" t="s">
        <v>751</v>
      </c>
      <c r="B504" s="30" t="s">
        <v>17</v>
      </c>
      <c r="C504" s="30">
        <v>56</v>
      </c>
      <c r="D504" s="30" t="s">
        <v>41</v>
      </c>
      <c r="E504" s="30">
        <v>1000</v>
      </c>
      <c r="F504" s="30">
        <v>31</v>
      </c>
      <c r="G504" s="30" t="s">
        <v>566</v>
      </c>
      <c r="H504" s="42" t="s">
        <v>19</v>
      </c>
      <c r="I504" s="30" t="s">
        <v>20</v>
      </c>
      <c r="J504" s="31" t="s">
        <v>75</v>
      </c>
    </row>
    <row r="505" spans="1:17" thickBot="1">
      <c r="A505" s="29" t="s">
        <v>752</v>
      </c>
      <c r="B505" s="30" t="s">
        <v>17</v>
      </c>
      <c r="C505" s="30">
        <v>56</v>
      </c>
      <c r="D505" s="30" t="s">
        <v>41</v>
      </c>
      <c r="E505" s="30">
        <v>1000</v>
      </c>
      <c r="F505" s="30">
        <v>31</v>
      </c>
      <c r="G505" s="30" t="s">
        <v>566</v>
      </c>
      <c r="H505" s="42" t="s">
        <v>19</v>
      </c>
      <c r="I505" s="30" t="s">
        <v>20</v>
      </c>
      <c r="J505" s="31" t="s">
        <v>75</v>
      </c>
    </row>
    <row r="506" spans="1:17" thickBot="1">
      <c r="A506" s="29" t="s">
        <v>753</v>
      </c>
      <c r="B506" s="30" t="s">
        <v>17</v>
      </c>
      <c r="C506" s="30">
        <v>56</v>
      </c>
      <c r="D506" s="30" t="s">
        <v>41</v>
      </c>
      <c r="E506" s="30">
        <v>1000</v>
      </c>
      <c r="F506" s="30">
        <v>31</v>
      </c>
      <c r="G506" s="30" t="s">
        <v>566</v>
      </c>
      <c r="H506" s="42" t="s">
        <v>19</v>
      </c>
      <c r="I506" s="30" t="s">
        <v>20</v>
      </c>
      <c r="J506" s="31" t="s">
        <v>75</v>
      </c>
    </row>
    <row r="507" spans="1:17" thickBot="1">
      <c r="A507" s="29" t="s">
        <v>754</v>
      </c>
      <c r="B507" s="30" t="s">
        <v>17</v>
      </c>
      <c r="C507" s="30">
        <v>56</v>
      </c>
      <c r="D507" s="30" t="s">
        <v>41</v>
      </c>
      <c r="E507" s="30">
        <v>1000</v>
      </c>
      <c r="F507" s="30">
        <v>31</v>
      </c>
      <c r="G507" s="30" t="s">
        <v>566</v>
      </c>
      <c r="H507" s="42" t="s">
        <v>19</v>
      </c>
      <c r="I507" s="30" t="s">
        <v>20</v>
      </c>
      <c r="J507" s="31" t="s">
        <v>75</v>
      </c>
    </row>
    <row r="508" spans="1:17" thickBot="1">
      <c r="A508" s="29" t="s">
        <v>755</v>
      </c>
      <c r="B508" s="30" t="s">
        <v>17</v>
      </c>
      <c r="C508" s="30">
        <v>56</v>
      </c>
      <c r="D508" s="30" t="s">
        <v>41</v>
      </c>
      <c r="E508" s="30">
        <v>1000</v>
      </c>
      <c r="F508" s="30">
        <v>31</v>
      </c>
      <c r="G508" s="30" t="s">
        <v>566</v>
      </c>
      <c r="H508" s="42" t="s">
        <v>19</v>
      </c>
      <c r="I508" s="30" t="s">
        <v>20</v>
      </c>
      <c r="J508" s="31" t="s">
        <v>75</v>
      </c>
    </row>
    <row r="509" spans="1:17" thickBot="1">
      <c r="A509" s="29" t="s">
        <v>756</v>
      </c>
      <c r="B509" s="30" t="s">
        <v>17</v>
      </c>
      <c r="C509" s="30">
        <v>56</v>
      </c>
      <c r="D509" s="30" t="s">
        <v>41</v>
      </c>
      <c r="E509" s="30">
        <v>1000</v>
      </c>
      <c r="F509" s="30">
        <v>31</v>
      </c>
      <c r="G509" s="30" t="s">
        <v>566</v>
      </c>
      <c r="H509" s="42" t="s">
        <v>19</v>
      </c>
      <c r="I509" s="30" t="s">
        <v>20</v>
      </c>
      <c r="J509" s="31" t="s">
        <v>75</v>
      </c>
    </row>
    <row r="510" spans="1:17" thickBot="1">
      <c r="A510" s="29" t="s">
        <v>757</v>
      </c>
      <c r="B510" s="30" t="s">
        <v>17</v>
      </c>
      <c r="C510" s="30">
        <v>56</v>
      </c>
      <c r="D510" s="30" t="s">
        <v>41</v>
      </c>
      <c r="E510" s="30">
        <v>1000</v>
      </c>
      <c r="F510" s="30">
        <v>31</v>
      </c>
      <c r="G510" s="30" t="s">
        <v>566</v>
      </c>
      <c r="H510" s="42" t="s">
        <v>19</v>
      </c>
      <c r="I510" s="30" t="s">
        <v>20</v>
      </c>
      <c r="J510" s="31" t="s">
        <v>245</v>
      </c>
    </row>
    <row r="511" spans="1:17" thickBot="1">
      <c r="A511" s="29" t="s">
        <v>758</v>
      </c>
      <c r="B511" s="30" t="s">
        <v>17</v>
      </c>
      <c r="C511" s="30">
        <v>56</v>
      </c>
      <c r="D511" s="30" t="s">
        <v>41</v>
      </c>
      <c r="E511" s="30">
        <v>1000</v>
      </c>
      <c r="F511" s="30">
        <v>31</v>
      </c>
      <c r="G511" s="30" t="s">
        <v>566</v>
      </c>
      <c r="H511" s="42" t="s">
        <v>19</v>
      </c>
      <c r="I511" s="30" t="s">
        <v>20</v>
      </c>
      <c r="J511" s="31" t="s">
        <v>75</v>
      </c>
    </row>
    <row r="512" spans="1:17" thickBot="1">
      <c r="A512" s="29" t="s">
        <v>759</v>
      </c>
      <c r="B512" s="30" t="s">
        <v>17</v>
      </c>
      <c r="C512" s="30">
        <v>56</v>
      </c>
      <c r="D512" s="30" t="s">
        <v>41</v>
      </c>
      <c r="E512" s="30">
        <v>1000</v>
      </c>
      <c r="F512" s="30">
        <v>31</v>
      </c>
      <c r="G512" s="30" t="s">
        <v>566</v>
      </c>
      <c r="H512" s="42" t="s">
        <v>19</v>
      </c>
      <c r="I512" s="30" t="s">
        <v>20</v>
      </c>
      <c r="J512" s="31" t="s">
        <v>75</v>
      </c>
    </row>
    <row r="513" spans="1:10" thickBot="1">
      <c r="A513" s="29" t="s">
        <v>760</v>
      </c>
      <c r="B513" s="30" t="s">
        <v>17</v>
      </c>
      <c r="C513" s="30">
        <v>56</v>
      </c>
      <c r="D513" s="30" t="s">
        <v>41</v>
      </c>
      <c r="E513" s="30">
        <v>1000</v>
      </c>
      <c r="F513" s="30">
        <v>31</v>
      </c>
      <c r="G513" s="30" t="s">
        <v>566</v>
      </c>
      <c r="H513" s="42" t="s">
        <v>19</v>
      </c>
      <c r="I513" s="30" t="s">
        <v>20</v>
      </c>
      <c r="J513" s="31" t="s">
        <v>75</v>
      </c>
    </row>
    <row r="514" spans="1:10" thickBot="1">
      <c r="A514" s="29" t="s">
        <v>761</v>
      </c>
      <c r="B514" s="30" t="s">
        <v>17</v>
      </c>
      <c r="C514" s="30">
        <v>56</v>
      </c>
      <c r="D514" s="30" t="s">
        <v>41</v>
      </c>
      <c r="E514" s="30">
        <v>1000</v>
      </c>
      <c r="F514" s="30">
        <v>31</v>
      </c>
      <c r="G514" s="30" t="s">
        <v>566</v>
      </c>
      <c r="H514" s="42" t="s">
        <v>19</v>
      </c>
      <c r="I514" s="30" t="s">
        <v>20</v>
      </c>
      <c r="J514" s="31" t="s">
        <v>75</v>
      </c>
    </row>
    <row r="515" spans="1:10" thickBot="1">
      <c r="A515" s="29" t="s">
        <v>762</v>
      </c>
      <c r="B515" s="30" t="s">
        <v>17</v>
      </c>
      <c r="C515" s="30">
        <v>56</v>
      </c>
      <c r="D515" s="30" t="s">
        <v>41</v>
      </c>
      <c r="E515" s="30">
        <v>1000</v>
      </c>
      <c r="F515" s="30">
        <v>31</v>
      </c>
      <c r="G515" s="30" t="s">
        <v>629</v>
      </c>
      <c r="H515" s="42" t="s">
        <v>19</v>
      </c>
      <c r="I515" s="30" t="s">
        <v>20</v>
      </c>
      <c r="J515" s="31" t="s">
        <v>75</v>
      </c>
    </row>
    <row r="516" spans="1:10" thickBot="1">
      <c r="A516" s="29" t="s">
        <v>763</v>
      </c>
      <c r="B516" s="30" t="s">
        <v>17</v>
      </c>
      <c r="C516" s="30">
        <v>56</v>
      </c>
      <c r="D516" s="30" t="s">
        <v>41</v>
      </c>
      <c r="E516" s="30">
        <v>10</v>
      </c>
      <c r="F516" s="30">
        <v>4</v>
      </c>
      <c r="G516" s="30" t="s">
        <v>191</v>
      </c>
      <c r="H516" s="42" t="s">
        <v>42</v>
      </c>
      <c r="I516" s="30" t="s">
        <v>20</v>
      </c>
      <c r="J516" s="31" t="s">
        <v>75</v>
      </c>
    </row>
    <row r="517" spans="1:10" thickBot="1">
      <c r="A517" s="29" t="s">
        <v>764</v>
      </c>
      <c r="B517" s="30" t="s">
        <v>17</v>
      </c>
      <c r="C517" s="30">
        <v>56</v>
      </c>
      <c r="D517" s="30" t="s">
        <v>41</v>
      </c>
      <c r="E517" s="30">
        <v>10</v>
      </c>
      <c r="F517" s="30">
        <v>3</v>
      </c>
      <c r="G517" s="30" t="s">
        <v>191</v>
      </c>
      <c r="H517" s="42" t="s">
        <v>19</v>
      </c>
      <c r="I517" s="30" t="s">
        <v>20</v>
      </c>
      <c r="J517" s="31" t="s">
        <v>75</v>
      </c>
    </row>
    <row r="518" spans="1:10" thickBot="1">
      <c r="A518" s="29" t="s">
        <v>765</v>
      </c>
      <c r="B518" s="30" t="s">
        <v>17</v>
      </c>
      <c r="C518" s="30">
        <v>56</v>
      </c>
      <c r="D518" s="30" t="s">
        <v>41</v>
      </c>
      <c r="E518" s="30">
        <v>10</v>
      </c>
      <c r="F518" s="30">
        <v>9</v>
      </c>
      <c r="G518" s="30" t="s">
        <v>191</v>
      </c>
      <c r="H518" s="42" t="s">
        <v>19</v>
      </c>
      <c r="I518" s="30" t="s">
        <v>20</v>
      </c>
      <c r="J518" s="31" t="s">
        <v>75</v>
      </c>
    </row>
    <row r="519" spans="1:10" thickBot="1">
      <c r="A519" s="29" t="s">
        <v>766</v>
      </c>
      <c r="B519" s="30" t="s">
        <v>17</v>
      </c>
      <c r="C519" s="30">
        <v>56</v>
      </c>
      <c r="D519" s="30" t="s">
        <v>41</v>
      </c>
      <c r="E519" s="30">
        <v>10</v>
      </c>
      <c r="F519" s="30" t="s">
        <v>41</v>
      </c>
      <c r="G519" s="30" t="s">
        <v>191</v>
      </c>
      <c r="H519" s="42" t="s">
        <v>19</v>
      </c>
      <c r="I519" s="30" t="s">
        <v>20</v>
      </c>
      <c r="J519" s="31" t="s">
        <v>75</v>
      </c>
    </row>
    <row r="520" spans="1:10" thickBot="1">
      <c r="A520" s="29" t="s">
        <v>767</v>
      </c>
      <c r="B520" s="30" t="s">
        <v>17</v>
      </c>
      <c r="C520" s="30">
        <v>56</v>
      </c>
      <c r="D520" s="30" t="s">
        <v>41</v>
      </c>
      <c r="E520" s="30">
        <v>10</v>
      </c>
      <c r="F520" s="30">
        <v>7</v>
      </c>
      <c r="G520" s="30" t="s">
        <v>191</v>
      </c>
      <c r="H520" s="42" t="s">
        <v>19</v>
      </c>
      <c r="I520" s="30" t="s">
        <v>20</v>
      </c>
      <c r="J520" s="31" t="s">
        <v>75</v>
      </c>
    </row>
    <row r="521" spans="1:10" thickBot="1">
      <c r="A521" s="29" t="s">
        <v>768</v>
      </c>
      <c r="B521" s="30" t="s">
        <v>17</v>
      </c>
      <c r="C521" s="30">
        <v>56</v>
      </c>
      <c r="D521" s="30" t="s">
        <v>41</v>
      </c>
      <c r="E521" s="30">
        <v>10</v>
      </c>
      <c r="F521" s="30">
        <v>67</v>
      </c>
      <c r="G521" s="30" t="s">
        <v>191</v>
      </c>
      <c r="H521" s="42" t="s">
        <v>19</v>
      </c>
      <c r="I521" s="30" t="s">
        <v>20</v>
      </c>
      <c r="J521" s="31" t="s">
        <v>75</v>
      </c>
    </row>
    <row r="522" spans="1:10" thickBot="1">
      <c r="A522" s="29" t="s">
        <v>769</v>
      </c>
      <c r="B522" s="30" t="s">
        <v>17</v>
      </c>
      <c r="C522" s="30">
        <v>56</v>
      </c>
      <c r="D522" s="30" t="s">
        <v>41</v>
      </c>
      <c r="E522" s="30">
        <v>10</v>
      </c>
      <c r="F522" s="30">
        <v>45</v>
      </c>
      <c r="G522" s="30" t="s">
        <v>191</v>
      </c>
      <c r="H522" s="42" t="s">
        <v>19</v>
      </c>
      <c r="I522" s="30" t="s">
        <v>20</v>
      </c>
      <c r="J522" s="31" t="s">
        <v>75</v>
      </c>
    </row>
    <row r="523" spans="1:10" thickBot="1">
      <c r="A523" s="29" t="s">
        <v>770</v>
      </c>
      <c r="B523" s="30" t="s">
        <v>17</v>
      </c>
      <c r="C523" s="30">
        <v>56</v>
      </c>
      <c r="D523" s="30" t="s">
        <v>41</v>
      </c>
      <c r="E523" s="30">
        <v>10</v>
      </c>
      <c r="F523" s="30">
        <v>1</v>
      </c>
      <c r="G523" s="30" t="s">
        <v>191</v>
      </c>
      <c r="H523" s="42" t="s">
        <v>19</v>
      </c>
      <c r="I523" s="30" t="s">
        <v>20</v>
      </c>
      <c r="J523" s="31" t="s">
        <v>75</v>
      </c>
    </row>
    <row r="524" spans="1:10" thickBot="1">
      <c r="A524" s="29" t="s">
        <v>771</v>
      </c>
      <c r="B524" s="30" t="s">
        <v>17</v>
      </c>
      <c r="C524" s="30">
        <v>56</v>
      </c>
      <c r="D524" s="30" t="s">
        <v>41</v>
      </c>
      <c r="E524" s="30">
        <v>10</v>
      </c>
      <c r="F524" s="30">
        <v>18</v>
      </c>
      <c r="G524" s="30" t="s">
        <v>191</v>
      </c>
      <c r="H524" s="42" t="s">
        <v>19</v>
      </c>
      <c r="I524" s="30" t="s">
        <v>20</v>
      </c>
      <c r="J524" s="31" t="s">
        <v>75</v>
      </c>
    </row>
    <row r="525" spans="1:10" thickBot="1">
      <c r="A525" s="29" t="s">
        <v>772</v>
      </c>
      <c r="B525" s="30" t="s">
        <v>17</v>
      </c>
      <c r="C525" s="30">
        <v>56</v>
      </c>
      <c r="D525" s="30" t="s">
        <v>41</v>
      </c>
      <c r="E525" s="30">
        <v>10</v>
      </c>
      <c r="F525" s="30">
        <v>4</v>
      </c>
      <c r="G525" s="30" t="s">
        <v>191</v>
      </c>
      <c r="H525" s="42" t="s">
        <v>42</v>
      </c>
      <c r="I525" s="30" t="s">
        <v>20</v>
      </c>
      <c r="J525" s="31" t="s">
        <v>75</v>
      </c>
    </row>
    <row r="526" spans="1:10" thickBot="1">
      <c r="A526" s="29" t="s">
        <v>773</v>
      </c>
      <c r="B526" s="30" t="s">
        <v>17</v>
      </c>
      <c r="C526" s="30">
        <v>56</v>
      </c>
      <c r="D526" s="30" t="s">
        <v>41</v>
      </c>
      <c r="E526" s="30">
        <v>10</v>
      </c>
      <c r="F526" s="30">
        <v>9</v>
      </c>
      <c r="G526" s="30" t="s">
        <v>191</v>
      </c>
      <c r="H526" s="42" t="s">
        <v>19</v>
      </c>
      <c r="I526" s="30" t="s">
        <v>20</v>
      </c>
      <c r="J526" s="31" t="s">
        <v>75</v>
      </c>
    </row>
    <row r="527" spans="1:10" thickBot="1">
      <c r="A527" s="29" t="s">
        <v>774</v>
      </c>
      <c r="B527" s="30" t="s">
        <v>17</v>
      </c>
      <c r="C527" s="30">
        <v>56</v>
      </c>
      <c r="D527" s="30" t="s">
        <v>41</v>
      </c>
      <c r="E527" s="30">
        <v>10</v>
      </c>
      <c r="F527" s="30">
        <v>7</v>
      </c>
      <c r="G527" s="30" t="s">
        <v>191</v>
      </c>
      <c r="H527" s="42" t="s">
        <v>19</v>
      </c>
      <c r="I527" s="30" t="s">
        <v>20</v>
      </c>
      <c r="J527" s="31" t="s">
        <v>75</v>
      </c>
    </row>
    <row r="528" spans="1:10" thickBot="1">
      <c r="A528" s="29" t="s">
        <v>775</v>
      </c>
      <c r="B528" s="30" t="s">
        <v>17</v>
      </c>
      <c r="C528" s="30">
        <v>56</v>
      </c>
      <c r="D528" s="30" t="s">
        <v>41</v>
      </c>
      <c r="E528" s="30">
        <v>1000</v>
      </c>
      <c r="F528" s="30">
        <v>31</v>
      </c>
      <c r="G528" s="30" t="s">
        <v>566</v>
      </c>
      <c r="H528" s="42" t="s">
        <v>19</v>
      </c>
      <c r="I528" s="30" t="s">
        <v>20</v>
      </c>
      <c r="J528" s="31" t="s">
        <v>75</v>
      </c>
    </row>
    <row r="529" spans="1:10" thickBot="1">
      <c r="A529" s="29" t="s">
        <v>776</v>
      </c>
      <c r="B529" s="30" t="s">
        <v>17</v>
      </c>
      <c r="C529" s="30">
        <v>56</v>
      </c>
      <c r="D529" s="30" t="s">
        <v>41</v>
      </c>
      <c r="E529" s="30">
        <v>1000</v>
      </c>
      <c r="F529" s="30">
        <v>31</v>
      </c>
      <c r="G529" s="30" t="s">
        <v>566</v>
      </c>
      <c r="H529" s="42" t="s">
        <v>19</v>
      </c>
      <c r="I529" s="30" t="s">
        <v>20</v>
      </c>
      <c r="J529" s="31" t="s">
        <v>75</v>
      </c>
    </row>
    <row r="530" spans="1:10" thickBot="1">
      <c r="A530" s="29" t="s">
        <v>777</v>
      </c>
      <c r="B530" s="30" t="s">
        <v>17</v>
      </c>
      <c r="C530" s="30">
        <v>56</v>
      </c>
      <c r="D530" s="30" t="s">
        <v>41</v>
      </c>
      <c r="E530" s="30">
        <v>1000</v>
      </c>
      <c r="F530" s="30">
        <v>31</v>
      </c>
      <c r="G530" s="30" t="s">
        <v>566</v>
      </c>
      <c r="H530" s="42" t="s">
        <v>19</v>
      </c>
      <c r="I530" s="30" t="s">
        <v>20</v>
      </c>
      <c r="J530" s="31" t="s">
        <v>75</v>
      </c>
    </row>
    <row r="531" spans="1:10" thickBot="1">
      <c r="A531" s="29" t="s">
        <v>778</v>
      </c>
      <c r="B531" s="30" t="s">
        <v>17</v>
      </c>
      <c r="C531" s="30">
        <v>56</v>
      </c>
      <c r="D531" s="30" t="s">
        <v>41</v>
      </c>
      <c r="E531" s="30">
        <v>1000</v>
      </c>
      <c r="F531" s="30">
        <v>31</v>
      </c>
      <c r="G531" s="30" t="s">
        <v>566</v>
      </c>
      <c r="H531" s="42" t="s">
        <v>19</v>
      </c>
      <c r="I531" s="30" t="s">
        <v>20</v>
      </c>
      <c r="J531" s="31" t="s">
        <v>75</v>
      </c>
    </row>
    <row r="532" spans="1:10" thickBot="1">
      <c r="A532" s="29" t="s">
        <v>779</v>
      </c>
      <c r="B532" s="30" t="s">
        <v>17</v>
      </c>
      <c r="C532" s="30">
        <v>56</v>
      </c>
      <c r="D532" s="30" t="s">
        <v>41</v>
      </c>
      <c r="E532" s="30">
        <v>1000</v>
      </c>
      <c r="F532" s="30">
        <v>31</v>
      </c>
      <c r="G532" s="30" t="s">
        <v>566</v>
      </c>
      <c r="H532" s="42" t="s">
        <v>19</v>
      </c>
      <c r="I532" s="30" t="s">
        <v>20</v>
      </c>
      <c r="J532" s="31" t="s">
        <v>75</v>
      </c>
    </row>
    <row r="533" spans="1:10" thickBot="1">
      <c r="A533" s="29" t="s">
        <v>780</v>
      </c>
      <c r="B533" s="30" t="s">
        <v>17</v>
      </c>
      <c r="C533" s="30">
        <v>56</v>
      </c>
      <c r="D533" s="30" t="s">
        <v>41</v>
      </c>
      <c r="E533" s="30">
        <v>1000</v>
      </c>
      <c r="F533" s="30">
        <v>31</v>
      </c>
      <c r="G533" s="30" t="s">
        <v>566</v>
      </c>
      <c r="H533" s="42" t="s">
        <v>19</v>
      </c>
      <c r="I533" s="30" t="s">
        <v>20</v>
      </c>
      <c r="J533" s="31" t="s">
        <v>75</v>
      </c>
    </row>
    <row r="534" spans="1:10" thickBot="1">
      <c r="A534" s="29" t="s">
        <v>781</v>
      </c>
      <c r="B534" s="30" t="s">
        <v>17</v>
      </c>
      <c r="C534" s="30">
        <v>56</v>
      </c>
      <c r="D534" s="30" t="s">
        <v>41</v>
      </c>
      <c r="E534" s="30">
        <v>1000</v>
      </c>
      <c r="F534" s="30">
        <v>31</v>
      </c>
      <c r="G534" s="30" t="s">
        <v>566</v>
      </c>
      <c r="H534" s="42" t="s">
        <v>19</v>
      </c>
      <c r="I534" s="30" t="s">
        <v>20</v>
      </c>
      <c r="J534" s="31" t="s">
        <v>75</v>
      </c>
    </row>
    <row r="535" spans="1:10" thickBot="1">
      <c r="A535" s="29" t="s">
        <v>782</v>
      </c>
      <c r="B535" s="30" t="s">
        <v>17</v>
      </c>
      <c r="C535" s="30">
        <v>56</v>
      </c>
      <c r="D535" s="30" t="s">
        <v>41</v>
      </c>
      <c r="E535" s="30">
        <v>1000</v>
      </c>
      <c r="F535" s="30">
        <v>31</v>
      </c>
      <c r="G535" s="30" t="s">
        <v>566</v>
      </c>
      <c r="H535" s="42" t="s">
        <v>19</v>
      </c>
      <c r="I535" s="30" t="s">
        <v>20</v>
      </c>
      <c r="J535" s="31" t="s">
        <v>75</v>
      </c>
    </row>
    <row r="536" spans="1:10" thickBot="1">
      <c r="A536" s="29" t="s">
        <v>783</v>
      </c>
      <c r="B536" s="30" t="s">
        <v>17</v>
      </c>
      <c r="C536" s="30">
        <v>56</v>
      </c>
      <c r="D536" s="30" t="s">
        <v>41</v>
      </c>
      <c r="E536" s="30">
        <v>1000</v>
      </c>
      <c r="F536" s="30">
        <v>31</v>
      </c>
      <c r="G536" s="30" t="s">
        <v>566</v>
      </c>
      <c r="H536" s="42" t="s">
        <v>19</v>
      </c>
      <c r="I536" s="30" t="s">
        <v>20</v>
      </c>
      <c r="J536" s="31" t="s">
        <v>75</v>
      </c>
    </row>
    <row r="537" spans="1:10" thickBot="1">
      <c r="A537" s="29" t="s">
        <v>784</v>
      </c>
      <c r="B537" s="30" t="s">
        <v>17</v>
      </c>
      <c r="C537" s="30">
        <v>56</v>
      </c>
      <c r="D537" s="30" t="s">
        <v>41</v>
      </c>
      <c r="E537" s="30">
        <v>1000</v>
      </c>
      <c r="F537" s="30">
        <v>31</v>
      </c>
      <c r="G537" s="30" t="s">
        <v>566</v>
      </c>
      <c r="H537" s="42" t="s">
        <v>19</v>
      </c>
      <c r="I537" s="30" t="s">
        <v>20</v>
      </c>
      <c r="J537" s="31" t="s">
        <v>75</v>
      </c>
    </row>
    <row r="538" spans="1:10" thickBot="1">
      <c r="A538" s="29" t="s">
        <v>785</v>
      </c>
      <c r="B538" s="30" t="s">
        <v>17</v>
      </c>
      <c r="C538" s="30">
        <v>56</v>
      </c>
      <c r="D538" s="30" t="s">
        <v>41</v>
      </c>
      <c r="E538" s="30">
        <v>1000</v>
      </c>
      <c r="F538" s="30">
        <v>31</v>
      </c>
      <c r="G538" s="30" t="s">
        <v>566</v>
      </c>
      <c r="H538" s="42" t="s">
        <v>19</v>
      </c>
      <c r="I538" s="30" t="s">
        <v>20</v>
      </c>
      <c r="J538" s="31" t="s">
        <v>75</v>
      </c>
    </row>
    <row r="539" spans="1:10" thickBot="1">
      <c r="A539" s="29" t="s">
        <v>786</v>
      </c>
      <c r="B539" s="30" t="s">
        <v>17</v>
      </c>
      <c r="C539" s="30">
        <v>56</v>
      </c>
      <c r="D539" s="30" t="s">
        <v>41</v>
      </c>
      <c r="E539" s="30">
        <v>1000</v>
      </c>
      <c r="F539" s="30">
        <v>31</v>
      </c>
      <c r="G539" s="30" t="s">
        <v>566</v>
      </c>
      <c r="H539" s="42" t="s">
        <v>19</v>
      </c>
      <c r="I539" s="30" t="s">
        <v>20</v>
      </c>
      <c r="J539" s="31" t="s">
        <v>75</v>
      </c>
    </row>
    <row r="540" spans="1:10" thickBot="1">
      <c r="A540" s="29" t="s">
        <v>787</v>
      </c>
      <c r="B540" s="30" t="s">
        <v>17</v>
      </c>
      <c r="C540" s="30">
        <v>56</v>
      </c>
      <c r="D540" s="30" t="s">
        <v>41</v>
      </c>
      <c r="E540" s="30">
        <v>1000</v>
      </c>
      <c r="F540" s="30">
        <v>31</v>
      </c>
      <c r="G540" s="30" t="s">
        <v>566</v>
      </c>
      <c r="H540" s="42" t="s">
        <v>19</v>
      </c>
      <c r="I540" s="30" t="s">
        <v>20</v>
      </c>
      <c r="J540" s="31" t="s">
        <v>75</v>
      </c>
    </row>
    <row r="541" spans="1:10" thickBot="1">
      <c r="A541" s="29" t="s">
        <v>788</v>
      </c>
      <c r="B541" s="30" t="s">
        <v>17</v>
      </c>
      <c r="C541" s="30">
        <v>56</v>
      </c>
      <c r="D541" s="30" t="s">
        <v>41</v>
      </c>
      <c r="E541" s="30">
        <v>1000</v>
      </c>
      <c r="F541" s="30">
        <v>31</v>
      </c>
      <c r="G541" s="30" t="s">
        <v>566</v>
      </c>
      <c r="H541" s="42" t="s">
        <v>19</v>
      </c>
      <c r="I541" s="30" t="s">
        <v>20</v>
      </c>
      <c r="J541" s="31" t="s">
        <v>75</v>
      </c>
    </row>
    <row r="542" spans="1:10" thickBot="1">
      <c r="A542" s="29" t="s">
        <v>789</v>
      </c>
      <c r="B542" s="30" t="s">
        <v>17</v>
      </c>
      <c r="C542" s="30">
        <v>56</v>
      </c>
      <c r="D542" s="30" t="s">
        <v>41</v>
      </c>
      <c r="E542" s="30">
        <v>1000</v>
      </c>
      <c r="F542" s="30">
        <v>31</v>
      </c>
      <c r="G542" s="30" t="s">
        <v>566</v>
      </c>
      <c r="H542" s="42" t="s">
        <v>19</v>
      </c>
      <c r="I542" s="30" t="s">
        <v>20</v>
      </c>
      <c r="J542" s="31" t="s">
        <v>75</v>
      </c>
    </row>
    <row r="543" spans="1:10" thickBot="1">
      <c r="A543" s="29" t="s">
        <v>790</v>
      </c>
      <c r="B543" s="30" t="s">
        <v>17</v>
      </c>
      <c r="C543" s="30">
        <v>56</v>
      </c>
      <c r="D543" s="30" t="s">
        <v>41</v>
      </c>
      <c r="E543" s="30">
        <v>1000</v>
      </c>
      <c r="F543" s="30">
        <v>31</v>
      </c>
      <c r="G543" s="30" t="s">
        <v>629</v>
      </c>
      <c r="H543" s="42" t="s">
        <v>19</v>
      </c>
      <c r="I543" s="30" t="s">
        <v>20</v>
      </c>
      <c r="J543" s="31" t="s">
        <v>75</v>
      </c>
    </row>
    <row r="544" spans="1:10" thickBot="1">
      <c r="A544" s="29" t="s">
        <v>791</v>
      </c>
      <c r="B544" s="30" t="s">
        <v>17</v>
      </c>
      <c r="C544" s="30">
        <v>56</v>
      </c>
      <c r="D544" s="30" t="s">
        <v>41</v>
      </c>
      <c r="E544" s="30">
        <v>10</v>
      </c>
      <c r="F544" s="30">
        <v>78</v>
      </c>
      <c r="G544" s="30" t="s">
        <v>191</v>
      </c>
      <c r="H544" s="42" t="s">
        <v>19</v>
      </c>
      <c r="I544" s="30" t="s">
        <v>20</v>
      </c>
      <c r="J544" s="31" t="s">
        <v>75</v>
      </c>
    </row>
    <row r="545" spans="1:13" thickBot="1">
      <c r="A545" s="29" t="s">
        <v>792</v>
      </c>
      <c r="B545" s="30" t="s">
        <v>17</v>
      </c>
      <c r="C545" s="30">
        <v>56</v>
      </c>
      <c r="D545" s="30" t="s">
        <v>41</v>
      </c>
      <c r="E545" s="30">
        <v>10</v>
      </c>
      <c r="F545" s="30">
        <v>40</v>
      </c>
      <c r="G545" s="30" t="s">
        <v>191</v>
      </c>
      <c r="H545" s="42" t="s">
        <v>19</v>
      </c>
      <c r="I545" s="30" t="s">
        <v>20</v>
      </c>
      <c r="J545" s="31" t="s">
        <v>75</v>
      </c>
    </row>
    <row r="546" spans="1:13" thickBot="1">
      <c r="A546" s="29" t="s">
        <v>793</v>
      </c>
      <c r="B546" s="30" t="s">
        <v>17</v>
      </c>
      <c r="C546" s="30">
        <v>56</v>
      </c>
      <c r="D546" s="30" t="s">
        <v>41</v>
      </c>
      <c r="E546" s="30">
        <v>10</v>
      </c>
      <c r="F546" s="30">
        <v>63</v>
      </c>
      <c r="G546" s="30" t="s">
        <v>191</v>
      </c>
      <c r="H546" s="42" t="s">
        <v>19</v>
      </c>
      <c r="I546" s="30" t="s">
        <v>20</v>
      </c>
      <c r="J546" s="31" t="s">
        <v>75</v>
      </c>
    </row>
    <row r="547" spans="1:13" thickBot="1">
      <c r="A547" s="29" t="s">
        <v>794</v>
      </c>
      <c r="B547" s="30" t="s">
        <v>17</v>
      </c>
      <c r="C547" s="30">
        <v>56</v>
      </c>
      <c r="D547" s="30" t="s">
        <v>41</v>
      </c>
      <c r="E547" s="30">
        <v>1000</v>
      </c>
      <c r="F547" s="30">
        <v>31</v>
      </c>
      <c r="G547" s="30" t="s">
        <v>566</v>
      </c>
      <c r="H547" s="42" t="s">
        <v>19</v>
      </c>
      <c r="I547" s="30" t="s">
        <v>20</v>
      </c>
      <c r="J547" s="31" t="s">
        <v>75</v>
      </c>
      <c r="K547">
        <v>0</v>
      </c>
      <c r="L547" t="str">
        <f>""""&amp;A547&amp;""""</f>
        <v>"07160203_1714"</v>
      </c>
      <c r="M547" t="s">
        <v>795</v>
      </c>
    </row>
    <row r="548" spans="1:13" thickBot="1">
      <c r="A548" s="29" t="s">
        <v>796</v>
      </c>
      <c r="B548" s="30" t="s">
        <v>17</v>
      </c>
      <c r="C548" s="30">
        <v>56</v>
      </c>
      <c r="D548" s="30" t="s">
        <v>41</v>
      </c>
      <c r="E548" s="30">
        <v>1000</v>
      </c>
      <c r="F548" s="30">
        <v>31</v>
      </c>
      <c r="G548" s="30" t="s">
        <v>566</v>
      </c>
      <c r="H548" s="42" t="s">
        <v>19</v>
      </c>
      <c r="I548" s="30" t="s">
        <v>20</v>
      </c>
      <c r="J548" s="31" t="s">
        <v>75</v>
      </c>
      <c r="K548">
        <v>1</v>
      </c>
      <c r="L548" t="str">
        <f>L547&amp;", """&amp;A548&amp;""""</f>
        <v>"07160203_1714", "07160203_1811"</v>
      </c>
      <c r="M548" t="s">
        <v>795</v>
      </c>
    </row>
    <row r="549" spans="1:13" thickBot="1">
      <c r="A549" s="29" t="s">
        <v>797</v>
      </c>
      <c r="B549" s="30" t="s">
        <v>17</v>
      </c>
      <c r="C549" s="30">
        <v>56</v>
      </c>
      <c r="D549" s="30" t="s">
        <v>41</v>
      </c>
      <c r="E549" s="30">
        <v>1000</v>
      </c>
      <c r="F549" s="30">
        <v>31</v>
      </c>
      <c r="G549" s="30" t="s">
        <v>566</v>
      </c>
      <c r="H549" s="42" t="s">
        <v>19</v>
      </c>
      <c r="I549" s="30" t="s">
        <v>20</v>
      </c>
      <c r="J549" s="31" t="s">
        <v>75</v>
      </c>
      <c r="K549">
        <v>2</v>
      </c>
      <c r="L549" t="str">
        <f t="shared" ref="L549:L562" si="99">L548&amp;", """&amp;A549&amp;""""</f>
        <v>"07160203_1714", "07160203_1811", "07160203_1907"</v>
      </c>
      <c r="M549" t="s">
        <v>795</v>
      </c>
    </row>
    <row r="550" spans="1:13" thickBot="1">
      <c r="A550" s="29" t="s">
        <v>798</v>
      </c>
      <c r="B550" s="30" t="s">
        <v>17</v>
      </c>
      <c r="C550" s="30">
        <v>56</v>
      </c>
      <c r="D550" s="30" t="s">
        <v>41</v>
      </c>
      <c r="E550" s="30">
        <v>1000</v>
      </c>
      <c r="F550" s="30">
        <v>31</v>
      </c>
      <c r="G550" s="30" t="s">
        <v>566</v>
      </c>
      <c r="H550" s="42" t="s">
        <v>19</v>
      </c>
      <c r="I550" s="30" t="s">
        <v>20</v>
      </c>
      <c r="J550" s="31" t="s">
        <v>75</v>
      </c>
      <c r="K550">
        <v>3</v>
      </c>
      <c r="L550" t="str">
        <f t="shared" si="99"/>
        <v>"07160203_1714", "07160203_1811", "07160203_1907", "07160203_2004"</v>
      </c>
      <c r="M550" t="s">
        <v>795</v>
      </c>
    </row>
    <row r="551" spans="1:13" thickBot="1">
      <c r="A551" s="29" t="s">
        <v>799</v>
      </c>
      <c r="B551" s="30" t="s">
        <v>17</v>
      </c>
      <c r="C551" s="30">
        <v>56</v>
      </c>
      <c r="D551" s="30" t="s">
        <v>41</v>
      </c>
      <c r="E551" s="30">
        <v>1000</v>
      </c>
      <c r="F551" s="30">
        <v>31</v>
      </c>
      <c r="G551" s="30" t="s">
        <v>566</v>
      </c>
      <c r="H551" s="42" t="s">
        <v>19</v>
      </c>
      <c r="I551" s="30" t="s">
        <v>20</v>
      </c>
      <c r="J551" s="31" t="s">
        <v>75</v>
      </c>
      <c r="K551">
        <v>4</v>
      </c>
      <c r="L551" t="str">
        <f t="shared" si="99"/>
        <v>"07160203_1714", "07160203_1811", "07160203_1907", "07160203_2004", "07160203_2101"</v>
      </c>
      <c r="M551" t="s">
        <v>795</v>
      </c>
    </row>
    <row r="552" spans="1:13" thickBot="1">
      <c r="A552" s="29" t="s">
        <v>800</v>
      </c>
      <c r="B552" s="30" t="s">
        <v>17</v>
      </c>
      <c r="C552" s="30">
        <v>56</v>
      </c>
      <c r="D552" s="30" t="s">
        <v>41</v>
      </c>
      <c r="E552" s="30">
        <v>1000</v>
      </c>
      <c r="F552" s="30">
        <v>31</v>
      </c>
      <c r="G552" s="30" t="s">
        <v>566</v>
      </c>
      <c r="H552" s="42" t="s">
        <v>19</v>
      </c>
      <c r="I552" s="30" t="s">
        <v>20</v>
      </c>
      <c r="J552" s="31" t="s">
        <v>75</v>
      </c>
      <c r="K552">
        <v>5</v>
      </c>
      <c r="L552" t="str">
        <f t="shared" si="99"/>
        <v>"07160203_1714", "07160203_1811", "07160203_1907", "07160203_2004", "07160203_2101", "07160203_2158"</v>
      </c>
      <c r="M552" t="s">
        <v>795</v>
      </c>
    </row>
    <row r="553" spans="1:13" thickBot="1">
      <c r="A553" s="29" t="s">
        <v>801</v>
      </c>
      <c r="B553" s="30" t="s">
        <v>17</v>
      </c>
      <c r="C553" s="30">
        <v>56</v>
      </c>
      <c r="D553" s="30" t="s">
        <v>41</v>
      </c>
      <c r="E553" s="30">
        <v>1000</v>
      </c>
      <c r="F553" s="30">
        <v>31</v>
      </c>
      <c r="G553" s="30" t="s">
        <v>566</v>
      </c>
      <c r="H553" s="42" t="s">
        <v>19</v>
      </c>
      <c r="I553" s="30" t="s">
        <v>20</v>
      </c>
      <c r="J553" s="31" t="s">
        <v>75</v>
      </c>
      <c r="K553">
        <v>6</v>
      </c>
      <c r="L553" t="str">
        <f t="shared" si="99"/>
        <v>"07160203_1714", "07160203_1811", "07160203_1907", "07160203_2004", "07160203_2101", "07160203_2158", "07160203_2254"</v>
      </c>
      <c r="M553" t="s">
        <v>795</v>
      </c>
    </row>
    <row r="554" spans="1:13" thickBot="1">
      <c r="A554" s="29" t="s">
        <v>802</v>
      </c>
      <c r="B554" s="30" t="s">
        <v>17</v>
      </c>
      <c r="C554" s="30">
        <v>56</v>
      </c>
      <c r="D554" s="30" t="s">
        <v>41</v>
      </c>
      <c r="E554" s="30">
        <v>1000</v>
      </c>
      <c r="F554" s="30">
        <v>31</v>
      </c>
      <c r="G554" s="30" t="s">
        <v>566</v>
      </c>
      <c r="H554" s="42" t="s">
        <v>19</v>
      </c>
      <c r="I554" s="30" t="s">
        <v>20</v>
      </c>
      <c r="J554" s="31" t="s">
        <v>75</v>
      </c>
      <c r="K554">
        <v>7</v>
      </c>
      <c r="L554" t="str">
        <f t="shared" si="99"/>
        <v>"07160203_1714", "07160203_1811", "07160203_1907", "07160203_2004", "07160203_2101", "07160203_2158", "07160203_2254", "07160203_2351"</v>
      </c>
      <c r="M554" t="s">
        <v>795</v>
      </c>
    </row>
    <row r="555" spans="1:13" thickBot="1">
      <c r="A555" s="29" t="s">
        <v>803</v>
      </c>
      <c r="B555" s="30" t="s">
        <v>17</v>
      </c>
      <c r="C555" s="30">
        <v>56</v>
      </c>
      <c r="D555" s="30" t="s">
        <v>41</v>
      </c>
      <c r="E555" s="30">
        <v>1000</v>
      </c>
      <c r="F555" s="30">
        <v>31</v>
      </c>
      <c r="G555" s="30" t="s">
        <v>566</v>
      </c>
      <c r="H555" s="42" t="s">
        <v>19</v>
      </c>
      <c r="I555" s="30" t="s">
        <v>20</v>
      </c>
      <c r="J555" s="31" t="s">
        <v>75</v>
      </c>
      <c r="K555">
        <v>8</v>
      </c>
      <c r="L555" t="str">
        <f t="shared" si="99"/>
        <v>"07160203_1714", "07160203_1811", "07160203_1907", "07160203_2004", "07160203_2101", "07160203_2158", "07160203_2254", "07160203_2351", "07160204_0048"</v>
      </c>
      <c r="M555" t="s">
        <v>795</v>
      </c>
    </row>
    <row r="556" spans="1:13" ht="15.75" customHeight="1" thickBot="1">
      <c r="A556" s="29" t="s">
        <v>804</v>
      </c>
      <c r="B556" s="30" t="s">
        <v>17</v>
      </c>
      <c r="C556" s="30">
        <v>56</v>
      </c>
      <c r="D556" s="30" t="s">
        <v>41</v>
      </c>
      <c r="E556" s="30">
        <v>1000</v>
      </c>
      <c r="F556" s="30">
        <v>31</v>
      </c>
      <c r="G556" s="30" t="s">
        <v>566</v>
      </c>
      <c r="H556" s="42" t="s">
        <v>19</v>
      </c>
      <c r="I556" s="30" t="s">
        <v>20</v>
      </c>
      <c r="J556" s="31" t="s">
        <v>75</v>
      </c>
      <c r="K556">
        <v>9</v>
      </c>
      <c r="L556" t="str">
        <f t="shared" si="99"/>
        <v>"07160203_1714", "07160203_1811", "07160203_1907", "07160203_2004", "07160203_2101", "07160203_2158", "07160203_2254", "07160203_2351", "07160204_0048", "07160204_0144"</v>
      </c>
      <c r="M556" t="s">
        <v>795</v>
      </c>
    </row>
    <row r="557" spans="1:13" thickBot="1">
      <c r="A557" s="29" t="s">
        <v>805</v>
      </c>
      <c r="B557" s="30" t="s">
        <v>17</v>
      </c>
      <c r="C557" s="30">
        <v>56</v>
      </c>
      <c r="D557" s="30" t="s">
        <v>41</v>
      </c>
      <c r="E557" s="30">
        <v>1000</v>
      </c>
      <c r="F557" s="30">
        <v>31</v>
      </c>
      <c r="G557" s="30" t="s">
        <v>566</v>
      </c>
      <c r="H557" s="42" t="s">
        <v>19</v>
      </c>
      <c r="I557" s="30" t="s">
        <v>20</v>
      </c>
      <c r="J557" s="31" t="s">
        <v>75</v>
      </c>
      <c r="K557">
        <v>10</v>
      </c>
      <c r="L557" t="str">
        <f t="shared" si="99"/>
        <v>"07160203_1714", "07160203_1811", "07160203_1907", "07160203_2004", "07160203_2101", "07160203_2158", "07160203_2254", "07160203_2351", "07160204_0048", "07160204_0144", "07160204_0241"</v>
      </c>
      <c r="M557" t="s">
        <v>795</v>
      </c>
    </row>
    <row r="558" spans="1:13" thickBot="1">
      <c r="A558" s="29" t="s">
        <v>806</v>
      </c>
      <c r="B558" s="30" t="s">
        <v>17</v>
      </c>
      <c r="C558" s="30">
        <v>56</v>
      </c>
      <c r="D558" s="30" t="s">
        <v>41</v>
      </c>
      <c r="E558" s="30">
        <v>1000</v>
      </c>
      <c r="F558" s="30">
        <v>31</v>
      </c>
      <c r="G558" s="30" t="s">
        <v>566</v>
      </c>
      <c r="H558" s="42" t="s">
        <v>19</v>
      </c>
      <c r="I558" s="30" t="s">
        <v>20</v>
      </c>
      <c r="J558" s="31" t="s">
        <v>75</v>
      </c>
      <c r="K558">
        <v>11</v>
      </c>
      <c r="L558" t="str">
        <f t="shared" si="99"/>
        <v>"07160203_1714", "07160203_1811", "07160203_1907", "07160203_2004", "07160203_2101", "07160203_2158", "07160203_2254", "07160203_2351", "07160204_0048", "07160204_0144", "07160204_0241", "07160204_0338"</v>
      </c>
      <c r="M558" t="s">
        <v>795</v>
      </c>
    </row>
    <row r="559" spans="1:13" thickBot="1">
      <c r="A559" s="29" t="s">
        <v>807</v>
      </c>
      <c r="B559" s="30" t="s">
        <v>17</v>
      </c>
      <c r="C559" s="30">
        <v>56</v>
      </c>
      <c r="D559" s="30" t="s">
        <v>41</v>
      </c>
      <c r="E559" s="30">
        <v>1000</v>
      </c>
      <c r="F559" s="30">
        <v>31</v>
      </c>
      <c r="G559" s="30" t="s">
        <v>566</v>
      </c>
      <c r="H559" s="42" t="s">
        <v>19</v>
      </c>
      <c r="I559" s="30" t="s">
        <v>20</v>
      </c>
      <c r="J559" s="31" t="s">
        <v>75</v>
      </c>
      <c r="K559">
        <v>12</v>
      </c>
      <c r="L559" t="str">
        <f t="shared" si="99"/>
        <v>"07160203_1714", "07160203_1811", "07160203_1907", "07160203_2004", "07160203_2101", "07160203_2158", "07160203_2254", "07160203_2351", "07160204_0048", "07160204_0144", "07160204_0241", "07160204_0338", "07160204_0434"</v>
      </c>
      <c r="M559" t="s">
        <v>795</v>
      </c>
    </row>
    <row r="560" spans="1:13" thickBot="1">
      <c r="A560" s="29" t="s">
        <v>808</v>
      </c>
      <c r="B560" s="30" t="s">
        <v>17</v>
      </c>
      <c r="C560" s="30">
        <v>56</v>
      </c>
      <c r="D560" s="30" t="s">
        <v>41</v>
      </c>
      <c r="E560" s="30">
        <v>1000</v>
      </c>
      <c r="F560" s="30">
        <v>31</v>
      </c>
      <c r="G560" s="30" t="s">
        <v>566</v>
      </c>
      <c r="H560" s="42" t="s">
        <v>19</v>
      </c>
      <c r="I560" s="30" t="s">
        <v>20</v>
      </c>
      <c r="J560" s="31" t="s">
        <v>75</v>
      </c>
      <c r="K560">
        <v>13</v>
      </c>
      <c r="L560" t="str">
        <f t="shared" si="99"/>
        <v>"07160203_1714", "07160203_1811", "07160203_1907", "07160203_2004", "07160203_2101", "07160203_2158", "07160203_2254", "07160203_2351", "07160204_0048", "07160204_0144", "07160204_0241", "07160204_0338", "07160204_0434", "07160204_0531"</v>
      </c>
      <c r="M560" t="s">
        <v>795</v>
      </c>
    </row>
    <row r="561" spans="1:13" thickBot="1">
      <c r="A561" s="29" t="s">
        <v>809</v>
      </c>
      <c r="B561" s="30" t="s">
        <v>17</v>
      </c>
      <c r="C561" s="30">
        <v>56</v>
      </c>
      <c r="D561" s="30" t="s">
        <v>41</v>
      </c>
      <c r="E561" s="30">
        <v>1000</v>
      </c>
      <c r="F561" s="30">
        <v>31</v>
      </c>
      <c r="G561" s="30" t="s">
        <v>566</v>
      </c>
      <c r="H561" s="42" t="s">
        <v>19</v>
      </c>
      <c r="I561" s="30" t="s">
        <v>20</v>
      </c>
      <c r="J561" s="31" t="s">
        <v>810</v>
      </c>
      <c r="K561">
        <v>14</v>
      </c>
      <c r="L561" t="str">
        <f t="shared" si="99"/>
        <v>"07160203_1714", "07160203_1811", "07160203_1907", "07160203_2004", "07160203_2101", "07160203_2158", "07160203_2254", "07160203_2351", "07160204_0048", "07160204_0144", "07160204_0241", "07160204_0338", "07160204_0434", "07160204_0531", "07160204_0628"</v>
      </c>
      <c r="M561" t="s">
        <v>795</v>
      </c>
    </row>
    <row r="562" spans="1:13" thickBot="1">
      <c r="A562" s="29" t="s">
        <v>811</v>
      </c>
      <c r="B562" s="30" t="s">
        <v>17</v>
      </c>
      <c r="C562" s="30">
        <v>56</v>
      </c>
      <c r="D562" s="30" t="s">
        <v>41</v>
      </c>
      <c r="E562" s="30">
        <v>1000</v>
      </c>
      <c r="F562" s="30">
        <v>31</v>
      </c>
      <c r="G562" s="30" t="s">
        <v>566</v>
      </c>
      <c r="H562" s="42" t="s">
        <v>19</v>
      </c>
      <c r="I562" s="30" t="s">
        <v>20</v>
      </c>
      <c r="J562" s="31" t="s">
        <v>75</v>
      </c>
      <c r="K562">
        <v>15</v>
      </c>
      <c r="L562" t="str">
        <f t="shared" si="99"/>
        <v>"07160203_1714", "07160203_1811", "07160203_1907", "07160203_2004", "07160203_2101", "07160203_2158", "07160203_2254", "07160203_2351", "07160204_0048", "07160204_0144", "07160204_0241", "07160204_0338", "07160204_0434", "07160204_0531", "07160204_0628", "07160204_0724"</v>
      </c>
      <c r="M562" t="s">
        <v>795</v>
      </c>
    </row>
    <row r="563" spans="1:13" thickBot="1">
      <c r="A563" s="29" t="s">
        <v>812</v>
      </c>
      <c r="B563" s="30" t="s">
        <v>17</v>
      </c>
      <c r="C563" s="30">
        <v>56</v>
      </c>
      <c r="D563" s="30" t="s">
        <v>41</v>
      </c>
      <c r="E563" s="30">
        <v>1000</v>
      </c>
      <c r="F563" s="30">
        <v>32</v>
      </c>
      <c r="G563" s="30" t="s">
        <v>18</v>
      </c>
      <c r="H563" s="42" t="s">
        <v>19</v>
      </c>
      <c r="I563" s="30" t="s">
        <v>20</v>
      </c>
      <c r="J563" s="31" t="s">
        <v>75</v>
      </c>
      <c r="M563" t="s">
        <v>813</v>
      </c>
    </row>
    <row r="564" spans="1:13" thickBot="1">
      <c r="A564" s="29" t="s">
        <v>814</v>
      </c>
      <c r="B564" s="30" t="s">
        <v>17</v>
      </c>
      <c r="C564" s="30">
        <v>56</v>
      </c>
      <c r="D564" s="30" t="s">
        <v>41</v>
      </c>
      <c r="E564" s="30">
        <v>1000</v>
      </c>
      <c r="F564" s="30">
        <v>31</v>
      </c>
      <c r="G564" s="30" t="s">
        <v>629</v>
      </c>
      <c r="H564" s="42" t="s">
        <v>19</v>
      </c>
      <c r="I564" s="30" t="s">
        <v>20</v>
      </c>
      <c r="J564" s="31" t="s">
        <v>75</v>
      </c>
      <c r="M564" t="s">
        <v>815</v>
      </c>
    </row>
    <row r="565" spans="1:13" thickBot="1">
      <c r="A565" s="29" t="s">
        <v>816</v>
      </c>
      <c r="B565" s="30" t="s">
        <v>17</v>
      </c>
      <c r="C565" s="30">
        <v>56</v>
      </c>
      <c r="D565" s="30" t="s">
        <v>41</v>
      </c>
      <c r="E565" s="30">
        <v>1000</v>
      </c>
      <c r="F565" s="30">
        <v>31</v>
      </c>
      <c r="G565" s="30" t="s">
        <v>629</v>
      </c>
      <c r="H565" s="42" t="s">
        <v>19</v>
      </c>
      <c r="I565" s="30" t="s">
        <v>20</v>
      </c>
      <c r="J565" s="31" t="s">
        <v>75</v>
      </c>
      <c r="M565" t="s">
        <v>817</v>
      </c>
    </row>
    <row r="566" spans="1:13" thickBot="1">
      <c r="A566" s="29" t="s">
        <v>818</v>
      </c>
      <c r="B566" s="30" t="s">
        <v>17</v>
      </c>
      <c r="C566" s="30">
        <v>56</v>
      </c>
      <c r="D566" s="30" t="s">
        <v>41</v>
      </c>
      <c r="E566" s="30">
        <v>1000</v>
      </c>
      <c r="F566" s="30">
        <v>31</v>
      </c>
      <c r="G566" s="30" t="s">
        <v>65</v>
      </c>
      <c r="H566" s="42" t="s">
        <v>19</v>
      </c>
      <c r="I566" s="30" t="s">
        <v>20</v>
      </c>
      <c r="J566" s="31" t="s">
        <v>75</v>
      </c>
      <c r="M566" t="s">
        <v>813</v>
      </c>
    </row>
    <row r="567" spans="1:13" thickBot="1">
      <c r="A567" s="29" t="s">
        <v>819</v>
      </c>
      <c r="B567" s="30" t="s">
        <v>17</v>
      </c>
      <c r="C567" s="30">
        <v>56</v>
      </c>
      <c r="D567" s="30" t="s">
        <v>41</v>
      </c>
      <c r="E567" s="30">
        <v>1000</v>
      </c>
      <c r="F567" s="30">
        <v>31</v>
      </c>
      <c r="G567" s="30" t="s">
        <v>566</v>
      </c>
      <c r="H567" s="42" t="s">
        <v>19</v>
      </c>
      <c r="I567" s="30" t="s">
        <v>20</v>
      </c>
      <c r="J567" s="31" t="s">
        <v>75</v>
      </c>
      <c r="L567" t="str">
        <f>""""&amp;A567&amp;""""</f>
        <v>"07160204_1836"</v>
      </c>
      <c r="M567" t="s">
        <v>820</v>
      </c>
    </row>
    <row r="568" spans="1:13" thickBot="1">
      <c r="A568" s="29" t="s">
        <v>821</v>
      </c>
      <c r="B568" s="30" t="s">
        <v>17</v>
      </c>
      <c r="C568" s="30">
        <v>56</v>
      </c>
      <c r="D568" s="30" t="s">
        <v>41</v>
      </c>
      <c r="E568" s="30">
        <v>1000</v>
      </c>
      <c r="F568" s="30">
        <v>31</v>
      </c>
      <c r="G568" s="30" t="s">
        <v>566</v>
      </c>
      <c r="H568" s="42" t="s">
        <v>19</v>
      </c>
      <c r="I568" s="30" t="s">
        <v>20</v>
      </c>
      <c r="J568" s="31" t="s">
        <v>75</v>
      </c>
      <c r="L568" t="str">
        <f>L567&amp;", """&amp;A568&amp;""""</f>
        <v>"07160204_1836", "07160204_1933"</v>
      </c>
      <c r="M568" t="s">
        <v>820</v>
      </c>
    </row>
    <row r="569" spans="1:13" thickBot="1">
      <c r="A569" s="29" t="s">
        <v>822</v>
      </c>
      <c r="B569" s="30" t="s">
        <v>17</v>
      </c>
      <c r="C569" s="30">
        <v>56</v>
      </c>
      <c r="D569" s="30" t="s">
        <v>41</v>
      </c>
      <c r="E569" s="30">
        <v>1000</v>
      </c>
      <c r="F569" s="30">
        <v>31</v>
      </c>
      <c r="G569" s="30" t="s">
        <v>566</v>
      </c>
      <c r="H569" s="42" t="s">
        <v>19</v>
      </c>
      <c r="I569" s="30" t="s">
        <v>20</v>
      </c>
      <c r="J569" s="31" t="s">
        <v>75</v>
      </c>
      <c r="L569" t="str">
        <f t="shared" ref="L569:L581" si="100">L568&amp;", """&amp;A569&amp;""""</f>
        <v>"07160204_1836", "07160204_1933", "07160204_2029"</v>
      </c>
      <c r="M569" t="s">
        <v>820</v>
      </c>
    </row>
    <row r="570" spans="1:13" thickBot="1">
      <c r="A570" s="29" t="s">
        <v>823</v>
      </c>
      <c r="B570" s="30" t="s">
        <v>17</v>
      </c>
      <c r="C570" s="30">
        <v>56</v>
      </c>
      <c r="D570" s="30" t="s">
        <v>41</v>
      </c>
      <c r="E570" s="30">
        <v>1000</v>
      </c>
      <c r="F570" s="30">
        <v>31</v>
      </c>
      <c r="G570" s="30" t="s">
        <v>566</v>
      </c>
      <c r="H570" s="42" t="s">
        <v>19</v>
      </c>
      <c r="I570" s="30" t="s">
        <v>20</v>
      </c>
      <c r="J570" s="31" t="s">
        <v>75</v>
      </c>
      <c r="L570" t="str">
        <f t="shared" si="100"/>
        <v>"07160204_1836", "07160204_1933", "07160204_2029", "07160204_2126"</v>
      </c>
      <c r="M570" t="s">
        <v>820</v>
      </c>
    </row>
    <row r="571" spans="1:13" thickBot="1">
      <c r="A571" s="29" t="s">
        <v>824</v>
      </c>
      <c r="B571" s="30" t="s">
        <v>17</v>
      </c>
      <c r="C571" s="30">
        <v>56</v>
      </c>
      <c r="D571" s="30" t="s">
        <v>41</v>
      </c>
      <c r="E571" s="30">
        <v>1000</v>
      </c>
      <c r="F571" s="30">
        <v>31</v>
      </c>
      <c r="G571" s="30" t="s">
        <v>566</v>
      </c>
      <c r="H571" s="42" t="s">
        <v>19</v>
      </c>
      <c r="I571" s="30" t="s">
        <v>20</v>
      </c>
      <c r="J571" s="31" t="s">
        <v>75</v>
      </c>
      <c r="L571" t="str">
        <f t="shared" si="100"/>
        <v>"07160204_1836", "07160204_1933", "07160204_2029", "07160204_2126", "07160204_2223"</v>
      </c>
      <c r="M571" t="s">
        <v>820</v>
      </c>
    </row>
    <row r="572" spans="1:13" thickBot="1">
      <c r="A572" s="29" t="s">
        <v>825</v>
      </c>
      <c r="B572" s="30" t="s">
        <v>17</v>
      </c>
      <c r="C572" s="30">
        <v>56</v>
      </c>
      <c r="D572" s="30" t="s">
        <v>41</v>
      </c>
      <c r="E572" s="30">
        <v>1000</v>
      </c>
      <c r="F572" s="30">
        <v>31</v>
      </c>
      <c r="G572" s="30" t="s">
        <v>566</v>
      </c>
      <c r="H572" s="42" t="s">
        <v>19</v>
      </c>
      <c r="I572" s="30" t="s">
        <v>20</v>
      </c>
      <c r="J572" s="31" t="s">
        <v>75</v>
      </c>
      <c r="L572" t="str">
        <f t="shared" si="100"/>
        <v>"07160204_1836", "07160204_1933", "07160204_2029", "07160204_2126", "07160204_2223", "07160204_2319"</v>
      </c>
      <c r="M572" t="s">
        <v>820</v>
      </c>
    </row>
    <row r="573" spans="1:13" thickBot="1">
      <c r="A573" s="29" t="s">
        <v>826</v>
      </c>
      <c r="B573" s="30" t="s">
        <v>17</v>
      </c>
      <c r="C573" s="30">
        <v>56</v>
      </c>
      <c r="D573" s="30" t="s">
        <v>41</v>
      </c>
      <c r="E573" s="30">
        <v>1000</v>
      </c>
      <c r="F573" s="30">
        <v>31</v>
      </c>
      <c r="G573" s="30" t="s">
        <v>566</v>
      </c>
      <c r="H573" s="42" t="s">
        <v>19</v>
      </c>
      <c r="I573" s="30" t="s">
        <v>20</v>
      </c>
      <c r="J573" s="31" t="s">
        <v>75</v>
      </c>
      <c r="L573" t="str">
        <f t="shared" si="100"/>
        <v>"07160204_1836", "07160204_1933", "07160204_2029", "07160204_2126", "07160204_2223", "07160204_2319", "07160205_0016"</v>
      </c>
      <c r="M573" t="s">
        <v>820</v>
      </c>
    </row>
    <row r="574" spans="1:13" thickBot="1">
      <c r="A574" s="29" t="s">
        <v>827</v>
      </c>
      <c r="B574" s="30" t="s">
        <v>17</v>
      </c>
      <c r="C574" s="30">
        <v>56</v>
      </c>
      <c r="D574" s="30" t="s">
        <v>41</v>
      </c>
      <c r="E574" s="30">
        <v>1000</v>
      </c>
      <c r="F574" s="30">
        <v>31</v>
      </c>
      <c r="G574" s="30" t="s">
        <v>566</v>
      </c>
      <c r="H574" s="42" t="s">
        <v>19</v>
      </c>
      <c r="I574" s="30" t="s">
        <v>20</v>
      </c>
      <c r="J574" s="31" t="s">
        <v>75</v>
      </c>
      <c r="L574" t="str">
        <f t="shared" si="100"/>
        <v>"07160204_1836", "07160204_1933", "07160204_2029", "07160204_2126", "07160204_2223", "07160204_2319", "07160205_0016", "07160205_0113"</v>
      </c>
      <c r="M574" t="s">
        <v>820</v>
      </c>
    </row>
    <row r="575" spans="1:13" thickBot="1">
      <c r="A575" s="29" t="s">
        <v>828</v>
      </c>
      <c r="B575" s="30" t="s">
        <v>17</v>
      </c>
      <c r="C575" s="30">
        <v>56</v>
      </c>
      <c r="D575" s="30" t="s">
        <v>41</v>
      </c>
      <c r="E575" s="30">
        <v>1000</v>
      </c>
      <c r="F575" s="30">
        <v>31</v>
      </c>
      <c r="G575" s="30" t="s">
        <v>566</v>
      </c>
      <c r="H575" s="42" t="s">
        <v>19</v>
      </c>
      <c r="I575" s="30" t="s">
        <v>20</v>
      </c>
      <c r="J575" s="31" t="s">
        <v>75</v>
      </c>
      <c r="L575" t="str">
        <f t="shared" si="100"/>
        <v>"07160204_1836", "07160204_1933", "07160204_2029", "07160204_2126", "07160204_2223", "07160204_2319", "07160205_0016", "07160205_0113", "07160205_0210"</v>
      </c>
      <c r="M575" t="s">
        <v>820</v>
      </c>
    </row>
    <row r="576" spans="1:13" thickBot="1">
      <c r="A576" s="29" t="s">
        <v>829</v>
      </c>
      <c r="B576" s="30" t="s">
        <v>17</v>
      </c>
      <c r="C576" s="30">
        <v>56</v>
      </c>
      <c r="D576" s="30" t="s">
        <v>41</v>
      </c>
      <c r="E576" s="30">
        <v>1000</v>
      </c>
      <c r="F576" s="30">
        <v>31</v>
      </c>
      <c r="G576" s="30" t="s">
        <v>566</v>
      </c>
      <c r="H576" s="42" t="s">
        <v>19</v>
      </c>
      <c r="I576" s="30" t="s">
        <v>20</v>
      </c>
      <c r="J576" s="31" t="s">
        <v>75</v>
      </c>
      <c r="L576" t="str">
        <f t="shared" si="100"/>
        <v>"07160204_1836", "07160204_1933", "07160204_2029", "07160204_2126", "07160204_2223", "07160204_2319", "07160205_0016", "07160205_0113", "07160205_0210", "07160205_0306"</v>
      </c>
      <c r="M576" t="s">
        <v>820</v>
      </c>
    </row>
    <row r="577" spans="1:13" thickBot="1">
      <c r="A577" s="29" t="s">
        <v>830</v>
      </c>
      <c r="B577" s="30" t="s">
        <v>17</v>
      </c>
      <c r="C577" s="30">
        <v>56</v>
      </c>
      <c r="D577" s="30" t="s">
        <v>41</v>
      </c>
      <c r="E577" s="30">
        <v>1000</v>
      </c>
      <c r="F577" s="30">
        <v>31</v>
      </c>
      <c r="G577" s="30" t="s">
        <v>566</v>
      </c>
      <c r="H577" s="42" t="s">
        <v>19</v>
      </c>
      <c r="I577" s="30" t="s">
        <v>20</v>
      </c>
      <c r="J577" s="31" t="s">
        <v>75</v>
      </c>
      <c r="L577" t="str">
        <f t="shared" si="100"/>
        <v>"07160204_1836", "07160204_1933", "07160204_2029", "07160204_2126", "07160204_2223", "07160204_2319", "07160205_0016", "07160205_0113", "07160205_0210", "07160205_0306", "07160205_0403"</v>
      </c>
      <c r="M577" t="s">
        <v>820</v>
      </c>
    </row>
    <row r="578" spans="1:13" thickBot="1">
      <c r="A578" s="29" t="s">
        <v>831</v>
      </c>
      <c r="B578" s="30" t="s">
        <v>17</v>
      </c>
      <c r="C578" s="30">
        <v>56</v>
      </c>
      <c r="D578" s="30" t="s">
        <v>41</v>
      </c>
      <c r="E578" s="30">
        <v>1000</v>
      </c>
      <c r="F578" s="30">
        <v>31</v>
      </c>
      <c r="G578" s="30" t="s">
        <v>566</v>
      </c>
      <c r="H578" s="42" t="s">
        <v>19</v>
      </c>
      <c r="I578" s="30" t="s">
        <v>20</v>
      </c>
      <c r="J578" s="31" t="s">
        <v>75</v>
      </c>
      <c r="L578" t="str">
        <f t="shared" si="100"/>
        <v>"07160204_1836", "07160204_1933", "07160204_2029", "07160204_2126", "07160204_2223", "07160204_2319", "07160205_0016", "07160205_0113", "07160205_0210", "07160205_0306", "07160205_0403", "07160205_0500"</v>
      </c>
      <c r="M578" t="s">
        <v>820</v>
      </c>
    </row>
    <row r="579" spans="1:13" thickBot="1">
      <c r="A579" s="29" t="s">
        <v>832</v>
      </c>
      <c r="B579" s="30" t="s">
        <v>17</v>
      </c>
      <c r="C579" s="30">
        <v>56</v>
      </c>
      <c r="D579" s="30" t="s">
        <v>41</v>
      </c>
      <c r="E579" s="30">
        <v>1000</v>
      </c>
      <c r="F579" s="30">
        <v>31</v>
      </c>
      <c r="G579" s="30" t="s">
        <v>566</v>
      </c>
      <c r="H579" s="42" t="s">
        <v>19</v>
      </c>
      <c r="I579" s="30" t="s">
        <v>20</v>
      </c>
      <c r="J579" s="31" t="s">
        <v>75</v>
      </c>
      <c r="L579" t="str">
        <f t="shared" si="100"/>
        <v>"07160204_1836", "07160204_1933", "07160204_2029", "07160204_2126", "07160204_2223", "07160204_2319", "07160205_0016", "07160205_0113", "07160205_0210", "07160205_0306", "07160205_0403", "07160205_0500", "07160205_0556"</v>
      </c>
      <c r="M579" t="s">
        <v>820</v>
      </c>
    </row>
    <row r="580" spans="1:13" thickBot="1">
      <c r="A580" s="29" t="s">
        <v>833</v>
      </c>
      <c r="B580" s="30" t="s">
        <v>17</v>
      </c>
      <c r="C580" s="30">
        <v>56</v>
      </c>
      <c r="D580" s="30" t="s">
        <v>41</v>
      </c>
      <c r="E580" s="30">
        <v>1000</v>
      </c>
      <c r="F580" s="30">
        <v>32</v>
      </c>
      <c r="G580" s="30" t="s">
        <v>566</v>
      </c>
      <c r="H580" s="42" t="s">
        <v>19</v>
      </c>
      <c r="I580" s="30" t="s">
        <v>20</v>
      </c>
      <c r="J580" s="31" t="s">
        <v>75</v>
      </c>
      <c r="L580" t="str">
        <f t="shared" si="100"/>
        <v>"07160204_1836", "07160204_1933", "07160204_2029", "07160204_2126", "07160204_2223", "07160204_2319", "07160205_0016", "07160205_0113", "07160205_0210", "07160205_0306", "07160205_0403", "07160205_0500", "07160205_0556", "07160205_0653"</v>
      </c>
      <c r="M580" t="s">
        <v>820</v>
      </c>
    </row>
    <row r="581" spans="1:13" thickBot="1">
      <c r="A581" s="29" t="s">
        <v>834</v>
      </c>
      <c r="B581" s="30" t="s">
        <v>17</v>
      </c>
      <c r="C581" s="30">
        <v>56</v>
      </c>
      <c r="D581" s="30" t="s">
        <v>41</v>
      </c>
      <c r="E581" s="30">
        <v>1000</v>
      </c>
      <c r="F581" s="30">
        <v>31</v>
      </c>
      <c r="G581" s="30" t="s">
        <v>566</v>
      </c>
      <c r="H581" s="42" t="s">
        <v>19</v>
      </c>
      <c r="I581" s="30" t="s">
        <v>20</v>
      </c>
      <c r="J581" s="31" t="s">
        <v>75</v>
      </c>
      <c r="L581" t="str">
        <f t="shared" si="100"/>
        <v>"07160204_1836", "07160204_1933", "07160204_2029", "07160204_2126", "07160204_2223", "07160204_2319", "07160205_0016", "07160205_0113", "07160205_0210", "07160205_0306", "07160205_0403", "07160205_0500", "07160205_0556", "07160205_0653", "07160205_0750"</v>
      </c>
      <c r="M581" t="s">
        <v>820</v>
      </c>
    </row>
    <row r="582" spans="1:13" thickBot="1">
      <c r="A582" s="29" t="s">
        <v>835</v>
      </c>
      <c r="B582" s="30" t="s">
        <v>17</v>
      </c>
      <c r="C582" s="30">
        <v>56</v>
      </c>
      <c r="D582" s="30" t="s">
        <v>41</v>
      </c>
      <c r="E582" s="30">
        <v>1000</v>
      </c>
      <c r="F582" s="30">
        <v>31</v>
      </c>
      <c r="G582" s="30" t="s">
        <v>18</v>
      </c>
      <c r="H582" s="42" t="s">
        <v>19</v>
      </c>
      <c r="I582" s="30" t="s">
        <v>20</v>
      </c>
      <c r="J582" s="31" t="s">
        <v>75</v>
      </c>
      <c r="M582" t="s">
        <v>813</v>
      </c>
    </row>
    <row r="583" spans="1:13" thickBot="1">
      <c r="A583" s="29" t="s">
        <v>836</v>
      </c>
      <c r="B583" s="30" t="s">
        <v>17</v>
      </c>
      <c r="C583" s="30">
        <v>56</v>
      </c>
      <c r="D583" s="30" t="s">
        <v>41</v>
      </c>
      <c r="E583" s="30">
        <v>1000</v>
      </c>
      <c r="F583" s="30">
        <v>31</v>
      </c>
      <c r="G583" s="30" t="s">
        <v>268</v>
      </c>
      <c r="H583" s="42" t="s">
        <v>19</v>
      </c>
      <c r="I583" s="30" t="s">
        <v>20</v>
      </c>
      <c r="J583" s="31" t="s">
        <v>75</v>
      </c>
      <c r="M583" t="s">
        <v>837</v>
      </c>
    </row>
    <row r="584" spans="1:13" thickBot="1">
      <c r="A584" s="29" t="s">
        <v>838</v>
      </c>
      <c r="B584" s="30" t="s">
        <v>17</v>
      </c>
      <c r="C584" s="30">
        <v>56</v>
      </c>
      <c r="D584" s="30" t="s">
        <v>41</v>
      </c>
      <c r="E584" s="30">
        <v>1000</v>
      </c>
      <c r="F584" s="30">
        <v>31</v>
      </c>
      <c r="G584" s="30" t="s">
        <v>65</v>
      </c>
      <c r="H584" s="42" t="s">
        <v>19</v>
      </c>
      <c r="I584" s="30" t="s">
        <v>20</v>
      </c>
      <c r="J584" s="31" t="s">
        <v>75</v>
      </c>
      <c r="M584" t="s">
        <v>813</v>
      </c>
    </row>
    <row r="585" spans="1:13" thickBot="1">
      <c r="A585" s="29" t="s">
        <v>839</v>
      </c>
      <c r="B585" s="30" t="s">
        <v>17</v>
      </c>
      <c r="C585" s="30">
        <v>56</v>
      </c>
      <c r="D585" s="30" t="s">
        <v>41</v>
      </c>
      <c r="E585" s="30">
        <v>1000</v>
      </c>
      <c r="F585" s="30">
        <v>31</v>
      </c>
      <c r="G585" s="30" t="s">
        <v>65</v>
      </c>
      <c r="H585" s="42" t="s">
        <v>19</v>
      </c>
      <c r="I585" s="30" t="s">
        <v>20</v>
      </c>
      <c r="J585" s="31" t="s">
        <v>75</v>
      </c>
      <c r="M585" t="s">
        <v>813</v>
      </c>
    </row>
    <row r="586" spans="1:13" thickBot="1">
      <c r="A586" s="29" t="s">
        <v>840</v>
      </c>
      <c r="B586" s="30" t="s">
        <v>17</v>
      </c>
      <c r="C586" s="30">
        <v>56</v>
      </c>
      <c r="D586" s="30" t="s">
        <v>41</v>
      </c>
      <c r="E586" s="30">
        <v>1000</v>
      </c>
      <c r="F586" s="30">
        <v>31</v>
      </c>
      <c r="G586" s="30" t="s">
        <v>65</v>
      </c>
      <c r="H586" s="42" t="s">
        <v>19</v>
      </c>
      <c r="I586" s="30" t="s">
        <v>20</v>
      </c>
      <c r="J586" s="31" t="s">
        <v>75</v>
      </c>
      <c r="M586" t="s">
        <v>813</v>
      </c>
    </row>
    <row r="587" spans="1:13" thickBot="1">
      <c r="A587" s="29" t="s">
        <v>841</v>
      </c>
      <c r="B587" s="30" t="s">
        <v>17</v>
      </c>
      <c r="C587" s="30">
        <v>56</v>
      </c>
      <c r="D587" s="30" t="s">
        <v>41</v>
      </c>
      <c r="E587" s="30">
        <v>1000</v>
      </c>
      <c r="F587" s="30">
        <v>31</v>
      </c>
      <c r="G587" s="30" t="s">
        <v>65</v>
      </c>
      <c r="H587" s="42" t="s">
        <v>19</v>
      </c>
      <c r="I587" s="30" t="s">
        <v>20</v>
      </c>
      <c r="J587" s="31" t="s">
        <v>75</v>
      </c>
      <c r="M587" t="s">
        <v>813</v>
      </c>
    </row>
    <row r="588" spans="1:13" thickBot="1">
      <c r="A588" s="29" t="s">
        <v>842</v>
      </c>
      <c r="B588" s="30" t="s">
        <v>17</v>
      </c>
      <c r="C588" s="30">
        <v>56</v>
      </c>
      <c r="D588" s="30" t="s">
        <v>41</v>
      </c>
      <c r="E588" s="30">
        <v>1000</v>
      </c>
      <c r="F588" s="30">
        <v>32</v>
      </c>
      <c r="G588" s="30" t="s">
        <v>65</v>
      </c>
      <c r="H588" s="42" t="s">
        <v>19</v>
      </c>
      <c r="I588" s="30" t="s">
        <v>20</v>
      </c>
      <c r="J588" s="31" t="s">
        <v>75</v>
      </c>
      <c r="M588" t="s">
        <v>813</v>
      </c>
    </row>
    <row r="589" spans="1:13" thickBot="1">
      <c r="A589" s="29" t="s">
        <v>843</v>
      </c>
      <c r="B589" s="30" t="s">
        <v>17</v>
      </c>
      <c r="C589" s="30">
        <v>56</v>
      </c>
      <c r="D589" s="30" t="s">
        <v>41</v>
      </c>
      <c r="E589" s="30">
        <v>1000</v>
      </c>
      <c r="F589" s="30">
        <v>31</v>
      </c>
      <c r="G589" s="30" t="s">
        <v>65</v>
      </c>
      <c r="H589" s="42" t="s">
        <v>19</v>
      </c>
      <c r="I589" s="30" t="s">
        <v>20</v>
      </c>
      <c r="J589" s="31" t="s">
        <v>75</v>
      </c>
      <c r="M589" t="s">
        <v>813</v>
      </c>
    </row>
    <row r="590" spans="1:13" thickBot="1">
      <c r="A590" s="29" t="s">
        <v>844</v>
      </c>
      <c r="B590" s="30" t="s">
        <v>17</v>
      </c>
      <c r="C590" s="30">
        <v>56</v>
      </c>
      <c r="D590" s="30" t="s">
        <v>41</v>
      </c>
      <c r="E590" s="30">
        <v>1000</v>
      </c>
      <c r="F590" s="30">
        <v>31</v>
      </c>
      <c r="G590" s="30" t="s">
        <v>65</v>
      </c>
      <c r="H590" s="42" t="s">
        <v>19</v>
      </c>
      <c r="I590" s="30" t="s">
        <v>20</v>
      </c>
      <c r="J590" s="31" t="s">
        <v>75</v>
      </c>
      <c r="M590" t="s">
        <v>813</v>
      </c>
    </row>
    <row r="591" spans="1:13" thickBot="1">
      <c r="A591" s="29" t="s">
        <v>845</v>
      </c>
      <c r="B591" s="30" t="s">
        <v>17</v>
      </c>
      <c r="C591" s="30">
        <v>56</v>
      </c>
      <c r="D591" s="30" t="s">
        <v>41</v>
      </c>
      <c r="E591" s="30">
        <v>1000</v>
      </c>
      <c r="F591" s="30">
        <v>32</v>
      </c>
      <c r="G591" s="30" t="s">
        <v>65</v>
      </c>
      <c r="H591" s="42" t="s">
        <v>19</v>
      </c>
      <c r="I591" s="30" t="s">
        <v>20</v>
      </c>
      <c r="J591" s="31" t="s">
        <v>75</v>
      </c>
      <c r="M591" t="s">
        <v>813</v>
      </c>
    </row>
    <row r="592" spans="1:13" thickBot="1">
      <c r="A592" s="29" t="s">
        <v>846</v>
      </c>
      <c r="B592" s="30" t="s">
        <v>17</v>
      </c>
      <c r="C592" s="30">
        <v>56</v>
      </c>
      <c r="D592" s="30" t="s">
        <v>41</v>
      </c>
      <c r="E592" s="30">
        <v>1000</v>
      </c>
      <c r="F592" s="30">
        <v>31</v>
      </c>
      <c r="G592" s="30" t="s">
        <v>65</v>
      </c>
      <c r="H592" s="42" t="s">
        <v>19</v>
      </c>
      <c r="I592" s="30" t="s">
        <v>20</v>
      </c>
      <c r="J592" s="31" t="s">
        <v>75</v>
      </c>
      <c r="M592" t="s">
        <v>813</v>
      </c>
    </row>
    <row r="593" spans="1:13" thickBot="1">
      <c r="A593" s="29" t="s">
        <v>847</v>
      </c>
      <c r="B593" s="30" t="s">
        <v>17</v>
      </c>
      <c r="C593" s="30">
        <v>56</v>
      </c>
      <c r="D593" s="30" t="s">
        <v>41</v>
      </c>
      <c r="E593" s="30">
        <v>1000</v>
      </c>
      <c r="F593" s="30">
        <v>31</v>
      </c>
      <c r="G593" s="30" t="s">
        <v>65</v>
      </c>
      <c r="H593" s="42" t="s">
        <v>19</v>
      </c>
      <c r="I593" s="30" t="s">
        <v>20</v>
      </c>
      <c r="J593" s="31" t="s">
        <v>75</v>
      </c>
      <c r="M593" t="s">
        <v>813</v>
      </c>
    </row>
    <row r="594" spans="1:13" thickBot="1">
      <c r="A594" s="29" t="s">
        <v>848</v>
      </c>
      <c r="B594" s="30" t="s">
        <v>17</v>
      </c>
      <c r="C594" s="30">
        <v>56</v>
      </c>
      <c r="D594" s="30" t="s">
        <v>41</v>
      </c>
      <c r="E594" s="30">
        <v>1000</v>
      </c>
      <c r="F594" s="30">
        <v>10</v>
      </c>
      <c r="G594" s="30" t="s">
        <v>65</v>
      </c>
      <c r="H594" s="42" t="s">
        <v>19</v>
      </c>
      <c r="I594" s="30" t="s">
        <v>20</v>
      </c>
      <c r="J594" s="31" t="s">
        <v>75</v>
      </c>
      <c r="M594" t="s">
        <v>813</v>
      </c>
    </row>
    <row r="595" spans="1:13" thickBot="1">
      <c r="A595" s="29" t="s">
        <v>849</v>
      </c>
      <c r="B595" s="30" t="s">
        <v>17</v>
      </c>
      <c r="C595" s="30">
        <v>56</v>
      </c>
      <c r="D595" s="30" t="s">
        <v>41</v>
      </c>
      <c r="E595" s="30">
        <v>1000</v>
      </c>
      <c r="F595" s="30">
        <v>32</v>
      </c>
      <c r="G595" s="30" t="s">
        <v>566</v>
      </c>
      <c r="H595" s="42" t="s">
        <v>19</v>
      </c>
      <c r="I595" s="30" t="s">
        <v>20</v>
      </c>
      <c r="J595" s="31" t="s">
        <v>75</v>
      </c>
      <c r="M595" t="s">
        <v>813</v>
      </c>
    </row>
    <row r="596" spans="1:13" thickBot="1">
      <c r="A596" s="29" t="s">
        <v>850</v>
      </c>
      <c r="B596" s="30" t="s">
        <v>17</v>
      </c>
      <c r="C596" s="30">
        <v>56</v>
      </c>
      <c r="D596" s="30" t="s">
        <v>41</v>
      </c>
      <c r="E596" s="30">
        <v>1000</v>
      </c>
      <c r="F596" s="30">
        <v>31</v>
      </c>
      <c r="G596" s="30" t="s">
        <v>566</v>
      </c>
      <c r="H596" s="42" t="s">
        <v>19</v>
      </c>
      <c r="I596" s="30" t="s">
        <v>20</v>
      </c>
      <c r="J596" s="31" t="s">
        <v>75</v>
      </c>
      <c r="M596" t="s">
        <v>813</v>
      </c>
    </row>
    <row r="597" spans="1:13" thickBot="1">
      <c r="A597" s="29" t="s">
        <v>851</v>
      </c>
      <c r="B597" s="30" t="s">
        <v>17</v>
      </c>
      <c r="C597" s="30">
        <v>56</v>
      </c>
      <c r="D597" s="30" t="s">
        <v>41</v>
      </c>
      <c r="E597" s="30">
        <v>1000</v>
      </c>
      <c r="F597" s="30">
        <v>31</v>
      </c>
      <c r="G597" s="30" t="s">
        <v>566</v>
      </c>
      <c r="H597" s="42" t="s">
        <v>19</v>
      </c>
      <c r="I597" s="30" t="s">
        <v>20</v>
      </c>
      <c r="J597" s="31" t="s">
        <v>75</v>
      </c>
      <c r="M597" t="s">
        <v>813</v>
      </c>
    </row>
    <row r="598" spans="1:13" thickBot="1">
      <c r="A598" s="29" t="s">
        <v>852</v>
      </c>
      <c r="B598" s="30" t="s">
        <v>17</v>
      </c>
      <c r="C598" s="30">
        <v>56</v>
      </c>
      <c r="D598" s="30" t="s">
        <v>41</v>
      </c>
      <c r="E598" s="30">
        <v>1000</v>
      </c>
      <c r="F598" s="30">
        <v>32</v>
      </c>
      <c r="G598" s="30" t="s">
        <v>566</v>
      </c>
      <c r="H598" s="42" t="s">
        <v>19</v>
      </c>
      <c r="I598" s="30" t="s">
        <v>20</v>
      </c>
      <c r="J598" s="31" t="s">
        <v>75</v>
      </c>
      <c r="M598" t="s">
        <v>813</v>
      </c>
    </row>
    <row r="599" spans="1:13" thickBot="1">
      <c r="A599" s="29" t="s">
        <v>853</v>
      </c>
      <c r="B599" s="30" t="s">
        <v>17</v>
      </c>
      <c r="C599" s="30">
        <v>56</v>
      </c>
      <c r="D599" s="30" t="s">
        <v>41</v>
      </c>
      <c r="E599" s="30">
        <v>1000</v>
      </c>
      <c r="F599" s="30">
        <v>31</v>
      </c>
      <c r="G599" s="30" t="s">
        <v>566</v>
      </c>
      <c r="H599" s="42" t="s">
        <v>19</v>
      </c>
      <c r="I599" s="30" t="s">
        <v>20</v>
      </c>
      <c r="J599" s="31" t="s">
        <v>75</v>
      </c>
      <c r="M599" t="s">
        <v>813</v>
      </c>
    </row>
    <row r="600" spans="1:13" thickBot="1">
      <c r="A600" s="29" t="s">
        <v>854</v>
      </c>
      <c r="B600" s="30" t="s">
        <v>17</v>
      </c>
      <c r="C600" s="30">
        <v>56</v>
      </c>
      <c r="D600" s="30" t="s">
        <v>41</v>
      </c>
      <c r="E600" s="30">
        <v>1000</v>
      </c>
      <c r="F600" s="30">
        <v>32</v>
      </c>
      <c r="G600" s="30" t="s">
        <v>566</v>
      </c>
      <c r="H600" s="42" t="s">
        <v>19</v>
      </c>
      <c r="I600" s="30" t="s">
        <v>20</v>
      </c>
      <c r="J600" s="31" t="s">
        <v>75</v>
      </c>
      <c r="M600" t="s">
        <v>813</v>
      </c>
    </row>
    <row r="601" spans="1:13" thickBot="1">
      <c r="A601" s="29" t="s">
        <v>855</v>
      </c>
      <c r="B601" s="30" t="s">
        <v>17</v>
      </c>
      <c r="C601" s="30">
        <v>56</v>
      </c>
      <c r="D601" s="30" t="s">
        <v>41</v>
      </c>
      <c r="E601" s="30">
        <v>1000</v>
      </c>
      <c r="F601" s="30" t="s">
        <v>41</v>
      </c>
      <c r="G601" s="30" t="s">
        <v>566</v>
      </c>
      <c r="H601" s="42" t="s">
        <v>19</v>
      </c>
      <c r="I601" s="30" t="s">
        <v>20</v>
      </c>
      <c r="J601" s="31" t="s">
        <v>75</v>
      </c>
      <c r="M601" t="s">
        <v>813</v>
      </c>
    </row>
    <row r="602" spans="1:13" thickBot="1">
      <c r="A602" s="29" t="s">
        <v>856</v>
      </c>
      <c r="B602" s="30" t="s">
        <v>17</v>
      </c>
      <c r="C602" s="30">
        <v>56</v>
      </c>
      <c r="D602" s="30" t="s">
        <v>41</v>
      </c>
      <c r="E602" s="30">
        <v>1000</v>
      </c>
      <c r="F602" s="30">
        <v>31</v>
      </c>
      <c r="G602" s="30" t="s">
        <v>566</v>
      </c>
      <c r="H602" s="42" t="s">
        <v>19</v>
      </c>
      <c r="I602" s="30" t="s">
        <v>20</v>
      </c>
      <c r="J602" s="31" t="s">
        <v>75</v>
      </c>
      <c r="M602" t="s">
        <v>813</v>
      </c>
    </row>
    <row r="603" spans="1:13" thickBot="1">
      <c r="A603" s="29" t="s">
        <v>857</v>
      </c>
      <c r="B603" s="30" t="s">
        <v>17</v>
      </c>
      <c r="C603" s="30">
        <v>56</v>
      </c>
      <c r="D603" s="30" t="s">
        <v>41</v>
      </c>
      <c r="E603" s="30">
        <v>1000</v>
      </c>
      <c r="F603" s="30">
        <v>31</v>
      </c>
      <c r="G603" s="30" t="s">
        <v>566</v>
      </c>
      <c r="H603" s="42" t="s">
        <v>19</v>
      </c>
      <c r="I603" s="30" t="s">
        <v>20</v>
      </c>
      <c r="J603" s="31" t="s">
        <v>75</v>
      </c>
      <c r="M603" t="s">
        <v>813</v>
      </c>
    </row>
    <row r="604" spans="1:13" thickBot="1">
      <c r="A604" s="29" t="s">
        <v>858</v>
      </c>
      <c r="B604" s="30" t="s">
        <v>17</v>
      </c>
      <c r="C604" s="30">
        <v>56</v>
      </c>
      <c r="D604" s="30" t="s">
        <v>41</v>
      </c>
      <c r="E604" s="30">
        <v>1000</v>
      </c>
      <c r="F604" s="30">
        <v>31</v>
      </c>
      <c r="G604" s="30" t="s">
        <v>566</v>
      </c>
      <c r="H604" s="42" t="s">
        <v>19</v>
      </c>
      <c r="I604" s="30" t="s">
        <v>20</v>
      </c>
      <c r="J604" s="31" t="s">
        <v>75</v>
      </c>
      <c r="M604" t="s">
        <v>813</v>
      </c>
    </row>
    <row r="605" spans="1:13" thickBot="1">
      <c r="A605" s="29" t="s">
        <v>859</v>
      </c>
      <c r="B605" s="30" t="s">
        <v>17</v>
      </c>
      <c r="C605" s="30">
        <v>56</v>
      </c>
      <c r="D605" s="30" t="s">
        <v>41</v>
      </c>
      <c r="E605" s="30">
        <v>1000</v>
      </c>
      <c r="F605" s="30">
        <v>31</v>
      </c>
      <c r="G605" s="30" t="s">
        <v>566</v>
      </c>
      <c r="H605" s="42" t="s">
        <v>19</v>
      </c>
      <c r="I605" s="30" t="s">
        <v>20</v>
      </c>
      <c r="J605" s="31" t="s">
        <v>75</v>
      </c>
      <c r="M605" t="s">
        <v>813</v>
      </c>
    </row>
    <row r="606" spans="1:13" thickBot="1">
      <c r="A606" s="29" t="s">
        <v>860</v>
      </c>
      <c r="B606" s="30" t="s">
        <v>17</v>
      </c>
      <c r="C606" s="30">
        <v>56</v>
      </c>
      <c r="D606" s="30" t="s">
        <v>41</v>
      </c>
      <c r="E606" s="30">
        <v>1000</v>
      </c>
      <c r="F606" s="30">
        <v>31</v>
      </c>
      <c r="G606" s="30" t="s">
        <v>566</v>
      </c>
      <c r="H606" s="42" t="s">
        <v>19</v>
      </c>
      <c r="I606" s="30" t="s">
        <v>20</v>
      </c>
      <c r="J606" s="31" t="s">
        <v>75</v>
      </c>
      <c r="M606" t="s">
        <v>813</v>
      </c>
    </row>
    <row r="607" spans="1:13" thickBot="1">
      <c r="A607" s="29" t="s">
        <v>861</v>
      </c>
      <c r="B607" s="30" t="s">
        <v>17</v>
      </c>
      <c r="C607" s="30">
        <v>56</v>
      </c>
      <c r="D607" s="30" t="s">
        <v>41</v>
      </c>
      <c r="E607" s="30">
        <v>1000</v>
      </c>
      <c r="F607" s="30">
        <v>31</v>
      </c>
      <c r="G607" s="30" t="s">
        <v>566</v>
      </c>
      <c r="H607" s="42" t="s">
        <v>19</v>
      </c>
      <c r="I607" s="30" t="s">
        <v>20</v>
      </c>
      <c r="J607" s="31" t="s">
        <v>75</v>
      </c>
      <c r="M607" t="s">
        <v>813</v>
      </c>
    </row>
    <row r="608" spans="1:13" thickBot="1">
      <c r="A608" s="29" t="s">
        <v>862</v>
      </c>
      <c r="B608" s="30" t="s">
        <v>17</v>
      </c>
      <c r="C608" s="30">
        <v>56</v>
      </c>
      <c r="D608" s="30" t="s">
        <v>41</v>
      </c>
      <c r="E608" s="30">
        <v>1000</v>
      </c>
      <c r="F608" s="30">
        <v>31</v>
      </c>
      <c r="G608" s="30" t="s">
        <v>566</v>
      </c>
      <c r="H608" s="42" t="s">
        <v>19</v>
      </c>
      <c r="I608" s="30" t="s">
        <v>20</v>
      </c>
      <c r="J608" s="31" t="s">
        <v>75</v>
      </c>
      <c r="M608" t="s">
        <v>813</v>
      </c>
    </row>
    <row r="609" spans="1:13" thickBot="1">
      <c r="A609" s="29" t="s">
        <v>863</v>
      </c>
      <c r="B609" s="30" t="s">
        <v>17</v>
      </c>
      <c r="C609" s="30">
        <v>56</v>
      </c>
      <c r="D609" s="30" t="s">
        <v>41</v>
      </c>
      <c r="E609" s="30">
        <v>1000</v>
      </c>
      <c r="F609" s="30">
        <v>31</v>
      </c>
      <c r="G609" s="30" t="s">
        <v>566</v>
      </c>
      <c r="H609" s="42" t="s">
        <v>19</v>
      </c>
      <c r="I609" s="30" t="s">
        <v>20</v>
      </c>
      <c r="J609" s="31" t="s">
        <v>75</v>
      </c>
      <c r="M609" t="s">
        <v>813</v>
      </c>
    </row>
    <row r="610" spans="1:13" thickBot="1">
      <c r="A610" s="29" t="s">
        <v>864</v>
      </c>
      <c r="B610" s="30" t="s">
        <v>17</v>
      </c>
      <c r="C610" s="30">
        <v>56</v>
      </c>
      <c r="D610" s="30" t="s">
        <v>41</v>
      </c>
      <c r="E610" s="30">
        <v>1000</v>
      </c>
      <c r="F610" s="30">
        <v>31</v>
      </c>
      <c r="G610" s="30" t="s">
        <v>566</v>
      </c>
      <c r="H610" s="42" t="s">
        <v>19</v>
      </c>
      <c r="I610" s="30" t="s">
        <v>20</v>
      </c>
      <c r="J610" s="31" t="s">
        <v>75</v>
      </c>
      <c r="M610" t="s">
        <v>813</v>
      </c>
    </row>
    <row r="611" spans="1:13" thickBot="1">
      <c r="A611" s="29" t="s">
        <v>865</v>
      </c>
      <c r="B611" s="30" t="s">
        <v>17</v>
      </c>
      <c r="C611" s="30">
        <v>56</v>
      </c>
      <c r="D611" s="30" t="s">
        <v>41</v>
      </c>
      <c r="E611" s="30">
        <v>1000</v>
      </c>
      <c r="F611" s="30">
        <v>31</v>
      </c>
      <c r="G611" s="30" t="s">
        <v>566</v>
      </c>
      <c r="H611" s="42" t="s">
        <v>19</v>
      </c>
      <c r="I611" s="30" t="s">
        <v>20</v>
      </c>
      <c r="J611" s="31" t="s">
        <v>75</v>
      </c>
      <c r="M611" t="s">
        <v>813</v>
      </c>
    </row>
    <row r="612" spans="1:13" thickBot="1">
      <c r="A612" s="29" t="s">
        <v>866</v>
      </c>
      <c r="B612" s="30" t="s">
        <v>17</v>
      </c>
      <c r="C612" s="30">
        <v>56</v>
      </c>
      <c r="D612" s="30" t="s">
        <v>41</v>
      </c>
      <c r="E612" s="30">
        <v>1000</v>
      </c>
      <c r="F612" s="30">
        <v>31</v>
      </c>
      <c r="G612" s="30" t="s">
        <v>566</v>
      </c>
      <c r="H612" s="42" t="s">
        <v>19</v>
      </c>
      <c r="I612" s="30" t="s">
        <v>20</v>
      </c>
      <c r="J612" s="31" t="s">
        <v>75</v>
      </c>
      <c r="M612" t="s">
        <v>813</v>
      </c>
    </row>
    <row r="613" spans="1:13" thickBot="1">
      <c r="A613" s="29" t="s">
        <v>867</v>
      </c>
      <c r="B613" s="30" t="s">
        <v>17</v>
      </c>
      <c r="C613" s="30">
        <v>56</v>
      </c>
      <c r="D613" s="30" t="s">
        <v>41</v>
      </c>
      <c r="E613" s="30">
        <v>1000</v>
      </c>
      <c r="F613" s="30">
        <v>31</v>
      </c>
      <c r="G613" s="30" t="s">
        <v>566</v>
      </c>
      <c r="H613" s="42" t="s">
        <v>19</v>
      </c>
      <c r="I613" s="30" t="s">
        <v>20</v>
      </c>
      <c r="J613" s="31" t="s">
        <v>75</v>
      </c>
      <c r="M613" t="s">
        <v>813</v>
      </c>
    </row>
    <row r="614" spans="1:13" thickBot="1">
      <c r="A614" s="29" t="s">
        <v>868</v>
      </c>
      <c r="B614" s="30" t="s">
        <v>17</v>
      </c>
      <c r="C614" s="30">
        <v>56</v>
      </c>
      <c r="D614" s="30" t="s">
        <v>41</v>
      </c>
      <c r="E614" s="30">
        <v>1000</v>
      </c>
      <c r="F614" s="30">
        <v>31</v>
      </c>
      <c r="G614" s="30" t="s">
        <v>566</v>
      </c>
      <c r="H614" s="42" t="s">
        <v>19</v>
      </c>
      <c r="I614" s="30" t="s">
        <v>20</v>
      </c>
      <c r="J614" s="31" t="s">
        <v>75</v>
      </c>
      <c r="M614" t="s">
        <v>813</v>
      </c>
    </row>
    <row r="615" spans="1:13" thickBot="1">
      <c r="A615" s="29" t="s">
        <v>869</v>
      </c>
      <c r="B615" s="30" t="s">
        <v>17</v>
      </c>
      <c r="C615" s="30">
        <v>56</v>
      </c>
      <c r="D615" s="30" t="s">
        <v>41</v>
      </c>
      <c r="E615" s="30">
        <v>1000</v>
      </c>
      <c r="F615" s="30">
        <v>31</v>
      </c>
      <c r="G615" s="30" t="s">
        <v>566</v>
      </c>
      <c r="H615" s="42" t="s">
        <v>19</v>
      </c>
      <c r="I615" s="30" t="s">
        <v>20</v>
      </c>
      <c r="J615" s="31" t="s">
        <v>75</v>
      </c>
      <c r="M615" t="s">
        <v>813</v>
      </c>
    </row>
    <row r="616" spans="1:13" thickBot="1">
      <c r="A616" s="29" t="s">
        <v>870</v>
      </c>
      <c r="B616" s="30" t="s">
        <v>17</v>
      </c>
      <c r="C616" s="30">
        <v>56</v>
      </c>
      <c r="D616" s="30" t="s">
        <v>41</v>
      </c>
      <c r="E616" s="30">
        <v>1000</v>
      </c>
      <c r="F616" s="30">
        <v>31</v>
      </c>
      <c r="G616" s="30" t="s">
        <v>566</v>
      </c>
      <c r="H616" s="42" t="s">
        <v>19</v>
      </c>
      <c r="I616" s="30" t="s">
        <v>20</v>
      </c>
      <c r="J616" s="31" t="s">
        <v>75</v>
      </c>
      <c r="M616" t="s">
        <v>813</v>
      </c>
    </row>
    <row r="617" spans="1:13" thickBot="1">
      <c r="A617" s="29" t="s">
        <v>871</v>
      </c>
      <c r="B617" s="30" t="s">
        <v>17</v>
      </c>
      <c r="C617" s="30">
        <v>56</v>
      </c>
      <c r="D617" s="30" t="s">
        <v>41</v>
      </c>
      <c r="E617" s="30">
        <v>1000</v>
      </c>
      <c r="F617" s="30">
        <v>31</v>
      </c>
      <c r="G617" s="30" t="s">
        <v>566</v>
      </c>
      <c r="H617" s="42" t="s">
        <v>19</v>
      </c>
      <c r="I617" s="30" t="s">
        <v>20</v>
      </c>
      <c r="J617" s="31" t="s">
        <v>75</v>
      </c>
      <c r="M617" t="s">
        <v>813</v>
      </c>
    </row>
    <row r="618" spans="1:13" thickBot="1">
      <c r="A618" s="29" t="s">
        <v>872</v>
      </c>
      <c r="B618" s="30" t="s">
        <v>17</v>
      </c>
      <c r="C618" s="30">
        <v>56</v>
      </c>
      <c r="D618" s="30" t="s">
        <v>41</v>
      </c>
      <c r="E618" s="30">
        <v>1000</v>
      </c>
      <c r="F618" s="30">
        <v>31</v>
      </c>
      <c r="G618" s="30" t="s">
        <v>566</v>
      </c>
      <c r="H618" s="42" t="s">
        <v>19</v>
      </c>
      <c r="I618" s="30" t="s">
        <v>20</v>
      </c>
      <c r="J618" s="31" t="s">
        <v>75</v>
      </c>
      <c r="M618" t="s">
        <v>813</v>
      </c>
    </row>
    <row r="619" spans="1:13" thickBot="1">
      <c r="A619" s="29" t="s">
        <v>873</v>
      </c>
      <c r="B619" s="30" t="s">
        <v>17</v>
      </c>
      <c r="C619" s="30">
        <v>56</v>
      </c>
      <c r="D619" s="30" t="s">
        <v>41</v>
      </c>
      <c r="E619" s="30">
        <v>1000</v>
      </c>
      <c r="F619" s="30">
        <v>31</v>
      </c>
      <c r="G619" s="30" t="s">
        <v>566</v>
      </c>
      <c r="H619" s="42" t="s">
        <v>19</v>
      </c>
      <c r="I619" s="30" t="s">
        <v>20</v>
      </c>
      <c r="J619" s="31" t="s">
        <v>75</v>
      </c>
      <c r="M619" t="s">
        <v>813</v>
      </c>
    </row>
    <row r="620" spans="1:13" thickBot="1">
      <c r="A620" s="29" t="s">
        <v>874</v>
      </c>
      <c r="B620" s="30" t="s">
        <v>17</v>
      </c>
      <c r="C620" s="30">
        <v>56</v>
      </c>
      <c r="D620" s="30" t="s">
        <v>41</v>
      </c>
      <c r="E620" s="30">
        <v>1000</v>
      </c>
      <c r="F620" s="30">
        <v>31</v>
      </c>
      <c r="G620" s="30" t="s">
        <v>566</v>
      </c>
      <c r="H620" s="42" t="s">
        <v>19</v>
      </c>
      <c r="I620" s="30" t="s">
        <v>20</v>
      </c>
      <c r="J620" s="31" t="s">
        <v>75</v>
      </c>
      <c r="M620" t="s">
        <v>813</v>
      </c>
    </row>
    <row r="621" spans="1:13" thickBot="1">
      <c r="A621" s="29" t="s">
        <v>875</v>
      </c>
      <c r="B621" s="30" t="s">
        <v>17</v>
      </c>
      <c r="C621" s="30">
        <v>56</v>
      </c>
      <c r="D621" s="30" t="s">
        <v>41</v>
      </c>
      <c r="E621" s="30">
        <v>1000</v>
      </c>
      <c r="F621" s="30">
        <v>31</v>
      </c>
      <c r="G621" s="30" t="s">
        <v>566</v>
      </c>
      <c r="H621" s="42" t="s">
        <v>19</v>
      </c>
      <c r="I621" s="30" t="s">
        <v>20</v>
      </c>
      <c r="J621" s="31" t="s">
        <v>75</v>
      </c>
      <c r="M621" t="s">
        <v>813</v>
      </c>
    </row>
    <row r="622" spans="1:13" thickBot="1">
      <c r="A622" s="29" t="s">
        <v>876</v>
      </c>
      <c r="B622" s="30" t="s">
        <v>17</v>
      </c>
      <c r="C622" s="30">
        <v>56</v>
      </c>
      <c r="D622" s="30" t="s">
        <v>41</v>
      </c>
      <c r="E622" s="30">
        <v>1000</v>
      </c>
      <c r="F622" s="30">
        <v>31</v>
      </c>
      <c r="G622" s="30" t="s">
        <v>566</v>
      </c>
      <c r="H622" s="42" t="s">
        <v>19</v>
      </c>
      <c r="I622" s="30" t="s">
        <v>20</v>
      </c>
      <c r="J622" s="31" t="s">
        <v>75</v>
      </c>
      <c r="M622" t="s">
        <v>813</v>
      </c>
    </row>
    <row r="623" spans="1:13" thickBot="1">
      <c r="A623" s="29" t="s">
        <v>877</v>
      </c>
      <c r="B623" s="30" t="s">
        <v>17</v>
      </c>
      <c r="C623" s="30">
        <v>56</v>
      </c>
      <c r="D623" s="30" t="s">
        <v>41</v>
      </c>
      <c r="E623" s="30">
        <v>1000</v>
      </c>
      <c r="F623" s="30">
        <v>3</v>
      </c>
      <c r="G623" s="30" t="s">
        <v>191</v>
      </c>
      <c r="H623" s="42" t="s">
        <v>42</v>
      </c>
      <c r="I623" s="30" t="s">
        <v>20</v>
      </c>
      <c r="J623" s="31" t="s">
        <v>75</v>
      </c>
      <c r="M623" t="s">
        <v>878</v>
      </c>
    </row>
    <row r="624" spans="1:13" thickBot="1">
      <c r="A624" s="29" t="s">
        <v>879</v>
      </c>
      <c r="B624" s="30" t="s">
        <v>17</v>
      </c>
      <c r="C624" s="30">
        <v>56</v>
      </c>
      <c r="D624" s="30" t="s">
        <v>41</v>
      </c>
      <c r="E624" s="30">
        <v>1000</v>
      </c>
      <c r="F624" s="30">
        <v>2</v>
      </c>
      <c r="G624" s="30" t="s">
        <v>191</v>
      </c>
      <c r="H624" s="42" t="s">
        <v>42</v>
      </c>
      <c r="I624" s="30" t="s">
        <v>20</v>
      </c>
      <c r="J624" s="31" t="s">
        <v>75</v>
      </c>
      <c r="M624" t="s">
        <v>880</v>
      </c>
    </row>
    <row r="625" spans="1:13" thickBot="1">
      <c r="A625" s="29" t="s">
        <v>881</v>
      </c>
      <c r="B625" s="30" t="s">
        <v>17</v>
      </c>
      <c r="C625" s="30">
        <v>56</v>
      </c>
      <c r="D625" s="30" t="s">
        <v>41</v>
      </c>
      <c r="E625" s="30">
        <v>1000</v>
      </c>
      <c r="F625" s="30">
        <v>2</v>
      </c>
      <c r="G625" s="30" t="s">
        <v>191</v>
      </c>
      <c r="H625" s="42" t="s">
        <v>42</v>
      </c>
      <c r="I625" s="30" t="s">
        <v>20</v>
      </c>
      <c r="J625" s="31" t="s">
        <v>75</v>
      </c>
      <c r="M625" t="s">
        <v>882</v>
      </c>
    </row>
    <row r="626" spans="1:13" thickBot="1">
      <c r="A626" s="29" t="s">
        <v>883</v>
      </c>
      <c r="B626" s="30" t="s">
        <v>17</v>
      </c>
      <c r="C626" s="30">
        <v>56</v>
      </c>
      <c r="D626" s="30" t="s">
        <v>41</v>
      </c>
      <c r="E626" s="30">
        <v>1000</v>
      </c>
      <c r="F626" s="30">
        <v>2</v>
      </c>
      <c r="G626" s="30" t="s">
        <v>191</v>
      </c>
      <c r="H626" s="42" t="s">
        <v>42</v>
      </c>
      <c r="I626" s="30" t="s">
        <v>20</v>
      </c>
      <c r="J626" s="31" t="s">
        <v>884</v>
      </c>
      <c r="M626" t="s">
        <v>885</v>
      </c>
    </row>
    <row r="627" spans="1:13" thickBot="1">
      <c r="A627" s="29" t="s">
        <v>886</v>
      </c>
      <c r="B627" s="30" t="s">
        <v>17</v>
      </c>
      <c r="C627" s="30">
        <v>56</v>
      </c>
      <c r="D627" s="30" t="s">
        <v>41</v>
      </c>
      <c r="E627" s="30">
        <v>1000</v>
      </c>
      <c r="F627" s="30">
        <v>2</v>
      </c>
      <c r="G627" s="30" t="s">
        <v>191</v>
      </c>
      <c r="H627" s="42" t="s">
        <v>42</v>
      </c>
      <c r="I627" s="30" t="s">
        <v>20</v>
      </c>
      <c r="J627" s="31" t="s">
        <v>884</v>
      </c>
      <c r="M627" t="s">
        <v>887</v>
      </c>
    </row>
    <row r="628" spans="1:13" thickBot="1">
      <c r="A628" s="29" t="s">
        <v>888</v>
      </c>
      <c r="B628" s="30" t="s">
        <v>17</v>
      </c>
      <c r="C628" s="30">
        <v>56</v>
      </c>
      <c r="D628" s="30" t="s">
        <v>41</v>
      </c>
      <c r="E628" s="30">
        <v>1000</v>
      </c>
      <c r="F628" s="30">
        <v>31</v>
      </c>
      <c r="G628" s="30" t="s">
        <v>65</v>
      </c>
      <c r="H628" s="42" t="s">
        <v>19</v>
      </c>
      <c r="I628" s="30" t="s">
        <v>20</v>
      </c>
      <c r="J628" s="31" t="s">
        <v>75</v>
      </c>
      <c r="M628" t="s">
        <v>817</v>
      </c>
    </row>
    <row r="629" spans="1:13" thickBot="1">
      <c r="A629" s="29" t="s">
        <v>889</v>
      </c>
      <c r="B629" s="30" t="s">
        <v>17</v>
      </c>
      <c r="C629" s="30">
        <v>56</v>
      </c>
      <c r="D629" s="30" t="s">
        <v>41</v>
      </c>
      <c r="E629" s="30">
        <v>1000</v>
      </c>
      <c r="F629" s="30">
        <v>31</v>
      </c>
      <c r="G629" s="30" t="s">
        <v>65</v>
      </c>
      <c r="H629" s="42" t="s">
        <v>19</v>
      </c>
      <c r="I629" s="30" t="s">
        <v>20</v>
      </c>
      <c r="J629" s="31" t="s">
        <v>75</v>
      </c>
      <c r="M629" t="s">
        <v>817</v>
      </c>
    </row>
    <row r="630" spans="1:13" thickBot="1">
      <c r="A630" s="29" t="s">
        <v>890</v>
      </c>
      <c r="B630" s="30" t="s">
        <v>17</v>
      </c>
      <c r="C630" s="30">
        <v>56</v>
      </c>
      <c r="D630" s="30" t="s">
        <v>41</v>
      </c>
      <c r="E630" s="30">
        <v>1000</v>
      </c>
      <c r="F630" s="30">
        <v>31</v>
      </c>
      <c r="G630" s="30" t="s">
        <v>65</v>
      </c>
      <c r="H630" s="42" t="s">
        <v>19</v>
      </c>
      <c r="I630" s="30" t="s">
        <v>20</v>
      </c>
      <c r="J630" s="31" t="s">
        <v>75</v>
      </c>
      <c r="M630" t="s">
        <v>817</v>
      </c>
    </row>
    <row r="631" spans="1:13" thickBot="1">
      <c r="A631" s="29" t="s">
        <v>891</v>
      </c>
      <c r="B631" s="30" t="s">
        <v>17</v>
      </c>
      <c r="C631" s="30">
        <v>56</v>
      </c>
      <c r="D631" s="30" t="s">
        <v>41</v>
      </c>
      <c r="E631" s="30">
        <v>1000</v>
      </c>
      <c r="F631" s="30">
        <v>31</v>
      </c>
      <c r="G631" s="30" t="s">
        <v>65</v>
      </c>
      <c r="H631" s="42" t="s">
        <v>19</v>
      </c>
      <c r="I631" s="30" t="s">
        <v>20</v>
      </c>
      <c r="J631" s="31" t="s">
        <v>75</v>
      </c>
      <c r="M631" t="s">
        <v>817</v>
      </c>
    </row>
    <row r="632" spans="1:13" thickBot="1">
      <c r="A632" s="29" t="s">
        <v>892</v>
      </c>
      <c r="B632" s="30" t="s">
        <v>17</v>
      </c>
      <c r="C632" s="30">
        <v>56</v>
      </c>
      <c r="D632" s="30" t="s">
        <v>41</v>
      </c>
      <c r="E632" s="30">
        <v>1000</v>
      </c>
      <c r="F632" s="30">
        <v>31</v>
      </c>
      <c r="G632" s="30" t="s">
        <v>65</v>
      </c>
      <c r="H632" s="42" t="s">
        <v>19</v>
      </c>
      <c r="I632" s="30" t="s">
        <v>20</v>
      </c>
      <c r="J632" s="31" t="s">
        <v>75</v>
      </c>
      <c r="M632" t="s">
        <v>817</v>
      </c>
    </row>
    <row r="633" spans="1:13" thickBot="1">
      <c r="A633" s="29" t="s">
        <v>893</v>
      </c>
      <c r="B633" s="30" t="s">
        <v>17</v>
      </c>
      <c r="C633" s="30">
        <v>56</v>
      </c>
      <c r="D633" s="30" t="s">
        <v>41</v>
      </c>
      <c r="E633" s="30">
        <v>1000</v>
      </c>
      <c r="F633" s="30">
        <v>31</v>
      </c>
      <c r="G633" s="30" t="s">
        <v>65</v>
      </c>
      <c r="H633" s="42" t="s">
        <v>19</v>
      </c>
      <c r="I633" s="30" t="s">
        <v>20</v>
      </c>
      <c r="J633" s="31" t="s">
        <v>75</v>
      </c>
      <c r="M633" t="s">
        <v>817</v>
      </c>
    </row>
    <row r="634" spans="1:13" thickBot="1">
      <c r="A634" s="29" t="s">
        <v>894</v>
      </c>
      <c r="B634" s="30" t="s">
        <v>17</v>
      </c>
      <c r="C634" s="30">
        <v>56</v>
      </c>
      <c r="D634" s="30" t="s">
        <v>41</v>
      </c>
      <c r="E634" s="30">
        <v>1000</v>
      </c>
      <c r="F634" s="30">
        <v>31</v>
      </c>
      <c r="G634" s="30" t="s">
        <v>65</v>
      </c>
      <c r="H634" s="42" t="s">
        <v>19</v>
      </c>
      <c r="I634" s="30" t="s">
        <v>20</v>
      </c>
      <c r="J634" s="31" t="s">
        <v>75</v>
      </c>
      <c r="M634" t="s">
        <v>817</v>
      </c>
    </row>
    <row r="635" spans="1:13" thickBot="1">
      <c r="A635" s="29" t="s">
        <v>895</v>
      </c>
      <c r="B635" s="30" t="s">
        <v>17</v>
      </c>
      <c r="C635" s="30">
        <v>56</v>
      </c>
      <c r="D635" s="30" t="s">
        <v>41</v>
      </c>
      <c r="E635" s="30">
        <v>1000</v>
      </c>
      <c r="F635" s="30">
        <v>31</v>
      </c>
      <c r="G635" s="30" t="s">
        <v>65</v>
      </c>
      <c r="H635" s="42" t="s">
        <v>19</v>
      </c>
      <c r="I635" s="30" t="s">
        <v>20</v>
      </c>
      <c r="J635" s="31" t="s">
        <v>75</v>
      </c>
      <c r="M635" t="s">
        <v>817</v>
      </c>
    </row>
    <row r="636" spans="1:13" thickBot="1">
      <c r="A636" s="29" t="s">
        <v>896</v>
      </c>
      <c r="B636" s="30" t="s">
        <v>17</v>
      </c>
      <c r="C636" s="30">
        <v>56</v>
      </c>
      <c r="D636" s="30" t="s">
        <v>41</v>
      </c>
      <c r="E636" s="30">
        <v>1000</v>
      </c>
      <c r="F636" s="30">
        <v>31</v>
      </c>
      <c r="G636" s="30" t="s">
        <v>65</v>
      </c>
      <c r="H636" s="42" t="s">
        <v>19</v>
      </c>
      <c r="I636" s="30" t="s">
        <v>20</v>
      </c>
      <c r="J636" s="31" t="s">
        <v>75</v>
      </c>
      <c r="M636" t="s">
        <v>817</v>
      </c>
    </row>
    <row r="637" spans="1:13" thickBot="1">
      <c r="A637" s="29" t="s">
        <v>897</v>
      </c>
      <c r="B637" s="30" t="s">
        <v>17</v>
      </c>
      <c r="C637" s="30">
        <v>56</v>
      </c>
      <c r="D637" s="30" t="s">
        <v>41</v>
      </c>
      <c r="E637" s="30">
        <v>1000</v>
      </c>
      <c r="F637" s="30">
        <v>31</v>
      </c>
      <c r="G637" s="30" t="s">
        <v>65</v>
      </c>
      <c r="H637" s="42" t="s">
        <v>19</v>
      </c>
      <c r="I637" s="30" t="s">
        <v>20</v>
      </c>
      <c r="J637" s="31" t="s">
        <v>75</v>
      </c>
      <c r="M637" t="s">
        <v>817</v>
      </c>
    </row>
    <row r="638" spans="1:13" thickBot="1">
      <c r="A638" s="29" t="s">
        <v>898</v>
      </c>
      <c r="B638" s="30" t="s">
        <v>17</v>
      </c>
      <c r="C638" s="30">
        <v>56</v>
      </c>
      <c r="D638" s="30" t="s">
        <v>41</v>
      </c>
      <c r="E638" s="30">
        <v>1000</v>
      </c>
      <c r="F638" s="30">
        <v>31</v>
      </c>
      <c r="G638" s="30" t="s">
        <v>65</v>
      </c>
      <c r="H638" s="42" t="s">
        <v>19</v>
      </c>
      <c r="I638" s="30" t="s">
        <v>20</v>
      </c>
      <c r="J638" s="31" t="s">
        <v>75</v>
      </c>
      <c r="M638" t="s">
        <v>817</v>
      </c>
    </row>
    <row r="639" spans="1:13" thickBot="1">
      <c r="A639" s="29" t="s">
        <v>899</v>
      </c>
      <c r="B639" s="30" t="s">
        <v>17</v>
      </c>
      <c r="C639" s="30">
        <v>56</v>
      </c>
      <c r="D639" s="30" t="s">
        <v>41</v>
      </c>
      <c r="E639" s="30">
        <v>1000</v>
      </c>
      <c r="F639" s="30">
        <v>31</v>
      </c>
      <c r="G639" s="30" t="s">
        <v>65</v>
      </c>
      <c r="H639" s="42" t="s">
        <v>19</v>
      </c>
      <c r="I639" s="30" t="s">
        <v>20</v>
      </c>
      <c r="J639" s="31" t="s">
        <v>75</v>
      </c>
      <c r="M639" t="s">
        <v>817</v>
      </c>
    </row>
    <row r="640" spans="1:13" thickBot="1">
      <c r="A640" s="29" t="s">
        <v>900</v>
      </c>
      <c r="B640" s="30" t="s">
        <v>17</v>
      </c>
      <c r="C640" s="30">
        <v>56</v>
      </c>
      <c r="D640" s="30" t="s">
        <v>41</v>
      </c>
      <c r="E640" s="30">
        <v>1000</v>
      </c>
      <c r="F640" s="30">
        <v>31</v>
      </c>
      <c r="G640" s="30" t="s">
        <v>65</v>
      </c>
      <c r="H640" s="42" t="s">
        <v>19</v>
      </c>
      <c r="I640" s="30" t="s">
        <v>20</v>
      </c>
      <c r="J640" s="31" t="s">
        <v>75</v>
      </c>
      <c r="M640" t="s">
        <v>817</v>
      </c>
    </row>
    <row r="641" spans="1:13" thickBot="1">
      <c r="A641" s="29" t="s">
        <v>901</v>
      </c>
      <c r="B641" s="30" t="s">
        <v>17</v>
      </c>
      <c r="C641" s="30">
        <v>56</v>
      </c>
      <c r="D641" s="30" t="s">
        <v>41</v>
      </c>
      <c r="E641" s="30">
        <v>1000</v>
      </c>
      <c r="F641" s="30">
        <v>31</v>
      </c>
      <c r="G641" s="30" t="s">
        <v>65</v>
      </c>
      <c r="H641" s="42" t="s">
        <v>19</v>
      </c>
      <c r="I641" s="30" t="s">
        <v>20</v>
      </c>
      <c r="J641" s="31" t="s">
        <v>75</v>
      </c>
      <c r="M641" t="s">
        <v>817</v>
      </c>
    </row>
    <row r="642" spans="1:13" thickBot="1">
      <c r="A642" s="29" t="s">
        <v>902</v>
      </c>
      <c r="B642" s="30" t="s">
        <v>17</v>
      </c>
      <c r="C642" s="30">
        <v>56</v>
      </c>
      <c r="D642" s="30" t="s">
        <v>41</v>
      </c>
      <c r="E642" s="30">
        <v>1000</v>
      </c>
      <c r="F642" s="30">
        <v>31</v>
      </c>
      <c r="G642" s="30" t="s">
        <v>65</v>
      </c>
      <c r="H642" s="42" t="s">
        <v>19</v>
      </c>
      <c r="I642" s="30" t="s">
        <v>20</v>
      </c>
      <c r="J642" s="31" t="s">
        <v>75</v>
      </c>
      <c r="M642" t="s">
        <v>817</v>
      </c>
    </row>
    <row r="643" spans="1:13" thickBot="1">
      <c r="A643" s="29" t="s">
        <v>903</v>
      </c>
      <c r="B643" s="30" t="s">
        <v>17</v>
      </c>
      <c r="C643" s="30">
        <v>56</v>
      </c>
      <c r="D643" s="30" t="s">
        <v>41</v>
      </c>
      <c r="E643" s="30">
        <v>1000</v>
      </c>
      <c r="F643" s="30">
        <v>31</v>
      </c>
      <c r="G643" s="30" t="s">
        <v>65</v>
      </c>
      <c r="H643" s="42" t="s">
        <v>19</v>
      </c>
      <c r="I643" s="30" t="s">
        <v>20</v>
      </c>
      <c r="J643" s="31" t="s">
        <v>75</v>
      </c>
      <c r="M643" t="s">
        <v>817</v>
      </c>
    </row>
    <row r="644" spans="1:13" thickBot="1">
      <c r="A644" s="29" t="s">
        <v>904</v>
      </c>
      <c r="B644" s="30" t="s">
        <v>17</v>
      </c>
      <c r="C644" s="30">
        <v>56</v>
      </c>
      <c r="D644" s="30" t="s">
        <v>41</v>
      </c>
      <c r="E644" s="30">
        <v>1000</v>
      </c>
      <c r="F644" s="30">
        <v>32</v>
      </c>
      <c r="G644" s="30" t="s">
        <v>65</v>
      </c>
      <c r="H644" s="42" t="s">
        <v>19</v>
      </c>
      <c r="I644" s="30" t="s">
        <v>20</v>
      </c>
      <c r="J644" s="31" t="s">
        <v>75</v>
      </c>
      <c r="M644" t="s">
        <v>817</v>
      </c>
    </row>
    <row r="645" spans="1:13" thickBot="1">
      <c r="A645" s="29" t="s">
        <v>905</v>
      </c>
      <c r="B645" s="30" t="s">
        <v>17</v>
      </c>
      <c r="C645" s="30">
        <v>56</v>
      </c>
      <c r="D645" s="30" t="s">
        <v>41</v>
      </c>
      <c r="E645" s="30">
        <v>1000</v>
      </c>
      <c r="F645" s="30">
        <v>32</v>
      </c>
      <c r="G645" s="30" t="s">
        <v>65</v>
      </c>
      <c r="H645" s="42" t="s">
        <v>19</v>
      </c>
      <c r="I645" s="30" t="s">
        <v>20</v>
      </c>
      <c r="J645" s="31" t="s">
        <v>75</v>
      </c>
      <c r="M645" t="s">
        <v>817</v>
      </c>
    </row>
    <row r="646" spans="1:13" thickBot="1">
      <c r="A646" s="29" t="s">
        <v>906</v>
      </c>
      <c r="B646" s="30" t="s">
        <v>17</v>
      </c>
      <c r="C646" s="30">
        <v>56</v>
      </c>
      <c r="D646" s="30" t="s">
        <v>41</v>
      </c>
      <c r="E646" s="30">
        <v>1000</v>
      </c>
      <c r="F646" s="30">
        <v>8</v>
      </c>
      <c r="G646" s="30" t="s">
        <v>191</v>
      </c>
      <c r="H646" s="42" t="s">
        <v>42</v>
      </c>
      <c r="I646" s="30" t="s">
        <v>20</v>
      </c>
      <c r="J646" s="31" t="s">
        <v>75</v>
      </c>
      <c r="M646" t="s">
        <v>878</v>
      </c>
    </row>
    <row r="647" spans="1:13" thickBot="1">
      <c r="A647" s="29" t="s">
        <v>907</v>
      </c>
      <c r="B647" s="30" t="s">
        <v>17</v>
      </c>
      <c r="C647" s="30">
        <v>56</v>
      </c>
      <c r="D647" s="30" t="s">
        <v>41</v>
      </c>
      <c r="E647" s="30">
        <v>1000</v>
      </c>
      <c r="F647" s="30">
        <v>3</v>
      </c>
      <c r="G647" s="30" t="s">
        <v>191</v>
      </c>
      <c r="H647" s="42" t="s">
        <v>42</v>
      </c>
      <c r="I647" s="30" t="s">
        <v>20</v>
      </c>
      <c r="J647" s="31" t="s">
        <v>75</v>
      </c>
      <c r="M647" t="s">
        <v>908</v>
      </c>
    </row>
    <row r="648" spans="1:13" thickBot="1">
      <c r="A648" s="29" t="s">
        <v>909</v>
      </c>
      <c r="B648" s="30" t="s">
        <v>17</v>
      </c>
      <c r="C648" s="30">
        <v>56</v>
      </c>
      <c r="D648" s="30" t="s">
        <v>41</v>
      </c>
      <c r="E648" s="30">
        <v>1000</v>
      </c>
      <c r="F648" s="30">
        <v>3</v>
      </c>
      <c r="G648" s="30" t="s">
        <v>191</v>
      </c>
      <c r="H648" s="42" t="s">
        <v>42</v>
      </c>
      <c r="I648" s="30" t="s">
        <v>20</v>
      </c>
      <c r="J648" s="31" t="s">
        <v>910</v>
      </c>
      <c r="M648" t="s">
        <v>911</v>
      </c>
    </row>
    <row r="649" spans="1:13" thickBot="1">
      <c r="A649" s="29" t="s">
        <v>912</v>
      </c>
      <c r="B649" s="30" t="s">
        <v>17</v>
      </c>
      <c r="C649" s="30">
        <v>56</v>
      </c>
      <c r="D649" s="30" t="s">
        <v>41</v>
      </c>
      <c r="E649" s="30">
        <v>1000</v>
      </c>
      <c r="F649" s="30">
        <v>19</v>
      </c>
      <c r="G649" s="30" t="s">
        <v>191</v>
      </c>
      <c r="H649" s="42" t="s">
        <v>19</v>
      </c>
      <c r="I649" s="30" t="s">
        <v>20</v>
      </c>
      <c r="J649" s="31" t="s">
        <v>75</v>
      </c>
      <c r="M649" t="s">
        <v>913</v>
      </c>
    </row>
    <row r="650" spans="1:13" thickBot="1">
      <c r="A650" s="29" t="s">
        <v>914</v>
      </c>
      <c r="B650" s="30" t="s">
        <v>17</v>
      </c>
      <c r="C650" s="30">
        <v>56</v>
      </c>
      <c r="D650" s="30" t="s">
        <v>41</v>
      </c>
      <c r="E650" s="30">
        <v>1000</v>
      </c>
      <c r="F650" s="30">
        <v>17</v>
      </c>
      <c r="G650" s="30" t="s">
        <v>191</v>
      </c>
      <c r="H650" s="42" t="s">
        <v>19</v>
      </c>
      <c r="I650" s="30" t="s">
        <v>20</v>
      </c>
      <c r="J650" s="31" t="s">
        <v>910</v>
      </c>
      <c r="M650" t="s">
        <v>915</v>
      </c>
    </row>
    <row r="651" spans="1:13" thickBot="1">
      <c r="A651" s="29" t="s">
        <v>916</v>
      </c>
      <c r="B651" s="30" t="s">
        <v>17</v>
      </c>
      <c r="C651" s="30">
        <v>56</v>
      </c>
      <c r="D651" s="30" t="s">
        <v>41</v>
      </c>
      <c r="E651" s="30">
        <v>1000</v>
      </c>
      <c r="F651" s="30">
        <v>16</v>
      </c>
      <c r="G651" s="30" t="s">
        <v>191</v>
      </c>
      <c r="H651" s="42" t="s">
        <v>19</v>
      </c>
      <c r="I651" s="30" t="s">
        <v>20</v>
      </c>
      <c r="J651" s="31" t="s">
        <v>910</v>
      </c>
      <c r="M651" t="s">
        <v>917</v>
      </c>
    </row>
    <row r="652" spans="1:13" thickBot="1">
      <c r="A652" s="29" t="s">
        <v>918</v>
      </c>
      <c r="B652" s="30" t="s">
        <v>17</v>
      </c>
      <c r="C652" s="30">
        <v>56</v>
      </c>
      <c r="D652" s="30" t="s">
        <v>41</v>
      </c>
      <c r="E652" s="30">
        <v>1000</v>
      </c>
      <c r="F652" s="30" t="s">
        <v>41</v>
      </c>
      <c r="G652" s="30" t="s">
        <v>191</v>
      </c>
      <c r="H652" s="42" t="s">
        <v>19</v>
      </c>
      <c r="I652" s="30" t="s">
        <v>20</v>
      </c>
      <c r="J652" s="31" t="s">
        <v>910</v>
      </c>
      <c r="M652" t="s">
        <v>919</v>
      </c>
    </row>
    <row r="653" spans="1:13" thickBot="1">
      <c r="A653" s="29" t="s">
        <v>920</v>
      </c>
      <c r="B653" s="30" t="s">
        <v>17</v>
      </c>
      <c r="C653" s="30">
        <v>56</v>
      </c>
      <c r="D653" s="30" t="s">
        <v>41</v>
      </c>
      <c r="E653" s="30">
        <v>1000</v>
      </c>
      <c r="F653" s="30">
        <v>31</v>
      </c>
      <c r="G653" s="30" t="s">
        <v>566</v>
      </c>
      <c r="H653" s="42" t="s">
        <v>19</v>
      </c>
      <c r="I653" s="30" t="s">
        <v>20</v>
      </c>
      <c r="J653" s="31" t="s">
        <v>75</v>
      </c>
    </row>
    <row r="654" spans="1:13" thickBot="1">
      <c r="A654" s="29" t="s">
        <v>921</v>
      </c>
      <c r="B654" s="30" t="s">
        <v>17</v>
      </c>
      <c r="C654" s="30">
        <v>56</v>
      </c>
      <c r="D654" s="30" t="s">
        <v>41</v>
      </c>
      <c r="E654" s="30">
        <v>1000</v>
      </c>
      <c r="F654" s="30">
        <v>31</v>
      </c>
      <c r="G654" s="30" t="s">
        <v>566</v>
      </c>
      <c r="H654" s="42" t="s">
        <v>19</v>
      </c>
      <c r="I654" s="30" t="s">
        <v>20</v>
      </c>
      <c r="J654" s="31" t="s">
        <v>75</v>
      </c>
    </row>
    <row r="655" spans="1:13" thickBot="1">
      <c r="A655" s="29" t="s">
        <v>922</v>
      </c>
      <c r="B655" s="30" t="s">
        <v>17</v>
      </c>
      <c r="C655" s="30">
        <v>56</v>
      </c>
      <c r="D655" s="30" t="s">
        <v>41</v>
      </c>
      <c r="E655" s="30">
        <v>1000</v>
      </c>
      <c r="F655" s="30">
        <v>31</v>
      </c>
      <c r="G655" s="30" t="s">
        <v>566</v>
      </c>
      <c r="H655" s="42" t="s">
        <v>19</v>
      </c>
      <c r="I655" s="30" t="s">
        <v>20</v>
      </c>
      <c r="J655" s="31" t="s">
        <v>75</v>
      </c>
    </row>
    <row r="656" spans="1:13" thickBot="1">
      <c r="A656" s="29" t="s">
        <v>923</v>
      </c>
      <c r="B656" s="30" t="s">
        <v>17</v>
      </c>
      <c r="C656" s="30">
        <v>56</v>
      </c>
      <c r="D656" s="30" t="s">
        <v>41</v>
      </c>
      <c r="E656" s="30">
        <v>1000</v>
      </c>
      <c r="F656" s="30">
        <v>31</v>
      </c>
      <c r="G656" s="30" t="s">
        <v>566</v>
      </c>
      <c r="H656" s="42" t="s">
        <v>19</v>
      </c>
      <c r="I656" s="30" t="s">
        <v>20</v>
      </c>
      <c r="J656" s="31" t="s">
        <v>75</v>
      </c>
    </row>
    <row r="657" spans="1:13" thickBot="1">
      <c r="A657" s="29" t="s">
        <v>924</v>
      </c>
      <c r="B657" s="30" t="s">
        <v>17</v>
      </c>
      <c r="C657" s="30">
        <v>56</v>
      </c>
      <c r="D657" s="30" t="s">
        <v>41</v>
      </c>
      <c r="E657" s="30">
        <v>1000</v>
      </c>
      <c r="F657" s="30">
        <v>32</v>
      </c>
      <c r="G657" s="30" t="s">
        <v>566</v>
      </c>
      <c r="H657" s="42" t="s">
        <v>19</v>
      </c>
      <c r="I657" s="30" t="s">
        <v>20</v>
      </c>
      <c r="J657" s="31" t="s">
        <v>75</v>
      </c>
    </row>
    <row r="658" spans="1:13" thickBot="1">
      <c r="A658" s="29" t="s">
        <v>925</v>
      </c>
      <c r="B658" s="30" t="s">
        <v>17</v>
      </c>
      <c r="C658" s="30">
        <v>56</v>
      </c>
      <c r="D658" s="30" t="s">
        <v>41</v>
      </c>
      <c r="E658" s="30">
        <v>1000</v>
      </c>
      <c r="F658" s="30">
        <v>31</v>
      </c>
      <c r="G658" s="30" t="s">
        <v>566</v>
      </c>
      <c r="H658" s="42" t="s">
        <v>19</v>
      </c>
      <c r="I658" s="30" t="s">
        <v>20</v>
      </c>
      <c r="J658" s="31" t="s">
        <v>75</v>
      </c>
    </row>
    <row r="659" spans="1:13" thickBot="1">
      <c r="A659" s="29" t="s">
        <v>926</v>
      </c>
      <c r="B659" s="30" t="s">
        <v>17</v>
      </c>
      <c r="C659" s="30">
        <v>56</v>
      </c>
      <c r="D659" s="30" t="s">
        <v>41</v>
      </c>
      <c r="E659" s="30">
        <v>1000</v>
      </c>
      <c r="F659" s="30">
        <v>31</v>
      </c>
      <c r="G659" s="30" t="s">
        <v>566</v>
      </c>
      <c r="H659" s="42" t="s">
        <v>19</v>
      </c>
      <c r="I659" s="30" t="s">
        <v>20</v>
      </c>
      <c r="J659" s="31" t="s">
        <v>75</v>
      </c>
    </row>
    <row r="660" spans="1:13" thickBot="1">
      <c r="A660" s="29" t="s">
        <v>927</v>
      </c>
      <c r="B660" s="30" t="s">
        <v>17</v>
      </c>
      <c r="C660" s="30">
        <v>56</v>
      </c>
      <c r="D660" s="30" t="s">
        <v>41</v>
      </c>
      <c r="E660" s="30">
        <v>1000</v>
      </c>
      <c r="F660" s="30">
        <v>32</v>
      </c>
      <c r="G660" s="30" t="s">
        <v>566</v>
      </c>
      <c r="H660" s="42" t="s">
        <v>19</v>
      </c>
      <c r="I660" s="30" t="s">
        <v>20</v>
      </c>
      <c r="J660" s="31" t="s">
        <v>75</v>
      </c>
    </row>
    <row r="661" spans="1:13" thickBot="1">
      <c r="A661" s="29" t="s">
        <v>928</v>
      </c>
      <c r="B661" s="30" t="s">
        <v>17</v>
      </c>
      <c r="C661" s="30">
        <v>56</v>
      </c>
      <c r="D661" s="30" t="s">
        <v>41</v>
      </c>
      <c r="E661" s="30">
        <v>1000</v>
      </c>
      <c r="F661" s="30">
        <v>31</v>
      </c>
      <c r="G661" s="30" t="s">
        <v>566</v>
      </c>
      <c r="H661" s="42" t="s">
        <v>19</v>
      </c>
      <c r="I661" s="30" t="s">
        <v>20</v>
      </c>
      <c r="J661" s="31" t="s">
        <v>75</v>
      </c>
    </row>
    <row r="662" spans="1:13" thickBot="1">
      <c r="A662" s="29" t="s">
        <v>929</v>
      </c>
      <c r="B662" s="30" t="s">
        <v>17</v>
      </c>
      <c r="C662" s="30">
        <v>56</v>
      </c>
      <c r="D662" s="30" t="s">
        <v>41</v>
      </c>
      <c r="E662" s="30">
        <v>1000</v>
      </c>
      <c r="F662" s="30">
        <v>32</v>
      </c>
      <c r="G662" s="30" t="s">
        <v>566</v>
      </c>
      <c r="H662" s="42" t="s">
        <v>19</v>
      </c>
      <c r="I662" s="30" t="s">
        <v>20</v>
      </c>
      <c r="J662" s="31" t="s">
        <v>75</v>
      </c>
    </row>
    <row r="663" spans="1:13" thickBot="1">
      <c r="A663" s="29" t="s">
        <v>930</v>
      </c>
      <c r="B663" s="30" t="s">
        <v>17</v>
      </c>
      <c r="C663" s="30">
        <v>56</v>
      </c>
      <c r="D663" s="30" t="s">
        <v>41</v>
      </c>
      <c r="E663" s="30">
        <v>1000</v>
      </c>
      <c r="F663" s="30">
        <v>31</v>
      </c>
      <c r="G663" s="30" t="s">
        <v>566</v>
      </c>
      <c r="H663" s="42" t="s">
        <v>19</v>
      </c>
      <c r="I663" s="30" t="s">
        <v>20</v>
      </c>
      <c r="J663" s="31" t="s">
        <v>75</v>
      </c>
    </row>
    <row r="664" spans="1:13" thickBot="1">
      <c r="A664" s="29" t="s">
        <v>931</v>
      </c>
      <c r="B664" s="30" t="s">
        <v>17</v>
      </c>
      <c r="C664" s="30">
        <v>56</v>
      </c>
      <c r="D664" s="30" t="s">
        <v>41</v>
      </c>
      <c r="E664" s="30">
        <v>1000</v>
      </c>
      <c r="F664" s="30">
        <v>31</v>
      </c>
      <c r="G664" s="30" t="s">
        <v>566</v>
      </c>
      <c r="H664" s="42" t="s">
        <v>19</v>
      </c>
      <c r="I664" s="30" t="s">
        <v>20</v>
      </c>
      <c r="J664" s="31" t="s">
        <v>75</v>
      </c>
    </row>
    <row r="665" spans="1:13" thickBot="1">
      <c r="A665" s="29" t="s">
        <v>932</v>
      </c>
      <c r="B665" s="30" t="s">
        <v>17</v>
      </c>
      <c r="C665" s="30">
        <v>56</v>
      </c>
      <c r="D665" s="30" t="s">
        <v>41</v>
      </c>
      <c r="E665" s="30">
        <v>1000</v>
      </c>
      <c r="F665" s="30">
        <v>31</v>
      </c>
      <c r="G665" s="30" t="s">
        <v>566</v>
      </c>
      <c r="H665" s="42" t="s">
        <v>19</v>
      </c>
      <c r="I665" s="30" t="s">
        <v>20</v>
      </c>
      <c r="J665" s="31" t="s">
        <v>75</v>
      </c>
    </row>
    <row r="666" spans="1:13" thickBot="1">
      <c r="A666" s="29" t="s">
        <v>933</v>
      </c>
      <c r="B666" s="30" t="s">
        <v>17</v>
      </c>
      <c r="C666" s="30">
        <v>56</v>
      </c>
      <c r="D666" s="30" t="s">
        <v>41</v>
      </c>
      <c r="E666" s="30">
        <v>1000</v>
      </c>
      <c r="F666" s="30">
        <v>31</v>
      </c>
      <c r="G666" s="30" t="s">
        <v>566</v>
      </c>
      <c r="H666" s="42" t="s">
        <v>19</v>
      </c>
      <c r="I666" s="30" t="s">
        <v>20</v>
      </c>
      <c r="J666" s="31" t="s">
        <v>75</v>
      </c>
    </row>
    <row r="667" spans="1:13" thickBot="1">
      <c r="A667" s="29" t="s">
        <v>934</v>
      </c>
      <c r="B667" s="30" t="s">
        <v>17</v>
      </c>
      <c r="C667" s="30">
        <v>56</v>
      </c>
      <c r="D667" s="30" t="s">
        <v>41</v>
      </c>
      <c r="E667" s="30">
        <v>1000</v>
      </c>
      <c r="F667" s="30">
        <v>31</v>
      </c>
      <c r="G667" s="30" t="s">
        <v>566</v>
      </c>
      <c r="H667" s="42" t="s">
        <v>19</v>
      </c>
      <c r="I667" s="30" t="s">
        <v>20</v>
      </c>
      <c r="J667" s="31" t="s">
        <v>75</v>
      </c>
    </row>
    <row r="668" spans="1:13" thickBot="1">
      <c r="A668" s="29" t="s">
        <v>935</v>
      </c>
      <c r="B668" s="30" t="s">
        <v>17</v>
      </c>
      <c r="C668" s="30">
        <v>56</v>
      </c>
      <c r="D668" s="30" t="s">
        <v>41</v>
      </c>
      <c r="E668" s="30">
        <v>1000</v>
      </c>
      <c r="F668" s="30">
        <v>6</v>
      </c>
      <c r="G668" s="30" t="s">
        <v>191</v>
      </c>
      <c r="H668" s="42" t="s">
        <v>42</v>
      </c>
      <c r="I668" s="30" t="s">
        <v>20</v>
      </c>
      <c r="J668" s="31" t="s">
        <v>75</v>
      </c>
      <c r="M668" t="s">
        <v>878</v>
      </c>
    </row>
    <row r="669" spans="1:13" thickBot="1">
      <c r="A669" s="29" t="s">
        <v>936</v>
      </c>
      <c r="B669" s="30" t="s">
        <v>17</v>
      </c>
      <c r="C669" s="30">
        <v>56</v>
      </c>
      <c r="D669" s="30" t="s">
        <v>41</v>
      </c>
      <c r="E669" s="30">
        <v>1000</v>
      </c>
      <c r="F669" s="30">
        <v>5</v>
      </c>
      <c r="G669" s="30" t="s">
        <v>191</v>
      </c>
      <c r="H669" s="42" t="s">
        <v>42</v>
      </c>
      <c r="I669" s="30" t="s">
        <v>20</v>
      </c>
      <c r="J669" s="31" t="s">
        <v>75</v>
      </c>
      <c r="M669" t="s">
        <v>937</v>
      </c>
    </row>
    <row r="670" spans="1:13" thickBot="1">
      <c r="A670" s="29" t="s">
        <v>938</v>
      </c>
      <c r="B670" s="30" t="s">
        <v>17</v>
      </c>
      <c r="C670" s="30">
        <v>56</v>
      </c>
      <c r="D670" s="30" t="s">
        <v>41</v>
      </c>
      <c r="E670" s="30">
        <v>1000</v>
      </c>
      <c r="F670" s="30">
        <v>2</v>
      </c>
      <c r="G670" s="30" t="s">
        <v>191</v>
      </c>
      <c r="H670" s="42" t="s">
        <v>42</v>
      </c>
      <c r="I670" s="30" t="s">
        <v>20</v>
      </c>
      <c r="J670" s="31" t="s">
        <v>75</v>
      </c>
      <c r="M670" t="s">
        <v>939</v>
      </c>
    </row>
    <row r="671" spans="1:13" thickBot="1">
      <c r="A671" s="29" t="s">
        <v>940</v>
      </c>
      <c r="B671" s="30" t="s">
        <v>17</v>
      </c>
      <c r="C671" s="30">
        <v>56</v>
      </c>
      <c r="D671" s="30" t="s">
        <v>41</v>
      </c>
      <c r="E671" s="30">
        <v>1000</v>
      </c>
      <c r="F671" s="30" t="s">
        <v>41</v>
      </c>
      <c r="G671" s="30" t="s">
        <v>191</v>
      </c>
      <c r="H671" s="42" t="s">
        <v>42</v>
      </c>
      <c r="I671" s="30" t="s">
        <v>20</v>
      </c>
      <c r="J671" s="31" t="s">
        <v>75</v>
      </c>
      <c r="M671" t="s">
        <v>941</v>
      </c>
    </row>
    <row r="672" spans="1:13" thickBot="1">
      <c r="A672" s="29" t="s">
        <v>942</v>
      </c>
      <c r="B672" s="30" t="s">
        <v>17</v>
      </c>
      <c r="C672" s="30">
        <v>56</v>
      </c>
      <c r="D672" s="30" t="s">
        <v>41</v>
      </c>
      <c r="E672" s="30">
        <v>1000</v>
      </c>
      <c r="F672" s="30">
        <v>31</v>
      </c>
      <c r="G672" s="30" t="s">
        <v>566</v>
      </c>
      <c r="H672" s="42" t="s">
        <v>19</v>
      </c>
      <c r="I672" s="30" t="s">
        <v>20</v>
      </c>
      <c r="J672" s="31" t="s">
        <v>910</v>
      </c>
    </row>
    <row r="673" spans="1:13" thickBot="1">
      <c r="A673" s="29" t="s">
        <v>943</v>
      </c>
      <c r="B673" s="30" t="s">
        <v>17</v>
      </c>
      <c r="C673" s="30">
        <v>56</v>
      </c>
      <c r="D673" s="30" t="s">
        <v>41</v>
      </c>
      <c r="E673" s="30">
        <v>1000</v>
      </c>
      <c r="F673" s="30">
        <v>31</v>
      </c>
      <c r="G673" s="30" t="s">
        <v>566</v>
      </c>
      <c r="H673" s="42" t="s">
        <v>19</v>
      </c>
      <c r="I673" s="30" t="s">
        <v>20</v>
      </c>
      <c r="J673" s="31" t="s">
        <v>910</v>
      </c>
    </row>
    <row r="674" spans="1:13" thickBot="1">
      <c r="A674" s="29" t="s">
        <v>944</v>
      </c>
      <c r="B674" s="30" t="s">
        <v>17</v>
      </c>
      <c r="C674" s="30">
        <v>56</v>
      </c>
      <c r="D674" s="30" t="s">
        <v>41</v>
      </c>
      <c r="E674" s="30">
        <v>1000</v>
      </c>
      <c r="F674" s="30">
        <v>31</v>
      </c>
      <c r="G674" s="30" t="s">
        <v>566</v>
      </c>
      <c r="H674" s="42" t="s">
        <v>19</v>
      </c>
      <c r="I674" s="30" t="s">
        <v>20</v>
      </c>
      <c r="J674" s="31" t="s">
        <v>910</v>
      </c>
    </row>
    <row r="675" spans="1:13" thickBot="1">
      <c r="A675" s="29" t="s">
        <v>945</v>
      </c>
      <c r="B675" s="30" t="s">
        <v>17</v>
      </c>
      <c r="C675" s="30">
        <v>56</v>
      </c>
      <c r="D675" s="30" t="s">
        <v>41</v>
      </c>
      <c r="E675" s="30">
        <v>1000</v>
      </c>
      <c r="F675" s="30">
        <v>31</v>
      </c>
      <c r="G675" s="30" t="s">
        <v>566</v>
      </c>
      <c r="H675" s="42" t="s">
        <v>19</v>
      </c>
      <c r="I675" s="30" t="s">
        <v>20</v>
      </c>
      <c r="J675" s="31" t="s">
        <v>910</v>
      </c>
    </row>
    <row r="676" spans="1:13" thickBot="1">
      <c r="A676" s="29" t="s">
        <v>946</v>
      </c>
      <c r="B676" s="30" t="s">
        <v>17</v>
      </c>
      <c r="C676" s="30">
        <v>56</v>
      </c>
      <c r="D676" s="30" t="s">
        <v>41</v>
      </c>
      <c r="E676" s="30">
        <v>1000</v>
      </c>
      <c r="F676" s="30">
        <v>31</v>
      </c>
      <c r="G676" s="30" t="s">
        <v>566</v>
      </c>
      <c r="H676" s="42" t="s">
        <v>19</v>
      </c>
      <c r="I676" s="30" t="s">
        <v>20</v>
      </c>
      <c r="J676" s="31" t="s">
        <v>910</v>
      </c>
    </row>
    <row r="677" spans="1:13" thickBot="1">
      <c r="A677" s="29" t="s">
        <v>947</v>
      </c>
      <c r="B677" s="30" t="s">
        <v>17</v>
      </c>
      <c r="C677" s="30">
        <v>56</v>
      </c>
      <c r="D677" s="30" t="s">
        <v>41</v>
      </c>
      <c r="E677" s="30">
        <v>1000</v>
      </c>
      <c r="F677" s="30">
        <v>31</v>
      </c>
      <c r="G677" s="30" t="s">
        <v>566</v>
      </c>
      <c r="H677" s="42" t="s">
        <v>19</v>
      </c>
      <c r="I677" s="30" t="s">
        <v>20</v>
      </c>
      <c r="J677" s="31" t="s">
        <v>910</v>
      </c>
    </row>
    <row r="678" spans="1:13" thickBot="1">
      <c r="A678" s="29" t="s">
        <v>948</v>
      </c>
      <c r="B678" s="30" t="s">
        <v>17</v>
      </c>
      <c r="C678" s="30">
        <v>56</v>
      </c>
      <c r="D678" s="30" t="s">
        <v>41</v>
      </c>
      <c r="E678" s="30">
        <v>1000</v>
      </c>
      <c r="F678" s="30">
        <v>31</v>
      </c>
      <c r="G678" s="30" t="s">
        <v>566</v>
      </c>
      <c r="H678" s="42" t="s">
        <v>19</v>
      </c>
      <c r="I678" s="30" t="s">
        <v>20</v>
      </c>
      <c r="J678" s="31" t="s">
        <v>910</v>
      </c>
    </row>
    <row r="679" spans="1:13" thickBot="1">
      <c r="A679" s="29" t="s">
        <v>949</v>
      </c>
      <c r="B679" s="30" t="s">
        <v>17</v>
      </c>
      <c r="C679" s="30">
        <v>56</v>
      </c>
      <c r="D679" s="30" t="s">
        <v>41</v>
      </c>
      <c r="E679" s="30">
        <v>1000</v>
      </c>
      <c r="F679" s="30">
        <v>31</v>
      </c>
      <c r="G679" s="30" t="s">
        <v>566</v>
      </c>
      <c r="H679" s="42" t="s">
        <v>19</v>
      </c>
      <c r="I679" s="30" t="s">
        <v>20</v>
      </c>
      <c r="J679" s="31" t="s">
        <v>910</v>
      </c>
    </row>
    <row r="680" spans="1:13" thickBot="1">
      <c r="A680" s="29" t="s">
        <v>950</v>
      </c>
      <c r="B680" s="30" t="s">
        <v>17</v>
      </c>
      <c r="C680" s="30">
        <v>56</v>
      </c>
      <c r="D680" s="30" t="s">
        <v>41</v>
      </c>
      <c r="E680" s="30">
        <v>1000</v>
      </c>
      <c r="F680" s="30">
        <v>31</v>
      </c>
      <c r="G680" s="30" t="s">
        <v>566</v>
      </c>
      <c r="H680" s="42" t="s">
        <v>19</v>
      </c>
      <c r="I680" s="30" t="s">
        <v>20</v>
      </c>
      <c r="J680" s="31" t="s">
        <v>910</v>
      </c>
    </row>
    <row r="681" spans="1:13" thickBot="1">
      <c r="A681" s="29" t="s">
        <v>951</v>
      </c>
      <c r="B681" s="30" t="s">
        <v>17</v>
      </c>
      <c r="C681" s="30">
        <v>56</v>
      </c>
      <c r="D681" s="30" t="s">
        <v>41</v>
      </c>
      <c r="E681" s="30">
        <v>1000</v>
      </c>
      <c r="F681" s="30">
        <v>31</v>
      </c>
      <c r="G681" s="30" t="s">
        <v>566</v>
      </c>
      <c r="H681" s="42" t="s">
        <v>19</v>
      </c>
      <c r="I681" s="30" t="s">
        <v>20</v>
      </c>
      <c r="J681" s="31" t="s">
        <v>910</v>
      </c>
    </row>
    <row r="682" spans="1:13" thickBot="1">
      <c r="A682" s="29" t="s">
        <v>952</v>
      </c>
      <c r="B682" s="30" t="s">
        <v>17</v>
      </c>
      <c r="C682" s="30">
        <v>56</v>
      </c>
      <c r="D682" s="30" t="s">
        <v>41</v>
      </c>
      <c r="E682" s="30">
        <v>1000</v>
      </c>
      <c r="F682" s="30">
        <v>31</v>
      </c>
      <c r="G682" s="30" t="s">
        <v>566</v>
      </c>
      <c r="H682" s="42" t="s">
        <v>19</v>
      </c>
      <c r="I682" s="30" t="s">
        <v>20</v>
      </c>
      <c r="J682" s="31" t="s">
        <v>910</v>
      </c>
    </row>
    <row r="683" spans="1:13" thickBot="1">
      <c r="A683" s="29" t="s">
        <v>953</v>
      </c>
      <c r="B683" s="30" t="s">
        <v>17</v>
      </c>
      <c r="C683" s="30">
        <v>56</v>
      </c>
      <c r="D683" s="30" t="s">
        <v>41</v>
      </c>
      <c r="E683" s="30">
        <v>1000</v>
      </c>
      <c r="F683" s="30">
        <v>31</v>
      </c>
      <c r="G683" s="30" t="s">
        <v>566</v>
      </c>
      <c r="H683" s="42" t="s">
        <v>19</v>
      </c>
      <c r="I683" s="30" t="s">
        <v>20</v>
      </c>
      <c r="J683" s="31" t="s">
        <v>910</v>
      </c>
    </row>
    <row r="684" spans="1:13" thickBot="1">
      <c r="A684" s="29" t="s">
        <v>954</v>
      </c>
      <c r="B684" s="30" t="s">
        <v>17</v>
      </c>
      <c r="C684" s="30">
        <v>56</v>
      </c>
      <c r="D684" s="30" t="s">
        <v>41</v>
      </c>
      <c r="E684" s="30">
        <v>1000</v>
      </c>
      <c r="F684" s="30">
        <v>31</v>
      </c>
      <c r="G684" s="30" t="s">
        <v>566</v>
      </c>
      <c r="H684" s="42" t="s">
        <v>19</v>
      </c>
      <c r="I684" s="30" t="s">
        <v>20</v>
      </c>
      <c r="J684" s="31" t="s">
        <v>910</v>
      </c>
    </row>
    <row r="685" spans="1:13" thickBot="1">
      <c r="A685" s="29" t="s">
        <v>955</v>
      </c>
      <c r="B685" s="30" t="s">
        <v>17</v>
      </c>
      <c r="C685" s="30">
        <v>56</v>
      </c>
      <c r="D685" s="30" t="s">
        <v>41</v>
      </c>
      <c r="E685" s="30">
        <v>1000</v>
      </c>
      <c r="F685" s="30">
        <v>31</v>
      </c>
      <c r="G685" s="30" t="s">
        <v>566</v>
      </c>
      <c r="H685" s="42" t="s">
        <v>19</v>
      </c>
      <c r="I685" s="30" t="s">
        <v>20</v>
      </c>
      <c r="J685" s="31" t="s">
        <v>910</v>
      </c>
    </row>
    <row r="686" spans="1:13" thickBot="1">
      <c r="A686" s="29" t="s">
        <v>956</v>
      </c>
      <c r="B686" s="30" t="s">
        <v>17</v>
      </c>
      <c r="C686" s="30">
        <v>56</v>
      </c>
      <c r="D686" s="30" t="s">
        <v>41</v>
      </c>
      <c r="E686" s="30">
        <v>1000</v>
      </c>
      <c r="F686" s="30">
        <v>31</v>
      </c>
      <c r="G686" s="30" t="s">
        <v>566</v>
      </c>
      <c r="H686" s="42" t="s">
        <v>19</v>
      </c>
      <c r="I686" s="30" t="s">
        <v>20</v>
      </c>
      <c r="J686" s="31" t="s">
        <v>910</v>
      </c>
    </row>
    <row r="687" spans="1:13" thickBot="1">
      <c r="A687" s="29" t="s">
        <v>957</v>
      </c>
      <c r="B687" s="30" t="s">
        <v>17</v>
      </c>
      <c r="C687" s="30">
        <v>56</v>
      </c>
      <c r="D687" s="30" t="s">
        <v>41</v>
      </c>
      <c r="E687" s="30">
        <v>1000</v>
      </c>
      <c r="F687" s="30">
        <v>3</v>
      </c>
      <c r="G687" s="30" t="s">
        <v>191</v>
      </c>
      <c r="H687" s="42" t="s">
        <v>42</v>
      </c>
      <c r="I687" s="30" t="s">
        <v>20</v>
      </c>
      <c r="J687" s="31" t="s">
        <v>75</v>
      </c>
      <c r="M687" t="s">
        <v>878</v>
      </c>
    </row>
    <row r="688" spans="1:13" thickBot="1">
      <c r="A688" s="29" t="s">
        <v>958</v>
      </c>
      <c r="B688" s="30" t="s">
        <v>17</v>
      </c>
      <c r="C688" s="30">
        <v>56</v>
      </c>
      <c r="D688" s="30" t="s">
        <v>41</v>
      </c>
      <c r="E688" s="30">
        <v>1000</v>
      </c>
      <c r="F688" s="30">
        <v>2</v>
      </c>
      <c r="G688" s="30" t="s">
        <v>191</v>
      </c>
      <c r="H688" s="42" t="s">
        <v>42</v>
      </c>
      <c r="I688" s="30" t="s">
        <v>20</v>
      </c>
      <c r="J688" s="31" t="s">
        <v>75</v>
      </c>
      <c r="M688" t="s">
        <v>959</v>
      </c>
    </row>
    <row r="689" spans="1:13" thickBot="1">
      <c r="A689" s="47" t="s">
        <v>960</v>
      </c>
      <c r="B689" s="31" t="s">
        <v>17</v>
      </c>
      <c r="C689" s="31">
        <v>56</v>
      </c>
      <c r="D689" s="31" t="s">
        <v>41</v>
      </c>
      <c r="E689" s="31">
        <v>1000</v>
      </c>
      <c r="F689" s="31">
        <v>3</v>
      </c>
      <c r="G689" s="31" t="s">
        <v>191</v>
      </c>
      <c r="H689" s="42" t="s">
        <v>42</v>
      </c>
      <c r="I689" s="31" t="s">
        <v>20</v>
      </c>
      <c r="J689" s="31" t="s">
        <v>75</v>
      </c>
      <c r="M689" t="s">
        <v>961</v>
      </c>
    </row>
    <row r="690" spans="1:13" thickBot="1">
      <c r="A690" s="47" t="s">
        <v>962</v>
      </c>
      <c r="B690" s="31" t="s">
        <v>17</v>
      </c>
      <c r="C690" s="31">
        <v>56</v>
      </c>
      <c r="D690" s="31" t="s">
        <v>41</v>
      </c>
      <c r="E690" s="31">
        <v>1000</v>
      </c>
      <c r="F690" s="31">
        <v>3</v>
      </c>
      <c r="G690" s="31" t="s">
        <v>191</v>
      </c>
      <c r="H690" s="42" t="s">
        <v>42</v>
      </c>
      <c r="I690" s="31" t="s">
        <v>20</v>
      </c>
      <c r="J690" s="31" t="s">
        <v>75</v>
      </c>
      <c r="M690" t="s">
        <v>963</v>
      </c>
    </row>
    <row r="691" spans="1:13" thickBot="1">
      <c r="A691" s="47" t="s">
        <v>964</v>
      </c>
      <c r="B691" s="31" t="s">
        <v>17</v>
      </c>
      <c r="C691" s="31">
        <v>56</v>
      </c>
      <c r="D691" s="31" t="s">
        <v>41</v>
      </c>
      <c r="E691" s="31">
        <v>1000</v>
      </c>
      <c r="F691" s="31">
        <v>31</v>
      </c>
      <c r="G691" s="31" t="s">
        <v>566</v>
      </c>
      <c r="H691" s="42" t="s">
        <v>19</v>
      </c>
      <c r="I691" s="31" t="s">
        <v>20</v>
      </c>
      <c r="J691" s="31" t="s">
        <v>75</v>
      </c>
    </row>
    <row r="692" spans="1:13" thickBot="1">
      <c r="A692" s="47" t="s">
        <v>965</v>
      </c>
      <c r="B692" s="31" t="s">
        <v>17</v>
      </c>
      <c r="C692" s="31">
        <v>56</v>
      </c>
      <c r="D692" s="31" t="s">
        <v>41</v>
      </c>
      <c r="E692" s="31">
        <v>1000</v>
      </c>
      <c r="F692" s="31">
        <v>31</v>
      </c>
      <c r="G692" s="31" t="s">
        <v>566</v>
      </c>
      <c r="H692" s="42" t="s">
        <v>19</v>
      </c>
      <c r="I692" s="31" t="s">
        <v>20</v>
      </c>
      <c r="J692" s="31" t="s">
        <v>75</v>
      </c>
    </row>
    <row r="693" spans="1:13" thickBot="1">
      <c r="A693" s="47" t="s">
        <v>966</v>
      </c>
      <c r="B693" s="31" t="s">
        <v>17</v>
      </c>
      <c r="C693" s="31">
        <v>56</v>
      </c>
      <c r="D693" s="31" t="s">
        <v>41</v>
      </c>
      <c r="E693" s="31">
        <v>1000</v>
      </c>
      <c r="F693" s="31">
        <v>31</v>
      </c>
      <c r="G693" s="31" t="s">
        <v>566</v>
      </c>
      <c r="H693" s="42" t="s">
        <v>19</v>
      </c>
      <c r="I693" s="31" t="s">
        <v>20</v>
      </c>
      <c r="J693" s="31" t="s">
        <v>75</v>
      </c>
    </row>
    <row r="694" spans="1:13" thickBot="1">
      <c r="A694" s="47" t="s">
        <v>967</v>
      </c>
      <c r="B694" s="31" t="s">
        <v>17</v>
      </c>
      <c r="C694" s="31">
        <v>56</v>
      </c>
      <c r="D694" s="31" t="s">
        <v>41</v>
      </c>
      <c r="E694" s="31">
        <v>1000</v>
      </c>
      <c r="F694" s="31">
        <v>31</v>
      </c>
      <c r="G694" s="31" t="s">
        <v>566</v>
      </c>
      <c r="H694" s="42" t="s">
        <v>19</v>
      </c>
      <c r="I694" s="31" t="s">
        <v>20</v>
      </c>
      <c r="J694" s="31" t="s">
        <v>75</v>
      </c>
    </row>
    <row r="695" spans="1:13" thickBot="1">
      <c r="A695" s="47" t="s">
        <v>968</v>
      </c>
      <c r="B695" s="31" t="s">
        <v>17</v>
      </c>
      <c r="C695" s="31">
        <v>56</v>
      </c>
      <c r="D695" s="31" t="s">
        <v>41</v>
      </c>
      <c r="E695" s="31">
        <v>1000</v>
      </c>
      <c r="F695" s="31">
        <v>31</v>
      </c>
      <c r="G695" s="31" t="s">
        <v>566</v>
      </c>
      <c r="H695" s="42" t="s">
        <v>19</v>
      </c>
      <c r="I695" s="31" t="s">
        <v>20</v>
      </c>
      <c r="J695" s="31" t="s">
        <v>75</v>
      </c>
    </row>
    <row r="696" spans="1:13" thickBot="1">
      <c r="A696" s="47" t="s">
        <v>969</v>
      </c>
      <c r="B696" s="31" t="s">
        <v>17</v>
      </c>
      <c r="C696" s="31">
        <v>56</v>
      </c>
      <c r="D696" s="31" t="s">
        <v>41</v>
      </c>
      <c r="E696" s="31">
        <v>1000</v>
      </c>
      <c r="F696" s="31">
        <v>31</v>
      </c>
      <c r="G696" s="31" t="s">
        <v>566</v>
      </c>
      <c r="H696" s="42" t="s">
        <v>19</v>
      </c>
      <c r="I696" s="31" t="s">
        <v>20</v>
      </c>
      <c r="J696" s="31" t="s">
        <v>75</v>
      </c>
    </row>
    <row r="697" spans="1:13" thickBot="1">
      <c r="A697" s="47" t="s">
        <v>970</v>
      </c>
      <c r="B697" s="31" t="s">
        <v>17</v>
      </c>
      <c r="C697" s="31">
        <v>56</v>
      </c>
      <c r="D697" s="31" t="s">
        <v>41</v>
      </c>
      <c r="E697" s="31">
        <v>1000</v>
      </c>
      <c r="F697" s="31">
        <v>31</v>
      </c>
      <c r="G697" s="31" t="s">
        <v>566</v>
      </c>
      <c r="H697" s="42" t="s">
        <v>19</v>
      </c>
      <c r="I697" s="31" t="s">
        <v>20</v>
      </c>
      <c r="J697" s="31" t="s">
        <v>75</v>
      </c>
    </row>
    <row r="698" spans="1:13" thickBot="1">
      <c r="A698" s="47" t="s">
        <v>971</v>
      </c>
      <c r="B698" s="31" t="s">
        <v>17</v>
      </c>
      <c r="C698" s="31">
        <v>56</v>
      </c>
      <c r="D698" s="31" t="s">
        <v>41</v>
      </c>
      <c r="E698" s="31">
        <v>1000</v>
      </c>
      <c r="F698" s="31">
        <v>32</v>
      </c>
      <c r="G698" s="31" t="s">
        <v>566</v>
      </c>
      <c r="H698" s="42" t="s">
        <v>19</v>
      </c>
      <c r="I698" s="31" t="s">
        <v>20</v>
      </c>
      <c r="J698" s="31" t="s">
        <v>75</v>
      </c>
    </row>
    <row r="699" spans="1:13" thickBot="1">
      <c r="A699" s="47" t="s">
        <v>972</v>
      </c>
      <c r="B699" s="31" t="s">
        <v>17</v>
      </c>
      <c r="C699" s="31">
        <v>56</v>
      </c>
      <c r="D699" s="31" t="s">
        <v>41</v>
      </c>
      <c r="E699" s="31">
        <v>1000</v>
      </c>
      <c r="F699" s="31">
        <v>31</v>
      </c>
      <c r="G699" s="31" t="s">
        <v>566</v>
      </c>
      <c r="H699" s="42" t="s">
        <v>19</v>
      </c>
      <c r="I699" s="31" t="s">
        <v>20</v>
      </c>
      <c r="J699" s="31" t="s">
        <v>75</v>
      </c>
    </row>
    <row r="700" spans="1:13" thickBot="1">
      <c r="A700" s="47" t="s">
        <v>973</v>
      </c>
      <c r="B700" s="31" t="s">
        <v>17</v>
      </c>
      <c r="C700" s="31">
        <v>56</v>
      </c>
      <c r="D700" s="31" t="s">
        <v>41</v>
      </c>
      <c r="E700" s="31">
        <v>1000</v>
      </c>
      <c r="F700" s="31">
        <v>31</v>
      </c>
      <c r="G700" s="31" t="s">
        <v>566</v>
      </c>
      <c r="H700" s="42" t="s">
        <v>19</v>
      </c>
      <c r="I700" s="31" t="s">
        <v>20</v>
      </c>
      <c r="J700" s="31" t="s">
        <v>75</v>
      </c>
    </row>
    <row r="701" spans="1:13" thickBot="1">
      <c r="A701" s="47" t="s">
        <v>974</v>
      </c>
      <c r="B701" s="31" t="s">
        <v>17</v>
      </c>
      <c r="C701" s="31">
        <v>56</v>
      </c>
      <c r="D701" s="31" t="s">
        <v>41</v>
      </c>
      <c r="E701" s="31">
        <v>1000</v>
      </c>
      <c r="F701" s="31">
        <v>31</v>
      </c>
      <c r="G701" s="31" t="s">
        <v>566</v>
      </c>
      <c r="H701" s="42" t="s">
        <v>19</v>
      </c>
      <c r="I701" s="31" t="s">
        <v>20</v>
      </c>
      <c r="J701" s="31" t="s">
        <v>75</v>
      </c>
    </row>
    <row r="702" spans="1:13" thickBot="1">
      <c r="A702" s="47" t="s">
        <v>975</v>
      </c>
      <c r="B702" s="31" t="s">
        <v>17</v>
      </c>
      <c r="C702" s="31">
        <v>56</v>
      </c>
      <c r="D702" s="31" t="s">
        <v>41</v>
      </c>
      <c r="E702" s="31">
        <v>1000</v>
      </c>
      <c r="F702" s="31">
        <v>31</v>
      </c>
      <c r="G702" s="31" t="s">
        <v>566</v>
      </c>
      <c r="H702" s="42" t="s">
        <v>19</v>
      </c>
      <c r="I702" s="31" t="s">
        <v>20</v>
      </c>
      <c r="J702" s="31" t="s">
        <v>75</v>
      </c>
    </row>
    <row r="703" spans="1:13" thickBot="1">
      <c r="A703" s="47" t="s">
        <v>976</v>
      </c>
      <c r="B703" s="31" t="s">
        <v>17</v>
      </c>
      <c r="C703" s="31">
        <v>56</v>
      </c>
      <c r="D703" s="31" t="s">
        <v>41</v>
      </c>
      <c r="E703" s="31">
        <v>1000</v>
      </c>
      <c r="F703" s="31">
        <v>31</v>
      </c>
      <c r="G703" s="31" t="s">
        <v>566</v>
      </c>
      <c r="H703" s="42" t="s">
        <v>19</v>
      </c>
      <c r="I703" s="31" t="s">
        <v>20</v>
      </c>
      <c r="J703" s="31" t="s">
        <v>75</v>
      </c>
    </row>
    <row r="704" spans="1:13" thickBot="1">
      <c r="A704" s="47" t="s">
        <v>977</v>
      </c>
      <c r="B704" s="31" t="s">
        <v>17</v>
      </c>
      <c r="C704" s="31">
        <v>56</v>
      </c>
      <c r="D704" s="31" t="s">
        <v>41</v>
      </c>
      <c r="E704" s="31">
        <v>1000</v>
      </c>
      <c r="F704" s="31">
        <v>31</v>
      </c>
      <c r="G704" s="31" t="s">
        <v>566</v>
      </c>
      <c r="H704" s="42" t="s">
        <v>19</v>
      </c>
      <c r="I704" s="31" t="s">
        <v>20</v>
      </c>
      <c r="J704" s="31" t="s">
        <v>75</v>
      </c>
    </row>
    <row r="705" spans="1:10" thickBot="1">
      <c r="A705" s="47" t="s">
        <v>978</v>
      </c>
      <c r="B705" s="31" t="s">
        <v>17</v>
      </c>
      <c r="C705" s="31">
        <v>56</v>
      </c>
      <c r="D705" s="31" t="s">
        <v>41</v>
      </c>
      <c r="E705" s="31">
        <v>1000</v>
      </c>
      <c r="F705" s="31">
        <v>31</v>
      </c>
      <c r="G705" s="31" t="s">
        <v>566</v>
      </c>
      <c r="H705" s="42" t="s">
        <v>19</v>
      </c>
      <c r="I705" s="31" t="s">
        <v>20</v>
      </c>
      <c r="J705" s="31" t="s">
        <v>75</v>
      </c>
    </row>
    <row r="706" spans="1:10" thickBot="1">
      <c r="A706" s="47" t="s">
        <v>979</v>
      </c>
      <c r="B706" s="31" t="s">
        <v>17</v>
      </c>
      <c r="C706" s="31">
        <v>56</v>
      </c>
      <c r="D706" s="31" t="s">
        <v>41</v>
      </c>
      <c r="E706" s="31">
        <v>1000</v>
      </c>
      <c r="F706" s="31">
        <v>31</v>
      </c>
      <c r="G706" s="31" t="s">
        <v>566</v>
      </c>
      <c r="H706" s="42" t="s">
        <v>19</v>
      </c>
      <c r="I706" s="31" t="s">
        <v>20</v>
      </c>
      <c r="J706" s="31" t="s">
        <v>75</v>
      </c>
    </row>
    <row r="707" spans="1:10" thickBot="1">
      <c r="A707" s="47" t="s">
        <v>980</v>
      </c>
      <c r="B707" s="31" t="s">
        <v>17</v>
      </c>
      <c r="C707" s="31">
        <v>56</v>
      </c>
      <c r="D707" s="31" t="s">
        <v>41</v>
      </c>
      <c r="E707" s="31">
        <v>1000</v>
      </c>
      <c r="F707" s="31">
        <v>31</v>
      </c>
      <c r="G707" s="31" t="s">
        <v>566</v>
      </c>
      <c r="H707" s="42" t="s">
        <v>19</v>
      </c>
      <c r="I707" s="31" t="s">
        <v>20</v>
      </c>
      <c r="J707" s="31" t="s">
        <v>75</v>
      </c>
    </row>
    <row r="708" spans="1:10" thickBot="1">
      <c r="A708" s="47" t="s">
        <v>981</v>
      </c>
      <c r="B708" s="31" t="s">
        <v>17</v>
      </c>
      <c r="C708" s="31">
        <v>56</v>
      </c>
      <c r="D708" s="31" t="s">
        <v>41</v>
      </c>
      <c r="E708" s="31">
        <v>1000</v>
      </c>
      <c r="F708" s="31">
        <v>31</v>
      </c>
      <c r="G708" s="31" t="s">
        <v>566</v>
      </c>
      <c r="H708" s="42" t="s">
        <v>19</v>
      </c>
      <c r="I708" s="31" t="s">
        <v>20</v>
      </c>
      <c r="J708" s="31" t="s">
        <v>75</v>
      </c>
    </row>
    <row r="709" spans="1:10" thickBot="1">
      <c r="A709" s="47" t="s">
        <v>982</v>
      </c>
      <c r="B709" s="31" t="s">
        <v>17</v>
      </c>
      <c r="C709" s="31">
        <v>56</v>
      </c>
      <c r="D709" s="31" t="s">
        <v>41</v>
      </c>
      <c r="E709" s="31">
        <v>1000</v>
      </c>
      <c r="F709" s="31">
        <v>31</v>
      </c>
      <c r="G709" s="31" t="s">
        <v>566</v>
      </c>
      <c r="H709" s="42" t="s">
        <v>19</v>
      </c>
      <c r="I709" s="31" t="s">
        <v>20</v>
      </c>
      <c r="J709" s="31" t="s">
        <v>75</v>
      </c>
    </row>
    <row r="710" spans="1:10" thickBot="1">
      <c r="A710" s="47" t="s">
        <v>983</v>
      </c>
      <c r="B710" s="31" t="s">
        <v>17</v>
      </c>
      <c r="C710" s="31">
        <v>56</v>
      </c>
      <c r="D710" s="31" t="s">
        <v>41</v>
      </c>
      <c r="E710" s="31">
        <v>1000</v>
      </c>
      <c r="F710" s="31">
        <v>31</v>
      </c>
      <c r="G710" s="31" t="s">
        <v>566</v>
      </c>
      <c r="H710" s="42" t="s">
        <v>19</v>
      </c>
      <c r="I710" s="31" t="s">
        <v>20</v>
      </c>
      <c r="J710" s="31" t="s">
        <v>75</v>
      </c>
    </row>
    <row r="711" spans="1:10" thickBot="1">
      <c r="A711" s="47" t="s">
        <v>984</v>
      </c>
      <c r="B711" s="31" t="s">
        <v>17</v>
      </c>
      <c r="C711" s="31">
        <v>56</v>
      </c>
      <c r="D711" s="31" t="s">
        <v>41</v>
      </c>
      <c r="E711" s="31">
        <v>1000</v>
      </c>
      <c r="F711" s="31">
        <v>31</v>
      </c>
      <c r="G711" s="31" t="s">
        <v>566</v>
      </c>
      <c r="H711" s="42" t="s">
        <v>19</v>
      </c>
      <c r="I711" s="31" t="s">
        <v>20</v>
      </c>
      <c r="J711" s="31" t="s">
        <v>75</v>
      </c>
    </row>
    <row r="712" spans="1:10" thickBot="1">
      <c r="A712" s="47" t="s">
        <v>985</v>
      </c>
      <c r="B712" s="31" t="s">
        <v>17</v>
      </c>
      <c r="C712" s="31">
        <v>56</v>
      </c>
      <c r="D712" s="31" t="s">
        <v>41</v>
      </c>
      <c r="E712" s="31">
        <v>1000</v>
      </c>
      <c r="F712" s="31">
        <v>31</v>
      </c>
      <c r="G712" s="31" t="s">
        <v>566</v>
      </c>
      <c r="H712" s="42" t="s">
        <v>19</v>
      </c>
      <c r="I712" s="31" t="s">
        <v>20</v>
      </c>
      <c r="J712" s="31" t="s">
        <v>75</v>
      </c>
    </row>
    <row r="713" spans="1:10" thickBot="1">
      <c r="A713" s="47" t="s">
        <v>986</v>
      </c>
      <c r="B713" s="31" t="s">
        <v>17</v>
      </c>
      <c r="C713" s="31">
        <v>56</v>
      </c>
      <c r="D713" s="31" t="s">
        <v>41</v>
      </c>
      <c r="E713" s="31">
        <v>1000</v>
      </c>
      <c r="F713" s="31">
        <v>31</v>
      </c>
      <c r="G713" s="31" t="s">
        <v>566</v>
      </c>
      <c r="H713" s="42" t="s">
        <v>19</v>
      </c>
      <c r="I713" s="31" t="s">
        <v>20</v>
      </c>
      <c r="J713" s="31" t="s">
        <v>75</v>
      </c>
    </row>
    <row r="714" spans="1:10" thickBot="1">
      <c r="A714" s="47" t="s">
        <v>987</v>
      </c>
      <c r="B714" s="31" t="s">
        <v>17</v>
      </c>
      <c r="C714" s="31">
        <v>56</v>
      </c>
      <c r="D714" s="31" t="s">
        <v>41</v>
      </c>
      <c r="E714" s="31">
        <v>1000</v>
      </c>
      <c r="F714" s="31">
        <v>31</v>
      </c>
      <c r="G714" s="31" t="s">
        <v>566</v>
      </c>
      <c r="H714" s="42" t="s">
        <v>19</v>
      </c>
      <c r="I714" s="31" t="s">
        <v>20</v>
      </c>
      <c r="J714" s="31" t="s">
        <v>75</v>
      </c>
    </row>
    <row r="715" spans="1:10" thickBot="1">
      <c r="A715" s="47" t="s">
        <v>988</v>
      </c>
      <c r="B715" s="31" t="s">
        <v>17</v>
      </c>
      <c r="C715" s="31">
        <v>56</v>
      </c>
      <c r="D715" s="31" t="s">
        <v>41</v>
      </c>
      <c r="E715" s="31">
        <v>1000</v>
      </c>
      <c r="F715" s="31">
        <v>31</v>
      </c>
      <c r="G715" s="31" t="s">
        <v>566</v>
      </c>
      <c r="H715" s="42" t="s">
        <v>19</v>
      </c>
      <c r="I715" s="31" t="s">
        <v>20</v>
      </c>
      <c r="J715" s="31" t="s">
        <v>75</v>
      </c>
    </row>
    <row r="716" spans="1:10" thickBot="1">
      <c r="A716" s="47" t="s">
        <v>989</v>
      </c>
      <c r="B716" s="31" t="s">
        <v>17</v>
      </c>
      <c r="C716" s="31">
        <v>56</v>
      </c>
      <c r="D716" s="31" t="s">
        <v>41</v>
      </c>
      <c r="E716" s="31">
        <v>1000</v>
      </c>
      <c r="F716" s="31">
        <v>31</v>
      </c>
      <c r="G716" s="31" t="s">
        <v>566</v>
      </c>
      <c r="H716" s="42" t="s">
        <v>19</v>
      </c>
      <c r="I716" s="31" t="s">
        <v>20</v>
      </c>
      <c r="J716" s="31" t="s">
        <v>75</v>
      </c>
    </row>
    <row r="717" spans="1:10" thickBot="1">
      <c r="A717" s="47" t="s">
        <v>990</v>
      </c>
      <c r="B717" s="31" t="s">
        <v>17</v>
      </c>
      <c r="C717" s="31">
        <v>56</v>
      </c>
      <c r="D717" s="31" t="s">
        <v>41</v>
      </c>
      <c r="E717" s="31">
        <v>1000</v>
      </c>
      <c r="F717" s="31">
        <v>31</v>
      </c>
      <c r="G717" s="31" t="s">
        <v>566</v>
      </c>
      <c r="H717" s="42" t="s">
        <v>19</v>
      </c>
      <c r="I717" s="31" t="s">
        <v>20</v>
      </c>
      <c r="J717" s="31" t="s">
        <v>75</v>
      </c>
    </row>
    <row r="718" spans="1:10" thickBot="1">
      <c r="A718" s="47" t="s">
        <v>991</v>
      </c>
      <c r="B718" s="31" t="s">
        <v>17</v>
      </c>
      <c r="C718" s="31">
        <v>56</v>
      </c>
      <c r="D718" s="31" t="s">
        <v>41</v>
      </c>
      <c r="E718" s="31">
        <v>1000</v>
      </c>
      <c r="F718" s="31">
        <v>31</v>
      </c>
      <c r="G718" s="31" t="s">
        <v>566</v>
      </c>
      <c r="H718" s="42" t="s">
        <v>19</v>
      </c>
      <c r="I718" s="31" t="s">
        <v>20</v>
      </c>
      <c r="J718" s="31" t="s">
        <v>75</v>
      </c>
    </row>
    <row r="719" spans="1:10" thickBot="1">
      <c r="A719" s="47" t="s">
        <v>992</v>
      </c>
      <c r="B719" s="31" t="s">
        <v>17</v>
      </c>
      <c r="C719" s="31">
        <v>56</v>
      </c>
      <c r="D719" s="31" t="s">
        <v>41</v>
      </c>
      <c r="E719" s="31">
        <v>1000</v>
      </c>
      <c r="F719" s="31">
        <v>31</v>
      </c>
      <c r="G719" s="31" t="s">
        <v>566</v>
      </c>
      <c r="H719" s="42" t="s">
        <v>19</v>
      </c>
      <c r="I719" s="31" t="s">
        <v>20</v>
      </c>
      <c r="J719" s="31" t="s">
        <v>75</v>
      </c>
    </row>
    <row r="720" spans="1:10" thickBot="1">
      <c r="A720" s="47" t="s">
        <v>993</v>
      </c>
      <c r="B720" s="31" t="s">
        <v>17</v>
      </c>
      <c r="C720" s="31">
        <v>56</v>
      </c>
      <c r="D720" s="31" t="s">
        <v>41</v>
      </c>
      <c r="E720" s="31">
        <v>1000</v>
      </c>
      <c r="F720" s="31">
        <v>31</v>
      </c>
      <c r="G720" s="31" t="s">
        <v>566</v>
      </c>
      <c r="H720" s="42" t="s">
        <v>19</v>
      </c>
      <c r="I720" s="31" t="s">
        <v>20</v>
      </c>
      <c r="J720" s="31" t="s">
        <v>75</v>
      </c>
    </row>
    <row r="721" spans="1:10" thickBot="1">
      <c r="A721" s="47" t="s">
        <v>994</v>
      </c>
      <c r="B721" s="31" t="s">
        <v>17</v>
      </c>
      <c r="C721" s="31">
        <v>56</v>
      </c>
      <c r="D721" s="31" t="s">
        <v>41</v>
      </c>
      <c r="E721" s="31">
        <v>1000</v>
      </c>
      <c r="F721" s="31">
        <v>31</v>
      </c>
      <c r="G721" s="31" t="s">
        <v>566</v>
      </c>
      <c r="H721" s="42" t="s">
        <v>19</v>
      </c>
      <c r="I721" s="31" t="s">
        <v>20</v>
      </c>
      <c r="J721" s="31" t="s">
        <v>75</v>
      </c>
    </row>
    <row r="722" spans="1:10" thickBot="1">
      <c r="A722" s="47" t="s">
        <v>995</v>
      </c>
      <c r="B722" s="31" t="s">
        <v>17</v>
      </c>
      <c r="C722" s="31">
        <v>56</v>
      </c>
      <c r="D722" s="31" t="s">
        <v>41</v>
      </c>
      <c r="E722" s="31">
        <v>1000</v>
      </c>
      <c r="F722" s="31">
        <v>31</v>
      </c>
      <c r="G722" s="31" t="s">
        <v>566</v>
      </c>
      <c r="H722" s="42" t="s">
        <v>19</v>
      </c>
      <c r="I722" s="31" t="s">
        <v>20</v>
      </c>
      <c r="J722" s="31" t="s">
        <v>75</v>
      </c>
    </row>
    <row r="723" spans="1:10" thickBot="1">
      <c r="A723" s="47" t="s">
        <v>996</v>
      </c>
      <c r="B723" s="31" t="s">
        <v>17</v>
      </c>
      <c r="C723" s="31">
        <v>56</v>
      </c>
      <c r="D723" s="31" t="s">
        <v>41</v>
      </c>
      <c r="E723" s="31">
        <v>1000</v>
      </c>
      <c r="F723" s="31">
        <v>31</v>
      </c>
      <c r="G723" s="31" t="s">
        <v>566</v>
      </c>
      <c r="H723" s="42" t="s">
        <v>19</v>
      </c>
      <c r="I723" s="31" t="s">
        <v>20</v>
      </c>
      <c r="J723" s="31" t="s">
        <v>75</v>
      </c>
    </row>
    <row r="724" spans="1:10" thickBot="1">
      <c r="A724" s="47" t="s">
        <v>997</v>
      </c>
      <c r="B724" s="31" t="s">
        <v>17</v>
      </c>
      <c r="C724" s="31">
        <v>56</v>
      </c>
      <c r="D724" s="31" t="s">
        <v>41</v>
      </c>
      <c r="E724" s="31">
        <v>1000</v>
      </c>
      <c r="F724" s="31">
        <v>31</v>
      </c>
      <c r="G724" s="31" t="s">
        <v>566</v>
      </c>
      <c r="H724" s="42" t="s">
        <v>19</v>
      </c>
      <c r="I724" s="31" t="s">
        <v>20</v>
      </c>
      <c r="J724" s="31" t="s">
        <v>75</v>
      </c>
    </row>
    <row r="725" spans="1:10" thickBot="1">
      <c r="A725" s="47" t="s">
        <v>998</v>
      </c>
      <c r="B725" s="31" t="s">
        <v>17</v>
      </c>
      <c r="C725" s="31">
        <v>56</v>
      </c>
      <c r="D725" s="31" t="s">
        <v>41</v>
      </c>
      <c r="E725" s="31">
        <v>1000</v>
      </c>
      <c r="F725" s="31">
        <v>31</v>
      </c>
      <c r="G725" s="31" t="s">
        <v>566</v>
      </c>
      <c r="H725" s="42" t="s">
        <v>19</v>
      </c>
      <c r="I725" s="31" t="s">
        <v>20</v>
      </c>
      <c r="J725" s="31" t="s">
        <v>75</v>
      </c>
    </row>
    <row r="726" spans="1:10" thickBot="1">
      <c r="A726" s="47" t="s">
        <v>999</v>
      </c>
      <c r="B726" s="31" t="s">
        <v>17</v>
      </c>
      <c r="C726" s="31">
        <v>56</v>
      </c>
      <c r="D726" s="31" t="s">
        <v>41</v>
      </c>
      <c r="E726" s="31">
        <v>1000</v>
      </c>
      <c r="F726" s="31">
        <v>31</v>
      </c>
      <c r="G726" s="31" t="s">
        <v>566</v>
      </c>
      <c r="H726" s="42" t="s">
        <v>19</v>
      </c>
      <c r="I726" s="31" t="s">
        <v>20</v>
      </c>
      <c r="J726" s="31" t="s">
        <v>75</v>
      </c>
    </row>
    <row r="727" spans="1:10" thickBot="1">
      <c r="A727" s="47" t="s">
        <v>1000</v>
      </c>
      <c r="B727" s="31" t="s">
        <v>17</v>
      </c>
      <c r="C727" s="31">
        <v>56</v>
      </c>
      <c r="D727" s="31" t="s">
        <v>41</v>
      </c>
      <c r="E727" s="31">
        <v>1000</v>
      </c>
      <c r="F727" s="31">
        <v>31</v>
      </c>
      <c r="G727" s="31" t="s">
        <v>566</v>
      </c>
      <c r="H727" s="42" t="s">
        <v>19</v>
      </c>
      <c r="I727" s="31" t="s">
        <v>20</v>
      </c>
      <c r="J727" s="31" t="s">
        <v>75</v>
      </c>
    </row>
    <row r="728" spans="1:10" thickBot="1">
      <c r="A728" s="47" t="s">
        <v>1001</v>
      </c>
      <c r="B728" s="31" t="s">
        <v>17</v>
      </c>
      <c r="C728" s="31">
        <v>56</v>
      </c>
      <c r="D728" s="31" t="s">
        <v>41</v>
      </c>
      <c r="E728" s="31">
        <v>1000</v>
      </c>
      <c r="F728" s="31">
        <v>31</v>
      </c>
      <c r="G728" s="31" t="s">
        <v>566</v>
      </c>
      <c r="H728" s="42" t="s">
        <v>19</v>
      </c>
      <c r="I728" s="31" t="s">
        <v>20</v>
      </c>
      <c r="J728" s="31" t="s">
        <v>75</v>
      </c>
    </row>
    <row r="729" spans="1:10" thickBot="1">
      <c r="A729" s="47" t="s">
        <v>1002</v>
      </c>
      <c r="B729" s="31" t="s">
        <v>17</v>
      </c>
      <c r="C729" s="31">
        <v>56</v>
      </c>
      <c r="D729" s="31" t="s">
        <v>41</v>
      </c>
      <c r="E729" s="31">
        <v>1000</v>
      </c>
      <c r="F729" s="31">
        <v>31</v>
      </c>
      <c r="G729" s="31" t="s">
        <v>566</v>
      </c>
      <c r="H729" s="42" t="s">
        <v>19</v>
      </c>
      <c r="I729" s="31" t="s">
        <v>20</v>
      </c>
      <c r="J729" s="31" t="s">
        <v>75</v>
      </c>
    </row>
    <row r="730" spans="1:10" thickBot="1">
      <c r="A730" s="47" t="s">
        <v>1003</v>
      </c>
      <c r="B730" s="31" t="s">
        <v>17</v>
      </c>
      <c r="C730" s="31">
        <v>56</v>
      </c>
      <c r="D730" s="31" t="s">
        <v>41</v>
      </c>
      <c r="E730" s="31">
        <v>1000</v>
      </c>
      <c r="F730" s="31">
        <v>31</v>
      </c>
      <c r="G730" s="31" t="s">
        <v>566</v>
      </c>
      <c r="H730" s="42" t="s">
        <v>19</v>
      </c>
      <c r="I730" s="31" t="s">
        <v>20</v>
      </c>
      <c r="J730" s="31" t="s">
        <v>75</v>
      </c>
    </row>
    <row r="731" spans="1:10" thickBot="1">
      <c r="A731" s="47" t="s">
        <v>1004</v>
      </c>
      <c r="B731" s="31" t="s">
        <v>17</v>
      </c>
      <c r="C731" s="31">
        <v>56</v>
      </c>
      <c r="D731" s="31" t="s">
        <v>41</v>
      </c>
      <c r="E731" s="31">
        <v>1000</v>
      </c>
      <c r="F731" s="31">
        <v>31</v>
      </c>
      <c r="G731" s="31" t="s">
        <v>566</v>
      </c>
      <c r="H731" s="42" t="s">
        <v>19</v>
      </c>
      <c r="I731" s="31" t="s">
        <v>20</v>
      </c>
      <c r="J731" s="31" t="s">
        <v>75</v>
      </c>
    </row>
    <row r="732" spans="1:10" thickBot="1">
      <c r="A732" s="47" t="s">
        <v>1005</v>
      </c>
      <c r="B732" s="31" t="s">
        <v>17</v>
      </c>
      <c r="C732" s="31">
        <v>56</v>
      </c>
      <c r="D732" s="31" t="s">
        <v>41</v>
      </c>
      <c r="E732" s="31">
        <v>1000</v>
      </c>
      <c r="F732" s="31">
        <v>31</v>
      </c>
      <c r="G732" s="31" t="s">
        <v>566</v>
      </c>
      <c r="H732" s="42" t="s">
        <v>19</v>
      </c>
      <c r="I732" s="31" t="s">
        <v>20</v>
      </c>
      <c r="J732" s="31" t="s">
        <v>75</v>
      </c>
    </row>
    <row r="733" spans="1:10" thickBot="1">
      <c r="A733" s="47" t="s">
        <v>1006</v>
      </c>
      <c r="B733" s="31" t="s">
        <v>17</v>
      </c>
      <c r="C733" s="31">
        <v>56</v>
      </c>
      <c r="D733" s="31" t="s">
        <v>41</v>
      </c>
      <c r="E733" s="31">
        <v>1000</v>
      </c>
      <c r="F733" s="31">
        <v>31</v>
      </c>
      <c r="G733" s="31" t="s">
        <v>566</v>
      </c>
      <c r="H733" s="42" t="s">
        <v>19</v>
      </c>
      <c r="I733" s="31" t="s">
        <v>20</v>
      </c>
      <c r="J733" s="31" t="s">
        <v>75</v>
      </c>
    </row>
    <row r="734" spans="1:10" thickBot="1">
      <c r="A734" s="47" t="s">
        <v>1007</v>
      </c>
      <c r="B734" s="31" t="s">
        <v>17</v>
      </c>
      <c r="C734" s="31">
        <v>56</v>
      </c>
      <c r="D734" s="31" t="s">
        <v>41</v>
      </c>
      <c r="E734" s="31">
        <v>1000</v>
      </c>
      <c r="F734" s="31">
        <v>31</v>
      </c>
      <c r="G734" s="31" t="s">
        <v>566</v>
      </c>
      <c r="H734" s="42" t="s">
        <v>19</v>
      </c>
      <c r="I734" s="31" t="s">
        <v>20</v>
      </c>
      <c r="J734" s="31" t="s">
        <v>75</v>
      </c>
    </row>
    <row r="735" spans="1:10" thickBot="1">
      <c r="A735" s="47" t="s">
        <v>1008</v>
      </c>
      <c r="B735" s="31" t="s">
        <v>17</v>
      </c>
      <c r="C735" s="31">
        <v>56</v>
      </c>
      <c r="D735" s="31" t="s">
        <v>41</v>
      </c>
      <c r="E735" s="31">
        <v>1000</v>
      </c>
      <c r="F735" s="31">
        <v>31</v>
      </c>
      <c r="G735" s="31" t="s">
        <v>566</v>
      </c>
      <c r="H735" s="42" t="s">
        <v>19</v>
      </c>
      <c r="I735" s="31" t="s">
        <v>20</v>
      </c>
      <c r="J735" s="31" t="s">
        <v>75</v>
      </c>
    </row>
    <row r="736" spans="1:10" thickBot="1">
      <c r="A736" s="47" t="s">
        <v>1009</v>
      </c>
      <c r="B736" s="31" t="s">
        <v>17</v>
      </c>
      <c r="C736" s="31">
        <v>56</v>
      </c>
      <c r="D736" s="31" t="s">
        <v>41</v>
      </c>
      <c r="E736" s="31">
        <v>1000</v>
      </c>
      <c r="F736" s="31" t="s">
        <v>41</v>
      </c>
      <c r="G736" s="31" t="s">
        <v>566</v>
      </c>
      <c r="H736" s="42" t="s">
        <v>42</v>
      </c>
      <c r="I736" s="31" t="s">
        <v>20</v>
      </c>
      <c r="J736" s="31" t="s">
        <v>75</v>
      </c>
    </row>
    <row r="737" spans="1:10" thickBot="1">
      <c r="A737" s="47" t="s">
        <v>1010</v>
      </c>
      <c r="B737" s="31" t="s">
        <v>17</v>
      </c>
      <c r="C737" s="31">
        <v>56</v>
      </c>
      <c r="D737" s="31" t="s">
        <v>41</v>
      </c>
      <c r="E737" s="31">
        <v>1000</v>
      </c>
      <c r="F737" s="31">
        <v>31</v>
      </c>
      <c r="G737" s="31" t="s">
        <v>566</v>
      </c>
      <c r="H737" s="42" t="s">
        <v>42</v>
      </c>
      <c r="I737" s="31" t="s">
        <v>20</v>
      </c>
      <c r="J737" s="31" t="s">
        <v>75</v>
      </c>
    </row>
    <row r="738" spans="1:10" thickBot="1">
      <c r="A738" s="47" t="s">
        <v>1011</v>
      </c>
      <c r="B738" s="31" t="s">
        <v>17</v>
      </c>
      <c r="C738" s="31">
        <v>56</v>
      </c>
      <c r="D738" s="31" t="s">
        <v>41</v>
      </c>
      <c r="E738" s="31">
        <v>1000</v>
      </c>
      <c r="F738" s="31">
        <v>31</v>
      </c>
      <c r="G738" s="31" t="s">
        <v>566</v>
      </c>
      <c r="H738" s="42" t="s">
        <v>42</v>
      </c>
      <c r="I738" s="31" t="s">
        <v>20</v>
      </c>
      <c r="J738" s="31" t="s">
        <v>75</v>
      </c>
    </row>
    <row r="739" spans="1:10" thickBot="1">
      <c r="A739" s="47" t="s">
        <v>1012</v>
      </c>
      <c r="B739" s="31" t="s">
        <v>17</v>
      </c>
      <c r="C739" s="31">
        <v>56</v>
      </c>
      <c r="D739" s="31" t="s">
        <v>41</v>
      </c>
      <c r="E739" s="31">
        <v>1000</v>
      </c>
      <c r="F739" s="31">
        <v>31</v>
      </c>
      <c r="G739" s="31" t="s">
        <v>566</v>
      </c>
      <c r="H739" s="42" t="s">
        <v>42</v>
      </c>
      <c r="I739" s="31" t="s">
        <v>20</v>
      </c>
      <c r="J739" s="31" t="s">
        <v>75</v>
      </c>
    </row>
    <row r="740" spans="1:10" thickBot="1">
      <c r="A740" s="47" t="s">
        <v>1013</v>
      </c>
      <c r="B740" s="31" t="s">
        <v>17</v>
      </c>
      <c r="C740" s="31">
        <v>56</v>
      </c>
      <c r="D740" s="31" t="s">
        <v>41</v>
      </c>
      <c r="E740" s="31">
        <v>1000</v>
      </c>
      <c r="F740" s="31">
        <v>31</v>
      </c>
      <c r="G740" s="31" t="s">
        <v>566</v>
      </c>
      <c r="H740" s="42" t="s">
        <v>42</v>
      </c>
      <c r="I740" s="31" t="s">
        <v>20</v>
      </c>
      <c r="J740" s="31" t="s">
        <v>75</v>
      </c>
    </row>
    <row r="741" spans="1:10" thickBot="1">
      <c r="A741" s="47" t="s">
        <v>1014</v>
      </c>
      <c r="B741" s="31" t="s">
        <v>17</v>
      </c>
      <c r="C741" s="31">
        <v>56</v>
      </c>
      <c r="D741" s="31" t="s">
        <v>41</v>
      </c>
      <c r="E741" s="31">
        <v>1000</v>
      </c>
      <c r="F741" s="31">
        <v>31</v>
      </c>
      <c r="G741" s="31" t="s">
        <v>566</v>
      </c>
      <c r="H741" s="42" t="s">
        <v>42</v>
      </c>
      <c r="I741" s="31" t="s">
        <v>20</v>
      </c>
      <c r="J741" s="31" t="s">
        <v>75</v>
      </c>
    </row>
    <row r="742" spans="1:10" thickBot="1">
      <c r="A742" s="47" t="s">
        <v>1015</v>
      </c>
      <c r="B742" s="31" t="s">
        <v>17</v>
      </c>
      <c r="C742" s="31">
        <v>56</v>
      </c>
      <c r="D742" s="31" t="s">
        <v>41</v>
      </c>
      <c r="E742" s="31">
        <v>1000</v>
      </c>
      <c r="F742" s="31">
        <v>31</v>
      </c>
      <c r="G742" s="31" t="s">
        <v>566</v>
      </c>
      <c r="H742" s="42" t="s">
        <v>42</v>
      </c>
      <c r="I742" s="31" t="s">
        <v>20</v>
      </c>
      <c r="J742" s="31" t="s">
        <v>75</v>
      </c>
    </row>
    <row r="743" spans="1:10" thickBot="1">
      <c r="A743" s="47" t="s">
        <v>1016</v>
      </c>
      <c r="B743" s="31" t="s">
        <v>17</v>
      </c>
      <c r="C743" s="31">
        <v>56</v>
      </c>
      <c r="D743" s="31" t="s">
        <v>41</v>
      </c>
      <c r="E743" s="31">
        <v>1000</v>
      </c>
      <c r="F743" s="31">
        <v>31</v>
      </c>
      <c r="G743" s="31" t="s">
        <v>566</v>
      </c>
      <c r="H743" s="42" t="s">
        <v>42</v>
      </c>
      <c r="I743" s="31" t="s">
        <v>20</v>
      </c>
      <c r="J743" s="31" t="s">
        <v>75</v>
      </c>
    </row>
    <row r="744" spans="1:10" thickBot="1">
      <c r="A744" s="47" t="s">
        <v>1017</v>
      </c>
      <c r="B744" s="31" t="s">
        <v>17</v>
      </c>
      <c r="C744" s="31">
        <v>56</v>
      </c>
      <c r="D744" s="31" t="s">
        <v>41</v>
      </c>
      <c r="E744" s="31">
        <v>1000</v>
      </c>
      <c r="F744" s="31">
        <v>31</v>
      </c>
      <c r="G744" s="31" t="s">
        <v>566</v>
      </c>
      <c r="H744" s="42" t="s">
        <v>42</v>
      </c>
      <c r="I744" s="31" t="s">
        <v>20</v>
      </c>
      <c r="J744" s="31" t="s">
        <v>75</v>
      </c>
    </row>
    <row r="745" spans="1:10" thickBot="1">
      <c r="A745" s="47" t="s">
        <v>1018</v>
      </c>
      <c r="B745" s="31" t="s">
        <v>17</v>
      </c>
      <c r="C745" s="31">
        <v>56</v>
      </c>
      <c r="D745" s="31" t="s">
        <v>41</v>
      </c>
      <c r="E745" s="31">
        <v>1000</v>
      </c>
      <c r="F745" s="31">
        <v>31</v>
      </c>
      <c r="G745" s="31" t="s">
        <v>566</v>
      </c>
      <c r="H745" s="42" t="s">
        <v>42</v>
      </c>
      <c r="I745" s="31" t="s">
        <v>20</v>
      </c>
      <c r="J745" s="31" t="s">
        <v>75</v>
      </c>
    </row>
    <row r="746" spans="1:10" thickBot="1">
      <c r="A746" s="47" t="s">
        <v>1019</v>
      </c>
      <c r="B746" s="31" t="s">
        <v>17</v>
      </c>
      <c r="C746" s="31">
        <v>56</v>
      </c>
      <c r="D746" s="31" t="s">
        <v>41</v>
      </c>
      <c r="E746" s="31">
        <v>1000</v>
      </c>
      <c r="F746" s="31">
        <v>31</v>
      </c>
      <c r="G746" s="31" t="s">
        <v>566</v>
      </c>
      <c r="H746" s="42" t="s">
        <v>42</v>
      </c>
      <c r="I746" s="31" t="s">
        <v>20</v>
      </c>
      <c r="J746" s="31" t="s">
        <v>75</v>
      </c>
    </row>
    <row r="747" spans="1:10" thickBot="1">
      <c r="A747" s="47" t="s">
        <v>1020</v>
      </c>
      <c r="B747" s="31" t="s">
        <v>17</v>
      </c>
      <c r="C747" s="31">
        <v>56</v>
      </c>
      <c r="D747" s="31" t="s">
        <v>41</v>
      </c>
      <c r="E747" s="31">
        <v>1000</v>
      </c>
      <c r="F747" s="31">
        <v>31</v>
      </c>
      <c r="G747" s="31" t="s">
        <v>566</v>
      </c>
      <c r="H747" s="42" t="s">
        <v>42</v>
      </c>
      <c r="I747" s="31" t="s">
        <v>20</v>
      </c>
      <c r="J747" s="31" t="s">
        <v>75</v>
      </c>
    </row>
    <row r="748" spans="1:10" thickBot="1">
      <c r="A748" s="47" t="s">
        <v>1021</v>
      </c>
      <c r="B748" s="31" t="s">
        <v>17</v>
      </c>
      <c r="C748" s="31">
        <v>56</v>
      </c>
      <c r="D748" s="31" t="s">
        <v>41</v>
      </c>
      <c r="E748" s="31">
        <v>1000</v>
      </c>
      <c r="F748" s="31">
        <v>31</v>
      </c>
      <c r="G748" s="31" t="s">
        <v>566</v>
      </c>
      <c r="H748" s="42" t="s">
        <v>42</v>
      </c>
      <c r="I748" s="31" t="s">
        <v>20</v>
      </c>
      <c r="J748" s="31" t="s">
        <v>75</v>
      </c>
    </row>
    <row r="749" spans="1:10" thickBot="1">
      <c r="A749" s="47" t="s">
        <v>1022</v>
      </c>
      <c r="B749" s="31" t="s">
        <v>17</v>
      </c>
      <c r="C749" s="31">
        <v>56</v>
      </c>
      <c r="D749" s="31" t="s">
        <v>41</v>
      </c>
      <c r="E749" s="31">
        <v>1000</v>
      </c>
      <c r="F749" s="31">
        <v>32</v>
      </c>
      <c r="G749" s="31" t="s">
        <v>566</v>
      </c>
      <c r="H749" s="42" t="s">
        <v>42</v>
      </c>
      <c r="I749" s="31" t="s">
        <v>20</v>
      </c>
      <c r="J749" s="31" t="s">
        <v>75</v>
      </c>
    </row>
    <row r="750" spans="1:10" thickBot="1">
      <c r="A750" s="47" t="s">
        <v>1023</v>
      </c>
      <c r="B750" s="31" t="s">
        <v>17</v>
      </c>
      <c r="C750" s="31">
        <v>56</v>
      </c>
      <c r="D750" s="31" t="s">
        <v>41</v>
      </c>
      <c r="E750" s="31">
        <v>1000</v>
      </c>
      <c r="F750" s="31">
        <v>31</v>
      </c>
      <c r="G750" s="31" t="s">
        <v>566</v>
      </c>
      <c r="H750" s="42" t="s">
        <v>42</v>
      </c>
      <c r="I750" s="31" t="s">
        <v>20</v>
      </c>
      <c r="J750" s="31" t="s">
        <v>75</v>
      </c>
    </row>
    <row r="751" spans="1:10" thickBot="1">
      <c r="A751" s="47" t="s">
        <v>1024</v>
      </c>
      <c r="B751" s="31" t="s">
        <v>17</v>
      </c>
      <c r="C751" s="31">
        <v>56</v>
      </c>
      <c r="D751" s="31" t="s">
        <v>41</v>
      </c>
      <c r="E751" s="31">
        <v>1000</v>
      </c>
      <c r="F751" s="31">
        <v>31</v>
      </c>
      <c r="G751" s="31" t="s">
        <v>566</v>
      </c>
      <c r="H751" s="42" t="s">
        <v>42</v>
      </c>
      <c r="I751" s="31" t="s">
        <v>20</v>
      </c>
      <c r="J751" s="31" t="s">
        <v>75</v>
      </c>
    </row>
    <row r="752" spans="1:10" thickBot="1">
      <c r="A752" s="47" t="s">
        <v>1025</v>
      </c>
      <c r="B752" s="31" t="s">
        <v>17</v>
      </c>
      <c r="C752" s="31">
        <v>56</v>
      </c>
      <c r="D752" s="31" t="s">
        <v>41</v>
      </c>
      <c r="E752" s="31">
        <v>1000</v>
      </c>
      <c r="F752" s="31">
        <v>31</v>
      </c>
      <c r="G752" s="31" t="s">
        <v>566</v>
      </c>
      <c r="H752" s="42" t="s">
        <v>42</v>
      </c>
      <c r="I752" s="31" t="s">
        <v>20</v>
      </c>
      <c r="J752" s="31" t="s">
        <v>75</v>
      </c>
    </row>
    <row r="753" spans="1:13" thickBot="1">
      <c r="A753" s="47" t="s">
        <v>1026</v>
      </c>
      <c r="B753" s="31" t="s">
        <v>17</v>
      </c>
      <c r="C753" s="31">
        <v>56</v>
      </c>
      <c r="D753" s="31" t="s">
        <v>41</v>
      </c>
      <c r="E753" s="31">
        <v>1000</v>
      </c>
      <c r="F753" s="31">
        <v>31</v>
      </c>
      <c r="G753" s="31" t="s">
        <v>566</v>
      </c>
      <c r="H753" s="42" t="s">
        <v>42</v>
      </c>
      <c r="I753" s="31" t="s">
        <v>20</v>
      </c>
      <c r="J753" s="31" t="s">
        <v>75</v>
      </c>
    </row>
    <row r="754" spans="1:13" thickBot="1">
      <c r="A754" s="47" t="s">
        <v>1027</v>
      </c>
      <c r="B754" s="31" t="s">
        <v>17</v>
      </c>
      <c r="C754" s="31">
        <v>56</v>
      </c>
      <c r="D754" s="31" t="s">
        <v>41</v>
      </c>
      <c r="E754" s="31">
        <v>1000</v>
      </c>
      <c r="F754" s="31">
        <v>2</v>
      </c>
      <c r="G754" s="31" t="s">
        <v>191</v>
      </c>
      <c r="H754" s="42" t="s">
        <v>42</v>
      </c>
      <c r="I754" s="31" t="s">
        <v>20</v>
      </c>
      <c r="J754" s="31" t="s">
        <v>75</v>
      </c>
      <c r="M754" t="s">
        <v>878</v>
      </c>
    </row>
    <row r="755" spans="1:13" thickBot="1">
      <c r="A755" s="47" t="s">
        <v>1028</v>
      </c>
      <c r="B755" s="31" t="s">
        <v>17</v>
      </c>
      <c r="C755" s="31">
        <v>56</v>
      </c>
      <c r="D755" s="31" t="s">
        <v>41</v>
      </c>
      <c r="E755" s="31">
        <v>1000</v>
      </c>
      <c r="F755" s="31">
        <v>2</v>
      </c>
      <c r="G755" s="31" t="s">
        <v>191</v>
      </c>
      <c r="H755" s="42" t="s">
        <v>42</v>
      </c>
      <c r="I755" s="31" t="s">
        <v>20</v>
      </c>
      <c r="J755" s="31" t="s">
        <v>245</v>
      </c>
      <c r="M755" t="s">
        <v>56</v>
      </c>
    </row>
    <row r="756" spans="1:13" thickBot="1">
      <c r="A756" s="47" t="s">
        <v>1029</v>
      </c>
      <c r="B756" s="31" t="s">
        <v>17</v>
      </c>
      <c r="C756" s="31">
        <v>56</v>
      </c>
      <c r="D756" s="31" t="s">
        <v>41</v>
      </c>
      <c r="E756" s="31">
        <v>1000</v>
      </c>
      <c r="F756" s="31">
        <v>2</v>
      </c>
      <c r="G756" s="31" t="s">
        <v>191</v>
      </c>
      <c r="H756" s="42" t="s">
        <v>42</v>
      </c>
      <c r="I756" s="31" t="s">
        <v>20</v>
      </c>
      <c r="J756" s="31" t="s">
        <v>245</v>
      </c>
      <c r="M756" t="s">
        <v>56</v>
      </c>
    </row>
    <row r="757" spans="1:13" thickBot="1">
      <c r="A757" s="47" t="s">
        <v>1030</v>
      </c>
      <c r="B757" s="31" t="s">
        <v>17</v>
      </c>
      <c r="C757" s="31">
        <v>56</v>
      </c>
      <c r="D757" s="31" t="s">
        <v>41</v>
      </c>
      <c r="E757" s="31">
        <v>1000</v>
      </c>
      <c r="F757" s="31">
        <v>2</v>
      </c>
      <c r="G757" s="31" t="s">
        <v>191</v>
      </c>
      <c r="H757" s="42" t="s">
        <v>42</v>
      </c>
      <c r="I757" s="31" t="s">
        <v>20</v>
      </c>
      <c r="J757" s="31" t="s">
        <v>75</v>
      </c>
      <c r="M757" t="s">
        <v>1031</v>
      </c>
    </row>
    <row r="758" spans="1:13" thickBot="1">
      <c r="A758" s="47" t="s">
        <v>1032</v>
      </c>
      <c r="B758" s="31" t="s">
        <v>17</v>
      </c>
      <c r="C758" s="31">
        <v>56</v>
      </c>
      <c r="D758" s="31" t="s">
        <v>41</v>
      </c>
      <c r="E758" s="31">
        <v>1000</v>
      </c>
      <c r="F758" s="31">
        <v>2</v>
      </c>
      <c r="G758" s="31" t="s">
        <v>191</v>
      </c>
      <c r="H758" s="42" t="s">
        <v>42</v>
      </c>
      <c r="I758" s="31" t="s">
        <v>20</v>
      </c>
      <c r="J758" s="31" t="s">
        <v>75</v>
      </c>
      <c r="M758" t="s">
        <v>1033</v>
      </c>
    </row>
    <row r="759" spans="1:13" thickBot="1">
      <c r="A759" s="47" t="s">
        <v>1034</v>
      </c>
      <c r="B759" s="31" t="s">
        <v>17</v>
      </c>
      <c r="C759" s="31">
        <v>56</v>
      </c>
      <c r="D759" s="31" t="s">
        <v>41</v>
      </c>
      <c r="E759" s="31">
        <v>1000</v>
      </c>
      <c r="F759" s="31">
        <v>31</v>
      </c>
      <c r="G759" s="31" t="s">
        <v>566</v>
      </c>
      <c r="H759" s="42" t="s">
        <v>19</v>
      </c>
      <c r="I759" s="31" t="s">
        <v>20</v>
      </c>
      <c r="J759" s="31" t="s">
        <v>75</v>
      </c>
      <c r="L759" t="str">
        <f>""""&amp;A759&amp;""""</f>
        <v>"07160215_1725"</v>
      </c>
    </row>
    <row r="760" spans="1:13" thickBot="1">
      <c r="A760" s="47" t="s">
        <v>1035</v>
      </c>
      <c r="B760" s="31" t="s">
        <v>17</v>
      </c>
      <c r="C760" s="31">
        <v>56</v>
      </c>
      <c r="D760" s="31" t="s">
        <v>41</v>
      </c>
      <c r="E760" s="31">
        <v>1000</v>
      </c>
      <c r="F760" s="31">
        <v>31</v>
      </c>
      <c r="G760" s="31" t="s">
        <v>566</v>
      </c>
      <c r="H760" s="42" t="s">
        <v>19</v>
      </c>
      <c r="I760" s="31" t="s">
        <v>20</v>
      </c>
      <c r="J760" s="31" t="s">
        <v>75</v>
      </c>
      <c r="L760" t="str">
        <f>L759&amp;", """&amp;A760&amp;""""</f>
        <v>"07160215_1725", "07160215_1821"</v>
      </c>
    </row>
    <row r="761" spans="1:13" thickBot="1">
      <c r="A761" s="47" t="s">
        <v>1036</v>
      </c>
      <c r="B761" s="31" t="s">
        <v>17</v>
      </c>
      <c r="C761" s="31">
        <v>56</v>
      </c>
      <c r="D761" s="31" t="s">
        <v>41</v>
      </c>
      <c r="E761" s="31">
        <v>1000</v>
      </c>
      <c r="F761" s="31">
        <v>31</v>
      </c>
      <c r="G761" s="31" t="s">
        <v>566</v>
      </c>
      <c r="H761" s="42" t="s">
        <v>19</v>
      </c>
      <c r="I761" s="31" t="s">
        <v>20</v>
      </c>
      <c r="J761" s="31" t="s">
        <v>75</v>
      </c>
      <c r="L761" t="str">
        <f t="shared" ref="L761:L774" si="101">L760&amp;", """&amp;A761&amp;""""</f>
        <v>"07160215_1725", "07160215_1821", "07160215_1918"</v>
      </c>
    </row>
    <row r="762" spans="1:13" thickBot="1">
      <c r="A762" s="47" t="s">
        <v>1037</v>
      </c>
      <c r="B762" s="31" t="s">
        <v>17</v>
      </c>
      <c r="C762" s="31">
        <v>56</v>
      </c>
      <c r="D762" s="31" t="s">
        <v>41</v>
      </c>
      <c r="E762" s="31">
        <v>1000</v>
      </c>
      <c r="F762" s="31">
        <v>31</v>
      </c>
      <c r="G762" s="31" t="s">
        <v>566</v>
      </c>
      <c r="H762" s="42" t="s">
        <v>19</v>
      </c>
      <c r="I762" s="31" t="s">
        <v>20</v>
      </c>
      <c r="J762" s="31" t="s">
        <v>75</v>
      </c>
      <c r="L762" t="str">
        <f t="shared" si="101"/>
        <v>"07160215_1725", "07160215_1821", "07160215_1918", "07160215_2014"</v>
      </c>
    </row>
    <row r="763" spans="1:13" thickBot="1">
      <c r="A763" s="47" t="s">
        <v>1038</v>
      </c>
      <c r="B763" s="31" t="s">
        <v>17</v>
      </c>
      <c r="C763" s="31">
        <v>56</v>
      </c>
      <c r="D763" s="31" t="s">
        <v>41</v>
      </c>
      <c r="E763" s="31">
        <v>1000</v>
      </c>
      <c r="F763" s="31">
        <v>31</v>
      </c>
      <c r="G763" s="31" t="s">
        <v>566</v>
      </c>
      <c r="H763" s="42" t="s">
        <v>19</v>
      </c>
      <c r="I763" s="31" t="s">
        <v>20</v>
      </c>
      <c r="J763" s="31" t="s">
        <v>75</v>
      </c>
      <c r="L763" t="str">
        <f t="shared" si="101"/>
        <v>"07160215_1725", "07160215_1821", "07160215_1918", "07160215_2014", "07160215_2110"</v>
      </c>
    </row>
    <row r="764" spans="1:13" thickBot="1">
      <c r="A764" s="47" t="s">
        <v>1039</v>
      </c>
      <c r="B764" s="31" t="s">
        <v>17</v>
      </c>
      <c r="C764" s="31">
        <v>56</v>
      </c>
      <c r="D764" s="31" t="s">
        <v>41</v>
      </c>
      <c r="E764" s="31">
        <v>1000</v>
      </c>
      <c r="F764" s="31">
        <v>31</v>
      </c>
      <c r="G764" s="31" t="s">
        <v>566</v>
      </c>
      <c r="H764" s="42" t="s">
        <v>19</v>
      </c>
      <c r="I764" s="31" t="s">
        <v>20</v>
      </c>
      <c r="J764" s="31" t="s">
        <v>75</v>
      </c>
      <c r="L764" t="str">
        <f t="shared" si="101"/>
        <v>"07160215_1725", "07160215_1821", "07160215_1918", "07160215_2014", "07160215_2110", "07160215_2207"</v>
      </c>
    </row>
    <row r="765" spans="1:13" thickBot="1">
      <c r="A765" s="47" t="s">
        <v>1040</v>
      </c>
      <c r="B765" s="31" t="s">
        <v>17</v>
      </c>
      <c r="C765" s="31">
        <v>56</v>
      </c>
      <c r="D765" s="31" t="s">
        <v>41</v>
      </c>
      <c r="E765" s="31">
        <v>1000</v>
      </c>
      <c r="F765" s="31">
        <v>31</v>
      </c>
      <c r="G765" s="31" t="s">
        <v>566</v>
      </c>
      <c r="H765" s="42" t="s">
        <v>19</v>
      </c>
      <c r="I765" s="31" t="s">
        <v>20</v>
      </c>
      <c r="J765" s="31" t="s">
        <v>75</v>
      </c>
      <c r="L765" t="str">
        <f t="shared" si="101"/>
        <v>"07160215_1725", "07160215_1821", "07160215_1918", "07160215_2014", "07160215_2110", "07160215_2207", "07160215_2303"</v>
      </c>
    </row>
    <row r="766" spans="1:13" thickBot="1">
      <c r="A766" s="47" t="s">
        <v>1041</v>
      </c>
      <c r="B766" s="31" t="s">
        <v>17</v>
      </c>
      <c r="C766" s="31">
        <v>56</v>
      </c>
      <c r="D766" s="31" t="s">
        <v>41</v>
      </c>
      <c r="E766" s="31">
        <v>1000</v>
      </c>
      <c r="F766" s="31">
        <v>31</v>
      </c>
      <c r="G766" s="31" t="s">
        <v>566</v>
      </c>
      <c r="H766" s="42" t="s">
        <v>19</v>
      </c>
      <c r="I766" s="31" t="s">
        <v>20</v>
      </c>
      <c r="J766" s="31" t="s">
        <v>75</v>
      </c>
      <c r="L766" t="str">
        <f t="shared" si="101"/>
        <v>"07160215_1725", "07160215_1821", "07160215_1918", "07160215_2014", "07160215_2110", "07160215_2207", "07160215_2303", "07160215_2359"</v>
      </c>
    </row>
    <row r="767" spans="1:13" thickBot="1">
      <c r="A767" s="47" t="s">
        <v>1042</v>
      </c>
      <c r="B767" s="31" t="s">
        <v>17</v>
      </c>
      <c r="C767" s="31">
        <v>56</v>
      </c>
      <c r="D767" s="31" t="s">
        <v>41</v>
      </c>
      <c r="E767" s="31">
        <v>1000</v>
      </c>
      <c r="F767" s="31">
        <v>31</v>
      </c>
      <c r="G767" s="31" t="s">
        <v>566</v>
      </c>
      <c r="H767" s="42" t="s">
        <v>19</v>
      </c>
      <c r="I767" s="31" t="s">
        <v>20</v>
      </c>
      <c r="J767" s="31" t="s">
        <v>75</v>
      </c>
      <c r="L767" t="str">
        <f t="shared" si="101"/>
        <v>"07160215_1725", "07160215_1821", "07160215_1918", "07160215_2014", "07160215_2110", "07160215_2207", "07160215_2303", "07160215_2359", "07160216_0056"</v>
      </c>
    </row>
    <row r="768" spans="1:13" thickBot="1">
      <c r="A768" s="47" t="s">
        <v>1043</v>
      </c>
      <c r="B768" s="31" t="s">
        <v>17</v>
      </c>
      <c r="C768" s="31">
        <v>56</v>
      </c>
      <c r="D768" s="31" t="s">
        <v>41</v>
      </c>
      <c r="E768" s="31">
        <v>1000</v>
      </c>
      <c r="F768" s="31">
        <v>31</v>
      </c>
      <c r="G768" s="31" t="s">
        <v>566</v>
      </c>
      <c r="H768" s="42" t="s">
        <v>19</v>
      </c>
      <c r="I768" s="31" t="s">
        <v>20</v>
      </c>
      <c r="J768" s="31" t="s">
        <v>75</v>
      </c>
      <c r="L768" t="str">
        <f t="shared" si="101"/>
        <v>"07160215_1725", "07160215_1821", "07160215_1918", "07160215_2014", "07160215_2110", "07160215_2207", "07160215_2303", "07160215_2359", "07160216_0056", "07160216_0152"</v>
      </c>
    </row>
    <row r="769" spans="1:12" thickBot="1">
      <c r="A769" s="47" t="s">
        <v>1044</v>
      </c>
      <c r="B769" s="31" t="s">
        <v>17</v>
      </c>
      <c r="C769" s="31">
        <v>56</v>
      </c>
      <c r="D769" s="31" t="s">
        <v>41</v>
      </c>
      <c r="E769" s="31">
        <v>1000</v>
      </c>
      <c r="F769" s="31">
        <v>31</v>
      </c>
      <c r="G769" s="31" t="s">
        <v>566</v>
      </c>
      <c r="H769" s="42" t="s">
        <v>19</v>
      </c>
      <c r="I769" s="31" t="s">
        <v>20</v>
      </c>
      <c r="J769" s="31" t="s">
        <v>75</v>
      </c>
      <c r="L769" t="str">
        <f t="shared" si="101"/>
        <v>"07160215_1725", "07160215_1821", "07160215_1918", "07160215_2014", "07160215_2110", "07160215_2207", "07160215_2303", "07160215_2359", "07160216_0056", "07160216_0152", "07160216_0249"</v>
      </c>
    </row>
    <row r="770" spans="1:12" thickBot="1">
      <c r="A770" s="47" t="s">
        <v>1045</v>
      </c>
      <c r="B770" s="31" t="s">
        <v>17</v>
      </c>
      <c r="C770" s="31">
        <v>56</v>
      </c>
      <c r="D770" s="31" t="s">
        <v>41</v>
      </c>
      <c r="E770" s="31">
        <v>1000</v>
      </c>
      <c r="F770" s="31">
        <v>31</v>
      </c>
      <c r="G770" s="31" t="s">
        <v>566</v>
      </c>
      <c r="H770" s="42" t="s">
        <v>19</v>
      </c>
      <c r="I770" s="31" t="s">
        <v>20</v>
      </c>
      <c r="J770" s="31" t="s">
        <v>75</v>
      </c>
      <c r="L770" t="str">
        <f t="shared" si="101"/>
        <v>"07160215_1725", "07160215_1821", "07160215_1918", "07160215_2014", "07160215_2110", "07160215_2207", "07160215_2303", "07160215_2359", "07160216_0056", "07160216_0152", "07160216_0249", "07160216_0345"</v>
      </c>
    </row>
    <row r="771" spans="1:12" thickBot="1">
      <c r="A771" s="47" t="s">
        <v>1046</v>
      </c>
      <c r="B771" s="31" t="s">
        <v>17</v>
      </c>
      <c r="C771" s="31">
        <v>56</v>
      </c>
      <c r="D771" s="31" t="s">
        <v>41</v>
      </c>
      <c r="E771" s="31">
        <v>1000</v>
      </c>
      <c r="F771" s="31">
        <v>31</v>
      </c>
      <c r="G771" s="31" t="s">
        <v>566</v>
      </c>
      <c r="H771" s="42" t="s">
        <v>19</v>
      </c>
      <c r="I771" s="31" t="s">
        <v>20</v>
      </c>
      <c r="J771" s="31" t="s">
        <v>75</v>
      </c>
      <c r="L771" t="str">
        <f t="shared" si="101"/>
        <v>"07160215_1725", "07160215_1821", "07160215_1918", "07160215_2014", "07160215_2110", "07160215_2207", "07160215_2303", "07160215_2359", "07160216_0056", "07160216_0152", "07160216_0249", "07160216_0345", "07160216_0441"</v>
      </c>
    </row>
    <row r="772" spans="1:12" thickBot="1">
      <c r="A772" s="47" t="s">
        <v>1047</v>
      </c>
      <c r="B772" s="31" t="s">
        <v>17</v>
      </c>
      <c r="C772" s="31">
        <v>56</v>
      </c>
      <c r="D772" s="31" t="s">
        <v>41</v>
      </c>
      <c r="E772" s="31">
        <v>1000</v>
      </c>
      <c r="F772" s="31">
        <v>31</v>
      </c>
      <c r="G772" s="31" t="s">
        <v>566</v>
      </c>
      <c r="H772" s="42" t="s">
        <v>19</v>
      </c>
      <c r="I772" s="31" t="s">
        <v>20</v>
      </c>
      <c r="J772" s="31" t="s">
        <v>75</v>
      </c>
      <c r="L772" t="str">
        <f t="shared" si="101"/>
        <v>"07160215_1725", "07160215_1821", "07160215_1918", "07160215_2014", "07160215_2110", "07160215_2207", "07160215_2303", "07160215_2359", "07160216_0056", "07160216_0152", "07160216_0249", "07160216_0345", "07160216_0441", "07160216_0538"</v>
      </c>
    </row>
    <row r="773" spans="1:12" thickBot="1">
      <c r="A773" s="47" t="s">
        <v>1048</v>
      </c>
      <c r="B773" s="31" t="s">
        <v>17</v>
      </c>
      <c r="C773" s="31">
        <v>56</v>
      </c>
      <c r="D773" s="31" t="s">
        <v>41</v>
      </c>
      <c r="E773" s="31">
        <v>1000</v>
      </c>
      <c r="F773" s="31">
        <v>31</v>
      </c>
      <c r="G773" s="31" t="s">
        <v>566</v>
      </c>
      <c r="H773" s="42" t="s">
        <v>19</v>
      </c>
      <c r="I773" s="31" t="s">
        <v>20</v>
      </c>
      <c r="J773" s="31" t="s">
        <v>75</v>
      </c>
      <c r="L773" t="str">
        <f t="shared" si="101"/>
        <v>"07160215_1725", "07160215_1821", "07160215_1918", "07160215_2014", "07160215_2110", "07160215_2207", "07160215_2303", "07160215_2359", "07160216_0056", "07160216_0152", "07160216_0249", "07160216_0345", "07160216_0441", "07160216_0538", "07160216_0634"</v>
      </c>
    </row>
    <row r="774" spans="1:12" thickBot="1">
      <c r="A774" s="47" t="s">
        <v>1049</v>
      </c>
      <c r="B774" s="31" t="s">
        <v>17</v>
      </c>
      <c r="C774" s="31">
        <v>56</v>
      </c>
      <c r="D774" s="31" t="s">
        <v>41</v>
      </c>
      <c r="E774" s="31">
        <v>1000</v>
      </c>
      <c r="F774" s="31">
        <v>31</v>
      </c>
      <c r="G774" s="31" t="s">
        <v>566</v>
      </c>
      <c r="H774" s="42" t="s">
        <v>19</v>
      </c>
      <c r="I774" s="31" t="s">
        <v>20</v>
      </c>
      <c r="J774" s="31" t="s">
        <v>75</v>
      </c>
      <c r="L774" t="str">
        <f t="shared" si="101"/>
        <v>"07160215_1725", "07160215_1821", "07160215_1918", "07160215_2014", "07160215_2110", "07160215_2207", "07160215_2303", "07160215_2359", "07160216_0056", "07160216_0152", "07160216_0249", "07160216_0345", "07160216_0441", "07160216_0538", "07160216_0634", "07160216_0731"</v>
      </c>
    </row>
    <row r="775" spans="1:12" thickBot="1">
      <c r="A775" s="47" t="s">
        <v>1050</v>
      </c>
      <c r="B775" s="31" t="s">
        <v>17</v>
      </c>
      <c r="C775" s="31">
        <v>56</v>
      </c>
      <c r="D775" s="31" t="s">
        <v>41</v>
      </c>
      <c r="E775" s="31">
        <v>10</v>
      </c>
      <c r="F775" s="31">
        <v>3</v>
      </c>
      <c r="G775" s="31" t="s">
        <v>191</v>
      </c>
      <c r="H775" s="42" t="s">
        <v>42</v>
      </c>
      <c r="I775" s="31" t="s">
        <v>20</v>
      </c>
      <c r="J775" s="31" t="s">
        <v>75</v>
      </c>
    </row>
    <row r="776" spans="1:12" thickBot="1">
      <c r="A776" s="47" t="s">
        <v>1051</v>
      </c>
      <c r="B776" s="31" t="s">
        <v>17</v>
      </c>
      <c r="C776" s="31">
        <v>56</v>
      </c>
      <c r="D776" s="31" t="s">
        <v>41</v>
      </c>
      <c r="E776" s="31">
        <v>10</v>
      </c>
      <c r="F776" s="31">
        <v>4</v>
      </c>
      <c r="G776" s="31" t="s">
        <v>191</v>
      </c>
      <c r="H776" s="42" t="s">
        <v>42</v>
      </c>
      <c r="I776" s="31" t="s">
        <v>20</v>
      </c>
      <c r="J776" s="31" t="s">
        <v>75</v>
      </c>
    </row>
    <row r="777" spans="1:12" thickBot="1">
      <c r="A777" s="47" t="s">
        <v>1052</v>
      </c>
      <c r="B777" s="31" t="s">
        <v>17</v>
      </c>
      <c r="C777" s="31">
        <v>56</v>
      </c>
      <c r="D777" s="31" t="s">
        <v>41</v>
      </c>
      <c r="E777" s="31">
        <v>10</v>
      </c>
      <c r="F777" s="31">
        <v>5</v>
      </c>
      <c r="G777" s="31" t="s">
        <v>191</v>
      </c>
      <c r="H777" s="42" t="s">
        <v>42</v>
      </c>
      <c r="I777" s="31" t="s">
        <v>20</v>
      </c>
      <c r="J777" s="31" t="s">
        <v>245</v>
      </c>
    </row>
    <row r="778" spans="1:12" thickBot="1">
      <c r="A778" s="47" t="s">
        <v>1053</v>
      </c>
      <c r="B778" s="31" t="s">
        <v>17</v>
      </c>
      <c r="C778" s="31">
        <v>56</v>
      </c>
      <c r="D778" s="31" t="s">
        <v>41</v>
      </c>
      <c r="E778" s="31">
        <v>10</v>
      </c>
      <c r="F778" s="31">
        <v>5</v>
      </c>
      <c r="G778" s="31" t="s">
        <v>191</v>
      </c>
      <c r="H778" s="42" t="s">
        <v>42</v>
      </c>
      <c r="I778" s="31" t="s">
        <v>20</v>
      </c>
      <c r="J778" s="44" t="s">
        <v>1054</v>
      </c>
    </row>
    <row r="779" spans="1:12" thickBot="1">
      <c r="A779" s="47" t="s">
        <v>1055</v>
      </c>
      <c r="B779" s="31" t="s">
        <v>17</v>
      </c>
      <c r="C779" s="31">
        <v>56</v>
      </c>
      <c r="D779" s="31" t="s">
        <v>41</v>
      </c>
      <c r="E779" s="31">
        <v>10</v>
      </c>
      <c r="F779" s="31">
        <v>6</v>
      </c>
      <c r="G779" s="31" t="s">
        <v>191</v>
      </c>
      <c r="H779" s="42" t="s">
        <v>42</v>
      </c>
      <c r="I779" s="31" t="s">
        <v>20</v>
      </c>
      <c r="J779" s="44" t="s">
        <v>1054</v>
      </c>
    </row>
    <row r="780" spans="1:12" thickBot="1">
      <c r="A780" s="47" t="s">
        <v>1056</v>
      </c>
      <c r="B780" s="31" t="s">
        <v>17</v>
      </c>
      <c r="C780" s="31">
        <v>56</v>
      </c>
      <c r="D780" s="31" t="s">
        <v>41</v>
      </c>
      <c r="E780" s="31">
        <v>10</v>
      </c>
      <c r="F780" s="31">
        <v>5</v>
      </c>
      <c r="G780" s="31" t="s">
        <v>191</v>
      </c>
      <c r="H780" s="42" t="s">
        <v>42</v>
      </c>
      <c r="I780" s="31" t="s">
        <v>20</v>
      </c>
      <c r="J780" s="44" t="s">
        <v>1054</v>
      </c>
    </row>
    <row r="781" spans="1:12" thickBot="1">
      <c r="A781" s="47" t="s">
        <v>1057</v>
      </c>
      <c r="B781" s="31" t="s">
        <v>17</v>
      </c>
      <c r="C781" s="31">
        <v>56</v>
      </c>
      <c r="D781" s="31" t="s">
        <v>41</v>
      </c>
      <c r="E781" s="31">
        <v>10</v>
      </c>
      <c r="F781" s="31">
        <v>5</v>
      </c>
      <c r="G781" s="31" t="s">
        <v>191</v>
      </c>
      <c r="H781" s="42" t="s">
        <v>42</v>
      </c>
      <c r="I781" s="31" t="s">
        <v>20</v>
      </c>
      <c r="J781" s="44" t="s">
        <v>1054</v>
      </c>
    </row>
    <row r="782" spans="1:12" thickBot="1">
      <c r="A782" s="47" t="s">
        <v>1058</v>
      </c>
      <c r="B782" s="31" t="s">
        <v>17</v>
      </c>
      <c r="C782" s="31">
        <v>56</v>
      </c>
      <c r="D782" s="31" t="s">
        <v>41</v>
      </c>
      <c r="E782" s="31">
        <v>10</v>
      </c>
      <c r="F782" s="31">
        <v>4</v>
      </c>
      <c r="G782" s="31" t="s">
        <v>191</v>
      </c>
      <c r="H782" s="42" t="s">
        <v>42</v>
      </c>
      <c r="I782" s="31" t="s">
        <v>20</v>
      </c>
      <c r="J782" s="44" t="s">
        <v>1054</v>
      </c>
    </row>
    <row r="783" spans="1:12" thickBot="1">
      <c r="A783" s="47" t="s">
        <v>1059</v>
      </c>
      <c r="B783" s="31" t="s">
        <v>17</v>
      </c>
      <c r="C783" s="31">
        <v>56</v>
      </c>
      <c r="D783" s="31" t="s">
        <v>41</v>
      </c>
      <c r="E783" s="31">
        <v>10</v>
      </c>
      <c r="F783" s="31">
        <v>5</v>
      </c>
      <c r="G783" s="31" t="s">
        <v>191</v>
      </c>
      <c r="H783" s="42" t="s">
        <v>42</v>
      </c>
      <c r="I783" s="31" t="s">
        <v>20</v>
      </c>
      <c r="J783" s="44" t="s">
        <v>1054</v>
      </c>
    </row>
    <row r="784" spans="1:12" thickBot="1">
      <c r="A784" s="47" t="s">
        <v>1060</v>
      </c>
      <c r="B784" s="31" t="s">
        <v>17</v>
      </c>
      <c r="C784" s="31">
        <v>56</v>
      </c>
      <c r="D784" s="31" t="s">
        <v>41</v>
      </c>
      <c r="E784" s="31">
        <v>10</v>
      </c>
      <c r="F784" s="31">
        <v>5</v>
      </c>
      <c r="G784" s="31" t="s">
        <v>191</v>
      </c>
      <c r="H784" s="42" t="s">
        <v>42</v>
      </c>
      <c r="I784" s="31" t="s">
        <v>20</v>
      </c>
      <c r="J784" s="44" t="s">
        <v>1054</v>
      </c>
    </row>
    <row r="785" spans="1:13" thickBot="1">
      <c r="A785" s="47" t="s">
        <v>1061</v>
      </c>
      <c r="B785" s="31" t="s">
        <v>17</v>
      </c>
      <c r="C785" s="31">
        <v>56</v>
      </c>
      <c r="D785" s="31" t="s">
        <v>41</v>
      </c>
      <c r="E785" s="31">
        <v>1000</v>
      </c>
      <c r="F785" s="31">
        <v>4</v>
      </c>
      <c r="G785" s="31" t="s">
        <v>191</v>
      </c>
      <c r="H785" s="42" t="s">
        <v>42</v>
      </c>
      <c r="I785" s="31" t="s">
        <v>20</v>
      </c>
      <c r="J785" s="44" t="s">
        <v>75</v>
      </c>
      <c r="M785" t="s">
        <v>878</v>
      </c>
    </row>
    <row r="786" spans="1:13" thickBot="1">
      <c r="A786" s="47" t="s">
        <v>1062</v>
      </c>
      <c r="B786" s="31" t="s">
        <v>17</v>
      </c>
      <c r="C786" s="31">
        <v>56</v>
      </c>
      <c r="D786" s="31" t="s">
        <v>41</v>
      </c>
      <c r="E786" s="31">
        <v>1000</v>
      </c>
      <c r="F786" s="31">
        <v>3</v>
      </c>
      <c r="G786" s="31" t="s">
        <v>191</v>
      </c>
      <c r="H786" s="42" t="s">
        <v>42</v>
      </c>
      <c r="I786" s="31" t="s">
        <v>20</v>
      </c>
      <c r="J786" s="44" t="s">
        <v>75</v>
      </c>
      <c r="M786" t="s">
        <v>1063</v>
      </c>
    </row>
    <row r="787" spans="1:13" thickBot="1">
      <c r="A787" s="47" t="s">
        <v>1064</v>
      </c>
      <c r="B787" s="31" t="s">
        <v>17</v>
      </c>
      <c r="C787" s="31">
        <v>56</v>
      </c>
      <c r="D787" s="31" t="s">
        <v>41</v>
      </c>
      <c r="E787" s="31">
        <v>1000</v>
      </c>
      <c r="F787" s="31" t="s">
        <v>41</v>
      </c>
      <c r="G787" s="31" t="s">
        <v>191</v>
      </c>
      <c r="H787" s="42" t="s">
        <v>42</v>
      </c>
      <c r="I787" s="31" t="s">
        <v>20</v>
      </c>
      <c r="J787" s="44" t="s">
        <v>75</v>
      </c>
      <c r="M787" t="s">
        <v>1065</v>
      </c>
    </row>
    <row r="788" spans="1:13" thickBot="1">
      <c r="A788" s="47" t="s">
        <v>1066</v>
      </c>
      <c r="B788" s="31" t="s">
        <v>17</v>
      </c>
      <c r="C788" s="31">
        <v>56</v>
      </c>
      <c r="D788" s="31" t="s">
        <v>41</v>
      </c>
      <c r="E788" s="31">
        <v>1000</v>
      </c>
      <c r="F788" s="31">
        <v>31</v>
      </c>
      <c r="G788" s="31" t="s">
        <v>566</v>
      </c>
      <c r="H788" s="42" t="s">
        <v>19</v>
      </c>
      <c r="I788" s="31" t="s">
        <v>20</v>
      </c>
      <c r="J788" s="44" t="s">
        <v>75</v>
      </c>
      <c r="L788" t="str">
        <f>""""&amp;A788&amp;""""</f>
        <v>"07160216_1801"</v>
      </c>
    </row>
    <row r="789" spans="1:13" thickBot="1">
      <c r="A789" s="47" t="s">
        <v>1067</v>
      </c>
      <c r="B789" s="31" t="s">
        <v>17</v>
      </c>
      <c r="C789" s="31">
        <v>56</v>
      </c>
      <c r="D789" s="31" t="s">
        <v>41</v>
      </c>
      <c r="E789" s="31">
        <v>1000</v>
      </c>
      <c r="F789" s="31">
        <v>31</v>
      </c>
      <c r="G789" s="31" t="s">
        <v>566</v>
      </c>
      <c r="H789" s="42" t="s">
        <v>19</v>
      </c>
      <c r="I789" s="31" t="s">
        <v>20</v>
      </c>
      <c r="J789" s="44" t="s">
        <v>75</v>
      </c>
      <c r="L789" t="str">
        <f>L788&amp;", """&amp;A789&amp;""""</f>
        <v>"07160216_1801", "07160216_1858"</v>
      </c>
    </row>
    <row r="790" spans="1:13" thickBot="1">
      <c r="A790" s="47" t="s">
        <v>1068</v>
      </c>
      <c r="B790" s="31" t="s">
        <v>17</v>
      </c>
      <c r="C790" s="31">
        <v>56</v>
      </c>
      <c r="D790" s="31" t="s">
        <v>41</v>
      </c>
      <c r="E790" s="31">
        <v>1000</v>
      </c>
      <c r="F790" s="31">
        <v>31</v>
      </c>
      <c r="G790" s="31" t="s">
        <v>566</v>
      </c>
      <c r="H790" s="42" t="s">
        <v>19</v>
      </c>
      <c r="I790" s="31" t="s">
        <v>20</v>
      </c>
      <c r="J790" s="44" t="s">
        <v>75</v>
      </c>
      <c r="L790" t="str">
        <f t="shared" ref="L790:L802" si="102">L789&amp;", """&amp;A790&amp;""""</f>
        <v>"07160216_1801", "07160216_1858", "07160216_1955"</v>
      </c>
    </row>
    <row r="791" spans="1:13" thickBot="1">
      <c r="A791" s="47" t="s">
        <v>1069</v>
      </c>
      <c r="B791" s="31" t="s">
        <v>17</v>
      </c>
      <c r="C791" s="31">
        <v>56</v>
      </c>
      <c r="D791" s="31" t="s">
        <v>41</v>
      </c>
      <c r="E791" s="31">
        <v>1000</v>
      </c>
      <c r="F791" s="31">
        <v>31</v>
      </c>
      <c r="G791" s="31" t="s">
        <v>566</v>
      </c>
      <c r="H791" s="42" t="s">
        <v>19</v>
      </c>
      <c r="I791" s="31" t="s">
        <v>20</v>
      </c>
      <c r="J791" s="44" t="s">
        <v>75</v>
      </c>
      <c r="L791" t="str">
        <f t="shared" si="102"/>
        <v>"07160216_1801", "07160216_1858", "07160216_1955", "07160216_2051"</v>
      </c>
    </row>
    <row r="792" spans="1:13" thickBot="1">
      <c r="A792" s="47" t="s">
        <v>1070</v>
      </c>
      <c r="B792" s="31" t="s">
        <v>17</v>
      </c>
      <c r="C792" s="31">
        <v>56</v>
      </c>
      <c r="D792" s="31" t="s">
        <v>41</v>
      </c>
      <c r="E792" s="31">
        <v>1000</v>
      </c>
      <c r="F792" s="31">
        <v>31</v>
      </c>
      <c r="G792" s="31" t="s">
        <v>566</v>
      </c>
      <c r="H792" s="42" t="s">
        <v>19</v>
      </c>
      <c r="I792" s="31" t="s">
        <v>20</v>
      </c>
      <c r="J792" s="44" t="s">
        <v>75</v>
      </c>
      <c r="L792" t="str">
        <f t="shared" si="102"/>
        <v>"07160216_1801", "07160216_1858", "07160216_1955", "07160216_2051", "07160216_2148"</v>
      </c>
    </row>
    <row r="793" spans="1:13" thickBot="1">
      <c r="A793" s="47" t="s">
        <v>1071</v>
      </c>
      <c r="B793" s="31" t="s">
        <v>17</v>
      </c>
      <c r="C793" s="31">
        <v>56</v>
      </c>
      <c r="D793" s="31" t="s">
        <v>41</v>
      </c>
      <c r="E793" s="31">
        <v>1000</v>
      </c>
      <c r="F793" s="31">
        <v>31</v>
      </c>
      <c r="G793" s="31" t="s">
        <v>566</v>
      </c>
      <c r="H793" s="42" t="s">
        <v>19</v>
      </c>
      <c r="I793" s="31" t="s">
        <v>20</v>
      </c>
      <c r="J793" s="44" t="s">
        <v>75</v>
      </c>
      <c r="L793" t="str">
        <f t="shared" si="102"/>
        <v>"07160216_1801", "07160216_1858", "07160216_1955", "07160216_2051", "07160216_2148", "07160216_2244"</v>
      </c>
    </row>
    <row r="794" spans="1:13" thickBot="1">
      <c r="A794" s="47" t="s">
        <v>1072</v>
      </c>
      <c r="B794" s="31" t="s">
        <v>17</v>
      </c>
      <c r="C794" s="31">
        <v>56</v>
      </c>
      <c r="D794" s="31" t="s">
        <v>41</v>
      </c>
      <c r="E794" s="31">
        <v>1000</v>
      </c>
      <c r="F794" s="31">
        <v>31</v>
      </c>
      <c r="G794" s="31" t="s">
        <v>566</v>
      </c>
      <c r="H794" s="42" t="s">
        <v>19</v>
      </c>
      <c r="I794" s="31" t="s">
        <v>20</v>
      </c>
      <c r="J794" s="44" t="s">
        <v>75</v>
      </c>
      <c r="L794" t="str">
        <f t="shared" si="102"/>
        <v>"07160216_1801", "07160216_1858", "07160216_1955", "07160216_2051", "07160216_2148", "07160216_2244", "07160216_2341"</v>
      </c>
    </row>
    <row r="795" spans="1:13" thickBot="1">
      <c r="A795" s="47" t="s">
        <v>1073</v>
      </c>
      <c r="B795" s="31" t="s">
        <v>17</v>
      </c>
      <c r="C795" s="31">
        <v>56</v>
      </c>
      <c r="D795" s="31" t="s">
        <v>41</v>
      </c>
      <c r="E795" s="31">
        <v>1000</v>
      </c>
      <c r="F795" s="31">
        <v>31</v>
      </c>
      <c r="G795" s="31" t="s">
        <v>566</v>
      </c>
      <c r="H795" s="42" t="s">
        <v>19</v>
      </c>
      <c r="I795" s="31" t="s">
        <v>20</v>
      </c>
      <c r="J795" s="44" t="s">
        <v>75</v>
      </c>
      <c r="L795" t="str">
        <f t="shared" si="102"/>
        <v>"07160216_1801", "07160216_1858", "07160216_1955", "07160216_2051", "07160216_2148", "07160216_2244", "07160216_2341", "07160217_0038"</v>
      </c>
    </row>
    <row r="796" spans="1:13" thickBot="1">
      <c r="A796" s="47" t="s">
        <v>1074</v>
      </c>
      <c r="B796" s="31" t="s">
        <v>17</v>
      </c>
      <c r="C796" s="31">
        <v>56</v>
      </c>
      <c r="D796" s="31" t="s">
        <v>41</v>
      </c>
      <c r="E796" s="31">
        <v>1000</v>
      </c>
      <c r="F796" s="31">
        <v>31</v>
      </c>
      <c r="G796" s="31" t="s">
        <v>566</v>
      </c>
      <c r="H796" s="42" t="s">
        <v>19</v>
      </c>
      <c r="I796" s="31" t="s">
        <v>20</v>
      </c>
      <c r="J796" s="44" t="s">
        <v>75</v>
      </c>
      <c r="L796" t="str">
        <f t="shared" si="102"/>
        <v>"07160216_1801", "07160216_1858", "07160216_1955", "07160216_2051", "07160216_2148", "07160216_2244", "07160216_2341", "07160217_0038", "07160217_0134"</v>
      </c>
    </row>
    <row r="797" spans="1:13" thickBot="1">
      <c r="A797" s="47" t="s">
        <v>1075</v>
      </c>
      <c r="B797" s="31" t="s">
        <v>17</v>
      </c>
      <c r="C797" s="31">
        <v>56</v>
      </c>
      <c r="D797" s="31" t="s">
        <v>41</v>
      </c>
      <c r="E797" s="31">
        <v>1000</v>
      </c>
      <c r="F797" s="31">
        <v>31</v>
      </c>
      <c r="G797" s="31" t="s">
        <v>566</v>
      </c>
      <c r="H797" s="42" t="s">
        <v>19</v>
      </c>
      <c r="I797" s="31" t="s">
        <v>20</v>
      </c>
      <c r="J797" s="44" t="s">
        <v>75</v>
      </c>
      <c r="L797" t="str">
        <f t="shared" si="102"/>
        <v>"07160216_1801", "07160216_1858", "07160216_1955", "07160216_2051", "07160216_2148", "07160216_2244", "07160216_2341", "07160217_0038", "07160217_0134", "07160217_0231"</v>
      </c>
    </row>
    <row r="798" spans="1:13" thickBot="1">
      <c r="A798" s="47" t="s">
        <v>1076</v>
      </c>
      <c r="B798" s="31" t="s">
        <v>17</v>
      </c>
      <c r="C798" s="31">
        <v>56</v>
      </c>
      <c r="D798" s="31" t="s">
        <v>41</v>
      </c>
      <c r="E798" s="31">
        <v>1000</v>
      </c>
      <c r="F798" s="31">
        <v>31</v>
      </c>
      <c r="G798" s="31" t="s">
        <v>566</v>
      </c>
      <c r="H798" s="42" t="s">
        <v>19</v>
      </c>
      <c r="I798" s="31" t="s">
        <v>20</v>
      </c>
      <c r="J798" s="44" t="s">
        <v>75</v>
      </c>
      <c r="L798" t="str">
        <f t="shared" si="102"/>
        <v>"07160216_1801", "07160216_1858", "07160216_1955", "07160216_2051", "07160216_2148", "07160216_2244", "07160216_2341", "07160217_0038", "07160217_0134", "07160217_0231", "07160217_0327"</v>
      </c>
    </row>
    <row r="799" spans="1:13" thickBot="1">
      <c r="A799" s="47" t="s">
        <v>1077</v>
      </c>
      <c r="B799" s="31" t="s">
        <v>17</v>
      </c>
      <c r="C799" s="31">
        <v>56</v>
      </c>
      <c r="D799" s="31" t="s">
        <v>41</v>
      </c>
      <c r="E799" s="31">
        <v>1000</v>
      </c>
      <c r="F799" s="31">
        <v>31</v>
      </c>
      <c r="G799" s="31" t="s">
        <v>566</v>
      </c>
      <c r="H799" s="42" t="s">
        <v>19</v>
      </c>
      <c r="I799" s="31" t="s">
        <v>20</v>
      </c>
      <c r="J799" s="44" t="s">
        <v>75</v>
      </c>
      <c r="L799" t="str">
        <f t="shared" si="102"/>
        <v>"07160216_1801", "07160216_1858", "07160216_1955", "07160216_2051", "07160216_2148", "07160216_2244", "07160216_2341", "07160217_0038", "07160217_0134", "07160217_0231", "07160217_0327", "07160217_0424"</v>
      </c>
    </row>
    <row r="800" spans="1:13" thickBot="1">
      <c r="A800" s="47" t="s">
        <v>1078</v>
      </c>
      <c r="B800" s="31" t="s">
        <v>17</v>
      </c>
      <c r="C800" s="31">
        <v>56</v>
      </c>
      <c r="D800" s="31" t="s">
        <v>41</v>
      </c>
      <c r="E800" s="31">
        <v>1000</v>
      </c>
      <c r="F800" s="31">
        <v>31</v>
      </c>
      <c r="G800" s="31" t="s">
        <v>566</v>
      </c>
      <c r="H800" s="42" t="s">
        <v>19</v>
      </c>
      <c r="I800" s="31" t="s">
        <v>20</v>
      </c>
      <c r="J800" s="44" t="s">
        <v>75</v>
      </c>
      <c r="L800" t="str">
        <f t="shared" si="102"/>
        <v>"07160216_1801", "07160216_1858", "07160216_1955", "07160216_2051", "07160216_2148", "07160216_2244", "07160216_2341", "07160217_0038", "07160217_0134", "07160217_0231", "07160217_0327", "07160217_0424", "07160217_0521"</v>
      </c>
    </row>
    <row r="801" spans="1:13" thickBot="1">
      <c r="A801" s="47" t="s">
        <v>1079</v>
      </c>
      <c r="B801" s="31" t="s">
        <v>17</v>
      </c>
      <c r="C801" s="31">
        <v>56</v>
      </c>
      <c r="D801" s="31" t="s">
        <v>41</v>
      </c>
      <c r="E801" s="31">
        <v>1000</v>
      </c>
      <c r="F801" s="31">
        <v>31</v>
      </c>
      <c r="G801" s="31" t="s">
        <v>566</v>
      </c>
      <c r="H801" s="42" t="s">
        <v>19</v>
      </c>
      <c r="I801" s="31" t="s">
        <v>20</v>
      </c>
      <c r="J801" s="44" t="s">
        <v>75</v>
      </c>
      <c r="L801" t="str">
        <f t="shared" si="102"/>
        <v>"07160216_1801", "07160216_1858", "07160216_1955", "07160216_2051", "07160216_2148", "07160216_2244", "07160216_2341", "07160217_0038", "07160217_0134", "07160217_0231", "07160217_0327", "07160217_0424", "07160217_0521", "07160217_0617"</v>
      </c>
    </row>
    <row r="802" spans="1:13" thickBot="1">
      <c r="A802" s="47" t="s">
        <v>1080</v>
      </c>
      <c r="B802" s="31" t="s">
        <v>17</v>
      </c>
      <c r="C802" s="31">
        <v>56</v>
      </c>
      <c r="D802" s="31" t="s">
        <v>41</v>
      </c>
      <c r="E802" s="31">
        <v>1000</v>
      </c>
      <c r="F802" s="31">
        <v>31</v>
      </c>
      <c r="G802" s="31" t="s">
        <v>566</v>
      </c>
      <c r="H802" s="42" t="s">
        <v>19</v>
      </c>
      <c r="I802" s="31" t="s">
        <v>20</v>
      </c>
      <c r="J802" s="44" t="s">
        <v>75</v>
      </c>
      <c r="L802" t="str">
        <f t="shared" si="102"/>
        <v>"07160216_1801", "07160216_1858", "07160216_1955", "07160216_2051", "07160216_2148", "07160216_2244", "07160216_2341", "07160217_0038", "07160217_0134", "07160217_0231", "07160217_0327", "07160217_0424", "07160217_0521", "07160217_0617", "07160217_0714"</v>
      </c>
    </row>
    <row r="803" spans="1:13" thickBot="1">
      <c r="A803" s="47" t="s">
        <v>1081</v>
      </c>
      <c r="B803" s="31" t="s">
        <v>17</v>
      </c>
      <c r="C803" s="31">
        <v>56</v>
      </c>
      <c r="D803" s="31" t="s">
        <v>41</v>
      </c>
      <c r="E803" s="31">
        <v>1000</v>
      </c>
      <c r="F803" s="31">
        <v>31</v>
      </c>
      <c r="G803" s="31" t="s">
        <v>629</v>
      </c>
      <c r="H803" s="42" t="s">
        <v>19</v>
      </c>
      <c r="I803" s="31" t="s">
        <v>20</v>
      </c>
      <c r="J803" s="44" t="s">
        <v>75</v>
      </c>
    </row>
    <row r="804" spans="1:13" thickBot="1">
      <c r="A804" s="47" t="s">
        <v>1082</v>
      </c>
      <c r="B804" s="31" t="s">
        <v>17</v>
      </c>
      <c r="C804" s="31">
        <v>56</v>
      </c>
      <c r="D804" s="31" t="s">
        <v>41</v>
      </c>
      <c r="E804" s="31">
        <v>1000</v>
      </c>
      <c r="F804" s="31">
        <v>11</v>
      </c>
      <c r="G804" s="31" t="s">
        <v>191</v>
      </c>
      <c r="H804" s="42" t="s">
        <v>42</v>
      </c>
      <c r="I804" s="31" t="s">
        <v>20</v>
      </c>
      <c r="J804" s="31" t="s">
        <v>245</v>
      </c>
    </row>
    <row r="805" spans="1:13" thickBot="1">
      <c r="A805" s="47" t="s">
        <v>1083</v>
      </c>
      <c r="B805" s="31" t="s">
        <v>17</v>
      </c>
      <c r="C805" s="31">
        <v>56</v>
      </c>
      <c r="D805" s="31" t="s">
        <v>41</v>
      </c>
      <c r="E805" s="31">
        <v>1000</v>
      </c>
      <c r="F805" s="31">
        <v>20</v>
      </c>
      <c r="G805" s="31" t="s">
        <v>191</v>
      </c>
      <c r="H805" s="42" t="s">
        <v>42</v>
      </c>
      <c r="I805" s="31" t="s">
        <v>20</v>
      </c>
      <c r="J805" s="44" t="s">
        <v>75</v>
      </c>
    </row>
    <row r="806" spans="1:13" thickBot="1">
      <c r="A806" s="47" t="s">
        <v>1084</v>
      </c>
      <c r="B806" s="31" t="s">
        <v>17</v>
      </c>
      <c r="C806" s="31">
        <v>56</v>
      </c>
      <c r="D806" s="31" t="s">
        <v>41</v>
      </c>
      <c r="E806" s="31">
        <v>1000</v>
      </c>
      <c r="F806" s="31">
        <v>19</v>
      </c>
      <c r="G806" s="31" t="s">
        <v>191</v>
      </c>
      <c r="H806" s="42" t="s">
        <v>42</v>
      </c>
      <c r="I806" s="31" t="s">
        <v>20</v>
      </c>
      <c r="J806" s="44" t="s">
        <v>75</v>
      </c>
    </row>
    <row r="807" spans="1:13" thickBot="1">
      <c r="A807" s="47" t="s">
        <v>1085</v>
      </c>
      <c r="B807" s="31" t="s">
        <v>17</v>
      </c>
      <c r="C807" s="31">
        <v>56</v>
      </c>
      <c r="D807" s="31" t="s">
        <v>41</v>
      </c>
      <c r="E807" s="31">
        <v>1000</v>
      </c>
      <c r="F807" s="31">
        <v>14</v>
      </c>
      <c r="G807" s="31" t="s">
        <v>191</v>
      </c>
      <c r="H807" s="42" t="s">
        <v>42</v>
      </c>
      <c r="I807" s="31" t="s">
        <v>20</v>
      </c>
      <c r="J807" s="31" t="s">
        <v>245</v>
      </c>
    </row>
    <row r="808" spans="1:13" thickBot="1">
      <c r="A808" s="47" t="s">
        <v>1086</v>
      </c>
      <c r="B808" s="31" t="s">
        <v>17</v>
      </c>
      <c r="C808" s="31">
        <v>56</v>
      </c>
      <c r="D808" s="31" t="s">
        <v>41</v>
      </c>
      <c r="E808" s="31">
        <v>1000</v>
      </c>
      <c r="F808" s="31">
        <v>2</v>
      </c>
      <c r="G808" s="31" t="s">
        <v>191</v>
      </c>
      <c r="H808" s="42" t="s">
        <v>42</v>
      </c>
      <c r="I808" s="31" t="s">
        <v>20</v>
      </c>
      <c r="J808" s="44" t="s">
        <v>75</v>
      </c>
      <c r="M808" t="s">
        <v>878</v>
      </c>
    </row>
    <row r="809" spans="1:13" thickBot="1">
      <c r="A809" s="47" t="s">
        <v>1087</v>
      </c>
      <c r="B809" s="31" t="s">
        <v>17</v>
      </c>
      <c r="C809" s="31">
        <v>56</v>
      </c>
      <c r="D809" s="31" t="s">
        <v>41</v>
      </c>
      <c r="E809" s="31">
        <v>1000</v>
      </c>
      <c r="F809" s="31">
        <v>4</v>
      </c>
      <c r="G809" s="31" t="s">
        <v>191</v>
      </c>
      <c r="H809" s="42" t="s">
        <v>42</v>
      </c>
      <c r="I809" s="31" t="s">
        <v>20</v>
      </c>
      <c r="J809" s="44" t="s">
        <v>75</v>
      </c>
      <c r="M809" t="s">
        <v>1063</v>
      </c>
    </row>
    <row r="810" spans="1:13" thickBot="1">
      <c r="A810" s="47" t="s">
        <v>1088</v>
      </c>
      <c r="B810" s="31" t="s">
        <v>17</v>
      </c>
      <c r="C810" s="31">
        <v>56</v>
      </c>
      <c r="D810" s="31" t="s">
        <v>41</v>
      </c>
      <c r="E810" s="31">
        <v>2000</v>
      </c>
      <c r="F810" s="31">
        <v>24</v>
      </c>
      <c r="G810" s="31" t="s">
        <v>191</v>
      </c>
      <c r="H810" s="42" t="s">
        <v>42</v>
      </c>
      <c r="I810" s="31" t="s">
        <v>20</v>
      </c>
      <c r="J810" s="31" t="s">
        <v>245</v>
      </c>
    </row>
    <row r="811" spans="1:13" thickBot="1">
      <c r="A811" s="47" t="s">
        <v>1089</v>
      </c>
      <c r="B811" s="31" t="s">
        <v>17</v>
      </c>
      <c r="C811" s="31">
        <v>56</v>
      </c>
      <c r="D811" s="31" t="s">
        <v>41</v>
      </c>
      <c r="E811" s="31">
        <v>1000</v>
      </c>
      <c r="F811" s="31">
        <v>31</v>
      </c>
      <c r="G811" s="31" t="s">
        <v>566</v>
      </c>
      <c r="H811" s="42" t="s">
        <v>19</v>
      </c>
      <c r="I811" s="31" t="s">
        <v>20</v>
      </c>
      <c r="J811" s="44" t="s">
        <v>75</v>
      </c>
      <c r="L811" t="str">
        <f>""""&amp;A811&amp;""""</f>
        <v>"07160217_1833"</v>
      </c>
    </row>
    <row r="812" spans="1:13" thickBot="1">
      <c r="A812" s="47" t="s">
        <v>1090</v>
      </c>
      <c r="B812" s="31" t="s">
        <v>17</v>
      </c>
      <c r="C812" s="31">
        <v>56</v>
      </c>
      <c r="D812" s="31" t="s">
        <v>41</v>
      </c>
      <c r="E812" s="31">
        <v>1000</v>
      </c>
      <c r="F812" s="31" t="s">
        <v>41</v>
      </c>
      <c r="G812" s="31" t="s">
        <v>566</v>
      </c>
      <c r="H812" s="42" t="s">
        <v>19</v>
      </c>
      <c r="I812" s="31" t="s">
        <v>20</v>
      </c>
      <c r="J812" s="44" t="s">
        <v>75</v>
      </c>
      <c r="L812" t="str">
        <f>L811&amp;", """&amp;A812&amp;""""</f>
        <v>"07160217_1833", "07160217_1929"</v>
      </c>
    </row>
    <row r="813" spans="1:13" thickBot="1">
      <c r="A813" s="47" t="s">
        <v>1091</v>
      </c>
      <c r="B813" s="31" t="s">
        <v>17</v>
      </c>
      <c r="C813" s="31">
        <v>56</v>
      </c>
      <c r="D813" s="31" t="s">
        <v>41</v>
      </c>
      <c r="E813" s="31">
        <v>1000</v>
      </c>
      <c r="F813" s="31">
        <v>31</v>
      </c>
      <c r="G813" s="31" t="s">
        <v>566</v>
      </c>
      <c r="H813" s="42" t="s">
        <v>19</v>
      </c>
      <c r="I813" s="31" t="s">
        <v>20</v>
      </c>
      <c r="J813" s="44" t="s">
        <v>75</v>
      </c>
      <c r="L813" t="str">
        <f t="shared" ref="L813:L818" si="103">L812&amp;", """&amp;A813&amp;""""</f>
        <v>"07160217_1833", "07160217_1929", "07160217_2026"</v>
      </c>
    </row>
    <row r="814" spans="1:13" thickBot="1">
      <c r="A814" s="47" t="s">
        <v>1092</v>
      </c>
      <c r="B814" s="31" t="s">
        <v>17</v>
      </c>
      <c r="C814" s="31">
        <v>56</v>
      </c>
      <c r="D814" s="31" t="s">
        <v>41</v>
      </c>
      <c r="E814" s="31">
        <v>1000</v>
      </c>
      <c r="F814" s="31">
        <v>31</v>
      </c>
      <c r="G814" s="31" t="s">
        <v>566</v>
      </c>
      <c r="H814" s="42" t="s">
        <v>19</v>
      </c>
      <c r="I814" s="31" t="s">
        <v>20</v>
      </c>
      <c r="J814" s="44" t="s">
        <v>75</v>
      </c>
      <c r="L814" t="str">
        <f t="shared" si="103"/>
        <v>"07160217_1833", "07160217_1929", "07160217_2026", "07160217_2123"</v>
      </c>
    </row>
    <row r="815" spans="1:13" thickBot="1">
      <c r="A815" s="47" t="s">
        <v>1093</v>
      </c>
      <c r="B815" s="31" t="s">
        <v>17</v>
      </c>
      <c r="C815" s="31">
        <v>56</v>
      </c>
      <c r="D815" s="31" t="s">
        <v>41</v>
      </c>
      <c r="E815" s="31">
        <v>1000</v>
      </c>
      <c r="F815" s="31" t="s">
        <v>41</v>
      </c>
      <c r="G815" s="31" t="s">
        <v>566</v>
      </c>
      <c r="H815" s="42" t="s">
        <v>19</v>
      </c>
      <c r="I815" s="31" t="s">
        <v>20</v>
      </c>
      <c r="J815" s="44" t="s">
        <v>75</v>
      </c>
      <c r="L815" t="str">
        <f t="shared" si="103"/>
        <v>"07160217_1833", "07160217_1929", "07160217_2026", "07160217_2123", "07160217_2219"</v>
      </c>
    </row>
    <row r="816" spans="1:13" thickBot="1">
      <c r="A816" s="47" t="s">
        <v>1094</v>
      </c>
      <c r="B816" s="31" t="s">
        <v>17</v>
      </c>
      <c r="C816" s="31">
        <v>56</v>
      </c>
      <c r="D816" s="31" t="s">
        <v>41</v>
      </c>
      <c r="E816" s="31">
        <v>1000</v>
      </c>
      <c r="F816" s="31">
        <v>31</v>
      </c>
      <c r="G816" s="31" t="s">
        <v>566</v>
      </c>
      <c r="H816" s="42" t="s">
        <v>19</v>
      </c>
      <c r="I816" s="31" t="s">
        <v>20</v>
      </c>
      <c r="J816" s="44" t="s">
        <v>75</v>
      </c>
      <c r="L816" t="str">
        <f t="shared" si="103"/>
        <v>"07160217_1833", "07160217_1929", "07160217_2026", "07160217_2123", "07160217_2219", "07160217_2316"</v>
      </c>
    </row>
    <row r="817" spans="1:13" thickBot="1">
      <c r="A817" s="47" t="s">
        <v>1095</v>
      </c>
      <c r="B817" s="31" t="s">
        <v>17</v>
      </c>
      <c r="C817" s="31">
        <v>56</v>
      </c>
      <c r="D817" s="31" t="s">
        <v>41</v>
      </c>
      <c r="E817" s="31">
        <v>1000</v>
      </c>
      <c r="F817" s="31">
        <v>31</v>
      </c>
      <c r="G817" s="31" t="s">
        <v>566</v>
      </c>
      <c r="H817" s="42" t="s">
        <v>19</v>
      </c>
      <c r="I817" s="31" t="s">
        <v>20</v>
      </c>
      <c r="J817" s="44" t="s">
        <v>75</v>
      </c>
      <c r="L817" t="str">
        <f t="shared" si="103"/>
        <v>"07160217_1833", "07160217_1929", "07160217_2026", "07160217_2123", "07160217_2219", "07160217_2316", "07160218_0013"</v>
      </c>
    </row>
    <row r="818" spans="1:13" thickBot="1">
      <c r="A818" s="47" t="s">
        <v>1096</v>
      </c>
      <c r="B818" s="31" t="s">
        <v>17</v>
      </c>
      <c r="C818" s="31">
        <v>56</v>
      </c>
      <c r="D818" s="31" t="s">
        <v>41</v>
      </c>
      <c r="E818" s="31">
        <v>1000</v>
      </c>
      <c r="F818" s="31">
        <v>32</v>
      </c>
      <c r="G818" s="31" t="s">
        <v>566</v>
      </c>
      <c r="H818" s="42" t="s">
        <v>19</v>
      </c>
      <c r="I818" s="31" t="s">
        <v>20</v>
      </c>
      <c r="J818" s="44" t="s">
        <v>75</v>
      </c>
      <c r="L818" t="str">
        <f t="shared" si="103"/>
        <v>"07160217_1833", "07160217_1929", "07160217_2026", "07160217_2123", "07160217_2219", "07160217_2316", "07160218_0013", "07160218_0109"</v>
      </c>
    </row>
    <row r="819" spans="1:13" thickBot="1">
      <c r="A819" s="47" t="s">
        <v>1097</v>
      </c>
      <c r="B819" s="31" t="s">
        <v>17</v>
      </c>
      <c r="C819" s="31">
        <v>56</v>
      </c>
      <c r="D819" s="31" t="s">
        <v>41</v>
      </c>
      <c r="E819" s="31">
        <v>1000</v>
      </c>
      <c r="F819" s="31">
        <v>31</v>
      </c>
      <c r="G819" s="31" t="s">
        <v>566</v>
      </c>
      <c r="H819" s="42" t="s">
        <v>19</v>
      </c>
      <c r="I819" s="31" t="s">
        <v>20</v>
      </c>
      <c r="J819" s="44" t="s">
        <v>75</v>
      </c>
    </row>
    <row r="820" spans="1:13" thickBot="1">
      <c r="A820" s="47" t="s">
        <v>1098</v>
      </c>
      <c r="B820" s="31" t="s">
        <v>17</v>
      </c>
      <c r="C820" s="31">
        <v>56</v>
      </c>
      <c r="D820" s="31" t="s">
        <v>41</v>
      </c>
      <c r="E820" s="31">
        <v>1000</v>
      </c>
      <c r="F820" s="31">
        <v>31</v>
      </c>
      <c r="G820" s="31" t="s">
        <v>566</v>
      </c>
      <c r="H820" s="42" t="s">
        <v>19</v>
      </c>
      <c r="I820" s="31" t="s">
        <v>20</v>
      </c>
      <c r="J820" s="44" t="s">
        <v>1099</v>
      </c>
    </row>
    <row r="821" spans="1:13" thickBot="1">
      <c r="A821" s="47" t="s">
        <v>1100</v>
      </c>
      <c r="B821" s="31" t="s">
        <v>17</v>
      </c>
      <c r="C821" s="31">
        <v>56</v>
      </c>
      <c r="D821" s="31" t="s">
        <v>41</v>
      </c>
      <c r="E821" s="31">
        <v>1000</v>
      </c>
      <c r="F821" s="31" t="s">
        <v>41</v>
      </c>
      <c r="G821" s="31" t="s">
        <v>566</v>
      </c>
      <c r="H821" s="42" t="s">
        <v>19</v>
      </c>
      <c r="I821" s="31" t="s">
        <v>20</v>
      </c>
      <c r="J821" s="44" t="s">
        <v>1099</v>
      </c>
    </row>
    <row r="822" spans="1:13" thickBot="1">
      <c r="A822" s="47" t="s">
        <v>1101</v>
      </c>
      <c r="B822" s="31" t="s">
        <v>17</v>
      </c>
      <c r="C822" s="31">
        <v>56</v>
      </c>
      <c r="D822" s="31" t="s">
        <v>41</v>
      </c>
      <c r="E822" s="31">
        <v>1000</v>
      </c>
      <c r="F822" s="31">
        <v>31</v>
      </c>
      <c r="G822" s="31" t="s">
        <v>566</v>
      </c>
      <c r="H822" s="42" t="s">
        <v>19</v>
      </c>
      <c r="I822" s="31" t="s">
        <v>20</v>
      </c>
      <c r="J822" s="44" t="s">
        <v>1099</v>
      </c>
    </row>
    <row r="823" spans="1:13" thickBot="1">
      <c r="A823" s="47" t="s">
        <v>1102</v>
      </c>
      <c r="B823" s="31" t="s">
        <v>17</v>
      </c>
      <c r="C823" s="31">
        <v>56</v>
      </c>
      <c r="D823" s="31" t="s">
        <v>41</v>
      </c>
      <c r="E823" s="31">
        <v>1000</v>
      </c>
      <c r="F823" s="31" t="s">
        <v>41</v>
      </c>
      <c r="G823" s="31" t="s">
        <v>566</v>
      </c>
      <c r="H823" s="42" t="s">
        <v>19</v>
      </c>
      <c r="I823" s="31" t="s">
        <v>20</v>
      </c>
      <c r="J823" s="44" t="s">
        <v>1099</v>
      </c>
    </row>
    <row r="824" spans="1:13" thickBot="1">
      <c r="A824" s="47" t="s">
        <v>1103</v>
      </c>
      <c r="B824" s="31" t="s">
        <v>17</v>
      </c>
      <c r="C824" s="31">
        <v>56</v>
      </c>
      <c r="D824" s="31" t="s">
        <v>41</v>
      </c>
      <c r="E824" s="31">
        <v>1000</v>
      </c>
      <c r="F824" s="31">
        <v>31</v>
      </c>
      <c r="G824" s="31" t="s">
        <v>566</v>
      </c>
      <c r="H824" s="42" t="s">
        <v>19</v>
      </c>
      <c r="I824" s="31" t="s">
        <v>20</v>
      </c>
      <c r="J824" s="44" t="s">
        <v>1099</v>
      </c>
    </row>
    <row r="825" spans="1:13" thickBot="1">
      <c r="A825" s="47" t="s">
        <v>1104</v>
      </c>
      <c r="B825" s="31" t="s">
        <v>17</v>
      </c>
      <c r="C825" s="31">
        <v>56</v>
      </c>
      <c r="D825" s="31" t="s">
        <v>41</v>
      </c>
      <c r="E825" s="31">
        <v>1000</v>
      </c>
      <c r="F825" s="31">
        <v>31</v>
      </c>
      <c r="G825" s="31" t="s">
        <v>566</v>
      </c>
      <c r="H825" s="42" t="s">
        <v>19</v>
      </c>
      <c r="I825" s="31" t="s">
        <v>20</v>
      </c>
      <c r="J825" s="44" t="s">
        <v>1099</v>
      </c>
    </row>
    <row r="826" spans="1:13" thickBot="1">
      <c r="A826" s="47" t="s">
        <v>1105</v>
      </c>
      <c r="B826" s="31" t="s">
        <v>17</v>
      </c>
      <c r="C826" s="31">
        <v>56</v>
      </c>
      <c r="D826" s="31" t="s">
        <v>41</v>
      </c>
      <c r="E826" s="31">
        <v>1000</v>
      </c>
      <c r="F826" s="31">
        <v>2</v>
      </c>
      <c r="G826" s="31" t="s">
        <v>191</v>
      </c>
      <c r="H826" s="42" t="s">
        <v>42</v>
      </c>
      <c r="I826" s="31" t="s">
        <v>20</v>
      </c>
      <c r="J826" s="44" t="s">
        <v>75</v>
      </c>
      <c r="M826" t="s">
        <v>878</v>
      </c>
    </row>
    <row r="827" spans="1:13" thickBot="1">
      <c r="A827" s="47" t="s">
        <v>1106</v>
      </c>
      <c r="B827" s="31" t="s">
        <v>17</v>
      </c>
      <c r="C827" s="31">
        <v>56</v>
      </c>
      <c r="D827" s="31" t="s">
        <v>41</v>
      </c>
      <c r="E827" s="31">
        <v>1000</v>
      </c>
      <c r="F827" s="31">
        <v>5</v>
      </c>
      <c r="G827" s="31" t="s">
        <v>191</v>
      </c>
      <c r="H827" s="42" t="s">
        <v>42</v>
      </c>
      <c r="I827" s="31" t="s">
        <v>20</v>
      </c>
      <c r="J827" s="44" t="s">
        <v>245</v>
      </c>
      <c r="M827" t="s">
        <v>1107</v>
      </c>
    </row>
    <row r="828" spans="1:13" thickBot="1">
      <c r="A828" s="47" t="s">
        <v>1108</v>
      </c>
      <c r="B828" s="31" t="s">
        <v>17</v>
      </c>
      <c r="C828" s="31">
        <v>56</v>
      </c>
      <c r="D828" s="31" t="s">
        <v>41</v>
      </c>
      <c r="E828" s="31">
        <v>1000</v>
      </c>
      <c r="F828" s="31">
        <v>3</v>
      </c>
      <c r="G828" s="31" t="s">
        <v>191</v>
      </c>
      <c r="H828" s="42" t="s">
        <v>42</v>
      </c>
      <c r="I828" s="31" t="s">
        <v>20</v>
      </c>
      <c r="J828" s="31" t="s">
        <v>75</v>
      </c>
      <c r="M828" t="s">
        <v>1109</v>
      </c>
    </row>
    <row r="829" spans="1:13" thickBot="1">
      <c r="A829" s="47" t="s">
        <v>1110</v>
      </c>
      <c r="B829" s="31" t="s">
        <v>17</v>
      </c>
      <c r="C829" s="31">
        <v>56</v>
      </c>
      <c r="D829" s="31" t="s">
        <v>41</v>
      </c>
      <c r="E829" s="31">
        <v>1000</v>
      </c>
      <c r="F829" s="31">
        <v>3</v>
      </c>
      <c r="G829" s="31" t="s">
        <v>191</v>
      </c>
      <c r="H829" s="42" t="s">
        <v>42</v>
      </c>
      <c r="I829" s="31" t="s">
        <v>20</v>
      </c>
      <c r="J829" s="31" t="s">
        <v>75</v>
      </c>
      <c r="M829" t="s">
        <v>1111</v>
      </c>
    </row>
    <row r="830" spans="1:13" thickBot="1">
      <c r="A830" s="47" t="s">
        <v>1112</v>
      </c>
      <c r="B830" s="31" t="s">
        <v>17</v>
      </c>
      <c r="C830" s="31">
        <v>56</v>
      </c>
      <c r="D830" s="31" t="s">
        <v>41</v>
      </c>
      <c r="E830" s="31">
        <v>1000</v>
      </c>
      <c r="F830" s="31">
        <v>31</v>
      </c>
      <c r="G830" s="31" t="s">
        <v>566</v>
      </c>
      <c r="H830" s="42" t="s">
        <v>19</v>
      </c>
      <c r="I830" s="31" t="s">
        <v>20</v>
      </c>
      <c r="J830" s="31" t="s">
        <v>75</v>
      </c>
    </row>
    <row r="831" spans="1:13" thickBot="1">
      <c r="A831" s="47" t="s">
        <v>1113</v>
      </c>
      <c r="B831" s="31" t="s">
        <v>17</v>
      </c>
      <c r="C831" s="31">
        <v>56</v>
      </c>
      <c r="D831" s="31" t="s">
        <v>41</v>
      </c>
      <c r="E831" s="31">
        <v>1000</v>
      </c>
      <c r="F831" s="31">
        <v>31</v>
      </c>
      <c r="G831" s="31" t="s">
        <v>566</v>
      </c>
      <c r="H831" s="42" t="s">
        <v>19</v>
      </c>
      <c r="I831" s="31" t="s">
        <v>20</v>
      </c>
      <c r="J831" s="31" t="s">
        <v>75</v>
      </c>
    </row>
    <row r="832" spans="1:13" thickBot="1">
      <c r="A832" s="47" t="s">
        <v>1114</v>
      </c>
      <c r="B832" s="31" t="s">
        <v>17</v>
      </c>
      <c r="C832" s="31">
        <v>56</v>
      </c>
      <c r="D832" s="31" t="s">
        <v>41</v>
      </c>
      <c r="E832" s="31">
        <v>1000</v>
      </c>
      <c r="F832" s="31" t="s">
        <v>41</v>
      </c>
      <c r="G832" s="31" t="s">
        <v>566</v>
      </c>
      <c r="H832" s="42" t="s">
        <v>19</v>
      </c>
      <c r="I832" s="31" t="s">
        <v>20</v>
      </c>
      <c r="J832" s="31" t="s">
        <v>75</v>
      </c>
    </row>
    <row r="833" spans="1:13" thickBot="1">
      <c r="A833" s="47" t="s">
        <v>1115</v>
      </c>
      <c r="B833" s="31" t="s">
        <v>17</v>
      </c>
      <c r="C833" s="31">
        <v>56</v>
      </c>
      <c r="D833" s="31" t="s">
        <v>41</v>
      </c>
      <c r="E833" s="31">
        <v>1000</v>
      </c>
      <c r="F833" s="31">
        <v>31</v>
      </c>
      <c r="G833" s="31" t="s">
        <v>566</v>
      </c>
      <c r="H833" s="42" t="s">
        <v>19</v>
      </c>
      <c r="I833" s="31" t="s">
        <v>20</v>
      </c>
      <c r="J833" s="31" t="s">
        <v>75</v>
      </c>
    </row>
    <row r="834" spans="1:13" thickBot="1">
      <c r="A834" s="47" t="s">
        <v>1116</v>
      </c>
      <c r="B834" s="31" t="s">
        <v>17</v>
      </c>
      <c r="C834" s="31">
        <v>56</v>
      </c>
      <c r="D834" s="31" t="s">
        <v>41</v>
      </c>
      <c r="E834" s="31">
        <v>1000</v>
      </c>
      <c r="F834" s="31">
        <v>31</v>
      </c>
      <c r="G834" s="31" t="s">
        <v>566</v>
      </c>
      <c r="H834" s="42" t="s">
        <v>19</v>
      </c>
      <c r="I834" s="31" t="s">
        <v>20</v>
      </c>
      <c r="J834" s="31" t="s">
        <v>75</v>
      </c>
    </row>
    <row r="835" spans="1:13" thickBot="1">
      <c r="A835" s="47" t="s">
        <v>1117</v>
      </c>
      <c r="B835" s="31" t="s">
        <v>17</v>
      </c>
      <c r="C835" s="31">
        <v>56</v>
      </c>
      <c r="D835" s="31" t="s">
        <v>41</v>
      </c>
      <c r="E835" s="31">
        <v>1000</v>
      </c>
      <c r="F835" s="31">
        <v>31</v>
      </c>
      <c r="G835" s="31" t="s">
        <v>566</v>
      </c>
      <c r="H835" s="42" t="s">
        <v>19</v>
      </c>
      <c r="I835" s="31" t="s">
        <v>20</v>
      </c>
      <c r="J835" s="31" t="s">
        <v>75</v>
      </c>
    </row>
    <row r="836" spans="1:13" thickBot="1">
      <c r="A836" s="47" t="s">
        <v>1118</v>
      </c>
      <c r="B836" s="31" t="s">
        <v>17</v>
      </c>
      <c r="C836" s="31">
        <v>56</v>
      </c>
      <c r="D836" s="31" t="s">
        <v>41</v>
      </c>
      <c r="E836" s="31">
        <v>1000</v>
      </c>
      <c r="F836" s="31" t="s">
        <v>41</v>
      </c>
      <c r="G836" s="31" t="s">
        <v>566</v>
      </c>
      <c r="H836" s="42" t="s">
        <v>19</v>
      </c>
      <c r="I836" s="31" t="s">
        <v>20</v>
      </c>
      <c r="J836" s="31" t="s">
        <v>75</v>
      </c>
    </row>
    <row r="837" spans="1:13" thickBot="1">
      <c r="A837" s="47" t="s">
        <v>1119</v>
      </c>
      <c r="B837" s="31" t="s">
        <v>17</v>
      </c>
      <c r="C837" s="31">
        <v>56</v>
      </c>
      <c r="D837" s="31" t="s">
        <v>41</v>
      </c>
      <c r="E837" s="31">
        <v>1000</v>
      </c>
      <c r="F837" s="31">
        <v>31</v>
      </c>
      <c r="G837" s="31" t="s">
        <v>566</v>
      </c>
      <c r="H837" s="42" t="s">
        <v>19</v>
      </c>
      <c r="I837" s="31" t="s">
        <v>20</v>
      </c>
      <c r="J837" s="31" t="s">
        <v>75</v>
      </c>
    </row>
    <row r="838" spans="1:13" thickBot="1">
      <c r="A838" s="47" t="s">
        <v>1120</v>
      </c>
      <c r="B838" s="31" t="s">
        <v>17</v>
      </c>
      <c r="C838" s="31">
        <v>56</v>
      </c>
      <c r="D838" s="31" t="s">
        <v>41</v>
      </c>
      <c r="E838" s="31">
        <v>1000</v>
      </c>
      <c r="F838" s="31">
        <v>31</v>
      </c>
      <c r="G838" s="31" t="s">
        <v>566</v>
      </c>
      <c r="H838" s="42" t="s">
        <v>19</v>
      </c>
      <c r="I838" s="31" t="s">
        <v>20</v>
      </c>
      <c r="J838" s="31" t="s">
        <v>75</v>
      </c>
    </row>
    <row r="839" spans="1:13" thickBot="1">
      <c r="A839" s="47" t="s">
        <v>1121</v>
      </c>
      <c r="B839" s="31" t="s">
        <v>17</v>
      </c>
      <c r="C839" s="31">
        <v>56</v>
      </c>
      <c r="D839" s="31" t="s">
        <v>41</v>
      </c>
      <c r="E839" s="31">
        <v>1000</v>
      </c>
      <c r="F839" s="31" t="s">
        <v>41</v>
      </c>
      <c r="G839" s="31" t="s">
        <v>566</v>
      </c>
      <c r="H839" s="42" t="s">
        <v>19</v>
      </c>
      <c r="I839" s="31" t="s">
        <v>20</v>
      </c>
      <c r="J839" s="31" t="s">
        <v>75</v>
      </c>
    </row>
    <row r="840" spans="1:13" thickBot="1">
      <c r="A840" s="47" t="s">
        <v>1122</v>
      </c>
      <c r="B840" s="31" t="s">
        <v>17</v>
      </c>
      <c r="C840" s="31">
        <v>56</v>
      </c>
      <c r="D840" s="31" t="s">
        <v>41</v>
      </c>
      <c r="E840" s="31">
        <v>1000</v>
      </c>
      <c r="F840" s="31">
        <v>31</v>
      </c>
      <c r="G840" s="31" t="s">
        <v>566</v>
      </c>
      <c r="H840" s="42" t="s">
        <v>19</v>
      </c>
      <c r="I840" s="31" t="s">
        <v>20</v>
      </c>
      <c r="J840" s="31" t="s">
        <v>75</v>
      </c>
    </row>
    <row r="841" spans="1:13" thickBot="1">
      <c r="A841" s="47" t="s">
        <v>1123</v>
      </c>
      <c r="B841" s="31" t="s">
        <v>17</v>
      </c>
      <c r="C841" s="31">
        <v>56</v>
      </c>
      <c r="D841" s="31" t="s">
        <v>41</v>
      </c>
      <c r="E841" s="31">
        <v>1000</v>
      </c>
      <c r="F841" s="31">
        <v>31</v>
      </c>
      <c r="G841" s="31" t="s">
        <v>566</v>
      </c>
      <c r="H841" s="42" t="s">
        <v>19</v>
      </c>
      <c r="I841" s="31" t="s">
        <v>20</v>
      </c>
      <c r="J841" s="31" t="s">
        <v>75</v>
      </c>
    </row>
    <row r="842" spans="1:13" thickBot="1">
      <c r="A842" s="47" t="s">
        <v>1124</v>
      </c>
      <c r="B842" s="31" t="s">
        <v>17</v>
      </c>
      <c r="C842" s="31">
        <v>56</v>
      </c>
      <c r="D842" s="31" t="s">
        <v>41</v>
      </c>
      <c r="E842" s="31">
        <v>1000</v>
      </c>
      <c r="F842" s="31">
        <v>31</v>
      </c>
      <c r="G842" s="31" t="s">
        <v>566</v>
      </c>
      <c r="H842" s="42" t="s">
        <v>19</v>
      </c>
      <c r="I842" s="31" t="s">
        <v>20</v>
      </c>
      <c r="J842" s="31" t="s">
        <v>75</v>
      </c>
    </row>
    <row r="843" spans="1:13" thickBot="1">
      <c r="A843" s="47" t="s">
        <v>1125</v>
      </c>
      <c r="B843" s="31" t="s">
        <v>17</v>
      </c>
      <c r="C843" s="31">
        <v>56</v>
      </c>
      <c r="D843" s="31" t="s">
        <v>41</v>
      </c>
      <c r="E843" s="31">
        <v>1000</v>
      </c>
      <c r="F843" s="31">
        <v>31</v>
      </c>
      <c r="G843" s="31" t="s">
        <v>566</v>
      </c>
      <c r="H843" s="42" t="s">
        <v>19</v>
      </c>
      <c r="I843" s="31" t="s">
        <v>20</v>
      </c>
      <c r="J843" s="31" t="s">
        <v>75</v>
      </c>
    </row>
    <row r="844" spans="1:13" thickBot="1">
      <c r="A844" s="47" t="s">
        <v>1126</v>
      </c>
      <c r="B844" s="31" t="s">
        <v>17</v>
      </c>
      <c r="C844" s="31">
        <v>56</v>
      </c>
      <c r="D844" s="31" t="s">
        <v>41</v>
      </c>
      <c r="E844" s="31">
        <v>1000</v>
      </c>
      <c r="F844" s="31">
        <v>31</v>
      </c>
      <c r="G844" s="31" t="s">
        <v>566</v>
      </c>
      <c r="H844" s="42" t="s">
        <v>19</v>
      </c>
      <c r="I844" s="31" t="s">
        <v>20</v>
      </c>
      <c r="J844" s="31" t="s">
        <v>75</v>
      </c>
    </row>
    <row r="845" spans="1:13" thickBot="1">
      <c r="A845" s="47" t="s">
        <v>1127</v>
      </c>
      <c r="B845" s="31" t="s">
        <v>17</v>
      </c>
      <c r="C845" s="31">
        <v>56</v>
      </c>
      <c r="D845" s="31" t="s">
        <v>41</v>
      </c>
      <c r="E845" s="31">
        <v>1000</v>
      </c>
      <c r="F845" s="31">
        <v>31</v>
      </c>
      <c r="G845" s="31" t="s">
        <v>566</v>
      </c>
      <c r="H845" s="42" t="s">
        <v>19</v>
      </c>
      <c r="I845" s="31" t="s">
        <v>20</v>
      </c>
      <c r="J845" s="31" t="s">
        <v>75</v>
      </c>
    </row>
    <row r="846" spans="1:13" thickBot="1">
      <c r="A846" s="47" t="s">
        <v>1128</v>
      </c>
      <c r="B846" s="31" t="s">
        <v>17</v>
      </c>
      <c r="C846" s="31">
        <v>56</v>
      </c>
      <c r="D846" s="31" t="s">
        <v>41</v>
      </c>
      <c r="E846" s="31">
        <v>1000</v>
      </c>
      <c r="F846" s="31">
        <v>2</v>
      </c>
      <c r="G846" s="31" t="s">
        <v>191</v>
      </c>
      <c r="H846" s="42" t="s">
        <v>42</v>
      </c>
      <c r="I846" s="31" t="s">
        <v>20</v>
      </c>
      <c r="J846" s="31" t="s">
        <v>75</v>
      </c>
      <c r="M846" t="s">
        <v>878</v>
      </c>
    </row>
    <row r="847" spans="1:13" thickBot="1">
      <c r="A847" s="47" t="s">
        <v>1129</v>
      </c>
      <c r="B847" s="31" t="s">
        <v>17</v>
      </c>
      <c r="C847" s="31">
        <v>56</v>
      </c>
      <c r="D847" s="31" t="s">
        <v>41</v>
      </c>
      <c r="E847" s="31">
        <v>1000</v>
      </c>
      <c r="F847" s="31">
        <v>2</v>
      </c>
      <c r="G847" s="31" t="s">
        <v>191</v>
      </c>
      <c r="H847" s="42" t="s">
        <v>42</v>
      </c>
      <c r="I847" s="31" t="s">
        <v>20</v>
      </c>
      <c r="J847" s="31" t="s">
        <v>245</v>
      </c>
      <c r="M847" t="s">
        <v>1130</v>
      </c>
    </row>
    <row r="848" spans="1:13" thickBot="1">
      <c r="A848" s="47" t="s">
        <v>1131</v>
      </c>
      <c r="B848" s="31" t="s">
        <v>17</v>
      </c>
      <c r="C848" s="31">
        <v>56</v>
      </c>
      <c r="D848" s="31" t="s">
        <v>41</v>
      </c>
      <c r="E848" s="31">
        <v>1000</v>
      </c>
      <c r="F848" s="31">
        <v>4</v>
      </c>
      <c r="G848" s="31" t="s">
        <v>191</v>
      </c>
      <c r="H848" s="42" t="s">
        <v>42</v>
      </c>
      <c r="I848" s="31" t="s">
        <v>20</v>
      </c>
      <c r="J848" s="31" t="s">
        <v>245</v>
      </c>
    </row>
    <row r="849" spans="1:13" thickBot="1">
      <c r="A849" s="47" t="s">
        <v>1132</v>
      </c>
      <c r="B849" s="31" t="s">
        <v>17</v>
      </c>
      <c r="C849" s="31">
        <v>56</v>
      </c>
      <c r="D849" s="31" t="s">
        <v>41</v>
      </c>
      <c r="E849" s="31">
        <v>1000</v>
      </c>
      <c r="F849" s="31">
        <v>58</v>
      </c>
      <c r="G849" s="31" t="s">
        <v>191</v>
      </c>
      <c r="H849" s="42" t="s">
        <v>42</v>
      </c>
      <c r="I849" s="31" t="s">
        <v>20</v>
      </c>
      <c r="J849" s="31" t="s">
        <v>245</v>
      </c>
    </row>
    <row r="850" spans="1:13" thickBot="1">
      <c r="A850" s="47" t="s">
        <v>1133</v>
      </c>
      <c r="B850" s="31" t="s">
        <v>17</v>
      </c>
      <c r="C850" s="31">
        <v>56</v>
      </c>
      <c r="D850" s="31" t="s">
        <v>41</v>
      </c>
      <c r="E850" s="31">
        <v>1000</v>
      </c>
      <c r="F850" s="31">
        <v>3</v>
      </c>
      <c r="G850" s="31" t="s">
        <v>191</v>
      </c>
      <c r="H850" s="42" t="s">
        <v>42</v>
      </c>
      <c r="I850" s="31" t="s">
        <v>20</v>
      </c>
      <c r="J850" s="31" t="s">
        <v>75</v>
      </c>
      <c r="M850" t="s">
        <v>1134</v>
      </c>
    </row>
    <row r="851" spans="1:13" thickBot="1">
      <c r="A851" s="47" t="s">
        <v>1135</v>
      </c>
      <c r="B851" s="31" t="s">
        <v>17</v>
      </c>
      <c r="C851" s="31">
        <v>56</v>
      </c>
      <c r="D851" s="31" t="s">
        <v>41</v>
      </c>
      <c r="E851" s="31">
        <v>1000</v>
      </c>
      <c r="F851" s="31">
        <v>3</v>
      </c>
      <c r="G851" s="31" t="s">
        <v>191</v>
      </c>
      <c r="H851" s="42" t="s">
        <v>42</v>
      </c>
      <c r="I851" s="31" t="s">
        <v>20</v>
      </c>
      <c r="J851" s="31" t="s">
        <v>75</v>
      </c>
      <c r="M851" t="s">
        <v>1136</v>
      </c>
    </row>
    <row r="852" spans="1:13" thickBot="1">
      <c r="A852" s="47" t="s">
        <v>1137</v>
      </c>
      <c r="B852" s="31" t="s">
        <v>17</v>
      </c>
      <c r="C852" s="31">
        <v>56</v>
      </c>
      <c r="D852" s="31" t="s">
        <v>41</v>
      </c>
      <c r="E852" s="31">
        <v>1000</v>
      </c>
      <c r="F852" s="31">
        <v>2</v>
      </c>
      <c r="G852" s="31" t="s">
        <v>191</v>
      </c>
      <c r="H852" s="42" t="s">
        <v>42</v>
      </c>
      <c r="I852" s="31" t="s">
        <v>20</v>
      </c>
      <c r="J852" s="31" t="s">
        <v>75</v>
      </c>
      <c r="M852" t="s">
        <v>1138</v>
      </c>
    </row>
    <row r="853" spans="1:13" thickBot="1">
      <c r="A853" s="47" t="s">
        <v>1139</v>
      </c>
      <c r="B853" s="31" t="s">
        <v>17</v>
      </c>
      <c r="C853" s="31">
        <v>56</v>
      </c>
      <c r="D853" s="31" t="s">
        <v>41</v>
      </c>
      <c r="E853" s="31">
        <v>1000</v>
      </c>
      <c r="F853" s="31">
        <v>6</v>
      </c>
      <c r="G853" s="31" t="s">
        <v>191</v>
      </c>
      <c r="H853" s="42" t="s">
        <v>19</v>
      </c>
      <c r="I853" s="31" t="s">
        <v>20</v>
      </c>
      <c r="J853" s="31" t="s">
        <v>245</v>
      </c>
    </row>
    <row r="854" spans="1:13" thickBot="1">
      <c r="A854" s="47" t="s">
        <v>1140</v>
      </c>
      <c r="B854" s="31" t="s">
        <v>17</v>
      </c>
      <c r="C854" s="31">
        <v>56</v>
      </c>
      <c r="D854" s="31" t="s">
        <v>41</v>
      </c>
      <c r="E854" s="31">
        <v>1000</v>
      </c>
      <c r="F854" s="31">
        <v>15</v>
      </c>
      <c r="G854" s="31" t="s">
        <v>191</v>
      </c>
      <c r="H854" s="42" t="s">
        <v>19</v>
      </c>
      <c r="I854" s="31" t="s">
        <v>20</v>
      </c>
      <c r="J854" s="31" t="s">
        <v>75</v>
      </c>
    </row>
    <row r="855" spans="1:13" thickBot="1">
      <c r="A855" s="47" t="s">
        <v>1141</v>
      </c>
      <c r="B855" s="31" t="s">
        <v>17</v>
      </c>
      <c r="C855" s="31">
        <v>56</v>
      </c>
      <c r="D855" s="31" t="s">
        <v>41</v>
      </c>
      <c r="E855" s="31">
        <v>1000</v>
      </c>
      <c r="F855" s="31">
        <v>28</v>
      </c>
      <c r="G855" s="31" t="s">
        <v>191</v>
      </c>
      <c r="H855" s="42" t="s">
        <v>19</v>
      </c>
      <c r="I855" s="31" t="s">
        <v>20</v>
      </c>
      <c r="J855" s="31" t="s">
        <v>75</v>
      </c>
    </row>
    <row r="856" spans="1:13" thickBot="1">
      <c r="A856" s="47" t="s">
        <v>1142</v>
      </c>
      <c r="B856" s="31" t="s">
        <v>17</v>
      </c>
      <c r="C856" s="31">
        <v>56</v>
      </c>
      <c r="D856" s="31" t="s">
        <v>41</v>
      </c>
      <c r="E856" s="31">
        <v>1000</v>
      </c>
      <c r="F856" s="31">
        <v>31</v>
      </c>
      <c r="G856" s="31" t="s">
        <v>566</v>
      </c>
      <c r="H856" s="42" t="s">
        <v>19</v>
      </c>
      <c r="I856" s="31" t="s">
        <v>20</v>
      </c>
      <c r="J856" s="31" t="s">
        <v>75</v>
      </c>
    </row>
    <row r="857" spans="1:13" thickBot="1">
      <c r="A857" s="47" t="s">
        <v>1143</v>
      </c>
      <c r="B857" s="31" t="s">
        <v>17</v>
      </c>
      <c r="C857" s="31">
        <v>56</v>
      </c>
      <c r="D857" s="31" t="s">
        <v>41</v>
      </c>
      <c r="E857" s="31">
        <v>1000</v>
      </c>
      <c r="F857" s="31">
        <v>32</v>
      </c>
      <c r="G857" s="31" t="s">
        <v>566</v>
      </c>
      <c r="H857" s="42" t="s">
        <v>19</v>
      </c>
      <c r="I857" s="31" t="s">
        <v>20</v>
      </c>
      <c r="J857" s="31" t="s">
        <v>75</v>
      </c>
    </row>
    <row r="858" spans="1:13" thickBot="1">
      <c r="A858" s="47" t="s">
        <v>1144</v>
      </c>
      <c r="B858" s="31" t="s">
        <v>17</v>
      </c>
      <c r="C858" s="31">
        <v>56</v>
      </c>
      <c r="D858" s="31" t="s">
        <v>41</v>
      </c>
      <c r="E858" s="31">
        <v>1000</v>
      </c>
      <c r="F858" s="31">
        <v>32</v>
      </c>
      <c r="G858" s="31" t="s">
        <v>566</v>
      </c>
      <c r="H858" s="42" t="s">
        <v>19</v>
      </c>
      <c r="I858" s="31" t="s">
        <v>20</v>
      </c>
      <c r="J858" s="31" t="s">
        <v>75</v>
      </c>
    </row>
    <row r="859" spans="1:13" thickBot="1">
      <c r="A859" s="47" t="s">
        <v>1145</v>
      </c>
      <c r="B859" s="31" t="s">
        <v>17</v>
      </c>
      <c r="C859" s="31">
        <v>56</v>
      </c>
      <c r="D859" s="31" t="s">
        <v>41</v>
      </c>
      <c r="E859" s="31">
        <v>1000</v>
      </c>
      <c r="F859" s="31">
        <v>31</v>
      </c>
      <c r="G859" s="31" t="s">
        <v>566</v>
      </c>
      <c r="H859" s="42" t="s">
        <v>19</v>
      </c>
      <c r="I859" s="31" t="s">
        <v>20</v>
      </c>
      <c r="J859" s="31" t="s">
        <v>75</v>
      </c>
    </row>
    <row r="860" spans="1:13" thickBot="1">
      <c r="A860" s="47" t="s">
        <v>1146</v>
      </c>
      <c r="B860" s="31" t="s">
        <v>17</v>
      </c>
      <c r="C860" s="31">
        <v>56</v>
      </c>
      <c r="D860" s="31" t="s">
        <v>41</v>
      </c>
      <c r="E860" s="31">
        <v>1000</v>
      </c>
      <c r="F860" s="31">
        <v>31</v>
      </c>
      <c r="G860" s="31" t="s">
        <v>566</v>
      </c>
      <c r="H860" s="42" t="s">
        <v>19</v>
      </c>
      <c r="I860" s="31" t="s">
        <v>20</v>
      </c>
      <c r="J860" s="31" t="s">
        <v>75</v>
      </c>
    </row>
    <row r="861" spans="1:13" thickBot="1">
      <c r="A861" s="47" t="s">
        <v>1147</v>
      </c>
      <c r="B861" s="31" t="s">
        <v>17</v>
      </c>
      <c r="C861" s="31">
        <v>56</v>
      </c>
      <c r="D861" s="31" t="s">
        <v>41</v>
      </c>
      <c r="E861" s="31">
        <v>1000</v>
      </c>
      <c r="F861" s="31">
        <v>31</v>
      </c>
      <c r="G861" s="31" t="s">
        <v>566</v>
      </c>
      <c r="H861" s="42" t="s">
        <v>19</v>
      </c>
      <c r="I861" s="31" t="s">
        <v>20</v>
      </c>
      <c r="J861" s="31" t="s">
        <v>75</v>
      </c>
    </row>
    <row r="862" spans="1:13" thickBot="1">
      <c r="A862" s="47" t="s">
        <v>1148</v>
      </c>
      <c r="B862" s="31" t="s">
        <v>17</v>
      </c>
      <c r="C862" s="31">
        <v>56</v>
      </c>
      <c r="D862" s="31" t="s">
        <v>41</v>
      </c>
      <c r="E862" s="31">
        <v>1000</v>
      </c>
      <c r="F862" s="31">
        <v>31</v>
      </c>
      <c r="G862" s="31" t="s">
        <v>566</v>
      </c>
      <c r="H862" s="42" t="s">
        <v>19</v>
      </c>
      <c r="I862" s="31" t="s">
        <v>20</v>
      </c>
      <c r="J862" s="31" t="s">
        <v>75</v>
      </c>
    </row>
    <row r="863" spans="1:13" thickBot="1">
      <c r="A863" s="47" t="s">
        <v>1149</v>
      </c>
      <c r="B863" s="31" t="s">
        <v>17</v>
      </c>
      <c r="C863" s="31">
        <v>56</v>
      </c>
      <c r="D863" s="31" t="s">
        <v>41</v>
      </c>
      <c r="E863" s="31">
        <v>1000</v>
      </c>
      <c r="F863" s="31">
        <v>31</v>
      </c>
      <c r="G863" s="31" t="s">
        <v>566</v>
      </c>
      <c r="H863" s="42" t="s">
        <v>19</v>
      </c>
      <c r="I863" s="31" t="s">
        <v>20</v>
      </c>
      <c r="J863" s="31" t="s">
        <v>75</v>
      </c>
    </row>
    <row r="864" spans="1:13" thickBot="1">
      <c r="A864" s="47" t="s">
        <v>1150</v>
      </c>
      <c r="B864" s="31" t="s">
        <v>17</v>
      </c>
      <c r="C864" s="31">
        <v>56</v>
      </c>
      <c r="D864" s="31" t="s">
        <v>41</v>
      </c>
      <c r="E864" s="31">
        <v>1000</v>
      </c>
      <c r="F864" s="31">
        <v>31</v>
      </c>
      <c r="G864" s="31" t="s">
        <v>566</v>
      </c>
      <c r="H864" s="42" t="s">
        <v>19</v>
      </c>
      <c r="I864" s="31" t="s">
        <v>20</v>
      </c>
      <c r="J864" s="31" t="s">
        <v>75</v>
      </c>
    </row>
    <row r="865" spans="1:13" thickBot="1">
      <c r="A865" s="47" t="s">
        <v>1151</v>
      </c>
      <c r="B865" s="31" t="s">
        <v>17</v>
      </c>
      <c r="C865" s="31">
        <v>56</v>
      </c>
      <c r="D865" s="31" t="s">
        <v>41</v>
      </c>
      <c r="E865" s="31">
        <v>1000</v>
      </c>
      <c r="F865" s="31">
        <v>31</v>
      </c>
      <c r="G865" s="31" t="s">
        <v>566</v>
      </c>
      <c r="H865" s="42" t="s">
        <v>19</v>
      </c>
      <c r="I865" s="31" t="s">
        <v>20</v>
      </c>
      <c r="J865" s="31" t="s">
        <v>75</v>
      </c>
    </row>
    <row r="866" spans="1:13" thickBot="1">
      <c r="A866" s="47" t="s">
        <v>1152</v>
      </c>
      <c r="B866" s="31" t="s">
        <v>17</v>
      </c>
      <c r="C866" s="31">
        <v>56</v>
      </c>
      <c r="D866" s="31" t="s">
        <v>41</v>
      </c>
      <c r="E866" s="31">
        <v>1000</v>
      </c>
      <c r="F866" s="31">
        <v>31</v>
      </c>
      <c r="G866" s="31" t="s">
        <v>566</v>
      </c>
      <c r="H866" s="42" t="s">
        <v>19</v>
      </c>
      <c r="I866" s="31" t="s">
        <v>20</v>
      </c>
      <c r="J866" s="31" t="s">
        <v>75</v>
      </c>
    </row>
    <row r="867" spans="1:13" thickBot="1">
      <c r="A867" s="47" t="s">
        <v>1153</v>
      </c>
      <c r="B867" s="31" t="s">
        <v>17</v>
      </c>
      <c r="C867" s="31">
        <v>56</v>
      </c>
      <c r="D867" s="31" t="s">
        <v>41</v>
      </c>
      <c r="E867" s="31">
        <v>1000</v>
      </c>
      <c r="F867" s="31">
        <v>31</v>
      </c>
      <c r="G867" s="31" t="s">
        <v>566</v>
      </c>
      <c r="H867" s="42" t="s">
        <v>19</v>
      </c>
      <c r="I867" s="31" t="s">
        <v>20</v>
      </c>
      <c r="J867" s="31" t="s">
        <v>75</v>
      </c>
    </row>
    <row r="868" spans="1:13" thickBot="1">
      <c r="A868" s="47" t="s">
        <v>1154</v>
      </c>
      <c r="B868" s="31" t="s">
        <v>17</v>
      </c>
      <c r="C868" s="31">
        <v>56</v>
      </c>
      <c r="D868" s="31" t="s">
        <v>41</v>
      </c>
      <c r="E868" s="31">
        <v>1000</v>
      </c>
      <c r="F868" s="31">
        <v>31</v>
      </c>
      <c r="G868" s="31" t="s">
        <v>566</v>
      </c>
      <c r="H868" s="42" t="s">
        <v>19</v>
      </c>
      <c r="I868" s="31" t="s">
        <v>20</v>
      </c>
      <c r="J868" s="31" t="s">
        <v>75</v>
      </c>
    </row>
    <row r="869" spans="1:13" thickBot="1">
      <c r="A869" s="47" t="s">
        <v>1155</v>
      </c>
      <c r="B869" s="31" t="s">
        <v>17</v>
      </c>
      <c r="C869" s="31">
        <v>56</v>
      </c>
      <c r="D869" s="31" t="s">
        <v>41</v>
      </c>
      <c r="E869" s="31">
        <v>1000</v>
      </c>
      <c r="F869" s="31">
        <v>31</v>
      </c>
      <c r="G869" s="31" t="s">
        <v>566</v>
      </c>
      <c r="H869" s="42" t="s">
        <v>19</v>
      </c>
      <c r="I869" s="31" t="s">
        <v>20</v>
      </c>
      <c r="J869" s="31" t="s">
        <v>75</v>
      </c>
    </row>
    <row r="870" spans="1:13" thickBot="1">
      <c r="A870" s="47" t="s">
        <v>1156</v>
      </c>
      <c r="B870" s="31" t="s">
        <v>17</v>
      </c>
      <c r="C870" s="31">
        <v>56</v>
      </c>
      <c r="D870" s="31" t="s">
        <v>41</v>
      </c>
      <c r="E870" s="31">
        <v>1000</v>
      </c>
      <c r="F870" s="31">
        <v>31</v>
      </c>
      <c r="G870" s="31" t="s">
        <v>566</v>
      </c>
      <c r="H870" s="42" t="s">
        <v>19</v>
      </c>
      <c r="I870" s="31" t="s">
        <v>20</v>
      </c>
      <c r="J870" s="31" t="s">
        <v>75</v>
      </c>
    </row>
    <row r="871" spans="1:13" thickBot="1">
      <c r="A871" s="47" t="s">
        <v>1157</v>
      </c>
      <c r="B871" s="31" t="s">
        <v>17</v>
      </c>
      <c r="C871" s="31">
        <v>56</v>
      </c>
      <c r="D871" s="31" t="s">
        <v>41</v>
      </c>
      <c r="E871" s="31">
        <v>1000</v>
      </c>
      <c r="F871" s="31">
        <v>31</v>
      </c>
      <c r="G871" s="31" t="s">
        <v>566</v>
      </c>
      <c r="H871" s="42" t="s">
        <v>19</v>
      </c>
      <c r="I871" s="31" t="s">
        <v>20</v>
      </c>
      <c r="J871" s="31" t="s">
        <v>75</v>
      </c>
    </row>
    <row r="872" spans="1:13" thickBot="1">
      <c r="A872" s="47" t="s">
        <v>1158</v>
      </c>
      <c r="B872" s="31" t="s">
        <v>17</v>
      </c>
      <c r="C872" s="31">
        <v>56</v>
      </c>
      <c r="D872" s="31" t="s">
        <v>41</v>
      </c>
      <c r="E872" s="31">
        <v>1000</v>
      </c>
      <c r="F872" s="31">
        <v>31</v>
      </c>
      <c r="G872" s="31" t="s">
        <v>566</v>
      </c>
      <c r="H872" s="42" t="s">
        <v>19</v>
      </c>
      <c r="I872" s="31" t="s">
        <v>20</v>
      </c>
      <c r="J872" s="31" t="s">
        <v>75</v>
      </c>
    </row>
    <row r="873" spans="1:13" thickBot="1">
      <c r="A873" s="47" t="s">
        <v>1159</v>
      </c>
      <c r="B873" s="31" t="s">
        <v>17</v>
      </c>
      <c r="C873" s="31">
        <v>56</v>
      </c>
      <c r="D873" s="31" t="s">
        <v>41</v>
      </c>
      <c r="E873" s="31">
        <v>1000</v>
      </c>
      <c r="F873" s="31">
        <v>31</v>
      </c>
      <c r="G873" s="31" t="s">
        <v>566</v>
      </c>
      <c r="H873" s="42" t="s">
        <v>19</v>
      </c>
      <c r="I873" s="31" t="s">
        <v>20</v>
      </c>
      <c r="J873" s="31" t="s">
        <v>75</v>
      </c>
    </row>
    <row r="874" spans="1:13" thickBot="1">
      <c r="A874" s="47" t="s">
        <v>1160</v>
      </c>
      <c r="B874" s="31" t="s">
        <v>17</v>
      </c>
      <c r="C874" s="31">
        <v>56</v>
      </c>
      <c r="D874" s="31" t="s">
        <v>41</v>
      </c>
      <c r="E874" s="31">
        <v>1000</v>
      </c>
      <c r="F874" s="31">
        <v>31</v>
      </c>
      <c r="G874" s="31" t="s">
        <v>566</v>
      </c>
      <c r="H874" s="42" t="s">
        <v>19</v>
      </c>
      <c r="I874" s="31" t="s">
        <v>20</v>
      </c>
      <c r="J874" s="31" t="s">
        <v>75</v>
      </c>
    </row>
    <row r="875" spans="1:13" thickBot="1">
      <c r="A875" s="47" t="s">
        <v>1161</v>
      </c>
      <c r="B875" s="31" t="s">
        <v>17</v>
      </c>
      <c r="C875" s="31">
        <v>56</v>
      </c>
      <c r="D875" s="31" t="s">
        <v>41</v>
      </c>
      <c r="E875" s="31">
        <v>1000</v>
      </c>
      <c r="F875" s="31">
        <v>31</v>
      </c>
      <c r="G875" s="31" t="s">
        <v>566</v>
      </c>
      <c r="H875" s="42" t="s">
        <v>19</v>
      </c>
      <c r="I875" s="31" t="s">
        <v>20</v>
      </c>
      <c r="J875" s="31" t="s">
        <v>75</v>
      </c>
    </row>
    <row r="876" spans="1:13" thickBot="1">
      <c r="A876" s="47" t="s">
        <v>1162</v>
      </c>
      <c r="B876" s="31" t="s">
        <v>17</v>
      </c>
      <c r="C876" s="31">
        <v>56</v>
      </c>
      <c r="D876" s="31" t="s">
        <v>41</v>
      </c>
      <c r="E876" s="31">
        <v>1000</v>
      </c>
      <c r="F876" s="31">
        <v>31</v>
      </c>
      <c r="G876" s="31" t="s">
        <v>566</v>
      </c>
      <c r="H876" s="42" t="s">
        <v>19</v>
      </c>
      <c r="I876" s="31" t="s">
        <v>20</v>
      </c>
      <c r="J876" s="31" t="s">
        <v>75</v>
      </c>
    </row>
    <row r="877" spans="1:13" thickBot="1">
      <c r="A877" s="47" t="s">
        <v>1163</v>
      </c>
      <c r="B877" s="31" t="s">
        <v>17</v>
      </c>
      <c r="C877" s="31">
        <v>56</v>
      </c>
      <c r="D877" s="31" t="s">
        <v>41</v>
      </c>
      <c r="E877" s="31">
        <v>1000</v>
      </c>
      <c r="F877" s="31">
        <v>32</v>
      </c>
      <c r="G877" s="31" t="s">
        <v>566</v>
      </c>
      <c r="H877" s="42" t="s">
        <v>19</v>
      </c>
      <c r="I877" s="31" t="s">
        <v>20</v>
      </c>
      <c r="J877" s="31" t="s">
        <v>75</v>
      </c>
      <c r="M877" t="s">
        <v>1164</v>
      </c>
    </row>
    <row r="878" spans="1:13" thickBot="1">
      <c r="A878" s="47" t="s">
        <v>1165</v>
      </c>
      <c r="B878" s="31" t="s">
        <v>17</v>
      </c>
      <c r="C878" s="31">
        <v>56</v>
      </c>
      <c r="D878" s="31" t="s">
        <v>41</v>
      </c>
      <c r="E878" s="31">
        <v>1000</v>
      </c>
      <c r="F878" s="31">
        <v>31</v>
      </c>
      <c r="G878" s="31" t="s">
        <v>566</v>
      </c>
      <c r="H878" s="42" t="s">
        <v>19</v>
      </c>
      <c r="I878" s="31" t="s">
        <v>20</v>
      </c>
      <c r="J878" s="31" t="s">
        <v>75</v>
      </c>
      <c r="M878" t="s">
        <v>1164</v>
      </c>
    </row>
    <row r="879" spans="1:13" thickBot="1">
      <c r="A879" s="47" t="s">
        <v>1166</v>
      </c>
      <c r="B879" s="31" t="s">
        <v>17</v>
      </c>
      <c r="C879" s="31">
        <v>56</v>
      </c>
      <c r="D879" s="31" t="s">
        <v>41</v>
      </c>
      <c r="E879" s="31">
        <v>1000</v>
      </c>
      <c r="F879" s="31">
        <v>31</v>
      </c>
      <c r="G879" s="31" t="s">
        <v>566</v>
      </c>
      <c r="H879" s="42" t="s">
        <v>19</v>
      </c>
      <c r="I879" s="31" t="s">
        <v>20</v>
      </c>
      <c r="J879" s="31" t="s">
        <v>75</v>
      </c>
      <c r="M879" t="s">
        <v>1164</v>
      </c>
    </row>
    <row r="880" spans="1:13" thickBot="1">
      <c r="A880" s="47" t="s">
        <v>1167</v>
      </c>
      <c r="B880" s="31" t="s">
        <v>17</v>
      </c>
      <c r="C880" s="31">
        <v>56</v>
      </c>
      <c r="D880" s="31" t="s">
        <v>41</v>
      </c>
      <c r="E880" s="31">
        <v>1000</v>
      </c>
      <c r="F880" s="31">
        <v>31</v>
      </c>
      <c r="G880" s="31" t="s">
        <v>566</v>
      </c>
      <c r="H880" s="42" t="s">
        <v>19</v>
      </c>
      <c r="I880" s="31" t="s">
        <v>20</v>
      </c>
      <c r="J880" s="31" t="s">
        <v>75</v>
      </c>
      <c r="M880" t="s">
        <v>1164</v>
      </c>
    </row>
    <row r="881" spans="1:13" thickBot="1">
      <c r="A881" s="47" t="s">
        <v>1168</v>
      </c>
      <c r="B881" s="31" t="s">
        <v>17</v>
      </c>
      <c r="C881" s="31">
        <v>56</v>
      </c>
      <c r="D881" s="31" t="s">
        <v>41</v>
      </c>
      <c r="E881" s="31">
        <v>1000</v>
      </c>
      <c r="F881" s="31">
        <v>32</v>
      </c>
      <c r="G881" s="31" t="s">
        <v>566</v>
      </c>
      <c r="H881" s="42" t="s">
        <v>19</v>
      </c>
      <c r="I881" s="31" t="s">
        <v>20</v>
      </c>
      <c r="J881" s="31" t="s">
        <v>75</v>
      </c>
      <c r="M881" t="s">
        <v>1164</v>
      </c>
    </row>
    <row r="882" spans="1:13" thickBot="1">
      <c r="A882" s="47" t="s">
        <v>1169</v>
      </c>
      <c r="B882" s="31" t="s">
        <v>17</v>
      </c>
      <c r="C882" s="31">
        <v>56</v>
      </c>
      <c r="D882" s="31" t="s">
        <v>41</v>
      </c>
      <c r="E882" s="31">
        <v>1000</v>
      </c>
      <c r="F882" s="31">
        <v>31</v>
      </c>
      <c r="G882" s="31" t="s">
        <v>566</v>
      </c>
      <c r="H882" s="42" t="s">
        <v>19</v>
      </c>
      <c r="I882" s="31" t="s">
        <v>20</v>
      </c>
      <c r="J882" s="31" t="s">
        <v>75</v>
      </c>
      <c r="M882" t="s">
        <v>1164</v>
      </c>
    </row>
    <row r="883" spans="1:13" thickBot="1">
      <c r="A883" s="47" t="s">
        <v>1170</v>
      </c>
      <c r="B883" s="31" t="s">
        <v>17</v>
      </c>
      <c r="C883" s="31">
        <v>56</v>
      </c>
      <c r="D883" s="31" t="s">
        <v>41</v>
      </c>
      <c r="E883" s="31">
        <v>1000</v>
      </c>
      <c r="F883" s="31">
        <v>32</v>
      </c>
      <c r="G883" s="31" t="s">
        <v>566</v>
      </c>
      <c r="H883" s="42" t="s">
        <v>19</v>
      </c>
      <c r="I883" s="31" t="s">
        <v>20</v>
      </c>
      <c r="J883" s="31" t="s">
        <v>75</v>
      </c>
      <c r="M883" t="s">
        <v>1164</v>
      </c>
    </row>
    <row r="884" spans="1:13" thickBot="1">
      <c r="A884" s="47" t="s">
        <v>1171</v>
      </c>
      <c r="B884" s="31" t="s">
        <v>17</v>
      </c>
      <c r="C884" s="31">
        <v>56</v>
      </c>
      <c r="D884" s="31" t="s">
        <v>41</v>
      </c>
      <c r="E884" s="31">
        <v>1000</v>
      </c>
      <c r="F884" s="31">
        <v>32</v>
      </c>
      <c r="G884" s="31" t="s">
        <v>566</v>
      </c>
      <c r="H884" s="42" t="s">
        <v>19</v>
      </c>
      <c r="I884" s="31" t="s">
        <v>20</v>
      </c>
      <c r="J884" s="31" t="s">
        <v>75</v>
      </c>
      <c r="M884" t="s">
        <v>1164</v>
      </c>
    </row>
    <row r="885" spans="1:13" thickBot="1">
      <c r="A885" s="47" t="s">
        <v>1172</v>
      </c>
      <c r="B885" s="31" t="s">
        <v>17</v>
      </c>
      <c r="C885" s="31">
        <v>56</v>
      </c>
      <c r="D885" s="31" t="s">
        <v>41</v>
      </c>
      <c r="E885" s="31">
        <v>1000</v>
      </c>
      <c r="F885" s="31">
        <v>31</v>
      </c>
      <c r="G885" s="31" t="s">
        <v>566</v>
      </c>
      <c r="H885" s="42" t="s">
        <v>19</v>
      </c>
      <c r="I885" s="31" t="s">
        <v>20</v>
      </c>
      <c r="J885" s="31" t="s">
        <v>75</v>
      </c>
      <c r="M885" t="s">
        <v>1164</v>
      </c>
    </row>
    <row r="886" spans="1:13" thickBot="1">
      <c r="A886" s="47" t="s">
        <v>1173</v>
      </c>
      <c r="B886" s="31" t="s">
        <v>17</v>
      </c>
      <c r="C886" s="31">
        <v>56</v>
      </c>
      <c r="D886" s="31" t="s">
        <v>41</v>
      </c>
      <c r="E886" s="31">
        <v>1000</v>
      </c>
      <c r="F886" s="31">
        <v>31</v>
      </c>
      <c r="G886" s="31" t="s">
        <v>566</v>
      </c>
      <c r="H886" s="42" t="s">
        <v>19</v>
      </c>
      <c r="I886" s="31" t="s">
        <v>20</v>
      </c>
      <c r="J886" s="31" t="s">
        <v>75</v>
      </c>
      <c r="M886" t="s">
        <v>1164</v>
      </c>
    </row>
    <row r="887" spans="1:13" thickBot="1">
      <c r="A887" s="47" t="s">
        <v>1174</v>
      </c>
      <c r="B887" s="31" t="s">
        <v>17</v>
      </c>
      <c r="C887" s="31">
        <v>56</v>
      </c>
      <c r="D887" s="31" t="s">
        <v>41</v>
      </c>
      <c r="E887" s="31">
        <v>1000</v>
      </c>
      <c r="F887" s="31">
        <v>31</v>
      </c>
      <c r="G887" s="31" t="s">
        <v>566</v>
      </c>
      <c r="H887" s="42" t="s">
        <v>19</v>
      </c>
      <c r="I887" s="31" t="s">
        <v>20</v>
      </c>
      <c r="J887" s="31" t="s">
        <v>75</v>
      </c>
      <c r="M887" t="s">
        <v>1164</v>
      </c>
    </row>
    <row r="888" spans="1:13" thickBot="1">
      <c r="A888" s="47" t="s">
        <v>1175</v>
      </c>
      <c r="B888" s="31" t="s">
        <v>17</v>
      </c>
      <c r="C888" s="31">
        <v>56</v>
      </c>
      <c r="D888" s="31" t="s">
        <v>41</v>
      </c>
      <c r="E888" s="31">
        <v>1000</v>
      </c>
      <c r="F888" s="31">
        <v>31</v>
      </c>
      <c r="G888" s="31" t="s">
        <v>566</v>
      </c>
      <c r="H888" s="42" t="s">
        <v>19</v>
      </c>
      <c r="I888" s="31" t="s">
        <v>20</v>
      </c>
      <c r="J888" s="31" t="s">
        <v>75</v>
      </c>
      <c r="M888" t="s">
        <v>1164</v>
      </c>
    </row>
    <row r="889" spans="1:13" thickBot="1">
      <c r="A889" s="47" t="s">
        <v>1176</v>
      </c>
      <c r="B889" s="31" t="s">
        <v>17</v>
      </c>
      <c r="C889" s="31">
        <v>56</v>
      </c>
      <c r="D889" s="31" t="s">
        <v>41</v>
      </c>
      <c r="E889" s="31">
        <v>1000</v>
      </c>
      <c r="F889" s="31">
        <v>31</v>
      </c>
      <c r="G889" s="31" t="s">
        <v>566</v>
      </c>
      <c r="H889" s="42" t="s">
        <v>19</v>
      </c>
      <c r="I889" s="31" t="s">
        <v>20</v>
      </c>
      <c r="J889" s="31" t="s">
        <v>75</v>
      </c>
      <c r="M889" t="s">
        <v>1164</v>
      </c>
    </row>
    <row r="890" spans="1:13" thickBot="1">
      <c r="A890" s="47" t="s">
        <v>1177</v>
      </c>
      <c r="B890" s="31" t="s">
        <v>17</v>
      </c>
      <c r="C890" s="31">
        <v>56</v>
      </c>
      <c r="D890" s="31" t="s">
        <v>41</v>
      </c>
      <c r="E890" s="31">
        <v>1000</v>
      </c>
      <c r="F890" s="31">
        <v>31</v>
      </c>
      <c r="G890" s="31" t="s">
        <v>566</v>
      </c>
      <c r="H890" s="42" t="s">
        <v>19</v>
      </c>
      <c r="I890" s="31" t="s">
        <v>20</v>
      </c>
      <c r="J890" s="31" t="s">
        <v>75</v>
      </c>
      <c r="M890" t="s">
        <v>1164</v>
      </c>
    </row>
    <row r="891" spans="1:13" thickBot="1">
      <c r="A891" s="47" t="s">
        <v>1178</v>
      </c>
      <c r="B891" s="31" t="s">
        <v>17</v>
      </c>
      <c r="C891" s="31">
        <v>56</v>
      </c>
      <c r="D891" s="31" t="s">
        <v>41</v>
      </c>
      <c r="E891" s="31">
        <v>1000</v>
      </c>
      <c r="F891" s="31">
        <v>31</v>
      </c>
      <c r="G891" s="31" t="s">
        <v>566</v>
      </c>
      <c r="H891" s="42" t="s">
        <v>19</v>
      </c>
      <c r="I891" s="31" t="s">
        <v>20</v>
      </c>
      <c r="J891" s="31" t="s">
        <v>75</v>
      </c>
      <c r="M891" t="s">
        <v>1164</v>
      </c>
    </row>
    <row r="892" spans="1:13" thickBot="1">
      <c r="A892" s="47" t="s">
        <v>1179</v>
      </c>
      <c r="B892" s="31" t="s">
        <v>17</v>
      </c>
      <c r="C892" s="31">
        <v>56</v>
      </c>
      <c r="D892" s="31" t="s">
        <v>41</v>
      </c>
      <c r="E892" s="31">
        <v>1000</v>
      </c>
      <c r="F892" s="31">
        <v>31</v>
      </c>
      <c r="G892" s="31" t="s">
        <v>566</v>
      </c>
      <c r="H892" s="42" t="s">
        <v>19</v>
      </c>
      <c r="I892" s="31" t="s">
        <v>20</v>
      </c>
      <c r="J892" s="31" t="s">
        <v>75</v>
      </c>
      <c r="M892" t="s">
        <v>1164</v>
      </c>
    </row>
    <row r="893" spans="1:13" thickBot="1">
      <c r="A893" s="47" t="s">
        <v>1180</v>
      </c>
      <c r="B893" s="31" t="s">
        <v>17</v>
      </c>
      <c r="C893" s="31">
        <v>56</v>
      </c>
      <c r="D893" s="31" t="s">
        <v>41</v>
      </c>
      <c r="E893" s="31">
        <v>1000</v>
      </c>
      <c r="F893" s="31">
        <v>31</v>
      </c>
      <c r="G893" s="31" t="s">
        <v>566</v>
      </c>
      <c r="H893" s="42" t="s">
        <v>19</v>
      </c>
      <c r="I893" s="31" t="s">
        <v>20</v>
      </c>
      <c r="J893" s="31" t="s">
        <v>75</v>
      </c>
      <c r="M893" t="s">
        <v>1164</v>
      </c>
    </row>
    <row r="894" spans="1:13" thickBot="1">
      <c r="A894" s="47" t="s">
        <v>1181</v>
      </c>
      <c r="B894" s="31" t="s">
        <v>17</v>
      </c>
      <c r="C894" s="31">
        <v>56</v>
      </c>
      <c r="D894" s="31" t="s">
        <v>41</v>
      </c>
      <c r="E894" s="31">
        <v>1000</v>
      </c>
      <c r="F894" s="31">
        <v>32</v>
      </c>
      <c r="G894" s="31" t="s">
        <v>566</v>
      </c>
      <c r="H894" s="42" t="s">
        <v>19</v>
      </c>
      <c r="I894" s="31" t="s">
        <v>20</v>
      </c>
      <c r="J894" s="31" t="s">
        <v>75</v>
      </c>
      <c r="M894" t="s">
        <v>1164</v>
      </c>
    </row>
    <row r="895" spans="1:13" thickBot="1">
      <c r="A895" s="47" t="s">
        <v>1182</v>
      </c>
      <c r="B895" s="31" t="s">
        <v>17</v>
      </c>
      <c r="C895" s="31">
        <v>56</v>
      </c>
      <c r="D895" s="31" t="s">
        <v>41</v>
      </c>
      <c r="E895" s="31">
        <v>1000</v>
      </c>
      <c r="F895" s="31">
        <v>32</v>
      </c>
      <c r="G895" s="31" t="s">
        <v>566</v>
      </c>
      <c r="H895" s="42" t="s">
        <v>19</v>
      </c>
      <c r="I895" s="31" t="s">
        <v>20</v>
      </c>
      <c r="J895" s="31" t="s">
        <v>75</v>
      </c>
      <c r="M895" t="s">
        <v>1164</v>
      </c>
    </row>
    <row r="896" spans="1:13" thickBot="1">
      <c r="A896" s="47" t="s">
        <v>1183</v>
      </c>
      <c r="B896" s="31" t="s">
        <v>17</v>
      </c>
      <c r="C896" s="31">
        <v>56</v>
      </c>
      <c r="D896" s="31" t="s">
        <v>41</v>
      </c>
      <c r="E896" s="31">
        <v>1000</v>
      </c>
      <c r="F896" s="31">
        <v>31</v>
      </c>
      <c r="G896" s="31" t="s">
        <v>566</v>
      </c>
      <c r="H896" s="42" t="s">
        <v>19</v>
      </c>
      <c r="I896" s="31" t="s">
        <v>20</v>
      </c>
      <c r="J896" s="31" t="s">
        <v>75</v>
      </c>
      <c r="M896" t="s">
        <v>1164</v>
      </c>
    </row>
    <row r="897" spans="1:13" thickBot="1">
      <c r="A897" s="47" t="s">
        <v>1184</v>
      </c>
      <c r="B897" s="31" t="s">
        <v>17</v>
      </c>
      <c r="C897" s="31">
        <v>56</v>
      </c>
      <c r="D897" s="31" t="s">
        <v>41</v>
      </c>
      <c r="E897" s="31">
        <v>1000</v>
      </c>
      <c r="F897" s="31">
        <v>31</v>
      </c>
      <c r="G897" s="31" t="s">
        <v>566</v>
      </c>
      <c r="H897" s="42" t="s">
        <v>19</v>
      </c>
      <c r="I897" s="31" t="s">
        <v>20</v>
      </c>
      <c r="J897" s="31" t="s">
        <v>75</v>
      </c>
      <c r="M897" t="s">
        <v>1164</v>
      </c>
    </row>
    <row r="898" spans="1:13" thickBot="1">
      <c r="A898" s="47" t="s">
        <v>1185</v>
      </c>
      <c r="B898" s="31" t="s">
        <v>17</v>
      </c>
      <c r="C898" s="31">
        <v>56</v>
      </c>
      <c r="D898" s="31" t="s">
        <v>41</v>
      </c>
      <c r="E898" s="31">
        <v>1000</v>
      </c>
      <c r="F898" s="31">
        <v>31</v>
      </c>
      <c r="G898" s="31" t="s">
        <v>566</v>
      </c>
      <c r="H898" s="42" t="s">
        <v>19</v>
      </c>
      <c r="I898" s="31" t="s">
        <v>20</v>
      </c>
      <c r="J898" s="31" t="s">
        <v>75</v>
      </c>
      <c r="M898" t="s">
        <v>1164</v>
      </c>
    </row>
    <row r="899" spans="1:13" thickBot="1">
      <c r="A899" s="47" t="s">
        <v>1186</v>
      </c>
      <c r="B899" s="31" t="s">
        <v>17</v>
      </c>
      <c r="C899" s="31">
        <v>56</v>
      </c>
      <c r="D899" s="31" t="s">
        <v>41</v>
      </c>
      <c r="E899" s="31">
        <v>1000</v>
      </c>
      <c r="F899" s="31">
        <v>31</v>
      </c>
      <c r="G899" s="31" t="s">
        <v>566</v>
      </c>
      <c r="H899" s="42" t="s">
        <v>19</v>
      </c>
      <c r="I899" s="31" t="s">
        <v>20</v>
      </c>
      <c r="J899" s="31" t="s">
        <v>75</v>
      </c>
      <c r="M899" t="s">
        <v>1164</v>
      </c>
    </row>
    <row r="900" spans="1:13" thickBot="1">
      <c r="A900" s="47" t="s">
        <v>1187</v>
      </c>
      <c r="B900" s="31" t="s">
        <v>17</v>
      </c>
      <c r="C900" s="31">
        <v>56</v>
      </c>
      <c r="D900" s="31" t="s">
        <v>41</v>
      </c>
      <c r="E900" s="31">
        <v>1000</v>
      </c>
      <c r="F900" s="31">
        <v>31</v>
      </c>
      <c r="G900" s="31" t="s">
        <v>566</v>
      </c>
      <c r="H900" s="42" t="s">
        <v>19</v>
      </c>
      <c r="I900" s="31" t="s">
        <v>20</v>
      </c>
      <c r="J900" s="31" t="s">
        <v>75</v>
      </c>
      <c r="M900" t="s">
        <v>1164</v>
      </c>
    </row>
    <row r="901" spans="1:13" thickBot="1">
      <c r="A901" s="47" t="s">
        <v>1188</v>
      </c>
      <c r="B901" s="31" t="s">
        <v>17</v>
      </c>
      <c r="C901" s="31">
        <v>56</v>
      </c>
      <c r="D901" s="31" t="s">
        <v>41</v>
      </c>
      <c r="E901" s="31">
        <v>1000</v>
      </c>
      <c r="F901" s="31">
        <v>31</v>
      </c>
      <c r="G901" s="31" t="s">
        <v>566</v>
      </c>
      <c r="H901" s="42" t="s">
        <v>19</v>
      </c>
      <c r="I901" s="31" t="s">
        <v>20</v>
      </c>
      <c r="J901" s="31" t="s">
        <v>75</v>
      </c>
      <c r="M901" t="s">
        <v>1164</v>
      </c>
    </row>
    <row r="902" spans="1:13" thickBot="1">
      <c r="A902" s="47" t="s">
        <v>1189</v>
      </c>
      <c r="B902" s="31" t="s">
        <v>17</v>
      </c>
      <c r="C902" s="31">
        <v>56</v>
      </c>
      <c r="D902" s="31" t="s">
        <v>41</v>
      </c>
      <c r="E902" s="31">
        <v>1000</v>
      </c>
      <c r="F902" s="31">
        <v>31</v>
      </c>
      <c r="G902" s="31" t="s">
        <v>566</v>
      </c>
      <c r="H902" s="42" t="s">
        <v>19</v>
      </c>
      <c r="I902" s="31" t="s">
        <v>20</v>
      </c>
      <c r="J902" s="31" t="s">
        <v>75</v>
      </c>
      <c r="M902" t="s">
        <v>1164</v>
      </c>
    </row>
    <row r="903" spans="1:13" thickBot="1">
      <c r="A903" s="47" t="s">
        <v>1190</v>
      </c>
      <c r="B903" s="31" t="s">
        <v>17</v>
      </c>
      <c r="C903" s="31">
        <v>56</v>
      </c>
      <c r="D903" s="31" t="s">
        <v>41</v>
      </c>
      <c r="E903" s="31">
        <v>1000</v>
      </c>
      <c r="F903" s="31">
        <v>31</v>
      </c>
      <c r="G903" s="31" t="s">
        <v>566</v>
      </c>
      <c r="H903" s="42" t="s">
        <v>19</v>
      </c>
      <c r="I903" s="31" t="s">
        <v>20</v>
      </c>
      <c r="J903" s="31" t="s">
        <v>75</v>
      </c>
      <c r="M903" t="s">
        <v>1164</v>
      </c>
    </row>
    <row r="904" spans="1:13" thickBot="1">
      <c r="A904" s="47" t="s">
        <v>1191</v>
      </c>
      <c r="B904" s="31" t="s">
        <v>17</v>
      </c>
      <c r="C904" s="31">
        <v>56</v>
      </c>
      <c r="D904" s="31" t="s">
        <v>41</v>
      </c>
      <c r="E904" s="31">
        <v>1000</v>
      </c>
      <c r="F904" s="31">
        <v>31</v>
      </c>
      <c r="G904" s="31" t="s">
        <v>566</v>
      </c>
      <c r="H904" s="42" t="s">
        <v>19</v>
      </c>
      <c r="I904" s="31" t="s">
        <v>20</v>
      </c>
      <c r="J904" s="31" t="s">
        <v>75</v>
      </c>
      <c r="M904" t="s">
        <v>1164</v>
      </c>
    </row>
    <row r="905" spans="1:13" thickBot="1">
      <c r="A905" s="47" t="s">
        <v>1192</v>
      </c>
      <c r="B905" s="31" t="s">
        <v>17</v>
      </c>
      <c r="C905" s="31">
        <v>56</v>
      </c>
      <c r="D905" s="31" t="s">
        <v>41</v>
      </c>
      <c r="E905" s="31">
        <v>1000</v>
      </c>
      <c r="F905" s="31">
        <v>31</v>
      </c>
      <c r="G905" s="31" t="s">
        <v>566</v>
      </c>
      <c r="H905" s="42" t="s">
        <v>19</v>
      </c>
      <c r="I905" s="31" t="s">
        <v>20</v>
      </c>
      <c r="J905" s="31" t="s">
        <v>75</v>
      </c>
      <c r="M905" t="s">
        <v>1164</v>
      </c>
    </row>
    <row r="906" spans="1:13" thickBot="1">
      <c r="A906" s="47" t="s">
        <v>1193</v>
      </c>
      <c r="B906" s="31" t="s">
        <v>17</v>
      </c>
      <c r="C906" s="31">
        <v>56</v>
      </c>
      <c r="D906" s="31" t="s">
        <v>41</v>
      </c>
      <c r="E906" s="31">
        <v>1000</v>
      </c>
      <c r="F906" s="31">
        <v>31</v>
      </c>
      <c r="G906" s="31" t="s">
        <v>566</v>
      </c>
      <c r="H906" s="42" t="s">
        <v>19</v>
      </c>
      <c r="I906" s="31" t="s">
        <v>20</v>
      </c>
      <c r="J906" s="31" t="s">
        <v>75</v>
      </c>
      <c r="M906" t="s">
        <v>1164</v>
      </c>
    </row>
    <row r="907" spans="1:13" thickBot="1">
      <c r="A907" s="47" t="s">
        <v>1194</v>
      </c>
      <c r="B907" s="31" t="s">
        <v>17</v>
      </c>
      <c r="C907" s="31">
        <v>56</v>
      </c>
      <c r="D907" s="31" t="s">
        <v>41</v>
      </c>
      <c r="E907" s="31">
        <v>1000</v>
      </c>
      <c r="F907" s="31">
        <v>31</v>
      </c>
      <c r="G907" s="31" t="s">
        <v>566</v>
      </c>
      <c r="H907" s="42" t="s">
        <v>19</v>
      </c>
      <c r="I907" s="31" t="s">
        <v>20</v>
      </c>
      <c r="J907" s="31" t="s">
        <v>75</v>
      </c>
      <c r="M907" t="s">
        <v>1164</v>
      </c>
    </row>
    <row r="908" spans="1:13" thickBot="1">
      <c r="A908" s="47" t="s">
        <v>1195</v>
      </c>
      <c r="B908" s="31" t="s">
        <v>17</v>
      </c>
      <c r="C908" s="31">
        <v>56</v>
      </c>
      <c r="D908" s="31" t="s">
        <v>41</v>
      </c>
      <c r="E908" s="31">
        <v>1000</v>
      </c>
      <c r="F908" s="31">
        <v>31</v>
      </c>
      <c r="G908" s="31" t="s">
        <v>566</v>
      </c>
      <c r="H908" s="42" t="s">
        <v>19</v>
      </c>
      <c r="I908" s="31" t="s">
        <v>20</v>
      </c>
      <c r="J908" s="31" t="s">
        <v>75</v>
      </c>
      <c r="M908" t="s">
        <v>1164</v>
      </c>
    </row>
    <row r="909" spans="1:13" thickBot="1">
      <c r="A909" s="47" t="s">
        <v>1196</v>
      </c>
      <c r="B909" s="31" t="s">
        <v>17</v>
      </c>
      <c r="C909" s="31">
        <v>56</v>
      </c>
      <c r="D909" s="31" t="s">
        <v>41</v>
      </c>
      <c r="E909" s="31">
        <v>1000</v>
      </c>
      <c r="F909" s="31">
        <v>31</v>
      </c>
      <c r="G909" s="31" t="s">
        <v>566</v>
      </c>
      <c r="H909" s="42" t="s">
        <v>19</v>
      </c>
      <c r="I909" s="31" t="s">
        <v>20</v>
      </c>
      <c r="J909" s="31" t="s">
        <v>75</v>
      </c>
      <c r="M909" t="s">
        <v>1164</v>
      </c>
    </row>
    <row r="910" spans="1:13" thickBot="1">
      <c r="A910" s="47" t="s">
        <v>1197</v>
      </c>
      <c r="B910" s="31" t="s">
        <v>17</v>
      </c>
      <c r="C910" s="31">
        <v>56</v>
      </c>
      <c r="D910" s="31" t="s">
        <v>41</v>
      </c>
      <c r="E910" s="31">
        <v>1000</v>
      </c>
      <c r="F910" s="31">
        <v>31</v>
      </c>
      <c r="G910" s="31" t="s">
        <v>566</v>
      </c>
      <c r="H910" s="42" t="s">
        <v>19</v>
      </c>
      <c r="I910" s="31" t="s">
        <v>20</v>
      </c>
      <c r="J910" s="31" t="s">
        <v>75</v>
      </c>
      <c r="M910" t="s">
        <v>1164</v>
      </c>
    </row>
    <row r="911" spans="1:13" thickBot="1">
      <c r="A911" s="47" t="s">
        <v>1198</v>
      </c>
      <c r="B911" s="31" t="s">
        <v>17</v>
      </c>
      <c r="C911" s="31">
        <v>56</v>
      </c>
      <c r="D911" s="31" t="s">
        <v>41</v>
      </c>
      <c r="E911" s="31">
        <v>1000</v>
      </c>
      <c r="F911" s="31">
        <v>31</v>
      </c>
      <c r="G911" s="31" t="s">
        <v>566</v>
      </c>
      <c r="H911" s="42" t="s">
        <v>19</v>
      </c>
      <c r="I911" s="31" t="s">
        <v>20</v>
      </c>
      <c r="J911" s="31" t="s">
        <v>75</v>
      </c>
      <c r="M911" t="s">
        <v>1164</v>
      </c>
    </row>
    <row r="912" spans="1:13" thickBot="1">
      <c r="A912" s="47" t="s">
        <v>1199</v>
      </c>
      <c r="B912" s="31" t="s">
        <v>17</v>
      </c>
      <c r="C912" s="31">
        <v>56</v>
      </c>
      <c r="D912" s="31" t="s">
        <v>41</v>
      </c>
      <c r="E912" s="31">
        <v>1000</v>
      </c>
      <c r="F912" s="31">
        <v>31</v>
      </c>
      <c r="G912" s="31" t="s">
        <v>566</v>
      </c>
      <c r="H912" s="42" t="s">
        <v>19</v>
      </c>
      <c r="I912" s="31" t="s">
        <v>20</v>
      </c>
      <c r="J912" s="31" t="s">
        <v>75</v>
      </c>
      <c r="M912" t="s">
        <v>1164</v>
      </c>
    </row>
    <row r="913" spans="1:13" thickBot="1">
      <c r="A913" s="47" t="s">
        <v>1200</v>
      </c>
      <c r="B913" s="31" t="s">
        <v>17</v>
      </c>
      <c r="C913" s="31">
        <v>56</v>
      </c>
      <c r="D913" s="31" t="s">
        <v>41</v>
      </c>
      <c r="E913" s="31">
        <v>1000</v>
      </c>
      <c r="F913" s="31">
        <v>31</v>
      </c>
      <c r="G913" s="31" t="s">
        <v>566</v>
      </c>
      <c r="H913" s="42" t="s">
        <v>19</v>
      </c>
      <c r="I913" s="31" t="s">
        <v>20</v>
      </c>
      <c r="J913" s="31" t="s">
        <v>75</v>
      </c>
      <c r="M913" t="s">
        <v>1164</v>
      </c>
    </row>
    <row r="914" spans="1:13" thickBot="1">
      <c r="A914" s="47" t="s">
        <v>1201</v>
      </c>
      <c r="B914" s="31" t="s">
        <v>17</v>
      </c>
      <c r="C914" s="31">
        <v>56</v>
      </c>
      <c r="D914" s="31" t="s">
        <v>41</v>
      </c>
      <c r="E914" s="31">
        <v>1000</v>
      </c>
      <c r="F914" s="31">
        <v>31</v>
      </c>
      <c r="G914" s="31" t="s">
        <v>566</v>
      </c>
      <c r="H914" s="42" t="s">
        <v>19</v>
      </c>
      <c r="I914" s="31" t="s">
        <v>20</v>
      </c>
      <c r="J914" s="31" t="s">
        <v>75</v>
      </c>
      <c r="M914" t="s">
        <v>1164</v>
      </c>
    </row>
    <row r="915" spans="1:13" thickBot="1">
      <c r="A915" s="47" t="s">
        <v>1202</v>
      </c>
      <c r="B915" s="31" t="s">
        <v>17</v>
      </c>
      <c r="C915" s="31">
        <v>56</v>
      </c>
      <c r="D915" s="31" t="s">
        <v>41</v>
      </c>
      <c r="E915" s="31">
        <v>1000</v>
      </c>
      <c r="F915" s="31">
        <v>31</v>
      </c>
      <c r="G915" s="31" t="s">
        <v>566</v>
      </c>
      <c r="H915" s="42" t="s">
        <v>19</v>
      </c>
      <c r="I915" s="31" t="s">
        <v>20</v>
      </c>
      <c r="J915" s="31" t="s">
        <v>75</v>
      </c>
      <c r="M915" t="s">
        <v>1164</v>
      </c>
    </row>
    <row r="916" spans="1:13" thickBot="1">
      <c r="A916" s="47" t="s">
        <v>1203</v>
      </c>
      <c r="B916" s="31" t="s">
        <v>17</v>
      </c>
      <c r="C916" s="31">
        <v>56</v>
      </c>
      <c r="D916" s="31" t="s">
        <v>41</v>
      </c>
      <c r="E916" s="31">
        <v>1000</v>
      </c>
      <c r="F916" s="31">
        <v>31</v>
      </c>
      <c r="G916" s="31" t="s">
        <v>566</v>
      </c>
      <c r="H916" s="42" t="s">
        <v>19</v>
      </c>
      <c r="I916" s="31" t="s">
        <v>20</v>
      </c>
      <c r="J916" s="31" t="s">
        <v>75</v>
      </c>
      <c r="M916" t="s">
        <v>1164</v>
      </c>
    </row>
    <row r="917" spans="1:13" thickBot="1">
      <c r="A917" s="47" t="s">
        <v>1204</v>
      </c>
      <c r="B917" s="31" t="s">
        <v>17</v>
      </c>
      <c r="C917" s="31">
        <v>56</v>
      </c>
      <c r="D917" s="31" t="s">
        <v>41</v>
      </c>
      <c r="E917" s="31">
        <v>1000</v>
      </c>
      <c r="F917" s="31">
        <v>31</v>
      </c>
      <c r="G917" s="31" t="s">
        <v>566</v>
      </c>
      <c r="H917" s="42" t="s">
        <v>19</v>
      </c>
      <c r="I917" s="31" t="s">
        <v>20</v>
      </c>
      <c r="J917" s="44" t="s">
        <v>1205</v>
      </c>
      <c r="M917" t="s">
        <v>1206</v>
      </c>
    </row>
    <row r="918" spans="1:13" thickBot="1">
      <c r="A918" s="47"/>
      <c r="B918" s="31"/>
      <c r="C918" s="31"/>
      <c r="D918" s="31"/>
      <c r="E918" s="31"/>
      <c r="F918" s="31"/>
      <c r="G918" s="31"/>
      <c r="I918" s="31"/>
      <c r="J918" s="44"/>
    </row>
    <row r="919" spans="1:13" thickBot="1">
      <c r="A919" s="47" t="s">
        <v>1207</v>
      </c>
      <c r="B919" s="31" t="s">
        <v>17</v>
      </c>
      <c r="C919" s="31">
        <v>56</v>
      </c>
      <c r="D919" s="31" t="s">
        <v>41</v>
      </c>
      <c r="E919" s="31">
        <v>1000</v>
      </c>
      <c r="F919" s="31">
        <v>32</v>
      </c>
      <c r="G919" s="31" t="s">
        <v>629</v>
      </c>
      <c r="H919" s="42" t="s">
        <v>19</v>
      </c>
      <c r="I919" s="31" t="s">
        <v>20</v>
      </c>
      <c r="M919" t="s">
        <v>1208</v>
      </c>
    </row>
    <row r="920" spans="1:13" thickBot="1">
      <c r="A920" s="47" t="s">
        <v>1209</v>
      </c>
      <c r="B920" s="31" t="s">
        <v>17</v>
      </c>
      <c r="C920" s="31">
        <v>56</v>
      </c>
      <c r="D920" s="31" t="s">
        <v>41</v>
      </c>
      <c r="E920" s="31">
        <v>1000</v>
      </c>
      <c r="F920" s="31">
        <v>32</v>
      </c>
      <c r="G920" s="31" t="s">
        <v>629</v>
      </c>
      <c r="H920" s="42" t="s">
        <v>19</v>
      </c>
      <c r="I920" s="31" t="s">
        <v>20</v>
      </c>
      <c r="M920" t="s">
        <v>1210</v>
      </c>
    </row>
    <row r="921" spans="1:13" thickBot="1">
      <c r="A921" s="47" t="s">
        <v>1211</v>
      </c>
      <c r="B921" s="31" t="s">
        <v>17</v>
      </c>
      <c r="C921" s="31">
        <v>56</v>
      </c>
      <c r="D921" s="31" t="s">
        <v>41</v>
      </c>
      <c r="E921" s="31">
        <v>1000</v>
      </c>
      <c r="F921" s="31">
        <v>31</v>
      </c>
      <c r="G921" s="31" t="s">
        <v>566</v>
      </c>
      <c r="H921" s="42" t="s">
        <v>19</v>
      </c>
      <c r="I921" s="31" t="s">
        <v>20</v>
      </c>
      <c r="M921" t="s">
        <v>1212</v>
      </c>
    </row>
    <row r="922" spans="1:13" thickBot="1">
      <c r="A922" s="47" t="s">
        <v>1213</v>
      </c>
      <c r="B922" s="31" t="s">
        <v>17</v>
      </c>
      <c r="C922" s="31">
        <v>56</v>
      </c>
      <c r="D922" s="31" t="s">
        <v>41</v>
      </c>
      <c r="E922" s="31">
        <v>1000</v>
      </c>
      <c r="F922" s="31">
        <v>31</v>
      </c>
      <c r="G922" s="31" t="s">
        <v>566</v>
      </c>
      <c r="H922" s="42" t="s">
        <v>19</v>
      </c>
      <c r="I922" s="31" t="s">
        <v>20</v>
      </c>
      <c r="M922" t="s">
        <v>1212</v>
      </c>
    </row>
    <row r="923" spans="1:13" thickBot="1">
      <c r="A923" s="47" t="s">
        <v>1214</v>
      </c>
      <c r="B923" s="31" t="s">
        <v>17</v>
      </c>
      <c r="C923" s="31">
        <v>56</v>
      </c>
      <c r="D923" s="31" t="s">
        <v>41</v>
      </c>
      <c r="E923" s="31">
        <v>1000</v>
      </c>
      <c r="F923" s="31">
        <v>32</v>
      </c>
      <c r="G923" s="31" t="s">
        <v>566</v>
      </c>
      <c r="H923" s="42" t="s">
        <v>19</v>
      </c>
      <c r="I923" s="31" t="s">
        <v>20</v>
      </c>
      <c r="M923" t="s">
        <v>1212</v>
      </c>
    </row>
    <row r="924" spans="1:13" thickBot="1">
      <c r="A924" s="47" t="s">
        <v>1215</v>
      </c>
      <c r="B924" s="31" t="s">
        <v>17</v>
      </c>
      <c r="C924" s="31">
        <v>56</v>
      </c>
      <c r="D924" s="31" t="s">
        <v>41</v>
      </c>
      <c r="E924" s="31">
        <v>1000</v>
      </c>
      <c r="F924" s="31">
        <v>31</v>
      </c>
      <c r="G924" s="31" t="s">
        <v>566</v>
      </c>
      <c r="H924" s="42" t="s">
        <v>19</v>
      </c>
      <c r="I924" s="31" t="s">
        <v>20</v>
      </c>
      <c r="M924" t="s">
        <v>1212</v>
      </c>
    </row>
    <row r="925" spans="1:13" thickBot="1">
      <c r="A925" s="47" t="s">
        <v>1216</v>
      </c>
      <c r="B925" s="31" t="s">
        <v>17</v>
      </c>
      <c r="C925" s="31">
        <v>56</v>
      </c>
      <c r="D925" s="31" t="s">
        <v>41</v>
      </c>
      <c r="E925" s="31">
        <v>1000</v>
      </c>
      <c r="F925" s="31">
        <v>31</v>
      </c>
      <c r="G925" s="31" t="s">
        <v>566</v>
      </c>
      <c r="H925" s="42" t="s">
        <v>19</v>
      </c>
      <c r="I925" s="31" t="s">
        <v>20</v>
      </c>
      <c r="M925" t="s">
        <v>1212</v>
      </c>
    </row>
    <row r="926" spans="1:13" thickBot="1">
      <c r="A926" s="47" t="s">
        <v>1217</v>
      </c>
      <c r="B926" s="31" t="s">
        <v>17</v>
      </c>
      <c r="C926" s="31">
        <v>56</v>
      </c>
      <c r="D926" s="31" t="s">
        <v>41</v>
      </c>
      <c r="E926" s="31">
        <v>1000</v>
      </c>
      <c r="F926" s="31">
        <v>31</v>
      </c>
      <c r="G926" s="31" t="s">
        <v>566</v>
      </c>
      <c r="H926" s="42" t="s">
        <v>19</v>
      </c>
      <c r="I926" s="31" t="s">
        <v>20</v>
      </c>
      <c r="M926" t="s">
        <v>1212</v>
      </c>
    </row>
    <row r="927" spans="1:13" thickBot="1">
      <c r="A927" s="47" t="s">
        <v>1218</v>
      </c>
      <c r="B927" s="31" t="s">
        <v>17</v>
      </c>
      <c r="C927" s="31">
        <v>56</v>
      </c>
      <c r="D927" s="31" t="s">
        <v>41</v>
      </c>
      <c r="E927" s="31">
        <v>1000</v>
      </c>
      <c r="F927" s="31">
        <v>31</v>
      </c>
      <c r="G927" s="31" t="s">
        <v>566</v>
      </c>
      <c r="H927" s="42" t="s">
        <v>19</v>
      </c>
      <c r="I927" s="31" t="s">
        <v>20</v>
      </c>
      <c r="M927" t="s">
        <v>1212</v>
      </c>
    </row>
    <row r="928" spans="1:13" thickBot="1">
      <c r="A928" s="47" t="s">
        <v>1219</v>
      </c>
      <c r="B928" s="31" t="s">
        <v>17</v>
      </c>
      <c r="C928" s="31">
        <v>56</v>
      </c>
      <c r="D928" s="31" t="s">
        <v>41</v>
      </c>
      <c r="E928" s="31">
        <v>1000</v>
      </c>
      <c r="F928" s="31">
        <v>32</v>
      </c>
      <c r="G928" s="31" t="s">
        <v>566</v>
      </c>
      <c r="H928" s="42" t="s">
        <v>19</v>
      </c>
      <c r="I928" s="31" t="s">
        <v>20</v>
      </c>
      <c r="M928" t="s">
        <v>1212</v>
      </c>
    </row>
    <row r="929" spans="1:13" thickBot="1">
      <c r="A929" s="47" t="s">
        <v>1220</v>
      </c>
      <c r="B929" s="31" t="s">
        <v>17</v>
      </c>
      <c r="C929" s="31">
        <v>56</v>
      </c>
      <c r="D929" s="31" t="s">
        <v>41</v>
      </c>
      <c r="E929" s="31">
        <v>1000</v>
      </c>
      <c r="F929" s="31">
        <v>32</v>
      </c>
      <c r="G929" s="31" t="s">
        <v>566</v>
      </c>
      <c r="H929" s="42" t="s">
        <v>19</v>
      </c>
      <c r="I929" s="31" t="s">
        <v>20</v>
      </c>
      <c r="M929" t="s">
        <v>1212</v>
      </c>
    </row>
    <row r="930" spans="1:13" thickBot="1">
      <c r="A930" s="47" t="s">
        <v>1221</v>
      </c>
      <c r="B930" s="31" t="s">
        <v>17</v>
      </c>
      <c r="C930" s="31">
        <v>56</v>
      </c>
      <c r="D930" s="31" t="s">
        <v>41</v>
      </c>
      <c r="E930" s="31">
        <v>1000</v>
      </c>
      <c r="F930" s="31">
        <v>31</v>
      </c>
      <c r="G930" s="31" t="s">
        <v>566</v>
      </c>
      <c r="H930" s="42" t="s">
        <v>19</v>
      </c>
      <c r="I930" s="31" t="s">
        <v>20</v>
      </c>
      <c r="M930" t="s">
        <v>1212</v>
      </c>
    </row>
    <row r="931" spans="1:13" thickBot="1">
      <c r="A931" s="47" t="s">
        <v>1222</v>
      </c>
      <c r="B931" s="31" t="s">
        <v>17</v>
      </c>
      <c r="C931" s="31">
        <v>56</v>
      </c>
      <c r="D931" s="31" t="s">
        <v>41</v>
      </c>
      <c r="E931" s="31">
        <v>1000</v>
      </c>
      <c r="F931" s="31">
        <v>31</v>
      </c>
      <c r="G931" s="31" t="s">
        <v>566</v>
      </c>
      <c r="H931" s="42" t="s">
        <v>19</v>
      </c>
      <c r="I931" s="31" t="s">
        <v>20</v>
      </c>
      <c r="M931" t="s">
        <v>1212</v>
      </c>
    </row>
    <row r="932" spans="1:13" thickBot="1">
      <c r="A932" s="47" t="s">
        <v>1223</v>
      </c>
      <c r="B932" s="31" t="s">
        <v>17</v>
      </c>
      <c r="C932" s="31">
        <v>56</v>
      </c>
      <c r="D932" s="31" t="s">
        <v>41</v>
      </c>
      <c r="E932" s="31">
        <v>1000</v>
      </c>
      <c r="F932" s="31">
        <v>31</v>
      </c>
      <c r="G932" s="31" t="s">
        <v>566</v>
      </c>
      <c r="H932" s="42" t="s">
        <v>19</v>
      </c>
      <c r="I932" s="31" t="s">
        <v>20</v>
      </c>
      <c r="J932">
        <v>8192</v>
      </c>
      <c r="K932">
        <f>J932*2</f>
        <v>16384</v>
      </c>
      <c r="M932" t="s">
        <v>1212</v>
      </c>
    </row>
    <row r="933" spans="1:13" thickBot="1">
      <c r="A933" s="47" t="s">
        <v>1224</v>
      </c>
      <c r="B933" s="31" t="s">
        <v>17</v>
      </c>
      <c r="C933" s="31">
        <v>56</v>
      </c>
      <c r="D933" s="31" t="s">
        <v>41</v>
      </c>
      <c r="E933" s="31">
        <v>1000</v>
      </c>
      <c r="F933" s="31">
        <v>31</v>
      </c>
      <c r="G933" s="31" t="s">
        <v>566</v>
      </c>
      <c r="H933" s="42" t="s">
        <v>19</v>
      </c>
      <c r="I933" s="31" t="s">
        <v>20</v>
      </c>
      <c r="J933">
        <f>J932*0.8</f>
        <v>6553.6</v>
      </c>
      <c r="K933">
        <f>K932*0.4</f>
        <v>6553.6</v>
      </c>
      <c r="M933" t="s">
        <v>1212</v>
      </c>
    </row>
    <row r="934" spans="1:13" thickBot="1">
      <c r="A934" s="47" t="s">
        <v>1225</v>
      </c>
      <c r="B934" s="31" t="s">
        <v>17</v>
      </c>
      <c r="C934" s="31">
        <v>56</v>
      </c>
      <c r="D934" s="31" t="s">
        <v>41</v>
      </c>
      <c r="E934" s="31">
        <v>1000</v>
      </c>
      <c r="F934" s="31">
        <v>31</v>
      </c>
      <c r="G934" s="31" t="s">
        <v>566</v>
      </c>
      <c r="H934" s="42" t="s">
        <v>19</v>
      </c>
      <c r="I934" s="31" t="s">
        <v>20</v>
      </c>
      <c r="M934" t="s">
        <v>1212</v>
      </c>
    </row>
    <row r="935" spans="1:13" thickBot="1">
      <c r="A935" s="47" t="s">
        <v>1226</v>
      </c>
      <c r="B935" s="31" t="s">
        <v>17</v>
      </c>
      <c r="C935" s="31">
        <v>56</v>
      </c>
      <c r="D935" s="31" t="s">
        <v>41</v>
      </c>
      <c r="E935" s="31">
        <v>1000</v>
      </c>
      <c r="F935" s="31">
        <v>33</v>
      </c>
      <c r="G935" s="31" t="s">
        <v>191</v>
      </c>
      <c r="H935" s="42" t="s">
        <v>19</v>
      </c>
      <c r="I935" s="31" t="s">
        <v>20</v>
      </c>
      <c r="M935" t="s">
        <v>1227</v>
      </c>
    </row>
    <row r="936" spans="1:13" thickBot="1">
      <c r="A936" s="47" t="s">
        <v>1228</v>
      </c>
      <c r="B936" s="31" t="s">
        <v>17</v>
      </c>
      <c r="C936" s="31">
        <v>56</v>
      </c>
      <c r="D936" s="31" t="s">
        <v>41</v>
      </c>
      <c r="E936" s="31">
        <v>1000</v>
      </c>
      <c r="F936" s="31">
        <v>32</v>
      </c>
      <c r="G936" s="31" t="s">
        <v>191</v>
      </c>
      <c r="H936" s="42" t="s">
        <v>19</v>
      </c>
      <c r="I936" s="31" t="s">
        <v>20</v>
      </c>
      <c r="M936" t="s">
        <v>1229</v>
      </c>
    </row>
    <row r="937" spans="1:13" thickBot="1">
      <c r="A937" s="47" t="s">
        <v>1230</v>
      </c>
      <c r="B937" s="31" t="s">
        <v>17</v>
      </c>
      <c r="C937" s="31">
        <v>56</v>
      </c>
      <c r="D937" s="31" t="s">
        <v>41</v>
      </c>
      <c r="E937" s="31">
        <v>1000</v>
      </c>
      <c r="F937" s="31">
        <v>34</v>
      </c>
      <c r="G937" s="31" t="s">
        <v>191</v>
      </c>
      <c r="H937" s="42" t="s">
        <v>19</v>
      </c>
      <c r="I937" s="31" t="s">
        <v>20</v>
      </c>
      <c r="M937" t="s">
        <v>1231</v>
      </c>
    </row>
    <row r="938" spans="1:13" thickBot="1">
      <c r="A938" s="47" t="s">
        <v>1232</v>
      </c>
      <c r="B938" s="31" t="s">
        <v>17</v>
      </c>
      <c r="C938" s="31">
        <v>56</v>
      </c>
      <c r="D938" s="31" t="s">
        <v>41</v>
      </c>
      <c r="E938" s="31">
        <v>1000</v>
      </c>
      <c r="F938" s="31">
        <v>32</v>
      </c>
      <c r="G938" s="31" t="s">
        <v>566</v>
      </c>
      <c r="H938" s="42" t="s">
        <v>19</v>
      </c>
      <c r="I938" s="31" t="s">
        <v>20</v>
      </c>
      <c r="M938" t="s">
        <v>1212</v>
      </c>
    </row>
    <row r="939" spans="1:13" thickBot="1">
      <c r="A939" s="47" t="s">
        <v>1233</v>
      </c>
      <c r="B939" s="31" t="s">
        <v>17</v>
      </c>
      <c r="C939" s="31">
        <v>56</v>
      </c>
      <c r="D939" s="31" t="s">
        <v>41</v>
      </c>
      <c r="E939" s="31">
        <v>1000</v>
      </c>
      <c r="F939" s="31">
        <v>31</v>
      </c>
      <c r="G939" s="31" t="s">
        <v>566</v>
      </c>
      <c r="H939" s="42" t="s">
        <v>19</v>
      </c>
      <c r="I939" s="31" t="s">
        <v>20</v>
      </c>
      <c r="M939" t="s">
        <v>1212</v>
      </c>
    </row>
    <row r="940" spans="1:13" thickBot="1">
      <c r="A940" s="47" t="s">
        <v>1234</v>
      </c>
      <c r="B940" s="31" t="s">
        <v>17</v>
      </c>
      <c r="C940" s="31">
        <v>56</v>
      </c>
      <c r="D940" s="31" t="s">
        <v>41</v>
      </c>
      <c r="E940" s="31">
        <v>1000</v>
      </c>
      <c r="F940" s="31">
        <v>31</v>
      </c>
      <c r="G940" s="31" t="s">
        <v>566</v>
      </c>
      <c r="H940" s="42" t="s">
        <v>19</v>
      </c>
      <c r="I940" s="31" t="s">
        <v>20</v>
      </c>
      <c r="M940" t="s">
        <v>1212</v>
      </c>
    </row>
    <row r="941" spans="1:13" thickBot="1">
      <c r="A941" s="47" t="s">
        <v>1235</v>
      </c>
      <c r="B941" s="31" t="s">
        <v>17</v>
      </c>
      <c r="C941" s="31">
        <v>56</v>
      </c>
      <c r="D941" s="31" t="s">
        <v>41</v>
      </c>
      <c r="E941" s="31">
        <v>1000</v>
      </c>
      <c r="F941" s="31">
        <v>31</v>
      </c>
      <c r="G941" s="31" t="s">
        <v>566</v>
      </c>
      <c r="H941" s="42" t="s">
        <v>19</v>
      </c>
      <c r="I941" s="31" t="s">
        <v>20</v>
      </c>
      <c r="M941" t="s">
        <v>1212</v>
      </c>
    </row>
    <row r="942" spans="1:13" thickBot="1">
      <c r="A942" s="47" t="s">
        <v>1236</v>
      </c>
      <c r="B942" s="31" t="s">
        <v>17</v>
      </c>
      <c r="C942" s="31">
        <v>56</v>
      </c>
      <c r="D942" s="31" t="s">
        <v>41</v>
      </c>
      <c r="E942" s="31">
        <v>1000</v>
      </c>
      <c r="F942" s="31">
        <v>31</v>
      </c>
      <c r="G942" s="31" t="s">
        <v>566</v>
      </c>
      <c r="H942" s="42" t="s">
        <v>19</v>
      </c>
      <c r="I942" s="31" t="s">
        <v>20</v>
      </c>
      <c r="M942" t="s">
        <v>1212</v>
      </c>
    </row>
    <row r="943" spans="1:13" thickBot="1">
      <c r="A943" s="47" t="s">
        <v>1237</v>
      </c>
      <c r="B943" s="31" t="s">
        <v>17</v>
      </c>
      <c r="C943" s="31">
        <v>56</v>
      </c>
      <c r="D943" s="31" t="s">
        <v>41</v>
      </c>
      <c r="E943" s="31">
        <v>1000</v>
      </c>
      <c r="F943" s="31">
        <v>32</v>
      </c>
      <c r="G943" s="31" t="s">
        <v>566</v>
      </c>
      <c r="H943" s="42" t="s">
        <v>19</v>
      </c>
      <c r="I943" s="31" t="s">
        <v>20</v>
      </c>
      <c r="M943" t="s">
        <v>1212</v>
      </c>
    </row>
    <row r="944" spans="1:13" thickBot="1">
      <c r="A944" s="47" t="s">
        <v>1238</v>
      </c>
      <c r="B944" s="31" t="s">
        <v>17</v>
      </c>
      <c r="C944" s="31">
        <v>56</v>
      </c>
      <c r="D944" s="31" t="s">
        <v>41</v>
      </c>
      <c r="E944" s="31">
        <v>1000</v>
      </c>
      <c r="F944" s="31">
        <v>31</v>
      </c>
      <c r="G944" s="31" t="s">
        <v>566</v>
      </c>
      <c r="H944" s="42" t="s">
        <v>19</v>
      </c>
      <c r="I944" s="31" t="s">
        <v>20</v>
      </c>
      <c r="M944" t="s">
        <v>1212</v>
      </c>
    </row>
    <row r="945" spans="1:13" thickBot="1">
      <c r="A945" s="47" t="s">
        <v>1239</v>
      </c>
      <c r="B945" s="31" t="s">
        <v>17</v>
      </c>
      <c r="C945" s="31">
        <v>56</v>
      </c>
      <c r="D945" s="31" t="s">
        <v>41</v>
      </c>
      <c r="E945" s="31">
        <v>1000</v>
      </c>
      <c r="F945" s="31">
        <v>31</v>
      </c>
      <c r="G945" s="31" t="s">
        <v>566</v>
      </c>
      <c r="H945" s="42" t="s">
        <v>19</v>
      </c>
      <c r="I945" s="31" t="s">
        <v>20</v>
      </c>
      <c r="M945" t="s">
        <v>1212</v>
      </c>
    </row>
    <row r="946" spans="1:13" thickBot="1">
      <c r="A946" s="47" t="s">
        <v>1240</v>
      </c>
      <c r="B946" s="31" t="s">
        <v>17</v>
      </c>
      <c r="C946" s="31">
        <v>56</v>
      </c>
      <c r="D946" s="31" t="s">
        <v>41</v>
      </c>
      <c r="E946" s="31">
        <v>1000</v>
      </c>
      <c r="F946" s="31">
        <v>31</v>
      </c>
      <c r="G946" s="31" t="s">
        <v>566</v>
      </c>
      <c r="H946" s="42" t="s">
        <v>19</v>
      </c>
      <c r="I946" s="31" t="s">
        <v>20</v>
      </c>
      <c r="M946" t="s">
        <v>1212</v>
      </c>
    </row>
    <row r="947" spans="1:13" thickBot="1">
      <c r="A947" s="47" t="s">
        <v>1241</v>
      </c>
      <c r="B947" s="31" t="s">
        <v>17</v>
      </c>
      <c r="C947" s="31">
        <v>56</v>
      </c>
      <c r="D947" s="31" t="s">
        <v>41</v>
      </c>
      <c r="E947" s="31">
        <v>1000</v>
      </c>
      <c r="F947" s="31">
        <v>31</v>
      </c>
      <c r="G947" s="31" t="s">
        <v>566</v>
      </c>
      <c r="H947" s="42" t="s">
        <v>19</v>
      </c>
      <c r="I947" s="31" t="s">
        <v>20</v>
      </c>
      <c r="M947" t="s">
        <v>1212</v>
      </c>
    </row>
    <row r="948" spans="1:13" thickBot="1">
      <c r="A948" s="47" t="s">
        <v>1242</v>
      </c>
      <c r="B948" s="31" t="s">
        <v>17</v>
      </c>
      <c r="C948" s="31">
        <v>56</v>
      </c>
      <c r="D948" s="31" t="s">
        <v>41</v>
      </c>
      <c r="E948" s="31">
        <v>1000</v>
      </c>
      <c r="F948" s="31">
        <v>31</v>
      </c>
      <c r="G948" s="31" t="s">
        <v>566</v>
      </c>
      <c r="H948" s="42" t="s">
        <v>19</v>
      </c>
      <c r="I948" s="31" t="s">
        <v>20</v>
      </c>
      <c r="M948" t="s">
        <v>1212</v>
      </c>
    </row>
    <row r="949" spans="1:13" ht="15.75" customHeight="1" thickBot="1">
      <c r="A949" s="47" t="s">
        <v>1243</v>
      </c>
      <c r="B949" s="31" t="s">
        <v>17</v>
      </c>
      <c r="C949" s="31">
        <v>56</v>
      </c>
      <c r="D949" s="31" t="s">
        <v>41</v>
      </c>
      <c r="E949" s="31">
        <v>1000</v>
      </c>
      <c r="F949" s="31">
        <v>31</v>
      </c>
      <c r="G949" s="31" t="s">
        <v>566</v>
      </c>
      <c r="H949" s="42" t="s">
        <v>19</v>
      </c>
      <c r="I949" s="31" t="s">
        <v>20</v>
      </c>
      <c r="M949" t="s">
        <v>1212</v>
      </c>
    </row>
    <row r="950" spans="1:13" thickBot="1">
      <c r="A950" s="47" t="s">
        <v>1244</v>
      </c>
      <c r="B950" s="31" t="s">
        <v>17</v>
      </c>
      <c r="C950" s="31">
        <v>56</v>
      </c>
      <c r="D950" s="31" t="s">
        <v>41</v>
      </c>
      <c r="E950" s="31">
        <v>1000</v>
      </c>
      <c r="F950" s="31">
        <v>31</v>
      </c>
      <c r="G950" s="31" t="s">
        <v>566</v>
      </c>
      <c r="H950" s="42" t="s">
        <v>19</v>
      </c>
      <c r="I950" s="31" t="s">
        <v>20</v>
      </c>
      <c r="M950" t="s">
        <v>1212</v>
      </c>
    </row>
    <row r="951" spans="1:13" thickBot="1">
      <c r="A951" s="47" t="s">
        <v>1245</v>
      </c>
      <c r="B951" s="31" t="s">
        <v>17</v>
      </c>
      <c r="C951" s="31">
        <v>56</v>
      </c>
      <c r="D951" s="31" t="s">
        <v>41</v>
      </c>
      <c r="E951" s="31">
        <v>1000</v>
      </c>
      <c r="F951" s="31">
        <v>31</v>
      </c>
      <c r="G951" s="31" t="s">
        <v>566</v>
      </c>
      <c r="H951" s="42" t="s">
        <v>19</v>
      </c>
      <c r="I951" s="31" t="s">
        <v>20</v>
      </c>
      <c r="M951" t="s">
        <v>1212</v>
      </c>
    </row>
    <row r="952" spans="1:13" thickBot="1">
      <c r="A952" s="47" t="s">
        <v>1246</v>
      </c>
      <c r="B952" s="31" t="s">
        <v>17</v>
      </c>
      <c r="C952" s="31">
        <v>56</v>
      </c>
      <c r="D952" s="31" t="s">
        <v>41</v>
      </c>
      <c r="E952" s="31">
        <v>1000</v>
      </c>
      <c r="F952" s="31">
        <v>31</v>
      </c>
      <c r="G952" s="31" t="s">
        <v>566</v>
      </c>
      <c r="H952" s="42" t="s">
        <v>19</v>
      </c>
      <c r="I952" s="31" t="s">
        <v>20</v>
      </c>
      <c r="M952" t="s">
        <v>1212</v>
      </c>
    </row>
    <row r="953" spans="1:13" thickBot="1">
      <c r="A953" s="47" t="s">
        <v>1247</v>
      </c>
      <c r="B953" s="31" t="s">
        <v>17</v>
      </c>
      <c r="C953" s="31">
        <v>56</v>
      </c>
      <c r="D953" s="31" t="s">
        <v>41</v>
      </c>
      <c r="E953" s="31">
        <v>1000</v>
      </c>
      <c r="F953" s="31">
        <v>31</v>
      </c>
      <c r="G953" s="31" t="s">
        <v>18</v>
      </c>
      <c r="H953" s="42" t="s">
        <v>19</v>
      </c>
      <c r="I953" s="31" t="s">
        <v>20</v>
      </c>
      <c r="M953" t="s">
        <v>1248</v>
      </c>
    </row>
    <row r="954" spans="1:13" thickBot="1">
      <c r="A954" s="47" t="s">
        <v>1249</v>
      </c>
      <c r="B954" s="31" t="s">
        <v>17</v>
      </c>
      <c r="C954" s="31">
        <v>56</v>
      </c>
      <c r="D954" s="31" t="s">
        <v>41</v>
      </c>
      <c r="E954" s="31">
        <v>1000</v>
      </c>
      <c r="F954" s="31">
        <v>32</v>
      </c>
      <c r="G954" s="31" t="s">
        <v>18</v>
      </c>
      <c r="H954" s="42" t="s">
        <v>19</v>
      </c>
      <c r="I954" s="31" t="s">
        <v>20</v>
      </c>
      <c r="M954" t="s">
        <v>1248</v>
      </c>
    </row>
    <row r="955" spans="1:13" thickBot="1">
      <c r="A955" s="47" t="s">
        <v>1250</v>
      </c>
      <c r="B955" s="31" t="s">
        <v>17</v>
      </c>
      <c r="C955" s="31">
        <v>56</v>
      </c>
      <c r="D955" s="31" t="s">
        <v>41</v>
      </c>
      <c r="E955" s="31">
        <v>1000</v>
      </c>
      <c r="F955" s="31" t="s">
        <v>41</v>
      </c>
      <c r="G955" s="31" t="s">
        <v>18</v>
      </c>
      <c r="H955" s="42" t="s">
        <v>19</v>
      </c>
      <c r="I955" s="31" t="s">
        <v>20</v>
      </c>
      <c r="M955" t="s">
        <v>1248</v>
      </c>
    </row>
    <row r="956" spans="1:13" thickBot="1">
      <c r="A956" s="47" t="s">
        <v>1251</v>
      </c>
      <c r="B956" s="31" t="s">
        <v>17</v>
      </c>
      <c r="C956" s="31">
        <v>56</v>
      </c>
      <c r="D956" s="31" t="s">
        <v>41</v>
      </c>
      <c r="E956" s="31">
        <v>1000</v>
      </c>
      <c r="F956" s="31">
        <v>31</v>
      </c>
      <c r="G956" s="31" t="s">
        <v>18</v>
      </c>
      <c r="H956" s="42" t="s">
        <v>19</v>
      </c>
      <c r="I956" s="31" t="s">
        <v>20</v>
      </c>
      <c r="M956" t="s">
        <v>1248</v>
      </c>
    </row>
    <row r="957" spans="1:13" thickBot="1">
      <c r="A957" s="47" t="s">
        <v>1252</v>
      </c>
      <c r="B957" s="31" t="s">
        <v>17</v>
      </c>
      <c r="C957" s="31">
        <v>56</v>
      </c>
      <c r="D957" s="31" t="s">
        <v>41</v>
      </c>
      <c r="E957" s="31">
        <v>1000</v>
      </c>
      <c r="F957" s="31">
        <v>32</v>
      </c>
      <c r="G957" s="31" t="s">
        <v>18</v>
      </c>
      <c r="H957" s="42" t="s">
        <v>19</v>
      </c>
      <c r="I957" s="31" t="s">
        <v>20</v>
      </c>
      <c r="M957" t="s">
        <v>1248</v>
      </c>
    </row>
    <row r="958" spans="1:13" thickBot="1">
      <c r="A958" s="47" t="s">
        <v>1253</v>
      </c>
      <c r="B958" s="31" t="s">
        <v>17</v>
      </c>
      <c r="C958" s="31">
        <v>56</v>
      </c>
      <c r="D958" s="31" t="s">
        <v>41</v>
      </c>
      <c r="E958" s="31">
        <v>1000</v>
      </c>
      <c r="F958" s="31">
        <v>32</v>
      </c>
      <c r="G958" s="31" t="s">
        <v>18</v>
      </c>
      <c r="H958" s="42" t="s">
        <v>19</v>
      </c>
      <c r="I958" s="31" t="s">
        <v>20</v>
      </c>
      <c r="M958" t="s">
        <v>1248</v>
      </c>
    </row>
    <row r="959" spans="1:13" thickBot="1">
      <c r="A959" s="47" t="s">
        <v>1254</v>
      </c>
      <c r="B959" s="31" t="s">
        <v>17</v>
      </c>
      <c r="C959" s="31">
        <v>56</v>
      </c>
      <c r="D959" s="31" t="s">
        <v>41</v>
      </c>
      <c r="E959" s="31">
        <v>1000</v>
      </c>
      <c r="F959" s="31">
        <v>31</v>
      </c>
      <c r="G959" s="31" t="s">
        <v>18</v>
      </c>
      <c r="H959" s="42" t="s">
        <v>19</v>
      </c>
      <c r="I959" s="31" t="s">
        <v>20</v>
      </c>
      <c r="M959" t="s">
        <v>1248</v>
      </c>
    </row>
    <row r="960" spans="1:13" thickBot="1">
      <c r="A960" s="47" t="s">
        <v>1255</v>
      </c>
      <c r="B960" s="31" t="s">
        <v>17</v>
      </c>
      <c r="C960" s="31">
        <v>56</v>
      </c>
      <c r="D960" s="31" t="s">
        <v>41</v>
      </c>
      <c r="E960" s="31">
        <v>1000</v>
      </c>
      <c r="F960" s="31">
        <v>31</v>
      </c>
      <c r="G960" s="31" t="s">
        <v>18</v>
      </c>
      <c r="H960" s="42" t="s">
        <v>19</v>
      </c>
      <c r="I960" s="31" t="s">
        <v>20</v>
      </c>
      <c r="M960" t="s">
        <v>1248</v>
      </c>
    </row>
    <row r="961" spans="1:13" thickBot="1">
      <c r="A961" s="47" t="s">
        <v>1256</v>
      </c>
      <c r="B961" s="31" t="s">
        <v>17</v>
      </c>
      <c r="C961" s="31">
        <v>56</v>
      </c>
      <c r="D961" s="31" t="s">
        <v>41</v>
      </c>
      <c r="E961" s="31">
        <v>1000</v>
      </c>
      <c r="F961" s="31">
        <v>31</v>
      </c>
      <c r="G961" s="31" t="s">
        <v>18</v>
      </c>
      <c r="H961" s="42" t="s">
        <v>19</v>
      </c>
      <c r="I961" s="31" t="s">
        <v>20</v>
      </c>
      <c r="M961" t="s">
        <v>1248</v>
      </c>
    </row>
    <row r="962" spans="1:13" thickBot="1">
      <c r="A962" s="47" t="s">
        <v>1257</v>
      </c>
      <c r="B962" s="31" t="s">
        <v>17</v>
      </c>
      <c r="C962" s="31">
        <v>56</v>
      </c>
      <c r="D962" s="31" t="s">
        <v>41</v>
      </c>
      <c r="E962" s="31">
        <v>1000</v>
      </c>
      <c r="F962" s="31">
        <v>31</v>
      </c>
      <c r="G962" s="31" t="s">
        <v>18</v>
      </c>
      <c r="H962" s="42" t="s">
        <v>19</v>
      </c>
      <c r="I962" s="31" t="s">
        <v>20</v>
      </c>
      <c r="M962" t="s">
        <v>1248</v>
      </c>
    </row>
    <row r="963" spans="1:13" thickBot="1">
      <c r="A963" s="47" t="s">
        <v>1258</v>
      </c>
      <c r="B963" s="31" t="s">
        <v>17</v>
      </c>
      <c r="C963" s="31">
        <v>56</v>
      </c>
      <c r="D963" s="31" t="s">
        <v>41</v>
      </c>
      <c r="E963" s="31">
        <v>1000</v>
      </c>
      <c r="F963" s="31">
        <v>31</v>
      </c>
      <c r="G963" s="31" t="s">
        <v>18</v>
      </c>
      <c r="H963" s="42" t="s">
        <v>19</v>
      </c>
      <c r="I963" s="31" t="s">
        <v>20</v>
      </c>
      <c r="M963" t="s">
        <v>1248</v>
      </c>
    </row>
    <row r="964" spans="1:13" thickBot="1">
      <c r="A964" s="47" t="s">
        <v>1259</v>
      </c>
      <c r="B964" s="31" t="s">
        <v>17</v>
      </c>
      <c r="C964" s="31">
        <v>56</v>
      </c>
      <c r="D964" s="31" t="s">
        <v>41</v>
      </c>
      <c r="E964" s="31">
        <v>1000</v>
      </c>
      <c r="F964" s="31">
        <v>32</v>
      </c>
      <c r="G964" s="31" t="s">
        <v>18</v>
      </c>
      <c r="H964" s="42" t="s">
        <v>19</v>
      </c>
      <c r="I964" s="31" t="s">
        <v>20</v>
      </c>
      <c r="M964" t="s">
        <v>1248</v>
      </c>
    </row>
    <row r="965" spans="1:13" thickBot="1">
      <c r="A965" s="47" t="s">
        <v>1260</v>
      </c>
      <c r="B965" s="31" t="s">
        <v>17</v>
      </c>
      <c r="C965" s="31">
        <v>56</v>
      </c>
      <c r="D965" s="31" t="s">
        <v>41</v>
      </c>
      <c r="E965" s="31">
        <v>1000</v>
      </c>
      <c r="F965" s="31">
        <v>32</v>
      </c>
      <c r="G965" s="31" t="s">
        <v>18</v>
      </c>
      <c r="H965" s="42" t="s">
        <v>19</v>
      </c>
      <c r="I965" s="31" t="s">
        <v>20</v>
      </c>
      <c r="M965" t="s">
        <v>1248</v>
      </c>
    </row>
    <row r="966" spans="1:13" thickBot="1">
      <c r="A966" s="47" t="s">
        <v>1261</v>
      </c>
      <c r="B966" s="31" t="s">
        <v>17</v>
      </c>
      <c r="C966" s="31">
        <v>56</v>
      </c>
      <c r="D966" s="31" t="s">
        <v>41</v>
      </c>
      <c r="E966" s="31">
        <v>1000</v>
      </c>
      <c r="F966" s="31">
        <v>32</v>
      </c>
      <c r="G966" s="31" t="s">
        <v>18</v>
      </c>
      <c r="H966" s="42" t="s">
        <v>19</v>
      </c>
      <c r="I966" s="31" t="s">
        <v>20</v>
      </c>
      <c r="M966" t="s">
        <v>1248</v>
      </c>
    </row>
    <row r="967" spans="1:13" thickBot="1">
      <c r="A967" s="47" t="s">
        <v>1262</v>
      </c>
      <c r="B967" s="31" t="s">
        <v>17</v>
      </c>
      <c r="C967" s="31">
        <v>56</v>
      </c>
      <c r="D967" s="31" t="s">
        <v>41</v>
      </c>
      <c r="E967" s="31">
        <v>1000</v>
      </c>
      <c r="F967" s="31">
        <v>31</v>
      </c>
      <c r="G967" s="31" t="s">
        <v>18</v>
      </c>
      <c r="H967" s="42" t="s">
        <v>19</v>
      </c>
      <c r="I967" s="31" t="s">
        <v>20</v>
      </c>
      <c r="M967" t="s">
        <v>1248</v>
      </c>
    </row>
    <row r="968" spans="1:13" thickBot="1">
      <c r="A968" s="47" t="s">
        <v>1263</v>
      </c>
      <c r="B968" s="31" t="s">
        <v>17</v>
      </c>
      <c r="C968" s="31">
        <v>56</v>
      </c>
      <c r="D968" s="31" t="s">
        <v>41</v>
      </c>
      <c r="E968" s="31">
        <v>1000</v>
      </c>
      <c r="F968" s="31">
        <v>31</v>
      </c>
      <c r="G968" s="31" t="s">
        <v>18</v>
      </c>
      <c r="H968" s="42" t="s">
        <v>19</v>
      </c>
      <c r="I968" s="31" t="s">
        <v>20</v>
      </c>
      <c r="M968" t="s">
        <v>1248</v>
      </c>
    </row>
    <row r="969" spans="1:13" thickBot="1">
      <c r="A969" s="47" t="s">
        <v>1264</v>
      </c>
      <c r="B969" s="31" t="s">
        <v>17</v>
      </c>
      <c r="C969" s="31">
        <v>56</v>
      </c>
      <c r="D969" s="31" t="s">
        <v>41</v>
      </c>
      <c r="E969" s="31">
        <v>1000</v>
      </c>
      <c r="F969" s="31">
        <v>31</v>
      </c>
      <c r="G969" s="31" t="s">
        <v>18</v>
      </c>
      <c r="H969" s="42" t="s">
        <v>19</v>
      </c>
      <c r="I969" s="31" t="s">
        <v>20</v>
      </c>
      <c r="M969" t="s">
        <v>1248</v>
      </c>
    </row>
    <row r="970" spans="1:13" thickBot="1">
      <c r="A970" s="47" t="s">
        <v>1265</v>
      </c>
      <c r="B970" s="31" t="s">
        <v>17</v>
      </c>
      <c r="C970" s="31">
        <v>56</v>
      </c>
      <c r="D970" s="31" t="s">
        <v>41</v>
      </c>
      <c r="E970" s="31">
        <v>1000</v>
      </c>
      <c r="F970" s="31">
        <v>31</v>
      </c>
      <c r="G970" s="31" t="s">
        <v>18</v>
      </c>
      <c r="H970" s="42" t="s">
        <v>19</v>
      </c>
      <c r="I970" s="31" t="s">
        <v>20</v>
      </c>
      <c r="M970" t="s">
        <v>1248</v>
      </c>
    </row>
    <row r="971" spans="1:13" thickBot="1">
      <c r="A971" s="47" t="s">
        <v>1266</v>
      </c>
      <c r="B971" s="31" t="s">
        <v>17</v>
      </c>
      <c r="C971" s="31">
        <v>56</v>
      </c>
      <c r="D971" s="31" t="s">
        <v>41</v>
      </c>
      <c r="E971" s="31">
        <v>1000</v>
      </c>
      <c r="F971" s="31">
        <v>32</v>
      </c>
      <c r="G971" s="31" t="s">
        <v>18</v>
      </c>
      <c r="H971" s="42" t="s">
        <v>19</v>
      </c>
      <c r="I971" s="31" t="s">
        <v>20</v>
      </c>
      <c r="M971" t="s">
        <v>1248</v>
      </c>
    </row>
    <row r="972" spans="1:13" thickBot="1">
      <c r="A972" s="47" t="s">
        <v>1267</v>
      </c>
      <c r="B972" s="31" t="s">
        <v>17</v>
      </c>
      <c r="C972" s="31">
        <v>56</v>
      </c>
      <c r="D972" s="31" t="s">
        <v>41</v>
      </c>
      <c r="E972" s="31">
        <v>1000</v>
      </c>
      <c r="F972" s="31">
        <v>31</v>
      </c>
      <c r="G972" s="31" t="s">
        <v>18</v>
      </c>
      <c r="H972" s="42" t="s">
        <v>19</v>
      </c>
      <c r="I972" s="31" t="s">
        <v>20</v>
      </c>
      <c r="M972" t="s">
        <v>1248</v>
      </c>
    </row>
    <row r="973" spans="1:13" thickBot="1">
      <c r="A973" s="47" t="s">
        <v>1268</v>
      </c>
      <c r="B973" s="31" t="s">
        <v>17</v>
      </c>
      <c r="C973" s="31">
        <v>56</v>
      </c>
      <c r="D973" s="31" t="s">
        <v>41</v>
      </c>
      <c r="E973" s="31">
        <v>1000</v>
      </c>
      <c r="F973" s="31">
        <v>31</v>
      </c>
      <c r="G973" s="31" t="s">
        <v>18</v>
      </c>
      <c r="H973" s="42" t="s">
        <v>19</v>
      </c>
      <c r="I973" s="31" t="s">
        <v>20</v>
      </c>
      <c r="M973" t="s">
        <v>1248</v>
      </c>
    </row>
    <row r="974" spans="1:13" thickBot="1">
      <c r="A974" s="47" t="s">
        <v>1269</v>
      </c>
      <c r="B974" s="31" t="s">
        <v>17</v>
      </c>
      <c r="C974" s="31">
        <v>56</v>
      </c>
      <c r="D974" s="31" t="s">
        <v>41</v>
      </c>
      <c r="E974" s="31">
        <v>1000</v>
      </c>
      <c r="F974" s="31">
        <v>31</v>
      </c>
      <c r="G974" s="31" t="s">
        <v>18</v>
      </c>
      <c r="H974" s="42" t="s">
        <v>19</v>
      </c>
      <c r="I974" s="31" t="s">
        <v>20</v>
      </c>
      <c r="M974" t="s">
        <v>1248</v>
      </c>
    </row>
    <row r="975" spans="1:13" thickBot="1">
      <c r="A975" s="47" t="s">
        <v>1270</v>
      </c>
      <c r="B975" s="31" t="s">
        <v>17</v>
      </c>
      <c r="C975" s="31">
        <v>56</v>
      </c>
      <c r="D975" s="31" t="s">
        <v>41</v>
      </c>
      <c r="E975" s="31">
        <v>1000</v>
      </c>
      <c r="F975" s="31">
        <v>32</v>
      </c>
      <c r="G975" s="31" t="s">
        <v>18</v>
      </c>
      <c r="H975" s="42" t="s">
        <v>19</v>
      </c>
      <c r="I975" s="31" t="s">
        <v>20</v>
      </c>
      <c r="M975" t="s">
        <v>1248</v>
      </c>
    </row>
    <row r="976" spans="1:13" thickBot="1">
      <c r="A976" s="47" t="s">
        <v>1271</v>
      </c>
      <c r="B976" s="31" t="s">
        <v>17</v>
      </c>
      <c r="C976" s="31">
        <v>56</v>
      </c>
      <c r="D976" s="31" t="s">
        <v>41</v>
      </c>
      <c r="E976" s="31">
        <v>1000</v>
      </c>
      <c r="F976" s="31">
        <v>31</v>
      </c>
      <c r="G976" s="31" t="s">
        <v>18</v>
      </c>
      <c r="H976" s="42" t="s">
        <v>19</v>
      </c>
      <c r="I976" s="31" t="s">
        <v>20</v>
      </c>
      <c r="M976" t="s">
        <v>1248</v>
      </c>
    </row>
    <row r="977" spans="1:13" thickBot="1">
      <c r="A977" s="47" t="s">
        <v>1272</v>
      </c>
      <c r="B977" s="31" t="s">
        <v>17</v>
      </c>
      <c r="C977" s="31">
        <v>56</v>
      </c>
      <c r="D977" s="31" t="s">
        <v>41</v>
      </c>
      <c r="E977" s="31">
        <v>10</v>
      </c>
      <c r="F977" s="31">
        <v>1</v>
      </c>
      <c r="G977" s="31" t="s">
        <v>18</v>
      </c>
      <c r="H977" s="42" t="s">
        <v>19</v>
      </c>
      <c r="I977" s="31" t="s">
        <v>20</v>
      </c>
      <c r="M977" t="s">
        <v>1273</v>
      </c>
    </row>
    <row r="978" spans="1:13" thickBot="1">
      <c r="A978" s="47" t="s">
        <v>1274</v>
      </c>
      <c r="B978" s="31" t="s">
        <v>17</v>
      </c>
      <c r="C978" s="31">
        <v>56</v>
      </c>
      <c r="D978" s="31" t="s">
        <v>41</v>
      </c>
      <c r="E978" s="31">
        <v>10</v>
      </c>
      <c r="F978" s="31">
        <v>1</v>
      </c>
      <c r="G978" s="31" t="s">
        <v>18</v>
      </c>
      <c r="H978" s="42" t="s">
        <v>19</v>
      </c>
      <c r="I978" s="31" t="s">
        <v>20</v>
      </c>
      <c r="M978" t="s">
        <v>1273</v>
      </c>
    </row>
    <row r="979" spans="1:13" thickBot="1">
      <c r="A979" s="47" t="s">
        <v>1275</v>
      </c>
      <c r="B979" s="31" t="s">
        <v>17</v>
      </c>
      <c r="C979" s="31">
        <v>56</v>
      </c>
      <c r="D979" s="31" t="s">
        <v>41</v>
      </c>
      <c r="E979" s="31">
        <v>10</v>
      </c>
      <c r="F979" s="31">
        <v>1</v>
      </c>
      <c r="G979" s="31" t="s">
        <v>18</v>
      </c>
      <c r="H979" s="42" t="s">
        <v>19</v>
      </c>
      <c r="I979" s="31" t="s">
        <v>20</v>
      </c>
      <c r="M979" t="s">
        <v>1273</v>
      </c>
    </row>
    <row r="980" spans="1:13" thickBot="1">
      <c r="A980" s="47" t="s">
        <v>1276</v>
      </c>
      <c r="B980" s="31" t="s">
        <v>17</v>
      </c>
      <c r="C980" s="31">
        <v>56</v>
      </c>
      <c r="D980" s="31" t="s">
        <v>41</v>
      </c>
      <c r="E980" s="31">
        <v>10</v>
      </c>
      <c r="F980" s="31">
        <v>1</v>
      </c>
      <c r="G980" s="31" t="s">
        <v>18</v>
      </c>
      <c r="H980" s="42" t="s">
        <v>19</v>
      </c>
      <c r="I980" s="31" t="s">
        <v>20</v>
      </c>
      <c r="M980" t="s">
        <v>1273</v>
      </c>
    </row>
    <row r="981" spans="1:13" thickBot="1">
      <c r="A981" s="47" t="s">
        <v>1277</v>
      </c>
      <c r="B981" s="31" t="s">
        <v>17</v>
      </c>
      <c r="C981" s="31">
        <v>56</v>
      </c>
      <c r="D981" s="31" t="s">
        <v>41</v>
      </c>
      <c r="E981" s="31">
        <v>10</v>
      </c>
      <c r="F981" s="31">
        <v>1</v>
      </c>
      <c r="G981" s="31" t="s">
        <v>18</v>
      </c>
      <c r="H981" s="42" t="s">
        <v>19</v>
      </c>
      <c r="I981" s="31" t="s">
        <v>20</v>
      </c>
      <c r="M981" t="s">
        <v>1273</v>
      </c>
    </row>
    <row r="982" spans="1:13" thickBot="1">
      <c r="A982" s="47" t="s">
        <v>1278</v>
      </c>
      <c r="B982" s="31" t="s">
        <v>17</v>
      </c>
      <c r="C982" s="31">
        <v>56</v>
      </c>
      <c r="D982" s="31" t="s">
        <v>41</v>
      </c>
      <c r="E982" s="31">
        <v>10</v>
      </c>
      <c r="F982" s="31">
        <v>1</v>
      </c>
      <c r="G982" s="31" t="s">
        <v>18</v>
      </c>
      <c r="H982" s="42" t="s">
        <v>19</v>
      </c>
      <c r="I982" s="31" t="s">
        <v>20</v>
      </c>
      <c r="M982" t="s">
        <v>1273</v>
      </c>
    </row>
    <row r="983" spans="1:13" thickBot="1">
      <c r="A983" s="47" t="s">
        <v>1279</v>
      </c>
      <c r="B983" s="31" t="s">
        <v>17</v>
      </c>
      <c r="C983" s="31">
        <v>56</v>
      </c>
      <c r="D983" s="31" t="s">
        <v>41</v>
      </c>
      <c r="E983" s="31">
        <v>10</v>
      </c>
      <c r="F983" s="31">
        <v>1</v>
      </c>
      <c r="G983" s="31" t="s">
        <v>18</v>
      </c>
      <c r="H983" s="42" t="s">
        <v>19</v>
      </c>
      <c r="I983" s="31" t="s">
        <v>20</v>
      </c>
      <c r="M983" t="s">
        <v>1273</v>
      </c>
    </row>
    <row r="984" spans="1:13" thickBot="1">
      <c r="A984" s="47" t="s">
        <v>1280</v>
      </c>
      <c r="B984" s="31" t="s">
        <v>17</v>
      </c>
      <c r="C984" s="31">
        <v>56</v>
      </c>
      <c r="D984" s="31" t="s">
        <v>41</v>
      </c>
      <c r="E984" s="31">
        <v>10</v>
      </c>
      <c r="F984" s="31">
        <v>1</v>
      </c>
      <c r="G984" s="31" t="s">
        <v>18</v>
      </c>
      <c r="H984" s="42" t="s">
        <v>19</v>
      </c>
      <c r="I984" s="31" t="s">
        <v>20</v>
      </c>
      <c r="M984" t="s">
        <v>1273</v>
      </c>
    </row>
    <row r="985" spans="1:13" thickBot="1">
      <c r="A985" s="47" t="s">
        <v>1281</v>
      </c>
      <c r="B985" s="31" t="s">
        <v>17</v>
      </c>
      <c r="C985" s="31">
        <v>56</v>
      </c>
      <c r="D985" s="31" t="s">
        <v>41</v>
      </c>
      <c r="E985" s="31">
        <v>10</v>
      </c>
      <c r="F985" s="31">
        <v>1</v>
      </c>
      <c r="G985" s="31" t="s">
        <v>18</v>
      </c>
      <c r="H985" s="42" t="s">
        <v>19</v>
      </c>
      <c r="I985" s="31" t="s">
        <v>20</v>
      </c>
      <c r="M985" t="s">
        <v>1273</v>
      </c>
    </row>
    <row r="986" spans="1:13" thickBot="1">
      <c r="A986" s="47" t="s">
        <v>1282</v>
      </c>
      <c r="B986" s="31" t="s">
        <v>17</v>
      </c>
      <c r="C986" s="31">
        <v>56</v>
      </c>
      <c r="D986" s="31" t="s">
        <v>41</v>
      </c>
      <c r="E986" s="31">
        <v>10</v>
      </c>
      <c r="F986" s="31">
        <v>1</v>
      </c>
      <c r="G986" s="31" t="s">
        <v>18</v>
      </c>
      <c r="H986" s="42" t="s">
        <v>19</v>
      </c>
      <c r="I986" s="31" t="s">
        <v>20</v>
      </c>
      <c r="M986" t="s">
        <v>1273</v>
      </c>
    </row>
    <row r="987" spans="1:13" thickBot="1">
      <c r="A987" s="47" t="s">
        <v>1283</v>
      </c>
      <c r="B987" s="31" t="s">
        <v>17</v>
      </c>
      <c r="C987" s="31">
        <v>56</v>
      </c>
      <c r="D987" s="31" t="s">
        <v>41</v>
      </c>
      <c r="E987" s="31">
        <v>10</v>
      </c>
      <c r="F987" s="31">
        <v>1</v>
      </c>
      <c r="G987" s="31" t="s">
        <v>18</v>
      </c>
      <c r="H987" s="42" t="s">
        <v>19</v>
      </c>
      <c r="I987" s="31" t="s">
        <v>20</v>
      </c>
      <c r="M987" t="s">
        <v>1273</v>
      </c>
    </row>
    <row r="988" spans="1:13" thickBot="1">
      <c r="A988" s="47" t="s">
        <v>1284</v>
      </c>
      <c r="B988" s="31" t="s">
        <v>17</v>
      </c>
      <c r="C988" s="31">
        <v>56</v>
      </c>
      <c r="D988" s="31" t="s">
        <v>41</v>
      </c>
      <c r="E988" s="31">
        <v>10</v>
      </c>
      <c r="F988" s="31">
        <v>1</v>
      </c>
      <c r="G988" s="31" t="s">
        <v>18</v>
      </c>
      <c r="H988" s="42" t="s">
        <v>19</v>
      </c>
      <c r="I988" s="31" t="s">
        <v>20</v>
      </c>
      <c r="M988" t="s">
        <v>1273</v>
      </c>
    </row>
    <row r="989" spans="1:13" thickBot="1">
      <c r="A989" s="47" t="s">
        <v>1285</v>
      </c>
      <c r="B989" s="31" t="s">
        <v>17</v>
      </c>
      <c r="C989" s="31">
        <v>56</v>
      </c>
      <c r="D989" s="31" t="s">
        <v>41</v>
      </c>
      <c r="E989" s="31">
        <v>10</v>
      </c>
      <c r="F989" s="31">
        <v>1</v>
      </c>
      <c r="G989" s="31" t="s">
        <v>18</v>
      </c>
      <c r="H989" s="42" t="s">
        <v>19</v>
      </c>
      <c r="I989" s="31" t="s">
        <v>20</v>
      </c>
      <c r="M989" t="s">
        <v>1273</v>
      </c>
    </row>
    <row r="990" spans="1:13" thickBot="1">
      <c r="A990" s="47" t="s">
        <v>1286</v>
      </c>
      <c r="B990" s="31" t="s">
        <v>17</v>
      </c>
      <c r="C990" s="31">
        <v>56</v>
      </c>
      <c r="D990" s="31" t="s">
        <v>41</v>
      </c>
      <c r="E990" s="31">
        <v>10</v>
      </c>
      <c r="F990" s="31">
        <v>1</v>
      </c>
      <c r="G990" s="31" t="s">
        <v>18</v>
      </c>
      <c r="H990" s="42" t="s">
        <v>19</v>
      </c>
      <c r="I990" s="31" t="s">
        <v>20</v>
      </c>
      <c r="M990" t="s">
        <v>1273</v>
      </c>
    </row>
    <row r="991" spans="1:13" thickBot="1">
      <c r="A991" s="47" t="s">
        <v>1287</v>
      </c>
      <c r="B991" s="31" t="s">
        <v>17</v>
      </c>
      <c r="C991" s="31">
        <v>56</v>
      </c>
      <c r="D991" s="31" t="s">
        <v>41</v>
      </c>
      <c r="E991" s="31">
        <v>10</v>
      </c>
      <c r="F991" s="31">
        <v>1</v>
      </c>
      <c r="G991" s="31" t="s">
        <v>18</v>
      </c>
      <c r="H991" s="42" t="s">
        <v>19</v>
      </c>
      <c r="I991" s="31" t="s">
        <v>20</v>
      </c>
      <c r="M991" t="s">
        <v>1273</v>
      </c>
    </row>
    <row r="992" spans="1:13" thickBot="1">
      <c r="A992" s="47" t="s">
        <v>1288</v>
      </c>
      <c r="B992" s="31" t="s">
        <v>17</v>
      </c>
      <c r="C992" s="31">
        <v>56</v>
      </c>
      <c r="D992" s="31" t="s">
        <v>41</v>
      </c>
      <c r="E992" s="31">
        <v>10</v>
      </c>
      <c r="F992" s="31">
        <v>1</v>
      </c>
      <c r="G992" s="31" t="s">
        <v>18</v>
      </c>
      <c r="H992" s="42" t="s">
        <v>19</v>
      </c>
      <c r="I992" s="31" t="s">
        <v>20</v>
      </c>
      <c r="M992" t="s">
        <v>1273</v>
      </c>
    </row>
    <row r="993" spans="1:13" thickBot="1">
      <c r="A993" s="47" t="s">
        <v>1289</v>
      </c>
      <c r="B993" s="31" t="s">
        <v>17</v>
      </c>
      <c r="C993" s="31">
        <v>56</v>
      </c>
      <c r="D993" s="31" t="s">
        <v>41</v>
      </c>
      <c r="E993" s="31">
        <v>10</v>
      </c>
      <c r="F993" s="31">
        <v>1</v>
      </c>
      <c r="G993" s="31" t="s">
        <v>18</v>
      </c>
      <c r="H993" s="42" t="s">
        <v>19</v>
      </c>
      <c r="I993" s="31" t="s">
        <v>20</v>
      </c>
      <c r="M993" t="s">
        <v>1273</v>
      </c>
    </row>
    <row r="994" spans="1:13" thickBot="1">
      <c r="A994" s="47" t="s">
        <v>1290</v>
      </c>
      <c r="B994" s="31" t="s">
        <v>17</v>
      </c>
      <c r="C994" s="31">
        <v>56</v>
      </c>
      <c r="D994" s="31" t="s">
        <v>41</v>
      </c>
      <c r="E994" s="31">
        <v>10</v>
      </c>
      <c r="F994" s="31">
        <v>1</v>
      </c>
      <c r="G994" s="31" t="s">
        <v>18</v>
      </c>
      <c r="H994" s="42" t="s">
        <v>19</v>
      </c>
      <c r="I994" s="31" t="s">
        <v>20</v>
      </c>
      <c r="M994" t="s">
        <v>1273</v>
      </c>
    </row>
    <row r="995" spans="1:13" thickBot="1">
      <c r="A995" s="47" t="s">
        <v>1291</v>
      </c>
      <c r="B995" s="31" t="s">
        <v>17</v>
      </c>
      <c r="C995" s="31">
        <v>56</v>
      </c>
      <c r="D995" s="31" t="s">
        <v>41</v>
      </c>
      <c r="E995" s="31">
        <v>10</v>
      </c>
      <c r="F995" s="31">
        <v>1</v>
      </c>
      <c r="G995" s="31" t="s">
        <v>18</v>
      </c>
      <c r="H995" s="42" t="s">
        <v>19</v>
      </c>
      <c r="I995" s="31" t="s">
        <v>20</v>
      </c>
      <c r="M995" t="s">
        <v>1273</v>
      </c>
    </row>
    <row r="996" spans="1:13" thickBot="1">
      <c r="A996" s="47" t="s">
        <v>1292</v>
      </c>
      <c r="B996" s="31" t="s">
        <v>17</v>
      </c>
      <c r="C996" s="31">
        <v>56</v>
      </c>
      <c r="D996" s="31" t="s">
        <v>41</v>
      </c>
      <c r="E996" s="31">
        <v>10</v>
      </c>
      <c r="F996" s="31">
        <v>1</v>
      </c>
      <c r="G996" s="31" t="s">
        <v>18</v>
      </c>
      <c r="H996" s="42" t="s">
        <v>19</v>
      </c>
      <c r="I996" s="31" t="s">
        <v>20</v>
      </c>
      <c r="M996" t="s">
        <v>1273</v>
      </c>
    </row>
    <row r="997" spans="1:13" thickBot="1">
      <c r="A997" s="47" t="s">
        <v>1293</v>
      </c>
      <c r="B997" s="31" t="s">
        <v>17</v>
      </c>
      <c r="C997" s="31">
        <v>56</v>
      </c>
      <c r="D997" s="31" t="s">
        <v>41</v>
      </c>
      <c r="E997" s="31">
        <v>10</v>
      </c>
      <c r="F997" s="31">
        <v>1</v>
      </c>
      <c r="G997" s="31" t="s">
        <v>18</v>
      </c>
      <c r="H997" s="42" t="s">
        <v>19</v>
      </c>
      <c r="I997" s="31" t="s">
        <v>20</v>
      </c>
      <c r="M997" t="s">
        <v>1273</v>
      </c>
    </row>
    <row r="998" spans="1:13" thickBot="1">
      <c r="A998" s="47" t="s">
        <v>1294</v>
      </c>
      <c r="B998" s="31" t="s">
        <v>17</v>
      </c>
      <c r="C998" s="31">
        <v>56</v>
      </c>
      <c r="D998" s="31" t="s">
        <v>41</v>
      </c>
      <c r="E998" s="31">
        <v>10</v>
      </c>
      <c r="F998" s="31">
        <v>1</v>
      </c>
      <c r="G998" s="31" t="s">
        <v>18</v>
      </c>
      <c r="H998" s="42" t="s">
        <v>19</v>
      </c>
      <c r="I998" s="31" t="s">
        <v>20</v>
      </c>
      <c r="M998" t="s">
        <v>1273</v>
      </c>
    </row>
    <row r="999" spans="1:13" thickBot="1">
      <c r="A999" s="47" t="s">
        <v>1295</v>
      </c>
      <c r="B999" s="31" t="s">
        <v>17</v>
      </c>
      <c r="C999" s="31">
        <v>56</v>
      </c>
      <c r="D999" s="31" t="s">
        <v>41</v>
      </c>
      <c r="E999" s="31">
        <v>10</v>
      </c>
      <c r="F999" s="31">
        <v>1</v>
      </c>
      <c r="G999" s="31" t="s">
        <v>18</v>
      </c>
      <c r="H999" s="42" t="s">
        <v>19</v>
      </c>
      <c r="I999" s="31" t="s">
        <v>20</v>
      </c>
      <c r="M999" t="s">
        <v>1273</v>
      </c>
    </row>
    <row r="1000" spans="1:13" thickBot="1">
      <c r="A1000" s="47" t="s">
        <v>1296</v>
      </c>
      <c r="B1000" s="31" t="s">
        <v>17</v>
      </c>
      <c r="C1000" s="31">
        <v>56</v>
      </c>
      <c r="D1000" s="31" t="s">
        <v>41</v>
      </c>
      <c r="E1000" s="31">
        <v>10</v>
      </c>
      <c r="F1000" s="31">
        <v>1</v>
      </c>
      <c r="G1000" s="31" t="s">
        <v>18</v>
      </c>
      <c r="H1000" s="42" t="s">
        <v>19</v>
      </c>
      <c r="I1000" s="31" t="s">
        <v>20</v>
      </c>
      <c r="M1000" t="s">
        <v>1273</v>
      </c>
    </row>
    <row r="1001" spans="1:13" thickBot="1">
      <c r="A1001" s="47" t="s">
        <v>1297</v>
      </c>
      <c r="B1001" s="31" t="s">
        <v>17</v>
      </c>
      <c r="C1001" s="31">
        <v>56</v>
      </c>
      <c r="D1001" s="31" t="s">
        <v>41</v>
      </c>
      <c r="E1001" s="31">
        <v>1000</v>
      </c>
      <c r="F1001" s="31">
        <v>16</v>
      </c>
      <c r="G1001" s="31" t="s">
        <v>1298</v>
      </c>
      <c r="H1001" s="42" t="s">
        <v>19</v>
      </c>
      <c r="I1001" s="31" t="s">
        <v>20</v>
      </c>
    </row>
    <row r="1002" spans="1:13" thickBot="1">
      <c r="A1002" s="47" t="s">
        <v>1299</v>
      </c>
      <c r="B1002" s="31" t="s">
        <v>17</v>
      </c>
      <c r="C1002" s="31">
        <v>56</v>
      </c>
      <c r="D1002" s="31" t="s">
        <v>41</v>
      </c>
      <c r="E1002" s="31">
        <v>1000</v>
      </c>
      <c r="F1002" s="31">
        <v>16</v>
      </c>
      <c r="G1002" s="31" t="s">
        <v>1298</v>
      </c>
      <c r="H1002" s="42" t="s">
        <v>19</v>
      </c>
      <c r="I1002" s="31" t="s">
        <v>20</v>
      </c>
    </row>
    <row r="1003" spans="1:13" thickBot="1">
      <c r="A1003" s="47" t="s">
        <v>1300</v>
      </c>
      <c r="B1003" s="31" t="s">
        <v>17</v>
      </c>
      <c r="C1003" s="31">
        <v>56</v>
      </c>
      <c r="D1003" s="31" t="s">
        <v>41</v>
      </c>
      <c r="E1003" s="31">
        <v>1000</v>
      </c>
      <c r="F1003" s="31">
        <v>16</v>
      </c>
      <c r="G1003" s="31" t="s">
        <v>1298</v>
      </c>
      <c r="H1003" s="42" t="s">
        <v>19</v>
      </c>
      <c r="I1003" s="31" t="s">
        <v>20</v>
      </c>
    </row>
    <row r="1004" spans="1:13" thickBot="1">
      <c r="A1004" s="47" t="s">
        <v>1301</v>
      </c>
      <c r="B1004" s="31" t="s">
        <v>17</v>
      </c>
      <c r="C1004" s="31">
        <v>56</v>
      </c>
      <c r="D1004" s="31" t="s">
        <v>41</v>
      </c>
      <c r="E1004" s="31">
        <v>1000</v>
      </c>
      <c r="F1004" s="31">
        <v>16</v>
      </c>
      <c r="G1004" s="31" t="s">
        <v>1298</v>
      </c>
      <c r="H1004" s="42" t="s">
        <v>19</v>
      </c>
      <c r="I1004" s="31" t="s">
        <v>20</v>
      </c>
    </row>
    <row r="1005" spans="1:13" thickBot="1">
      <c r="A1005" s="47" t="s">
        <v>1302</v>
      </c>
      <c r="B1005" s="31" t="s">
        <v>17</v>
      </c>
      <c r="C1005" s="31">
        <v>56</v>
      </c>
      <c r="D1005" s="31" t="s">
        <v>41</v>
      </c>
      <c r="E1005" s="31">
        <v>1000</v>
      </c>
      <c r="F1005" s="31">
        <v>16</v>
      </c>
      <c r="G1005" s="31" t="s">
        <v>1298</v>
      </c>
      <c r="H1005" s="42" t="s">
        <v>19</v>
      </c>
      <c r="I1005" s="31" t="s">
        <v>20</v>
      </c>
    </row>
    <row r="1006" spans="1:13" thickBot="1">
      <c r="A1006" s="47" t="s">
        <v>1303</v>
      </c>
      <c r="B1006" s="31" t="s">
        <v>17</v>
      </c>
      <c r="C1006" s="31">
        <v>56</v>
      </c>
      <c r="D1006" s="31" t="s">
        <v>41</v>
      </c>
      <c r="E1006" s="31">
        <v>1000</v>
      </c>
      <c r="F1006" s="31">
        <v>16</v>
      </c>
      <c r="G1006" s="31" t="s">
        <v>1298</v>
      </c>
      <c r="H1006" s="42" t="s">
        <v>19</v>
      </c>
      <c r="I1006" s="31" t="s">
        <v>20</v>
      </c>
    </row>
    <row r="1007" spans="1:13" thickBot="1">
      <c r="A1007" s="47" t="s">
        <v>1304</v>
      </c>
      <c r="B1007" s="31" t="s">
        <v>17</v>
      </c>
      <c r="C1007" s="31">
        <v>56</v>
      </c>
      <c r="D1007" s="31" t="s">
        <v>41</v>
      </c>
      <c r="E1007" s="31">
        <v>1000</v>
      </c>
      <c r="F1007" s="31">
        <v>16</v>
      </c>
      <c r="G1007" s="31" t="s">
        <v>1298</v>
      </c>
      <c r="H1007" s="42" t="s">
        <v>19</v>
      </c>
      <c r="I1007" s="31" t="s">
        <v>20</v>
      </c>
    </row>
    <row r="1008" spans="1:13" thickBot="1">
      <c r="A1008" s="47" t="s">
        <v>1305</v>
      </c>
      <c r="B1008" s="31" t="s">
        <v>17</v>
      </c>
      <c r="C1008" s="31">
        <v>56</v>
      </c>
      <c r="D1008" s="31" t="s">
        <v>41</v>
      </c>
      <c r="E1008" s="31">
        <v>1000</v>
      </c>
      <c r="F1008" s="31">
        <v>16</v>
      </c>
      <c r="G1008" s="31" t="s">
        <v>1298</v>
      </c>
      <c r="H1008" s="42" t="s">
        <v>19</v>
      </c>
      <c r="I1008" s="31" t="s">
        <v>20</v>
      </c>
    </row>
    <row r="1009" spans="1:9" thickBot="1">
      <c r="A1009" s="47" t="s">
        <v>1306</v>
      </c>
      <c r="B1009" s="31" t="s">
        <v>17</v>
      </c>
      <c r="C1009" s="31">
        <v>56</v>
      </c>
      <c r="D1009" s="31" t="s">
        <v>41</v>
      </c>
      <c r="E1009" s="31">
        <v>1000</v>
      </c>
      <c r="F1009" s="31">
        <v>16</v>
      </c>
      <c r="G1009" s="31" t="s">
        <v>1298</v>
      </c>
      <c r="H1009" s="42" t="s">
        <v>19</v>
      </c>
      <c r="I1009" s="31" t="s">
        <v>20</v>
      </c>
    </row>
    <row r="1010" spans="1:9" thickBot="1">
      <c r="A1010" s="47" t="s">
        <v>1307</v>
      </c>
      <c r="B1010" s="31" t="s">
        <v>17</v>
      </c>
      <c r="C1010" s="31">
        <v>56</v>
      </c>
      <c r="D1010" s="31" t="s">
        <v>41</v>
      </c>
      <c r="E1010" s="31">
        <v>1000</v>
      </c>
      <c r="F1010" s="31">
        <v>16</v>
      </c>
      <c r="G1010" s="31" t="s">
        <v>1298</v>
      </c>
      <c r="H1010" s="42" t="s">
        <v>19</v>
      </c>
      <c r="I1010" s="31" t="s">
        <v>20</v>
      </c>
    </row>
    <row r="1011" spans="1:9" thickBot="1">
      <c r="A1011" s="47" t="s">
        <v>1308</v>
      </c>
      <c r="B1011" s="31" t="s">
        <v>17</v>
      </c>
      <c r="C1011" s="31">
        <v>56</v>
      </c>
      <c r="D1011" s="31" t="s">
        <v>41</v>
      </c>
      <c r="E1011" s="31">
        <v>1000</v>
      </c>
      <c r="F1011" s="31">
        <v>16</v>
      </c>
      <c r="G1011" s="31" t="s">
        <v>1298</v>
      </c>
      <c r="H1011" s="42" t="s">
        <v>19</v>
      </c>
      <c r="I1011" s="31" t="s">
        <v>20</v>
      </c>
    </row>
    <row r="1012" spans="1:9" ht="14.45">
      <c r="A1012" s="47" t="s">
        <v>1309</v>
      </c>
      <c r="B1012" s="31" t="s">
        <v>17</v>
      </c>
      <c r="C1012" s="31">
        <v>56</v>
      </c>
      <c r="D1012" s="31" t="s">
        <v>41</v>
      </c>
      <c r="E1012" s="31">
        <v>1000</v>
      </c>
      <c r="F1012" s="31">
        <v>16</v>
      </c>
      <c r="G1012" s="31" t="s">
        <v>1298</v>
      </c>
      <c r="H1012" s="42" t="s">
        <v>19</v>
      </c>
      <c r="I1012" s="31" t="s">
        <v>20</v>
      </c>
    </row>
    <row r="1013" spans="1:9" ht="14.45">
      <c r="A1013" s="47" t="s">
        <v>1310</v>
      </c>
      <c r="B1013" s="31" t="s">
        <v>17</v>
      </c>
      <c r="C1013" s="31">
        <v>56</v>
      </c>
      <c r="D1013" s="31" t="s">
        <v>41</v>
      </c>
      <c r="E1013" s="31">
        <v>1000</v>
      </c>
      <c r="F1013" s="31">
        <v>16</v>
      </c>
      <c r="G1013" s="31" t="s">
        <v>1298</v>
      </c>
      <c r="H1013" s="42" t="s">
        <v>19</v>
      </c>
      <c r="I1013" s="31" t="s">
        <v>20</v>
      </c>
    </row>
    <row r="1014" spans="1:9" ht="14.45">
      <c r="A1014" s="47" t="s">
        <v>1311</v>
      </c>
      <c r="B1014" s="31" t="s">
        <v>17</v>
      </c>
      <c r="C1014" s="31">
        <v>56</v>
      </c>
      <c r="D1014" s="31" t="s">
        <v>41</v>
      </c>
      <c r="E1014" s="31">
        <v>1000</v>
      </c>
      <c r="F1014" s="31">
        <v>16</v>
      </c>
      <c r="G1014" s="31" t="s">
        <v>1298</v>
      </c>
      <c r="H1014" s="42" t="s">
        <v>19</v>
      </c>
      <c r="I1014" s="31" t="s">
        <v>20</v>
      </c>
    </row>
    <row r="1015" spans="1:9" ht="14.45">
      <c r="A1015" s="47" t="s">
        <v>1312</v>
      </c>
      <c r="B1015" s="31" t="s">
        <v>17</v>
      </c>
      <c r="C1015" s="31">
        <v>56</v>
      </c>
      <c r="D1015" s="31" t="s">
        <v>41</v>
      </c>
      <c r="E1015" s="31">
        <v>1000</v>
      </c>
      <c r="F1015" s="31">
        <v>16</v>
      </c>
      <c r="G1015" s="31" t="s">
        <v>1298</v>
      </c>
      <c r="H1015" s="42" t="s">
        <v>19</v>
      </c>
      <c r="I1015" s="31" t="s">
        <v>20</v>
      </c>
    </row>
    <row r="1016" spans="1:9" ht="14.45">
      <c r="A1016" s="47" t="s">
        <v>1313</v>
      </c>
      <c r="B1016" s="31" t="s">
        <v>17</v>
      </c>
      <c r="C1016" s="31">
        <v>56</v>
      </c>
      <c r="D1016" s="31" t="s">
        <v>41</v>
      </c>
      <c r="E1016" s="31">
        <v>1000</v>
      </c>
      <c r="F1016" s="31">
        <v>16</v>
      </c>
      <c r="G1016" s="31" t="s">
        <v>1298</v>
      </c>
      <c r="H1016" s="42" t="s">
        <v>19</v>
      </c>
      <c r="I1016" s="31" t="s">
        <v>20</v>
      </c>
    </row>
    <row r="1017" spans="1:9" ht="14.45">
      <c r="A1017" s="47" t="s">
        <v>1314</v>
      </c>
      <c r="B1017" s="31" t="s">
        <v>17</v>
      </c>
      <c r="C1017" s="31">
        <v>56</v>
      </c>
      <c r="D1017" s="31" t="s">
        <v>41</v>
      </c>
      <c r="E1017" s="31">
        <v>1000</v>
      </c>
      <c r="F1017" s="31">
        <v>16</v>
      </c>
      <c r="G1017" s="31" t="s">
        <v>1298</v>
      </c>
      <c r="H1017" s="42" t="s">
        <v>19</v>
      </c>
      <c r="I1017" s="31" t="s">
        <v>20</v>
      </c>
    </row>
    <row r="1018" spans="1:9" ht="15.75" customHeight="1">
      <c r="A1018" s="47" t="s">
        <v>1315</v>
      </c>
      <c r="B1018" s="31" t="s">
        <v>17</v>
      </c>
      <c r="C1018" s="31">
        <v>56</v>
      </c>
      <c r="D1018" s="31" t="s">
        <v>41</v>
      </c>
      <c r="E1018" s="31">
        <v>1000</v>
      </c>
      <c r="F1018" s="31">
        <v>16</v>
      </c>
      <c r="G1018" s="31" t="s">
        <v>1298</v>
      </c>
      <c r="H1018" s="42" t="s">
        <v>19</v>
      </c>
      <c r="I1018" s="31" t="s">
        <v>20</v>
      </c>
    </row>
    <row r="1019" spans="1:9" ht="14.45">
      <c r="A1019" s="47" t="s">
        <v>1316</v>
      </c>
      <c r="B1019" s="31" t="s">
        <v>17</v>
      </c>
      <c r="C1019" s="31">
        <v>56</v>
      </c>
      <c r="D1019" s="31" t="s">
        <v>41</v>
      </c>
      <c r="E1019" s="31">
        <v>1000</v>
      </c>
      <c r="F1019" s="31">
        <v>16</v>
      </c>
      <c r="G1019" s="31" t="s">
        <v>1298</v>
      </c>
      <c r="H1019" s="42" t="s">
        <v>19</v>
      </c>
      <c r="I1019" s="31" t="s">
        <v>20</v>
      </c>
    </row>
    <row r="1020" spans="1:9" ht="14.45">
      <c r="A1020" s="47" t="s">
        <v>1317</v>
      </c>
      <c r="B1020" s="31" t="s">
        <v>17</v>
      </c>
      <c r="C1020" s="31">
        <v>56</v>
      </c>
      <c r="D1020" s="31" t="s">
        <v>41</v>
      </c>
      <c r="E1020" s="31">
        <v>1000</v>
      </c>
      <c r="F1020" s="31">
        <v>16</v>
      </c>
      <c r="G1020" s="31" t="s">
        <v>1298</v>
      </c>
      <c r="H1020" s="42" t="s">
        <v>19</v>
      </c>
      <c r="I1020" s="31" t="s">
        <v>20</v>
      </c>
    </row>
    <row r="1021" spans="1:9" ht="14.45">
      <c r="A1021" s="47" t="s">
        <v>1318</v>
      </c>
      <c r="B1021" s="31" t="s">
        <v>17</v>
      </c>
      <c r="C1021" s="31">
        <v>56</v>
      </c>
      <c r="D1021" s="31" t="s">
        <v>41</v>
      </c>
      <c r="E1021" s="31">
        <v>1000</v>
      </c>
      <c r="F1021" s="31">
        <v>16</v>
      </c>
      <c r="G1021" s="31" t="s">
        <v>1298</v>
      </c>
      <c r="H1021" s="42" t="s">
        <v>19</v>
      </c>
      <c r="I1021" s="31" t="s">
        <v>20</v>
      </c>
    </row>
    <row r="1022" spans="1:9" ht="14.45">
      <c r="A1022" s="47" t="s">
        <v>1319</v>
      </c>
      <c r="B1022" s="31" t="s">
        <v>17</v>
      </c>
      <c r="C1022" s="31">
        <v>56</v>
      </c>
      <c r="D1022" s="31" t="s">
        <v>41</v>
      </c>
      <c r="E1022" s="31">
        <v>1000</v>
      </c>
      <c r="F1022" s="31">
        <v>16</v>
      </c>
      <c r="G1022" s="31" t="s">
        <v>1298</v>
      </c>
      <c r="H1022" s="42" t="s">
        <v>19</v>
      </c>
      <c r="I1022" s="31" t="s">
        <v>20</v>
      </c>
    </row>
    <row r="1023" spans="1:9" ht="14.45">
      <c r="A1023" s="47" t="s">
        <v>1320</v>
      </c>
      <c r="B1023" s="31" t="s">
        <v>17</v>
      </c>
      <c r="C1023" s="31">
        <v>56</v>
      </c>
      <c r="D1023" s="31" t="s">
        <v>41</v>
      </c>
      <c r="E1023" s="31">
        <v>1000</v>
      </c>
      <c r="F1023" s="31">
        <v>16</v>
      </c>
      <c r="G1023" s="31" t="s">
        <v>1298</v>
      </c>
      <c r="H1023" s="42" t="s">
        <v>19</v>
      </c>
      <c r="I1023" s="31" t="s">
        <v>20</v>
      </c>
    </row>
    <row r="1024" spans="1:9" ht="14.45">
      <c r="A1024" s="47" t="s">
        <v>1321</v>
      </c>
      <c r="B1024" s="31" t="s">
        <v>17</v>
      </c>
      <c r="C1024" s="31">
        <v>56</v>
      </c>
      <c r="D1024" s="31" t="s">
        <v>41</v>
      </c>
      <c r="E1024" s="31">
        <v>1000</v>
      </c>
      <c r="F1024" s="31">
        <v>16</v>
      </c>
      <c r="G1024" s="31" t="s">
        <v>1298</v>
      </c>
      <c r="H1024" s="42" t="s">
        <v>19</v>
      </c>
      <c r="I1024" s="31" t="s">
        <v>20</v>
      </c>
    </row>
    <row r="1025" spans="1:13" ht="14.45">
      <c r="A1025" s="47" t="s">
        <v>1322</v>
      </c>
      <c r="B1025" s="31" t="s">
        <v>17</v>
      </c>
      <c r="C1025" s="31">
        <v>56</v>
      </c>
      <c r="D1025" s="31" t="s">
        <v>41</v>
      </c>
      <c r="E1025" s="31">
        <v>1000</v>
      </c>
      <c r="F1025" s="31">
        <v>16</v>
      </c>
      <c r="G1025" s="31" t="s">
        <v>1298</v>
      </c>
      <c r="H1025" s="42" t="s">
        <v>19</v>
      </c>
      <c r="I1025" s="31" t="s">
        <v>20</v>
      </c>
    </row>
    <row r="1026" spans="1:13" ht="14.45">
      <c r="A1026" s="47" t="s">
        <v>1323</v>
      </c>
      <c r="B1026" s="31" t="s">
        <v>17</v>
      </c>
      <c r="C1026" s="31">
        <v>56</v>
      </c>
      <c r="D1026" s="31" t="s">
        <v>41</v>
      </c>
      <c r="E1026" s="31">
        <v>1000</v>
      </c>
      <c r="F1026" s="31">
        <v>16</v>
      </c>
      <c r="G1026" s="31" t="s">
        <v>1298</v>
      </c>
      <c r="H1026" s="42" t="s">
        <v>19</v>
      </c>
      <c r="I1026" s="31" t="s">
        <v>20</v>
      </c>
    </row>
    <row r="1027" spans="1:13" ht="14.45">
      <c r="A1027" s="47" t="s">
        <v>1324</v>
      </c>
      <c r="B1027" s="31" t="s">
        <v>17</v>
      </c>
      <c r="C1027" s="31">
        <v>56</v>
      </c>
      <c r="D1027" s="31" t="s">
        <v>41</v>
      </c>
      <c r="E1027" s="31">
        <v>1000</v>
      </c>
      <c r="F1027" s="31">
        <v>16</v>
      </c>
      <c r="G1027" s="31" t="s">
        <v>1298</v>
      </c>
      <c r="H1027" s="42" t="s">
        <v>19</v>
      </c>
      <c r="I1027" s="31" t="s">
        <v>20</v>
      </c>
    </row>
    <row r="1028" spans="1:13" ht="14.45">
      <c r="A1028" s="47" t="s">
        <v>1325</v>
      </c>
      <c r="B1028" s="31" t="s">
        <v>17</v>
      </c>
      <c r="C1028" s="31">
        <v>56</v>
      </c>
      <c r="D1028" s="31" t="s">
        <v>41</v>
      </c>
      <c r="E1028" s="31">
        <v>1000</v>
      </c>
      <c r="F1028" s="31">
        <v>16</v>
      </c>
      <c r="G1028" s="31" t="s">
        <v>1298</v>
      </c>
      <c r="H1028" s="42" t="s">
        <v>19</v>
      </c>
      <c r="I1028" s="31" t="s">
        <v>20</v>
      </c>
    </row>
    <row r="1029" spans="1:13" ht="14.45">
      <c r="A1029" s="47" t="s">
        <v>1326</v>
      </c>
      <c r="B1029" s="31" t="s">
        <v>17</v>
      </c>
      <c r="C1029" s="31">
        <v>56</v>
      </c>
      <c r="D1029" s="31" t="s">
        <v>41</v>
      </c>
      <c r="E1029" s="31">
        <v>1000</v>
      </c>
      <c r="F1029" s="31">
        <v>16</v>
      </c>
      <c r="G1029" s="31" t="s">
        <v>1298</v>
      </c>
      <c r="H1029" s="42" t="s">
        <v>19</v>
      </c>
      <c r="I1029" s="31" t="s">
        <v>20</v>
      </c>
    </row>
    <row r="1030" spans="1:13" ht="14.45">
      <c r="A1030" s="47" t="s">
        <v>1327</v>
      </c>
      <c r="B1030" s="31" t="s">
        <v>17</v>
      </c>
      <c r="C1030" s="31">
        <v>56</v>
      </c>
      <c r="D1030" s="31" t="s">
        <v>41</v>
      </c>
      <c r="E1030" s="31">
        <v>1000</v>
      </c>
      <c r="F1030" s="31">
        <v>16</v>
      </c>
      <c r="G1030" s="31" t="s">
        <v>1298</v>
      </c>
      <c r="H1030" s="42" t="s">
        <v>19</v>
      </c>
      <c r="I1030" s="31" t="s">
        <v>20</v>
      </c>
    </row>
    <row r="1031" spans="1:13" ht="14.45">
      <c r="A1031" s="47" t="s">
        <v>1328</v>
      </c>
      <c r="B1031" s="31" t="s">
        <v>17</v>
      </c>
      <c r="C1031" s="31">
        <v>56</v>
      </c>
      <c r="D1031" s="31" t="s">
        <v>41</v>
      </c>
      <c r="E1031" s="31">
        <v>1000</v>
      </c>
      <c r="F1031" s="31">
        <v>16</v>
      </c>
      <c r="G1031" s="31" t="s">
        <v>1298</v>
      </c>
      <c r="H1031" s="42" t="s">
        <v>19</v>
      </c>
      <c r="I1031" s="31" t="s">
        <v>20</v>
      </c>
    </row>
    <row r="1032" spans="1:13" ht="14.45">
      <c r="A1032" s="47" t="s">
        <v>1329</v>
      </c>
      <c r="B1032" s="31" t="s">
        <v>17</v>
      </c>
      <c r="C1032" s="31">
        <v>56</v>
      </c>
      <c r="D1032" s="31" t="s">
        <v>41</v>
      </c>
      <c r="E1032" s="31">
        <v>1000</v>
      </c>
      <c r="F1032" s="31">
        <v>16</v>
      </c>
      <c r="G1032" s="31" t="s">
        <v>1298</v>
      </c>
      <c r="H1032" s="42" t="s">
        <v>19</v>
      </c>
      <c r="I1032" s="31" t="s">
        <v>20</v>
      </c>
    </row>
    <row r="1033" spans="1:13" ht="14.45">
      <c r="A1033" s="47" t="s">
        <v>1330</v>
      </c>
      <c r="B1033" s="31" t="s">
        <v>17</v>
      </c>
      <c r="C1033" s="31">
        <v>56</v>
      </c>
      <c r="D1033" s="31" t="s">
        <v>41</v>
      </c>
      <c r="E1033" s="31">
        <v>1000</v>
      </c>
      <c r="F1033" s="31">
        <v>16</v>
      </c>
      <c r="G1033" s="31" t="s">
        <v>1298</v>
      </c>
      <c r="H1033" s="42" t="s">
        <v>19</v>
      </c>
      <c r="I1033" s="31" t="s">
        <v>20</v>
      </c>
    </row>
    <row r="1034" spans="1:13" ht="14.45">
      <c r="A1034" s="47" t="s">
        <v>1331</v>
      </c>
      <c r="B1034" s="31" t="s">
        <v>17</v>
      </c>
      <c r="C1034" s="31">
        <v>56</v>
      </c>
      <c r="D1034" s="31" t="s">
        <v>41</v>
      </c>
      <c r="E1034" s="31">
        <v>1000</v>
      </c>
      <c r="F1034" s="31">
        <v>16</v>
      </c>
      <c r="G1034" s="31" t="s">
        <v>1298</v>
      </c>
      <c r="H1034" s="42" t="s">
        <v>19</v>
      </c>
      <c r="I1034" s="31" t="s">
        <v>20</v>
      </c>
    </row>
    <row r="1035" spans="1:13" ht="14.45">
      <c r="A1035" s="47" t="s">
        <v>1332</v>
      </c>
      <c r="B1035" s="31" t="s">
        <v>17</v>
      </c>
      <c r="C1035" s="31">
        <v>56</v>
      </c>
      <c r="D1035" s="31" t="s">
        <v>41</v>
      </c>
      <c r="E1035" s="31">
        <v>1000</v>
      </c>
      <c r="F1035" s="31">
        <v>16</v>
      </c>
      <c r="G1035" s="31" t="s">
        <v>1298</v>
      </c>
      <c r="H1035" s="42" t="s">
        <v>19</v>
      </c>
      <c r="I1035" s="31" t="s">
        <v>20</v>
      </c>
    </row>
    <row r="1036" spans="1:13" ht="14.45">
      <c r="A1036" s="47" t="s">
        <v>1333</v>
      </c>
      <c r="B1036" s="31" t="s">
        <v>17</v>
      </c>
      <c r="C1036" s="31">
        <v>56</v>
      </c>
      <c r="D1036" s="31" t="s">
        <v>41</v>
      </c>
      <c r="E1036" s="31">
        <v>1000</v>
      </c>
      <c r="F1036" s="31">
        <v>16</v>
      </c>
      <c r="G1036" s="31" t="s">
        <v>1298</v>
      </c>
      <c r="H1036" s="42" t="s">
        <v>19</v>
      </c>
      <c r="I1036" s="31" t="s">
        <v>20</v>
      </c>
    </row>
    <row r="1037" spans="1:13" ht="14.45">
      <c r="A1037" s="47" t="s">
        <v>1334</v>
      </c>
      <c r="B1037" s="31" t="s">
        <v>17</v>
      </c>
      <c r="C1037" s="31">
        <v>56</v>
      </c>
      <c r="D1037" s="31" t="s">
        <v>41</v>
      </c>
      <c r="E1037" s="31">
        <v>1000</v>
      </c>
      <c r="F1037" s="31">
        <v>31</v>
      </c>
      <c r="G1037" s="31" t="s">
        <v>18</v>
      </c>
      <c r="H1037" s="42" t="s">
        <v>19</v>
      </c>
      <c r="I1037" s="31" t="s">
        <v>20</v>
      </c>
      <c r="M1037" t="s">
        <v>1248</v>
      </c>
    </row>
    <row r="1038" spans="1:13" ht="14.45">
      <c r="A1038" s="47" t="s">
        <v>1335</v>
      </c>
      <c r="B1038" s="31" t="s">
        <v>17</v>
      </c>
      <c r="C1038" s="31">
        <v>56</v>
      </c>
      <c r="D1038" s="31" t="s">
        <v>41</v>
      </c>
      <c r="E1038" s="31">
        <v>1000</v>
      </c>
      <c r="F1038" s="31">
        <v>31</v>
      </c>
      <c r="G1038" s="31" t="s">
        <v>18</v>
      </c>
      <c r="H1038" s="42" t="s">
        <v>19</v>
      </c>
      <c r="I1038" s="31" t="s">
        <v>20</v>
      </c>
      <c r="M1038" t="s">
        <v>1248</v>
      </c>
    </row>
    <row r="1039" spans="1:13" ht="14.45">
      <c r="A1039" s="47" t="s">
        <v>1336</v>
      </c>
      <c r="B1039" s="31" t="s">
        <v>17</v>
      </c>
      <c r="C1039" s="31">
        <v>56</v>
      </c>
      <c r="D1039" s="31" t="s">
        <v>41</v>
      </c>
      <c r="E1039" s="31">
        <v>1000</v>
      </c>
      <c r="F1039" s="31">
        <v>31</v>
      </c>
      <c r="G1039" s="31" t="s">
        <v>18</v>
      </c>
      <c r="H1039" s="42" t="s">
        <v>19</v>
      </c>
      <c r="I1039" s="31" t="s">
        <v>20</v>
      </c>
      <c r="M1039" t="s">
        <v>1248</v>
      </c>
    </row>
    <row r="1040" spans="1:13" ht="14.45">
      <c r="A1040" s="47" t="s">
        <v>1337</v>
      </c>
      <c r="B1040" s="31" t="s">
        <v>17</v>
      </c>
      <c r="C1040" s="31">
        <v>56</v>
      </c>
      <c r="D1040" s="31" t="s">
        <v>41</v>
      </c>
      <c r="E1040" s="31">
        <v>1000</v>
      </c>
      <c r="F1040" s="31">
        <v>32</v>
      </c>
      <c r="G1040" s="31" t="s">
        <v>18</v>
      </c>
      <c r="H1040" s="42" t="s">
        <v>19</v>
      </c>
      <c r="I1040" s="31" t="s">
        <v>20</v>
      </c>
      <c r="M1040" t="s">
        <v>1248</v>
      </c>
    </row>
    <row r="1041" spans="1:13" ht="14.45">
      <c r="A1041" s="47" t="s">
        <v>1338</v>
      </c>
      <c r="B1041" s="31" t="s">
        <v>17</v>
      </c>
      <c r="C1041" s="31">
        <v>56</v>
      </c>
      <c r="D1041" s="31" t="s">
        <v>41</v>
      </c>
      <c r="E1041" s="31">
        <v>1000</v>
      </c>
      <c r="F1041" s="31">
        <v>31</v>
      </c>
      <c r="G1041" s="31" t="s">
        <v>18</v>
      </c>
      <c r="H1041" s="42" t="s">
        <v>19</v>
      </c>
      <c r="I1041" s="31" t="s">
        <v>20</v>
      </c>
      <c r="M1041" t="s">
        <v>1248</v>
      </c>
    </row>
    <row r="1042" spans="1:13" ht="14.45">
      <c r="A1042" s="47" t="s">
        <v>1339</v>
      </c>
      <c r="B1042" s="31" t="s">
        <v>17</v>
      </c>
      <c r="C1042" s="31">
        <v>56</v>
      </c>
      <c r="D1042" s="31" t="s">
        <v>41</v>
      </c>
      <c r="E1042" s="31">
        <v>1000</v>
      </c>
      <c r="F1042" s="31">
        <v>31</v>
      </c>
      <c r="G1042" s="31" t="s">
        <v>18</v>
      </c>
      <c r="H1042" s="42" t="s">
        <v>19</v>
      </c>
      <c r="I1042" s="31" t="s">
        <v>20</v>
      </c>
      <c r="M1042" t="s">
        <v>1248</v>
      </c>
    </row>
    <row r="1043" spans="1:13" ht="14.45">
      <c r="A1043" s="47" t="s">
        <v>1340</v>
      </c>
      <c r="B1043" s="31" t="s">
        <v>17</v>
      </c>
      <c r="C1043" s="31">
        <v>56</v>
      </c>
      <c r="D1043" s="31" t="s">
        <v>41</v>
      </c>
      <c r="E1043" s="31">
        <v>1000</v>
      </c>
      <c r="F1043" s="31">
        <v>31</v>
      </c>
      <c r="G1043" s="31" t="s">
        <v>18</v>
      </c>
      <c r="H1043" s="42" t="s">
        <v>19</v>
      </c>
      <c r="I1043" s="31" t="s">
        <v>20</v>
      </c>
      <c r="M1043" t="s">
        <v>1248</v>
      </c>
    </row>
    <row r="1044" spans="1:13" ht="14.45">
      <c r="A1044" s="47" t="s">
        <v>1341</v>
      </c>
      <c r="B1044" s="31" t="s">
        <v>17</v>
      </c>
      <c r="C1044" s="31">
        <v>56</v>
      </c>
      <c r="D1044" s="31" t="s">
        <v>41</v>
      </c>
      <c r="E1044" s="31">
        <v>1000</v>
      </c>
      <c r="F1044" s="31">
        <v>31</v>
      </c>
      <c r="G1044" s="31" t="s">
        <v>18</v>
      </c>
      <c r="H1044" s="42" t="s">
        <v>19</v>
      </c>
      <c r="I1044" s="31" t="s">
        <v>20</v>
      </c>
      <c r="M1044" t="s">
        <v>1248</v>
      </c>
    </row>
    <row r="1045" spans="1:13" ht="14.45">
      <c r="A1045" s="47" t="s">
        <v>1342</v>
      </c>
      <c r="B1045" s="31" t="s">
        <v>17</v>
      </c>
      <c r="C1045" s="31">
        <v>56</v>
      </c>
      <c r="D1045" s="31" t="s">
        <v>41</v>
      </c>
      <c r="E1045" s="31">
        <v>1000</v>
      </c>
      <c r="F1045" s="31">
        <v>31</v>
      </c>
      <c r="G1045" s="31" t="s">
        <v>18</v>
      </c>
      <c r="H1045" s="42" t="s">
        <v>19</v>
      </c>
      <c r="I1045" s="31" t="s">
        <v>20</v>
      </c>
      <c r="M1045" t="s">
        <v>1248</v>
      </c>
    </row>
    <row r="1046" spans="1:13" ht="14.45">
      <c r="A1046" s="47" t="s">
        <v>1343</v>
      </c>
      <c r="B1046" s="31" t="s">
        <v>17</v>
      </c>
      <c r="C1046" s="31">
        <v>56</v>
      </c>
      <c r="D1046" s="31" t="s">
        <v>41</v>
      </c>
      <c r="E1046" s="31">
        <v>1000</v>
      </c>
      <c r="F1046" s="31">
        <v>31</v>
      </c>
      <c r="G1046" s="31" t="s">
        <v>18</v>
      </c>
      <c r="H1046" s="42" t="s">
        <v>19</v>
      </c>
      <c r="I1046" s="31" t="s">
        <v>20</v>
      </c>
      <c r="M1046" t="s">
        <v>1248</v>
      </c>
    </row>
    <row r="1047" spans="1:13" ht="14.45">
      <c r="A1047" s="47" t="s">
        <v>1344</v>
      </c>
      <c r="B1047" s="31" t="s">
        <v>17</v>
      </c>
      <c r="C1047" s="31">
        <v>56</v>
      </c>
      <c r="D1047" s="31" t="s">
        <v>41</v>
      </c>
      <c r="E1047" s="31">
        <v>1000</v>
      </c>
      <c r="F1047" s="31">
        <v>31</v>
      </c>
      <c r="G1047" s="31" t="s">
        <v>18</v>
      </c>
      <c r="H1047" s="42" t="s">
        <v>19</v>
      </c>
      <c r="I1047" s="31" t="s">
        <v>20</v>
      </c>
      <c r="M1047" t="s">
        <v>1248</v>
      </c>
    </row>
    <row r="1048" spans="1:13" ht="14.45">
      <c r="A1048" s="47" t="s">
        <v>1345</v>
      </c>
      <c r="B1048" s="31" t="s">
        <v>17</v>
      </c>
      <c r="C1048" s="31">
        <v>56</v>
      </c>
      <c r="D1048" s="31" t="s">
        <v>41</v>
      </c>
      <c r="E1048" s="31">
        <v>1000</v>
      </c>
      <c r="F1048" s="31">
        <v>31</v>
      </c>
      <c r="G1048" s="31" t="s">
        <v>18</v>
      </c>
      <c r="H1048" s="42" t="s">
        <v>19</v>
      </c>
      <c r="I1048" s="31" t="s">
        <v>20</v>
      </c>
      <c r="M1048" t="s">
        <v>1248</v>
      </c>
    </row>
    <row r="1049" spans="1:13" ht="14.45">
      <c r="A1049" s="47" t="s">
        <v>1346</v>
      </c>
      <c r="B1049" s="31" t="s">
        <v>17</v>
      </c>
      <c r="C1049" s="31">
        <v>56</v>
      </c>
      <c r="D1049" s="31" t="s">
        <v>41</v>
      </c>
      <c r="E1049" s="31">
        <v>1000</v>
      </c>
      <c r="F1049" s="31">
        <v>31</v>
      </c>
      <c r="G1049" s="31" t="s">
        <v>18</v>
      </c>
      <c r="H1049" s="42" t="s">
        <v>19</v>
      </c>
      <c r="I1049" s="31" t="s">
        <v>20</v>
      </c>
      <c r="M1049" t="s">
        <v>1248</v>
      </c>
    </row>
    <row r="1050" spans="1:13" ht="14.45">
      <c r="A1050" s="47" t="s">
        <v>1347</v>
      </c>
      <c r="B1050" s="31" t="s">
        <v>17</v>
      </c>
      <c r="C1050" s="31">
        <v>56</v>
      </c>
      <c r="D1050" s="31" t="s">
        <v>41</v>
      </c>
      <c r="E1050" s="31">
        <v>1000</v>
      </c>
      <c r="F1050" s="31">
        <v>31</v>
      </c>
      <c r="G1050" s="31" t="s">
        <v>18</v>
      </c>
      <c r="H1050" s="42" t="s">
        <v>19</v>
      </c>
      <c r="I1050" s="31" t="s">
        <v>20</v>
      </c>
      <c r="M1050" t="s">
        <v>1248</v>
      </c>
    </row>
    <row r="1051" spans="1:13" ht="14.45">
      <c r="A1051" s="47" t="s">
        <v>1348</v>
      </c>
      <c r="B1051" s="31" t="s">
        <v>17</v>
      </c>
      <c r="C1051" s="31">
        <v>56</v>
      </c>
      <c r="D1051" s="31" t="s">
        <v>41</v>
      </c>
      <c r="E1051" s="31">
        <v>1000</v>
      </c>
      <c r="F1051" s="31">
        <v>31</v>
      </c>
      <c r="G1051" s="31" t="s">
        <v>18</v>
      </c>
      <c r="H1051" s="42" t="s">
        <v>19</v>
      </c>
      <c r="I1051" s="31" t="s">
        <v>20</v>
      </c>
      <c r="M1051" t="s">
        <v>1248</v>
      </c>
    </row>
    <row r="1052" spans="1:13" ht="14.45">
      <c r="A1052" s="47" t="s">
        <v>1349</v>
      </c>
      <c r="B1052" s="31" t="s">
        <v>17</v>
      </c>
      <c r="C1052" s="31">
        <v>56</v>
      </c>
      <c r="D1052" s="31" t="s">
        <v>41</v>
      </c>
      <c r="E1052" s="31">
        <v>1000</v>
      </c>
      <c r="F1052" s="31">
        <v>32</v>
      </c>
      <c r="G1052" s="31" t="s">
        <v>18</v>
      </c>
      <c r="H1052" s="42" t="s">
        <v>19</v>
      </c>
      <c r="I1052" s="31" t="s">
        <v>20</v>
      </c>
      <c r="M1052" t="s">
        <v>1248</v>
      </c>
    </row>
    <row r="1053" spans="1:13" ht="14.45">
      <c r="A1053" s="47" t="s">
        <v>1350</v>
      </c>
      <c r="B1053" s="31" t="s">
        <v>17</v>
      </c>
      <c r="C1053" s="31">
        <v>56</v>
      </c>
      <c r="D1053" s="31" t="s">
        <v>41</v>
      </c>
      <c r="E1053" s="31">
        <v>1000</v>
      </c>
      <c r="F1053" s="31">
        <v>32</v>
      </c>
      <c r="G1053" s="31" t="s">
        <v>18</v>
      </c>
      <c r="H1053" s="42" t="s">
        <v>19</v>
      </c>
      <c r="I1053" s="31" t="s">
        <v>20</v>
      </c>
      <c r="M1053" t="s">
        <v>1248</v>
      </c>
    </row>
    <row r="1055" spans="1:13" thickBot="1">
      <c r="A1055" s="47" t="s">
        <v>1351</v>
      </c>
      <c r="B1055" s="31" t="s">
        <v>17</v>
      </c>
      <c r="C1055" s="31">
        <v>56</v>
      </c>
      <c r="D1055" s="31" t="s">
        <v>41</v>
      </c>
      <c r="E1055" s="31">
        <v>1000</v>
      </c>
      <c r="F1055" s="31">
        <v>16</v>
      </c>
      <c r="G1055" s="31" t="s">
        <v>1352</v>
      </c>
      <c r="H1055" s="42" t="s">
        <v>19</v>
      </c>
      <c r="I1055" s="31" t="s">
        <v>20</v>
      </c>
    </row>
    <row r="1056" spans="1:13" ht="14.45">
      <c r="A1056" s="47" t="s">
        <v>1353</v>
      </c>
      <c r="B1056" s="31" t="s">
        <v>17</v>
      </c>
      <c r="C1056" s="31">
        <v>56</v>
      </c>
      <c r="D1056" s="31" t="s">
        <v>41</v>
      </c>
      <c r="E1056" s="31">
        <v>1000</v>
      </c>
      <c r="F1056" s="31">
        <v>16</v>
      </c>
      <c r="G1056" s="31" t="s">
        <v>1352</v>
      </c>
      <c r="H1056" s="42" t="s">
        <v>19</v>
      </c>
      <c r="I1056" s="31" t="s">
        <v>20</v>
      </c>
    </row>
    <row r="1057" spans="1:9" ht="14.45">
      <c r="A1057" s="47" t="s">
        <v>1354</v>
      </c>
      <c r="B1057" s="31" t="s">
        <v>17</v>
      </c>
      <c r="C1057" s="31">
        <v>56</v>
      </c>
      <c r="D1057" s="31" t="s">
        <v>41</v>
      </c>
      <c r="E1057" s="31">
        <v>1000</v>
      </c>
      <c r="F1057" s="31">
        <v>16</v>
      </c>
      <c r="G1057" s="31" t="s">
        <v>1352</v>
      </c>
      <c r="H1057" s="42" t="s">
        <v>19</v>
      </c>
      <c r="I1057" s="31" t="s">
        <v>20</v>
      </c>
    </row>
    <row r="1058" spans="1:9" ht="14.45">
      <c r="A1058" s="47" t="s">
        <v>1355</v>
      </c>
      <c r="B1058" s="31" t="s">
        <v>17</v>
      </c>
      <c r="C1058" s="31">
        <v>56</v>
      </c>
      <c r="D1058" s="31" t="s">
        <v>41</v>
      </c>
      <c r="E1058" s="31">
        <v>1000</v>
      </c>
      <c r="F1058" s="31">
        <v>16</v>
      </c>
      <c r="G1058" s="31" t="s">
        <v>1352</v>
      </c>
      <c r="H1058" s="42" t="s">
        <v>19</v>
      </c>
      <c r="I1058" s="31" t="s">
        <v>20</v>
      </c>
    </row>
    <row r="1059" spans="1:9" ht="14.45">
      <c r="A1059" s="47" t="s">
        <v>1356</v>
      </c>
      <c r="B1059" s="31" t="s">
        <v>17</v>
      </c>
      <c r="C1059" s="31">
        <v>56</v>
      </c>
      <c r="D1059" s="31" t="s">
        <v>41</v>
      </c>
      <c r="E1059" s="31">
        <v>1000</v>
      </c>
      <c r="F1059" s="31">
        <v>16</v>
      </c>
      <c r="G1059" s="31" t="s">
        <v>1352</v>
      </c>
      <c r="H1059" s="42" t="s">
        <v>19</v>
      </c>
      <c r="I1059" s="31" t="s">
        <v>20</v>
      </c>
    </row>
    <row r="1060" spans="1:9" ht="14.45">
      <c r="A1060" s="47" t="s">
        <v>1357</v>
      </c>
      <c r="B1060" s="31" t="s">
        <v>17</v>
      </c>
      <c r="C1060" s="31">
        <v>56</v>
      </c>
      <c r="D1060" s="31" t="s">
        <v>41</v>
      </c>
      <c r="E1060" s="31">
        <v>1000</v>
      </c>
      <c r="F1060" s="31">
        <v>16</v>
      </c>
      <c r="G1060" s="31" t="s">
        <v>1352</v>
      </c>
      <c r="H1060" s="42" t="s">
        <v>19</v>
      </c>
      <c r="I1060" s="31" t="s">
        <v>20</v>
      </c>
    </row>
    <row r="1061" spans="1:9" ht="14.45">
      <c r="A1061" s="47" t="s">
        <v>1358</v>
      </c>
      <c r="B1061" s="31" t="s">
        <v>17</v>
      </c>
      <c r="C1061" s="31">
        <v>56</v>
      </c>
      <c r="D1061" s="31" t="s">
        <v>41</v>
      </c>
      <c r="E1061" s="31">
        <v>1000</v>
      </c>
      <c r="F1061" s="31">
        <v>16</v>
      </c>
      <c r="G1061" s="31" t="s">
        <v>1352</v>
      </c>
      <c r="H1061" s="42" t="s">
        <v>19</v>
      </c>
      <c r="I1061" s="31" t="s">
        <v>20</v>
      </c>
    </row>
    <row r="1062" spans="1:9" ht="14.45">
      <c r="A1062" s="47" t="s">
        <v>1359</v>
      </c>
      <c r="B1062" s="31" t="s">
        <v>17</v>
      </c>
      <c r="C1062" s="31">
        <v>56</v>
      </c>
      <c r="D1062" s="31" t="s">
        <v>41</v>
      </c>
      <c r="E1062" s="31">
        <v>1000</v>
      </c>
      <c r="F1062" s="31">
        <v>16</v>
      </c>
      <c r="G1062" s="31" t="s">
        <v>1352</v>
      </c>
      <c r="H1062" s="42" t="s">
        <v>19</v>
      </c>
      <c r="I1062" s="31" t="s">
        <v>20</v>
      </c>
    </row>
    <row r="1063" spans="1:9" ht="14.45">
      <c r="A1063" s="47" t="s">
        <v>1360</v>
      </c>
      <c r="B1063" s="31" t="s">
        <v>17</v>
      </c>
      <c r="C1063" s="31">
        <v>56</v>
      </c>
      <c r="D1063" s="31" t="s">
        <v>41</v>
      </c>
      <c r="E1063" s="31">
        <v>1000</v>
      </c>
      <c r="F1063" s="31">
        <v>16</v>
      </c>
      <c r="G1063" s="31" t="s">
        <v>1352</v>
      </c>
      <c r="H1063" s="42" t="s">
        <v>19</v>
      </c>
      <c r="I1063" s="31" t="s">
        <v>20</v>
      </c>
    </row>
    <row r="1064" spans="1:9" ht="14.45">
      <c r="A1064" s="47" t="s">
        <v>1361</v>
      </c>
      <c r="B1064" s="31" t="s">
        <v>17</v>
      </c>
      <c r="C1064" s="31">
        <v>56</v>
      </c>
      <c r="D1064" s="31" t="s">
        <v>41</v>
      </c>
      <c r="E1064" s="31">
        <v>1000</v>
      </c>
      <c r="F1064" s="31">
        <v>16</v>
      </c>
      <c r="G1064" s="31" t="s">
        <v>1352</v>
      </c>
      <c r="H1064" s="42" t="s">
        <v>19</v>
      </c>
      <c r="I1064" s="31" t="s">
        <v>20</v>
      </c>
    </row>
    <row r="1065" spans="1:9" ht="14.45">
      <c r="A1065" s="47" t="s">
        <v>1362</v>
      </c>
      <c r="B1065" s="31" t="s">
        <v>17</v>
      </c>
      <c r="C1065" s="31">
        <v>56</v>
      </c>
      <c r="D1065" s="31" t="s">
        <v>41</v>
      </c>
      <c r="E1065" s="31">
        <v>1000</v>
      </c>
      <c r="F1065" s="31">
        <v>16</v>
      </c>
      <c r="G1065" s="31" t="s">
        <v>1352</v>
      </c>
      <c r="H1065" s="42" t="s">
        <v>19</v>
      </c>
      <c r="I1065" s="31" t="s">
        <v>20</v>
      </c>
    </row>
    <row r="1066" spans="1:9" ht="14.45">
      <c r="A1066" s="47" t="s">
        <v>1363</v>
      </c>
      <c r="B1066" s="31" t="s">
        <v>17</v>
      </c>
      <c r="C1066" s="31">
        <v>56</v>
      </c>
      <c r="D1066" s="31" t="s">
        <v>41</v>
      </c>
      <c r="E1066" s="31">
        <v>1000</v>
      </c>
      <c r="F1066" s="31">
        <v>16</v>
      </c>
      <c r="G1066" s="31" t="s">
        <v>1352</v>
      </c>
      <c r="H1066" s="42" t="s">
        <v>19</v>
      </c>
      <c r="I1066" s="31" t="s">
        <v>20</v>
      </c>
    </row>
    <row r="1067" spans="1:9" ht="14.45">
      <c r="A1067" s="47" t="s">
        <v>1364</v>
      </c>
      <c r="B1067" s="31" t="s">
        <v>17</v>
      </c>
      <c r="C1067" s="31">
        <v>56</v>
      </c>
      <c r="D1067" s="31" t="s">
        <v>41</v>
      </c>
      <c r="E1067" s="31">
        <v>1000</v>
      </c>
      <c r="F1067" s="31">
        <v>16</v>
      </c>
      <c r="G1067" s="31" t="s">
        <v>1352</v>
      </c>
      <c r="H1067" s="42" t="s">
        <v>19</v>
      </c>
      <c r="I1067" s="31" t="s">
        <v>20</v>
      </c>
    </row>
    <row r="1068" spans="1:9" ht="14.45">
      <c r="A1068" s="47" t="s">
        <v>1365</v>
      </c>
      <c r="B1068" s="31" t="s">
        <v>17</v>
      </c>
      <c r="C1068" s="31">
        <v>56</v>
      </c>
      <c r="D1068" s="31" t="s">
        <v>41</v>
      </c>
      <c r="E1068" s="31">
        <v>1000</v>
      </c>
      <c r="F1068" s="31">
        <v>16</v>
      </c>
      <c r="G1068" s="31" t="s">
        <v>1352</v>
      </c>
      <c r="H1068" s="42" t="s">
        <v>19</v>
      </c>
      <c r="I1068" s="31" t="s">
        <v>20</v>
      </c>
    </row>
    <row r="1069" spans="1:9" ht="14.45">
      <c r="A1069" s="47" t="s">
        <v>1366</v>
      </c>
      <c r="B1069" s="31" t="s">
        <v>17</v>
      </c>
      <c r="C1069" s="31">
        <v>56</v>
      </c>
      <c r="D1069" s="31" t="s">
        <v>41</v>
      </c>
      <c r="E1069" s="31">
        <v>1000</v>
      </c>
      <c r="F1069" s="31">
        <v>16</v>
      </c>
      <c r="G1069" s="31" t="s">
        <v>1352</v>
      </c>
      <c r="H1069" s="42" t="s">
        <v>19</v>
      </c>
      <c r="I1069" s="31" t="s">
        <v>20</v>
      </c>
    </row>
    <row r="1070" spans="1:9" ht="14.45">
      <c r="A1070" s="47" t="s">
        <v>1367</v>
      </c>
      <c r="B1070" s="31" t="s">
        <v>17</v>
      </c>
      <c r="C1070" s="31">
        <v>56</v>
      </c>
      <c r="D1070" s="31" t="s">
        <v>41</v>
      </c>
      <c r="E1070" s="31">
        <v>1000</v>
      </c>
      <c r="F1070" s="31">
        <v>16</v>
      </c>
      <c r="G1070" s="31" t="s">
        <v>1352</v>
      </c>
      <c r="H1070" s="42" t="s">
        <v>19</v>
      </c>
      <c r="I1070" s="31" t="s">
        <v>20</v>
      </c>
    </row>
    <row r="1071" spans="1:9" ht="14.45">
      <c r="A1071" s="47" t="s">
        <v>1368</v>
      </c>
      <c r="B1071" s="31" t="s">
        <v>17</v>
      </c>
      <c r="C1071" s="31">
        <v>56</v>
      </c>
      <c r="D1071" s="31" t="s">
        <v>41</v>
      </c>
      <c r="E1071" s="31">
        <v>1000</v>
      </c>
      <c r="F1071" s="31">
        <v>16</v>
      </c>
      <c r="G1071" s="31" t="s">
        <v>1352</v>
      </c>
      <c r="H1071" s="42" t="s">
        <v>19</v>
      </c>
      <c r="I1071" s="31" t="s">
        <v>20</v>
      </c>
    </row>
    <row r="1072" spans="1:9" ht="14.45">
      <c r="A1072" s="47" t="s">
        <v>1369</v>
      </c>
      <c r="B1072" s="31" t="s">
        <v>17</v>
      </c>
      <c r="C1072" s="31">
        <v>56</v>
      </c>
      <c r="D1072" s="31" t="s">
        <v>41</v>
      </c>
      <c r="E1072" s="31">
        <v>1000</v>
      </c>
      <c r="F1072" s="31">
        <v>16</v>
      </c>
      <c r="G1072" s="31" t="s">
        <v>1352</v>
      </c>
      <c r="H1072" s="42" t="s">
        <v>19</v>
      </c>
      <c r="I1072" s="31" t="s">
        <v>20</v>
      </c>
    </row>
    <row r="1073" spans="1:9" ht="14.45">
      <c r="A1073" s="47" t="s">
        <v>1370</v>
      </c>
      <c r="B1073" s="31" t="s">
        <v>17</v>
      </c>
      <c r="C1073" s="31">
        <v>56</v>
      </c>
      <c r="D1073" s="31" t="s">
        <v>41</v>
      </c>
      <c r="E1073" s="31">
        <v>1000</v>
      </c>
      <c r="F1073" s="31">
        <v>16</v>
      </c>
      <c r="G1073" s="31" t="s">
        <v>1352</v>
      </c>
      <c r="H1073" s="42" t="s">
        <v>19</v>
      </c>
      <c r="I1073" s="31" t="s">
        <v>20</v>
      </c>
    </row>
    <row r="1074" spans="1:9" ht="14.45">
      <c r="A1074" s="47" t="s">
        <v>1371</v>
      </c>
      <c r="B1074" s="31" t="s">
        <v>17</v>
      </c>
      <c r="C1074" s="31">
        <v>56</v>
      </c>
      <c r="D1074" s="31" t="s">
        <v>41</v>
      </c>
      <c r="E1074" s="31">
        <v>1000</v>
      </c>
      <c r="F1074" s="31">
        <v>16</v>
      </c>
      <c r="G1074" s="31" t="s">
        <v>1352</v>
      </c>
      <c r="H1074" s="42" t="s">
        <v>19</v>
      </c>
      <c r="I1074" s="31" t="s">
        <v>20</v>
      </c>
    </row>
    <row r="1075" spans="1:9" ht="14.45">
      <c r="A1075" s="47" t="s">
        <v>1372</v>
      </c>
      <c r="B1075" s="31" t="s">
        <v>17</v>
      </c>
      <c r="C1075" s="31">
        <v>56</v>
      </c>
      <c r="D1075" s="31" t="s">
        <v>41</v>
      </c>
      <c r="E1075" s="31">
        <v>1000</v>
      </c>
      <c r="F1075" s="31">
        <v>16</v>
      </c>
      <c r="G1075" s="31" t="s">
        <v>1352</v>
      </c>
      <c r="H1075" s="42" t="s">
        <v>19</v>
      </c>
      <c r="I1075" s="31" t="s">
        <v>20</v>
      </c>
    </row>
    <row r="1076" spans="1:9" ht="14.45">
      <c r="A1076" s="47" t="s">
        <v>1373</v>
      </c>
      <c r="B1076" s="31" t="s">
        <v>17</v>
      </c>
      <c r="C1076" s="31">
        <v>56</v>
      </c>
      <c r="D1076" s="31" t="s">
        <v>41</v>
      </c>
      <c r="E1076" s="31">
        <v>1000</v>
      </c>
      <c r="F1076" s="31">
        <v>16</v>
      </c>
      <c r="G1076" s="31" t="s">
        <v>1352</v>
      </c>
      <c r="H1076" s="42" t="s">
        <v>19</v>
      </c>
      <c r="I1076" s="31" t="s">
        <v>20</v>
      </c>
    </row>
    <row r="1077" spans="1:9" ht="14.45">
      <c r="A1077" s="47" t="s">
        <v>1374</v>
      </c>
      <c r="B1077" s="31" t="s">
        <v>17</v>
      </c>
      <c r="C1077" s="31">
        <v>56</v>
      </c>
      <c r="D1077" s="31" t="s">
        <v>41</v>
      </c>
      <c r="E1077" s="31">
        <v>1000</v>
      </c>
      <c r="F1077" s="31">
        <v>16</v>
      </c>
      <c r="G1077" s="31" t="s">
        <v>1352</v>
      </c>
      <c r="H1077" s="42" t="s">
        <v>19</v>
      </c>
      <c r="I1077" s="31" t="s">
        <v>20</v>
      </c>
    </row>
    <row r="1078" spans="1:9" ht="14.45">
      <c r="A1078" s="47" t="s">
        <v>1375</v>
      </c>
      <c r="B1078" s="31" t="s">
        <v>17</v>
      </c>
      <c r="C1078" s="31">
        <v>56</v>
      </c>
      <c r="D1078" s="31" t="s">
        <v>41</v>
      </c>
      <c r="E1078" s="31">
        <v>1000</v>
      </c>
      <c r="F1078" s="31">
        <v>16</v>
      </c>
      <c r="G1078" s="31" t="s">
        <v>1352</v>
      </c>
      <c r="H1078" s="42" t="s">
        <v>19</v>
      </c>
      <c r="I1078" s="31" t="s">
        <v>20</v>
      </c>
    </row>
    <row r="1079" spans="1:9" ht="14.45">
      <c r="A1079" s="47" t="s">
        <v>1376</v>
      </c>
      <c r="B1079" s="31" t="s">
        <v>17</v>
      </c>
      <c r="C1079" s="31">
        <v>56</v>
      </c>
      <c r="D1079" s="31" t="s">
        <v>41</v>
      </c>
      <c r="E1079" s="31">
        <v>1000</v>
      </c>
      <c r="F1079" s="31">
        <v>16</v>
      </c>
      <c r="G1079" s="31" t="s">
        <v>1352</v>
      </c>
      <c r="H1079" s="42" t="s">
        <v>19</v>
      </c>
      <c r="I1079" s="31" t="s">
        <v>20</v>
      </c>
    </row>
    <row r="1080" spans="1:9" ht="14.45">
      <c r="A1080" s="47" t="s">
        <v>1377</v>
      </c>
      <c r="B1080" s="31" t="s">
        <v>17</v>
      </c>
      <c r="C1080" s="31">
        <v>56</v>
      </c>
      <c r="D1080" s="31" t="s">
        <v>41</v>
      </c>
      <c r="E1080" s="31">
        <v>1000</v>
      </c>
      <c r="F1080" s="31">
        <v>16</v>
      </c>
      <c r="G1080" s="31" t="s">
        <v>1352</v>
      </c>
      <c r="H1080" s="42" t="s">
        <v>19</v>
      </c>
      <c r="I1080" s="31" t="s">
        <v>20</v>
      </c>
    </row>
    <row r="1081" spans="1:9" ht="14.45">
      <c r="A1081" s="47" t="s">
        <v>1378</v>
      </c>
      <c r="B1081" s="31" t="s">
        <v>17</v>
      </c>
      <c r="C1081" s="31">
        <v>56</v>
      </c>
      <c r="D1081" s="31" t="s">
        <v>41</v>
      </c>
      <c r="E1081" s="31">
        <v>1000</v>
      </c>
      <c r="F1081" s="31">
        <v>16</v>
      </c>
      <c r="G1081" s="31" t="s">
        <v>1352</v>
      </c>
      <c r="H1081" s="42" t="s">
        <v>19</v>
      </c>
      <c r="I1081" s="31" t="s">
        <v>20</v>
      </c>
    </row>
    <row r="1082" spans="1:9" ht="14.45">
      <c r="A1082" s="47" t="s">
        <v>1379</v>
      </c>
      <c r="B1082" s="31" t="s">
        <v>17</v>
      </c>
      <c r="C1082" s="31">
        <v>56</v>
      </c>
      <c r="D1082" s="31" t="s">
        <v>41</v>
      </c>
      <c r="E1082" s="31">
        <v>1000</v>
      </c>
      <c r="F1082" s="31">
        <v>16</v>
      </c>
      <c r="G1082" s="31" t="s">
        <v>1352</v>
      </c>
      <c r="H1082" s="42" t="s">
        <v>19</v>
      </c>
      <c r="I1082" s="31" t="s">
        <v>20</v>
      </c>
    </row>
    <row r="1083" spans="1:9" ht="14.45">
      <c r="A1083" s="47" t="s">
        <v>1380</v>
      </c>
      <c r="B1083" s="31" t="s">
        <v>17</v>
      </c>
      <c r="C1083" s="31">
        <v>56</v>
      </c>
      <c r="D1083" s="31" t="s">
        <v>41</v>
      </c>
      <c r="E1083" s="31">
        <v>1000</v>
      </c>
      <c r="F1083" s="31">
        <v>16</v>
      </c>
      <c r="G1083" s="31" t="s">
        <v>1352</v>
      </c>
      <c r="H1083" s="42" t="s">
        <v>19</v>
      </c>
      <c r="I1083" s="31" t="s">
        <v>20</v>
      </c>
    </row>
    <row r="1084" spans="1:9" ht="14.45">
      <c r="A1084" s="47" t="s">
        <v>1381</v>
      </c>
      <c r="B1084" s="31" t="s">
        <v>17</v>
      </c>
      <c r="C1084" s="31">
        <v>56</v>
      </c>
      <c r="D1084" s="31" t="s">
        <v>41</v>
      </c>
      <c r="E1084" s="31">
        <v>1000</v>
      </c>
      <c r="F1084" s="31">
        <v>16</v>
      </c>
      <c r="G1084" s="31" t="s">
        <v>1352</v>
      </c>
      <c r="H1084" s="42" t="s">
        <v>19</v>
      </c>
      <c r="I1084" s="31" t="s">
        <v>20</v>
      </c>
    </row>
    <row r="1085" spans="1:9" ht="14.45">
      <c r="A1085" s="47" t="s">
        <v>1382</v>
      </c>
      <c r="B1085" s="31" t="s">
        <v>17</v>
      </c>
      <c r="C1085" s="31">
        <v>56</v>
      </c>
      <c r="D1085" s="31" t="s">
        <v>41</v>
      </c>
      <c r="E1085" s="31">
        <v>1000</v>
      </c>
      <c r="F1085" s="31">
        <v>16</v>
      </c>
      <c r="G1085" s="31" t="s">
        <v>1352</v>
      </c>
      <c r="H1085" s="42" t="s">
        <v>19</v>
      </c>
      <c r="I1085" s="31" t="s">
        <v>20</v>
      </c>
    </row>
    <row r="1086" spans="1:9" ht="14.45">
      <c r="A1086" s="47" t="s">
        <v>1383</v>
      </c>
      <c r="B1086" s="31" t="s">
        <v>17</v>
      </c>
      <c r="C1086" s="31">
        <v>56</v>
      </c>
      <c r="D1086" s="31" t="s">
        <v>41</v>
      </c>
      <c r="E1086" s="31">
        <v>1000</v>
      </c>
      <c r="F1086" s="31">
        <v>16</v>
      </c>
      <c r="G1086" s="31" t="s">
        <v>1352</v>
      </c>
      <c r="H1086" s="42" t="s">
        <v>19</v>
      </c>
      <c r="I1086" s="31" t="s">
        <v>20</v>
      </c>
    </row>
    <row r="1087" spans="1:9" ht="14.45">
      <c r="A1087" s="47" t="s">
        <v>1384</v>
      </c>
      <c r="B1087" s="31" t="s">
        <v>17</v>
      </c>
      <c r="C1087" s="31">
        <v>56</v>
      </c>
      <c r="D1087" s="31" t="s">
        <v>41</v>
      </c>
      <c r="E1087" s="31">
        <v>1000</v>
      </c>
      <c r="F1087" s="31">
        <v>16</v>
      </c>
      <c r="G1087" s="31" t="s">
        <v>1352</v>
      </c>
      <c r="H1087" s="42" t="s">
        <v>19</v>
      </c>
      <c r="I1087" s="31" t="s">
        <v>20</v>
      </c>
    </row>
    <row r="1088" spans="1:9" ht="14.45">
      <c r="A1088" s="47" t="s">
        <v>1385</v>
      </c>
      <c r="B1088" s="31" t="s">
        <v>17</v>
      </c>
      <c r="C1088" s="31">
        <v>56</v>
      </c>
      <c r="D1088" s="31" t="s">
        <v>41</v>
      </c>
      <c r="E1088" s="31">
        <v>1000</v>
      </c>
      <c r="F1088" s="31">
        <v>16</v>
      </c>
      <c r="G1088" s="31" t="s">
        <v>1352</v>
      </c>
      <c r="H1088" s="42" t="s">
        <v>19</v>
      </c>
      <c r="I1088" s="31" t="s">
        <v>20</v>
      </c>
    </row>
    <row r="1089" spans="1:9" ht="14.45">
      <c r="A1089" s="47" t="s">
        <v>1386</v>
      </c>
      <c r="B1089" s="31" t="s">
        <v>17</v>
      </c>
      <c r="C1089" s="31">
        <v>56</v>
      </c>
      <c r="D1089" s="31" t="s">
        <v>41</v>
      </c>
      <c r="E1089" s="31">
        <v>1000</v>
      </c>
      <c r="F1089" s="31">
        <v>16</v>
      </c>
      <c r="G1089" s="31" t="s">
        <v>1352</v>
      </c>
      <c r="H1089" s="42" t="s">
        <v>19</v>
      </c>
      <c r="I1089" s="31" t="s">
        <v>20</v>
      </c>
    </row>
    <row r="1090" spans="1:9" ht="14.45">
      <c r="A1090" s="47" t="s">
        <v>1387</v>
      </c>
      <c r="B1090" s="31" t="s">
        <v>17</v>
      </c>
      <c r="C1090" s="31">
        <v>56</v>
      </c>
      <c r="D1090" s="31" t="s">
        <v>41</v>
      </c>
      <c r="E1090" s="31">
        <v>1000</v>
      </c>
      <c r="F1090" s="31">
        <v>16</v>
      </c>
      <c r="G1090" s="31" t="s">
        <v>1352</v>
      </c>
      <c r="H1090" s="42" t="s">
        <v>19</v>
      </c>
      <c r="I1090" s="31" t="s">
        <v>20</v>
      </c>
    </row>
    <row r="1091" spans="1:9" ht="14.45">
      <c r="A1091" s="47" t="s">
        <v>1388</v>
      </c>
      <c r="B1091" s="31" t="s">
        <v>17</v>
      </c>
      <c r="C1091" s="31">
        <v>56</v>
      </c>
      <c r="D1091" s="31" t="s">
        <v>41</v>
      </c>
      <c r="E1091" s="31">
        <v>1000</v>
      </c>
      <c r="F1091" s="31">
        <v>31</v>
      </c>
      <c r="G1091" s="31" t="s">
        <v>18</v>
      </c>
      <c r="H1091" s="42" t="s">
        <v>19</v>
      </c>
      <c r="I1091" s="31" t="s">
        <v>20</v>
      </c>
    </row>
    <row r="1092" spans="1:9" ht="14.45">
      <c r="A1092" s="47" t="s">
        <v>1389</v>
      </c>
      <c r="B1092" s="31" t="s">
        <v>17</v>
      </c>
      <c r="C1092" s="31">
        <v>56</v>
      </c>
      <c r="D1092" s="31" t="s">
        <v>41</v>
      </c>
      <c r="E1092" s="31">
        <v>1000</v>
      </c>
      <c r="F1092" s="31">
        <v>31</v>
      </c>
      <c r="G1092" s="31" t="s">
        <v>629</v>
      </c>
      <c r="H1092" s="42" t="s">
        <v>19</v>
      </c>
      <c r="I1092" s="31" t="s">
        <v>20</v>
      </c>
    </row>
    <row r="1093" spans="1:9" ht="14.45">
      <c r="A1093" s="47" t="s">
        <v>1390</v>
      </c>
      <c r="B1093" s="31" t="s">
        <v>17</v>
      </c>
      <c r="C1093" s="31">
        <v>56</v>
      </c>
      <c r="D1093" s="31" t="s">
        <v>41</v>
      </c>
      <c r="E1093" s="31">
        <v>1000</v>
      </c>
      <c r="F1093" s="31">
        <v>31</v>
      </c>
      <c r="G1093" s="31" t="s">
        <v>629</v>
      </c>
      <c r="H1093" s="42" t="s">
        <v>19</v>
      </c>
      <c r="I1093" s="31" t="s">
        <v>20</v>
      </c>
    </row>
    <row r="1094" spans="1:9" ht="14.45">
      <c r="A1094" s="47" t="s">
        <v>1391</v>
      </c>
      <c r="B1094" s="31" t="s">
        <v>17</v>
      </c>
      <c r="C1094" s="31">
        <v>56</v>
      </c>
      <c r="D1094" s="31" t="s">
        <v>41</v>
      </c>
      <c r="E1094" s="31">
        <v>1000</v>
      </c>
      <c r="F1094" s="31">
        <v>31</v>
      </c>
      <c r="G1094" s="31" t="s">
        <v>629</v>
      </c>
      <c r="H1094" s="42" t="s">
        <v>19</v>
      </c>
      <c r="I1094" s="31" t="s">
        <v>20</v>
      </c>
    </row>
    <row r="1095" spans="1:9" ht="14.45">
      <c r="A1095" s="47" t="s">
        <v>1392</v>
      </c>
      <c r="B1095" s="31" t="s">
        <v>17</v>
      </c>
      <c r="C1095" s="31">
        <v>56</v>
      </c>
      <c r="D1095" s="31" t="s">
        <v>41</v>
      </c>
      <c r="E1095" s="31">
        <v>1000</v>
      </c>
      <c r="F1095" s="31">
        <v>31</v>
      </c>
      <c r="G1095" s="31" t="s">
        <v>629</v>
      </c>
      <c r="H1095" s="42" t="s">
        <v>19</v>
      </c>
      <c r="I1095" s="31" t="s">
        <v>20</v>
      </c>
    </row>
    <row r="1096" spans="1:9" ht="14.45">
      <c r="A1096" s="47" t="s">
        <v>1393</v>
      </c>
      <c r="B1096" s="31" t="s">
        <v>17</v>
      </c>
      <c r="C1096" s="31">
        <v>56</v>
      </c>
      <c r="D1096" s="31" t="s">
        <v>41</v>
      </c>
      <c r="E1096" s="31">
        <v>1000</v>
      </c>
      <c r="F1096" s="31">
        <v>31</v>
      </c>
      <c r="G1096" s="31" t="s">
        <v>629</v>
      </c>
      <c r="H1096" s="42" t="s">
        <v>19</v>
      </c>
      <c r="I1096" s="31" t="s">
        <v>20</v>
      </c>
    </row>
    <row r="1097" spans="1:9" ht="14.45">
      <c r="A1097" s="47" t="s">
        <v>1394</v>
      </c>
      <c r="B1097" s="31" t="s">
        <v>17</v>
      </c>
      <c r="C1097" s="31">
        <v>56</v>
      </c>
      <c r="D1097" s="31" t="s">
        <v>41</v>
      </c>
      <c r="E1097" s="31">
        <v>1000</v>
      </c>
      <c r="F1097" s="31">
        <v>33</v>
      </c>
      <c r="G1097" s="31" t="s">
        <v>629</v>
      </c>
      <c r="H1097" s="42" t="s">
        <v>19</v>
      </c>
      <c r="I1097" s="31" t="s">
        <v>20</v>
      </c>
    </row>
    <row r="1098" spans="1:9" ht="14.45">
      <c r="A1098" s="47" t="s">
        <v>1395</v>
      </c>
      <c r="B1098" s="31" t="s">
        <v>17</v>
      </c>
      <c r="C1098" s="31">
        <v>56</v>
      </c>
      <c r="D1098" s="31" t="s">
        <v>41</v>
      </c>
      <c r="E1098" s="31">
        <v>1000</v>
      </c>
      <c r="F1098" s="31">
        <v>37</v>
      </c>
      <c r="G1098" s="31" t="s">
        <v>629</v>
      </c>
      <c r="H1098" s="42" t="s">
        <v>19</v>
      </c>
      <c r="I1098" s="31" t="s">
        <v>20</v>
      </c>
    </row>
    <row r="1099" spans="1:9" ht="14.45">
      <c r="A1099" s="47" t="s">
        <v>1396</v>
      </c>
      <c r="B1099" s="31" t="s">
        <v>17</v>
      </c>
      <c r="C1099" s="31">
        <v>56</v>
      </c>
      <c r="D1099" s="31" t="s">
        <v>41</v>
      </c>
      <c r="E1099" s="31">
        <v>1000</v>
      </c>
      <c r="F1099" s="31">
        <v>31</v>
      </c>
      <c r="G1099" s="31" t="s">
        <v>629</v>
      </c>
      <c r="H1099" s="42" t="s">
        <v>19</v>
      </c>
      <c r="I1099" s="31" t="s">
        <v>20</v>
      </c>
    </row>
    <row r="1100" spans="1:9" ht="14.45">
      <c r="A1100" s="47" t="s">
        <v>1397</v>
      </c>
      <c r="B1100" s="31" t="s">
        <v>17</v>
      </c>
      <c r="C1100" s="31">
        <v>56</v>
      </c>
      <c r="D1100" s="31" t="s">
        <v>41</v>
      </c>
      <c r="E1100" s="31">
        <v>1000</v>
      </c>
      <c r="F1100" s="31">
        <v>31</v>
      </c>
      <c r="G1100" s="31" t="s">
        <v>629</v>
      </c>
      <c r="H1100" s="42" t="s">
        <v>19</v>
      </c>
      <c r="I1100" s="31" t="s">
        <v>20</v>
      </c>
    </row>
    <row r="1101" spans="1:9" ht="14.45">
      <c r="A1101" s="47" t="s">
        <v>1398</v>
      </c>
      <c r="B1101" s="31" t="s">
        <v>17</v>
      </c>
      <c r="C1101" s="31">
        <v>56</v>
      </c>
      <c r="D1101" s="31" t="s">
        <v>41</v>
      </c>
      <c r="E1101" s="31">
        <v>1000</v>
      </c>
      <c r="F1101" s="31">
        <v>32</v>
      </c>
      <c r="G1101" s="31" t="s">
        <v>1399</v>
      </c>
      <c r="H1101" s="42" t="s">
        <v>19</v>
      </c>
      <c r="I1101" s="31" t="s">
        <v>20</v>
      </c>
    </row>
    <row r="1102" spans="1:9" ht="14.45">
      <c r="A1102" s="47" t="s">
        <v>1400</v>
      </c>
      <c r="B1102" s="31" t="s">
        <v>17</v>
      </c>
      <c r="C1102" s="31">
        <v>56</v>
      </c>
      <c r="D1102" s="31" t="s">
        <v>41</v>
      </c>
      <c r="E1102" s="31">
        <v>1000</v>
      </c>
      <c r="F1102" s="31" t="s">
        <v>41</v>
      </c>
      <c r="G1102" s="31" t="s">
        <v>1401</v>
      </c>
      <c r="H1102" s="42" t="s">
        <v>19</v>
      </c>
      <c r="I1102" s="31" t="s">
        <v>20</v>
      </c>
    </row>
    <row r="1103" spans="1:9" ht="14.45">
      <c r="A1103" s="47" t="s">
        <v>1402</v>
      </c>
      <c r="B1103" s="31" t="s">
        <v>17</v>
      </c>
      <c r="C1103" s="31">
        <v>56</v>
      </c>
      <c r="D1103" s="31" t="s">
        <v>41</v>
      </c>
      <c r="E1103" s="31">
        <v>1000</v>
      </c>
      <c r="F1103" s="31">
        <v>31</v>
      </c>
      <c r="G1103" s="31" t="s">
        <v>1401</v>
      </c>
      <c r="H1103" s="42" t="s">
        <v>19</v>
      </c>
      <c r="I1103" s="31" t="s">
        <v>20</v>
      </c>
    </row>
    <row r="1104" spans="1:9" ht="14.45">
      <c r="A1104" s="47" t="s">
        <v>1403</v>
      </c>
      <c r="B1104" s="31" t="s">
        <v>17</v>
      </c>
      <c r="C1104" s="31">
        <v>56</v>
      </c>
      <c r="D1104" s="31" t="s">
        <v>41</v>
      </c>
      <c r="E1104" s="31">
        <v>1000</v>
      </c>
      <c r="F1104" s="31">
        <v>31</v>
      </c>
      <c r="G1104" s="31" t="s">
        <v>1404</v>
      </c>
      <c r="H1104" s="42" t="s">
        <v>19</v>
      </c>
      <c r="I1104" s="31" t="s">
        <v>20</v>
      </c>
    </row>
    <row r="1105" spans="1:9" ht="14.45">
      <c r="A1105" s="47" t="s">
        <v>1405</v>
      </c>
      <c r="B1105" s="31" t="s">
        <v>17</v>
      </c>
      <c r="C1105" s="31">
        <v>56</v>
      </c>
      <c r="D1105" s="31" t="s">
        <v>41</v>
      </c>
      <c r="E1105" s="31">
        <v>1000</v>
      </c>
      <c r="F1105" s="31">
        <v>31</v>
      </c>
      <c r="G1105" s="31" t="s">
        <v>1404</v>
      </c>
      <c r="H1105" s="42" t="s">
        <v>19</v>
      </c>
      <c r="I1105" s="31" t="s">
        <v>20</v>
      </c>
    </row>
    <row r="1106" spans="1:9" ht="14.45">
      <c r="A1106" s="47" t="s">
        <v>1406</v>
      </c>
      <c r="B1106" s="31" t="s">
        <v>17</v>
      </c>
      <c r="C1106" s="31">
        <v>56</v>
      </c>
      <c r="D1106" s="31" t="s">
        <v>41</v>
      </c>
      <c r="E1106" s="31">
        <v>1000</v>
      </c>
      <c r="F1106" s="31">
        <v>31</v>
      </c>
      <c r="G1106" s="31" t="s">
        <v>1404</v>
      </c>
      <c r="H1106" s="42" t="s">
        <v>19</v>
      </c>
      <c r="I1106" s="31" t="s">
        <v>20</v>
      </c>
    </row>
    <row r="1107" spans="1:9" ht="14.45">
      <c r="A1107" s="47" t="s">
        <v>1407</v>
      </c>
      <c r="B1107" s="31" t="s">
        <v>17</v>
      </c>
      <c r="C1107" s="31">
        <v>56</v>
      </c>
      <c r="D1107" s="31" t="s">
        <v>41</v>
      </c>
      <c r="E1107" s="31">
        <v>1000</v>
      </c>
      <c r="F1107" s="31">
        <v>31</v>
      </c>
      <c r="G1107" s="31" t="s">
        <v>1404</v>
      </c>
      <c r="H1107" s="42" t="s">
        <v>19</v>
      </c>
      <c r="I1107" s="31" t="s">
        <v>20</v>
      </c>
    </row>
    <row r="1108" spans="1:9" ht="14.45">
      <c r="A1108" s="47" t="s">
        <v>1408</v>
      </c>
      <c r="B1108" s="31" t="s">
        <v>17</v>
      </c>
      <c r="C1108" s="31">
        <v>56</v>
      </c>
      <c r="D1108" s="31" t="s">
        <v>41</v>
      </c>
      <c r="E1108" s="31">
        <v>1000</v>
      </c>
      <c r="F1108" s="31">
        <v>31</v>
      </c>
      <c r="G1108" s="31" t="s">
        <v>1404</v>
      </c>
      <c r="H1108" s="42" t="s">
        <v>19</v>
      </c>
      <c r="I1108" s="31" t="s">
        <v>20</v>
      </c>
    </row>
    <row r="1109" spans="1:9" ht="14.45">
      <c r="A1109" s="47" t="s">
        <v>1409</v>
      </c>
      <c r="B1109" s="31" t="s">
        <v>17</v>
      </c>
      <c r="C1109" s="31">
        <v>56</v>
      </c>
      <c r="D1109" s="31" t="s">
        <v>41</v>
      </c>
      <c r="E1109" s="31">
        <v>1000</v>
      </c>
      <c r="F1109" s="31">
        <v>31</v>
      </c>
      <c r="G1109" s="31" t="s">
        <v>1404</v>
      </c>
      <c r="H1109" s="42" t="s">
        <v>19</v>
      </c>
      <c r="I1109" s="31" t="s">
        <v>20</v>
      </c>
    </row>
    <row r="1110" spans="1:9" ht="14.45">
      <c r="A1110" s="47" t="s">
        <v>1410</v>
      </c>
      <c r="B1110" s="31" t="s">
        <v>17</v>
      </c>
      <c r="C1110" s="31">
        <v>56</v>
      </c>
      <c r="D1110" s="31" t="s">
        <v>41</v>
      </c>
      <c r="E1110" s="31">
        <v>1000</v>
      </c>
      <c r="F1110" s="31">
        <v>31</v>
      </c>
      <c r="G1110" s="31" t="s">
        <v>1404</v>
      </c>
      <c r="H1110" s="42" t="s">
        <v>19</v>
      </c>
      <c r="I1110" s="31" t="s">
        <v>20</v>
      </c>
    </row>
    <row r="1111" spans="1:9" ht="14.45">
      <c r="A1111" s="47" t="s">
        <v>1411</v>
      </c>
      <c r="B1111" s="31" t="s">
        <v>17</v>
      </c>
      <c r="C1111" s="31">
        <v>56</v>
      </c>
      <c r="D1111" s="31" t="s">
        <v>41</v>
      </c>
      <c r="E1111" s="31">
        <v>1000</v>
      </c>
      <c r="F1111" s="31">
        <v>31</v>
      </c>
      <c r="G1111" s="31" t="s">
        <v>1404</v>
      </c>
      <c r="H1111" s="42" t="s">
        <v>19</v>
      </c>
      <c r="I1111" s="31" t="s">
        <v>20</v>
      </c>
    </row>
    <row r="1112" spans="1:9" ht="14.45">
      <c r="A1112" s="47" t="s">
        <v>1412</v>
      </c>
      <c r="B1112" s="31" t="s">
        <v>17</v>
      </c>
      <c r="C1112" s="31">
        <v>56</v>
      </c>
      <c r="D1112" s="31" t="s">
        <v>41</v>
      </c>
      <c r="E1112" s="31">
        <v>1000</v>
      </c>
      <c r="F1112" s="31">
        <v>31</v>
      </c>
      <c r="G1112" s="31" t="s">
        <v>1404</v>
      </c>
      <c r="H1112" s="42" t="s">
        <v>19</v>
      </c>
      <c r="I1112" s="31" t="s">
        <v>20</v>
      </c>
    </row>
    <row r="1113" spans="1:9" ht="14.45">
      <c r="A1113" s="47" t="s">
        <v>1413</v>
      </c>
      <c r="B1113" s="31" t="s">
        <v>17</v>
      </c>
      <c r="C1113" s="31">
        <v>56</v>
      </c>
      <c r="D1113" s="31" t="s">
        <v>41</v>
      </c>
      <c r="E1113" s="31">
        <v>1000</v>
      </c>
      <c r="F1113" s="31">
        <v>31</v>
      </c>
      <c r="G1113" s="31" t="s">
        <v>1404</v>
      </c>
      <c r="H1113" s="42" t="s">
        <v>19</v>
      </c>
      <c r="I1113" s="31" t="s">
        <v>20</v>
      </c>
    </row>
    <row r="1114" spans="1:9" ht="14.45">
      <c r="A1114" s="47" t="s">
        <v>1414</v>
      </c>
      <c r="B1114" s="31" t="s">
        <v>17</v>
      </c>
      <c r="C1114" s="31">
        <v>56</v>
      </c>
      <c r="D1114" s="31" t="s">
        <v>41</v>
      </c>
      <c r="E1114" s="31">
        <v>1000</v>
      </c>
      <c r="F1114" s="31">
        <v>32</v>
      </c>
      <c r="G1114" s="31" t="s">
        <v>1404</v>
      </c>
      <c r="H1114" s="42" t="s">
        <v>19</v>
      </c>
      <c r="I1114" s="31" t="s">
        <v>20</v>
      </c>
    </row>
    <row r="1115" spans="1:9" ht="14.45">
      <c r="A1115" s="47" t="s">
        <v>1415</v>
      </c>
      <c r="B1115" s="31" t="s">
        <v>17</v>
      </c>
      <c r="C1115" s="31">
        <v>56</v>
      </c>
      <c r="D1115" s="31" t="s">
        <v>41</v>
      </c>
      <c r="E1115" s="31">
        <v>1000</v>
      </c>
      <c r="F1115" s="31">
        <v>31</v>
      </c>
      <c r="G1115" s="31" t="s">
        <v>1404</v>
      </c>
      <c r="H1115" s="42" t="s">
        <v>19</v>
      </c>
      <c r="I1115" s="31" t="s">
        <v>20</v>
      </c>
    </row>
    <row r="1116" spans="1:9" ht="14.45">
      <c r="A1116" s="47" t="s">
        <v>1416</v>
      </c>
      <c r="B1116" s="31" t="s">
        <v>17</v>
      </c>
      <c r="C1116" s="31">
        <v>56</v>
      </c>
      <c r="D1116" s="31" t="s">
        <v>41</v>
      </c>
      <c r="E1116" s="31">
        <v>1000</v>
      </c>
      <c r="F1116" s="31">
        <v>31</v>
      </c>
      <c r="G1116" s="31" t="s">
        <v>1404</v>
      </c>
      <c r="H1116" s="42" t="s">
        <v>19</v>
      </c>
      <c r="I1116" s="31" t="s">
        <v>20</v>
      </c>
    </row>
    <row r="1117" spans="1:9" ht="14.45">
      <c r="A1117" s="47" t="s">
        <v>1417</v>
      </c>
      <c r="B1117" s="31" t="s">
        <v>17</v>
      </c>
      <c r="C1117" s="31">
        <v>56</v>
      </c>
      <c r="D1117" s="31" t="s">
        <v>41</v>
      </c>
      <c r="E1117" s="31">
        <v>1000</v>
      </c>
      <c r="F1117" s="31">
        <v>31</v>
      </c>
      <c r="G1117" s="31" t="s">
        <v>1404</v>
      </c>
      <c r="H1117" s="42" t="s">
        <v>19</v>
      </c>
      <c r="I1117" s="31" t="s">
        <v>20</v>
      </c>
    </row>
    <row r="1118" spans="1:9" ht="14.45">
      <c r="A1118" s="47" t="s">
        <v>1418</v>
      </c>
      <c r="B1118" s="31" t="s">
        <v>17</v>
      </c>
      <c r="C1118" s="31">
        <v>56</v>
      </c>
      <c r="D1118" s="31" t="s">
        <v>41</v>
      </c>
      <c r="E1118" s="31">
        <v>5000</v>
      </c>
      <c r="F1118" s="31">
        <v>6</v>
      </c>
      <c r="G1118" s="31" t="s">
        <v>1399</v>
      </c>
      <c r="H1118" s="42" t="s">
        <v>42</v>
      </c>
      <c r="I1118" s="31" t="s">
        <v>20</v>
      </c>
    </row>
    <row r="1119" spans="1:9" ht="14.45">
      <c r="A1119" s="47" t="s">
        <v>1419</v>
      </c>
      <c r="B1119" s="31" t="s">
        <v>17</v>
      </c>
      <c r="C1119" s="31">
        <v>56</v>
      </c>
      <c r="D1119" s="31" t="s">
        <v>41</v>
      </c>
      <c r="E1119" s="31">
        <v>1000</v>
      </c>
      <c r="F1119" s="31">
        <v>31</v>
      </c>
      <c r="G1119" s="31" t="s">
        <v>629</v>
      </c>
      <c r="H1119" s="42" t="s">
        <v>19</v>
      </c>
      <c r="I1119" s="31" t="s">
        <v>20</v>
      </c>
    </row>
    <row r="1120" spans="1:9" ht="14.45">
      <c r="A1120" s="47" t="s">
        <v>1420</v>
      </c>
      <c r="B1120" s="31" t="s">
        <v>17</v>
      </c>
      <c r="C1120" s="31">
        <v>56</v>
      </c>
      <c r="D1120" s="31" t="s">
        <v>41</v>
      </c>
      <c r="E1120" s="31">
        <v>1000</v>
      </c>
      <c r="F1120" s="31">
        <v>31</v>
      </c>
      <c r="G1120" s="31" t="s">
        <v>629</v>
      </c>
      <c r="H1120" s="42" t="s">
        <v>19</v>
      </c>
      <c r="I1120" s="31" t="s">
        <v>20</v>
      </c>
    </row>
    <row r="1121" spans="1:9" ht="14.45">
      <c r="A1121" s="47" t="s">
        <v>1421</v>
      </c>
      <c r="B1121" s="31" t="s">
        <v>17</v>
      </c>
      <c r="C1121" s="31">
        <v>56</v>
      </c>
      <c r="D1121" s="31" t="s">
        <v>41</v>
      </c>
      <c r="E1121" s="31">
        <v>1000</v>
      </c>
      <c r="F1121" s="31">
        <v>31</v>
      </c>
      <c r="G1121" s="31" t="s">
        <v>629</v>
      </c>
      <c r="H1121" s="42" t="s">
        <v>19</v>
      </c>
      <c r="I1121" s="31" t="s">
        <v>20</v>
      </c>
    </row>
    <row r="1122" spans="1:9" ht="14.45">
      <c r="A1122" s="47" t="s">
        <v>1422</v>
      </c>
      <c r="B1122" s="31" t="s">
        <v>17</v>
      </c>
      <c r="C1122" s="31">
        <v>56</v>
      </c>
      <c r="D1122" s="31" t="s">
        <v>41</v>
      </c>
      <c r="E1122" s="31">
        <v>1000</v>
      </c>
      <c r="F1122" s="31">
        <v>31</v>
      </c>
      <c r="G1122" s="31" t="s">
        <v>629</v>
      </c>
      <c r="H1122" s="42" t="s">
        <v>19</v>
      </c>
      <c r="I1122" s="31" t="s">
        <v>20</v>
      </c>
    </row>
    <row r="1123" spans="1:9" ht="14.45">
      <c r="A1123" s="47" t="s">
        <v>1423</v>
      </c>
      <c r="B1123" s="31" t="s">
        <v>17</v>
      </c>
      <c r="C1123" s="31">
        <v>56</v>
      </c>
      <c r="D1123" s="31" t="s">
        <v>41</v>
      </c>
      <c r="E1123" s="31">
        <v>1000</v>
      </c>
      <c r="F1123" s="31">
        <v>31</v>
      </c>
      <c r="G1123" s="31" t="s">
        <v>1399</v>
      </c>
      <c r="H1123" s="42" t="s">
        <v>19</v>
      </c>
      <c r="I1123" s="31" t="s">
        <v>20</v>
      </c>
    </row>
    <row r="1124" spans="1:9" ht="14.45">
      <c r="A1124" s="47" t="s">
        <v>1424</v>
      </c>
      <c r="B1124" s="31" t="s">
        <v>17</v>
      </c>
      <c r="C1124" s="31">
        <v>56</v>
      </c>
      <c r="D1124" s="31" t="s">
        <v>41</v>
      </c>
      <c r="E1124" s="31">
        <v>1000</v>
      </c>
      <c r="F1124" s="31">
        <v>31</v>
      </c>
      <c r="G1124" s="31" t="s">
        <v>1399</v>
      </c>
      <c r="H1124" s="42" t="s">
        <v>19</v>
      </c>
      <c r="I1124" s="31" t="s">
        <v>20</v>
      </c>
    </row>
    <row r="1125" spans="1:9" ht="14.45">
      <c r="A1125" s="47" t="s">
        <v>1425</v>
      </c>
      <c r="B1125" s="31" t="s">
        <v>17</v>
      </c>
      <c r="C1125" s="31">
        <v>56</v>
      </c>
      <c r="D1125" s="31" t="s">
        <v>41</v>
      </c>
      <c r="E1125" s="31">
        <v>1000</v>
      </c>
      <c r="F1125" s="31">
        <v>31</v>
      </c>
      <c r="G1125" s="31" t="s">
        <v>1401</v>
      </c>
      <c r="H1125" s="42" t="s">
        <v>19</v>
      </c>
      <c r="I1125" s="31" t="s">
        <v>20</v>
      </c>
    </row>
    <row r="1126" spans="1:9" ht="14.45">
      <c r="A1126" s="47" t="s">
        <v>1426</v>
      </c>
      <c r="B1126" s="31" t="s">
        <v>17</v>
      </c>
      <c r="C1126" s="31">
        <v>56</v>
      </c>
      <c r="D1126" s="31" t="s">
        <v>41</v>
      </c>
      <c r="E1126" s="31">
        <v>1000</v>
      </c>
      <c r="F1126" s="31">
        <v>31</v>
      </c>
      <c r="G1126" s="31" t="s">
        <v>1401</v>
      </c>
      <c r="H1126" s="42" t="s">
        <v>19</v>
      </c>
      <c r="I1126" s="31" t="s">
        <v>20</v>
      </c>
    </row>
    <row r="1127" spans="1:9" ht="14.45">
      <c r="A1127" s="47" t="s">
        <v>1427</v>
      </c>
      <c r="B1127" s="31" t="s">
        <v>17</v>
      </c>
      <c r="C1127" s="31">
        <v>56</v>
      </c>
      <c r="D1127" s="31" t="s">
        <v>41</v>
      </c>
      <c r="E1127" s="31">
        <v>1000</v>
      </c>
      <c r="F1127" s="31">
        <v>31</v>
      </c>
      <c r="G1127" s="31" t="s">
        <v>1401</v>
      </c>
      <c r="H1127" s="42" t="s">
        <v>19</v>
      </c>
      <c r="I1127" s="31" t="s">
        <v>20</v>
      </c>
    </row>
    <row r="1128" spans="1:9" ht="14.45">
      <c r="A1128" s="47" t="s">
        <v>1428</v>
      </c>
      <c r="B1128" s="31" t="s">
        <v>17</v>
      </c>
      <c r="C1128" s="31">
        <v>56</v>
      </c>
      <c r="D1128" s="31" t="s">
        <v>41</v>
      </c>
      <c r="E1128" s="31">
        <v>1000</v>
      </c>
      <c r="F1128" s="31">
        <v>32</v>
      </c>
      <c r="G1128" s="31" t="s">
        <v>1401</v>
      </c>
      <c r="H1128" s="42" t="s">
        <v>19</v>
      </c>
      <c r="I1128" s="31" t="s">
        <v>20</v>
      </c>
    </row>
    <row r="1129" spans="1:9" ht="14.45">
      <c r="A1129" s="47" t="s">
        <v>1429</v>
      </c>
      <c r="B1129" s="31" t="s">
        <v>17</v>
      </c>
      <c r="C1129" s="31">
        <v>56</v>
      </c>
      <c r="D1129" s="31" t="s">
        <v>41</v>
      </c>
      <c r="E1129" s="31">
        <v>1000</v>
      </c>
      <c r="F1129" s="31">
        <v>31</v>
      </c>
      <c r="G1129" s="31" t="s">
        <v>1401</v>
      </c>
      <c r="H1129" s="42" t="s">
        <v>19</v>
      </c>
      <c r="I1129" s="31" t="s">
        <v>20</v>
      </c>
    </row>
    <row r="1130" spans="1:9" ht="14.45">
      <c r="A1130" s="47" t="s">
        <v>1430</v>
      </c>
      <c r="B1130" s="31" t="s">
        <v>17</v>
      </c>
      <c r="C1130" s="31">
        <v>56</v>
      </c>
      <c r="D1130" s="31" t="s">
        <v>41</v>
      </c>
      <c r="E1130" s="31">
        <v>1000</v>
      </c>
      <c r="F1130" s="31">
        <v>31</v>
      </c>
      <c r="G1130" s="31" t="s">
        <v>1401</v>
      </c>
      <c r="H1130" s="42" t="s">
        <v>19</v>
      </c>
      <c r="I1130" s="31" t="s">
        <v>20</v>
      </c>
    </row>
    <row r="1131" spans="1:9" ht="14.45">
      <c r="A1131" s="47" t="s">
        <v>1431</v>
      </c>
      <c r="B1131" s="31" t="s">
        <v>17</v>
      </c>
      <c r="C1131" s="31">
        <v>56</v>
      </c>
      <c r="D1131" s="31" t="s">
        <v>41</v>
      </c>
      <c r="E1131" s="31">
        <v>1000</v>
      </c>
      <c r="F1131" s="31">
        <v>31</v>
      </c>
      <c r="G1131" s="31" t="s">
        <v>1401</v>
      </c>
      <c r="H1131" s="42" t="s">
        <v>19</v>
      </c>
      <c r="I1131" s="31" t="s">
        <v>20</v>
      </c>
    </row>
    <row r="1132" spans="1:9" ht="14.45">
      <c r="A1132" s="47" t="s">
        <v>1432</v>
      </c>
      <c r="B1132" s="31" t="s">
        <v>17</v>
      </c>
      <c r="C1132" s="31">
        <v>56</v>
      </c>
      <c r="D1132" s="31" t="s">
        <v>41</v>
      </c>
      <c r="E1132" s="31">
        <v>1000</v>
      </c>
      <c r="F1132" s="31">
        <v>31</v>
      </c>
      <c r="G1132" s="31" t="s">
        <v>1401</v>
      </c>
      <c r="H1132" s="42" t="s">
        <v>19</v>
      </c>
      <c r="I1132" s="31" t="s">
        <v>20</v>
      </c>
    </row>
    <row r="1133" spans="1:9" ht="14.45">
      <c r="A1133" s="47" t="s">
        <v>1433</v>
      </c>
      <c r="B1133" s="31" t="s">
        <v>17</v>
      </c>
      <c r="C1133" s="31">
        <v>56</v>
      </c>
      <c r="D1133" s="31" t="s">
        <v>41</v>
      </c>
      <c r="E1133" s="31">
        <v>1000</v>
      </c>
      <c r="F1133" s="31">
        <v>32</v>
      </c>
      <c r="G1133" s="31" t="s">
        <v>1401</v>
      </c>
      <c r="H1133" s="42" t="s">
        <v>19</v>
      </c>
      <c r="I1133" s="31" t="s">
        <v>20</v>
      </c>
    </row>
    <row r="1134" spans="1:9" ht="14.45">
      <c r="A1134" s="47" t="s">
        <v>1434</v>
      </c>
      <c r="B1134" s="31" t="s">
        <v>17</v>
      </c>
      <c r="C1134" s="31">
        <v>56</v>
      </c>
      <c r="D1134" s="31" t="s">
        <v>41</v>
      </c>
      <c r="E1134" s="31">
        <v>1000</v>
      </c>
      <c r="F1134" s="31">
        <v>32</v>
      </c>
      <c r="G1134" s="31" t="s">
        <v>1401</v>
      </c>
      <c r="H1134" s="42" t="s">
        <v>19</v>
      </c>
      <c r="I1134" s="31" t="s">
        <v>20</v>
      </c>
    </row>
    <row r="1135" spans="1:9" ht="14.45">
      <c r="A1135" s="47" t="s">
        <v>1435</v>
      </c>
      <c r="B1135" s="31" t="s">
        <v>17</v>
      </c>
      <c r="C1135" s="31">
        <v>56</v>
      </c>
      <c r="D1135" s="31" t="s">
        <v>41</v>
      </c>
      <c r="E1135" s="31">
        <v>1000</v>
      </c>
      <c r="F1135" s="31">
        <v>31</v>
      </c>
      <c r="G1135" s="31" t="s">
        <v>1401</v>
      </c>
      <c r="H1135" s="42" t="s">
        <v>19</v>
      </c>
      <c r="I1135" s="31" t="s">
        <v>20</v>
      </c>
    </row>
    <row r="1136" spans="1:9" ht="14.45">
      <c r="A1136" s="47" t="s">
        <v>1436</v>
      </c>
      <c r="B1136" s="31" t="s">
        <v>17</v>
      </c>
      <c r="C1136" s="31">
        <v>56</v>
      </c>
      <c r="D1136" s="31" t="s">
        <v>41</v>
      </c>
      <c r="E1136" s="31">
        <v>1000</v>
      </c>
      <c r="F1136" s="31">
        <v>31</v>
      </c>
      <c r="G1136" s="31" t="s">
        <v>1401</v>
      </c>
      <c r="H1136" s="42" t="s">
        <v>19</v>
      </c>
      <c r="I1136" s="31" t="s">
        <v>20</v>
      </c>
    </row>
    <row r="1137" spans="1:9" ht="14.45">
      <c r="A1137" s="47" t="s">
        <v>1437</v>
      </c>
      <c r="B1137" s="31" t="s">
        <v>17</v>
      </c>
      <c r="C1137" s="31">
        <v>56</v>
      </c>
      <c r="D1137" s="31" t="s">
        <v>41</v>
      </c>
      <c r="E1137" s="31">
        <v>1000</v>
      </c>
      <c r="F1137" s="31">
        <v>31</v>
      </c>
      <c r="G1137" s="31" t="s">
        <v>1401</v>
      </c>
      <c r="H1137" s="42" t="s">
        <v>19</v>
      </c>
      <c r="I1137" s="31" t="s">
        <v>20</v>
      </c>
    </row>
    <row r="1138" spans="1:9" ht="14.45">
      <c r="A1138" s="47" t="s">
        <v>1438</v>
      </c>
      <c r="B1138" s="31" t="s">
        <v>17</v>
      </c>
      <c r="C1138" s="31">
        <v>56</v>
      </c>
      <c r="D1138" s="31" t="s">
        <v>41</v>
      </c>
      <c r="E1138" s="31">
        <v>1000</v>
      </c>
      <c r="F1138" s="31">
        <v>31</v>
      </c>
      <c r="G1138" s="31" t="s">
        <v>1401</v>
      </c>
      <c r="H1138" s="42" t="s">
        <v>19</v>
      </c>
      <c r="I1138" s="31" t="s">
        <v>20</v>
      </c>
    </row>
    <row r="1139" spans="1:9" ht="14.45">
      <c r="A1139" s="47" t="s">
        <v>1439</v>
      </c>
      <c r="B1139" s="31" t="s">
        <v>17</v>
      </c>
      <c r="C1139" s="31">
        <v>56</v>
      </c>
      <c r="D1139" s="31" t="s">
        <v>41</v>
      </c>
      <c r="E1139" s="31">
        <v>1000</v>
      </c>
      <c r="F1139" s="31">
        <v>32</v>
      </c>
      <c r="G1139" s="31" t="s">
        <v>1401</v>
      </c>
      <c r="H1139" s="42" t="s">
        <v>19</v>
      </c>
      <c r="I1139" s="31" t="s">
        <v>20</v>
      </c>
    </row>
    <row r="1140" spans="1:9" ht="14.45"/>
    <row r="1141" spans="1:9" ht="14.45"/>
    <row r="1142" spans="1:9" ht="14.45"/>
    <row r="1143" spans="1:9" ht="14.45"/>
    <row r="1144" spans="1:9" ht="14.45"/>
    <row r="1145" spans="1:9" ht="14.45"/>
    <row r="1146" spans="1:9" ht="14.45"/>
    <row r="1147" spans="1:9" ht="14.45"/>
    <row r="1148" spans="1:9" ht="14.45"/>
    <row r="1149" spans="1:9" ht="14.45"/>
    <row r="1150" spans="1:9" ht="14.45"/>
    <row r="1151" spans="1:9" ht="14.45"/>
    <row r="1152" spans="1:9" ht="14.45"/>
    <row r="1153" ht="14.45"/>
    <row r="1154" ht="14.45"/>
    <row r="1155" ht="14.45"/>
    <row r="1156" ht="14.45"/>
    <row r="1157" ht="14.45"/>
    <row r="1158" ht="14.45"/>
    <row r="1159" ht="14.45"/>
    <row r="1160" ht="14.45"/>
    <row r="1161" ht="14.45"/>
    <row r="1162" ht="14.45"/>
    <row r="1163" ht="14.45"/>
    <row r="1164" ht="14.45"/>
    <row r="1165" ht="14.45"/>
    <row r="1166" ht="14.45"/>
    <row r="1167" ht="14.45"/>
    <row r="1168" ht="14.45"/>
    <row r="1169" ht="14.45"/>
    <row r="1170" ht="14.45"/>
    <row r="1171" ht="14.45"/>
    <row r="1172" ht="14.45"/>
    <row r="1173" ht="14.45"/>
    <row r="1174" ht="14.45"/>
    <row r="1175" ht="14.45"/>
    <row r="1176" ht="14.45"/>
    <row r="1177" ht="14.45"/>
    <row r="1178" ht="14.45"/>
    <row r="1179" ht="14.45"/>
    <row r="1180" ht="14.45"/>
    <row r="1181" ht="14.45"/>
    <row r="1182" ht="14.45"/>
    <row r="1183" ht="14.45"/>
    <row r="1184" ht="14.45"/>
    <row r="1185" ht="14.45"/>
    <row r="1186" ht="14.45"/>
    <row r="1187" ht="14.45"/>
    <row r="1188" ht="14.45"/>
    <row r="1189" ht="14.45"/>
    <row r="1190" ht="14.45"/>
    <row r="1191" ht="14.45"/>
    <row r="1192" ht="14.45"/>
    <row r="1193" ht="14.45"/>
    <row r="1194" ht="14.45"/>
    <row r="1195" ht="14.45"/>
    <row r="1196" ht="14.45"/>
    <row r="1197" ht="14.45"/>
    <row r="1198" ht="14.45"/>
    <row r="1199" ht="14.45"/>
    <row r="1200" ht="14.45"/>
    <row r="1201" ht="14.45"/>
    <row r="1202" ht="14.45"/>
    <row r="1203" ht="14.45"/>
    <row r="1204" ht="14.45"/>
    <row r="1205" ht="14.45"/>
    <row r="1206" ht="14.45"/>
    <row r="1207" ht="14.45"/>
    <row r="1208" ht="14.45"/>
    <row r="1209" ht="14.45"/>
    <row r="1210" ht="14.45"/>
    <row r="1211" ht="14.45"/>
    <row r="1212" ht="14.45"/>
    <row r="1213" ht="14.45"/>
    <row r="1214" ht="14.45"/>
    <row r="1215" ht="14.45"/>
    <row r="1216" ht="14.45"/>
    <row r="1217" ht="14.45"/>
    <row r="1218" ht="14.45"/>
    <row r="1219" ht="14.45"/>
    <row r="1220" ht="14.45"/>
    <row r="1221" ht="14.45"/>
    <row r="1222" ht="14.45"/>
    <row r="1223" ht="14.45"/>
    <row r="1224" ht="14.45"/>
    <row r="1225" ht="14.45"/>
    <row r="1226" ht="14.45"/>
    <row r="1227" ht="14.45"/>
    <row r="1228" ht="14.45"/>
    <row r="1229" ht="14.45"/>
    <row r="1230" ht="14.45"/>
    <row r="1231" ht="14.45"/>
    <row r="1232" ht="14.45"/>
    <row r="1233" ht="14.45"/>
    <row r="1234" ht="14.45"/>
    <row r="1235" ht="14.45"/>
    <row r="1236" ht="14.45"/>
    <row r="1237" ht="14.45"/>
    <row r="1238" ht="14.45"/>
    <row r="1239" ht="14.45"/>
    <row r="1240" ht="14.45"/>
    <row r="1241" ht="14.45"/>
    <row r="1242" ht="14.45"/>
    <row r="1243" ht="14.45"/>
    <row r="1244" ht="14.45"/>
    <row r="1245" ht="14.45"/>
    <row r="1246" ht="14.45"/>
    <row r="1247" ht="14.45"/>
    <row r="1248" ht="14.45"/>
    <row r="1249" ht="14.45"/>
    <row r="1250" ht="14.45"/>
    <row r="1251" ht="14.45"/>
    <row r="1252" ht="14.45"/>
    <row r="1253" ht="14.45"/>
    <row r="1254" ht="14.45"/>
    <row r="1255" ht="14.45"/>
    <row r="1256" ht="14.45"/>
    <row r="1257" ht="14.45"/>
    <row r="1258" ht="14.45"/>
    <row r="1259" ht="14.45"/>
    <row r="1260" ht="14.45"/>
    <row r="1261" ht="14.45"/>
    <row r="1262" ht="14.45"/>
    <row r="1263" ht="14.45"/>
    <row r="1264" ht="14.45"/>
    <row r="1265" ht="14.45"/>
    <row r="1266" ht="14.45"/>
    <row r="1267" ht="14.45"/>
    <row r="1268" ht="14.45"/>
    <row r="1269" ht="14.45"/>
    <row r="1270" ht="14.45"/>
    <row r="1271" ht="14.45"/>
    <row r="1272" ht="14.45"/>
    <row r="1273" ht="14.45"/>
    <row r="1274" ht="14.45"/>
    <row r="1275" ht="14.45"/>
    <row r="1276" ht="14.45"/>
    <row r="1277" ht="14.45"/>
    <row r="1278" ht="14.45"/>
    <row r="1279" ht="14.45"/>
    <row r="1280" ht="14.45"/>
    <row r="1281" ht="14.45"/>
    <row r="1282" ht="14.45"/>
    <row r="1283" ht="14.45"/>
    <row r="1284" ht="14.45"/>
    <row r="1285" ht="14.45"/>
    <row r="1286" ht="14.45"/>
    <row r="1287" ht="14.45"/>
    <row r="1288" ht="14.45"/>
    <row r="1289" ht="14.45"/>
    <row r="1290" ht="14.45"/>
    <row r="1291" ht="14.45"/>
    <row r="1292" ht="14.45"/>
    <row r="1293" ht="14.45"/>
    <row r="1294" ht="14.45"/>
    <row r="1295" ht="14.45"/>
    <row r="1296" ht="14.45"/>
    <row r="1297" ht="14.45"/>
    <row r="1298" ht="14.45"/>
    <row r="1299" ht="14.45"/>
    <row r="1300" ht="14.45"/>
    <row r="1301" ht="14.45"/>
    <row r="1302" ht="14.45"/>
    <row r="1303" ht="14.45"/>
    <row r="1304" ht="14.45"/>
    <row r="1305" ht="14.45"/>
    <row r="1306" ht="14.45"/>
    <row r="1307" ht="14.45"/>
    <row r="1308" ht="14.45"/>
    <row r="1309" ht="14.45"/>
    <row r="1310" ht="14.45"/>
    <row r="1311" ht="14.45"/>
    <row r="1312" ht="14.45"/>
    <row r="1313" ht="14.45"/>
    <row r="1314" ht="14.45"/>
    <row r="1315" ht="14.45"/>
    <row r="1316" ht="14.45"/>
    <row r="1317" ht="14.45"/>
    <row r="1318" ht="14.45"/>
    <row r="1319" ht="14.45"/>
    <row r="1320" ht="14.45"/>
    <row r="1321" ht="14.45"/>
    <row r="1322" ht="14.45"/>
    <row r="1323" ht="14.45"/>
    <row r="1324" ht="14.45"/>
    <row r="1325" ht="14.45"/>
    <row r="1326" ht="14.45"/>
    <row r="1327" ht="14.45"/>
    <row r="1328" ht="14.45"/>
    <row r="1329" ht="14.45"/>
    <row r="1330" ht="14.45"/>
    <row r="1331" ht="14.45"/>
    <row r="1332" ht="14.45"/>
    <row r="1333" ht="14.45"/>
    <row r="1334" ht="14.45"/>
    <row r="1335" ht="14.45"/>
    <row r="1336" ht="14.45"/>
    <row r="1337" ht="14.45"/>
    <row r="1338" ht="14.45"/>
    <row r="1339" ht="14.45"/>
    <row r="1340" ht="14.45"/>
    <row r="1341" ht="14.45"/>
    <row r="1342" ht="14.45"/>
    <row r="1343" ht="14.45"/>
    <row r="1344" ht="14.45"/>
    <row r="1345" ht="14.45"/>
    <row r="1346" ht="14.45"/>
    <row r="1347" ht="14.45"/>
    <row r="1348" ht="14.45"/>
    <row r="1349" ht="14.45"/>
    <row r="1350" ht="14.45"/>
    <row r="1351" ht="14.45"/>
    <row r="1352" ht="14.45"/>
    <row r="1353" ht="14.45"/>
    <row r="1354" ht="14.45"/>
    <row r="1355" ht="14.45"/>
    <row r="1356" ht="14.45"/>
    <row r="1357" ht="14.45"/>
    <row r="1358" ht="14.45"/>
    <row r="1359" ht="14.45"/>
    <row r="1360" ht="14.45"/>
    <row r="1361" ht="14.45"/>
    <row r="1362" ht="14.45"/>
    <row r="1363" ht="14.45"/>
    <row r="1364" ht="14.45"/>
    <row r="1365" ht="14.45"/>
    <row r="1366" ht="14.45"/>
    <row r="1367" ht="14.45"/>
    <row r="1368" ht="14.45"/>
    <row r="1369" ht="14.45"/>
    <row r="1370" ht="14.45"/>
    <row r="1371" ht="14.45"/>
    <row r="1372" ht="14.45"/>
    <row r="1373" ht="14.45"/>
    <row r="1374" ht="14.45"/>
    <row r="1375" ht="14.45"/>
    <row r="1376" ht="14.45"/>
    <row r="1377" ht="14.45"/>
    <row r="1378" ht="14.45"/>
    <row r="1379" ht="14.45"/>
    <row r="1380" ht="14.45"/>
    <row r="1381" ht="14.45"/>
    <row r="1382" ht="14.45"/>
    <row r="1383" ht="14.45"/>
    <row r="1384" ht="14.45"/>
    <row r="1385" ht="14.45"/>
    <row r="1386" ht="14.45"/>
    <row r="1387" ht="14.45"/>
    <row r="1388" ht="14.45"/>
    <row r="1389" ht="14.45"/>
    <row r="1390" ht="14.45"/>
    <row r="1391" ht="14.45"/>
    <row r="1392" ht="14.45"/>
    <row r="1393" ht="14.45"/>
    <row r="1394" ht="14.45"/>
    <row r="1395" ht="14.45"/>
    <row r="1396" ht="14.45"/>
    <row r="1397" ht="14.45"/>
    <row r="1398" ht="14.45"/>
    <row r="1399" ht="14.45"/>
    <row r="1400" ht="14.45"/>
    <row r="1401" ht="14.45"/>
    <row r="1402" ht="14.45"/>
    <row r="1403" ht="14.45"/>
    <row r="1404" ht="14.45"/>
    <row r="1405" ht="14.45"/>
    <row r="1406" ht="14.45"/>
    <row r="1407" ht="14.45"/>
    <row r="1408" ht="14.45"/>
    <row r="1409" ht="14.45"/>
    <row r="1410" ht="14.45"/>
    <row r="1411" ht="14.45"/>
    <row r="1412" ht="14.45"/>
    <row r="1413" ht="14.45"/>
    <row r="1414" ht="14.45"/>
    <row r="1415" ht="14.45"/>
    <row r="1416" ht="14.45"/>
    <row r="1417" ht="14.45"/>
    <row r="1418" ht="14.45"/>
    <row r="1419" ht="14.45"/>
    <row r="1420" ht="14.45"/>
    <row r="1421" ht="14.45"/>
    <row r="1422" ht="14.45"/>
    <row r="1423" ht="14.45"/>
    <row r="1424" ht="14.45"/>
    <row r="1425" ht="14.45"/>
    <row r="1426" ht="14.45"/>
    <row r="1427" ht="14.45"/>
    <row r="1428" ht="14.45"/>
    <row r="1429" ht="14.45"/>
    <row r="1430" ht="14.45"/>
    <row r="1431" ht="14.45"/>
    <row r="1432" ht="14.45"/>
    <row r="1433" ht="14.45"/>
    <row r="1434" ht="14.45"/>
    <row r="1435" ht="14.45"/>
    <row r="1436" ht="14.45"/>
    <row r="1437" ht="14.45"/>
    <row r="1438" ht="14.45"/>
    <row r="1439" ht="14.45"/>
    <row r="1440" ht="14.45"/>
    <row r="1441" ht="14.45"/>
    <row r="1442" ht="14.45"/>
    <row r="1443" ht="14.45"/>
    <row r="1444" ht="14.45"/>
    <row r="1445" ht="14.45"/>
    <row r="1446" ht="14.45"/>
    <row r="1447" ht="14.45"/>
    <row r="1448" ht="14.45"/>
    <row r="1449" ht="14.45"/>
    <row r="1450" ht="14.45"/>
    <row r="1451" ht="14.45"/>
    <row r="1452" ht="14.45"/>
    <row r="1453" ht="14.45"/>
    <row r="1454" ht="14.45"/>
    <row r="1455" ht="14.45"/>
    <row r="1456" ht="14.45"/>
    <row r="1457" ht="14.45"/>
    <row r="1458" ht="14.45"/>
    <row r="1459" ht="14.45"/>
    <row r="1460" ht="14.45"/>
    <row r="1461" ht="14.45"/>
    <row r="1462" ht="14.45"/>
    <row r="1463" ht="14.45"/>
    <row r="1464" ht="14.45"/>
    <row r="1465" ht="14.45"/>
    <row r="1466" ht="14.45"/>
    <row r="1467" ht="14.45"/>
    <row r="1468" ht="14.45"/>
    <row r="1469" ht="14.45"/>
    <row r="1470" ht="14.45"/>
    <row r="1471" ht="14.45"/>
    <row r="1472" ht="14.45"/>
    <row r="1473" ht="14.45"/>
    <row r="1474" ht="14.45"/>
    <row r="1475" ht="14.45"/>
    <row r="1476" ht="14.45"/>
    <row r="1477" ht="14.45"/>
    <row r="1478" ht="14.45"/>
    <row r="1479" ht="14.45"/>
    <row r="1480" ht="14.45"/>
    <row r="1481" ht="14.45"/>
    <row r="1482" ht="14.45"/>
    <row r="1483" ht="14.45"/>
    <row r="1484" ht="14.45"/>
    <row r="1485" ht="14.45"/>
    <row r="1486" ht="14.45"/>
    <row r="1487" ht="14.45"/>
    <row r="1488" ht="14.45"/>
    <row r="1489" ht="14.45"/>
    <row r="1490" ht="14.45"/>
    <row r="1491" ht="14.45"/>
    <row r="1492" ht="14.45"/>
    <row r="1493" ht="14.45"/>
    <row r="1494" ht="14.45"/>
    <row r="1495" ht="14.45"/>
    <row r="1496" ht="14.45"/>
    <row r="1497" ht="14.45"/>
    <row r="1498" ht="14.45"/>
    <row r="1499" ht="14.45"/>
    <row r="1500" ht="14.45"/>
    <row r="1501" ht="14.45"/>
    <row r="1502" ht="14.45"/>
    <row r="1503" ht="14.45"/>
    <row r="1504" ht="14.45"/>
    <row r="1505" ht="14.45"/>
    <row r="1506" ht="14.45"/>
    <row r="1507" ht="14.45"/>
    <row r="1508" ht="14.45"/>
    <row r="1509" ht="14.45"/>
    <row r="1510" ht="14.45"/>
    <row r="1511" ht="14.45"/>
    <row r="1512" ht="14.45"/>
    <row r="1513" ht="14.45"/>
    <row r="1514" ht="14.45"/>
    <row r="1515" ht="14.45"/>
    <row r="1516" ht="14.45"/>
    <row r="1517" ht="14.45"/>
    <row r="1518" ht="14.45"/>
    <row r="1519" ht="14.45"/>
    <row r="1520" ht="14.45"/>
    <row r="1521" ht="14.45"/>
    <row r="1522" ht="14.45"/>
    <row r="1523" ht="14.45"/>
    <row r="1524" ht="14.45"/>
    <row r="1525" ht="14.45"/>
    <row r="1526" ht="14.45"/>
    <row r="1527" ht="14.45"/>
    <row r="1528" ht="14.45"/>
    <row r="1529" ht="14.45"/>
    <row r="1530" ht="14.45"/>
    <row r="1531" ht="14.45"/>
    <row r="1532" ht="14.45"/>
    <row r="1533" ht="14.45"/>
    <row r="1534" ht="14.45"/>
    <row r="1535" ht="14.45"/>
    <row r="1536" ht="14.45"/>
    <row r="1537" ht="14.45"/>
    <row r="1538" ht="14.45"/>
    <row r="1539" ht="14.45"/>
    <row r="1540" ht="14.45"/>
    <row r="1541" ht="14.45"/>
    <row r="1542" ht="14.45"/>
    <row r="1543" ht="14.45"/>
    <row r="1544" ht="14.45"/>
    <row r="1545" ht="14.45"/>
    <row r="1546" ht="14.45"/>
    <row r="1547" ht="14.45"/>
    <row r="1548" ht="14.45"/>
    <row r="1549" ht="14.45"/>
    <row r="1550" ht="14.45"/>
    <row r="1551" ht="14.45"/>
    <row r="1552" ht="14.45"/>
    <row r="1553" ht="14.45"/>
    <row r="1554" ht="14.45"/>
    <row r="1555" ht="14.45"/>
    <row r="1556" ht="14.45"/>
    <row r="1557" ht="14.45"/>
    <row r="1558" ht="14.45"/>
    <row r="1559" ht="14.45"/>
    <row r="1560" ht="14.45"/>
    <row r="1561" ht="14.45"/>
    <row r="1562" ht="14.45"/>
    <row r="1563" ht="14.45"/>
    <row r="1564" ht="14.45"/>
    <row r="1565" ht="14.45"/>
    <row r="1566" ht="14.45"/>
    <row r="1567" ht="14.45"/>
    <row r="1568" ht="14.45"/>
    <row r="1569" ht="14.45"/>
    <row r="1570" ht="14.45"/>
    <row r="1571" ht="14.45"/>
    <row r="1572" ht="14.45"/>
    <row r="1573" ht="14.45"/>
    <row r="1574" ht="14.45"/>
    <row r="1575" ht="14.45"/>
    <row r="1576" ht="14.45"/>
    <row r="1577" ht="14.45"/>
    <row r="1578" ht="14.45"/>
    <row r="1579" ht="14.45"/>
    <row r="1580" ht="14.45"/>
    <row r="1581" ht="14.45"/>
    <row r="1582" ht="14.45"/>
    <row r="1583" ht="14.45"/>
    <row r="1584" ht="14.45"/>
    <row r="1585" ht="14.45"/>
    <row r="1586" ht="14.45"/>
    <row r="1587" ht="14.45"/>
    <row r="1588" ht="14.45"/>
    <row r="1589" ht="14.45"/>
    <row r="1590" ht="14.45"/>
    <row r="1591" ht="14.45"/>
    <row r="1592" ht="14.45"/>
    <row r="1593" ht="14.45"/>
    <row r="1594" ht="14.45"/>
    <row r="1595" ht="14.45"/>
    <row r="1596" ht="14.45"/>
    <row r="1597" ht="14.45"/>
    <row r="1598" ht="14.45"/>
    <row r="1599" ht="14.45"/>
    <row r="1600" ht="14.45"/>
    <row r="1601" ht="14.45"/>
    <row r="1602" ht="14.45"/>
    <row r="1603" ht="14.45"/>
    <row r="1604" ht="14.45"/>
    <row r="1605" ht="14.45"/>
    <row r="1606" ht="14.45"/>
    <row r="1607" ht="14.45"/>
    <row r="1608" ht="14.45"/>
    <row r="1609" ht="14.45"/>
    <row r="1610" ht="14.45"/>
    <row r="1611" ht="14.45"/>
    <row r="1612" ht="14.45"/>
    <row r="1613" ht="14.45"/>
    <row r="1614" ht="14.45"/>
    <row r="1615" ht="14.45"/>
    <row r="1616" ht="14.45"/>
    <row r="1617" ht="14.45"/>
    <row r="1618" ht="14.45"/>
    <row r="1619" ht="14.45"/>
    <row r="1620" ht="14.45"/>
    <row r="1621" ht="14.45"/>
    <row r="1622" ht="14.45"/>
    <row r="1623" ht="14.45"/>
    <row r="1624" ht="14.45"/>
    <row r="1625" ht="14.45"/>
    <row r="1626" ht="14.45"/>
    <row r="1627" ht="14.45"/>
    <row r="1628" ht="14.45"/>
    <row r="1629" ht="14.45"/>
    <row r="1630" ht="14.45"/>
    <row r="1631" ht="14.45"/>
    <row r="1632" ht="14.45"/>
    <row r="1633" ht="14.45"/>
    <row r="1634" ht="14.45"/>
    <row r="1635" ht="14.45"/>
    <row r="1636" ht="14.45"/>
    <row r="1637" ht="14.45"/>
    <row r="1638" ht="14.45"/>
    <row r="1639" ht="14.45"/>
    <row r="1640" ht="14.45"/>
    <row r="1641" ht="14.45"/>
    <row r="1642" ht="14.45"/>
    <row r="1643" ht="14.45"/>
    <row r="1644" ht="14.45"/>
    <row r="1645" ht="14.45"/>
    <row r="1646" ht="14.45"/>
    <row r="1647" ht="14.45"/>
    <row r="1648" ht="14.45"/>
    <row r="1649" ht="14.45"/>
    <row r="1650" ht="14.45"/>
    <row r="1651" ht="14.45"/>
    <row r="1652" ht="14.45"/>
    <row r="1653" ht="14.45"/>
    <row r="1654" ht="14.45"/>
    <row r="1655" ht="14.45"/>
    <row r="1656" ht="14.45"/>
    <row r="1657" ht="14.45"/>
    <row r="1658" ht="14.45"/>
    <row r="1659" ht="14.45"/>
    <row r="1660" ht="14.45"/>
    <row r="1661" ht="14.45"/>
    <row r="1662" ht="14.45"/>
    <row r="1663" ht="14.45"/>
    <row r="1664" ht="14.45"/>
    <row r="1665" ht="14.45"/>
    <row r="1666" ht="14.45"/>
    <row r="1667" ht="14.45"/>
    <row r="1668" ht="14.45"/>
    <row r="1669" ht="14.45"/>
    <row r="1670" ht="14.45"/>
    <row r="1671" ht="14.45"/>
    <row r="1672" ht="14.45"/>
    <row r="1673" ht="14.45"/>
    <row r="1674" ht="14.45"/>
    <row r="1675" ht="14.45"/>
    <row r="1676" ht="14.45"/>
    <row r="1677" ht="14.45"/>
    <row r="1678" ht="14.45"/>
    <row r="1679" ht="14.45"/>
    <row r="1680" ht="14.45"/>
    <row r="1681" ht="14.45"/>
    <row r="1682" ht="14.45"/>
    <row r="1683" ht="14.45"/>
    <row r="1684" ht="14.45"/>
    <row r="1685" ht="14.45"/>
    <row r="1686" ht="14.45"/>
    <row r="1687" ht="14.45"/>
    <row r="1688" ht="14.45"/>
    <row r="1689" ht="14.45"/>
    <row r="1690" ht="14.45"/>
    <row r="1691" ht="14.45"/>
    <row r="1692" ht="14.45"/>
    <row r="1693" ht="14.45"/>
    <row r="1694" ht="14.45"/>
    <row r="1695" ht="14.45"/>
    <row r="1696" ht="14.45"/>
    <row r="1697" ht="14.45"/>
    <row r="1698" ht="14.45"/>
    <row r="1699" ht="14.45"/>
    <row r="1700" ht="14.45"/>
    <row r="1701" ht="14.45"/>
    <row r="1702" ht="14.45"/>
    <row r="1703" ht="14.45"/>
    <row r="1704" ht="14.45"/>
    <row r="1705" ht="14.45"/>
    <row r="1706" ht="14.45"/>
    <row r="1707" ht="14.45"/>
    <row r="1708" ht="14.45"/>
    <row r="1709" ht="14.45"/>
    <row r="1710" ht="14.45"/>
    <row r="1711" ht="14.45"/>
    <row r="1712" ht="14.45"/>
    <row r="1713" ht="14.45"/>
    <row r="1714" ht="14.45"/>
    <row r="1715" ht="14.45"/>
    <row r="1716" ht="14.45"/>
    <row r="1717" ht="14.45"/>
    <row r="1718" ht="14.45"/>
    <row r="1719" ht="14.45"/>
    <row r="1720" ht="14.45"/>
    <row r="1721" ht="14.45"/>
    <row r="1722" ht="14.45"/>
    <row r="1723" ht="14.45"/>
    <row r="1724" ht="14.45"/>
    <row r="1725" ht="14.45"/>
    <row r="1726" ht="14.45"/>
    <row r="1727" ht="14.45"/>
    <row r="1728" ht="14.45"/>
    <row r="1729" ht="14.45"/>
    <row r="1730" ht="14.45"/>
    <row r="1731" ht="14.45"/>
    <row r="1732" ht="14.45"/>
    <row r="1733" ht="14.45"/>
    <row r="1734" ht="14.45"/>
    <row r="1735" ht="14.45"/>
    <row r="1736" ht="14.45"/>
    <row r="1737" ht="14.45"/>
    <row r="1738" ht="14.45"/>
    <row r="1739" ht="14.45"/>
    <row r="1740" ht="14.45"/>
    <row r="1741" ht="14.45"/>
    <row r="1742" ht="14.45"/>
    <row r="1743" ht="14.45"/>
    <row r="1744" ht="14.45"/>
    <row r="1745" ht="14.45"/>
    <row r="1746" ht="14.45"/>
    <row r="1747" ht="14.45"/>
    <row r="1748" ht="14.45"/>
    <row r="1749" ht="14.45"/>
    <row r="1750" ht="14.45"/>
    <row r="1751" ht="14.45"/>
    <row r="1752" ht="14.45"/>
    <row r="1753" ht="14.45"/>
    <row r="1754" ht="14.45"/>
    <row r="1755" ht="14.45"/>
    <row r="1756" ht="14.45"/>
    <row r="1757" ht="14.45"/>
    <row r="1758" ht="14.45"/>
    <row r="1759" ht="14.45"/>
    <row r="1760" ht="14.45"/>
    <row r="1761" ht="14.45"/>
    <row r="1762" ht="14.45"/>
    <row r="1763" ht="14.45"/>
    <row r="1764" ht="14.45"/>
    <row r="1765" ht="14.45"/>
    <row r="1766" ht="14.45"/>
    <row r="1767" ht="14.45"/>
    <row r="1768" ht="14.45"/>
    <row r="1769" ht="14.45"/>
    <row r="1770" ht="14.45"/>
    <row r="1771" ht="14.45"/>
    <row r="1772" ht="14.45"/>
    <row r="1773" ht="14.45"/>
    <row r="1774" ht="14.45"/>
    <row r="1775" ht="14.45"/>
    <row r="1776" ht="14.45"/>
    <row r="1777" ht="14.45"/>
    <row r="1778" ht="14.45"/>
    <row r="1779" ht="14.45"/>
    <row r="1780" ht="14.45"/>
    <row r="1781" ht="14.45"/>
    <row r="1782" ht="14.45"/>
    <row r="1783" ht="14.45"/>
    <row r="1784" ht="14.45"/>
    <row r="1785" ht="14.45"/>
    <row r="1786" ht="14.45"/>
    <row r="1787" ht="14.45"/>
    <row r="1788" ht="14.45"/>
    <row r="1789" ht="14.45"/>
    <row r="1790" ht="14.45"/>
    <row r="1791" ht="14.45"/>
    <row r="1792" ht="14.45"/>
    <row r="1793" ht="14.45"/>
    <row r="1794" ht="14.45"/>
    <row r="1795" ht="14.45"/>
    <row r="1796" ht="14.45"/>
    <row r="1797" ht="14.45"/>
    <row r="1798" ht="14.45"/>
    <row r="1799" ht="14.45"/>
    <row r="1800" ht="14.45"/>
    <row r="1801" ht="14.45"/>
    <row r="1802" ht="14.45"/>
    <row r="1803" ht="14.45"/>
    <row r="1804" ht="14.45"/>
    <row r="1805" ht="14.45"/>
    <row r="1806" ht="14.45"/>
    <row r="1807" ht="14.45"/>
    <row r="1808" ht="14.45"/>
    <row r="1809" ht="14.45"/>
    <row r="1810" ht="14.45"/>
    <row r="1811" ht="14.45"/>
    <row r="1812" ht="14.45"/>
    <row r="1813" ht="14.45"/>
    <row r="1814" ht="14.45"/>
    <row r="1815" ht="14.45"/>
    <row r="1816" ht="14.45"/>
    <row r="1817" ht="14.45"/>
    <row r="1818" ht="14.45"/>
    <row r="1819" ht="14.45"/>
    <row r="1820" ht="14.45"/>
    <row r="1821" ht="14.45"/>
    <row r="1822" ht="14.45"/>
    <row r="1823" ht="14.45"/>
    <row r="1824" ht="14.45"/>
    <row r="1825" ht="14.45"/>
    <row r="1826" ht="14.45"/>
    <row r="1827" ht="14.45"/>
    <row r="1828" ht="14.45"/>
    <row r="1829" ht="14.45"/>
    <row r="1830" ht="14.45"/>
    <row r="1831" ht="14.45"/>
    <row r="1832" ht="14.45"/>
    <row r="1833" ht="14.45"/>
    <row r="1834" ht="14.45"/>
    <row r="1835" ht="14.45"/>
    <row r="1836" ht="14.45"/>
    <row r="1837" ht="14.45"/>
    <row r="1838" ht="14.45"/>
    <row r="1839" ht="14.45"/>
    <row r="1840" ht="14.45"/>
    <row r="1841" ht="14.45"/>
    <row r="1842" ht="14.45"/>
    <row r="1843" ht="14.45"/>
    <row r="1844" ht="14.45"/>
    <row r="1845" ht="14.45"/>
    <row r="1846" ht="14.45"/>
    <row r="1847" ht="14.45"/>
    <row r="1848" ht="14.45"/>
    <row r="1849" ht="14.45"/>
    <row r="1850" ht="14.45"/>
    <row r="1851" ht="14.45"/>
    <row r="1852" ht="14.45"/>
    <row r="1853" ht="14.45"/>
    <row r="1854" ht="14.45"/>
    <row r="1855" ht="14.45"/>
    <row r="1856" ht="14.45"/>
    <row r="1857" ht="14.45"/>
    <row r="1858" ht="14.45"/>
    <row r="1859" ht="14.45"/>
    <row r="1860" ht="14.45"/>
    <row r="1861" ht="14.45"/>
    <row r="1862" ht="14.45"/>
    <row r="1863" ht="14.45"/>
    <row r="1864" ht="14.45"/>
    <row r="1865" ht="14.45"/>
    <row r="1866" ht="14.45"/>
    <row r="1867" ht="14.45"/>
    <row r="1868" ht="14.45"/>
    <row r="1869" ht="14.45"/>
    <row r="1870" ht="14.45"/>
    <row r="1871" ht="14.45"/>
    <row r="1872" ht="14.45"/>
    <row r="1873" ht="14.45"/>
    <row r="1874" ht="14.45"/>
    <row r="1875" ht="14.45"/>
    <row r="1876" ht="14.45"/>
    <row r="1877" ht="14.45"/>
    <row r="1878" ht="14.45"/>
    <row r="1879" ht="14.45"/>
    <row r="1880" ht="14.45"/>
    <row r="1881" ht="14.45"/>
    <row r="1882" ht="14.45"/>
    <row r="1883" ht="14.45"/>
    <row r="1884" ht="14.45"/>
    <row r="1885" ht="14.45"/>
    <row r="1886" ht="14.45"/>
    <row r="1887" ht="14.45"/>
    <row r="1888" ht="14.45"/>
    <row r="1889" ht="14.45"/>
    <row r="1890" ht="14.45"/>
    <row r="1891" ht="14.45"/>
    <row r="1892" ht="14.45"/>
    <row r="1893" ht="14.45"/>
    <row r="1894" ht="14.45"/>
    <row r="1895" ht="14.45"/>
    <row r="1896" ht="14.45"/>
    <row r="1897" ht="14.45"/>
    <row r="1898" ht="14.45"/>
    <row r="1899" ht="14.45"/>
    <row r="1900" ht="14.45"/>
    <row r="1901" ht="14.45"/>
    <row r="1902" ht="14.45"/>
    <row r="1903" ht="14.45"/>
    <row r="1904" ht="14.45"/>
    <row r="1905" ht="14.45"/>
    <row r="1906" ht="14.45"/>
    <row r="1907" ht="14.45"/>
    <row r="1908" ht="14.45"/>
    <row r="1909" ht="14.45"/>
    <row r="1910" ht="14.45"/>
    <row r="1911" ht="14.45"/>
    <row r="1912" ht="14.45"/>
    <row r="1913" ht="14.45"/>
    <row r="1914" ht="14.45"/>
    <row r="1915" ht="14.45"/>
    <row r="1916" ht="14.45"/>
    <row r="1917" ht="14.45"/>
    <row r="1918" ht="14.45"/>
    <row r="1919" ht="14.45"/>
    <row r="1920" ht="14.45"/>
    <row r="1921" ht="14.45"/>
    <row r="1922" ht="14.45"/>
    <row r="1923" ht="14.45"/>
    <row r="1924" ht="14.45"/>
    <row r="1925" ht="14.45"/>
    <row r="1926" ht="14.45"/>
    <row r="1927" ht="14.45"/>
    <row r="1928" ht="14.45"/>
    <row r="1929" ht="14.45"/>
    <row r="1930" ht="14.45"/>
    <row r="1931" ht="14.45"/>
    <row r="1932" ht="14.45"/>
    <row r="1933" ht="14.45"/>
    <row r="1934" ht="14.45"/>
    <row r="1935" ht="14.45"/>
    <row r="1936" ht="14.45"/>
    <row r="1937" ht="14.45"/>
    <row r="1938" ht="14.45"/>
    <row r="1939" ht="14.45"/>
    <row r="1940" ht="14.45"/>
    <row r="1941" ht="14.45"/>
    <row r="1942" ht="14.45"/>
    <row r="1943" ht="14.45"/>
    <row r="1944" ht="14.45"/>
    <row r="1945" ht="14.45"/>
    <row r="1946" ht="14.45"/>
    <row r="1947" ht="14.45"/>
    <row r="1948" ht="14.45"/>
    <row r="1949" ht="14.45"/>
    <row r="1950" ht="14.45"/>
    <row r="1951" ht="14.45"/>
    <row r="1952" ht="14.45"/>
    <row r="1953" ht="14.45"/>
    <row r="1954" ht="14.45"/>
    <row r="1955" ht="14.45"/>
    <row r="1956" ht="14.45"/>
    <row r="1957" ht="14.45"/>
    <row r="1958" ht="14.45"/>
    <row r="1959" ht="14.45"/>
    <row r="1960" ht="14.45"/>
    <row r="1961" ht="14.45"/>
    <row r="1962" ht="14.45"/>
    <row r="1963" ht="14.45"/>
    <row r="1964" ht="14.45"/>
    <row r="1965" ht="14.45"/>
    <row r="1966" ht="14.45"/>
    <row r="1967" ht="14.45"/>
    <row r="1968" ht="14.45"/>
    <row r="1969" ht="14.45"/>
    <row r="1970" ht="14.45"/>
    <row r="1971" ht="14.45"/>
    <row r="1972" ht="14.45"/>
    <row r="1973" ht="14.45"/>
    <row r="1974" ht="14.45"/>
    <row r="1975" ht="14.45"/>
    <row r="1976" ht="14.45"/>
    <row r="1977" ht="14.45"/>
    <row r="1978" ht="14.45"/>
    <row r="1979" ht="14.45"/>
    <row r="1980" ht="14.45"/>
    <row r="1981" ht="14.45"/>
    <row r="1982" ht="14.45"/>
    <row r="1983" ht="14.45"/>
    <row r="1984" ht="14.45"/>
    <row r="1985" ht="14.45"/>
    <row r="1986" ht="14.45"/>
    <row r="1987" ht="14.45"/>
    <row r="1988" ht="14.45"/>
    <row r="1989" ht="14.45"/>
    <row r="1990" ht="14.45"/>
    <row r="1991" ht="14.45"/>
    <row r="1992" ht="14.45"/>
    <row r="1993" ht="14.45"/>
    <row r="1994" ht="14.45"/>
    <row r="1995" ht="14.45"/>
    <row r="1996" ht="14.45"/>
    <row r="1997" ht="14.45"/>
    <row r="1998" ht="14.45"/>
    <row r="1999" ht="14.45"/>
    <row r="2000" ht="14.45"/>
    <row r="2001" ht="14.45"/>
    <row r="2002" ht="14.45"/>
    <row r="2003" ht="14.45"/>
    <row r="2004" ht="14.45"/>
    <row r="2005" ht="14.45"/>
    <row r="2006" ht="14.45"/>
    <row r="2007" ht="14.45"/>
    <row r="2008" ht="14.45"/>
    <row r="2009" ht="14.45"/>
    <row r="2010" ht="14.45"/>
    <row r="2011" ht="14.45"/>
    <row r="2012" ht="14.45"/>
    <row r="2013" ht="14.45"/>
    <row r="2014" ht="14.45"/>
    <row r="2015" ht="14.45"/>
    <row r="2016" ht="14.45"/>
    <row r="2017" ht="14.45"/>
    <row r="2018" ht="14.45"/>
    <row r="2019" ht="14.45"/>
    <row r="2020" ht="14.45"/>
    <row r="2021" ht="14.45"/>
    <row r="2022" ht="14.45"/>
    <row r="2023" ht="14.45"/>
    <row r="2024" ht="14.45"/>
    <row r="2025" ht="14.45"/>
    <row r="2026" ht="14.45"/>
    <row r="2027" ht="14.45"/>
    <row r="2028" ht="14.45"/>
    <row r="2029" ht="14.45"/>
    <row r="2030" ht="14.45"/>
    <row r="2031" ht="14.45"/>
    <row r="2032" ht="14.45"/>
    <row r="2033" ht="14.45"/>
    <row r="2034" ht="14.45"/>
    <row r="2035" ht="14.45"/>
    <row r="2036" ht="14.45"/>
    <row r="2037" ht="14.45"/>
    <row r="2038" ht="14.45"/>
    <row r="2039" ht="14.45"/>
    <row r="2040" ht="14.45"/>
    <row r="2041" ht="14.45"/>
    <row r="2042" ht="14.45"/>
    <row r="2043" ht="14.45"/>
    <row r="2044" ht="14.45"/>
    <row r="2045" ht="14.45"/>
    <row r="2046" ht="14.45"/>
    <row r="2047" ht="14.45"/>
    <row r="2048" ht="14.45"/>
    <row r="2049" ht="14.45"/>
    <row r="2050" ht="14.45"/>
    <row r="2051" ht="14.45"/>
    <row r="2052" ht="14.45"/>
    <row r="2053" ht="14.45"/>
    <row r="2054" ht="14.45"/>
    <row r="2055" ht="14.45"/>
    <row r="2056" ht="14.45"/>
    <row r="2057" ht="14.45"/>
    <row r="2058" ht="14.45"/>
    <row r="2059" ht="14.45"/>
    <row r="2060" ht="14.45"/>
    <row r="2061" ht="14.45"/>
    <row r="2062" ht="14.45"/>
    <row r="2063" ht="14.45"/>
    <row r="2064" ht="14.45"/>
    <row r="2065" ht="14.45"/>
    <row r="2066" ht="14.45"/>
    <row r="2067" ht="14.45"/>
    <row r="2068" ht="14.45"/>
    <row r="2069" ht="14.45"/>
    <row r="2070" ht="14.45"/>
    <row r="2071" ht="14.45"/>
    <row r="2072" ht="14.45"/>
    <row r="2073" ht="14.45"/>
    <row r="2074" ht="14.45"/>
    <row r="2075" ht="14.45"/>
    <row r="2076" ht="14.45"/>
    <row r="2077" ht="14.45"/>
    <row r="2078" ht="14.45"/>
    <row r="2079" ht="14.45"/>
    <row r="2080" ht="14.45"/>
    <row r="2081" ht="14.45"/>
    <row r="2082" ht="14.45"/>
    <row r="2083" ht="14.45"/>
    <row r="2084" ht="14.45"/>
    <row r="2085" ht="14.45"/>
    <row r="2086" ht="14.45"/>
    <row r="2087" ht="14.45"/>
    <row r="2088" ht="14.45"/>
    <row r="2089" ht="14.45"/>
    <row r="2090" ht="14.45"/>
    <row r="2091" ht="14.45"/>
    <row r="2092" ht="14.45"/>
    <row r="2093" ht="14.45"/>
    <row r="2094" ht="14.45"/>
    <row r="2095" ht="14.45"/>
    <row r="2096" ht="14.45"/>
    <row r="2097" ht="14.45"/>
    <row r="2098" ht="14.45"/>
    <row r="2099" ht="14.45"/>
    <row r="2100" ht="14.45"/>
    <row r="2101" ht="14.45"/>
    <row r="2102" ht="14.45"/>
    <row r="2103" ht="14.45"/>
    <row r="2104" ht="14.45"/>
    <row r="2105" ht="14.45"/>
    <row r="2106" ht="14.45"/>
    <row r="2107" ht="14.45"/>
    <row r="2108" ht="14.45"/>
    <row r="2109" ht="14.45"/>
    <row r="2110" ht="14.45"/>
    <row r="2111" ht="14.45"/>
    <row r="2112" ht="14.45"/>
    <row r="2113" ht="14.45"/>
    <row r="2114" ht="14.45"/>
    <row r="2115" ht="14.45"/>
    <row r="2116" ht="14.45"/>
    <row r="2117" ht="14.45"/>
    <row r="2118" ht="14.45"/>
    <row r="2119" ht="14.45"/>
    <row r="2120" ht="14.45"/>
    <row r="2121" ht="14.45"/>
    <row r="2122" ht="14.45"/>
    <row r="2123" ht="14.45"/>
    <row r="2124" ht="14.45"/>
    <row r="2125" ht="14.45"/>
    <row r="2126" ht="14.45"/>
    <row r="2127" ht="14.45"/>
    <row r="2128" ht="14.45"/>
    <row r="2129" ht="14.45"/>
    <row r="2130" ht="14.45"/>
    <row r="2131" ht="14.45"/>
    <row r="2132" ht="14.45"/>
    <row r="2133" ht="14.45"/>
    <row r="2134" ht="14.45"/>
    <row r="2135" ht="14.45"/>
    <row r="2136" ht="14.45"/>
    <row r="2137" ht="14.45"/>
    <row r="2138" ht="14.45"/>
    <row r="2139" ht="14.45"/>
    <row r="2140" ht="14.45"/>
    <row r="2141" ht="14.45"/>
    <row r="2142" ht="14.45"/>
    <row r="2143" ht="14.45"/>
    <row r="2144" ht="14.45"/>
    <row r="2145" ht="14.45"/>
    <row r="2146" ht="14.45"/>
    <row r="2147" ht="14.45"/>
    <row r="2148" ht="14.45"/>
    <row r="2149" ht="14.45"/>
    <row r="2150" ht="14.45"/>
    <row r="2151" ht="14.45"/>
    <row r="2152" ht="14.45"/>
    <row r="2153" ht="14.45"/>
    <row r="2154" ht="14.45"/>
    <row r="2155" ht="14.45"/>
    <row r="2156" ht="14.45"/>
    <row r="2157" ht="14.45"/>
    <row r="2158" ht="14.45"/>
    <row r="2159" ht="14.45"/>
    <row r="2160" ht="14.45"/>
    <row r="2161" ht="14.45"/>
    <row r="2162" ht="14.45"/>
    <row r="2163" ht="14.45"/>
    <row r="2164" ht="14.45"/>
    <row r="2165" ht="14.45"/>
    <row r="2166" ht="14.45"/>
    <row r="2167" ht="14.45"/>
    <row r="2168" ht="14.45"/>
    <row r="2169" ht="14.45"/>
    <row r="2170" ht="14.45"/>
    <row r="2171" ht="14.45"/>
    <row r="2172" ht="14.45"/>
    <row r="2173" ht="14.45"/>
    <row r="2174" ht="14.45"/>
    <row r="2175" ht="14.45"/>
    <row r="2176" ht="14.45"/>
    <row r="2177" ht="14.45"/>
    <row r="2178" ht="14.45"/>
    <row r="2179" ht="14.45"/>
    <row r="2180" ht="14.45"/>
    <row r="2181" ht="14.45"/>
    <row r="2182" ht="14.45"/>
    <row r="2183" ht="14.45"/>
    <row r="2184" ht="14.45"/>
    <row r="2185" ht="14.45"/>
    <row r="2186" ht="14.45"/>
    <row r="2187" ht="14.45"/>
    <row r="2188" ht="14.45"/>
    <row r="2189" ht="14.45"/>
    <row r="2190" ht="14.45"/>
    <row r="2191" ht="14.45"/>
    <row r="2192" ht="14.45"/>
    <row r="2193" ht="14.45"/>
    <row r="2194" ht="14.45"/>
    <row r="2195" ht="14.45"/>
    <row r="2196" ht="14.45"/>
    <row r="2197" ht="14.45"/>
    <row r="2198" ht="14.45"/>
    <row r="2199" ht="14.45"/>
    <row r="2200" ht="14.45"/>
    <row r="2201" ht="14.45"/>
    <row r="2202" ht="14.45"/>
    <row r="2203" ht="14.45"/>
    <row r="2204" ht="14.45"/>
    <row r="2205" ht="14.45"/>
    <row r="2206" ht="14.45"/>
    <row r="2207" ht="14.45"/>
    <row r="2208" ht="14.45"/>
    <row r="2209" ht="14.45"/>
    <row r="2210" ht="14.45"/>
    <row r="2211" ht="14.45"/>
    <row r="2212" ht="14.45"/>
    <row r="2213" ht="14.45"/>
    <row r="2214" ht="14.45"/>
    <row r="2215" ht="14.45"/>
    <row r="2216" ht="14.45"/>
    <row r="2217" ht="14.45"/>
    <row r="2218" ht="14.45"/>
    <row r="2219" ht="14.45"/>
    <row r="2220" ht="14.45"/>
    <row r="2221" ht="14.45"/>
    <row r="2222" ht="14.45"/>
    <row r="2223" ht="14.45"/>
    <row r="2224" ht="14.45"/>
    <row r="2225" ht="14.45"/>
    <row r="2226" ht="14.45"/>
    <row r="2227" ht="14.45"/>
    <row r="2228" ht="14.45"/>
    <row r="2229" ht="14.45"/>
    <row r="2230" ht="14.45"/>
    <row r="2231" ht="14.45"/>
    <row r="2232" ht="14.45"/>
    <row r="2233" ht="14.45"/>
    <row r="2234" ht="14.45"/>
    <row r="2235" ht="14.45"/>
    <row r="2236" ht="14.45"/>
    <row r="2237" ht="14.45"/>
    <row r="2238" ht="14.45"/>
    <row r="2239" ht="14.45"/>
    <row r="2240" ht="14.45"/>
    <row r="2241" ht="14.45"/>
    <row r="2242" ht="14.45"/>
    <row r="2243" ht="14.45"/>
    <row r="2244" ht="14.45"/>
    <row r="2245" ht="14.45"/>
    <row r="2246" ht="14.45"/>
    <row r="2247" ht="14.45"/>
    <row r="2248" ht="14.45"/>
    <row r="2249" ht="14.45"/>
    <row r="2250" ht="14.45"/>
    <row r="2251" ht="14.45"/>
    <row r="2252" ht="14.45"/>
    <row r="2253" ht="14.45"/>
    <row r="2254" ht="14.45"/>
    <row r="2255" ht="14.45"/>
    <row r="2256" ht="14.45"/>
    <row r="2257" ht="14.45"/>
    <row r="2258" ht="14.45"/>
    <row r="2259" ht="14.45"/>
    <row r="2260" ht="14.45"/>
    <row r="2261" ht="14.45"/>
    <row r="2262" ht="14.45"/>
    <row r="2263" ht="14.45"/>
    <row r="2264" ht="14.45"/>
    <row r="2265" ht="14.45"/>
    <row r="2266" ht="14.45"/>
    <row r="2267" ht="14.45"/>
    <row r="2268" ht="14.45"/>
    <row r="2269" ht="14.45"/>
    <row r="2270" ht="14.45"/>
    <row r="2271" ht="14.45"/>
    <row r="2272" ht="14.45"/>
    <row r="2273" ht="14.45"/>
    <row r="2274" ht="14.45"/>
    <row r="2275" ht="14.45"/>
    <row r="2276" ht="14.45"/>
    <row r="2277" ht="14.45"/>
    <row r="2278" ht="14.45"/>
    <row r="2279" ht="14.45"/>
    <row r="2280" ht="14.45"/>
    <row r="2281" ht="14.45"/>
    <row r="2282" ht="14.45"/>
    <row r="2283" ht="14.45"/>
    <row r="2284" ht="14.45"/>
    <row r="2285" ht="14.45"/>
    <row r="2286" ht="14.45"/>
    <row r="2287" ht="14.45"/>
    <row r="2288" ht="14.45"/>
    <row r="2289" ht="14.45"/>
    <row r="2290" ht="14.45"/>
    <row r="2291" ht="14.45"/>
    <row r="2292" ht="14.45"/>
    <row r="2293" ht="14.45"/>
    <row r="2294" ht="14.45"/>
    <row r="2295" ht="14.45"/>
    <row r="2296" ht="14.45"/>
    <row r="2297" ht="14.45"/>
    <row r="2298" ht="14.45"/>
    <row r="2299" ht="14.45"/>
    <row r="2300" ht="14.45"/>
    <row r="2301" ht="14.45"/>
    <row r="2302" ht="14.45"/>
    <row r="2303" ht="14.45"/>
    <row r="2304" ht="14.45"/>
    <row r="2305" ht="14.45"/>
    <row r="2306" ht="14.45"/>
    <row r="2307" ht="14.45"/>
    <row r="2308" ht="14.45"/>
    <row r="2309" ht="14.45"/>
    <row r="2310" ht="14.45"/>
    <row r="2311" ht="14.45"/>
    <row r="2312" ht="14.45"/>
    <row r="2313" ht="14.45"/>
    <row r="2314" ht="14.45"/>
    <row r="2315" ht="14.45"/>
    <row r="2316" ht="14.45"/>
    <row r="2317" ht="14.45"/>
    <row r="2318" ht="14.45"/>
    <row r="2319" ht="14.45"/>
    <row r="2320" ht="14.45"/>
    <row r="2321" ht="14.45"/>
    <row r="2322" ht="14.45"/>
    <row r="2323" ht="14.45"/>
    <row r="2324" ht="14.45"/>
    <row r="2325" ht="14.45"/>
    <row r="2326" ht="14.45"/>
    <row r="2327" ht="14.45"/>
    <row r="2328" ht="14.45"/>
    <row r="2329" ht="14.45"/>
    <row r="2330" ht="14.45"/>
    <row r="2331" ht="14.45"/>
    <row r="2332" ht="14.45"/>
    <row r="2333" ht="14.45"/>
    <row r="2334" ht="14.45"/>
    <row r="2335" ht="14.45"/>
    <row r="2336" ht="14.45"/>
    <row r="2337" ht="14.45"/>
    <row r="2338" ht="14.45"/>
    <row r="2339" ht="14.45"/>
    <row r="2340" ht="14.45"/>
    <row r="2341" ht="14.45"/>
    <row r="2342" ht="14.45"/>
    <row r="2343" ht="14.45"/>
    <row r="2344" ht="14.45"/>
    <row r="2345" ht="14.45"/>
    <row r="2346" ht="14.45"/>
    <row r="2347" ht="14.45"/>
    <row r="2348" ht="14.45"/>
    <row r="2349" ht="14.45"/>
    <row r="2350" ht="14.45"/>
    <row r="2351" ht="14.45"/>
    <row r="2352" ht="14.45"/>
    <row r="2353" ht="14.45"/>
    <row r="2354" ht="14.45"/>
    <row r="2355" ht="14.45"/>
    <row r="2356" ht="14.45"/>
    <row r="2357" ht="14.45"/>
    <row r="2358" ht="14.45"/>
    <row r="2359" ht="14.45"/>
    <row r="2360" ht="14.45"/>
    <row r="2361" ht="14.45"/>
    <row r="2362" ht="14.45"/>
    <row r="2363" ht="14.45"/>
    <row r="2364" ht="14.45"/>
    <row r="2365" ht="14.45"/>
    <row r="2366" ht="14.45"/>
    <row r="2367" ht="14.45"/>
    <row r="2368" ht="14.45"/>
    <row r="2369" ht="14.45"/>
    <row r="2370" ht="14.45"/>
    <row r="2371" ht="14.45"/>
    <row r="2372" ht="14.45"/>
    <row r="2373" ht="14.45"/>
    <row r="2374" ht="14.45"/>
    <row r="2375" ht="14.45"/>
    <row r="2376" ht="14.45"/>
    <row r="2377" ht="14.45"/>
    <row r="2378" ht="14.45"/>
    <row r="2379" ht="14.45"/>
    <row r="2380" ht="14.45"/>
    <row r="2381" ht="14.45"/>
    <row r="2382" ht="14.45"/>
    <row r="2383" ht="14.45"/>
    <row r="2384" ht="14.45"/>
    <row r="2385" ht="14.45"/>
    <row r="2386" ht="14.45"/>
    <row r="2387" ht="14.45"/>
    <row r="2388" ht="14.45"/>
    <row r="2389" ht="14.45"/>
    <row r="2390" ht="14.45"/>
    <row r="2391" ht="14.45"/>
    <row r="2392" ht="14.45"/>
    <row r="2393" ht="14.45"/>
    <row r="2394" ht="14.45"/>
    <row r="2395" ht="14.45"/>
    <row r="2396" ht="14.45"/>
    <row r="2397" ht="14.45"/>
    <row r="2398" ht="14.45"/>
    <row r="2399" ht="14.45"/>
    <row r="2400" ht="14.45"/>
    <row r="2401" ht="14.45"/>
    <row r="2402" ht="14.45"/>
    <row r="2403" ht="14.45"/>
    <row r="2404" ht="14.45"/>
    <row r="2405" ht="14.45"/>
    <row r="2406" ht="14.45"/>
    <row r="2407" ht="14.45"/>
    <row r="2408" ht="14.45"/>
    <row r="2409" ht="14.45"/>
    <row r="2410" ht="14.45"/>
    <row r="2411" ht="14.45"/>
    <row r="2412" ht="14.45"/>
    <row r="2413" ht="14.45"/>
    <row r="2414" ht="14.45"/>
    <row r="2415" ht="14.45"/>
    <row r="2416" ht="14.45"/>
    <row r="2417" ht="14.45"/>
    <row r="2418" ht="14.45"/>
    <row r="2419" ht="14.45"/>
    <row r="2420" ht="14.45"/>
    <row r="2421" ht="14.45"/>
    <row r="2422" ht="14.45"/>
    <row r="2423" ht="14.45"/>
    <row r="2424" ht="14.45"/>
    <row r="2425" ht="14.45"/>
    <row r="2426" ht="14.45"/>
    <row r="2427" ht="14.45"/>
    <row r="2428" ht="14.45"/>
    <row r="2429" ht="14.45"/>
    <row r="2430" ht="14.45"/>
    <row r="2431" ht="14.45"/>
    <row r="2432" ht="14.45"/>
    <row r="2433" ht="14.45"/>
    <row r="2434" ht="14.45"/>
    <row r="2435" ht="14.45"/>
    <row r="2436" ht="14.45"/>
    <row r="2437" ht="14.45"/>
    <row r="2438" ht="14.45"/>
    <row r="2439" ht="14.45"/>
    <row r="2440" ht="14.45"/>
    <row r="2441" ht="14.45"/>
    <row r="2442" ht="14.45"/>
    <row r="2443" ht="14.45"/>
    <row r="2444" ht="14.45"/>
    <row r="2445" ht="14.45"/>
    <row r="2446" ht="14.45"/>
    <row r="2447" ht="14.45"/>
    <row r="2448" ht="14.45"/>
    <row r="2449" ht="14.45"/>
    <row r="2450" ht="14.45"/>
    <row r="2451" ht="14.45"/>
    <row r="2452" ht="14.45"/>
    <row r="2453" ht="14.45"/>
    <row r="2454" ht="14.45"/>
    <row r="2455" ht="14.45"/>
    <row r="2456" ht="14.45"/>
    <row r="2457" ht="14.45"/>
    <row r="2458" ht="14.45"/>
    <row r="2459" ht="14.45"/>
    <row r="2460" ht="14.45"/>
    <row r="2461" ht="14.45"/>
    <row r="2462" ht="14.45"/>
    <row r="2463" ht="14.45"/>
    <row r="2464" ht="14.45"/>
    <row r="2465" ht="14.45"/>
    <row r="2466" ht="14.45"/>
    <row r="2467" ht="14.45"/>
    <row r="2468" ht="14.45"/>
    <row r="2469" ht="14.45"/>
    <row r="2470" ht="14.45"/>
    <row r="2471" ht="14.45"/>
    <row r="2472" ht="14.45"/>
    <row r="2473" ht="14.45"/>
    <row r="2474" ht="14.45"/>
    <row r="2475" ht="14.45"/>
    <row r="2476" ht="14.45"/>
    <row r="2477" ht="14.45"/>
    <row r="2478" ht="14.45"/>
    <row r="2479" ht="14.45"/>
    <row r="2480" ht="14.45"/>
    <row r="2481" ht="14.45"/>
    <row r="2482" ht="14.45"/>
    <row r="2483" ht="14.45"/>
    <row r="2484" ht="14.45"/>
    <row r="2485" ht="14.45"/>
    <row r="2486" ht="14.45"/>
    <row r="2487" ht="14.45"/>
    <row r="2488" ht="14.45"/>
    <row r="2489" ht="14.45"/>
    <row r="2490" ht="14.45"/>
    <row r="2491" ht="14.45"/>
    <row r="2492" ht="14.45"/>
    <row r="2493" ht="14.45"/>
    <row r="2494" ht="14.45"/>
    <row r="2495" ht="14.45"/>
    <row r="2496" ht="14.45"/>
    <row r="2497" ht="14.45"/>
    <row r="2498" ht="14.45"/>
    <row r="2499" ht="14.45"/>
    <row r="2500" ht="14.45"/>
    <row r="2501" ht="14.45"/>
    <row r="2502" ht="14.45"/>
    <row r="2503" ht="14.45"/>
    <row r="2504" ht="14.45"/>
    <row r="2505" ht="14.45"/>
    <row r="2506" ht="14.45"/>
    <row r="2507" ht="14.45"/>
    <row r="2508" ht="14.45"/>
    <row r="2509" ht="14.45"/>
    <row r="2510" ht="14.45"/>
    <row r="2511" ht="14.45"/>
    <row r="2512" ht="14.45"/>
    <row r="2513" ht="14.45"/>
    <row r="2514" ht="14.45"/>
    <row r="2515" ht="14.45"/>
    <row r="2516" ht="14.45"/>
    <row r="2517" ht="14.45"/>
    <row r="2518" ht="14.45"/>
    <row r="2519" ht="14.45"/>
    <row r="2520" ht="14.45"/>
    <row r="2521" ht="14.45"/>
    <row r="2522" ht="14.45"/>
    <row r="2523" ht="14.45"/>
    <row r="2524" ht="14.45"/>
    <row r="2525" ht="14.45"/>
    <row r="2526" ht="14.45"/>
    <row r="2527" ht="14.45"/>
    <row r="2528" ht="14.45"/>
    <row r="2529" ht="14.45"/>
    <row r="2530" ht="14.45"/>
    <row r="2531" ht="14.45"/>
    <row r="2532" ht="14.45"/>
    <row r="2533" ht="14.45"/>
    <row r="2534" ht="14.45"/>
    <row r="2535" ht="14.45"/>
    <row r="2536" ht="14.45"/>
    <row r="2537" ht="14.45"/>
    <row r="2538" ht="14.45"/>
    <row r="2539" ht="14.45"/>
    <row r="2540" ht="14.45"/>
    <row r="2541" ht="14.45"/>
    <row r="2542" ht="14.45"/>
    <row r="2543" ht="14.45"/>
    <row r="2544" ht="14.45"/>
    <row r="2545" ht="14.45"/>
    <row r="2546" ht="14.45"/>
    <row r="2547" ht="14.45"/>
    <row r="2548" ht="14.45"/>
    <row r="2549" ht="14.45"/>
    <row r="2550" ht="14.45"/>
    <row r="2551" ht="14.45"/>
    <row r="2552" ht="14.45"/>
    <row r="2553" ht="14.45"/>
    <row r="2554" ht="14.45"/>
    <row r="2555" ht="14.45"/>
    <row r="2556" ht="14.45"/>
    <row r="2557" ht="14.45"/>
    <row r="2558" ht="14.45"/>
    <row r="2559" ht="14.45"/>
    <row r="2560" ht="14.45"/>
    <row r="2561" ht="14.45"/>
    <row r="2562" ht="14.45"/>
    <row r="2563" ht="14.45"/>
    <row r="2564" ht="14.45"/>
    <row r="2565" ht="14.45"/>
    <row r="2566" ht="14.45"/>
    <row r="2567" ht="14.45"/>
    <row r="2568" ht="14.45"/>
    <row r="2569" ht="14.45"/>
    <row r="2570" ht="14.45"/>
    <row r="2571" ht="14.45"/>
    <row r="2572" ht="14.45"/>
    <row r="2573" ht="14.45"/>
    <row r="2574" ht="14.45"/>
    <row r="2575" ht="14.45"/>
    <row r="2576" ht="14.45"/>
    <row r="2577" ht="14.45"/>
    <row r="2578" ht="14.45"/>
    <row r="2579" ht="14.45"/>
    <row r="2580" ht="14.45"/>
    <row r="2581" ht="14.45"/>
    <row r="2582" ht="14.45"/>
    <row r="2583" ht="14.45"/>
    <row r="2584" ht="14.45"/>
    <row r="2585" ht="14.45"/>
    <row r="2586" ht="14.45"/>
    <row r="2587" ht="14.45"/>
    <row r="2588" ht="14.45"/>
    <row r="2589" ht="14.45"/>
    <row r="2590" ht="14.45"/>
    <row r="2591" ht="14.45"/>
    <row r="2592" ht="14.45"/>
    <row r="2593" ht="14.45"/>
    <row r="2594" ht="14.45"/>
    <row r="2595" ht="14.45"/>
    <row r="2596" ht="14.45"/>
    <row r="2597" ht="14.45"/>
    <row r="2598" ht="14.45"/>
    <row r="2599" ht="14.45"/>
    <row r="2600" ht="14.45"/>
    <row r="2601" ht="14.45"/>
    <row r="2602" ht="14.45"/>
    <row r="2603" ht="14.45"/>
    <row r="2604" ht="14.45"/>
    <row r="2605" ht="14.45"/>
    <row r="2606" ht="14.45"/>
    <row r="2607" ht="14.45"/>
    <row r="2608" ht="14.45"/>
    <row r="2609" ht="14.45"/>
    <row r="2610" ht="14.45"/>
    <row r="2611" ht="14.45"/>
    <row r="2612" ht="14.45"/>
    <row r="2613" ht="14.45"/>
    <row r="2614" ht="14.45"/>
    <row r="2615" ht="14.45"/>
    <row r="2616" ht="14.45"/>
    <row r="2617" ht="14.45"/>
    <row r="2618" ht="14.45"/>
    <row r="2619" ht="14.45"/>
    <row r="2620" ht="14.45"/>
    <row r="2621" ht="14.45"/>
    <row r="2622" ht="14.45"/>
    <row r="2623" ht="14.45"/>
    <row r="2624" ht="14.45"/>
    <row r="2625" ht="14.45"/>
    <row r="2626" ht="14.45"/>
    <row r="2627" ht="14.45"/>
    <row r="2628" ht="14.45"/>
    <row r="2629" ht="14.45"/>
    <row r="2630" ht="14.45"/>
    <row r="2631" ht="14.45"/>
    <row r="2632" ht="14.45"/>
    <row r="2633" ht="14.45"/>
    <row r="2634" ht="14.45"/>
    <row r="2635" ht="14.45"/>
    <row r="2636" ht="14.45"/>
    <row r="2637" ht="14.45"/>
    <row r="2638" ht="14.45"/>
    <row r="2639" ht="14.45"/>
    <row r="2640" ht="14.45"/>
    <row r="2641" ht="14.45"/>
    <row r="2642" ht="14.45"/>
    <row r="2643" ht="14.45"/>
    <row r="2644" ht="14.45"/>
    <row r="2645" ht="14.45"/>
    <row r="2646" ht="14.45"/>
    <row r="2647" ht="14.45"/>
    <row r="2648" ht="14.45"/>
    <row r="2649" ht="14.45"/>
    <row r="2650" ht="14.45"/>
    <row r="2651" ht="14.45"/>
    <row r="2652" ht="14.45"/>
    <row r="2653" ht="14.45"/>
    <row r="2654" ht="14.45"/>
    <row r="2655" ht="14.45"/>
    <row r="2656" ht="14.45"/>
    <row r="2657" ht="14.45"/>
    <row r="2658" ht="14.45"/>
    <row r="2659" ht="14.45"/>
    <row r="2660" ht="14.45"/>
    <row r="2661" ht="14.45"/>
    <row r="2662" ht="14.45"/>
    <row r="2663" ht="14.45"/>
    <row r="2664" ht="14.45"/>
    <row r="2665" ht="14.45"/>
    <row r="2666" ht="14.45"/>
    <row r="2667" ht="14.45"/>
    <row r="2668" ht="14.45"/>
    <row r="2669" ht="14.45"/>
    <row r="2670" ht="14.45"/>
    <row r="2671" ht="14.45"/>
    <row r="2672" ht="14.45"/>
    <row r="2673" ht="14.45"/>
    <row r="2674" ht="14.45"/>
    <row r="2675" ht="14.45"/>
    <row r="2676" ht="14.45"/>
    <row r="2677" ht="14.45"/>
    <row r="2678" ht="14.45"/>
    <row r="2679" ht="14.45"/>
    <row r="2680" ht="14.45"/>
    <row r="2681" ht="14.45"/>
    <row r="2682" ht="14.45"/>
    <row r="2683" ht="14.45"/>
    <row r="2684" ht="14.45"/>
    <row r="2685" ht="14.45"/>
    <row r="2686" ht="14.45"/>
    <row r="2687" ht="14.45"/>
    <row r="2688" ht="14.45"/>
    <row r="2689" ht="14.45"/>
    <row r="2690" ht="14.45"/>
    <row r="2691" ht="14.45"/>
    <row r="2692" ht="14.45"/>
    <row r="2693" ht="14.45"/>
    <row r="2694" ht="14.45"/>
    <row r="2695" ht="14.45"/>
    <row r="2696" ht="14.45"/>
    <row r="2697" ht="14.45"/>
    <row r="2698" ht="14.45"/>
    <row r="2699" ht="14.45"/>
    <row r="2700" ht="14.45"/>
    <row r="2701" ht="14.45"/>
    <row r="2702" ht="14.45"/>
    <row r="2703" ht="14.45"/>
    <row r="2704" ht="14.45"/>
    <row r="2705" ht="14.45"/>
    <row r="2706" ht="14.45"/>
    <row r="2707" ht="14.45"/>
    <row r="2708" ht="14.45"/>
    <row r="2709" ht="14.45"/>
    <row r="2710" ht="14.45"/>
    <row r="2711" ht="14.45"/>
    <row r="2712" ht="14.45"/>
    <row r="2713" ht="14.45"/>
    <row r="2714" ht="14.45"/>
    <row r="2715" ht="14.45"/>
    <row r="2716" ht="14.45"/>
    <row r="2717" ht="14.45"/>
    <row r="2718" ht="14.45"/>
    <row r="2719" ht="14.45"/>
    <row r="2720" ht="14.45"/>
    <row r="2721" ht="14.45"/>
    <row r="2722" ht="14.45"/>
    <row r="2723" ht="14.45"/>
    <row r="2724" ht="14.45"/>
    <row r="2725" ht="14.45"/>
    <row r="2726" ht="14.45"/>
    <row r="2727" ht="14.45"/>
    <row r="2728" ht="14.45"/>
    <row r="2729" ht="14.45"/>
    <row r="2730" ht="14.45"/>
    <row r="2731" ht="14.45"/>
    <row r="2732" ht="14.45"/>
    <row r="2733" ht="14.45"/>
    <row r="2734" ht="14.45"/>
    <row r="2735" ht="14.45"/>
    <row r="2736" ht="14.45"/>
    <row r="2737" ht="14.45"/>
    <row r="2738" ht="14.45"/>
    <row r="2739" ht="14.45"/>
    <row r="2740" ht="14.45"/>
    <row r="2741" ht="14.45"/>
    <row r="2742" ht="14.45"/>
    <row r="2743" ht="14.45"/>
    <row r="2744" ht="14.45"/>
    <row r="2745" ht="14.45"/>
    <row r="2746" ht="14.45"/>
    <row r="2747" ht="14.45"/>
    <row r="2748" ht="14.45"/>
    <row r="2749" ht="14.45"/>
    <row r="2750" ht="14.45"/>
    <row r="2751" ht="14.45"/>
    <row r="2752" ht="14.45"/>
    <row r="2753" ht="14.45"/>
    <row r="2754" ht="14.45"/>
    <row r="2755" ht="14.45"/>
    <row r="2756" ht="14.45"/>
    <row r="2757" ht="14.45"/>
    <row r="2758" ht="14.45"/>
    <row r="2759" ht="14.45"/>
    <row r="2760" ht="14.45"/>
    <row r="2761" ht="14.45"/>
    <row r="2762" ht="14.45"/>
    <row r="2763" ht="14.45"/>
    <row r="2764" ht="14.45"/>
    <row r="2765" ht="14.45"/>
    <row r="2766" ht="14.45"/>
    <row r="2767" ht="14.45"/>
    <row r="2768" ht="14.45"/>
    <row r="2769" ht="14.45"/>
    <row r="2770" ht="14.45"/>
    <row r="2771" ht="14.45"/>
    <row r="2772" ht="14.45"/>
    <row r="2773" ht="14.45"/>
    <row r="2774" ht="14.45"/>
    <row r="2775" ht="14.45"/>
    <row r="2776" ht="14.45"/>
    <row r="2777" ht="14.45"/>
    <row r="2778" ht="14.45"/>
    <row r="2779" ht="14.45"/>
    <row r="2780" ht="14.45"/>
    <row r="2781" ht="14.45"/>
    <row r="2782" ht="14.45"/>
    <row r="2783" ht="14.45"/>
    <row r="2784" ht="14.45"/>
    <row r="2785" ht="14.45"/>
    <row r="2786" ht="14.45"/>
    <row r="2787" ht="14.45"/>
    <row r="2788" ht="14.45"/>
    <row r="2789" ht="14.45"/>
    <row r="2790" ht="14.45"/>
    <row r="2791" ht="14.45"/>
    <row r="2792" ht="14.45"/>
    <row r="2793" ht="14.45"/>
    <row r="2794" ht="14.45"/>
    <row r="2795" ht="14.45"/>
    <row r="2796" ht="14.45"/>
    <row r="2797" ht="14.45"/>
    <row r="2798" ht="14.45"/>
    <row r="2799" ht="14.45"/>
    <row r="2800" ht="14.45"/>
    <row r="2801" ht="14.45"/>
    <row r="2802" ht="14.45"/>
    <row r="2803" ht="14.45"/>
    <row r="2804" ht="14.45"/>
    <row r="2805" ht="14.45"/>
    <row r="2806" ht="14.45"/>
    <row r="2807" ht="14.45"/>
    <row r="2808" ht="14.45"/>
    <row r="2809" ht="14.45"/>
    <row r="2810" ht="14.45"/>
    <row r="2811" ht="14.45"/>
    <row r="2812" ht="14.45"/>
    <row r="2813" ht="14.45"/>
    <row r="2814" ht="14.45"/>
    <row r="2815" ht="14.45"/>
    <row r="2816" ht="14.45"/>
    <row r="2817" ht="14.45"/>
    <row r="2818" ht="14.45"/>
    <row r="2819" ht="14.45"/>
    <row r="2820" ht="14.45"/>
    <row r="2821" ht="14.45"/>
    <row r="2822" ht="14.45"/>
    <row r="2823" ht="14.45"/>
    <row r="2824" ht="14.45"/>
    <row r="2825" ht="14.45"/>
    <row r="2826" ht="14.45"/>
    <row r="2827" ht="14.45"/>
    <row r="2828" ht="14.45"/>
    <row r="2829" ht="14.45"/>
    <row r="2830" ht="14.45"/>
    <row r="2831" ht="14.45"/>
    <row r="2832" ht="14.45"/>
    <row r="2833" ht="14.45"/>
    <row r="2834" ht="14.45"/>
    <row r="2835" ht="14.45"/>
    <row r="2836" ht="14.45"/>
    <row r="2837" ht="14.45"/>
    <row r="2838" ht="14.45"/>
    <row r="2839" ht="14.45"/>
    <row r="2840" ht="14.45"/>
    <row r="2841" ht="14.45"/>
    <row r="2842" ht="14.45"/>
    <row r="2843" ht="14.45"/>
    <row r="2844" ht="14.45"/>
    <row r="2845" ht="14.45"/>
    <row r="2846" ht="14.45"/>
    <row r="2847" ht="14.45"/>
    <row r="2848" ht="14.45"/>
    <row r="2849" ht="14.45"/>
    <row r="2850" ht="14.45"/>
    <row r="2851" ht="14.45"/>
    <row r="2852" ht="14.45"/>
    <row r="2853" ht="14.45"/>
    <row r="2854" ht="14.45"/>
    <row r="2855" ht="14.45"/>
    <row r="2856" ht="14.45"/>
    <row r="2857" ht="14.45"/>
    <row r="2858" ht="14.45"/>
    <row r="2859" ht="14.45"/>
    <row r="2860" ht="14.45"/>
    <row r="2861" ht="14.45"/>
    <row r="2862" ht="14.45"/>
    <row r="2863" ht="14.45"/>
    <row r="2864" ht="14.45"/>
    <row r="2865" ht="14.45"/>
    <row r="2866" ht="14.45"/>
    <row r="2867" ht="14.45"/>
    <row r="2868" ht="14.45"/>
    <row r="2869" ht="14.45"/>
    <row r="2870" ht="14.45"/>
    <row r="2871" ht="14.45"/>
    <row r="2872" ht="14.45"/>
    <row r="2873" ht="14.45"/>
    <row r="2874" ht="14.45"/>
    <row r="2875" ht="14.45"/>
    <row r="2876" ht="14.45"/>
    <row r="2877" ht="14.45"/>
    <row r="2878" ht="14.45"/>
    <row r="2879" ht="14.45"/>
    <row r="2880" ht="14.45"/>
    <row r="2881" ht="14.45"/>
    <row r="2882" ht="14.45"/>
    <row r="2883" ht="14.45"/>
    <row r="2884" ht="14.45"/>
    <row r="2885" ht="14.45"/>
    <row r="2886" ht="14.45"/>
    <row r="2887" ht="14.45"/>
    <row r="2888" ht="14.45"/>
    <row r="2889" ht="14.45"/>
    <row r="2890" ht="14.45"/>
    <row r="2891" ht="14.45"/>
    <row r="2892" ht="14.45"/>
    <row r="2893" ht="14.45"/>
    <row r="2894" ht="14.45"/>
    <row r="2895" ht="14.45"/>
    <row r="2896" ht="14.45"/>
    <row r="2897" ht="14.45"/>
    <row r="2898" ht="14.45"/>
    <row r="2899" ht="14.45"/>
    <row r="2900" ht="14.45"/>
    <row r="2901" ht="14.45"/>
    <row r="2902" ht="14.45"/>
    <row r="2903" ht="14.45"/>
    <row r="2904" ht="14.45"/>
    <row r="2905" ht="14.45"/>
    <row r="2906" ht="14.45"/>
    <row r="2907" ht="14.45"/>
    <row r="2908" ht="14.45"/>
    <row r="2909" ht="14.45"/>
    <row r="2910" ht="14.45"/>
    <row r="2911" ht="14.45"/>
    <row r="2912" ht="14.45"/>
    <row r="2913" ht="14.45"/>
    <row r="2914" ht="14.45"/>
    <row r="2915" ht="14.45"/>
    <row r="2916" ht="14.45"/>
    <row r="2917" ht="14.45"/>
    <row r="2918" ht="14.45"/>
    <row r="2919" ht="14.45"/>
    <row r="2920" ht="14.45"/>
    <row r="2921" ht="14.45"/>
    <row r="2922" ht="14.45"/>
    <row r="2923" ht="14.45"/>
    <row r="2924" ht="14.45"/>
    <row r="2925" ht="14.45"/>
    <row r="2926" ht="14.45"/>
    <row r="2927" ht="14.45"/>
    <row r="2928" ht="14.45"/>
    <row r="2929" ht="14.45"/>
    <row r="2930" ht="14.45"/>
    <row r="2931" ht="14.45"/>
    <row r="2932" ht="14.45"/>
    <row r="2933" ht="14.45"/>
    <row r="2934" ht="14.45"/>
    <row r="2935" ht="14.45"/>
    <row r="2936" ht="14.45"/>
    <row r="2937" ht="14.45"/>
    <row r="2938" ht="14.45"/>
    <row r="2939" ht="14.45"/>
    <row r="2940" ht="14.45"/>
    <row r="2941" ht="14.45"/>
    <row r="2942" ht="14.45"/>
    <row r="2943" ht="14.45"/>
    <row r="2944" ht="14.45"/>
    <row r="2945" ht="14.45"/>
    <row r="2946" ht="14.45"/>
    <row r="2947" ht="14.45"/>
    <row r="2948" ht="14.45"/>
    <row r="2949" ht="14.45"/>
    <row r="2950" ht="14.45"/>
    <row r="2951" ht="14.45"/>
    <row r="2952" ht="14.45"/>
    <row r="2953" ht="14.45"/>
    <row r="2954" ht="14.45"/>
    <row r="2955" ht="14.45"/>
    <row r="2956" ht="14.45"/>
    <row r="2957" ht="14.45"/>
    <row r="2958" ht="14.45"/>
    <row r="2959" ht="14.45"/>
    <row r="2960" ht="14.45"/>
    <row r="2961" ht="14.45"/>
    <row r="2962" ht="14.45"/>
    <row r="2963" ht="14.45"/>
    <row r="2964" ht="14.45"/>
    <row r="2965" ht="14.45"/>
    <row r="2966" ht="14.45"/>
    <row r="2967" ht="14.45"/>
    <row r="2968" ht="14.45"/>
    <row r="2969" ht="14.45"/>
    <row r="2970" ht="14.45"/>
    <row r="2971" ht="14.45"/>
    <row r="2972" ht="14.45"/>
    <row r="2973" ht="14.45"/>
    <row r="2974" ht="14.45"/>
    <row r="2975" ht="14.45"/>
    <row r="2976" ht="14.45"/>
    <row r="2977" ht="14.45"/>
    <row r="2978" ht="14.45"/>
    <row r="2979" ht="14.45"/>
    <row r="2980" ht="14.45"/>
    <row r="2981" ht="14.45"/>
    <row r="2982" ht="14.45"/>
    <row r="2983" ht="14.45"/>
    <row r="2984" ht="14.45"/>
    <row r="2985" ht="14.45"/>
    <row r="2986" ht="14.45"/>
    <row r="2987" ht="14.45"/>
    <row r="2988" ht="14.45"/>
    <row r="2989" ht="14.45"/>
    <row r="2990" ht="14.45"/>
    <row r="2991" ht="14.45"/>
    <row r="2992" ht="14.45"/>
    <row r="2993" ht="14.45"/>
    <row r="2994" ht="14.45"/>
    <row r="2995" ht="14.45"/>
    <row r="2996" ht="14.45"/>
    <row r="2997" ht="14.45"/>
    <row r="2998" ht="14.45"/>
    <row r="2999" ht="14.45"/>
    <row r="3000" ht="14.45"/>
    <row r="3001" ht="14.45"/>
    <row r="3002" ht="14.45"/>
    <row r="3003" ht="14.45"/>
    <row r="3004" ht="14.45"/>
    <row r="3005" ht="14.45"/>
    <row r="3006" ht="14.45"/>
    <row r="3007" ht="14.45"/>
    <row r="3008" ht="14.45"/>
    <row r="3009" ht="14.45"/>
    <row r="3010" ht="14.45"/>
    <row r="3011" ht="14.45"/>
    <row r="3012" ht="14.45"/>
    <row r="3013" ht="14.45"/>
    <row r="3014" ht="14.45"/>
    <row r="3015" ht="14.45"/>
    <row r="3016" ht="14.45"/>
    <row r="3017" ht="14.45"/>
    <row r="3018" ht="14.45"/>
    <row r="3019" ht="14.45"/>
    <row r="3020" ht="14.45"/>
    <row r="3021" ht="14.45"/>
    <row r="3022" ht="14.45"/>
    <row r="3023" ht="14.45"/>
    <row r="3024" ht="14.45"/>
    <row r="3025" ht="14.45"/>
    <row r="3026" ht="14.45"/>
    <row r="3027" ht="14.45"/>
    <row r="3028" ht="14.45"/>
    <row r="3029" ht="14.45"/>
    <row r="3030" ht="14.45"/>
    <row r="3031" ht="14.45"/>
    <row r="3032" ht="14.45"/>
    <row r="3033" ht="14.45"/>
    <row r="3034" ht="14.45"/>
    <row r="3035" ht="14.45"/>
    <row r="3036" ht="14.45"/>
    <row r="3037" ht="14.45"/>
    <row r="3038" ht="14.45"/>
    <row r="3039" ht="14.45"/>
    <row r="3040" ht="14.45"/>
    <row r="3041" ht="14.45"/>
    <row r="3042" ht="14.45"/>
    <row r="3043" ht="14.45"/>
    <row r="3044" ht="14.45"/>
    <row r="3045" ht="14.45"/>
    <row r="3046" ht="14.45"/>
    <row r="3047" ht="14.45"/>
    <row r="3048" ht="14.45"/>
    <row r="3049" ht="14.45"/>
    <row r="3050" ht="14.45"/>
    <row r="3051" ht="14.45"/>
    <row r="3052" ht="14.45"/>
    <row r="3053" ht="14.45"/>
    <row r="3054" ht="14.45"/>
    <row r="3055" ht="14.45"/>
    <row r="3056" ht="14.45"/>
    <row r="3057" ht="14.45"/>
    <row r="3058" ht="14.45"/>
    <row r="3059" ht="14.45"/>
    <row r="3060" ht="14.45"/>
    <row r="3061" ht="14.45"/>
    <row r="3062" ht="14.45"/>
    <row r="3063" ht="14.45"/>
    <row r="3064" ht="14.45"/>
    <row r="3065" ht="14.45"/>
    <row r="3066" ht="14.45"/>
    <row r="3067" ht="14.45"/>
    <row r="3068" ht="14.45"/>
    <row r="3069" ht="14.45"/>
    <row r="3070" ht="14.45"/>
    <row r="3071" ht="14.45"/>
    <row r="3072" ht="14.45"/>
    <row r="3073" ht="14.45"/>
    <row r="3074" ht="14.45"/>
    <row r="3075" ht="14.45"/>
    <row r="3076" ht="14.45"/>
    <row r="3077" ht="14.45"/>
    <row r="3078" ht="14.45"/>
    <row r="3079" ht="14.45"/>
    <row r="3080" ht="14.45"/>
    <row r="3081" ht="14.45"/>
    <row r="3082" ht="14.45"/>
    <row r="3083" ht="14.45"/>
    <row r="3084" ht="14.45"/>
    <row r="3085" ht="14.45"/>
    <row r="3086" ht="14.45"/>
    <row r="3087" ht="14.45"/>
    <row r="3088" ht="14.45"/>
    <row r="3089" ht="14.45"/>
    <row r="3090" ht="14.45"/>
    <row r="3091" ht="14.45"/>
    <row r="3092" ht="14.45"/>
    <row r="3093" ht="14.45"/>
    <row r="3094" ht="14.45"/>
    <row r="3095" ht="14.45"/>
    <row r="3096" ht="14.45"/>
    <row r="3097" ht="14.45"/>
    <row r="3098" ht="14.45"/>
    <row r="3099" ht="14.45"/>
    <row r="3100" ht="14.45"/>
    <row r="3101" ht="14.45"/>
    <row r="3102" ht="14.45"/>
    <row r="3103" ht="14.45"/>
    <row r="3104" ht="14.45"/>
    <row r="3105" ht="14.45"/>
    <row r="3106" ht="14.45"/>
    <row r="3107" ht="14.45"/>
    <row r="3108" ht="14.45"/>
    <row r="3109" ht="14.45"/>
    <row r="3110" ht="14.45"/>
    <row r="3111" ht="14.45"/>
    <row r="3112" ht="14.45"/>
    <row r="3113" ht="14.45"/>
    <row r="3114" ht="14.45"/>
    <row r="3115" ht="14.45"/>
    <row r="3116" ht="14.45"/>
    <row r="3117" ht="14.45"/>
    <row r="3118" ht="14.45"/>
    <row r="3119" ht="14.45"/>
    <row r="3120" ht="14.45"/>
    <row r="3121" ht="14.45"/>
    <row r="3122" ht="14.45"/>
    <row r="3123" ht="14.45"/>
    <row r="3124" ht="14.45"/>
    <row r="3125" ht="14.45"/>
    <row r="3126" ht="14.45"/>
    <row r="3127" ht="14.45"/>
    <row r="3128" ht="14.45"/>
    <row r="3129" ht="14.45"/>
    <row r="3130" ht="14.45"/>
    <row r="3131" ht="14.45"/>
    <row r="3132" ht="14.45"/>
    <row r="3133" ht="14.45"/>
    <row r="3134" ht="14.45"/>
    <row r="3135" ht="14.45"/>
    <row r="3136" ht="14.45"/>
    <row r="3137" ht="14.45"/>
    <row r="3138" ht="14.45"/>
    <row r="3139" ht="14.45"/>
    <row r="3140" ht="14.45"/>
    <row r="3141" ht="14.45"/>
    <row r="3142" ht="14.45"/>
    <row r="3143" ht="14.45"/>
    <row r="3144" ht="14.45"/>
    <row r="3145" ht="14.45"/>
    <row r="3146" ht="14.45"/>
    <row r="3147" ht="14.45"/>
    <row r="3148" ht="14.45"/>
    <row r="3149" ht="14.45"/>
    <row r="3150" ht="14.45"/>
    <row r="3151" ht="14.45"/>
    <row r="3152" ht="14.45"/>
    <row r="3153" ht="14.45"/>
    <row r="3154" ht="14.45"/>
    <row r="3155" ht="14.45"/>
    <row r="3156" ht="14.45"/>
    <row r="3157" ht="14.45"/>
    <row r="3158" ht="14.45"/>
    <row r="3159" ht="14.45"/>
    <row r="3160" ht="14.45"/>
    <row r="3161" ht="14.45"/>
    <row r="3162" ht="14.45"/>
    <row r="3163" ht="14.45"/>
    <row r="3164" ht="14.45"/>
    <row r="3165" ht="14.45"/>
    <row r="3166" ht="14.45"/>
    <row r="3167" ht="14.45"/>
    <row r="3168" ht="14.45"/>
    <row r="3169" ht="14.45"/>
    <row r="3170" ht="14.45"/>
    <row r="3171" ht="14.45"/>
    <row r="3172" ht="14.45"/>
    <row r="3173" ht="14.45"/>
    <row r="3174" ht="14.45"/>
    <row r="3175" ht="14.45"/>
    <row r="3176" ht="14.45"/>
    <row r="3177" ht="14.45"/>
    <row r="3178" ht="14.45"/>
    <row r="3179" ht="14.45"/>
    <row r="3180" ht="14.45"/>
    <row r="3181" ht="14.45"/>
    <row r="3182" ht="14.45"/>
    <row r="3183" ht="14.45"/>
    <row r="3184" ht="14.45"/>
    <row r="3185" ht="14.45"/>
    <row r="3186" ht="14.45"/>
    <row r="3187" ht="14.45"/>
    <row r="3188" ht="14.45"/>
    <row r="3189" ht="14.45"/>
    <row r="3190" ht="14.45"/>
    <row r="3191" ht="14.45"/>
    <row r="3192" ht="14.45"/>
    <row r="3193" ht="14.45"/>
    <row r="3194" ht="14.45"/>
    <row r="3195" ht="14.45"/>
    <row r="3196" ht="14.45"/>
    <row r="3197" ht="14.45"/>
    <row r="3198" ht="14.45"/>
    <row r="3199" ht="14.45"/>
    <row r="3200" ht="14.45"/>
    <row r="3201" ht="14.45"/>
    <row r="3202" ht="14.45"/>
    <row r="3203" ht="14.45"/>
    <row r="3204" ht="14.45"/>
    <row r="3205" ht="14.45"/>
    <row r="3206" ht="14.45"/>
    <row r="3207" ht="14.45"/>
    <row r="3208" ht="14.45"/>
    <row r="3209" ht="14.45"/>
    <row r="3210" ht="14.45"/>
    <row r="3211" ht="14.45"/>
    <row r="3212" ht="14.45"/>
    <row r="3213" ht="14.45"/>
    <row r="3214" ht="14.45"/>
    <row r="3215" ht="14.45"/>
    <row r="3216" ht="14.45"/>
    <row r="3217" ht="14.45"/>
    <row r="3218" ht="14.45"/>
    <row r="3219" ht="14.45"/>
    <row r="3220" ht="14.45"/>
    <row r="3221" ht="14.45"/>
    <row r="3222" ht="14.45"/>
    <row r="3223" ht="14.45"/>
    <row r="3224" ht="14.45"/>
    <row r="3225" ht="14.45"/>
    <row r="3226" ht="14.45"/>
    <row r="3227" ht="14.45"/>
    <row r="3228" ht="14.45"/>
    <row r="3229" ht="14.45"/>
    <row r="3230" ht="14.45"/>
    <row r="3231" ht="14.45"/>
    <row r="3232" ht="14.45"/>
    <row r="3233" ht="14.45"/>
    <row r="3234" ht="14.45"/>
    <row r="3235" ht="14.45"/>
    <row r="3236" ht="14.45"/>
    <row r="3237" ht="14.45"/>
    <row r="3238" ht="14.45"/>
    <row r="3239" ht="14.45"/>
    <row r="3240" ht="14.45"/>
    <row r="3241" ht="14.45"/>
    <row r="3242" ht="14.45"/>
    <row r="3243" ht="14.45"/>
    <row r="3244" ht="14.45"/>
    <row r="3245" ht="14.45"/>
    <row r="3246" ht="14.45"/>
    <row r="3247" ht="14.45"/>
    <row r="3248" ht="14.45"/>
    <row r="3249" ht="14.45"/>
    <row r="3250" ht="14.45"/>
    <row r="3251" ht="14.45"/>
    <row r="3252" ht="14.45"/>
    <row r="3253" ht="14.45"/>
    <row r="3254" ht="14.45"/>
    <row r="3255" ht="14.45"/>
    <row r="3256" ht="14.45"/>
    <row r="3257" ht="14.45"/>
    <row r="3258" ht="14.45"/>
    <row r="3259" ht="14.45"/>
    <row r="3260" ht="14.45"/>
    <row r="3261" ht="14.45"/>
    <row r="3262" ht="14.45"/>
    <row r="3263" ht="14.45"/>
    <row r="3264" ht="14.45"/>
    <row r="3265" ht="14.45"/>
    <row r="3266" ht="14.45"/>
    <row r="3267" ht="14.45"/>
    <row r="3268" ht="14.45"/>
    <row r="3269" ht="14.45"/>
    <row r="3270" ht="14.45"/>
    <row r="3271" ht="14.45"/>
    <row r="3272" ht="14.45"/>
    <row r="3273" ht="14.45"/>
    <row r="3274" ht="14.45"/>
    <row r="3275" ht="14.45"/>
    <row r="3276" ht="14.45"/>
    <row r="3277" ht="14.45"/>
    <row r="3278" ht="14.45"/>
    <row r="3279" ht="14.45"/>
    <row r="3280" ht="14.45"/>
    <row r="3281" ht="14.45"/>
    <row r="3282" ht="14.45"/>
    <row r="3283" ht="14.45"/>
    <row r="3284" ht="14.45"/>
    <row r="3285" ht="14.45"/>
    <row r="3286" ht="14.45"/>
    <row r="3287" ht="14.45"/>
    <row r="3288" ht="14.45"/>
    <row r="3289" ht="14.45"/>
    <row r="3290" ht="14.45"/>
    <row r="3291" ht="14.45"/>
    <row r="3292" ht="14.45"/>
    <row r="3293" ht="14.45"/>
    <row r="3294" ht="14.45"/>
    <row r="3295" ht="14.45"/>
    <row r="3296" ht="14.45"/>
    <row r="3297" ht="14.45"/>
    <row r="3298" ht="14.45"/>
    <row r="3299" ht="14.45"/>
    <row r="3300" ht="14.45"/>
    <row r="3301" ht="14.45"/>
    <row r="3302" ht="14.45"/>
    <row r="3303" ht="14.45"/>
    <row r="3304" ht="14.45"/>
    <row r="3305" ht="14.45"/>
    <row r="3306" ht="14.45"/>
    <row r="3307" ht="14.45"/>
    <row r="3308" ht="14.45"/>
    <row r="3309" ht="14.45"/>
    <row r="3310" ht="14.45"/>
    <row r="3311" ht="14.45"/>
    <row r="3312" ht="14.45"/>
    <row r="3313" ht="14.45"/>
    <row r="3314" ht="14.45"/>
    <row r="3315" ht="14.45"/>
    <row r="3316" ht="14.45"/>
    <row r="3317" ht="14.45"/>
    <row r="3318" ht="14.45"/>
    <row r="3319" ht="14.45"/>
    <row r="3320" ht="14.45"/>
    <row r="3321" ht="14.45"/>
    <row r="3322" ht="14.45"/>
    <row r="3323" ht="14.45"/>
    <row r="3324" ht="14.45"/>
    <row r="3325" ht="14.45"/>
    <row r="3326" ht="14.45"/>
    <row r="3327" ht="14.45"/>
    <row r="3328" ht="14.45"/>
    <row r="3329" ht="14.45"/>
    <row r="3330" ht="14.45"/>
    <row r="3331" ht="14.45"/>
    <row r="3332" ht="14.45"/>
    <row r="3333" ht="14.45"/>
    <row r="3334" ht="14.45"/>
    <row r="3335" ht="14.45"/>
    <row r="3336" ht="14.45"/>
    <row r="3337" ht="14.45"/>
    <row r="3338" ht="14.45"/>
    <row r="3339" ht="14.45"/>
    <row r="3340" ht="14.45"/>
    <row r="3341" ht="14.45"/>
    <row r="3342" ht="14.45"/>
    <row r="3343" ht="14.45"/>
    <row r="3344" ht="14.45"/>
    <row r="3345" ht="14.45"/>
    <row r="3346" ht="14.45"/>
    <row r="3347" ht="14.45"/>
    <row r="3348" ht="14.45"/>
    <row r="3349" ht="14.45"/>
    <row r="3350" ht="14.45"/>
    <row r="3351" ht="14.45"/>
    <row r="3352" ht="14.45"/>
    <row r="3353" ht="14.45"/>
    <row r="3354" ht="14.45"/>
    <row r="3355" ht="14.45"/>
    <row r="3356" ht="14.45"/>
    <row r="3357" ht="14.45"/>
    <row r="3358" ht="14.45"/>
    <row r="3359" ht="14.45"/>
    <row r="3360" ht="14.45"/>
    <row r="3361" ht="14.45"/>
    <row r="3362" ht="14.45"/>
    <row r="3363" ht="14.45"/>
    <row r="3364" ht="14.45"/>
    <row r="3365" ht="14.45"/>
    <row r="3366" ht="14.45"/>
    <row r="3367" ht="14.45"/>
    <row r="3368" ht="14.45"/>
    <row r="3369" ht="14.45"/>
    <row r="3370" ht="14.45"/>
    <row r="3371" ht="14.45"/>
    <row r="3372" ht="14.45"/>
    <row r="3373" ht="14.45"/>
    <row r="3374" ht="14.45"/>
    <row r="3375" ht="14.45"/>
    <row r="3376" ht="14.45"/>
    <row r="3377" ht="14.45"/>
    <row r="3378" ht="14.45"/>
    <row r="3379" ht="14.45"/>
    <row r="3380" ht="14.45"/>
    <row r="3381" ht="14.45"/>
    <row r="3382" ht="14.45"/>
    <row r="3383" ht="14.45"/>
    <row r="3384" ht="14.45"/>
    <row r="3385" ht="14.45"/>
    <row r="3386" ht="14.45"/>
    <row r="3387" ht="14.45"/>
    <row r="3388" ht="14.45"/>
    <row r="3389" ht="14.45"/>
    <row r="3390" ht="14.45"/>
    <row r="3391" ht="14.45"/>
    <row r="3392" ht="14.45"/>
    <row r="3393" ht="14.45"/>
    <row r="3394" ht="14.45"/>
    <row r="3395" ht="14.45"/>
    <row r="3396" ht="14.45"/>
    <row r="3397" ht="14.45"/>
    <row r="3398" ht="14.45"/>
    <row r="3399" ht="14.45"/>
    <row r="3400" ht="14.45"/>
    <row r="3401" ht="14.45"/>
    <row r="3402" ht="14.45"/>
    <row r="3403" ht="14.45"/>
    <row r="3404" ht="14.45"/>
    <row r="3405" ht="14.45"/>
    <row r="3406" ht="14.45"/>
    <row r="3407" ht="14.45"/>
    <row r="3408" ht="14.45"/>
    <row r="3409" ht="14.45"/>
    <row r="3410" ht="14.45"/>
    <row r="3411" ht="14.45"/>
    <row r="3412" ht="14.45"/>
    <row r="3413" ht="14.45"/>
    <row r="3414" ht="14.45"/>
    <row r="3415" ht="14.45"/>
    <row r="3416" ht="14.45"/>
    <row r="3417" ht="14.45"/>
    <row r="3418" ht="14.45"/>
    <row r="3419" ht="14.45"/>
    <row r="3420" ht="14.45"/>
    <row r="3421" ht="14.45"/>
    <row r="3422" ht="14.45"/>
    <row r="3423" ht="14.45"/>
    <row r="3424" ht="14.45"/>
    <row r="3425" ht="14.45"/>
    <row r="3426" ht="14.45"/>
    <row r="3427" ht="14.45"/>
    <row r="3428" ht="14.45"/>
    <row r="3429" ht="14.45"/>
    <row r="3430" ht="14.45"/>
    <row r="3431" ht="14.45"/>
    <row r="3432" ht="14.45"/>
    <row r="3433" ht="14.45"/>
    <row r="3434" ht="14.45"/>
    <row r="3435" ht="14.45"/>
    <row r="3436" ht="14.45"/>
    <row r="3437" ht="14.45"/>
    <row r="3438" ht="14.45"/>
    <row r="3439" ht="14.45"/>
    <row r="3440" ht="14.45"/>
    <row r="3441" ht="14.45"/>
    <row r="3442" ht="14.45"/>
    <row r="3443" ht="14.45"/>
    <row r="3444" ht="14.45"/>
    <row r="3445" ht="14.45"/>
    <row r="3446" ht="14.45"/>
    <row r="3447" ht="14.45"/>
    <row r="3448" ht="14.45"/>
    <row r="3449" ht="14.45"/>
    <row r="3450" ht="14.45"/>
    <row r="3451" ht="14.45"/>
    <row r="3452" ht="14.45"/>
    <row r="3453" ht="14.45"/>
    <row r="3454" ht="14.45"/>
    <row r="3455" ht="14.45"/>
    <row r="3456" ht="14.45"/>
    <row r="3457" ht="14.45"/>
    <row r="3458" ht="14.45"/>
    <row r="3459" ht="14.45"/>
    <row r="3460" ht="14.45"/>
    <row r="3461" ht="14.45"/>
    <row r="3462" ht="14.45"/>
    <row r="3463" ht="14.45"/>
    <row r="3464" ht="14.45"/>
    <row r="3465" ht="14.45"/>
    <row r="3466" ht="14.45"/>
    <row r="3467" ht="14.45"/>
    <row r="3468" ht="14.45"/>
    <row r="3469" ht="14.45"/>
    <row r="3470" ht="14.45"/>
    <row r="3471" ht="14.45"/>
    <row r="3472" ht="14.45"/>
    <row r="3473" ht="14.45"/>
    <row r="3474" ht="14.45"/>
    <row r="3475" ht="14.45"/>
    <row r="3476" ht="14.45"/>
    <row r="3477" ht="14.45"/>
    <row r="3478" ht="14.45"/>
    <row r="3479" ht="14.45"/>
    <row r="3480" ht="14.45"/>
    <row r="3481" ht="14.45"/>
    <row r="3482" ht="14.45"/>
    <row r="3483" ht="14.45"/>
    <row r="3484" ht="14.45"/>
    <row r="3485" ht="14.45"/>
    <row r="3486" ht="14.45"/>
    <row r="3487" ht="14.45"/>
    <row r="3488" ht="14.45"/>
    <row r="3489" ht="14.45"/>
    <row r="3490" ht="14.45"/>
    <row r="3491" ht="14.45"/>
    <row r="3492" ht="14.45"/>
    <row r="3493" ht="14.45"/>
    <row r="3494" ht="14.45"/>
    <row r="3495" ht="14.45"/>
    <row r="3496" ht="14.45"/>
    <row r="3497" ht="14.45"/>
    <row r="3498" ht="14.45"/>
    <row r="3499" ht="14.45"/>
    <row r="3500" ht="14.45"/>
    <row r="3501" ht="14.45"/>
    <row r="3502" ht="14.45"/>
    <row r="3503" ht="14.45"/>
    <row r="3504" ht="14.45"/>
    <row r="3505" ht="14.45"/>
    <row r="3506" ht="14.45"/>
    <row r="3507" ht="14.45"/>
    <row r="3508" ht="14.45"/>
    <row r="3509" ht="14.45"/>
    <row r="3510" ht="14.45"/>
    <row r="3511" ht="14.45"/>
    <row r="3512" ht="14.45"/>
    <row r="3513" ht="14.45"/>
    <row r="3514" ht="14.45"/>
    <row r="3515" ht="14.45"/>
    <row r="3516" ht="14.45"/>
    <row r="3517" ht="14.45"/>
    <row r="3518" ht="14.45"/>
    <row r="3519" ht="14.45"/>
    <row r="3520" ht="14.45"/>
    <row r="3521" ht="14.45"/>
    <row r="3522" ht="14.45"/>
    <row r="3523" ht="14.45"/>
    <row r="3524" ht="14.45"/>
    <row r="3525" ht="14.45"/>
    <row r="3526" ht="14.45"/>
    <row r="3527" ht="14.45"/>
    <row r="3528" ht="14.45"/>
    <row r="3529" ht="14.45"/>
    <row r="3530" ht="14.45"/>
    <row r="3531" ht="14.45"/>
    <row r="3532" ht="14.45"/>
    <row r="3533" ht="14.45"/>
    <row r="3534" ht="14.45"/>
    <row r="3535" ht="14.45"/>
    <row r="3536" ht="14.45"/>
    <row r="3537" ht="14.45"/>
    <row r="3538" ht="14.45"/>
    <row r="3539" ht="14.45"/>
    <row r="3540" ht="14.45"/>
    <row r="3541" ht="14.45"/>
    <row r="3542" ht="14.45"/>
    <row r="3543" ht="14.45"/>
    <row r="3544" ht="14.45"/>
    <row r="3545" ht="14.45"/>
    <row r="3546" ht="14.45"/>
    <row r="3547" ht="14.45"/>
    <row r="3548" ht="14.45"/>
    <row r="3549" ht="14.45"/>
    <row r="3550" ht="14.45"/>
    <row r="3551" ht="14.45"/>
    <row r="3552" ht="14.45"/>
    <row r="3553" ht="14.45"/>
    <row r="3554" ht="14.45"/>
    <row r="3555" ht="14.45"/>
    <row r="3556" ht="14.45"/>
    <row r="3557" ht="14.45"/>
    <row r="3558" ht="14.45"/>
    <row r="3559" ht="14.45"/>
    <row r="3560" ht="14.45"/>
    <row r="3561" ht="14.45"/>
    <row r="3562" ht="14.45"/>
    <row r="3563" ht="14.45"/>
    <row r="3564" ht="14.45"/>
    <row r="3565" ht="14.45"/>
    <row r="3566" ht="14.45"/>
    <row r="3567" ht="14.45"/>
    <row r="3568" ht="14.45"/>
    <row r="3569" ht="14.45"/>
    <row r="3570" ht="14.45"/>
    <row r="3571" ht="14.45"/>
    <row r="3572" ht="14.45"/>
    <row r="3573" ht="14.45"/>
    <row r="3574" ht="14.45"/>
    <row r="3575" ht="14.45"/>
    <row r="3576" ht="14.45"/>
    <row r="3577" ht="14.45"/>
    <row r="3578" ht="14.45"/>
    <row r="3579" ht="14.45"/>
    <row r="3580" ht="14.45"/>
    <row r="3581" ht="14.45"/>
    <row r="3582" ht="14.45"/>
    <row r="3583" ht="14.45"/>
    <row r="3584" ht="14.45"/>
    <row r="3585" ht="14.45"/>
    <row r="3586" ht="14.45"/>
    <row r="3587" ht="14.45"/>
    <row r="3588" ht="14.45"/>
    <row r="3589" ht="14.45"/>
    <row r="3590" ht="14.45"/>
    <row r="3591" ht="14.45"/>
    <row r="3592" ht="14.45"/>
    <row r="3593" ht="14.45"/>
    <row r="3594" ht="14.45"/>
    <row r="3595" ht="14.45"/>
    <row r="3596" ht="14.45"/>
    <row r="3597" ht="14.45"/>
    <row r="3598" ht="14.45"/>
    <row r="3599" ht="14.45"/>
    <row r="3600" ht="14.45"/>
    <row r="3601" ht="14.45"/>
    <row r="3602" ht="14.45"/>
    <row r="3603" ht="14.45"/>
    <row r="3604" ht="14.45"/>
    <row r="3605" ht="14.45"/>
    <row r="3606" ht="14.45"/>
    <row r="3607" ht="14.45"/>
    <row r="3608" ht="14.45"/>
    <row r="3609" ht="14.45"/>
    <row r="3610" ht="14.45"/>
    <row r="3611" ht="14.45"/>
    <row r="3612" ht="14.45"/>
    <row r="3613" ht="14.45"/>
    <row r="3614" ht="14.45"/>
    <row r="3615" ht="14.45"/>
    <row r="3616" ht="14.45"/>
    <row r="3617" ht="14.45"/>
    <row r="3618" ht="14.45"/>
    <row r="3619" ht="14.45"/>
    <row r="3620" ht="14.45"/>
    <row r="3621" ht="14.45"/>
    <row r="3622" ht="14.45"/>
    <row r="3623" ht="14.45"/>
    <row r="3624" ht="14.45"/>
    <row r="3625" ht="14.45"/>
    <row r="3626" ht="14.45"/>
    <row r="3627" ht="14.45"/>
    <row r="3628" ht="14.45"/>
    <row r="3629" ht="14.45"/>
    <row r="3630" ht="14.45"/>
    <row r="3631" ht="14.45"/>
    <row r="3632" ht="14.45"/>
    <row r="3633" ht="14.45"/>
    <row r="3634" ht="14.45"/>
    <row r="3635" ht="14.45"/>
    <row r="3636" ht="14.45"/>
    <row r="3637" ht="14.45"/>
    <row r="3638" ht="14.45"/>
    <row r="3639" ht="14.45"/>
    <row r="3640" ht="14.45"/>
    <row r="3641" ht="14.45"/>
    <row r="3642" ht="14.45"/>
    <row r="3643" ht="14.45"/>
    <row r="3644" ht="14.45"/>
    <row r="3645" ht="14.45"/>
    <row r="3646" ht="14.45"/>
    <row r="3647" ht="14.45"/>
    <row r="3648" ht="14.45"/>
    <row r="3649" ht="14.45"/>
    <row r="3650" ht="14.45"/>
    <row r="3651" ht="14.45"/>
    <row r="3652" ht="14.45"/>
    <row r="3653" ht="14.45"/>
    <row r="3654" ht="14.45"/>
    <row r="3655" ht="14.45"/>
    <row r="3656" ht="14.45"/>
    <row r="3657" ht="14.45"/>
    <row r="3658" ht="14.45"/>
    <row r="3659" ht="14.45"/>
    <row r="3660" ht="14.45"/>
    <row r="3661" ht="14.45"/>
    <row r="3662" ht="14.45"/>
    <row r="3663" ht="14.45"/>
    <row r="3664" ht="14.45"/>
    <row r="3665" ht="14.45"/>
    <row r="3666" ht="14.45"/>
    <row r="3667" ht="14.45"/>
    <row r="3668" ht="14.45"/>
    <row r="3669" ht="14.45"/>
    <row r="3670" ht="14.45"/>
    <row r="3671" ht="14.45"/>
    <row r="3672" ht="14.45"/>
    <row r="3673" ht="14.45"/>
    <row r="3674" ht="14.45"/>
    <row r="3675" ht="14.45"/>
    <row r="3676" ht="14.45"/>
    <row r="3677" ht="14.45"/>
    <row r="3678" ht="14.45"/>
    <row r="3679" ht="14.45"/>
    <row r="3680" ht="14.45"/>
    <row r="3681" ht="14.45"/>
    <row r="3682" ht="14.45"/>
    <row r="3683" ht="14.45"/>
    <row r="3684" ht="14.45"/>
    <row r="3685" ht="14.45"/>
    <row r="3686" ht="14.45"/>
    <row r="3687" ht="14.45"/>
    <row r="3688" ht="14.45"/>
    <row r="3689" ht="14.45"/>
    <row r="3690" ht="14.45"/>
    <row r="3691" ht="14.45"/>
    <row r="3692" ht="14.45"/>
    <row r="3693" ht="14.45"/>
    <row r="3694" ht="14.45"/>
    <row r="3695" ht="14.45"/>
    <row r="3696" ht="14.45"/>
    <row r="3697" ht="14.45"/>
    <row r="3698" ht="14.45"/>
    <row r="3699" ht="14.45"/>
    <row r="3700" ht="14.45"/>
    <row r="3701" ht="14.45"/>
    <row r="3702" ht="14.45"/>
    <row r="3703" ht="14.45"/>
    <row r="3704" ht="14.45"/>
    <row r="3705" ht="14.45"/>
    <row r="3706" ht="14.45"/>
    <row r="3707" ht="14.45"/>
    <row r="3708" ht="14.45"/>
    <row r="3709" ht="14.45"/>
    <row r="3710" ht="14.45"/>
    <row r="3711" ht="14.45"/>
    <row r="3712" ht="14.45"/>
    <row r="3713" ht="14.45"/>
    <row r="3714" ht="14.45"/>
    <row r="3715" ht="14.45"/>
    <row r="3716" ht="14.45"/>
    <row r="3717" ht="14.45"/>
    <row r="3718" ht="14.45"/>
    <row r="3719" ht="14.45"/>
    <row r="3720" ht="14.45"/>
    <row r="3721" ht="14.45"/>
    <row r="3722" ht="14.45"/>
    <row r="3723" ht="14.45"/>
    <row r="3724" ht="14.45"/>
    <row r="3725" ht="14.45"/>
    <row r="3726" ht="14.45"/>
    <row r="3727" ht="14.45"/>
    <row r="3728" ht="14.45"/>
    <row r="3729" ht="14.45"/>
    <row r="3730" ht="14.45"/>
    <row r="3731" ht="14.45"/>
    <row r="3732" ht="14.45"/>
    <row r="3733" ht="14.45"/>
    <row r="3734" ht="14.45"/>
    <row r="3735" ht="14.45"/>
    <row r="3736" ht="14.45"/>
    <row r="3737" ht="14.45"/>
    <row r="3738" ht="14.45"/>
    <row r="3739" ht="14.45"/>
    <row r="3740" ht="14.45"/>
    <row r="3741" ht="14.45"/>
    <row r="3742" ht="14.45"/>
    <row r="3743" ht="14.45"/>
    <row r="3744" ht="14.45"/>
    <row r="3745" ht="14.45"/>
    <row r="3746" ht="14.45"/>
    <row r="3747" ht="14.45"/>
    <row r="3748" ht="14.45"/>
    <row r="3749" ht="14.45"/>
    <row r="3750" ht="14.45"/>
    <row r="3751" ht="14.45"/>
    <row r="3752" ht="14.45"/>
    <row r="3753" ht="14.45"/>
    <row r="3754" ht="14.45"/>
    <row r="3755" ht="14.45"/>
    <row r="3756" ht="14.45"/>
    <row r="3757" ht="14.45"/>
    <row r="3758" ht="14.45"/>
    <row r="3759" ht="14.45"/>
    <row r="3760" ht="14.45"/>
    <row r="3761" ht="14.45"/>
    <row r="3762" ht="14.45"/>
    <row r="3763" ht="14.45"/>
    <row r="3764" ht="14.45"/>
    <row r="3765" ht="14.45"/>
    <row r="3766" ht="14.45"/>
    <row r="3767" ht="14.45"/>
    <row r="3768" ht="14.45"/>
    <row r="3769" ht="14.45"/>
    <row r="3770" ht="14.45"/>
    <row r="3771" ht="14.45"/>
    <row r="3772" ht="14.45"/>
    <row r="3773" ht="14.45"/>
    <row r="3774" ht="14.45"/>
    <row r="3775" ht="14.45"/>
    <row r="3776" ht="14.45"/>
    <row r="3777" ht="14.45"/>
    <row r="3778" ht="14.45"/>
    <row r="3779" ht="14.45"/>
    <row r="3780" ht="14.45"/>
    <row r="3781" ht="14.45"/>
    <row r="3782" ht="14.45"/>
    <row r="3783" ht="14.45"/>
    <row r="3784" ht="14.45"/>
    <row r="3785" ht="14.45"/>
    <row r="3786" ht="14.45"/>
    <row r="3787" ht="14.45"/>
    <row r="3788" ht="14.45"/>
    <row r="3789" ht="14.45"/>
    <row r="3790" ht="14.45"/>
    <row r="3791" ht="14.45"/>
    <row r="3792" ht="14.45"/>
    <row r="3793" ht="14.45"/>
    <row r="3794" ht="14.45"/>
    <row r="3795" ht="14.45"/>
    <row r="3796" ht="14.45"/>
    <row r="3797" ht="14.45"/>
    <row r="3798" ht="14.45"/>
    <row r="3799" ht="14.45"/>
    <row r="3800" ht="14.45"/>
    <row r="3801" ht="14.45"/>
    <row r="3802" ht="14.45"/>
    <row r="3803" ht="14.45"/>
    <row r="3804" ht="14.45"/>
    <row r="3805" ht="14.45"/>
    <row r="3806" ht="14.45"/>
    <row r="3807" ht="14.45"/>
    <row r="3808" ht="14.45"/>
    <row r="3809" ht="14.45"/>
    <row r="3810" ht="14.45"/>
    <row r="3811" ht="14.45"/>
    <row r="3812" ht="14.45"/>
    <row r="3813" ht="14.45"/>
    <row r="3814" ht="14.45"/>
    <row r="3815" ht="14.45"/>
    <row r="3816" ht="14.45"/>
    <row r="3817" ht="14.45"/>
    <row r="3818" ht="14.45"/>
    <row r="3819" ht="14.45"/>
    <row r="3820" ht="14.45"/>
    <row r="3821" ht="14.45"/>
    <row r="3822" ht="14.45"/>
    <row r="3823" ht="14.45"/>
    <row r="3824" ht="14.45"/>
    <row r="3825" ht="14.45"/>
    <row r="3826" ht="14.45"/>
    <row r="3827" ht="14.45"/>
    <row r="3828" ht="14.45"/>
    <row r="3829" ht="14.45"/>
    <row r="3830" ht="14.45"/>
    <row r="3831" ht="14.45"/>
    <row r="3832" ht="14.45"/>
    <row r="3833" ht="14.45"/>
    <row r="3834" ht="14.45"/>
    <row r="3835" ht="14.45"/>
    <row r="3836" ht="14.45"/>
    <row r="3837" ht="14.45"/>
    <row r="3838" ht="14.45"/>
    <row r="3839" ht="14.45"/>
    <row r="3840" ht="14.45"/>
    <row r="3841" ht="14.45"/>
    <row r="3842" ht="14.45"/>
    <row r="3843" ht="14.45"/>
    <row r="3844" ht="14.45"/>
    <row r="3845" ht="14.45"/>
    <row r="3846" ht="14.45"/>
    <row r="3847" ht="14.45"/>
    <row r="3848" ht="14.45"/>
    <row r="3849" ht="14.45"/>
    <row r="3850" ht="14.45"/>
    <row r="3851" ht="14.45"/>
    <row r="3852" ht="14.45"/>
    <row r="3853" ht="14.45"/>
    <row r="3854" ht="14.45"/>
    <row r="3855" ht="14.45"/>
    <row r="3856" ht="14.45"/>
    <row r="3857" ht="14.45"/>
    <row r="3858" ht="14.45"/>
    <row r="3859" ht="14.45"/>
    <row r="3860" ht="14.45"/>
    <row r="3861" ht="14.45"/>
    <row r="3862" ht="14.45"/>
    <row r="3863" ht="14.45"/>
    <row r="3864" ht="14.45"/>
    <row r="3865" ht="14.45"/>
    <row r="3866" ht="14.45"/>
    <row r="3867" ht="14.45"/>
    <row r="3868" ht="14.45"/>
    <row r="3869" ht="14.45"/>
    <row r="3870" ht="14.45"/>
    <row r="3871" ht="14.45"/>
    <row r="3872" ht="14.45"/>
    <row r="3873" ht="14.45"/>
    <row r="3874" ht="14.45"/>
    <row r="3875" ht="14.45"/>
    <row r="3876" ht="14.45"/>
    <row r="3877" ht="14.45"/>
    <row r="3878" ht="14.45"/>
    <row r="3879" ht="14.45"/>
    <row r="3880" ht="14.45"/>
    <row r="3881" ht="14.45"/>
    <row r="3882" ht="14.45"/>
    <row r="3883" ht="14.45"/>
    <row r="3884" ht="14.45"/>
    <row r="3885" ht="14.45"/>
    <row r="3886" ht="14.45"/>
    <row r="3887" ht="14.45"/>
    <row r="3888" ht="14.45"/>
    <row r="3889" ht="14.45"/>
    <row r="3890" ht="14.45"/>
    <row r="3891" ht="14.45"/>
    <row r="3892" ht="14.45"/>
    <row r="3893" ht="14.45"/>
    <row r="3894" ht="14.45"/>
    <row r="3895" ht="14.45"/>
    <row r="3896" ht="14.45"/>
    <row r="3897" ht="14.45"/>
    <row r="3898" ht="14.45"/>
    <row r="3899" ht="14.45"/>
    <row r="3900" ht="14.45"/>
    <row r="3901" ht="14.45"/>
    <row r="3902" ht="14.45"/>
    <row r="3903" ht="14.45"/>
    <row r="3904" ht="14.45"/>
    <row r="3905" ht="14.45"/>
    <row r="3906" ht="14.45"/>
    <row r="3907" ht="14.45"/>
    <row r="3908" ht="14.45"/>
    <row r="3909" ht="14.45"/>
    <row r="3910" ht="14.45"/>
    <row r="3911" ht="14.45"/>
    <row r="3912" ht="14.45"/>
    <row r="3913" ht="14.45"/>
    <row r="3914" ht="14.45"/>
    <row r="3915" ht="14.45"/>
    <row r="3916" ht="14.45"/>
    <row r="3917" ht="14.45"/>
    <row r="3918" ht="14.45"/>
    <row r="3919" ht="14.45"/>
    <row r="3920" ht="14.45"/>
    <row r="3921" ht="14.45"/>
    <row r="3922" ht="14.45"/>
    <row r="3923" ht="14.45"/>
    <row r="3924" ht="14.45"/>
    <row r="3925" ht="14.45"/>
    <row r="3926" ht="14.45"/>
    <row r="3927" ht="14.45"/>
    <row r="3928" ht="14.45"/>
    <row r="3929" ht="14.45"/>
    <row r="3930" ht="14.45"/>
    <row r="3931" ht="14.45"/>
    <row r="3932" ht="14.45"/>
    <row r="3933" ht="14.45"/>
    <row r="3934" ht="14.45"/>
    <row r="3935" ht="14.45"/>
    <row r="3936" ht="14.45"/>
    <row r="3937" ht="14.45"/>
    <row r="3938" ht="14.45"/>
    <row r="3939" ht="14.45"/>
    <row r="3940" ht="14.45"/>
    <row r="3941" ht="14.45"/>
    <row r="3942" ht="14.45"/>
    <row r="3943" ht="14.45"/>
    <row r="3944" ht="14.45"/>
    <row r="3945" ht="14.45"/>
    <row r="3946" ht="14.45"/>
    <row r="3947" ht="14.45"/>
    <row r="3948" ht="14.45"/>
    <row r="3949" ht="14.45"/>
    <row r="3950" ht="14.45"/>
    <row r="3951" ht="14.45"/>
    <row r="3952" ht="14.45"/>
    <row r="3953" ht="14.45"/>
    <row r="3954" ht="14.45"/>
    <row r="3955" ht="14.45"/>
    <row r="3956" ht="14.45"/>
    <row r="3957" ht="14.45"/>
    <row r="3958" ht="14.45"/>
    <row r="3959" ht="14.45"/>
    <row r="3960" ht="14.45"/>
    <row r="3961" ht="14.45"/>
    <row r="3962" ht="14.45"/>
    <row r="3963" ht="14.45"/>
    <row r="3964" ht="14.45"/>
    <row r="3965" ht="14.45"/>
    <row r="3966" ht="14.45"/>
    <row r="3967" ht="14.45"/>
    <row r="3968" ht="14.45"/>
    <row r="3969" ht="14.45"/>
    <row r="3970" ht="14.45"/>
    <row r="3971" ht="14.45"/>
    <row r="3972" ht="14.45"/>
    <row r="3973" ht="14.45"/>
    <row r="3974" ht="14.45"/>
    <row r="3975" ht="14.45"/>
    <row r="3976" ht="14.45"/>
    <row r="3977" ht="14.45"/>
    <row r="3978" ht="14.45"/>
    <row r="3979" ht="14.45"/>
    <row r="3980" ht="14.45"/>
    <row r="3981" ht="14.45"/>
    <row r="3982" ht="14.45"/>
    <row r="3983" ht="14.45"/>
    <row r="3984" ht="14.45"/>
    <row r="3985" ht="14.45"/>
    <row r="3986" ht="14.45"/>
    <row r="3987" ht="14.45"/>
    <row r="3988" ht="14.45"/>
    <row r="3989" ht="14.45"/>
    <row r="3990" ht="14.45"/>
    <row r="3991" ht="14.45"/>
    <row r="3992" ht="14.45"/>
    <row r="3993" ht="14.45"/>
    <row r="3994" ht="14.45"/>
    <row r="3995" ht="14.45"/>
    <row r="3996" ht="14.45"/>
    <row r="3997" ht="14.45"/>
    <row r="3998" ht="14.45"/>
    <row r="3999" ht="14.45"/>
    <row r="4000" ht="14.45"/>
    <row r="4001" ht="14.45"/>
    <row r="4002" ht="14.45"/>
    <row r="4003" ht="14.45"/>
    <row r="4004" ht="14.45"/>
    <row r="4005" ht="14.45"/>
    <row r="4006" ht="14.45"/>
    <row r="4007" ht="14.45"/>
    <row r="4008" ht="14.45"/>
    <row r="4009" ht="14.45"/>
    <row r="4010" ht="14.45"/>
    <row r="4011" ht="14.45"/>
    <row r="4012" ht="14.45"/>
    <row r="4013" ht="14.45"/>
    <row r="4014" ht="14.45"/>
    <row r="4015" ht="14.45"/>
    <row r="4016" ht="14.45"/>
    <row r="4017" ht="14.45"/>
    <row r="4018" ht="14.45"/>
    <row r="4019" ht="14.45"/>
    <row r="4020" ht="14.45"/>
    <row r="4021" ht="14.45"/>
    <row r="4022" ht="14.45"/>
    <row r="4023" ht="14.45"/>
    <row r="4024" ht="14.45"/>
    <row r="4025" ht="14.45"/>
    <row r="4026" ht="14.45"/>
    <row r="4027" ht="14.45"/>
    <row r="4028" ht="14.45"/>
    <row r="4029" ht="14.45"/>
    <row r="4030" ht="14.45"/>
    <row r="4031" ht="14.45"/>
    <row r="4032" ht="14.45"/>
    <row r="4033" ht="14.45"/>
    <row r="4034" ht="14.45"/>
    <row r="4035" ht="14.45"/>
    <row r="4036" ht="14.45"/>
    <row r="4037" ht="14.45"/>
    <row r="4038" ht="14.45"/>
    <row r="4039" ht="14.45"/>
    <row r="4040" ht="14.45"/>
    <row r="4041" ht="14.45"/>
    <row r="4042" ht="14.45"/>
    <row r="4043" ht="14.45"/>
    <row r="4044" ht="14.45"/>
    <row r="4045" ht="14.45"/>
    <row r="4046" ht="14.45"/>
    <row r="4047" ht="14.45"/>
    <row r="4048" ht="14.45"/>
    <row r="4049" ht="14.45"/>
    <row r="4050" ht="14.45"/>
    <row r="4051" ht="14.45"/>
    <row r="4052" ht="14.45"/>
    <row r="4053" ht="14.45"/>
    <row r="4054" ht="14.45"/>
    <row r="4055" ht="14.45"/>
    <row r="4056" ht="14.45"/>
    <row r="4057" ht="14.45"/>
    <row r="4058" ht="14.45"/>
    <row r="4059" ht="14.45"/>
    <row r="4060" ht="14.45"/>
    <row r="4061" ht="14.45"/>
    <row r="4062" ht="14.45"/>
    <row r="4063" ht="14.45"/>
    <row r="4064" ht="14.45"/>
    <row r="4065" ht="14.45"/>
    <row r="4066" ht="14.45"/>
    <row r="4067" ht="14.45"/>
    <row r="4068" ht="14.45"/>
    <row r="4069" ht="14.45"/>
    <row r="4070" ht="14.45"/>
    <row r="4071" ht="14.45"/>
    <row r="4072" ht="14.45"/>
    <row r="4073" ht="14.45"/>
    <row r="4074" ht="14.45"/>
    <row r="4075" ht="14.45"/>
    <row r="4076" ht="14.45"/>
    <row r="4077" ht="14.45"/>
    <row r="4078" ht="14.45"/>
    <row r="4079" ht="14.45"/>
    <row r="4080" ht="14.45"/>
    <row r="4081" ht="14.45"/>
    <row r="4082" ht="14.45"/>
    <row r="4083" ht="14.45"/>
    <row r="4084" ht="14.45"/>
    <row r="4085" ht="14.45"/>
    <row r="4086" ht="14.45"/>
    <row r="4087" ht="14.45"/>
    <row r="4088" ht="14.45"/>
    <row r="4089" ht="14.45"/>
    <row r="4090" ht="14.45"/>
    <row r="4091" ht="14.45"/>
    <row r="4092" ht="14.45"/>
    <row r="4093" ht="14.45"/>
    <row r="4094" ht="14.45"/>
    <row r="4095" ht="14.45"/>
    <row r="4096" ht="14.45"/>
    <row r="4097" ht="14.45"/>
    <row r="4098" ht="14.45"/>
    <row r="4099" ht="14.45"/>
    <row r="4100" ht="14.45"/>
    <row r="4101" ht="14.45"/>
    <row r="4102" ht="14.45"/>
    <row r="4103" ht="14.45"/>
    <row r="4104" ht="14.45"/>
    <row r="4105" ht="14.45"/>
    <row r="4106" ht="14.45"/>
    <row r="4107" ht="14.45"/>
    <row r="4108" ht="14.45"/>
    <row r="4109" ht="14.45"/>
    <row r="4110" ht="14.45"/>
    <row r="4111" ht="14.45"/>
    <row r="4112" ht="14.45"/>
    <row r="4113" ht="14.45"/>
    <row r="4114" ht="14.45"/>
    <row r="4115" ht="14.45"/>
    <row r="4116" ht="14.45"/>
    <row r="4117" ht="14.45"/>
    <row r="4118" ht="14.45"/>
    <row r="4119" ht="14.45"/>
    <row r="4120" ht="14.45"/>
    <row r="4121" ht="14.45"/>
    <row r="4122" ht="14.45"/>
    <row r="4123" ht="14.45"/>
    <row r="4124" ht="14.45"/>
    <row r="4125" ht="14.45"/>
    <row r="4126" ht="14.45"/>
    <row r="4127" ht="14.45"/>
    <row r="4128" ht="14.45"/>
    <row r="4129" ht="14.45"/>
    <row r="4130" ht="14.45"/>
    <row r="4131" ht="14.45"/>
    <row r="4132" ht="14.45"/>
    <row r="4133" ht="14.45"/>
    <row r="4134" ht="14.45"/>
    <row r="4135" ht="14.45"/>
    <row r="4136" ht="14.45"/>
    <row r="4137" ht="14.45"/>
    <row r="4138" ht="14.45"/>
    <row r="4139" ht="14.45"/>
    <row r="4140" ht="14.45"/>
    <row r="4141" ht="14.45"/>
    <row r="4142" ht="14.45"/>
    <row r="4143" ht="14.45"/>
    <row r="4144" ht="14.45"/>
    <row r="4145" ht="14.45"/>
    <row r="4146" ht="14.45"/>
    <row r="4147" ht="14.45"/>
    <row r="4148" ht="14.45"/>
    <row r="4149" ht="14.45"/>
    <row r="4150" ht="14.45"/>
    <row r="4151" ht="14.45"/>
    <row r="4152" ht="14.45"/>
    <row r="4153" ht="14.45"/>
    <row r="4154" ht="14.45"/>
    <row r="4155" ht="14.45"/>
    <row r="4156" ht="14.45"/>
    <row r="4157" ht="14.45"/>
    <row r="4158" ht="14.45"/>
    <row r="4159" ht="14.45"/>
    <row r="4160" ht="14.45"/>
    <row r="4161" ht="14.45"/>
    <row r="4162" ht="14.45"/>
    <row r="4163" ht="14.45"/>
    <row r="4164" ht="14.45"/>
    <row r="4165" ht="14.45"/>
    <row r="4166" ht="14.45"/>
    <row r="4167" ht="14.45"/>
    <row r="4168" ht="14.45"/>
    <row r="4169" ht="14.45"/>
    <row r="4170" ht="14.45"/>
    <row r="4171" ht="14.45"/>
    <row r="4172" ht="14.45"/>
    <row r="4173" ht="14.45"/>
    <row r="4174" ht="14.45"/>
    <row r="4175" ht="14.45"/>
    <row r="4176" ht="14.45"/>
    <row r="4177" ht="14.45"/>
    <row r="4178" ht="14.45"/>
    <row r="4179" ht="14.45"/>
    <row r="4180" ht="14.45"/>
    <row r="4181" ht="14.45"/>
    <row r="4182" ht="14.45"/>
    <row r="4183" ht="14.45"/>
    <row r="4184" ht="14.45"/>
    <row r="4185" ht="14.45"/>
    <row r="4186" ht="14.45"/>
    <row r="4187" ht="14.45"/>
    <row r="4188" ht="14.45"/>
    <row r="4189" ht="14.45"/>
    <row r="4190" ht="14.45"/>
    <row r="4191" ht="14.45"/>
    <row r="4192" ht="14.45"/>
    <row r="4193" ht="14.45"/>
    <row r="4194" ht="14.45"/>
    <row r="4195" ht="14.45"/>
    <row r="4196" ht="14.45"/>
    <row r="4197" ht="14.45"/>
    <row r="4198" ht="14.45"/>
    <row r="4199" ht="14.45"/>
    <row r="4200" ht="14.45"/>
    <row r="4201" ht="14.45"/>
    <row r="4202" ht="14.45"/>
    <row r="4203" ht="14.45"/>
    <row r="4204" ht="14.45"/>
    <row r="4205" ht="14.45"/>
    <row r="4206" ht="14.45"/>
    <row r="4207" ht="14.45"/>
    <row r="4208" ht="14.45"/>
    <row r="4209" ht="14.45"/>
    <row r="4210" ht="14.45"/>
    <row r="4211" ht="14.45"/>
    <row r="4212" ht="14.45"/>
    <row r="4213" ht="14.45"/>
    <row r="4214" ht="14.45"/>
    <row r="4215" ht="14.45"/>
    <row r="4216" ht="14.45"/>
    <row r="4217" ht="14.45"/>
    <row r="4218" ht="14.45"/>
    <row r="4219" ht="14.45"/>
    <row r="4220" ht="14.45"/>
    <row r="4221" ht="14.45"/>
    <row r="4222" ht="14.45"/>
    <row r="4223" ht="14.45"/>
    <row r="4224" ht="14.45"/>
    <row r="4225" ht="14.45"/>
    <row r="4226" ht="14.45"/>
    <row r="4227" ht="14.45"/>
    <row r="4228" ht="14.45"/>
    <row r="4229" ht="14.45"/>
    <row r="4230" ht="14.45"/>
    <row r="4231" ht="14.45"/>
    <row r="4232" ht="14.45"/>
    <row r="4233" ht="14.45"/>
    <row r="4234" ht="14.45"/>
    <row r="4235" ht="14.45"/>
    <row r="4236" ht="14.45"/>
    <row r="4237" ht="14.45"/>
    <row r="4238" ht="14.45"/>
    <row r="4239" ht="14.45"/>
    <row r="4240" ht="14.45"/>
    <row r="4241" ht="14.45"/>
    <row r="4242" ht="14.45"/>
    <row r="4243" ht="14.45"/>
    <row r="4244" ht="14.45"/>
    <row r="4245" ht="14.45"/>
    <row r="4246" ht="14.45"/>
    <row r="4247" ht="14.45"/>
    <row r="4248" ht="14.45"/>
    <row r="4249" ht="14.45"/>
    <row r="4250" ht="14.45"/>
    <row r="4251" ht="14.45"/>
    <row r="4252" ht="14.45"/>
    <row r="4253" ht="14.45"/>
    <row r="4254" ht="14.45"/>
    <row r="4255" ht="14.45"/>
    <row r="4256" ht="14.45"/>
    <row r="4257" ht="14.45"/>
    <row r="4258" ht="14.45"/>
    <row r="4259" ht="14.45"/>
    <row r="4260" ht="14.45"/>
    <row r="4261" ht="14.45"/>
    <row r="4262" ht="14.45"/>
    <row r="4263" ht="14.45"/>
    <row r="4264" ht="14.45"/>
    <row r="4265" ht="14.45"/>
    <row r="4266" ht="14.45"/>
    <row r="4267" ht="14.45"/>
    <row r="4268" ht="14.45"/>
    <row r="4269" ht="14.45"/>
    <row r="4270" ht="14.45"/>
    <row r="4271" ht="14.45"/>
    <row r="4272" ht="14.45"/>
    <row r="4273" ht="14.45"/>
    <row r="4274" ht="14.45"/>
    <row r="4275" ht="14.45"/>
    <row r="4276" ht="14.45"/>
    <row r="4277" ht="14.45"/>
    <row r="4278" ht="14.45"/>
    <row r="4279" ht="14.45"/>
    <row r="4280" ht="14.45"/>
    <row r="4281" ht="14.45"/>
    <row r="4282" ht="14.45"/>
    <row r="4283" ht="14.45"/>
    <row r="4284" ht="14.45"/>
    <row r="4285" ht="14.45"/>
    <row r="4286" ht="14.45"/>
    <row r="4287" ht="14.45"/>
    <row r="4288" ht="14.45"/>
    <row r="4289" ht="14.45"/>
    <row r="4290" ht="14.45"/>
    <row r="4291" ht="14.45"/>
    <row r="4292" ht="14.45"/>
    <row r="4293" ht="14.45"/>
    <row r="4294" ht="14.45"/>
    <row r="4295" ht="14.45"/>
    <row r="4296" ht="14.45"/>
    <row r="4297" ht="14.45"/>
    <row r="4298" ht="14.45"/>
    <row r="4299" ht="14.45"/>
    <row r="4300" ht="14.45"/>
    <row r="4301" ht="14.45"/>
    <row r="4302" ht="14.45"/>
    <row r="4303" ht="14.45"/>
    <row r="4304" ht="14.45"/>
    <row r="4305" ht="14.45"/>
    <row r="4306" ht="14.45"/>
    <row r="4307" ht="14.45"/>
    <row r="4308" ht="14.45"/>
    <row r="4309" ht="14.45"/>
    <row r="4310" ht="14.45"/>
    <row r="4311" ht="14.45"/>
    <row r="4312" ht="14.45"/>
    <row r="4313" ht="14.45"/>
    <row r="4314" ht="14.45"/>
    <row r="4315" ht="14.45"/>
    <row r="4316" ht="14.45"/>
    <row r="4317" ht="14.45"/>
    <row r="4318" ht="14.45"/>
    <row r="4319" ht="14.45"/>
    <row r="4320" ht="14.45"/>
    <row r="4321" ht="14.45"/>
    <row r="4322" ht="14.45"/>
    <row r="4323" ht="14.45"/>
    <row r="4324" ht="14.45"/>
    <row r="4325" ht="14.45"/>
    <row r="4326" ht="14.45"/>
    <row r="4327" ht="14.45"/>
    <row r="4328" ht="14.45"/>
    <row r="4329" ht="14.45"/>
    <row r="4330" ht="14.45"/>
    <row r="4331" ht="14.45"/>
    <row r="4332" ht="14.45"/>
    <row r="4333" ht="14.45"/>
    <row r="4334" ht="14.45"/>
    <row r="4335" ht="14.45"/>
    <row r="4336" ht="14.45"/>
    <row r="4337" ht="14.45"/>
    <row r="4338" ht="14.45"/>
    <row r="4339" ht="14.45"/>
    <row r="4340" ht="14.45"/>
    <row r="4341" ht="14.45"/>
    <row r="4342" ht="14.45"/>
    <row r="4343" ht="14.45"/>
    <row r="4344" ht="14.45"/>
    <row r="4345" ht="14.45"/>
    <row r="4346" ht="14.45"/>
    <row r="4347" ht="14.45"/>
    <row r="4348" ht="14.45"/>
    <row r="4349" ht="14.45"/>
    <row r="4350" ht="14.45"/>
    <row r="4351" ht="14.45"/>
    <row r="4352" ht="14.45"/>
    <row r="4353" ht="14.45"/>
    <row r="4354" ht="14.45"/>
    <row r="4355" ht="14.45"/>
    <row r="4356" ht="14.45"/>
    <row r="4357" ht="14.45"/>
    <row r="4358" ht="14.45"/>
    <row r="4359" ht="14.45"/>
    <row r="4360" ht="14.45"/>
    <row r="4361" ht="14.45"/>
    <row r="4362" ht="14.45"/>
    <row r="4363" ht="14.45"/>
    <row r="4364" ht="14.45"/>
    <row r="4365" ht="14.45"/>
    <row r="4366" ht="14.45"/>
    <row r="4367" ht="14.45"/>
    <row r="4368" ht="14.45"/>
    <row r="4369" ht="14.45"/>
    <row r="4370" ht="14.45"/>
    <row r="4371" ht="14.45"/>
    <row r="4372" ht="14.45"/>
    <row r="4373" ht="14.45"/>
    <row r="4374" ht="14.45"/>
    <row r="4375" ht="14.45"/>
    <row r="4376" ht="14.45"/>
    <row r="4377" ht="14.45"/>
    <row r="4378" ht="14.45"/>
    <row r="4379" ht="14.45"/>
    <row r="4380" ht="14.45"/>
    <row r="4381" ht="14.45"/>
    <row r="4382" ht="14.45"/>
    <row r="4383" ht="14.45"/>
    <row r="4384" ht="14.45"/>
    <row r="4385" ht="14.45"/>
    <row r="4386" ht="14.45"/>
    <row r="4387" ht="14.45"/>
    <row r="4388" ht="14.45"/>
    <row r="4389" ht="14.45"/>
    <row r="4390" ht="14.45"/>
    <row r="4391" ht="14.45"/>
    <row r="4392" ht="14.45"/>
    <row r="4393" ht="14.45"/>
    <row r="4394" ht="14.45"/>
    <row r="4395" ht="14.45"/>
    <row r="4396" ht="14.45"/>
    <row r="4397" ht="14.45"/>
    <row r="4398" ht="14.45"/>
    <row r="4399" ht="14.45"/>
    <row r="4400" ht="14.45"/>
    <row r="4401" ht="14.45"/>
    <row r="4402" ht="14.45"/>
    <row r="4403" ht="14.45"/>
    <row r="4404" ht="14.45"/>
    <row r="4405" ht="14.45"/>
    <row r="4406" ht="14.45"/>
    <row r="4407" ht="14.45"/>
    <row r="4408" ht="14.45"/>
    <row r="4409" ht="14.45"/>
    <row r="4410" ht="14.45"/>
    <row r="4411" ht="14.45"/>
    <row r="4412" ht="14.45"/>
    <row r="4413" ht="14.45"/>
    <row r="4414" ht="14.45"/>
    <row r="4415" ht="14.45"/>
    <row r="4416" ht="14.45"/>
    <row r="4417" ht="14.45"/>
    <row r="4418" ht="14.45"/>
    <row r="4419" ht="14.45"/>
    <row r="4420" ht="14.45"/>
    <row r="4421" ht="14.45"/>
    <row r="4422" ht="14.45"/>
    <row r="4423" ht="14.45"/>
    <row r="4424" ht="14.45"/>
    <row r="4425" ht="14.45"/>
    <row r="4426" ht="14.45"/>
    <row r="4427" ht="14.45"/>
    <row r="4428" ht="14.45"/>
    <row r="4429" ht="14.45"/>
    <row r="4430" ht="14.45"/>
    <row r="4431" ht="14.45"/>
    <row r="4432" ht="14.45"/>
    <row r="4433" ht="14.45"/>
    <row r="4434" ht="14.45"/>
    <row r="4435" ht="14.45"/>
    <row r="4436" ht="14.45"/>
    <row r="4437" ht="14.45"/>
    <row r="4438" ht="14.45"/>
    <row r="4439" ht="14.45"/>
    <row r="4440" ht="14.45"/>
    <row r="4441" ht="14.45"/>
    <row r="4442" ht="14.45"/>
    <row r="4443" ht="14.45"/>
    <row r="4444" ht="14.45"/>
    <row r="4445" ht="14.45"/>
    <row r="4446" ht="14.45"/>
    <row r="4447" ht="14.45"/>
    <row r="4448" ht="14.45"/>
    <row r="4449" ht="14.45"/>
    <row r="4450" ht="14.45"/>
    <row r="4451" ht="14.45"/>
    <row r="4452" ht="14.45"/>
    <row r="4453" ht="14.45"/>
    <row r="4454" ht="14.45"/>
    <row r="4455" ht="14.45"/>
    <row r="4456" ht="14.45"/>
    <row r="4457" ht="14.45"/>
    <row r="4458" ht="14.45"/>
    <row r="4459" ht="14.45"/>
    <row r="4460" ht="14.45"/>
    <row r="4461" ht="14.45"/>
    <row r="4462" ht="14.45"/>
    <row r="4463" ht="14.45"/>
    <row r="4464" ht="14.45"/>
    <row r="4465" ht="14.45"/>
    <row r="4466" ht="14.45"/>
    <row r="4467" ht="14.45"/>
    <row r="4468" ht="14.45"/>
    <row r="4469" ht="14.45"/>
    <row r="4470" ht="14.45"/>
    <row r="4471" ht="14.45"/>
    <row r="4472" ht="14.45"/>
    <row r="4473" ht="14.45"/>
    <row r="4474" ht="14.45"/>
    <row r="4475" ht="14.45"/>
    <row r="4476" ht="14.45"/>
    <row r="4477" ht="14.45"/>
    <row r="4478" ht="14.45"/>
    <row r="4479" ht="14.45"/>
    <row r="4480" ht="14.45"/>
    <row r="4481" ht="14.45"/>
    <row r="4482" ht="14.45"/>
    <row r="4483" ht="14.45"/>
    <row r="4484" ht="14.45"/>
    <row r="4485" ht="14.45"/>
    <row r="4486" ht="14.45"/>
    <row r="4487" ht="14.45"/>
    <row r="4488" ht="14.45"/>
    <row r="4489" ht="14.45"/>
    <row r="4490" ht="14.45"/>
    <row r="4491" ht="14.45"/>
    <row r="4492" ht="14.45"/>
    <row r="4493" ht="14.45"/>
    <row r="4494" ht="14.45"/>
    <row r="4495" ht="14.45"/>
    <row r="4496" ht="14.45"/>
    <row r="4497" ht="14.45"/>
    <row r="4498" ht="14.45"/>
    <row r="4499" ht="14.45"/>
    <row r="4500" ht="14.45"/>
    <row r="4501" ht="14.45"/>
    <row r="4502" ht="14.45"/>
    <row r="4503" ht="14.45"/>
    <row r="4504" ht="14.45"/>
    <row r="4505" ht="14.45"/>
    <row r="4506" ht="14.45"/>
    <row r="4507" ht="14.45"/>
    <row r="4508" ht="14.45"/>
    <row r="4509" ht="14.45"/>
    <row r="4510" ht="14.45"/>
    <row r="4511" ht="14.45"/>
    <row r="4512" ht="14.45"/>
    <row r="4513" ht="14.45"/>
    <row r="4514" ht="14.45"/>
    <row r="4515" ht="14.45"/>
    <row r="4516" ht="14.45"/>
    <row r="4517" ht="14.45"/>
    <row r="4518" ht="14.45"/>
    <row r="4519" ht="14.45"/>
    <row r="4520" ht="14.45"/>
    <row r="4521" ht="14.45"/>
    <row r="4522" ht="14.45"/>
    <row r="4523" ht="14.45"/>
    <row r="4524" ht="14.45"/>
    <row r="4525" ht="14.45"/>
    <row r="4526" ht="14.45"/>
    <row r="4527" ht="14.45"/>
    <row r="4528" ht="14.45"/>
    <row r="4529" ht="14.45"/>
    <row r="4530" ht="14.45"/>
    <row r="4531" ht="14.45"/>
    <row r="4532" ht="14.45"/>
    <row r="4533" ht="14.45"/>
    <row r="4534" ht="14.45"/>
    <row r="4535" ht="14.45"/>
    <row r="4536" ht="14.45"/>
    <row r="4537" ht="14.45"/>
    <row r="4538" ht="14.45"/>
    <row r="4539" ht="14.45"/>
    <row r="4540" ht="14.45"/>
    <row r="4541" ht="14.45"/>
    <row r="4542" ht="14.45"/>
    <row r="4543" ht="14.45"/>
    <row r="4544" ht="14.45"/>
    <row r="4545" ht="14.45"/>
    <row r="4546" ht="14.45"/>
    <row r="4547" ht="14.45"/>
    <row r="4548" ht="14.45"/>
    <row r="4549" ht="14.45"/>
    <row r="4550" ht="14.45"/>
  </sheetData>
  <sortState xmlns:xlrd2="http://schemas.microsoft.com/office/spreadsheetml/2017/richdata2" ref="A1055:J1213">
    <sortCondition ref="A1055"/>
  </sortState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7"/>
  <sheetViews>
    <sheetView workbookViewId="0">
      <pane xSplit="1" ySplit="1" topLeftCell="B56" activePane="bottomRight" state="frozen"/>
      <selection pane="bottomRight" activeCell="A56" sqref="A56"/>
      <selection pane="bottomLeft" activeCell="A2" sqref="A2"/>
      <selection pane="topRight" activeCell="B1" sqref="B1"/>
    </sheetView>
  </sheetViews>
  <sheetFormatPr defaultRowHeight="14.45"/>
  <cols>
    <col min="1" max="1" width="13.85546875" bestFit="1" customWidth="1"/>
    <col min="2" max="2" width="5.42578125" customWidth="1"/>
    <col min="3" max="3" width="9.28515625" customWidth="1"/>
    <col min="4" max="4" width="9.42578125" customWidth="1"/>
    <col min="5" max="5" width="6.5703125" customWidth="1"/>
    <col min="6" max="6" width="6.42578125" bestFit="1" customWidth="1"/>
    <col min="7" max="7" width="6.5703125" bestFit="1" customWidth="1"/>
    <col min="8" max="8" width="16.140625" bestFit="1" customWidth="1"/>
    <col min="9" max="9" width="8.7109375" customWidth="1"/>
    <col min="10" max="10" width="8.42578125" bestFit="1" customWidth="1"/>
    <col min="11" max="11" width="14.28515625" style="48" customWidth="1"/>
    <col min="12" max="12" width="12" bestFit="1" customWidth="1"/>
    <col min="13" max="13" width="27.42578125" hidden="1" customWidth="1"/>
    <col min="14" max="14" width="4.7109375" customWidth="1"/>
    <col min="19" max="20" width="10.85546875" bestFit="1" customWidth="1"/>
    <col min="22" max="22" width="4.5703125" bestFit="1" customWidth="1"/>
  </cols>
  <sheetData>
    <row r="1" spans="1:22" ht="41.45">
      <c r="A1" s="27" t="s">
        <v>198</v>
      </c>
      <c r="B1" s="27" t="s">
        <v>199</v>
      </c>
      <c r="C1" s="27" t="s">
        <v>200</v>
      </c>
      <c r="D1" s="27" t="s">
        <v>201</v>
      </c>
      <c r="E1" s="27" t="s">
        <v>202</v>
      </c>
      <c r="F1" s="27" t="s">
        <v>203</v>
      </c>
      <c r="G1" s="27" t="s">
        <v>204</v>
      </c>
      <c r="H1" s="27" t="s">
        <v>205</v>
      </c>
      <c r="I1" s="27" t="s">
        <v>206</v>
      </c>
      <c r="J1" s="37" t="s">
        <v>12</v>
      </c>
      <c r="K1" s="37" t="s">
        <v>10</v>
      </c>
      <c r="L1" s="37" t="s">
        <v>13</v>
      </c>
      <c r="N1" s="37" t="s">
        <v>1440</v>
      </c>
      <c r="O1" s="37" t="s">
        <v>1441</v>
      </c>
      <c r="S1" s="18">
        <v>25569</v>
      </c>
      <c r="V1" t="s">
        <v>213</v>
      </c>
    </row>
    <row r="2" spans="1:22">
      <c r="A2" t="s">
        <v>1442</v>
      </c>
      <c r="B2" t="s">
        <v>17</v>
      </c>
      <c r="C2">
        <v>58</v>
      </c>
      <c r="D2" t="s">
        <v>41</v>
      </c>
      <c r="E2">
        <v>1000</v>
      </c>
      <c r="F2">
        <v>31</v>
      </c>
      <c r="G2" t="s">
        <v>629</v>
      </c>
      <c r="H2" t="s">
        <v>1443</v>
      </c>
      <c r="I2" t="s">
        <v>20</v>
      </c>
      <c r="J2" t="s">
        <v>1444</v>
      </c>
      <c r="K2" s="48">
        <f t="shared" ref="K2:K33" si="0">DATE(2000+MID(A2,3,2),MID(A2,5,2),MID(A2,7,2))+TIME(MID(A2,10,2),MID(A2,12,2),0)</f>
        <v>42534.089583333334</v>
      </c>
      <c r="L2" t="s">
        <v>1445</v>
      </c>
      <c r="M2" t="str">
        <f t="shared" ref="M2:M7" si="1">"du -h "&amp;A2&amp;" &gt;&gt; temp.txt"</f>
        <v>du -h 07160613_0209 &gt;&gt; temp.txt</v>
      </c>
      <c r="N2" t="s">
        <v>1446</v>
      </c>
    </row>
    <row r="3" spans="1:22">
      <c r="A3" t="s">
        <v>1447</v>
      </c>
      <c r="B3" t="s">
        <v>17</v>
      </c>
      <c r="C3">
        <v>58</v>
      </c>
      <c r="D3" t="s">
        <v>41</v>
      </c>
      <c r="E3">
        <v>1000</v>
      </c>
      <c r="F3">
        <v>31</v>
      </c>
      <c r="G3" t="s">
        <v>629</v>
      </c>
      <c r="H3" t="s">
        <v>1448</v>
      </c>
      <c r="I3" t="s">
        <v>20</v>
      </c>
      <c r="J3" t="s">
        <v>1444</v>
      </c>
      <c r="K3" s="48">
        <f t="shared" si="0"/>
        <v>42534.129166666666</v>
      </c>
      <c r="L3" t="s">
        <v>1445</v>
      </c>
      <c r="M3" t="str">
        <f t="shared" si="1"/>
        <v>du -h 07160613_0306 &gt;&gt; temp.txt</v>
      </c>
      <c r="N3" t="s">
        <v>1449</v>
      </c>
    </row>
    <row r="4" spans="1:22">
      <c r="A4" t="s">
        <v>1450</v>
      </c>
      <c r="B4" t="s">
        <v>17</v>
      </c>
      <c r="C4">
        <v>58</v>
      </c>
      <c r="D4" t="s">
        <v>41</v>
      </c>
      <c r="E4">
        <v>1000</v>
      </c>
      <c r="F4">
        <v>31</v>
      </c>
      <c r="G4" t="s">
        <v>629</v>
      </c>
      <c r="H4" t="s">
        <v>1451</v>
      </c>
      <c r="I4" t="s">
        <v>20</v>
      </c>
      <c r="J4" t="s">
        <v>1444</v>
      </c>
      <c r="K4" s="48">
        <f t="shared" si="0"/>
        <v>42534.168055555558</v>
      </c>
      <c r="L4" t="s">
        <v>1445</v>
      </c>
      <c r="M4" t="str">
        <f t="shared" si="1"/>
        <v>du -h 07160613_0402 &gt;&gt; temp.txt</v>
      </c>
      <c r="N4" t="s">
        <v>1452</v>
      </c>
    </row>
    <row r="5" spans="1:22">
      <c r="A5" t="s">
        <v>1453</v>
      </c>
      <c r="B5" t="s">
        <v>17</v>
      </c>
      <c r="C5">
        <v>58</v>
      </c>
      <c r="D5" t="s">
        <v>41</v>
      </c>
      <c r="E5">
        <v>1000</v>
      </c>
      <c r="F5">
        <v>31</v>
      </c>
      <c r="G5" t="s">
        <v>629</v>
      </c>
      <c r="H5" t="s">
        <v>1454</v>
      </c>
      <c r="I5" t="s">
        <v>20</v>
      </c>
      <c r="J5" t="s">
        <v>1444</v>
      </c>
      <c r="K5" s="48">
        <f t="shared" si="0"/>
        <v>42534.207638888889</v>
      </c>
      <c r="L5" t="s">
        <v>1445</v>
      </c>
      <c r="M5" t="str">
        <f t="shared" si="1"/>
        <v>du -h 07160613_0459 &gt;&gt; temp.txt</v>
      </c>
      <c r="N5" t="s">
        <v>1455</v>
      </c>
    </row>
    <row r="6" spans="1:22">
      <c r="A6" t="s">
        <v>1456</v>
      </c>
      <c r="B6" t="s">
        <v>17</v>
      </c>
      <c r="C6">
        <v>58</v>
      </c>
      <c r="D6" t="s">
        <v>41</v>
      </c>
      <c r="E6">
        <v>1000</v>
      </c>
      <c r="F6">
        <v>31</v>
      </c>
      <c r="G6" t="s">
        <v>629</v>
      </c>
      <c r="H6" t="s">
        <v>1457</v>
      </c>
      <c r="I6" t="s">
        <v>20</v>
      </c>
      <c r="J6" t="s">
        <v>1444</v>
      </c>
      <c r="K6" s="48">
        <f t="shared" si="0"/>
        <v>42534.246527777781</v>
      </c>
      <c r="L6" t="s">
        <v>1445</v>
      </c>
      <c r="M6" t="str">
        <f t="shared" si="1"/>
        <v>du -h 07160613_0555 &gt;&gt; temp.txt</v>
      </c>
      <c r="N6" t="s">
        <v>1458</v>
      </c>
    </row>
    <row r="7" spans="1:22">
      <c r="A7" t="s">
        <v>1459</v>
      </c>
      <c r="B7" t="s">
        <v>17</v>
      </c>
      <c r="C7">
        <v>58</v>
      </c>
      <c r="D7" t="s">
        <v>41</v>
      </c>
      <c r="E7">
        <v>1000</v>
      </c>
      <c r="F7">
        <v>31</v>
      </c>
      <c r="G7" t="s">
        <v>629</v>
      </c>
      <c r="H7" t="s">
        <v>1460</v>
      </c>
      <c r="I7" t="s">
        <v>20</v>
      </c>
      <c r="J7" t="s">
        <v>1444</v>
      </c>
      <c r="K7" s="48">
        <f t="shared" si="0"/>
        <v>42534.286111111112</v>
      </c>
      <c r="L7" t="s">
        <v>1445</v>
      </c>
      <c r="M7" t="str">
        <f t="shared" si="1"/>
        <v>du -h 07160613_0652 &gt;&gt; temp.txt</v>
      </c>
      <c r="N7" t="s">
        <v>1461</v>
      </c>
    </row>
    <row r="8" spans="1:22">
      <c r="A8" t="s">
        <v>1462</v>
      </c>
      <c r="B8" t="s">
        <v>17</v>
      </c>
      <c r="C8">
        <v>58</v>
      </c>
      <c r="D8" t="s">
        <v>41</v>
      </c>
      <c r="E8">
        <v>1000</v>
      </c>
      <c r="F8">
        <v>31</v>
      </c>
      <c r="G8" t="s">
        <v>629</v>
      </c>
      <c r="H8" t="s">
        <v>1463</v>
      </c>
      <c r="I8" t="s">
        <v>20</v>
      </c>
      <c r="J8" t="s">
        <v>1444</v>
      </c>
      <c r="K8" s="48">
        <f t="shared" si="0"/>
        <v>42534.324999999997</v>
      </c>
      <c r="L8" t="s">
        <v>1445</v>
      </c>
      <c r="M8" t="str">
        <f>"du -h "&amp;A8&amp;" &gt; temp.txt"</f>
        <v>du -h 07160613_0748 &gt; temp.txt</v>
      </c>
      <c r="N8" t="s">
        <v>1464</v>
      </c>
    </row>
    <row r="9" spans="1:22">
      <c r="A9" t="s">
        <v>1465</v>
      </c>
      <c r="B9" t="s">
        <v>17</v>
      </c>
      <c r="C9">
        <v>58</v>
      </c>
      <c r="D9" t="s">
        <v>41</v>
      </c>
      <c r="E9">
        <v>1000</v>
      </c>
      <c r="F9">
        <v>31</v>
      </c>
      <c r="G9" t="s">
        <v>629</v>
      </c>
      <c r="H9" t="s">
        <v>1466</v>
      </c>
      <c r="I9" t="s">
        <v>20</v>
      </c>
      <c r="J9" t="s">
        <v>1444</v>
      </c>
      <c r="K9" s="48">
        <f t="shared" si="0"/>
        <v>42533.455555555556</v>
      </c>
      <c r="M9" t="str">
        <f t="shared" ref="M9:M40" si="2">"du -h "&amp;A9&amp;" &gt;&gt; temp.txt"</f>
        <v>du -h 07160612_1056 &gt;&gt; temp.txt</v>
      </c>
      <c r="N9" t="s">
        <v>1467</v>
      </c>
      <c r="O9">
        <f t="shared" ref="O9:O40" si="3">VALUE(MID(H9,FIND(":",H9)+1,FIND(",",H9)-FIND(":",H9)-1))</f>
        <v>-13</v>
      </c>
      <c r="P9" t="str">
        <f t="shared" ref="P9:P61" si="4">"./rawDataLoop "&amp;A9&amp;" 0001 midas // "&amp;G9&amp;" "&amp;O9</f>
        <v>./rawDataLoop 07160612_1056 0001 midas // ba -13</v>
      </c>
      <c r="Q9" t="str">
        <f>""""&amp;A9&amp;""""</f>
        <v>"07160612_1056"</v>
      </c>
      <c r="R9">
        <f>O9</f>
        <v>-13</v>
      </c>
      <c r="S9">
        <f>(K9-S$1)*24*3600</f>
        <v>1465728960</v>
      </c>
      <c r="T9">
        <f>S9</f>
        <v>1465728960</v>
      </c>
    </row>
    <row r="10" spans="1:22">
      <c r="A10" t="s">
        <v>1468</v>
      </c>
      <c r="B10" t="s">
        <v>17</v>
      </c>
      <c r="C10">
        <v>58</v>
      </c>
      <c r="D10" t="s">
        <v>41</v>
      </c>
      <c r="E10">
        <v>1000</v>
      </c>
      <c r="F10">
        <v>31</v>
      </c>
      <c r="G10" t="s">
        <v>629</v>
      </c>
      <c r="H10" t="s">
        <v>1466</v>
      </c>
      <c r="I10" t="s">
        <v>20</v>
      </c>
      <c r="J10" t="s">
        <v>1444</v>
      </c>
      <c r="K10" s="48">
        <f t="shared" si="0"/>
        <v>42532.592361111114</v>
      </c>
      <c r="M10" t="str">
        <f t="shared" si="2"/>
        <v>du -h 07160611_1413 &gt;&gt; temp.txt</v>
      </c>
      <c r="N10" t="s">
        <v>1469</v>
      </c>
      <c r="O10">
        <f>VALUE(MID(H10,FIND(":",H10)+1,FIND(",",H10)-FIND(":",H10)-1))</f>
        <v>-13</v>
      </c>
      <c r="P10" t="str">
        <f t="shared" si="4"/>
        <v>./rawDataLoop 07160611_1413 0001 midas // ba -13</v>
      </c>
      <c r="Q10" t="str">
        <f t="shared" ref="Q10:Q41" si="5">Q9&amp;", """&amp;A10&amp;""""</f>
        <v>"07160612_1056", "07160611_1413"</v>
      </c>
      <c r="R10" t="str">
        <f t="shared" ref="R10:R41" si="6">R9&amp;","&amp;O10</f>
        <v>-13,-13</v>
      </c>
      <c r="S10">
        <f t="shared" ref="S10:S73" si="7">(K10-S$1)*24*3600</f>
        <v>1465654380.0000002</v>
      </c>
      <c r="T10" t="str">
        <f>T9&amp;","&amp;S10</f>
        <v>1465728960,1465654380</v>
      </c>
    </row>
    <row r="11" spans="1:22">
      <c r="A11" t="s">
        <v>1470</v>
      </c>
      <c r="B11" t="s">
        <v>17</v>
      </c>
      <c r="C11">
        <v>58</v>
      </c>
      <c r="D11" t="s">
        <v>41</v>
      </c>
      <c r="E11">
        <v>1000</v>
      </c>
      <c r="F11">
        <v>31</v>
      </c>
      <c r="G11" t="s">
        <v>629</v>
      </c>
      <c r="H11" t="s">
        <v>1471</v>
      </c>
      <c r="I11" t="s">
        <v>20</v>
      </c>
      <c r="J11" t="s">
        <v>1444</v>
      </c>
      <c r="K11" s="48">
        <f t="shared" si="0"/>
        <v>42533.416666666664</v>
      </c>
      <c r="M11" t="str">
        <f t="shared" si="2"/>
        <v>du -h 07160612_1000 &gt;&gt; temp.txt</v>
      </c>
      <c r="N11" t="s">
        <v>1469</v>
      </c>
      <c r="O11">
        <f t="shared" si="3"/>
        <v>-12</v>
      </c>
      <c r="P11" t="str">
        <f t="shared" si="4"/>
        <v>./rawDataLoop 07160612_1000 0001 midas // ba -12</v>
      </c>
      <c r="Q11" t="str">
        <f t="shared" si="5"/>
        <v>"07160612_1056", "07160611_1413", "07160612_1000"</v>
      </c>
      <c r="R11" t="str">
        <f t="shared" si="6"/>
        <v>-13,-13,-12</v>
      </c>
      <c r="S11">
        <f t="shared" si="7"/>
        <v>1465725599.9999998</v>
      </c>
      <c r="T11" t="str">
        <f t="shared" ref="T11:T61" si="8">T10&amp;","&amp;S11</f>
        <v>1465728960,1465654380,1465725600</v>
      </c>
    </row>
    <row r="12" spans="1:22">
      <c r="A12" t="s">
        <v>1472</v>
      </c>
      <c r="B12" t="s">
        <v>17</v>
      </c>
      <c r="C12">
        <v>58</v>
      </c>
      <c r="D12" t="s">
        <v>41</v>
      </c>
      <c r="E12">
        <v>1000</v>
      </c>
      <c r="F12">
        <v>31</v>
      </c>
      <c r="G12" t="s">
        <v>629</v>
      </c>
      <c r="H12" t="s">
        <v>1471</v>
      </c>
      <c r="I12" t="s">
        <v>20</v>
      </c>
      <c r="J12" t="s">
        <v>1444</v>
      </c>
      <c r="K12" s="48">
        <f t="shared" si="0"/>
        <v>42532.553472222222</v>
      </c>
      <c r="M12" t="str">
        <f t="shared" si="2"/>
        <v>du -h 07160611_1317 &gt;&gt; temp.txt</v>
      </c>
      <c r="N12" t="s">
        <v>1473</v>
      </c>
      <c r="O12">
        <f t="shared" si="3"/>
        <v>-12</v>
      </c>
      <c r="P12" t="str">
        <f t="shared" si="4"/>
        <v>./rawDataLoop 07160611_1317 0001 midas // ba -12</v>
      </c>
      <c r="Q12" t="str">
        <f t="shared" si="5"/>
        <v>"07160612_1056", "07160611_1413", "07160612_1000", "07160611_1317"</v>
      </c>
      <c r="R12" t="str">
        <f t="shared" si="6"/>
        <v>-13,-13,-12,-12</v>
      </c>
      <c r="S12">
        <f t="shared" si="7"/>
        <v>1465651020</v>
      </c>
      <c r="T12" t="str">
        <f t="shared" si="8"/>
        <v>1465728960,1465654380,1465725600,1465651020</v>
      </c>
    </row>
    <row r="13" spans="1:22">
      <c r="A13" t="s">
        <v>1474</v>
      </c>
      <c r="B13" t="s">
        <v>17</v>
      </c>
      <c r="C13">
        <v>58</v>
      </c>
      <c r="D13" t="s">
        <v>41</v>
      </c>
      <c r="E13">
        <v>1000</v>
      </c>
      <c r="F13">
        <v>31</v>
      </c>
      <c r="G13" t="s">
        <v>629</v>
      </c>
      <c r="H13" t="s">
        <v>1475</v>
      </c>
      <c r="I13" t="s">
        <v>20</v>
      </c>
      <c r="J13" t="s">
        <v>1444</v>
      </c>
      <c r="K13" s="48">
        <f t="shared" si="0"/>
        <v>42533.377083333333</v>
      </c>
      <c r="M13" t="str">
        <f t="shared" si="2"/>
        <v>du -h 07160612_0903 &gt;&gt; temp.txt</v>
      </c>
      <c r="N13" t="s">
        <v>1473</v>
      </c>
      <c r="O13">
        <f t="shared" si="3"/>
        <v>-11</v>
      </c>
      <c r="P13" t="str">
        <f t="shared" si="4"/>
        <v>./rawDataLoop 07160612_0903 0001 midas // ba -11</v>
      </c>
      <c r="Q13" t="str">
        <f t="shared" si="5"/>
        <v>"07160612_1056", "07160611_1413", "07160612_1000", "07160611_1317", "07160612_0903"</v>
      </c>
      <c r="R13" t="str">
        <f t="shared" si="6"/>
        <v>-13,-13,-12,-12,-11</v>
      </c>
      <c r="S13">
        <f t="shared" si="7"/>
        <v>1465722180</v>
      </c>
      <c r="T13" t="str">
        <f t="shared" si="8"/>
        <v>1465728960,1465654380,1465725600,1465651020,1465722180</v>
      </c>
    </row>
    <row r="14" spans="1:22">
      <c r="A14" t="s">
        <v>1476</v>
      </c>
      <c r="B14" t="s">
        <v>17</v>
      </c>
      <c r="C14">
        <v>58</v>
      </c>
      <c r="D14" t="s">
        <v>41</v>
      </c>
      <c r="E14">
        <v>1000</v>
      </c>
      <c r="F14">
        <v>31</v>
      </c>
      <c r="G14" t="s">
        <v>629</v>
      </c>
      <c r="H14" t="s">
        <v>1475</v>
      </c>
      <c r="I14" t="s">
        <v>20</v>
      </c>
      <c r="J14" t="s">
        <v>1444</v>
      </c>
      <c r="K14" s="48">
        <f t="shared" si="0"/>
        <v>42532.513888888891</v>
      </c>
      <c r="M14" t="str">
        <f t="shared" si="2"/>
        <v>du -h 07160611_1220 &gt;&gt; temp.txt</v>
      </c>
      <c r="N14" t="s">
        <v>1473</v>
      </c>
      <c r="O14">
        <f t="shared" si="3"/>
        <v>-11</v>
      </c>
      <c r="P14" t="str">
        <f t="shared" si="4"/>
        <v>./rawDataLoop 07160611_1220 0001 midas // ba -11</v>
      </c>
      <c r="Q14" t="str">
        <f t="shared" si="5"/>
        <v>"07160612_1056", "07160611_1413", "07160612_1000", "07160611_1317", "07160612_0903", "07160611_1220"</v>
      </c>
      <c r="R14" t="str">
        <f t="shared" si="6"/>
        <v>-13,-13,-12,-12,-11,-11</v>
      </c>
      <c r="S14">
        <f t="shared" si="7"/>
        <v>1465647600.0000002</v>
      </c>
      <c r="T14" t="str">
        <f t="shared" si="8"/>
        <v>1465728960,1465654380,1465725600,1465651020,1465722180,1465647600</v>
      </c>
    </row>
    <row r="15" spans="1:22">
      <c r="A15" t="s">
        <v>1477</v>
      </c>
      <c r="B15" t="s">
        <v>17</v>
      </c>
      <c r="C15">
        <v>58</v>
      </c>
      <c r="D15" t="s">
        <v>41</v>
      </c>
      <c r="E15">
        <v>1000</v>
      </c>
      <c r="F15">
        <v>31</v>
      </c>
      <c r="G15" t="s">
        <v>629</v>
      </c>
      <c r="H15" t="s">
        <v>1478</v>
      </c>
      <c r="I15" t="s">
        <v>20</v>
      </c>
      <c r="J15" t="s">
        <v>1444</v>
      </c>
      <c r="K15" s="48">
        <f t="shared" si="0"/>
        <v>42533.338194444441</v>
      </c>
      <c r="M15" t="str">
        <f t="shared" si="2"/>
        <v>du -h 07160612_0807 &gt;&gt; temp.txt</v>
      </c>
      <c r="N15" t="s">
        <v>1479</v>
      </c>
      <c r="O15">
        <f t="shared" si="3"/>
        <v>-10</v>
      </c>
      <c r="P15" t="str">
        <f t="shared" si="4"/>
        <v>./rawDataLoop 07160612_0807 0001 midas // ba -10</v>
      </c>
      <c r="Q15" t="str">
        <f t="shared" si="5"/>
        <v>"07160612_1056", "07160611_1413", "07160612_1000", "07160611_1317", "07160612_0903", "07160611_1220", "07160612_0807"</v>
      </c>
      <c r="R15" t="str">
        <f t="shared" si="6"/>
        <v>-13,-13,-12,-12,-11,-11,-10</v>
      </c>
      <c r="S15">
        <f t="shared" si="7"/>
        <v>1465718819.9999998</v>
      </c>
      <c r="T15" t="str">
        <f t="shared" si="8"/>
        <v>1465728960,1465654380,1465725600,1465651020,1465722180,1465647600,1465718820</v>
      </c>
    </row>
    <row r="16" spans="1:22">
      <c r="A16" t="s">
        <v>1480</v>
      </c>
      <c r="B16" t="s">
        <v>17</v>
      </c>
      <c r="C16">
        <v>58</v>
      </c>
      <c r="D16" t="s">
        <v>41</v>
      </c>
      <c r="E16">
        <v>1000</v>
      </c>
      <c r="F16">
        <v>31</v>
      </c>
      <c r="G16" t="s">
        <v>629</v>
      </c>
      <c r="H16" t="s">
        <v>1478</v>
      </c>
      <c r="I16" t="s">
        <v>20</v>
      </c>
      <c r="J16" t="s">
        <v>1444</v>
      </c>
      <c r="K16" s="48">
        <f t="shared" si="0"/>
        <v>42532.474999999999</v>
      </c>
      <c r="M16" t="str">
        <f t="shared" si="2"/>
        <v>du -h 07160611_1124 &gt;&gt; temp.txt</v>
      </c>
      <c r="N16" t="s">
        <v>1479</v>
      </c>
      <c r="O16">
        <f t="shared" si="3"/>
        <v>-10</v>
      </c>
      <c r="P16" t="str">
        <f t="shared" si="4"/>
        <v>./rawDataLoop 07160611_1124 0001 midas // ba -10</v>
      </c>
      <c r="Q16" t="str">
        <f t="shared" si="5"/>
        <v>"07160612_1056", "07160611_1413", "07160612_1000", "07160611_1317", "07160612_0903", "07160611_1220", "07160612_0807", "07160611_1124"</v>
      </c>
      <c r="R16" t="str">
        <f t="shared" si="6"/>
        <v>-13,-13,-12,-12,-11,-11,-10,-10</v>
      </c>
      <c r="S16">
        <f t="shared" si="7"/>
        <v>1465644239.9999998</v>
      </c>
      <c r="T16" t="str">
        <f t="shared" si="8"/>
        <v>1465728960,1465654380,1465725600,1465651020,1465722180,1465647600,1465718820,1465644240</v>
      </c>
    </row>
    <row r="17" spans="1:20">
      <c r="A17" t="s">
        <v>1481</v>
      </c>
      <c r="B17" t="s">
        <v>17</v>
      </c>
      <c r="C17">
        <v>58</v>
      </c>
      <c r="D17" t="s">
        <v>41</v>
      </c>
      <c r="E17">
        <v>1000</v>
      </c>
      <c r="F17">
        <v>31</v>
      </c>
      <c r="G17" t="s">
        <v>629</v>
      </c>
      <c r="H17" t="s">
        <v>1482</v>
      </c>
      <c r="I17" t="s">
        <v>20</v>
      </c>
      <c r="J17" t="s">
        <v>1444</v>
      </c>
      <c r="K17" s="48">
        <f t="shared" si="0"/>
        <v>42533.298611111109</v>
      </c>
      <c r="M17" t="str">
        <f t="shared" si="2"/>
        <v>du -h 07160612_0710 &gt;&gt; temp.txt</v>
      </c>
      <c r="N17" t="s">
        <v>1483</v>
      </c>
      <c r="O17">
        <f t="shared" si="3"/>
        <v>-9</v>
      </c>
      <c r="P17" t="str">
        <f t="shared" si="4"/>
        <v>./rawDataLoop 07160612_0710 0001 midas // ba -9</v>
      </c>
      <c r="Q17" t="str">
        <f t="shared" si="5"/>
        <v>"07160612_1056", "07160611_1413", "07160612_1000", "07160611_1317", "07160612_0903", "07160611_1220", "07160612_0807", "07160611_1124", "07160612_0710"</v>
      </c>
      <c r="R17" t="str">
        <f t="shared" si="6"/>
        <v>-13,-13,-12,-12,-11,-11,-10,-10,-9</v>
      </c>
      <c r="S17">
        <f t="shared" si="7"/>
        <v>1465715399.9999998</v>
      </c>
      <c r="T17" t="str">
        <f t="shared" si="8"/>
        <v>1465728960,1465654380,1465725600,1465651020,1465722180,1465647600,1465718820,1465644240,1465715400</v>
      </c>
    </row>
    <row r="18" spans="1:20">
      <c r="A18" t="s">
        <v>1484</v>
      </c>
      <c r="B18" t="s">
        <v>17</v>
      </c>
      <c r="C18">
        <v>58</v>
      </c>
      <c r="D18" t="s">
        <v>41</v>
      </c>
      <c r="E18">
        <v>1000</v>
      </c>
      <c r="F18">
        <v>31</v>
      </c>
      <c r="G18" t="s">
        <v>629</v>
      </c>
      <c r="H18" t="s">
        <v>1482</v>
      </c>
      <c r="I18" t="s">
        <v>20</v>
      </c>
      <c r="J18" t="s">
        <v>1444</v>
      </c>
      <c r="K18" s="48">
        <f t="shared" si="0"/>
        <v>42532.435416666667</v>
      </c>
      <c r="M18" t="str">
        <f t="shared" si="2"/>
        <v>du -h 07160611_1027 &gt;&gt; temp.txt</v>
      </c>
      <c r="N18" t="s">
        <v>1483</v>
      </c>
      <c r="O18">
        <f t="shared" si="3"/>
        <v>-9</v>
      </c>
      <c r="P18" t="str">
        <f t="shared" si="4"/>
        <v>./rawDataLoop 07160611_1027 0001 midas // ba -9</v>
      </c>
      <c r="Q18" t="str">
        <f t="shared" si="5"/>
        <v>"07160612_1056", "07160611_1413", "07160612_1000", "07160611_1317", "07160612_0903", "07160611_1220", "07160612_0807", "07160611_1124", "07160612_0710", "07160611_1027"</v>
      </c>
      <c r="R18" t="str">
        <f t="shared" si="6"/>
        <v>-13,-13,-12,-12,-11,-11,-10,-10,-9,-9</v>
      </c>
      <c r="S18">
        <f t="shared" si="7"/>
        <v>1465640820</v>
      </c>
      <c r="T18" t="str">
        <f t="shared" si="8"/>
        <v>1465728960,1465654380,1465725600,1465651020,1465722180,1465647600,1465718820,1465644240,1465715400,1465640820</v>
      </c>
    </row>
    <row r="19" spans="1:20">
      <c r="A19" t="s">
        <v>1485</v>
      </c>
      <c r="B19" t="s">
        <v>17</v>
      </c>
      <c r="C19">
        <v>58</v>
      </c>
      <c r="D19" t="s">
        <v>41</v>
      </c>
      <c r="E19">
        <v>1000</v>
      </c>
      <c r="F19">
        <v>31</v>
      </c>
      <c r="G19" t="s">
        <v>629</v>
      </c>
      <c r="H19" t="s">
        <v>1463</v>
      </c>
      <c r="I19" t="s">
        <v>20</v>
      </c>
      <c r="J19" t="s">
        <v>1444</v>
      </c>
      <c r="K19" s="48">
        <f t="shared" si="0"/>
        <v>42533.259722222225</v>
      </c>
      <c r="M19" t="str">
        <f t="shared" si="2"/>
        <v>du -h 07160612_0614 &gt;&gt; temp.txt</v>
      </c>
      <c r="N19" t="s">
        <v>1464</v>
      </c>
      <c r="O19">
        <f t="shared" si="3"/>
        <v>-8</v>
      </c>
      <c r="P19" t="str">
        <f t="shared" si="4"/>
        <v>./rawDataLoop 07160612_0614 0001 midas // ba -8</v>
      </c>
      <c r="Q19" t="str">
        <f t="shared" si="5"/>
        <v>"07160612_1056", "07160611_1413", "07160612_1000", "07160611_1317", "07160612_0903", "07160611_1220", "07160612_0807", "07160611_1124", "07160612_0710", "07160611_1027", "07160612_0614"</v>
      </c>
      <c r="R19" t="str">
        <f t="shared" si="6"/>
        <v>-13,-13,-12,-12,-11,-11,-10,-10,-9,-9,-8</v>
      </c>
      <c r="S19">
        <f t="shared" si="7"/>
        <v>1465712040.0000002</v>
      </c>
      <c r="T19" t="str">
        <f t="shared" si="8"/>
        <v>1465728960,1465654380,1465725600,1465651020,1465722180,1465647600,1465718820,1465644240,1465715400,1465640820,1465712040</v>
      </c>
    </row>
    <row r="20" spans="1:20">
      <c r="A20" t="s">
        <v>1486</v>
      </c>
      <c r="B20" t="s">
        <v>17</v>
      </c>
      <c r="C20">
        <v>58</v>
      </c>
      <c r="D20" t="s">
        <v>41</v>
      </c>
      <c r="E20">
        <v>1000</v>
      </c>
      <c r="F20">
        <v>31</v>
      </c>
      <c r="G20" t="s">
        <v>629</v>
      </c>
      <c r="H20" t="s">
        <v>1463</v>
      </c>
      <c r="I20" t="s">
        <v>20</v>
      </c>
      <c r="J20" t="s">
        <v>1444</v>
      </c>
      <c r="K20" s="48">
        <f t="shared" si="0"/>
        <v>42532.396527777775</v>
      </c>
      <c r="M20" t="str">
        <f t="shared" si="2"/>
        <v>du -h 07160611_0931 &gt;&gt; temp.txt</v>
      </c>
      <c r="N20" t="s">
        <v>1487</v>
      </c>
      <c r="O20">
        <f t="shared" si="3"/>
        <v>-8</v>
      </c>
      <c r="P20" t="str">
        <f t="shared" si="4"/>
        <v>./rawDataLoop 07160611_0931 0001 midas // ba -8</v>
      </c>
      <c r="Q20" t="str">
        <f t="shared" si="5"/>
        <v>"07160612_1056", "07160611_1413", "07160612_1000", "07160611_1317", "07160612_0903", "07160611_1220", "07160612_0807", "07160611_1124", "07160612_0710", "07160611_1027", "07160612_0614", "07160611_0931"</v>
      </c>
      <c r="R20" t="str">
        <f t="shared" si="6"/>
        <v>-13,-13,-12,-12,-11,-11,-10,-10,-9,-9,-8,-8</v>
      </c>
      <c r="S20">
        <f t="shared" si="7"/>
        <v>1465637459.9999998</v>
      </c>
      <c r="T20" t="str">
        <f t="shared" si="8"/>
        <v>1465728960,1465654380,1465725600,1465651020,1465722180,1465647600,1465718820,1465644240,1465715400,1465640820,1465712040,1465637460</v>
      </c>
    </row>
    <row r="21" spans="1:20">
      <c r="A21" t="s">
        <v>1488</v>
      </c>
      <c r="B21" t="s">
        <v>17</v>
      </c>
      <c r="C21">
        <v>58</v>
      </c>
      <c r="D21" t="s">
        <v>41</v>
      </c>
      <c r="E21">
        <v>1000</v>
      </c>
      <c r="F21">
        <v>31</v>
      </c>
      <c r="G21" t="s">
        <v>629</v>
      </c>
      <c r="H21" t="s">
        <v>1460</v>
      </c>
      <c r="I21" t="s">
        <v>20</v>
      </c>
      <c r="J21" t="s">
        <v>1444</v>
      </c>
      <c r="K21" s="48">
        <f t="shared" si="0"/>
        <v>42533.220138888886</v>
      </c>
      <c r="M21" t="str">
        <f t="shared" si="2"/>
        <v>du -h 07160612_0517 &gt;&gt; temp.txt</v>
      </c>
      <c r="N21" t="s">
        <v>1489</v>
      </c>
      <c r="O21">
        <f t="shared" si="3"/>
        <v>-7</v>
      </c>
      <c r="P21" t="str">
        <f t="shared" si="4"/>
        <v>./rawDataLoop 07160612_0517 0001 midas // ba -7</v>
      </c>
      <c r="Q21" t="str">
        <f t="shared" si="5"/>
        <v>"07160612_1056", "07160611_1413", "07160612_1000", "07160611_1317", "07160612_0903", "07160611_1220", "07160612_0807", "07160611_1124", "07160612_0710", "07160611_1027", "07160612_0614", "07160611_0931", "07160612_0517"</v>
      </c>
      <c r="R21" t="str">
        <f t="shared" si="6"/>
        <v>-13,-13,-12,-12,-11,-11,-10,-10,-9,-9,-8,-8,-7</v>
      </c>
      <c r="S21">
        <f t="shared" si="7"/>
        <v>1465708619.9999998</v>
      </c>
      <c r="T21" t="str">
        <f t="shared" si="8"/>
        <v>1465728960,1465654380,1465725600,1465651020,1465722180,1465647600,1465718820,1465644240,1465715400,1465640820,1465712040,1465637460,1465708620</v>
      </c>
    </row>
    <row r="22" spans="1:20">
      <c r="A22" t="s">
        <v>1490</v>
      </c>
      <c r="B22" t="s">
        <v>17</v>
      </c>
      <c r="C22">
        <v>58</v>
      </c>
      <c r="D22" t="s">
        <v>41</v>
      </c>
      <c r="E22">
        <v>1000</v>
      </c>
      <c r="F22">
        <v>31</v>
      </c>
      <c r="G22" t="s">
        <v>629</v>
      </c>
      <c r="H22" t="s">
        <v>1460</v>
      </c>
      <c r="I22" t="s">
        <v>20</v>
      </c>
      <c r="J22" t="s">
        <v>1491</v>
      </c>
      <c r="K22" s="48">
        <f t="shared" si="0"/>
        <v>42532.356944444444</v>
      </c>
      <c r="M22" t="str">
        <f t="shared" si="2"/>
        <v>du -h 07160611_0834 &gt;&gt; temp.txt</v>
      </c>
      <c r="N22" t="s">
        <v>1492</v>
      </c>
      <c r="O22">
        <f t="shared" si="3"/>
        <v>-7</v>
      </c>
      <c r="P22" t="str">
        <f t="shared" si="4"/>
        <v>./rawDataLoop 07160611_0834 0001 midas // ba -7</v>
      </c>
      <c r="Q22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</v>
      </c>
      <c r="R22" t="str">
        <f t="shared" si="6"/>
        <v>-13,-13,-12,-12,-11,-11,-10,-10,-9,-9,-8,-8,-7,-7</v>
      </c>
      <c r="S22">
        <f t="shared" si="7"/>
        <v>1465634040</v>
      </c>
      <c r="T22" t="str">
        <f t="shared" si="8"/>
        <v>1465728960,1465654380,1465725600,1465651020,1465722180,1465647600,1465718820,1465644240,1465715400,1465640820,1465712040,1465637460,1465708620,1465634040</v>
      </c>
    </row>
    <row r="23" spans="1:20">
      <c r="A23" t="s">
        <v>1493</v>
      </c>
      <c r="B23" t="s">
        <v>17</v>
      </c>
      <c r="C23">
        <v>58</v>
      </c>
      <c r="D23" t="s">
        <v>41</v>
      </c>
      <c r="E23">
        <v>1000</v>
      </c>
      <c r="F23">
        <v>31</v>
      </c>
      <c r="G23" t="s">
        <v>629</v>
      </c>
      <c r="H23" t="s">
        <v>1457</v>
      </c>
      <c r="I23" t="s">
        <v>20</v>
      </c>
      <c r="J23" t="s">
        <v>1444</v>
      </c>
      <c r="K23" s="48">
        <f t="shared" si="0"/>
        <v>42533.181250000001</v>
      </c>
      <c r="M23" t="str">
        <f t="shared" si="2"/>
        <v>du -h 07160612_0421 &gt;&gt; temp.txt</v>
      </c>
      <c r="N23" t="s">
        <v>1494</v>
      </c>
      <c r="O23">
        <f t="shared" si="3"/>
        <v>-6</v>
      </c>
      <c r="P23" t="str">
        <f t="shared" si="4"/>
        <v>./rawDataLoop 07160612_0421 0001 midas // ba -6</v>
      </c>
      <c r="Q23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</v>
      </c>
      <c r="R23" t="str">
        <f t="shared" si="6"/>
        <v>-13,-13,-12,-12,-11,-11,-10,-10,-9,-9,-8,-8,-7,-7,-6</v>
      </c>
      <c r="S23">
        <f t="shared" si="7"/>
        <v>1465705260.0000002</v>
      </c>
      <c r="T23" t="str">
        <f t="shared" si="8"/>
        <v>1465728960,1465654380,1465725600,1465651020,1465722180,1465647600,1465718820,1465644240,1465715400,1465640820,1465712040,1465637460,1465708620,1465634040,1465705260</v>
      </c>
    </row>
    <row r="24" spans="1:20">
      <c r="A24" t="s">
        <v>1495</v>
      </c>
      <c r="B24" t="s">
        <v>17</v>
      </c>
      <c r="C24">
        <v>58</v>
      </c>
      <c r="D24" t="s">
        <v>41</v>
      </c>
      <c r="E24">
        <v>1000</v>
      </c>
      <c r="F24">
        <v>31</v>
      </c>
      <c r="G24" t="s">
        <v>629</v>
      </c>
      <c r="H24" t="s">
        <v>1457</v>
      </c>
      <c r="I24" t="s">
        <v>20</v>
      </c>
      <c r="J24" t="s">
        <v>1444</v>
      </c>
      <c r="K24" s="48">
        <f t="shared" si="0"/>
        <v>42532.318055555559</v>
      </c>
      <c r="M24" t="str">
        <f t="shared" si="2"/>
        <v>du -h 07160611_0738 &gt;&gt; temp.txt</v>
      </c>
      <c r="N24" t="s">
        <v>1496</v>
      </c>
      <c r="O24">
        <f t="shared" si="3"/>
        <v>-6</v>
      </c>
      <c r="P24" t="str">
        <f t="shared" si="4"/>
        <v>./rawDataLoop 07160611_0738 0001 midas // ba -6</v>
      </c>
      <c r="Q24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</v>
      </c>
      <c r="R24" t="str">
        <f t="shared" si="6"/>
        <v>-13,-13,-12,-12,-11,-11,-10,-10,-9,-9,-8,-8,-7,-7,-6,-6</v>
      </c>
      <c r="S24">
        <f t="shared" si="7"/>
        <v>1465630680.0000002</v>
      </c>
      <c r="T24" t="str">
        <f t="shared" si="8"/>
        <v>1465728960,1465654380,1465725600,1465651020,1465722180,1465647600,1465718820,1465644240,1465715400,1465640820,1465712040,1465637460,1465708620,1465634040,1465705260,1465630680</v>
      </c>
    </row>
    <row r="25" spans="1:20">
      <c r="A25" t="s">
        <v>1497</v>
      </c>
      <c r="B25" t="s">
        <v>17</v>
      </c>
      <c r="C25">
        <v>58</v>
      </c>
      <c r="D25" t="s">
        <v>41</v>
      </c>
      <c r="E25">
        <v>1000</v>
      </c>
      <c r="F25">
        <v>31</v>
      </c>
      <c r="G25" t="s">
        <v>629</v>
      </c>
      <c r="H25" t="s">
        <v>1454</v>
      </c>
      <c r="I25" t="s">
        <v>20</v>
      </c>
      <c r="J25" t="s">
        <v>1444</v>
      </c>
      <c r="K25" s="48">
        <f t="shared" si="0"/>
        <v>42533.14166666667</v>
      </c>
      <c r="M25" t="str">
        <f t="shared" si="2"/>
        <v>du -h 07160612_0324 &gt;&gt; temp.txt</v>
      </c>
      <c r="N25" t="s">
        <v>1498</v>
      </c>
      <c r="O25">
        <f t="shared" si="3"/>
        <v>-5</v>
      </c>
      <c r="P25" t="str">
        <f t="shared" si="4"/>
        <v>./rawDataLoop 07160612_0324 0001 midas // ba -5</v>
      </c>
      <c r="Q25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</v>
      </c>
      <c r="R25" t="str">
        <f t="shared" si="6"/>
        <v>-13,-13,-12,-12,-11,-11,-10,-10,-9,-9,-8,-8,-7,-7,-6,-6,-5</v>
      </c>
      <c r="S25">
        <f t="shared" si="7"/>
        <v>1465701840.0000002</v>
      </c>
      <c r="T25" t="str">
        <f t="shared" si="8"/>
        <v>1465728960,1465654380,1465725600,1465651020,1465722180,1465647600,1465718820,1465644240,1465715400,1465640820,1465712040,1465637460,1465708620,1465634040,1465705260,1465630680,1465701840</v>
      </c>
    </row>
    <row r="26" spans="1:20">
      <c r="A26" t="s">
        <v>1499</v>
      </c>
      <c r="B26" t="s">
        <v>17</v>
      </c>
      <c r="C26">
        <v>58</v>
      </c>
      <c r="D26" t="s">
        <v>41</v>
      </c>
      <c r="E26">
        <v>1000</v>
      </c>
      <c r="F26">
        <v>31</v>
      </c>
      <c r="G26" t="s">
        <v>629</v>
      </c>
      <c r="H26" t="s">
        <v>1454</v>
      </c>
      <c r="I26" t="s">
        <v>20</v>
      </c>
      <c r="J26" t="s">
        <v>1444</v>
      </c>
      <c r="K26" s="48">
        <f t="shared" si="0"/>
        <v>42532.27847222222</v>
      </c>
      <c r="M26" t="str">
        <f t="shared" si="2"/>
        <v>du -h 07160611_0641 &gt;&gt; temp.txt</v>
      </c>
      <c r="N26" t="s">
        <v>1500</v>
      </c>
      <c r="O26">
        <f t="shared" si="3"/>
        <v>-5</v>
      </c>
      <c r="P26" t="str">
        <f t="shared" si="4"/>
        <v>./rawDataLoop 07160611_0641 0001 midas // ba -5</v>
      </c>
      <c r="Q26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</v>
      </c>
      <c r="R26" t="str">
        <f t="shared" si="6"/>
        <v>-13,-13,-12,-12,-11,-11,-10,-10,-9,-9,-8,-8,-7,-7,-6,-6,-5,-5</v>
      </c>
      <c r="S26">
        <f t="shared" si="7"/>
        <v>1465627259.9999998</v>
      </c>
      <c r="T26" t="str">
        <f t="shared" si="8"/>
        <v>1465728960,1465654380,1465725600,1465651020,1465722180,1465647600,1465718820,1465644240,1465715400,1465640820,1465712040,1465637460,1465708620,1465634040,1465705260,1465630680,1465701840,1465627260</v>
      </c>
    </row>
    <row r="27" spans="1:20">
      <c r="A27" t="s">
        <v>1501</v>
      </c>
      <c r="B27" t="s">
        <v>17</v>
      </c>
      <c r="C27">
        <v>58</v>
      </c>
      <c r="D27" t="s">
        <v>41</v>
      </c>
      <c r="E27">
        <v>1000</v>
      </c>
      <c r="F27">
        <v>31</v>
      </c>
      <c r="G27" t="s">
        <v>629</v>
      </c>
      <c r="H27" t="s">
        <v>1451</v>
      </c>
      <c r="I27" t="s">
        <v>20</v>
      </c>
      <c r="J27" t="s">
        <v>1444</v>
      </c>
      <c r="K27" s="48">
        <f t="shared" si="0"/>
        <v>42533.102777777778</v>
      </c>
      <c r="M27" t="str">
        <f t="shared" si="2"/>
        <v>du -h 07160612_0228 &gt;&gt; temp.txt</v>
      </c>
      <c r="N27" t="s">
        <v>1502</v>
      </c>
      <c r="O27">
        <f t="shared" si="3"/>
        <v>-4</v>
      </c>
      <c r="P27" t="str">
        <f t="shared" si="4"/>
        <v>./rawDataLoop 07160612_0228 0001 midas // ba -4</v>
      </c>
      <c r="Q27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</v>
      </c>
      <c r="R27" t="str">
        <f t="shared" si="6"/>
        <v>-13,-13,-12,-12,-11,-11,-10,-10,-9,-9,-8,-8,-7,-7,-6,-6,-5,-5,-4</v>
      </c>
      <c r="S27">
        <f t="shared" si="7"/>
        <v>1465698480</v>
      </c>
      <c r="T27" t="str">
        <f t="shared" si="8"/>
        <v>1465728960,1465654380,1465725600,1465651020,1465722180,1465647600,1465718820,1465644240,1465715400,1465640820,1465712040,1465637460,1465708620,1465634040,1465705260,1465630680,1465701840,1465627260,1465698480</v>
      </c>
    </row>
    <row r="28" spans="1:20">
      <c r="A28" t="s">
        <v>1503</v>
      </c>
      <c r="B28" t="s">
        <v>17</v>
      </c>
      <c r="C28">
        <v>58</v>
      </c>
      <c r="D28" t="s">
        <v>41</v>
      </c>
      <c r="E28">
        <v>1000</v>
      </c>
      <c r="F28">
        <v>31</v>
      </c>
      <c r="G28" t="s">
        <v>629</v>
      </c>
      <c r="H28" t="s">
        <v>1448</v>
      </c>
      <c r="I28" t="s">
        <v>20</v>
      </c>
      <c r="J28" t="s">
        <v>1444</v>
      </c>
      <c r="K28" s="48">
        <f t="shared" si="0"/>
        <v>42533.063194444447</v>
      </c>
      <c r="M28" t="str">
        <f t="shared" si="2"/>
        <v>du -h 07160612_0131 &gt;&gt; temp.txt</v>
      </c>
      <c r="N28" t="s">
        <v>1449</v>
      </c>
      <c r="O28">
        <f t="shared" si="3"/>
        <v>-3</v>
      </c>
      <c r="P28" t="str">
        <f t="shared" si="4"/>
        <v>./rawDataLoop 07160612_0131 0001 midas // ba -3</v>
      </c>
      <c r="Q28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</v>
      </c>
      <c r="R28" t="str">
        <f t="shared" si="6"/>
        <v>-13,-13,-12,-12,-11,-11,-10,-10,-9,-9,-8,-8,-7,-7,-6,-6,-5,-5,-4,-3</v>
      </c>
      <c r="S28">
        <f t="shared" si="7"/>
        <v>1465695060.0000002</v>
      </c>
      <c r="T28" t="str">
        <f t="shared" si="8"/>
        <v>1465728960,1465654380,1465725600,1465651020,1465722180,1465647600,1465718820,1465644240,1465715400,1465640820,1465712040,1465637460,1465708620,1465634040,1465705260,1465630680,1465701840,1465627260,1465698480,1465695060</v>
      </c>
    </row>
    <row r="29" spans="1:20">
      <c r="A29" t="s">
        <v>1504</v>
      </c>
      <c r="B29" t="s">
        <v>17</v>
      </c>
      <c r="C29">
        <v>58</v>
      </c>
      <c r="D29" t="s">
        <v>41</v>
      </c>
      <c r="E29">
        <v>1000</v>
      </c>
      <c r="F29">
        <v>31</v>
      </c>
      <c r="G29" t="s">
        <v>629</v>
      </c>
      <c r="H29" t="s">
        <v>1443</v>
      </c>
      <c r="I29" t="s">
        <v>20</v>
      </c>
      <c r="J29" t="s">
        <v>1444</v>
      </c>
      <c r="K29" s="48">
        <f t="shared" si="0"/>
        <v>42533.024305555555</v>
      </c>
      <c r="M29" t="str">
        <f t="shared" si="2"/>
        <v>du -h 07160612_0035 &gt;&gt; temp.txt</v>
      </c>
      <c r="N29" t="s">
        <v>1505</v>
      </c>
      <c r="O29">
        <f t="shared" si="3"/>
        <v>-2</v>
      </c>
      <c r="P29" t="str">
        <f t="shared" si="4"/>
        <v>./rawDataLoop 07160612_0035 0001 midas // ba -2</v>
      </c>
      <c r="Q29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</v>
      </c>
      <c r="R29" t="str">
        <f t="shared" si="6"/>
        <v>-13,-13,-12,-12,-11,-11,-10,-10,-9,-9,-8,-8,-7,-7,-6,-6,-5,-5,-4,-3,-2</v>
      </c>
      <c r="S29">
        <f t="shared" si="7"/>
        <v>1465691700</v>
      </c>
      <c r="T29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</v>
      </c>
    </row>
    <row r="30" spans="1:20">
      <c r="A30" t="s">
        <v>1506</v>
      </c>
      <c r="B30" t="s">
        <v>17</v>
      </c>
      <c r="C30">
        <v>58</v>
      </c>
      <c r="D30" t="s">
        <v>41</v>
      </c>
      <c r="E30">
        <v>1000</v>
      </c>
      <c r="F30">
        <v>31</v>
      </c>
      <c r="G30" t="s">
        <v>629</v>
      </c>
      <c r="H30" t="s">
        <v>1507</v>
      </c>
      <c r="I30" t="s">
        <v>20</v>
      </c>
      <c r="J30" t="s">
        <v>1444</v>
      </c>
      <c r="K30" s="48">
        <f t="shared" si="0"/>
        <v>42534.050694444442</v>
      </c>
      <c r="M30" t="str">
        <f t="shared" si="2"/>
        <v>du -h 07160613_0113 &gt;&gt; temp.txt</v>
      </c>
      <c r="N30" t="s">
        <v>1508</v>
      </c>
      <c r="O30">
        <f t="shared" si="3"/>
        <v>-1</v>
      </c>
      <c r="P30" t="str">
        <f t="shared" si="4"/>
        <v>./rawDataLoop 07160613_0113 0001 midas // ba -1</v>
      </c>
      <c r="Q30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</v>
      </c>
      <c r="R30" t="str">
        <f t="shared" si="6"/>
        <v>-13,-13,-12,-12,-11,-11,-10,-10,-9,-9,-8,-8,-7,-7,-6,-6,-5,-5,-4,-3,-2,-1</v>
      </c>
      <c r="S30">
        <f t="shared" si="7"/>
        <v>1465780379.9999998</v>
      </c>
      <c r="T30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</v>
      </c>
    </row>
    <row r="31" spans="1:20">
      <c r="A31" t="s">
        <v>1509</v>
      </c>
      <c r="B31" t="s">
        <v>17</v>
      </c>
      <c r="C31">
        <v>58</v>
      </c>
      <c r="D31" t="s">
        <v>41</v>
      </c>
      <c r="E31">
        <v>1000</v>
      </c>
      <c r="F31">
        <v>31</v>
      </c>
      <c r="G31" t="s">
        <v>629</v>
      </c>
      <c r="H31" t="s">
        <v>1507</v>
      </c>
      <c r="I31" t="s">
        <v>20</v>
      </c>
      <c r="J31" t="s">
        <v>1444</v>
      </c>
      <c r="K31" s="48">
        <f t="shared" si="0"/>
        <v>42532.984722222223</v>
      </c>
      <c r="M31" t="str">
        <f t="shared" si="2"/>
        <v>du -h 07160611_2338 &gt;&gt; temp.txt</v>
      </c>
      <c r="N31" t="s">
        <v>1510</v>
      </c>
      <c r="O31">
        <f t="shared" si="3"/>
        <v>-1</v>
      </c>
      <c r="P31" t="str">
        <f t="shared" si="4"/>
        <v>./rawDataLoop 07160611_2338 0001 midas // ba -1</v>
      </c>
      <c r="Q31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</v>
      </c>
      <c r="R31" t="str">
        <f t="shared" si="6"/>
        <v>-13,-13,-12,-12,-11,-11,-10,-10,-9,-9,-8,-8,-7,-7,-6,-6,-5,-5,-4,-3,-2,-1,-1</v>
      </c>
      <c r="S31">
        <f t="shared" si="7"/>
        <v>1465688280</v>
      </c>
      <c r="T31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</v>
      </c>
    </row>
    <row r="32" spans="1:20">
      <c r="A32" t="s">
        <v>1511</v>
      </c>
      <c r="B32" t="s">
        <v>17</v>
      </c>
      <c r="C32">
        <v>58</v>
      </c>
      <c r="D32" t="s">
        <v>41</v>
      </c>
      <c r="E32">
        <v>1000</v>
      </c>
      <c r="F32">
        <v>31</v>
      </c>
      <c r="G32" t="s">
        <v>629</v>
      </c>
      <c r="H32" t="s">
        <v>1512</v>
      </c>
      <c r="I32" t="s">
        <v>20</v>
      </c>
      <c r="J32" t="s">
        <v>1444</v>
      </c>
      <c r="K32" s="48">
        <f t="shared" si="0"/>
        <v>42533.736805555556</v>
      </c>
      <c r="M32" t="str">
        <f t="shared" si="2"/>
        <v>du -h 07160612_1741 &gt;&gt; temp.txt</v>
      </c>
      <c r="N32" t="s">
        <v>1513</v>
      </c>
      <c r="O32">
        <f t="shared" si="3"/>
        <v>1</v>
      </c>
      <c r="P32" t="str">
        <f t="shared" si="4"/>
        <v>./rawDataLoop 07160612_1741 0001 midas // ba 1</v>
      </c>
      <c r="Q32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</v>
      </c>
      <c r="R32" t="str">
        <f t="shared" si="6"/>
        <v>-13,-13,-12,-12,-11,-11,-10,-10,-9,-9,-8,-8,-7,-7,-6,-6,-5,-5,-4,-3,-2,-1,-1,1</v>
      </c>
      <c r="S32">
        <f t="shared" si="7"/>
        <v>1465753260</v>
      </c>
      <c r="T32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</v>
      </c>
    </row>
    <row r="33" spans="1:20">
      <c r="A33" t="s">
        <v>1514</v>
      </c>
      <c r="B33" t="s">
        <v>17</v>
      </c>
      <c r="C33">
        <v>58</v>
      </c>
      <c r="D33" t="s">
        <v>41</v>
      </c>
      <c r="E33">
        <v>1000</v>
      </c>
      <c r="F33">
        <v>31</v>
      </c>
      <c r="G33" t="s">
        <v>629</v>
      </c>
      <c r="H33" t="s">
        <v>1512</v>
      </c>
      <c r="I33" t="s">
        <v>20</v>
      </c>
      <c r="J33" t="s">
        <v>1444</v>
      </c>
      <c r="K33" s="48">
        <f t="shared" si="0"/>
        <v>42531.768055555556</v>
      </c>
      <c r="M33" t="str">
        <f t="shared" si="2"/>
        <v>du -h 07160610_1826 &gt;&gt; temp.txt</v>
      </c>
      <c r="N33" t="s">
        <v>1515</v>
      </c>
      <c r="O33">
        <f t="shared" si="3"/>
        <v>1</v>
      </c>
      <c r="P33" t="str">
        <f t="shared" si="4"/>
        <v>./rawDataLoop 07160610_1826 0001 midas // ba 1</v>
      </c>
      <c r="Q33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</v>
      </c>
      <c r="R33" t="str">
        <f t="shared" si="6"/>
        <v>-13,-13,-12,-12,-11,-11,-10,-10,-9,-9,-8,-8,-7,-7,-6,-6,-5,-5,-4,-3,-2,-1,-1,1,1</v>
      </c>
      <c r="S33">
        <f t="shared" si="7"/>
        <v>1465583160</v>
      </c>
      <c r="T33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</v>
      </c>
    </row>
    <row r="34" spans="1:20">
      <c r="A34" t="s">
        <v>1516</v>
      </c>
      <c r="B34" t="s">
        <v>17</v>
      </c>
      <c r="C34">
        <v>58</v>
      </c>
      <c r="D34" t="s">
        <v>41</v>
      </c>
      <c r="E34">
        <v>1000</v>
      </c>
      <c r="F34">
        <v>31</v>
      </c>
      <c r="G34" t="s">
        <v>629</v>
      </c>
      <c r="H34" t="s">
        <v>1517</v>
      </c>
      <c r="I34" t="s">
        <v>20</v>
      </c>
      <c r="J34" t="s">
        <v>1444</v>
      </c>
      <c r="K34" s="48">
        <f t="shared" ref="K34:K65" si="9">DATE(2000+MID(A34,3,2),MID(A34,5,2),MID(A34,7,2))+TIME(MID(A34,10,2),MID(A34,12,2),0)</f>
        <v>42533.775694444441</v>
      </c>
      <c r="M34" t="str">
        <f t="shared" si="2"/>
        <v>du -h 07160612_1837 &gt;&gt; temp.txt</v>
      </c>
      <c r="N34" t="s">
        <v>1518</v>
      </c>
      <c r="O34">
        <f t="shared" si="3"/>
        <v>2</v>
      </c>
      <c r="P34" t="str">
        <f t="shared" si="4"/>
        <v>./rawDataLoop 07160612_1837 0001 midas // ba 2</v>
      </c>
      <c r="Q34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</v>
      </c>
      <c r="R34" t="str">
        <f t="shared" si="6"/>
        <v>-13,-13,-12,-12,-11,-11,-10,-10,-9,-9,-8,-8,-7,-7,-6,-6,-5,-5,-4,-3,-2,-1,-1,1,1,2</v>
      </c>
      <c r="S34">
        <f t="shared" si="7"/>
        <v>1465756619.9999998</v>
      </c>
      <c r="T34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</v>
      </c>
    </row>
    <row r="35" spans="1:20">
      <c r="A35" t="s">
        <v>1519</v>
      </c>
      <c r="B35" t="s">
        <v>17</v>
      </c>
      <c r="C35">
        <v>58</v>
      </c>
      <c r="D35" t="s">
        <v>41</v>
      </c>
      <c r="E35">
        <v>1000</v>
      </c>
      <c r="F35">
        <v>31</v>
      </c>
      <c r="G35" t="s">
        <v>629</v>
      </c>
      <c r="H35" t="s">
        <v>1517</v>
      </c>
      <c r="I35" t="s">
        <v>20</v>
      </c>
      <c r="J35" t="s">
        <v>1444</v>
      </c>
      <c r="K35" s="48">
        <f t="shared" si="9"/>
        <v>42531.807638888888</v>
      </c>
      <c r="M35" t="str">
        <f t="shared" si="2"/>
        <v>du -h 07160610_1923 &gt;&gt; temp.txt</v>
      </c>
      <c r="N35" t="s">
        <v>1508</v>
      </c>
      <c r="O35">
        <f t="shared" si="3"/>
        <v>2</v>
      </c>
      <c r="P35" t="str">
        <f t="shared" si="4"/>
        <v>./rawDataLoop 07160610_1923 0001 midas // ba 2</v>
      </c>
      <c r="Q35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</v>
      </c>
      <c r="R35" t="str">
        <f t="shared" si="6"/>
        <v>-13,-13,-12,-12,-11,-11,-10,-10,-9,-9,-8,-8,-7,-7,-6,-6,-5,-5,-4,-3,-2,-1,-1,1,1,2,2</v>
      </c>
      <c r="S35">
        <f t="shared" si="7"/>
        <v>1465586580</v>
      </c>
      <c r="T35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</v>
      </c>
    </row>
    <row r="36" spans="1:20">
      <c r="A36" t="s">
        <v>1520</v>
      </c>
      <c r="B36" t="s">
        <v>17</v>
      </c>
      <c r="C36">
        <v>58</v>
      </c>
      <c r="D36" t="s">
        <v>41</v>
      </c>
      <c r="E36">
        <v>1000</v>
      </c>
      <c r="F36">
        <v>31</v>
      </c>
      <c r="G36" t="s">
        <v>629</v>
      </c>
      <c r="H36" t="s">
        <v>1521</v>
      </c>
      <c r="I36" t="s">
        <v>20</v>
      </c>
      <c r="J36" t="s">
        <v>1444</v>
      </c>
      <c r="K36" s="48">
        <f t="shared" si="9"/>
        <v>42533.81527777778</v>
      </c>
      <c r="M36" t="str">
        <f t="shared" si="2"/>
        <v>du -h 07160612_1934 &gt;&gt; temp.txt</v>
      </c>
      <c r="N36" t="s">
        <v>1522</v>
      </c>
      <c r="O36">
        <f t="shared" si="3"/>
        <v>3</v>
      </c>
      <c r="P36" t="str">
        <f t="shared" si="4"/>
        <v>./rawDataLoop 07160612_1934 0001 midas // ba 3</v>
      </c>
      <c r="Q36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</v>
      </c>
      <c r="R36" t="str">
        <f t="shared" si="6"/>
        <v>-13,-13,-12,-12,-11,-11,-10,-10,-9,-9,-8,-8,-7,-7,-6,-6,-5,-5,-4,-3,-2,-1,-1,1,1,2,2,3</v>
      </c>
      <c r="S36">
        <f t="shared" si="7"/>
        <v>1465760040.0000002</v>
      </c>
      <c r="T36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</v>
      </c>
    </row>
    <row r="37" spans="1:20">
      <c r="A37" t="s">
        <v>1523</v>
      </c>
      <c r="B37" t="s">
        <v>17</v>
      </c>
      <c r="C37">
        <v>58</v>
      </c>
      <c r="D37" t="s">
        <v>41</v>
      </c>
      <c r="E37">
        <v>1000</v>
      </c>
      <c r="F37">
        <v>31</v>
      </c>
      <c r="G37" t="s">
        <v>629</v>
      </c>
      <c r="H37" t="s">
        <v>1521</v>
      </c>
      <c r="I37" t="s">
        <v>20</v>
      </c>
      <c r="J37" t="s">
        <v>1444</v>
      </c>
      <c r="K37" s="48">
        <f t="shared" si="9"/>
        <v>42531.84652777778</v>
      </c>
      <c r="M37" t="str">
        <f t="shared" si="2"/>
        <v>du -h 07160610_2019 &gt;&gt; temp.txt</v>
      </c>
      <c r="N37" t="s">
        <v>1524</v>
      </c>
      <c r="O37">
        <f t="shared" si="3"/>
        <v>3</v>
      </c>
      <c r="P37" t="str">
        <f t="shared" si="4"/>
        <v>./rawDataLoop 07160610_2019 0001 midas // ba 3</v>
      </c>
      <c r="Q37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</v>
      </c>
      <c r="R37" t="str">
        <f t="shared" si="6"/>
        <v>-13,-13,-12,-12,-11,-11,-10,-10,-9,-9,-8,-8,-7,-7,-6,-6,-5,-5,-4,-3,-2,-1,-1,1,1,2,2,3,3</v>
      </c>
      <c r="S37">
        <f t="shared" si="7"/>
        <v>1465589940.0000002</v>
      </c>
      <c r="T37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</v>
      </c>
    </row>
    <row r="38" spans="1:20">
      <c r="A38" t="s">
        <v>1525</v>
      </c>
      <c r="B38" t="s">
        <v>17</v>
      </c>
      <c r="C38">
        <v>58</v>
      </c>
      <c r="D38" t="s">
        <v>41</v>
      </c>
      <c r="E38">
        <v>1000</v>
      </c>
      <c r="F38">
        <v>31</v>
      </c>
      <c r="G38" t="s">
        <v>629</v>
      </c>
      <c r="H38" t="s">
        <v>331</v>
      </c>
      <c r="I38" t="s">
        <v>20</v>
      </c>
      <c r="J38" t="s">
        <v>1444</v>
      </c>
      <c r="K38" s="48">
        <f t="shared" si="9"/>
        <v>42533.854166666664</v>
      </c>
      <c r="M38" t="str">
        <f t="shared" si="2"/>
        <v>du -h 07160612_2030 &gt;&gt; temp.txt</v>
      </c>
      <c r="N38" t="s">
        <v>1526</v>
      </c>
      <c r="O38">
        <f t="shared" si="3"/>
        <v>4</v>
      </c>
      <c r="P38" t="str">
        <f t="shared" si="4"/>
        <v>./rawDataLoop 07160612_2030 0001 midas // ba 4</v>
      </c>
      <c r="Q38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</v>
      </c>
      <c r="R38" t="str">
        <f t="shared" si="6"/>
        <v>-13,-13,-12,-12,-11,-11,-10,-10,-9,-9,-8,-8,-7,-7,-6,-6,-5,-5,-4,-3,-2,-1,-1,1,1,2,2,3,3,4</v>
      </c>
      <c r="S38">
        <f t="shared" si="7"/>
        <v>1465763399.9999998</v>
      </c>
      <c r="T38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</v>
      </c>
    </row>
    <row r="39" spans="1:20">
      <c r="A39" t="s">
        <v>1527</v>
      </c>
      <c r="B39" t="s">
        <v>17</v>
      </c>
      <c r="C39">
        <v>58</v>
      </c>
      <c r="D39" t="s">
        <v>41</v>
      </c>
      <c r="E39">
        <v>1000</v>
      </c>
      <c r="F39">
        <v>31</v>
      </c>
      <c r="G39" t="s">
        <v>629</v>
      </c>
      <c r="H39" t="s">
        <v>331</v>
      </c>
      <c r="I39" t="s">
        <v>20</v>
      </c>
      <c r="J39" t="s">
        <v>1444</v>
      </c>
      <c r="K39" s="48">
        <f t="shared" si="9"/>
        <v>42531.886111111111</v>
      </c>
      <c r="M39" t="str">
        <f t="shared" si="2"/>
        <v>du -h 07160610_2116 &gt;&gt; temp.txt</v>
      </c>
      <c r="N39" t="s">
        <v>1526</v>
      </c>
      <c r="O39">
        <f t="shared" si="3"/>
        <v>4</v>
      </c>
      <c r="P39" t="str">
        <f t="shared" si="4"/>
        <v>./rawDataLoop 07160610_2116 0001 midas // ba 4</v>
      </c>
      <c r="Q39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</v>
      </c>
      <c r="R39" t="str">
        <f t="shared" si="6"/>
        <v>-13,-13,-12,-12,-11,-11,-10,-10,-9,-9,-8,-8,-7,-7,-6,-6,-5,-5,-4,-3,-2,-1,-1,1,1,2,2,3,3,4,4</v>
      </c>
      <c r="S39">
        <f t="shared" si="7"/>
        <v>1465593360</v>
      </c>
      <c r="T39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</v>
      </c>
    </row>
    <row r="40" spans="1:20">
      <c r="A40" t="s">
        <v>1528</v>
      </c>
      <c r="B40" t="s">
        <v>17</v>
      </c>
      <c r="C40">
        <v>58</v>
      </c>
      <c r="D40" t="s">
        <v>41</v>
      </c>
      <c r="E40">
        <v>1000</v>
      </c>
      <c r="F40">
        <v>31</v>
      </c>
      <c r="G40" t="s">
        <v>629</v>
      </c>
      <c r="H40" t="s">
        <v>1529</v>
      </c>
      <c r="I40" t="s">
        <v>20</v>
      </c>
      <c r="J40" t="s">
        <v>1444</v>
      </c>
      <c r="K40" s="48">
        <f t="shared" si="9"/>
        <v>42533.893750000003</v>
      </c>
      <c r="M40" t="str">
        <f t="shared" si="2"/>
        <v>du -h 07160612_2127 &gt;&gt; temp.txt</v>
      </c>
      <c r="N40" t="s">
        <v>1530</v>
      </c>
      <c r="O40">
        <f t="shared" si="3"/>
        <v>5</v>
      </c>
      <c r="P40" t="str">
        <f t="shared" si="4"/>
        <v>./rawDataLoop 07160612_2127 0001 midas // ba 5</v>
      </c>
      <c r="Q40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</v>
      </c>
      <c r="R40" t="str">
        <f t="shared" si="6"/>
        <v>-13,-13,-12,-12,-11,-11,-10,-10,-9,-9,-8,-8,-7,-7,-6,-6,-5,-5,-4,-3,-2,-1,-1,1,1,2,2,3,3,4,4,5</v>
      </c>
      <c r="S40">
        <f t="shared" si="7"/>
        <v>1465766820.0000002</v>
      </c>
      <c r="T40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</v>
      </c>
    </row>
    <row r="41" spans="1:20">
      <c r="A41" t="s">
        <v>1531</v>
      </c>
      <c r="B41" t="s">
        <v>17</v>
      </c>
      <c r="C41">
        <v>58</v>
      </c>
      <c r="D41" t="s">
        <v>41</v>
      </c>
      <c r="E41">
        <v>1000</v>
      </c>
      <c r="F41">
        <v>31</v>
      </c>
      <c r="G41" t="s">
        <v>629</v>
      </c>
      <c r="H41" t="s">
        <v>1529</v>
      </c>
      <c r="I41" t="s">
        <v>20</v>
      </c>
      <c r="J41" t="s">
        <v>1444</v>
      </c>
      <c r="K41" s="48">
        <f t="shared" si="9"/>
        <v>42532.631944444445</v>
      </c>
      <c r="M41" t="str">
        <f t="shared" ref="M41:M72" si="10">"du -h "&amp;A41&amp;" &gt;&gt; temp.txt"</f>
        <v>du -h 07160611_1510 &gt;&gt; temp.txt</v>
      </c>
      <c r="N41" t="s">
        <v>1449</v>
      </c>
      <c r="O41">
        <f t="shared" ref="O41:O72" si="11">VALUE(MID(H41,FIND(":",H41)+1,FIND(",",H41)-FIND(":",H41)-1))</f>
        <v>5</v>
      </c>
      <c r="P41" t="str">
        <f t="shared" si="4"/>
        <v>./rawDataLoop 07160611_1510 0001 midas // ba 5</v>
      </c>
      <c r="Q41" t="str">
        <f t="shared" si="5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</v>
      </c>
      <c r="R41" t="str">
        <f t="shared" si="6"/>
        <v>-13,-13,-12,-12,-11,-11,-10,-10,-9,-9,-8,-8,-7,-7,-6,-6,-5,-5,-4,-3,-2,-1,-1,1,1,2,2,3,3,4,4,5,5</v>
      </c>
      <c r="S41">
        <f t="shared" si="7"/>
        <v>1465657800</v>
      </c>
      <c r="T41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</v>
      </c>
    </row>
    <row r="42" spans="1:20">
      <c r="A42" t="s">
        <v>1532</v>
      </c>
      <c r="B42" t="s">
        <v>17</v>
      </c>
      <c r="C42">
        <v>58</v>
      </c>
      <c r="D42" t="s">
        <v>41</v>
      </c>
      <c r="E42">
        <v>1000</v>
      </c>
      <c r="F42">
        <v>31</v>
      </c>
      <c r="G42" t="s">
        <v>629</v>
      </c>
      <c r="H42" t="s">
        <v>1529</v>
      </c>
      <c r="I42" t="s">
        <v>20</v>
      </c>
      <c r="J42" t="s">
        <v>1444</v>
      </c>
      <c r="K42" s="48">
        <f t="shared" si="9"/>
        <v>42531.925000000003</v>
      </c>
      <c r="M42" t="str">
        <f t="shared" si="10"/>
        <v>du -h 07160610_2212 &gt;&gt; temp.txt</v>
      </c>
      <c r="N42" t="s">
        <v>1449</v>
      </c>
      <c r="O42">
        <f t="shared" si="11"/>
        <v>5</v>
      </c>
      <c r="P42" t="str">
        <f t="shared" si="4"/>
        <v>./rawDataLoop 07160610_2212 0001 midas // ba 5</v>
      </c>
      <c r="Q42" t="str">
        <f t="shared" ref="Q42:Q61" si="12">Q41&amp;", """&amp;A42&amp;""""</f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</v>
      </c>
      <c r="R42" t="str">
        <f t="shared" ref="R42:R61" si="13">R41&amp;","&amp;O42</f>
        <v>-13,-13,-12,-12,-11,-11,-10,-10,-9,-9,-8,-8,-7,-7,-6,-6,-5,-5,-4,-3,-2,-1,-1,1,1,2,2,3,3,4,4,5,5,5</v>
      </c>
      <c r="S42">
        <f t="shared" si="7"/>
        <v>1465596720.0000002</v>
      </c>
      <c r="T42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</v>
      </c>
    </row>
    <row r="43" spans="1:20">
      <c r="A43" t="s">
        <v>1533</v>
      </c>
      <c r="B43" t="s">
        <v>17</v>
      </c>
      <c r="C43">
        <v>58</v>
      </c>
      <c r="D43" t="s">
        <v>41</v>
      </c>
      <c r="E43">
        <v>1000</v>
      </c>
      <c r="F43">
        <v>31</v>
      </c>
      <c r="G43" t="s">
        <v>629</v>
      </c>
      <c r="H43" t="s">
        <v>1534</v>
      </c>
      <c r="I43" t="s">
        <v>20</v>
      </c>
      <c r="J43" t="s">
        <v>1444</v>
      </c>
      <c r="K43" s="48">
        <f t="shared" si="9"/>
        <v>42533.932638888888</v>
      </c>
      <c r="M43" t="str">
        <f t="shared" si="10"/>
        <v>du -h 07160612_2223 &gt;&gt; temp.txt</v>
      </c>
      <c r="N43" t="s">
        <v>1502</v>
      </c>
      <c r="O43">
        <f t="shared" si="11"/>
        <v>6</v>
      </c>
      <c r="P43" t="str">
        <f t="shared" si="4"/>
        <v>./rawDataLoop 07160612_2223 0001 midas // ba 6</v>
      </c>
      <c r="Q43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</v>
      </c>
      <c r="R43" t="str">
        <f t="shared" si="13"/>
        <v>-13,-13,-12,-12,-11,-11,-10,-10,-9,-9,-8,-8,-7,-7,-6,-6,-5,-5,-4,-3,-2,-1,-1,1,1,2,2,3,3,4,4,5,5,5,6</v>
      </c>
      <c r="S43">
        <f t="shared" si="7"/>
        <v>1465770180</v>
      </c>
      <c r="T43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</v>
      </c>
    </row>
    <row r="44" spans="1:20">
      <c r="A44" t="s">
        <v>1535</v>
      </c>
      <c r="B44" t="s">
        <v>17</v>
      </c>
      <c r="C44">
        <v>58</v>
      </c>
      <c r="D44" t="s">
        <v>41</v>
      </c>
      <c r="E44">
        <v>1000</v>
      </c>
      <c r="F44">
        <v>31</v>
      </c>
      <c r="G44" t="s">
        <v>629</v>
      </c>
      <c r="H44" t="s">
        <v>1534</v>
      </c>
      <c r="I44" t="s">
        <v>20</v>
      </c>
      <c r="J44" t="s">
        <v>1444</v>
      </c>
      <c r="K44" s="48">
        <f t="shared" si="9"/>
        <v>42532.67083333333</v>
      </c>
      <c r="M44" t="str">
        <f t="shared" si="10"/>
        <v>du -h 07160611_1606 &gt;&gt; temp.txt</v>
      </c>
      <c r="N44" t="s">
        <v>1536</v>
      </c>
      <c r="O44">
        <f t="shared" si="11"/>
        <v>6</v>
      </c>
      <c r="P44" t="str">
        <f t="shared" si="4"/>
        <v>./rawDataLoop 07160611_1606 0001 midas // ba 6</v>
      </c>
      <c r="Q44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</v>
      </c>
      <c r="R44" t="str">
        <f t="shared" si="13"/>
        <v>-13,-13,-12,-12,-11,-11,-10,-10,-9,-9,-8,-8,-7,-7,-6,-6,-5,-5,-4,-3,-2,-1,-1,1,1,2,2,3,3,4,4,5,5,5,6,6</v>
      </c>
      <c r="S44">
        <f t="shared" si="7"/>
        <v>1465661159.9999998</v>
      </c>
      <c r="T44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</v>
      </c>
    </row>
    <row r="45" spans="1:20">
      <c r="A45" t="s">
        <v>1537</v>
      </c>
      <c r="B45" t="s">
        <v>17</v>
      </c>
      <c r="C45">
        <v>58</v>
      </c>
      <c r="D45" t="s">
        <v>41</v>
      </c>
      <c r="E45">
        <v>1000</v>
      </c>
      <c r="F45">
        <v>31</v>
      </c>
      <c r="G45" t="s">
        <v>629</v>
      </c>
      <c r="H45" t="s">
        <v>1534</v>
      </c>
      <c r="I45" t="s">
        <v>20</v>
      </c>
      <c r="J45" t="s">
        <v>1444</v>
      </c>
      <c r="K45" s="48">
        <f t="shared" si="9"/>
        <v>42531.964583333334</v>
      </c>
      <c r="M45" t="str">
        <f t="shared" si="10"/>
        <v>du -h 07160610_2309 &gt;&gt; temp.txt</v>
      </c>
      <c r="N45" t="s">
        <v>1536</v>
      </c>
      <c r="O45">
        <f t="shared" si="11"/>
        <v>6</v>
      </c>
      <c r="P45" t="str">
        <f t="shared" si="4"/>
        <v>./rawDataLoop 07160610_2309 0001 midas // ba 6</v>
      </c>
      <c r="Q45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</v>
      </c>
      <c r="R45" t="str">
        <f t="shared" si="13"/>
        <v>-13,-13,-12,-12,-11,-11,-10,-10,-9,-9,-8,-8,-7,-7,-6,-6,-5,-5,-4,-3,-2,-1,-1,1,1,2,2,3,3,4,4,5,5,5,6,6,6</v>
      </c>
      <c r="S45">
        <f t="shared" si="7"/>
        <v>1465600140</v>
      </c>
      <c r="T45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</v>
      </c>
    </row>
    <row r="46" spans="1:20">
      <c r="A46" t="s">
        <v>1538</v>
      </c>
      <c r="B46" t="s">
        <v>17</v>
      </c>
      <c r="C46">
        <v>58</v>
      </c>
      <c r="D46" t="s">
        <v>41</v>
      </c>
      <c r="E46">
        <v>1000</v>
      </c>
      <c r="F46">
        <v>31</v>
      </c>
      <c r="G46" t="s">
        <v>629</v>
      </c>
      <c r="H46" t="s">
        <v>1539</v>
      </c>
      <c r="I46" t="s">
        <v>20</v>
      </c>
      <c r="J46" t="s">
        <v>1444</v>
      </c>
      <c r="K46" s="48">
        <f t="shared" si="9"/>
        <v>42533.972222222219</v>
      </c>
      <c r="M46" t="str">
        <f t="shared" si="10"/>
        <v>du -h 07160612_2320 &gt;&gt; temp.txt</v>
      </c>
      <c r="N46" t="s">
        <v>1540</v>
      </c>
      <c r="O46">
        <f t="shared" si="11"/>
        <v>7</v>
      </c>
      <c r="P46" t="str">
        <f t="shared" si="4"/>
        <v>./rawDataLoop 07160612_2320 0001 midas // ba 7</v>
      </c>
      <c r="Q46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</v>
      </c>
      <c r="R46" t="str">
        <f t="shared" si="13"/>
        <v>-13,-13,-12,-12,-11,-11,-10,-10,-9,-9,-8,-8,-7,-7,-6,-6,-5,-5,-4,-3,-2,-1,-1,1,1,2,2,3,3,4,4,5,5,5,6,6,6,7</v>
      </c>
      <c r="S46">
        <f t="shared" si="7"/>
        <v>1465773599.9999998</v>
      </c>
      <c r="T46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</v>
      </c>
    </row>
    <row r="47" spans="1:20">
      <c r="A47" t="s">
        <v>1541</v>
      </c>
      <c r="B47" t="s">
        <v>17</v>
      </c>
      <c r="C47">
        <v>58</v>
      </c>
      <c r="D47" t="s">
        <v>41</v>
      </c>
      <c r="E47">
        <v>1000</v>
      </c>
      <c r="F47">
        <v>31</v>
      </c>
      <c r="G47" t="s">
        <v>629</v>
      </c>
      <c r="H47" t="s">
        <v>1539</v>
      </c>
      <c r="I47" t="s">
        <v>20</v>
      </c>
      <c r="J47" t="s">
        <v>1444</v>
      </c>
      <c r="K47" s="48">
        <f t="shared" si="9"/>
        <v>42532.710416666669</v>
      </c>
      <c r="M47" t="str">
        <f t="shared" si="10"/>
        <v>du -h 07160611_1703 &gt;&gt; temp.txt</v>
      </c>
      <c r="N47" t="s">
        <v>1452</v>
      </c>
      <c r="O47">
        <f t="shared" si="11"/>
        <v>7</v>
      </c>
      <c r="P47" t="str">
        <f t="shared" si="4"/>
        <v>./rawDataLoop 07160611_1703 0001 midas // ba 7</v>
      </c>
      <c r="Q47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</v>
      </c>
      <c r="R47" t="str">
        <f t="shared" si="13"/>
        <v>-13,-13,-12,-12,-11,-11,-10,-10,-9,-9,-8,-8,-7,-7,-6,-6,-5,-5,-4,-3,-2,-1,-1,1,1,2,2,3,3,4,4,5,5,5,6,6,6,7,7</v>
      </c>
      <c r="S47">
        <f t="shared" si="7"/>
        <v>1465664580.0000002</v>
      </c>
      <c r="T47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</v>
      </c>
    </row>
    <row r="48" spans="1:20">
      <c r="A48" t="s">
        <v>1542</v>
      </c>
      <c r="B48" t="s">
        <v>17</v>
      </c>
      <c r="C48">
        <v>58</v>
      </c>
      <c r="D48" t="s">
        <v>41</v>
      </c>
      <c r="E48">
        <v>1000</v>
      </c>
      <c r="F48">
        <v>31</v>
      </c>
      <c r="G48" t="s">
        <v>629</v>
      </c>
      <c r="H48" t="s">
        <v>1539</v>
      </c>
      <c r="I48" t="s">
        <v>20</v>
      </c>
      <c r="J48" t="s">
        <v>1444</v>
      </c>
      <c r="K48" s="48">
        <f t="shared" si="9"/>
        <v>42532.003472222219</v>
      </c>
      <c r="M48" t="str">
        <f t="shared" si="10"/>
        <v>du -h 07160611_0005 &gt;&gt; temp.txt</v>
      </c>
      <c r="N48" t="s">
        <v>1452</v>
      </c>
      <c r="O48">
        <f t="shared" si="11"/>
        <v>7</v>
      </c>
      <c r="P48" t="str">
        <f t="shared" si="4"/>
        <v>./rawDataLoop 07160611_0005 0001 midas // ba 7</v>
      </c>
      <c r="Q48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</v>
      </c>
      <c r="R48" t="str">
        <f t="shared" si="13"/>
        <v>-13,-13,-12,-12,-11,-11,-10,-10,-9,-9,-8,-8,-7,-7,-6,-6,-5,-5,-4,-3,-2,-1,-1,1,1,2,2,3,3,4,4,5,5,5,6,6,6,7,7,7</v>
      </c>
      <c r="S48">
        <f t="shared" si="7"/>
        <v>1465603499.9999998</v>
      </c>
      <c r="T48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</v>
      </c>
    </row>
    <row r="49" spans="1:20">
      <c r="A49" t="s">
        <v>1543</v>
      </c>
      <c r="B49" t="s">
        <v>17</v>
      </c>
      <c r="C49">
        <v>58</v>
      </c>
      <c r="D49" t="s">
        <v>41</v>
      </c>
      <c r="E49">
        <v>1000</v>
      </c>
      <c r="F49">
        <v>31</v>
      </c>
      <c r="G49" t="s">
        <v>629</v>
      </c>
      <c r="H49" t="s">
        <v>1544</v>
      </c>
      <c r="I49" t="s">
        <v>20</v>
      </c>
      <c r="J49" t="s">
        <v>1444</v>
      </c>
      <c r="K49" s="48">
        <f t="shared" si="9"/>
        <v>42534.011111111111</v>
      </c>
      <c r="M49" t="str">
        <f t="shared" si="10"/>
        <v>du -h 07160613_0016 &gt;&gt; temp.txt</v>
      </c>
      <c r="N49" t="s">
        <v>1498</v>
      </c>
      <c r="O49">
        <f t="shared" si="11"/>
        <v>8</v>
      </c>
      <c r="P49" t="str">
        <f t="shared" si="4"/>
        <v>./rawDataLoop 07160613_0016 0001 midas // ba 8</v>
      </c>
      <c r="Q49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</v>
      </c>
      <c r="R49" t="str">
        <f t="shared" si="13"/>
        <v>-13,-13,-12,-12,-11,-11,-10,-10,-9,-9,-8,-8,-7,-7,-6,-6,-5,-5,-4,-3,-2,-1,-1,1,1,2,2,3,3,4,4,5,5,5,6,6,6,7,7,7,8</v>
      </c>
      <c r="S49">
        <f t="shared" si="7"/>
        <v>1465776960</v>
      </c>
      <c r="T49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</v>
      </c>
    </row>
    <row r="50" spans="1:20">
      <c r="A50" t="s">
        <v>1545</v>
      </c>
      <c r="B50" t="s">
        <v>17</v>
      </c>
      <c r="C50">
        <v>58</v>
      </c>
      <c r="D50" t="s">
        <v>41</v>
      </c>
      <c r="E50">
        <v>1000</v>
      </c>
      <c r="F50">
        <v>31</v>
      </c>
      <c r="G50" t="s">
        <v>629</v>
      </c>
      <c r="H50" t="s">
        <v>1544</v>
      </c>
      <c r="I50" t="s">
        <v>20</v>
      </c>
      <c r="J50" t="s">
        <v>1444</v>
      </c>
      <c r="K50" s="48">
        <f t="shared" si="9"/>
        <v>42532.749305555553</v>
      </c>
      <c r="M50" t="str">
        <f t="shared" si="10"/>
        <v>du -h 07160611_1759 &gt;&gt; temp.txt</v>
      </c>
      <c r="N50" t="s">
        <v>1500</v>
      </c>
      <c r="O50">
        <f t="shared" si="11"/>
        <v>8</v>
      </c>
      <c r="P50" t="str">
        <f t="shared" si="4"/>
        <v>./rawDataLoop 07160611_1759 0001 midas // ba 8</v>
      </c>
      <c r="Q50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</v>
      </c>
      <c r="R50" t="str">
        <f t="shared" si="13"/>
        <v>-13,-13,-12,-12,-11,-11,-10,-10,-9,-9,-8,-8,-7,-7,-6,-6,-5,-5,-4,-3,-2,-1,-1,1,1,2,2,3,3,4,4,5,5,5,6,6,6,7,7,7,8,8</v>
      </c>
      <c r="S50">
        <f t="shared" si="7"/>
        <v>1465667939.9999998</v>
      </c>
      <c r="T50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</v>
      </c>
    </row>
    <row r="51" spans="1:20">
      <c r="A51" t="s">
        <v>1546</v>
      </c>
      <c r="B51" t="s">
        <v>17</v>
      </c>
      <c r="C51">
        <v>58</v>
      </c>
      <c r="D51" t="s">
        <v>41</v>
      </c>
      <c r="E51">
        <v>1000</v>
      </c>
      <c r="F51">
        <v>31</v>
      </c>
      <c r="G51" t="s">
        <v>629</v>
      </c>
      <c r="H51" t="s">
        <v>1544</v>
      </c>
      <c r="I51" t="s">
        <v>20</v>
      </c>
      <c r="J51" t="s">
        <v>1444</v>
      </c>
      <c r="K51" s="48">
        <f t="shared" si="9"/>
        <v>42532.043055555558</v>
      </c>
      <c r="M51" t="str">
        <f t="shared" si="10"/>
        <v>du -h 07160611_0102 &gt;&gt; temp.txt</v>
      </c>
      <c r="N51" t="s">
        <v>1500</v>
      </c>
      <c r="O51">
        <f t="shared" si="11"/>
        <v>8</v>
      </c>
      <c r="P51" t="str">
        <f t="shared" si="4"/>
        <v>./rawDataLoop 07160611_0102 0001 midas // ba 8</v>
      </c>
      <c r="Q51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</v>
      </c>
      <c r="R51" t="str">
        <f t="shared" si="13"/>
        <v>-13,-13,-12,-12,-11,-11,-10,-10,-9,-9,-8,-8,-7,-7,-6,-6,-5,-5,-4,-3,-2,-1,-1,1,1,2,2,3,3,4,4,5,5,5,6,6,6,7,7,7,8,8,8</v>
      </c>
      <c r="S51">
        <f t="shared" si="7"/>
        <v>1465606920.0000002</v>
      </c>
      <c r="T51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</v>
      </c>
    </row>
    <row r="52" spans="1:20">
      <c r="A52" t="s">
        <v>1547</v>
      </c>
      <c r="B52" t="s">
        <v>17</v>
      </c>
      <c r="C52">
        <v>58</v>
      </c>
      <c r="D52" t="s">
        <v>41</v>
      </c>
      <c r="E52">
        <v>1000</v>
      </c>
      <c r="F52">
        <v>31</v>
      </c>
      <c r="G52" t="s">
        <v>629</v>
      </c>
      <c r="H52" t="s">
        <v>1548</v>
      </c>
      <c r="I52" t="s">
        <v>20</v>
      </c>
      <c r="J52" t="s">
        <v>1444</v>
      </c>
      <c r="K52" s="48">
        <f t="shared" si="9"/>
        <v>42532.788888888892</v>
      </c>
      <c r="M52" t="str">
        <f t="shared" si="10"/>
        <v>du -h 07160611_1856 &gt;&gt; temp.txt</v>
      </c>
      <c r="N52" t="s">
        <v>1455</v>
      </c>
      <c r="O52">
        <f t="shared" si="11"/>
        <v>9</v>
      </c>
      <c r="P52" t="str">
        <f t="shared" si="4"/>
        <v>./rawDataLoop 07160611_1856 0001 midas // ba 9</v>
      </c>
      <c r="Q52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</v>
      </c>
      <c r="R52" t="str">
        <f t="shared" si="13"/>
        <v>-13,-13,-12,-12,-11,-11,-10,-10,-9,-9,-8,-8,-7,-7,-6,-6,-5,-5,-4,-3,-2,-1,-1,1,1,2,2,3,3,4,4,5,5,5,6,6,6,7,7,7,8,8,8,9</v>
      </c>
      <c r="S52">
        <f t="shared" si="7"/>
        <v>1465671360.0000002</v>
      </c>
      <c r="T52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</v>
      </c>
    </row>
    <row r="53" spans="1:20">
      <c r="A53" t="s">
        <v>1549</v>
      </c>
      <c r="B53" t="s">
        <v>17</v>
      </c>
      <c r="C53">
        <v>58</v>
      </c>
      <c r="D53" t="s">
        <v>41</v>
      </c>
      <c r="E53">
        <v>1000</v>
      </c>
      <c r="F53">
        <v>31</v>
      </c>
      <c r="G53" t="s">
        <v>629</v>
      </c>
      <c r="H53" t="s">
        <v>1548</v>
      </c>
      <c r="I53" t="s">
        <v>20</v>
      </c>
      <c r="J53" t="s">
        <v>1444</v>
      </c>
      <c r="K53" s="48">
        <f t="shared" si="9"/>
        <v>42532.081944444442</v>
      </c>
      <c r="M53" t="str">
        <f t="shared" si="10"/>
        <v>du -h 07160611_0158 &gt;&gt; temp.txt</v>
      </c>
      <c r="N53" t="s">
        <v>1455</v>
      </c>
      <c r="O53">
        <f t="shared" si="11"/>
        <v>9</v>
      </c>
      <c r="P53" t="str">
        <f t="shared" si="4"/>
        <v>./rawDataLoop 07160611_0158 0001 midas // ba 9</v>
      </c>
      <c r="Q53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"07160611_1856", "07160611_0158"</v>
      </c>
      <c r="R53" t="str">
        <f t="shared" si="13"/>
        <v>-13,-13,-12,-12,-11,-11,-10,-10,-9,-9,-8,-8,-7,-7,-6,-6,-5,-5,-4,-3,-2,-1,-1,1,1,2,2,3,3,4,4,5,5,5,6,6,6,7,7,7,8,8,8,9,9</v>
      </c>
      <c r="S53">
        <f t="shared" si="7"/>
        <v>1465610279.9999998</v>
      </c>
      <c r="T53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,1465610280</v>
      </c>
    </row>
    <row r="54" spans="1:20">
      <c r="A54" t="s">
        <v>1550</v>
      </c>
      <c r="B54" t="s">
        <v>17</v>
      </c>
      <c r="C54">
        <v>58</v>
      </c>
      <c r="D54" t="s">
        <v>41</v>
      </c>
      <c r="E54">
        <v>1000</v>
      </c>
      <c r="F54">
        <v>31</v>
      </c>
      <c r="G54" t="s">
        <v>629</v>
      </c>
      <c r="H54" t="s">
        <v>1551</v>
      </c>
      <c r="I54" t="s">
        <v>20</v>
      </c>
      <c r="J54" t="s">
        <v>1444</v>
      </c>
      <c r="K54" s="48">
        <f t="shared" si="9"/>
        <v>42532.827777777777</v>
      </c>
      <c r="M54" t="str">
        <f t="shared" si="10"/>
        <v>du -h 07160611_1952 &gt;&gt; temp.txt</v>
      </c>
      <c r="N54" t="s">
        <v>1496</v>
      </c>
      <c r="O54">
        <f t="shared" si="11"/>
        <v>10</v>
      </c>
      <c r="P54" t="str">
        <f t="shared" si="4"/>
        <v>./rawDataLoop 07160611_1952 0001 midas // ba 10</v>
      </c>
      <c r="Q54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"07160611_1856", "07160611_0158", "07160611_1952"</v>
      </c>
      <c r="R54" t="str">
        <f t="shared" si="13"/>
        <v>-13,-13,-12,-12,-11,-11,-10,-10,-9,-9,-8,-8,-7,-7,-6,-6,-5,-5,-4,-3,-2,-1,-1,1,1,2,2,3,3,4,4,5,5,5,6,6,6,7,7,7,8,8,8,9,9,10</v>
      </c>
      <c r="S54">
        <f t="shared" si="7"/>
        <v>1465674720</v>
      </c>
      <c r="T54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,1465610280,1465674720</v>
      </c>
    </row>
    <row r="55" spans="1:20">
      <c r="A55" t="s">
        <v>1552</v>
      </c>
      <c r="B55" t="s">
        <v>17</v>
      </c>
      <c r="C55">
        <v>58</v>
      </c>
      <c r="D55" t="s">
        <v>41</v>
      </c>
      <c r="E55">
        <v>1000</v>
      </c>
      <c r="F55">
        <v>31</v>
      </c>
      <c r="G55" t="s">
        <v>629</v>
      </c>
      <c r="H55" t="s">
        <v>1551</v>
      </c>
      <c r="I55" t="s">
        <v>20</v>
      </c>
      <c r="J55" t="s">
        <v>1444</v>
      </c>
      <c r="K55" s="48">
        <f t="shared" si="9"/>
        <v>42532.121527777781</v>
      </c>
      <c r="M55" t="str">
        <f t="shared" si="10"/>
        <v>du -h 07160611_0255 &gt;&gt; temp.txt</v>
      </c>
      <c r="N55" t="s">
        <v>1553</v>
      </c>
      <c r="O55">
        <f t="shared" si="11"/>
        <v>10</v>
      </c>
      <c r="P55" t="str">
        <f t="shared" si="4"/>
        <v>./rawDataLoop 07160611_0255 0001 midas // ba 10</v>
      </c>
      <c r="Q55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"07160611_1856", "07160611_0158", "07160611_1952", "07160611_0255"</v>
      </c>
      <c r="R55" t="str">
        <f t="shared" si="13"/>
        <v>-13,-13,-12,-12,-11,-11,-10,-10,-9,-9,-8,-8,-7,-7,-6,-6,-5,-5,-4,-3,-2,-1,-1,1,1,2,2,3,3,4,4,5,5,5,6,6,6,7,7,7,8,8,8,9,9,10,10</v>
      </c>
      <c r="S55">
        <f t="shared" si="7"/>
        <v>1465613700.0000002</v>
      </c>
      <c r="T55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,1465610280,1465674720,1465613700</v>
      </c>
    </row>
    <row r="56" spans="1:20">
      <c r="A56" t="s">
        <v>1554</v>
      </c>
      <c r="B56" t="s">
        <v>17</v>
      </c>
      <c r="C56">
        <v>58</v>
      </c>
      <c r="D56" t="s">
        <v>41</v>
      </c>
      <c r="E56">
        <v>1000</v>
      </c>
      <c r="F56">
        <v>31</v>
      </c>
      <c r="G56" t="s">
        <v>629</v>
      </c>
      <c r="H56" t="s">
        <v>1555</v>
      </c>
      <c r="I56" t="s">
        <v>20</v>
      </c>
      <c r="J56" t="s">
        <v>1444</v>
      </c>
      <c r="K56" s="48">
        <f t="shared" si="9"/>
        <v>42532.867361111108</v>
      </c>
      <c r="M56" t="str">
        <f t="shared" si="10"/>
        <v>du -h 07160611_2049 &gt;&gt; temp.txt</v>
      </c>
      <c r="N56" t="s">
        <v>1494</v>
      </c>
      <c r="O56">
        <f t="shared" si="11"/>
        <v>11</v>
      </c>
      <c r="P56" t="str">
        <f t="shared" si="4"/>
        <v>./rawDataLoop 07160611_2049 0001 midas // ba 11</v>
      </c>
      <c r="Q56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"07160611_1856", "07160611_0158", "07160611_1952", "07160611_0255", "07160611_2049"</v>
      </c>
      <c r="R56" t="str">
        <f t="shared" si="13"/>
        <v>-13,-13,-12,-12,-11,-11,-10,-10,-9,-9,-8,-8,-7,-7,-6,-6,-5,-5,-4,-3,-2,-1,-1,1,1,2,2,3,3,4,4,5,5,5,6,6,6,7,7,7,8,8,8,9,9,10,10,11</v>
      </c>
      <c r="S56">
        <f t="shared" si="7"/>
        <v>1465678139.9999998</v>
      </c>
      <c r="T56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,1465610280,1465674720,1465613700,1465678140</v>
      </c>
    </row>
    <row r="57" spans="1:20">
      <c r="A57" t="s">
        <v>1556</v>
      </c>
      <c r="B57" t="s">
        <v>17</v>
      </c>
      <c r="C57">
        <v>58</v>
      </c>
      <c r="D57" t="s">
        <v>41</v>
      </c>
      <c r="E57">
        <v>1000</v>
      </c>
      <c r="F57">
        <v>31</v>
      </c>
      <c r="G57" t="s">
        <v>629</v>
      </c>
      <c r="H57" t="s">
        <v>1555</v>
      </c>
      <c r="I57" t="s">
        <v>20</v>
      </c>
      <c r="J57" t="s">
        <v>1444</v>
      </c>
      <c r="K57" s="48">
        <f t="shared" si="9"/>
        <v>42532.160416666666</v>
      </c>
      <c r="M57" t="str">
        <f t="shared" si="10"/>
        <v>du -h 07160611_0351 &gt;&gt; temp.txt</v>
      </c>
      <c r="N57" t="s">
        <v>1494</v>
      </c>
      <c r="O57">
        <f t="shared" si="11"/>
        <v>11</v>
      </c>
      <c r="P57" t="str">
        <f t="shared" si="4"/>
        <v>./rawDataLoop 07160611_0351 0001 midas // ba 11</v>
      </c>
      <c r="Q57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"07160611_1856", "07160611_0158", "07160611_1952", "07160611_0255", "07160611_2049", "07160611_0351"</v>
      </c>
      <c r="R57" t="str">
        <f t="shared" si="13"/>
        <v>-13,-13,-12,-12,-11,-11,-10,-10,-9,-9,-8,-8,-7,-7,-6,-6,-5,-5,-4,-3,-2,-1,-1,1,1,2,2,3,3,4,4,5,5,5,6,6,6,7,7,7,8,8,8,9,9,10,10,11,11</v>
      </c>
      <c r="S57">
        <f t="shared" si="7"/>
        <v>1465617060</v>
      </c>
      <c r="T57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,1465610280,1465674720,1465613700,1465678140,1465617060</v>
      </c>
    </row>
    <row r="58" spans="1:20">
      <c r="A58" t="s">
        <v>1557</v>
      </c>
      <c r="B58" t="s">
        <v>17</v>
      </c>
      <c r="C58">
        <v>58</v>
      </c>
      <c r="D58" t="s">
        <v>41</v>
      </c>
      <c r="E58">
        <v>1000</v>
      </c>
      <c r="F58">
        <v>31</v>
      </c>
      <c r="G58" t="s">
        <v>629</v>
      </c>
      <c r="H58" t="s">
        <v>1558</v>
      </c>
      <c r="I58" t="s">
        <v>20</v>
      </c>
      <c r="J58" t="s">
        <v>1444</v>
      </c>
      <c r="K58" s="48">
        <f t="shared" si="9"/>
        <v>42532.90625</v>
      </c>
      <c r="M58" t="str">
        <f t="shared" si="10"/>
        <v>du -h 07160611_2145 &gt;&gt; temp.txt</v>
      </c>
      <c r="N58" t="s">
        <v>1559</v>
      </c>
      <c r="O58">
        <f t="shared" si="11"/>
        <v>12</v>
      </c>
      <c r="P58" t="str">
        <f t="shared" si="4"/>
        <v>./rawDataLoop 07160611_2145 0001 midas // ba 12</v>
      </c>
      <c r="Q58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"07160611_1856", "07160611_0158", "07160611_1952", "07160611_0255", "07160611_2049", "07160611_0351", "07160611_2145"</v>
      </c>
      <c r="R58" t="str">
        <f t="shared" si="13"/>
        <v>-13,-13,-12,-12,-11,-11,-10,-10,-9,-9,-8,-8,-7,-7,-6,-6,-5,-5,-4,-3,-2,-1,-1,1,1,2,2,3,3,4,4,5,5,5,6,6,6,7,7,7,8,8,8,9,9,10,10,11,11,12</v>
      </c>
      <c r="S58">
        <f t="shared" si="7"/>
        <v>1465681500</v>
      </c>
      <c r="T58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,1465610280,1465674720,1465613700,1465678140,1465617060,1465681500</v>
      </c>
    </row>
    <row r="59" spans="1:20">
      <c r="A59" t="s">
        <v>1560</v>
      </c>
      <c r="B59" t="s">
        <v>17</v>
      </c>
      <c r="C59">
        <v>58</v>
      </c>
      <c r="D59" t="s">
        <v>41</v>
      </c>
      <c r="E59">
        <v>1000</v>
      </c>
      <c r="F59">
        <v>31</v>
      </c>
      <c r="G59" t="s">
        <v>629</v>
      </c>
      <c r="H59" t="s">
        <v>1558</v>
      </c>
      <c r="I59" t="s">
        <v>20</v>
      </c>
      <c r="J59" t="s">
        <v>1444</v>
      </c>
      <c r="K59" s="48">
        <f t="shared" si="9"/>
        <v>42532.2</v>
      </c>
      <c r="M59" t="str">
        <f t="shared" si="10"/>
        <v>du -h 07160611_0448 &gt;&gt; temp.txt</v>
      </c>
      <c r="N59" t="s">
        <v>1458</v>
      </c>
      <c r="O59">
        <f t="shared" si="11"/>
        <v>12</v>
      </c>
      <c r="P59" t="str">
        <f t="shared" si="4"/>
        <v>./rawDataLoop 07160611_0448 0001 midas // ba 12</v>
      </c>
      <c r="Q59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"07160611_1856", "07160611_0158", "07160611_1952", "07160611_0255", "07160611_2049", "07160611_0351", "07160611_2145", "07160611_0448"</v>
      </c>
      <c r="R59" t="str">
        <f t="shared" si="13"/>
        <v>-13,-13,-12,-12,-11,-11,-10,-10,-9,-9,-8,-8,-7,-7,-6,-6,-5,-5,-4,-3,-2,-1,-1,1,1,2,2,3,3,4,4,5,5,5,6,6,6,7,7,7,8,8,8,9,9,10,10,11,11,12,12</v>
      </c>
      <c r="S59">
        <f t="shared" si="7"/>
        <v>1465620479.9999998</v>
      </c>
      <c r="T59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,1465610280,1465674720,1465613700,1465678140,1465617060,1465681500,1465620480</v>
      </c>
    </row>
    <row r="60" spans="1:20">
      <c r="A60" t="s">
        <v>1561</v>
      </c>
      <c r="B60" t="s">
        <v>17</v>
      </c>
      <c r="C60">
        <v>58</v>
      </c>
      <c r="D60" t="s">
        <v>41</v>
      </c>
      <c r="E60">
        <v>1000</v>
      </c>
      <c r="F60">
        <v>31</v>
      </c>
      <c r="G60" t="s">
        <v>629</v>
      </c>
      <c r="H60" t="s">
        <v>1562</v>
      </c>
      <c r="I60" t="s">
        <v>20</v>
      </c>
      <c r="J60" t="s">
        <v>1444</v>
      </c>
      <c r="K60" s="48">
        <f t="shared" si="9"/>
        <v>42532.945833333331</v>
      </c>
      <c r="M60" t="str">
        <f t="shared" si="10"/>
        <v>du -h 07160611_2242 &gt;&gt; temp.txt</v>
      </c>
      <c r="N60" t="s">
        <v>1489</v>
      </c>
      <c r="O60">
        <f t="shared" si="11"/>
        <v>13</v>
      </c>
      <c r="P60" t="str">
        <f t="shared" si="4"/>
        <v>./rawDataLoop 07160611_2242 0001 midas // ba 13</v>
      </c>
      <c r="Q60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"07160611_1856", "07160611_0158", "07160611_1952", "07160611_0255", "07160611_2049", "07160611_0351", "07160611_2145", "07160611_0448", "07160611_2242"</v>
      </c>
      <c r="R60" t="str">
        <f t="shared" si="13"/>
        <v>-13,-13,-12,-12,-11,-11,-10,-10,-9,-9,-8,-8,-7,-7,-6,-6,-5,-5,-4,-3,-2,-1,-1,1,1,2,2,3,3,4,4,5,5,5,6,6,6,7,7,7,8,8,8,9,9,10,10,11,11,12,12,13</v>
      </c>
      <c r="S60">
        <f t="shared" si="7"/>
        <v>1465684919.9999998</v>
      </c>
      <c r="T60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,1465610280,1465674720,1465613700,1465678140,1465617060,1465681500,1465620480,1465684920</v>
      </c>
    </row>
    <row r="61" spans="1:20">
      <c r="A61" t="s">
        <v>1563</v>
      </c>
      <c r="B61" t="s">
        <v>17</v>
      </c>
      <c r="C61">
        <v>58</v>
      </c>
      <c r="D61" t="s">
        <v>41</v>
      </c>
      <c r="E61">
        <v>1000</v>
      </c>
      <c r="F61">
        <v>31</v>
      </c>
      <c r="G61" t="s">
        <v>629</v>
      </c>
      <c r="H61" t="s">
        <v>1562</v>
      </c>
      <c r="I61" t="s">
        <v>20</v>
      </c>
      <c r="J61" t="s">
        <v>1444</v>
      </c>
      <c r="K61" s="48">
        <f t="shared" si="9"/>
        <v>42532.238888888889</v>
      </c>
      <c r="M61" t="str">
        <f t="shared" si="10"/>
        <v>du -h 07160611_0544 &gt;&gt; temp.txt</v>
      </c>
      <c r="N61" t="s">
        <v>1564</v>
      </c>
      <c r="O61">
        <f t="shared" si="11"/>
        <v>13</v>
      </c>
      <c r="P61" t="str">
        <f t="shared" si="4"/>
        <v>./rawDataLoop 07160611_0544 0001 midas // ba 13</v>
      </c>
      <c r="Q61" t="str">
        <f t="shared" si="12"/>
        <v>"07160612_1056", "07160611_1413", "07160612_1000", "07160611_1317", "07160612_0903", "07160611_1220", "07160612_0807", "07160611_1124", "07160612_0710", "07160611_1027", "07160612_0614", "07160611_0931", "07160612_0517", "07160611_0834", "07160612_0421", "07160611_0738", "07160612_0324", "07160611_0641", "07160612_0228", "07160612_0131", "07160612_0035", "07160613_0113", "07160611_2338", "07160612_1741", "07160610_1826", "07160612_1837", "07160610_1923", "07160612_1934", "07160610_2019", "07160612_2030", "07160610_2116", "07160612_2127", "07160611_1510", "07160610_2212", "07160612_2223", "07160611_1606", "07160610_2309", "07160612_2320", "07160611_1703", "07160611_0005", "07160613_0016", "07160611_1759", "07160611_0102", "07160611_1856", "07160611_0158", "07160611_1952", "07160611_0255", "07160611_2049", "07160611_0351", "07160611_2145", "07160611_0448", "07160611_2242", "07160611_0544"</v>
      </c>
      <c r="R61" t="str">
        <f t="shared" si="13"/>
        <v>-13,-13,-12,-12,-11,-11,-10,-10,-9,-9,-8,-8,-7,-7,-6,-6,-5,-5,-4,-3,-2,-1,-1,1,1,2,2,3,3,4,4,5,5,5,6,6,6,7,7,7,8,8,8,9,9,10,10,11,11,12,12,13,13</v>
      </c>
      <c r="S61">
        <f t="shared" si="7"/>
        <v>1465623840</v>
      </c>
      <c r="T61" t="str">
        <f t="shared" si="8"/>
        <v>1465728960,1465654380,1465725600,1465651020,1465722180,1465647600,1465718820,1465644240,1465715400,1465640820,1465712040,1465637460,1465708620,1465634040,1465705260,1465630680,1465701840,1465627260,1465698480,1465695060,1465691700,1465780380,1465688280,1465753260,1465583160,1465756620,1465586580,1465760040,1465589940,1465763400,1465593360,1465766820,1465657800,1465596720,1465770180,1465661160,1465600140,1465773600,1465664580,1465603500,1465776960,1465667940,1465606920,1465671360,1465610280,1465674720,1465613700,1465678140,1465617060,1465681500,1465620480,1465684920,1465623840</v>
      </c>
    </row>
    <row r="62" spans="1:20">
      <c r="A62" t="s">
        <v>1565</v>
      </c>
      <c r="B62" t="s">
        <v>17</v>
      </c>
      <c r="C62">
        <v>58</v>
      </c>
      <c r="D62" t="s">
        <v>41</v>
      </c>
      <c r="E62">
        <v>1000</v>
      </c>
      <c r="F62">
        <v>31</v>
      </c>
      <c r="G62" t="s">
        <v>18</v>
      </c>
      <c r="H62" t="s">
        <v>1466</v>
      </c>
      <c r="I62" t="s">
        <v>20</v>
      </c>
      <c r="J62" t="s">
        <v>1491</v>
      </c>
      <c r="K62" s="48">
        <f t="shared" si="9"/>
        <v>42530.685416666667</v>
      </c>
      <c r="M62" t="str">
        <f t="shared" si="10"/>
        <v>du -h 07160609_1627 &gt;&gt; temp.txt</v>
      </c>
      <c r="N62" t="s">
        <v>1566</v>
      </c>
      <c r="O62">
        <f t="shared" si="11"/>
        <v>-13</v>
      </c>
      <c r="P62" t="str">
        <f>"./rawDataLoop "&amp;A62&amp;" 0001 midas // "&amp;G62&amp;" "&amp;O62</f>
        <v>./rawDataLoop 07160609_1627 0001 midas // bg -13</v>
      </c>
      <c r="Q62" t="str">
        <f>""""&amp;A62&amp;""""</f>
        <v>"07160609_1627"</v>
      </c>
      <c r="R62">
        <f>O62</f>
        <v>-13</v>
      </c>
      <c r="S62">
        <f t="shared" si="7"/>
        <v>1465489620</v>
      </c>
    </row>
    <row r="63" spans="1:20">
      <c r="A63" t="s">
        <v>1567</v>
      </c>
      <c r="B63" t="s">
        <v>17</v>
      </c>
      <c r="C63">
        <v>58</v>
      </c>
      <c r="D63" t="s">
        <v>41</v>
      </c>
      <c r="E63">
        <v>1000</v>
      </c>
      <c r="F63">
        <v>31</v>
      </c>
      <c r="G63" t="s">
        <v>18</v>
      </c>
      <c r="H63" t="s">
        <v>1471</v>
      </c>
      <c r="I63" t="s">
        <v>20</v>
      </c>
      <c r="J63" t="s">
        <v>1491</v>
      </c>
      <c r="K63" s="48">
        <f t="shared" si="9"/>
        <v>42530.646527777775</v>
      </c>
      <c r="M63" t="str">
        <f t="shared" si="10"/>
        <v>du -h 07160609_1531 &gt;&gt; temp.txt</v>
      </c>
      <c r="N63" t="s">
        <v>1566</v>
      </c>
      <c r="O63">
        <f t="shared" si="11"/>
        <v>-12</v>
      </c>
      <c r="P63" t="str">
        <f t="shared" ref="P63:P94" si="14">"./rawDataLoop "&amp;A63&amp;" 0001 midas // "&amp;G63&amp;" "&amp;O63</f>
        <v>./rawDataLoop 07160609_1531 0001 midas // bg -12</v>
      </c>
      <c r="Q63" t="str">
        <f>Q62&amp;", """&amp;A63&amp;""""</f>
        <v>"07160609_1627", "07160609_1531"</v>
      </c>
      <c r="R63" t="str">
        <f>R62&amp;", "&amp;O63</f>
        <v>-13, -12</v>
      </c>
      <c r="S63">
        <f t="shared" si="7"/>
        <v>1465486259.9999998</v>
      </c>
    </row>
    <row r="64" spans="1:20">
      <c r="A64" t="s">
        <v>1568</v>
      </c>
      <c r="B64" t="s">
        <v>17</v>
      </c>
      <c r="C64">
        <v>58</v>
      </c>
      <c r="D64" t="s">
        <v>41</v>
      </c>
      <c r="E64">
        <v>1000</v>
      </c>
      <c r="F64">
        <v>31</v>
      </c>
      <c r="G64" t="s">
        <v>18</v>
      </c>
      <c r="H64" t="s">
        <v>1475</v>
      </c>
      <c r="I64" t="s">
        <v>20</v>
      </c>
      <c r="J64" t="s">
        <v>1491</v>
      </c>
      <c r="K64" s="48">
        <f t="shared" si="9"/>
        <v>42530.606944444444</v>
      </c>
      <c r="M64" t="str">
        <f t="shared" si="10"/>
        <v>du -h 07160609_1434 &gt;&gt; temp.txt</v>
      </c>
      <c r="N64" t="s">
        <v>1566</v>
      </c>
      <c r="O64">
        <f t="shared" si="11"/>
        <v>-11</v>
      </c>
      <c r="P64" t="str">
        <f t="shared" si="14"/>
        <v>./rawDataLoop 07160609_1434 0001 midas // bg -11</v>
      </c>
      <c r="Q64" t="str">
        <f t="shared" ref="Q64:Q94" si="15">Q63&amp;", """&amp;A64&amp;""""</f>
        <v>"07160609_1627", "07160609_1531", "07160609_1434"</v>
      </c>
      <c r="R64" t="str">
        <f t="shared" ref="R64:R94" si="16">R63&amp;", "&amp;O64</f>
        <v>-13, -12, -11</v>
      </c>
      <c r="S64">
        <f t="shared" si="7"/>
        <v>1465482840</v>
      </c>
    </row>
    <row r="65" spans="1:19">
      <c r="A65" t="s">
        <v>1569</v>
      </c>
      <c r="B65" t="s">
        <v>17</v>
      </c>
      <c r="C65">
        <v>58</v>
      </c>
      <c r="D65" t="s">
        <v>41</v>
      </c>
      <c r="E65">
        <v>1000</v>
      </c>
      <c r="F65">
        <v>31</v>
      </c>
      <c r="G65" t="s">
        <v>18</v>
      </c>
      <c r="H65" t="s">
        <v>1478</v>
      </c>
      <c r="I65" t="s">
        <v>20</v>
      </c>
      <c r="J65" t="s">
        <v>1491</v>
      </c>
      <c r="K65" s="48">
        <f t="shared" si="9"/>
        <v>42530.567361111112</v>
      </c>
      <c r="M65" t="str">
        <f t="shared" si="10"/>
        <v>du -h 07160609_1337 &gt;&gt; temp.txt</v>
      </c>
      <c r="N65" t="s">
        <v>1566</v>
      </c>
      <c r="O65">
        <f t="shared" si="11"/>
        <v>-10</v>
      </c>
      <c r="P65" t="str">
        <f t="shared" si="14"/>
        <v>./rawDataLoop 07160609_1337 0001 midas // bg -10</v>
      </c>
      <c r="Q65" t="str">
        <f t="shared" si="15"/>
        <v>"07160609_1627", "07160609_1531", "07160609_1434", "07160609_1337"</v>
      </c>
      <c r="R65" t="str">
        <f t="shared" si="16"/>
        <v>-13, -12, -11, -10</v>
      </c>
      <c r="S65">
        <f t="shared" si="7"/>
        <v>1465479420</v>
      </c>
    </row>
    <row r="66" spans="1:19">
      <c r="A66" t="s">
        <v>1570</v>
      </c>
      <c r="B66" t="s">
        <v>17</v>
      </c>
      <c r="C66">
        <v>58</v>
      </c>
      <c r="D66" t="s">
        <v>41</v>
      </c>
      <c r="E66">
        <v>1000</v>
      </c>
      <c r="F66">
        <v>31</v>
      </c>
      <c r="G66" t="s">
        <v>18</v>
      </c>
      <c r="H66" t="s">
        <v>1482</v>
      </c>
      <c r="I66" t="s">
        <v>20</v>
      </c>
      <c r="J66" t="s">
        <v>1491</v>
      </c>
      <c r="K66" s="48">
        <f t="shared" ref="K66:K97" si="17">DATE(2000+MID(A66,3,2),MID(A66,5,2),MID(A66,7,2))+TIME(MID(A66,10,2),MID(A66,12,2),0)</f>
        <v>42530.522222222222</v>
      </c>
      <c r="M66" t="str">
        <f t="shared" si="10"/>
        <v>du -h 07160609_1232 &gt;&gt; temp.txt</v>
      </c>
      <c r="N66" t="s">
        <v>1492</v>
      </c>
      <c r="O66">
        <f t="shared" si="11"/>
        <v>-9</v>
      </c>
      <c r="P66" t="str">
        <f t="shared" si="14"/>
        <v>./rawDataLoop 07160609_1232 0001 midas // bg -9</v>
      </c>
      <c r="Q66" t="str">
        <f t="shared" si="15"/>
        <v>"07160609_1627", "07160609_1531", "07160609_1434", "07160609_1337", "07160609_1232"</v>
      </c>
      <c r="R66" t="str">
        <f t="shared" si="16"/>
        <v>-13, -12, -11, -10, -9</v>
      </c>
      <c r="S66">
        <f t="shared" si="7"/>
        <v>1465475520</v>
      </c>
    </row>
    <row r="67" spans="1:19">
      <c r="A67" t="s">
        <v>1571</v>
      </c>
      <c r="B67" t="s">
        <v>17</v>
      </c>
      <c r="C67">
        <v>58</v>
      </c>
      <c r="D67" t="s">
        <v>41</v>
      </c>
      <c r="E67">
        <v>1000</v>
      </c>
      <c r="F67">
        <v>31</v>
      </c>
      <c r="G67" t="s">
        <v>18</v>
      </c>
      <c r="H67" t="s">
        <v>1463</v>
      </c>
      <c r="I67" t="s">
        <v>20</v>
      </c>
      <c r="J67" t="s">
        <v>1491</v>
      </c>
      <c r="K67" s="48">
        <f t="shared" si="17"/>
        <v>42530.48333333333</v>
      </c>
      <c r="M67" t="str">
        <f t="shared" si="10"/>
        <v>du -h 07160609_1136 &gt;&gt; temp.txt</v>
      </c>
      <c r="N67" t="s">
        <v>1566</v>
      </c>
      <c r="O67">
        <f t="shared" si="11"/>
        <v>-8</v>
      </c>
      <c r="P67" t="str">
        <f t="shared" si="14"/>
        <v>./rawDataLoop 07160609_1136 0001 midas // bg -8</v>
      </c>
      <c r="Q67" t="str">
        <f t="shared" si="15"/>
        <v>"07160609_1627", "07160609_1531", "07160609_1434", "07160609_1337", "07160609_1232", "07160609_1136"</v>
      </c>
      <c r="R67" t="str">
        <f t="shared" si="16"/>
        <v>-13, -12, -11, -10, -9, -8</v>
      </c>
      <c r="S67">
        <f t="shared" si="7"/>
        <v>1465472159.9999998</v>
      </c>
    </row>
    <row r="68" spans="1:19">
      <c r="A68" t="s">
        <v>1572</v>
      </c>
      <c r="B68" t="s">
        <v>17</v>
      </c>
      <c r="C68">
        <v>58</v>
      </c>
      <c r="D68" t="s">
        <v>41</v>
      </c>
      <c r="E68">
        <v>1000</v>
      </c>
      <c r="F68">
        <v>31</v>
      </c>
      <c r="G68" t="s">
        <v>18</v>
      </c>
      <c r="H68" t="s">
        <v>1460</v>
      </c>
      <c r="I68" t="s">
        <v>20</v>
      </c>
      <c r="J68" t="s">
        <v>1491</v>
      </c>
      <c r="K68" s="48">
        <f t="shared" si="17"/>
        <v>42530.443749999999</v>
      </c>
      <c r="M68" t="str">
        <f t="shared" si="10"/>
        <v>du -h 07160609_1039 &gt;&gt; temp.txt</v>
      </c>
      <c r="N68" t="s">
        <v>1566</v>
      </c>
      <c r="O68">
        <f t="shared" si="11"/>
        <v>-7</v>
      </c>
      <c r="P68" t="str">
        <f t="shared" si="14"/>
        <v>./rawDataLoop 07160609_1039 0001 midas // bg -7</v>
      </c>
      <c r="Q68" t="str">
        <f t="shared" si="15"/>
        <v>"07160609_1627", "07160609_1531", "07160609_1434", "07160609_1337", "07160609_1232", "07160609_1136", "07160609_1039"</v>
      </c>
      <c r="R68" t="str">
        <f t="shared" si="16"/>
        <v>-13, -12, -11, -10, -9, -8, -7</v>
      </c>
      <c r="S68">
        <f t="shared" si="7"/>
        <v>1465468739.9999998</v>
      </c>
    </row>
    <row r="69" spans="1:19">
      <c r="A69" t="s">
        <v>1573</v>
      </c>
      <c r="B69" t="s">
        <v>17</v>
      </c>
      <c r="C69">
        <v>58</v>
      </c>
      <c r="D69" t="s">
        <v>41</v>
      </c>
      <c r="E69">
        <v>1000</v>
      </c>
      <c r="F69">
        <v>31</v>
      </c>
      <c r="G69" t="s">
        <v>18</v>
      </c>
      <c r="H69" t="s">
        <v>1457</v>
      </c>
      <c r="I69" t="s">
        <v>20</v>
      </c>
      <c r="J69" t="s">
        <v>1491</v>
      </c>
      <c r="K69" s="48">
        <f t="shared" si="17"/>
        <v>42530.404861111114</v>
      </c>
      <c r="M69" t="str">
        <f t="shared" si="10"/>
        <v>du -h 07160609_0943 &gt;&gt; temp.txt</v>
      </c>
      <c r="N69" t="s">
        <v>1566</v>
      </c>
      <c r="O69">
        <f t="shared" si="11"/>
        <v>-6</v>
      </c>
      <c r="P69" t="str">
        <f t="shared" si="14"/>
        <v>./rawDataLoop 07160609_0943 0001 midas // bg -6</v>
      </c>
      <c r="Q69" t="str">
        <f t="shared" si="15"/>
        <v>"07160609_1627", "07160609_1531", "07160609_1434", "07160609_1337", "07160609_1232", "07160609_1136", "07160609_1039", "07160609_0943"</v>
      </c>
      <c r="R69" t="str">
        <f t="shared" si="16"/>
        <v>-13, -12, -11, -10, -9, -8, -7, -6</v>
      </c>
      <c r="S69">
        <f t="shared" si="7"/>
        <v>1465465380.0000002</v>
      </c>
    </row>
    <row r="70" spans="1:19">
      <c r="A70" t="s">
        <v>1574</v>
      </c>
      <c r="B70" t="s">
        <v>17</v>
      </c>
      <c r="C70">
        <v>58</v>
      </c>
      <c r="D70" t="s">
        <v>41</v>
      </c>
      <c r="E70">
        <v>1000</v>
      </c>
      <c r="F70">
        <v>31</v>
      </c>
      <c r="G70" t="s">
        <v>18</v>
      </c>
      <c r="H70" t="s">
        <v>1454</v>
      </c>
      <c r="I70" t="s">
        <v>20</v>
      </c>
      <c r="J70" t="s">
        <v>1491</v>
      </c>
      <c r="K70" s="48">
        <f t="shared" si="17"/>
        <v>42530.365277777775</v>
      </c>
      <c r="M70" t="str">
        <f t="shared" si="10"/>
        <v>du -h 07160609_0846 &gt;&gt; temp.txt</v>
      </c>
      <c r="N70" t="s">
        <v>1566</v>
      </c>
      <c r="O70">
        <f t="shared" si="11"/>
        <v>-5</v>
      </c>
      <c r="P70" t="str">
        <f t="shared" si="14"/>
        <v>./rawDataLoop 07160609_0846 0001 midas // bg -5</v>
      </c>
      <c r="Q70" t="str">
        <f t="shared" si="15"/>
        <v>"07160609_1627", "07160609_1531", "07160609_1434", "07160609_1337", "07160609_1232", "07160609_1136", "07160609_1039", "07160609_0943", "07160609_0846"</v>
      </c>
      <c r="R70" t="str">
        <f t="shared" si="16"/>
        <v>-13, -12, -11, -10, -9, -8, -7, -6, -5</v>
      </c>
      <c r="S70">
        <f t="shared" si="7"/>
        <v>1465461959.9999998</v>
      </c>
    </row>
    <row r="71" spans="1:19">
      <c r="A71" t="s">
        <v>1575</v>
      </c>
      <c r="B71" t="s">
        <v>17</v>
      </c>
      <c r="C71">
        <v>58</v>
      </c>
      <c r="D71" t="s">
        <v>41</v>
      </c>
      <c r="E71">
        <v>1000</v>
      </c>
      <c r="F71">
        <v>121</v>
      </c>
      <c r="G71" t="s">
        <v>18</v>
      </c>
      <c r="H71" t="s">
        <v>1451</v>
      </c>
      <c r="I71" t="s">
        <v>20</v>
      </c>
      <c r="J71" t="s">
        <v>1491</v>
      </c>
      <c r="K71" s="48">
        <f t="shared" si="17"/>
        <v>42531.257638888892</v>
      </c>
      <c r="M71" t="str">
        <f t="shared" si="10"/>
        <v>du -h 07160610_0611 &gt;&gt; temp.txt</v>
      </c>
      <c r="N71" t="s">
        <v>1576</v>
      </c>
      <c r="O71">
        <f t="shared" si="11"/>
        <v>-4</v>
      </c>
      <c r="P71" t="str">
        <f t="shared" si="14"/>
        <v>./rawDataLoop 07160610_0611 0001 midas // bg -4</v>
      </c>
      <c r="Q71" t="str">
        <f t="shared" si="15"/>
        <v>"07160609_1627", "07160609_1531", "07160609_1434", "07160609_1337", "07160609_1232", "07160609_1136", "07160609_1039", "07160609_0943", "07160609_0846", "07160610_0611"</v>
      </c>
      <c r="R71" t="str">
        <f t="shared" si="16"/>
        <v>-13, -12, -11, -10, -9, -8, -7, -6, -5, -4</v>
      </c>
      <c r="S71">
        <f t="shared" si="7"/>
        <v>1465539060.0000002</v>
      </c>
    </row>
    <row r="72" spans="1:19">
      <c r="A72" t="s">
        <v>1577</v>
      </c>
      <c r="B72" t="s">
        <v>17</v>
      </c>
      <c r="C72">
        <v>58</v>
      </c>
      <c r="D72" t="s">
        <v>41</v>
      </c>
      <c r="E72">
        <v>1000</v>
      </c>
      <c r="F72">
        <v>121</v>
      </c>
      <c r="G72" t="s">
        <v>18</v>
      </c>
      <c r="H72" t="s">
        <v>1451</v>
      </c>
      <c r="I72" t="s">
        <v>20</v>
      </c>
      <c r="J72" t="s">
        <v>1491</v>
      </c>
      <c r="K72" s="48">
        <f t="shared" si="17"/>
        <v>42531.152777777781</v>
      </c>
      <c r="M72" t="str">
        <f t="shared" si="10"/>
        <v>du -h 07160610_0340 &gt;&gt; temp.txt</v>
      </c>
      <c r="N72" t="s">
        <v>1576</v>
      </c>
      <c r="O72">
        <f t="shared" si="11"/>
        <v>-4</v>
      </c>
      <c r="P72" t="str">
        <f t="shared" si="14"/>
        <v>./rawDataLoop 07160610_0340 0001 midas // bg -4</v>
      </c>
      <c r="Q72" t="str">
        <f t="shared" si="15"/>
        <v>"07160609_1627", "07160609_1531", "07160609_1434", "07160609_1337", "07160609_1232", "07160609_1136", "07160609_1039", "07160609_0943", "07160609_0846", "07160610_0611", "07160610_0340"</v>
      </c>
      <c r="R72" t="str">
        <f t="shared" si="16"/>
        <v>-13, -12, -11, -10, -9, -8, -7, -6, -5, -4, -4</v>
      </c>
      <c r="S72">
        <f t="shared" si="7"/>
        <v>1465530000.0000002</v>
      </c>
    </row>
    <row r="73" spans="1:19">
      <c r="A73" t="s">
        <v>1578</v>
      </c>
      <c r="B73" t="s">
        <v>17</v>
      </c>
      <c r="C73">
        <v>58</v>
      </c>
      <c r="D73" t="s">
        <v>41</v>
      </c>
      <c r="E73">
        <v>1000</v>
      </c>
      <c r="F73">
        <v>121</v>
      </c>
      <c r="G73" t="s">
        <v>18</v>
      </c>
      <c r="H73" t="s">
        <v>1451</v>
      </c>
      <c r="I73" t="s">
        <v>20</v>
      </c>
      <c r="J73" t="s">
        <v>1491</v>
      </c>
      <c r="K73" s="48">
        <f t="shared" si="17"/>
        <v>42531.04791666667</v>
      </c>
      <c r="M73" t="str">
        <f t="shared" ref="M73:M107" si="18">"du -h "&amp;A73&amp;" &gt;&gt; temp.txt"</f>
        <v>du -h 07160610_0109 &gt;&gt; temp.txt</v>
      </c>
      <c r="N73" t="s">
        <v>1576</v>
      </c>
      <c r="O73">
        <f t="shared" ref="O73:O107" si="19">VALUE(MID(H73,FIND(":",H73)+1,FIND(",",H73)-FIND(":",H73)-1))</f>
        <v>-4</v>
      </c>
      <c r="P73" t="str">
        <f t="shared" si="14"/>
        <v>./rawDataLoop 07160610_0109 0001 midas // bg -4</v>
      </c>
      <c r="Q73" t="str">
        <f t="shared" si="15"/>
        <v>"07160609_1627", "07160609_1531", "07160609_1434", "07160609_1337", "07160609_1232", "07160609_1136", "07160609_1039", "07160609_0943", "07160609_0846", "07160610_0611", "07160610_0340", "07160610_0109"</v>
      </c>
      <c r="R73" t="str">
        <f t="shared" si="16"/>
        <v>-13, -12, -11, -10, -9, -8, -7, -6, -5, -4, -4, -4</v>
      </c>
      <c r="S73">
        <f t="shared" si="7"/>
        <v>1465520940.0000002</v>
      </c>
    </row>
    <row r="74" spans="1:19">
      <c r="A74" t="s">
        <v>1579</v>
      </c>
      <c r="B74" t="s">
        <v>17</v>
      </c>
      <c r="C74">
        <v>58</v>
      </c>
      <c r="D74" t="s">
        <v>41</v>
      </c>
      <c r="E74">
        <v>1000</v>
      </c>
      <c r="F74">
        <v>121</v>
      </c>
      <c r="G74" t="s">
        <v>18</v>
      </c>
      <c r="H74" t="s">
        <v>1451</v>
      </c>
      <c r="I74" t="s">
        <v>20</v>
      </c>
      <c r="J74" t="s">
        <v>1491</v>
      </c>
      <c r="K74" s="48">
        <f t="shared" si="17"/>
        <v>42530.943055555559</v>
      </c>
      <c r="M74" t="str">
        <f t="shared" si="18"/>
        <v>du -h 07160609_2238 &gt;&gt; temp.txt</v>
      </c>
      <c r="N74" t="s">
        <v>1576</v>
      </c>
      <c r="O74">
        <f t="shared" si="19"/>
        <v>-4</v>
      </c>
      <c r="P74" t="str">
        <f t="shared" si="14"/>
        <v>./rawDataLoop 07160609_2238 0001 midas // bg -4</v>
      </c>
      <c r="Q74" t="str">
        <f t="shared" si="15"/>
        <v>"07160609_1627", "07160609_1531", "07160609_1434", "07160609_1337", "07160609_1232", "07160609_1136", "07160609_1039", "07160609_0943", "07160609_0846", "07160610_0611", "07160610_0340", "07160610_0109", "07160609_2238"</v>
      </c>
      <c r="R74" t="str">
        <f t="shared" si="16"/>
        <v>-13, -12, -11, -10, -9, -8, -7, -6, -5, -4, -4, -4, -4</v>
      </c>
      <c r="S74">
        <f t="shared" ref="S74:S94" si="20">(K74-S$1)*24*3600</f>
        <v>1465511880.0000002</v>
      </c>
    </row>
    <row r="75" spans="1:19">
      <c r="A75" t="s">
        <v>1580</v>
      </c>
      <c r="B75" t="s">
        <v>17</v>
      </c>
      <c r="C75">
        <v>58</v>
      </c>
      <c r="D75" t="s">
        <v>41</v>
      </c>
      <c r="E75">
        <v>1000</v>
      </c>
      <c r="F75">
        <v>121</v>
      </c>
      <c r="G75" t="s">
        <v>18</v>
      </c>
      <c r="H75" t="s">
        <v>1451</v>
      </c>
      <c r="I75" t="s">
        <v>20</v>
      </c>
      <c r="J75" t="s">
        <v>1491</v>
      </c>
      <c r="K75" s="48">
        <f t="shared" si="17"/>
        <v>42530.838194444441</v>
      </c>
      <c r="M75" t="str">
        <f t="shared" si="18"/>
        <v>du -h 07160609_2007 &gt;&gt; temp.txt</v>
      </c>
      <c r="N75" t="s">
        <v>1576</v>
      </c>
      <c r="O75">
        <f t="shared" si="19"/>
        <v>-4</v>
      </c>
      <c r="P75" t="str">
        <f t="shared" si="14"/>
        <v>./rawDataLoop 07160609_2007 0001 midas // bg -4</v>
      </c>
      <c r="Q75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</v>
      </c>
      <c r="R75" t="str">
        <f t="shared" si="16"/>
        <v>-13, -12, -11, -10, -9, -8, -7, -6, -5, -4, -4, -4, -4, -4</v>
      </c>
      <c r="S75">
        <f t="shared" si="20"/>
        <v>1465502819.9999998</v>
      </c>
    </row>
    <row r="76" spans="1:19">
      <c r="A76" t="s">
        <v>1581</v>
      </c>
      <c r="B76" t="s">
        <v>17</v>
      </c>
      <c r="C76">
        <v>58</v>
      </c>
      <c r="D76" t="s">
        <v>41</v>
      </c>
      <c r="E76">
        <v>1000</v>
      </c>
      <c r="F76">
        <v>121</v>
      </c>
      <c r="G76" t="s">
        <v>18</v>
      </c>
      <c r="H76" t="s">
        <v>1451</v>
      </c>
      <c r="I76" t="s">
        <v>20</v>
      </c>
      <c r="J76" t="s">
        <v>1491</v>
      </c>
      <c r="K76" s="48">
        <f t="shared" si="17"/>
        <v>42530.73333333333</v>
      </c>
      <c r="M76" t="str">
        <f t="shared" si="18"/>
        <v>du -h 07160609_1736 &gt;&gt; temp.txt</v>
      </c>
      <c r="N76" t="s">
        <v>1576</v>
      </c>
      <c r="O76">
        <f t="shared" si="19"/>
        <v>-4</v>
      </c>
      <c r="P76" t="str">
        <f t="shared" si="14"/>
        <v>./rawDataLoop 07160609_1736 0001 midas // bg -4</v>
      </c>
      <c r="Q76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</v>
      </c>
      <c r="R76" t="str">
        <f t="shared" si="16"/>
        <v>-13, -12, -11, -10, -9, -8, -7, -6, -5, -4, -4, -4, -4, -4, -4</v>
      </c>
      <c r="S76">
        <f t="shared" si="20"/>
        <v>1465493759.9999998</v>
      </c>
    </row>
    <row r="77" spans="1:19">
      <c r="A77" t="s">
        <v>1582</v>
      </c>
      <c r="B77" t="s">
        <v>17</v>
      </c>
      <c r="C77">
        <v>58</v>
      </c>
      <c r="D77" t="s">
        <v>41</v>
      </c>
      <c r="E77">
        <v>1000</v>
      </c>
      <c r="F77">
        <v>31</v>
      </c>
      <c r="G77" t="s">
        <v>18</v>
      </c>
      <c r="H77" t="s">
        <v>1451</v>
      </c>
      <c r="I77" t="s">
        <v>20</v>
      </c>
      <c r="J77" t="s">
        <v>1491</v>
      </c>
      <c r="K77" s="48">
        <f t="shared" si="17"/>
        <v>42530.326388888891</v>
      </c>
      <c r="M77" t="str">
        <f t="shared" si="18"/>
        <v>du -h 07160609_0750 &gt;&gt; temp.txt</v>
      </c>
      <c r="N77" t="s">
        <v>1566</v>
      </c>
      <c r="O77">
        <f t="shared" si="19"/>
        <v>-4</v>
      </c>
      <c r="P77" t="str">
        <f t="shared" si="14"/>
        <v>./rawDataLoop 07160609_0750 0001 midas // bg -4</v>
      </c>
      <c r="Q77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</v>
      </c>
      <c r="R77" t="str">
        <f t="shared" si="16"/>
        <v>-13, -12, -11, -10, -9, -8, -7, -6, -5, -4, -4, -4, -4, -4, -4, -4</v>
      </c>
      <c r="S77">
        <f t="shared" si="20"/>
        <v>1465458600.0000002</v>
      </c>
    </row>
    <row r="78" spans="1:19">
      <c r="A78" t="s">
        <v>1583</v>
      </c>
      <c r="B78" t="s">
        <v>17</v>
      </c>
      <c r="C78">
        <v>58</v>
      </c>
      <c r="D78" t="s">
        <v>41</v>
      </c>
      <c r="E78">
        <v>1000</v>
      </c>
      <c r="F78">
        <v>31</v>
      </c>
      <c r="G78" t="s">
        <v>18</v>
      </c>
      <c r="H78" t="s">
        <v>1448</v>
      </c>
      <c r="I78" t="s">
        <v>20</v>
      </c>
      <c r="J78" t="s">
        <v>1491</v>
      </c>
      <c r="K78" s="48">
        <f t="shared" si="17"/>
        <v>42530.286805555559</v>
      </c>
      <c r="M78" t="str">
        <f t="shared" si="18"/>
        <v>du -h 07160609_0653 &gt;&gt; temp.txt</v>
      </c>
      <c r="N78" t="s">
        <v>1566</v>
      </c>
      <c r="O78">
        <f t="shared" si="19"/>
        <v>-3</v>
      </c>
      <c r="P78" t="str">
        <f t="shared" si="14"/>
        <v>./rawDataLoop 07160609_0653 0001 midas // bg -3</v>
      </c>
      <c r="Q78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</v>
      </c>
      <c r="R78" t="str">
        <f t="shared" si="16"/>
        <v>-13, -12, -11, -10, -9, -8, -7, -6, -5, -4, -4, -4, -4, -4, -4, -4, -3</v>
      </c>
      <c r="S78">
        <f t="shared" si="20"/>
        <v>1465455180.0000002</v>
      </c>
    </row>
    <row r="79" spans="1:19">
      <c r="A79" t="s">
        <v>1584</v>
      </c>
      <c r="B79" t="s">
        <v>17</v>
      </c>
      <c r="C79">
        <v>58</v>
      </c>
      <c r="D79" t="s">
        <v>41</v>
      </c>
      <c r="E79">
        <v>1000</v>
      </c>
      <c r="F79">
        <v>31</v>
      </c>
      <c r="G79" t="s">
        <v>18</v>
      </c>
      <c r="H79" t="s">
        <v>1443</v>
      </c>
      <c r="I79" t="s">
        <v>20</v>
      </c>
      <c r="J79" t="s">
        <v>1491</v>
      </c>
      <c r="K79" s="48">
        <f t="shared" si="17"/>
        <v>42530.247916666667</v>
      </c>
      <c r="M79" t="str">
        <f t="shared" si="18"/>
        <v>du -h 07160609_0557 &gt;&gt; temp.txt</v>
      </c>
      <c r="N79" t="s">
        <v>1566</v>
      </c>
      <c r="O79">
        <f t="shared" si="19"/>
        <v>-2</v>
      </c>
      <c r="P79" t="str">
        <f t="shared" si="14"/>
        <v>./rawDataLoop 07160609_0557 0001 midas // bg -2</v>
      </c>
      <c r="Q79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</v>
      </c>
      <c r="R79" t="str">
        <f t="shared" si="16"/>
        <v>-13, -12, -11, -10, -9, -8, -7, -6, -5, -4, -4, -4, -4, -4, -4, -4, -3, -2</v>
      </c>
      <c r="S79">
        <f t="shared" si="20"/>
        <v>1465451820</v>
      </c>
    </row>
    <row r="80" spans="1:19">
      <c r="A80" t="s">
        <v>1585</v>
      </c>
      <c r="B80" t="s">
        <v>17</v>
      </c>
      <c r="C80">
        <v>58</v>
      </c>
      <c r="D80" t="s">
        <v>41</v>
      </c>
      <c r="E80">
        <v>1000</v>
      </c>
      <c r="F80">
        <v>31</v>
      </c>
      <c r="G80" t="s">
        <v>18</v>
      </c>
      <c r="H80" t="s">
        <v>1507</v>
      </c>
      <c r="I80" t="s">
        <v>20</v>
      </c>
      <c r="J80" t="s">
        <v>1491</v>
      </c>
      <c r="K80" s="48">
        <f t="shared" si="17"/>
        <v>42530.208333333336</v>
      </c>
      <c r="M80" t="str">
        <f t="shared" si="18"/>
        <v>du -h 07160609_0500 &gt;&gt; temp.txt</v>
      </c>
      <c r="N80" t="s">
        <v>1566</v>
      </c>
      <c r="O80">
        <f t="shared" si="19"/>
        <v>-1</v>
      </c>
      <c r="P80" t="str">
        <f t="shared" si="14"/>
        <v>./rawDataLoop 07160609_0500 0001 midas // bg -1</v>
      </c>
      <c r="Q80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</v>
      </c>
      <c r="R80" t="str">
        <f t="shared" si="16"/>
        <v>-13, -12, -11, -10, -9, -8, -7, -6, -5, -4, -4, -4, -4, -4, -4, -4, -3, -2, -1</v>
      </c>
      <c r="S80">
        <f t="shared" si="20"/>
        <v>1465448400.0000002</v>
      </c>
    </row>
    <row r="81" spans="1:19">
      <c r="A81" t="s">
        <v>1586</v>
      </c>
      <c r="B81" t="s">
        <v>17</v>
      </c>
      <c r="C81">
        <v>58</v>
      </c>
      <c r="D81" t="s">
        <v>41</v>
      </c>
      <c r="E81">
        <v>1000</v>
      </c>
      <c r="F81">
        <v>31</v>
      </c>
      <c r="G81" t="s">
        <v>18</v>
      </c>
      <c r="H81" t="s">
        <v>1512</v>
      </c>
      <c r="I81" t="s">
        <v>20</v>
      </c>
      <c r="J81" t="s">
        <v>1491</v>
      </c>
      <c r="K81" s="48">
        <f t="shared" si="17"/>
        <v>42529.697916666664</v>
      </c>
      <c r="M81" t="str">
        <f t="shared" si="18"/>
        <v>du -h 07160608_1645 &gt;&gt; temp.txt</v>
      </c>
      <c r="N81" t="s">
        <v>1566</v>
      </c>
      <c r="O81">
        <f t="shared" si="19"/>
        <v>1</v>
      </c>
      <c r="P81" t="str">
        <f t="shared" si="14"/>
        <v>./rawDataLoop 07160608_1645 0001 midas // bg 1</v>
      </c>
      <c r="Q81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</v>
      </c>
      <c r="R81" t="str">
        <f t="shared" si="16"/>
        <v>-13, -12, -11, -10, -9, -8, -7, -6, -5, -4, -4, -4, -4, -4, -4, -4, -3, -2, -1, 1</v>
      </c>
      <c r="S81">
        <f t="shared" si="20"/>
        <v>1465404299.9999998</v>
      </c>
    </row>
    <row r="82" spans="1:19">
      <c r="A82" t="s">
        <v>1587</v>
      </c>
      <c r="B82" t="s">
        <v>17</v>
      </c>
      <c r="C82">
        <v>58</v>
      </c>
      <c r="D82" t="s">
        <v>41</v>
      </c>
      <c r="E82">
        <v>1000</v>
      </c>
      <c r="F82">
        <v>31</v>
      </c>
      <c r="G82" t="s">
        <v>18</v>
      </c>
      <c r="H82" t="s">
        <v>1512</v>
      </c>
      <c r="I82" t="s">
        <v>20</v>
      </c>
      <c r="J82" t="s">
        <v>1491</v>
      </c>
      <c r="K82" s="48">
        <f t="shared" si="17"/>
        <v>42528.68472222222</v>
      </c>
      <c r="M82" t="str">
        <f t="shared" si="18"/>
        <v>du -h 07160607_1626 &gt;&gt; temp.txt</v>
      </c>
      <c r="N82" t="s">
        <v>1566</v>
      </c>
      <c r="O82">
        <f t="shared" si="19"/>
        <v>1</v>
      </c>
      <c r="P82" t="str">
        <f t="shared" si="14"/>
        <v>./rawDataLoop 07160607_1626 0001 midas // bg 1</v>
      </c>
      <c r="Q82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</v>
      </c>
      <c r="R82" t="str">
        <f t="shared" si="16"/>
        <v>-13, -12, -11, -10, -9, -8, -7, -6, -5, -4, -4, -4, -4, -4, -4, -4, -3, -2, -1, 1, 1</v>
      </c>
      <c r="S82">
        <f t="shared" si="20"/>
        <v>1465316759.9999998</v>
      </c>
    </row>
    <row r="83" spans="1:19">
      <c r="A83" t="s">
        <v>1588</v>
      </c>
      <c r="B83" t="s">
        <v>17</v>
      </c>
      <c r="C83">
        <v>58</v>
      </c>
      <c r="D83" t="s">
        <v>41</v>
      </c>
      <c r="E83">
        <v>1000</v>
      </c>
      <c r="F83">
        <v>31</v>
      </c>
      <c r="G83" t="s">
        <v>18</v>
      </c>
      <c r="H83" t="s">
        <v>1517</v>
      </c>
      <c r="I83" t="s">
        <v>20</v>
      </c>
      <c r="J83" t="s">
        <v>1491</v>
      </c>
      <c r="K83" s="48">
        <f t="shared" si="17"/>
        <v>42529.737500000003</v>
      </c>
      <c r="M83" t="str">
        <f t="shared" si="18"/>
        <v>du -h 07160608_1742 &gt;&gt; temp.txt</v>
      </c>
      <c r="N83" t="s">
        <v>1566</v>
      </c>
      <c r="O83">
        <f t="shared" si="19"/>
        <v>2</v>
      </c>
      <c r="P83" t="str">
        <f t="shared" si="14"/>
        <v>./rawDataLoop 07160608_1742 0001 midas // bg 2</v>
      </c>
      <c r="Q83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</v>
      </c>
      <c r="R83" t="str">
        <f t="shared" si="16"/>
        <v>-13, -12, -11, -10, -9, -8, -7, -6, -5, -4, -4, -4, -4, -4, -4, -4, -3, -2, -1, 1, 1, 2</v>
      </c>
      <c r="S83">
        <f t="shared" si="20"/>
        <v>1465407720.0000002</v>
      </c>
    </row>
    <row r="84" spans="1:19">
      <c r="A84" t="s">
        <v>1589</v>
      </c>
      <c r="B84" t="s">
        <v>17</v>
      </c>
      <c r="C84">
        <v>58</v>
      </c>
      <c r="D84" t="s">
        <v>41</v>
      </c>
      <c r="E84">
        <v>1000</v>
      </c>
      <c r="F84">
        <v>31</v>
      </c>
      <c r="G84" t="s">
        <v>18</v>
      </c>
      <c r="H84" t="s">
        <v>1521</v>
      </c>
      <c r="I84" t="s">
        <v>20</v>
      </c>
      <c r="J84" t="s">
        <v>1491</v>
      </c>
      <c r="K84" s="48">
        <f t="shared" si="17"/>
        <v>42529.776388888888</v>
      </c>
      <c r="M84" t="str">
        <f t="shared" si="18"/>
        <v>du -h 07160608_1838 &gt;&gt; temp.txt</v>
      </c>
      <c r="N84" t="s">
        <v>1566</v>
      </c>
      <c r="O84">
        <f t="shared" si="19"/>
        <v>3</v>
      </c>
      <c r="P84" t="str">
        <f t="shared" si="14"/>
        <v>./rawDataLoop 07160608_1838 0001 midas // bg 3</v>
      </c>
      <c r="Q84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</v>
      </c>
      <c r="R84" t="str">
        <f t="shared" si="16"/>
        <v>-13, -12, -11, -10, -9, -8, -7, -6, -5, -4, -4, -4, -4, -4, -4, -4, -3, -2, -1, 1, 1, 2, 3</v>
      </c>
      <c r="S84">
        <f t="shared" si="20"/>
        <v>1465411080</v>
      </c>
    </row>
    <row r="85" spans="1:19">
      <c r="A85" t="s">
        <v>1590</v>
      </c>
      <c r="B85" t="s">
        <v>17</v>
      </c>
      <c r="C85">
        <v>58</v>
      </c>
      <c r="D85" t="s">
        <v>41</v>
      </c>
      <c r="E85">
        <v>1000</v>
      </c>
      <c r="F85">
        <v>31</v>
      </c>
      <c r="G85" t="s">
        <v>18</v>
      </c>
      <c r="H85" t="s">
        <v>331</v>
      </c>
      <c r="I85" t="s">
        <v>20</v>
      </c>
      <c r="J85" t="s">
        <v>1491</v>
      </c>
      <c r="K85" s="48">
        <f t="shared" si="17"/>
        <v>42529.815972222219</v>
      </c>
      <c r="M85" t="str">
        <f t="shared" si="18"/>
        <v>du -h 07160608_1935 &gt;&gt; temp.txt</v>
      </c>
      <c r="N85" t="s">
        <v>1566</v>
      </c>
      <c r="O85">
        <f t="shared" si="19"/>
        <v>4</v>
      </c>
      <c r="P85" t="str">
        <f t="shared" si="14"/>
        <v>./rawDataLoop 07160608_1935 0001 midas // bg 4</v>
      </c>
      <c r="Q85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</v>
      </c>
      <c r="R85" t="str">
        <f t="shared" si="16"/>
        <v>-13, -12, -11, -10, -9, -8, -7, -6, -5, -4, -4, -4, -4, -4, -4, -4, -3, -2, -1, 1, 1, 2, 3, 4</v>
      </c>
      <c r="S85">
        <f t="shared" si="20"/>
        <v>1465414499.9999998</v>
      </c>
    </row>
    <row r="86" spans="1:19">
      <c r="A86" t="s">
        <v>1591</v>
      </c>
      <c r="B86" t="s">
        <v>17</v>
      </c>
      <c r="C86">
        <v>58</v>
      </c>
      <c r="D86" t="s">
        <v>41</v>
      </c>
      <c r="E86">
        <v>1000</v>
      </c>
      <c r="F86">
        <v>31</v>
      </c>
      <c r="G86" t="s">
        <v>18</v>
      </c>
      <c r="H86" t="s">
        <v>1529</v>
      </c>
      <c r="I86" t="s">
        <v>20</v>
      </c>
      <c r="J86" t="s">
        <v>1491</v>
      </c>
      <c r="K86" s="48">
        <f t="shared" si="17"/>
        <v>42529.854861111111</v>
      </c>
      <c r="M86" t="str">
        <f t="shared" si="18"/>
        <v>du -h 07160608_2031 &gt;&gt; temp.txt</v>
      </c>
      <c r="N86" t="s">
        <v>1566</v>
      </c>
      <c r="O86">
        <f t="shared" si="19"/>
        <v>5</v>
      </c>
      <c r="P86" t="str">
        <f t="shared" si="14"/>
        <v>./rawDataLoop 07160608_2031 0001 midas // bg 5</v>
      </c>
      <c r="Q86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"07160608_1935", "07160608_2031"</v>
      </c>
      <c r="R86" t="str">
        <f t="shared" si="16"/>
        <v>-13, -12, -11, -10, -9, -8, -7, -6, -5, -4, -4, -4, -4, -4, -4, -4, -3, -2, -1, 1, 1, 2, 3, 4, 5</v>
      </c>
      <c r="S86">
        <f t="shared" si="20"/>
        <v>1465417860</v>
      </c>
    </row>
    <row r="87" spans="1:19">
      <c r="A87" t="s">
        <v>1592</v>
      </c>
      <c r="B87" t="s">
        <v>17</v>
      </c>
      <c r="C87">
        <v>58</v>
      </c>
      <c r="D87" t="s">
        <v>41</v>
      </c>
      <c r="E87">
        <v>1000</v>
      </c>
      <c r="F87">
        <v>31</v>
      </c>
      <c r="G87" t="s">
        <v>18</v>
      </c>
      <c r="H87" t="s">
        <v>1534</v>
      </c>
      <c r="I87" t="s">
        <v>20</v>
      </c>
      <c r="J87" t="s">
        <v>1491</v>
      </c>
      <c r="K87" s="48">
        <f t="shared" si="17"/>
        <v>42529.894444444442</v>
      </c>
      <c r="M87" t="str">
        <f t="shared" si="18"/>
        <v>du -h 07160608_2128 &gt;&gt; temp.txt</v>
      </c>
      <c r="N87" t="s">
        <v>1566</v>
      </c>
      <c r="O87">
        <f t="shared" si="19"/>
        <v>6</v>
      </c>
      <c r="P87" t="str">
        <f t="shared" si="14"/>
        <v>./rawDataLoop 07160608_2128 0001 midas // bg 6</v>
      </c>
      <c r="Q87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"07160608_1935", "07160608_2031", "07160608_2128"</v>
      </c>
      <c r="R87" t="str">
        <f t="shared" si="16"/>
        <v>-13, -12, -11, -10, -9, -8, -7, -6, -5, -4, -4, -4, -4, -4, -4, -4, -3, -2, -1, 1, 1, 2, 3, 4, 5, 6</v>
      </c>
      <c r="S87">
        <f t="shared" si="20"/>
        <v>1465421279.9999998</v>
      </c>
    </row>
    <row r="88" spans="1:19">
      <c r="A88" t="s">
        <v>1593</v>
      </c>
      <c r="B88" t="s">
        <v>17</v>
      </c>
      <c r="C88">
        <v>58</v>
      </c>
      <c r="D88" t="s">
        <v>41</v>
      </c>
      <c r="E88">
        <v>1000</v>
      </c>
      <c r="F88">
        <v>31</v>
      </c>
      <c r="G88" t="s">
        <v>18</v>
      </c>
      <c r="H88" t="s">
        <v>1539</v>
      </c>
      <c r="I88" t="s">
        <v>20</v>
      </c>
      <c r="J88" t="s">
        <v>1491</v>
      </c>
      <c r="K88" s="48">
        <f t="shared" si="17"/>
        <v>42529.934027777781</v>
      </c>
      <c r="M88" t="str">
        <f t="shared" si="18"/>
        <v>du -h 07160608_2225 &gt;&gt; temp.txt</v>
      </c>
      <c r="N88" t="s">
        <v>1566</v>
      </c>
      <c r="O88">
        <f t="shared" si="19"/>
        <v>7</v>
      </c>
      <c r="P88" t="str">
        <f t="shared" si="14"/>
        <v>./rawDataLoop 07160608_2225 0001 midas // bg 7</v>
      </c>
      <c r="Q88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"07160608_1935", "07160608_2031", "07160608_2128", "07160608_2225"</v>
      </c>
      <c r="R88" t="str">
        <f t="shared" si="16"/>
        <v>-13, -12, -11, -10, -9, -8, -7, -6, -5, -4, -4, -4, -4, -4, -4, -4, -3, -2, -1, 1, 1, 2, 3, 4, 5, 6, 7</v>
      </c>
      <c r="S88">
        <f t="shared" si="20"/>
        <v>1465424700.0000002</v>
      </c>
    </row>
    <row r="89" spans="1:19">
      <c r="A89" t="s">
        <v>1594</v>
      </c>
      <c r="B89" t="s">
        <v>17</v>
      </c>
      <c r="C89">
        <v>58</v>
      </c>
      <c r="D89" t="s">
        <v>41</v>
      </c>
      <c r="E89">
        <v>1000</v>
      </c>
      <c r="F89">
        <v>31</v>
      </c>
      <c r="G89" t="s">
        <v>18</v>
      </c>
      <c r="H89" t="s">
        <v>1544</v>
      </c>
      <c r="I89" t="s">
        <v>20</v>
      </c>
      <c r="J89" t="s">
        <v>1491</v>
      </c>
      <c r="K89" s="48">
        <f t="shared" si="17"/>
        <v>42529.972916666666</v>
      </c>
      <c r="M89" t="str">
        <f t="shared" si="18"/>
        <v>du -h 07160608_2321 &gt;&gt; temp.txt</v>
      </c>
      <c r="N89" t="s">
        <v>1566</v>
      </c>
      <c r="O89">
        <f t="shared" si="19"/>
        <v>8</v>
      </c>
      <c r="P89" t="str">
        <f t="shared" si="14"/>
        <v>./rawDataLoop 07160608_2321 0001 midas // bg 8</v>
      </c>
      <c r="Q89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"07160608_1935", "07160608_2031", "07160608_2128", "07160608_2225", "07160608_2321"</v>
      </c>
      <c r="R89" t="str">
        <f t="shared" si="16"/>
        <v>-13, -12, -11, -10, -9, -8, -7, -6, -5, -4, -4, -4, -4, -4, -4, -4, -3, -2, -1, 1, 1, 2, 3, 4, 5, 6, 7, 8</v>
      </c>
      <c r="S89">
        <f t="shared" si="20"/>
        <v>1465428060</v>
      </c>
    </row>
    <row r="90" spans="1:19">
      <c r="A90" t="s">
        <v>1595</v>
      </c>
      <c r="B90" t="s">
        <v>17</v>
      </c>
      <c r="C90">
        <v>58</v>
      </c>
      <c r="D90" t="s">
        <v>41</v>
      </c>
      <c r="E90">
        <v>1000</v>
      </c>
      <c r="F90">
        <v>31</v>
      </c>
      <c r="G90" t="s">
        <v>18</v>
      </c>
      <c r="H90" t="s">
        <v>1548</v>
      </c>
      <c r="I90" t="s">
        <v>20</v>
      </c>
      <c r="J90" t="s">
        <v>1491</v>
      </c>
      <c r="K90" s="48">
        <f t="shared" si="17"/>
        <v>42530.012499999997</v>
      </c>
      <c r="M90" t="str">
        <f t="shared" si="18"/>
        <v>du -h 07160609_0018 &gt;&gt; temp.txt</v>
      </c>
      <c r="N90" t="s">
        <v>1566</v>
      </c>
      <c r="O90">
        <f t="shared" si="19"/>
        <v>9</v>
      </c>
      <c r="P90" t="str">
        <f t="shared" si="14"/>
        <v>./rawDataLoop 07160609_0018 0001 midas // bg 9</v>
      </c>
      <c r="Q90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"07160608_1935", "07160608_2031", "07160608_2128", "07160608_2225", "07160608_2321", "07160609_0018"</v>
      </c>
      <c r="R90" t="str">
        <f t="shared" si="16"/>
        <v>-13, -12, -11, -10, -9, -8, -7, -6, -5, -4, -4, -4, -4, -4, -4, -4, -3, -2, -1, 1, 1, 2, 3, 4, 5, 6, 7, 8, 9</v>
      </c>
      <c r="S90">
        <f t="shared" si="20"/>
        <v>1465431479.9999998</v>
      </c>
    </row>
    <row r="91" spans="1:19">
      <c r="A91" t="s">
        <v>1596</v>
      </c>
      <c r="B91" t="s">
        <v>17</v>
      </c>
      <c r="C91">
        <v>58</v>
      </c>
      <c r="D91" t="s">
        <v>41</v>
      </c>
      <c r="E91">
        <v>1000</v>
      </c>
      <c r="F91">
        <v>31</v>
      </c>
      <c r="G91" t="s">
        <v>18</v>
      </c>
      <c r="H91" t="s">
        <v>1551</v>
      </c>
      <c r="I91" t="s">
        <v>20</v>
      </c>
      <c r="J91" t="s">
        <v>1491</v>
      </c>
      <c r="K91" s="48">
        <f t="shared" si="17"/>
        <v>42530.051388888889</v>
      </c>
      <c r="M91" t="str">
        <f t="shared" si="18"/>
        <v>du -h 07160609_0114 &gt;&gt; temp.txt</v>
      </c>
      <c r="N91" t="s">
        <v>1566</v>
      </c>
      <c r="O91">
        <f t="shared" si="19"/>
        <v>10</v>
      </c>
      <c r="P91" t="str">
        <f t="shared" si="14"/>
        <v>./rawDataLoop 07160609_0114 0001 midas // bg 10</v>
      </c>
      <c r="Q91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"07160608_1935", "07160608_2031", "07160608_2128", "07160608_2225", "07160608_2321", "07160609_0018", "07160609_0114"</v>
      </c>
      <c r="R91" t="str">
        <f t="shared" si="16"/>
        <v>-13, -12, -11, -10, -9, -8, -7, -6, -5, -4, -4, -4, -4, -4, -4, -4, -3, -2, -1, 1, 1, 2, 3, 4, 5, 6, 7, 8, 9, 10</v>
      </c>
      <c r="S91">
        <f t="shared" si="20"/>
        <v>1465434840</v>
      </c>
    </row>
    <row r="92" spans="1:19">
      <c r="A92" t="s">
        <v>1597</v>
      </c>
      <c r="B92" t="s">
        <v>17</v>
      </c>
      <c r="C92">
        <v>58</v>
      </c>
      <c r="D92" t="s">
        <v>41</v>
      </c>
      <c r="E92">
        <v>1000</v>
      </c>
      <c r="F92">
        <v>31</v>
      </c>
      <c r="G92" t="s">
        <v>18</v>
      </c>
      <c r="H92" t="s">
        <v>1555</v>
      </c>
      <c r="I92" t="s">
        <v>20</v>
      </c>
      <c r="J92" t="s">
        <v>1491</v>
      </c>
      <c r="K92" s="48">
        <f t="shared" si="17"/>
        <v>42530.09097222222</v>
      </c>
      <c r="M92" t="str">
        <f t="shared" si="18"/>
        <v>du -h 07160609_0211 &gt;&gt; temp.txt</v>
      </c>
      <c r="N92" t="s">
        <v>1566</v>
      </c>
      <c r="O92">
        <f t="shared" si="19"/>
        <v>11</v>
      </c>
      <c r="P92" t="str">
        <f t="shared" si="14"/>
        <v>./rawDataLoop 07160609_0211 0001 midas // bg 11</v>
      </c>
      <c r="Q92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"07160608_1935", "07160608_2031", "07160608_2128", "07160608_2225", "07160608_2321", "07160609_0018", "07160609_0114", "07160609_0211"</v>
      </c>
      <c r="R92" t="str">
        <f t="shared" si="16"/>
        <v>-13, -12, -11, -10, -9, -8, -7, -6, -5, -4, -4, -4, -4, -4, -4, -4, -3, -2, -1, 1, 1, 2, 3, 4, 5, 6, 7, 8, 9, 10, 11</v>
      </c>
      <c r="S92">
        <f t="shared" si="20"/>
        <v>1465438259.9999998</v>
      </c>
    </row>
    <row r="93" spans="1:19">
      <c r="A93" t="s">
        <v>1598</v>
      </c>
      <c r="B93" t="s">
        <v>17</v>
      </c>
      <c r="C93">
        <v>58</v>
      </c>
      <c r="D93" t="s">
        <v>41</v>
      </c>
      <c r="E93">
        <v>1000</v>
      </c>
      <c r="F93">
        <v>31</v>
      </c>
      <c r="G93" t="s">
        <v>18</v>
      </c>
      <c r="H93" t="s">
        <v>1558</v>
      </c>
      <c r="I93" t="s">
        <v>20</v>
      </c>
      <c r="J93" t="s">
        <v>1491</v>
      </c>
      <c r="K93" s="48">
        <f t="shared" si="17"/>
        <v>42530.129861111112</v>
      </c>
      <c r="M93" t="str">
        <f t="shared" si="18"/>
        <v>du -h 07160609_0307 &gt;&gt; temp.txt</v>
      </c>
      <c r="N93" t="s">
        <v>1566</v>
      </c>
      <c r="O93">
        <f t="shared" si="19"/>
        <v>12</v>
      </c>
      <c r="P93" t="str">
        <f t="shared" si="14"/>
        <v>./rawDataLoop 07160609_0307 0001 midas // bg 12</v>
      </c>
      <c r="Q93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"07160608_1935", "07160608_2031", "07160608_2128", "07160608_2225", "07160608_2321", "07160609_0018", "07160609_0114", "07160609_0211", "07160609_0307"</v>
      </c>
      <c r="R93" t="str">
        <f t="shared" si="16"/>
        <v>-13, -12, -11, -10, -9, -8, -7, -6, -5, -4, -4, -4, -4, -4, -4, -4, -3, -2, -1, 1, 1, 2, 3, 4, 5, 6, 7, 8, 9, 10, 11, 12</v>
      </c>
      <c r="S93">
        <f t="shared" si="20"/>
        <v>1465441620</v>
      </c>
    </row>
    <row r="94" spans="1:19">
      <c r="A94" t="s">
        <v>1599</v>
      </c>
      <c r="B94" t="s">
        <v>17</v>
      </c>
      <c r="C94">
        <v>58</v>
      </c>
      <c r="D94" t="s">
        <v>41</v>
      </c>
      <c r="E94">
        <v>1000</v>
      </c>
      <c r="F94">
        <v>31</v>
      </c>
      <c r="G94" t="s">
        <v>18</v>
      </c>
      <c r="H94" t="s">
        <v>1562</v>
      </c>
      <c r="I94" t="s">
        <v>20</v>
      </c>
      <c r="J94" t="s">
        <v>1491</v>
      </c>
      <c r="K94" s="48">
        <f t="shared" si="17"/>
        <v>42530.169444444444</v>
      </c>
      <c r="M94" t="str">
        <f t="shared" si="18"/>
        <v>du -h 07160609_0404 &gt;&gt; temp.txt</v>
      </c>
      <c r="N94" t="s">
        <v>1566</v>
      </c>
      <c r="O94">
        <f t="shared" si="19"/>
        <v>13</v>
      </c>
      <c r="P94" t="str">
        <f t="shared" si="14"/>
        <v>./rawDataLoop 07160609_0404 0001 midas // bg 13</v>
      </c>
      <c r="Q94" t="str">
        <f t="shared" si="15"/>
        <v>"07160609_1627", "07160609_1531", "07160609_1434", "07160609_1337", "07160609_1232", "07160609_1136", "07160609_1039", "07160609_0943", "07160609_0846", "07160610_0611", "07160610_0340", "07160610_0109", "07160609_2238", "07160609_2007", "07160609_1736", "07160609_0750", "07160609_0653", "07160609_0557", "07160609_0500", "07160608_1645", "07160607_1626", "07160608_1742", "07160608_1838", "07160608_1935", "07160608_2031", "07160608_2128", "07160608_2225", "07160608_2321", "07160609_0018", "07160609_0114", "07160609_0211", "07160609_0307", "07160609_0404"</v>
      </c>
      <c r="R94" t="str">
        <f t="shared" si="16"/>
        <v>-13, -12, -11, -10, -9, -8, -7, -6, -5, -4, -4, -4, -4, -4, -4, -4, -3, -2, -1, 1, 1, 2, 3, 4, 5, 6, 7, 8, 9, 10, 11, 12, 13</v>
      </c>
      <c r="S94">
        <f t="shared" si="20"/>
        <v>1465445040</v>
      </c>
    </row>
    <row r="95" spans="1:19">
      <c r="A95" t="s">
        <v>1600</v>
      </c>
      <c r="B95" t="s">
        <v>17</v>
      </c>
      <c r="C95">
        <v>58</v>
      </c>
      <c r="D95" t="s">
        <v>41</v>
      </c>
      <c r="E95">
        <v>1000</v>
      </c>
      <c r="F95">
        <v>1</v>
      </c>
      <c r="G95" t="s">
        <v>191</v>
      </c>
      <c r="H95" t="s">
        <v>42</v>
      </c>
      <c r="I95" t="s">
        <v>20</v>
      </c>
      <c r="K95" s="48">
        <f t="shared" si="17"/>
        <v>42528.553472222222</v>
      </c>
      <c r="M95" t="str">
        <f t="shared" si="18"/>
        <v>du -h 07160607_1317 &gt;&gt; temp.txt</v>
      </c>
      <c r="N95" t="s">
        <v>1601</v>
      </c>
      <c r="O95">
        <f t="shared" si="19"/>
        <v>0</v>
      </c>
    </row>
    <row r="96" spans="1:19">
      <c r="A96" t="s">
        <v>1602</v>
      </c>
      <c r="B96" t="s">
        <v>17</v>
      </c>
      <c r="C96">
        <v>58</v>
      </c>
      <c r="D96" t="s">
        <v>41</v>
      </c>
      <c r="E96">
        <v>1000</v>
      </c>
      <c r="F96">
        <v>1</v>
      </c>
      <c r="G96" t="s">
        <v>191</v>
      </c>
      <c r="H96" t="s">
        <v>42</v>
      </c>
      <c r="I96" t="s">
        <v>20</v>
      </c>
      <c r="K96" s="48">
        <f t="shared" si="17"/>
        <v>42528.552777777775</v>
      </c>
      <c r="M96" t="str">
        <f t="shared" si="18"/>
        <v>du -h 07160607_1316 &gt;&gt; temp.txt</v>
      </c>
      <c r="N96" t="s">
        <v>1601</v>
      </c>
      <c r="O96">
        <f t="shared" si="19"/>
        <v>0</v>
      </c>
    </row>
    <row r="97" spans="1:15">
      <c r="A97" t="s">
        <v>1603</v>
      </c>
      <c r="B97" t="s">
        <v>17</v>
      </c>
      <c r="C97">
        <v>58</v>
      </c>
      <c r="D97" t="s">
        <v>41</v>
      </c>
      <c r="E97">
        <v>1000</v>
      </c>
      <c r="F97">
        <v>31</v>
      </c>
      <c r="G97" t="s">
        <v>191</v>
      </c>
      <c r="H97" t="s">
        <v>1512</v>
      </c>
      <c r="I97" t="s">
        <v>20</v>
      </c>
      <c r="J97" t="s">
        <v>1491</v>
      </c>
      <c r="K97" s="48">
        <f t="shared" si="17"/>
        <v>42529.603472222225</v>
      </c>
      <c r="M97" t="str">
        <f t="shared" si="18"/>
        <v>du -h 07160608_1429 &gt;&gt; temp.txt</v>
      </c>
      <c r="N97" t="s">
        <v>1566</v>
      </c>
      <c r="O97">
        <f t="shared" si="19"/>
        <v>1</v>
      </c>
    </row>
    <row r="98" spans="1:15">
      <c r="A98" t="s">
        <v>1604</v>
      </c>
      <c r="B98" t="s">
        <v>17</v>
      </c>
      <c r="C98">
        <v>58</v>
      </c>
      <c r="D98" t="s">
        <v>41</v>
      </c>
      <c r="E98">
        <v>1000</v>
      </c>
      <c r="F98">
        <v>31</v>
      </c>
      <c r="G98" t="s">
        <v>191</v>
      </c>
      <c r="H98" t="s">
        <v>1517</v>
      </c>
      <c r="I98" t="s">
        <v>20</v>
      </c>
      <c r="J98" t="s">
        <v>1491</v>
      </c>
      <c r="K98" s="48">
        <f t="shared" ref="K98:K107" si="21">DATE(2000+MID(A98,3,2),MID(A98,5,2),MID(A98,7,2))+TIME(MID(A98,10,2),MID(A98,12,2),0)</f>
        <v>42529.642361111109</v>
      </c>
      <c r="M98" t="str">
        <f t="shared" si="18"/>
        <v>du -h 07160608_1525 &gt;&gt; temp.txt</v>
      </c>
      <c r="N98" t="s">
        <v>1566</v>
      </c>
      <c r="O98">
        <f t="shared" si="19"/>
        <v>2</v>
      </c>
    </row>
    <row r="99" spans="1:15">
      <c r="A99" t="s">
        <v>1605</v>
      </c>
      <c r="B99" t="s">
        <v>17</v>
      </c>
      <c r="C99">
        <v>58</v>
      </c>
      <c r="D99" t="s">
        <v>41</v>
      </c>
      <c r="E99">
        <v>1000</v>
      </c>
      <c r="F99">
        <v>250</v>
      </c>
      <c r="G99" t="s">
        <v>191</v>
      </c>
      <c r="H99" t="s">
        <v>1517</v>
      </c>
      <c r="I99" t="s">
        <v>20</v>
      </c>
      <c r="J99" t="s">
        <v>1491</v>
      </c>
      <c r="K99" s="48">
        <f t="shared" si="21"/>
        <v>42529.412499999999</v>
      </c>
      <c r="M99" t="str">
        <f t="shared" si="18"/>
        <v>du -h 07160608_0954 &gt;&gt; temp.txt</v>
      </c>
      <c r="N99" t="s">
        <v>1606</v>
      </c>
      <c r="O99">
        <f t="shared" si="19"/>
        <v>2</v>
      </c>
    </row>
    <row r="100" spans="1:15">
      <c r="A100" t="s">
        <v>1607</v>
      </c>
      <c r="B100" t="s">
        <v>17</v>
      </c>
      <c r="C100">
        <v>58</v>
      </c>
      <c r="D100" t="s">
        <v>41</v>
      </c>
      <c r="E100">
        <v>1000</v>
      </c>
      <c r="F100">
        <v>121</v>
      </c>
      <c r="G100" t="s">
        <v>191</v>
      </c>
      <c r="H100" t="s">
        <v>331</v>
      </c>
      <c r="I100" t="s">
        <v>20</v>
      </c>
      <c r="K100" s="48">
        <f t="shared" si="21"/>
        <v>42528.272916666669</v>
      </c>
      <c r="M100" t="str">
        <f t="shared" si="18"/>
        <v>du -h 07160607_0633 &gt;&gt; temp.txt</v>
      </c>
      <c r="O100">
        <f t="shared" si="19"/>
        <v>4</v>
      </c>
    </row>
    <row r="101" spans="1:15">
      <c r="A101" t="s">
        <v>1608</v>
      </c>
      <c r="B101" t="s">
        <v>17</v>
      </c>
      <c r="C101">
        <v>58</v>
      </c>
      <c r="D101" t="s">
        <v>41</v>
      </c>
      <c r="E101">
        <v>1000</v>
      </c>
      <c r="F101">
        <v>121</v>
      </c>
      <c r="G101" t="s">
        <v>191</v>
      </c>
      <c r="H101" t="s">
        <v>331</v>
      </c>
      <c r="I101" t="s">
        <v>20</v>
      </c>
      <c r="K101" s="48">
        <f t="shared" si="21"/>
        <v>42528.168055555558</v>
      </c>
      <c r="M101" t="str">
        <f t="shared" si="18"/>
        <v>du -h 07160607_0402 &gt;&gt; temp.txt</v>
      </c>
      <c r="O101">
        <f t="shared" si="19"/>
        <v>4</v>
      </c>
    </row>
    <row r="102" spans="1:15">
      <c r="A102" t="s">
        <v>1609</v>
      </c>
      <c r="B102" t="s">
        <v>17</v>
      </c>
      <c r="C102">
        <v>58</v>
      </c>
      <c r="D102" t="s">
        <v>41</v>
      </c>
      <c r="E102">
        <v>1000</v>
      </c>
      <c r="F102">
        <v>121</v>
      </c>
      <c r="G102" t="s">
        <v>191</v>
      </c>
      <c r="H102" t="s">
        <v>331</v>
      </c>
      <c r="I102" t="s">
        <v>20</v>
      </c>
      <c r="K102" s="48">
        <f t="shared" si="21"/>
        <v>42528.063194444447</v>
      </c>
      <c r="M102" t="str">
        <f t="shared" si="18"/>
        <v>du -h 07160607_0131 &gt;&gt; temp.txt</v>
      </c>
      <c r="O102">
        <f t="shared" si="19"/>
        <v>4</v>
      </c>
    </row>
    <row r="103" spans="1:15">
      <c r="A103" t="s">
        <v>1610</v>
      </c>
      <c r="B103" t="s">
        <v>17</v>
      </c>
      <c r="C103">
        <v>58</v>
      </c>
      <c r="D103" t="s">
        <v>41</v>
      </c>
      <c r="E103">
        <v>1000</v>
      </c>
      <c r="F103">
        <v>121</v>
      </c>
      <c r="G103" t="s">
        <v>191</v>
      </c>
      <c r="H103" t="s">
        <v>331</v>
      </c>
      <c r="I103" t="s">
        <v>20</v>
      </c>
      <c r="K103" s="48">
        <f t="shared" si="21"/>
        <v>42527.958333333336</v>
      </c>
      <c r="M103" t="str">
        <f t="shared" si="18"/>
        <v>du -h 07160606_2300 &gt;&gt; temp.txt</v>
      </c>
      <c r="O103">
        <f t="shared" si="19"/>
        <v>4</v>
      </c>
    </row>
    <row r="104" spans="1:15">
      <c r="A104" t="s">
        <v>1611</v>
      </c>
      <c r="B104" t="s">
        <v>17</v>
      </c>
      <c r="C104">
        <v>58</v>
      </c>
      <c r="D104" t="s">
        <v>41</v>
      </c>
      <c r="E104">
        <v>1000</v>
      </c>
      <c r="F104">
        <v>121</v>
      </c>
      <c r="G104" t="s">
        <v>191</v>
      </c>
      <c r="H104" t="s">
        <v>331</v>
      </c>
      <c r="I104" t="s">
        <v>20</v>
      </c>
      <c r="K104" s="48">
        <f t="shared" si="21"/>
        <v>42527.853472222225</v>
      </c>
      <c r="M104" t="str">
        <f t="shared" si="18"/>
        <v>du -h 07160606_2029 &gt;&gt; temp.txt</v>
      </c>
      <c r="O104">
        <f t="shared" si="19"/>
        <v>4</v>
      </c>
    </row>
    <row r="105" spans="1:15">
      <c r="A105" t="s">
        <v>1612</v>
      </c>
      <c r="B105" t="s">
        <v>17</v>
      </c>
      <c r="C105">
        <v>58</v>
      </c>
      <c r="D105" t="s">
        <v>41</v>
      </c>
      <c r="E105">
        <v>1000</v>
      </c>
      <c r="F105">
        <v>121</v>
      </c>
      <c r="G105" t="s">
        <v>191</v>
      </c>
      <c r="H105" t="s">
        <v>331</v>
      </c>
      <c r="I105" t="s">
        <v>20</v>
      </c>
      <c r="K105" s="48">
        <f t="shared" si="21"/>
        <v>42527.748611111114</v>
      </c>
      <c r="M105" t="str">
        <f t="shared" si="18"/>
        <v>du -h 07160606_1758 &gt;&gt; temp.txt</v>
      </c>
      <c r="O105">
        <f t="shared" si="19"/>
        <v>4</v>
      </c>
    </row>
    <row r="106" spans="1:15">
      <c r="A106" t="s">
        <v>1613</v>
      </c>
      <c r="B106" t="s">
        <v>17</v>
      </c>
      <c r="C106">
        <v>58</v>
      </c>
      <c r="D106" t="s">
        <v>41</v>
      </c>
      <c r="E106">
        <v>1000</v>
      </c>
      <c r="F106">
        <v>31</v>
      </c>
      <c r="G106" t="s">
        <v>191</v>
      </c>
      <c r="H106" t="s">
        <v>331</v>
      </c>
      <c r="I106" t="s">
        <v>20</v>
      </c>
      <c r="K106" s="48">
        <f t="shared" si="21"/>
        <v>42527.68472222222</v>
      </c>
      <c r="M106" t="str">
        <f t="shared" si="18"/>
        <v>du -h 07160606_1626 &gt;&gt; temp.txt</v>
      </c>
      <c r="O106">
        <f t="shared" si="19"/>
        <v>4</v>
      </c>
    </row>
    <row r="107" spans="1:15">
      <c r="A107" t="s">
        <v>1614</v>
      </c>
      <c r="B107" t="s">
        <v>17</v>
      </c>
      <c r="C107">
        <v>58</v>
      </c>
      <c r="D107" t="s">
        <v>41</v>
      </c>
      <c r="E107">
        <v>0</v>
      </c>
      <c r="F107">
        <v>31</v>
      </c>
      <c r="G107" t="s">
        <v>191</v>
      </c>
      <c r="H107" t="s">
        <v>331</v>
      </c>
      <c r="I107" t="s">
        <v>20</v>
      </c>
      <c r="K107" s="48">
        <f t="shared" si="21"/>
        <v>42527.606944444444</v>
      </c>
      <c r="M107" t="str">
        <f t="shared" si="18"/>
        <v>du -h 07160606_1434 &gt;&gt; temp.txt</v>
      </c>
      <c r="N107" t="s">
        <v>1615</v>
      </c>
      <c r="O107">
        <f t="shared" si="19"/>
        <v>4</v>
      </c>
    </row>
  </sheetData>
  <sortState xmlns:xlrd2="http://schemas.microsoft.com/office/spreadsheetml/2017/richdata2" ref="A2:S107">
    <sortCondition ref="L2:L107"/>
    <sortCondition ref="G2:G107"/>
    <sortCondition ref="O2:O107"/>
  </sortState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17"/>
  <sheetViews>
    <sheetView workbookViewId="0">
      <pane ySplit="1" topLeftCell="A218" activePane="bottomLeft" state="frozen"/>
      <selection pane="bottomLeft" activeCell="A218" sqref="A218"/>
    </sheetView>
  </sheetViews>
  <sheetFormatPr defaultRowHeight="15" customHeight="1"/>
  <cols>
    <col min="1" max="1" width="13.7109375" bestFit="1" customWidth="1"/>
    <col min="2" max="2" width="7.42578125" bestFit="1" customWidth="1"/>
    <col min="3" max="3" width="8.28515625" bestFit="1" customWidth="1"/>
    <col min="4" max="4" width="7.7109375" bestFit="1" customWidth="1"/>
    <col min="5" max="5" width="9.42578125" bestFit="1" customWidth="1"/>
    <col min="7" max="7" width="5.42578125" bestFit="1" customWidth="1"/>
    <col min="8" max="8" width="17.28515625" bestFit="1" customWidth="1"/>
    <col min="9" max="9" width="10.42578125" bestFit="1" customWidth="1"/>
    <col min="10" max="10" width="10.42578125" customWidth="1"/>
    <col min="11" max="11" width="14.85546875" bestFit="1" customWidth="1"/>
    <col min="12" max="12" width="8.42578125" style="49" bestFit="1" customWidth="1"/>
    <col min="13" max="13" width="17.42578125" bestFit="1" customWidth="1"/>
    <col min="14" max="14" width="27.5703125" customWidth="1"/>
  </cols>
  <sheetData>
    <row r="1" spans="1:17" ht="15" customHeight="1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1616</v>
      </c>
      <c r="J1" s="37" t="s">
        <v>12</v>
      </c>
      <c r="K1" s="37" t="s">
        <v>10</v>
      </c>
      <c r="L1" s="37" t="s">
        <v>1617</v>
      </c>
      <c r="M1" s="37" t="s">
        <v>13</v>
      </c>
      <c r="N1" s="37" t="s">
        <v>1618</v>
      </c>
      <c r="Q1" s="18"/>
    </row>
    <row r="2" spans="1:17" ht="15" customHeight="1">
      <c r="A2" t="s">
        <v>1619</v>
      </c>
      <c r="B2" t="s">
        <v>17</v>
      </c>
      <c r="C2">
        <v>59</v>
      </c>
      <c r="D2" t="s">
        <v>41</v>
      </c>
      <c r="E2">
        <v>1000</v>
      </c>
      <c r="F2">
        <v>31</v>
      </c>
      <c r="G2" t="s">
        <v>18</v>
      </c>
      <c r="H2" t="s">
        <v>42</v>
      </c>
      <c r="I2" t="s">
        <v>20</v>
      </c>
      <c r="K2" s="48">
        <f t="shared" ref="K2:K9" si="0">DATE(2000+MID(A2,3,2),MID(A2,5,2),MID(A2,7,2))+TIME(MID(A2,10,2),MID(A2,12,2),0)</f>
        <v>42566.572916666664</v>
      </c>
      <c r="L2" s="49">
        <f>F2</f>
        <v>31</v>
      </c>
      <c r="M2" t="s">
        <v>1620</v>
      </c>
      <c r="N2" t="s">
        <v>1621</v>
      </c>
    </row>
    <row r="3" spans="1:17" ht="15" customHeight="1">
      <c r="A3" t="s">
        <v>1622</v>
      </c>
      <c r="B3" t="s">
        <v>17</v>
      </c>
      <c r="C3">
        <v>59</v>
      </c>
      <c r="D3" t="s">
        <v>41</v>
      </c>
      <c r="E3">
        <v>1000</v>
      </c>
      <c r="F3">
        <v>4</v>
      </c>
      <c r="G3" t="s">
        <v>18</v>
      </c>
      <c r="H3" t="s">
        <v>42</v>
      </c>
      <c r="I3" t="s">
        <v>20</v>
      </c>
      <c r="K3" s="48">
        <f t="shared" si="0"/>
        <v>42566.736111111109</v>
      </c>
      <c r="L3" s="49">
        <f>L2+F3</f>
        <v>35</v>
      </c>
      <c r="M3" t="s">
        <v>1623</v>
      </c>
    </row>
    <row r="4" spans="1:17" ht="15" customHeight="1">
      <c r="A4" t="s">
        <v>1624</v>
      </c>
      <c r="B4" t="s">
        <v>17</v>
      </c>
      <c r="C4">
        <v>59</v>
      </c>
      <c r="D4" t="s">
        <v>41</v>
      </c>
      <c r="E4">
        <v>1000</v>
      </c>
      <c r="F4">
        <v>1232</v>
      </c>
      <c r="G4" t="s">
        <v>18</v>
      </c>
      <c r="H4" t="s">
        <v>42</v>
      </c>
      <c r="I4" t="s">
        <v>20</v>
      </c>
      <c r="K4" s="48">
        <f t="shared" si="0"/>
        <v>42566.741666666669</v>
      </c>
      <c r="L4" s="49">
        <f t="shared" ref="L4:L67" si="1">L3+F4</f>
        <v>1267</v>
      </c>
      <c r="M4" t="s">
        <v>1623</v>
      </c>
    </row>
    <row r="5" spans="1:17" ht="15" customHeight="1">
      <c r="A5" t="s">
        <v>1625</v>
      </c>
      <c r="B5" t="s">
        <v>17</v>
      </c>
      <c r="C5">
        <v>59</v>
      </c>
      <c r="D5" t="s">
        <v>41</v>
      </c>
      <c r="E5">
        <v>1000</v>
      </c>
      <c r="F5">
        <v>6</v>
      </c>
      <c r="G5" t="s">
        <v>18</v>
      </c>
      <c r="H5" t="s">
        <v>19</v>
      </c>
      <c r="I5" t="s">
        <v>20</v>
      </c>
      <c r="K5" s="48">
        <f t="shared" si="0"/>
        <v>42568.496527777781</v>
      </c>
      <c r="L5" s="49">
        <f t="shared" si="1"/>
        <v>1273</v>
      </c>
      <c r="M5" t="s">
        <v>1626</v>
      </c>
    </row>
    <row r="6" spans="1:17" ht="15" customHeight="1">
      <c r="A6" t="s">
        <v>1627</v>
      </c>
      <c r="B6" t="s">
        <v>17</v>
      </c>
      <c r="C6">
        <v>59</v>
      </c>
      <c r="D6" t="s">
        <v>41</v>
      </c>
      <c r="E6">
        <v>1000</v>
      </c>
      <c r="F6">
        <v>31</v>
      </c>
      <c r="G6" t="s">
        <v>18</v>
      </c>
      <c r="H6" t="s">
        <v>19</v>
      </c>
      <c r="I6" t="s">
        <v>20</v>
      </c>
      <c r="K6" s="48">
        <f t="shared" si="0"/>
        <v>42568.518750000003</v>
      </c>
      <c r="L6" s="49">
        <f t="shared" si="1"/>
        <v>1304</v>
      </c>
      <c r="M6" t="s">
        <v>1628</v>
      </c>
      <c r="N6" s="282" t="s">
        <v>1629</v>
      </c>
    </row>
    <row r="7" spans="1:17" ht="15" customHeight="1">
      <c r="A7" t="s">
        <v>1630</v>
      </c>
      <c r="B7" t="s">
        <v>17</v>
      </c>
      <c r="C7">
        <v>59</v>
      </c>
      <c r="D7" t="s">
        <v>41</v>
      </c>
      <c r="E7">
        <v>1000</v>
      </c>
      <c r="F7">
        <v>31</v>
      </c>
      <c r="G7" t="s">
        <v>18</v>
      </c>
      <c r="H7" t="s">
        <v>19</v>
      </c>
      <c r="I7" t="s">
        <v>20</v>
      </c>
      <c r="K7" s="48">
        <f t="shared" si="0"/>
        <v>42568.558333333334</v>
      </c>
      <c r="L7" s="49">
        <f t="shared" si="1"/>
        <v>1335</v>
      </c>
      <c r="M7" t="s">
        <v>1628</v>
      </c>
      <c r="N7" s="282"/>
    </row>
    <row r="8" spans="1:17" ht="15" customHeight="1">
      <c r="A8" t="s">
        <v>1631</v>
      </c>
      <c r="B8" t="s">
        <v>17</v>
      </c>
      <c r="C8">
        <v>59</v>
      </c>
      <c r="D8" t="s">
        <v>41</v>
      </c>
      <c r="E8">
        <v>1000</v>
      </c>
      <c r="F8">
        <v>31</v>
      </c>
      <c r="G8" t="s">
        <v>18</v>
      </c>
      <c r="H8" t="s">
        <v>19</v>
      </c>
      <c r="I8" t="s">
        <v>20</v>
      </c>
      <c r="K8" s="48">
        <f t="shared" si="0"/>
        <v>42568.597916666666</v>
      </c>
      <c r="L8" s="49">
        <f t="shared" si="1"/>
        <v>1366</v>
      </c>
      <c r="M8" t="s">
        <v>1628</v>
      </c>
      <c r="N8" s="282"/>
    </row>
    <row r="9" spans="1:17" ht="15" customHeight="1">
      <c r="A9" t="s">
        <v>1632</v>
      </c>
      <c r="B9" t="s">
        <v>17</v>
      </c>
      <c r="C9">
        <v>59</v>
      </c>
      <c r="D9" t="s">
        <v>41</v>
      </c>
      <c r="E9">
        <v>1000</v>
      </c>
      <c r="F9">
        <v>31</v>
      </c>
      <c r="G9" t="s">
        <v>18</v>
      </c>
      <c r="H9" t="s">
        <v>19</v>
      </c>
      <c r="I9" t="s">
        <v>20</v>
      </c>
      <c r="K9" s="48">
        <f t="shared" si="0"/>
        <v>42568.636805555558</v>
      </c>
      <c r="L9" s="49">
        <f t="shared" si="1"/>
        <v>1397</v>
      </c>
      <c r="M9" t="s">
        <v>1628</v>
      </c>
      <c r="N9" s="282"/>
    </row>
    <row r="10" spans="1:17" ht="15" customHeight="1">
      <c r="A10" t="s">
        <v>1633</v>
      </c>
      <c r="B10" t="s">
        <v>17</v>
      </c>
      <c r="C10">
        <v>59</v>
      </c>
      <c r="D10" t="s">
        <v>41</v>
      </c>
      <c r="E10">
        <v>1000</v>
      </c>
      <c r="F10">
        <v>31</v>
      </c>
      <c r="G10" t="s">
        <v>18</v>
      </c>
      <c r="H10" t="s">
        <v>19</v>
      </c>
      <c r="I10" t="s">
        <v>20</v>
      </c>
      <c r="J10" t="s">
        <v>1634</v>
      </c>
      <c r="K10" s="48">
        <f t="shared" ref="K10:K27" si="2">DATE(2000+MID(A10,3,2),MID(A10,5,2),MID(A10,7,2))+TIME(MID(A10,10,2),MID(A10,12,2),0)</f>
        <v>42569.556944444441</v>
      </c>
      <c r="L10" s="49">
        <f t="shared" si="1"/>
        <v>1428</v>
      </c>
      <c r="M10" t="s">
        <v>1628</v>
      </c>
      <c r="N10" s="282"/>
    </row>
    <row r="11" spans="1:17" ht="15" customHeight="1">
      <c r="A11" t="s">
        <v>1635</v>
      </c>
      <c r="B11" t="s">
        <v>17</v>
      </c>
      <c r="C11">
        <v>59</v>
      </c>
      <c r="D11" t="s">
        <v>41</v>
      </c>
      <c r="E11">
        <v>1000</v>
      </c>
      <c r="F11">
        <v>4</v>
      </c>
      <c r="G11" t="s">
        <v>191</v>
      </c>
      <c r="H11" t="s">
        <v>42</v>
      </c>
      <c r="I11" t="s">
        <v>20</v>
      </c>
      <c r="J11" t="s">
        <v>1634</v>
      </c>
      <c r="K11" s="48">
        <f t="shared" si="2"/>
        <v>42569.589583333334</v>
      </c>
      <c r="L11" s="49">
        <f t="shared" si="1"/>
        <v>1432</v>
      </c>
      <c r="M11" t="s">
        <v>191</v>
      </c>
    </row>
    <row r="12" spans="1:17" ht="15" customHeight="1">
      <c r="A12" t="s">
        <v>1636</v>
      </c>
      <c r="B12" t="s">
        <v>17</v>
      </c>
      <c r="C12">
        <v>59</v>
      </c>
      <c r="D12" t="s">
        <v>41</v>
      </c>
      <c r="E12">
        <v>1000</v>
      </c>
      <c r="F12" t="s">
        <v>41</v>
      </c>
      <c r="G12" t="s">
        <v>191</v>
      </c>
      <c r="H12" t="s">
        <v>19</v>
      </c>
      <c r="I12" t="s">
        <v>20</v>
      </c>
      <c r="J12" t="s">
        <v>1634</v>
      </c>
      <c r="K12" s="48">
        <f t="shared" si="2"/>
        <v>42569.598611111112</v>
      </c>
      <c r="L12" s="49">
        <f>L11+31</f>
        <v>1463</v>
      </c>
      <c r="M12" t="s">
        <v>191</v>
      </c>
    </row>
    <row r="13" spans="1:17" ht="15" customHeight="1">
      <c r="A13" s="9" t="s">
        <v>1637</v>
      </c>
      <c r="B13" s="9" t="s">
        <v>17</v>
      </c>
      <c r="C13" s="9">
        <v>59</v>
      </c>
      <c r="D13" s="9" t="s">
        <v>41</v>
      </c>
      <c r="E13" s="9">
        <v>1000</v>
      </c>
      <c r="F13" s="9">
        <v>31</v>
      </c>
      <c r="G13" s="9" t="s">
        <v>18</v>
      </c>
      <c r="H13" s="10" t="s">
        <v>1638</v>
      </c>
      <c r="I13" s="9" t="s">
        <v>20</v>
      </c>
      <c r="J13" t="s">
        <v>1634</v>
      </c>
      <c r="K13" s="48">
        <f t="shared" si="2"/>
        <v>42569.621527777781</v>
      </c>
      <c r="L13" s="49">
        <f t="shared" si="1"/>
        <v>1494</v>
      </c>
      <c r="M13" t="s">
        <v>1628</v>
      </c>
    </row>
    <row r="14" spans="1:17" ht="15" customHeight="1">
      <c r="A14" t="s">
        <v>1639</v>
      </c>
      <c r="B14" t="s">
        <v>17</v>
      </c>
      <c r="C14">
        <v>59</v>
      </c>
      <c r="D14" t="s">
        <v>41</v>
      </c>
      <c r="E14">
        <v>2000</v>
      </c>
      <c r="F14">
        <v>1</v>
      </c>
      <c r="G14" t="s">
        <v>18</v>
      </c>
      <c r="H14" t="s">
        <v>42</v>
      </c>
      <c r="I14" t="s">
        <v>20</v>
      </c>
      <c r="K14" s="48">
        <f t="shared" si="2"/>
        <v>42570.34097222222</v>
      </c>
      <c r="L14" s="49">
        <f t="shared" si="1"/>
        <v>1495</v>
      </c>
      <c r="M14" t="s">
        <v>1640</v>
      </c>
    </row>
    <row r="15" spans="1:17" ht="15" customHeight="1">
      <c r="A15" t="s">
        <v>1641</v>
      </c>
      <c r="B15" t="s">
        <v>17</v>
      </c>
      <c r="C15">
        <v>59</v>
      </c>
      <c r="D15" t="s">
        <v>41</v>
      </c>
      <c r="E15">
        <v>2000</v>
      </c>
      <c r="F15">
        <v>1</v>
      </c>
      <c r="G15" t="s">
        <v>18</v>
      </c>
      <c r="H15" t="s">
        <v>42</v>
      </c>
      <c r="I15" t="s">
        <v>20</v>
      </c>
      <c r="K15" s="48">
        <f t="shared" si="2"/>
        <v>42570.341666666667</v>
      </c>
      <c r="L15" s="49">
        <f t="shared" si="1"/>
        <v>1496</v>
      </c>
      <c r="M15" t="s">
        <v>1640</v>
      </c>
    </row>
    <row r="16" spans="1:17" ht="15" customHeight="1">
      <c r="A16" t="s">
        <v>1642</v>
      </c>
      <c r="B16" t="s">
        <v>17</v>
      </c>
      <c r="C16">
        <v>59</v>
      </c>
      <c r="D16" t="s">
        <v>41</v>
      </c>
      <c r="E16">
        <v>1000</v>
      </c>
      <c r="F16">
        <v>31</v>
      </c>
      <c r="G16" t="s">
        <v>18</v>
      </c>
      <c r="H16" t="s">
        <v>42</v>
      </c>
      <c r="I16" t="s">
        <v>20</v>
      </c>
      <c r="K16" s="48">
        <f t="shared" si="2"/>
        <v>42570.400694444441</v>
      </c>
      <c r="L16" s="49">
        <f t="shared" si="1"/>
        <v>1527</v>
      </c>
      <c r="M16" t="s">
        <v>1643</v>
      </c>
      <c r="N16" t="s">
        <v>1621</v>
      </c>
    </row>
    <row r="17" spans="1:15" s="16" customFormat="1" ht="15" customHeight="1">
      <c r="A17" s="16" t="s">
        <v>1644</v>
      </c>
      <c r="B17" s="16" t="s">
        <v>17</v>
      </c>
      <c r="C17" s="16">
        <v>59</v>
      </c>
      <c r="D17" s="16" t="s">
        <v>41</v>
      </c>
      <c r="E17" s="16">
        <v>1000</v>
      </c>
      <c r="F17" s="16">
        <v>31</v>
      </c>
      <c r="G17" s="16" t="s">
        <v>18</v>
      </c>
      <c r="H17" s="16" t="s">
        <v>19</v>
      </c>
      <c r="I17" s="16" t="s">
        <v>20</v>
      </c>
      <c r="J17" s="16" t="s">
        <v>75</v>
      </c>
      <c r="K17" s="50">
        <f t="shared" si="2"/>
        <v>42570.443055555559</v>
      </c>
      <c r="L17" s="49">
        <f t="shared" si="1"/>
        <v>1558</v>
      </c>
      <c r="M17" s="16" t="s">
        <v>1643</v>
      </c>
    </row>
    <row r="18" spans="1:15" s="16" customFormat="1" ht="15" customHeight="1">
      <c r="A18" s="16" t="s">
        <v>1645</v>
      </c>
      <c r="B18" s="16" t="s">
        <v>17</v>
      </c>
      <c r="C18" s="16">
        <v>59</v>
      </c>
      <c r="D18" s="16" t="s">
        <v>41</v>
      </c>
      <c r="E18" s="16">
        <v>1000</v>
      </c>
      <c r="F18" s="16">
        <v>31</v>
      </c>
      <c r="G18" s="16" t="s">
        <v>18</v>
      </c>
      <c r="H18" s="16" t="s">
        <v>19</v>
      </c>
      <c r="I18" s="16" t="s">
        <v>20</v>
      </c>
      <c r="J18" s="16" t="s">
        <v>75</v>
      </c>
      <c r="K18" s="50">
        <f t="shared" si="2"/>
        <v>42570.615277777775</v>
      </c>
      <c r="L18" s="49">
        <f t="shared" si="1"/>
        <v>1589</v>
      </c>
      <c r="M18" s="16" t="s">
        <v>1646</v>
      </c>
      <c r="N18" s="16" t="s">
        <v>1647</v>
      </c>
    </row>
    <row r="19" spans="1:15" s="16" customFormat="1" ht="15" customHeight="1">
      <c r="A19" s="16" t="s">
        <v>1648</v>
      </c>
      <c r="B19" s="16" t="s">
        <v>17</v>
      </c>
      <c r="C19" s="16">
        <v>59</v>
      </c>
      <c r="D19" s="16" t="s">
        <v>41</v>
      </c>
      <c r="E19" s="16">
        <v>1000</v>
      </c>
      <c r="F19" s="16">
        <v>31</v>
      </c>
      <c r="G19" s="16" t="s">
        <v>18</v>
      </c>
      <c r="H19" s="16" t="s">
        <v>19</v>
      </c>
      <c r="I19" s="16" t="s">
        <v>20</v>
      </c>
      <c r="J19" s="16" t="s">
        <v>75</v>
      </c>
      <c r="K19" s="50">
        <f t="shared" si="2"/>
        <v>42570.660416666666</v>
      </c>
      <c r="L19" s="49">
        <f t="shared" si="1"/>
        <v>1620</v>
      </c>
      <c r="M19" s="16" t="s">
        <v>1646</v>
      </c>
    </row>
    <row r="20" spans="1:15" s="16" customFormat="1" ht="15" customHeight="1">
      <c r="A20" s="16" t="s">
        <v>1649</v>
      </c>
      <c r="B20" s="16" t="s">
        <v>17</v>
      </c>
      <c r="C20" s="16">
        <v>59</v>
      </c>
      <c r="D20" s="16" t="s">
        <v>41</v>
      </c>
      <c r="E20" s="16">
        <v>1000</v>
      </c>
      <c r="F20" s="16">
        <v>32</v>
      </c>
      <c r="G20" s="16" t="s">
        <v>18</v>
      </c>
      <c r="H20" s="16" t="s">
        <v>19</v>
      </c>
      <c r="I20" s="16" t="s">
        <v>20</v>
      </c>
      <c r="J20" s="16" t="s">
        <v>75</v>
      </c>
      <c r="K20" s="50">
        <f t="shared" si="2"/>
        <v>42570.701388888891</v>
      </c>
      <c r="L20" s="49">
        <f t="shared" si="1"/>
        <v>1652</v>
      </c>
      <c r="M20" s="16" t="s">
        <v>1646</v>
      </c>
    </row>
    <row r="21" spans="1:15" ht="15" customHeight="1">
      <c r="A21" t="s">
        <v>1650</v>
      </c>
      <c r="B21" t="s">
        <v>17</v>
      </c>
      <c r="C21">
        <v>59</v>
      </c>
      <c r="D21" t="s">
        <v>41</v>
      </c>
      <c r="E21">
        <v>1000</v>
      </c>
      <c r="F21" t="s">
        <v>41</v>
      </c>
      <c r="G21" t="s">
        <v>18</v>
      </c>
      <c r="H21" t="s">
        <v>42</v>
      </c>
      <c r="I21" t="s">
        <v>20</v>
      </c>
      <c r="K21" s="48">
        <f t="shared" si="2"/>
        <v>42570.729166666664</v>
      </c>
      <c r="L21" s="49">
        <f>L20+31</f>
        <v>1683</v>
      </c>
      <c r="M21" t="s">
        <v>1623</v>
      </c>
    </row>
    <row r="22" spans="1:15" ht="15" customHeight="1">
      <c r="A22" t="s">
        <v>1651</v>
      </c>
      <c r="B22" t="s">
        <v>17</v>
      </c>
      <c r="C22">
        <v>59</v>
      </c>
      <c r="D22" t="s">
        <v>41</v>
      </c>
      <c r="E22">
        <v>1000</v>
      </c>
      <c r="F22">
        <v>31</v>
      </c>
      <c r="G22" t="s">
        <v>18</v>
      </c>
      <c r="H22" t="s">
        <v>19</v>
      </c>
      <c r="I22" t="s">
        <v>20</v>
      </c>
      <c r="K22" s="48">
        <f t="shared" si="2"/>
        <v>42571.459722222222</v>
      </c>
      <c r="L22" s="49">
        <f t="shared" si="1"/>
        <v>1714</v>
      </c>
      <c r="M22" t="s">
        <v>1652</v>
      </c>
      <c r="N22" t="s">
        <v>1653</v>
      </c>
    </row>
    <row r="23" spans="1:15" ht="15" customHeight="1">
      <c r="A23" t="s">
        <v>1654</v>
      </c>
      <c r="B23" t="s">
        <v>17</v>
      </c>
      <c r="C23">
        <v>59</v>
      </c>
      <c r="D23" t="s">
        <v>41</v>
      </c>
      <c r="E23">
        <v>1000</v>
      </c>
      <c r="F23">
        <v>3</v>
      </c>
      <c r="G23" t="s">
        <v>191</v>
      </c>
      <c r="H23" t="s">
        <v>19</v>
      </c>
      <c r="I23" t="s">
        <v>20</v>
      </c>
      <c r="K23" s="48">
        <f t="shared" si="2"/>
        <v>42571.486111111109</v>
      </c>
      <c r="L23" s="49">
        <f t="shared" si="1"/>
        <v>1717</v>
      </c>
      <c r="M23" t="s">
        <v>191</v>
      </c>
    </row>
    <row r="24" spans="1:15" ht="15" customHeight="1">
      <c r="A24" t="s">
        <v>1655</v>
      </c>
      <c r="B24" t="s">
        <v>17</v>
      </c>
      <c r="C24">
        <v>59</v>
      </c>
      <c r="D24" t="s">
        <v>41</v>
      </c>
      <c r="E24">
        <v>1000</v>
      </c>
      <c r="F24">
        <v>31</v>
      </c>
      <c r="G24" t="s">
        <v>18</v>
      </c>
      <c r="H24" t="s">
        <v>19</v>
      </c>
      <c r="I24" t="s">
        <v>20</v>
      </c>
      <c r="K24" s="48">
        <f t="shared" si="2"/>
        <v>42571.508333333331</v>
      </c>
      <c r="L24" s="49">
        <f t="shared" si="1"/>
        <v>1748</v>
      </c>
      <c r="M24" t="s">
        <v>1652</v>
      </c>
      <c r="N24" t="s">
        <v>1656</v>
      </c>
    </row>
    <row r="25" spans="1:15" ht="15" customHeight="1">
      <c r="A25" s="9" t="s">
        <v>1657</v>
      </c>
      <c r="B25" s="9" t="s">
        <v>17</v>
      </c>
      <c r="C25" s="9">
        <v>59</v>
      </c>
      <c r="D25" s="9" t="s">
        <v>41</v>
      </c>
      <c r="E25" s="9">
        <v>1000</v>
      </c>
      <c r="F25" s="9">
        <v>31</v>
      </c>
      <c r="G25" s="9" t="s">
        <v>18</v>
      </c>
      <c r="H25" s="10" t="s">
        <v>1638</v>
      </c>
      <c r="I25" s="9" t="s">
        <v>20</v>
      </c>
      <c r="K25" s="48">
        <f t="shared" si="2"/>
        <v>42571.65</v>
      </c>
      <c r="L25" s="49">
        <f t="shared" si="1"/>
        <v>1779</v>
      </c>
      <c r="M25" t="s">
        <v>1652</v>
      </c>
    </row>
    <row r="26" spans="1:15" ht="15" customHeight="1">
      <c r="A26" s="9" t="s">
        <v>1658</v>
      </c>
      <c r="B26" s="9" t="s">
        <v>17</v>
      </c>
      <c r="C26" s="9">
        <v>59</v>
      </c>
      <c r="D26" s="9" t="s">
        <v>41</v>
      </c>
      <c r="E26" s="9">
        <v>1000</v>
      </c>
      <c r="F26" s="9">
        <v>31</v>
      </c>
      <c r="G26" s="9" t="s">
        <v>18</v>
      </c>
      <c r="H26" s="10" t="s">
        <v>1638</v>
      </c>
      <c r="I26" s="9" t="s">
        <v>20</v>
      </c>
      <c r="K26" s="48">
        <f t="shared" si="2"/>
        <v>42571.690972222219</v>
      </c>
      <c r="L26" s="49">
        <f t="shared" si="1"/>
        <v>1810</v>
      </c>
      <c r="M26" t="s">
        <v>1652</v>
      </c>
    </row>
    <row r="27" spans="1:15" ht="15" customHeight="1">
      <c r="A27" s="9" t="s">
        <v>1659</v>
      </c>
      <c r="B27" s="9" t="s">
        <v>17</v>
      </c>
      <c r="C27" s="9">
        <v>59</v>
      </c>
      <c r="D27" s="9" t="s">
        <v>41</v>
      </c>
      <c r="E27" s="9">
        <v>1000</v>
      </c>
      <c r="F27" s="9">
        <v>31</v>
      </c>
      <c r="G27" s="9" t="s">
        <v>629</v>
      </c>
      <c r="H27" s="10" t="s">
        <v>1638</v>
      </c>
      <c r="I27" s="9" t="s">
        <v>20</v>
      </c>
      <c r="K27" s="48">
        <f t="shared" si="2"/>
        <v>42571.731944444444</v>
      </c>
      <c r="L27" s="49">
        <f t="shared" si="1"/>
        <v>1841</v>
      </c>
      <c r="M27" t="s">
        <v>1652</v>
      </c>
      <c r="O27" t="str">
        <f>""""&amp;A27&amp;""""</f>
        <v>"07160720_1734"</v>
      </c>
    </row>
    <row r="28" spans="1:15" ht="15" customHeight="1">
      <c r="A28" s="9" t="s">
        <v>1660</v>
      </c>
      <c r="B28" s="9" t="s">
        <v>17</v>
      </c>
      <c r="C28" s="9">
        <v>59</v>
      </c>
      <c r="D28" s="9" t="s">
        <v>41</v>
      </c>
      <c r="E28" s="9">
        <v>1000</v>
      </c>
      <c r="F28" s="9">
        <v>31</v>
      </c>
      <c r="G28" s="9" t="s">
        <v>629</v>
      </c>
      <c r="H28" s="10" t="s">
        <v>1638</v>
      </c>
      <c r="I28" s="9" t="s">
        <v>20</v>
      </c>
      <c r="K28" s="48">
        <f>DATE(2000+MID(A28,3,2),MID(A28,5,2),MID(A28,7,2))+TIME(MID(A28,10,2),MID(A28,12,2),0)</f>
        <v>42571.770833333336</v>
      </c>
      <c r="L28" s="49">
        <f t="shared" si="1"/>
        <v>1872</v>
      </c>
      <c r="M28" t="s">
        <v>1652</v>
      </c>
      <c r="O28" t="str">
        <f t="shared" ref="O28:O38" si="3">O27&amp;", """&amp;A28&amp;""""</f>
        <v>"07160720_1734", "07160720_1830"</v>
      </c>
    </row>
    <row r="29" spans="1:15" ht="15" customHeight="1">
      <c r="A29" s="9" t="s">
        <v>1661</v>
      </c>
      <c r="B29" s="9" t="s">
        <v>17</v>
      </c>
      <c r="C29" s="9">
        <v>59</v>
      </c>
      <c r="D29" s="9" t="s">
        <v>41</v>
      </c>
      <c r="E29" s="9">
        <v>1000</v>
      </c>
      <c r="F29" s="9">
        <v>31</v>
      </c>
      <c r="G29" s="9" t="s">
        <v>629</v>
      </c>
      <c r="H29" s="10" t="s">
        <v>1638</v>
      </c>
      <c r="I29" s="9" t="s">
        <v>20</v>
      </c>
      <c r="K29" s="48">
        <f>DATE(2000+MID(A29,3,2),MID(A29,5,2),MID(A29,7,2))+TIME(MID(A29,10,2),MID(A29,12,2),0)</f>
        <v>42571.810416666667</v>
      </c>
      <c r="L29" s="49">
        <f t="shared" si="1"/>
        <v>1903</v>
      </c>
      <c r="M29" t="s">
        <v>1652</v>
      </c>
      <c r="O29" t="str">
        <f t="shared" si="3"/>
        <v>"07160720_1734", "07160720_1830", "07160720_1927"</v>
      </c>
    </row>
    <row r="30" spans="1:15" ht="15" customHeight="1">
      <c r="A30" s="9" t="s">
        <v>1662</v>
      </c>
      <c r="B30" s="9" t="s">
        <v>17</v>
      </c>
      <c r="C30" s="9">
        <v>59</v>
      </c>
      <c r="D30" s="9" t="s">
        <v>41</v>
      </c>
      <c r="E30" s="9">
        <v>1000</v>
      </c>
      <c r="F30" s="9">
        <v>31</v>
      </c>
      <c r="G30" s="9" t="s">
        <v>629</v>
      </c>
      <c r="H30" s="10" t="s">
        <v>1638</v>
      </c>
      <c r="I30" s="9" t="s">
        <v>20</v>
      </c>
      <c r="K30" s="48">
        <f>DATE(2000+MID(A30,3,2),MID(A30,5,2),MID(A30,7,2))+TIME(MID(A30,10,2),MID(A30,12,2),0)</f>
        <v>42571.85</v>
      </c>
      <c r="L30" s="49">
        <f t="shared" si="1"/>
        <v>1934</v>
      </c>
      <c r="M30" t="s">
        <v>1652</v>
      </c>
      <c r="O30" t="str">
        <f t="shared" si="3"/>
        <v>"07160720_1734", "07160720_1830", "07160720_1927", "07160720_2024"</v>
      </c>
    </row>
    <row r="31" spans="1:15" ht="15" customHeight="1">
      <c r="A31" t="s">
        <v>1663</v>
      </c>
      <c r="B31" t="s">
        <v>17</v>
      </c>
      <c r="C31">
        <v>59</v>
      </c>
      <c r="D31" t="s">
        <v>41</v>
      </c>
      <c r="E31">
        <v>1000</v>
      </c>
      <c r="F31">
        <v>31</v>
      </c>
      <c r="G31" t="s">
        <v>629</v>
      </c>
      <c r="H31" t="s">
        <v>19</v>
      </c>
      <c r="I31" t="s">
        <v>20</v>
      </c>
      <c r="K31" s="48">
        <f t="shared" ref="K31:K94" si="4">DATE(2000+MID(A31,3,2),MID(A31,5,2),MID(A31,7,2))+TIME(MID(A31,10,2),MID(A31,12,2),0)</f>
        <v>42571.888888888891</v>
      </c>
      <c r="L31" s="49">
        <f t="shared" si="1"/>
        <v>1965</v>
      </c>
      <c r="M31" t="s">
        <v>1652</v>
      </c>
      <c r="O31" t="str">
        <f t="shared" si="3"/>
        <v>"07160720_1734", "07160720_1830", "07160720_1927", "07160720_2024", "07160720_2120"</v>
      </c>
    </row>
    <row r="32" spans="1:15" ht="15" customHeight="1">
      <c r="A32" t="s">
        <v>1664</v>
      </c>
      <c r="B32" t="s">
        <v>17</v>
      </c>
      <c r="C32">
        <v>59</v>
      </c>
      <c r="D32" t="s">
        <v>41</v>
      </c>
      <c r="E32">
        <v>1000</v>
      </c>
      <c r="F32">
        <v>31</v>
      </c>
      <c r="G32" t="s">
        <v>629</v>
      </c>
      <c r="H32" t="s">
        <v>19</v>
      </c>
      <c r="I32" t="s">
        <v>20</v>
      </c>
      <c r="K32" s="48">
        <f t="shared" si="4"/>
        <v>42571.928472222222</v>
      </c>
      <c r="L32" s="49">
        <f t="shared" si="1"/>
        <v>1996</v>
      </c>
      <c r="M32" t="s">
        <v>1652</v>
      </c>
      <c r="O32" t="str">
        <f t="shared" si="3"/>
        <v>"07160720_1734", "07160720_1830", "07160720_1927", "07160720_2024", "07160720_2120", "07160720_2217"</v>
      </c>
    </row>
    <row r="33" spans="1:15" ht="15" customHeight="1">
      <c r="A33" t="s">
        <v>1665</v>
      </c>
      <c r="B33" t="s">
        <v>17</v>
      </c>
      <c r="C33">
        <v>59</v>
      </c>
      <c r="D33" t="s">
        <v>41</v>
      </c>
      <c r="E33">
        <v>1000</v>
      </c>
      <c r="F33">
        <v>31</v>
      </c>
      <c r="G33" t="s">
        <v>629</v>
      </c>
      <c r="H33" t="s">
        <v>19</v>
      </c>
      <c r="I33" t="s">
        <v>20</v>
      </c>
      <c r="K33" s="48">
        <f t="shared" si="4"/>
        <v>42571.967361111114</v>
      </c>
      <c r="L33" s="49">
        <f t="shared" si="1"/>
        <v>2027</v>
      </c>
      <c r="M33" t="s">
        <v>1652</v>
      </c>
      <c r="O33" t="str">
        <f t="shared" si="3"/>
        <v>"07160720_1734", "07160720_1830", "07160720_1927", "07160720_2024", "07160720_2120", "07160720_2217", "07160720_2313"</v>
      </c>
    </row>
    <row r="34" spans="1:15" ht="15" customHeight="1">
      <c r="A34" t="s">
        <v>1666</v>
      </c>
      <c r="B34" t="s">
        <v>17</v>
      </c>
      <c r="C34">
        <v>59</v>
      </c>
      <c r="D34" t="s">
        <v>41</v>
      </c>
      <c r="E34">
        <v>1000</v>
      </c>
      <c r="F34">
        <v>31</v>
      </c>
      <c r="G34" t="s">
        <v>629</v>
      </c>
      <c r="H34" t="s">
        <v>19</v>
      </c>
      <c r="I34" t="s">
        <v>20</v>
      </c>
      <c r="K34" s="48">
        <f t="shared" si="4"/>
        <v>42572.006944444445</v>
      </c>
      <c r="L34" s="49">
        <f t="shared" si="1"/>
        <v>2058</v>
      </c>
      <c r="M34" t="s">
        <v>1652</v>
      </c>
      <c r="O34" t="str">
        <f t="shared" si="3"/>
        <v>"07160720_1734", "07160720_1830", "07160720_1927", "07160720_2024", "07160720_2120", "07160720_2217", "07160720_2313", "07160721_0010"</v>
      </c>
    </row>
    <row r="35" spans="1:15" ht="15" customHeight="1">
      <c r="A35" t="s">
        <v>1667</v>
      </c>
      <c r="B35" t="s">
        <v>17</v>
      </c>
      <c r="C35">
        <v>59</v>
      </c>
      <c r="D35" t="s">
        <v>41</v>
      </c>
      <c r="E35">
        <v>1000</v>
      </c>
      <c r="F35">
        <v>31</v>
      </c>
      <c r="G35" t="s">
        <v>629</v>
      </c>
      <c r="H35" t="s">
        <v>19</v>
      </c>
      <c r="I35" t="s">
        <v>20</v>
      </c>
      <c r="K35" s="48">
        <f t="shared" si="4"/>
        <v>42572.046527777777</v>
      </c>
      <c r="L35" s="49">
        <f t="shared" si="1"/>
        <v>2089</v>
      </c>
      <c r="M35" t="s">
        <v>1652</v>
      </c>
      <c r="O35" t="str">
        <f t="shared" si="3"/>
        <v>"07160720_1734", "07160720_1830", "07160720_1927", "07160720_2024", "07160720_2120", "07160720_2217", "07160720_2313", "07160721_0010", "07160721_0107"</v>
      </c>
    </row>
    <row r="36" spans="1:15" ht="15" customHeight="1">
      <c r="A36" t="s">
        <v>1668</v>
      </c>
      <c r="B36" t="s">
        <v>17</v>
      </c>
      <c r="C36">
        <v>59</v>
      </c>
      <c r="D36" t="s">
        <v>41</v>
      </c>
      <c r="E36">
        <v>1000</v>
      </c>
      <c r="F36">
        <v>31</v>
      </c>
      <c r="G36" t="s">
        <v>629</v>
      </c>
      <c r="H36" t="s">
        <v>19</v>
      </c>
      <c r="I36" t="s">
        <v>20</v>
      </c>
      <c r="K36" s="48">
        <f t="shared" si="4"/>
        <v>42572.085416666669</v>
      </c>
      <c r="L36" s="49">
        <f t="shared" si="1"/>
        <v>2120</v>
      </c>
      <c r="M36" t="s">
        <v>1652</v>
      </c>
      <c r="O36" t="str">
        <f t="shared" si="3"/>
        <v>"07160720_1734", "07160720_1830", "07160720_1927", "07160720_2024", "07160720_2120", "07160720_2217", "07160720_2313", "07160721_0010", "07160721_0107", "07160721_0203"</v>
      </c>
    </row>
    <row r="37" spans="1:15" ht="15" customHeight="1">
      <c r="A37" t="s">
        <v>1669</v>
      </c>
      <c r="B37" t="s">
        <v>17</v>
      </c>
      <c r="C37">
        <v>59</v>
      </c>
      <c r="D37" t="s">
        <v>41</v>
      </c>
      <c r="E37">
        <v>1000</v>
      </c>
      <c r="F37">
        <v>31</v>
      </c>
      <c r="G37" t="s">
        <v>629</v>
      </c>
      <c r="H37" t="s">
        <v>19</v>
      </c>
      <c r="I37" t="s">
        <v>20</v>
      </c>
      <c r="K37" s="48">
        <f t="shared" si="4"/>
        <v>42572.125</v>
      </c>
      <c r="L37" s="49">
        <f t="shared" si="1"/>
        <v>2151</v>
      </c>
      <c r="M37" t="s">
        <v>1652</v>
      </c>
      <c r="O37" t="str">
        <f t="shared" si="3"/>
        <v>"07160720_1734", "07160720_1830", "07160720_1927", "07160720_2024", "07160720_2120", "07160720_2217", "07160720_2313", "07160721_0010", "07160721_0107", "07160721_0203", "07160721_0300"</v>
      </c>
    </row>
    <row r="38" spans="1:15" ht="15" customHeight="1">
      <c r="A38" t="s">
        <v>1670</v>
      </c>
      <c r="B38" t="s">
        <v>17</v>
      </c>
      <c r="C38">
        <v>59</v>
      </c>
      <c r="D38" t="s">
        <v>41</v>
      </c>
      <c r="E38">
        <v>1000</v>
      </c>
      <c r="F38">
        <v>31</v>
      </c>
      <c r="G38" t="s">
        <v>629</v>
      </c>
      <c r="H38" t="s">
        <v>19</v>
      </c>
      <c r="I38" t="s">
        <v>20</v>
      </c>
      <c r="K38" s="48">
        <f t="shared" si="4"/>
        <v>42572.163888888892</v>
      </c>
      <c r="L38" s="49">
        <f t="shared" si="1"/>
        <v>2182</v>
      </c>
      <c r="M38" t="s">
        <v>1652</v>
      </c>
      <c r="O38" t="str">
        <f t="shared" si="3"/>
        <v>"07160720_1734", "07160720_1830", "07160720_1927", "07160720_2024", "07160720_2120", "07160720_2217", "07160720_2313", "07160721_0010", "07160721_0107", "07160721_0203", "07160721_0300", "07160721_0356"</v>
      </c>
    </row>
    <row r="39" spans="1:15" ht="15" customHeight="1">
      <c r="A39" t="s">
        <v>1671</v>
      </c>
      <c r="B39" t="s">
        <v>17</v>
      </c>
      <c r="C39">
        <v>59</v>
      </c>
      <c r="D39" t="s">
        <v>41</v>
      </c>
      <c r="E39">
        <v>1000</v>
      </c>
      <c r="F39">
        <v>31</v>
      </c>
      <c r="G39" t="s">
        <v>629</v>
      </c>
      <c r="H39" t="s">
        <v>19</v>
      </c>
      <c r="I39" t="s">
        <v>20</v>
      </c>
      <c r="K39" s="48">
        <f t="shared" si="4"/>
        <v>42572.203472222223</v>
      </c>
      <c r="L39" s="49">
        <f t="shared" si="1"/>
        <v>2213</v>
      </c>
      <c r="M39" t="s">
        <v>1652</v>
      </c>
      <c r="N39" t="s">
        <v>1672</v>
      </c>
    </row>
    <row r="40" spans="1:15" ht="15" customHeight="1">
      <c r="A40" t="s">
        <v>1673</v>
      </c>
      <c r="B40" t="s">
        <v>17</v>
      </c>
      <c r="C40">
        <v>59</v>
      </c>
      <c r="D40" t="s">
        <v>41</v>
      </c>
      <c r="E40">
        <v>1000</v>
      </c>
      <c r="F40">
        <v>31</v>
      </c>
      <c r="G40" t="s">
        <v>629</v>
      </c>
      <c r="H40" t="s">
        <v>19</v>
      </c>
      <c r="I40" t="s">
        <v>20</v>
      </c>
      <c r="K40" s="48">
        <f t="shared" si="4"/>
        <v>42572.243055555555</v>
      </c>
      <c r="L40" s="49">
        <f t="shared" si="1"/>
        <v>2244</v>
      </c>
      <c r="M40" t="s">
        <v>1652</v>
      </c>
      <c r="N40" t="s">
        <v>1672</v>
      </c>
    </row>
    <row r="41" spans="1:15" ht="15" customHeight="1">
      <c r="A41" s="9" t="s">
        <v>1674</v>
      </c>
      <c r="B41" s="9" t="s">
        <v>17</v>
      </c>
      <c r="C41" s="9">
        <v>59</v>
      </c>
      <c r="D41" s="9" t="s">
        <v>41</v>
      </c>
      <c r="E41" s="9">
        <v>1000</v>
      </c>
      <c r="F41" s="9">
        <v>32</v>
      </c>
      <c r="G41" s="9" t="s">
        <v>18</v>
      </c>
      <c r="H41" s="10" t="s">
        <v>1638</v>
      </c>
      <c r="I41" s="9" t="s">
        <v>20</v>
      </c>
      <c r="K41" s="48">
        <f t="shared" si="4"/>
        <v>42572.569444444445</v>
      </c>
      <c r="L41" s="49">
        <f t="shared" si="1"/>
        <v>2276</v>
      </c>
      <c r="M41" t="s">
        <v>1675</v>
      </c>
    </row>
    <row r="42" spans="1:15" ht="15" customHeight="1">
      <c r="A42" s="9" t="s">
        <v>1676</v>
      </c>
      <c r="B42" s="9" t="s">
        <v>17</v>
      </c>
      <c r="C42" s="9">
        <v>59</v>
      </c>
      <c r="D42" s="9" t="s">
        <v>41</v>
      </c>
      <c r="E42" s="9">
        <v>1000</v>
      </c>
      <c r="F42" s="9">
        <v>32</v>
      </c>
      <c r="G42" s="9" t="s">
        <v>18</v>
      </c>
      <c r="H42" s="10" t="s">
        <v>1638</v>
      </c>
      <c r="I42" s="9" t="s">
        <v>20</v>
      </c>
      <c r="J42" s="9"/>
      <c r="K42" s="48">
        <f t="shared" si="4"/>
        <v>42572.775000000001</v>
      </c>
      <c r="L42" s="49">
        <f t="shared" si="1"/>
        <v>2308</v>
      </c>
      <c r="M42" t="s">
        <v>1677</v>
      </c>
      <c r="O42" t="str">
        <f t="shared" ref="O42:O54" si="5">O41&amp;", """&amp;A42&amp;""""</f>
        <v>, "07160721_1836"</v>
      </c>
    </row>
    <row r="43" spans="1:15" ht="15" customHeight="1">
      <c r="A43" s="9" t="s">
        <v>1678</v>
      </c>
      <c r="B43" s="9" t="s">
        <v>17</v>
      </c>
      <c r="C43" s="9">
        <v>59</v>
      </c>
      <c r="D43" s="9" t="s">
        <v>41</v>
      </c>
      <c r="E43" s="9">
        <v>1000</v>
      </c>
      <c r="F43" s="9">
        <v>31</v>
      </c>
      <c r="G43" s="9" t="s">
        <v>18</v>
      </c>
      <c r="H43" s="10" t="s">
        <v>1638</v>
      </c>
      <c r="I43" s="9" t="s">
        <v>20</v>
      </c>
      <c r="J43" s="9"/>
      <c r="K43" s="48">
        <f t="shared" si="4"/>
        <v>42572.814583333333</v>
      </c>
      <c r="L43" s="49">
        <f t="shared" si="1"/>
        <v>2339</v>
      </c>
      <c r="M43" t="s">
        <v>1677</v>
      </c>
      <c r="O43" t="str">
        <f t="shared" si="5"/>
        <v>, "07160721_1836", "07160721_1933"</v>
      </c>
    </row>
    <row r="44" spans="1:15" ht="15" customHeight="1">
      <c r="A44" s="9" t="s">
        <v>1679</v>
      </c>
      <c r="B44" s="9" t="s">
        <v>17</v>
      </c>
      <c r="C44" s="9">
        <v>59</v>
      </c>
      <c r="D44" s="9" t="s">
        <v>41</v>
      </c>
      <c r="E44" s="9">
        <v>1000</v>
      </c>
      <c r="F44" s="9">
        <v>31</v>
      </c>
      <c r="G44" s="9" t="s">
        <v>18</v>
      </c>
      <c r="H44" s="10" t="s">
        <v>1638</v>
      </c>
      <c r="I44" s="9" t="s">
        <v>20</v>
      </c>
      <c r="J44" s="9"/>
      <c r="K44" s="48">
        <f t="shared" si="4"/>
        <v>42572.853472222225</v>
      </c>
      <c r="L44" s="49">
        <f t="shared" si="1"/>
        <v>2370</v>
      </c>
      <c r="M44" t="s">
        <v>1677</v>
      </c>
      <c r="O44" t="str">
        <f t="shared" si="5"/>
        <v>, "07160721_1836", "07160721_1933", "07160721_2029"</v>
      </c>
    </row>
    <row r="45" spans="1:15" ht="15" customHeight="1">
      <c r="A45" s="9" t="s">
        <v>1680</v>
      </c>
      <c r="B45" s="9" t="s">
        <v>17</v>
      </c>
      <c r="C45" s="9">
        <v>59</v>
      </c>
      <c r="D45" s="9" t="s">
        <v>41</v>
      </c>
      <c r="E45" s="9">
        <v>1000</v>
      </c>
      <c r="F45" s="9">
        <v>31</v>
      </c>
      <c r="G45" s="9" t="s">
        <v>18</v>
      </c>
      <c r="H45" s="10" t="s">
        <v>1638</v>
      </c>
      <c r="I45" s="9" t="s">
        <v>20</v>
      </c>
      <c r="J45" s="9"/>
      <c r="K45" s="48">
        <f t="shared" si="4"/>
        <v>42572.893055555556</v>
      </c>
      <c r="L45" s="49">
        <f t="shared" si="1"/>
        <v>2401</v>
      </c>
      <c r="M45" t="s">
        <v>1677</v>
      </c>
      <c r="O45" t="str">
        <f t="shared" si="5"/>
        <v>, "07160721_1836", "07160721_1933", "07160721_2029", "07160721_2126"</v>
      </c>
    </row>
    <row r="46" spans="1:15" ht="15" customHeight="1">
      <c r="A46" s="9" t="s">
        <v>1681</v>
      </c>
      <c r="B46" s="9" t="s">
        <v>17</v>
      </c>
      <c r="C46" s="9">
        <v>59</v>
      </c>
      <c r="D46" s="9" t="s">
        <v>41</v>
      </c>
      <c r="E46" s="9">
        <v>1000</v>
      </c>
      <c r="F46" s="9">
        <v>31</v>
      </c>
      <c r="G46" s="9" t="s">
        <v>18</v>
      </c>
      <c r="H46" s="10" t="s">
        <v>1638</v>
      </c>
      <c r="I46" s="9" t="s">
        <v>20</v>
      </c>
      <c r="J46" s="9"/>
      <c r="K46" s="48">
        <f t="shared" si="4"/>
        <v>42572.932638888888</v>
      </c>
      <c r="L46" s="49">
        <f t="shared" si="1"/>
        <v>2432</v>
      </c>
      <c r="M46" t="s">
        <v>1677</v>
      </c>
      <c r="O46" t="str">
        <f t="shared" si="5"/>
        <v>, "07160721_1836", "07160721_1933", "07160721_2029", "07160721_2126", "07160721_2223"</v>
      </c>
    </row>
    <row r="47" spans="1:15" ht="15" customHeight="1">
      <c r="A47" s="9" t="s">
        <v>1682</v>
      </c>
      <c r="B47" s="9" t="s">
        <v>17</v>
      </c>
      <c r="C47" s="9">
        <v>59</v>
      </c>
      <c r="D47" s="9" t="s">
        <v>41</v>
      </c>
      <c r="E47" s="9">
        <v>1000</v>
      </c>
      <c r="F47" s="9">
        <v>31</v>
      </c>
      <c r="G47" s="9" t="s">
        <v>18</v>
      </c>
      <c r="H47" s="10" t="s">
        <v>1638</v>
      </c>
      <c r="I47" s="9" t="s">
        <v>20</v>
      </c>
      <c r="J47" s="9"/>
      <c r="K47" s="48">
        <f t="shared" si="4"/>
        <v>42572.97152777778</v>
      </c>
      <c r="L47" s="49">
        <f t="shared" si="1"/>
        <v>2463</v>
      </c>
      <c r="M47" t="s">
        <v>1677</v>
      </c>
      <c r="O47" t="str">
        <f t="shared" si="5"/>
        <v>, "07160721_1836", "07160721_1933", "07160721_2029", "07160721_2126", "07160721_2223", "07160721_2319"</v>
      </c>
    </row>
    <row r="48" spans="1:15" ht="15" customHeight="1">
      <c r="A48" s="9" t="s">
        <v>1683</v>
      </c>
      <c r="B48" s="9" t="s">
        <v>17</v>
      </c>
      <c r="C48" s="9">
        <v>59</v>
      </c>
      <c r="D48" s="9" t="s">
        <v>41</v>
      </c>
      <c r="E48" s="9">
        <v>1000</v>
      </c>
      <c r="F48" s="9">
        <v>31</v>
      </c>
      <c r="G48" s="9" t="s">
        <v>18</v>
      </c>
      <c r="H48" s="10" t="s">
        <v>1638</v>
      </c>
      <c r="I48" s="9" t="s">
        <v>20</v>
      </c>
      <c r="J48" s="9"/>
      <c r="K48" s="48">
        <f t="shared" si="4"/>
        <v>42573.011111111111</v>
      </c>
      <c r="L48" s="49">
        <f t="shared" si="1"/>
        <v>2494</v>
      </c>
      <c r="M48" t="s">
        <v>1677</v>
      </c>
      <c r="O48" t="str">
        <f t="shared" si="5"/>
        <v>, "07160721_1836", "07160721_1933", "07160721_2029", "07160721_2126", "07160721_2223", "07160721_2319", "07160722_0016"</v>
      </c>
    </row>
    <row r="49" spans="1:15" ht="15" customHeight="1">
      <c r="A49" s="9" t="s">
        <v>1684</v>
      </c>
      <c r="B49" s="9" t="s">
        <v>17</v>
      </c>
      <c r="C49" s="9">
        <v>59</v>
      </c>
      <c r="D49" s="9" t="s">
        <v>41</v>
      </c>
      <c r="E49" s="9">
        <v>1000</v>
      </c>
      <c r="F49" s="9">
        <v>31</v>
      </c>
      <c r="G49" s="9" t="s">
        <v>18</v>
      </c>
      <c r="H49" s="10" t="s">
        <v>1638</v>
      </c>
      <c r="I49" s="9" t="s">
        <v>20</v>
      </c>
      <c r="J49" s="9"/>
      <c r="K49" s="48">
        <f t="shared" si="4"/>
        <v>42573.05</v>
      </c>
      <c r="L49" s="49">
        <f t="shared" si="1"/>
        <v>2525</v>
      </c>
      <c r="M49" t="s">
        <v>1677</v>
      </c>
      <c r="O49" t="str">
        <f t="shared" si="5"/>
        <v>, "07160721_1836", "07160721_1933", "07160721_2029", "07160721_2126", "07160721_2223", "07160721_2319", "07160722_0016", "07160722_0112"</v>
      </c>
    </row>
    <row r="50" spans="1:15" ht="15" customHeight="1">
      <c r="A50" s="9" t="s">
        <v>1685</v>
      </c>
      <c r="B50" s="9" t="s">
        <v>17</v>
      </c>
      <c r="C50" s="9">
        <v>59</v>
      </c>
      <c r="D50" s="9" t="s">
        <v>41</v>
      </c>
      <c r="E50" s="9">
        <v>1000</v>
      </c>
      <c r="F50" s="9">
        <v>31</v>
      </c>
      <c r="G50" s="9" t="s">
        <v>18</v>
      </c>
      <c r="H50" s="10" t="s">
        <v>1638</v>
      </c>
      <c r="I50" s="9" t="s">
        <v>20</v>
      </c>
      <c r="J50" s="9"/>
      <c r="K50" s="48">
        <f t="shared" si="4"/>
        <v>42573.089583333334</v>
      </c>
      <c r="L50" s="49">
        <f t="shared" si="1"/>
        <v>2556</v>
      </c>
      <c r="M50" t="s">
        <v>1677</v>
      </c>
      <c r="O50" t="str">
        <f t="shared" si="5"/>
        <v>, "07160721_1836", "07160721_1933", "07160721_2029", "07160721_2126", "07160721_2223", "07160721_2319", "07160722_0016", "07160722_0112", "07160722_0209"</v>
      </c>
    </row>
    <row r="51" spans="1:15" ht="15" customHeight="1">
      <c r="A51" s="9" t="s">
        <v>1686</v>
      </c>
      <c r="B51" s="9" t="s">
        <v>17</v>
      </c>
      <c r="C51" s="9">
        <v>59</v>
      </c>
      <c r="D51" s="9" t="s">
        <v>41</v>
      </c>
      <c r="E51" s="9">
        <v>1000</v>
      </c>
      <c r="F51" s="9">
        <v>31</v>
      </c>
      <c r="G51" s="9" t="s">
        <v>18</v>
      </c>
      <c r="H51" s="10" t="s">
        <v>1638</v>
      </c>
      <c r="I51" s="9" t="s">
        <v>20</v>
      </c>
      <c r="J51" s="9"/>
      <c r="K51" s="48">
        <f t="shared" si="4"/>
        <v>42573.129166666666</v>
      </c>
      <c r="L51" s="49">
        <f t="shared" si="1"/>
        <v>2587</v>
      </c>
      <c r="M51" t="s">
        <v>1677</v>
      </c>
      <c r="O51" t="str">
        <f t="shared" si="5"/>
        <v>, "07160721_1836", "07160721_1933", "07160721_2029", "07160721_2126", "07160721_2223", "07160721_2319", "07160722_0016", "07160722_0112", "07160722_0209", "07160722_0306"</v>
      </c>
    </row>
    <row r="52" spans="1:15" ht="15" customHeight="1">
      <c r="A52" s="9" t="s">
        <v>1687</v>
      </c>
      <c r="B52" s="9" t="s">
        <v>17</v>
      </c>
      <c r="C52" s="9">
        <v>59</v>
      </c>
      <c r="D52" s="9" t="s">
        <v>41</v>
      </c>
      <c r="E52" s="9">
        <v>1000</v>
      </c>
      <c r="F52" s="9">
        <v>31</v>
      </c>
      <c r="G52" s="9" t="s">
        <v>18</v>
      </c>
      <c r="H52" s="10" t="s">
        <v>1638</v>
      </c>
      <c r="I52" s="9" t="s">
        <v>20</v>
      </c>
      <c r="J52" s="9"/>
      <c r="K52" s="48">
        <f t="shared" si="4"/>
        <v>42573.168055555558</v>
      </c>
      <c r="L52" s="49">
        <f t="shared" si="1"/>
        <v>2618</v>
      </c>
      <c r="M52" t="s">
        <v>1677</v>
      </c>
      <c r="O52" t="str">
        <f t="shared" si="5"/>
        <v>, "07160721_1836", "07160721_1933", "07160721_2029", "07160721_2126", "07160721_2223", "07160721_2319", "07160722_0016", "07160722_0112", "07160722_0209", "07160722_0306", "07160722_0402"</v>
      </c>
    </row>
    <row r="53" spans="1:15" ht="15" customHeight="1">
      <c r="A53" s="9" t="s">
        <v>1688</v>
      </c>
      <c r="B53" s="9" t="s">
        <v>17</v>
      </c>
      <c r="C53" s="9">
        <v>59</v>
      </c>
      <c r="D53" s="9" t="s">
        <v>41</v>
      </c>
      <c r="E53" s="9">
        <v>1000</v>
      </c>
      <c r="F53" s="9">
        <v>31</v>
      </c>
      <c r="G53" s="9" t="s">
        <v>18</v>
      </c>
      <c r="H53" s="10" t="s">
        <v>1638</v>
      </c>
      <c r="I53" s="9" t="s">
        <v>20</v>
      </c>
      <c r="J53" s="9"/>
      <c r="K53" s="48">
        <f t="shared" si="4"/>
        <v>42573.207638888889</v>
      </c>
      <c r="L53" s="49">
        <f t="shared" si="1"/>
        <v>2649</v>
      </c>
      <c r="M53" t="s">
        <v>1677</v>
      </c>
      <c r="O53" t="str">
        <f t="shared" si="5"/>
        <v>, "07160721_1836", "07160721_1933", "07160721_2029", "07160721_2126", "07160721_2223", "07160721_2319", "07160722_0016", "07160722_0112", "07160722_0209", "07160722_0306", "07160722_0402", "07160722_0459"</v>
      </c>
    </row>
    <row r="54" spans="1:15" ht="15" customHeight="1">
      <c r="A54" s="9" t="s">
        <v>1689</v>
      </c>
      <c r="B54" s="9" t="s">
        <v>17</v>
      </c>
      <c r="C54" s="9">
        <v>59</v>
      </c>
      <c r="D54" s="9" t="s">
        <v>41</v>
      </c>
      <c r="E54" s="9">
        <v>1000</v>
      </c>
      <c r="F54" s="9">
        <v>32</v>
      </c>
      <c r="G54" s="9" t="s">
        <v>18</v>
      </c>
      <c r="H54" s="10" t="s">
        <v>1638</v>
      </c>
      <c r="I54" s="9" t="s">
        <v>20</v>
      </c>
      <c r="J54" s="9"/>
      <c r="K54" s="48">
        <f t="shared" si="4"/>
        <v>42573.246527777781</v>
      </c>
      <c r="L54" s="49">
        <f t="shared" si="1"/>
        <v>2681</v>
      </c>
      <c r="M54" t="s">
        <v>1677</v>
      </c>
      <c r="O54" t="str">
        <f t="shared" si="5"/>
        <v>, "07160721_1836", "07160721_1933", "07160721_2029", "07160721_2126", "07160721_2223", "07160721_2319", "07160722_0016", "07160722_0112", "07160722_0209", "07160722_0306", "07160722_0402", "07160722_0459", "07160722_0555"</v>
      </c>
    </row>
    <row r="55" spans="1:15" ht="15" customHeight="1">
      <c r="A55" s="9" t="s">
        <v>1690</v>
      </c>
      <c r="B55" s="9" t="s">
        <v>17</v>
      </c>
      <c r="C55" s="9">
        <v>59</v>
      </c>
      <c r="D55" s="9" t="s">
        <v>41</v>
      </c>
      <c r="E55" s="9">
        <v>1000</v>
      </c>
      <c r="F55" s="9">
        <v>31</v>
      </c>
      <c r="G55" s="9" t="s">
        <v>18</v>
      </c>
      <c r="H55" s="10" t="s">
        <v>1638</v>
      </c>
      <c r="I55" s="9" t="s">
        <v>20</v>
      </c>
      <c r="J55" s="9" t="s">
        <v>1691</v>
      </c>
      <c r="K55" s="48">
        <f t="shared" si="4"/>
        <v>42573.709722222222</v>
      </c>
      <c r="L55" s="49">
        <f t="shared" si="1"/>
        <v>2712</v>
      </c>
      <c r="M55" t="s">
        <v>1692</v>
      </c>
    </row>
    <row r="56" spans="1:15" ht="15" customHeight="1">
      <c r="A56" s="9" t="s">
        <v>1693</v>
      </c>
      <c r="B56" s="9" t="s">
        <v>17</v>
      </c>
      <c r="C56" s="9">
        <v>59</v>
      </c>
      <c r="D56" s="9" t="s">
        <v>41</v>
      </c>
      <c r="E56" s="9">
        <v>1000</v>
      </c>
      <c r="F56" s="9">
        <v>31</v>
      </c>
      <c r="G56" s="9" t="s">
        <v>18</v>
      </c>
      <c r="H56" s="10" t="s">
        <v>1638</v>
      </c>
      <c r="I56" s="9" t="s">
        <v>20</v>
      </c>
      <c r="J56" s="9" t="s">
        <v>1691</v>
      </c>
      <c r="K56" s="48">
        <f t="shared" si="4"/>
        <v>42573.748611111114</v>
      </c>
      <c r="L56" s="49">
        <f t="shared" si="1"/>
        <v>2743</v>
      </c>
      <c r="M56" t="s">
        <v>1692</v>
      </c>
    </row>
    <row r="57" spans="1:15" ht="15" customHeight="1">
      <c r="A57" s="9" t="s">
        <v>1694</v>
      </c>
      <c r="B57" s="9" t="s">
        <v>17</v>
      </c>
      <c r="C57" s="9">
        <v>59</v>
      </c>
      <c r="D57" s="9" t="s">
        <v>41</v>
      </c>
      <c r="E57" s="9">
        <v>1000</v>
      </c>
      <c r="F57" s="9">
        <v>31</v>
      </c>
      <c r="G57" s="9" t="s">
        <v>18</v>
      </c>
      <c r="H57" s="10" t="s">
        <v>1638</v>
      </c>
      <c r="I57" s="9" t="s">
        <v>20</v>
      </c>
      <c r="J57" s="9" t="s">
        <v>1691</v>
      </c>
      <c r="K57" s="48">
        <f t="shared" si="4"/>
        <v>42573.788194444445</v>
      </c>
      <c r="L57" s="49">
        <f t="shared" si="1"/>
        <v>2774</v>
      </c>
      <c r="M57" t="s">
        <v>1692</v>
      </c>
    </row>
    <row r="58" spans="1:15" ht="15" customHeight="1">
      <c r="A58" s="9" t="s">
        <v>1695</v>
      </c>
      <c r="B58" s="9" t="s">
        <v>17</v>
      </c>
      <c r="C58" s="9">
        <v>59</v>
      </c>
      <c r="D58" s="9" t="s">
        <v>41</v>
      </c>
      <c r="E58" s="9">
        <v>1000</v>
      </c>
      <c r="F58" s="9">
        <v>31</v>
      </c>
      <c r="G58" s="9" t="s">
        <v>18</v>
      </c>
      <c r="H58" s="10" t="s">
        <v>1638</v>
      </c>
      <c r="I58" s="9" t="s">
        <v>20</v>
      </c>
      <c r="J58" s="9" t="s">
        <v>1691</v>
      </c>
      <c r="K58" s="48">
        <f t="shared" si="4"/>
        <v>42573.82708333333</v>
      </c>
      <c r="L58" s="49">
        <f t="shared" si="1"/>
        <v>2805</v>
      </c>
      <c r="M58" t="s">
        <v>1692</v>
      </c>
    </row>
    <row r="59" spans="1:15" ht="15" customHeight="1">
      <c r="A59" s="9" t="s">
        <v>1696</v>
      </c>
      <c r="B59" s="9" t="s">
        <v>17</v>
      </c>
      <c r="C59" s="9">
        <v>59</v>
      </c>
      <c r="D59" s="9" t="s">
        <v>41</v>
      </c>
      <c r="E59" s="9">
        <v>1000</v>
      </c>
      <c r="F59" s="9">
        <v>31</v>
      </c>
      <c r="G59" s="9" t="s">
        <v>18</v>
      </c>
      <c r="H59" s="10" t="s">
        <v>1638</v>
      </c>
      <c r="I59" s="9" t="s">
        <v>20</v>
      </c>
      <c r="J59" s="9" t="s">
        <v>1691</v>
      </c>
      <c r="K59" s="48">
        <f t="shared" si="4"/>
        <v>42573.866666666669</v>
      </c>
      <c r="L59" s="49">
        <f t="shared" si="1"/>
        <v>2836</v>
      </c>
      <c r="M59" t="s">
        <v>1692</v>
      </c>
    </row>
    <row r="60" spans="1:15" ht="15" customHeight="1">
      <c r="A60" s="9" t="s">
        <v>1697</v>
      </c>
      <c r="B60" s="9" t="s">
        <v>17</v>
      </c>
      <c r="C60" s="9">
        <v>59</v>
      </c>
      <c r="D60" s="9" t="s">
        <v>41</v>
      </c>
      <c r="E60" s="9">
        <v>1000</v>
      </c>
      <c r="F60" s="9">
        <v>31</v>
      </c>
      <c r="G60" s="9" t="s">
        <v>18</v>
      </c>
      <c r="H60" s="10" t="s">
        <v>1638</v>
      </c>
      <c r="I60" s="9" t="s">
        <v>20</v>
      </c>
      <c r="J60" s="9" t="s">
        <v>1691</v>
      </c>
      <c r="K60" s="48">
        <f t="shared" si="4"/>
        <v>42573.90625</v>
      </c>
      <c r="L60" s="49">
        <f t="shared" si="1"/>
        <v>2867</v>
      </c>
      <c r="M60" t="s">
        <v>1692</v>
      </c>
    </row>
    <row r="61" spans="1:15" ht="15" customHeight="1">
      <c r="A61" s="9" t="s">
        <v>1698</v>
      </c>
      <c r="B61" s="9" t="s">
        <v>17</v>
      </c>
      <c r="C61" s="9">
        <v>59</v>
      </c>
      <c r="D61" s="9" t="s">
        <v>41</v>
      </c>
      <c r="E61" s="9">
        <v>1000</v>
      </c>
      <c r="F61" s="9">
        <v>31</v>
      </c>
      <c r="G61" s="9" t="s">
        <v>18</v>
      </c>
      <c r="H61" s="10" t="s">
        <v>1638</v>
      </c>
      <c r="I61" s="9" t="s">
        <v>20</v>
      </c>
      <c r="J61" s="9" t="s">
        <v>1691</v>
      </c>
      <c r="K61" s="48">
        <f t="shared" si="4"/>
        <v>42573.945138888892</v>
      </c>
      <c r="L61" s="49">
        <f t="shared" si="1"/>
        <v>2898</v>
      </c>
      <c r="M61" t="s">
        <v>1692</v>
      </c>
    </row>
    <row r="62" spans="1:15" ht="15" customHeight="1">
      <c r="A62" s="9" t="s">
        <v>1699</v>
      </c>
      <c r="B62" s="9" t="s">
        <v>17</v>
      </c>
      <c r="C62" s="9">
        <v>59</v>
      </c>
      <c r="D62" s="9" t="s">
        <v>41</v>
      </c>
      <c r="E62" s="9">
        <v>1000</v>
      </c>
      <c r="F62" s="9">
        <v>31</v>
      </c>
      <c r="G62" s="9" t="s">
        <v>18</v>
      </c>
      <c r="H62" s="10" t="s">
        <v>1638</v>
      </c>
      <c r="I62" s="9" t="s">
        <v>20</v>
      </c>
      <c r="J62" s="9" t="s">
        <v>1691</v>
      </c>
      <c r="K62" s="48">
        <f t="shared" si="4"/>
        <v>42573.984722222223</v>
      </c>
      <c r="L62" s="49">
        <f t="shared" si="1"/>
        <v>2929</v>
      </c>
      <c r="M62" t="s">
        <v>1692</v>
      </c>
    </row>
    <row r="63" spans="1:15" ht="15" customHeight="1">
      <c r="A63" s="9" t="s">
        <v>1700</v>
      </c>
      <c r="B63" s="9" t="s">
        <v>17</v>
      </c>
      <c r="C63" s="9">
        <v>59</v>
      </c>
      <c r="D63" s="9" t="s">
        <v>41</v>
      </c>
      <c r="E63" s="9">
        <v>1000</v>
      </c>
      <c r="F63" s="9">
        <v>31</v>
      </c>
      <c r="G63" s="9" t="s">
        <v>18</v>
      </c>
      <c r="H63" s="10" t="s">
        <v>1638</v>
      </c>
      <c r="I63" s="9" t="s">
        <v>20</v>
      </c>
      <c r="J63" s="9" t="s">
        <v>1691</v>
      </c>
      <c r="K63" s="48">
        <f t="shared" si="4"/>
        <v>42574.023611111108</v>
      </c>
      <c r="L63" s="49">
        <f t="shared" si="1"/>
        <v>2960</v>
      </c>
      <c r="M63" t="s">
        <v>1692</v>
      </c>
    </row>
    <row r="64" spans="1:15" ht="15" customHeight="1">
      <c r="A64" s="9" t="s">
        <v>1701</v>
      </c>
      <c r="B64" s="9" t="s">
        <v>17</v>
      </c>
      <c r="C64" s="9">
        <v>59</v>
      </c>
      <c r="D64" s="9" t="s">
        <v>41</v>
      </c>
      <c r="E64" s="9">
        <v>1000</v>
      </c>
      <c r="F64" s="9">
        <v>31</v>
      </c>
      <c r="G64" s="9" t="s">
        <v>18</v>
      </c>
      <c r="H64" s="10" t="s">
        <v>1638</v>
      </c>
      <c r="I64" s="9" t="s">
        <v>20</v>
      </c>
      <c r="J64" s="9" t="s">
        <v>1691</v>
      </c>
      <c r="K64" s="48">
        <f t="shared" si="4"/>
        <v>42574.063194444447</v>
      </c>
      <c r="L64" s="49">
        <f t="shared" si="1"/>
        <v>2991</v>
      </c>
      <c r="M64" t="s">
        <v>1692</v>
      </c>
    </row>
    <row r="65" spans="1:15" ht="15" customHeight="1">
      <c r="A65" s="9" t="s">
        <v>1702</v>
      </c>
      <c r="B65" s="9" t="s">
        <v>17</v>
      </c>
      <c r="C65" s="9">
        <v>59</v>
      </c>
      <c r="D65" s="9" t="s">
        <v>41</v>
      </c>
      <c r="E65" s="9">
        <v>1000</v>
      </c>
      <c r="F65" s="9">
        <v>31</v>
      </c>
      <c r="G65" s="9" t="s">
        <v>18</v>
      </c>
      <c r="H65" s="10" t="s">
        <v>1638</v>
      </c>
      <c r="I65" s="9" t="s">
        <v>20</v>
      </c>
      <c r="J65" s="9" t="s">
        <v>1691</v>
      </c>
      <c r="K65" s="48">
        <f t="shared" si="4"/>
        <v>42574.102777777778</v>
      </c>
      <c r="L65" s="49">
        <f t="shared" si="1"/>
        <v>3022</v>
      </c>
      <c r="M65" t="s">
        <v>1692</v>
      </c>
    </row>
    <row r="66" spans="1:15" ht="15" customHeight="1">
      <c r="A66" s="9" t="s">
        <v>1703</v>
      </c>
      <c r="B66" s="9" t="s">
        <v>17</v>
      </c>
      <c r="C66" s="9">
        <v>59</v>
      </c>
      <c r="D66" s="9" t="s">
        <v>41</v>
      </c>
      <c r="E66" s="9">
        <v>1000</v>
      </c>
      <c r="F66" s="9">
        <v>31</v>
      </c>
      <c r="G66" s="9" t="s">
        <v>18</v>
      </c>
      <c r="H66" s="10" t="s">
        <v>1638</v>
      </c>
      <c r="I66" s="9" t="s">
        <v>20</v>
      </c>
      <c r="J66" s="9" t="s">
        <v>1691</v>
      </c>
      <c r="K66" s="48">
        <f t="shared" si="4"/>
        <v>42574.14166666667</v>
      </c>
      <c r="L66" s="49">
        <f t="shared" si="1"/>
        <v>3053</v>
      </c>
      <c r="M66" t="s">
        <v>1692</v>
      </c>
    </row>
    <row r="67" spans="1:15" ht="15" customHeight="1">
      <c r="A67" s="9" t="s">
        <v>1704</v>
      </c>
      <c r="B67" s="9" t="s">
        <v>17</v>
      </c>
      <c r="C67" s="9">
        <v>59</v>
      </c>
      <c r="D67" s="9" t="s">
        <v>41</v>
      </c>
      <c r="E67" s="9">
        <v>1000</v>
      </c>
      <c r="F67" s="9">
        <v>31</v>
      </c>
      <c r="G67" s="9" t="s">
        <v>18</v>
      </c>
      <c r="H67" s="10" t="s">
        <v>1638</v>
      </c>
      <c r="I67" s="9" t="s">
        <v>20</v>
      </c>
      <c r="J67" s="9" t="s">
        <v>1691</v>
      </c>
      <c r="K67" s="48">
        <f t="shared" si="4"/>
        <v>42574.181250000001</v>
      </c>
      <c r="L67" s="49">
        <f t="shared" si="1"/>
        <v>3084</v>
      </c>
      <c r="M67" t="s">
        <v>1692</v>
      </c>
    </row>
    <row r="68" spans="1:15" ht="15" customHeight="1">
      <c r="A68" s="9" t="s">
        <v>1705</v>
      </c>
      <c r="B68" s="9" t="s">
        <v>17</v>
      </c>
      <c r="C68" s="9">
        <v>59</v>
      </c>
      <c r="D68" s="9" t="s">
        <v>41</v>
      </c>
      <c r="E68" s="9">
        <v>1000</v>
      </c>
      <c r="F68" s="9">
        <v>31</v>
      </c>
      <c r="G68" s="9" t="s">
        <v>18</v>
      </c>
      <c r="H68" s="10" t="s">
        <v>1638</v>
      </c>
      <c r="I68" s="9" t="s">
        <v>20</v>
      </c>
      <c r="J68" s="9" t="s">
        <v>1691</v>
      </c>
      <c r="K68" s="48">
        <f t="shared" si="4"/>
        <v>42574.220138888886</v>
      </c>
      <c r="L68" s="49">
        <f t="shared" ref="L68:L131" si="6">L67+F68</f>
        <v>3115</v>
      </c>
      <c r="M68" t="s">
        <v>1692</v>
      </c>
    </row>
    <row r="69" spans="1:15" ht="15" customHeight="1">
      <c r="A69" s="9" t="s">
        <v>1706</v>
      </c>
      <c r="B69" s="9" t="s">
        <v>17</v>
      </c>
      <c r="C69" s="9">
        <v>59</v>
      </c>
      <c r="D69" s="9" t="s">
        <v>41</v>
      </c>
      <c r="E69" s="9">
        <v>1000</v>
      </c>
      <c r="F69" s="9">
        <v>31</v>
      </c>
      <c r="G69" s="9" t="s">
        <v>18</v>
      </c>
      <c r="H69" s="10" t="s">
        <v>1638</v>
      </c>
      <c r="I69" s="9" t="s">
        <v>20</v>
      </c>
      <c r="J69" s="9" t="s">
        <v>1691</v>
      </c>
      <c r="K69" s="48">
        <f t="shared" si="4"/>
        <v>42574.259722222225</v>
      </c>
      <c r="L69" s="49">
        <f t="shared" si="6"/>
        <v>3146</v>
      </c>
      <c r="M69" t="s">
        <v>1692</v>
      </c>
    </row>
    <row r="70" spans="1:15" ht="15" customHeight="1">
      <c r="A70" s="9" t="s">
        <v>1707</v>
      </c>
      <c r="B70" s="9" t="s">
        <v>17</v>
      </c>
      <c r="C70" s="9">
        <v>59</v>
      </c>
      <c r="D70" s="9" t="s">
        <v>41</v>
      </c>
      <c r="E70" s="9">
        <v>1000</v>
      </c>
      <c r="F70" s="9">
        <v>31</v>
      </c>
      <c r="G70" s="9" t="s">
        <v>18</v>
      </c>
      <c r="H70" s="10" t="s">
        <v>1638</v>
      </c>
      <c r="I70" s="9" t="s">
        <v>20</v>
      </c>
      <c r="J70" s="9" t="s">
        <v>1691</v>
      </c>
      <c r="K70" s="48">
        <f t="shared" si="4"/>
        <v>42574.299305555556</v>
      </c>
      <c r="L70" s="49">
        <f t="shared" si="6"/>
        <v>3177</v>
      </c>
      <c r="M70" t="s">
        <v>1692</v>
      </c>
    </row>
    <row r="71" spans="1:15" ht="15" customHeight="1">
      <c r="A71" s="9" t="s">
        <v>1708</v>
      </c>
      <c r="B71" s="9" t="s">
        <v>17</v>
      </c>
      <c r="C71" s="9">
        <v>59</v>
      </c>
      <c r="D71" s="9" t="s">
        <v>41</v>
      </c>
      <c r="E71" s="9">
        <v>1000</v>
      </c>
      <c r="F71" s="9">
        <v>32</v>
      </c>
      <c r="G71" s="9" t="s">
        <v>18</v>
      </c>
      <c r="H71" s="10" t="s">
        <v>1709</v>
      </c>
      <c r="I71" s="9" t="s">
        <v>20</v>
      </c>
      <c r="J71" s="9" t="s">
        <v>75</v>
      </c>
      <c r="K71" s="48">
        <f t="shared" si="4"/>
        <v>42574.45</v>
      </c>
      <c r="L71" s="49">
        <f t="shared" si="6"/>
        <v>3209</v>
      </c>
      <c r="M71" t="s">
        <v>1692</v>
      </c>
      <c r="O71" t="str">
        <f t="shared" ref="O71:O90" si="7">O70&amp;", """&amp;A71&amp;""""</f>
        <v>, "07160723_1048"</v>
      </c>
    </row>
    <row r="72" spans="1:15" ht="15" customHeight="1">
      <c r="A72" s="9" t="s">
        <v>1710</v>
      </c>
      <c r="B72" s="9" t="s">
        <v>17</v>
      </c>
      <c r="C72" s="9">
        <v>59</v>
      </c>
      <c r="D72" s="9" t="s">
        <v>41</v>
      </c>
      <c r="E72" s="9">
        <v>1000</v>
      </c>
      <c r="F72" s="9">
        <v>31</v>
      </c>
      <c r="G72" s="9" t="s">
        <v>18</v>
      </c>
      <c r="H72" s="10" t="s">
        <v>1709</v>
      </c>
      <c r="I72" s="9" t="s">
        <v>20</v>
      </c>
      <c r="J72" s="9" t="s">
        <v>75</v>
      </c>
      <c r="K72" s="48">
        <f t="shared" si="4"/>
        <v>42574.489583333336</v>
      </c>
      <c r="L72" s="49">
        <f t="shared" si="6"/>
        <v>3240</v>
      </c>
      <c r="M72" t="s">
        <v>1692</v>
      </c>
      <c r="O72" t="str">
        <f t="shared" si="7"/>
        <v>, "07160723_1048", "07160723_1145"</v>
      </c>
    </row>
    <row r="73" spans="1:15" ht="15" customHeight="1">
      <c r="A73" s="9" t="s">
        <v>1711</v>
      </c>
      <c r="B73" s="9" t="s">
        <v>17</v>
      </c>
      <c r="C73" s="9">
        <v>59</v>
      </c>
      <c r="D73" s="9" t="s">
        <v>41</v>
      </c>
      <c r="E73" s="9">
        <v>1000</v>
      </c>
      <c r="F73" s="9">
        <v>31</v>
      </c>
      <c r="G73" s="9" t="s">
        <v>18</v>
      </c>
      <c r="H73" s="10" t="s">
        <v>1709</v>
      </c>
      <c r="I73" s="9" t="s">
        <v>20</v>
      </c>
      <c r="J73" s="9" t="s">
        <v>75</v>
      </c>
      <c r="K73" s="48">
        <f t="shared" si="4"/>
        <v>42574.52847222222</v>
      </c>
      <c r="L73" s="49">
        <f t="shared" si="6"/>
        <v>3271</v>
      </c>
      <c r="M73" t="s">
        <v>1692</v>
      </c>
      <c r="O73" t="str">
        <f t="shared" si="7"/>
        <v>, "07160723_1048", "07160723_1145", "07160723_1241"</v>
      </c>
    </row>
    <row r="74" spans="1:15" ht="15" customHeight="1">
      <c r="A74" s="9" t="s">
        <v>1712</v>
      </c>
      <c r="B74" s="9" t="s">
        <v>17</v>
      </c>
      <c r="C74" s="9">
        <v>59</v>
      </c>
      <c r="D74" s="9" t="s">
        <v>41</v>
      </c>
      <c r="E74" s="9">
        <v>1000</v>
      </c>
      <c r="F74" s="9">
        <v>31</v>
      </c>
      <c r="G74" s="9" t="s">
        <v>18</v>
      </c>
      <c r="H74" s="10" t="s">
        <v>1709</v>
      </c>
      <c r="I74" s="9" t="s">
        <v>20</v>
      </c>
      <c r="J74" s="9" t="s">
        <v>75</v>
      </c>
      <c r="K74" s="48">
        <f t="shared" si="4"/>
        <v>42574.568055555559</v>
      </c>
      <c r="L74" s="49">
        <f t="shared" si="6"/>
        <v>3302</v>
      </c>
      <c r="M74" t="s">
        <v>1692</v>
      </c>
      <c r="O74" t="str">
        <f t="shared" si="7"/>
        <v>, "07160723_1048", "07160723_1145", "07160723_1241", "07160723_1338"</v>
      </c>
    </row>
    <row r="75" spans="1:15" ht="15" customHeight="1">
      <c r="A75" t="s">
        <v>1713</v>
      </c>
      <c r="B75" t="s">
        <v>17</v>
      </c>
      <c r="C75">
        <v>59</v>
      </c>
      <c r="D75" t="s">
        <v>41</v>
      </c>
      <c r="E75">
        <v>1000</v>
      </c>
      <c r="F75">
        <v>31</v>
      </c>
      <c r="G75" t="s">
        <v>18</v>
      </c>
      <c r="H75" t="s">
        <v>25</v>
      </c>
      <c r="I75" t="s">
        <v>20</v>
      </c>
      <c r="J75" s="9" t="s">
        <v>75</v>
      </c>
      <c r="K75" s="48">
        <f t="shared" si="4"/>
        <v>42574.606944444444</v>
      </c>
      <c r="L75" s="49">
        <f t="shared" si="6"/>
        <v>3333</v>
      </c>
      <c r="M75" t="s">
        <v>1692</v>
      </c>
      <c r="O75" t="str">
        <f t="shared" si="7"/>
        <v>, "07160723_1048", "07160723_1145", "07160723_1241", "07160723_1338", "07160723_1434"</v>
      </c>
    </row>
    <row r="76" spans="1:15" ht="15" customHeight="1">
      <c r="A76" t="s">
        <v>1714</v>
      </c>
      <c r="B76" t="s">
        <v>17</v>
      </c>
      <c r="C76">
        <v>59</v>
      </c>
      <c r="D76" t="s">
        <v>41</v>
      </c>
      <c r="E76">
        <v>1000</v>
      </c>
      <c r="F76">
        <v>31</v>
      </c>
      <c r="G76" t="s">
        <v>18</v>
      </c>
      <c r="H76" t="s">
        <v>25</v>
      </c>
      <c r="I76" t="s">
        <v>20</v>
      </c>
      <c r="J76" s="9" t="s">
        <v>75</v>
      </c>
      <c r="K76" s="48">
        <f t="shared" si="4"/>
        <v>42574.646527777775</v>
      </c>
      <c r="L76" s="49">
        <f t="shared" si="6"/>
        <v>3364</v>
      </c>
      <c r="M76" t="s">
        <v>1692</v>
      </c>
      <c r="O76" t="str">
        <f t="shared" si="7"/>
        <v>, "07160723_1048", "07160723_1145", "07160723_1241", "07160723_1338", "07160723_1434", "07160723_1531"</v>
      </c>
    </row>
    <row r="77" spans="1:15" ht="15" customHeight="1">
      <c r="A77" t="s">
        <v>1715</v>
      </c>
      <c r="B77" t="s">
        <v>17</v>
      </c>
      <c r="C77">
        <v>59</v>
      </c>
      <c r="D77" t="s">
        <v>41</v>
      </c>
      <c r="E77">
        <v>1000</v>
      </c>
      <c r="F77">
        <v>31</v>
      </c>
      <c r="G77" t="s">
        <v>18</v>
      </c>
      <c r="H77" t="s">
        <v>25</v>
      </c>
      <c r="I77" t="s">
        <v>20</v>
      </c>
      <c r="J77" s="9" t="s">
        <v>75</v>
      </c>
      <c r="K77" s="48">
        <f t="shared" si="4"/>
        <v>42574.686111111114</v>
      </c>
      <c r="L77" s="49">
        <f t="shared" si="6"/>
        <v>3395</v>
      </c>
      <c r="M77" t="s">
        <v>1692</v>
      </c>
      <c r="O77" t="str">
        <f t="shared" si="7"/>
        <v>, "07160723_1048", "07160723_1145", "07160723_1241", "07160723_1338", "07160723_1434", "07160723_1531", "07160723_1628"</v>
      </c>
    </row>
    <row r="78" spans="1:15" ht="15" customHeight="1">
      <c r="A78" t="s">
        <v>1716</v>
      </c>
      <c r="B78" t="s">
        <v>17</v>
      </c>
      <c r="C78">
        <v>59</v>
      </c>
      <c r="D78" t="s">
        <v>41</v>
      </c>
      <c r="E78">
        <v>1000</v>
      </c>
      <c r="F78">
        <v>31</v>
      </c>
      <c r="G78" t="s">
        <v>18</v>
      </c>
      <c r="H78" t="s">
        <v>25</v>
      </c>
      <c r="I78" t="s">
        <v>20</v>
      </c>
      <c r="J78" s="9" t="s">
        <v>75</v>
      </c>
      <c r="K78" s="48">
        <f t="shared" si="4"/>
        <v>42574.724999999999</v>
      </c>
      <c r="L78" s="49">
        <f t="shared" si="6"/>
        <v>3426</v>
      </c>
      <c r="M78" t="s">
        <v>1692</v>
      </c>
      <c r="O78" t="str">
        <f t="shared" si="7"/>
        <v>, "07160723_1048", "07160723_1145", "07160723_1241", "07160723_1338", "07160723_1434", "07160723_1531", "07160723_1628", "07160723_1724"</v>
      </c>
    </row>
    <row r="79" spans="1:15" ht="15" customHeight="1">
      <c r="A79" t="s">
        <v>1717</v>
      </c>
      <c r="B79" t="s">
        <v>17</v>
      </c>
      <c r="C79">
        <v>59</v>
      </c>
      <c r="D79" t="s">
        <v>41</v>
      </c>
      <c r="E79">
        <v>1000</v>
      </c>
      <c r="F79">
        <v>31</v>
      </c>
      <c r="G79" t="s">
        <v>18</v>
      </c>
      <c r="H79" t="s">
        <v>25</v>
      </c>
      <c r="I79" t="s">
        <v>20</v>
      </c>
      <c r="J79" s="9" t="s">
        <v>75</v>
      </c>
      <c r="K79" s="48">
        <f t="shared" si="4"/>
        <v>42574.76458333333</v>
      </c>
      <c r="L79" s="49">
        <f t="shared" si="6"/>
        <v>3457</v>
      </c>
      <c r="M79" t="s">
        <v>1692</v>
      </c>
      <c r="O79" t="str">
        <f t="shared" si="7"/>
        <v>, "07160723_1048", "07160723_1145", "07160723_1241", "07160723_1338", "07160723_1434", "07160723_1531", "07160723_1628", "07160723_1724", "07160723_1821"</v>
      </c>
    </row>
    <row r="80" spans="1:15" ht="15" customHeight="1">
      <c r="A80" t="s">
        <v>1718</v>
      </c>
      <c r="B80" t="s">
        <v>17</v>
      </c>
      <c r="C80">
        <v>59</v>
      </c>
      <c r="D80" t="s">
        <v>41</v>
      </c>
      <c r="E80">
        <v>1000</v>
      </c>
      <c r="F80">
        <v>31</v>
      </c>
      <c r="G80" t="s">
        <v>18</v>
      </c>
      <c r="H80" t="s">
        <v>25</v>
      </c>
      <c r="I80" t="s">
        <v>20</v>
      </c>
      <c r="J80" s="9" t="s">
        <v>75</v>
      </c>
      <c r="K80" s="48">
        <f t="shared" si="4"/>
        <v>42574.803472222222</v>
      </c>
      <c r="L80" s="49">
        <f t="shared" si="6"/>
        <v>3488</v>
      </c>
      <c r="M80" t="s">
        <v>1692</v>
      </c>
      <c r="O80" t="str">
        <f t="shared" si="7"/>
        <v>, "07160723_1048", "07160723_1145", "07160723_1241", "07160723_1338", "07160723_1434", "07160723_1531", "07160723_1628", "07160723_1724", "07160723_1821", "07160723_1917"</v>
      </c>
    </row>
    <row r="81" spans="1:15" ht="15" customHeight="1">
      <c r="A81" t="s">
        <v>1719</v>
      </c>
      <c r="B81" t="s">
        <v>17</v>
      </c>
      <c r="C81">
        <v>59</v>
      </c>
      <c r="D81" t="s">
        <v>41</v>
      </c>
      <c r="E81">
        <v>1000</v>
      </c>
      <c r="F81">
        <v>31</v>
      </c>
      <c r="G81" t="s">
        <v>18</v>
      </c>
      <c r="H81" t="s">
        <v>25</v>
      </c>
      <c r="I81" t="s">
        <v>20</v>
      </c>
      <c r="J81" s="9" t="s">
        <v>75</v>
      </c>
      <c r="K81" s="48">
        <f t="shared" si="4"/>
        <v>42574.843055555553</v>
      </c>
      <c r="L81" s="49">
        <f t="shared" si="6"/>
        <v>3519</v>
      </c>
      <c r="M81" t="s">
        <v>1692</v>
      </c>
      <c r="O81" t="str">
        <f t="shared" si="7"/>
        <v>, "07160723_1048", "07160723_1145", "07160723_1241", "07160723_1338", "07160723_1434", "07160723_1531", "07160723_1628", "07160723_1724", "07160723_1821", "07160723_1917", "07160723_2014"</v>
      </c>
    </row>
    <row r="82" spans="1:15" ht="15" customHeight="1">
      <c r="A82" t="s">
        <v>1720</v>
      </c>
      <c r="B82" t="s">
        <v>17</v>
      </c>
      <c r="C82">
        <v>59</v>
      </c>
      <c r="D82" t="s">
        <v>41</v>
      </c>
      <c r="E82">
        <v>1000</v>
      </c>
      <c r="F82">
        <v>31</v>
      </c>
      <c r="G82" t="s">
        <v>18</v>
      </c>
      <c r="H82" t="s">
        <v>25</v>
      </c>
      <c r="I82" t="s">
        <v>20</v>
      </c>
      <c r="J82" s="9" t="s">
        <v>75</v>
      </c>
      <c r="K82" s="48">
        <f t="shared" si="4"/>
        <v>42574.882638888892</v>
      </c>
      <c r="L82" s="49">
        <f t="shared" si="6"/>
        <v>3550</v>
      </c>
      <c r="M82" t="s">
        <v>1692</v>
      </c>
      <c r="O82" t="str">
        <f t="shared" si="7"/>
        <v>, "07160723_1048", "07160723_1145", "07160723_1241", "07160723_1338", "07160723_1434", "07160723_1531", "07160723_1628", "07160723_1724", "07160723_1821", "07160723_1917", "07160723_2014", "07160723_2111"</v>
      </c>
    </row>
    <row r="83" spans="1:15" ht="15" customHeight="1">
      <c r="A83" t="s">
        <v>1721</v>
      </c>
      <c r="B83" t="s">
        <v>17</v>
      </c>
      <c r="C83">
        <v>59</v>
      </c>
      <c r="D83" t="s">
        <v>41</v>
      </c>
      <c r="E83">
        <v>1000</v>
      </c>
      <c r="F83">
        <v>31</v>
      </c>
      <c r="G83" t="s">
        <v>18</v>
      </c>
      <c r="H83" t="s">
        <v>25</v>
      </c>
      <c r="I83" t="s">
        <v>20</v>
      </c>
      <c r="J83" s="9" t="s">
        <v>75</v>
      </c>
      <c r="K83" s="48">
        <f t="shared" si="4"/>
        <v>42574.921527777777</v>
      </c>
      <c r="L83" s="49">
        <f t="shared" si="6"/>
        <v>3581</v>
      </c>
      <c r="M83" t="s">
        <v>1692</v>
      </c>
      <c r="O83" t="str">
        <f t="shared" si="7"/>
        <v>, "07160723_1048", "07160723_1145", "07160723_1241", "07160723_1338", "07160723_1434", "07160723_1531", "07160723_1628", "07160723_1724", "07160723_1821", "07160723_1917", "07160723_2014", "07160723_2111", "07160723_2207"</v>
      </c>
    </row>
    <row r="84" spans="1:15" ht="15" customHeight="1">
      <c r="A84" t="s">
        <v>1722</v>
      </c>
      <c r="B84" t="s">
        <v>17</v>
      </c>
      <c r="C84">
        <v>59</v>
      </c>
      <c r="D84" t="s">
        <v>41</v>
      </c>
      <c r="E84">
        <v>1000</v>
      </c>
      <c r="F84">
        <v>31</v>
      </c>
      <c r="G84" t="s">
        <v>18</v>
      </c>
      <c r="H84" t="s">
        <v>25</v>
      </c>
      <c r="I84" t="s">
        <v>20</v>
      </c>
      <c r="J84" s="9" t="s">
        <v>75</v>
      </c>
      <c r="K84" s="48">
        <f t="shared" si="4"/>
        <v>42574.961111111108</v>
      </c>
      <c r="L84" s="49">
        <f t="shared" si="6"/>
        <v>3612</v>
      </c>
      <c r="M84" t="s">
        <v>1692</v>
      </c>
      <c r="O84" t="str">
        <f t="shared" si="7"/>
        <v>, "07160723_1048", "07160723_1145", "07160723_1241", "07160723_1338", "07160723_1434", "07160723_1531", "07160723_1628", "07160723_1724", "07160723_1821", "07160723_1917", "07160723_2014", "07160723_2111", "07160723_2207", "07160723_2304"</v>
      </c>
    </row>
    <row r="85" spans="1:15" ht="15" customHeight="1">
      <c r="A85" t="s">
        <v>1723</v>
      </c>
      <c r="B85" t="s">
        <v>17</v>
      </c>
      <c r="C85">
        <v>59</v>
      </c>
      <c r="D85" t="s">
        <v>41</v>
      </c>
      <c r="E85">
        <v>1000</v>
      </c>
      <c r="F85">
        <v>31</v>
      </c>
      <c r="G85" t="s">
        <v>18</v>
      </c>
      <c r="H85" t="s">
        <v>25</v>
      </c>
      <c r="I85" t="s">
        <v>20</v>
      </c>
      <c r="J85" s="9" t="s">
        <v>75</v>
      </c>
      <c r="K85" s="48">
        <f t="shared" si="4"/>
        <v>42575</v>
      </c>
      <c r="L85" s="49">
        <f t="shared" si="6"/>
        <v>3643</v>
      </c>
      <c r="M85" t="s">
        <v>1692</v>
      </c>
      <c r="O85" t="str">
        <f t="shared" si="7"/>
        <v>, "07160723_1048", "07160723_1145", "07160723_1241", "07160723_1338", "07160723_1434", "07160723_1531", "07160723_1628", "07160723_1724", "07160723_1821", "07160723_1917", "07160723_2014", "07160723_2111", "07160723_2207", "07160723_2304", "07160724_0000"</v>
      </c>
    </row>
    <row r="86" spans="1:15" ht="15" customHeight="1">
      <c r="A86" t="s">
        <v>1724</v>
      </c>
      <c r="B86" t="s">
        <v>17</v>
      </c>
      <c r="C86">
        <v>59</v>
      </c>
      <c r="D86" t="s">
        <v>41</v>
      </c>
      <c r="E86">
        <v>1000</v>
      </c>
      <c r="F86">
        <v>31</v>
      </c>
      <c r="G86" t="s">
        <v>18</v>
      </c>
      <c r="H86" t="s">
        <v>25</v>
      </c>
      <c r="I86" t="s">
        <v>20</v>
      </c>
      <c r="J86" s="9" t="s">
        <v>75</v>
      </c>
      <c r="K86" s="48">
        <f t="shared" si="4"/>
        <v>42575.039583333331</v>
      </c>
      <c r="L86" s="49">
        <f t="shared" si="6"/>
        <v>3674</v>
      </c>
      <c r="M86" t="s">
        <v>1692</v>
      </c>
      <c r="O86" t="str">
        <f t="shared" si="7"/>
        <v>, "07160723_1048", "07160723_1145", "07160723_1241", "07160723_1338", "07160723_1434", "07160723_1531", "07160723_1628", "07160723_1724", "07160723_1821", "07160723_1917", "07160723_2014", "07160723_2111", "07160723_2207", "07160723_2304", "07160724_0000", "07160724_0057"</v>
      </c>
    </row>
    <row r="87" spans="1:15" ht="15" customHeight="1">
      <c r="A87" t="s">
        <v>1725</v>
      </c>
      <c r="B87" t="s">
        <v>17</v>
      </c>
      <c r="C87">
        <v>59</v>
      </c>
      <c r="D87" t="s">
        <v>41</v>
      </c>
      <c r="E87">
        <v>1000</v>
      </c>
      <c r="F87">
        <v>31</v>
      </c>
      <c r="G87" t="s">
        <v>18</v>
      </c>
      <c r="H87" t="s">
        <v>25</v>
      </c>
      <c r="I87" t="s">
        <v>20</v>
      </c>
      <c r="J87" s="9" t="s">
        <v>75</v>
      </c>
      <c r="K87" s="48">
        <f t="shared" si="4"/>
        <v>42575.078472222223</v>
      </c>
      <c r="L87" s="49">
        <f t="shared" si="6"/>
        <v>3705</v>
      </c>
      <c r="M87" t="s">
        <v>1692</v>
      </c>
      <c r="O87" t="str">
        <f t="shared" si="7"/>
        <v>, "07160723_1048", "07160723_1145", "07160723_1241", "07160723_1338", "07160723_1434", "07160723_1531", "07160723_1628", "07160723_1724", "07160723_1821", "07160723_1917", "07160723_2014", "07160723_2111", "07160723_2207", "07160723_2304", "07160724_0000", "07160724_0057", "07160724_0153"</v>
      </c>
    </row>
    <row r="88" spans="1:15" ht="15" customHeight="1">
      <c r="A88" t="s">
        <v>1726</v>
      </c>
      <c r="B88" t="s">
        <v>17</v>
      </c>
      <c r="C88">
        <v>59</v>
      </c>
      <c r="D88" t="s">
        <v>41</v>
      </c>
      <c r="E88">
        <v>1000</v>
      </c>
      <c r="F88">
        <v>31</v>
      </c>
      <c r="G88" t="s">
        <v>18</v>
      </c>
      <c r="H88" t="s">
        <v>25</v>
      </c>
      <c r="I88" t="s">
        <v>20</v>
      </c>
      <c r="J88" s="9" t="s">
        <v>75</v>
      </c>
      <c r="K88" s="48">
        <f t="shared" si="4"/>
        <v>42575.118055555555</v>
      </c>
      <c r="L88" s="49">
        <f t="shared" si="6"/>
        <v>3736</v>
      </c>
      <c r="M88" t="s">
        <v>1692</v>
      </c>
      <c r="O88" t="str">
        <f t="shared" si="7"/>
        <v>, "07160723_1048", "07160723_1145", "07160723_1241", "07160723_1338", "07160723_1434", "07160723_1531", "07160723_1628", "07160723_1724", "07160723_1821", "07160723_1917", "07160723_2014", "07160723_2111", "07160723_2207", "07160723_2304", "07160724_0000", "07160724_0057", "07160724_0153", "07160724_0250"</v>
      </c>
    </row>
    <row r="89" spans="1:15" ht="15" customHeight="1">
      <c r="A89" t="s">
        <v>1727</v>
      </c>
      <c r="B89" t="s">
        <v>17</v>
      </c>
      <c r="C89">
        <v>59</v>
      </c>
      <c r="D89" t="s">
        <v>41</v>
      </c>
      <c r="E89">
        <v>1000</v>
      </c>
      <c r="F89">
        <v>31</v>
      </c>
      <c r="G89" t="s">
        <v>18</v>
      </c>
      <c r="H89" t="s">
        <v>25</v>
      </c>
      <c r="I89" t="s">
        <v>20</v>
      </c>
      <c r="J89" s="9" t="s">
        <v>75</v>
      </c>
      <c r="K89" s="48">
        <f t="shared" si="4"/>
        <v>42575.157638888886</v>
      </c>
      <c r="L89" s="49">
        <f t="shared" si="6"/>
        <v>3767</v>
      </c>
      <c r="M89" t="s">
        <v>1692</v>
      </c>
      <c r="O89" t="str">
        <f t="shared" si="7"/>
        <v>, "07160723_1048", "07160723_1145", "07160723_1241", "07160723_1338", "07160723_1434", "07160723_1531", "07160723_1628", "07160723_1724", "07160723_1821", "07160723_1917", "07160723_2014", "07160723_2111", "07160723_2207", "07160723_2304", "07160724_0000", "07160724_0057", "07160724_0153", "07160724_0250", "07160724_0347"</v>
      </c>
    </row>
    <row r="90" spans="1:15" ht="15" customHeight="1">
      <c r="A90" t="s">
        <v>1728</v>
      </c>
      <c r="B90" t="s">
        <v>17</v>
      </c>
      <c r="C90">
        <v>59</v>
      </c>
      <c r="D90" t="s">
        <v>41</v>
      </c>
      <c r="E90">
        <v>1000</v>
      </c>
      <c r="F90">
        <v>31</v>
      </c>
      <c r="G90" t="s">
        <v>18</v>
      </c>
      <c r="H90" t="s">
        <v>25</v>
      </c>
      <c r="I90" t="s">
        <v>20</v>
      </c>
      <c r="J90" s="9" t="s">
        <v>75</v>
      </c>
      <c r="K90" s="48">
        <f t="shared" si="4"/>
        <v>42575.196527777778</v>
      </c>
      <c r="L90" s="49">
        <f t="shared" si="6"/>
        <v>3798</v>
      </c>
      <c r="M90" t="s">
        <v>1692</v>
      </c>
      <c r="O90" t="str">
        <f t="shared" si="7"/>
        <v>, "07160723_1048", "07160723_1145", "07160723_1241", "07160723_1338", "07160723_1434", "07160723_1531", "07160723_1628", "07160723_1724", "07160723_1821", "07160723_1917", "07160723_2014", "07160723_2111", "07160723_2207", "07160723_2304", "07160724_0000", "07160724_0057", "07160724_0153", "07160724_0250", "07160724_0347", "07160724_0443"</v>
      </c>
    </row>
    <row r="91" spans="1:15" ht="15" customHeight="1">
      <c r="A91" t="s">
        <v>1729</v>
      </c>
      <c r="B91" t="s">
        <v>17</v>
      </c>
      <c r="C91">
        <v>59</v>
      </c>
      <c r="D91" t="s">
        <v>41</v>
      </c>
      <c r="E91">
        <v>1000</v>
      </c>
      <c r="F91">
        <v>1</v>
      </c>
      <c r="G91" t="s">
        <v>18</v>
      </c>
      <c r="H91" t="s">
        <v>19</v>
      </c>
      <c r="I91" t="s">
        <v>20</v>
      </c>
      <c r="J91" t="s">
        <v>1640</v>
      </c>
      <c r="K91" s="48">
        <f t="shared" si="4"/>
        <v>42575.724999999999</v>
      </c>
      <c r="L91" s="49">
        <f t="shared" si="6"/>
        <v>3799</v>
      </c>
      <c r="M91" t="s">
        <v>1677</v>
      </c>
    </row>
    <row r="92" spans="1:15" ht="15" customHeight="1">
      <c r="A92" t="s">
        <v>1730</v>
      </c>
      <c r="B92" t="s">
        <v>17</v>
      </c>
      <c r="C92">
        <v>59</v>
      </c>
      <c r="D92" t="s">
        <v>41</v>
      </c>
      <c r="E92">
        <v>1000</v>
      </c>
      <c r="F92">
        <v>32</v>
      </c>
      <c r="G92" t="s">
        <v>18</v>
      </c>
      <c r="H92" t="s">
        <v>19</v>
      </c>
      <c r="I92" t="s">
        <v>20</v>
      </c>
      <c r="J92" t="s">
        <v>1731</v>
      </c>
      <c r="K92" s="48">
        <f t="shared" si="4"/>
        <v>42575.745138888888</v>
      </c>
      <c r="L92" s="49">
        <f t="shared" si="6"/>
        <v>3831</v>
      </c>
      <c r="M92" t="s">
        <v>1677</v>
      </c>
    </row>
    <row r="93" spans="1:15" ht="15" customHeight="1">
      <c r="A93" t="s">
        <v>1732</v>
      </c>
      <c r="B93" t="s">
        <v>17</v>
      </c>
      <c r="C93">
        <v>59</v>
      </c>
      <c r="D93" t="s">
        <v>41</v>
      </c>
      <c r="E93">
        <v>1000</v>
      </c>
      <c r="F93">
        <v>31</v>
      </c>
      <c r="G93" t="s">
        <v>18</v>
      </c>
      <c r="H93" t="s">
        <v>19</v>
      </c>
      <c r="I93" t="s">
        <v>20</v>
      </c>
      <c r="J93" t="s">
        <v>1731</v>
      </c>
      <c r="K93" s="48">
        <f t="shared" si="4"/>
        <v>42575.78402777778</v>
      </c>
      <c r="L93" s="49">
        <f t="shared" si="6"/>
        <v>3862</v>
      </c>
      <c r="M93" t="s">
        <v>1677</v>
      </c>
    </row>
    <row r="94" spans="1:15" ht="15" customHeight="1">
      <c r="A94" t="s">
        <v>1733</v>
      </c>
      <c r="B94" t="s">
        <v>17</v>
      </c>
      <c r="C94">
        <v>59</v>
      </c>
      <c r="D94" t="s">
        <v>41</v>
      </c>
      <c r="E94">
        <v>1000</v>
      </c>
      <c r="F94">
        <v>31</v>
      </c>
      <c r="G94" t="s">
        <v>18</v>
      </c>
      <c r="H94" t="s">
        <v>19</v>
      </c>
      <c r="I94" t="s">
        <v>20</v>
      </c>
      <c r="J94" t="s">
        <v>1731</v>
      </c>
      <c r="K94" s="48">
        <f t="shared" si="4"/>
        <v>42575.823611111111</v>
      </c>
      <c r="L94" s="49">
        <f t="shared" si="6"/>
        <v>3893</v>
      </c>
      <c r="M94" t="s">
        <v>1677</v>
      </c>
    </row>
    <row r="95" spans="1:15" ht="15" customHeight="1">
      <c r="A95" t="s">
        <v>1734</v>
      </c>
      <c r="B95" t="s">
        <v>17</v>
      </c>
      <c r="C95">
        <v>59</v>
      </c>
      <c r="D95" t="s">
        <v>41</v>
      </c>
      <c r="E95">
        <v>1000</v>
      </c>
      <c r="F95">
        <v>31</v>
      </c>
      <c r="G95" t="s">
        <v>18</v>
      </c>
      <c r="H95" t="s">
        <v>19</v>
      </c>
      <c r="I95" t="s">
        <v>20</v>
      </c>
      <c r="J95" t="s">
        <v>1731</v>
      </c>
      <c r="K95" s="48">
        <f t="shared" ref="K95:K105" si="8">DATE(2000+MID(A95,3,2),MID(A95,5,2),MID(A95,7,2))+TIME(MID(A95,10,2),MID(A95,12,2),0)</f>
        <v>42575.863194444442</v>
      </c>
      <c r="L95" s="49">
        <f t="shared" si="6"/>
        <v>3924</v>
      </c>
      <c r="M95" t="s">
        <v>1677</v>
      </c>
    </row>
    <row r="96" spans="1:15" ht="15" customHeight="1">
      <c r="A96" t="s">
        <v>1735</v>
      </c>
      <c r="B96" t="s">
        <v>17</v>
      </c>
      <c r="C96">
        <v>59</v>
      </c>
      <c r="D96" t="s">
        <v>41</v>
      </c>
      <c r="E96">
        <v>1000</v>
      </c>
      <c r="F96">
        <v>31</v>
      </c>
      <c r="G96" t="s">
        <v>18</v>
      </c>
      <c r="H96" t="s">
        <v>19</v>
      </c>
      <c r="I96" t="s">
        <v>20</v>
      </c>
      <c r="J96" t="s">
        <v>1731</v>
      </c>
      <c r="K96" s="48">
        <f t="shared" si="8"/>
        <v>42575.902083333334</v>
      </c>
      <c r="L96" s="49">
        <f t="shared" si="6"/>
        <v>3955</v>
      </c>
      <c r="M96" t="s">
        <v>1677</v>
      </c>
    </row>
    <row r="97" spans="1:13" ht="15" customHeight="1">
      <c r="A97" t="s">
        <v>1736</v>
      </c>
      <c r="B97" t="s">
        <v>17</v>
      </c>
      <c r="C97">
        <v>59</v>
      </c>
      <c r="D97" t="s">
        <v>41</v>
      </c>
      <c r="E97">
        <v>1000</v>
      </c>
      <c r="F97">
        <v>31</v>
      </c>
      <c r="G97" t="s">
        <v>18</v>
      </c>
      <c r="H97" t="s">
        <v>19</v>
      </c>
      <c r="I97" t="s">
        <v>20</v>
      </c>
      <c r="J97" t="s">
        <v>1731</v>
      </c>
      <c r="K97" s="48">
        <f t="shared" si="8"/>
        <v>42575.941666666666</v>
      </c>
      <c r="L97" s="49">
        <f t="shared" si="6"/>
        <v>3986</v>
      </c>
      <c r="M97" t="s">
        <v>1677</v>
      </c>
    </row>
    <row r="98" spans="1:13" ht="15" customHeight="1">
      <c r="A98" t="s">
        <v>1737</v>
      </c>
      <c r="B98" t="s">
        <v>17</v>
      </c>
      <c r="C98">
        <v>59</v>
      </c>
      <c r="D98" t="s">
        <v>41</v>
      </c>
      <c r="E98">
        <v>1000</v>
      </c>
      <c r="F98">
        <v>32</v>
      </c>
      <c r="G98" t="s">
        <v>18</v>
      </c>
      <c r="H98" t="s">
        <v>19</v>
      </c>
      <c r="I98" t="s">
        <v>20</v>
      </c>
      <c r="J98" t="s">
        <v>1731</v>
      </c>
      <c r="K98" s="48">
        <f t="shared" si="8"/>
        <v>42575.980555555558</v>
      </c>
      <c r="L98" s="49">
        <f t="shared" si="6"/>
        <v>4018</v>
      </c>
      <c r="M98" t="s">
        <v>1677</v>
      </c>
    </row>
    <row r="99" spans="1:13" ht="15" customHeight="1">
      <c r="A99" t="s">
        <v>1738</v>
      </c>
      <c r="B99" t="s">
        <v>17</v>
      </c>
      <c r="C99">
        <v>59</v>
      </c>
      <c r="D99" t="s">
        <v>41</v>
      </c>
      <c r="E99">
        <v>1000</v>
      </c>
      <c r="F99">
        <v>31</v>
      </c>
      <c r="G99" t="s">
        <v>18</v>
      </c>
      <c r="H99" t="s">
        <v>19</v>
      </c>
      <c r="I99" t="s">
        <v>20</v>
      </c>
      <c r="J99" t="s">
        <v>1731</v>
      </c>
      <c r="K99" s="48">
        <f t="shared" si="8"/>
        <v>42576.020138888889</v>
      </c>
      <c r="L99" s="49">
        <f t="shared" si="6"/>
        <v>4049</v>
      </c>
      <c r="M99" t="s">
        <v>1677</v>
      </c>
    </row>
    <row r="100" spans="1:13" ht="15" customHeight="1">
      <c r="A100" t="s">
        <v>1739</v>
      </c>
      <c r="B100" t="s">
        <v>17</v>
      </c>
      <c r="C100">
        <v>59</v>
      </c>
      <c r="D100" t="s">
        <v>41</v>
      </c>
      <c r="E100">
        <v>1000</v>
      </c>
      <c r="F100">
        <v>31</v>
      </c>
      <c r="G100" t="s">
        <v>18</v>
      </c>
      <c r="H100" t="s">
        <v>19</v>
      </c>
      <c r="I100" t="s">
        <v>20</v>
      </c>
      <c r="J100" t="s">
        <v>1731</v>
      </c>
      <c r="K100" s="48">
        <f t="shared" si="8"/>
        <v>42576.05972222222</v>
      </c>
      <c r="L100" s="49">
        <f t="shared" si="6"/>
        <v>4080</v>
      </c>
      <c r="M100" t="s">
        <v>1677</v>
      </c>
    </row>
    <row r="101" spans="1:13" ht="15" customHeight="1">
      <c r="A101" t="s">
        <v>1740</v>
      </c>
      <c r="B101" t="s">
        <v>17</v>
      </c>
      <c r="C101">
        <v>59</v>
      </c>
      <c r="D101" t="s">
        <v>41</v>
      </c>
      <c r="E101">
        <v>1000</v>
      </c>
      <c r="F101">
        <v>31</v>
      </c>
      <c r="G101" t="s">
        <v>18</v>
      </c>
      <c r="H101" t="s">
        <v>19</v>
      </c>
      <c r="I101" t="s">
        <v>20</v>
      </c>
      <c r="J101" t="s">
        <v>1731</v>
      </c>
      <c r="K101" s="48">
        <f t="shared" si="8"/>
        <v>42576.098611111112</v>
      </c>
      <c r="L101" s="49">
        <f t="shared" si="6"/>
        <v>4111</v>
      </c>
      <c r="M101" t="s">
        <v>1677</v>
      </c>
    </row>
    <row r="102" spans="1:13" ht="15" customHeight="1">
      <c r="A102" t="s">
        <v>1741</v>
      </c>
      <c r="B102" t="s">
        <v>17</v>
      </c>
      <c r="C102">
        <v>59</v>
      </c>
      <c r="D102" t="s">
        <v>41</v>
      </c>
      <c r="E102">
        <v>1000</v>
      </c>
      <c r="F102">
        <v>31</v>
      </c>
      <c r="G102" t="s">
        <v>18</v>
      </c>
      <c r="H102" t="s">
        <v>19</v>
      </c>
      <c r="I102" t="s">
        <v>20</v>
      </c>
      <c r="J102" t="s">
        <v>1731</v>
      </c>
      <c r="K102" s="48">
        <f t="shared" si="8"/>
        <v>42576.138194444444</v>
      </c>
      <c r="L102" s="49">
        <f t="shared" si="6"/>
        <v>4142</v>
      </c>
      <c r="M102" t="s">
        <v>1677</v>
      </c>
    </row>
    <row r="103" spans="1:13" ht="15" customHeight="1">
      <c r="A103" t="s">
        <v>1742</v>
      </c>
      <c r="B103" t="s">
        <v>17</v>
      </c>
      <c r="C103">
        <v>59</v>
      </c>
      <c r="D103" t="s">
        <v>41</v>
      </c>
      <c r="E103">
        <v>1000</v>
      </c>
      <c r="F103">
        <v>31</v>
      </c>
      <c r="G103" t="s">
        <v>18</v>
      </c>
      <c r="H103" t="s">
        <v>19</v>
      </c>
      <c r="I103" t="s">
        <v>20</v>
      </c>
      <c r="J103" t="s">
        <v>1731</v>
      </c>
      <c r="K103" s="48">
        <f t="shared" si="8"/>
        <v>42576.177777777775</v>
      </c>
      <c r="L103" s="49">
        <f t="shared" si="6"/>
        <v>4173</v>
      </c>
      <c r="M103" t="s">
        <v>1677</v>
      </c>
    </row>
    <row r="104" spans="1:13" ht="15" customHeight="1">
      <c r="A104" t="s">
        <v>1743</v>
      </c>
      <c r="B104" t="s">
        <v>17</v>
      </c>
      <c r="C104">
        <v>59</v>
      </c>
      <c r="D104" t="s">
        <v>41</v>
      </c>
      <c r="E104">
        <v>1000</v>
      </c>
      <c r="F104">
        <v>31</v>
      </c>
      <c r="G104" t="s">
        <v>18</v>
      </c>
      <c r="H104" t="s">
        <v>19</v>
      </c>
      <c r="I104" t="s">
        <v>20</v>
      </c>
      <c r="J104" t="s">
        <v>1731</v>
      </c>
      <c r="K104" s="48">
        <f t="shared" si="8"/>
        <v>42576.216666666667</v>
      </c>
      <c r="L104" s="49">
        <f t="shared" si="6"/>
        <v>4204</v>
      </c>
      <c r="M104" t="s">
        <v>1677</v>
      </c>
    </row>
    <row r="105" spans="1:13" ht="15" customHeight="1">
      <c r="A105" t="s">
        <v>1744</v>
      </c>
      <c r="B105" t="s">
        <v>17</v>
      </c>
      <c r="C105">
        <v>59</v>
      </c>
      <c r="D105" t="s">
        <v>41</v>
      </c>
      <c r="E105">
        <v>1000</v>
      </c>
      <c r="F105">
        <v>32</v>
      </c>
      <c r="G105" t="s">
        <v>18</v>
      </c>
      <c r="H105" t="s">
        <v>19</v>
      </c>
      <c r="I105" t="s">
        <v>20</v>
      </c>
      <c r="J105" t="s">
        <v>1731</v>
      </c>
      <c r="K105" s="48">
        <f t="shared" si="8"/>
        <v>42576.256249999999</v>
      </c>
      <c r="L105" s="49">
        <f t="shared" si="6"/>
        <v>4236</v>
      </c>
      <c r="M105" t="s">
        <v>1677</v>
      </c>
    </row>
    <row r="106" spans="1:13" ht="15" customHeight="1">
      <c r="A106" t="s">
        <v>1745</v>
      </c>
      <c r="B106" t="s">
        <v>17</v>
      </c>
      <c r="C106">
        <v>59</v>
      </c>
      <c r="D106" t="s">
        <v>41</v>
      </c>
      <c r="E106">
        <v>1000</v>
      </c>
      <c r="F106">
        <v>32</v>
      </c>
      <c r="G106" t="s">
        <v>18</v>
      </c>
      <c r="H106" t="s">
        <v>19</v>
      </c>
      <c r="I106" t="s">
        <v>20</v>
      </c>
      <c r="J106" t="s">
        <v>75</v>
      </c>
      <c r="K106" s="48">
        <f t="shared" ref="K106:K113" si="9">DATE(2000+MID(A106,3,2),MID(A106,5,2),MID(A106,7,2))+TIME(MID(A106,10,2),MID(A106,12,2),0)</f>
        <v>42576.515277777777</v>
      </c>
      <c r="L106" s="49">
        <f t="shared" si="6"/>
        <v>4268</v>
      </c>
      <c r="M106" t="s">
        <v>1677</v>
      </c>
    </row>
    <row r="107" spans="1:13" ht="15" customHeight="1">
      <c r="A107" t="s">
        <v>1746</v>
      </c>
      <c r="B107" t="s">
        <v>17</v>
      </c>
      <c r="C107">
        <v>59</v>
      </c>
      <c r="D107" t="s">
        <v>41</v>
      </c>
      <c r="E107">
        <v>1000</v>
      </c>
      <c r="F107">
        <v>31</v>
      </c>
      <c r="G107" t="s">
        <v>18</v>
      </c>
      <c r="H107" t="s">
        <v>19</v>
      </c>
      <c r="I107" t="s">
        <v>20</v>
      </c>
      <c r="J107" t="s">
        <v>75</v>
      </c>
      <c r="K107" s="48">
        <f t="shared" si="9"/>
        <v>42576.554166666669</v>
      </c>
      <c r="L107" s="49">
        <f t="shared" si="6"/>
        <v>4299</v>
      </c>
      <c r="M107" t="s">
        <v>1677</v>
      </c>
    </row>
    <row r="108" spans="1:13" ht="15" customHeight="1">
      <c r="A108" t="s">
        <v>1747</v>
      </c>
      <c r="B108" t="s">
        <v>17</v>
      </c>
      <c r="C108">
        <v>59</v>
      </c>
      <c r="D108" t="s">
        <v>41</v>
      </c>
      <c r="E108">
        <v>1000</v>
      </c>
      <c r="F108">
        <v>32</v>
      </c>
      <c r="G108" t="s">
        <v>18</v>
      </c>
      <c r="H108" t="s">
        <v>1748</v>
      </c>
      <c r="I108" t="s">
        <v>20</v>
      </c>
      <c r="J108" t="s">
        <v>75</v>
      </c>
      <c r="K108" s="48">
        <f t="shared" si="9"/>
        <v>42576.606944444444</v>
      </c>
      <c r="L108" s="49">
        <f t="shared" si="6"/>
        <v>4331</v>
      </c>
      <c r="M108" t="s">
        <v>1677</v>
      </c>
    </row>
    <row r="109" spans="1:13" ht="15" customHeight="1">
      <c r="A109" t="s">
        <v>1749</v>
      </c>
      <c r="B109" t="s">
        <v>17</v>
      </c>
      <c r="C109">
        <v>59</v>
      </c>
      <c r="D109" t="s">
        <v>41</v>
      </c>
      <c r="E109">
        <v>1000</v>
      </c>
      <c r="F109">
        <v>31</v>
      </c>
      <c r="G109" t="s">
        <v>18</v>
      </c>
      <c r="H109" t="s">
        <v>1748</v>
      </c>
      <c r="I109" t="s">
        <v>20</v>
      </c>
      <c r="J109" t="s">
        <v>75</v>
      </c>
      <c r="K109" s="48">
        <f t="shared" si="9"/>
        <v>42576.671527777777</v>
      </c>
      <c r="L109" s="49">
        <f t="shared" si="6"/>
        <v>4362</v>
      </c>
      <c r="M109" t="s">
        <v>1677</v>
      </c>
    </row>
    <row r="110" spans="1:13" ht="15" customHeight="1">
      <c r="A110" t="s">
        <v>1750</v>
      </c>
      <c r="B110" t="s">
        <v>17</v>
      </c>
      <c r="C110">
        <v>59</v>
      </c>
      <c r="D110" t="s">
        <v>41</v>
      </c>
      <c r="E110">
        <v>1000</v>
      </c>
      <c r="F110">
        <v>32</v>
      </c>
      <c r="G110" t="s">
        <v>18</v>
      </c>
      <c r="H110" t="s">
        <v>1751</v>
      </c>
      <c r="I110" t="s">
        <v>20</v>
      </c>
      <c r="J110" t="s">
        <v>75</v>
      </c>
      <c r="K110" s="48">
        <f t="shared" si="9"/>
        <v>42576.768055555556</v>
      </c>
      <c r="L110" s="49">
        <f t="shared" si="6"/>
        <v>4394</v>
      </c>
      <c r="M110" t="s">
        <v>1677</v>
      </c>
    </row>
    <row r="111" spans="1:13" ht="15" customHeight="1">
      <c r="A111" t="s">
        <v>1752</v>
      </c>
      <c r="B111" t="s">
        <v>17</v>
      </c>
      <c r="C111">
        <v>59</v>
      </c>
      <c r="D111" t="s">
        <v>41</v>
      </c>
      <c r="E111">
        <v>1000</v>
      </c>
      <c r="F111">
        <v>31</v>
      </c>
      <c r="G111" t="s">
        <v>18</v>
      </c>
      <c r="H111" t="s">
        <v>1751</v>
      </c>
      <c r="I111" t="s">
        <v>20</v>
      </c>
      <c r="J111" t="s">
        <v>75</v>
      </c>
      <c r="K111" s="48">
        <f t="shared" si="9"/>
        <v>42576.807638888888</v>
      </c>
      <c r="L111" s="49">
        <f t="shared" si="6"/>
        <v>4425</v>
      </c>
      <c r="M111" t="s">
        <v>1677</v>
      </c>
    </row>
    <row r="112" spans="1:13" ht="15" customHeight="1">
      <c r="A112" t="s">
        <v>1753</v>
      </c>
      <c r="B112" t="s">
        <v>17</v>
      </c>
      <c r="C112">
        <v>59</v>
      </c>
      <c r="D112" t="s">
        <v>41</v>
      </c>
      <c r="E112">
        <v>1000</v>
      </c>
      <c r="F112">
        <v>31</v>
      </c>
      <c r="G112" t="s">
        <v>18</v>
      </c>
      <c r="H112" t="s">
        <v>1751</v>
      </c>
      <c r="I112" t="s">
        <v>20</v>
      </c>
      <c r="J112" t="s">
        <v>75</v>
      </c>
      <c r="K112" s="48">
        <f t="shared" si="9"/>
        <v>42576.847222222219</v>
      </c>
      <c r="L112" s="49">
        <f t="shared" si="6"/>
        <v>4456</v>
      </c>
      <c r="M112" t="s">
        <v>1677</v>
      </c>
    </row>
    <row r="113" spans="1:14" ht="15" customHeight="1">
      <c r="A113" t="s">
        <v>1754</v>
      </c>
      <c r="B113" t="s">
        <v>17</v>
      </c>
      <c r="C113">
        <v>59</v>
      </c>
      <c r="D113" t="s">
        <v>41</v>
      </c>
      <c r="E113">
        <v>1000</v>
      </c>
      <c r="F113">
        <v>31</v>
      </c>
      <c r="G113" t="s">
        <v>18</v>
      </c>
      <c r="H113" t="s">
        <v>1751</v>
      </c>
      <c r="I113" t="s">
        <v>20</v>
      </c>
      <c r="J113" t="s">
        <v>75</v>
      </c>
      <c r="K113" s="48">
        <f t="shared" si="9"/>
        <v>42576.886111111111</v>
      </c>
      <c r="L113" s="49">
        <f t="shared" si="6"/>
        <v>4487</v>
      </c>
      <c r="M113" t="s">
        <v>1677</v>
      </c>
    </row>
    <row r="114" spans="1:14" ht="15" customHeight="1">
      <c r="A114" t="s">
        <v>1755</v>
      </c>
      <c r="B114" t="s">
        <v>17</v>
      </c>
      <c r="C114">
        <v>59</v>
      </c>
      <c r="D114" t="s">
        <v>41</v>
      </c>
      <c r="E114">
        <v>1000</v>
      </c>
      <c r="F114">
        <v>31</v>
      </c>
      <c r="G114" t="s">
        <v>18</v>
      </c>
      <c r="H114" t="s">
        <v>19</v>
      </c>
      <c r="I114" t="s">
        <v>20</v>
      </c>
      <c r="J114" t="s">
        <v>75</v>
      </c>
      <c r="K114" s="48">
        <f t="shared" ref="K114:K177" si="10">DATE(2000+MID(A114,3,2),MID(A114,5,2),MID(A114,7,2))+TIME(MID(A114,10,2),MID(A114,12,2),0)</f>
        <v>42578.434027777781</v>
      </c>
      <c r="L114" s="49">
        <f t="shared" si="6"/>
        <v>4518</v>
      </c>
      <c r="M114" t="s">
        <v>1677</v>
      </c>
      <c r="N114" t="s">
        <v>1756</v>
      </c>
    </row>
    <row r="115" spans="1:14" ht="15" customHeight="1">
      <c r="A115" t="s">
        <v>1757</v>
      </c>
      <c r="B115" t="s">
        <v>17</v>
      </c>
      <c r="C115">
        <v>59</v>
      </c>
      <c r="D115" t="s">
        <v>41</v>
      </c>
      <c r="E115">
        <v>1000</v>
      </c>
      <c r="F115">
        <v>31</v>
      </c>
      <c r="G115" t="s">
        <v>18</v>
      </c>
      <c r="H115" t="s">
        <v>1748</v>
      </c>
      <c r="I115" t="s">
        <v>20</v>
      </c>
      <c r="J115" t="s">
        <v>75</v>
      </c>
      <c r="K115" s="48">
        <f t="shared" si="10"/>
        <v>42578.478472222225</v>
      </c>
      <c r="L115" s="49">
        <f t="shared" si="6"/>
        <v>4549</v>
      </c>
      <c r="M115" t="s">
        <v>1677</v>
      </c>
    </row>
    <row r="116" spans="1:14" ht="15" customHeight="1">
      <c r="A116" t="s">
        <v>1758</v>
      </c>
      <c r="B116" t="s">
        <v>17</v>
      </c>
      <c r="C116">
        <v>59</v>
      </c>
      <c r="D116" t="s">
        <v>41</v>
      </c>
      <c r="E116">
        <v>1000</v>
      </c>
      <c r="F116">
        <v>31</v>
      </c>
      <c r="G116" t="s">
        <v>18</v>
      </c>
      <c r="H116" t="s">
        <v>1751</v>
      </c>
      <c r="I116" t="s">
        <v>20</v>
      </c>
      <c r="J116" t="s">
        <v>75</v>
      </c>
      <c r="K116" s="48">
        <f t="shared" si="10"/>
        <v>42578.527777777781</v>
      </c>
      <c r="L116" s="49">
        <f t="shared" si="6"/>
        <v>4580</v>
      </c>
      <c r="M116" t="s">
        <v>1677</v>
      </c>
    </row>
    <row r="117" spans="1:14" ht="15" customHeight="1">
      <c r="A117" t="s">
        <v>1759</v>
      </c>
      <c r="B117" t="s">
        <v>17</v>
      </c>
      <c r="C117">
        <v>59</v>
      </c>
      <c r="D117" t="s">
        <v>41</v>
      </c>
      <c r="E117">
        <v>1000</v>
      </c>
      <c r="F117">
        <v>31</v>
      </c>
      <c r="G117" t="s">
        <v>18</v>
      </c>
      <c r="H117" t="s">
        <v>19</v>
      </c>
      <c r="I117" t="s">
        <v>20</v>
      </c>
      <c r="J117" t="s">
        <v>1760</v>
      </c>
      <c r="K117" s="48">
        <f t="shared" si="10"/>
        <v>42579.401388888888</v>
      </c>
      <c r="L117" s="49">
        <f t="shared" si="6"/>
        <v>4611</v>
      </c>
      <c r="M117" t="s">
        <v>1677</v>
      </c>
      <c r="N117" t="s">
        <v>1761</v>
      </c>
    </row>
    <row r="118" spans="1:14" ht="15" customHeight="1">
      <c r="A118" t="s">
        <v>1762</v>
      </c>
      <c r="B118" t="s">
        <v>17</v>
      </c>
      <c r="C118">
        <v>59</v>
      </c>
      <c r="D118" t="s">
        <v>41</v>
      </c>
      <c r="E118">
        <v>1000</v>
      </c>
      <c r="F118">
        <v>31</v>
      </c>
      <c r="G118" t="s">
        <v>18</v>
      </c>
      <c r="H118" t="s">
        <v>1748</v>
      </c>
      <c r="I118" t="s">
        <v>20</v>
      </c>
      <c r="J118" t="s">
        <v>1760</v>
      </c>
      <c r="K118" s="48">
        <f t="shared" si="10"/>
        <v>42579.476388888892</v>
      </c>
      <c r="L118" s="49">
        <f t="shared" si="6"/>
        <v>4642</v>
      </c>
      <c r="M118" t="s">
        <v>1677</v>
      </c>
      <c r="N118" t="s">
        <v>1763</v>
      </c>
    </row>
    <row r="119" spans="1:14" ht="15" customHeight="1">
      <c r="A119" t="s">
        <v>1764</v>
      </c>
      <c r="B119" t="s">
        <v>17</v>
      </c>
      <c r="C119">
        <v>59</v>
      </c>
      <c r="D119" t="s">
        <v>41</v>
      </c>
      <c r="E119">
        <v>1000</v>
      </c>
      <c r="F119">
        <v>31</v>
      </c>
      <c r="G119" t="s">
        <v>18</v>
      </c>
      <c r="H119" t="s">
        <v>1751</v>
      </c>
      <c r="I119" t="s">
        <v>20</v>
      </c>
      <c r="J119" t="s">
        <v>1760</v>
      </c>
      <c r="K119" s="48">
        <f t="shared" si="10"/>
        <v>42579.520833333336</v>
      </c>
      <c r="L119" s="49">
        <f t="shared" si="6"/>
        <v>4673</v>
      </c>
      <c r="M119" t="s">
        <v>1677</v>
      </c>
    </row>
    <row r="120" spans="1:14" ht="15" customHeight="1">
      <c r="A120" t="s">
        <v>1765</v>
      </c>
      <c r="B120" t="s">
        <v>17</v>
      </c>
      <c r="C120">
        <v>59</v>
      </c>
      <c r="D120" t="s">
        <v>41</v>
      </c>
      <c r="E120">
        <v>1000</v>
      </c>
      <c r="F120">
        <v>4</v>
      </c>
      <c r="G120" t="s">
        <v>18</v>
      </c>
      <c r="H120" t="s">
        <v>25</v>
      </c>
      <c r="I120" t="s">
        <v>20</v>
      </c>
      <c r="K120" s="48">
        <f t="shared" si="10"/>
        <v>42582.569444444445</v>
      </c>
      <c r="L120" s="49">
        <f t="shared" si="6"/>
        <v>4677</v>
      </c>
      <c r="M120" t="s">
        <v>1677</v>
      </c>
      <c r="N120" t="s">
        <v>1766</v>
      </c>
    </row>
    <row r="121" spans="1:14" ht="15" customHeight="1">
      <c r="A121" t="s">
        <v>1767</v>
      </c>
      <c r="B121" t="s">
        <v>17</v>
      </c>
      <c r="C121">
        <v>59</v>
      </c>
      <c r="D121" t="s">
        <v>41</v>
      </c>
      <c r="E121">
        <v>1000</v>
      </c>
      <c r="F121">
        <v>31</v>
      </c>
      <c r="G121" t="s">
        <v>18</v>
      </c>
      <c r="H121" t="s">
        <v>25</v>
      </c>
      <c r="I121" t="s">
        <v>20</v>
      </c>
      <c r="K121" s="48">
        <f t="shared" si="10"/>
        <v>42582.590277777781</v>
      </c>
      <c r="L121" s="49">
        <f t="shared" si="6"/>
        <v>4708</v>
      </c>
      <c r="M121" t="s">
        <v>1677</v>
      </c>
      <c r="N121" t="s">
        <v>1766</v>
      </c>
    </row>
    <row r="122" spans="1:14" ht="15" customHeight="1">
      <c r="A122" t="s">
        <v>1768</v>
      </c>
      <c r="B122" t="s">
        <v>17</v>
      </c>
      <c r="C122">
        <v>59</v>
      </c>
      <c r="D122" t="s">
        <v>41</v>
      </c>
      <c r="E122">
        <v>1000</v>
      </c>
      <c r="F122">
        <v>1</v>
      </c>
      <c r="G122" t="s">
        <v>18</v>
      </c>
      <c r="H122" t="s">
        <v>42</v>
      </c>
      <c r="I122" t="s">
        <v>20</v>
      </c>
      <c r="K122" s="48">
        <f t="shared" si="10"/>
        <v>42587.595833333333</v>
      </c>
      <c r="L122" s="49">
        <f t="shared" si="6"/>
        <v>4709</v>
      </c>
      <c r="M122" t="s">
        <v>1677</v>
      </c>
      <c r="N122" t="s">
        <v>191</v>
      </c>
    </row>
    <row r="123" spans="1:14" ht="15" customHeight="1">
      <c r="A123" t="s">
        <v>1769</v>
      </c>
      <c r="B123" t="s">
        <v>17</v>
      </c>
      <c r="C123">
        <v>59</v>
      </c>
      <c r="D123" t="s">
        <v>41</v>
      </c>
      <c r="E123">
        <v>1000</v>
      </c>
      <c r="F123">
        <v>1</v>
      </c>
      <c r="G123" t="s">
        <v>18</v>
      </c>
      <c r="H123" t="s">
        <v>42</v>
      </c>
      <c r="I123" t="s">
        <v>20</v>
      </c>
      <c r="K123" s="48">
        <f t="shared" si="10"/>
        <v>42587.603472222225</v>
      </c>
      <c r="L123" s="49">
        <f t="shared" si="6"/>
        <v>4710</v>
      </c>
      <c r="M123" t="s">
        <v>1677</v>
      </c>
      <c r="N123" t="s">
        <v>191</v>
      </c>
    </row>
    <row r="124" spans="1:14" ht="15" customHeight="1">
      <c r="A124" t="s">
        <v>1770</v>
      </c>
      <c r="B124" t="s">
        <v>17</v>
      </c>
      <c r="C124">
        <v>59</v>
      </c>
      <c r="D124" t="s">
        <v>41</v>
      </c>
      <c r="E124">
        <v>1000</v>
      </c>
      <c r="F124">
        <v>1</v>
      </c>
      <c r="G124" t="s">
        <v>18</v>
      </c>
      <c r="H124" t="s">
        <v>42</v>
      </c>
      <c r="I124" t="s">
        <v>20</v>
      </c>
      <c r="K124" s="48">
        <f t="shared" si="10"/>
        <v>42587.607638888891</v>
      </c>
      <c r="L124" s="49">
        <f t="shared" si="6"/>
        <v>4711</v>
      </c>
      <c r="M124" t="s">
        <v>1677</v>
      </c>
      <c r="N124" t="s">
        <v>191</v>
      </c>
    </row>
    <row r="125" spans="1:14" ht="15" customHeight="1">
      <c r="A125" t="s">
        <v>1771</v>
      </c>
      <c r="B125" t="s">
        <v>17</v>
      </c>
      <c r="C125">
        <v>59</v>
      </c>
      <c r="D125" t="s">
        <v>41</v>
      </c>
      <c r="E125">
        <v>1000</v>
      </c>
      <c r="F125">
        <v>1</v>
      </c>
      <c r="G125" t="s">
        <v>18</v>
      </c>
      <c r="H125" t="s">
        <v>42</v>
      </c>
      <c r="I125" t="s">
        <v>20</v>
      </c>
      <c r="K125" s="48">
        <f t="shared" si="10"/>
        <v>42587.618055555555</v>
      </c>
      <c r="L125" s="49">
        <f t="shared" si="6"/>
        <v>4712</v>
      </c>
      <c r="M125" t="s">
        <v>1677</v>
      </c>
      <c r="N125" t="s">
        <v>191</v>
      </c>
    </row>
    <row r="126" spans="1:14" ht="15" customHeight="1">
      <c r="A126" t="s">
        <v>1772</v>
      </c>
      <c r="B126" t="s">
        <v>17</v>
      </c>
      <c r="C126">
        <v>59</v>
      </c>
      <c r="D126" t="s">
        <v>41</v>
      </c>
      <c r="E126">
        <v>1000</v>
      </c>
      <c r="F126">
        <v>3</v>
      </c>
      <c r="G126" t="s">
        <v>18</v>
      </c>
      <c r="H126" t="s">
        <v>42</v>
      </c>
      <c r="I126" t="s">
        <v>20</v>
      </c>
      <c r="K126" s="48">
        <f t="shared" si="10"/>
        <v>42587.629861111112</v>
      </c>
      <c r="L126" s="49">
        <f t="shared" si="6"/>
        <v>4715</v>
      </c>
      <c r="M126" t="s">
        <v>1677</v>
      </c>
      <c r="N126" t="s">
        <v>191</v>
      </c>
    </row>
    <row r="127" spans="1:14" ht="15" customHeight="1">
      <c r="A127" t="s">
        <v>1773</v>
      </c>
      <c r="B127" t="s">
        <v>17</v>
      </c>
      <c r="C127">
        <v>59</v>
      </c>
      <c r="D127" t="s">
        <v>41</v>
      </c>
      <c r="E127">
        <v>1000</v>
      </c>
      <c r="F127">
        <v>1</v>
      </c>
      <c r="G127" t="s">
        <v>18</v>
      </c>
      <c r="H127" t="s">
        <v>42</v>
      </c>
      <c r="I127" t="s">
        <v>20</v>
      </c>
      <c r="K127" s="48">
        <f t="shared" si="10"/>
        <v>42587.689583333333</v>
      </c>
      <c r="L127" s="49">
        <f t="shared" si="6"/>
        <v>4716</v>
      </c>
      <c r="M127" t="s">
        <v>1677</v>
      </c>
      <c r="N127" t="s">
        <v>191</v>
      </c>
    </row>
    <row r="128" spans="1:14" ht="15" customHeight="1">
      <c r="A128" t="s">
        <v>1774</v>
      </c>
      <c r="B128" t="s">
        <v>17</v>
      </c>
      <c r="C128">
        <v>59</v>
      </c>
      <c r="D128" t="s">
        <v>41</v>
      </c>
      <c r="E128">
        <v>1000</v>
      </c>
      <c r="F128">
        <v>3</v>
      </c>
      <c r="G128" t="s">
        <v>191</v>
      </c>
      <c r="H128" t="s">
        <v>42</v>
      </c>
      <c r="I128" t="s">
        <v>20</v>
      </c>
      <c r="K128" s="48">
        <f t="shared" si="10"/>
        <v>42587.695833333331</v>
      </c>
      <c r="L128" s="49">
        <f t="shared" si="6"/>
        <v>4719</v>
      </c>
      <c r="M128" t="s">
        <v>1677</v>
      </c>
      <c r="N128" t="s">
        <v>191</v>
      </c>
    </row>
    <row r="129" spans="1:15" ht="15" customHeight="1">
      <c r="A129" t="s">
        <v>1775</v>
      </c>
      <c r="B129" t="s">
        <v>17</v>
      </c>
      <c r="C129">
        <v>59</v>
      </c>
      <c r="D129" t="s">
        <v>41</v>
      </c>
      <c r="E129">
        <v>1000</v>
      </c>
      <c r="F129">
        <v>3</v>
      </c>
      <c r="G129" t="s">
        <v>191</v>
      </c>
      <c r="H129" t="s">
        <v>42</v>
      </c>
      <c r="I129" t="s">
        <v>20</v>
      </c>
      <c r="K129" s="48">
        <f t="shared" si="10"/>
        <v>42587.704861111109</v>
      </c>
      <c r="L129" s="49">
        <f t="shared" si="6"/>
        <v>4722</v>
      </c>
      <c r="M129" t="s">
        <v>1677</v>
      </c>
      <c r="N129" t="s">
        <v>191</v>
      </c>
    </row>
    <row r="130" spans="1:15" ht="15" customHeight="1">
      <c r="A130" t="s">
        <v>1776</v>
      </c>
      <c r="B130" t="s">
        <v>17</v>
      </c>
      <c r="C130">
        <v>59</v>
      </c>
      <c r="D130" t="s">
        <v>41</v>
      </c>
      <c r="E130">
        <v>1000</v>
      </c>
      <c r="F130">
        <v>31</v>
      </c>
      <c r="G130" t="s">
        <v>18</v>
      </c>
      <c r="H130" t="s">
        <v>19</v>
      </c>
      <c r="I130" t="s">
        <v>20</v>
      </c>
      <c r="J130" t="s">
        <v>75</v>
      </c>
      <c r="K130" s="48">
        <f t="shared" si="10"/>
        <v>42590.730555555558</v>
      </c>
      <c r="L130" s="49">
        <f t="shared" si="6"/>
        <v>4753</v>
      </c>
      <c r="M130" t="s">
        <v>1677</v>
      </c>
      <c r="N130" t="s">
        <v>1777</v>
      </c>
      <c r="O130" t="str">
        <f>""""&amp;A130&amp;""""</f>
        <v>"07160808_1732"</v>
      </c>
    </row>
    <row r="131" spans="1:15" ht="15" customHeight="1">
      <c r="A131" t="s">
        <v>1778</v>
      </c>
      <c r="B131" t="s">
        <v>17</v>
      </c>
      <c r="C131">
        <v>59</v>
      </c>
      <c r="D131" t="s">
        <v>41</v>
      </c>
      <c r="E131">
        <v>1000</v>
      </c>
      <c r="F131">
        <v>31</v>
      </c>
      <c r="G131" t="s">
        <v>18</v>
      </c>
      <c r="H131" t="s">
        <v>19</v>
      </c>
      <c r="I131" t="s">
        <v>20</v>
      </c>
      <c r="J131" t="s">
        <v>75</v>
      </c>
      <c r="K131" s="48">
        <f t="shared" si="10"/>
        <v>42590.765972222223</v>
      </c>
      <c r="L131" s="49">
        <f t="shared" si="6"/>
        <v>4784</v>
      </c>
      <c r="M131" t="s">
        <v>1677</v>
      </c>
      <c r="O131" t="str">
        <f>O130&amp;", """&amp;A131&amp;""""</f>
        <v>"07160808_1732", "07160808_1823"</v>
      </c>
    </row>
    <row r="132" spans="1:15" ht="15" customHeight="1">
      <c r="A132" t="s">
        <v>1779</v>
      </c>
      <c r="B132" t="s">
        <v>17</v>
      </c>
      <c r="C132">
        <v>59</v>
      </c>
      <c r="D132" t="s">
        <v>41</v>
      </c>
      <c r="E132">
        <v>1000</v>
      </c>
      <c r="F132">
        <v>31</v>
      </c>
      <c r="G132" t="s">
        <v>18</v>
      </c>
      <c r="H132" t="s">
        <v>19</v>
      </c>
      <c r="I132" t="s">
        <v>20</v>
      </c>
      <c r="J132" t="s">
        <v>75</v>
      </c>
      <c r="K132" s="48">
        <f t="shared" si="10"/>
        <v>42590.801388888889</v>
      </c>
      <c r="L132" s="49">
        <f t="shared" ref="L132:L195" si="11">L131+F132</f>
        <v>4815</v>
      </c>
      <c r="M132" t="s">
        <v>1677</v>
      </c>
      <c r="O132" t="str">
        <f>O131&amp;", """&amp;A132&amp;""""</f>
        <v>"07160808_1732", "07160808_1823", "07160808_1914"</v>
      </c>
    </row>
    <row r="133" spans="1:15" ht="15" customHeight="1">
      <c r="A133" t="s">
        <v>1780</v>
      </c>
      <c r="B133" t="s">
        <v>17</v>
      </c>
      <c r="C133">
        <v>59</v>
      </c>
      <c r="D133" t="s">
        <v>41</v>
      </c>
      <c r="E133">
        <v>1000</v>
      </c>
      <c r="F133">
        <v>31</v>
      </c>
      <c r="G133" t="s">
        <v>18</v>
      </c>
      <c r="H133" t="s">
        <v>19</v>
      </c>
      <c r="I133" t="s">
        <v>20</v>
      </c>
      <c r="J133" t="s">
        <v>75</v>
      </c>
      <c r="K133" s="48">
        <f t="shared" si="10"/>
        <v>42590.836805555555</v>
      </c>
      <c r="L133" s="49">
        <f t="shared" si="11"/>
        <v>4846</v>
      </c>
      <c r="M133" t="s">
        <v>1677</v>
      </c>
      <c r="O133" t="str">
        <f>O132&amp;", """&amp;A133&amp;""""</f>
        <v>"07160808_1732", "07160808_1823", "07160808_1914", "07160808_2005"</v>
      </c>
    </row>
    <row r="134" spans="1:15" ht="15" customHeight="1">
      <c r="A134" t="s">
        <v>1781</v>
      </c>
      <c r="B134" t="s">
        <v>17</v>
      </c>
      <c r="C134">
        <v>59</v>
      </c>
      <c r="D134" t="s">
        <v>41</v>
      </c>
      <c r="E134">
        <v>1000</v>
      </c>
      <c r="F134">
        <v>31</v>
      </c>
      <c r="G134" t="s">
        <v>18</v>
      </c>
      <c r="H134" t="s">
        <v>19</v>
      </c>
      <c r="I134" t="s">
        <v>20</v>
      </c>
      <c r="J134" t="s">
        <v>75</v>
      </c>
      <c r="K134" s="48">
        <f t="shared" si="10"/>
        <v>42590.87222222222</v>
      </c>
      <c r="L134" s="49">
        <f t="shared" si="11"/>
        <v>4877</v>
      </c>
      <c r="M134" t="s">
        <v>1677</v>
      </c>
      <c r="O134" t="str">
        <f>O133&amp;", """&amp;A134&amp;""""</f>
        <v>"07160808_1732", "07160808_1823", "07160808_1914", "07160808_2005", "07160808_2056"</v>
      </c>
    </row>
    <row r="135" spans="1:15" ht="15" customHeight="1">
      <c r="A135" t="s">
        <v>1782</v>
      </c>
      <c r="B135" t="s">
        <v>17</v>
      </c>
      <c r="C135">
        <v>59</v>
      </c>
      <c r="D135" t="s">
        <v>41</v>
      </c>
      <c r="E135">
        <v>1000</v>
      </c>
      <c r="F135">
        <v>31</v>
      </c>
      <c r="G135" t="s">
        <v>18</v>
      </c>
      <c r="H135" t="s">
        <v>19</v>
      </c>
      <c r="I135" t="s">
        <v>20</v>
      </c>
      <c r="J135" t="s">
        <v>75</v>
      </c>
      <c r="K135" s="48">
        <f t="shared" si="10"/>
        <v>42590.907638888886</v>
      </c>
      <c r="L135" s="49">
        <f t="shared" si="11"/>
        <v>4908</v>
      </c>
      <c r="M135" t="s">
        <v>1677</v>
      </c>
      <c r="O135" t="str">
        <f>O134&amp;", """&amp;A135&amp;""""</f>
        <v>"07160808_1732", "07160808_1823", "07160808_1914", "07160808_2005", "07160808_2056", "07160808_2147"</v>
      </c>
    </row>
    <row r="136" spans="1:15" ht="15" customHeight="1">
      <c r="A136" t="s">
        <v>1783</v>
      </c>
      <c r="B136" t="s">
        <v>17</v>
      </c>
      <c r="C136">
        <v>59</v>
      </c>
      <c r="D136" t="s">
        <v>41</v>
      </c>
      <c r="E136">
        <v>1000</v>
      </c>
      <c r="F136">
        <v>9</v>
      </c>
      <c r="G136" t="s">
        <v>1623</v>
      </c>
      <c r="H136" t="s">
        <v>19</v>
      </c>
      <c r="I136" t="s">
        <v>20</v>
      </c>
      <c r="K136" s="48">
        <f t="shared" si="10"/>
        <v>42591.603472222225</v>
      </c>
      <c r="L136" s="49">
        <f t="shared" si="11"/>
        <v>4917</v>
      </c>
      <c r="M136" t="s">
        <v>1623</v>
      </c>
    </row>
    <row r="137" spans="1:15" ht="15" customHeight="1">
      <c r="A137" t="s">
        <v>1784</v>
      </c>
      <c r="B137" t="s">
        <v>17</v>
      </c>
      <c r="C137">
        <v>59</v>
      </c>
      <c r="D137" t="s">
        <v>41</v>
      </c>
      <c r="E137">
        <v>1000</v>
      </c>
      <c r="F137">
        <v>75</v>
      </c>
      <c r="G137" t="s">
        <v>1623</v>
      </c>
      <c r="H137" t="s">
        <v>19</v>
      </c>
      <c r="I137" t="s">
        <v>20</v>
      </c>
      <c r="K137" s="48">
        <f t="shared" si="10"/>
        <v>42591.609722222223</v>
      </c>
      <c r="L137" s="49">
        <f t="shared" si="11"/>
        <v>4992</v>
      </c>
      <c r="M137" t="s">
        <v>1623</v>
      </c>
    </row>
    <row r="138" spans="1:15" ht="15" customHeight="1">
      <c r="A138" t="s">
        <v>1785</v>
      </c>
      <c r="B138" t="s">
        <v>17</v>
      </c>
      <c r="C138">
        <v>59</v>
      </c>
      <c r="D138" t="s">
        <v>41</v>
      </c>
      <c r="E138">
        <v>1000</v>
      </c>
      <c r="F138">
        <v>31</v>
      </c>
      <c r="G138" t="s">
        <v>18</v>
      </c>
      <c r="H138" t="s">
        <v>19</v>
      </c>
      <c r="I138" t="s">
        <v>20</v>
      </c>
      <c r="K138" s="48">
        <f t="shared" si="10"/>
        <v>42591.759027777778</v>
      </c>
      <c r="L138" s="49">
        <f t="shared" si="11"/>
        <v>5023</v>
      </c>
      <c r="M138" t="s">
        <v>1786</v>
      </c>
      <c r="N138" t="s">
        <v>1787</v>
      </c>
      <c r="O138" t="str">
        <f>""""&amp;A138&amp;""""</f>
        <v>"07160809_1813"</v>
      </c>
    </row>
    <row r="139" spans="1:15" ht="15" customHeight="1">
      <c r="A139" t="s">
        <v>1788</v>
      </c>
      <c r="B139" t="s">
        <v>17</v>
      </c>
      <c r="C139">
        <v>59</v>
      </c>
      <c r="D139" t="s">
        <v>41</v>
      </c>
      <c r="E139">
        <v>1000</v>
      </c>
      <c r="F139">
        <v>31</v>
      </c>
      <c r="G139" t="s">
        <v>18</v>
      </c>
      <c r="H139" t="s">
        <v>19</v>
      </c>
      <c r="I139" t="s">
        <v>20</v>
      </c>
      <c r="K139" s="48">
        <f t="shared" si="10"/>
        <v>42591.79791666667</v>
      </c>
      <c r="L139" s="49">
        <f t="shared" si="11"/>
        <v>5054</v>
      </c>
      <c r="M139" t="s">
        <v>1786</v>
      </c>
      <c r="N139" t="s">
        <v>1787</v>
      </c>
      <c r="O139" t="str">
        <f>O138&amp;", """&amp;A139&amp;""""</f>
        <v>"07160809_1813", "07160809_1909"</v>
      </c>
    </row>
    <row r="140" spans="1:15" ht="15" customHeight="1">
      <c r="A140" t="s">
        <v>1789</v>
      </c>
      <c r="B140" t="s">
        <v>17</v>
      </c>
      <c r="C140">
        <v>59</v>
      </c>
      <c r="D140" t="s">
        <v>41</v>
      </c>
      <c r="E140">
        <v>1000</v>
      </c>
      <c r="F140">
        <v>31</v>
      </c>
      <c r="G140" t="s">
        <v>18</v>
      </c>
      <c r="H140" t="s">
        <v>19</v>
      </c>
      <c r="I140" t="s">
        <v>20</v>
      </c>
      <c r="K140" s="48">
        <f t="shared" si="10"/>
        <v>42591.837500000001</v>
      </c>
      <c r="L140" s="49">
        <f t="shared" si="11"/>
        <v>5085</v>
      </c>
      <c r="M140" t="s">
        <v>1786</v>
      </c>
      <c r="N140" t="s">
        <v>1787</v>
      </c>
      <c r="O140" t="str">
        <f>O139&amp;", """&amp;A140&amp;""""</f>
        <v>"07160809_1813", "07160809_1909", "07160809_2006"</v>
      </c>
    </row>
    <row r="141" spans="1:15" ht="15" customHeight="1">
      <c r="A141" t="s">
        <v>1790</v>
      </c>
      <c r="B141" t="s">
        <v>17</v>
      </c>
      <c r="C141">
        <v>59</v>
      </c>
      <c r="D141" t="s">
        <v>41</v>
      </c>
      <c r="E141">
        <v>1000</v>
      </c>
      <c r="F141">
        <v>31</v>
      </c>
      <c r="G141" t="s">
        <v>18</v>
      </c>
      <c r="H141" t="s">
        <v>19</v>
      </c>
      <c r="I141" t="s">
        <v>20</v>
      </c>
      <c r="K141" s="48">
        <f t="shared" si="10"/>
        <v>42591.876388888886</v>
      </c>
      <c r="L141" s="49">
        <f t="shared" si="11"/>
        <v>5116</v>
      </c>
      <c r="M141" t="s">
        <v>1786</v>
      </c>
      <c r="N141" t="s">
        <v>1787</v>
      </c>
      <c r="O141" t="str">
        <f>O140&amp;", """&amp;A141&amp;""""</f>
        <v>"07160809_1813", "07160809_1909", "07160809_2006", "07160809_2102"</v>
      </c>
    </row>
    <row r="142" spans="1:15" ht="15" customHeight="1">
      <c r="A142" t="s">
        <v>1791</v>
      </c>
      <c r="B142" t="s">
        <v>17</v>
      </c>
      <c r="C142">
        <v>59</v>
      </c>
      <c r="D142" t="s">
        <v>41</v>
      </c>
      <c r="E142">
        <v>1000</v>
      </c>
      <c r="F142">
        <v>31</v>
      </c>
      <c r="G142" t="s">
        <v>18</v>
      </c>
      <c r="H142" t="s">
        <v>19</v>
      </c>
      <c r="I142" t="s">
        <v>20</v>
      </c>
      <c r="K142" s="48">
        <f t="shared" si="10"/>
        <v>42591.915972222225</v>
      </c>
      <c r="L142" s="49">
        <f t="shared" si="11"/>
        <v>5147</v>
      </c>
      <c r="M142" t="s">
        <v>1786</v>
      </c>
      <c r="N142" t="s">
        <v>1787</v>
      </c>
      <c r="O142" t="str">
        <f>O141&amp;", """&amp;A142&amp;""""</f>
        <v>"07160809_1813", "07160809_1909", "07160809_2006", "07160809_2102", "07160809_2159"</v>
      </c>
    </row>
    <row r="143" spans="1:15" ht="15" customHeight="1">
      <c r="A143" t="s">
        <v>1792</v>
      </c>
      <c r="B143" t="s">
        <v>17</v>
      </c>
      <c r="C143">
        <v>59</v>
      </c>
      <c r="D143" t="s">
        <v>41</v>
      </c>
      <c r="E143">
        <v>1000</v>
      </c>
      <c r="F143">
        <v>31</v>
      </c>
      <c r="G143" t="s">
        <v>18</v>
      </c>
      <c r="H143" t="s">
        <v>19</v>
      </c>
      <c r="I143" t="s">
        <v>20</v>
      </c>
      <c r="K143" s="48">
        <f t="shared" si="10"/>
        <v>42591.955555555556</v>
      </c>
      <c r="L143" s="49">
        <f t="shared" si="11"/>
        <v>5178</v>
      </c>
      <c r="M143" t="s">
        <v>1786</v>
      </c>
      <c r="N143" t="s">
        <v>1787</v>
      </c>
      <c r="O143" t="str">
        <f>O142&amp;", """&amp;A143&amp;""""</f>
        <v>"07160809_1813", "07160809_1909", "07160809_2006", "07160809_2102", "07160809_2159", "07160809_2256"</v>
      </c>
    </row>
    <row r="144" spans="1:15" ht="15" customHeight="1">
      <c r="A144" t="s">
        <v>1793</v>
      </c>
      <c r="B144" t="s">
        <v>17</v>
      </c>
      <c r="C144">
        <v>59</v>
      </c>
      <c r="D144" t="s">
        <v>41</v>
      </c>
      <c r="E144">
        <v>1000</v>
      </c>
      <c r="F144">
        <v>31</v>
      </c>
      <c r="G144" t="s">
        <v>18</v>
      </c>
      <c r="H144" t="s">
        <v>19</v>
      </c>
      <c r="I144" t="s">
        <v>20</v>
      </c>
      <c r="K144" s="48">
        <f t="shared" si="10"/>
        <v>42591.994444444441</v>
      </c>
      <c r="L144" s="49">
        <f t="shared" si="11"/>
        <v>5209</v>
      </c>
      <c r="M144" t="s">
        <v>1786</v>
      </c>
      <c r="N144" t="s">
        <v>1787</v>
      </c>
    </row>
    <row r="145" spans="1:15" ht="15" customHeight="1">
      <c r="A145" t="s">
        <v>1794</v>
      </c>
      <c r="B145" t="s">
        <v>17</v>
      </c>
      <c r="C145">
        <v>59</v>
      </c>
      <c r="D145" t="s">
        <v>41</v>
      </c>
      <c r="E145">
        <v>1000</v>
      </c>
      <c r="F145">
        <v>31</v>
      </c>
      <c r="G145" t="s">
        <v>18</v>
      </c>
      <c r="H145" t="s">
        <v>19</v>
      </c>
      <c r="I145" t="s">
        <v>20</v>
      </c>
      <c r="K145" s="48">
        <f t="shared" si="10"/>
        <v>42592.03402777778</v>
      </c>
      <c r="L145" s="49">
        <f t="shared" si="11"/>
        <v>5240</v>
      </c>
      <c r="M145" t="s">
        <v>1786</v>
      </c>
      <c r="N145" t="s">
        <v>1787</v>
      </c>
    </row>
    <row r="146" spans="1:15" ht="15" customHeight="1">
      <c r="A146" t="s">
        <v>1795</v>
      </c>
      <c r="B146" t="s">
        <v>17</v>
      </c>
      <c r="C146">
        <v>59</v>
      </c>
      <c r="D146" t="s">
        <v>41</v>
      </c>
      <c r="E146">
        <v>10000</v>
      </c>
      <c r="F146">
        <v>2</v>
      </c>
      <c r="G146" t="s">
        <v>18</v>
      </c>
      <c r="H146" t="s">
        <v>42</v>
      </c>
      <c r="I146" t="s">
        <v>20</v>
      </c>
      <c r="K146" s="48">
        <f t="shared" si="10"/>
        <v>42592.359027777777</v>
      </c>
      <c r="L146" s="49">
        <f t="shared" si="11"/>
        <v>5242</v>
      </c>
      <c r="M146" t="s">
        <v>191</v>
      </c>
    </row>
    <row r="147" spans="1:15" ht="15" customHeight="1">
      <c r="A147" t="s">
        <v>1796</v>
      </c>
      <c r="B147" t="s">
        <v>17</v>
      </c>
      <c r="C147">
        <v>59</v>
      </c>
      <c r="D147" t="s">
        <v>41</v>
      </c>
      <c r="E147">
        <v>1000</v>
      </c>
      <c r="F147">
        <v>4</v>
      </c>
      <c r="G147" t="s">
        <v>191</v>
      </c>
      <c r="H147" t="s">
        <v>42</v>
      </c>
      <c r="I147" t="s">
        <v>20</v>
      </c>
      <c r="K147" s="48">
        <f t="shared" si="10"/>
        <v>42592.367361111108</v>
      </c>
      <c r="L147" s="49">
        <f t="shared" si="11"/>
        <v>5246</v>
      </c>
      <c r="M147" t="s">
        <v>191</v>
      </c>
    </row>
    <row r="148" spans="1:15" ht="15" customHeight="1">
      <c r="A148" t="s">
        <v>1797</v>
      </c>
      <c r="B148" t="s">
        <v>17</v>
      </c>
      <c r="C148">
        <v>59</v>
      </c>
      <c r="D148" t="s">
        <v>41</v>
      </c>
      <c r="E148">
        <v>1000</v>
      </c>
      <c r="F148">
        <v>5</v>
      </c>
      <c r="G148" t="s">
        <v>191</v>
      </c>
      <c r="H148" t="s">
        <v>42</v>
      </c>
      <c r="I148" t="s">
        <v>20</v>
      </c>
      <c r="K148" s="48">
        <f t="shared" si="10"/>
        <v>42592.402083333334</v>
      </c>
      <c r="L148" s="49">
        <f t="shared" si="11"/>
        <v>5251</v>
      </c>
      <c r="M148" t="s">
        <v>191</v>
      </c>
    </row>
    <row r="149" spans="1:15" ht="15" customHeight="1">
      <c r="A149" t="s">
        <v>1798</v>
      </c>
      <c r="B149" t="s">
        <v>17</v>
      </c>
      <c r="C149">
        <v>59</v>
      </c>
      <c r="D149" t="s">
        <v>41</v>
      </c>
      <c r="E149">
        <v>1000</v>
      </c>
      <c r="F149">
        <v>16</v>
      </c>
      <c r="G149" t="s">
        <v>18</v>
      </c>
      <c r="H149" t="s">
        <v>19</v>
      </c>
      <c r="I149" t="s">
        <v>20</v>
      </c>
      <c r="K149" s="48">
        <f t="shared" si="10"/>
        <v>42592.436111111114</v>
      </c>
      <c r="L149" s="49">
        <f t="shared" si="11"/>
        <v>5267</v>
      </c>
      <c r="M149" t="s">
        <v>1799</v>
      </c>
    </row>
    <row r="150" spans="1:15" ht="15" customHeight="1">
      <c r="A150" t="s">
        <v>1800</v>
      </c>
      <c r="B150" t="s">
        <v>17</v>
      </c>
      <c r="C150">
        <v>59</v>
      </c>
      <c r="D150" t="s">
        <v>41</v>
      </c>
      <c r="E150">
        <v>1000</v>
      </c>
      <c r="F150">
        <v>32</v>
      </c>
      <c r="G150" t="s">
        <v>18</v>
      </c>
      <c r="H150" t="s">
        <v>19</v>
      </c>
      <c r="I150" t="s">
        <v>20</v>
      </c>
      <c r="K150" s="48">
        <f t="shared" si="10"/>
        <v>42592.481249999997</v>
      </c>
      <c r="L150" s="49">
        <f t="shared" si="11"/>
        <v>5299</v>
      </c>
      <c r="M150" t="s">
        <v>1786</v>
      </c>
      <c r="N150" t="s">
        <v>1801</v>
      </c>
      <c r="O150" t="str">
        <f>""""&amp;A150&amp;""""</f>
        <v>"07160810_1133"</v>
      </c>
    </row>
    <row r="151" spans="1:15" ht="15" customHeight="1">
      <c r="A151" t="s">
        <v>1802</v>
      </c>
      <c r="B151" t="s">
        <v>17</v>
      </c>
      <c r="C151">
        <v>59</v>
      </c>
      <c r="D151" t="s">
        <v>41</v>
      </c>
      <c r="E151">
        <v>1000</v>
      </c>
      <c r="F151">
        <v>33</v>
      </c>
      <c r="G151" t="s">
        <v>18</v>
      </c>
      <c r="H151" t="s">
        <v>19</v>
      </c>
      <c r="I151" t="s">
        <v>20</v>
      </c>
      <c r="K151" s="48">
        <f t="shared" si="10"/>
        <v>42592.538888888892</v>
      </c>
      <c r="L151" s="49">
        <f t="shared" si="11"/>
        <v>5332</v>
      </c>
      <c r="M151" t="s">
        <v>1786</v>
      </c>
      <c r="N151" t="s">
        <v>1801</v>
      </c>
      <c r="O151" t="str">
        <f>O150&amp;", """&amp;A151&amp;""""</f>
        <v>"07160810_1133", "07160810_1256"</v>
      </c>
    </row>
    <row r="152" spans="1:15" ht="15" customHeight="1">
      <c r="A152" t="s">
        <v>1803</v>
      </c>
      <c r="B152" t="s">
        <v>17</v>
      </c>
      <c r="C152">
        <v>59</v>
      </c>
      <c r="D152" t="s">
        <v>41</v>
      </c>
      <c r="E152">
        <v>1000</v>
      </c>
      <c r="F152">
        <v>32</v>
      </c>
      <c r="G152" t="s">
        <v>18</v>
      </c>
      <c r="H152" t="s">
        <v>19</v>
      </c>
      <c r="I152" t="s">
        <v>20</v>
      </c>
      <c r="K152" s="48">
        <f t="shared" si="10"/>
        <v>42592.584722222222</v>
      </c>
      <c r="L152" s="49">
        <f t="shared" si="11"/>
        <v>5364</v>
      </c>
      <c r="M152" t="s">
        <v>1786</v>
      </c>
      <c r="N152" t="s">
        <v>1801</v>
      </c>
      <c r="O152" t="str">
        <f>O151&amp;", """&amp;A152&amp;""""</f>
        <v>"07160810_1133", "07160810_1256", "07160810_1402"</v>
      </c>
    </row>
    <row r="153" spans="1:15" ht="15" customHeight="1">
      <c r="A153" t="s">
        <v>1804</v>
      </c>
      <c r="B153" t="s">
        <v>17</v>
      </c>
      <c r="C153">
        <v>59</v>
      </c>
      <c r="D153" t="s">
        <v>41</v>
      </c>
      <c r="E153">
        <v>1000</v>
      </c>
      <c r="F153">
        <v>31</v>
      </c>
      <c r="G153" t="s">
        <v>18</v>
      </c>
      <c r="H153" t="s">
        <v>19</v>
      </c>
      <c r="I153" t="s">
        <v>20</v>
      </c>
      <c r="J153" s="9" t="s">
        <v>1805</v>
      </c>
      <c r="K153" s="48">
        <f t="shared" si="10"/>
        <v>42592.840277777781</v>
      </c>
      <c r="L153" s="49">
        <f t="shared" si="11"/>
        <v>5395</v>
      </c>
      <c r="M153" t="s">
        <v>1677</v>
      </c>
    </row>
    <row r="154" spans="1:15" ht="15" customHeight="1">
      <c r="A154" t="s">
        <v>1806</v>
      </c>
      <c r="B154" t="s">
        <v>17</v>
      </c>
      <c r="C154">
        <v>59</v>
      </c>
      <c r="D154" t="s">
        <v>41</v>
      </c>
      <c r="E154">
        <v>1000</v>
      </c>
      <c r="F154">
        <v>31</v>
      </c>
      <c r="G154" t="s">
        <v>18</v>
      </c>
      <c r="H154" t="s">
        <v>19</v>
      </c>
      <c r="I154" t="s">
        <v>20</v>
      </c>
      <c r="J154" s="9" t="s">
        <v>1805</v>
      </c>
      <c r="K154" s="48">
        <f t="shared" si="10"/>
        <v>42592.879861111112</v>
      </c>
      <c r="L154" s="49">
        <f t="shared" si="11"/>
        <v>5426</v>
      </c>
      <c r="M154" t="s">
        <v>1677</v>
      </c>
    </row>
    <row r="155" spans="1:15" ht="15" customHeight="1">
      <c r="A155" t="s">
        <v>1807</v>
      </c>
      <c r="B155" t="s">
        <v>17</v>
      </c>
      <c r="C155">
        <v>59</v>
      </c>
      <c r="D155" t="s">
        <v>41</v>
      </c>
      <c r="E155">
        <v>1000</v>
      </c>
      <c r="F155">
        <v>31</v>
      </c>
      <c r="G155" t="s">
        <v>18</v>
      </c>
      <c r="H155" t="s">
        <v>19</v>
      </c>
      <c r="I155" t="s">
        <v>20</v>
      </c>
      <c r="J155" s="9" t="s">
        <v>1805</v>
      </c>
      <c r="K155" s="48">
        <f t="shared" si="10"/>
        <v>42592.918749999997</v>
      </c>
      <c r="L155" s="49">
        <f t="shared" si="11"/>
        <v>5457</v>
      </c>
      <c r="M155" t="s">
        <v>1677</v>
      </c>
    </row>
    <row r="156" spans="1:15" ht="15" customHeight="1">
      <c r="A156" t="s">
        <v>1808</v>
      </c>
      <c r="B156" t="s">
        <v>17</v>
      </c>
      <c r="C156">
        <v>59</v>
      </c>
      <c r="D156" t="s">
        <v>41</v>
      </c>
      <c r="E156">
        <v>1000</v>
      </c>
      <c r="F156">
        <v>31</v>
      </c>
      <c r="G156" t="s">
        <v>18</v>
      </c>
      <c r="H156" t="s">
        <v>19</v>
      </c>
      <c r="I156" t="s">
        <v>20</v>
      </c>
      <c r="J156" s="9" t="s">
        <v>1805</v>
      </c>
      <c r="K156" s="48">
        <f t="shared" si="10"/>
        <v>42592.958333333336</v>
      </c>
      <c r="L156" s="49">
        <f t="shared" si="11"/>
        <v>5488</v>
      </c>
      <c r="M156" t="s">
        <v>1677</v>
      </c>
    </row>
    <row r="157" spans="1:15" ht="15" customHeight="1">
      <c r="A157" t="s">
        <v>1809</v>
      </c>
      <c r="B157" t="s">
        <v>17</v>
      </c>
      <c r="C157">
        <v>59</v>
      </c>
      <c r="D157" t="s">
        <v>41</v>
      </c>
      <c r="E157">
        <v>1000</v>
      </c>
      <c r="F157">
        <v>31</v>
      </c>
      <c r="G157" t="s">
        <v>18</v>
      </c>
      <c r="H157" t="s">
        <v>19</v>
      </c>
      <c r="I157" t="s">
        <v>20</v>
      </c>
      <c r="J157" s="9" t="s">
        <v>1805</v>
      </c>
      <c r="K157" s="48">
        <f t="shared" si="10"/>
        <v>42592.997916666667</v>
      </c>
      <c r="L157" s="49">
        <f t="shared" si="11"/>
        <v>5519</v>
      </c>
      <c r="M157" t="s">
        <v>1677</v>
      </c>
    </row>
    <row r="158" spans="1:15" ht="15" customHeight="1">
      <c r="A158" t="s">
        <v>1810</v>
      </c>
      <c r="B158" t="s">
        <v>17</v>
      </c>
      <c r="C158">
        <v>59</v>
      </c>
      <c r="D158" t="s">
        <v>41</v>
      </c>
      <c r="E158">
        <v>1000</v>
      </c>
      <c r="F158">
        <v>31</v>
      </c>
      <c r="G158" t="s">
        <v>18</v>
      </c>
      <c r="H158" t="s">
        <v>19</v>
      </c>
      <c r="I158" t="s">
        <v>20</v>
      </c>
      <c r="J158" s="9" t="s">
        <v>1805</v>
      </c>
      <c r="K158" s="48">
        <f t="shared" si="10"/>
        <v>42593.036805555559</v>
      </c>
      <c r="L158" s="49">
        <f t="shared" si="11"/>
        <v>5550</v>
      </c>
      <c r="M158" t="s">
        <v>1677</v>
      </c>
    </row>
    <row r="159" spans="1:15" ht="15" customHeight="1">
      <c r="A159" t="s">
        <v>1811</v>
      </c>
      <c r="B159" t="s">
        <v>17</v>
      </c>
      <c r="C159">
        <v>59</v>
      </c>
      <c r="D159" t="s">
        <v>41</v>
      </c>
      <c r="E159">
        <v>1000</v>
      </c>
      <c r="F159">
        <v>31</v>
      </c>
      <c r="G159" t="s">
        <v>18</v>
      </c>
      <c r="H159" t="s">
        <v>19</v>
      </c>
      <c r="I159" t="s">
        <v>20</v>
      </c>
      <c r="J159" s="9" t="s">
        <v>1805</v>
      </c>
      <c r="K159" s="48">
        <f t="shared" si="10"/>
        <v>42593.076388888891</v>
      </c>
      <c r="L159" s="49">
        <f t="shared" si="11"/>
        <v>5581</v>
      </c>
      <c r="M159" t="s">
        <v>1677</v>
      </c>
    </row>
    <row r="160" spans="1:15" ht="15" customHeight="1">
      <c r="A160" t="s">
        <v>1812</v>
      </c>
      <c r="B160" t="s">
        <v>17</v>
      </c>
      <c r="C160">
        <v>59</v>
      </c>
      <c r="D160" t="s">
        <v>41</v>
      </c>
      <c r="E160">
        <v>1000</v>
      </c>
      <c r="F160">
        <v>31</v>
      </c>
      <c r="G160" t="s">
        <v>18</v>
      </c>
      <c r="H160" t="s">
        <v>19</v>
      </c>
      <c r="I160" t="s">
        <v>20</v>
      </c>
      <c r="J160" s="9" t="s">
        <v>1805</v>
      </c>
      <c r="K160" s="48">
        <f t="shared" si="10"/>
        <v>42593.115277777775</v>
      </c>
      <c r="L160" s="49">
        <f t="shared" si="11"/>
        <v>5612</v>
      </c>
      <c r="M160" t="s">
        <v>1677</v>
      </c>
    </row>
    <row r="161" spans="1:15" ht="15" customHeight="1">
      <c r="A161" t="s">
        <v>1813</v>
      </c>
      <c r="B161" t="s">
        <v>17</v>
      </c>
      <c r="C161">
        <v>59</v>
      </c>
      <c r="D161" t="s">
        <v>41</v>
      </c>
      <c r="E161">
        <v>1000</v>
      </c>
      <c r="F161" t="s">
        <v>41</v>
      </c>
      <c r="G161" t="s">
        <v>18</v>
      </c>
      <c r="H161" t="s">
        <v>19</v>
      </c>
      <c r="I161" t="s">
        <v>20</v>
      </c>
      <c r="K161" s="48">
        <f t="shared" si="10"/>
        <v>42593.352777777778</v>
      </c>
      <c r="L161" s="49">
        <f>L160+31</f>
        <v>5643</v>
      </c>
      <c r="M161" t="s">
        <v>1677</v>
      </c>
      <c r="N161" t="s">
        <v>1801</v>
      </c>
      <c r="O161" t="str">
        <f>""""&amp;A161&amp;""""</f>
        <v>"07160811_0828"</v>
      </c>
    </row>
    <row r="162" spans="1:15" ht="15" customHeight="1">
      <c r="A162" t="s">
        <v>1814</v>
      </c>
      <c r="B162" t="s">
        <v>17</v>
      </c>
      <c r="C162">
        <v>59</v>
      </c>
      <c r="D162" t="s">
        <v>41</v>
      </c>
      <c r="E162">
        <v>1000</v>
      </c>
      <c r="F162">
        <v>33</v>
      </c>
      <c r="G162" t="s">
        <v>18</v>
      </c>
      <c r="H162" t="s">
        <v>19</v>
      </c>
      <c r="I162" t="s">
        <v>20</v>
      </c>
      <c r="K162" s="48">
        <f t="shared" si="10"/>
        <v>42593.405555555553</v>
      </c>
      <c r="L162" s="49">
        <f t="shared" si="11"/>
        <v>5676</v>
      </c>
      <c r="M162" t="s">
        <v>1677</v>
      </c>
      <c r="N162" t="s">
        <v>1801</v>
      </c>
      <c r="O162" t="str">
        <f>O161&amp;", """&amp;A162&amp;""""</f>
        <v>"07160811_0828", "07160811_0944"</v>
      </c>
    </row>
    <row r="163" spans="1:15" ht="15" customHeight="1">
      <c r="A163" t="s">
        <v>1815</v>
      </c>
      <c r="B163" t="s">
        <v>17</v>
      </c>
      <c r="C163">
        <v>59</v>
      </c>
      <c r="D163" t="s">
        <v>41</v>
      </c>
      <c r="E163">
        <v>1000</v>
      </c>
      <c r="F163" t="s">
        <v>41</v>
      </c>
      <c r="G163" t="s">
        <v>18</v>
      </c>
      <c r="H163" t="s">
        <v>19</v>
      </c>
      <c r="I163" t="s">
        <v>20</v>
      </c>
      <c r="K163" s="48">
        <f t="shared" si="10"/>
        <v>42593.45</v>
      </c>
      <c r="L163" s="49">
        <f>L162+31</f>
        <v>5707</v>
      </c>
      <c r="M163" t="s">
        <v>1677</v>
      </c>
      <c r="N163" t="s">
        <v>1801</v>
      </c>
      <c r="O163" t="str">
        <f>O162&amp;", """&amp;A163&amp;""""</f>
        <v>"07160811_0828", "07160811_0944", "07160811_1048"</v>
      </c>
    </row>
    <row r="164" spans="1:15" ht="15" customHeight="1">
      <c r="A164" t="s">
        <v>1816</v>
      </c>
      <c r="B164" t="s">
        <v>17</v>
      </c>
      <c r="C164">
        <v>59</v>
      </c>
      <c r="D164" t="s">
        <v>41</v>
      </c>
      <c r="E164">
        <v>1000</v>
      </c>
      <c r="F164">
        <v>31</v>
      </c>
      <c r="G164" t="s">
        <v>18</v>
      </c>
      <c r="H164" t="s">
        <v>19</v>
      </c>
      <c r="I164" t="s">
        <v>20</v>
      </c>
      <c r="K164" s="48">
        <f t="shared" si="10"/>
        <v>42593.552777777775</v>
      </c>
      <c r="L164" s="49">
        <f t="shared" si="11"/>
        <v>5738</v>
      </c>
      <c r="M164" t="s">
        <v>1677</v>
      </c>
      <c r="N164" t="s">
        <v>1817</v>
      </c>
    </row>
    <row r="165" spans="1:15" ht="15" customHeight="1">
      <c r="A165" t="s">
        <v>1818</v>
      </c>
      <c r="B165" t="s">
        <v>17</v>
      </c>
      <c r="C165">
        <v>59</v>
      </c>
      <c r="D165" t="s">
        <v>41</v>
      </c>
      <c r="E165">
        <v>1000</v>
      </c>
      <c r="F165">
        <v>32</v>
      </c>
      <c r="G165" t="s">
        <v>18</v>
      </c>
      <c r="H165" t="s">
        <v>19</v>
      </c>
      <c r="I165" t="s">
        <v>20</v>
      </c>
      <c r="K165" s="48">
        <f t="shared" si="10"/>
        <v>42593.675694444442</v>
      </c>
      <c r="L165" s="49">
        <f t="shared" si="11"/>
        <v>5770</v>
      </c>
      <c r="M165" t="s">
        <v>1677</v>
      </c>
      <c r="N165" t="s">
        <v>1819</v>
      </c>
    </row>
    <row r="166" spans="1:15" ht="15" customHeight="1">
      <c r="A166" t="s">
        <v>1820</v>
      </c>
      <c r="B166" t="s">
        <v>17</v>
      </c>
      <c r="C166">
        <v>59</v>
      </c>
      <c r="D166" t="s">
        <v>41</v>
      </c>
      <c r="E166">
        <v>1000</v>
      </c>
      <c r="F166">
        <v>31</v>
      </c>
      <c r="G166" t="s">
        <v>18</v>
      </c>
      <c r="H166" t="s">
        <v>19</v>
      </c>
      <c r="I166" t="s">
        <v>20</v>
      </c>
      <c r="K166" s="48">
        <f t="shared" si="10"/>
        <v>42593.720138888886</v>
      </c>
      <c r="L166" s="49">
        <f t="shared" si="11"/>
        <v>5801</v>
      </c>
      <c r="M166" t="s">
        <v>1677</v>
      </c>
      <c r="N166" t="s">
        <v>1801</v>
      </c>
    </row>
    <row r="167" spans="1:15" ht="15" customHeight="1">
      <c r="A167" t="s">
        <v>1821</v>
      </c>
      <c r="B167" t="s">
        <v>17</v>
      </c>
      <c r="C167">
        <v>59</v>
      </c>
      <c r="D167" t="s">
        <v>41</v>
      </c>
      <c r="E167">
        <v>1000</v>
      </c>
      <c r="F167">
        <v>31</v>
      </c>
      <c r="G167" t="s">
        <v>18</v>
      </c>
      <c r="H167" t="s">
        <v>19</v>
      </c>
      <c r="I167" t="s">
        <v>20</v>
      </c>
      <c r="K167" s="48">
        <f t="shared" si="10"/>
        <v>42593.759722222225</v>
      </c>
      <c r="L167" s="49">
        <f t="shared" si="11"/>
        <v>5832</v>
      </c>
      <c r="M167" t="s">
        <v>1677</v>
      </c>
      <c r="N167" t="s">
        <v>1801</v>
      </c>
    </row>
    <row r="168" spans="1:15" ht="15" customHeight="1">
      <c r="A168" t="s">
        <v>1822</v>
      </c>
      <c r="B168" t="s">
        <v>17</v>
      </c>
      <c r="C168">
        <v>59</v>
      </c>
      <c r="D168" t="s">
        <v>41</v>
      </c>
      <c r="E168">
        <v>1000</v>
      </c>
      <c r="F168">
        <v>31</v>
      </c>
      <c r="G168" t="s">
        <v>18</v>
      </c>
      <c r="H168" t="s">
        <v>19</v>
      </c>
      <c r="I168" t="s">
        <v>20</v>
      </c>
      <c r="K168" s="48">
        <f t="shared" si="10"/>
        <v>42593.798611111109</v>
      </c>
      <c r="L168" s="49">
        <f t="shared" si="11"/>
        <v>5863</v>
      </c>
      <c r="M168" t="s">
        <v>1677</v>
      </c>
      <c r="N168" t="s">
        <v>1801</v>
      </c>
    </row>
    <row r="169" spans="1:15" ht="15" customHeight="1">
      <c r="A169" t="s">
        <v>1823</v>
      </c>
      <c r="B169" t="s">
        <v>17</v>
      </c>
      <c r="C169">
        <v>59</v>
      </c>
      <c r="D169" t="s">
        <v>41</v>
      </c>
      <c r="E169">
        <v>1000</v>
      </c>
      <c r="F169">
        <v>31</v>
      </c>
      <c r="G169" t="s">
        <v>18</v>
      </c>
      <c r="H169" t="s">
        <v>19</v>
      </c>
      <c r="I169" t="s">
        <v>20</v>
      </c>
      <c r="K169" s="48">
        <f t="shared" si="10"/>
        <v>42593.838194444441</v>
      </c>
      <c r="L169" s="49">
        <f t="shared" si="11"/>
        <v>5894</v>
      </c>
      <c r="M169" t="s">
        <v>1677</v>
      </c>
      <c r="N169" t="s">
        <v>1801</v>
      </c>
    </row>
    <row r="170" spans="1:15" ht="15" customHeight="1">
      <c r="A170" t="s">
        <v>1824</v>
      </c>
      <c r="B170" t="s">
        <v>17</v>
      </c>
      <c r="C170">
        <v>59</v>
      </c>
      <c r="D170" t="s">
        <v>41</v>
      </c>
      <c r="E170">
        <v>1000</v>
      </c>
      <c r="F170">
        <v>31</v>
      </c>
      <c r="G170" t="s">
        <v>18</v>
      </c>
      <c r="H170" t="s">
        <v>19</v>
      </c>
      <c r="I170" t="s">
        <v>20</v>
      </c>
      <c r="K170" s="48">
        <f t="shared" si="10"/>
        <v>42593.877083333333</v>
      </c>
      <c r="L170" s="49">
        <f t="shared" si="11"/>
        <v>5925</v>
      </c>
      <c r="M170" t="s">
        <v>1677</v>
      </c>
      <c r="N170" t="s">
        <v>1801</v>
      </c>
    </row>
    <row r="171" spans="1:15" ht="15" customHeight="1">
      <c r="A171" t="s">
        <v>1825</v>
      </c>
      <c r="B171" t="s">
        <v>17</v>
      </c>
      <c r="C171">
        <v>59</v>
      </c>
      <c r="D171" t="s">
        <v>41</v>
      </c>
      <c r="E171">
        <v>1000</v>
      </c>
      <c r="F171">
        <v>31</v>
      </c>
      <c r="G171" t="s">
        <v>18</v>
      </c>
      <c r="H171" t="s">
        <v>19</v>
      </c>
      <c r="I171" t="s">
        <v>20</v>
      </c>
      <c r="K171" s="48">
        <f t="shared" si="10"/>
        <v>42593.916666666664</v>
      </c>
      <c r="L171" s="49">
        <f t="shared" si="11"/>
        <v>5956</v>
      </c>
      <c r="M171" t="s">
        <v>1677</v>
      </c>
      <c r="N171" t="s">
        <v>1801</v>
      </c>
    </row>
    <row r="172" spans="1:15" ht="15" customHeight="1">
      <c r="A172" t="s">
        <v>1826</v>
      </c>
      <c r="B172" t="s">
        <v>17</v>
      </c>
      <c r="C172">
        <v>59</v>
      </c>
      <c r="D172" t="s">
        <v>41</v>
      </c>
      <c r="E172">
        <v>1000</v>
      </c>
      <c r="F172">
        <v>31</v>
      </c>
      <c r="G172" t="s">
        <v>18</v>
      </c>
      <c r="H172" t="s">
        <v>19</v>
      </c>
      <c r="I172" t="s">
        <v>20</v>
      </c>
      <c r="K172" s="48">
        <f t="shared" si="10"/>
        <v>42593.955555555556</v>
      </c>
      <c r="L172" s="49">
        <f t="shared" si="11"/>
        <v>5987</v>
      </c>
      <c r="M172" t="s">
        <v>1677</v>
      </c>
      <c r="N172" t="s">
        <v>1801</v>
      </c>
    </row>
    <row r="173" spans="1:15" ht="15" customHeight="1">
      <c r="A173" t="s">
        <v>1827</v>
      </c>
      <c r="B173" t="s">
        <v>17</v>
      </c>
      <c r="C173">
        <v>59</v>
      </c>
      <c r="D173" t="s">
        <v>41</v>
      </c>
      <c r="E173">
        <v>1000</v>
      </c>
      <c r="F173">
        <v>31</v>
      </c>
      <c r="G173" t="s">
        <v>18</v>
      </c>
      <c r="H173" t="s">
        <v>19</v>
      </c>
      <c r="I173" t="s">
        <v>20</v>
      </c>
      <c r="K173" s="48">
        <f t="shared" si="10"/>
        <v>42593.995138888888</v>
      </c>
      <c r="L173" s="49">
        <f t="shared" si="11"/>
        <v>6018</v>
      </c>
      <c r="M173" t="s">
        <v>1677</v>
      </c>
      <c r="N173" t="s">
        <v>1801</v>
      </c>
    </row>
    <row r="174" spans="1:15" ht="15" customHeight="1">
      <c r="A174" t="s">
        <v>1828</v>
      </c>
      <c r="B174" t="s">
        <v>17</v>
      </c>
      <c r="C174">
        <v>59</v>
      </c>
      <c r="D174" t="s">
        <v>41</v>
      </c>
      <c r="E174">
        <v>1000</v>
      </c>
      <c r="F174">
        <v>31</v>
      </c>
      <c r="G174" t="s">
        <v>18</v>
      </c>
      <c r="H174" t="s">
        <v>19</v>
      </c>
      <c r="I174" t="s">
        <v>20</v>
      </c>
      <c r="K174" s="48">
        <f t="shared" si="10"/>
        <v>42595.527083333334</v>
      </c>
      <c r="L174" s="49">
        <f t="shared" si="11"/>
        <v>6049</v>
      </c>
      <c r="M174" t="s">
        <v>1677</v>
      </c>
      <c r="N174" t="s">
        <v>1829</v>
      </c>
      <c r="O174" t="str">
        <f>""""&amp;A174&amp;""""</f>
        <v>"07160813_1239"</v>
      </c>
    </row>
    <row r="175" spans="1:15" ht="15" customHeight="1">
      <c r="A175" t="s">
        <v>1830</v>
      </c>
      <c r="B175" t="s">
        <v>17</v>
      </c>
      <c r="C175">
        <v>59</v>
      </c>
      <c r="D175" t="s">
        <v>41</v>
      </c>
      <c r="E175">
        <v>1000</v>
      </c>
      <c r="F175">
        <v>31</v>
      </c>
      <c r="G175" t="s">
        <v>18</v>
      </c>
      <c r="H175" t="s">
        <v>19</v>
      </c>
      <c r="I175" t="s">
        <v>20</v>
      </c>
      <c r="K175" s="48">
        <f t="shared" si="10"/>
        <v>42595.565972222219</v>
      </c>
      <c r="L175" s="49">
        <f t="shared" si="11"/>
        <v>6080</v>
      </c>
      <c r="M175" t="s">
        <v>1677</v>
      </c>
      <c r="N175" t="s">
        <v>1817</v>
      </c>
      <c r="O175" t="str">
        <f>O174&amp;", """&amp;A175&amp;""""</f>
        <v>"07160813_1239", "07160813_1335"</v>
      </c>
    </row>
    <row r="176" spans="1:15" ht="15" customHeight="1">
      <c r="A176" t="s">
        <v>1831</v>
      </c>
      <c r="B176" t="s">
        <v>17</v>
      </c>
      <c r="C176">
        <v>59</v>
      </c>
      <c r="D176" t="s">
        <v>41</v>
      </c>
      <c r="E176">
        <v>1000</v>
      </c>
      <c r="F176">
        <v>31</v>
      </c>
      <c r="G176" t="s">
        <v>18</v>
      </c>
      <c r="H176" t="s">
        <v>1451</v>
      </c>
      <c r="I176" t="s">
        <v>20</v>
      </c>
      <c r="K176" s="48">
        <f t="shared" si="10"/>
        <v>42595.605555555558</v>
      </c>
      <c r="L176" s="49">
        <f t="shared" si="11"/>
        <v>6111</v>
      </c>
      <c r="M176" t="s">
        <v>1677</v>
      </c>
      <c r="N176" t="s">
        <v>1817</v>
      </c>
      <c r="O176" t="str">
        <f>O175&amp;", """&amp;A176&amp;""""</f>
        <v>"07160813_1239", "07160813_1335", "07160813_1432"</v>
      </c>
    </row>
    <row r="177" spans="1:15" ht="15" customHeight="1">
      <c r="A177" t="s">
        <v>1832</v>
      </c>
      <c r="B177" t="s">
        <v>17</v>
      </c>
      <c r="C177">
        <v>59</v>
      </c>
      <c r="D177" t="s">
        <v>41</v>
      </c>
      <c r="E177">
        <v>1000</v>
      </c>
      <c r="F177">
        <v>31</v>
      </c>
      <c r="G177" t="s">
        <v>18</v>
      </c>
      <c r="H177" t="s">
        <v>1451</v>
      </c>
      <c r="I177" t="s">
        <v>20</v>
      </c>
      <c r="K177" s="48">
        <f t="shared" si="10"/>
        <v>42595.644444444442</v>
      </c>
      <c r="L177" s="49">
        <f t="shared" si="11"/>
        <v>6142</v>
      </c>
      <c r="M177" t="s">
        <v>1677</v>
      </c>
      <c r="N177" t="s">
        <v>1817</v>
      </c>
      <c r="O177" t="str">
        <f>O176&amp;", """&amp;A177&amp;""""</f>
        <v>"07160813_1239", "07160813_1335", "07160813_1432", "07160813_1528"</v>
      </c>
    </row>
    <row r="178" spans="1:15" ht="15" customHeight="1">
      <c r="A178" t="s">
        <v>1833</v>
      </c>
      <c r="B178" t="s">
        <v>17</v>
      </c>
      <c r="C178">
        <v>59</v>
      </c>
      <c r="D178" t="s">
        <v>41</v>
      </c>
      <c r="E178">
        <v>1000</v>
      </c>
      <c r="F178">
        <v>31</v>
      </c>
      <c r="G178" t="s">
        <v>18</v>
      </c>
      <c r="H178" t="s">
        <v>1834</v>
      </c>
      <c r="I178" t="s">
        <v>20</v>
      </c>
      <c r="K178" s="48">
        <f t="shared" ref="K178:K188" si="12">DATE(2000+MID(A178,3,2),MID(A178,5,2),MID(A178,7,2))+TIME(MID(A178,10,2),MID(A178,12,2),0)</f>
        <v>42595.684027777781</v>
      </c>
      <c r="L178" s="49">
        <f t="shared" si="11"/>
        <v>6173</v>
      </c>
      <c r="M178" t="s">
        <v>1677</v>
      </c>
      <c r="N178" t="s">
        <v>1817</v>
      </c>
      <c r="O178" t="str">
        <f>O177&amp;", """&amp;A178&amp;""""</f>
        <v>"07160813_1239", "07160813_1335", "07160813_1432", "07160813_1528", "07160813_1625"</v>
      </c>
    </row>
    <row r="179" spans="1:15" ht="15" customHeight="1">
      <c r="A179" t="s">
        <v>1835</v>
      </c>
      <c r="B179" t="s">
        <v>17</v>
      </c>
      <c r="C179">
        <v>59</v>
      </c>
      <c r="D179" t="s">
        <v>41</v>
      </c>
      <c r="E179">
        <v>1000</v>
      </c>
      <c r="F179">
        <v>31</v>
      </c>
      <c r="G179" t="s">
        <v>18</v>
      </c>
      <c r="H179" t="s">
        <v>1834</v>
      </c>
      <c r="I179" t="s">
        <v>20</v>
      </c>
      <c r="K179" s="48">
        <f t="shared" si="12"/>
        <v>42595.722916666666</v>
      </c>
      <c r="L179" s="49">
        <f t="shared" si="11"/>
        <v>6204</v>
      </c>
      <c r="M179" t="s">
        <v>1677</v>
      </c>
      <c r="N179" t="s">
        <v>1817</v>
      </c>
      <c r="O179" t="str">
        <f>O178&amp;", """&amp;A179&amp;""""</f>
        <v>"07160813_1239", "07160813_1335", "07160813_1432", "07160813_1528", "07160813_1625", "07160813_1721"</v>
      </c>
    </row>
    <row r="180" spans="1:15" ht="15" customHeight="1">
      <c r="A180" t="s">
        <v>1836</v>
      </c>
      <c r="B180" t="s">
        <v>17</v>
      </c>
      <c r="C180">
        <v>59</v>
      </c>
      <c r="D180" t="s">
        <v>41</v>
      </c>
      <c r="E180">
        <v>1000</v>
      </c>
      <c r="F180">
        <v>31</v>
      </c>
      <c r="G180" t="s">
        <v>18</v>
      </c>
      <c r="H180" t="s">
        <v>19</v>
      </c>
      <c r="I180" t="s">
        <v>20</v>
      </c>
      <c r="J180" t="s">
        <v>75</v>
      </c>
      <c r="K180" s="48">
        <f t="shared" si="12"/>
        <v>42596.943749999999</v>
      </c>
      <c r="L180" s="49">
        <f t="shared" si="11"/>
        <v>6235</v>
      </c>
      <c r="M180" t="s">
        <v>1677</v>
      </c>
      <c r="N180" t="s">
        <v>1817</v>
      </c>
    </row>
    <row r="181" spans="1:15" ht="15" customHeight="1">
      <c r="A181" t="s">
        <v>1837</v>
      </c>
      <c r="B181" t="s">
        <v>17</v>
      </c>
      <c r="C181">
        <v>59</v>
      </c>
      <c r="D181" t="s">
        <v>41</v>
      </c>
      <c r="E181">
        <v>1000</v>
      </c>
      <c r="F181">
        <v>31</v>
      </c>
      <c r="G181" t="s">
        <v>18</v>
      </c>
      <c r="H181" t="s">
        <v>19</v>
      </c>
      <c r="I181" t="s">
        <v>20</v>
      </c>
      <c r="J181" t="s">
        <v>1838</v>
      </c>
      <c r="K181" s="48">
        <f t="shared" si="12"/>
        <v>42596.98333333333</v>
      </c>
      <c r="L181" s="49">
        <f t="shared" si="11"/>
        <v>6266</v>
      </c>
      <c r="M181" t="s">
        <v>1677</v>
      </c>
      <c r="N181" t="s">
        <v>1817</v>
      </c>
    </row>
    <row r="182" spans="1:15" ht="15" customHeight="1">
      <c r="A182" t="s">
        <v>1839</v>
      </c>
      <c r="B182" t="s">
        <v>17</v>
      </c>
      <c r="C182">
        <v>59</v>
      </c>
      <c r="D182" t="s">
        <v>41</v>
      </c>
      <c r="E182">
        <v>1000</v>
      </c>
      <c r="F182">
        <v>31</v>
      </c>
      <c r="G182" t="s">
        <v>18</v>
      </c>
      <c r="H182" t="s">
        <v>1451</v>
      </c>
      <c r="I182" t="s">
        <v>20</v>
      </c>
      <c r="J182" t="s">
        <v>1840</v>
      </c>
      <c r="K182" s="48">
        <f t="shared" si="12"/>
        <v>42597.022222222222</v>
      </c>
      <c r="L182" s="49">
        <f t="shared" si="11"/>
        <v>6297</v>
      </c>
      <c r="M182" t="s">
        <v>1677</v>
      </c>
      <c r="N182" t="s">
        <v>1817</v>
      </c>
    </row>
    <row r="183" spans="1:15" ht="15" customHeight="1">
      <c r="A183" t="s">
        <v>1841</v>
      </c>
      <c r="B183" t="s">
        <v>17</v>
      </c>
      <c r="C183">
        <v>59</v>
      </c>
      <c r="D183" t="s">
        <v>41</v>
      </c>
      <c r="E183">
        <v>1000</v>
      </c>
      <c r="F183">
        <v>31</v>
      </c>
      <c r="G183" t="s">
        <v>18</v>
      </c>
      <c r="H183" t="s">
        <v>1451</v>
      </c>
      <c r="I183" t="s">
        <v>20</v>
      </c>
      <c r="J183" t="s">
        <v>1840</v>
      </c>
      <c r="K183" s="48">
        <f t="shared" si="12"/>
        <v>42597.061805555553</v>
      </c>
      <c r="L183" s="49">
        <f t="shared" si="11"/>
        <v>6328</v>
      </c>
      <c r="M183" t="s">
        <v>1677</v>
      </c>
      <c r="N183" t="s">
        <v>1817</v>
      </c>
    </row>
    <row r="184" spans="1:15" ht="15" customHeight="1">
      <c r="A184" t="s">
        <v>1842</v>
      </c>
      <c r="B184" t="s">
        <v>17</v>
      </c>
      <c r="C184">
        <v>59</v>
      </c>
      <c r="D184" t="s">
        <v>41</v>
      </c>
      <c r="E184">
        <v>1000</v>
      </c>
      <c r="F184">
        <v>31</v>
      </c>
      <c r="G184" t="s">
        <v>18</v>
      </c>
      <c r="H184" t="s">
        <v>1834</v>
      </c>
      <c r="I184" t="s">
        <v>20</v>
      </c>
      <c r="J184" t="s">
        <v>1840</v>
      </c>
      <c r="K184" s="48">
        <f t="shared" si="12"/>
        <v>42597.100694444445</v>
      </c>
      <c r="L184" s="49">
        <f t="shared" si="11"/>
        <v>6359</v>
      </c>
      <c r="M184" t="s">
        <v>1677</v>
      </c>
      <c r="N184" t="s">
        <v>1817</v>
      </c>
    </row>
    <row r="185" spans="1:15" ht="15" customHeight="1">
      <c r="A185" t="s">
        <v>1843</v>
      </c>
      <c r="B185" t="s">
        <v>17</v>
      </c>
      <c r="C185">
        <v>59</v>
      </c>
      <c r="D185" t="s">
        <v>41</v>
      </c>
      <c r="E185">
        <v>1000</v>
      </c>
      <c r="F185">
        <v>31</v>
      </c>
      <c r="G185" t="s">
        <v>18</v>
      </c>
      <c r="H185" t="s">
        <v>1834</v>
      </c>
      <c r="I185" t="s">
        <v>20</v>
      </c>
      <c r="J185" t="s">
        <v>1840</v>
      </c>
      <c r="K185" s="48">
        <f t="shared" si="12"/>
        <v>42597.140277777777</v>
      </c>
      <c r="L185" s="49">
        <f t="shared" si="11"/>
        <v>6390</v>
      </c>
      <c r="M185" t="s">
        <v>1677</v>
      </c>
      <c r="N185" t="s">
        <v>1817</v>
      </c>
    </row>
    <row r="186" spans="1:15" ht="15" customHeight="1">
      <c r="A186" t="s">
        <v>1844</v>
      </c>
      <c r="B186" t="s">
        <v>17</v>
      </c>
      <c r="C186">
        <v>59</v>
      </c>
      <c r="D186" t="s">
        <v>41</v>
      </c>
      <c r="E186">
        <v>1000</v>
      </c>
      <c r="F186">
        <v>32</v>
      </c>
      <c r="G186" t="s">
        <v>18</v>
      </c>
      <c r="H186" t="s">
        <v>1748</v>
      </c>
      <c r="I186" t="s">
        <v>20</v>
      </c>
      <c r="J186" t="s">
        <v>75</v>
      </c>
      <c r="K186" s="48">
        <f t="shared" si="12"/>
        <v>42598.393055555556</v>
      </c>
      <c r="L186" s="49">
        <f t="shared" si="11"/>
        <v>6422</v>
      </c>
      <c r="M186" t="s">
        <v>1677</v>
      </c>
      <c r="N186" t="s">
        <v>1845</v>
      </c>
    </row>
    <row r="187" spans="1:15" ht="15" customHeight="1">
      <c r="A187" t="s">
        <v>1846</v>
      </c>
      <c r="B187" t="s">
        <v>17</v>
      </c>
      <c r="C187">
        <v>59</v>
      </c>
      <c r="D187" t="s">
        <v>41</v>
      </c>
      <c r="E187">
        <v>1000</v>
      </c>
      <c r="F187">
        <v>33</v>
      </c>
      <c r="G187" t="s">
        <v>18</v>
      </c>
      <c r="H187" t="s">
        <v>1748</v>
      </c>
      <c r="I187" t="s">
        <v>20</v>
      </c>
      <c r="J187" t="s">
        <v>75</v>
      </c>
      <c r="K187" s="48">
        <f t="shared" si="12"/>
        <v>42598.442361111112</v>
      </c>
      <c r="L187" s="49">
        <f t="shared" si="11"/>
        <v>6455</v>
      </c>
      <c r="M187" t="s">
        <v>1677</v>
      </c>
      <c r="N187" t="s">
        <v>1847</v>
      </c>
    </row>
    <row r="188" spans="1:15" ht="15" customHeight="1">
      <c r="A188" t="s">
        <v>1848</v>
      </c>
      <c r="B188" t="s">
        <v>17</v>
      </c>
      <c r="C188">
        <v>59</v>
      </c>
      <c r="D188" t="s">
        <v>41</v>
      </c>
      <c r="E188">
        <v>1000</v>
      </c>
      <c r="F188">
        <v>33</v>
      </c>
      <c r="G188" t="s">
        <v>18</v>
      </c>
      <c r="H188" t="s">
        <v>1748</v>
      </c>
      <c r="I188" t="s">
        <v>20</v>
      </c>
      <c r="J188" t="s">
        <v>75</v>
      </c>
      <c r="K188" s="48">
        <f t="shared" si="12"/>
        <v>42598.48333333333</v>
      </c>
      <c r="L188" s="49">
        <f t="shared" si="11"/>
        <v>6488</v>
      </c>
      <c r="M188" t="s">
        <v>1677</v>
      </c>
      <c r="N188" t="s">
        <v>1847</v>
      </c>
    </row>
    <row r="189" spans="1:15" ht="15" customHeight="1">
      <c r="A189" t="s">
        <v>1849</v>
      </c>
      <c r="B189" t="s">
        <v>17</v>
      </c>
      <c r="C189">
        <v>59</v>
      </c>
      <c r="D189" t="s">
        <v>41</v>
      </c>
      <c r="E189">
        <v>1000</v>
      </c>
      <c r="F189">
        <v>31</v>
      </c>
      <c r="G189" t="s">
        <v>18</v>
      </c>
      <c r="H189" t="s">
        <v>1748</v>
      </c>
      <c r="I189" t="s">
        <v>20</v>
      </c>
      <c r="J189" t="s">
        <v>75</v>
      </c>
      <c r="K189" s="48">
        <f>DATE(2000+MID(A189,3,2),MID(A189,5,2),MID(A189,7,2))+TIME(MID(A189,10,2),MID(A189,12,2),0)</f>
        <v>42599.386805555558</v>
      </c>
      <c r="L189" s="49">
        <f t="shared" si="11"/>
        <v>6519</v>
      </c>
      <c r="M189" t="s">
        <v>1786</v>
      </c>
      <c r="N189" t="s">
        <v>1845</v>
      </c>
    </row>
    <row r="190" spans="1:15" ht="15" customHeight="1">
      <c r="A190" t="s">
        <v>1850</v>
      </c>
      <c r="B190" t="s">
        <v>17</v>
      </c>
      <c r="C190">
        <v>59</v>
      </c>
      <c r="D190" t="s">
        <v>41</v>
      </c>
      <c r="E190">
        <v>1000</v>
      </c>
      <c r="F190">
        <v>33</v>
      </c>
      <c r="G190" t="s">
        <v>18</v>
      </c>
      <c r="H190" t="s">
        <v>1748</v>
      </c>
      <c r="I190" t="s">
        <v>20</v>
      </c>
      <c r="J190" t="s">
        <v>75</v>
      </c>
      <c r="K190" s="48">
        <f>DATE(2000+MID(A190,3,2),MID(A190,5,2),MID(A190,7,2))+TIME(MID(A190,10,2),MID(A190,12,2),0)</f>
        <v>42599.425694444442</v>
      </c>
      <c r="L190" s="49">
        <f t="shared" si="11"/>
        <v>6552</v>
      </c>
      <c r="M190" t="s">
        <v>1786</v>
      </c>
      <c r="N190" t="s">
        <v>1847</v>
      </c>
    </row>
    <row r="191" spans="1:15" ht="15" customHeight="1">
      <c r="A191" t="s">
        <v>1851</v>
      </c>
      <c r="B191" t="s">
        <v>17</v>
      </c>
      <c r="C191">
        <v>59</v>
      </c>
      <c r="D191" t="s">
        <v>41</v>
      </c>
      <c r="E191">
        <v>1000</v>
      </c>
      <c r="F191" t="s">
        <v>41</v>
      </c>
      <c r="G191" t="s">
        <v>18</v>
      </c>
      <c r="H191" t="s">
        <v>1748</v>
      </c>
      <c r="I191" t="s">
        <v>20</v>
      </c>
      <c r="J191" t="s">
        <v>75</v>
      </c>
      <c r="K191" s="48">
        <f>DATE(2000+MID(A191,3,2),MID(A191,5,2),MID(A191,7,2))+TIME(MID(A191,10,2),MID(A191,12,2),0)</f>
        <v>42599.467361111114</v>
      </c>
      <c r="L191" s="49">
        <f>L190+31</f>
        <v>6583</v>
      </c>
      <c r="M191" t="s">
        <v>1786</v>
      </c>
      <c r="N191" t="s">
        <v>1847</v>
      </c>
    </row>
    <row r="192" spans="1:15" ht="15" customHeight="1">
      <c r="A192" t="s">
        <v>1852</v>
      </c>
      <c r="B192" t="s">
        <v>17</v>
      </c>
      <c r="C192">
        <v>59</v>
      </c>
      <c r="D192" t="s">
        <v>41</v>
      </c>
      <c r="E192">
        <v>1000</v>
      </c>
      <c r="F192">
        <v>2</v>
      </c>
      <c r="G192" t="s">
        <v>18</v>
      </c>
      <c r="H192" t="s">
        <v>42</v>
      </c>
      <c r="I192" t="s">
        <v>20</v>
      </c>
      <c r="J192" t="s">
        <v>1853</v>
      </c>
      <c r="K192" s="48">
        <f t="shared" ref="K192:K207" si="13">DATE(2000+MID(A192,3,2),MID(A192,5,2),MID(A192,7,2))+TIME(MID(A192,10,2),MID(A192,12,2),0)</f>
        <v>42600.395138888889</v>
      </c>
      <c r="L192" s="49">
        <f t="shared" si="11"/>
        <v>6585</v>
      </c>
      <c r="M192" t="s">
        <v>1677</v>
      </c>
      <c r="N192" t="s">
        <v>1845</v>
      </c>
    </row>
    <row r="193" spans="1:15" ht="15" customHeight="1">
      <c r="A193" t="s">
        <v>1854</v>
      </c>
      <c r="B193" t="s">
        <v>17</v>
      </c>
      <c r="C193">
        <v>59</v>
      </c>
      <c r="D193" t="s">
        <v>41</v>
      </c>
      <c r="E193">
        <v>1000</v>
      </c>
      <c r="F193">
        <v>32</v>
      </c>
      <c r="G193" t="s">
        <v>18</v>
      </c>
      <c r="H193" t="s">
        <v>1748</v>
      </c>
      <c r="I193" t="s">
        <v>20</v>
      </c>
      <c r="K193" s="48">
        <f t="shared" si="13"/>
        <v>42600.396527777775</v>
      </c>
      <c r="L193" s="49">
        <f t="shared" si="11"/>
        <v>6617</v>
      </c>
      <c r="M193" t="s">
        <v>1677</v>
      </c>
      <c r="N193" t="s">
        <v>1847</v>
      </c>
    </row>
    <row r="194" spans="1:15" ht="15" customHeight="1">
      <c r="A194" t="s">
        <v>1855</v>
      </c>
      <c r="B194" t="s">
        <v>17</v>
      </c>
      <c r="C194">
        <v>59</v>
      </c>
      <c r="D194" t="s">
        <v>41</v>
      </c>
      <c r="E194">
        <v>1000</v>
      </c>
      <c r="F194">
        <v>31</v>
      </c>
      <c r="G194" t="s">
        <v>18</v>
      </c>
      <c r="H194" t="s">
        <v>1748</v>
      </c>
      <c r="I194" t="s">
        <v>20</v>
      </c>
      <c r="K194" s="48">
        <f t="shared" si="13"/>
        <v>42600.439583333333</v>
      </c>
      <c r="L194" s="49">
        <f t="shared" si="11"/>
        <v>6648</v>
      </c>
      <c r="M194" t="s">
        <v>1677</v>
      </c>
      <c r="N194" t="s">
        <v>1847</v>
      </c>
    </row>
    <row r="195" spans="1:15" ht="15" customHeight="1">
      <c r="A195" t="s">
        <v>1856</v>
      </c>
      <c r="B195" t="s">
        <v>17</v>
      </c>
      <c r="C195">
        <v>59</v>
      </c>
      <c r="D195" t="s">
        <v>41</v>
      </c>
      <c r="E195">
        <v>1000</v>
      </c>
      <c r="F195">
        <v>32</v>
      </c>
      <c r="G195" t="s">
        <v>18</v>
      </c>
      <c r="H195" t="s">
        <v>1748</v>
      </c>
      <c r="I195" t="s">
        <v>20</v>
      </c>
      <c r="K195" s="48">
        <f t="shared" si="13"/>
        <v>42600.48333333333</v>
      </c>
      <c r="L195" s="49">
        <f t="shared" si="11"/>
        <v>6680</v>
      </c>
      <c r="M195" t="s">
        <v>1677</v>
      </c>
      <c r="N195" t="s">
        <v>1847</v>
      </c>
    </row>
    <row r="196" spans="1:15" ht="15" customHeight="1">
      <c r="A196" t="s">
        <v>1857</v>
      </c>
      <c r="B196" t="s">
        <v>17</v>
      </c>
      <c r="C196">
        <v>59</v>
      </c>
      <c r="D196" t="s">
        <v>41</v>
      </c>
      <c r="E196">
        <v>1000</v>
      </c>
      <c r="F196">
        <v>32</v>
      </c>
      <c r="G196" t="s">
        <v>18</v>
      </c>
      <c r="H196" t="s">
        <v>1748</v>
      </c>
      <c r="I196" t="s">
        <v>20</v>
      </c>
      <c r="J196" t="s">
        <v>75</v>
      </c>
      <c r="K196" s="48">
        <f t="shared" si="13"/>
        <v>42601.37222222222</v>
      </c>
      <c r="L196" s="49">
        <f t="shared" ref="L196:L216" si="14">L195+F196</f>
        <v>6712</v>
      </c>
      <c r="M196" t="s">
        <v>1858</v>
      </c>
      <c r="N196" t="s">
        <v>1845</v>
      </c>
      <c r="O196" t="str">
        <f>""""&amp;A196&amp;""""</f>
        <v>"07160819_0856"</v>
      </c>
    </row>
    <row r="197" spans="1:15" ht="15" customHeight="1">
      <c r="A197" t="s">
        <v>1859</v>
      </c>
      <c r="B197" t="s">
        <v>17</v>
      </c>
      <c r="C197">
        <v>59</v>
      </c>
      <c r="D197" t="s">
        <v>41</v>
      </c>
      <c r="E197">
        <v>1000</v>
      </c>
      <c r="F197">
        <v>31</v>
      </c>
      <c r="G197" t="s">
        <v>18</v>
      </c>
      <c r="H197" t="s">
        <v>1748</v>
      </c>
      <c r="I197" t="s">
        <v>20</v>
      </c>
      <c r="J197" t="s">
        <v>75</v>
      </c>
      <c r="K197" s="48">
        <f t="shared" si="13"/>
        <v>42601.414583333331</v>
      </c>
      <c r="L197" s="49">
        <f t="shared" si="14"/>
        <v>6743</v>
      </c>
      <c r="M197" t="s">
        <v>1858</v>
      </c>
      <c r="N197" t="s">
        <v>1847</v>
      </c>
      <c r="O197" t="str">
        <f>O196&amp;", """&amp;A197&amp;""""</f>
        <v>"07160819_0856", "07160819_0957"</v>
      </c>
    </row>
    <row r="198" spans="1:15" ht="15" customHeight="1">
      <c r="A198" t="s">
        <v>1860</v>
      </c>
      <c r="B198" t="s">
        <v>17</v>
      </c>
      <c r="C198">
        <v>59</v>
      </c>
      <c r="D198" t="s">
        <v>41</v>
      </c>
      <c r="E198">
        <v>1000</v>
      </c>
      <c r="F198">
        <v>31</v>
      </c>
      <c r="G198" t="s">
        <v>18</v>
      </c>
      <c r="H198" t="s">
        <v>42</v>
      </c>
      <c r="I198" s="51" t="s">
        <v>20</v>
      </c>
      <c r="J198" s="52" t="s">
        <v>1861</v>
      </c>
      <c r="K198" s="48">
        <f t="shared" si="13"/>
        <v>42601.488194444442</v>
      </c>
      <c r="L198" s="49">
        <f t="shared" si="14"/>
        <v>6774</v>
      </c>
      <c r="M198" t="s">
        <v>1858</v>
      </c>
      <c r="N198" t="s">
        <v>1847</v>
      </c>
      <c r="O198" t="str">
        <f>O197&amp;", """&amp;A198&amp;""""</f>
        <v>"07160819_0856", "07160819_0957", "07160819_1143"</v>
      </c>
    </row>
    <row r="199" spans="1:15" ht="15" customHeight="1">
      <c r="A199" t="s">
        <v>1862</v>
      </c>
      <c r="B199" t="s">
        <v>17</v>
      </c>
      <c r="C199">
        <v>59</v>
      </c>
      <c r="D199" t="s">
        <v>41</v>
      </c>
      <c r="E199">
        <v>1000</v>
      </c>
      <c r="F199" t="s">
        <v>41</v>
      </c>
      <c r="G199" t="s">
        <v>18</v>
      </c>
      <c r="H199" t="s">
        <v>42</v>
      </c>
      <c r="I199" t="s">
        <v>20</v>
      </c>
      <c r="J199" t="s">
        <v>1861</v>
      </c>
      <c r="K199" s="48">
        <f t="shared" si="13"/>
        <v>42601.527777777781</v>
      </c>
      <c r="L199" s="49">
        <f>L198+31</f>
        <v>6805</v>
      </c>
      <c r="M199" t="s">
        <v>1858</v>
      </c>
      <c r="N199" t="s">
        <v>1847</v>
      </c>
      <c r="O199" t="str">
        <f>O198&amp;", """&amp;A199&amp;""""</f>
        <v>"07160819_0856", "07160819_0957", "07160819_1143", "07160819_1240"</v>
      </c>
    </row>
    <row r="200" spans="1:15" ht="15" customHeight="1">
      <c r="A200" s="9" t="s">
        <v>1863</v>
      </c>
      <c r="B200" s="9" t="s">
        <v>17</v>
      </c>
      <c r="C200" s="9">
        <v>59</v>
      </c>
      <c r="D200" s="9" t="s">
        <v>41</v>
      </c>
      <c r="E200" s="9">
        <v>1000</v>
      </c>
      <c r="F200" s="9">
        <v>31</v>
      </c>
      <c r="G200" s="9" t="s">
        <v>18</v>
      </c>
      <c r="H200" s="10" t="s">
        <v>1864</v>
      </c>
      <c r="I200" s="9" t="s">
        <v>20</v>
      </c>
      <c r="J200" t="s">
        <v>1865</v>
      </c>
      <c r="K200" s="48">
        <f t="shared" si="13"/>
        <v>42602.460416666669</v>
      </c>
      <c r="L200" s="49">
        <f t="shared" si="14"/>
        <v>6836</v>
      </c>
      <c r="M200" t="s">
        <v>1677</v>
      </c>
      <c r="N200" t="s">
        <v>1845</v>
      </c>
    </row>
    <row r="201" spans="1:15" ht="15" customHeight="1">
      <c r="A201" s="9" t="s">
        <v>1866</v>
      </c>
      <c r="B201" s="9" t="s">
        <v>17</v>
      </c>
      <c r="C201" s="9">
        <v>59</v>
      </c>
      <c r="D201" s="9" t="s">
        <v>41</v>
      </c>
      <c r="E201" s="9">
        <v>1000</v>
      </c>
      <c r="F201" s="9">
        <v>31</v>
      </c>
      <c r="G201" s="9" t="s">
        <v>18</v>
      </c>
      <c r="H201" s="10" t="s">
        <v>1864</v>
      </c>
      <c r="I201" s="9" t="s">
        <v>20</v>
      </c>
      <c r="J201" t="s">
        <v>1865</v>
      </c>
      <c r="K201" s="48">
        <f t="shared" si="13"/>
        <v>42602.5</v>
      </c>
      <c r="L201" s="49">
        <f t="shared" si="14"/>
        <v>6867</v>
      </c>
      <c r="M201" t="s">
        <v>1677</v>
      </c>
      <c r="N201" t="s">
        <v>1847</v>
      </c>
    </row>
    <row r="202" spans="1:15" ht="15" customHeight="1">
      <c r="A202" s="9" t="s">
        <v>1867</v>
      </c>
      <c r="B202" s="9" t="s">
        <v>17</v>
      </c>
      <c r="C202" s="9">
        <v>59</v>
      </c>
      <c r="D202" s="9" t="s">
        <v>41</v>
      </c>
      <c r="E202" s="9">
        <v>1000</v>
      </c>
      <c r="F202" s="9">
        <v>31</v>
      </c>
      <c r="G202" s="9" t="s">
        <v>18</v>
      </c>
      <c r="H202" s="10" t="s">
        <v>1864</v>
      </c>
      <c r="I202" s="9" t="s">
        <v>20</v>
      </c>
      <c r="J202" t="s">
        <v>1865</v>
      </c>
      <c r="K202" s="48">
        <f t="shared" si="13"/>
        <v>42602.538888888892</v>
      </c>
      <c r="L202" s="49">
        <f t="shared" si="14"/>
        <v>6898</v>
      </c>
      <c r="M202" t="s">
        <v>1677</v>
      </c>
      <c r="N202" t="s">
        <v>1847</v>
      </c>
    </row>
    <row r="203" spans="1:15" ht="15" customHeight="1">
      <c r="A203" t="s">
        <v>1868</v>
      </c>
      <c r="B203" t="s">
        <v>17</v>
      </c>
      <c r="C203">
        <v>59</v>
      </c>
      <c r="D203" t="s">
        <v>41</v>
      </c>
      <c r="E203">
        <v>0</v>
      </c>
      <c r="F203">
        <v>3</v>
      </c>
      <c r="G203" t="s">
        <v>191</v>
      </c>
      <c r="H203" t="s">
        <v>42</v>
      </c>
      <c r="I203" t="s">
        <v>20</v>
      </c>
      <c r="J203" t="s">
        <v>191</v>
      </c>
      <c r="K203" s="48">
        <f t="shared" si="13"/>
        <v>42603.527777777781</v>
      </c>
      <c r="L203" s="49">
        <f t="shared" si="14"/>
        <v>6901</v>
      </c>
    </row>
    <row r="204" spans="1:15" ht="15" customHeight="1">
      <c r="A204" t="s">
        <v>1869</v>
      </c>
      <c r="B204" t="s">
        <v>17</v>
      </c>
      <c r="C204">
        <v>59</v>
      </c>
      <c r="D204" t="s">
        <v>41</v>
      </c>
      <c r="E204">
        <v>500</v>
      </c>
      <c r="F204">
        <v>5</v>
      </c>
      <c r="G204" t="s">
        <v>191</v>
      </c>
      <c r="H204" t="s">
        <v>42</v>
      </c>
      <c r="I204" t="s">
        <v>20</v>
      </c>
      <c r="J204" t="s">
        <v>191</v>
      </c>
      <c r="K204" s="48">
        <f t="shared" si="13"/>
        <v>42604.363888888889</v>
      </c>
      <c r="L204" s="49">
        <f t="shared" si="14"/>
        <v>6906</v>
      </c>
    </row>
    <row r="205" spans="1:15" ht="15" customHeight="1">
      <c r="A205" t="s">
        <v>1870</v>
      </c>
      <c r="B205" t="s">
        <v>17</v>
      </c>
      <c r="C205">
        <v>59</v>
      </c>
      <c r="D205" t="s">
        <v>41</v>
      </c>
      <c r="E205">
        <v>1000</v>
      </c>
      <c r="F205">
        <v>31</v>
      </c>
      <c r="G205" t="s">
        <v>18</v>
      </c>
      <c r="H205" t="s">
        <v>1748</v>
      </c>
      <c r="I205" t="s">
        <v>20</v>
      </c>
      <c r="J205" t="s">
        <v>75</v>
      </c>
      <c r="K205" s="48">
        <f t="shared" si="13"/>
        <v>42604.386111111111</v>
      </c>
      <c r="L205" s="49">
        <f t="shared" si="14"/>
        <v>6937</v>
      </c>
      <c r="M205" t="s">
        <v>1871</v>
      </c>
      <c r="N205" t="s">
        <v>1845</v>
      </c>
      <c r="O205" t="str">
        <f>""""&amp;A205&amp;""""</f>
        <v>"07160822_0916"</v>
      </c>
    </row>
    <row r="206" spans="1:15" ht="15" customHeight="1">
      <c r="A206" t="s">
        <v>1872</v>
      </c>
      <c r="B206" t="s">
        <v>17</v>
      </c>
      <c r="C206">
        <v>59</v>
      </c>
      <c r="D206" t="s">
        <v>41</v>
      </c>
      <c r="E206">
        <v>1000</v>
      </c>
      <c r="F206">
        <v>31</v>
      </c>
      <c r="G206" t="s">
        <v>18</v>
      </c>
      <c r="H206" t="s">
        <v>1748</v>
      </c>
      <c r="I206" t="s">
        <v>20</v>
      </c>
      <c r="J206" t="s">
        <v>75</v>
      </c>
      <c r="K206" s="48">
        <f t="shared" si="13"/>
        <v>42604.448611111111</v>
      </c>
      <c r="L206" s="49">
        <f t="shared" si="14"/>
        <v>6968</v>
      </c>
      <c r="M206" t="s">
        <v>1871</v>
      </c>
      <c r="N206" t="s">
        <v>1873</v>
      </c>
      <c r="O206" t="str">
        <f>O205&amp;", """&amp;A206&amp;""""</f>
        <v>"07160822_0916", "07160822_1046"</v>
      </c>
    </row>
    <row r="207" spans="1:15" ht="15" customHeight="1">
      <c r="A207" t="s">
        <v>1874</v>
      </c>
      <c r="B207" t="s">
        <v>17</v>
      </c>
      <c r="C207">
        <v>59</v>
      </c>
      <c r="D207" t="s">
        <v>41</v>
      </c>
      <c r="E207">
        <v>1000</v>
      </c>
      <c r="F207">
        <v>31</v>
      </c>
      <c r="G207" t="s">
        <v>18</v>
      </c>
      <c r="H207" t="s">
        <v>1748</v>
      </c>
      <c r="I207" t="s">
        <v>20</v>
      </c>
      <c r="J207" t="s">
        <v>75</v>
      </c>
      <c r="K207" s="48">
        <f t="shared" si="13"/>
        <v>42604.487500000003</v>
      </c>
      <c r="L207" s="49">
        <f t="shared" si="14"/>
        <v>6999</v>
      </c>
      <c r="M207" t="s">
        <v>1871</v>
      </c>
      <c r="N207" t="s">
        <v>1847</v>
      </c>
      <c r="O207" t="str">
        <f>O206&amp;", """&amp;A207&amp;""""</f>
        <v>"07160822_0916", "07160822_1046", "07160822_1142"</v>
      </c>
    </row>
    <row r="208" spans="1:15" ht="15" customHeight="1">
      <c r="A208" t="s">
        <v>1875</v>
      </c>
      <c r="B208" t="s">
        <v>17</v>
      </c>
      <c r="C208">
        <v>59</v>
      </c>
      <c r="D208" t="s">
        <v>41</v>
      </c>
      <c r="E208">
        <v>1000</v>
      </c>
      <c r="F208">
        <v>31</v>
      </c>
      <c r="G208" t="s">
        <v>18</v>
      </c>
      <c r="H208" t="s">
        <v>1748</v>
      </c>
      <c r="I208" t="s">
        <v>20</v>
      </c>
      <c r="J208" t="s">
        <v>75</v>
      </c>
      <c r="K208" s="48">
        <f>DATE(2000+MID(A208,3,2),MID(A208,5,2),MID(A208,7,2))+TIME(MID(A208,10,2),MID(A208,12,2),0)</f>
        <v>42605.385416666664</v>
      </c>
      <c r="L208" s="49">
        <f t="shared" si="14"/>
        <v>7030</v>
      </c>
      <c r="M208" t="s">
        <v>1876</v>
      </c>
      <c r="N208" t="s">
        <v>1845</v>
      </c>
      <c r="O208" t="str">
        <f>""""&amp;A208&amp;""""</f>
        <v>"07160823_0915"</v>
      </c>
    </row>
    <row r="209" spans="1:15" ht="15" customHeight="1">
      <c r="A209" t="s">
        <v>1877</v>
      </c>
      <c r="B209" t="s">
        <v>17</v>
      </c>
      <c r="C209">
        <v>59</v>
      </c>
      <c r="D209" t="s">
        <v>41</v>
      </c>
      <c r="E209">
        <v>1000</v>
      </c>
      <c r="F209">
        <v>31</v>
      </c>
      <c r="G209" t="s">
        <v>18</v>
      </c>
      <c r="H209" t="s">
        <v>1748</v>
      </c>
      <c r="I209" t="s">
        <v>20</v>
      </c>
      <c r="J209" t="s">
        <v>75</v>
      </c>
      <c r="K209" s="48">
        <f>DATE(2000+MID(A209,3,2),MID(A209,5,2),MID(A209,7,2))+TIME(MID(A209,10,2),MID(A209,12,2),0)</f>
        <v>42605.425000000003</v>
      </c>
      <c r="L209" s="49">
        <f t="shared" si="14"/>
        <v>7061</v>
      </c>
      <c r="M209" t="s">
        <v>1876</v>
      </c>
      <c r="N209" t="s">
        <v>1847</v>
      </c>
      <c r="O209" t="str">
        <f>O208&amp;", """&amp;A209&amp;""""</f>
        <v>"07160823_0915", "07160823_1012"</v>
      </c>
    </row>
    <row r="210" spans="1:15" ht="15" customHeight="1">
      <c r="A210" t="s">
        <v>1878</v>
      </c>
      <c r="B210" t="s">
        <v>17</v>
      </c>
      <c r="C210">
        <v>59</v>
      </c>
      <c r="D210" t="s">
        <v>41</v>
      </c>
      <c r="E210">
        <v>1000</v>
      </c>
      <c r="F210">
        <v>31</v>
      </c>
      <c r="G210" t="s">
        <v>18</v>
      </c>
      <c r="H210" t="s">
        <v>1748</v>
      </c>
      <c r="I210" t="s">
        <v>20</v>
      </c>
      <c r="J210" t="s">
        <v>75</v>
      </c>
      <c r="K210" s="48">
        <f>DATE(2000+MID(A210,3,2),MID(A210,5,2),MID(A210,7,2))+TIME(MID(A210,10,2),MID(A210,12,2),0)</f>
        <v>42605.464583333334</v>
      </c>
      <c r="L210" s="49">
        <f t="shared" si="14"/>
        <v>7092</v>
      </c>
      <c r="M210" t="s">
        <v>1876</v>
      </c>
      <c r="N210" t="s">
        <v>1847</v>
      </c>
      <c r="O210" t="str">
        <f>O209&amp;", """&amp;A210&amp;""""</f>
        <v>"07160823_0915", "07160823_1012", "07160823_1109"</v>
      </c>
    </row>
    <row r="211" spans="1:15" ht="15" customHeight="1">
      <c r="A211" t="s">
        <v>1879</v>
      </c>
      <c r="B211" t="s">
        <v>17</v>
      </c>
      <c r="C211">
        <v>59</v>
      </c>
      <c r="D211" t="s">
        <v>41</v>
      </c>
      <c r="E211">
        <v>1000</v>
      </c>
      <c r="F211">
        <v>31</v>
      </c>
      <c r="G211" t="s">
        <v>18</v>
      </c>
      <c r="H211" t="s">
        <v>1748</v>
      </c>
      <c r="I211" t="s">
        <v>20</v>
      </c>
      <c r="K211" s="48">
        <f t="shared" ref="K211:K216" si="15">DATE(2000+MID(A211,3,2),MID(A211,5,2),MID(A211,7,2))+TIME(MID(A211,10,2),MID(A211,12,2),0)</f>
        <v>42606.393055555556</v>
      </c>
      <c r="L211" s="49">
        <f t="shared" si="14"/>
        <v>7123</v>
      </c>
      <c r="M211" t="s">
        <v>1880</v>
      </c>
      <c r="N211" t="s">
        <v>1845</v>
      </c>
      <c r="O211" t="str">
        <f>""""&amp;A211&amp;""""</f>
        <v>"07160824_0926"</v>
      </c>
    </row>
    <row r="212" spans="1:15" ht="15" customHeight="1">
      <c r="A212" t="s">
        <v>1881</v>
      </c>
      <c r="B212" t="s">
        <v>17</v>
      </c>
      <c r="C212">
        <v>59</v>
      </c>
      <c r="D212" t="s">
        <v>41</v>
      </c>
      <c r="E212">
        <v>1000</v>
      </c>
      <c r="F212">
        <v>31</v>
      </c>
      <c r="G212" t="s">
        <v>18</v>
      </c>
      <c r="H212" t="s">
        <v>1748</v>
      </c>
      <c r="I212" t="s">
        <v>20</v>
      </c>
      <c r="K212" s="48">
        <f t="shared" si="15"/>
        <v>42606.431944444441</v>
      </c>
      <c r="L212" s="49">
        <f t="shared" si="14"/>
        <v>7154</v>
      </c>
      <c r="M212" t="s">
        <v>1880</v>
      </c>
      <c r="N212" t="s">
        <v>1847</v>
      </c>
      <c r="O212" t="str">
        <f>O211&amp;", """&amp;A212&amp;""""</f>
        <v>"07160824_0926", "07160824_1022"</v>
      </c>
    </row>
    <row r="213" spans="1:15" ht="15" customHeight="1">
      <c r="A213" t="s">
        <v>1882</v>
      </c>
      <c r="B213" t="s">
        <v>17</v>
      </c>
      <c r="C213">
        <v>59</v>
      </c>
      <c r="D213" t="s">
        <v>41</v>
      </c>
      <c r="E213">
        <v>1000</v>
      </c>
      <c r="F213">
        <v>31</v>
      </c>
      <c r="G213" t="s">
        <v>18</v>
      </c>
      <c r="H213" t="s">
        <v>1748</v>
      </c>
      <c r="I213" t="s">
        <v>20</v>
      </c>
      <c r="K213" s="48">
        <f t="shared" si="15"/>
        <v>42606.47152777778</v>
      </c>
      <c r="L213" s="49">
        <f t="shared" si="14"/>
        <v>7185</v>
      </c>
      <c r="M213" t="s">
        <v>1880</v>
      </c>
      <c r="N213" t="s">
        <v>1847</v>
      </c>
      <c r="O213" t="str">
        <f>O212&amp;", """&amp;A213&amp;""""</f>
        <v>"07160824_0926", "07160824_1022", "07160824_1119"</v>
      </c>
    </row>
    <row r="214" spans="1:15" ht="15" customHeight="1">
      <c r="A214" t="s">
        <v>1883</v>
      </c>
      <c r="B214" t="s">
        <v>17</v>
      </c>
      <c r="C214">
        <v>59</v>
      </c>
      <c r="D214" t="s">
        <v>41</v>
      </c>
      <c r="E214">
        <v>1000</v>
      </c>
      <c r="F214">
        <v>31</v>
      </c>
      <c r="G214" t="s">
        <v>18</v>
      </c>
      <c r="H214" t="s">
        <v>1748</v>
      </c>
      <c r="I214" t="s">
        <v>20</v>
      </c>
      <c r="J214" t="s">
        <v>1884</v>
      </c>
      <c r="K214" s="48">
        <f t="shared" si="15"/>
        <v>42608.504166666666</v>
      </c>
      <c r="L214" s="49">
        <f t="shared" si="14"/>
        <v>7216</v>
      </c>
      <c r="M214" t="s">
        <v>1885</v>
      </c>
      <c r="N214" t="s">
        <v>1845</v>
      </c>
      <c r="O214" t="str">
        <f>""""&amp;A214&amp;""""</f>
        <v>"07160826_1206"</v>
      </c>
    </row>
    <row r="215" spans="1:15" ht="15" customHeight="1">
      <c r="A215" t="s">
        <v>1886</v>
      </c>
      <c r="B215" t="s">
        <v>17</v>
      </c>
      <c r="C215">
        <v>59</v>
      </c>
      <c r="D215" t="s">
        <v>41</v>
      </c>
      <c r="E215">
        <v>1000</v>
      </c>
      <c r="F215">
        <v>31</v>
      </c>
      <c r="G215" t="s">
        <v>18</v>
      </c>
      <c r="H215" t="s">
        <v>1748</v>
      </c>
      <c r="I215" t="s">
        <v>20</v>
      </c>
      <c r="J215" t="s">
        <v>1884</v>
      </c>
      <c r="K215" s="48">
        <f t="shared" si="15"/>
        <v>42608.543749999997</v>
      </c>
      <c r="L215" s="49">
        <f t="shared" si="14"/>
        <v>7247</v>
      </c>
      <c r="M215" t="s">
        <v>1885</v>
      </c>
      <c r="N215" t="s">
        <v>1847</v>
      </c>
      <c r="O215" t="str">
        <f>O214&amp;", """&amp;A215&amp;""""</f>
        <v>"07160826_1206", "07160826_1303"</v>
      </c>
    </row>
    <row r="216" spans="1:15" ht="15" customHeight="1">
      <c r="A216" t="s">
        <v>1887</v>
      </c>
      <c r="B216" t="s">
        <v>17</v>
      </c>
      <c r="C216">
        <v>59</v>
      </c>
      <c r="D216" t="s">
        <v>41</v>
      </c>
      <c r="E216">
        <v>1000</v>
      </c>
      <c r="F216">
        <v>31</v>
      </c>
      <c r="G216" t="s">
        <v>18</v>
      </c>
      <c r="H216" t="s">
        <v>1748</v>
      </c>
      <c r="I216" t="s">
        <v>20</v>
      </c>
      <c r="J216" t="s">
        <v>1884</v>
      </c>
      <c r="K216" s="48">
        <f t="shared" si="15"/>
        <v>42608.582638888889</v>
      </c>
      <c r="L216" s="49">
        <f t="shared" si="14"/>
        <v>7278</v>
      </c>
      <c r="M216" t="s">
        <v>1885</v>
      </c>
      <c r="N216" t="s">
        <v>1847</v>
      </c>
      <c r="O216" t="str">
        <f>O215&amp;", """&amp;A216&amp;""""</f>
        <v>"07160826_1206", "07160826_1303", "07160826_1359"</v>
      </c>
    </row>
    <row r="217" spans="1:15" ht="15" customHeight="1">
      <c r="A217" t="s">
        <v>1888</v>
      </c>
      <c r="B217" t="s">
        <v>17</v>
      </c>
      <c r="C217">
        <v>59</v>
      </c>
      <c r="D217" t="s">
        <v>41</v>
      </c>
      <c r="E217">
        <v>1000</v>
      </c>
      <c r="F217">
        <v>2</v>
      </c>
      <c r="G217" t="s">
        <v>18</v>
      </c>
      <c r="H217" t="s">
        <v>42</v>
      </c>
      <c r="I217" t="s">
        <v>20</v>
      </c>
    </row>
  </sheetData>
  <sortState xmlns:xlrd2="http://schemas.microsoft.com/office/spreadsheetml/2017/richdata2" ref="A214:J216">
    <sortCondition ref="A214"/>
  </sortState>
  <mergeCells count="1">
    <mergeCell ref="N6:N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5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85546875" bestFit="1" customWidth="1"/>
    <col min="2" max="2" width="7.42578125" customWidth="1"/>
    <col min="3" max="3" width="11.7109375" customWidth="1"/>
    <col min="4" max="4" width="14.5703125" customWidth="1"/>
    <col min="5" max="5" width="9.42578125" customWidth="1"/>
    <col min="6" max="6" width="9" customWidth="1"/>
    <col min="7" max="7" width="10" customWidth="1"/>
    <col min="8" max="8" width="14.42578125" customWidth="1"/>
    <col min="9" max="10" width="10.42578125" customWidth="1"/>
    <col min="11" max="11" width="13.5703125" bestFit="1" customWidth="1"/>
    <col min="12" max="12" width="14.140625" bestFit="1" customWidth="1"/>
    <col min="13" max="13" width="6.85546875" bestFit="1" customWidth="1"/>
    <col min="14" max="14" width="9.140625" bestFit="1" customWidth="1"/>
    <col min="15" max="15" width="9" bestFit="1" customWidth="1"/>
    <col min="16" max="16" width="23.42578125" bestFit="1" customWidth="1"/>
    <col min="17" max="17" width="6" bestFit="1" customWidth="1"/>
    <col min="18" max="19" width="4.5703125" customWidth="1"/>
    <col min="20" max="20" width="17.42578125" bestFit="1" customWidth="1"/>
    <col min="21" max="21" width="18" customWidth="1"/>
    <col min="22" max="22" width="16.42578125" bestFit="1" customWidth="1"/>
    <col min="23" max="23" width="67.140625" bestFit="1" customWidth="1"/>
  </cols>
  <sheetData>
    <row r="1" spans="1:23" ht="31.5" customHeight="1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1616</v>
      </c>
      <c r="J1" s="27"/>
      <c r="L1" s="9" t="s">
        <v>1889</v>
      </c>
      <c r="M1" s="53" t="s">
        <v>1890</v>
      </c>
      <c r="N1" s="9" t="s">
        <v>1891</v>
      </c>
      <c r="O1" s="9" t="s">
        <v>1892</v>
      </c>
      <c r="P1" s="9" t="s">
        <v>1893</v>
      </c>
      <c r="Q1" s="9" t="s">
        <v>1894</v>
      </c>
      <c r="R1" s="9" t="s">
        <v>1895</v>
      </c>
      <c r="S1" s="9" t="s">
        <v>1896</v>
      </c>
      <c r="T1" s="9" t="s">
        <v>1897</v>
      </c>
      <c r="U1" s="9" t="s">
        <v>1898</v>
      </c>
      <c r="V1" s="9" t="s">
        <v>1899</v>
      </c>
      <c r="W1" s="9" t="s">
        <v>1900</v>
      </c>
    </row>
    <row r="2" spans="1:23">
      <c r="A2" t="s">
        <v>1901</v>
      </c>
      <c r="B2" t="s">
        <v>17</v>
      </c>
      <c r="C2">
        <v>60</v>
      </c>
      <c r="D2" t="s">
        <v>41</v>
      </c>
      <c r="E2">
        <v>2000</v>
      </c>
      <c r="F2">
        <v>1</v>
      </c>
      <c r="G2" t="s">
        <v>191</v>
      </c>
      <c r="H2" t="s">
        <v>42</v>
      </c>
      <c r="I2" t="s">
        <v>20</v>
      </c>
      <c r="L2" t="str">
        <f>A2</f>
        <v>07160914_1455</v>
      </c>
    </row>
    <row r="3" spans="1:23">
      <c r="A3" t="s">
        <v>1902</v>
      </c>
      <c r="B3" t="s">
        <v>17</v>
      </c>
      <c r="C3">
        <v>60</v>
      </c>
      <c r="D3" t="s">
        <v>41</v>
      </c>
      <c r="E3">
        <v>2000</v>
      </c>
      <c r="F3">
        <v>3</v>
      </c>
      <c r="G3" t="s">
        <v>191</v>
      </c>
      <c r="H3" t="s">
        <v>42</v>
      </c>
      <c r="I3" t="s">
        <v>20</v>
      </c>
      <c r="L3" t="str">
        <f t="shared" ref="L3:L48" si="0">A3</f>
        <v>07160914_1456</v>
      </c>
    </row>
    <row r="4" spans="1:23">
      <c r="A4" t="s">
        <v>1903</v>
      </c>
      <c r="B4" t="s">
        <v>17</v>
      </c>
      <c r="C4">
        <v>60</v>
      </c>
      <c r="D4" t="s">
        <v>41</v>
      </c>
      <c r="E4">
        <v>2000</v>
      </c>
      <c r="F4">
        <v>1</v>
      </c>
      <c r="G4" t="s">
        <v>191</v>
      </c>
      <c r="H4" t="s">
        <v>42</v>
      </c>
      <c r="I4" t="s">
        <v>20</v>
      </c>
      <c r="L4" t="str">
        <f t="shared" si="0"/>
        <v>07160916_1659</v>
      </c>
    </row>
    <row r="5" spans="1:23">
      <c r="A5" t="s">
        <v>1904</v>
      </c>
      <c r="B5" t="s">
        <v>17</v>
      </c>
      <c r="C5">
        <v>60</v>
      </c>
      <c r="D5" t="s">
        <v>41</v>
      </c>
      <c r="E5">
        <v>2000</v>
      </c>
      <c r="F5">
        <v>1</v>
      </c>
      <c r="G5" t="s">
        <v>191</v>
      </c>
      <c r="H5" t="s">
        <v>42</v>
      </c>
      <c r="I5" t="s">
        <v>20</v>
      </c>
      <c r="L5" t="str">
        <f t="shared" si="0"/>
        <v>07160916_1711</v>
      </c>
    </row>
    <row r="6" spans="1:23">
      <c r="A6" t="s">
        <v>1905</v>
      </c>
      <c r="B6" t="s">
        <v>17</v>
      </c>
      <c r="C6">
        <v>60</v>
      </c>
      <c r="D6" t="s">
        <v>41</v>
      </c>
      <c r="E6">
        <v>2000</v>
      </c>
      <c r="F6">
        <v>16</v>
      </c>
      <c r="G6" t="s">
        <v>191</v>
      </c>
      <c r="H6" t="s">
        <v>42</v>
      </c>
      <c r="I6" t="s">
        <v>20</v>
      </c>
      <c r="L6" t="str">
        <f t="shared" si="0"/>
        <v>07160917_1114</v>
      </c>
    </row>
    <row r="7" spans="1:23">
      <c r="A7" t="s">
        <v>1906</v>
      </c>
      <c r="B7" t="s">
        <v>17</v>
      </c>
      <c r="C7">
        <v>60</v>
      </c>
      <c r="D7" t="s">
        <v>41</v>
      </c>
      <c r="E7">
        <v>1000</v>
      </c>
      <c r="F7">
        <v>17</v>
      </c>
      <c r="G7" t="s">
        <v>191</v>
      </c>
      <c r="H7" t="s">
        <v>42</v>
      </c>
      <c r="I7" t="s">
        <v>20</v>
      </c>
      <c r="L7" t="str">
        <f t="shared" si="0"/>
        <v>07160917_1458</v>
      </c>
    </row>
    <row r="8" spans="1:23">
      <c r="A8" t="s">
        <v>1907</v>
      </c>
      <c r="B8" t="s">
        <v>17</v>
      </c>
      <c r="C8">
        <v>60</v>
      </c>
      <c r="D8" t="s">
        <v>41</v>
      </c>
      <c r="E8">
        <v>1000</v>
      </c>
      <c r="F8">
        <v>9</v>
      </c>
      <c r="G8" t="s">
        <v>191</v>
      </c>
      <c r="H8" t="s">
        <v>42</v>
      </c>
      <c r="I8" t="s">
        <v>20</v>
      </c>
      <c r="L8" t="str">
        <f t="shared" si="0"/>
        <v>07160919_1545</v>
      </c>
    </row>
    <row r="9" spans="1:23">
      <c r="A9" t="s">
        <v>1908</v>
      </c>
      <c r="B9" t="s">
        <v>17</v>
      </c>
      <c r="C9">
        <v>60</v>
      </c>
      <c r="D9" t="s">
        <v>41</v>
      </c>
      <c r="E9">
        <v>1000</v>
      </c>
      <c r="F9">
        <v>31</v>
      </c>
      <c r="G9" t="s">
        <v>191</v>
      </c>
      <c r="H9" t="s">
        <v>42</v>
      </c>
      <c r="I9" t="s">
        <v>20</v>
      </c>
      <c r="L9" t="str">
        <f t="shared" si="0"/>
        <v>07160919_1607</v>
      </c>
    </row>
    <row r="10" spans="1:23">
      <c r="A10" t="s">
        <v>1909</v>
      </c>
      <c r="B10" t="s">
        <v>17</v>
      </c>
      <c r="C10">
        <v>60</v>
      </c>
      <c r="D10" t="s">
        <v>41</v>
      </c>
      <c r="E10">
        <v>1000</v>
      </c>
      <c r="F10">
        <v>31</v>
      </c>
      <c r="G10" t="s">
        <v>191</v>
      </c>
      <c r="H10" t="s">
        <v>42</v>
      </c>
      <c r="I10" t="s">
        <v>20</v>
      </c>
      <c r="L10" t="str">
        <f t="shared" si="0"/>
        <v>07160919_1648</v>
      </c>
    </row>
    <row r="11" spans="1:23">
      <c r="A11" t="s">
        <v>1910</v>
      </c>
      <c r="B11" t="s">
        <v>17</v>
      </c>
      <c r="C11">
        <v>60</v>
      </c>
      <c r="D11" t="s">
        <v>41</v>
      </c>
      <c r="E11">
        <v>1000</v>
      </c>
      <c r="F11">
        <v>31</v>
      </c>
      <c r="G11" t="s">
        <v>191</v>
      </c>
      <c r="H11" t="s">
        <v>42</v>
      </c>
      <c r="I11" t="s">
        <v>20</v>
      </c>
      <c r="L11" t="str">
        <f t="shared" si="0"/>
        <v>07160919_1729</v>
      </c>
    </row>
    <row r="12" spans="1:23">
      <c r="A12" t="s">
        <v>1911</v>
      </c>
      <c r="B12" t="s">
        <v>17</v>
      </c>
      <c r="C12">
        <v>60</v>
      </c>
      <c r="D12" t="s">
        <v>41</v>
      </c>
      <c r="E12">
        <v>1000</v>
      </c>
      <c r="F12">
        <v>18</v>
      </c>
      <c r="G12" t="s">
        <v>191</v>
      </c>
      <c r="H12" t="s">
        <v>42</v>
      </c>
      <c r="I12" t="s">
        <v>20</v>
      </c>
      <c r="L12" t="str">
        <f t="shared" si="0"/>
        <v>07160919_1759</v>
      </c>
    </row>
    <row r="13" spans="1:23">
      <c r="A13" t="s">
        <v>1912</v>
      </c>
      <c r="B13" t="s">
        <v>17</v>
      </c>
      <c r="C13">
        <v>60</v>
      </c>
      <c r="D13" t="s">
        <v>41</v>
      </c>
      <c r="E13">
        <v>1000</v>
      </c>
      <c r="F13">
        <v>19</v>
      </c>
      <c r="G13" t="s">
        <v>191</v>
      </c>
      <c r="H13" t="s">
        <v>42</v>
      </c>
      <c r="I13" t="s">
        <v>20</v>
      </c>
      <c r="L13" t="str">
        <f t="shared" si="0"/>
        <v>07160919_1817</v>
      </c>
    </row>
    <row r="14" spans="1:23">
      <c r="A14" t="s">
        <v>1913</v>
      </c>
      <c r="B14" t="s">
        <v>17</v>
      </c>
      <c r="C14">
        <v>60</v>
      </c>
      <c r="D14" t="s">
        <v>41</v>
      </c>
      <c r="E14">
        <v>1000</v>
      </c>
      <c r="F14">
        <v>31</v>
      </c>
      <c r="G14" t="s">
        <v>191</v>
      </c>
      <c r="H14" t="s">
        <v>42</v>
      </c>
      <c r="I14" t="s">
        <v>20</v>
      </c>
      <c r="L14" t="str">
        <f t="shared" si="0"/>
        <v>07160919_1846</v>
      </c>
    </row>
    <row r="15" spans="1:23">
      <c r="A15" t="s">
        <v>1914</v>
      </c>
      <c r="B15" t="s">
        <v>17</v>
      </c>
      <c r="C15">
        <v>60</v>
      </c>
      <c r="D15" t="s">
        <v>41</v>
      </c>
      <c r="E15">
        <v>1000</v>
      </c>
      <c r="F15">
        <v>31</v>
      </c>
      <c r="G15" t="s">
        <v>191</v>
      </c>
      <c r="H15" t="s">
        <v>42</v>
      </c>
      <c r="I15" t="s">
        <v>20</v>
      </c>
      <c r="L15" t="str">
        <f t="shared" si="0"/>
        <v>07160919_1927</v>
      </c>
    </row>
    <row r="16" spans="1:23">
      <c r="A16" t="s">
        <v>1915</v>
      </c>
      <c r="B16" t="s">
        <v>17</v>
      </c>
      <c r="C16">
        <v>60</v>
      </c>
      <c r="D16" t="s">
        <v>41</v>
      </c>
      <c r="E16">
        <v>1000</v>
      </c>
      <c r="F16">
        <v>31</v>
      </c>
      <c r="G16" t="s">
        <v>191</v>
      </c>
      <c r="H16" t="s">
        <v>42</v>
      </c>
      <c r="I16" t="s">
        <v>20</v>
      </c>
      <c r="L16" t="str">
        <f t="shared" si="0"/>
        <v>07160919_2007</v>
      </c>
    </row>
    <row r="17" spans="1:25">
      <c r="A17" t="s">
        <v>1916</v>
      </c>
      <c r="B17" t="s">
        <v>17</v>
      </c>
      <c r="C17">
        <v>60</v>
      </c>
      <c r="D17" t="s">
        <v>41</v>
      </c>
      <c r="E17">
        <v>1000</v>
      </c>
      <c r="F17">
        <v>31</v>
      </c>
      <c r="G17" t="s">
        <v>191</v>
      </c>
      <c r="H17" t="s">
        <v>42</v>
      </c>
      <c r="I17" t="s">
        <v>20</v>
      </c>
      <c r="L17" t="str">
        <f t="shared" si="0"/>
        <v>07160919_2216</v>
      </c>
    </row>
    <row r="18" spans="1:25">
      <c r="A18" t="s">
        <v>1917</v>
      </c>
      <c r="B18" t="s">
        <v>17</v>
      </c>
      <c r="C18">
        <v>60</v>
      </c>
      <c r="D18" t="s">
        <v>41</v>
      </c>
      <c r="E18">
        <v>1000</v>
      </c>
      <c r="F18">
        <v>31</v>
      </c>
      <c r="G18" t="s">
        <v>191</v>
      </c>
      <c r="H18" t="s">
        <v>42</v>
      </c>
      <c r="I18" t="s">
        <v>20</v>
      </c>
      <c r="L18" t="str">
        <f t="shared" si="0"/>
        <v>07160919_2257</v>
      </c>
    </row>
    <row r="19" spans="1:25">
      <c r="A19" t="s">
        <v>1918</v>
      </c>
      <c r="B19" t="s">
        <v>17</v>
      </c>
      <c r="C19">
        <v>60</v>
      </c>
      <c r="D19" t="s">
        <v>41</v>
      </c>
      <c r="E19">
        <v>1000</v>
      </c>
      <c r="F19">
        <v>31</v>
      </c>
      <c r="G19" t="s">
        <v>191</v>
      </c>
      <c r="H19" t="s">
        <v>42</v>
      </c>
      <c r="I19" t="s">
        <v>20</v>
      </c>
      <c r="L19" t="str">
        <f t="shared" si="0"/>
        <v>07160919_2338</v>
      </c>
    </row>
    <row r="20" spans="1:25">
      <c r="A20" t="s">
        <v>1919</v>
      </c>
      <c r="B20" t="s">
        <v>17</v>
      </c>
      <c r="C20">
        <v>60</v>
      </c>
      <c r="D20" t="s">
        <v>41</v>
      </c>
      <c r="E20">
        <v>1000</v>
      </c>
      <c r="F20">
        <v>32</v>
      </c>
      <c r="G20" t="s">
        <v>191</v>
      </c>
      <c r="H20" t="s">
        <v>42</v>
      </c>
      <c r="I20" t="s">
        <v>20</v>
      </c>
      <c r="K20" s="56">
        <v>1</v>
      </c>
      <c r="L20" t="str">
        <f t="shared" si="0"/>
        <v>07160920_1011</v>
      </c>
    </row>
    <row r="21" spans="1:25">
      <c r="A21" t="s">
        <v>1920</v>
      </c>
      <c r="B21" t="s">
        <v>17</v>
      </c>
      <c r="C21">
        <v>60</v>
      </c>
      <c r="D21" t="s">
        <v>41</v>
      </c>
      <c r="E21">
        <v>1000</v>
      </c>
      <c r="F21">
        <v>32</v>
      </c>
      <c r="G21" t="s">
        <v>191</v>
      </c>
      <c r="H21" t="s">
        <v>42</v>
      </c>
      <c r="I21" t="s">
        <v>20</v>
      </c>
      <c r="K21" s="56">
        <v>2</v>
      </c>
      <c r="L21" t="str">
        <f t="shared" si="0"/>
        <v>07160920_1058</v>
      </c>
    </row>
    <row r="22" spans="1:25">
      <c r="A22" t="s">
        <v>1921</v>
      </c>
      <c r="B22" t="s">
        <v>17</v>
      </c>
      <c r="C22">
        <v>60</v>
      </c>
      <c r="D22" t="s">
        <v>41</v>
      </c>
      <c r="E22">
        <v>1000</v>
      </c>
      <c r="F22">
        <v>32</v>
      </c>
      <c r="G22" t="s">
        <v>191</v>
      </c>
      <c r="H22" t="s">
        <v>42</v>
      </c>
      <c r="I22" t="s">
        <v>20</v>
      </c>
      <c r="J22">
        <v>10</v>
      </c>
      <c r="K22" s="56">
        <v>3</v>
      </c>
      <c r="L22" t="str">
        <f t="shared" si="0"/>
        <v>07160920_1155</v>
      </c>
      <c r="M22" t="s">
        <v>1922</v>
      </c>
      <c r="N22" t="s">
        <v>1923</v>
      </c>
      <c r="O22">
        <v>150</v>
      </c>
      <c r="P22" t="s">
        <v>1924</v>
      </c>
      <c r="Q22">
        <v>30</v>
      </c>
      <c r="R22">
        <v>41701</v>
      </c>
      <c r="S22" t="s">
        <v>1925</v>
      </c>
      <c r="T22" t="s">
        <v>1926</v>
      </c>
      <c r="V22" t="s">
        <v>1927</v>
      </c>
      <c r="W22" t="s">
        <v>1928</v>
      </c>
      <c r="Y22" t="str">
        <f t="shared" ref="Y22:Y33" si="1">"| "&amp;L22&amp;" | "&amp;M22&amp;" | "&amp;N22&amp;" | "&amp;O22&amp;" | "&amp;P22&amp;" | "&amp;Q22&amp;" | "&amp;R22&amp;" | "&amp;S22&amp;" | "&amp;T22&amp;" | "&amp;U22&amp;" | "&amp;V22&amp;" | "&amp;W22&amp;" |"</f>
        <v>| 07160920_1155 | +10 V  | 0 V  | 150 | Am-241  | 30 | 41701 | 5919 / 18303  | 1000 start/1000 end  |  | Post 30 sec UV flash  | 33 kΩ resistor on QoFB line |</v>
      </c>
    </row>
    <row r="23" spans="1:25">
      <c r="A23" t="s">
        <v>1929</v>
      </c>
      <c r="B23" t="s">
        <v>17</v>
      </c>
      <c r="C23">
        <v>60</v>
      </c>
      <c r="D23" t="s">
        <v>41</v>
      </c>
      <c r="E23">
        <v>1000</v>
      </c>
      <c r="F23">
        <v>33</v>
      </c>
      <c r="G23" t="s">
        <v>191</v>
      </c>
      <c r="H23" t="s">
        <v>42</v>
      </c>
      <c r="I23" t="s">
        <v>20</v>
      </c>
      <c r="J23">
        <v>10</v>
      </c>
      <c r="K23" s="56">
        <v>4</v>
      </c>
      <c r="L23" t="str">
        <f t="shared" si="0"/>
        <v>07160920_1242</v>
      </c>
      <c r="M23" t="s">
        <v>1922</v>
      </c>
      <c r="N23" t="s">
        <v>1923</v>
      </c>
      <c r="O23">
        <v>150</v>
      </c>
      <c r="P23" t="s">
        <v>1924</v>
      </c>
      <c r="Q23">
        <v>30</v>
      </c>
      <c r="R23">
        <v>41401</v>
      </c>
      <c r="S23" t="s">
        <v>1930</v>
      </c>
      <c r="T23" t="s">
        <v>1926</v>
      </c>
      <c r="V23" t="s">
        <v>1927</v>
      </c>
      <c r="W23" t="s">
        <v>1928</v>
      </c>
      <c r="Y23" t="str">
        <f t="shared" si="1"/>
        <v>| 07160920_1242 | +10 V  | 0 V  | 150 | Am-241  | 30 | 41401 | 4081 / 16590  | 1000 start/1000 end  |  | Post 30 sec UV flash  | 33 kΩ resistor on QoFB line |</v>
      </c>
    </row>
    <row r="24" spans="1:25">
      <c r="A24" t="s">
        <v>1931</v>
      </c>
      <c r="B24" t="s">
        <v>17</v>
      </c>
      <c r="C24">
        <v>60</v>
      </c>
      <c r="D24" t="s">
        <v>41</v>
      </c>
      <c r="E24">
        <v>1000</v>
      </c>
      <c r="F24">
        <v>22</v>
      </c>
      <c r="G24" t="s">
        <v>191</v>
      </c>
      <c r="H24" t="s">
        <v>42</v>
      </c>
      <c r="I24" t="s">
        <v>20</v>
      </c>
      <c r="J24">
        <v>20</v>
      </c>
      <c r="K24" s="56">
        <v>5</v>
      </c>
      <c r="L24" t="str">
        <f t="shared" si="0"/>
        <v>07160920_1414</v>
      </c>
      <c r="M24" t="s">
        <v>1922</v>
      </c>
      <c r="N24" t="s">
        <v>1932</v>
      </c>
      <c r="O24">
        <v>150</v>
      </c>
      <c r="P24" t="s">
        <v>1924</v>
      </c>
      <c r="Q24">
        <v>20</v>
      </c>
      <c r="R24">
        <v>87922</v>
      </c>
      <c r="S24" t="s">
        <v>1933</v>
      </c>
      <c r="T24" t="s">
        <v>1926</v>
      </c>
      <c r="V24" t="s">
        <v>1927</v>
      </c>
      <c r="W24" t="s">
        <v>1928</v>
      </c>
      <c r="Y24" t="str">
        <f t="shared" si="1"/>
        <v>| 07160920_1414 | +10 V  | -10 V  | 150 | Am-241  | 20 | 87922 | 5877 / 18984  | 1000 start/1000 end  |  | Post 30 sec UV flash  | 33 kΩ resistor on QoFB line |</v>
      </c>
    </row>
    <row r="25" spans="1:25">
      <c r="A25" t="s">
        <v>1934</v>
      </c>
      <c r="B25" t="s">
        <v>17</v>
      </c>
      <c r="C25">
        <v>60</v>
      </c>
      <c r="D25" t="s">
        <v>41</v>
      </c>
      <c r="E25">
        <v>1000</v>
      </c>
      <c r="F25">
        <v>22</v>
      </c>
      <c r="G25" t="s">
        <v>191</v>
      </c>
      <c r="H25" t="s">
        <v>42</v>
      </c>
      <c r="I25" t="s">
        <v>20</v>
      </c>
      <c r="J25">
        <v>20</v>
      </c>
      <c r="K25" s="56">
        <v>6</v>
      </c>
      <c r="L25" t="str">
        <f t="shared" si="0"/>
        <v>07160920_1452</v>
      </c>
      <c r="M25" t="s">
        <v>1922</v>
      </c>
      <c r="N25" t="s">
        <v>1932</v>
      </c>
      <c r="O25">
        <v>150</v>
      </c>
      <c r="P25" t="s">
        <v>1924</v>
      </c>
      <c r="Q25">
        <v>20</v>
      </c>
      <c r="R25">
        <v>89546</v>
      </c>
      <c r="S25" t="s">
        <v>1935</v>
      </c>
      <c r="T25" t="s">
        <v>1926</v>
      </c>
      <c r="V25" t="s">
        <v>1927</v>
      </c>
      <c r="W25" t="s">
        <v>1928</v>
      </c>
      <c r="Y25" t="str">
        <f t="shared" si="1"/>
        <v>| 07160920_1452 | +10 V  | -10 V  | 150 | Am-241  | 20 | 89546 | 6295 / 19437  | 1000 start/1000 end  |  | Post 30 sec UV flash  | 33 kΩ resistor on QoFB line |</v>
      </c>
    </row>
    <row r="26" spans="1:25">
      <c r="A26" t="s">
        <v>1936</v>
      </c>
      <c r="B26" t="s">
        <v>17</v>
      </c>
      <c r="C26">
        <v>60</v>
      </c>
      <c r="D26" t="s">
        <v>41</v>
      </c>
      <c r="E26">
        <v>1000</v>
      </c>
      <c r="F26">
        <v>23</v>
      </c>
      <c r="G26" t="s">
        <v>191</v>
      </c>
      <c r="H26" t="s">
        <v>42</v>
      </c>
      <c r="I26" t="s">
        <v>20</v>
      </c>
      <c r="J26">
        <v>20</v>
      </c>
      <c r="K26" s="56">
        <v>7</v>
      </c>
      <c r="L26" t="str">
        <f t="shared" si="0"/>
        <v>07160920_1633</v>
      </c>
      <c r="M26" t="s">
        <v>1932</v>
      </c>
      <c r="N26" t="s">
        <v>1922</v>
      </c>
      <c r="O26">
        <v>150</v>
      </c>
      <c r="P26" t="s">
        <v>1924</v>
      </c>
      <c r="Q26">
        <v>20</v>
      </c>
      <c r="R26">
        <v>94125</v>
      </c>
      <c r="S26" t="s">
        <v>1937</v>
      </c>
      <c r="T26" t="s">
        <v>1926</v>
      </c>
      <c r="U26" t="s">
        <v>1938</v>
      </c>
      <c r="V26" t="s">
        <v>1939</v>
      </c>
      <c r="W26" t="s">
        <v>1928</v>
      </c>
      <c r="Y26" t="str">
        <f t="shared" si="1"/>
        <v>| 07160920_1633 | -10 V  | +10 V  | 150 | Am-241  | 20 | 94125 | 3273 / 16275  | 1000 start/1000 end  | ~1 hour post 20 min IR bake  | No flash  | 33 kΩ resistor on QoFB line |</v>
      </c>
    </row>
    <row r="27" spans="1:25">
      <c r="A27" t="s">
        <v>1940</v>
      </c>
      <c r="B27" t="s">
        <v>17</v>
      </c>
      <c r="C27">
        <v>60</v>
      </c>
      <c r="D27" t="s">
        <v>41</v>
      </c>
      <c r="E27">
        <v>1000</v>
      </c>
      <c r="F27">
        <v>23</v>
      </c>
      <c r="G27" t="s">
        <v>191</v>
      </c>
      <c r="H27" t="s">
        <v>42</v>
      </c>
      <c r="I27" t="s">
        <v>20</v>
      </c>
      <c r="J27">
        <v>20</v>
      </c>
      <c r="K27" s="56">
        <v>8</v>
      </c>
      <c r="L27" t="str">
        <f t="shared" si="0"/>
        <v>07160920_1710</v>
      </c>
      <c r="M27" t="s">
        <v>1932</v>
      </c>
      <c r="N27" t="s">
        <v>1922</v>
      </c>
      <c r="O27">
        <v>150</v>
      </c>
      <c r="P27" t="s">
        <v>1924</v>
      </c>
      <c r="Q27">
        <v>20</v>
      </c>
      <c r="R27">
        <v>93300</v>
      </c>
      <c r="S27" t="s">
        <v>1941</v>
      </c>
      <c r="T27" t="s">
        <v>1926</v>
      </c>
      <c r="V27" t="s">
        <v>1942</v>
      </c>
      <c r="W27" t="s">
        <v>1928</v>
      </c>
      <c r="Y27" t="str">
        <f t="shared" si="1"/>
        <v>| 07160920_1710 | -10 V  | +10 V  | 150 | Am-241  | 20 | 93300 | 4195 / 17090  | 1000 start/1000 end  |  | Post 30 sec IR flash  | 33 kΩ resistor on QoFB line |</v>
      </c>
    </row>
    <row r="28" spans="1:25">
      <c r="A28" t="s">
        <v>1943</v>
      </c>
      <c r="B28" t="s">
        <v>17</v>
      </c>
      <c r="C28">
        <v>60</v>
      </c>
      <c r="D28" t="s">
        <v>41</v>
      </c>
      <c r="E28">
        <v>1000</v>
      </c>
      <c r="F28">
        <v>21</v>
      </c>
      <c r="G28" t="s">
        <v>191</v>
      </c>
      <c r="H28" t="s">
        <v>42</v>
      </c>
      <c r="I28" t="s">
        <v>20</v>
      </c>
      <c r="J28">
        <v>20</v>
      </c>
      <c r="K28" s="56">
        <v>9</v>
      </c>
      <c r="L28" t="str">
        <f t="shared" si="0"/>
        <v>07160920_1747</v>
      </c>
      <c r="M28" t="s">
        <v>1932</v>
      </c>
      <c r="N28" t="s">
        <v>1922</v>
      </c>
      <c r="O28">
        <v>150</v>
      </c>
      <c r="P28" t="s">
        <v>1924</v>
      </c>
      <c r="Q28">
        <v>20</v>
      </c>
      <c r="T28" t="s">
        <v>1926</v>
      </c>
      <c r="V28" t="s">
        <v>1942</v>
      </c>
      <c r="W28" t="s">
        <v>1928</v>
      </c>
      <c r="Y28" t="str">
        <f t="shared" si="1"/>
        <v>| 07160920_1747 | -10 V  | +10 V  | 150 | Am-241  | 20 |  |  | 1000 start/1000 end  |  | Post 30 sec IR flash  | 33 kΩ resistor on QoFB line |</v>
      </c>
    </row>
    <row r="29" spans="1:25">
      <c r="A29" t="s">
        <v>1944</v>
      </c>
      <c r="B29" t="s">
        <v>17</v>
      </c>
      <c r="C29">
        <v>60</v>
      </c>
      <c r="D29" t="s">
        <v>41</v>
      </c>
      <c r="E29">
        <v>1000</v>
      </c>
      <c r="F29">
        <v>16</v>
      </c>
      <c r="G29" t="s">
        <v>191</v>
      </c>
      <c r="H29" t="s">
        <v>42</v>
      </c>
      <c r="I29" t="s">
        <v>20</v>
      </c>
      <c r="J29">
        <v>12</v>
      </c>
      <c r="K29" s="56">
        <v>10</v>
      </c>
      <c r="L29" t="str">
        <f t="shared" si="0"/>
        <v>07160920_1825</v>
      </c>
      <c r="M29" t="s">
        <v>1923</v>
      </c>
      <c r="N29" t="s">
        <v>1945</v>
      </c>
      <c r="O29">
        <v>150</v>
      </c>
      <c r="P29" t="s">
        <v>1924</v>
      </c>
      <c r="Q29">
        <v>15</v>
      </c>
      <c r="R29">
        <v>63891</v>
      </c>
      <c r="S29" t="s">
        <v>1946</v>
      </c>
      <c r="T29" t="s">
        <v>1926</v>
      </c>
      <c r="V29" t="s">
        <v>1927</v>
      </c>
      <c r="W29" t="s">
        <v>1928</v>
      </c>
      <c r="Y29" t="str">
        <f t="shared" si="1"/>
        <v>| 07160920_1825 | 0 V  | +12 V  | 150 | Am-241  | 15 | 63891 | 4543 / 17684  | 1000 start/1000 end  |  | Post 30 sec UV flash  | 33 kΩ resistor on QoFB line |</v>
      </c>
    </row>
    <row r="30" spans="1:25">
      <c r="A30" t="s">
        <v>1947</v>
      </c>
      <c r="B30" t="s">
        <v>17</v>
      </c>
      <c r="C30">
        <v>60</v>
      </c>
      <c r="D30" t="s">
        <v>41</v>
      </c>
      <c r="E30">
        <v>1000</v>
      </c>
      <c r="F30">
        <v>16</v>
      </c>
      <c r="G30" t="s">
        <v>191</v>
      </c>
      <c r="H30" t="s">
        <v>42</v>
      </c>
      <c r="I30" t="s">
        <v>20</v>
      </c>
      <c r="J30">
        <v>12</v>
      </c>
      <c r="K30" s="56">
        <v>11</v>
      </c>
      <c r="L30" t="str">
        <f t="shared" si="0"/>
        <v>07160920_1852</v>
      </c>
      <c r="M30" t="s">
        <v>1923</v>
      </c>
      <c r="N30" t="s">
        <v>1945</v>
      </c>
      <c r="O30">
        <v>150</v>
      </c>
      <c r="P30" t="s">
        <v>1924</v>
      </c>
      <c r="Q30">
        <v>15</v>
      </c>
      <c r="T30" t="s">
        <v>1926</v>
      </c>
      <c r="V30" t="s">
        <v>1927</v>
      </c>
      <c r="W30" t="s">
        <v>1928</v>
      </c>
      <c r="Y30" t="str">
        <f t="shared" si="1"/>
        <v>| 07160920_1852 | 0 V  | +12 V  | 150 | Am-241  | 15 |  |  | 1000 start/1000 end  |  | Post 30 sec UV flash  | 33 kΩ resistor on QoFB line |</v>
      </c>
    </row>
    <row r="31" spans="1:25">
      <c r="A31" t="s">
        <v>1948</v>
      </c>
      <c r="B31" t="s">
        <v>17</v>
      </c>
      <c r="C31">
        <v>60</v>
      </c>
      <c r="D31" t="s">
        <v>41</v>
      </c>
      <c r="E31">
        <v>1000</v>
      </c>
      <c r="F31">
        <v>16</v>
      </c>
      <c r="G31" t="s">
        <v>191</v>
      </c>
      <c r="H31" t="s">
        <v>42</v>
      </c>
      <c r="I31" t="s">
        <v>20</v>
      </c>
      <c r="J31">
        <v>12</v>
      </c>
      <c r="K31" s="56">
        <v>12</v>
      </c>
      <c r="L31" t="str">
        <f t="shared" si="0"/>
        <v>07160920_1918</v>
      </c>
      <c r="M31" t="s">
        <v>1923</v>
      </c>
      <c r="N31" t="s">
        <v>1945</v>
      </c>
      <c r="O31">
        <v>150</v>
      </c>
      <c r="P31" t="s">
        <v>1924</v>
      </c>
      <c r="Q31">
        <v>15</v>
      </c>
      <c r="R31">
        <v>49322</v>
      </c>
      <c r="S31" t="s">
        <v>1949</v>
      </c>
      <c r="T31" t="s">
        <v>1926</v>
      </c>
      <c r="V31" t="s">
        <v>1927</v>
      </c>
      <c r="W31" t="s">
        <v>1928</v>
      </c>
      <c r="Y31" t="str">
        <f t="shared" si="1"/>
        <v>| 07160920_1918 | 0 V  | +12 V  | 150 | Am-241  | 15 | 49322 | 4181 / 16947  | 1000 start/1000 end  |  | Post 30 sec UV flash  | 33 kΩ resistor on QoFB line |</v>
      </c>
    </row>
    <row r="32" spans="1:25">
      <c r="A32" t="s">
        <v>1950</v>
      </c>
      <c r="B32" t="s">
        <v>17</v>
      </c>
      <c r="C32">
        <v>60</v>
      </c>
      <c r="D32" t="s">
        <v>41</v>
      </c>
      <c r="E32">
        <v>1000</v>
      </c>
      <c r="F32">
        <v>16</v>
      </c>
      <c r="G32" t="s">
        <v>191</v>
      </c>
      <c r="H32" t="s">
        <v>42</v>
      </c>
      <c r="I32" t="s">
        <v>20</v>
      </c>
      <c r="J32">
        <v>12</v>
      </c>
      <c r="K32" s="56">
        <v>13</v>
      </c>
      <c r="L32" t="str">
        <f t="shared" si="0"/>
        <v>07160920_1945</v>
      </c>
      <c r="M32" t="s">
        <v>1923</v>
      </c>
      <c r="N32" t="s">
        <v>1945</v>
      </c>
      <c r="O32">
        <v>150</v>
      </c>
      <c r="P32" t="s">
        <v>1924</v>
      </c>
      <c r="Q32">
        <v>15</v>
      </c>
      <c r="R32">
        <v>50144</v>
      </c>
      <c r="S32" t="s">
        <v>1951</v>
      </c>
      <c r="T32" t="s">
        <v>1926</v>
      </c>
      <c r="V32" t="s">
        <v>1927</v>
      </c>
      <c r="W32" t="s">
        <v>1928</v>
      </c>
      <c r="Y32" t="str">
        <f t="shared" si="1"/>
        <v>| 07160920_1945 | 0 V  | +12 V  | 150 | Am-241  | 15 | 50144 | 6216 / 19086  | 1000 start/1000 end  |  | Post 30 sec UV flash  | 33 kΩ resistor on QoFB line |</v>
      </c>
    </row>
    <row r="33" spans="1:25">
      <c r="A33" t="s">
        <v>1952</v>
      </c>
      <c r="B33" t="s">
        <v>17</v>
      </c>
      <c r="C33">
        <v>60</v>
      </c>
      <c r="D33" t="s">
        <v>41</v>
      </c>
      <c r="E33">
        <v>1000</v>
      </c>
      <c r="F33">
        <v>16</v>
      </c>
      <c r="G33" t="s">
        <v>191</v>
      </c>
      <c r="H33" t="s">
        <v>42</v>
      </c>
      <c r="I33" t="s">
        <v>20</v>
      </c>
      <c r="J33">
        <v>12</v>
      </c>
      <c r="K33" s="56">
        <v>14</v>
      </c>
      <c r="L33" t="str">
        <f t="shared" si="0"/>
        <v>07160920_2011</v>
      </c>
      <c r="M33" t="s">
        <v>1923</v>
      </c>
      <c r="N33" t="s">
        <v>1945</v>
      </c>
      <c r="O33">
        <v>150</v>
      </c>
      <c r="P33" t="s">
        <v>1924</v>
      </c>
      <c r="Q33">
        <v>15</v>
      </c>
      <c r="R33">
        <v>50611</v>
      </c>
      <c r="S33" t="s">
        <v>1953</v>
      </c>
      <c r="T33" t="s">
        <v>1926</v>
      </c>
      <c r="V33" t="s">
        <v>1927</v>
      </c>
      <c r="W33" t="s">
        <v>1928</v>
      </c>
      <c r="Y33" t="str">
        <f t="shared" si="1"/>
        <v>| 07160920_2011 | 0 V  | +12 V  | 150 | Am-241  | 15 | 50611 | 3964 / 16844  | 1000 start/1000 end  |  | Post 30 sec UV flash  | 33 kΩ resistor on QoFB line |</v>
      </c>
    </row>
    <row r="34" spans="1:25">
      <c r="A34" t="s">
        <v>1954</v>
      </c>
      <c r="B34" t="s">
        <v>17</v>
      </c>
      <c r="C34">
        <v>60</v>
      </c>
      <c r="D34" t="s">
        <v>41</v>
      </c>
      <c r="E34">
        <v>1000</v>
      </c>
      <c r="F34">
        <v>16</v>
      </c>
      <c r="G34" t="s">
        <v>191</v>
      </c>
      <c r="H34" t="s">
        <v>42</v>
      </c>
      <c r="I34" t="s">
        <v>20</v>
      </c>
      <c r="J34">
        <v>12</v>
      </c>
      <c r="K34" s="56">
        <v>15</v>
      </c>
      <c r="L34" t="str">
        <f t="shared" si="0"/>
        <v>07160920_2038</v>
      </c>
      <c r="M34" t="s">
        <v>1923</v>
      </c>
      <c r="N34" t="s">
        <v>1945</v>
      </c>
      <c r="O34">
        <v>150</v>
      </c>
      <c r="P34" t="s">
        <v>1924</v>
      </c>
      <c r="Q34">
        <v>15</v>
      </c>
      <c r="R34">
        <v>47593</v>
      </c>
      <c r="S34" t="s">
        <v>1955</v>
      </c>
      <c r="T34" t="s">
        <v>1926</v>
      </c>
      <c r="V34" t="s">
        <v>1927</v>
      </c>
      <c r="W34" t="s">
        <v>1928</v>
      </c>
      <c r="Y34" t="str">
        <f t="shared" ref="Y34:Y48" si="2">"| "&amp;L34&amp;" | "&amp;M34&amp;" | "&amp;N34&amp;" | "&amp;O34&amp;" | "&amp;P34&amp;" | "&amp;Q34&amp;" | "&amp;R34&amp;" | "&amp;S34&amp;" | "&amp;T34&amp;" | "&amp;U34&amp;" | "&amp;V34&amp;" | "&amp;W34&amp;" |"</f>
        <v>| 07160920_2038 | 0 V  | +12 V  | 150 | Am-241  | 15 | 47593 | 6054 / 18941  | 1000 start/1000 end  |  | Post 30 sec UV flash  | 33 kΩ resistor on QoFB line |</v>
      </c>
    </row>
    <row r="35" spans="1:25">
      <c r="A35" t="s">
        <v>1956</v>
      </c>
      <c r="B35" t="s">
        <v>17</v>
      </c>
      <c r="C35">
        <v>60</v>
      </c>
      <c r="D35" t="s">
        <v>41</v>
      </c>
      <c r="E35">
        <v>1000</v>
      </c>
      <c r="F35">
        <v>16</v>
      </c>
      <c r="G35" t="s">
        <v>191</v>
      </c>
      <c r="H35" t="s">
        <v>42</v>
      </c>
      <c r="I35" t="s">
        <v>20</v>
      </c>
      <c r="J35">
        <v>12</v>
      </c>
      <c r="K35" s="56">
        <v>16</v>
      </c>
      <c r="L35" t="str">
        <f t="shared" si="0"/>
        <v>07160920_2104</v>
      </c>
      <c r="M35" t="s">
        <v>1923</v>
      </c>
      <c r="N35" t="s">
        <v>1945</v>
      </c>
      <c r="O35">
        <v>150</v>
      </c>
      <c r="P35" t="s">
        <v>1924</v>
      </c>
      <c r="Q35">
        <v>15</v>
      </c>
      <c r="R35">
        <v>50815</v>
      </c>
      <c r="S35" t="s">
        <v>1957</v>
      </c>
      <c r="T35" t="s">
        <v>1926</v>
      </c>
      <c r="V35" t="s">
        <v>1927</v>
      </c>
      <c r="W35" t="s">
        <v>1928</v>
      </c>
      <c r="Y35" t="str">
        <f t="shared" si="2"/>
        <v>| 07160920_2104 | 0 V  | +12 V  | 150 | Am-241  | 15 | 50815 | 3832 / 16685  | 1000 start/1000 end  |  | Post 30 sec UV flash  | 33 kΩ resistor on QoFB line |</v>
      </c>
    </row>
    <row r="36" spans="1:25">
      <c r="A36" t="s">
        <v>1958</v>
      </c>
      <c r="B36" t="s">
        <v>17</v>
      </c>
      <c r="C36">
        <v>60</v>
      </c>
      <c r="D36" t="s">
        <v>41</v>
      </c>
      <c r="E36">
        <v>1000</v>
      </c>
      <c r="F36">
        <v>16</v>
      </c>
      <c r="G36" t="s">
        <v>191</v>
      </c>
      <c r="H36" t="s">
        <v>42</v>
      </c>
      <c r="I36" t="s">
        <v>20</v>
      </c>
      <c r="J36">
        <v>12</v>
      </c>
      <c r="K36" s="56">
        <v>17</v>
      </c>
      <c r="L36" t="str">
        <f t="shared" si="0"/>
        <v>07160920_2131</v>
      </c>
      <c r="M36" t="s">
        <v>1923</v>
      </c>
      <c r="N36" t="s">
        <v>1945</v>
      </c>
      <c r="O36">
        <v>150</v>
      </c>
      <c r="P36" t="s">
        <v>1924</v>
      </c>
      <c r="Q36">
        <v>15</v>
      </c>
      <c r="R36">
        <v>50966</v>
      </c>
      <c r="S36" t="s">
        <v>1959</v>
      </c>
      <c r="T36" t="s">
        <v>1926</v>
      </c>
      <c r="V36" t="s">
        <v>1927</v>
      </c>
      <c r="W36" t="s">
        <v>1928</v>
      </c>
      <c r="Y36" t="str">
        <f t="shared" si="2"/>
        <v>| 07160920_2131 | 0 V  | +12 V  | 150 | Am-241  | 15 | 50966 | 5864 / 18721  | 1000 start/1000 end  |  | Post 30 sec UV flash  | 33 kΩ resistor on QoFB line |</v>
      </c>
    </row>
    <row r="37" spans="1:25">
      <c r="A37" t="s">
        <v>1960</v>
      </c>
      <c r="B37" t="s">
        <v>17</v>
      </c>
      <c r="C37">
        <v>60</v>
      </c>
      <c r="D37" t="s">
        <v>41</v>
      </c>
      <c r="E37">
        <v>1000</v>
      </c>
      <c r="F37">
        <v>16</v>
      </c>
      <c r="G37" t="s">
        <v>191</v>
      </c>
      <c r="H37" t="s">
        <v>42</v>
      </c>
      <c r="I37" t="s">
        <v>20</v>
      </c>
      <c r="J37">
        <v>12</v>
      </c>
      <c r="K37" s="56">
        <v>18</v>
      </c>
      <c r="L37" t="str">
        <f t="shared" si="0"/>
        <v>07160920_2157</v>
      </c>
      <c r="M37" t="s">
        <v>1923</v>
      </c>
      <c r="N37" t="s">
        <v>1945</v>
      </c>
      <c r="O37">
        <v>150</v>
      </c>
      <c r="P37" t="s">
        <v>1924</v>
      </c>
      <c r="Q37">
        <v>15</v>
      </c>
      <c r="R37">
        <v>49958</v>
      </c>
      <c r="S37" t="s">
        <v>1961</v>
      </c>
      <c r="T37" t="s">
        <v>1926</v>
      </c>
      <c r="V37" t="s">
        <v>1927</v>
      </c>
      <c r="W37" t="s">
        <v>1928</v>
      </c>
      <c r="Y37" t="str">
        <f t="shared" si="2"/>
        <v>| 07160920_2157 | 0 V  | +12 V  | 150 | Am-241  | 15 | 49958 | 3523 / 16391  | 1000 start/1000 end  |  | Post 30 sec UV flash  | 33 kΩ resistor on QoFB line |</v>
      </c>
    </row>
    <row r="38" spans="1:25">
      <c r="A38" t="s">
        <v>1962</v>
      </c>
      <c r="B38" t="s">
        <v>17</v>
      </c>
      <c r="C38">
        <v>60</v>
      </c>
      <c r="D38" t="s">
        <v>41</v>
      </c>
      <c r="E38">
        <v>1000</v>
      </c>
      <c r="F38">
        <v>22</v>
      </c>
      <c r="G38" t="s">
        <v>191</v>
      </c>
      <c r="H38" t="s">
        <v>42</v>
      </c>
      <c r="I38" t="s">
        <v>20</v>
      </c>
      <c r="J38">
        <v>20</v>
      </c>
      <c r="K38" s="57">
        <v>19</v>
      </c>
      <c r="L38" t="str">
        <f t="shared" si="0"/>
        <v>07160921_1021</v>
      </c>
      <c r="M38" t="s">
        <v>1963</v>
      </c>
      <c r="N38" t="s">
        <v>1932</v>
      </c>
      <c r="O38">
        <v>150</v>
      </c>
      <c r="P38" t="s">
        <v>1924</v>
      </c>
      <c r="Q38">
        <v>20</v>
      </c>
      <c r="R38">
        <v>88443</v>
      </c>
      <c r="S38" t="s">
        <v>1964</v>
      </c>
      <c r="T38" t="s">
        <v>1926</v>
      </c>
      <c r="U38" t="s">
        <v>1965</v>
      </c>
      <c r="V38" t="s">
        <v>1939</v>
      </c>
      <c r="W38" t="s">
        <v>1928</v>
      </c>
      <c r="Y38" t="str">
        <f t="shared" si="2"/>
        <v>| 07160921_1021 | 10 V  | -10 V  | 150 | Am-241  | 20 | 88443 | 4440 / 17552  | 1000 start/1000 end  | ~3 hours post 9 hour UV bake  | No flash  | 33 kΩ resistor on QoFB line |</v>
      </c>
    </row>
    <row r="39" spans="1:25">
      <c r="A39" t="s">
        <v>1966</v>
      </c>
      <c r="B39" t="s">
        <v>17</v>
      </c>
      <c r="C39">
        <v>60</v>
      </c>
      <c r="D39" t="s">
        <v>41</v>
      </c>
      <c r="E39">
        <v>1000</v>
      </c>
      <c r="F39">
        <v>22</v>
      </c>
      <c r="G39" t="s">
        <v>191</v>
      </c>
      <c r="H39" t="s">
        <v>42</v>
      </c>
      <c r="I39" t="s">
        <v>20</v>
      </c>
      <c r="J39">
        <v>20</v>
      </c>
      <c r="K39" s="57">
        <v>20</v>
      </c>
      <c r="L39" t="str">
        <f t="shared" si="0"/>
        <v>07160921_1058</v>
      </c>
      <c r="M39" t="s">
        <v>1963</v>
      </c>
      <c r="N39" t="s">
        <v>1932</v>
      </c>
      <c r="O39">
        <v>150</v>
      </c>
      <c r="P39" t="s">
        <v>1924</v>
      </c>
      <c r="Q39">
        <v>20</v>
      </c>
      <c r="R39">
        <v>88711</v>
      </c>
      <c r="S39" t="s">
        <v>1967</v>
      </c>
      <c r="T39" t="s">
        <v>1926</v>
      </c>
      <c r="V39" t="s">
        <v>1942</v>
      </c>
      <c r="W39" t="s">
        <v>1928</v>
      </c>
      <c r="Y39" t="str">
        <f t="shared" si="2"/>
        <v>| 07160921_1058 | 10 V  | -10 V  | 150 | Am-241  | 20 | 88711 | 3807 / 16435  | 1000 start/1000 end  |  | Post 30 sec IR flash  | 33 kΩ resistor on QoFB line |</v>
      </c>
    </row>
    <row r="40" spans="1:25">
      <c r="A40" t="s">
        <v>1968</v>
      </c>
      <c r="B40" t="s">
        <v>17</v>
      </c>
      <c r="C40">
        <v>60</v>
      </c>
      <c r="D40" t="s">
        <v>41</v>
      </c>
      <c r="E40">
        <v>1000</v>
      </c>
      <c r="F40">
        <v>22</v>
      </c>
      <c r="G40" t="s">
        <v>191</v>
      </c>
      <c r="H40" t="s">
        <v>42</v>
      </c>
      <c r="I40" t="s">
        <v>20</v>
      </c>
      <c r="J40">
        <v>20</v>
      </c>
      <c r="K40" s="57">
        <v>21</v>
      </c>
      <c r="L40" t="str">
        <f t="shared" si="0"/>
        <v>07160921_1135</v>
      </c>
      <c r="M40" t="s">
        <v>1963</v>
      </c>
      <c r="N40" t="s">
        <v>1932</v>
      </c>
      <c r="O40">
        <v>150</v>
      </c>
      <c r="P40" t="s">
        <v>1924</v>
      </c>
      <c r="Q40">
        <v>20</v>
      </c>
      <c r="T40" t="s">
        <v>1926</v>
      </c>
      <c r="V40" t="s">
        <v>1942</v>
      </c>
      <c r="W40" t="s">
        <v>1928</v>
      </c>
      <c r="Y40" t="str">
        <f t="shared" si="2"/>
        <v>| 07160921_1135 | 10 V  | -10 V  | 150 | Am-241  | 20 |  |  | 1000 start/1000 end  |  | Post 30 sec IR flash  | 33 kΩ resistor on QoFB line |</v>
      </c>
    </row>
    <row r="41" spans="1:25">
      <c r="A41" t="s">
        <v>1969</v>
      </c>
      <c r="B41" t="s">
        <v>17</v>
      </c>
      <c r="C41">
        <v>60</v>
      </c>
      <c r="D41" t="s">
        <v>41</v>
      </c>
      <c r="E41">
        <v>1000</v>
      </c>
      <c r="F41">
        <v>4</v>
      </c>
      <c r="G41" t="s">
        <v>191</v>
      </c>
      <c r="H41" t="s">
        <v>42</v>
      </c>
      <c r="I41" t="s">
        <v>20</v>
      </c>
      <c r="K41" s="57">
        <v>22</v>
      </c>
      <c r="L41" t="str">
        <f t="shared" si="0"/>
        <v>07160921_1206</v>
      </c>
      <c r="Q41">
        <f t="shared" ref="Q41:Q48" si="3">F41</f>
        <v>4</v>
      </c>
      <c r="W41" t="s">
        <v>1853</v>
      </c>
      <c r="Y41" t="str">
        <f t="shared" si="2"/>
        <v>| 07160921_1206 |  |  |  |  | 4 |  |  |  |  |  | mistake |</v>
      </c>
    </row>
    <row r="42" spans="1:25">
      <c r="A42" t="s">
        <v>1970</v>
      </c>
      <c r="B42" t="s">
        <v>17</v>
      </c>
      <c r="C42">
        <v>60</v>
      </c>
      <c r="D42" t="s">
        <v>41</v>
      </c>
      <c r="E42">
        <v>1000</v>
      </c>
      <c r="F42">
        <v>2</v>
      </c>
      <c r="G42" t="s">
        <v>191</v>
      </c>
      <c r="H42" t="s">
        <v>42</v>
      </c>
      <c r="I42" t="s">
        <v>20</v>
      </c>
      <c r="K42" s="57">
        <v>23</v>
      </c>
      <c r="L42" t="str">
        <f t="shared" si="0"/>
        <v>07160921_1226</v>
      </c>
      <c r="Q42">
        <f t="shared" si="3"/>
        <v>2</v>
      </c>
      <c r="W42" t="s">
        <v>1853</v>
      </c>
      <c r="Y42" t="str">
        <f t="shared" si="2"/>
        <v>| 07160921_1226 |  |  |  |  | 2 |  |  |  |  |  | mistake |</v>
      </c>
    </row>
    <row r="43" spans="1:25">
      <c r="A43" t="s">
        <v>1971</v>
      </c>
      <c r="B43" t="s">
        <v>17</v>
      </c>
      <c r="C43">
        <v>60</v>
      </c>
      <c r="D43" t="s">
        <v>41</v>
      </c>
      <c r="E43">
        <v>1000</v>
      </c>
      <c r="F43">
        <v>22</v>
      </c>
      <c r="G43" t="s">
        <v>191</v>
      </c>
      <c r="H43" t="s">
        <v>42</v>
      </c>
      <c r="I43" t="s">
        <v>20</v>
      </c>
      <c r="J43">
        <v>20</v>
      </c>
      <c r="K43" s="57">
        <v>24</v>
      </c>
      <c r="L43" t="str">
        <f t="shared" si="0"/>
        <v>07160921_1229</v>
      </c>
      <c r="M43" t="s">
        <v>1963</v>
      </c>
      <c r="N43" t="s">
        <v>1932</v>
      </c>
      <c r="O43">
        <v>150</v>
      </c>
      <c r="P43" t="s">
        <v>1924</v>
      </c>
      <c r="Q43">
        <f t="shared" si="3"/>
        <v>22</v>
      </c>
      <c r="T43" t="s">
        <v>1926</v>
      </c>
      <c r="V43" t="s">
        <v>1942</v>
      </c>
      <c r="W43" t="s">
        <v>1972</v>
      </c>
      <c r="Y43" t="str">
        <f t="shared" si="2"/>
        <v>| 07160921_1229 | 10 V  | -10 V  | 150 | Am-241  | 22 |  |  | 1000 start/1000 end  |  | Post 30 sec IR flash  | No added resistance |</v>
      </c>
    </row>
    <row r="44" spans="1:25">
      <c r="A44" t="s">
        <v>1973</v>
      </c>
      <c r="B44" t="s">
        <v>17</v>
      </c>
      <c r="C44">
        <v>60</v>
      </c>
      <c r="D44" t="s">
        <v>41</v>
      </c>
      <c r="E44">
        <v>1000</v>
      </c>
      <c r="F44">
        <v>22</v>
      </c>
      <c r="G44" t="s">
        <v>191</v>
      </c>
      <c r="H44" t="s">
        <v>42</v>
      </c>
      <c r="I44" t="s">
        <v>20</v>
      </c>
      <c r="J44">
        <v>20</v>
      </c>
      <c r="K44" s="57">
        <v>25</v>
      </c>
      <c r="L44" t="str">
        <f t="shared" si="0"/>
        <v>07160921_1306</v>
      </c>
      <c r="M44" t="s">
        <v>1963</v>
      </c>
      <c r="N44" t="s">
        <v>1932</v>
      </c>
      <c r="O44">
        <v>150</v>
      </c>
      <c r="P44" t="s">
        <v>1924</v>
      </c>
      <c r="Q44">
        <f t="shared" si="3"/>
        <v>22</v>
      </c>
      <c r="T44" t="s">
        <v>1926</v>
      </c>
      <c r="V44" t="s">
        <v>1942</v>
      </c>
      <c r="W44" t="s">
        <v>1972</v>
      </c>
      <c r="Y44" t="str">
        <f t="shared" si="2"/>
        <v>| 07160921_1306 | 10 V  | -10 V  | 150 | Am-241  | 22 |  |  | 1000 start/1000 end  |  | Post 30 sec IR flash  | No added resistance |</v>
      </c>
    </row>
    <row r="45" spans="1:25">
      <c r="A45" t="s">
        <v>1974</v>
      </c>
      <c r="B45" t="s">
        <v>17</v>
      </c>
      <c r="C45">
        <v>60</v>
      </c>
      <c r="D45" t="s">
        <v>41</v>
      </c>
      <c r="E45">
        <v>1000</v>
      </c>
      <c r="F45">
        <v>22</v>
      </c>
      <c r="G45" t="s">
        <v>191</v>
      </c>
      <c r="H45" t="s">
        <v>42</v>
      </c>
      <c r="I45" t="s">
        <v>20</v>
      </c>
      <c r="J45">
        <v>20</v>
      </c>
      <c r="K45" s="57">
        <v>26</v>
      </c>
      <c r="L45" t="str">
        <f t="shared" si="0"/>
        <v>07160921_1346</v>
      </c>
      <c r="M45" t="s">
        <v>1963</v>
      </c>
      <c r="N45" t="s">
        <v>1932</v>
      </c>
      <c r="O45">
        <v>150</v>
      </c>
      <c r="P45" t="s">
        <v>1924</v>
      </c>
      <c r="Q45">
        <f t="shared" si="3"/>
        <v>22</v>
      </c>
      <c r="T45" t="s">
        <v>1926</v>
      </c>
      <c r="V45" t="s">
        <v>1942</v>
      </c>
      <c r="W45" t="s">
        <v>1972</v>
      </c>
      <c r="Y45" t="str">
        <f t="shared" si="2"/>
        <v>| 07160921_1346 | 10 V  | -10 V  | 150 | Am-241  | 22 |  |  | 1000 start/1000 end  |  | Post 30 sec IR flash  | No added resistance |</v>
      </c>
    </row>
    <row r="46" spans="1:25">
      <c r="A46" t="s">
        <v>1975</v>
      </c>
      <c r="B46" t="s">
        <v>17</v>
      </c>
      <c r="C46">
        <v>60</v>
      </c>
      <c r="D46" t="s">
        <v>41</v>
      </c>
      <c r="E46">
        <v>1000</v>
      </c>
      <c r="F46">
        <v>22</v>
      </c>
      <c r="G46" t="s">
        <v>191</v>
      </c>
      <c r="H46" t="s">
        <v>42</v>
      </c>
      <c r="I46" t="s">
        <v>20</v>
      </c>
      <c r="J46">
        <v>24</v>
      </c>
      <c r="K46" s="57">
        <v>27</v>
      </c>
      <c r="L46" t="str">
        <f t="shared" si="0"/>
        <v>07160921_1637</v>
      </c>
      <c r="M46" t="s">
        <v>1976</v>
      </c>
      <c r="N46" s="54" t="s">
        <v>1977</v>
      </c>
      <c r="O46">
        <v>150</v>
      </c>
      <c r="P46" t="s">
        <v>1924</v>
      </c>
      <c r="Q46">
        <f t="shared" si="3"/>
        <v>22</v>
      </c>
      <c r="T46" t="s">
        <v>1926</v>
      </c>
      <c r="U46" t="s">
        <v>1978</v>
      </c>
      <c r="W46" t="s">
        <v>1928</v>
      </c>
      <c r="Y46" t="str">
        <f t="shared" si="2"/>
        <v>| 07160921_1637 | 12 V  | -12 V | 150 | Am-241  | 22 |  |  | 1000 start/1000 end  | ~1 hours post 1.5 hour UV bake  |  | 33 kΩ resistor on QoFB line |</v>
      </c>
    </row>
    <row r="47" spans="1:25">
      <c r="A47" t="s">
        <v>1979</v>
      </c>
      <c r="B47" t="s">
        <v>17</v>
      </c>
      <c r="C47">
        <v>60</v>
      </c>
      <c r="D47" t="s">
        <v>41</v>
      </c>
      <c r="E47">
        <v>1000</v>
      </c>
      <c r="F47">
        <v>22</v>
      </c>
      <c r="G47" t="s">
        <v>191</v>
      </c>
      <c r="H47" t="s">
        <v>42</v>
      </c>
      <c r="I47" t="s">
        <v>20</v>
      </c>
      <c r="J47">
        <v>24</v>
      </c>
      <c r="K47" s="57">
        <v>28</v>
      </c>
      <c r="L47" t="str">
        <f t="shared" si="0"/>
        <v>07160921_1713</v>
      </c>
      <c r="M47" t="s">
        <v>1976</v>
      </c>
      <c r="N47" s="54" t="s">
        <v>1977</v>
      </c>
      <c r="O47">
        <v>150</v>
      </c>
      <c r="P47" t="s">
        <v>1924</v>
      </c>
      <c r="Q47">
        <f t="shared" si="3"/>
        <v>22</v>
      </c>
      <c r="T47" t="s">
        <v>1926</v>
      </c>
      <c r="V47" t="s">
        <v>1942</v>
      </c>
      <c r="W47" t="s">
        <v>1928</v>
      </c>
      <c r="Y47" t="str">
        <f t="shared" si="2"/>
        <v>| 07160921_1713 | 12 V  | -12 V | 150 | Am-241  | 22 |  |  | 1000 start/1000 end  |  | Post 30 sec IR flash  | 33 kΩ resistor on QoFB line |</v>
      </c>
    </row>
    <row r="48" spans="1:25">
      <c r="A48" t="s">
        <v>1980</v>
      </c>
      <c r="B48" t="s">
        <v>17</v>
      </c>
      <c r="C48">
        <v>60</v>
      </c>
      <c r="D48" t="s">
        <v>41</v>
      </c>
      <c r="E48">
        <v>1000</v>
      </c>
      <c r="F48">
        <v>22</v>
      </c>
      <c r="G48" t="s">
        <v>191</v>
      </c>
      <c r="H48" t="s">
        <v>42</v>
      </c>
      <c r="I48" t="s">
        <v>20</v>
      </c>
      <c r="J48">
        <v>24</v>
      </c>
      <c r="K48" s="57">
        <v>29</v>
      </c>
      <c r="L48" t="str">
        <f t="shared" si="0"/>
        <v>07160921_1749</v>
      </c>
      <c r="M48" t="s">
        <v>1976</v>
      </c>
      <c r="N48" s="54" t="s">
        <v>1977</v>
      </c>
      <c r="O48">
        <v>150</v>
      </c>
      <c r="P48" t="s">
        <v>1924</v>
      </c>
      <c r="Q48">
        <f t="shared" si="3"/>
        <v>22</v>
      </c>
      <c r="T48" t="s">
        <v>1926</v>
      </c>
      <c r="V48" t="s">
        <v>1942</v>
      </c>
      <c r="W48" t="s">
        <v>1928</v>
      </c>
      <c r="Y48" t="str">
        <f t="shared" si="2"/>
        <v>| 07160921_1749 | 12 V  | -12 V | 150 | Am-241  | 22 |  |  | 1000 start/1000 end  |  | Post 30 sec IR flash  | 33 kΩ resistor on QoFB line |</v>
      </c>
    </row>
    <row r="49" spans="1:24">
      <c r="A49" t="s">
        <v>1981</v>
      </c>
      <c r="B49" t="s">
        <v>17</v>
      </c>
      <c r="C49">
        <v>60</v>
      </c>
      <c r="D49" t="s">
        <v>41</v>
      </c>
      <c r="E49">
        <v>1000</v>
      </c>
      <c r="F49">
        <v>17</v>
      </c>
      <c r="G49" t="s">
        <v>18</v>
      </c>
      <c r="H49" t="s">
        <v>42</v>
      </c>
      <c r="I49" t="s">
        <v>20</v>
      </c>
      <c r="J49">
        <v>24</v>
      </c>
      <c r="K49" s="58">
        <v>30</v>
      </c>
      <c r="L49" t="s">
        <v>1982</v>
      </c>
      <c r="M49" t="s">
        <v>1983</v>
      </c>
      <c r="N49" t="s">
        <v>1976</v>
      </c>
      <c r="O49">
        <v>150</v>
      </c>
      <c r="P49" t="s">
        <v>1924</v>
      </c>
      <c r="Q49">
        <v>17</v>
      </c>
      <c r="T49" t="s">
        <v>1926</v>
      </c>
      <c r="V49" t="s">
        <v>1984</v>
      </c>
      <c r="W49" t="s">
        <v>1985</v>
      </c>
    </row>
    <row r="50" spans="1:24">
      <c r="A50" t="s">
        <v>1986</v>
      </c>
      <c r="B50" t="s">
        <v>17</v>
      </c>
      <c r="C50">
        <v>60</v>
      </c>
      <c r="D50" t="s">
        <v>41</v>
      </c>
      <c r="E50">
        <v>1000</v>
      </c>
      <c r="F50">
        <v>17</v>
      </c>
      <c r="G50" t="s">
        <v>18</v>
      </c>
      <c r="H50" t="s">
        <v>42</v>
      </c>
      <c r="I50" t="s">
        <v>20</v>
      </c>
      <c r="J50">
        <v>24</v>
      </c>
      <c r="K50" s="58">
        <v>31</v>
      </c>
      <c r="L50" t="s">
        <v>1987</v>
      </c>
      <c r="M50" t="s">
        <v>1976</v>
      </c>
      <c r="N50" t="s">
        <v>1983</v>
      </c>
      <c r="O50">
        <v>150</v>
      </c>
      <c r="P50" t="s">
        <v>1988</v>
      </c>
      <c r="Q50">
        <v>17</v>
      </c>
      <c r="T50" t="s">
        <v>1926</v>
      </c>
      <c r="V50" t="s">
        <v>1942</v>
      </c>
      <c r="W50" t="s">
        <v>1985</v>
      </c>
    </row>
    <row r="51" spans="1:24">
      <c r="A51" t="s">
        <v>1989</v>
      </c>
      <c r="B51" t="s">
        <v>17</v>
      </c>
      <c r="C51">
        <v>60</v>
      </c>
      <c r="D51" t="s">
        <v>41</v>
      </c>
      <c r="E51">
        <v>1000</v>
      </c>
      <c r="F51">
        <v>17</v>
      </c>
      <c r="G51" t="s">
        <v>18</v>
      </c>
      <c r="H51" t="s">
        <v>42</v>
      </c>
      <c r="I51" t="s">
        <v>20</v>
      </c>
      <c r="J51">
        <v>22</v>
      </c>
      <c r="K51" s="58">
        <v>32</v>
      </c>
      <c r="L51" t="s">
        <v>1990</v>
      </c>
      <c r="M51" t="s">
        <v>1991</v>
      </c>
      <c r="N51" t="s">
        <v>1992</v>
      </c>
      <c r="O51">
        <v>150</v>
      </c>
      <c r="P51" t="s">
        <v>1988</v>
      </c>
      <c r="Q51">
        <v>17</v>
      </c>
      <c r="T51" t="s">
        <v>1926</v>
      </c>
      <c r="V51" t="s">
        <v>1942</v>
      </c>
      <c r="W51" t="s">
        <v>1985</v>
      </c>
    </row>
    <row r="52" spans="1:24">
      <c r="A52" t="s">
        <v>1993</v>
      </c>
      <c r="B52" t="s">
        <v>17</v>
      </c>
      <c r="C52">
        <v>60</v>
      </c>
      <c r="D52" t="s">
        <v>41</v>
      </c>
      <c r="E52">
        <v>1000</v>
      </c>
      <c r="F52">
        <v>16</v>
      </c>
      <c r="G52" t="s">
        <v>18</v>
      </c>
      <c r="H52" t="s">
        <v>42</v>
      </c>
      <c r="I52" t="s">
        <v>20</v>
      </c>
      <c r="J52">
        <v>22</v>
      </c>
      <c r="K52" s="58">
        <v>33</v>
      </c>
      <c r="L52" t="s">
        <v>1994</v>
      </c>
      <c r="M52" t="s">
        <v>1992</v>
      </c>
      <c r="N52" t="s">
        <v>1991</v>
      </c>
      <c r="O52">
        <v>150</v>
      </c>
      <c r="P52" t="s">
        <v>1988</v>
      </c>
      <c r="Q52">
        <v>16</v>
      </c>
      <c r="T52" t="s">
        <v>1926</v>
      </c>
      <c r="V52" t="s">
        <v>1942</v>
      </c>
      <c r="W52" t="s">
        <v>1985</v>
      </c>
    </row>
    <row r="53" spans="1:24">
      <c r="A53" t="s">
        <v>1995</v>
      </c>
      <c r="B53" t="s">
        <v>17</v>
      </c>
      <c r="C53">
        <v>60</v>
      </c>
      <c r="D53" t="s">
        <v>41</v>
      </c>
      <c r="E53">
        <v>1000</v>
      </c>
      <c r="F53">
        <v>18</v>
      </c>
      <c r="G53" t="s">
        <v>18</v>
      </c>
      <c r="H53" t="s">
        <v>42</v>
      </c>
      <c r="I53" t="s">
        <v>20</v>
      </c>
      <c r="J53">
        <v>20</v>
      </c>
      <c r="K53" s="58">
        <v>34</v>
      </c>
      <c r="L53" t="s">
        <v>1996</v>
      </c>
      <c r="M53" t="s">
        <v>1932</v>
      </c>
      <c r="N53" t="s">
        <v>1963</v>
      </c>
      <c r="O53">
        <v>150</v>
      </c>
      <c r="P53" t="s">
        <v>1988</v>
      </c>
      <c r="Q53">
        <v>18</v>
      </c>
      <c r="T53" t="s">
        <v>1926</v>
      </c>
      <c r="V53" t="s">
        <v>1942</v>
      </c>
      <c r="W53" t="s">
        <v>1985</v>
      </c>
    </row>
    <row r="54" spans="1:24">
      <c r="A54" t="s">
        <v>1997</v>
      </c>
      <c r="B54" t="s">
        <v>17</v>
      </c>
      <c r="C54">
        <v>60</v>
      </c>
      <c r="D54" t="s">
        <v>41</v>
      </c>
      <c r="E54">
        <v>1000</v>
      </c>
      <c r="F54">
        <v>1</v>
      </c>
      <c r="G54" t="s">
        <v>18</v>
      </c>
      <c r="H54" t="s">
        <v>42</v>
      </c>
      <c r="I54" t="s">
        <v>20</v>
      </c>
      <c r="K54" s="58">
        <v>35</v>
      </c>
      <c r="L54" t="s">
        <v>1998</v>
      </c>
      <c r="P54" t="s">
        <v>1988</v>
      </c>
      <c r="V54" t="s">
        <v>1942</v>
      </c>
      <c r="W54" t="s">
        <v>1999</v>
      </c>
    </row>
    <row r="55" spans="1:24">
      <c r="A55" t="s">
        <v>2000</v>
      </c>
      <c r="B55" t="s">
        <v>17</v>
      </c>
      <c r="C55">
        <v>60</v>
      </c>
      <c r="D55" t="s">
        <v>41</v>
      </c>
      <c r="E55">
        <v>1000</v>
      </c>
      <c r="F55">
        <v>22</v>
      </c>
      <c r="G55" t="s">
        <v>18</v>
      </c>
      <c r="H55" t="s">
        <v>42</v>
      </c>
      <c r="I55" t="s">
        <v>20</v>
      </c>
      <c r="J55">
        <v>48</v>
      </c>
      <c r="K55" s="58">
        <v>36</v>
      </c>
      <c r="L55" t="s">
        <v>2001</v>
      </c>
      <c r="M55" t="s">
        <v>2002</v>
      </c>
      <c r="N55" t="s">
        <v>1983</v>
      </c>
      <c r="O55">
        <v>200</v>
      </c>
      <c r="P55" t="s">
        <v>1988</v>
      </c>
      <c r="Q55">
        <v>22</v>
      </c>
      <c r="T55" t="s">
        <v>1926</v>
      </c>
      <c r="V55" t="s">
        <v>1942</v>
      </c>
      <c r="W55" t="s">
        <v>1985</v>
      </c>
    </row>
    <row r="56" spans="1:24">
      <c r="A56" t="s">
        <v>2003</v>
      </c>
      <c r="B56" t="s">
        <v>17</v>
      </c>
      <c r="C56">
        <v>60</v>
      </c>
      <c r="D56" t="s">
        <v>41</v>
      </c>
      <c r="E56">
        <v>1000</v>
      </c>
      <c r="F56">
        <v>17</v>
      </c>
      <c r="G56" t="s">
        <v>18</v>
      </c>
      <c r="H56" t="s">
        <v>42</v>
      </c>
      <c r="I56" t="s">
        <v>20</v>
      </c>
      <c r="J56">
        <v>20</v>
      </c>
      <c r="K56" s="58">
        <v>37</v>
      </c>
      <c r="L56" t="s">
        <v>2004</v>
      </c>
      <c r="M56" t="s">
        <v>1963</v>
      </c>
      <c r="N56" t="s">
        <v>1932</v>
      </c>
      <c r="O56">
        <v>200</v>
      </c>
      <c r="P56" t="s">
        <v>1988</v>
      </c>
      <c r="Q56">
        <v>17</v>
      </c>
      <c r="T56" t="s">
        <v>1926</v>
      </c>
      <c r="V56" t="s">
        <v>1942</v>
      </c>
      <c r="W56" t="s">
        <v>1985</v>
      </c>
    </row>
    <row r="57" spans="1:24">
      <c r="A57" t="s">
        <v>2005</v>
      </c>
      <c r="B57" t="s">
        <v>17</v>
      </c>
      <c r="C57">
        <v>60</v>
      </c>
      <c r="D57" t="s">
        <v>41</v>
      </c>
      <c r="E57">
        <v>1000</v>
      </c>
      <c r="F57">
        <v>26</v>
      </c>
      <c r="G57" t="s">
        <v>18</v>
      </c>
      <c r="H57" t="s">
        <v>42</v>
      </c>
      <c r="I57" t="s">
        <v>20</v>
      </c>
      <c r="J57">
        <v>18</v>
      </c>
      <c r="K57" s="58">
        <v>38</v>
      </c>
      <c r="L57" t="s">
        <v>2006</v>
      </c>
      <c r="M57" t="s">
        <v>2007</v>
      </c>
      <c r="N57" t="s">
        <v>2008</v>
      </c>
      <c r="O57">
        <v>200</v>
      </c>
      <c r="P57" t="s">
        <v>1988</v>
      </c>
      <c r="Q57">
        <v>26</v>
      </c>
      <c r="T57" t="s">
        <v>1926</v>
      </c>
      <c r="V57" t="s">
        <v>1942</v>
      </c>
      <c r="W57" t="s">
        <v>1985</v>
      </c>
    </row>
    <row r="58" spans="1:24">
      <c r="A58" t="s">
        <v>2009</v>
      </c>
      <c r="B58" t="s">
        <v>17</v>
      </c>
      <c r="C58">
        <v>60</v>
      </c>
      <c r="D58" t="s">
        <v>41</v>
      </c>
      <c r="E58">
        <v>1000</v>
      </c>
      <c r="F58">
        <v>17</v>
      </c>
      <c r="G58" t="s">
        <v>18</v>
      </c>
      <c r="H58" t="s">
        <v>42</v>
      </c>
      <c r="I58" t="s">
        <v>20</v>
      </c>
      <c r="J58">
        <v>18</v>
      </c>
      <c r="K58" s="58">
        <v>39</v>
      </c>
      <c r="L58" t="s">
        <v>2010</v>
      </c>
      <c r="M58" t="s">
        <v>2008</v>
      </c>
      <c r="N58" t="s">
        <v>2007</v>
      </c>
      <c r="O58">
        <v>200</v>
      </c>
      <c r="P58" t="s">
        <v>1988</v>
      </c>
      <c r="Q58">
        <v>17</v>
      </c>
      <c r="T58" t="s">
        <v>1926</v>
      </c>
      <c r="V58" t="s">
        <v>1942</v>
      </c>
      <c r="W58" t="s">
        <v>1985</v>
      </c>
    </row>
    <row r="59" spans="1:24">
      <c r="A59" t="s">
        <v>2011</v>
      </c>
      <c r="B59" t="s">
        <v>17</v>
      </c>
      <c r="C59">
        <v>60</v>
      </c>
      <c r="D59" t="s">
        <v>41</v>
      </c>
      <c r="E59">
        <v>1000</v>
      </c>
      <c r="F59">
        <v>21</v>
      </c>
      <c r="G59" t="s">
        <v>18</v>
      </c>
      <c r="H59" t="s">
        <v>42</v>
      </c>
      <c r="I59" t="s">
        <v>20</v>
      </c>
      <c r="J59">
        <v>0</v>
      </c>
      <c r="K59" s="58">
        <v>40</v>
      </c>
      <c r="L59" t="s">
        <v>2012</v>
      </c>
      <c r="M59" t="s">
        <v>1923</v>
      </c>
      <c r="N59" t="s">
        <v>1923</v>
      </c>
      <c r="O59">
        <v>150</v>
      </c>
      <c r="P59" t="s">
        <v>1924</v>
      </c>
      <c r="Q59" t="s">
        <v>2013</v>
      </c>
      <c r="T59" t="s">
        <v>1926</v>
      </c>
      <c r="V59" t="s">
        <v>1942</v>
      </c>
      <c r="W59" t="s">
        <v>1985</v>
      </c>
    </row>
    <row r="60" spans="1:24">
      <c r="A60" t="s">
        <v>2014</v>
      </c>
      <c r="B60" t="s">
        <v>17</v>
      </c>
      <c r="C60">
        <v>60</v>
      </c>
      <c r="D60" t="s">
        <v>41</v>
      </c>
      <c r="E60">
        <v>1000</v>
      </c>
      <c r="F60">
        <v>21</v>
      </c>
      <c r="G60" t="s">
        <v>18</v>
      </c>
      <c r="H60" t="s">
        <v>42</v>
      </c>
      <c r="I60" t="s">
        <v>20</v>
      </c>
      <c r="J60">
        <v>0</v>
      </c>
      <c r="K60" s="58">
        <v>41</v>
      </c>
      <c r="W60" t="s">
        <v>1999</v>
      </c>
    </row>
    <row r="61" spans="1:24">
      <c r="A61" t="s">
        <v>2015</v>
      </c>
      <c r="B61" t="s">
        <v>17</v>
      </c>
      <c r="C61">
        <v>60</v>
      </c>
      <c r="D61" t="s">
        <v>41</v>
      </c>
      <c r="E61">
        <v>1000</v>
      </c>
      <c r="F61">
        <v>21</v>
      </c>
      <c r="G61" t="s">
        <v>18</v>
      </c>
      <c r="H61" t="s">
        <v>42</v>
      </c>
      <c r="I61" t="s">
        <v>20</v>
      </c>
      <c r="J61">
        <v>0</v>
      </c>
      <c r="K61" s="58">
        <v>42</v>
      </c>
      <c r="V61" t="s">
        <v>1927</v>
      </c>
      <c r="W61" t="s">
        <v>1985</v>
      </c>
      <c r="X61" t="s">
        <v>2016</v>
      </c>
    </row>
    <row r="62" spans="1:24">
      <c r="A62" t="s">
        <v>2017</v>
      </c>
      <c r="B62" t="s">
        <v>17</v>
      </c>
      <c r="C62">
        <v>60</v>
      </c>
      <c r="D62" t="s">
        <v>41</v>
      </c>
      <c r="E62">
        <v>1000</v>
      </c>
      <c r="F62">
        <v>21</v>
      </c>
      <c r="G62" t="s">
        <v>18</v>
      </c>
      <c r="H62" t="s">
        <v>42</v>
      </c>
      <c r="I62" t="s">
        <v>20</v>
      </c>
      <c r="J62">
        <v>0</v>
      </c>
      <c r="K62" s="58">
        <v>43</v>
      </c>
      <c r="V62" t="s">
        <v>1927</v>
      </c>
      <c r="W62" t="s">
        <v>1985</v>
      </c>
    </row>
    <row r="63" spans="1:24">
      <c r="A63" t="s">
        <v>2018</v>
      </c>
      <c r="B63" t="s">
        <v>17</v>
      </c>
      <c r="C63">
        <v>60</v>
      </c>
      <c r="D63" t="s">
        <v>41</v>
      </c>
      <c r="E63">
        <v>1000</v>
      </c>
      <c r="F63">
        <v>21</v>
      </c>
      <c r="G63" t="s">
        <v>18</v>
      </c>
      <c r="H63" t="s">
        <v>42</v>
      </c>
      <c r="I63" t="s">
        <v>20</v>
      </c>
      <c r="J63">
        <v>0</v>
      </c>
      <c r="K63" s="58">
        <v>44</v>
      </c>
      <c r="V63" t="s">
        <v>1927</v>
      </c>
      <c r="W63" t="s">
        <v>1985</v>
      </c>
    </row>
    <row r="64" spans="1:24">
      <c r="A64" t="s">
        <v>2019</v>
      </c>
      <c r="B64" t="s">
        <v>17</v>
      </c>
      <c r="C64">
        <v>60</v>
      </c>
      <c r="D64" t="s">
        <v>41</v>
      </c>
      <c r="E64">
        <v>1000</v>
      </c>
      <c r="F64">
        <v>21</v>
      </c>
      <c r="G64" t="s">
        <v>18</v>
      </c>
      <c r="H64" t="s">
        <v>42</v>
      </c>
      <c r="I64" t="s">
        <v>20</v>
      </c>
      <c r="J64">
        <v>0</v>
      </c>
      <c r="K64" s="58">
        <v>45</v>
      </c>
      <c r="V64" t="s">
        <v>1927</v>
      </c>
      <c r="W64" t="s">
        <v>2020</v>
      </c>
    </row>
    <row r="65" spans="1:25">
      <c r="A65" t="s">
        <v>2021</v>
      </c>
      <c r="B65" t="s">
        <v>17</v>
      </c>
      <c r="C65">
        <v>60</v>
      </c>
      <c r="D65" t="s">
        <v>41</v>
      </c>
      <c r="E65">
        <v>1000</v>
      </c>
      <c r="F65">
        <v>21</v>
      </c>
      <c r="G65" t="s">
        <v>18</v>
      </c>
      <c r="H65" t="s">
        <v>42</v>
      </c>
      <c r="I65" t="s">
        <v>20</v>
      </c>
      <c r="J65">
        <v>0</v>
      </c>
      <c r="K65" s="58">
        <v>46</v>
      </c>
      <c r="V65" t="s">
        <v>1927</v>
      </c>
      <c r="W65" t="s">
        <v>2020</v>
      </c>
    </row>
    <row r="66" spans="1:25">
      <c r="A66" t="s">
        <v>2022</v>
      </c>
      <c r="B66" t="s">
        <v>17</v>
      </c>
      <c r="C66">
        <v>60</v>
      </c>
      <c r="D66" t="s">
        <v>41</v>
      </c>
      <c r="E66">
        <v>1000</v>
      </c>
      <c r="F66">
        <v>21</v>
      </c>
      <c r="G66" t="s">
        <v>18</v>
      </c>
      <c r="H66" t="s">
        <v>42</v>
      </c>
      <c r="I66" t="s">
        <v>20</v>
      </c>
      <c r="J66">
        <v>0</v>
      </c>
      <c r="K66" s="58">
        <v>47</v>
      </c>
      <c r="V66" t="s">
        <v>1927</v>
      </c>
      <c r="W66" t="s">
        <v>2020</v>
      </c>
    </row>
    <row r="67" spans="1:25">
      <c r="A67" t="s">
        <v>2023</v>
      </c>
      <c r="B67" t="s">
        <v>17</v>
      </c>
      <c r="C67">
        <v>60</v>
      </c>
      <c r="D67" t="s">
        <v>41</v>
      </c>
      <c r="E67">
        <v>1000</v>
      </c>
      <c r="F67">
        <v>8</v>
      </c>
      <c r="G67" t="s">
        <v>18</v>
      </c>
      <c r="H67" t="s">
        <v>42</v>
      </c>
      <c r="I67" t="s">
        <v>20</v>
      </c>
      <c r="L67" t="s">
        <v>2024</v>
      </c>
      <c r="O67">
        <v>150</v>
      </c>
      <c r="P67" t="s">
        <v>1988</v>
      </c>
      <c r="T67" t="s">
        <v>1926</v>
      </c>
      <c r="W67" t="s">
        <v>1999</v>
      </c>
    </row>
    <row r="68" spans="1:25">
      <c r="A68" t="s">
        <v>2025</v>
      </c>
      <c r="B68" t="s">
        <v>17</v>
      </c>
      <c r="C68">
        <v>60</v>
      </c>
      <c r="D68" t="s">
        <v>41</v>
      </c>
      <c r="E68">
        <v>1000</v>
      </c>
      <c r="F68">
        <v>17</v>
      </c>
      <c r="G68" t="s">
        <v>18</v>
      </c>
      <c r="H68" t="s">
        <v>42</v>
      </c>
      <c r="I68" t="s">
        <v>20</v>
      </c>
      <c r="K68" s="59">
        <v>48</v>
      </c>
      <c r="L68" t="s">
        <v>2026</v>
      </c>
      <c r="M68" t="s">
        <v>2027</v>
      </c>
      <c r="N68" t="s">
        <v>2028</v>
      </c>
      <c r="O68">
        <v>150</v>
      </c>
      <c r="P68" t="s">
        <v>1988</v>
      </c>
      <c r="Q68">
        <v>17</v>
      </c>
      <c r="T68" t="s">
        <v>1926</v>
      </c>
      <c r="V68" t="s">
        <v>1927</v>
      </c>
      <c r="W68" t="s">
        <v>1985</v>
      </c>
      <c r="X68" t="s">
        <v>2016</v>
      </c>
    </row>
    <row r="69" spans="1:25">
      <c r="A69" t="s">
        <v>2029</v>
      </c>
      <c r="B69" t="s">
        <v>17</v>
      </c>
      <c r="C69">
        <v>60</v>
      </c>
      <c r="D69" t="s">
        <v>41</v>
      </c>
      <c r="E69">
        <v>1000</v>
      </c>
      <c r="F69">
        <v>17</v>
      </c>
      <c r="G69" t="s">
        <v>18</v>
      </c>
      <c r="H69" t="s">
        <v>42</v>
      </c>
      <c r="I69" t="s">
        <v>20</v>
      </c>
      <c r="K69" s="59">
        <v>49</v>
      </c>
      <c r="L69" t="s">
        <v>2030</v>
      </c>
      <c r="M69" t="s">
        <v>2028</v>
      </c>
      <c r="N69" t="s">
        <v>2027</v>
      </c>
      <c r="O69">
        <v>150</v>
      </c>
      <c r="P69" t="s">
        <v>1988</v>
      </c>
      <c r="Q69">
        <v>17</v>
      </c>
      <c r="T69" t="s">
        <v>1926</v>
      </c>
      <c r="V69" t="s">
        <v>1927</v>
      </c>
      <c r="W69" t="s">
        <v>1985</v>
      </c>
    </row>
    <row r="70" spans="1:25">
      <c r="A70" t="s">
        <v>2031</v>
      </c>
      <c r="B70" t="s">
        <v>17</v>
      </c>
      <c r="C70">
        <v>60</v>
      </c>
      <c r="D70" t="s">
        <v>41</v>
      </c>
      <c r="E70">
        <v>1000</v>
      </c>
      <c r="F70">
        <v>17</v>
      </c>
      <c r="G70" t="s">
        <v>18</v>
      </c>
      <c r="H70" t="s">
        <v>42</v>
      </c>
      <c r="I70" t="s">
        <v>20</v>
      </c>
      <c r="K70" s="59">
        <v>50</v>
      </c>
      <c r="L70" t="s">
        <v>2032</v>
      </c>
      <c r="M70" t="s">
        <v>2033</v>
      </c>
      <c r="N70" t="s">
        <v>2034</v>
      </c>
      <c r="O70">
        <v>150</v>
      </c>
      <c r="P70" t="s">
        <v>1988</v>
      </c>
      <c r="Q70">
        <v>17</v>
      </c>
      <c r="T70" t="s">
        <v>1926</v>
      </c>
      <c r="V70" t="s">
        <v>1927</v>
      </c>
      <c r="W70" t="s">
        <v>1985</v>
      </c>
    </row>
    <row r="71" spans="1:25">
      <c r="A71" t="s">
        <v>2035</v>
      </c>
      <c r="B71" t="s">
        <v>17</v>
      </c>
      <c r="C71">
        <v>60</v>
      </c>
      <c r="D71" t="s">
        <v>41</v>
      </c>
      <c r="E71">
        <v>1000</v>
      </c>
      <c r="F71">
        <v>17</v>
      </c>
      <c r="G71" t="s">
        <v>18</v>
      </c>
      <c r="H71" t="s">
        <v>42</v>
      </c>
      <c r="I71" t="s">
        <v>20</v>
      </c>
      <c r="K71" s="59">
        <v>51</v>
      </c>
      <c r="L71" t="s">
        <v>2036</v>
      </c>
      <c r="M71" t="s">
        <v>2034</v>
      </c>
      <c r="N71" t="s">
        <v>2033</v>
      </c>
      <c r="O71">
        <v>150</v>
      </c>
      <c r="P71" t="s">
        <v>1924</v>
      </c>
      <c r="Q71">
        <v>17</v>
      </c>
      <c r="T71" t="s">
        <v>2037</v>
      </c>
      <c r="V71" t="s">
        <v>1927</v>
      </c>
      <c r="W71" t="s">
        <v>2038</v>
      </c>
      <c r="Y71" t="str">
        <f>"| "&amp;L71&amp;" | "&amp;M71&amp;" | "&amp;N71&amp;" | "&amp;O71&amp;" | "&amp;P71&amp;" | "&amp;Q71&amp;" | "&amp;R71&amp;" | "&amp;S71&amp;" | "&amp;T71&amp;" | "&amp;U71&amp;" | "&amp;V71&amp;" | "&amp;W71&amp;" |"</f>
        <v>| 07160923_1308  | -7 V  | 7 V  | 150 | Am-241  | 17 |  |  | all |  | Post 30 sec UV flash  | mistake - 50 ms traces, all randoms. |</v>
      </c>
    </row>
    <row r="72" spans="1:25">
      <c r="A72" t="s">
        <v>2039</v>
      </c>
      <c r="B72" t="s">
        <v>17</v>
      </c>
      <c r="C72">
        <v>60</v>
      </c>
      <c r="D72" t="s">
        <v>41</v>
      </c>
      <c r="E72">
        <v>1000</v>
      </c>
      <c r="F72">
        <v>17</v>
      </c>
      <c r="G72" t="s">
        <v>18</v>
      </c>
      <c r="H72" t="s">
        <v>42</v>
      </c>
      <c r="I72" t="s">
        <v>20</v>
      </c>
      <c r="K72" s="59">
        <v>52</v>
      </c>
      <c r="L72" t="s">
        <v>2040</v>
      </c>
      <c r="M72" t="s">
        <v>2041</v>
      </c>
      <c r="N72" t="s">
        <v>2042</v>
      </c>
      <c r="O72">
        <v>150</v>
      </c>
      <c r="P72" t="s">
        <v>1924</v>
      </c>
      <c r="Q72">
        <v>17</v>
      </c>
      <c r="T72" t="s">
        <v>2037</v>
      </c>
      <c r="V72" t="s">
        <v>1927</v>
      </c>
      <c r="W72" t="s">
        <v>2038</v>
      </c>
      <c r="Y72" t="str">
        <f>"| "&amp;L72&amp;" | "&amp;M72&amp;" | "&amp;N72&amp;" | "&amp;O72&amp;" | "&amp;P72&amp;" | "&amp;Q72&amp;" | "&amp;R72&amp;" | "&amp;S72&amp;" | "&amp;T72&amp;" | "&amp;U72&amp;" | "&amp;V72&amp;" | "&amp;W72&amp;" |"</f>
        <v>| 07160923_1339  | 6 V  | -6 V  | 150 | Am-241  | 17 |  |  | all |  | Post 30 sec UV flash  | mistake - 50 ms traces, all randoms. |</v>
      </c>
    </row>
    <row r="73" spans="1:25">
      <c r="A73" t="s">
        <v>2043</v>
      </c>
      <c r="B73" t="s">
        <v>17</v>
      </c>
      <c r="C73">
        <v>60</v>
      </c>
      <c r="D73" t="s">
        <v>41</v>
      </c>
      <c r="E73">
        <v>1000</v>
      </c>
      <c r="F73">
        <v>17</v>
      </c>
      <c r="G73" t="s">
        <v>18</v>
      </c>
      <c r="H73" t="s">
        <v>42</v>
      </c>
      <c r="I73" t="s">
        <v>20</v>
      </c>
      <c r="K73" s="59">
        <v>53</v>
      </c>
      <c r="L73" t="s">
        <v>2044</v>
      </c>
      <c r="M73" t="s">
        <v>2042</v>
      </c>
      <c r="N73" t="s">
        <v>2041</v>
      </c>
      <c r="O73">
        <v>150</v>
      </c>
      <c r="P73" t="s">
        <v>1924</v>
      </c>
      <c r="Q73">
        <v>17</v>
      </c>
      <c r="T73" t="s">
        <v>2037</v>
      </c>
      <c r="V73" t="s">
        <v>1927</v>
      </c>
      <c r="W73" t="s">
        <v>2038</v>
      </c>
      <c r="Y73" t="str">
        <f>"| "&amp;L73&amp;" | "&amp;M73&amp;" | "&amp;N73&amp;" | "&amp;O73&amp;" | "&amp;P73&amp;" | "&amp;Q73&amp;" | "&amp;R73&amp;" | "&amp;S73&amp;" | "&amp;T73&amp;" | "&amp;U73&amp;" | "&amp;V73&amp;" | "&amp;W73&amp;" |"</f>
        <v>| 07160923_1411  | -6 V  | 6 V  | 150 | Am-241  | 17 |  |  | all |  | Post 30 sec UV flash  | mistake - 50 ms traces, all randoms. |</v>
      </c>
    </row>
    <row r="74" spans="1:25">
      <c r="A74" t="s">
        <v>2045</v>
      </c>
      <c r="B74" t="s">
        <v>17</v>
      </c>
      <c r="C74">
        <v>60</v>
      </c>
      <c r="D74" t="s">
        <v>41</v>
      </c>
      <c r="E74">
        <v>1000</v>
      </c>
      <c r="F74">
        <v>18</v>
      </c>
      <c r="G74" t="s">
        <v>18</v>
      </c>
      <c r="H74" t="s">
        <v>42</v>
      </c>
      <c r="I74" t="s">
        <v>20</v>
      </c>
      <c r="K74" s="59">
        <v>54</v>
      </c>
      <c r="L74" t="str">
        <f t="shared" ref="L74:L105" si="4">A74</f>
        <v>07160923_1445</v>
      </c>
      <c r="M74" t="s">
        <v>2046</v>
      </c>
      <c r="N74" s="54" t="s">
        <v>2047</v>
      </c>
      <c r="O74">
        <v>150</v>
      </c>
      <c r="P74" t="s">
        <v>1924</v>
      </c>
      <c r="Q74">
        <f t="shared" ref="Q74:Q122" si="5">F74</f>
        <v>18</v>
      </c>
      <c r="T74" t="s">
        <v>2037</v>
      </c>
      <c r="V74" t="s">
        <v>1927</v>
      </c>
      <c r="W74" t="s">
        <v>2038</v>
      </c>
      <c r="Y74" t="str">
        <f t="shared" ref="Y74:Y122" si="6">"| "&amp;L74&amp;" | "&amp;M74&amp;" | "&amp;N74&amp;" | "&amp;O74&amp;" | "&amp;P74&amp;" | "&amp;Q74&amp;" | "&amp;R74&amp;" | "&amp;S74&amp;" | "&amp;T74&amp;" | "&amp;U74&amp;" | "&amp;V74&amp;" | "&amp;W74&amp;" |"</f>
        <v>| 07160923_1445 | 4 V | -4 V | 150 | Am-241  | 18 |  |  | all |  | Post 30 sec UV flash  | mistake - 50 ms traces, all randoms. |</v>
      </c>
    </row>
    <row r="75" spans="1:25">
      <c r="A75" t="s">
        <v>2048</v>
      </c>
      <c r="B75" t="s">
        <v>17</v>
      </c>
      <c r="C75">
        <v>60</v>
      </c>
      <c r="D75" t="s">
        <v>41</v>
      </c>
      <c r="E75">
        <v>1000</v>
      </c>
      <c r="F75">
        <v>21</v>
      </c>
      <c r="G75" t="s">
        <v>18</v>
      </c>
      <c r="H75" t="s">
        <v>42</v>
      </c>
      <c r="I75" t="s">
        <v>20</v>
      </c>
      <c r="K75" s="59">
        <v>55</v>
      </c>
      <c r="L75" t="str">
        <f t="shared" si="4"/>
        <v>07160923_1711</v>
      </c>
      <c r="M75" t="s">
        <v>1923</v>
      </c>
      <c r="N75" t="s">
        <v>1923</v>
      </c>
      <c r="O75">
        <v>150</v>
      </c>
      <c r="P75" t="s">
        <v>1924</v>
      </c>
      <c r="Q75">
        <f t="shared" si="5"/>
        <v>21</v>
      </c>
      <c r="T75" t="s">
        <v>1926</v>
      </c>
      <c r="V75" t="s">
        <v>1927</v>
      </c>
      <c r="W75" t="s">
        <v>2049</v>
      </c>
      <c r="Y75" t="str">
        <f t="shared" si="6"/>
        <v>| 07160923_1711 | 0 V  | 0 V  | 150 | Am-241  | 21 |  |  | 1000 start/1000 end  |  | Post 30 sec UV flash  | no added resistor |</v>
      </c>
    </row>
    <row r="76" spans="1:25">
      <c r="A76" t="s">
        <v>2050</v>
      </c>
      <c r="B76" t="s">
        <v>17</v>
      </c>
      <c r="C76">
        <v>60</v>
      </c>
      <c r="D76" t="s">
        <v>41</v>
      </c>
      <c r="E76">
        <v>1000</v>
      </c>
      <c r="F76">
        <v>21</v>
      </c>
      <c r="G76" t="s">
        <v>18</v>
      </c>
      <c r="H76" t="s">
        <v>42</v>
      </c>
      <c r="I76" t="s">
        <v>20</v>
      </c>
      <c r="K76" s="59">
        <v>56</v>
      </c>
      <c r="L76" t="str">
        <f t="shared" si="4"/>
        <v>07160923_1742</v>
      </c>
      <c r="M76" t="s">
        <v>1923</v>
      </c>
      <c r="N76" t="s">
        <v>1923</v>
      </c>
      <c r="O76">
        <v>150</v>
      </c>
      <c r="P76" t="s">
        <v>1924</v>
      </c>
      <c r="Q76">
        <f t="shared" ref="Q76:Q82" si="7">F76</f>
        <v>21</v>
      </c>
      <c r="T76" t="s">
        <v>1926</v>
      </c>
      <c r="V76" t="s">
        <v>1927</v>
      </c>
      <c r="W76" t="s">
        <v>2049</v>
      </c>
      <c r="Y76" t="str">
        <f t="shared" si="6"/>
        <v>| 07160923_1742 | 0 V  | 0 V  | 150 | Am-241  | 21 |  |  | 1000 start/1000 end  |  | Post 30 sec UV flash  | no added resistor |</v>
      </c>
    </row>
    <row r="77" spans="1:25">
      <c r="A77" t="s">
        <v>2051</v>
      </c>
      <c r="B77" t="s">
        <v>17</v>
      </c>
      <c r="C77">
        <v>60</v>
      </c>
      <c r="D77" t="s">
        <v>41</v>
      </c>
      <c r="E77">
        <v>1000</v>
      </c>
      <c r="F77">
        <v>21</v>
      </c>
      <c r="G77" t="s">
        <v>18</v>
      </c>
      <c r="H77" t="s">
        <v>42</v>
      </c>
      <c r="I77" t="s">
        <v>20</v>
      </c>
      <c r="K77" s="59">
        <v>57</v>
      </c>
      <c r="L77" t="str">
        <f t="shared" si="4"/>
        <v>07160923_1814</v>
      </c>
      <c r="M77" t="s">
        <v>1923</v>
      </c>
      <c r="N77" t="s">
        <v>1923</v>
      </c>
      <c r="O77">
        <v>150</v>
      </c>
      <c r="P77" t="s">
        <v>1924</v>
      </c>
      <c r="Q77">
        <f t="shared" si="7"/>
        <v>21</v>
      </c>
      <c r="T77" t="s">
        <v>1926</v>
      </c>
      <c r="V77" t="s">
        <v>1927</v>
      </c>
      <c r="W77" t="s">
        <v>2049</v>
      </c>
      <c r="Y77" t="str">
        <f t="shared" si="6"/>
        <v>| 07160923_1814 | 0 V  | 0 V  | 150 | Am-241  | 21 |  |  | 1000 start/1000 end  |  | Post 30 sec UV flash  | no added resistor |</v>
      </c>
    </row>
    <row r="78" spans="1:25">
      <c r="A78" t="s">
        <v>2052</v>
      </c>
      <c r="B78" t="s">
        <v>17</v>
      </c>
      <c r="C78">
        <v>60</v>
      </c>
      <c r="D78" t="s">
        <v>41</v>
      </c>
      <c r="E78">
        <v>1000</v>
      </c>
      <c r="F78">
        <v>21</v>
      </c>
      <c r="G78" t="s">
        <v>18</v>
      </c>
      <c r="H78" t="s">
        <v>42</v>
      </c>
      <c r="I78" t="s">
        <v>20</v>
      </c>
      <c r="K78" s="59">
        <v>58</v>
      </c>
      <c r="L78" t="str">
        <f t="shared" si="4"/>
        <v>07160923_1845</v>
      </c>
      <c r="M78" t="s">
        <v>1923</v>
      </c>
      <c r="N78" t="s">
        <v>1923</v>
      </c>
      <c r="O78">
        <v>150</v>
      </c>
      <c r="P78" t="s">
        <v>1924</v>
      </c>
      <c r="Q78">
        <f t="shared" si="7"/>
        <v>21</v>
      </c>
      <c r="T78" t="s">
        <v>1926</v>
      </c>
      <c r="V78" t="s">
        <v>1927</v>
      </c>
      <c r="W78" t="s">
        <v>2049</v>
      </c>
      <c r="Y78" t="str">
        <f t="shared" si="6"/>
        <v>| 07160923_1845 | 0 V  | 0 V  | 150 | Am-241  | 21 |  |  | 1000 start/1000 end  |  | Post 30 sec UV flash  | no added resistor |</v>
      </c>
    </row>
    <row r="79" spans="1:25">
      <c r="A79" t="s">
        <v>2053</v>
      </c>
      <c r="B79" t="s">
        <v>17</v>
      </c>
      <c r="C79">
        <v>60</v>
      </c>
      <c r="D79" t="s">
        <v>41</v>
      </c>
      <c r="E79">
        <v>1000</v>
      </c>
      <c r="F79">
        <v>21</v>
      </c>
      <c r="G79" t="s">
        <v>18</v>
      </c>
      <c r="H79" t="s">
        <v>42</v>
      </c>
      <c r="I79" t="s">
        <v>20</v>
      </c>
      <c r="K79" s="59">
        <v>59</v>
      </c>
      <c r="L79" t="str">
        <f t="shared" si="4"/>
        <v>07160923_1917</v>
      </c>
      <c r="M79" t="s">
        <v>1923</v>
      </c>
      <c r="N79" t="s">
        <v>1923</v>
      </c>
      <c r="O79">
        <v>150</v>
      </c>
      <c r="P79" t="s">
        <v>2054</v>
      </c>
      <c r="Q79">
        <f t="shared" si="7"/>
        <v>21</v>
      </c>
      <c r="T79" t="s">
        <v>1926</v>
      </c>
      <c r="V79" t="s">
        <v>1927</v>
      </c>
      <c r="W79" t="s">
        <v>2049</v>
      </c>
      <c r="Y79" t="str">
        <f t="shared" si="6"/>
        <v>| 07160923_1917 | 0 V  | 0 V  | 150 | Am-241, Na-22  | 21 |  |  | 1000 start/1000 end  |  | Post 30 sec UV flash  | no added resistor |</v>
      </c>
    </row>
    <row r="80" spans="1:25">
      <c r="A80" t="s">
        <v>2055</v>
      </c>
      <c r="B80" t="s">
        <v>17</v>
      </c>
      <c r="C80">
        <v>60</v>
      </c>
      <c r="D80" t="s">
        <v>41</v>
      </c>
      <c r="E80">
        <v>1000</v>
      </c>
      <c r="F80">
        <v>21</v>
      </c>
      <c r="G80" t="s">
        <v>18</v>
      </c>
      <c r="H80" t="s">
        <v>42</v>
      </c>
      <c r="I80" t="s">
        <v>20</v>
      </c>
      <c r="K80" s="59">
        <v>60</v>
      </c>
      <c r="L80" t="str">
        <f t="shared" si="4"/>
        <v>07160923_1948</v>
      </c>
      <c r="M80" t="s">
        <v>1923</v>
      </c>
      <c r="N80" t="s">
        <v>1923</v>
      </c>
      <c r="O80">
        <v>150</v>
      </c>
      <c r="P80" t="s">
        <v>2054</v>
      </c>
      <c r="Q80">
        <f t="shared" si="7"/>
        <v>21</v>
      </c>
      <c r="T80" t="s">
        <v>1926</v>
      </c>
      <c r="V80" t="s">
        <v>1927</v>
      </c>
      <c r="W80" t="s">
        <v>2049</v>
      </c>
      <c r="Y80" t="str">
        <f t="shared" si="6"/>
        <v>| 07160923_1948 | 0 V  | 0 V  | 150 | Am-241, Na-22  | 21 |  |  | 1000 start/1000 end  |  | Post 30 sec UV flash  | no added resistor |</v>
      </c>
    </row>
    <row r="81" spans="1:25">
      <c r="A81" t="s">
        <v>2056</v>
      </c>
      <c r="B81" t="s">
        <v>17</v>
      </c>
      <c r="C81">
        <v>60</v>
      </c>
      <c r="D81" t="s">
        <v>41</v>
      </c>
      <c r="E81">
        <v>1000</v>
      </c>
      <c r="F81">
        <v>21</v>
      </c>
      <c r="G81" t="s">
        <v>18</v>
      </c>
      <c r="H81" t="s">
        <v>42</v>
      </c>
      <c r="I81" t="s">
        <v>20</v>
      </c>
      <c r="K81" s="59">
        <v>61</v>
      </c>
      <c r="L81" t="str">
        <f t="shared" si="4"/>
        <v>07160923_2020</v>
      </c>
      <c r="M81" t="s">
        <v>1923</v>
      </c>
      <c r="N81" t="s">
        <v>1923</v>
      </c>
      <c r="O81">
        <v>150</v>
      </c>
      <c r="P81" t="s">
        <v>2054</v>
      </c>
      <c r="Q81">
        <f t="shared" si="7"/>
        <v>21</v>
      </c>
      <c r="T81" t="s">
        <v>1926</v>
      </c>
      <c r="V81" t="s">
        <v>1927</v>
      </c>
      <c r="W81" t="s">
        <v>2049</v>
      </c>
      <c r="Y81" t="str">
        <f t="shared" si="6"/>
        <v>| 07160923_2020 | 0 V  | 0 V  | 150 | Am-241, Na-22  | 21 |  |  | 1000 start/1000 end  |  | Post 30 sec UV flash  | no added resistor |</v>
      </c>
    </row>
    <row r="82" spans="1:25">
      <c r="A82" t="s">
        <v>2057</v>
      </c>
      <c r="B82" t="s">
        <v>17</v>
      </c>
      <c r="C82">
        <v>60</v>
      </c>
      <c r="D82" t="s">
        <v>41</v>
      </c>
      <c r="E82">
        <v>1000</v>
      </c>
      <c r="F82">
        <v>21</v>
      </c>
      <c r="G82" t="s">
        <v>18</v>
      </c>
      <c r="H82" t="s">
        <v>42</v>
      </c>
      <c r="I82" t="s">
        <v>20</v>
      </c>
      <c r="K82" s="59">
        <v>62</v>
      </c>
      <c r="L82" t="str">
        <f t="shared" si="4"/>
        <v>07160923_2051</v>
      </c>
      <c r="M82" t="s">
        <v>1923</v>
      </c>
      <c r="N82" t="s">
        <v>1923</v>
      </c>
      <c r="O82">
        <v>150</v>
      </c>
      <c r="P82" t="s">
        <v>2054</v>
      </c>
      <c r="Q82">
        <f t="shared" si="7"/>
        <v>21</v>
      </c>
      <c r="T82" t="s">
        <v>1926</v>
      </c>
      <c r="V82" t="s">
        <v>1927</v>
      </c>
      <c r="W82" t="s">
        <v>2049</v>
      </c>
      <c r="Y82" t="str">
        <f t="shared" si="6"/>
        <v>| 07160923_2051 | 0 V  | 0 V  | 150 | Am-241, Na-22  | 21 |  |  | 1000 start/1000 end  |  | Post 30 sec UV flash  | no added resistor |</v>
      </c>
    </row>
    <row r="83" spans="1:25">
      <c r="A83" t="s">
        <v>2058</v>
      </c>
      <c r="B83" t="s">
        <v>17</v>
      </c>
      <c r="C83">
        <v>60</v>
      </c>
      <c r="D83" t="s">
        <v>41</v>
      </c>
      <c r="E83">
        <v>1000</v>
      </c>
      <c r="F83">
        <v>21</v>
      </c>
      <c r="G83" t="s">
        <v>18</v>
      </c>
      <c r="H83" t="s">
        <v>42</v>
      </c>
      <c r="I83" t="s">
        <v>20</v>
      </c>
      <c r="K83" s="55">
        <v>63</v>
      </c>
      <c r="L83" t="str">
        <f t="shared" si="4"/>
        <v>07160924_1008</v>
      </c>
      <c r="M83" t="s">
        <v>1923</v>
      </c>
      <c r="N83" t="s">
        <v>1976</v>
      </c>
      <c r="O83">
        <v>150</v>
      </c>
      <c r="P83" t="s">
        <v>2054</v>
      </c>
      <c r="Q83">
        <f t="shared" si="5"/>
        <v>21</v>
      </c>
      <c r="T83" t="s">
        <v>1926</v>
      </c>
      <c r="U83" t="s">
        <v>2059</v>
      </c>
      <c r="V83" t="s">
        <v>1927</v>
      </c>
      <c r="W83" t="s">
        <v>2049</v>
      </c>
      <c r="Y83" t="str">
        <f t="shared" si="6"/>
        <v>| 07160924_1008 | 0 V  | 12 V  | 150 | Am-241, Na-22  | 21 |  |  | 1000 start/1000 end  | ~1 hours post 12 hour UV bake  | Post 30 sec UV flash  | no added resistor |</v>
      </c>
    </row>
    <row r="84" spans="1:25">
      <c r="A84" t="s">
        <v>2060</v>
      </c>
      <c r="B84" t="s">
        <v>17</v>
      </c>
      <c r="C84">
        <v>60</v>
      </c>
      <c r="D84" t="s">
        <v>41</v>
      </c>
      <c r="E84">
        <v>1000</v>
      </c>
      <c r="F84">
        <v>21</v>
      </c>
      <c r="G84" t="s">
        <v>18</v>
      </c>
      <c r="H84" t="s">
        <v>42</v>
      </c>
      <c r="I84" t="s">
        <v>20</v>
      </c>
      <c r="K84" s="55">
        <v>64</v>
      </c>
      <c r="L84" t="str">
        <f t="shared" si="4"/>
        <v>07160924_1043</v>
      </c>
      <c r="M84" t="s">
        <v>1923</v>
      </c>
      <c r="N84" s="54" t="s">
        <v>1977</v>
      </c>
      <c r="O84">
        <v>150</v>
      </c>
      <c r="P84" t="s">
        <v>2054</v>
      </c>
      <c r="Q84">
        <f t="shared" si="5"/>
        <v>21</v>
      </c>
      <c r="T84" t="s">
        <v>1926</v>
      </c>
      <c r="V84" t="s">
        <v>1927</v>
      </c>
      <c r="W84" t="s">
        <v>2049</v>
      </c>
      <c r="Y84" t="str">
        <f t="shared" si="6"/>
        <v>| 07160924_1043 | 0 V  | -12 V | 150 | Am-241, Na-22  | 21 |  |  | 1000 start/1000 end  |  | Post 30 sec UV flash  | no added resistor |</v>
      </c>
    </row>
    <row r="85" spans="1:25">
      <c r="A85" t="s">
        <v>2061</v>
      </c>
      <c r="B85" t="s">
        <v>17</v>
      </c>
      <c r="C85">
        <v>60</v>
      </c>
      <c r="D85" t="s">
        <v>41</v>
      </c>
      <c r="E85">
        <v>1000</v>
      </c>
      <c r="F85">
        <v>21</v>
      </c>
      <c r="G85" t="s">
        <v>18</v>
      </c>
      <c r="H85" t="s">
        <v>42</v>
      </c>
      <c r="I85" t="s">
        <v>20</v>
      </c>
      <c r="K85" s="55">
        <v>65</v>
      </c>
      <c r="L85" t="str">
        <f t="shared" si="4"/>
        <v>07160924_1339</v>
      </c>
      <c r="M85" t="s">
        <v>1923</v>
      </c>
      <c r="N85" t="s">
        <v>1992</v>
      </c>
      <c r="O85">
        <v>150</v>
      </c>
      <c r="P85" t="s">
        <v>2054</v>
      </c>
      <c r="Q85">
        <f t="shared" si="5"/>
        <v>21</v>
      </c>
      <c r="T85" t="s">
        <v>1926</v>
      </c>
      <c r="V85" t="s">
        <v>1927</v>
      </c>
      <c r="W85" t="s">
        <v>2049</v>
      </c>
      <c r="Y85" t="str">
        <f t="shared" si="6"/>
        <v>| 07160924_1339 | 0 V  | 11 V  | 150 | Am-241, Na-22  | 21 |  |  | 1000 start/1000 end  |  | Post 30 sec UV flash  | no added resistor |</v>
      </c>
    </row>
    <row r="86" spans="1:25">
      <c r="A86" t="s">
        <v>2062</v>
      </c>
      <c r="B86" t="s">
        <v>17</v>
      </c>
      <c r="C86">
        <v>60</v>
      </c>
      <c r="D86" t="s">
        <v>41</v>
      </c>
      <c r="E86">
        <v>1000</v>
      </c>
      <c r="F86">
        <v>21</v>
      </c>
      <c r="G86" t="s">
        <v>18</v>
      </c>
      <c r="H86" t="s">
        <v>42</v>
      </c>
      <c r="I86" t="s">
        <v>20</v>
      </c>
      <c r="K86" s="55">
        <v>66</v>
      </c>
      <c r="L86" t="str">
        <f t="shared" si="4"/>
        <v>07160924_1413</v>
      </c>
      <c r="M86" t="s">
        <v>1923</v>
      </c>
      <c r="N86" s="54" t="s">
        <v>1991</v>
      </c>
      <c r="O86">
        <v>150</v>
      </c>
      <c r="P86" t="s">
        <v>2054</v>
      </c>
      <c r="Q86">
        <f>F86</f>
        <v>21</v>
      </c>
      <c r="T86" t="s">
        <v>1926</v>
      </c>
      <c r="V86" t="s">
        <v>1927</v>
      </c>
      <c r="W86" t="s">
        <v>2049</v>
      </c>
      <c r="Y86" t="str">
        <f t="shared" si="6"/>
        <v>| 07160924_1413 | 0 V  | -11 V  | 150 | Am-241, Na-22  | 21 |  |  | 1000 start/1000 end  |  | Post 30 sec UV flash  | no added resistor |</v>
      </c>
    </row>
    <row r="87" spans="1:25">
      <c r="A87" t="s">
        <v>2063</v>
      </c>
      <c r="B87" t="s">
        <v>17</v>
      </c>
      <c r="C87">
        <v>60</v>
      </c>
      <c r="D87" t="s">
        <v>41</v>
      </c>
      <c r="E87">
        <v>1000</v>
      </c>
      <c r="F87">
        <v>21</v>
      </c>
      <c r="G87" t="s">
        <v>18</v>
      </c>
      <c r="H87" t="s">
        <v>42</v>
      </c>
      <c r="I87" t="s">
        <v>20</v>
      </c>
      <c r="K87" s="55">
        <v>67</v>
      </c>
      <c r="L87" t="str">
        <f t="shared" si="4"/>
        <v>07160924_1450</v>
      </c>
      <c r="M87" t="s">
        <v>1923</v>
      </c>
      <c r="N87" t="s">
        <v>1963</v>
      </c>
      <c r="O87">
        <v>150</v>
      </c>
      <c r="P87" t="s">
        <v>2054</v>
      </c>
      <c r="Q87">
        <f>F87</f>
        <v>21</v>
      </c>
      <c r="T87" t="s">
        <v>1926</v>
      </c>
      <c r="V87" t="s">
        <v>1927</v>
      </c>
      <c r="W87" t="s">
        <v>2049</v>
      </c>
      <c r="Y87" t="str">
        <f t="shared" si="6"/>
        <v>| 07160924_1450 | 0 V  | 10 V  | 150 | Am-241, Na-22  | 21 |  |  | 1000 start/1000 end  |  | Post 30 sec UV flash  | no added resistor |</v>
      </c>
    </row>
    <row r="88" spans="1:25">
      <c r="A88" t="s">
        <v>2064</v>
      </c>
      <c r="B88" t="s">
        <v>17</v>
      </c>
      <c r="C88">
        <v>60</v>
      </c>
      <c r="D88" t="s">
        <v>41</v>
      </c>
      <c r="E88">
        <v>1000</v>
      </c>
      <c r="F88">
        <v>21</v>
      </c>
      <c r="G88" t="s">
        <v>18</v>
      </c>
      <c r="H88" t="s">
        <v>42</v>
      </c>
      <c r="I88" t="s">
        <v>20</v>
      </c>
      <c r="K88" s="55">
        <v>68</v>
      </c>
      <c r="L88" t="str">
        <f t="shared" si="4"/>
        <v>07160924_1522</v>
      </c>
      <c r="M88" t="s">
        <v>1923</v>
      </c>
      <c r="N88" s="54" t="s">
        <v>2065</v>
      </c>
      <c r="O88">
        <v>150</v>
      </c>
      <c r="P88" t="s">
        <v>2054</v>
      </c>
      <c r="Q88">
        <f>F88</f>
        <v>21</v>
      </c>
      <c r="T88" t="s">
        <v>1926</v>
      </c>
      <c r="V88" t="s">
        <v>1927</v>
      </c>
      <c r="W88" t="s">
        <v>2049</v>
      </c>
      <c r="Y88" t="str">
        <f t="shared" si="6"/>
        <v>| 07160924_1522 | 0 V  | -10 V | 150 | Am-241, Na-22  | 21 |  |  | 1000 start/1000 end  |  | Post 30 sec UV flash  | no added resistor |</v>
      </c>
    </row>
    <row r="89" spans="1:25">
      <c r="A89" t="s">
        <v>2066</v>
      </c>
      <c r="B89" t="s">
        <v>17</v>
      </c>
      <c r="C89">
        <v>60</v>
      </c>
      <c r="D89" t="s">
        <v>41</v>
      </c>
      <c r="E89">
        <v>1000</v>
      </c>
      <c r="F89">
        <v>21</v>
      </c>
      <c r="G89" t="s">
        <v>18</v>
      </c>
      <c r="H89" t="s">
        <v>42</v>
      </c>
      <c r="I89" t="s">
        <v>20</v>
      </c>
      <c r="K89" s="55">
        <v>69</v>
      </c>
      <c r="L89" t="str">
        <f t="shared" si="4"/>
        <v>07160924_1555</v>
      </c>
      <c r="M89" t="s">
        <v>1923</v>
      </c>
      <c r="N89" t="s">
        <v>2008</v>
      </c>
      <c r="O89">
        <v>150</v>
      </c>
      <c r="P89" t="s">
        <v>2054</v>
      </c>
      <c r="Q89">
        <f>F89</f>
        <v>21</v>
      </c>
      <c r="T89" t="s">
        <v>1926</v>
      </c>
      <c r="V89" t="s">
        <v>1927</v>
      </c>
      <c r="W89" t="s">
        <v>2049</v>
      </c>
      <c r="Y89" t="str">
        <f t="shared" si="6"/>
        <v>| 07160924_1555 | 0 V  | 9 V  | 150 | Am-241, Na-22  | 21 |  |  | 1000 start/1000 end  |  | Post 30 sec UV flash  | no added resistor |</v>
      </c>
    </row>
    <row r="90" spans="1:25">
      <c r="A90" t="s">
        <v>2067</v>
      </c>
      <c r="B90" t="s">
        <v>17</v>
      </c>
      <c r="C90">
        <v>60</v>
      </c>
      <c r="D90" t="s">
        <v>41</v>
      </c>
      <c r="E90">
        <v>1000</v>
      </c>
      <c r="F90">
        <v>21</v>
      </c>
      <c r="G90" t="s">
        <v>18</v>
      </c>
      <c r="H90" t="s">
        <v>42</v>
      </c>
      <c r="I90" t="s">
        <v>20</v>
      </c>
      <c r="K90" s="55">
        <v>70</v>
      </c>
      <c r="L90" t="str">
        <f t="shared" si="4"/>
        <v>07160924_1627</v>
      </c>
      <c r="M90" t="s">
        <v>1923</v>
      </c>
      <c r="N90" s="54" t="s">
        <v>2068</v>
      </c>
      <c r="O90">
        <v>150</v>
      </c>
      <c r="P90" t="s">
        <v>2054</v>
      </c>
      <c r="Q90">
        <f t="shared" si="5"/>
        <v>21</v>
      </c>
      <c r="T90" t="s">
        <v>1926</v>
      </c>
      <c r="V90" t="s">
        <v>1927</v>
      </c>
      <c r="W90" t="s">
        <v>2049</v>
      </c>
      <c r="Y90" t="str">
        <f t="shared" si="6"/>
        <v>| 07160924_1627 | 0 V  | -9 V | 150 | Am-241, Na-22  | 21 |  |  | 1000 start/1000 end  |  | Post 30 sec UV flash  | no added resistor |</v>
      </c>
    </row>
    <row r="91" spans="1:25">
      <c r="A91" t="s">
        <v>2069</v>
      </c>
      <c r="B91" t="s">
        <v>17</v>
      </c>
      <c r="C91">
        <v>60</v>
      </c>
      <c r="D91" t="s">
        <v>41</v>
      </c>
      <c r="E91">
        <v>1000</v>
      </c>
      <c r="F91">
        <v>21</v>
      </c>
      <c r="G91" t="s">
        <v>18</v>
      </c>
      <c r="H91" t="s">
        <v>42</v>
      </c>
      <c r="I91" t="s">
        <v>20</v>
      </c>
      <c r="K91" s="55">
        <v>71</v>
      </c>
      <c r="L91" t="str">
        <f t="shared" si="4"/>
        <v>07160924_1700</v>
      </c>
      <c r="M91" t="s">
        <v>1923</v>
      </c>
      <c r="N91" t="s">
        <v>2027</v>
      </c>
      <c r="O91">
        <v>150</v>
      </c>
      <c r="P91" t="s">
        <v>2070</v>
      </c>
      <c r="Q91">
        <f t="shared" si="5"/>
        <v>21</v>
      </c>
      <c r="T91" t="s">
        <v>1926</v>
      </c>
      <c r="V91" t="s">
        <v>1927</v>
      </c>
      <c r="W91" t="s">
        <v>2049</v>
      </c>
      <c r="Y91" t="str">
        <f t="shared" si="6"/>
        <v>| 07160924_1700 | 0 V  | 8 V  | 150 | Am-241, Y-88 | 21 |  |  | 1000 start/1000 end  |  | Post 30 sec UV flash  | no added resistor |</v>
      </c>
    </row>
    <row r="92" spans="1:25">
      <c r="A92" t="s">
        <v>2071</v>
      </c>
      <c r="B92" t="s">
        <v>17</v>
      </c>
      <c r="C92">
        <v>60</v>
      </c>
      <c r="D92" t="s">
        <v>41</v>
      </c>
      <c r="E92">
        <v>1000</v>
      </c>
      <c r="F92">
        <v>21</v>
      </c>
      <c r="G92" t="s">
        <v>18</v>
      </c>
      <c r="H92" t="s">
        <v>42</v>
      </c>
      <c r="I92" t="s">
        <v>20</v>
      </c>
      <c r="K92" s="55">
        <v>72</v>
      </c>
      <c r="L92" t="str">
        <f t="shared" si="4"/>
        <v>07160924_1735</v>
      </c>
      <c r="M92" t="s">
        <v>1923</v>
      </c>
      <c r="N92" s="54" t="s">
        <v>2072</v>
      </c>
      <c r="O92">
        <v>150</v>
      </c>
      <c r="P92" t="s">
        <v>1924</v>
      </c>
      <c r="Q92">
        <f t="shared" si="5"/>
        <v>21</v>
      </c>
      <c r="T92" t="s">
        <v>1926</v>
      </c>
      <c r="V92" t="s">
        <v>1927</v>
      </c>
      <c r="W92" t="s">
        <v>2049</v>
      </c>
      <c r="Y92" t="str">
        <f t="shared" si="6"/>
        <v>| 07160924_1735 | 0 V  | -8 V | 150 | Am-241  | 21 |  |  | 1000 start/1000 end  |  | Post 30 sec UV flash  | no added resistor |</v>
      </c>
    </row>
    <row r="93" spans="1:25">
      <c r="A93" t="s">
        <v>2073</v>
      </c>
      <c r="B93" t="s">
        <v>17</v>
      </c>
      <c r="C93">
        <v>60</v>
      </c>
      <c r="D93" t="s">
        <v>41</v>
      </c>
      <c r="E93">
        <v>1000</v>
      </c>
      <c r="F93">
        <v>21</v>
      </c>
      <c r="G93" t="s">
        <v>18</v>
      </c>
      <c r="H93" t="s">
        <v>42</v>
      </c>
      <c r="I93" t="s">
        <v>20</v>
      </c>
      <c r="K93" s="55">
        <v>73</v>
      </c>
      <c r="L93" t="str">
        <f t="shared" si="4"/>
        <v>07160924_1808</v>
      </c>
      <c r="M93" t="s">
        <v>1923</v>
      </c>
      <c r="N93" t="s">
        <v>2033</v>
      </c>
      <c r="O93">
        <v>150</v>
      </c>
      <c r="P93" t="s">
        <v>1924</v>
      </c>
      <c r="Q93">
        <f t="shared" ref="Q93:Q102" si="8">F93</f>
        <v>21</v>
      </c>
      <c r="T93" t="s">
        <v>1926</v>
      </c>
      <c r="V93" t="s">
        <v>1927</v>
      </c>
      <c r="W93" t="s">
        <v>2049</v>
      </c>
      <c r="Y93" t="str">
        <f t="shared" si="6"/>
        <v>| 07160924_1808 | 0 V  | 7 V  | 150 | Am-241  | 21 |  |  | 1000 start/1000 end  |  | Post 30 sec UV flash  | no added resistor |</v>
      </c>
    </row>
    <row r="94" spans="1:25">
      <c r="A94" t="s">
        <v>2074</v>
      </c>
      <c r="B94" t="s">
        <v>17</v>
      </c>
      <c r="C94">
        <v>60</v>
      </c>
      <c r="D94" t="s">
        <v>41</v>
      </c>
      <c r="E94">
        <v>1000</v>
      </c>
      <c r="F94">
        <v>21</v>
      </c>
      <c r="G94" t="s">
        <v>18</v>
      </c>
      <c r="H94" t="s">
        <v>42</v>
      </c>
      <c r="I94" t="s">
        <v>20</v>
      </c>
      <c r="K94" s="55">
        <v>74</v>
      </c>
      <c r="L94" t="str">
        <f t="shared" si="4"/>
        <v>07160924_1840</v>
      </c>
      <c r="M94" t="s">
        <v>1923</v>
      </c>
      <c r="N94" s="54" t="s">
        <v>2075</v>
      </c>
      <c r="O94">
        <v>150</v>
      </c>
      <c r="P94" t="s">
        <v>1924</v>
      </c>
      <c r="Q94">
        <f t="shared" si="8"/>
        <v>21</v>
      </c>
      <c r="T94" t="s">
        <v>1926</v>
      </c>
      <c r="V94" t="s">
        <v>1927</v>
      </c>
      <c r="W94" t="s">
        <v>2049</v>
      </c>
      <c r="Y94" t="str">
        <f t="shared" si="6"/>
        <v>| 07160924_1840 | 0 V  | -7 V | 150 | Am-241  | 21 |  |  | 1000 start/1000 end  |  | Post 30 sec UV flash  | no added resistor |</v>
      </c>
    </row>
    <row r="95" spans="1:25">
      <c r="A95" t="s">
        <v>2076</v>
      </c>
      <c r="B95" t="s">
        <v>17</v>
      </c>
      <c r="C95">
        <v>60</v>
      </c>
      <c r="D95" t="s">
        <v>41</v>
      </c>
      <c r="E95">
        <v>1000</v>
      </c>
      <c r="F95">
        <v>21</v>
      </c>
      <c r="G95" t="s">
        <v>18</v>
      </c>
      <c r="H95" t="s">
        <v>42</v>
      </c>
      <c r="I95" t="s">
        <v>20</v>
      </c>
      <c r="K95" s="55">
        <v>75</v>
      </c>
      <c r="L95" t="str">
        <f t="shared" si="4"/>
        <v>07160924_1912</v>
      </c>
      <c r="M95" t="s">
        <v>1923</v>
      </c>
      <c r="N95" t="s">
        <v>2041</v>
      </c>
      <c r="O95">
        <v>150</v>
      </c>
      <c r="P95" t="s">
        <v>1924</v>
      </c>
      <c r="Q95">
        <f t="shared" si="8"/>
        <v>21</v>
      </c>
      <c r="T95" t="s">
        <v>1926</v>
      </c>
      <c r="V95" t="s">
        <v>1927</v>
      </c>
      <c r="W95" t="s">
        <v>2049</v>
      </c>
      <c r="Y95" t="str">
        <f t="shared" si="6"/>
        <v>| 07160924_1912 | 0 V  | 6 V  | 150 | Am-241  | 21 |  |  | 1000 start/1000 end  |  | Post 30 sec UV flash  | no added resistor |</v>
      </c>
    </row>
    <row r="96" spans="1:25">
      <c r="A96" t="s">
        <v>2077</v>
      </c>
      <c r="B96" t="s">
        <v>17</v>
      </c>
      <c r="C96">
        <v>60</v>
      </c>
      <c r="D96" t="s">
        <v>41</v>
      </c>
      <c r="E96">
        <v>1000</v>
      </c>
      <c r="F96">
        <v>21</v>
      </c>
      <c r="G96" t="s">
        <v>18</v>
      </c>
      <c r="H96" t="s">
        <v>42</v>
      </c>
      <c r="I96" t="s">
        <v>20</v>
      </c>
      <c r="K96" s="55">
        <v>76</v>
      </c>
      <c r="L96" t="str">
        <f t="shared" si="4"/>
        <v>07160924_1949</v>
      </c>
      <c r="M96" t="s">
        <v>1923</v>
      </c>
      <c r="N96" s="54" t="s">
        <v>2078</v>
      </c>
      <c r="O96">
        <v>150</v>
      </c>
      <c r="P96" t="s">
        <v>1924</v>
      </c>
      <c r="Q96">
        <f t="shared" si="8"/>
        <v>21</v>
      </c>
      <c r="T96" t="s">
        <v>1926</v>
      </c>
      <c r="V96" t="s">
        <v>1927</v>
      </c>
      <c r="W96" t="s">
        <v>2049</v>
      </c>
      <c r="Y96" t="str">
        <f t="shared" si="6"/>
        <v>| 07160924_1949 | 0 V  | -6 V | 150 | Am-241  | 21 |  |  | 1000 start/1000 end  |  | Post 30 sec UV flash  | no added resistor |</v>
      </c>
    </row>
    <row r="97" spans="1:25">
      <c r="A97" t="s">
        <v>2079</v>
      </c>
      <c r="B97" t="s">
        <v>17</v>
      </c>
      <c r="C97">
        <v>60</v>
      </c>
      <c r="D97" t="s">
        <v>41</v>
      </c>
      <c r="E97">
        <v>1000</v>
      </c>
      <c r="F97">
        <v>21</v>
      </c>
      <c r="G97" t="s">
        <v>18</v>
      </c>
      <c r="H97" t="s">
        <v>42</v>
      </c>
      <c r="I97" t="s">
        <v>20</v>
      </c>
      <c r="K97" s="55">
        <v>77</v>
      </c>
      <c r="L97" t="str">
        <f t="shared" si="4"/>
        <v>07160924_2021</v>
      </c>
      <c r="M97" t="s">
        <v>1923</v>
      </c>
      <c r="N97" t="s">
        <v>2080</v>
      </c>
      <c r="O97">
        <v>150</v>
      </c>
      <c r="P97" t="s">
        <v>1924</v>
      </c>
      <c r="Q97">
        <f t="shared" si="8"/>
        <v>21</v>
      </c>
      <c r="T97" t="s">
        <v>1926</v>
      </c>
      <c r="V97" t="s">
        <v>1927</v>
      </c>
      <c r="W97" t="s">
        <v>2049</v>
      </c>
      <c r="Y97" t="str">
        <f t="shared" si="6"/>
        <v>| 07160924_2021 | 0 V  | 5 V | 150 | Am-241  | 21 |  |  | 1000 start/1000 end  |  | Post 30 sec UV flash  | no added resistor |</v>
      </c>
    </row>
    <row r="98" spans="1:25">
      <c r="A98" t="s">
        <v>2081</v>
      </c>
      <c r="B98" t="s">
        <v>17</v>
      </c>
      <c r="C98">
        <v>60</v>
      </c>
      <c r="D98" t="s">
        <v>41</v>
      </c>
      <c r="E98">
        <v>1000</v>
      </c>
      <c r="F98">
        <v>21</v>
      </c>
      <c r="G98" t="s">
        <v>18</v>
      </c>
      <c r="H98" t="s">
        <v>42</v>
      </c>
      <c r="I98" t="s">
        <v>20</v>
      </c>
      <c r="K98" s="55"/>
      <c r="L98" t="str">
        <f t="shared" si="4"/>
        <v>07160924_2053</v>
      </c>
      <c r="M98" t="s">
        <v>1923</v>
      </c>
      <c r="N98" s="54" t="s">
        <v>2082</v>
      </c>
      <c r="O98">
        <v>150</v>
      </c>
      <c r="P98" t="s">
        <v>1924</v>
      </c>
      <c r="Q98">
        <f t="shared" si="8"/>
        <v>21</v>
      </c>
      <c r="T98" t="s">
        <v>1926</v>
      </c>
      <c r="V98" t="s">
        <v>1927</v>
      </c>
      <c r="W98" t="s">
        <v>2049</v>
      </c>
      <c r="Y98" t="str">
        <f t="shared" si="6"/>
        <v>| 07160924_2053 | 0 V  | -5 V | 150 | Am-241  | 21 |  |  | 1000 start/1000 end  |  | Post 30 sec UV flash  | no added resistor |</v>
      </c>
    </row>
    <row r="99" spans="1:25">
      <c r="A99" t="s">
        <v>2083</v>
      </c>
      <c r="B99" t="s">
        <v>17</v>
      </c>
      <c r="C99">
        <v>60</v>
      </c>
      <c r="D99" t="s">
        <v>41</v>
      </c>
      <c r="E99">
        <v>1000</v>
      </c>
      <c r="F99">
        <v>21</v>
      </c>
      <c r="G99" t="s">
        <v>18</v>
      </c>
      <c r="H99" t="s">
        <v>42</v>
      </c>
      <c r="I99" t="s">
        <v>20</v>
      </c>
      <c r="K99" s="55"/>
      <c r="L99" t="str">
        <f t="shared" si="4"/>
        <v>07160924_2126</v>
      </c>
      <c r="M99" t="s">
        <v>1923</v>
      </c>
      <c r="N99" t="s">
        <v>2046</v>
      </c>
      <c r="O99">
        <v>150</v>
      </c>
      <c r="P99" t="s">
        <v>1924</v>
      </c>
      <c r="Q99">
        <f t="shared" si="8"/>
        <v>21</v>
      </c>
      <c r="T99" t="s">
        <v>1926</v>
      </c>
      <c r="V99" t="s">
        <v>1927</v>
      </c>
      <c r="W99" t="s">
        <v>2049</v>
      </c>
      <c r="Y99" t="str">
        <f t="shared" si="6"/>
        <v>| 07160924_2126 | 0 V  | 4 V | 150 | Am-241  | 21 |  |  | 1000 start/1000 end  |  | Post 30 sec UV flash  | no added resistor |</v>
      </c>
    </row>
    <row r="100" spans="1:25">
      <c r="A100" t="s">
        <v>2084</v>
      </c>
      <c r="B100" t="s">
        <v>17</v>
      </c>
      <c r="C100">
        <v>60</v>
      </c>
      <c r="D100" t="s">
        <v>41</v>
      </c>
      <c r="E100">
        <v>1000</v>
      </c>
      <c r="F100">
        <v>21</v>
      </c>
      <c r="G100" t="s">
        <v>18</v>
      </c>
      <c r="H100" t="s">
        <v>42</v>
      </c>
      <c r="I100" t="s">
        <v>20</v>
      </c>
      <c r="K100" s="55"/>
      <c r="L100" t="str">
        <f t="shared" si="4"/>
        <v>07160924_2159</v>
      </c>
      <c r="M100" t="s">
        <v>1923</v>
      </c>
      <c r="N100" s="54" t="s">
        <v>2047</v>
      </c>
      <c r="O100">
        <v>150</v>
      </c>
      <c r="P100" t="s">
        <v>1924</v>
      </c>
      <c r="Q100">
        <f t="shared" si="8"/>
        <v>21</v>
      </c>
      <c r="T100" t="s">
        <v>1926</v>
      </c>
      <c r="V100" t="s">
        <v>1927</v>
      </c>
      <c r="W100" t="s">
        <v>2049</v>
      </c>
      <c r="Y100" t="str">
        <f t="shared" si="6"/>
        <v>| 07160924_2159 | 0 V  | -4 V | 150 | Am-241  | 21 |  |  | 1000 start/1000 end  |  | Post 30 sec UV flash  | no added resistor |</v>
      </c>
    </row>
    <row r="101" spans="1:25">
      <c r="A101" t="s">
        <v>2085</v>
      </c>
      <c r="B101" t="s">
        <v>17</v>
      </c>
      <c r="C101">
        <v>60</v>
      </c>
      <c r="D101" t="s">
        <v>41</v>
      </c>
      <c r="E101">
        <v>1000</v>
      </c>
      <c r="F101">
        <v>21</v>
      </c>
      <c r="G101" t="s">
        <v>18</v>
      </c>
      <c r="H101" t="s">
        <v>42</v>
      </c>
      <c r="I101" t="s">
        <v>20</v>
      </c>
      <c r="K101" s="55"/>
      <c r="L101" t="str">
        <f t="shared" si="4"/>
        <v>07160924_2231</v>
      </c>
      <c r="M101" t="s">
        <v>1923</v>
      </c>
      <c r="N101" t="s">
        <v>2086</v>
      </c>
      <c r="O101">
        <v>150</v>
      </c>
      <c r="P101" t="s">
        <v>1924</v>
      </c>
      <c r="Q101">
        <f t="shared" si="8"/>
        <v>21</v>
      </c>
      <c r="T101" t="s">
        <v>1926</v>
      </c>
      <c r="V101" t="s">
        <v>1927</v>
      </c>
      <c r="W101" t="s">
        <v>2049</v>
      </c>
      <c r="Y101" t="str">
        <f t="shared" si="6"/>
        <v>| 07160924_2231 | 0 V  | 3 V | 150 | Am-241  | 21 |  |  | 1000 start/1000 end  |  | Post 30 sec UV flash  | no added resistor |</v>
      </c>
    </row>
    <row r="102" spans="1:25">
      <c r="A102" t="s">
        <v>2087</v>
      </c>
      <c r="B102" t="s">
        <v>17</v>
      </c>
      <c r="C102">
        <v>60</v>
      </c>
      <c r="D102" t="s">
        <v>41</v>
      </c>
      <c r="E102">
        <v>1000</v>
      </c>
      <c r="F102">
        <v>21</v>
      </c>
      <c r="G102" t="s">
        <v>18</v>
      </c>
      <c r="H102" t="s">
        <v>42</v>
      </c>
      <c r="I102" t="s">
        <v>20</v>
      </c>
      <c r="K102" s="55"/>
      <c r="L102" t="str">
        <f t="shared" si="4"/>
        <v>07160924_2304</v>
      </c>
      <c r="M102" t="s">
        <v>1923</v>
      </c>
      <c r="N102" s="54" t="s">
        <v>2088</v>
      </c>
      <c r="O102">
        <v>150</v>
      </c>
      <c r="P102" t="s">
        <v>1924</v>
      </c>
      <c r="Q102">
        <f t="shared" si="8"/>
        <v>21</v>
      </c>
      <c r="T102" t="s">
        <v>1926</v>
      </c>
      <c r="V102" t="s">
        <v>1927</v>
      </c>
      <c r="W102" t="s">
        <v>2049</v>
      </c>
      <c r="Y102" t="str">
        <f t="shared" si="6"/>
        <v>| 07160924_2304 | 0 V  | -3 V | 150 | Am-241  | 21 |  |  | 1000 start/1000 end  |  | Post 30 sec UV flash  | no added resistor |</v>
      </c>
    </row>
    <row r="103" spans="1:25">
      <c r="A103" t="s">
        <v>2089</v>
      </c>
      <c r="B103" t="s">
        <v>17</v>
      </c>
      <c r="C103">
        <v>60</v>
      </c>
      <c r="D103" t="s">
        <v>41</v>
      </c>
      <c r="E103">
        <v>1000</v>
      </c>
      <c r="F103">
        <v>21</v>
      </c>
      <c r="G103" t="s">
        <v>18</v>
      </c>
      <c r="H103" t="s">
        <v>42</v>
      </c>
      <c r="I103" t="s">
        <v>20</v>
      </c>
      <c r="K103" s="55"/>
      <c r="L103" t="str">
        <f t="shared" si="4"/>
        <v>07160924_2337</v>
      </c>
      <c r="M103" t="s">
        <v>1923</v>
      </c>
      <c r="N103" t="s">
        <v>2090</v>
      </c>
      <c r="O103">
        <v>150</v>
      </c>
      <c r="P103" t="s">
        <v>1924</v>
      </c>
      <c r="Q103">
        <f t="shared" si="5"/>
        <v>21</v>
      </c>
      <c r="T103" t="s">
        <v>1926</v>
      </c>
      <c r="V103" t="s">
        <v>1927</v>
      </c>
      <c r="W103" t="s">
        <v>2049</v>
      </c>
      <c r="Y103" t="str">
        <f t="shared" si="6"/>
        <v>| 07160924_2337 | 0 V  | 2 V | 150 | Am-241  | 21 |  |  | 1000 start/1000 end  |  | Post 30 sec UV flash  | no added resistor |</v>
      </c>
    </row>
    <row r="104" spans="1:25">
      <c r="A104" t="s">
        <v>2091</v>
      </c>
      <c r="B104" t="s">
        <v>17</v>
      </c>
      <c r="C104">
        <v>60</v>
      </c>
      <c r="D104" t="s">
        <v>41</v>
      </c>
      <c r="E104">
        <v>1000</v>
      </c>
      <c r="F104">
        <v>21</v>
      </c>
      <c r="G104" t="s">
        <v>18</v>
      </c>
      <c r="H104" t="s">
        <v>42</v>
      </c>
      <c r="I104" t="s">
        <v>20</v>
      </c>
      <c r="K104" s="55">
        <v>78</v>
      </c>
      <c r="L104" t="str">
        <f t="shared" si="4"/>
        <v>07160925_0010</v>
      </c>
      <c r="M104" t="s">
        <v>1923</v>
      </c>
      <c r="N104" s="54" t="s">
        <v>2092</v>
      </c>
      <c r="O104">
        <v>150</v>
      </c>
      <c r="P104" t="s">
        <v>1924</v>
      </c>
      <c r="Q104">
        <f t="shared" si="5"/>
        <v>21</v>
      </c>
      <c r="T104" t="s">
        <v>1926</v>
      </c>
      <c r="V104" t="s">
        <v>1927</v>
      </c>
      <c r="W104" t="s">
        <v>2049</v>
      </c>
      <c r="Y104" t="str">
        <f t="shared" si="6"/>
        <v>| 07160925_0010 | 0 V  | -2 V | 150 | Am-241  | 21 |  |  | 1000 start/1000 end  |  | Post 30 sec UV flash  | no added resistor |</v>
      </c>
    </row>
    <row r="105" spans="1:25">
      <c r="A105" t="s">
        <v>2093</v>
      </c>
      <c r="B105" t="s">
        <v>17</v>
      </c>
      <c r="C105">
        <v>60</v>
      </c>
      <c r="D105" t="s">
        <v>41</v>
      </c>
      <c r="E105">
        <v>1000</v>
      </c>
      <c r="F105">
        <v>16</v>
      </c>
      <c r="G105" t="s">
        <v>18</v>
      </c>
      <c r="H105" t="s">
        <v>42</v>
      </c>
      <c r="I105" t="s">
        <v>20</v>
      </c>
      <c r="L105" t="str">
        <f t="shared" si="4"/>
        <v>07160925_1213</v>
      </c>
      <c r="M105" s="54" t="s">
        <v>2075</v>
      </c>
      <c r="N105" t="s">
        <v>2033</v>
      </c>
      <c r="O105">
        <v>150</v>
      </c>
      <c r="P105" t="s">
        <v>1924</v>
      </c>
      <c r="Q105">
        <f t="shared" si="5"/>
        <v>16</v>
      </c>
      <c r="T105" t="s">
        <v>1926</v>
      </c>
      <c r="U105" t="s">
        <v>2094</v>
      </c>
      <c r="W105" t="s">
        <v>1928</v>
      </c>
      <c r="Y105" t="str">
        <f t="shared" si="6"/>
        <v>| 07160925_1213 | -7 V | 7 V  | 150 | Am-241  | 16 |  |  | 1000 start/1000 end  | ~2 hours post 10 hour UV bake  |  | 33 kΩ resistor on QoFB line |</v>
      </c>
    </row>
    <row r="106" spans="1:25">
      <c r="A106" t="s">
        <v>2095</v>
      </c>
      <c r="B106" t="s">
        <v>17</v>
      </c>
      <c r="C106">
        <v>60</v>
      </c>
      <c r="D106" t="s">
        <v>41</v>
      </c>
      <c r="E106">
        <v>1000</v>
      </c>
      <c r="F106">
        <v>15</v>
      </c>
      <c r="G106" t="s">
        <v>18</v>
      </c>
      <c r="H106" t="s">
        <v>42</v>
      </c>
      <c r="I106" t="s">
        <v>20</v>
      </c>
      <c r="L106" t="str">
        <f t="shared" ref="L106:L122" si="9">A106</f>
        <v>07160925_1241</v>
      </c>
      <c r="M106" t="s">
        <v>2041</v>
      </c>
      <c r="N106" s="54" t="s">
        <v>2078</v>
      </c>
      <c r="O106">
        <v>150</v>
      </c>
      <c r="P106" t="s">
        <v>1924</v>
      </c>
      <c r="Q106">
        <f t="shared" si="5"/>
        <v>15</v>
      </c>
      <c r="T106" t="s">
        <v>1926</v>
      </c>
      <c r="V106" t="s">
        <v>1927</v>
      </c>
      <c r="W106" t="s">
        <v>1928</v>
      </c>
      <c r="Y106" t="str">
        <f t="shared" si="6"/>
        <v>| 07160925_1241 | 6 V  | -6 V | 150 | Am-241  | 15 |  |  | 1000 start/1000 end  |  | Post 30 sec UV flash  | 33 kΩ resistor on QoFB line |</v>
      </c>
    </row>
    <row r="107" spans="1:25">
      <c r="A107" t="s">
        <v>2096</v>
      </c>
      <c r="B107" t="s">
        <v>17</v>
      </c>
      <c r="C107">
        <v>60</v>
      </c>
      <c r="D107" t="s">
        <v>41</v>
      </c>
      <c r="E107">
        <v>1000</v>
      </c>
      <c r="F107">
        <v>16</v>
      </c>
      <c r="G107" t="s">
        <v>18</v>
      </c>
      <c r="H107" t="s">
        <v>42</v>
      </c>
      <c r="I107" t="s">
        <v>20</v>
      </c>
      <c r="L107" t="str">
        <f t="shared" si="9"/>
        <v>07160925_1423</v>
      </c>
      <c r="M107" t="s">
        <v>2046</v>
      </c>
      <c r="N107" s="54" t="s">
        <v>2047</v>
      </c>
      <c r="O107">
        <v>150</v>
      </c>
      <c r="P107" t="s">
        <v>2054</v>
      </c>
      <c r="Q107">
        <f t="shared" si="5"/>
        <v>16</v>
      </c>
      <c r="T107" t="s">
        <v>1926</v>
      </c>
      <c r="V107" t="s">
        <v>1927</v>
      </c>
      <c r="W107" t="s">
        <v>2097</v>
      </c>
      <c r="Y107" t="str">
        <f t="shared" si="6"/>
        <v>| 07160925_1423 | 4 V | -4 V | 150 | Am-241, Na-22  | 16 |  |  | 1000 start/1000 end  |  | Post 30 sec UV flash  | 33 kΩ resistor on QoFB line. 50 ms trace length by accident |</v>
      </c>
    </row>
    <row r="108" spans="1:25">
      <c r="A108" t="s">
        <v>2098</v>
      </c>
      <c r="B108" t="s">
        <v>17</v>
      </c>
      <c r="C108">
        <v>60</v>
      </c>
      <c r="D108" t="s">
        <v>41</v>
      </c>
      <c r="E108">
        <v>1000</v>
      </c>
      <c r="F108">
        <v>17</v>
      </c>
      <c r="G108" t="s">
        <v>18</v>
      </c>
      <c r="H108" t="s">
        <v>42</v>
      </c>
      <c r="I108" t="s">
        <v>20</v>
      </c>
      <c r="L108" t="str">
        <f t="shared" si="9"/>
        <v>07160925_1452</v>
      </c>
      <c r="M108" s="54" t="s">
        <v>2047</v>
      </c>
      <c r="N108" t="s">
        <v>2046</v>
      </c>
      <c r="O108">
        <v>150</v>
      </c>
      <c r="P108" t="s">
        <v>2054</v>
      </c>
      <c r="Q108">
        <f t="shared" si="5"/>
        <v>17</v>
      </c>
      <c r="T108" t="s">
        <v>1926</v>
      </c>
      <c r="V108" t="s">
        <v>1927</v>
      </c>
      <c r="W108" t="s">
        <v>2097</v>
      </c>
      <c r="Y108" t="str">
        <f t="shared" si="6"/>
        <v>| 07160925_1452 | -4 V | 4 V | 150 | Am-241, Na-22  | 17 |  |  | 1000 start/1000 end  |  | Post 30 sec UV flash  | 33 kΩ resistor on QoFB line. 50 ms trace length by accident |</v>
      </c>
    </row>
    <row r="109" spans="1:25">
      <c r="A109" t="s">
        <v>2099</v>
      </c>
      <c r="B109" t="s">
        <v>17</v>
      </c>
      <c r="C109">
        <v>60</v>
      </c>
      <c r="D109" t="s">
        <v>41</v>
      </c>
      <c r="E109">
        <v>1000</v>
      </c>
      <c r="F109">
        <v>16</v>
      </c>
      <c r="G109" t="s">
        <v>18</v>
      </c>
      <c r="H109" t="s">
        <v>42</v>
      </c>
      <c r="I109" t="s">
        <v>20</v>
      </c>
      <c r="L109" t="str">
        <f t="shared" si="9"/>
        <v>07160925_1617</v>
      </c>
      <c r="M109" t="s">
        <v>2090</v>
      </c>
      <c r="N109" s="54" t="s">
        <v>2092</v>
      </c>
      <c r="O109">
        <v>150</v>
      </c>
      <c r="P109" t="s">
        <v>1924</v>
      </c>
      <c r="Q109">
        <f t="shared" si="5"/>
        <v>16</v>
      </c>
      <c r="T109" t="s">
        <v>1926</v>
      </c>
      <c r="V109" t="s">
        <v>1927</v>
      </c>
      <c r="W109" t="s">
        <v>2097</v>
      </c>
      <c r="Y109" t="str">
        <f t="shared" si="6"/>
        <v>| 07160925_1617 | 2 V | -2 V | 150 | Am-241  | 16 |  |  | 1000 start/1000 end  |  | Post 30 sec UV flash  | 33 kΩ resistor on QoFB line. 50 ms trace length by accident |</v>
      </c>
    </row>
    <row r="110" spans="1:25">
      <c r="A110" t="s">
        <v>2100</v>
      </c>
      <c r="B110" t="s">
        <v>17</v>
      </c>
      <c r="C110">
        <v>60</v>
      </c>
      <c r="D110" t="s">
        <v>41</v>
      </c>
      <c r="E110">
        <v>1000</v>
      </c>
      <c r="F110">
        <v>17</v>
      </c>
      <c r="G110" t="s">
        <v>18</v>
      </c>
      <c r="H110" t="s">
        <v>42</v>
      </c>
      <c r="I110" t="s">
        <v>20</v>
      </c>
      <c r="L110" t="str">
        <f t="shared" si="9"/>
        <v>07160925_1646</v>
      </c>
      <c r="M110" s="54" t="s">
        <v>2092</v>
      </c>
      <c r="N110" t="s">
        <v>2090</v>
      </c>
      <c r="O110">
        <v>150</v>
      </c>
      <c r="P110" t="s">
        <v>1924</v>
      </c>
      <c r="Q110">
        <f t="shared" si="5"/>
        <v>17</v>
      </c>
      <c r="T110" t="s">
        <v>1926</v>
      </c>
      <c r="V110" t="s">
        <v>1927</v>
      </c>
      <c r="W110" t="s">
        <v>2097</v>
      </c>
      <c r="Y110" t="str">
        <f t="shared" si="6"/>
        <v>| 07160925_1646 | -2 V | 2 V | 150 | Am-241  | 17 |  |  | 1000 start/1000 end  |  | Post 30 sec UV flash  | 33 kΩ resistor on QoFB line. 50 ms trace length by accident |</v>
      </c>
    </row>
    <row r="111" spans="1:25">
      <c r="A111" t="s">
        <v>2101</v>
      </c>
      <c r="B111" t="s">
        <v>17</v>
      </c>
      <c r="C111">
        <v>60</v>
      </c>
      <c r="D111" t="s">
        <v>41</v>
      </c>
      <c r="E111">
        <v>1000</v>
      </c>
      <c r="F111">
        <v>17</v>
      </c>
      <c r="G111" t="s">
        <v>18</v>
      </c>
      <c r="H111" t="s">
        <v>42</v>
      </c>
      <c r="I111" t="s">
        <v>20</v>
      </c>
      <c r="L111" t="str">
        <f t="shared" si="9"/>
        <v>07160925_1719</v>
      </c>
      <c r="M111" t="s">
        <v>1923</v>
      </c>
      <c r="N111" t="s">
        <v>1976</v>
      </c>
      <c r="O111">
        <v>150</v>
      </c>
      <c r="P111" t="s">
        <v>1924</v>
      </c>
      <c r="Q111">
        <f t="shared" si="5"/>
        <v>17</v>
      </c>
      <c r="T111" t="s">
        <v>1926</v>
      </c>
      <c r="V111" t="s">
        <v>1927</v>
      </c>
      <c r="W111" t="s">
        <v>2097</v>
      </c>
      <c r="Y111" t="str">
        <f t="shared" si="6"/>
        <v>| 07160925_1719 | 0 V  | 12 V  | 150 | Am-241  | 17 |  |  | 1000 start/1000 end  |  | Post 30 sec UV flash  | 33 kΩ resistor on QoFB line. 50 ms trace length by accident |</v>
      </c>
    </row>
    <row r="112" spans="1:25">
      <c r="A112" t="s">
        <v>2102</v>
      </c>
      <c r="B112" t="s">
        <v>17</v>
      </c>
      <c r="C112">
        <v>60</v>
      </c>
      <c r="D112" t="s">
        <v>41</v>
      </c>
      <c r="E112">
        <v>1000</v>
      </c>
      <c r="F112">
        <v>17</v>
      </c>
      <c r="G112" t="s">
        <v>18</v>
      </c>
      <c r="H112" t="s">
        <v>42</v>
      </c>
      <c r="I112" t="s">
        <v>20</v>
      </c>
      <c r="L112" t="str">
        <f t="shared" si="9"/>
        <v>07160925_1815</v>
      </c>
      <c r="M112" t="s">
        <v>1923</v>
      </c>
      <c r="N112" s="54" t="s">
        <v>1977</v>
      </c>
      <c r="O112">
        <v>150</v>
      </c>
      <c r="P112" t="s">
        <v>1924</v>
      </c>
      <c r="Q112">
        <f t="shared" si="5"/>
        <v>17</v>
      </c>
      <c r="T112" t="s">
        <v>1926</v>
      </c>
      <c r="V112" t="s">
        <v>1927</v>
      </c>
      <c r="W112" t="s">
        <v>2097</v>
      </c>
      <c r="Y112" t="str">
        <f t="shared" si="6"/>
        <v>| 07160925_1815 | 0 V  | -12 V | 150 | Am-241  | 17 |  |  | 1000 start/1000 end  |  | Post 30 sec UV flash  | 33 kΩ resistor on QoFB line. 50 ms trace length by accident |</v>
      </c>
    </row>
    <row r="113" spans="1:25">
      <c r="A113" t="s">
        <v>2103</v>
      </c>
      <c r="B113" t="s">
        <v>17</v>
      </c>
      <c r="C113">
        <v>60</v>
      </c>
      <c r="D113" t="s">
        <v>41</v>
      </c>
      <c r="E113">
        <v>1000</v>
      </c>
      <c r="F113">
        <v>17</v>
      </c>
      <c r="G113" t="s">
        <v>18</v>
      </c>
      <c r="H113" t="s">
        <v>42</v>
      </c>
      <c r="I113" t="s">
        <v>20</v>
      </c>
      <c r="L113" t="str">
        <f t="shared" si="9"/>
        <v>07160925_1843</v>
      </c>
      <c r="M113" t="s">
        <v>1923</v>
      </c>
      <c r="N113" t="s">
        <v>1992</v>
      </c>
      <c r="O113">
        <v>150</v>
      </c>
      <c r="P113" t="s">
        <v>1924</v>
      </c>
      <c r="Q113">
        <f t="shared" si="5"/>
        <v>17</v>
      </c>
      <c r="T113" t="s">
        <v>1926</v>
      </c>
      <c r="V113" t="s">
        <v>1927</v>
      </c>
      <c r="W113" t="s">
        <v>2097</v>
      </c>
      <c r="Y113" t="str">
        <f t="shared" si="6"/>
        <v>| 07160925_1843 | 0 V  | 11 V  | 150 | Am-241  | 17 |  |  | 1000 start/1000 end  |  | Post 30 sec UV flash  | 33 kΩ resistor on QoFB line. 50 ms trace length by accident |</v>
      </c>
    </row>
    <row r="114" spans="1:25">
      <c r="A114" t="s">
        <v>2104</v>
      </c>
      <c r="B114" t="s">
        <v>17</v>
      </c>
      <c r="C114">
        <v>60</v>
      </c>
      <c r="D114" t="s">
        <v>41</v>
      </c>
      <c r="E114">
        <v>1000</v>
      </c>
      <c r="F114">
        <v>17</v>
      </c>
      <c r="G114" t="s">
        <v>18</v>
      </c>
      <c r="H114" t="s">
        <v>42</v>
      </c>
      <c r="I114" t="s">
        <v>20</v>
      </c>
      <c r="L114" t="str">
        <f t="shared" si="9"/>
        <v>07160925_1921</v>
      </c>
      <c r="M114" t="s">
        <v>1923</v>
      </c>
      <c r="N114" s="54" t="s">
        <v>2105</v>
      </c>
      <c r="O114">
        <v>150</v>
      </c>
      <c r="P114" t="s">
        <v>1924</v>
      </c>
      <c r="Q114">
        <f t="shared" si="5"/>
        <v>17</v>
      </c>
      <c r="T114" t="s">
        <v>1926</v>
      </c>
      <c r="V114" t="s">
        <v>1927</v>
      </c>
      <c r="W114" t="s">
        <v>2097</v>
      </c>
      <c r="Y114" t="str">
        <f t="shared" si="6"/>
        <v>| 07160925_1921 | 0 V  | -11 V | 150 | Am-241  | 17 |  |  | 1000 start/1000 end  |  | Post 30 sec UV flash  | 33 kΩ resistor on QoFB line. 50 ms trace length by accident |</v>
      </c>
    </row>
    <row r="115" spans="1:25">
      <c r="A115" t="s">
        <v>2106</v>
      </c>
      <c r="B115" t="s">
        <v>17</v>
      </c>
      <c r="C115">
        <v>60</v>
      </c>
      <c r="D115" t="s">
        <v>41</v>
      </c>
      <c r="E115">
        <v>1000</v>
      </c>
      <c r="F115">
        <v>17</v>
      </c>
      <c r="G115" t="s">
        <v>18</v>
      </c>
      <c r="H115" t="s">
        <v>42</v>
      </c>
      <c r="I115" t="s">
        <v>20</v>
      </c>
      <c r="L115" t="str">
        <f t="shared" si="9"/>
        <v>07160925_1948</v>
      </c>
      <c r="M115" t="s">
        <v>1923</v>
      </c>
      <c r="N115" t="s">
        <v>2008</v>
      </c>
      <c r="O115">
        <v>150</v>
      </c>
      <c r="P115" t="s">
        <v>1924</v>
      </c>
      <c r="Q115">
        <f t="shared" si="5"/>
        <v>17</v>
      </c>
      <c r="T115" t="s">
        <v>1926</v>
      </c>
      <c r="V115" t="s">
        <v>1927</v>
      </c>
      <c r="W115" t="s">
        <v>2097</v>
      </c>
      <c r="Y115" t="str">
        <f t="shared" si="6"/>
        <v>| 07160925_1948 | 0 V  | 9 V  | 150 | Am-241  | 17 |  |  | 1000 start/1000 end  |  | Post 30 sec UV flash  | 33 kΩ resistor on QoFB line. 50 ms trace length by accident |</v>
      </c>
    </row>
    <row r="116" spans="1:25">
      <c r="A116" t="s">
        <v>2107</v>
      </c>
      <c r="B116" t="s">
        <v>17</v>
      </c>
      <c r="C116">
        <v>60</v>
      </c>
      <c r="D116" t="s">
        <v>41</v>
      </c>
      <c r="E116">
        <v>1000</v>
      </c>
      <c r="F116">
        <v>17</v>
      </c>
      <c r="G116" t="s">
        <v>18</v>
      </c>
      <c r="H116" t="s">
        <v>42</v>
      </c>
      <c r="I116" t="s">
        <v>20</v>
      </c>
      <c r="L116" t="str">
        <f t="shared" si="9"/>
        <v>07160925_2018</v>
      </c>
      <c r="M116" t="s">
        <v>1923</v>
      </c>
      <c r="N116" s="54" t="s">
        <v>2068</v>
      </c>
      <c r="O116">
        <v>150</v>
      </c>
      <c r="P116" t="s">
        <v>1924</v>
      </c>
      <c r="Q116">
        <f t="shared" si="5"/>
        <v>17</v>
      </c>
      <c r="T116" t="s">
        <v>1926</v>
      </c>
      <c r="V116" t="s">
        <v>1927</v>
      </c>
      <c r="W116" t="s">
        <v>2097</v>
      </c>
      <c r="Y116" t="str">
        <f t="shared" si="6"/>
        <v>| 07160925_2018 | 0 V  | -9 V | 150 | Am-241  | 17 |  |  | 1000 start/1000 end  |  | Post 30 sec UV flash  | 33 kΩ resistor on QoFB line. 50 ms trace length by accident |</v>
      </c>
    </row>
    <row r="117" spans="1:25">
      <c r="A117" t="s">
        <v>2108</v>
      </c>
      <c r="B117" t="s">
        <v>17</v>
      </c>
      <c r="C117">
        <v>60</v>
      </c>
      <c r="D117" t="s">
        <v>41</v>
      </c>
      <c r="E117">
        <v>1000</v>
      </c>
      <c r="F117">
        <v>17</v>
      </c>
      <c r="G117" t="s">
        <v>18</v>
      </c>
      <c r="H117" t="s">
        <v>42</v>
      </c>
      <c r="I117" t="s">
        <v>20</v>
      </c>
      <c r="L117" t="str">
        <f t="shared" si="9"/>
        <v>07160925_2046</v>
      </c>
      <c r="M117" t="s">
        <v>1923</v>
      </c>
      <c r="N117" t="s">
        <v>2033</v>
      </c>
      <c r="O117">
        <v>150</v>
      </c>
      <c r="P117" t="s">
        <v>1924</v>
      </c>
      <c r="Q117">
        <f t="shared" si="5"/>
        <v>17</v>
      </c>
      <c r="T117" t="s">
        <v>1926</v>
      </c>
      <c r="V117" t="s">
        <v>1927</v>
      </c>
      <c r="W117" t="s">
        <v>2097</v>
      </c>
      <c r="Y117" t="str">
        <f t="shared" si="6"/>
        <v>| 07160925_2046 | 0 V  | 7 V  | 150 | Am-241  | 17 |  |  | 1000 start/1000 end  |  | Post 30 sec UV flash  | 33 kΩ resistor on QoFB line. 50 ms trace length by accident |</v>
      </c>
    </row>
    <row r="118" spans="1:25">
      <c r="A118" t="s">
        <v>2109</v>
      </c>
      <c r="B118" t="s">
        <v>17</v>
      </c>
      <c r="C118">
        <v>60</v>
      </c>
      <c r="D118" t="s">
        <v>41</v>
      </c>
      <c r="E118">
        <v>1000</v>
      </c>
      <c r="F118">
        <v>17</v>
      </c>
      <c r="G118" t="s">
        <v>18</v>
      </c>
      <c r="H118" t="s">
        <v>42</v>
      </c>
      <c r="I118" t="s">
        <v>20</v>
      </c>
      <c r="L118" t="str">
        <f t="shared" si="9"/>
        <v>07160925_2116</v>
      </c>
      <c r="M118" t="s">
        <v>1923</v>
      </c>
      <c r="N118" s="54" t="s">
        <v>2075</v>
      </c>
      <c r="O118">
        <v>150</v>
      </c>
      <c r="P118" t="s">
        <v>1924</v>
      </c>
      <c r="Q118">
        <f t="shared" si="5"/>
        <v>17</v>
      </c>
      <c r="T118" t="s">
        <v>1926</v>
      </c>
      <c r="V118" t="s">
        <v>1927</v>
      </c>
      <c r="W118" t="s">
        <v>2097</v>
      </c>
      <c r="Y118" t="str">
        <f t="shared" si="6"/>
        <v>| 07160925_2116 | 0 V  | -7 V | 150 | Am-241  | 17 |  |  | 1000 start/1000 end  |  | Post 30 sec UV flash  | 33 kΩ resistor on QoFB line. 50 ms trace length by accident |</v>
      </c>
    </row>
    <row r="119" spans="1:25">
      <c r="A119" t="s">
        <v>2110</v>
      </c>
      <c r="B119" t="s">
        <v>17</v>
      </c>
      <c r="C119">
        <v>60</v>
      </c>
      <c r="D119" t="s">
        <v>41</v>
      </c>
      <c r="E119">
        <v>1000</v>
      </c>
      <c r="F119">
        <v>17</v>
      </c>
      <c r="G119" t="s">
        <v>18</v>
      </c>
      <c r="H119" t="s">
        <v>42</v>
      </c>
      <c r="I119" t="s">
        <v>20</v>
      </c>
      <c r="L119" t="str">
        <f t="shared" si="9"/>
        <v>07160925_2145</v>
      </c>
      <c r="M119" t="s">
        <v>1923</v>
      </c>
      <c r="N119" t="s">
        <v>2080</v>
      </c>
      <c r="O119">
        <v>150</v>
      </c>
      <c r="P119" t="s">
        <v>1924</v>
      </c>
      <c r="Q119">
        <f t="shared" si="5"/>
        <v>17</v>
      </c>
      <c r="T119" t="s">
        <v>1926</v>
      </c>
      <c r="V119" t="s">
        <v>1927</v>
      </c>
      <c r="W119" t="s">
        <v>2097</v>
      </c>
      <c r="Y119" t="str">
        <f t="shared" si="6"/>
        <v>| 07160925_2145 | 0 V  | 5 V | 150 | Am-241  | 17 |  |  | 1000 start/1000 end  |  | Post 30 sec UV flash  | 33 kΩ resistor on QoFB line. 50 ms trace length by accident |</v>
      </c>
    </row>
    <row r="120" spans="1:25">
      <c r="A120" t="s">
        <v>2111</v>
      </c>
      <c r="B120" t="s">
        <v>17</v>
      </c>
      <c r="C120">
        <v>60</v>
      </c>
      <c r="D120" t="s">
        <v>41</v>
      </c>
      <c r="E120">
        <v>1000</v>
      </c>
      <c r="F120">
        <v>17</v>
      </c>
      <c r="G120" t="s">
        <v>18</v>
      </c>
      <c r="H120" t="s">
        <v>42</v>
      </c>
      <c r="I120" t="s">
        <v>20</v>
      </c>
      <c r="L120" t="str">
        <f t="shared" si="9"/>
        <v>07160925_2213</v>
      </c>
      <c r="M120" t="s">
        <v>1923</v>
      </c>
      <c r="N120" s="54" t="s">
        <v>2082</v>
      </c>
      <c r="O120">
        <v>150</v>
      </c>
      <c r="P120" t="s">
        <v>1924</v>
      </c>
      <c r="Q120">
        <f t="shared" si="5"/>
        <v>17</v>
      </c>
      <c r="T120" t="s">
        <v>1926</v>
      </c>
      <c r="V120" t="s">
        <v>1927</v>
      </c>
      <c r="W120" t="s">
        <v>2097</v>
      </c>
      <c r="Y120" t="str">
        <f t="shared" si="6"/>
        <v>| 07160925_2213 | 0 V  | -5 V | 150 | Am-241  | 17 |  |  | 1000 start/1000 end  |  | Post 30 sec UV flash  | 33 kΩ resistor on QoFB line. 50 ms trace length by accident |</v>
      </c>
    </row>
    <row r="121" spans="1:25">
      <c r="A121" t="s">
        <v>2112</v>
      </c>
      <c r="B121" t="s">
        <v>17</v>
      </c>
      <c r="C121">
        <v>60</v>
      </c>
      <c r="D121" t="s">
        <v>41</v>
      </c>
      <c r="E121">
        <v>1000</v>
      </c>
      <c r="F121">
        <v>17</v>
      </c>
      <c r="G121" t="s">
        <v>18</v>
      </c>
      <c r="H121" t="s">
        <v>42</v>
      </c>
      <c r="I121" t="s">
        <v>20</v>
      </c>
      <c r="L121" t="str">
        <f t="shared" si="9"/>
        <v>07160925_2243</v>
      </c>
      <c r="M121" t="s">
        <v>1923</v>
      </c>
      <c r="N121" t="s">
        <v>2086</v>
      </c>
      <c r="O121">
        <v>150</v>
      </c>
      <c r="P121" t="s">
        <v>1924</v>
      </c>
      <c r="Q121">
        <f t="shared" si="5"/>
        <v>17</v>
      </c>
      <c r="T121" t="s">
        <v>1926</v>
      </c>
      <c r="V121" t="s">
        <v>1927</v>
      </c>
      <c r="W121" t="s">
        <v>2097</v>
      </c>
      <c r="Y121" t="str">
        <f t="shared" si="6"/>
        <v>| 07160925_2243 | 0 V  | 3 V | 150 | Am-241  | 17 |  |  | 1000 start/1000 end  |  | Post 30 sec UV flash  | 33 kΩ resistor on QoFB line. 50 ms trace length by accident |</v>
      </c>
    </row>
    <row r="122" spans="1:25">
      <c r="A122" t="s">
        <v>2113</v>
      </c>
      <c r="B122" t="s">
        <v>17</v>
      </c>
      <c r="C122">
        <v>60</v>
      </c>
      <c r="D122" t="s">
        <v>41</v>
      </c>
      <c r="E122">
        <v>1000</v>
      </c>
      <c r="F122">
        <v>17</v>
      </c>
      <c r="G122" t="s">
        <v>18</v>
      </c>
      <c r="H122" t="s">
        <v>42</v>
      </c>
      <c r="I122" t="s">
        <v>20</v>
      </c>
      <c r="L122" t="str">
        <f t="shared" si="9"/>
        <v>07160925_2311</v>
      </c>
      <c r="M122" t="s">
        <v>1923</v>
      </c>
      <c r="N122" s="54" t="s">
        <v>2088</v>
      </c>
      <c r="O122">
        <v>150</v>
      </c>
      <c r="P122" t="s">
        <v>1924</v>
      </c>
      <c r="Q122">
        <f t="shared" si="5"/>
        <v>17</v>
      </c>
      <c r="T122" t="s">
        <v>1926</v>
      </c>
      <c r="V122" t="s">
        <v>1927</v>
      </c>
      <c r="W122" t="s">
        <v>2097</v>
      </c>
      <c r="Y122" t="str">
        <f t="shared" si="6"/>
        <v>| 07160925_2311 | 0 V  | -3 V | 150 | Am-241  | 17 |  |  | 1000 start/1000 end  |  | Post 30 sec UV flash  | 33 kΩ resistor on QoFB line. 50 ms trace length by accident |</v>
      </c>
    </row>
    <row r="123" spans="1:25">
      <c r="A123" t="s">
        <v>2114</v>
      </c>
      <c r="B123" t="s">
        <v>17</v>
      </c>
      <c r="C123">
        <v>60</v>
      </c>
      <c r="D123" t="s">
        <v>41</v>
      </c>
      <c r="E123">
        <v>1000</v>
      </c>
      <c r="F123">
        <v>32</v>
      </c>
      <c r="G123" t="s">
        <v>18</v>
      </c>
      <c r="H123" t="s">
        <v>42</v>
      </c>
      <c r="I123" t="s">
        <v>20</v>
      </c>
      <c r="J123">
        <v>1</v>
      </c>
      <c r="L123" t="s">
        <v>2115</v>
      </c>
      <c r="M123" t="s">
        <v>1976</v>
      </c>
      <c r="N123" t="s">
        <v>1983</v>
      </c>
      <c r="O123">
        <v>150</v>
      </c>
      <c r="P123" t="s">
        <v>1924</v>
      </c>
      <c r="Q123">
        <v>32</v>
      </c>
      <c r="T123" t="s">
        <v>1926</v>
      </c>
      <c r="V123" t="s">
        <v>2116</v>
      </c>
      <c r="W123" t="s">
        <v>2117</v>
      </c>
    </row>
    <row r="124" spans="1:25">
      <c r="A124" t="s">
        <v>2118</v>
      </c>
      <c r="B124" t="s">
        <v>17</v>
      </c>
      <c r="C124">
        <v>60</v>
      </c>
      <c r="D124" t="s">
        <v>41</v>
      </c>
      <c r="E124">
        <v>1000</v>
      </c>
      <c r="F124">
        <v>32</v>
      </c>
      <c r="G124" t="s">
        <v>18</v>
      </c>
      <c r="H124" t="s">
        <v>42</v>
      </c>
      <c r="I124" t="s">
        <v>20</v>
      </c>
      <c r="L124" t="s">
        <v>2119</v>
      </c>
      <c r="M124" t="s">
        <v>1976</v>
      </c>
      <c r="N124" t="s">
        <v>1983</v>
      </c>
      <c r="O124">
        <v>150</v>
      </c>
      <c r="P124" t="s">
        <v>1924</v>
      </c>
      <c r="Q124">
        <v>32</v>
      </c>
      <c r="T124" t="s">
        <v>1926</v>
      </c>
      <c r="V124" t="s">
        <v>1927</v>
      </c>
      <c r="W124" t="s">
        <v>2117</v>
      </c>
    </row>
    <row r="125" spans="1:25">
      <c r="A125" t="s">
        <v>2120</v>
      </c>
      <c r="B125" t="s">
        <v>17</v>
      </c>
      <c r="C125">
        <v>60</v>
      </c>
      <c r="D125" t="s">
        <v>41</v>
      </c>
      <c r="E125">
        <v>1000</v>
      </c>
      <c r="F125">
        <v>2</v>
      </c>
      <c r="G125" t="s">
        <v>18</v>
      </c>
      <c r="H125" t="s">
        <v>42</v>
      </c>
      <c r="I125" t="s">
        <v>20</v>
      </c>
      <c r="L125" t="str">
        <f>A125</f>
        <v>07160926_1231</v>
      </c>
      <c r="Q125">
        <f>F125</f>
        <v>2</v>
      </c>
    </row>
    <row r="126" spans="1:25">
      <c r="A126" t="s">
        <v>2121</v>
      </c>
      <c r="B126" t="s">
        <v>17</v>
      </c>
      <c r="C126">
        <v>60</v>
      </c>
      <c r="D126" t="s">
        <v>41</v>
      </c>
      <c r="E126">
        <v>1000</v>
      </c>
      <c r="F126">
        <v>32</v>
      </c>
      <c r="G126" t="s">
        <v>18</v>
      </c>
      <c r="H126" t="s">
        <v>42</v>
      </c>
      <c r="I126" t="s">
        <v>20</v>
      </c>
      <c r="J126">
        <v>2</v>
      </c>
      <c r="L126" t="s">
        <v>2122</v>
      </c>
      <c r="M126" t="s">
        <v>2123</v>
      </c>
      <c r="N126" t="s">
        <v>1932</v>
      </c>
      <c r="O126">
        <v>150</v>
      </c>
      <c r="P126" t="s">
        <v>1924</v>
      </c>
      <c r="Q126">
        <v>32</v>
      </c>
      <c r="T126" t="s">
        <v>1926</v>
      </c>
      <c r="V126" t="s">
        <v>1927</v>
      </c>
      <c r="W126" t="s">
        <v>2124</v>
      </c>
    </row>
    <row r="127" spans="1:25">
      <c r="A127" t="s">
        <v>2125</v>
      </c>
      <c r="B127" t="s">
        <v>17</v>
      </c>
      <c r="C127">
        <v>60</v>
      </c>
      <c r="D127" t="s">
        <v>41</v>
      </c>
      <c r="E127">
        <v>1000</v>
      </c>
      <c r="F127">
        <v>26</v>
      </c>
      <c r="G127" t="s">
        <v>18</v>
      </c>
      <c r="H127" t="s">
        <v>42</v>
      </c>
      <c r="I127" t="s">
        <v>20</v>
      </c>
      <c r="J127">
        <v>3</v>
      </c>
      <c r="L127" t="s">
        <v>2126</v>
      </c>
      <c r="M127" t="s">
        <v>2123</v>
      </c>
      <c r="N127" t="s">
        <v>1932</v>
      </c>
      <c r="O127">
        <v>150</v>
      </c>
      <c r="P127" t="s">
        <v>1924</v>
      </c>
      <c r="Q127">
        <v>32</v>
      </c>
      <c r="T127" t="s">
        <v>1926</v>
      </c>
      <c r="V127" t="s">
        <v>1927</v>
      </c>
      <c r="W127" t="s">
        <v>2124</v>
      </c>
    </row>
    <row r="128" spans="1:25">
      <c r="A128" t="s">
        <v>2127</v>
      </c>
      <c r="B128" t="s">
        <v>17</v>
      </c>
      <c r="C128">
        <v>60</v>
      </c>
      <c r="D128" t="s">
        <v>41</v>
      </c>
      <c r="E128">
        <v>1000</v>
      </c>
      <c r="F128">
        <v>32</v>
      </c>
      <c r="G128" t="s">
        <v>18</v>
      </c>
      <c r="H128" t="s">
        <v>42</v>
      </c>
      <c r="I128" t="s">
        <v>20</v>
      </c>
      <c r="K128" t="str">
        <f>""""&amp;L128&amp;""""</f>
        <v>"07160927_1151"</v>
      </c>
      <c r="L128" t="str">
        <f>A128</f>
        <v>07160927_1151</v>
      </c>
      <c r="M128" t="s">
        <v>2123</v>
      </c>
      <c r="N128" t="s">
        <v>1932</v>
      </c>
      <c r="O128">
        <v>300</v>
      </c>
      <c r="P128" t="s">
        <v>1924</v>
      </c>
      <c r="Q128">
        <v>32</v>
      </c>
      <c r="T128" t="s">
        <v>1926</v>
      </c>
      <c r="V128" t="s">
        <v>1942</v>
      </c>
      <c r="W128" t="s">
        <v>2128</v>
      </c>
    </row>
    <row r="129" spans="1:25">
      <c r="A129" t="s">
        <v>2129</v>
      </c>
      <c r="B129" t="s">
        <v>17</v>
      </c>
      <c r="C129">
        <v>60</v>
      </c>
      <c r="D129" t="s">
        <v>41</v>
      </c>
      <c r="E129">
        <v>1000</v>
      </c>
      <c r="F129">
        <v>31</v>
      </c>
      <c r="G129" t="s">
        <v>18</v>
      </c>
      <c r="H129" t="s">
        <v>42</v>
      </c>
      <c r="I129" t="s">
        <v>20</v>
      </c>
      <c r="K129" t="str">
        <f>K128&amp;", """&amp;L129&amp;""""</f>
        <v>"07160927_1151", "07160927_1238"</v>
      </c>
      <c r="L129" t="str">
        <f>A129</f>
        <v>07160927_1238</v>
      </c>
      <c r="M129" t="s">
        <v>2123</v>
      </c>
      <c r="N129" t="s">
        <v>1932</v>
      </c>
      <c r="O129">
        <v>300</v>
      </c>
      <c r="P129" t="s">
        <v>1924</v>
      </c>
      <c r="Q129">
        <v>31</v>
      </c>
      <c r="T129" t="s">
        <v>1926</v>
      </c>
      <c r="V129" t="s">
        <v>1942</v>
      </c>
      <c r="W129" t="s">
        <v>2128</v>
      </c>
    </row>
    <row r="130" spans="1:25">
      <c r="A130" t="s">
        <v>2130</v>
      </c>
      <c r="B130" t="s">
        <v>17</v>
      </c>
      <c r="C130">
        <v>60</v>
      </c>
      <c r="D130" t="s">
        <v>41</v>
      </c>
      <c r="E130">
        <v>1000</v>
      </c>
      <c r="F130">
        <v>31</v>
      </c>
      <c r="G130" t="s">
        <v>18</v>
      </c>
      <c r="H130" t="s">
        <v>42</v>
      </c>
      <c r="I130" t="s">
        <v>20</v>
      </c>
      <c r="K130" t="str">
        <f>K129&amp;", """&amp;L130&amp;""""</f>
        <v>"07160927_1151", "07160927_1238", "07160927_1326"</v>
      </c>
      <c r="L130" t="str">
        <f>A130</f>
        <v>07160927_1326</v>
      </c>
      <c r="M130" t="s">
        <v>2131</v>
      </c>
      <c r="N130" t="s">
        <v>1932</v>
      </c>
      <c r="O130">
        <v>300</v>
      </c>
      <c r="P130" t="s">
        <v>1924</v>
      </c>
      <c r="Q130">
        <v>31</v>
      </c>
      <c r="T130" t="s">
        <v>1926</v>
      </c>
      <c r="V130" t="s">
        <v>1942</v>
      </c>
      <c r="W130" t="s">
        <v>2128</v>
      </c>
    </row>
    <row r="131" spans="1:25">
      <c r="A131" t="s">
        <v>2132</v>
      </c>
      <c r="B131" t="s">
        <v>17</v>
      </c>
      <c r="C131">
        <v>60</v>
      </c>
      <c r="D131" t="s">
        <v>41</v>
      </c>
      <c r="E131">
        <v>1000</v>
      </c>
      <c r="F131">
        <v>47</v>
      </c>
      <c r="G131" t="s">
        <v>18</v>
      </c>
      <c r="H131" t="s">
        <v>42</v>
      </c>
      <c r="I131" t="s">
        <v>20</v>
      </c>
      <c r="K131" t="str">
        <f>K130&amp;", """&amp;L131&amp;""""</f>
        <v>"07160927_1151", "07160927_1238", "07160927_1326", "07160927_1418"</v>
      </c>
      <c r="L131" t="str">
        <f>A131</f>
        <v>07160927_1418</v>
      </c>
      <c r="M131" t="s">
        <v>2131</v>
      </c>
      <c r="N131" t="s">
        <v>1932</v>
      </c>
      <c r="O131">
        <v>300</v>
      </c>
      <c r="P131" t="s">
        <v>1924</v>
      </c>
      <c r="Q131">
        <v>47</v>
      </c>
      <c r="T131" t="s">
        <v>1926</v>
      </c>
      <c r="V131" t="s">
        <v>1942</v>
      </c>
      <c r="W131" t="s">
        <v>2128</v>
      </c>
    </row>
    <row r="132" spans="1:25">
      <c r="A132" t="s">
        <v>2133</v>
      </c>
      <c r="B132" t="s">
        <v>17</v>
      </c>
      <c r="C132">
        <v>60</v>
      </c>
      <c r="D132" t="s">
        <v>41</v>
      </c>
      <c r="E132">
        <v>1000</v>
      </c>
      <c r="F132">
        <v>47</v>
      </c>
      <c r="G132" t="s">
        <v>18</v>
      </c>
      <c r="H132" t="s">
        <v>42</v>
      </c>
      <c r="I132" t="s">
        <v>20</v>
      </c>
      <c r="K132" t="str">
        <f>K131&amp;", """&amp;L132&amp;""""</f>
        <v>"07160927_1151", "07160927_1238", "07160927_1326", "07160927_1418", "07160927_1519"</v>
      </c>
      <c r="L132" t="str">
        <f>A132</f>
        <v>07160927_1519</v>
      </c>
      <c r="M132" t="s">
        <v>2134</v>
      </c>
      <c r="N132" t="s">
        <v>1932</v>
      </c>
      <c r="O132">
        <v>300</v>
      </c>
      <c r="P132" t="s">
        <v>1924</v>
      </c>
      <c r="Q132">
        <v>47</v>
      </c>
      <c r="T132" t="s">
        <v>1926</v>
      </c>
      <c r="V132" t="s">
        <v>1942</v>
      </c>
      <c r="W132" t="s">
        <v>2128</v>
      </c>
    </row>
    <row r="133" spans="1:25">
      <c r="A133" t="s">
        <v>2135</v>
      </c>
      <c r="B133" t="s">
        <v>17</v>
      </c>
      <c r="C133">
        <v>60</v>
      </c>
      <c r="D133" t="s">
        <v>41</v>
      </c>
      <c r="E133">
        <v>1000</v>
      </c>
      <c r="F133">
        <v>4</v>
      </c>
      <c r="G133" t="s">
        <v>2136</v>
      </c>
      <c r="H133" t="s">
        <v>42</v>
      </c>
      <c r="I133" t="s">
        <v>20</v>
      </c>
      <c r="X133" t="s">
        <v>2137</v>
      </c>
    </row>
    <row r="134" spans="1:25">
      <c r="A134" t="s">
        <v>2138</v>
      </c>
      <c r="B134" t="s">
        <v>17</v>
      </c>
      <c r="C134">
        <v>60</v>
      </c>
      <c r="D134" t="s">
        <v>41</v>
      </c>
      <c r="E134">
        <v>1000</v>
      </c>
      <c r="F134">
        <v>2</v>
      </c>
      <c r="G134" t="s">
        <v>2136</v>
      </c>
      <c r="H134" t="s">
        <v>42</v>
      </c>
      <c r="I134" t="s">
        <v>20</v>
      </c>
    </row>
    <row r="135" spans="1:25">
      <c r="A135" t="s">
        <v>2139</v>
      </c>
      <c r="B135" t="s">
        <v>17</v>
      </c>
      <c r="C135">
        <v>60</v>
      </c>
      <c r="D135" t="s">
        <v>41</v>
      </c>
      <c r="E135">
        <v>1000</v>
      </c>
      <c r="F135">
        <v>62</v>
      </c>
      <c r="G135" t="s">
        <v>18</v>
      </c>
      <c r="H135" t="s">
        <v>42</v>
      </c>
      <c r="I135" t="s">
        <v>20</v>
      </c>
    </row>
    <row r="136" spans="1:25">
      <c r="A136" t="s">
        <v>2140</v>
      </c>
      <c r="B136" t="s">
        <v>17</v>
      </c>
      <c r="C136">
        <v>60</v>
      </c>
      <c r="D136" t="s">
        <v>41</v>
      </c>
      <c r="E136">
        <v>1000</v>
      </c>
      <c r="F136">
        <v>63</v>
      </c>
      <c r="G136" t="s">
        <v>18</v>
      </c>
      <c r="H136" t="s">
        <v>42</v>
      </c>
      <c r="I136" t="s">
        <v>20</v>
      </c>
      <c r="L136" t="s">
        <v>2141</v>
      </c>
      <c r="M136" t="s">
        <v>2134</v>
      </c>
      <c r="N136" t="s">
        <v>1932</v>
      </c>
      <c r="O136">
        <v>300</v>
      </c>
      <c r="P136" t="s">
        <v>1924</v>
      </c>
      <c r="Q136">
        <v>63</v>
      </c>
      <c r="T136" t="s">
        <v>1926</v>
      </c>
      <c r="V136" t="s">
        <v>1942</v>
      </c>
      <c r="W136" t="s">
        <v>2142</v>
      </c>
    </row>
    <row r="137" spans="1:25">
      <c r="A137" t="s">
        <v>2143</v>
      </c>
      <c r="B137" t="s">
        <v>17</v>
      </c>
      <c r="C137">
        <v>60</v>
      </c>
      <c r="D137" t="s">
        <v>41</v>
      </c>
      <c r="E137">
        <v>1000</v>
      </c>
      <c r="F137">
        <v>13</v>
      </c>
      <c r="G137" t="s">
        <v>18</v>
      </c>
      <c r="H137" t="s">
        <v>42</v>
      </c>
      <c r="I137" t="s">
        <v>20</v>
      </c>
      <c r="L137" t="s">
        <v>2144</v>
      </c>
      <c r="M137" t="s">
        <v>2145</v>
      </c>
      <c r="N137" t="s">
        <v>1932</v>
      </c>
      <c r="O137">
        <v>300</v>
      </c>
      <c r="P137" t="s">
        <v>1924</v>
      </c>
      <c r="Q137">
        <v>13</v>
      </c>
      <c r="T137" t="s">
        <v>1926</v>
      </c>
      <c r="V137" t="s">
        <v>1942</v>
      </c>
      <c r="W137" t="s">
        <v>2146</v>
      </c>
    </row>
    <row r="138" spans="1:25">
      <c r="A138" t="s">
        <v>2147</v>
      </c>
      <c r="B138" t="s">
        <v>17</v>
      </c>
      <c r="C138">
        <v>60</v>
      </c>
      <c r="D138" t="s">
        <v>41</v>
      </c>
      <c r="E138">
        <v>0</v>
      </c>
      <c r="F138">
        <v>24</v>
      </c>
      <c r="G138" t="s">
        <v>18</v>
      </c>
      <c r="H138" t="s">
        <v>42</v>
      </c>
      <c r="I138" t="s">
        <v>20</v>
      </c>
      <c r="L138" t="s">
        <v>2148</v>
      </c>
      <c r="M138" t="s">
        <v>2145</v>
      </c>
      <c r="N138" t="s">
        <v>1932</v>
      </c>
      <c r="O138">
        <v>300</v>
      </c>
      <c r="P138" t="s">
        <v>1924</v>
      </c>
      <c r="Q138">
        <v>24</v>
      </c>
      <c r="T138" t="s">
        <v>2149</v>
      </c>
      <c r="V138" t="s">
        <v>1942</v>
      </c>
      <c r="W138" t="s">
        <v>2146</v>
      </c>
    </row>
    <row r="139" spans="1:25">
      <c r="A139" t="s">
        <v>2150</v>
      </c>
      <c r="B139" t="s">
        <v>17</v>
      </c>
      <c r="C139">
        <v>60</v>
      </c>
      <c r="D139" t="s">
        <v>41</v>
      </c>
      <c r="E139">
        <v>1000</v>
      </c>
      <c r="F139">
        <v>8</v>
      </c>
      <c r="G139" t="s">
        <v>18</v>
      </c>
      <c r="H139" t="s">
        <v>42</v>
      </c>
      <c r="I139" t="s">
        <v>20</v>
      </c>
    </row>
    <row r="140" spans="1:25">
      <c r="A140" t="s">
        <v>2151</v>
      </c>
      <c r="B140" t="s">
        <v>17</v>
      </c>
      <c r="C140">
        <v>60</v>
      </c>
      <c r="D140" t="s">
        <v>41</v>
      </c>
      <c r="E140">
        <v>1000</v>
      </c>
      <c r="F140">
        <v>6</v>
      </c>
      <c r="G140" t="s">
        <v>18</v>
      </c>
      <c r="H140" t="s">
        <v>42</v>
      </c>
      <c r="I140" t="s">
        <v>20</v>
      </c>
    </row>
    <row r="141" spans="1:25">
      <c r="A141" t="s">
        <v>2152</v>
      </c>
      <c r="B141" t="s">
        <v>17</v>
      </c>
      <c r="C141">
        <v>60</v>
      </c>
      <c r="D141" t="s">
        <v>41</v>
      </c>
      <c r="E141">
        <v>1000</v>
      </c>
      <c r="F141">
        <v>31</v>
      </c>
      <c r="G141" t="s">
        <v>18</v>
      </c>
      <c r="H141" t="s">
        <v>42</v>
      </c>
      <c r="I141" t="s">
        <v>20</v>
      </c>
      <c r="L141" t="s">
        <v>2153</v>
      </c>
      <c r="M141" t="s">
        <v>2145</v>
      </c>
      <c r="N141" t="s">
        <v>1932</v>
      </c>
      <c r="O141">
        <v>300</v>
      </c>
      <c r="P141" t="s">
        <v>1924</v>
      </c>
      <c r="Q141">
        <v>31</v>
      </c>
      <c r="T141" t="s">
        <v>1926</v>
      </c>
      <c r="V141" t="s">
        <v>1942</v>
      </c>
      <c r="W141" t="s">
        <v>2128</v>
      </c>
    </row>
    <row r="142" spans="1:25">
      <c r="A142" t="s">
        <v>2154</v>
      </c>
      <c r="B142" t="s">
        <v>17</v>
      </c>
      <c r="C142">
        <v>60</v>
      </c>
      <c r="D142" t="s">
        <v>41</v>
      </c>
      <c r="E142">
        <v>1000</v>
      </c>
      <c r="F142">
        <v>21</v>
      </c>
      <c r="G142" t="s">
        <v>18</v>
      </c>
      <c r="H142" t="s">
        <v>42</v>
      </c>
      <c r="I142" t="s">
        <v>20</v>
      </c>
      <c r="L142" t="s">
        <v>2155</v>
      </c>
      <c r="M142" t="s">
        <v>2156</v>
      </c>
      <c r="N142" t="s">
        <v>1932</v>
      </c>
      <c r="O142">
        <v>300</v>
      </c>
      <c r="P142" t="s">
        <v>1924</v>
      </c>
      <c r="Q142">
        <v>21</v>
      </c>
      <c r="T142" t="s">
        <v>1926</v>
      </c>
      <c r="V142" t="s">
        <v>1942</v>
      </c>
      <c r="W142" t="s">
        <v>2128</v>
      </c>
    </row>
    <row r="143" spans="1:25">
      <c r="A143" t="s">
        <v>2157</v>
      </c>
      <c r="B143" t="s">
        <v>17</v>
      </c>
      <c r="C143">
        <v>60</v>
      </c>
      <c r="D143" t="s">
        <v>41</v>
      </c>
      <c r="E143">
        <v>1000</v>
      </c>
      <c r="F143">
        <v>23</v>
      </c>
      <c r="G143" t="s">
        <v>18</v>
      </c>
      <c r="H143" t="s">
        <v>42</v>
      </c>
      <c r="I143" t="s">
        <v>20</v>
      </c>
      <c r="K143" t="s">
        <v>2158</v>
      </c>
      <c r="L143" t="str">
        <f>A143</f>
        <v>07160928_0910</v>
      </c>
      <c r="M143" t="s">
        <v>2159</v>
      </c>
      <c r="N143" s="54" t="s">
        <v>1977</v>
      </c>
      <c r="O143">
        <v>300</v>
      </c>
      <c r="P143" t="s">
        <v>1924</v>
      </c>
      <c r="Q143">
        <f>F143</f>
        <v>23</v>
      </c>
      <c r="T143" t="s">
        <v>1926</v>
      </c>
      <c r="U143" t="s">
        <v>2160</v>
      </c>
      <c r="W143" t="s">
        <v>2128</v>
      </c>
      <c r="Y143" t="str">
        <f t="shared" ref="Y143:Y155" si="10">"| "&amp;L143&amp;" | "&amp;M143&amp;" | "&amp;N143&amp;" | "&amp;O143&amp;" | "&amp;P143&amp;" | "&amp;Q143&amp;" | "&amp;R143&amp;" | "&amp;S143&amp;" | "&amp;T143&amp;" | "&amp;U143&amp;" | "&amp;V143&amp;" | "&amp;W143&amp;" |"</f>
        <v>| 07160928_0910 | 12 V | -12 V | 300 | Am-241  | 23 |  |  | 1000 start/1000 end  | ~1 hour post 8 hour IR bake  |  | 33 kΩ resistor on QoFB line.  |</v>
      </c>
    </row>
    <row r="144" spans="1:25">
      <c r="A144" t="s">
        <v>2161</v>
      </c>
      <c r="B144" t="s">
        <v>17</v>
      </c>
      <c r="C144">
        <v>60</v>
      </c>
      <c r="D144" t="s">
        <v>41</v>
      </c>
      <c r="E144">
        <v>1000</v>
      </c>
      <c r="F144">
        <v>23</v>
      </c>
      <c r="G144" t="s">
        <v>18</v>
      </c>
      <c r="H144" t="s">
        <v>42</v>
      </c>
      <c r="I144" t="s">
        <v>20</v>
      </c>
      <c r="L144" t="str">
        <f t="shared" ref="L144:L155" si="11">A144</f>
        <v>07160928_0951</v>
      </c>
      <c r="M144" t="s">
        <v>2159</v>
      </c>
      <c r="N144" s="54" t="s">
        <v>1977</v>
      </c>
      <c r="O144">
        <v>300</v>
      </c>
      <c r="P144" t="s">
        <v>1924</v>
      </c>
      <c r="Q144">
        <f t="shared" ref="Q144:Q155" si="12">F144</f>
        <v>23</v>
      </c>
      <c r="T144" t="s">
        <v>1926</v>
      </c>
      <c r="V144" t="s">
        <v>1942</v>
      </c>
      <c r="W144" t="s">
        <v>2128</v>
      </c>
      <c r="Y144" t="str">
        <f t="shared" si="10"/>
        <v>| 07160928_0951 | 12 V | -12 V | 300 | Am-241  | 23 |  |  | 1000 start/1000 end  |  | Post 30 sec IR flash  | 33 kΩ resistor on QoFB line.  |</v>
      </c>
    </row>
    <row r="145" spans="1:25">
      <c r="A145" t="s">
        <v>2162</v>
      </c>
      <c r="B145" t="s">
        <v>17</v>
      </c>
      <c r="C145">
        <v>60</v>
      </c>
      <c r="D145" t="s">
        <v>41</v>
      </c>
      <c r="E145">
        <v>1000</v>
      </c>
      <c r="F145">
        <v>22</v>
      </c>
      <c r="G145" t="s">
        <v>18</v>
      </c>
      <c r="H145" t="s">
        <v>42</v>
      </c>
      <c r="I145" t="s">
        <v>20</v>
      </c>
      <c r="L145" t="str">
        <f t="shared" si="11"/>
        <v>07160928_1026</v>
      </c>
      <c r="M145" t="s">
        <v>2159</v>
      </c>
      <c r="N145" s="54" t="s">
        <v>1977</v>
      </c>
      <c r="O145">
        <v>300</v>
      </c>
      <c r="P145" t="s">
        <v>1924</v>
      </c>
      <c r="Q145">
        <f t="shared" si="12"/>
        <v>22</v>
      </c>
      <c r="T145" t="s">
        <v>1926</v>
      </c>
      <c r="V145" t="s">
        <v>1942</v>
      </c>
      <c r="W145" t="s">
        <v>2128</v>
      </c>
      <c r="Y145" t="str">
        <f t="shared" si="10"/>
        <v>| 07160928_1026 | 12 V | -12 V | 300 | Am-241  | 22 |  |  | 1000 start/1000 end  |  | Post 30 sec IR flash  | 33 kΩ resistor on QoFB line.  |</v>
      </c>
    </row>
    <row r="146" spans="1:25">
      <c r="A146" t="s">
        <v>2163</v>
      </c>
      <c r="B146" t="s">
        <v>17</v>
      </c>
      <c r="C146">
        <v>60</v>
      </c>
      <c r="D146" t="s">
        <v>41</v>
      </c>
      <c r="E146">
        <v>1000</v>
      </c>
      <c r="F146">
        <v>22</v>
      </c>
      <c r="G146" t="s">
        <v>18</v>
      </c>
      <c r="H146" t="s">
        <v>42</v>
      </c>
      <c r="I146" t="s">
        <v>20</v>
      </c>
      <c r="L146" t="str">
        <f t="shared" si="11"/>
        <v>07160928_1100</v>
      </c>
      <c r="M146" t="s">
        <v>2159</v>
      </c>
      <c r="N146" s="54" t="s">
        <v>1977</v>
      </c>
      <c r="O146">
        <v>300</v>
      </c>
      <c r="P146" t="s">
        <v>1924</v>
      </c>
      <c r="Q146">
        <f t="shared" si="12"/>
        <v>22</v>
      </c>
      <c r="T146" t="s">
        <v>1926</v>
      </c>
      <c r="V146" t="s">
        <v>1942</v>
      </c>
      <c r="W146" t="s">
        <v>2128</v>
      </c>
      <c r="Y146" t="str">
        <f t="shared" si="10"/>
        <v>| 07160928_1100 | 12 V | -12 V | 300 | Am-241  | 22 |  |  | 1000 start/1000 end  |  | Post 30 sec IR flash  | 33 kΩ resistor on QoFB line.  |</v>
      </c>
    </row>
    <row r="147" spans="1:25">
      <c r="A147" t="s">
        <v>2164</v>
      </c>
      <c r="B147" t="s">
        <v>17</v>
      </c>
      <c r="C147">
        <v>60</v>
      </c>
      <c r="D147" t="s">
        <v>41</v>
      </c>
      <c r="E147">
        <v>1000</v>
      </c>
      <c r="F147">
        <v>22</v>
      </c>
      <c r="G147" t="s">
        <v>18</v>
      </c>
      <c r="H147" t="s">
        <v>42</v>
      </c>
      <c r="I147" t="s">
        <v>20</v>
      </c>
      <c r="L147" t="str">
        <f t="shared" si="11"/>
        <v>07160928_1135</v>
      </c>
      <c r="M147" t="s">
        <v>2159</v>
      </c>
      <c r="N147" s="54" t="s">
        <v>1977</v>
      </c>
      <c r="O147">
        <v>200</v>
      </c>
      <c r="P147" t="s">
        <v>1924</v>
      </c>
      <c r="Q147">
        <f t="shared" si="12"/>
        <v>22</v>
      </c>
      <c r="T147" t="s">
        <v>1926</v>
      </c>
      <c r="V147" t="s">
        <v>1942</v>
      </c>
      <c r="W147" t="s">
        <v>2165</v>
      </c>
      <c r="Y147" t="str">
        <f t="shared" si="10"/>
        <v>| 07160928_1135 | 12 V | -12 V | 200 | Am-241  | 22 |  |  | 1000 start/1000 end  |  | Post 30 sec IR flash  | 33 kΩ resistor on QoFB line. Threshold initially at 300, adjusted near beginning of series |</v>
      </c>
    </row>
    <row r="148" spans="1:25">
      <c r="A148" t="s">
        <v>2166</v>
      </c>
      <c r="B148" t="s">
        <v>17</v>
      </c>
      <c r="C148">
        <v>60</v>
      </c>
      <c r="D148" t="s">
        <v>41</v>
      </c>
      <c r="E148">
        <v>1000</v>
      </c>
      <c r="F148">
        <v>1</v>
      </c>
      <c r="G148" t="s">
        <v>18</v>
      </c>
      <c r="H148" t="s">
        <v>42</v>
      </c>
      <c r="I148" t="s">
        <v>20</v>
      </c>
      <c r="L148" t="str">
        <f t="shared" si="11"/>
        <v>07160928_1210</v>
      </c>
      <c r="Q148">
        <f t="shared" si="12"/>
        <v>1</v>
      </c>
      <c r="W148" t="s">
        <v>1853</v>
      </c>
      <c r="Y148" t="str">
        <f t="shared" si="10"/>
        <v>| 07160928_1210 |  |  |  |  | 1 |  |  |  |  |  | mistake |</v>
      </c>
    </row>
    <row r="149" spans="1:25">
      <c r="A149" t="s">
        <v>2167</v>
      </c>
      <c r="B149" t="s">
        <v>17</v>
      </c>
      <c r="C149">
        <v>60</v>
      </c>
      <c r="D149" t="s">
        <v>41</v>
      </c>
      <c r="E149">
        <v>1000</v>
      </c>
      <c r="F149">
        <v>17</v>
      </c>
      <c r="G149" t="s">
        <v>18</v>
      </c>
      <c r="H149" t="s">
        <v>42</v>
      </c>
      <c r="I149" t="s">
        <v>20</v>
      </c>
      <c r="L149" t="str">
        <f t="shared" si="11"/>
        <v>07160928_1445</v>
      </c>
      <c r="M149" s="54" t="s">
        <v>2168</v>
      </c>
      <c r="N149" t="s">
        <v>2169</v>
      </c>
      <c r="O149">
        <v>250</v>
      </c>
      <c r="P149" t="s">
        <v>2170</v>
      </c>
      <c r="Q149">
        <f t="shared" si="12"/>
        <v>17</v>
      </c>
      <c r="T149" t="s">
        <v>1926</v>
      </c>
      <c r="V149" t="s">
        <v>1942</v>
      </c>
      <c r="W149" t="s">
        <v>2128</v>
      </c>
      <c r="Y149" t="str">
        <f t="shared" si="10"/>
        <v>| 07160928_1445 | -20 V | 10 V | 250 | Am-241, Co-57 (1 m) | 17 |  |  | 1000 start/1000 end  |  | Post 30 sec IR flash  | 33 kΩ resistor on QoFB line.  |</v>
      </c>
    </row>
    <row r="150" spans="1:25">
      <c r="A150" t="s">
        <v>2171</v>
      </c>
      <c r="B150" t="s">
        <v>17</v>
      </c>
      <c r="C150">
        <v>60</v>
      </c>
      <c r="D150" t="s">
        <v>41</v>
      </c>
      <c r="E150">
        <v>1000</v>
      </c>
      <c r="F150">
        <v>33</v>
      </c>
      <c r="G150" t="s">
        <v>18</v>
      </c>
      <c r="H150" t="s">
        <v>42</v>
      </c>
      <c r="I150" t="s">
        <v>20</v>
      </c>
      <c r="L150" t="str">
        <f t="shared" si="11"/>
        <v>07160928_1524</v>
      </c>
      <c r="M150" s="54" t="s">
        <v>2168</v>
      </c>
      <c r="N150" t="s">
        <v>2169</v>
      </c>
      <c r="O150">
        <v>300</v>
      </c>
      <c r="P150" t="s">
        <v>2172</v>
      </c>
      <c r="Q150">
        <f t="shared" si="12"/>
        <v>33</v>
      </c>
      <c r="T150" t="s">
        <v>1926</v>
      </c>
      <c r="V150" t="s">
        <v>1942</v>
      </c>
      <c r="W150" t="s">
        <v>2173</v>
      </c>
      <c r="Y150" t="str">
        <f t="shared" si="10"/>
        <v>| 07160928_1524 | -20 V | 10 V | 300 | Am-241, Co-57 (1.5-2 m) | 33 |  |  | 1000 start/1000 end  |  | Post 30 sec IR flash  | 33 kΩ resistor on QoFB line. Source was moved further out after 15 min |</v>
      </c>
    </row>
    <row r="151" spans="1:25">
      <c r="A151" t="s">
        <v>2174</v>
      </c>
      <c r="B151" t="s">
        <v>17</v>
      </c>
      <c r="C151">
        <v>60</v>
      </c>
      <c r="D151" t="s">
        <v>41</v>
      </c>
      <c r="E151">
        <v>1000</v>
      </c>
      <c r="F151">
        <v>11</v>
      </c>
      <c r="G151" t="s">
        <v>18</v>
      </c>
      <c r="H151" t="s">
        <v>42</v>
      </c>
      <c r="I151" t="s">
        <v>20</v>
      </c>
      <c r="L151" t="str">
        <f t="shared" si="11"/>
        <v>07160928_1733</v>
      </c>
      <c r="M151" t="s">
        <v>2175</v>
      </c>
      <c r="N151" s="54" t="s">
        <v>2065</v>
      </c>
      <c r="O151">
        <v>225</v>
      </c>
      <c r="P151" t="s">
        <v>2176</v>
      </c>
      <c r="Q151">
        <f t="shared" si="12"/>
        <v>11</v>
      </c>
      <c r="T151" t="s">
        <v>1926</v>
      </c>
      <c r="V151" t="s">
        <v>2177</v>
      </c>
      <c r="W151" t="s">
        <v>2128</v>
      </c>
      <c r="Y151" t="str">
        <f t="shared" si="10"/>
        <v>| 07160928_1733 | 20 V | -10 V | 225 | Am-241, Co-57 (2 m) | 11 |  |  | 1000 start/1000 end  |  | not noted, maybe neglected | 33 kΩ resistor on QoFB line.  |</v>
      </c>
    </row>
    <row r="152" spans="1:25">
      <c r="A152" t="s">
        <v>2178</v>
      </c>
      <c r="B152" t="s">
        <v>17</v>
      </c>
      <c r="C152">
        <v>60</v>
      </c>
      <c r="D152" t="s">
        <v>41</v>
      </c>
      <c r="E152">
        <v>1000</v>
      </c>
      <c r="F152">
        <v>13</v>
      </c>
      <c r="G152" t="s">
        <v>18</v>
      </c>
      <c r="H152" t="s">
        <v>42</v>
      </c>
      <c r="I152" t="s">
        <v>20</v>
      </c>
      <c r="L152" t="str">
        <f t="shared" si="11"/>
        <v>07160928_1757</v>
      </c>
      <c r="M152" s="54" t="s">
        <v>2168</v>
      </c>
      <c r="N152" t="s">
        <v>2169</v>
      </c>
      <c r="O152">
        <v>250</v>
      </c>
      <c r="P152" t="s">
        <v>2176</v>
      </c>
      <c r="Q152">
        <f t="shared" si="12"/>
        <v>13</v>
      </c>
      <c r="T152" t="s">
        <v>1926</v>
      </c>
      <c r="V152" t="s">
        <v>1942</v>
      </c>
      <c r="W152" t="s">
        <v>2128</v>
      </c>
      <c r="Y152" t="str">
        <f t="shared" si="10"/>
        <v>| 07160928_1757 | -20 V | 10 V | 250 | Am-241, Co-57 (2 m) | 13 |  |  | 1000 start/1000 end  |  | Post 30 sec IR flash  | 33 kΩ resistor on QoFB line.  |</v>
      </c>
    </row>
    <row r="153" spans="1:25">
      <c r="A153" t="s">
        <v>2179</v>
      </c>
      <c r="B153" t="s">
        <v>17</v>
      </c>
      <c r="C153">
        <v>60</v>
      </c>
      <c r="D153" t="s">
        <v>41</v>
      </c>
      <c r="E153">
        <v>1000</v>
      </c>
      <c r="F153">
        <v>32</v>
      </c>
      <c r="G153" t="s">
        <v>18</v>
      </c>
      <c r="H153" t="s">
        <v>42</v>
      </c>
      <c r="I153" t="s">
        <v>20</v>
      </c>
      <c r="L153" t="str">
        <f t="shared" si="11"/>
        <v>07160928_1815</v>
      </c>
      <c r="M153" s="54" t="s">
        <v>2168</v>
      </c>
      <c r="N153" t="s">
        <v>2169</v>
      </c>
      <c r="O153" t="s">
        <v>2180</v>
      </c>
      <c r="P153" t="s">
        <v>2176</v>
      </c>
      <c r="Q153">
        <f t="shared" si="12"/>
        <v>32</v>
      </c>
      <c r="T153" t="s">
        <v>1926</v>
      </c>
      <c r="V153" t="s">
        <v>2181</v>
      </c>
      <c r="W153" t="s">
        <v>2182</v>
      </c>
      <c r="Y153" t="str">
        <f t="shared" si="10"/>
        <v>| 07160928_1815 | -20 V | 10 V | 250-300 | Am-241, Co-57 (2 m) | 32 |  |  | 1000 start/1000 end  |  | none | 33 kΩ resistor on QoFB line. Threshold adjusted after 10 minutes |</v>
      </c>
    </row>
    <row r="154" spans="1:25">
      <c r="A154" t="s">
        <v>2183</v>
      </c>
      <c r="B154" t="s">
        <v>17</v>
      </c>
      <c r="C154">
        <v>60</v>
      </c>
      <c r="D154" t="s">
        <v>41</v>
      </c>
      <c r="E154">
        <v>1000</v>
      </c>
      <c r="F154">
        <v>27</v>
      </c>
      <c r="G154" t="s">
        <v>18</v>
      </c>
      <c r="H154" t="s">
        <v>42</v>
      </c>
      <c r="I154" t="s">
        <v>20</v>
      </c>
      <c r="L154" t="str">
        <f t="shared" si="11"/>
        <v>07160928_1900</v>
      </c>
      <c r="M154" s="54" t="s">
        <v>2184</v>
      </c>
      <c r="N154" t="s">
        <v>2169</v>
      </c>
      <c r="O154">
        <v>275</v>
      </c>
      <c r="P154" t="s">
        <v>2185</v>
      </c>
      <c r="Q154">
        <f t="shared" si="12"/>
        <v>27</v>
      </c>
      <c r="T154" t="s">
        <v>1926</v>
      </c>
      <c r="V154" t="s">
        <v>1927</v>
      </c>
      <c r="W154" t="s">
        <v>2186</v>
      </c>
      <c r="Y154" t="str">
        <f t="shared" si="10"/>
        <v>| 07160928_1900 | -40 V | 10 V | 275 | Am-241, Co-57 (2 ft, blocked) | 27 |  |  | 1000 start/1000 end  |  | Post 30 sec UV flash  | 33 kΩ resistor on QoFB line. Opening of the lead castle was blocked by lead brick. |</v>
      </c>
    </row>
    <row r="155" spans="1:25">
      <c r="A155" t="s">
        <v>2187</v>
      </c>
      <c r="B155" t="s">
        <v>17</v>
      </c>
      <c r="C155">
        <v>60</v>
      </c>
      <c r="D155" t="s">
        <v>41</v>
      </c>
      <c r="E155">
        <v>1000</v>
      </c>
      <c r="F155">
        <v>21</v>
      </c>
      <c r="G155" t="s">
        <v>18</v>
      </c>
      <c r="H155" t="s">
        <v>42</v>
      </c>
      <c r="I155" t="s">
        <v>20</v>
      </c>
      <c r="L155" t="str">
        <f t="shared" si="11"/>
        <v>07160928_1938</v>
      </c>
      <c r="M155" s="54" t="s">
        <v>2184</v>
      </c>
      <c r="N155" t="s">
        <v>2169</v>
      </c>
      <c r="O155" t="s">
        <v>2188</v>
      </c>
      <c r="P155" t="s">
        <v>2189</v>
      </c>
      <c r="Q155">
        <f t="shared" si="12"/>
        <v>21</v>
      </c>
      <c r="T155" t="s">
        <v>1926</v>
      </c>
      <c r="V155" t="s">
        <v>1927</v>
      </c>
      <c r="W155" t="s">
        <v>2182</v>
      </c>
      <c r="Y155" t="str">
        <f t="shared" si="10"/>
        <v>| 07160928_1938 | -40 V | 10 V | 200-275 | Am-241, Co-57 (3 ft) | 21 |  |  | 1000 start/1000 end  |  | Post 30 sec UV flash  | 33 kΩ resistor on QoFB line. Threshold adjusted after 10 minutes |</v>
      </c>
    </row>
  </sheetData>
  <sortState xmlns:xlrd2="http://schemas.microsoft.com/office/spreadsheetml/2017/richdata2" ref="A143:I156">
    <sortCondition ref="A143:A156"/>
  </sortState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337"/>
  <sheetViews>
    <sheetView workbookViewId="0">
      <pane ySplit="1" topLeftCell="A24" activePane="bottomLeft" state="frozen"/>
      <selection pane="bottomLeft" activeCell="H24" sqref="H24"/>
    </sheetView>
  </sheetViews>
  <sheetFormatPr defaultRowHeight="14.45"/>
  <cols>
    <col min="1" max="1" width="18.85546875" customWidth="1"/>
    <col min="2" max="5" width="0" hidden="1" customWidth="1"/>
    <col min="6" max="6" width="8.140625" bestFit="1" customWidth="1"/>
    <col min="7" max="7" width="5.5703125" bestFit="1" customWidth="1"/>
    <col min="8" max="8" width="7" bestFit="1" customWidth="1"/>
    <col min="9" max="9" width="21" bestFit="1" customWidth="1"/>
    <col min="11" max="11" width="35.85546875" bestFit="1" customWidth="1"/>
    <col min="13" max="13" width="5.5703125" bestFit="1" customWidth="1"/>
  </cols>
  <sheetData>
    <row r="1" spans="1:14" ht="27.6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1616</v>
      </c>
      <c r="J1" s="60" t="s">
        <v>2190</v>
      </c>
      <c r="K1" s="60" t="s">
        <v>13</v>
      </c>
      <c r="L1" s="60" t="s">
        <v>2191</v>
      </c>
      <c r="M1" s="60" t="s">
        <v>1444</v>
      </c>
      <c r="N1" s="60" t="s">
        <v>2192</v>
      </c>
    </row>
    <row r="2" spans="1:14">
      <c r="A2" t="s">
        <v>2193</v>
      </c>
    </row>
    <row r="3" spans="1:14">
      <c r="A3" t="s">
        <v>2194</v>
      </c>
    </row>
    <row r="4" spans="1:14">
      <c r="A4" t="s">
        <v>2195</v>
      </c>
    </row>
    <row r="5" spans="1:14">
      <c r="A5" t="s">
        <v>2196</v>
      </c>
    </row>
    <row r="6" spans="1:14">
      <c r="A6" t="s">
        <v>2197</v>
      </c>
    </row>
    <row r="7" spans="1:14">
      <c r="A7" t="s">
        <v>2198</v>
      </c>
    </row>
    <row r="8" spans="1:14">
      <c r="A8" t="s">
        <v>2199</v>
      </c>
    </row>
    <row r="9" spans="1:14">
      <c r="A9" t="s">
        <v>2200</v>
      </c>
    </row>
    <row r="10" spans="1:14">
      <c r="A10" t="s">
        <v>2201</v>
      </c>
    </row>
    <row r="11" spans="1:14">
      <c r="A11" t="s">
        <v>2202</v>
      </c>
    </row>
    <row r="12" spans="1:14">
      <c r="A12" t="s">
        <v>2203</v>
      </c>
    </row>
    <row r="13" spans="1:14">
      <c r="A13" t="s">
        <v>2204</v>
      </c>
    </row>
    <row r="14" spans="1:14">
      <c r="A14" t="s">
        <v>2205</v>
      </c>
    </row>
    <row r="15" spans="1:14">
      <c r="A15" t="s">
        <v>2206</v>
      </c>
    </row>
    <row r="16" spans="1:14">
      <c r="A16" t="s">
        <v>2207</v>
      </c>
    </row>
    <row r="17" spans="1:1">
      <c r="A17" t="s">
        <v>2208</v>
      </c>
    </row>
    <row r="18" spans="1:1">
      <c r="A18" t="s">
        <v>2209</v>
      </c>
    </row>
    <row r="19" spans="1:1">
      <c r="A19" t="s">
        <v>2210</v>
      </c>
    </row>
    <row r="20" spans="1:1">
      <c r="A20" t="s">
        <v>2211</v>
      </c>
    </row>
    <row r="21" spans="1:1">
      <c r="A21" t="s">
        <v>2212</v>
      </c>
    </row>
    <row r="22" spans="1:1">
      <c r="A22" t="s">
        <v>2213</v>
      </c>
    </row>
    <row r="23" spans="1:1">
      <c r="A23" t="s">
        <v>2214</v>
      </c>
    </row>
    <row r="24" spans="1:1">
      <c r="A24" t="s">
        <v>2215</v>
      </c>
    </row>
    <row r="25" spans="1:1">
      <c r="A25" t="s">
        <v>2216</v>
      </c>
    </row>
    <row r="26" spans="1:1">
      <c r="A26" t="s">
        <v>2217</v>
      </c>
    </row>
    <row r="27" spans="1:1">
      <c r="A27" t="s">
        <v>2218</v>
      </c>
    </row>
    <row r="28" spans="1:1">
      <c r="A28" t="s">
        <v>2219</v>
      </c>
    </row>
    <row r="29" spans="1:1">
      <c r="A29" t="s">
        <v>2220</v>
      </c>
    </row>
    <row r="30" spans="1:1">
      <c r="A30" t="s">
        <v>2221</v>
      </c>
    </row>
    <row r="31" spans="1:1">
      <c r="A31" t="s">
        <v>2222</v>
      </c>
    </row>
    <row r="32" spans="1:1">
      <c r="A32" t="s">
        <v>2223</v>
      </c>
    </row>
    <row r="33" spans="1:21">
      <c r="A33" t="s">
        <v>2224</v>
      </c>
    </row>
    <row r="34" spans="1:21">
      <c r="A34" t="s">
        <v>2225</v>
      </c>
    </row>
    <row r="35" spans="1:21">
      <c r="A35" t="s">
        <v>2226</v>
      </c>
      <c r="R35">
        <v>15</v>
      </c>
      <c r="S35">
        <v>38</v>
      </c>
    </row>
    <row r="36" spans="1:21">
      <c r="A36" t="s">
        <v>2227</v>
      </c>
      <c r="R36">
        <v>11</v>
      </c>
      <c r="S36">
        <v>8</v>
      </c>
    </row>
    <row r="37" spans="1:21">
      <c r="A37" t="s">
        <v>2228</v>
      </c>
      <c r="R37">
        <f>R35-R36</f>
        <v>4</v>
      </c>
      <c r="S37">
        <f>S35-S36</f>
        <v>30</v>
      </c>
    </row>
    <row r="38" spans="1:21">
      <c r="A38" t="s">
        <v>2229</v>
      </c>
    </row>
    <row r="39" spans="1:21">
      <c r="A39" t="s">
        <v>2230</v>
      </c>
    </row>
    <row r="40" spans="1:21">
      <c r="A40" t="s">
        <v>2231</v>
      </c>
      <c r="P40" t="s">
        <v>2232</v>
      </c>
      <c r="Q40">
        <v>480</v>
      </c>
      <c r="R40">
        <v>0.60760000000000003</v>
      </c>
      <c r="S40">
        <f>Q40</f>
        <v>480</v>
      </c>
      <c r="T40">
        <f>R40</f>
        <v>0.60760000000000003</v>
      </c>
      <c r="U40">
        <f t="shared" ref="U40:U45" si="0">Q40*R40*0.008</f>
        <v>2.3331840000000001</v>
      </c>
    </row>
    <row r="41" spans="1:21">
      <c r="A41" t="s">
        <v>2233</v>
      </c>
      <c r="P41" t="s">
        <v>2234</v>
      </c>
      <c r="Q41">
        <v>360</v>
      </c>
      <c r="R41">
        <v>0.3987</v>
      </c>
      <c r="S41" t="str">
        <f>S40&amp;", "&amp;Q41</f>
        <v>480, 360</v>
      </c>
      <c r="T41" t="str">
        <f>T40&amp;", "&amp;R41</f>
        <v>0.6076, 0.3987</v>
      </c>
      <c r="U41">
        <f t="shared" si="0"/>
        <v>1.1482560000000002</v>
      </c>
    </row>
    <row r="42" spans="1:21">
      <c r="A42" t="s">
        <v>2235</v>
      </c>
      <c r="P42" t="s">
        <v>2236</v>
      </c>
      <c r="Q42">
        <v>380</v>
      </c>
      <c r="R42">
        <v>0.53949999999999998</v>
      </c>
      <c r="S42" t="str">
        <f t="shared" ref="S42:T45" si="1">S41&amp;", "&amp;Q42</f>
        <v>480, 360, 380</v>
      </c>
      <c r="T42" t="str">
        <f t="shared" si="1"/>
        <v>0.6076, 0.3987, 0.5395</v>
      </c>
      <c r="U42">
        <f t="shared" si="0"/>
        <v>1.64008</v>
      </c>
    </row>
    <row r="43" spans="1:21">
      <c r="A43" t="s">
        <v>2237</v>
      </c>
      <c r="P43" t="s">
        <v>2238</v>
      </c>
      <c r="Q43">
        <v>450</v>
      </c>
      <c r="R43">
        <v>0.51039999999999996</v>
      </c>
      <c r="S43" t="str">
        <f t="shared" si="1"/>
        <v>480, 360, 380, 450</v>
      </c>
      <c r="T43" t="str">
        <f t="shared" si="1"/>
        <v>0.6076, 0.3987, 0.5395, 0.5104</v>
      </c>
      <c r="U43">
        <f t="shared" si="0"/>
        <v>1.83744</v>
      </c>
    </row>
    <row r="44" spans="1:21">
      <c r="A44" t="s">
        <v>2239</v>
      </c>
      <c r="P44" t="s">
        <v>2240</v>
      </c>
      <c r="Q44">
        <v>480</v>
      </c>
      <c r="R44">
        <v>0.77110000000000001</v>
      </c>
      <c r="S44" t="str">
        <f t="shared" si="1"/>
        <v>480, 360, 380, 450, 480</v>
      </c>
      <c r="T44" t="str">
        <f t="shared" si="1"/>
        <v>0.6076, 0.3987, 0.5395, 0.5104, 0.7711</v>
      </c>
      <c r="U44">
        <f t="shared" si="0"/>
        <v>2.9610240000000001</v>
      </c>
    </row>
    <row r="45" spans="1:21">
      <c r="A45" t="s">
        <v>2241</v>
      </c>
      <c r="P45" t="s">
        <v>2242</v>
      </c>
      <c r="Q45">
        <v>490</v>
      </c>
      <c r="R45">
        <v>0.40649999999999997</v>
      </c>
      <c r="S45" t="str">
        <f t="shared" si="1"/>
        <v>480, 360, 380, 450, 480, 490</v>
      </c>
      <c r="T45" t="str">
        <f t="shared" si="1"/>
        <v>0.6076, 0.3987, 0.5395, 0.5104, 0.7711, 0.4065</v>
      </c>
      <c r="U45">
        <f t="shared" si="0"/>
        <v>1.5934799999999998</v>
      </c>
    </row>
    <row r="46" spans="1:21">
      <c r="A46" t="s">
        <v>2243</v>
      </c>
    </row>
    <row r="47" spans="1:21">
      <c r="A47" t="s">
        <v>2244</v>
      </c>
    </row>
    <row r="48" spans="1:21">
      <c r="A48" t="s">
        <v>2245</v>
      </c>
      <c r="F48">
        <v>60</v>
      </c>
      <c r="G48" t="s">
        <v>18</v>
      </c>
      <c r="H48">
        <f>69.87-0.4*2.77</f>
        <v>68.762</v>
      </c>
      <c r="M48" t="s">
        <v>2246</v>
      </c>
      <c r="O48" t="str">
        <f>"condorProc.py --series "&amp;A48&amp;" --donoise  --dumps a --procenv environments/pymidas_HVHVmf.env"</f>
        <v>condorProc.py --series 07171206_0952 --donoise  --dumps a --procenv environments/pymidas_HVHVmf.env</v>
      </c>
    </row>
    <row r="49" spans="1:15">
      <c r="A49" t="s">
        <v>2247</v>
      </c>
      <c r="F49">
        <v>60</v>
      </c>
      <c r="G49" t="s">
        <v>2248</v>
      </c>
      <c r="H49">
        <f>69.86-0.4*2.66</f>
        <v>68.795999999999992</v>
      </c>
      <c r="I49" t="s">
        <v>2249</v>
      </c>
      <c r="M49" t="s">
        <v>2246</v>
      </c>
      <c r="O49" t="str">
        <f>"condorProc.py --series "&amp;A49&amp;" --donoise  --dumps a --procenv environments/pymidas_HVHVmf.env"</f>
        <v>condorProc.py --series 07171206_1122 --donoise  --dumps a --procenv environments/pymidas_HVHVmf.env</v>
      </c>
    </row>
    <row r="50" spans="1:15">
      <c r="A50" t="s">
        <v>2250</v>
      </c>
      <c r="F50">
        <v>60</v>
      </c>
      <c r="G50" t="s">
        <v>2248</v>
      </c>
      <c r="H50">
        <f>69.86-0.4*2.66</f>
        <v>68.795999999999992</v>
      </c>
      <c r="I50" t="s">
        <v>2251</v>
      </c>
      <c r="M50" t="s">
        <v>2246</v>
      </c>
      <c r="O50" t="str">
        <f>"condorProc.py --series "&amp;A50&amp;" --donoise  --dumps a --procenv environments/pymidas_HVHVmf.env"</f>
        <v>condorProc.py --series 07171206_1231 --donoise  --dumps a --procenv environments/pymidas_HVHVmf.env</v>
      </c>
    </row>
    <row r="51" spans="1:15">
      <c r="A51" t="s">
        <v>2252</v>
      </c>
      <c r="F51">
        <v>60</v>
      </c>
      <c r="G51" t="s">
        <v>18</v>
      </c>
      <c r="H51">
        <v>68.8</v>
      </c>
      <c r="K51" t="s">
        <v>2253</v>
      </c>
      <c r="M51" t="s">
        <v>2246</v>
      </c>
      <c r="O51" t="str">
        <f>"condorProc.py --series "&amp;A51&amp;" --donoise  --dumps a --procenv environments/pymidas_HVHVmf.env"</f>
        <v>condorProc.py --series 07171206_1555 --donoise  --dumps a --procenv environments/pymidas_HVHVmf.env</v>
      </c>
    </row>
    <row r="52" spans="1:15">
      <c r="A52" t="s">
        <v>2254</v>
      </c>
      <c r="F52">
        <v>60</v>
      </c>
      <c r="G52" t="s">
        <v>2248</v>
      </c>
      <c r="H52">
        <v>68.8</v>
      </c>
      <c r="I52" t="s">
        <v>2255</v>
      </c>
    </row>
    <row r="53" spans="1:15">
      <c r="A53" t="s">
        <v>2256</v>
      </c>
      <c r="F53">
        <v>60</v>
      </c>
      <c r="G53" t="s">
        <v>2248</v>
      </c>
      <c r="H53">
        <v>68.8</v>
      </c>
      <c r="I53" t="s">
        <v>20</v>
      </c>
      <c r="M53" t="s">
        <v>2246</v>
      </c>
      <c r="O53" t="str">
        <f>"condorProc.py --series "&amp;A53&amp;" --donoise  --dumps a --procenv environments/pymidas_HVHVmf.env"</f>
        <v>condorProc.py --series 07171206_2256 --donoise  --dumps a --procenv environments/pymidas_HVHVmf.env</v>
      </c>
    </row>
    <row r="54" spans="1:15">
      <c r="A54" t="s">
        <v>2257</v>
      </c>
      <c r="F54">
        <v>14</v>
      </c>
      <c r="G54" t="s">
        <v>18</v>
      </c>
      <c r="H54">
        <f>69.9-0.4*2.8</f>
        <v>68.78</v>
      </c>
      <c r="I54" t="s">
        <v>2258</v>
      </c>
    </row>
    <row r="55" spans="1:15">
      <c r="A55" t="s">
        <v>2259</v>
      </c>
      <c r="F55">
        <v>2</v>
      </c>
      <c r="G55" t="s">
        <v>18</v>
      </c>
      <c r="H55">
        <f>69.9-0.4*2.8</f>
        <v>68.78</v>
      </c>
      <c r="I55" t="s">
        <v>2258</v>
      </c>
    </row>
    <row r="56" spans="1:15">
      <c r="A56" t="s">
        <v>2260</v>
      </c>
      <c r="F56">
        <v>97</v>
      </c>
      <c r="G56" t="s">
        <v>18</v>
      </c>
      <c r="H56">
        <f>69.9-0.4*2.71</f>
        <v>68.816000000000003</v>
      </c>
      <c r="I56" t="s">
        <v>2261</v>
      </c>
    </row>
    <row r="57" spans="1:15">
      <c r="A57" t="s">
        <v>2262</v>
      </c>
      <c r="F57">
        <v>34</v>
      </c>
      <c r="G57" t="s">
        <v>18</v>
      </c>
      <c r="H57">
        <v>68.8</v>
      </c>
      <c r="I57" t="s">
        <v>2263</v>
      </c>
    </row>
    <row r="58" spans="1:15">
      <c r="A58" t="s">
        <v>2264</v>
      </c>
      <c r="F58">
        <v>60</v>
      </c>
      <c r="G58" t="s">
        <v>18</v>
      </c>
      <c r="H58">
        <f>69.89-0.4*2.6</f>
        <v>68.849999999999994</v>
      </c>
      <c r="I58" t="s">
        <v>2265</v>
      </c>
      <c r="K58" t="s">
        <v>2266</v>
      </c>
      <c r="M58" t="s">
        <v>2246</v>
      </c>
      <c r="O58" t="str">
        <f>"condorProc.py --series "&amp;A58&amp;" --donoise  --dumps a --procenv environments/pymidas_HVHVmf.env"</f>
        <v>condorProc.py --series 07171207_1410 --donoise  --dumps a --procenv environments/pymidas_HVHVmf.env</v>
      </c>
    </row>
    <row r="59" spans="1:15">
      <c r="A59" t="s">
        <v>2267</v>
      </c>
      <c r="F59">
        <v>62</v>
      </c>
      <c r="G59" t="s">
        <v>18</v>
      </c>
      <c r="H59">
        <f>69.89-0.4*2.85</f>
        <v>68.75</v>
      </c>
      <c r="K59" t="s">
        <v>2266</v>
      </c>
      <c r="M59" t="s">
        <v>2268</v>
      </c>
    </row>
    <row r="60" spans="1:15">
      <c r="A60" t="s">
        <v>2269</v>
      </c>
      <c r="F60">
        <v>62</v>
      </c>
      <c r="G60" t="s">
        <v>18</v>
      </c>
      <c r="H60">
        <v>68.8</v>
      </c>
      <c r="M60" t="s">
        <v>2268</v>
      </c>
    </row>
    <row r="61" spans="1:15">
      <c r="A61" t="s">
        <v>2270</v>
      </c>
      <c r="F61">
        <v>60</v>
      </c>
      <c r="G61" t="s">
        <v>18</v>
      </c>
      <c r="H61">
        <f>69.85-0.4*2.72</f>
        <v>68.762</v>
      </c>
    </row>
    <row r="62" spans="1:15">
      <c r="A62" t="s">
        <v>2271</v>
      </c>
      <c r="F62">
        <v>93</v>
      </c>
      <c r="G62" t="s">
        <v>18</v>
      </c>
      <c r="H62">
        <f>69.83-0.4*2.68</f>
        <v>68.757999999999996</v>
      </c>
      <c r="I62" t="s">
        <v>2272</v>
      </c>
    </row>
    <row r="63" spans="1:15">
      <c r="A63" t="s">
        <v>2273</v>
      </c>
      <c r="F63">
        <v>15</v>
      </c>
      <c r="G63" t="s">
        <v>2248</v>
      </c>
      <c r="H63">
        <v>0</v>
      </c>
      <c r="J63" t="s">
        <v>191</v>
      </c>
      <c r="K63" t="s">
        <v>2274</v>
      </c>
      <c r="O63" t="str">
        <f>""""&amp;A63&amp;""""</f>
        <v>"07171209_1915"</v>
      </c>
    </row>
    <row r="64" spans="1:15">
      <c r="A64" t="s">
        <v>2275</v>
      </c>
      <c r="F64">
        <v>15</v>
      </c>
      <c r="G64" t="s">
        <v>2248</v>
      </c>
      <c r="H64">
        <v>0</v>
      </c>
      <c r="J64" t="s">
        <v>191</v>
      </c>
      <c r="K64" t="s">
        <v>2276</v>
      </c>
      <c r="O64" t="str">
        <f t="shared" ref="O64:O78" si="2">O63&amp;", """&amp;A64&amp;""""</f>
        <v>"07171209_1915", "07171209_1931"</v>
      </c>
    </row>
    <row r="65" spans="1:15">
      <c r="A65" t="s">
        <v>2277</v>
      </c>
      <c r="F65">
        <v>15</v>
      </c>
      <c r="G65" t="s">
        <v>2248</v>
      </c>
      <c r="H65">
        <v>0</v>
      </c>
      <c r="J65" t="s">
        <v>191</v>
      </c>
      <c r="K65" t="s">
        <v>2278</v>
      </c>
      <c r="O65" t="str">
        <f t="shared" si="2"/>
        <v>"07171209_1915", "07171209_1931", "07171209_1946"</v>
      </c>
    </row>
    <row r="66" spans="1:15">
      <c r="A66" t="s">
        <v>2279</v>
      </c>
      <c r="F66">
        <v>15</v>
      </c>
      <c r="G66" t="s">
        <v>2248</v>
      </c>
      <c r="H66">
        <v>0</v>
      </c>
      <c r="J66" t="s">
        <v>191</v>
      </c>
      <c r="K66" t="s">
        <v>2280</v>
      </c>
      <c r="O66" t="str">
        <f t="shared" si="2"/>
        <v>"07171209_1915", "07171209_1931", "07171209_1946", "07171209_2001"</v>
      </c>
    </row>
    <row r="67" spans="1:15">
      <c r="A67" t="s">
        <v>2281</v>
      </c>
      <c r="F67">
        <v>15</v>
      </c>
      <c r="G67" t="s">
        <v>2248</v>
      </c>
      <c r="H67">
        <v>0</v>
      </c>
      <c r="I67" t="s">
        <v>2282</v>
      </c>
      <c r="J67" t="s">
        <v>191</v>
      </c>
      <c r="K67" t="s">
        <v>2283</v>
      </c>
      <c r="O67" t="str">
        <f t="shared" si="2"/>
        <v>"07171209_1915", "07171209_1931", "07171209_1946", "07171209_2001", "07171209_2017"</v>
      </c>
    </row>
    <row r="68" spans="1:15">
      <c r="A68" t="s">
        <v>2284</v>
      </c>
      <c r="F68">
        <v>15</v>
      </c>
      <c r="G68" t="s">
        <v>2248</v>
      </c>
      <c r="H68">
        <v>0</v>
      </c>
      <c r="J68" t="s">
        <v>191</v>
      </c>
      <c r="K68" t="s">
        <v>2285</v>
      </c>
      <c r="O68" t="str">
        <f t="shared" si="2"/>
        <v>"07171209_1915", "07171209_1931", "07171209_1946", "07171209_2001", "07171209_2017", "07171209_2036"</v>
      </c>
    </row>
    <row r="69" spans="1:15">
      <c r="A69" t="s">
        <v>2286</v>
      </c>
      <c r="F69">
        <v>19</v>
      </c>
      <c r="G69" t="s">
        <v>2248</v>
      </c>
      <c r="H69">
        <v>0</v>
      </c>
      <c r="J69" t="s">
        <v>191</v>
      </c>
      <c r="K69" t="s">
        <v>2283</v>
      </c>
      <c r="O69" t="str">
        <f t="shared" si="2"/>
        <v>"07171209_1915", "07171209_1931", "07171209_1946", "07171209_2001", "07171209_2017", "07171209_2036", "07171209_2052"</v>
      </c>
    </row>
    <row r="70" spans="1:15">
      <c r="A70" t="s">
        <v>2287</v>
      </c>
      <c r="F70">
        <v>10</v>
      </c>
      <c r="G70" t="s">
        <v>2248</v>
      </c>
      <c r="H70">
        <v>0</v>
      </c>
      <c r="J70" t="s">
        <v>191</v>
      </c>
      <c r="K70" s="62" t="s">
        <v>2288</v>
      </c>
      <c r="L70" t="s">
        <v>2289</v>
      </c>
      <c r="O70" t="str">
        <f>""""&amp;A70&amp;""""</f>
        <v>"07171210_0709"</v>
      </c>
    </row>
    <row r="71" spans="1:15">
      <c r="A71" t="s">
        <v>2290</v>
      </c>
      <c r="F71">
        <v>10</v>
      </c>
      <c r="G71" t="s">
        <v>2248</v>
      </c>
      <c r="H71">
        <v>0</v>
      </c>
      <c r="J71" t="s">
        <v>191</v>
      </c>
      <c r="K71" s="63"/>
      <c r="L71" t="s">
        <v>2291</v>
      </c>
      <c r="O71" t="str">
        <f t="shared" si="2"/>
        <v>"07171210_0709", "07171210_0721"</v>
      </c>
    </row>
    <row r="72" spans="1:15">
      <c r="A72" t="s">
        <v>2292</v>
      </c>
      <c r="F72">
        <v>10</v>
      </c>
      <c r="G72" t="s">
        <v>2248</v>
      </c>
      <c r="H72">
        <v>0</v>
      </c>
      <c r="J72" t="s">
        <v>191</v>
      </c>
      <c r="K72" s="63"/>
      <c r="L72" t="s">
        <v>2293</v>
      </c>
      <c r="O72" t="str">
        <f t="shared" si="2"/>
        <v>"07171210_0709", "07171210_0721", "07171210_0732"</v>
      </c>
    </row>
    <row r="73" spans="1:15">
      <c r="A73" t="s">
        <v>2294</v>
      </c>
      <c r="F73">
        <v>10</v>
      </c>
      <c r="G73" t="s">
        <v>2248</v>
      </c>
      <c r="H73">
        <v>0</v>
      </c>
      <c r="J73" t="s">
        <v>191</v>
      </c>
      <c r="K73" s="63"/>
      <c r="L73" t="s">
        <v>2295</v>
      </c>
      <c r="O73" t="str">
        <f t="shared" si="2"/>
        <v>"07171210_0709", "07171210_0721", "07171210_0732", "07171210_0743"</v>
      </c>
    </row>
    <row r="74" spans="1:15">
      <c r="A74" t="s">
        <v>2296</v>
      </c>
      <c r="F74">
        <v>10</v>
      </c>
      <c r="G74" t="s">
        <v>2248</v>
      </c>
      <c r="H74">
        <v>0</v>
      </c>
      <c r="J74" t="s">
        <v>191</v>
      </c>
      <c r="K74" s="63"/>
      <c r="L74" t="s">
        <v>2297</v>
      </c>
      <c r="O74" t="str">
        <f t="shared" si="2"/>
        <v>"07171210_0709", "07171210_0721", "07171210_0732", "07171210_0743", "07171210_0754"</v>
      </c>
    </row>
    <row r="75" spans="1:15">
      <c r="A75" t="s">
        <v>2298</v>
      </c>
      <c r="F75">
        <v>10</v>
      </c>
      <c r="G75" t="s">
        <v>2248</v>
      </c>
      <c r="H75">
        <v>0</v>
      </c>
      <c r="J75" t="s">
        <v>191</v>
      </c>
      <c r="K75" s="63"/>
      <c r="L75" t="s">
        <v>2299</v>
      </c>
      <c r="O75" t="str">
        <f t="shared" si="2"/>
        <v>"07171210_0709", "07171210_0721", "07171210_0732", "07171210_0743", "07171210_0754", "07171210_0804"</v>
      </c>
    </row>
    <row r="76" spans="1:15">
      <c r="A76" t="s">
        <v>2300</v>
      </c>
      <c r="F76">
        <v>10</v>
      </c>
      <c r="G76" t="s">
        <v>2248</v>
      </c>
      <c r="H76">
        <v>0</v>
      </c>
      <c r="J76" t="s">
        <v>191</v>
      </c>
      <c r="K76" s="63"/>
      <c r="L76" t="s">
        <v>2301</v>
      </c>
      <c r="O76" t="str">
        <f t="shared" si="2"/>
        <v>"07171210_0709", "07171210_0721", "07171210_0732", "07171210_0743", "07171210_0754", "07171210_0804", "07171210_0815"</v>
      </c>
    </row>
    <row r="77" spans="1:15">
      <c r="A77" t="s">
        <v>2302</v>
      </c>
      <c r="F77">
        <v>10</v>
      </c>
      <c r="G77" t="s">
        <v>2248</v>
      </c>
      <c r="H77">
        <v>0</v>
      </c>
      <c r="J77" t="s">
        <v>191</v>
      </c>
      <c r="K77" s="63"/>
      <c r="L77" t="s">
        <v>2303</v>
      </c>
      <c r="O77" t="str">
        <f t="shared" si="2"/>
        <v>"07171210_0709", "07171210_0721", "07171210_0732", "07171210_0743", "07171210_0754", "07171210_0804", "07171210_0815", "07171210_0827"</v>
      </c>
    </row>
    <row r="78" spans="1:15">
      <c r="A78" t="s">
        <v>2304</v>
      </c>
      <c r="F78">
        <v>10</v>
      </c>
      <c r="G78" t="s">
        <v>2248</v>
      </c>
      <c r="H78">
        <v>0</v>
      </c>
      <c r="J78" t="s">
        <v>191</v>
      </c>
      <c r="K78" s="64"/>
      <c r="L78" t="s">
        <v>2305</v>
      </c>
      <c r="O78" t="str">
        <f t="shared" si="2"/>
        <v>"07171210_0709", "07171210_0721", "07171210_0732", "07171210_0743", "07171210_0754", "07171210_0804", "07171210_0815", "07171210_0827", "07171210_0838"</v>
      </c>
    </row>
    <row r="79" spans="1:15">
      <c r="A79" t="s">
        <v>2306</v>
      </c>
      <c r="F79">
        <v>66</v>
      </c>
      <c r="G79" t="s">
        <v>18</v>
      </c>
      <c r="H79">
        <f>69.85-0.4*3.21</f>
        <v>68.565999999999988</v>
      </c>
    </row>
    <row r="80" spans="1:15">
      <c r="A80" t="s">
        <v>2307</v>
      </c>
      <c r="F80">
        <v>10</v>
      </c>
      <c r="G80" t="s">
        <v>2248</v>
      </c>
      <c r="H80">
        <v>0</v>
      </c>
      <c r="J80" t="s">
        <v>191</v>
      </c>
      <c r="K80" s="62" t="s">
        <v>2308</v>
      </c>
      <c r="L80" t="s">
        <v>2291</v>
      </c>
    </row>
    <row r="81" spans="1:12">
      <c r="A81" t="s">
        <v>2309</v>
      </c>
      <c r="F81">
        <v>10</v>
      </c>
      <c r="G81" t="s">
        <v>2248</v>
      </c>
      <c r="H81">
        <v>0</v>
      </c>
      <c r="J81" t="s">
        <v>191</v>
      </c>
      <c r="K81" s="63"/>
      <c r="L81" t="s">
        <v>2293</v>
      </c>
    </row>
    <row r="82" spans="1:12">
      <c r="A82" t="s">
        <v>2310</v>
      </c>
      <c r="F82">
        <v>10</v>
      </c>
      <c r="G82" t="s">
        <v>2248</v>
      </c>
      <c r="H82">
        <v>0</v>
      </c>
      <c r="J82" t="s">
        <v>191</v>
      </c>
      <c r="K82" s="63"/>
      <c r="L82" t="s">
        <v>2295</v>
      </c>
    </row>
    <row r="83" spans="1:12">
      <c r="A83" t="s">
        <v>2311</v>
      </c>
      <c r="F83">
        <v>10</v>
      </c>
      <c r="G83" t="s">
        <v>2248</v>
      </c>
      <c r="H83">
        <v>0</v>
      </c>
      <c r="J83" t="s">
        <v>191</v>
      </c>
      <c r="K83" s="63"/>
      <c r="L83" t="s">
        <v>2297</v>
      </c>
    </row>
    <row r="84" spans="1:12">
      <c r="A84" t="s">
        <v>2312</v>
      </c>
      <c r="F84">
        <v>10</v>
      </c>
      <c r="G84" t="s">
        <v>2248</v>
      </c>
      <c r="H84">
        <v>0</v>
      </c>
      <c r="J84" t="s">
        <v>191</v>
      </c>
      <c r="K84" s="63"/>
      <c r="L84" t="s">
        <v>2299</v>
      </c>
    </row>
    <row r="85" spans="1:12">
      <c r="A85" t="s">
        <v>2313</v>
      </c>
      <c r="F85">
        <v>10</v>
      </c>
      <c r="G85" t="s">
        <v>2248</v>
      </c>
      <c r="H85">
        <v>0</v>
      </c>
      <c r="J85" t="s">
        <v>191</v>
      </c>
      <c r="K85" s="63"/>
      <c r="L85" t="s">
        <v>2301</v>
      </c>
    </row>
    <row r="86" spans="1:12">
      <c r="A86" t="s">
        <v>2314</v>
      </c>
      <c r="F86">
        <v>10</v>
      </c>
      <c r="G86" t="s">
        <v>2248</v>
      </c>
      <c r="H86">
        <v>0</v>
      </c>
      <c r="J86" t="s">
        <v>191</v>
      </c>
      <c r="K86" s="63"/>
      <c r="L86" t="s">
        <v>2315</v>
      </c>
    </row>
    <row r="87" spans="1:12">
      <c r="A87" t="s">
        <v>2316</v>
      </c>
      <c r="F87">
        <v>10</v>
      </c>
      <c r="G87" t="s">
        <v>2248</v>
      </c>
      <c r="H87">
        <v>0</v>
      </c>
      <c r="J87" t="s">
        <v>191</v>
      </c>
      <c r="K87" s="63"/>
      <c r="L87" t="s">
        <v>2303</v>
      </c>
    </row>
    <row r="88" spans="1:12">
      <c r="A88" t="s">
        <v>2317</v>
      </c>
      <c r="F88">
        <v>10</v>
      </c>
      <c r="G88" t="s">
        <v>2248</v>
      </c>
      <c r="H88">
        <v>0</v>
      </c>
      <c r="J88" t="s">
        <v>191</v>
      </c>
      <c r="K88" s="63"/>
      <c r="L88" t="s">
        <v>2318</v>
      </c>
    </row>
    <row r="89" spans="1:12">
      <c r="A89" t="s">
        <v>2319</v>
      </c>
      <c r="F89">
        <v>10</v>
      </c>
      <c r="G89" t="s">
        <v>2248</v>
      </c>
      <c r="H89">
        <v>0</v>
      </c>
      <c r="J89" t="s">
        <v>191</v>
      </c>
      <c r="K89" s="64"/>
      <c r="L89" t="s">
        <v>2305</v>
      </c>
    </row>
    <row r="90" spans="1:12">
      <c r="A90" t="s">
        <v>2320</v>
      </c>
      <c r="F90">
        <v>10</v>
      </c>
      <c r="G90" t="s">
        <v>2248</v>
      </c>
      <c r="H90">
        <v>0</v>
      </c>
      <c r="J90" t="s">
        <v>191</v>
      </c>
      <c r="K90" s="62" t="s">
        <v>2308</v>
      </c>
      <c r="L90" t="s">
        <v>2321</v>
      </c>
    </row>
    <row r="91" spans="1:12">
      <c r="A91" t="s">
        <v>2322</v>
      </c>
      <c r="F91">
        <v>10</v>
      </c>
      <c r="G91" t="s">
        <v>2248</v>
      </c>
      <c r="H91">
        <v>0</v>
      </c>
      <c r="J91" t="s">
        <v>191</v>
      </c>
      <c r="K91" s="63"/>
      <c r="L91" t="s">
        <v>2323</v>
      </c>
    </row>
    <row r="92" spans="1:12">
      <c r="A92" t="s">
        <v>2324</v>
      </c>
      <c r="F92">
        <v>10</v>
      </c>
      <c r="G92" t="s">
        <v>2248</v>
      </c>
      <c r="H92">
        <v>0</v>
      </c>
      <c r="J92" t="s">
        <v>191</v>
      </c>
      <c r="K92" s="63"/>
      <c r="L92" t="s">
        <v>2289</v>
      </c>
    </row>
    <row r="93" spans="1:12">
      <c r="A93" t="s">
        <v>2325</v>
      </c>
      <c r="F93">
        <v>10</v>
      </c>
      <c r="G93" t="s">
        <v>2248</v>
      </c>
      <c r="H93">
        <v>0</v>
      </c>
      <c r="J93" t="s">
        <v>191</v>
      </c>
      <c r="K93" s="63"/>
      <c r="L93" t="s">
        <v>2326</v>
      </c>
    </row>
    <row r="94" spans="1:12">
      <c r="A94" t="s">
        <v>2327</v>
      </c>
      <c r="F94">
        <v>10</v>
      </c>
      <c r="G94" t="s">
        <v>2248</v>
      </c>
      <c r="H94">
        <v>0</v>
      </c>
      <c r="J94" t="s">
        <v>191</v>
      </c>
      <c r="K94" s="63"/>
      <c r="L94" t="s">
        <v>2328</v>
      </c>
    </row>
    <row r="95" spans="1:12">
      <c r="A95" t="s">
        <v>2329</v>
      </c>
      <c r="F95">
        <v>10</v>
      </c>
      <c r="G95" t="s">
        <v>2248</v>
      </c>
      <c r="H95">
        <v>0</v>
      </c>
      <c r="J95" t="s">
        <v>191</v>
      </c>
      <c r="K95" s="63"/>
      <c r="L95" t="s">
        <v>2330</v>
      </c>
    </row>
    <row r="96" spans="1:12">
      <c r="A96" t="s">
        <v>2331</v>
      </c>
      <c r="F96">
        <v>10</v>
      </c>
      <c r="G96" t="s">
        <v>2248</v>
      </c>
      <c r="H96">
        <v>0</v>
      </c>
      <c r="J96" t="s">
        <v>191</v>
      </c>
      <c r="K96" s="63"/>
      <c r="L96" t="s">
        <v>2332</v>
      </c>
    </row>
    <row r="97" spans="1:15">
      <c r="A97" t="s">
        <v>2333</v>
      </c>
      <c r="F97">
        <v>10</v>
      </c>
      <c r="G97" t="s">
        <v>2248</v>
      </c>
      <c r="H97">
        <v>0</v>
      </c>
      <c r="J97" t="s">
        <v>191</v>
      </c>
      <c r="K97" s="63"/>
      <c r="L97" t="s">
        <v>2291</v>
      </c>
    </row>
    <row r="98" spans="1:15">
      <c r="A98" t="s">
        <v>2334</v>
      </c>
      <c r="F98">
        <v>10</v>
      </c>
      <c r="G98" t="s">
        <v>2248</v>
      </c>
      <c r="H98">
        <v>0</v>
      </c>
      <c r="J98" t="s">
        <v>191</v>
      </c>
      <c r="K98" s="63"/>
      <c r="L98" t="s">
        <v>2335</v>
      </c>
    </row>
    <row r="99" spans="1:15">
      <c r="A99" t="s">
        <v>2336</v>
      </c>
      <c r="F99">
        <v>10</v>
      </c>
      <c r="G99" t="s">
        <v>2248</v>
      </c>
      <c r="H99">
        <v>0</v>
      </c>
      <c r="J99" t="s">
        <v>191</v>
      </c>
      <c r="K99" s="64"/>
      <c r="L99" t="s">
        <v>2337</v>
      </c>
    </row>
    <row r="100" spans="1:15">
      <c r="A100" t="s">
        <v>2338</v>
      </c>
      <c r="F100">
        <v>60</v>
      </c>
      <c r="G100" t="s">
        <v>18</v>
      </c>
      <c r="H100">
        <f>69.85-0.4*2.73</f>
        <v>68.757999999999996</v>
      </c>
    </row>
    <row r="101" spans="1:15">
      <c r="A101" t="s">
        <v>2339</v>
      </c>
      <c r="F101">
        <v>15</v>
      </c>
      <c r="G101" t="s">
        <v>18</v>
      </c>
      <c r="H101">
        <v>68.8</v>
      </c>
      <c r="J101" t="s">
        <v>191</v>
      </c>
      <c r="K101" t="s">
        <v>2274</v>
      </c>
      <c r="O101" t="str">
        <f>""""&amp;A101&amp;""""</f>
        <v>"07171211_1224"</v>
      </c>
    </row>
    <row r="102" spans="1:15">
      <c r="A102" t="s">
        <v>2340</v>
      </c>
      <c r="F102">
        <v>17</v>
      </c>
      <c r="G102" t="s">
        <v>18</v>
      </c>
      <c r="H102">
        <v>68.8</v>
      </c>
      <c r="I102" t="s">
        <v>2341</v>
      </c>
      <c r="J102" t="s">
        <v>191</v>
      </c>
      <c r="K102" t="s">
        <v>2276</v>
      </c>
      <c r="O102" t="str">
        <f t="shared" ref="O102:O119" si="3">O101&amp;", """&amp;A102&amp;""""</f>
        <v>"07171211_1224", "07171211_1241"</v>
      </c>
    </row>
    <row r="103" spans="1:15">
      <c r="A103" t="s">
        <v>2342</v>
      </c>
      <c r="F103">
        <v>12</v>
      </c>
      <c r="G103" t="s">
        <v>18</v>
      </c>
      <c r="H103">
        <v>68.8</v>
      </c>
      <c r="J103" t="s">
        <v>191</v>
      </c>
      <c r="K103" t="s">
        <v>2276</v>
      </c>
      <c r="O103" t="str">
        <f t="shared" si="3"/>
        <v>"07171211_1224", "07171211_1241", "07171211_1311"</v>
      </c>
    </row>
    <row r="104" spans="1:15">
      <c r="A104" t="s">
        <v>2343</v>
      </c>
      <c r="F104">
        <v>10</v>
      </c>
      <c r="G104" t="s">
        <v>18</v>
      </c>
      <c r="H104">
        <v>68.8</v>
      </c>
      <c r="J104" t="s">
        <v>191</v>
      </c>
      <c r="K104" t="s">
        <v>2278</v>
      </c>
      <c r="O104" t="str">
        <f t="shared" si="3"/>
        <v>"07171211_1224", "07171211_1241", "07171211_1311", "07171211_1324"</v>
      </c>
    </row>
    <row r="105" spans="1:15">
      <c r="A105" t="s">
        <v>2344</v>
      </c>
      <c r="F105">
        <v>10</v>
      </c>
      <c r="G105" t="s">
        <v>18</v>
      </c>
      <c r="H105">
        <v>68.8</v>
      </c>
      <c r="J105" t="s">
        <v>191</v>
      </c>
      <c r="K105" t="s">
        <v>2280</v>
      </c>
      <c r="O105" t="str">
        <f t="shared" si="3"/>
        <v>"07171211_1224", "07171211_1241", "07171211_1311", "07171211_1324", "07171211_1353"</v>
      </c>
    </row>
    <row r="106" spans="1:15">
      <c r="A106" t="s">
        <v>2345</v>
      </c>
      <c r="F106">
        <v>15</v>
      </c>
      <c r="G106" t="s">
        <v>18</v>
      </c>
      <c r="H106">
        <v>68.8</v>
      </c>
      <c r="J106" t="s">
        <v>191</v>
      </c>
      <c r="K106" t="s">
        <v>2283</v>
      </c>
      <c r="O106" t="str">
        <f t="shared" si="3"/>
        <v>"07171211_1224", "07171211_1241", "07171211_1311", "07171211_1324", "07171211_1353", "07171211_1404"</v>
      </c>
    </row>
    <row r="107" spans="1:15">
      <c r="A107" t="s">
        <v>2346</v>
      </c>
      <c r="F107">
        <v>13</v>
      </c>
      <c r="G107" t="s">
        <v>18</v>
      </c>
      <c r="H107">
        <v>68.8</v>
      </c>
      <c r="J107" t="s">
        <v>191</v>
      </c>
      <c r="K107" t="s">
        <v>2285</v>
      </c>
      <c r="O107" t="str">
        <f t="shared" si="3"/>
        <v>"07171211_1224", "07171211_1241", "07171211_1311", "07171211_1324", "07171211_1353", "07171211_1404", "07171211_1420"</v>
      </c>
    </row>
    <row r="108" spans="1:15">
      <c r="A108" t="s">
        <v>2347</v>
      </c>
      <c r="F108">
        <v>60</v>
      </c>
      <c r="G108" t="s">
        <v>18</v>
      </c>
      <c r="H108">
        <f>69.84-0.4*2.68</f>
        <v>68.768000000000001</v>
      </c>
      <c r="O108" t="str">
        <f>""""&amp;A108&amp;""""</f>
        <v>"07171211_1715"</v>
      </c>
    </row>
    <row r="109" spans="1:15">
      <c r="A109" t="s">
        <v>2348</v>
      </c>
      <c r="F109">
        <v>60</v>
      </c>
      <c r="G109" t="s">
        <v>18</v>
      </c>
      <c r="H109">
        <f>69.85-0.4*2.56</f>
        <v>68.825999999999993</v>
      </c>
      <c r="O109" t="str">
        <f t="shared" si="3"/>
        <v>"07171211_1715", "07171211_1815"</v>
      </c>
    </row>
    <row r="110" spans="1:15">
      <c r="A110" t="s">
        <v>2349</v>
      </c>
      <c r="F110">
        <v>60</v>
      </c>
      <c r="G110" t="s">
        <v>18</v>
      </c>
      <c r="H110">
        <f>69.85-0.4*2.51</f>
        <v>68.845999999999989</v>
      </c>
      <c r="O110" t="str">
        <f t="shared" si="3"/>
        <v>"07171211_1715", "07171211_1815", "07171211_1915"</v>
      </c>
    </row>
    <row r="111" spans="1:15">
      <c r="A111" t="s">
        <v>2350</v>
      </c>
      <c r="F111">
        <v>60</v>
      </c>
      <c r="G111" t="s">
        <v>18</v>
      </c>
      <c r="H111">
        <f>69.85-0.4*2.49</f>
        <v>68.853999999999999</v>
      </c>
      <c r="O111" t="str">
        <f t="shared" si="3"/>
        <v>"07171211_1715", "07171211_1815", "07171211_1915", "07171211_2015"</v>
      </c>
    </row>
    <row r="112" spans="1:15">
      <c r="A112" t="s">
        <v>2351</v>
      </c>
      <c r="F112">
        <v>7</v>
      </c>
      <c r="G112" t="s">
        <v>18</v>
      </c>
      <c r="H112">
        <f>69.87-0.4*2.35</f>
        <v>68.930000000000007</v>
      </c>
      <c r="O112" t="str">
        <f t="shared" si="3"/>
        <v>"07171211_1715", "07171211_1815", "07171211_1915", "07171211_2015", "07171211_2214"</v>
      </c>
    </row>
    <row r="113" spans="1:15">
      <c r="A113" t="s">
        <v>2352</v>
      </c>
      <c r="F113">
        <v>60</v>
      </c>
      <c r="G113" t="s">
        <v>18</v>
      </c>
      <c r="H113">
        <f>69.87-0.4*2.35</f>
        <v>68.930000000000007</v>
      </c>
      <c r="O113" t="str">
        <f t="shared" si="3"/>
        <v>"07171211_1715", "07171211_1815", "07171211_1915", "07171211_2015", "07171211_2214", "07171211_2223"</v>
      </c>
    </row>
    <row r="114" spans="1:15">
      <c r="A114" t="s">
        <v>2353</v>
      </c>
      <c r="F114">
        <v>60</v>
      </c>
      <c r="G114" t="s">
        <v>18</v>
      </c>
      <c r="H114">
        <v>68.900000000000006</v>
      </c>
      <c r="O114" t="str">
        <f t="shared" si="3"/>
        <v>"07171211_1715", "07171211_1815", "07171211_1915", "07171211_2015", "07171211_2214", "07171211_2223", "07171211_2323"</v>
      </c>
    </row>
    <row r="115" spans="1:15">
      <c r="A115" t="s">
        <v>2354</v>
      </c>
      <c r="F115">
        <v>60</v>
      </c>
      <c r="G115" t="s">
        <v>18</v>
      </c>
      <c r="H115">
        <v>68.900000000000006</v>
      </c>
      <c r="O115" t="str">
        <f t="shared" si="3"/>
        <v>"07171211_1715", "07171211_1815", "07171211_1915", "07171211_2015", "07171211_2214", "07171211_2223", "07171211_2323", "07171212_0023"</v>
      </c>
    </row>
    <row r="116" spans="1:15">
      <c r="A116" t="s">
        <v>2355</v>
      </c>
      <c r="F116">
        <v>60</v>
      </c>
      <c r="G116" t="s">
        <v>18</v>
      </c>
      <c r="H116">
        <v>68.900000000000006</v>
      </c>
      <c r="O116" t="str">
        <f t="shared" si="3"/>
        <v>"07171211_1715", "07171211_1815", "07171211_1915", "07171211_2015", "07171211_2214", "07171211_2223", "07171211_2323", "07171212_0023", "07171212_0123"</v>
      </c>
    </row>
    <row r="117" spans="1:15">
      <c r="A117" t="s">
        <v>2356</v>
      </c>
      <c r="F117">
        <v>60</v>
      </c>
      <c r="G117" t="s">
        <v>18</v>
      </c>
      <c r="H117">
        <v>68.900000000000006</v>
      </c>
      <c r="O117" t="str">
        <f t="shared" si="3"/>
        <v>"07171211_1715", "07171211_1815", "07171211_1915", "07171211_2015", "07171211_2214", "07171211_2223", "07171211_2323", "07171212_0023", "07171212_0123", "07171212_0224"</v>
      </c>
    </row>
    <row r="118" spans="1:15">
      <c r="A118" t="s">
        <v>2357</v>
      </c>
      <c r="F118">
        <v>60</v>
      </c>
      <c r="G118" t="s">
        <v>18</v>
      </c>
      <c r="H118">
        <v>68.900000000000006</v>
      </c>
      <c r="O118" t="str">
        <f t="shared" si="3"/>
        <v>"07171211_1715", "07171211_1815", "07171211_1915", "07171211_2015", "07171211_2214", "07171211_2223", "07171211_2323", "07171212_0023", "07171212_0123", "07171212_0224", "07171212_0324"</v>
      </c>
    </row>
    <row r="119" spans="1:15">
      <c r="A119" t="s">
        <v>2358</v>
      </c>
      <c r="F119">
        <v>60</v>
      </c>
      <c r="G119" t="s">
        <v>18</v>
      </c>
      <c r="H119">
        <v>68.900000000000006</v>
      </c>
      <c r="O119" t="str">
        <f t="shared" si="3"/>
        <v>"07171211_1715", "07171211_1815", "07171211_1915", "07171211_2015", "07171211_2214", "07171211_2223", "07171211_2323", "07171212_0023", "07171212_0123", "07171212_0224", "07171212_0324", "07171212_0424"</v>
      </c>
    </row>
    <row r="120" spans="1:15">
      <c r="A120" t="s">
        <v>2359</v>
      </c>
      <c r="F120">
        <v>74</v>
      </c>
      <c r="G120" t="s">
        <v>18</v>
      </c>
      <c r="H120">
        <f>69.91-0.4*2.59</f>
        <v>68.873999999999995</v>
      </c>
    </row>
    <row r="121" spans="1:15">
      <c r="A121" s="176" t="s">
        <v>2360</v>
      </c>
      <c r="B121" s="177"/>
      <c r="C121" s="177"/>
      <c r="D121" s="177"/>
      <c r="E121" s="177"/>
      <c r="F121" s="177">
        <v>60</v>
      </c>
      <c r="G121" s="177" t="s">
        <v>18</v>
      </c>
      <c r="H121" s="177">
        <v>68.8</v>
      </c>
      <c r="I121" s="177"/>
      <c r="J121" s="177" t="s">
        <v>191</v>
      </c>
      <c r="K121" s="178" t="s">
        <v>2361</v>
      </c>
    </row>
    <row r="122" spans="1:15">
      <c r="A122" s="179" t="s">
        <v>2362</v>
      </c>
      <c r="F122">
        <v>60</v>
      </c>
      <c r="G122" t="s">
        <v>18</v>
      </c>
      <c r="H122">
        <v>68.8</v>
      </c>
      <c r="J122" t="s">
        <v>191</v>
      </c>
      <c r="K122" s="180" t="s">
        <v>2361</v>
      </c>
    </row>
    <row r="123" spans="1:15">
      <c r="A123" s="181" t="s">
        <v>2363</v>
      </c>
      <c r="B123" s="65"/>
      <c r="C123" s="65"/>
      <c r="D123" s="65"/>
      <c r="E123" s="65"/>
      <c r="F123" s="65">
        <v>60</v>
      </c>
      <c r="G123" s="65" t="s">
        <v>18</v>
      </c>
      <c r="H123" s="65">
        <v>68.8</v>
      </c>
      <c r="I123" s="65"/>
      <c r="J123" s="65" t="s">
        <v>191</v>
      </c>
      <c r="K123" s="182" t="s">
        <v>2361</v>
      </c>
    </row>
    <row r="124" spans="1:15">
      <c r="A124" t="s">
        <v>2364</v>
      </c>
      <c r="F124">
        <v>44</v>
      </c>
      <c r="G124" t="s">
        <v>18</v>
      </c>
      <c r="H124">
        <f>69.9-0.4*2.49</f>
        <v>68.904000000000011</v>
      </c>
      <c r="K124" t="s">
        <v>2365</v>
      </c>
    </row>
    <row r="125" spans="1:15">
      <c r="A125" t="s">
        <v>2366</v>
      </c>
      <c r="F125">
        <v>60</v>
      </c>
      <c r="G125" t="s">
        <v>18</v>
      </c>
      <c r="H125">
        <v>68.900000000000006</v>
      </c>
      <c r="K125" t="s">
        <v>2367</v>
      </c>
    </row>
    <row r="126" spans="1:15">
      <c r="A126" t="s">
        <v>2368</v>
      </c>
      <c r="F126">
        <v>60</v>
      </c>
      <c r="G126" t="s">
        <v>18</v>
      </c>
      <c r="H126">
        <v>68.900000000000006</v>
      </c>
      <c r="K126" t="s">
        <v>2367</v>
      </c>
    </row>
    <row r="127" spans="1:15">
      <c r="A127" t="s">
        <v>2369</v>
      </c>
      <c r="F127">
        <v>60</v>
      </c>
      <c r="G127" t="s">
        <v>18</v>
      </c>
      <c r="H127">
        <v>68.900000000000006</v>
      </c>
      <c r="J127" t="s">
        <v>191</v>
      </c>
      <c r="K127" s="180" t="s">
        <v>2361</v>
      </c>
      <c r="L127" t="s">
        <v>2370</v>
      </c>
      <c r="O127" t="str">
        <f>""""&amp;A127&amp;""""</f>
        <v>"07171212_2231"</v>
      </c>
    </row>
    <row r="128" spans="1:15">
      <c r="A128" t="s">
        <v>2371</v>
      </c>
      <c r="F128">
        <v>60</v>
      </c>
      <c r="G128" t="s">
        <v>18</v>
      </c>
      <c r="H128">
        <v>68.900000000000006</v>
      </c>
      <c r="J128" t="s">
        <v>191</v>
      </c>
      <c r="K128" s="180" t="s">
        <v>2361</v>
      </c>
      <c r="O128" t="str">
        <f t="shared" ref="O128:O133" si="4">O127&amp;", """&amp;A128&amp;""""</f>
        <v>"07171212_2231", "07171212_2332"</v>
      </c>
    </row>
    <row r="129" spans="1:15">
      <c r="A129" t="s">
        <v>2372</v>
      </c>
      <c r="F129">
        <v>60</v>
      </c>
      <c r="G129" t="s">
        <v>18</v>
      </c>
      <c r="H129">
        <v>68.900000000000006</v>
      </c>
      <c r="J129" t="s">
        <v>191</v>
      </c>
      <c r="K129" s="180" t="s">
        <v>2361</v>
      </c>
      <c r="O129" t="str">
        <f t="shared" si="4"/>
        <v>"07171212_2231", "07171212_2332", "07171213_0032"</v>
      </c>
    </row>
    <row r="130" spans="1:15">
      <c r="A130" t="s">
        <v>2373</v>
      </c>
      <c r="F130">
        <v>60</v>
      </c>
      <c r="G130" t="s">
        <v>18</v>
      </c>
      <c r="H130">
        <v>68.900000000000006</v>
      </c>
      <c r="J130" t="s">
        <v>191</v>
      </c>
      <c r="K130" s="180" t="s">
        <v>2361</v>
      </c>
      <c r="O130" t="str">
        <f t="shared" si="4"/>
        <v>"07171212_2231", "07171212_2332", "07171213_0032", "07171213_0132"</v>
      </c>
    </row>
    <row r="131" spans="1:15">
      <c r="A131" t="s">
        <v>2374</v>
      </c>
      <c r="F131">
        <v>60</v>
      </c>
      <c r="G131" t="s">
        <v>18</v>
      </c>
      <c r="H131">
        <v>68.900000000000006</v>
      </c>
      <c r="J131" t="s">
        <v>191</v>
      </c>
      <c r="K131" s="180" t="s">
        <v>2361</v>
      </c>
      <c r="O131" t="str">
        <f t="shared" si="4"/>
        <v>"07171212_2231", "07171212_2332", "07171213_0032", "07171213_0132", "07171213_0232"</v>
      </c>
    </row>
    <row r="132" spans="1:15">
      <c r="A132" t="s">
        <v>2375</v>
      </c>
      <c r="F132">
        <v>60</v>
      </c>
      <c r="G132" t="s">
        <v>18</v>
      </c>
      <c r="H132">
        <v>68.900000000000006</v>
      </c>
      <c r="J132" t="s">
        <v>191</v>
      </c>
      <c r="K132" s="180" t="s">
        <v>2361</v>
      </c>
      <c r="O132" t="str">
        <f t="shared" si="4"/>
        <v>"07171212_2231", "07171212_2332", "07171213_0032", "07171213_0132", "07171213_0232", "07171213_0332"</v>
      </c>
    </row>
    <row r="133" spans="1:15">
      <c r="A133" t="s">
        <v>2376</v>
      </c>
      <c r="F133">
        <v>60</v>
      </c>
      <c r="G133" t="s">
        <v>18</v>
      </c>
      <c r="H133">
        <v>68.900000000000006</v>
      </c>
      <c r="J133" t="s">
        <v>191</v>
      </c>
      <c r="K133" s="180" t="s">
        <v>2361</v>
      </c>
      <c r="O133" t="str">
        <f t="shared" si="4"/>
        <v>"07171212_2231", "07171212_2332", "07171213_0032", "07171213_0132", "07171213_0232", "07171213_0332", "07171213_0432"</v>
      </c>
    </row>
    <row r="134" spans="1:15">
      <c r="A134" t="s">
        <v>2377</v>
      </c>
      <c r="F134">
        <v>60</v>
      </c>
      <c r="G134" t="s">
        <v>18</v>
      </c>
      <c r="H134">
        <v>68.900000000000006</v>
      </c>
      <c r="K134" s="180" t="s">
        <v>2378</v>
      </c>
    </row>
    <row r="135" spans="1:15">
      <c r="A135" t="s">
        <v>2379</v>
      </c>
      <c r="F135">
        <v>60</v>
      </c>
      <c r="G135" t="s">
        <v>18</v>
      </c>
      <c r="H135">
        <v>68.900000000000006</v>
      </c>
      <c r="K135" s="180" t="s">
        <v>2380</v>
      </c>
    </row>
    <row r="136" spans="1:15">
      <c r="A136" t="s">
        <v>2381</v>
      </c>
      <c r="F136">
        <v>60</v>
      </c>
      <c r="G136" t="s">
        <v>18</v>
      </c>
      <c r="H136">
        <v>68.900000000000006</v>
      </c>
      <c r="K136" s="180" t="s">
        <v>2380</v>
      </c>
    </row>
    <row r="137" spans="1:15">
      <c r="A137" t="s">
        <v>2382</v>
      </c>
      <c r="F137">
        <v>83</v>
      </c>
      <c r="G137" t="s">
        <v>2383</v>
      </c>
      <c r="J137" t="s">
        <v>2384</v>
      </c>
      <c r="K137" s="180" t="s">
        <v>2385</v>
      </c>
    </row>
    <row r="138" spans="1:15">
      <c r="A138" t="s">
        <v>2386</v>
      </c>
      <c r="F138">
        <v>60</v>
      </c>
      <c r="G138" t="s">
        <v>18</v>
      </c>
      <c r="H138" t="s">
        <v>2387</v>
      </c>
      <c r="I138" t="s">
        <v>2388</v>
      </c>
      <c r="J138" t="s">
        <v>2389</v>
      </c>
    </row>
    <row r="139" spans="1:15">
      <c r="A139" t="s">
        <v>2390</v>
      </c>
      <c r="F139">
        <v>60</v>
      </c>
      <c r="G139" t="s">
        <v>18</v>
      </c>
      <c r="H139" t="s">
        <v>2387</v>
      </c>
      <c r="I139" t="s">
        <v>2388</v>
      </c>
      <c r="J139" t="s">
        <v>2389</v>
      </c>
    </row>
    <row r="140" spans="1:15">
      <c r="A140" t="s">
        <v>2391</v>
      </c>
      <c r="F140">
        <v>60</v>
      </c>
      <c r="G140" t="s">
        <v>18</v>
      </c>
      <c r="H140" t="s">
        <v>2387</v>
      </c>
      <c r="I140" t="s">
        <v>2392</v>
      </c>
      <c r="J140" t="s">
        <v>2389</v>
      </c>
    </row>
    <row r="141" spans="1:15">
      <c r="A141" t="s">
        <v>2393</v>
      </c>
      <c r="G141" t="s">
        <v>18</v>
      </c>
    </row>
    <row r="142" spans="1:15">
      <c r="A142" t="s">
        <v>2394</v>
      </c>
      <c r="F142">
        <v>60</v>
      </c>
      <c r="G142" t="s">
        <v>18</v>
      </c>
      <c r="H142">
        <v>30</v>
      </c>
      <c r="J142" t="s">
        <v>2389</v>
      </c>
    </row>
    <row r="143" spans="1:15">
      <c r="A143" t="s">
        <v>2395</v>
      </c>
      <c r="F143">
        <v>60</v>
      </c>
      <c r="G143" t="s">
        <v>18</v>
      </c>
      <c r="H143">
        <v>65</v>
      </c>
      <c r="J143" t="s">
        <v>2389</v>
      </c>
    </row>
    <row r="144" spans="1:15">
      <c r="A144" t="s">
        <v>2396</v>
      </c>
      <c r="F144">
        <v>60</v>
      </c>
      <c r="G144" t="s">
        <v>18</v>
      </c>
      <c r="H144">
        <v>70</v>
      </c>
      <c r="J144" t="s">
        <v>2389</v>
      </c>
    </row>
    <row r="145" spans="1:15">
      <c r="A145" t="s">
        <v>2397</v>
      </c>
      <c r="F145">
        <v>60</v>
      </c>
      <c r="G145" t="s">
        <v>18</v>
      </c>
      <c r="H145">
        <v>75</v>
      </c>
      <c r="J145" t="s">
        <v>2389</v>
      </c>
    </row>
    <row r="146" spans="1:15">
      <c r="A146" t="s">
        <v>2398</v>
      </c>
      <c r="F146">
        <v>3</v>
      </c>
      <c r="G146" t="s">
        <v>18</v>
      </c>
      <c r="I146" s="62" t="s">
        <v>2399</v>
      </c>
      <c r="J146" t="s">
        <v>191</v>
      </c>
      <c r="L146" t="s">
        <v>2301</v>
      </c>
    </row>
    <row r="147" spans="1:15">
      <c r="A147" t="s">
        <v>2400</v>
      </c>
      <c r="F147">
        <v>3</v>
      </c>
      <c r="G147" t="s">
        <v>18</v>
      </c>
      <c r="I147" s="63" t="s">
        <v>2401</v>
      </c>
      <c r="J147" t="s">
        <v>191</v>
      </c>
      <c r="L147" t="s">
        <v>2303</v>
      </c>
    </row>
    <row r="148" spans="1:15">
      <c r="A148" t="s">
        <v>2402</v>
      </c>
      <c r="F148">
        <v>3</v>
      </c>
      <c r="G148" t="s">
        <v>18</v>
      </c>
      <c r="I148" s="63"/>
      <c r="J148" t="s">
        <v>191</v>
      </c>
      <c r="L148" t="s">
        <v>2305</v>
      </c>
    </row>
    <row r="149" spans="1:15">
      <c r="A149" t="s">
        <v>2403</v>
      </c>
      <c r="F149">
        <v>3</v>
      </c>
      <c r="G149" t="s">
        <v>18</v>
      </c>
      <c r="I149" s="63"/>
      <c r="J149" t="s">
        <v>191</v>
      </c>
      <c r="L149" t="s">
        <v>2404</v>
      </c>
    </row>
    <row r="150" spans="1:15">
      <c r="A150" t="s">
        <v>2405</v>
      </c>
      <c r="F150">
        <v>3</v>
      </c>
      <c r="G150" t="s">
        <v>18</v>
      </c>
      <c r="I150" s="63"/>
      <c r="J150" t="s">
        <v>191</v>
      </c>
      <c r="L150" t="s">
        <v>2406</v>
      </c>
    </row>
    <row r="151" spans="1:15">
      <c r="A151" t="s">
        <v>2407</v>
      </c>
      <c r="F151">
        <v>3</v>
      </c>
      <c r="G151" t="s">
        <v>18</v>
      </c>
      <c r="I151" s="63"/>
      <c r="J151" t="s">
        <v>191</v>
      </c>
      <c r="L151" t="s">
        <v>2408</v>
      </c>
    </row>
    <row r="152" spans="1:15">
      <c r="A152" t="s">
        <v>2409</v>
      </c>
      <c r="F152">
        <v>3</v>
      </c>
      <c r="G152" t="s">
        <v>18</v>
      </c>
      <c r="I152" s="64"/>
      <c r="J152" t="s">
        <v>191</v>
      </c>
      <c r="L152" t="s">
        <v>2410</v>
      </c>
    </row>
    <row r="153" spans="1:15">
      <c r="A153" t="s">
        <v>2411</v>
      </c>
      <c r="F153">
        <v>60</v>
      </c>
      <c r="G153" t="s">
        <v>18</v>
      </c>
      <c r="H153">
        <v>68.8</v>
      </c>
      <c r="K153" t="s">
        <v>2412</v>
      </c>
      <c r="O153" t="str">
        <f>""""&amp;A153&amp;""""</f>
        <v>"07171214_2236"</v>
      </c>
    </row>
    <row r="154" spans="1:15">
      <c r="A154" t="s">
        <v>2413</v>
      </c>
      <c r="F154">
        <v>60</v>
      </c>
      <c r="G154" t="s">
        <v>18</v>
      </c>
      <c r="H154">
        <v>68.8</v>
      </c>
      <c r="K154" t="s">
        <v>2412</v>
      </c>
      <c r="O154" t="str">
        <f>O153&amp;", """&amp;A154&amp;""""</f>
        <v>"07171214_2236", "07171214_2336"</v>
      </c>
    </row>
    <row r="155" spans="1:15">
      <c r="A155" t="s">
        <v>2414</v>
      </c>
      <c r="F155">
        <v>60</v>
      </c>
      <c r="G155" t="s">
        <v>18</v>
      </c>
      <c r="H155">
        <v>68.8</v>
      </c>
      <c r="K155" t="s">
        <v>2412</v>
      </c>
      <c r="O155" t="str">
        <f>O154&amp;", """&amp;A155&amp;""""</f>
        <v>"07171214_2236", "07171214_2336", "07171215_0036"</v>
      </c>
    </row>
    <row r="156" spans="1:15">
      <c r="A156" t="s">
        <v>2415</v>
      </c>
      <c r="F156">
        <v>60</v>
      </c>
      <c r="G156" t="s">
        <v>18</v>
      </c>
      <c r="H156">
        <v>68.8</v>
      </c>
      <c r="K156" t="s">
        <v>2416</v>
      </c>
      <c r="O156" t="str">
        <f>O155&amp;", """&amp;A156&amp;""""</f>
        <v>"07171214_2236", "07171214_2336", "07171215_0036", "07171215_0136"</v>
      </c>
    </row>
    <row r="157" spans="1:15">
      <c r="A157" t="s">
        <v>2417</v>
      </c>
      <c r="F157">
        <v>60</v>
      </c>
      <c r="G157" t="s">
        <v>18</v>
      </c>
      <c r="H157">
        <v>68.8</v>
      </c>
      <c r="K157" t="s">
        <v>2416</v>
      </c>
      <c r="O157" t="str">
        <f>O156&amp;", """&amp;A157&amp;""""</f>
        <v>"07171214_2236", "07171214_2336", "07171215_0036", "07171215_0136", "07171215_0236"</v>
      </c>
    </row>
    <row r="158" spans="1:15">
      <c r="A158" t="s">
        <v>2418</v>
      </c>
      <c r="F158">
        <v>60</v>
      </c>
      <c r="G158" t="s">
        <v>18</v>
      </c>
      <c r="H158">
        <v>68.8</v>
      </c>
      <c r="K158" t="s">
        <v>2416</v>
      </c>
      <c r="O158" t="str">
        <f>O157&amp;", """&amp;A158&amp;""""</f>
        <v>"07171214_2236", "07171214_2336", "07171215_0036", "07171215_0136", "07171215_0236", "07171215_0336"</v>
      </c>
    </row>
    <row r="159" spans="1:15">
      <c r="A159" t="s">
        <v>2419</v>
      </c>
      <c r="F159">
        <v>3</v>
      </c>
      <c r="G159" t="s">
        <v>18</v>
      </c>
      <c r="J159" t="s">
        <v>191</v>
      </c>
      <c r="L159" t="s">
        <v>2301</v>
      </c>
    </row>
    <row r="160" spans="1:15">
      <c r="A160" t="s">
        <v>2420</v>
      </c>
      <c r="F160">
        <v>3</v>
      </c>
      <c r="G160" t="s">
        <v>18</v>
      </c>
      <c r="J160" t="s">
        <v>191</v>
      </c>
      <c r="L160" t="s">
        <v>2303</v>
      </c>
    </row>
    <row r="161" spans="1:12">
      <c r="A161" t="s">
        <v>2421</v>
      </c>
      <c r="F161">
        <v>3</v>
      </c>
      <c r="G161" t="s">
        <v>18</v>
      </c>
      <c r="J161" t="s">
        <v>191</v>
      </c>
      <c r="L161" t="s">
        <v>2305</v>
      </c>
    </row>
    <row r="162" spans="1:12">
      <c r="A162" t="s">
        <v>2422</v>
      </c>
      <c r="F162">
        <v>3</v>
      </c>
      <c r="G162" t="s">
        <v>18</v>
      </c>
      <c r="J162" t="s">
        <v>191</v>
      </c>
      <c r="L162" t="s">
        <v>2404</v>
      </c>
    </row>
    <row r="163" spans="1:12">
      <c r="A163" t="s">
        <v>2423</v>
      </c>
      <c r="F163">
        <v>3</v>
      </c>
      <c r="G163" t="s">
        <v>18</v>
      </c>
      <c r="J163" t="s">
        <v>191</v>
      </c>
      <c r="L163" t="s">
        <v>2406</v>
      </c>
    </row>
    <row r="164" spans="1:12">
      <c r="A164" t="s">
        <v>2424</v>
      </c>
      <c r="F164">
        <v>3</v>
      </c>
      <c r="G164" t="s">
        <v>18</v>
      </c>
      <c r="J164" t="s">
        <v>191</v>
      </c>
      <c r="L164" t="s">
        <v>2408</v>
      </c>
    </row>
    <row r="165" spans="1:12">
      <c r="A165" t="s">
        <v>2425</v>
      </c>
      <c r="F165">
        <v>3</v>
      </c>
      <c r="G165" t="s">
        <v>18</v>
      </c>
      <c r="J165" t="s">
        <v>191</v>
      </c>
      <c r="L165" t="s">
        <v>2410</v>
      </c>
    </row>
    <row r="166" spans="1:12">
      <c r="A166" t="s">
        <v>2426</v>
      </c>
      <c r="F166">
        <v>60</v>
      </c>
      <c r="G166" t="s">
        <v>18</v>
      </c>
      <c r="H166">
        <f t="shared" ref="H166:H172" si="5">69.89-0.4*2.6</f>
        <v>68.849999999999994</v>
      </c>
      <c r="K166" t="s">
        <v>2427</v>
      </c>
    </row>
    <row r="167" spans="1:12">
      <c r="A167" t="s">
        <v>2428</v>
      </c>
      <c r="F167">
        <v>60</v>
      </c>
      <c r="G167" t="s">
        <v>18</v>
      </c>
      <c r="H167">
        <f t="shared" si="5"/>
        <v>68.849999999999994</v>
      </c>
      <c r="K167" t="s">
        <v>2427</v>
      </c>
    </row>
    <row r="168" spans="1:12">
      <c r="A168" t="s">
        <v>2429</v>
      </c>
      <c r="F168">
        <v>60</v>
      </c>
      <c r="G168" t="s">
        <v>18</v>
      </c>
      <c r="H168">
        <f t="shared" si="5"/>
        <v>68.849999999999994</v>
      </c>
      <c r="K168" t="s">
        <v>2427</v>
      </c>
    </row>
    <row r="169" spans="1:12">
      <c r="A169" t="s">
        <v>2430</v>
      </c>
      <c r="F169">
        <v>60</v>
      </c>
      <c r="G169" t="s">
        <v>18</v>
      </c>
      <c r="H169">
        <f t="shared" si="5"/>
        <v>68.849999999999994</v>
      </c>
      <c r="I169" t="s">
        <v>2431</v>
      </c>
      <c r="K169" t="s">
        <v>2427</v>
      </c>
    </row>
    <row r="170" spans="1:12">
      <c r="A170" t="s">
        <v>2432</v>
      </c>
      <c r="F170">
        <v>60</v>
      </c>
      <c r="G170" t="s">
        <v>18</v>
      </c>
      <c r="H170">
        <f t="shared" si="5"/>
        <v>68.849999999999994</v>
      </c>
      <c r="I170" t="s">
        <v>2431</v>
      </c>
      <c r="K170" t="s">
        <v>2427</v>
      </c>
    </row>
    <row r="171" spans="1:12">
      <c r="A171" t="s">
        <v>2433</v>
      </c>
      <c r="F171">
        <v>60</v>
      </c>
      <c r="G171" t="s">
        <v>18</v>
      </c>
      <c r="H171">
        <f t="shared" si="5"/>
        <v>68.849999999999994</v>
      </c>
      <c r="I171" t="s">
        <v>2431</v>
      </c>
      <c r="K171" t="s">
        <v>2427</v>
      </c>
    </row>
    <row r="172" spans="1:12">
      <c r="A172" t="s">
        <v>2434</v>
      </c>
      <c r="F172">
        <v>60</v>
      </c>
      <c r="G172" t="s">
        <v>18</v>
      </c>
      <c r="H172">
        <f t="shared" si="5"/>
        <v>68.849999999999994</v>
      </c>
      <c r="I172" t="s">
        <v>2431</v>
      </c>
      <c r="K172" t="s">
        <v>2427</v>
      </c>
    </row>
    <row r="173" spans="1:12">
      <c r="A173" t="s">
        <v>2435</v>
      </c>
      <c r="F173">
        <v>17</v>
      </c>
      <c r="G173" t="s">
        <v>18</v>
      </c>
      <c r="H173">
        <v>68.8</v>
      </c>
      <c r="K173" t="s">
        <v>2427</v>
      </c>
    </row>
    <row r="174" spans="1:12">
      <c r="A174" t="s">
        <v>2436</v>
      </c>
      <c r="F174">
        <v>60</v>
      </c>
      <c r="G174" t="s">
        <v>18</v>
      </c>
      <c r="H174">
        <v>68.8</v>
      </c>
      <c r="K174" t="s">
        <v>2427</v>
      </c>
    </row>
    <row r="175" spans="1:12">
      <c r="A175" t="s">
        <v>2437</v>
      </c>
      <c r="F175">
        <v>60</v>
      </c>
      <c r="G175" t="s">
        <v>18</v>
      </c>
      <c r="H175">
        <v>68.8</v>
      </c>
      <c r="K175" t="s">
        <v>2427</v>
      </c>
    </row>
    <row r="176" spans="1:12">
      <c r="A176" t="s">
        <v>2438</v>
      </c>
      <c r="F176">
        <v>60</v>
      </c>
      <c r="G176" t="s">
        <v>18</v>
      </c>
      <c r="H176">
        <v>68.8</v>
      </c>
      <c r="K176" t="s">
        <v>2427</v>
      </c>
    </row>
    <row r="177" spans="1:15">
      <c r="A177" t="s">
        <v>2439</v>
      </c>
      <c r="F177">
        <v>60</v>
      </c>
      <c r="G177" t="s">
        <v>18</v>
      </c>
      <c r="H177">
        <v>68.8</v>
      </c>
      <c r="K177" t="s">
        <v>2427</v>
      </c>
    </row>
    <row r="178" spans="1:15">
      <c r="A178" t="s">
        <v>2440</v>
      </c>
      <c r="F178">
        <v>5</v>
      </c>
      <c r="G178" t="s">
        <v>18</v>
      </c>
      <c r="H178">
        <v>0</v>
      </c>
      <c r="J178" t="s">
        <v>2441</v>
      </c>
      <c r="K178" t="s">
        <v>2442</v>
      </c>
    </row>
    <row r="179" spans="1:15">
      <c r="A179" t="s">
        <v>2443</v>
      </c>
      <c r="F179">
        <v>5</v>
      </c>
      <c r="G179" t="s">
        <v>18</v>
      </c>
      <c r="H179">
        <f>69.88-2.83*0.4</f>
        <v>68.74799999999999</v>
      </c>
      <c r="J179" t="s">
        <v>2441</v>
      </c>
      <c r="K179" t="s">
        <v>2442</v>
      </c>
    </row>
    <row r="180" spans="1:15">
      <c r="A180" t="s">
        <v>2444</v>
      </c>
      <c r="F180">
        <v>5</v>
      </c>
      <c r="G180" t="s">
        <v>18</v>
      </c>
      <c r="H180">
        <f>69.88-2.83*0.4</f>
        <v>68.74799999999999</v>
      </c>
      <c r="J180" t="s">
        <v>2441</v>
      </c>
      <c r="K180" t="s">
        <v>2442</v>
      </c>
    </row>
    <row r="181" spans="1:15">
      <c r="A181" t="s">
        <v>2445</v>
      </c>
      <c r="F181">
        <v>5</v>
      </c>
      <c r="G181" t="s">
        <v>18</v>
      </c>
      <c r="H181">
        <v>0</v>
      </c>
      <c r="J181" t="s">
        <v>2441</v>
      </c>
      <c r="K181" t="s">
        <v>2442</v>
      </c>
    </row>
    <row r="182" spans="1:15">
      <c r="A182" t="s">
        <v>2446</v>
      </c>
      <c r="F182">
        <v>60</v>
      </c>
      <c r="G182" t="s">
        <v>18</v>
      </c>
      <c r="H182">
        <v>68.5</v>
      </c>
      <c r="K182" t="s">
        <v>2447</v>
      </c>
      <c r="O182" t="str">
        <f>""""&amp;A182&amp;""""</f>
        <v>"07171218_1550"</v>
      </c>
    </row>
    <row r="183" spans="1:15">
      <c r="A183" t="s">
        <v>2448</v>
      </c>
      <c r="F183">
        <v>60</v>
      </c>
      <c r="G183" t="s">
        <v>18</v>
      </c>
      <c r="H183">
        <v>68.5</v>
      </c>
      <c r="K183" t="s">
        <v>2447</v>
      </c>
      <c r="O183" t="str">
        <f>O182&amp;", """&amp;A183&amp;""""</f>
        <v>"07171218_1550", "07171218_1650"</v>
      </c>
    </row>
    <row r="184" spans="1:15">
      <c r="A184" t="s">
        <v>2449</v>
      </c>
      <c r="F184">
        <v>60</v>
      </c>
      <c r="G184" t="s">
        <v>18</v>
      </c>
      <c r="H184">
        <v>68.5</v>
      </c>
      <c r="K184" t="s">
        <v>2447</v>
      </c>
      <c r="O184" t="str">
        <f>O183&amp;", """&amp;A184&amp;""""</f>
        <v>"07171218_1550", "07171218_1650", "07171218_1750"</v>
      </c>
    </row>
    <row r="185" spans="1:15">
      <c r="A185" t="s">
        <v>2450</v>
      </c>
      <c r="F185">
        <v>60</v>
      </c>
      <c r="G185" t="s">
        <v>18</v>
      </c>
      <c r="H185">
        <v>68.5</v>
      </c>
      <c r="K185" t="s">
        <v>2447</v>
      </c>
      <c r="O185" t="str">
        <f>O184&amp;", """&amp;A185&amp;""""</f>
        <v>"07171218_1550", "07171218_1650", "07171218_1750", "07171218_1850"</v>
      </c>
    </row>
    <row r="186" spans="1:15">
      <c r="A186" t="s">
        <v>2451</v>
      </c>
      <c r="J186" t="s">
        <v>2441</v>
      </c>
    </row>
    <row r="187" spans="1:15">
      <c r="A187" t="s">
        <v>2452</v>
      </c>
      <c r="J187" t="s">
        <v>2441</v>
      </c>
    </row>
    <row r="188" spans="1:15">
      <c r="A188" t="s">
        <v>2453</v>
      </c>
      <c r="J188" t="s">
        <v>2441</v>
      </c>
    </row>
    <row r="189" spans="1:15">
      <c r="A189" t="s">
        <v>2454</v>
      </c>
      <c r="J189" t="s">
        <v>2441</v>
      </c>
    </row>
    <row r="190" spans="1:15">
      <c r="A190" t="s">
        <v>2455</v>
      </c>
      <c r="J190" t="s">
        <v>2441</v>
      </c>
    </row>
    <row r="191" spans="1:15">
      <c r="A191" t="s">
        <v>2456</v>
      </c>
      <c r="J191" t="s">
        <v>2441</v>
      </c>
    </row>
    <row r="192" spans="1:15">
      <c r="A192" t="s">
        <v>2457</v>
      </c>
      <c r="F192">
        <v>16</v>
      </c>
      <c r="G192" t="s">
        <v>2248</v>
      </c>
      <c r="H192">
        <v>68.8</v>
      </c>
      <c r="I192" t="s">
        <v>2458</v>
      </c>
    </row>
    <row r="193" spans="1:11">
      <c r="A193" t="s">
        <v>2459</v>
      </c>
      <c r="F193">
        <v>8</v>
      </c>
      <c r="G193" t="s">
        <v>2248</v>
      </c>
      <c r="H193">
        <v>68.8</v>
      </c>
      <c r="K193" t="s">
        <v>2460</v>
      </c>
    </row>
    <row r="194" spans="1:11">
      <c r="A194" t="s">
        <v>2461</v>
      </c>
      <c r="J194" t="s">
        <v>2441</v>
      </c>
    </row>
    <row r="195" spans="1:11">
      <c r="A195" t="s">
        <v>2462</v>
      </c>
      <c r="J195" t="s">
        <v>2441</v>
      </c>
    </row>
    <row r="196" spans="1:11">
      <c r="A196" t="s">
        <v>2463</v>
      </c>
      <c r="J196" t="s">
        <v>2441</v>
      </c>
    </row>
    <row r="197" spans="1:11">
      <c r="A197" t="s">
        <v>2464</v>
      </c>
      <c r="J197" t="s">
        <v>2441</v>
      </c>
    </row>
    <row r="198" spans="1:11">
      <c r="A198" t="s">
        <v>2465</v>
      </c>
      <c r="J198" t="s">
        <v>2441</v>
      </c>
    </row>
    <row r="199" spans="1:11">
      <c r="A199" t="s">
        <v>2466</v>
      </c>
      <c r="J199" t="s">
        <v>2441</v>
      </c>
    </row>
    <row r="200" spans="1:11">
      <c r="A200" t="s">
        <v>2467</v>
      </c>
      <c r="J200" t="s">
        <v>2441</v>
      </c>
    </row>
    <row r="201" spans="1:11">
      <c r="A201" t="s">
        <v>2468</v>
      </c>
      <c r="J201" t="s">
        <v>2441</v>
      </c>
    </row>
    <row r="202" spans="1:11">
      <c r="A202" t="s">
        <v>2469</v>
      </c>
      <c r="F202">
        <v>57</v>
      </c>
      <c r="G202" t="s">
        <v>18</v>
      </c>
      <c r="H202">
        <v>68.900000000000006</v>
      </c>
      <c r="I202" t="s">
        <v>2470</v>
      </c>
    </row>
    <row r="203" spans="1:11">
      <c r="A203" t="s">
        <v>2471</v>
      </c>
      <c r="F203">
        <v>60</v>
      </c>
      <c r="G203" t="s">
        <v>18</v>
      </c>
      <c r="H203">
        <v>68.900000000000006</v>
      </c>
    </row>
    <row r="204" spans="1:11">
      <c r="A204" t="s">
        <v>2472</v>
      </c>
      <c r="F204">
        <v>60</v>
      </c>
      <c r="G204" t="s">
        <v>18</v>
      </c>
      <c r="H204">
        <v>68.900000000000006</v>
      </c>
    </row>
    <row r="205" spans="1:11">
      <c r="A205" t="s">
        <v>2473</v>
      </c>
      <c r="F205">
        <v>60</v>
      </c>
      <c r="G205" t="s">
        <v>18</v>
      </c>
      <c r="H205">
        <f>69.91-0.4*2.45</f>
        <v>68.929999999999993</v>
      </c>
    </row>
    <row r="206" spans="1:11">
      <c r="A206" t="s">
        <v>2474</v>
      </c>
      <c r="F206">
        <v>60</v>
      </c>
      <c r="G206" t="s">
        <v>18</v>
      </c>
      <c r="H206">
        <f>69.91-0.4*2.45</f>
        <v>68.929999999999993</v>
      </c>
      <c r="K206" t="s">
        <v>2460</v>
      </c>
    </row>
    <row r="207" spans="1:11">
      <c r="A207" t="s">
        <v>2475</v>
      </c>
      <c r="F207">
        <v>60</v>
      </c>
      <c r="G207" t="s">
        <v>18</v>
      </c>
      <c r="H207">
        <f>69.3-2.47*0.4</f>
        <v>68.311999999999998</v>
      </c>
      <c r="K207" t="s">
        <v>2460</v>
      </c>
    </row>
    <row r="208" spans="1:11">
      <c r="A208" t="s">
        <v>2476</v>
      </c>
      <c r="F208">
        <v>60</v>
      </c>
      <c r="G208" t="s">
        <v>18</v>
      </c>
      <c r="H208">
        <f>69.3-2.49*0.4</f>
        <v>68.304000000000002</v>
      </c>
      <c r="K208" t="s">
        <v>2460</v>
      </c>
    </row>
    <row r="209" spans="1:15">
      <c r="A209" t="s">
        <v>2477</v>
      </c>
      <c r="F209">
        <v>60</v>
      </c>
      <c r="G209" t="s">
        <v>18</v>
      </c>
      <c r="H209">
        <f>69.9-2.79*0.4</f>
        <v>68.784000000000006</v>
      </c>
      <c r="K209" t="s">
        <v>2478</v>
      </c>
      <c r="O209" t="str">
        <f>""""&amp;A209&amp;""""</f>
        <v>"07171221_1525"</v>
      </c>
    </row>
    <row r="210" spans="1:15">
      <c r="A210" t="s">
        <v>2479</v>
      </c>
      <c r="F210">
        <v>60</v>
      </c>
      <c r="G210" t="s">
        <v>18</v>
      </c>
      <c r="H210">
        <f>69.9-2.51*0.4</f>
        <v>68.896000000000001</v>
      </c>
      <c r="O210" t="str">
        <f>O209&amp;", """&amp;A210&amp;""""</f>
        <v>"07171221_1525", "07171221_1625"</v>
      </c>
    </row>
    <row r="211" spans="1:15">
      <c r="A211" t="s">
        <v>2480</v>
      </c>
      <c r="F211">
        <v>10</v>
      </c>
      <c r="G211" t="s">
        <v>18</v>
      </c>
      <c r="H211">
        <f>69.89-2.72*0.4</f>
        <v>68.802000000000007</v>
      </c>
      <c r="K211" t="s">
        <v>2481</v>
      </c>
      <c r="O211" t="str">
        <f>""""&amp;A211&amp;""""</f>
        <v>"07171221_1912"</v>
      </c>
    </row>
    <row r="212" spans="1:15">
      <c r="A212" t="s">
        <v>2482</v>
      </c>
      <c r="F212">
        <v>10</v>
      </c>
      <c r="G212" t="s">
        <v>18</v>
      </c>
      <c r="H212">
        <v>68.849999999999994</v>
      </c>
      <c r="O212" t="str">
        <f t="shared" ref="O212:O222" si="6">O211&amp;", """&amp;A212&amp;""""</f>
        <v>"07171221_1912", "07171221_1922"</v>
      </c>
    </row>
    <row r="213" spans="1:15">
      <c r="A213" t="s">
        <v>2483</v>
      </c>
      <c r="F213">
        <v>10</v>
      </c>
      <c r="G213" t="s">
        <v>18</v>
      </c>
      <c r="H213">
        <v>68.849999999999994</v>
      </c>
      <c r="O213" t="str">
        <f t="shared" si="6"/>
        <v>"07171221_1912", "07171221_1922", "07171221_1932"</v>
      </c>
    </row>
    <row r="214" spans="1:15">
      <c r="A214" t="s">
        <v>2484</v>
      </c>
      <c r="F214">
        <v>10</v>
      </c>
      <c r="G214" t="s">
        <v>18</v>
      </c>
      <c r="H214">
        <v>68.849999999999994</v>
      </c>
      <c r="O214" t="str">
        <f t="shared" si="6"/>
        <v>"07171221_1912", "07171221_1922", "07171221_1932", "07171221_1942"</v>
      </c>
    </row>
    <row r="215" spans="1:15">
      <c r="A215" t="s">
        <v>2485</v>
      </c>
      <c r="F215">
        <v>10</v>
      </c>
      <c r="G215" t="s">
        <v>18</v>
      </c>
      <c r="H215">
        <v>68.849999999999994</v>
      </c>
      <c r="O215" t="str">
        <f t="shared" si="6"/>
        <v>"07171221_1912", "07171221_1922", "07171221_1932", "07171221_1942", "07171221_1953"</v>
      </c>
    </row>
    <row r="216" spans="1:15">
      <c r="A216" t="s">
        <v>2486</v>
      </c>
      <c r="F216">
        <v>10</v>
      </c>
      <c r="G216" t="s">
        <v>18</v>
      </c>
      <c r="H216">
        <v>68.849999999999994</v>
      </c>
      <c r="O216" t="str">
        <f t="shared" si="6"/>
        <v>"07171221_1912", "07171221_1922", "07171221_1932", "07171221_1942", "07171221_1953", "07171221_2003"</v>
      </c>
    </row>
    <row r="217" spans="1:15">
      <c r="A217" t="s">
        <v>2487</v>
      </c>
      <c r="F217">
        <v>10</v>
      </c>
      <c r="G217" t="s">
        <v>18</v>
      </c>
      <c r="H217">
        <v>68.849999999999994</v>
      </c>
      <c r="O217" t="str">
        <f t="shared" si="6"/>
        <v>"07171221_1912", "07171221_1922", "07171221_1932", "07171221_1942", "07171221_1953", "07171221_2003", "07171221_2013"</v>
      </c>
    </row>
    <row r="218" spans="1:15">
      <c r="A218" t="s">
        <v>2488</v>
      </c>
      <c r="F218">
        <v>10</v>
      </c>
      <c r="G218" t="s">
        <v>18</v>
      </c>
      <c r="H218">
        <v>68.849999999999994</v>
      </c>
      <c r="O218" t="str">
        <f t="shared" si="6"/>
        <v>"07171221_1912", "07171221_1922", "07171221_1932", "07171221_1942", "07171221_1953", "07171221_2003", "07171221_2013", "07171221_2023"</v>
      </c>
    </row>
    <row r="219" spans="1:15">
      <c r="A219" t="s">
        <v>2489</v>
      </c>
      <c r="F219">
        <v>10</v>
      </c>
      <c r="G219" t="s">
        <v>18</v>
      </c>
      <c r="H219">
        <v>68.849999999999994</v>
      </c>
      <c r="O219" t="str">
        <f t="shared" si="6"/>
        <v>"07171221_1912", "07171221_1922", "07171221_1932", "07171221_1942", "07171221_1953", "07171221_2003", "07171221_2013", "07171221_2023", "07171221_2033"</v>
      </c>
    </row>
    <row r="220" spans="1:15">
      <c r="A220" t="s">
        <v>2490</v>
      </c>
      <c r="F220">
        <v>10</v>
      </c>
      <c r="G220" t="s">
        <v>18</v>
      </c>
      <c r="H220">
        <v>68.849999999999994</v>
      </c>
      <c r="O220" t="str">
        <f t="shared" si="6"/>
        <v>"07171221_1912", "07171221_1922", "07171221_1932", "07171221_1942", "07171221_1953", "07171221_2003", "07171221_2013", "07171221_2023", "07171221_2033", "07171221_2043"</v>
      </c>
    </row>
    <row r="221" spans="1:15">
      <c r="A221" t="s">
        <v>2491</v>
      </c>
      <c r="F221">
        <v>10</v>
      </c>
      <c r="G221" t="s">
        <v>18</v>
      </c>
      <c r="H221">
        <v>68.849999999999994</v>
      </c>
      <c r="O221" t="str">
        <f t="shared" si="6"/>
        <v>"07171221_1912", "07171221_1922", "07171221_1932", "07171221_1942", "07171221_1953", "07171221_2003", "07171221_2013", "07171221_2023", "07171221_2033", "07171221_2043", "07171221_2053"</v>
      </c>
    </row>
    <row r="222" spans="1:15">
      <c r="A222" t="s">
        <v>2492</v>
      </c>
      <c r="F222">
        <v>10</v>
      </c>
      <c r="G222" t="s">
        <v>18</v>
      </c>
      <c r="H222">
        <f>69.89-2.43*0.4</f>
        <v>68.918000000000006</v>
      </c>
      <c r="O222" t="str">
        <f t="shared" si="6"/>
        <v>"07171221_1912", "07171221_1922", "07171221_1932", "07171221_1942", "07171221_1953", "07171221_2003", "07171221_2013", "07171221_2023", "07171221_2033", "07171221_2043", "07171221_2053", "07171221_2103"</v>
      </c>
    </row>
    <row r="223" spans="1:15">
      <c r="A223" t="s">
        <v>2493</v>
      </c>
      <c r="F223">
        <v>30</v>
      </c>
      <c r="G223" t="s">
        <v>18</v>
      </c>
      <c r="H223">
        <v>68.900000000000006</v>
      </c>
      <c r="K223" s="62" t="s">
        <v>2494</v>
      </c>
      <c r="O223" t="str">
        <f>""""&amp;A223&amp;""""</f>
        <v>"07171222_1728"</v>
      </c>
    </row>
    <row r="224" spans="1:15">
      <c r="A224" t="s">
        <v>2495</v>
      </c>
      <c r="F224">
        <v>30</v>
      </c>
      <c r="G224" t="s">
        <v>18</v>
      </c>
      <c r="H224">
        <v>68.900000000000006</v>
      </c>
      <c r="K224" s="63" t="s">
        <v>2496</v>
      </c>
      <c r="O224" t="str">
        <f t="shared" ref="O224:O287" si="7">O223&amp;", """&amp;A224&amp;""""</f>
        <v>"07171222_1728", "07171222_1843"</v>
      </c>
    </row>
    <row r="225" spans="1:15">
      <c r="A225" t="s">
        <v>2497</v>
      </c>
      <c r="F225">
        <v>30</v>
      </c>
      <c r="G225" t="s">
        <v>18</v>
      </c>
      <c r="H225">
        <v>68.900000000000006</v>
      </c>
      <c r="K225" s="63"/>
      <c r="O225" t="str">
        <f t="shared" si="7"/>
        <v>"07171222_1728", "07171222_1843", "07171222_1959"</v>
      </c>
    </row>
    <row r="226" spans="1:15">
      <c r="A226" t="s">
        <v>2498</v>
      </c>
      <c r="F226">
        <v>30</v>
      </c>
      <c r="G226" t="s">
        <v>18</v>
      </c>
      <c r="H226">
        <v>68.900000000000006</v>
      </c>
      <c r="K226" s="63"/>
      <c r="O226" t="str">
        <f t="shared" si="7"/>
        <v>"07171222_1728", "07171222_1843", "07171222_1959", "07171222_2114"</v>
      </c>
    </row>
    <row r="227" spans="1:15">
      <c r="A227" t="s">
        <v>2499</v>
      </c>
      <c r="F227">
        <v>30</v>
      </c>
      <c r="G227" t="s">
        <v>18</v>
      </c>
      <c r="H227">
        <v>68.900000000000006</v>
      </c>
      <c r="K227" s="63"/>
      <c r="O227" t="str">
        <f t="shared" si="7"/>
        <v>"07171222_1728", "07171222_1843", "07171222_1959", "07171222_2114", "07171222_2230"</v>
      </c>
    </row>
    <row r="228" spans="1:15">
      <c r="A228" t="s">
        <v>2500</v>
      </c>
      <c r="F228">
        <v>30</v>
      </c>
      <c r="G228" t="s">
        <v>18</v>
      </c>
      <c r="H228">
        <v>68.900000000000006</v>
      </c>
      <c r="K228" s="63"/>
      <c r="O228" t="str">
        <f t="shared" si="7"/>
        <v>"07171222_1728", "07171222_1843", "07171222_1959", "07171222_2114", "07171222_2230", "07171222_2345"</v>
      </c>
    </row>
    <row r="229" spans="1:15">
      <c r="A229" t="s">
        <v>2501</v>
      </c>
      <c r="F229">
        <v>30</v>
      </c>
      <c r="G229" t="s">
        <v>18</v>
      </c>
      <c r="H229">
        <v>68.900000000000006</v>
      </c>
      <c r="K229" s="63"/>
      <c r="O229" t="str">
        <f t="shared" si="7"/>
        <v>"07171222_1728", "07171222_1843", "07171222_1959", "07171222_2114", "07171222_2230", "07171222_2345", "07171223_0100"</v>
      </c>
    </row>
    <row r="230" spans="1:15">
      <c r="A230" t="s">
        <v>2502</v>
      </c>
      <c r="F230">
        <v>30</v>
      </c>
      <c r="G230" t="s">
        <v>18</v>
      </c>
      <c r="H230">
        <v>68.900000000000006</v>
      </c>
      <c r="K230" s="63"/>
      <c r="O230" t="str">
        <f t="shared" si="7"/>
        <v>"07171222_1728", "07171222_1843", "07171222_1959", "07171222_2114", "07171222_2230", "07171222_2345", "07171223_0100", "07171223_0216"</v>
      </c>
    </row>
    <row r="231" spans="1:15">
      <c r="A231" t="s">
        <v>2503</v>
      </c>
      <c r="F231">
        <v>30</v>
      </c>
      <c r="G231" t="s">
        <v>18</v>
      </c>
      <c r="H231">
        <v>68.900000000000006</v>
      </c>
      <c r="K231" s="63"/>
      <c r="O231" t="str">
        <f t="shared" si="7"/>
        <v>"07171222_1728", "07171222_1843", "07171222_1959", "07171222_2114", "07171222_2230", "07171222_2345", "07171223_0100", "07171223_0216", "07171223_0331"</v>
      </c>
    </row>
    <row r="232" spans="1:15">
      <c r="A232" t="s">
        <v>2504</v>
      </c>
      <c r="F232">
        <v>30</v>
      </c>
      <c r="G232" t="s">
        <v>18</v>
      </c>
      <c r="H232">
        <v>68.900000000000006</v>
      </c>
      <c r="K232" s="63"/>
      <c r="O232" t="str">
        <f t="shared" si="7"/>
        <v>"07171222_1728", "07171222_1843", "07171222_1959", "07171222_2114", "07171222_2230", "07171222_2345", "07171223_0100", "07171223_0216", "07171223_0331", "07171223_0447"</v>
      </c>
    </row>
    <row r="233" spans="1:15">
      <c r="A233" t="s">
        <v>2505</v>
      </c>
      <c r="F233">
        <v>30</v>
      </c>
      <c r="G233" t="s">
        <v>18</v>
      </c>
      <c r="H233">
        <v>68.900000000000006</v>
      </c>
      <c r="K233" s="63"/>
      <c r="O233" t="str">
        <f t="shared" si="7"/>
        <v>"07171222_1728", "07171222_1843", "07171222_1959", "07171222_2114", "07171222_2230", "07171222_2345", "07171223_0100", "07171223_0216", "07171223_0331", "07171223_0447", "07171223_0602"</v>
      </c>
    </row>
    <row r="234" spans="1:15">
      <c r="A234" t="s">
        <v>2506</v>
      </c>
      <c r="F234">
        <v>30</v>
      </c>
      <c r="G234" t="s">
        <v>18</v>
      </c>
      <c r="H234">
        <v>68.900000000000006</v>
      </c>
      <c r="K234" s="64"/>
      <c r="O234" t="str">
        <f t="shared" si="7"/>
        <v>"07171222_1728", "07171222_1843", "07171222_1959", "07171222_2114", "07171222_2230", "07171222_2345", "07171223_0100", "07171223_0216", "07171223_0331", "07171223_0447", "07171223_0602", "07171223_0718"</v>
      </c>
    </row>
    <row r="235" spans="1:15">
      <c r="A235" t="s">
        <v>2507</v>
      </c>
      <c r="F235">
        <v>30</v>
      </c>
      <c r="G235" t="s">
        <v>18</v>
      </c>
      <c r="H235">
        <v>68.900000000000006</v>
      </c>
      <c r="K235" s="62" t="s">
        <v>2508</v>
      </c>
      <c r="O235" t="str">
        <f>""""&amp;A235&amp;""""</f>
        <v>"07171223_1904"</v>
      </c>
    </row>
    <row r="236" spans="1:15">
      <c r="A236" t="s">
        <v>2509</v>
      </c>
      <c r="F236">
        <v>30</v>
      </c>
      <c r="G236" t="s">
        <v>18</v>
      </c>
      <c r="H236">
        <v>68.900000000000006</v>
      </c>
      <c r="K236" s="63" t="s">
        <v>2496</v>
      </c>
      <c r="O236" t="str">
        <f t="shared" si="7"/>
        <v>"07171223_1904", "07171223_2020"</v>
      </c>
    </row>
    <row r="237" spans="1:15">
      <c r="A237" t="s">
        <v>2510</v>
      </c>
      <c r="F237">
        <v>30</v>
      </c>
      <c r="G237" t="s">
        <v>18</v>
      </c>
      <c r="H237">
        <v>68.900000000000006</v>
      </c>
      <c r="K237" s="63"/>
      <c r="O237" t="str">
        <f t="shared" si="7"/>
        <v>"07171223_1904", "07171223_2020", "07171223_2136"</v>
      </c>
    </row>
    <row r="238" spans="1:15">
      <c r="A238" t="s">
        <v>2511</v>
      </c>
      <c r="F238">
        <v>30</v>
      </c>
      <c r="G238" t="s">
        <v>18</v>
      </c>
      <c r="H238">
        <v>68.900000000000006</v>
      </c>
      <c r="K238" s="63"/>
      <c r="O238" t="str">
        <f t="shared" si="7"/>
        <v>"07171223_1904", "07171223_2020", "07171223_2136", "07171223_2252"</v>
      </c>
    </row>
    <row r="239" spans="1:15">
      <c r="A239" t="s">
        <v>2512</v>
      </c>
      <c r="F239">
        <v>30</v>
      </c>
      <c r="G239" t="s">
        <v>18</v>
      </c>
      <c r="H239">
        <v>68.900000000000006</v>
      </c>
      <c r="K239" s="63"/>
      <c r="O239" t="str">
        <f t="shared" si="7"/>
        <v>"07171223_1904", "07171223_2020", "07171223_2136", "07171223_2252", "07171224_0008"</v>
      </c>
    </row>
    <row r="240" spans="1:15">
      <c r="A240" t="s">
        <v>2513</v>
      </c>
      <c r="F240">
        <v>30</v>
      </c>
      <c r="G240" t="s">
        <v>18</v>
      </c>
      <c r="H240">
        <v>68.900000000000006</v>
      </c>
      <c r="K240" s="63"/>
      <c r="O240" t="str">
        <f t="shared" si="7"/>
        <v>"07171223_1904", "07171223_2020", "07171223_2136", "07171223_2252", "07171224_0008", "07171224_0124"</v>
      </c>
    </row>
    <row r="241" spans="1:15">
      <c r="A241" t="s">
        <v>2514</v>
      </c>
      <c r="F241">
        <v>30</v>
      </c>
      <c r="G241" t="s">
        <v>18</v>
      </c>
      <c r="H241">
        <v>68.900000000000006</v>
      </c>
      <c r="K241" s="63"/>
      <c r="O241" t="str">
        <f t="shared" si="7"/>
        <v>"07171223_1904", "07171223_2020", "07171223_2136", "07171223_2252", "07171224_0008", "07171224_0124", "07171224_0240"</v>
      </c>
    </row>
    <row r="242" spans="1:15">
      <c r="A242" t="s">
        <v>2515</v>
      </c>
      <c r="F242">
        <v>30</v>
      </c>
      <c r="G242" t="s">
        <v>18</v>
      </c>
      <c r="H242">
        <v>68.900000000000006</v>
      </c>
      <c r="K242" s="63"/>
      <c r="O242" t="str">
        <f t="shared" si="7"/>
        <v>"07171223_1904", "07171223_2020", "07171223_2136", "07171223_2252", "07171224_0008", "07171224_0124", "07171224_0240", "07171224_0356"</v>
      </c>
    </row>
    <row r="243" spans="1:15">
      <c r="A243" t="s">
        <v>2516</v>
      </c>
      <c r="F243">
        <v>30</v>
      </c>
      <c r="G243" t="s">
        <v>18</v>
      </c>
      <c r="H243">
        <v>68.900000000000006</v>
      </c>
      <c r="K243" s="63"/>
      <c r="O243" t="str">
        <f t="shared" si="7"/>
        <v>"07171223_1904", "07171223_2020", "07171223_2136", "07171223_2252", "07171224_0008", "07171224_0124", "07171224_0240", "07171224_0356", "07171224_0512"</v>
      </c>
    </row>
    <row r="244" spans="1:15">
      <c r="A244" t="s">
        <v>2517</v>
      </c>
      <c r="F244">
        <v>30</v>
      </c>
      <c r="G244" t="s">
        <v>18</v>
      </c>
      <c r="H244">
        <v>68.900000000000006</v>
      </c>
      <c r="K244" s="63"/>
      <c r="O244" t="str">
        <f t="shared" si="7"/>
        <v>"07171223_1904", "07171223_2020", "07171223_2136", "07171223_2252", "07171224_0008", "07171224_0124", "07171224_0240", "07171224_0356", "07171224_0512", "07171224_0628"</v>
      </c>
    </row>
    <row r="245" spans="1:15">
      <c r="A245" t="s">
        <v>2518</v>
      </c>
      <c r="F245">
        <v>30</v>
      </c>
      <c r="G245" t="s">
        <v>18</v>
      </c>
      <c r="H245">
        <v>68.900000000000006</v>
      </c>
      <c r="K245" s="63"/>
      <c r="O245" t="str">
        <f t="shared" si="7"/>
        <v>"07171223_1904", "07171223_2020", "07171223_2136", "07171223_2252", "07171224_0008", "07171224_0124", "07171224_0240", "07171224_0356", "07171224_0512", "07171224_0628", "07171224_0744"</v>
      </c>
    </row>
    <row r="246" spans="1:15">
      <c r="A246" t="s">
        <v>2519</v>
      </c>
      <c r="F246">
        <v>30</v>
      </c>
      <c r="G246" t="s">
        <v>18</v>
      </c>
      <c r="H246">
        <v>68.900000000000006</v>
      </c>
      <c r="K246" s="64"/>
      <c r="O246" t="str">
        <f t="shared" si="7"/>
        <v>"07171223_1904", "07171223_2020", "07171223_2136", "07171223_2252", "07171224_0008", "07171224_0124", "07171224_0240", "07171224_0356", "07171224_0512", "07171224_0628", "07171224_0744", "07171224_0900"</v>
      </c>
    </row>
    <row r="247" spans="1:15">
      <c r="A247" t="s">
        <v>2520</v>
      </c>
      <c r="F247">
        <v>30</v>
      </c>
      <c r="G247" t="s">
        <v>18</v>
      </c>
      <c r="H247">
        <v>68.900000000000006</v>
      </c>
      <c r="K247" s="62" t="s">
        <v>2521</v>
      </c>
      <c r="O247" t="str">
        <f>""""&amp;A247&amp;""""</f>
        <v>"07171224_1248"</v>
      </c>
    </row>
    <row r="248" spans="1:15">
      <c r="A248" t="s">
        <v>2522</v>
      </c>
      <c r="F248">
        <v>30</v>
      </c>
      <c r="G248" t="s">
        <v>18</v>
      </c>
      <c r="H248">
        <v>68.900000000000006</v>
      </c>
      <c r="K248" s="63" t="s">
        <v>2496</v>
      </c>
      <c r="O248" t="str">
        <f t="shared" si="7"/>
        <v>"07171224_1248", "07171224_1404"</v>
      </c>
    </row>
    <row r="249" spans="1:15">
      <c r="A249" t="s">
        <v>2523</v>
      </c>
      <c r="F249">
        <v>30</v>
      </c>
      <c r="G249" t="s">
        <v>18</v>
      </c>
      <c r="H249">
        <v>68.900000000000006</v>
      </c>
      <c r="K249" s="63"/>
      <c r="O249" t="str">
        <f t="shared" si="7"/>
        <v>"07171224_1248", "07171224_1404", "07171224_1520"</v>
      </c>
    </row>
    <row r="250" spans="1:15">
      <c r="A250" t="s">
        <v>2524</v>
      </c>
      <c r="F250">
        <v>30</v>
      </c>
      <c r="G250" t="s">
        <v>18</v>
      </c>
      <c r="H250">
        <v>68.900000000000006</v>
      </c>
      <c r="K250" s="63"/>
      <c r="O250" t="str">
        <f t="shared" si="7"/>
        <v>"07171224_1248", "07171224_1404", "07171224_1520", "07171224_1636"</v>
      </c>
    </row>
    <row r="251" spans="1:15">
      <c r="A251" t="s">
        <v>2525</v>
      </c>
      <c r="F251">
        <v>30</v>
      </c>
      <c r="G251" t="s">
        <v>18</v>
      </c>
      <c r="H251">
        <v>68.900000000000006</v>
      </c>
      <c r="K251" s="63"/>
      <c r="O251" t="str">
        <f t="shared" si="7"/>
        <v>"07171224_1248", "07171224_1404", "07171224_1520", "07171224_1636", "07171224_1752"</v>
      </c>
    </row>
    <row r="252" spans="1:15">
      <c r="A252" t="s">
        <v>2526</v>
      </c>
      <c r="F252">
        <v>30</v>
      </c>
      <c r="G252" t="s">
        <v>18</v>
      </c>
      <c r="H252">
        <v>68.900000000000006</v>
      </c>
      <c r="K252" s="63"/>
      <c r="O252" t="str">
        <f t="shared" si="7"/>
        <v>"07171224_1248", "07171224_1404", "07171224_1520", "07171224_1636", "07171224_1752", "07171224_1908"</v>
      </c>
    </row>
    <row r="253" spans="1:15">
      <c r="A253" t="s">
        <v>2527</v>
      </c>
      <c r="F253">
        <v>30</v>
      </c>
      <c r="G253" t="s">
        <v>18</v>
      </c>
      <c r="H253">
        <v>68.900000000000006</v>
      </c>
      <c r="K253" s="63"/>
      <c r="O253" t="str">
        <f t="shared" si="7"/>
        <v>"07171224_1248", "07171224_1404", "07171224_1520", "07171224_1636", "07171224_1752", "07171224_1908", "07171224_2024"</v>
      </c>
    </row>
    <row r="254" spans="1:15">
      <c r="A254" t="s">
        <v>2528</v>
      </c>
      <c r="F254">
        <v>30</v>
      </c>
      <c r="G254" t="s">
        <v>18</v>
      </c>
      <c r="H254">
        <v>68.900000000000006</v>
      </c>
      <c r="K254" s="63"/>
      <c r="O254" t="str">
        <f t="shared" si="7"/>
        <v>"07171224_1248", "07171224_1404", "07171224_1520", "07171224_1636", "07171224_1752", "07171224_1908", "07171224_2024", "07171224_2140"</v>
      </c>
    </row>
    <row r="255" spans="1:15">
      <c r="A255" t="s">
        <v>2529</v>
      </c>
      <c r="F255">
        <v>30</v>
      </c>
      <c r="G255" t="s">
        <v>18</v>
      </c>
      <c r="H255">
        <v>68.900000000000006</v>
      </c>
      <c r="K255" s="63"/>
      <c r="O255" t="str">
        <f t="shared" si="7"/>
        <v>"07171224_1248", "07171224_1404", "07171224_1520", "07171224_1636", "07171224_1752", "07171224_1908", "07171224_2024", "07171224_2140", "07171224_2256"</v>
      </c>
    </row>
    <row r="256" spans="1:15">
      <c r="A256" t="s">
        <v>2530</v>
      </c>
      <c r="F256">
        <v>30</v>
      </c>
      <c r="G256" t="s">
        <v>18</v>
      </c>
      <c r="H256">
        <v>68.900000000000006</v>
      </c>
      <c r="K256" s="63"/>
      <c r="O256" t="str">
        <f t="shared" si="7"/>
        <v>"07171224_1248", "07171224_1404", "07171224_1520", "07171224_1636", "07171224_1752", "07171224_1908", "07171224_2024", "07171224_2140", "07171224_2256", "07171225_0012"</v>
      </c>
    </row>
    <row r="257" spans="1:15">
      <c r="A257" t="s">
        <v>2531</v>
      </c>
      <c r="F257">
        <v>30</v>
      </c>
      <c r="G257" t="s">
        <v>18</v>
      </c>
      <c r="H257">
        <v>68.900000000000006</v>
      </c>
      <c r="K257" s="63"/>
      <c r="O257" t="str">
        <f t="shared" si="7"/>
        <v>"07171224_1248", "07171224_1404", "07171224_1520", "07171224_1636", "07171224_1752", "07171224_1908", "07171224_2024", "07171224_2140", "07171224_2256", "07171225_0012", "07171225_0128"</v>
      </c>
    </row>
    <row r="258" spans="1:15">
      <c r="A258" t="s">
        <v>2532</v>
      </c>
      <c r="F258">
        <v>30</v>
      </c>
      <c r="G258" t="s">
        <v>18</v>
      </c>
      <c r="H258">
        <v>68.900000000000006</v>
      </c>
      <c r="K258" s="64"/>
      <c r="O258" t="str">
        <f t="shared" si="7"/>
        <v>"07171224_1248", "07171224_1404", "07171224_1520", "07171224_1636", "07171224_1752", "07171224_1908", "07171224_2024", "07171224_2140", "07171224_2256", "07171225_0012", "07171225_0128", "07171225_0244"</v>
      </c>
    </row>
    <row r="259" spans="1:15">
      <c r="A259" t="s">
        <v>2533</v>
      </c>
      <c r="F259">
        <v>30</v>
      </c>
      <c r="G259" t="s">
        <v>18</v>
      </c>
      <c r="H259">
        <v>68.900000000000006</v>
      </c>
      <c r="K259" s="62" t="s">
        <v>2521</v>
      </c>
      <c r="O259" t="str">
        <f>""""&amp;A259&amp;""""</f>
        <v>"07171225_1913"</v>
      </c>
    </row>
    <row r="260" spans="1:15">
      <c r="A260" t="s">
        <v>2534</v>
      </c>
      <c r="F260">
        <v>30</v>
      </c>
      <c r="G260" t="s">
        <v>18</v>
      </c>
      <c r="H260">
        <v>68.900000000000006</v>
      </c>
      <c r="K260" s="63" t="s">
        <v>2496</v>
      </c>
      <c r="O260" t="str">
        <f t="shared" si="7"/>
        <v>"07171225_1913", "07171225_2029"</v>
      </c>
    </row>
    <row r="261" spans="1:15">
      <c r="A261" t="s">
        <v>2535</v>
      </c>
      <c r="F261">
        <v>30</v>
      </c>
      <c r="G261" t="s">
        <v>18</v>
      </c>
      <c r="H261">
        <v>68.900000000000006</v>
      </c>
      <c r="K261" s="63"/>
      <c r="O261" t="str">
        <f t="shared" si="7"/>
        <v>"07171225_1913", "07171225_2029", "07171225_2144"</v>
      </c>
    </row>
    <row r="262" spans="1:15">
      <c r="A262" t="s">
        <v>2536</v>
      </c>
      <c r="F262">
        <v>30</v>
      </c>
      <c r="G262" t="s">
        <v>18</v>
      </c>
      <c r="H262">
        <v>68.900000000000006</v>
      </c>
      <c r="K262" s="63"/>
      <c r="O262" t="str">
        <f t="shared" si="7"/>
        <v>"07171225_1913", "07171225_2029", "07171225_2144", "07171225_2300"</v>
      </c>
    </row>
    <row r="263" spans="1:15">
      <c r="A263" t="s">
        <v>2537</v>
      </c>
      <c r="F263">
        <v>30</v>
      </c>
      <c r="G263" t="s">
        <v>18</v>
      </c>
      <c r="H263">
        <v>68.900000000000006</v>
      </c>
      <c r="K263" s="63"/>
      <c r="O263" t="str">
        <f t="shared" si="7"/>
        <v>"07171225_1913", "07171225_2029", "07171225_2144", "07171225_2300", "07171226_0015"</v>
      </c>
    </row>
    <row r="264" spans="1:15">
      <c r="A264" t="s">
        <v>2538</v>
      </c>
      <c r="F264">
        <v>30</v>
      </c>
      <c r="G264" t="s">
        <v>18</v>
      </c>
      <c r="H264">
        <v>68.900000000000006</v>
      </c>
      <c r="K264" s="63"/>
      <c r="O264" t="str">
        <f t="shared" si="7"/>
        <v>"07171225_1913", "07171225_2029", "07171225_2144", "07171225_2300", "07171226_0015", "07171226_0131"</v>
      </c>
    </row>
    <row r="265" spans="1:15">
      <c r="A265" t="s">
        <v>2539</v>
      </c>
      <c r="F265">
        <v>30</v>
      </c>
      <c r="G265" t="s">
        <v>18</v>
      </c>
      <c r="H265">
        <v>68.900000000000006</v>
      </c>
      <c r="K265" s="63"/>
      <c r="O265" t="str">
        <f t="shared" si="7"/>
        <v>"07171225_1913", "07171225_2029", "07171225_2144", "07171225_2300", "07171226_0015", "07171226_0131", "07171226_0246"</v>
      </c>
    </row>
    <row r="266" spans="1:15">
      <c r="A266" t="s">
        <v>2540</v>
      </c>
      <c r="F266">
        <v>30</v>
      </c>
      <c r="G266" t="s">
        <v>18</v>
      </c>
      <c r="H266">
        <v>68.900000000000006</v>
      </c>
      <c r="K266" s="63"/>
      <c r="O266" t="str">
        <f t="shared" si="7"/>
        <v>"07171225_1913", "07171225_2029", "07171225_2144", "07171225_2300", "07171226_0015", "07171226_0131", "07171226_0246", "07171226_0402"</v>
      </c>
    </row>
    <row r="267" spans="1:15">
      <c r="A267" t="s">
        <v>2541</v>
      </c>
      <c r="F267">
        <v>30</v>
      </c>
      <c r="G267" t="s">
        <v>18</v>
      </c>
      <c r="H267">
        <v>68.900000000000006</v>
      </c>
      <c r="K267" s="63"/>
      <c r="O267" t="str">
        <f t="shared" si="7"/>
        <v>"07171225_1913", "07171225_2029", "07171225_2144", "07171225_2300", "07171226_0015", "07171226_0131", "07171226_0246", "07171226_0402", "07171226_0517"</v>
      </c>
    </row>
    <row r="268" spans="1:15">
      <c r="A268" t="s">
        <v>2542</v>
      </c>
      <c r="F268">
        <v>30</v>
      </c>
      <c r="G268" t="s">
        <v>18</v>
      </c>
      <c r="H268">
        <v>68.900000000000006</v>
      </c>
      <c r="K268" s="63"/>
      <c r="O268" t="str">
        <f t="shared" si="7"/>
        <v>"07171225_1913", "07171225_2029", "07171225_2144", "07171225_2300", "07171226_0015", "07171226_0131", "07171226_0246", "07171226_0402", "07171226_0517", "07171226_0633"</v>
      </c>
    </row>
    <row r="269" spans="1:15">
      <c r="A269" t="s">
        <v>2543</v>
      </c>
      <c r="F269">
        <v>30</v>
      </c>
      <c r="G269" t="s">
        <v>18</v>
      </c>
      <c r="H269">
        <v>68.900000000000006</v>
      </c>
      <c r="K269" s="63"/>
      <c r="O269" t="str">
        <f t="shared" si="7"/>
        <v>"07171225_1913", "07171225_2029", "07171225_2144", "07171225_2300", "07171226_0015", "07171226_0131", "07171226_0246", "07171226_0402", "07171226_0517", "07171226_0633", "07171226_0748"</v>
      </c>
    </row>
    <row r="270" spans="1:15">
      <c r="A270" t="s">
        <v>2544</v>
      </c>
      <c r="F270">
        <v>30</v>
      </c>
      <c r="G270" t="s">
        <v>18</v>
      </c>
      <c r="H270">
        <v>68.900000000000006</v>
      </c>
      <c r="K270" s="64"/>
      <c r="O270" t="str">
        <f t="shared" si="7"/>
        <v>"07171225_1913", "07171225_2029", "07171225_2144", "07171225_2300", "07171226_0015", "07171226_0131", "07171226_0246", "07171226_0402", "07171226_0517", "07171226_0633", "07171226_0748", "07171226_0904"</v>
      </c>
    </row>
    <row r="271" spans="1:15">
      <c r="A271" t="s">
        <v>2545</v>
      </c>
      <c r="F271">
        <v>30</v>
      </c>
      <c r="G271" t="s">
        <v>18</v>
      </c>
      <c r="H271">
        <v>-68.400000000000006</v>
      </c>
      <c r="K271" s="62" t="s">
        <v>2521</v>
      </c>
      <c r="O271" t="str">
        <f>""""&amp;A271&amp;""""</f>
        <v>"07171226_1941"</v>
      </c>
    </row>
    <row r="272" spans="1:15">
      <c r="A272" t="s">
        <v>2546</v>
      </c>
      <c r="F272">
        <v>30</v>
      </c>
      <c r="G272" t="s">
        <v>18</v>
      </c>
      <c r="H272">
        <v>-68.400000000000006</v>
      </c>
      <c r="K272" s="63" t="s">
        <v>2496</v>
      </c>
      <c r="O272" t="str">
        <f t="shared" si="7"/>
        <v>"07171226_1941", "07171226_2057"</v>
      </c>
    </row>
    <row r="273" spans="1:15">
      <c r="A273" t="s">
        <v>2547</v>
      </c>
      <c r="F273">
        <v>30</v>
      </c>
      <c r="G273" t="s">
        <v>18</v>
      </c>
      <c r="H273">
        <v>-68.400000000000006</v>
      </c>
      <c r="K273" s="63"/>
      <c r="O273" t="str">
        <f t="shared" si="7"/>
        <v>"07171226_1941", "07171226_2057", "07171226_2213"</v>
      </c>
    </row>
    <row r="274" spans="1:15">
      <c r="A274" t="s">
        <v>2548</v>
      </c>
      <c r="F274">
        <v>30</v>
      </c>
      <c r="G274" t="s">
        <v>18</v>
      </c>
      <c r="H274">
        <v>-68.400000000000006</v>
      </c>
      <c r="K274" s="63"/>
      <c r="O274" t="str">
        <f t="shared" si="7"/>
        <v>"07171226_1941", "07171226_2057", "07171226_2213", "07171226_2329"</v>
      </c>
    </row>
    <row r="275" spans="1:15">
      <c r="A275" t="s">
        <v>2549</v>
      </c>
      <c r="F275">
        <v>30</v>
      </c>
      <c r="G275" t="s">
        <v>18</v>
      </c>
      <c r="H275">
        <v>-68.400000000000006</v>
      </c>
      <c r="K275" s="63"/>
      <c r="O275" t="str">
        <f t="shared" si="7"/>
        <v>"07171226_1941", "07171226_2057", "07171226_2213", "07171226_2329", "07171227_0045"</v>
      </c>
    </row>
    <row r="276" spans="1:15">
      <c r="A276" t="s">
        <v>2550</v>
      </c>
      <c r="F276">
        <v>30</v>
      </c>
      <c r="G276" t="s">
        <v>18</v>
      </c>
      <c r="H276">
        <v>-68.400000000000006</v>
      </c>
      <c r="K276" s="63"/>
      <c r="O276" t="str">
        <f t="shared" si="7"/>
        <v>"07171226_1941", "07171226_2057", "07171226_2213", "07171226_2329", "07171227_0045", "07171227_0201"</v>
      </c>
    </row>
    <row r="277" spans="1:15">
      <c r="A277" t="s">
        <v>2551</v>
      </c>
      <c r="F277">
        <v>30</v>
      </c>
      <c r="G277" t="s">
        <v>18</v>
      </c>
      <c r="H277">
        <v>-68.400000000000006</v>
      </c>
      <c r="K277" s="63"/>
      <c r="O277" t="str">
        <f t="shared" si="7"/>
        <v>"07171226_1941", "07171226_2057", "07171226_2213", "07171226_2329", "07171227_0045", "07171227_0201", "07171227_0317"</v>
      </c>
    </row>
    <row r="278" spans="1:15">
      <c r="A278" t="s">
        <v>2552</v>
      </c>
      <c r="F278">
        <v>30</v>
      </c>
      <c r="G278" t="s">
        <v>18</v>
      </c>
      <c r="H278">
        <v>-68.400000000000006</v>
      </c>
      <c r="K278" s="63"/>
      <c r="O278" t="str">
        <f t="shared" si="7"/>
        <v>"07171226_1941", "07171226_2057", "07171226_2213", "07171226_2329", "07171227_0045", "07171227_0201", "07171227_0317", "07171227_0433"</v>
      </c>
    </row>
    <row r="279" spans="1:15">
      <c r="A279" t="s">
        <v>2553</v>
      </c>
      <c r="F279">
        <v>30</v>
      </c>
      <c r="G279" t="s">
        <v>18</v>
      </c>
      <c r="H279">
        <v>-68.400000000000006</v>
      </c>
      <c r="K279" s="63"/>
      <c r="O279" t="str">
        <f t="shared" si="7"/>
        <v>"07171226_1941", "07171226_2057", "07171226_2213", "07171226_2329", "07171227_0045", "07171227_0201", "07171227_0317", "07171227_0433", "07171227_0549"</v>
      </c>
    </row>
    <row r="280" spans="1:15">
      <c r="A280" t="s">
        <v>2554</v>
      </c>
      <c r="F280">
        <v>30</v>
      </c>
      <c r="G280" t="s">
        <v>18</v>
      </c>
      <c r="H280">
        <v>-68.400000000000006</v>
      </c>
      <c r="K280" s="63"/>
      <c r="O280" t="str">
        <f t="shared" si="7"/>
        <v>"07171226_1941", "07171226_2057", "07171226_2213", "07171226_2329", "07171227_0045", "07171227_0201", "07171227_0317", "07171227_0433", "07171227_0549", "07171227_0705"</v>
      </c>
    </row>
    <row r="281" spans="1:15">
      <c r="A281" t="s">
        <v>2555</v>
      </c>
      <c r="F281">
        <v>30</v>
      </c>
      <c r="G281" t="s">
        <v>18</v>
      </c>
      <c r="H281">
        <v>-68.400000000000006</v>
      </c>
      <c r="K281" s="63"/>
      <c r="O281" t="str">
        <f t="shared" si="7"/>
        <v>"07171226_1941", "07171226_2057", "07171226_2213", "07171226_2329", "07171227_0045", "07171227_0201", "07171227_0317", "07171227_0433", "07171227_0549", "07171227_0705", "07171227_0821"</v>
      </c>
    </row>
    <row r="282" spans="1:15">
      <c r="A282" t="s">
        <v>2556</v>
      </c>
      <c r="F282">
        <v>30</v>
      </c>
      <c r="G282" t="s">
        <v>18</v>
      </c>
      <c r="H282">
        <v>-68.400000000000006</v>
      </c>
      <c r="K282" s="64"/>
      <c r="O282" t="str">
        <f t="shared" si="7"/>
        <v>"07171226_1941", "07171226_2057", "07171226_2213", "07171226_2329", "07171227_0045", "07171227_0201", "07171227_0317", "07171227_0433", "07171227_0549", "07171227_0705", "07171227_0821", "07171227_0937"</v>
      </c>
    </row>
    <row r="283" spans="1:15">
      <c r="A283" t="s">
        <v>2557</v>
      </c>
      <c r="F283">
        <v>30</v>
      </c>
      <c r="G283" t="s">
        <v>18</v>
      </c>
      <c r="H283">
        <v>68.599999999999994</v>
      </c>
      <c r="K283" s="62" t="s">
        <v>2508</v>
      </c>
      <c r="O283" t="str">
        <f>""""&amp;A283&amp;""""</f>
        <v>"07171227_1937"</v>
      </c>
    </row>
    <row r="284" spans="1:15">
      <c r="A284" t="s">
        <v>2558</v>
      </c>
      <c r="F284">
        <v>30</v>
      </c>
      <c r="G284" t="s">
        <v>18</v>
      </c>
      <c r="H284">
        <v>68.599999999999994</v>
      </c>
      <c r="K284" s="63" t="s">
        <v>2496</v>
      </c>
      <c r="O284" t="str">
        <f t="shared" si="7"/>
        <v>"07171227_1937", "07171227_2053"</v>
      </c>
    </row>
    <row r="285" spans="1:15">
      <c r="A285" t="s">
        <v>2559</v>
      </c>
      <c r="F285">
        <v>30</v>
      </c>
      <c r="G285" t="s">
        <v>18</v>
      </c>
      <c r="H285">
        <v>68.599999999999994</v>
      </c>
      <c r="K285" s="63" t="s">
        <v>2560</v>
      </c>
      <c r="O285" t="str">
        <f t="shared" si="7"/>
        <v>"07171227_1937", "07171227_2053", "07171227_2209"</v>
      </c>
    </row>
    <row r="286" spans="1:15">
      <c r="A286" t="s">
        <v>2561</v>
      </c>
      <c r="F286">
        <v>30</v>
      </c>
      <c r="G286" t="s">
        <v>18</v>
      </c>
      <c r="H286">
        <v>68.599999999999994</v>
      </c>
      <c r="K286" s="63"/>
      <c r="O286" t="str">
        <f t="shared" si="7"/>
        <v>"07171227_1937", "07171227_2053", "07171227_2209", "07171227_2325"</v>
      </c>
    </row>
    <row r="287" spans="1:15">
      <c r="A287" t="s">
        <v>2562</v>
      </c>
      <c r="F287">
        <v>30</v>
      </c>
      <c r="G287" t="s">
        <v>18</v>
      </c>
      <c r="H287">
        <v>68.599999999999994</v>
      </c>
      <c r="K287" s="63"/>
      <c r="O287" t="str">
        <f t="shared" si="7"/>
        <v>"07171227_1937", "07171227_2053", "07171227_2209", "07171227_2325", "07171228_0040"</v>
      </c>
    </row>
    <row r="288" spans="1:15">
      <c r="A288" t="s">
        <v>2563</v>
      </c>
      <c r="F288">
        <v>30</v>
      </c>
      <c r="G288" t="s">
        <v>18</v>
      </c>
      <c r="H288">
        <v>68.599999999999994</v>
      </c>
      <c r="K288" s="63"/>
      <c r="O288" t="str">
        <f>O287&amp;", """&amp;A288&amp;""""</f>
        <v>"07171227_1937", "07171227_2053", "07171227_2209", "07171227_2325", "07171228_0040", "07171228_0156"</v>
      </c>
    </row>
    <row r="289" spans="1:15">
      <c r="A289" t="s">
        <v>2564</v>
      </c>
      <c r="F289">
        <v>30</v>
      </c>
      <c r="G289" t="s">
        <v>18</v>
      </c>
      <c r="H289">
        <v>68.599999999999994</v>
      </c>
      <c r="K289" s="63"/>
      <c r="O289" t="str">
        <f>O288&amp;", """&amp;A289&amp;""""</f>
        <v>"07171227_1937", "07171227_2053", "07171227_2209", "07171227_2325", "07171228_0040", "07171228_0156", "07171228_0311"</v>
      </c>
    </row>
    <row r="290" spans="1:15">
      <c r="A290" t="s">
        <v>2565</v>
      </c>
      <c r="F290">
        <v>30</v>
      </c>
      <c r="G290" t="s">
        <v>18</v>
      </c>
      <c r="H290">
        <v>68.599999999999994</v>
      </c>
      <c r="K290" s="63"/>
      <c r="O290" t="str">
        <f>O289&amp;", """&amp;A290&amp;""""</f>
        <v>"07171227_1937", "07171227_2053", "07171227_2209", "07171227_2325", "07171228_0040", "07171228_0156", "07171228_0311", "07171228_0427"</v>
      </c>
    </row>
    <row r="291" spans="1:15">
      <c r="A291" t="s">
        <v>2566</v>
      </c>
      <c r="F291">
        <v>30</v>
      </c>
      <c r="G291" t="s">
        <v>18</v>
      </c>
      <c r="H291">
        <v>68.599999999999994</v>
      </c>
      <c r="K291" s="63"/>
      <c r="O291" t="str">
        <f>O290&amp;", """&amp;A291&amp;""""</f>
        <v>"07171227_1937", "07171227_2053", "07171227_2209", "07171227_2325", "07171228_0040", "07171228_0156", "07171228_0311", "07171228_0427", "07171228_0542"</v>
      </c>
    </row>
    <row r="292" spans="1:15">
      <c r="A292" t="s">
        <v>2567</v>
      </c>
      <c r="F292">
        <v>30</v>
      </c>
      <c r="G292" t="s">
        <v>18</v>
      </c>
      <c r="H292">
        <v>68.599999999999994</v>
      </c>
      <c r="K292" s="64"/>
      <c r="O292" t="str">
        <f>O291&amp;", """&amp;A292&amp;""""</f>
        <v>"07171227_1937", "07171227_2053", "07171227_2209", "07171227_2325", "07171228_0040", "07171228_0156", "07171228_0311", "07171228_0427", "07171228_0542", "07171228_0658"</v>
      </c>
    </row>
    <row r="293" spans="1:15">
      <c r="A293" t="s">
        <v>2568</v>
      </c>
      <c r="F293">
        <v>30</v>
      </c>
      <c r="G293" t="s">
        <v>18</v>
      </c>
      <c r="H293">
        <v>68.599999999999994</v>
      </c>
      <c r="K293" s="62" t="s">
        <v>2569</v>
      </c>
      <c r="O293" t="str">
        <f>""""&amp;A293&amp;""""</f>
        <v>"07171228_1542"</v>
      </c>
    </row>
    <row r="294" spans="1:15">
      <c r="A294" t="s">
        <v>2570</v>
      </c>
      <c r="F294">
        <v>30</v>
      </c>
      <c r="G294" t="s">
        <v>18</v>
      </c>
      <c r="H294">
        <v>68.599999999999994</v>
      </c>
      <c r="K294" s="63" t="s">
        <v>2571</v>
      </c>
      <c r="O294" t="str">
        <f t="shared" ref="O294:O304" si="8">O293&amp;", """&amp;A294&amp;""""</f>
        <v>"07171228_1542", "07171228_1658"</v>
      </c>
    </row>
    <row r="295" spans="1:15">
      <c r="A295" t="s">
        <v>2572</v>
      </c>
      <c r="F295">
        <v>30</v>
      </c>
      <c r="G295" t="s">
        <v>18</v>
      </c>
      <c r="H295">
        <v>68.599999999999994</v>
      </c>
      <c r="K295" s="63" t="s">
        <v>2496</v>
      </c>
      <c r="O295" t="str">
        <f t="shared" si="8"/>
        <v>"07171228_1542", "07171228_1658", "07171228_1814"</v>
      </c>
    </row>
    <row r="296" spans="1:15">
      <c r="A296" t="s">
        <v>2573</v>
      </c>
      <c r="F296">
        <v>30</v>
      </c>
      <c r="G296" t="s">
        <v>18</v>
      </c>
      <c r="H296">
        <v>68.599999999999994</v>
      </c>
      <c r="K296" s="63"/>
      <c r="O296" t="str">
        <f t="shared" si="8"/>
        <v>"07171228_1542", "07171228_1658", "07171228_1814", "07171228_1930"</v>
      </c>
    </row>
    <row r="297" spans="1:15">
      <c r="A297" t="s">
        <v>2574</v>
      </c>
      <c r="F297">
        <v>30</v>
      </c>
      <c r="G297" t="s">
        <v>18</v>
      </c>
      <c r="H297">
        <v>68.599999999999994</v>
      </c>
      <c r="K297" s="63"/>
      <c r="O297" t="str">
        <f t="shared" si="8"/>
        <v>"07171228_1542", "07171228_1658", "07171228_1814", "07171228_1930", "07171228_2047"</v>
      </c>
    </row>
    <row r="298" spans="1:15">
      <c r="A298" t="s">
        <v>2575</v>
      </c>
      <c r="F298">
        <v>30</v>
      </c>
      <c r="G298" t="s">
        <v>18</v>
      </c>
      <c r="H298">
        <v>68.599999999999994</v>
      </c>
      <c r="K298" s="63"/>
      <c r="O298" t="str">
        <f t="shared" si="8"/>
        <v>"07171228_1542", "07171228_1658", "07171228_1814", "07171228_1930", "07171228_2047", "07171228_2203"</v>
      </c>
    </row>
    <row r="299" spans="1:15">
      <c r="A299" t="s">
        <v>2576</v>
      </c>
      <c r="F299">
        <v>30</v>
      </c>
      <c r="G299" t="s">
        <v>18</v>
      </c>
      <c r="H299">
        <v>68.599999999999994</v>
      </c>
      <c r="K299" s="63"/>
      <c r="O299" t="str">
        <f t="shared" si="8"/>
        <v>"07171228_1542", "07171228_1658", "07171228_1814", "07171228_1930", "07171228_2047", "07171228_2203", "07171228_2319"</v>
      </c>
    </row>
    <row r="300" spans="1:15">
      <c r="A300" t="s">
        <v>2577</v>
      </c>
      <c r="F300">
        <v>30</v>
      </c>
      <c r="G300" t="s">
        <v>18</v>
      </c>
      <c r="H300">
        <v>68.599999999999994</v>
      </c>
      <c r="K300" s="63"/>
      <c r="O300" t="str">
        <f t="shared" si="8"/>
        <v>"07171228_1542", "07171228_1658", "07171228_1814", "07171228_1930", "07171228_2047", "07171228_2203", "07171228_2319", "07171229_0035"</v>
      </c>
    </row>
    <row r="301" spans="1:15">
      <c r="A301" t="s">
        <v>2578</v>
      </c>
      <c r="F301">
        <v>30</v>
      </c>
      <c r="G301" t="s">
        <v>18</v>
      </c>
      <c r="H301">
        <v>68.599999999999994</v>
      </c>
      <c r="K301" s="63"/>
      <c r="O301" t="str">
        <f t="shared" si="8"/>
        <v>"07171228_1542", "07171228_1658", "07171228_1814", "07171228_1930", "07171228_2047", "07171228_2203", "07171228_2319", "07171229_0035", "07171229_0151"</v>
      </c>
    </row>
    <row r="302" spans="1:15">
      <c r="A302" t="s">
        <v>2579</v>
      </c>
      <c r="F302">
        <v>30</v>
      </c>
      <c r="G302" t="s">
        <v>18</v>
      </c>
      <c r="H302">
        <v>68.599999999999994</v>
      </c>
      <c r="K302" s="63"/>
      <c r="O302" t="str">
        <f t="shared" si="8"/>
        <v>"07171228_1542", "07171228_1658", "07171228_1814", "07171228_1930", "07171228_2047", "07171228_2203", "07171228_2319", "07171229_0035", "07171229_0151", "07171229_0307"</v>
      </c>
    </row>
    <row r="303" spans="1:15">
      <c r="A303" t="s">
        <v>2580</v>
      </c>
      <c r="F303">
        <v>30</v>
      </c>
      <c r="G303" t="s">
        <v>18</v>
      </c>
      <c r="H303">
        <v>68.599999999999994</v>
      </c>
      <c r="K303" s="63"/>
      <c r="O303" t="str">
        <f t="shared" si="8"/>
        <v>"07171228_1542", "07171228_1658", "07171228_1814", "07171228_1930", "07171228_2047", "07171228_2203", "07171228_2319", "07171229_0035", "07171229_0151", "07171229_0307", "07171229_0423"</v>
      </c>
    </row>
    <row r="304" spans="1:15">
      <c r="A304" t="s">
        <v>2581</v>
      </c>
      <c r="F304">
        <v>30</v>
      </c>
      <c r="G304" t="s">
        <v>18</v>
      </c>
      <c r="H304">
        <v>68.599999999999994</v>
      </c>
      <c r="K304" s="64"/>
      <c r="O304" t="str">
        <f t="shared" si="8"/>
        <v>"07171228_1542", "07171228_1658", "07171228_1814", "07171228_1930", "07171228_2047", "07171228_2203", "07171228_2319", "07171229_0035", "07171229_0151", "07171229_0307", "07171229_0423", "07171229_0539"</v>
      </c>
    </row>
    <row r="306" spans="1:1">
      <c r="A306" t="s">
        <v>2582</v>
      </c>
    </row>
    <row r="307" spans="1:1">
      <c r="A307" t="s">
        <v>2583</v>
      </c>
    </row>
    <row r="308" spans="1:1">
      <c r="A308" t="s">
        <v>2584</v>
      </c>
    </row>
    <row r="309" spans="1:1">
      <c r="A309" t="s">
        <v>2585</v>
      </c>
    </row>
    <row r="310" spans="1:1">
      <c r="A310" t="s">
        <v>2586</v>
      </c>
    </row>
    <row r="311" spans="1:1">
      <c r="A311" t="s">
        <v>2587</v>
      </c>
    </row>
    <row r="312" spans="1:1">
      <c r="A312" t="s">
        <v>2588</v>
      </c>
    </row>
    <row r="313" spans="1:1">
      <c r="A313" t="s">
        <v>2589</v>
      </c>
    </row>
    <row r="314" spans="1:1">
      <c r="A314" t="s">
        <v>2590</v>
      </c>
    </row>
    <row r="315" spans="1:1">
      <c r="A315" t="s">
        <v>2591</v>
      </c>
    </row>
    <row r="316" spans="1:1">
      <c r="A316" t="s">
        <v>2592</v>
      </c>
    </row>
    <row r="317" spans="1:1">
      <c r="A317" t="s">
        <v>2593</v>
      </c>
    </row>
    <row r="318" spans="1:1">
      <c r="A318" t="s">
        <v>2594</v>
      </c>
    </row>
    <row r="319" spans="1:1">
      <c r="A319" t="s">
        <v>2595</v>
      </c>
    </row>
    <row r="320" spans="1:1">
      <c r="A320" t="s">
        <v>2596</v>
      </c>
    </row>
    <row r="321" spans="1:1">
      <c r="A321" t="s">
        <v>2597</v>
      </c>
    </row>
    <row r="322" spans="1:1">
      <c r="A322" t="s">
        <v>2598</v>
      </c>
    </row>
    <row r="323" spans="1:1">
      <c r="A323" t="s">
        <v>2599</v>
      </c>
    </row>
    <row r="324" spans="1:1">
      <c r="A324" t="s">
        <v>2600</v>
      </c>
    </row>
    <row r="325" spans="1:1">
      <c r="A325" t="s">
        <v>2601</v>
      </c>
    </row>
    <row r="326" spans="1:1">
      <c r="A326" t="s">
        <v>2602</v>
      </c>
    </row>
    <row r="327" spans="1:1">
      <c r="A327" t="s">
        <v>2603</v>
      </c>
    </row>
    <row r="328" spans="1:1">
      <c r="A328" t="s">
        <v>2604</v>
      </c>
    </row>
    <row r="329" spans="1:1">
      <c r="A329" t="s">
        <v>2605</v>
      </c>
    </row>
    <row r="330" spans="1:1">
      <c r="A330" t="s">
        <v>2606</v>
      </c>
    </row>
    <row r="331" spans="1:1">
      <c r="A331" t="s">
        <v>2607</v>
      </c>
    </row>
    <row r="332" spans="1:1">
      <c r="A332" t="s">
        <v>2608</v>
      </c>
    </row>
    <row r="333" spans="1:1">
      <c r="A333" t="s">
        <v>2609</v>
      </c>
    </row>
    <row r="334" spans="1:1">
      <c r="A334" t="s">
        <v>2610</v>
      </c>
    </row>
    <row r="335" spans="1:1">
      <c r="A335" t="s">
        <v>2611</v>
      </c>
    </row>
    <row r="336" spans="1:1">
      <c r="A336" t="s">
        <v>2612</v>
      </c>
    </row>
    <row r="337" spans="1:1">
      <c r="A337" t="s">
        <v>2613</v>
      </c>
    </row>
  </sheetData>
  <sortState xmlns:xlrd2="http://schemas.microsoft.com/office/spreadsheetml/2017/richdata2" ref="A62:A79">
    <sortCondition ref="A73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0A11-EFE7-42A4-9ABC-20C6801AAF17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84"/>
  <sheetViews>
    <sheetView workbookViewId="0">
      <pane ySplit="1" topLeftCell="A353" activePane="bottomLeft" state="frozen"/>
      <selection pane="bottomLeft" activeCell="B353" sqref="B353"/>
    </sheetView>
  </sheetViews>
  <sheetFormatPr defaultColWidth="9.140625" defaultRowHeight="14.45"/>
  <cols>
    <col min="1" max="1" width="14.140625" bestFit="1" customWidth="1"/>
    <col min="2" max="2" width="7.42578125" bestFit="1" customWidth="1"/>
    <col min="3" max="3" width="8.28515625" bestFit="1" customWidth="1"/>
    <col min="4" max="4" width="7.7109375" customWidth="1"/>
    <col min="5" max="5" width="9.42578125" customWidth="1"/>
    <col min="6" max="6" width="9" bestFit="1" customWidth="1"/>
    <col min="7" max="7" width="9.140625" customWidth="1"/>
    <col min="8" max="8" width="16.7109375" bestFit="1" customWidth="1"/>
    <col min="9" max="9" width="10.42578125" customWidth="1"/>
    <col min="10" max="10" width="13.42578125" bestFit="1" customWidth="1"/>
    <col min="11" max="11" width="4.85546875" bestFit="1" customWidth="1"/>
    <col min="12" max="12" width="25.7109375" bestFit="1" customWidth="1"/>
    <col min="13" max="13" width="27.7109375" bestFit="1" customWidth="1"/>
  </cols>
  <sheetData>
    <row r="1" spans="1:14" ht="41.4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1616</v>
      </c>
      <c r="J1" s="60" t="s">
        <v>2190</v>
      </c>
      <c r="K1" s="60" t="s">
        <v>2614</v>
      </c>
      <c r="L1" s="60" t="s">
        <v>13</v>
      </c>
      <c r="M1" s="60" t="s">
        <v>2191</v>
      </c>
      <c r="N1" s="60" t="s">
        <v>1444</v>
      </c>
    </row>
    <row r="2" spans="1:14">
      <c r="A2" t="s">
        <v>2615</v>
      </c>
      <c r="B2" t="s">
        <v>17</v>
      </c>
      <c r="C2">
        <v>60</v>
      </c>
      <c r="D2" t="s">
        <v>41</v>
      </c>
      <c r="E2">
        <v>1000</v>
      </c>
      <c r="F2">
        <v>2</v>
      </c>
      <c r="G2" t="s">
        <v>18</v>
      </c>
      <c r="H2" t="s">
        <v>42</v>
      </c>
      <c r="I2" t="s">
        <v>20</v>
      </c>
      <c r="J2" t="s">
        <v>191</v>
      </c>
    </row>
    <row r="3" spans="1:14">
      <c r="A3" t="s">
        <v>2616</v>
      </c>
      <c r="B3" t="s">
        <v>17</v>
      </c>
      <c r="C3">
        <v>60</v>
      </c>
      <c r="D3" t="s">
        <v>41</v>
      </c>
      <c r="E3">
        <v>0</v>
      </c>
      <c r="F3">
        <v>10</v>
      </c>
      <c r="G3" t="s">
        <v>18</v>
      </c>
      <c r="H3" t="s">
        <v>42</v>
      </c>
      <c r="I3" t="s">
        <v>20</v>
      </c>
      <c r="J3" t="s">
        <v>2617</v>
      </c>
      <c r="L3" t="s">
        <v>2618</v>
      </c>
    </row>
    <row r="4" spans="1:14">
      <c r="A4" t="s">
        <v>2619</v>
      </c>
      <c r="B4" t="s">
        <v>17</v>
      </c>
      <c r="C4">
        <v>60</v>
      </c>
      <c r="D4" t="s">
        <v>41</v>
      </c>
      <c r="E4">
        <v>1000</v>
      </c>
      <c r="F4">
        <v>61</v>
      </c>
      <c r="G4" t="s">
        <v>18</v>
      </c>
      <c r="H4" t="s">
        <v>42</v>
      </c>
      <c r="I4" t="s">
        <v>20</v>
      </c>
      <c r="J4" t="s">
        <v>2617</v>
      </c>
      <c r="L4" t="s">
        <v>1653</v>
      </c>
    </row>
    <row r="5" spans="1:14">
      <c r="A5" t="s">
        <v>2620</v>
      </c>
      <c r="B5" t="s">
        <v>17</v>
      </c>
      <c r="C5">
        <v>61</v>
      </c>
      <c r="D5" t="s">
        <v>41</v>
      </c>
      <c r="E5">
        <v>1000</v>
      </c>
      <c r="F5">
        <v>41</v>
      </c>
      <c r="G5" t="s">
        <v>18</v>
      </c>
      <c r="H5" t="s">
        <v>42</v>
      </c>
      <c r="I5" t="s">
        <v>20</v>
      </c>
      <c r="J5" t="s">
        <v>2617</v>
      </c>
      <c r="L5" t="s">
        <v>1653</v>
      </c>
    </row>
    <row r="6" spans="1:14">
      <c r="A6" t="s">
        <v>2621</v>
      </c>
      <c r="B6" t="s">
        <v>17</v>
      </c>
      <c r="C6">
        <v>61</v>
      </c>
      <c r="D6" t="s">
        <v>41</v>
      </c>
      <c r="E6">
        <v>0</v>
      </c>
      <c r="F6">
        <v>5</v>
      </c>
      <c r="G6" t="s">
        <v>18</v>
      </c>
      <c r="H6" t="s">
        <v>42</v>
      </c>
      <c r="I6" t="s">
        <v>20</v>
      </c>
      <c r="J6" t="s">
        <v>2617</v>
      </c>
      <c r="L6" t="s">
        <v>1653</v>
      </c>
    </row>
    <row r="7" spans="1:14">
      <c r="A7" t="s">
        <v>2622</v>
      </c>
      <c r="B7" t="s">
        <v>17</v>
      </c>
      <c r="C7">
        <v>61</v>
      </c>
      <c r="D7" t="s">
        <v>41</v>
      </c>
      <c r="E7">
        <v>0</v>
      </c>
      <c r="F7">
        <v>2</v>
      </c>
      <c r="G7" t="s">
        <v>18</v>
      </c>
      <c r="H7" t="s">
        <v>42</v>
      </c>
      <c r="I7" t="s">
        <v>20</v>
      </c>
      <c r="J7" t="s">
        <v>191</v>
      </c>
    </row>
    <row r="8" spans="1:14">
      <c r="A8" t="s">
        <v>2623</v>
      </c>
      <c r="B8" t="s">
        <v>17</v>
      </c>
      <c r="C8">
        <v>61</v>
      </c>
      <c r="D8" t="s">
        <v>41</v>
      </c>
      <c r="E8">
        <v>1000</v>
      </c>
      <c r="F8">
        <v>61</v>
      </c>
      <c r="G8" t="s">
        <v>18</v>
      </c>
      <c r="H8" t="s">
        <v>42</v>
      </c>
      <c r="I8" t="s">
        <v>20</v>
      </c>
      <c r="J8" t="s">
        <v>2617</v>
      </c>
    </row>
    <row r="9" spans="1:14">
      <c r="A9" t="s">
        <v>2624</v>
      </c>
      <c r="B9" t="s">
        <v>17</v>
      </c>
      <c r="C9">
        <v>61</v>
      </c>
      <c r="D9" t="s">
        <v>41</v>
      </c>
      <c r="E9">
        <v>1000</v>
      </c>
      <c r="F9">
        <v>61</v>
      </c>
      <c r="G9" t="s">
        <v>18</v>
      </c>
      <c r="H9" t="s">
        <v>42</v>
      </c>
      <c r="I9" t="s">
        <v>20</v>
      </c>
      <c r="J9" t="s">
        <v>2617</v>
      </c>
    </row>
    <row r="10" spans="1:14">
      <c r="A10" t="s">
        <v>2625</v>
      </c>
      <c r="B10" t="s">
        <v>17</v>
      </c>
      <c r="C10">
        <v>61</v>
      </c>
      <c r="D10" t="s">
        <v>41</v>
      </c>
      <c r="E10">
        <v>1000</v>
      </c>
      <c r="F10">
        <v>61</v>
      </c>
      <c r="G10" t="s">
        <v>18</v>
      </c>
      <c r="H10" t="s">
        <v>42</v>
      </c>
      <c r="I10" t="s">
        <v>20</v>
      </c>
      <c r="J10" t="s">
        <v>2617</v>
      </c>
    </row>
    <row r="11" spans="1:14">
      <c r="A11" t="s">
        <v>2626</v>
      </c>
      <c r="B11" t="s">
        <v>17</v>
      </c>
      <c r="C11">
        <v>61</v>
      </c>
      <c r="D11" t="s">
        <v>41</v>
      </c>
      <c r="E11">
        <v>1000</v>
      </c>
      <c r="F11">
        <v>61</v>
      </c>
      <c r="G11" t="s">
        <v>18</v>
      </c>
      <c r="H11" t="s">
        <v>42</v>
      </c>
      <c r="I11" t="s">
        <v>20</v>
      </c>
      <c r="J11" t="s">
        <v>2617</v>
      </c>
    </row>
    <row r="12" spans="1:14">
      <c r="A12" t="s">
        <v>2627</v>
      </c>
      <c r="B12" t="s">
        <v>17</v>
      </c>
      <c r="C12">
        <v>61</v>
      </c>
      <c r="D12" t="s">
        <v>41</v>
      </c>
      <c r="E12">
        <v>1000</v>
      </c>
      <c r="F12">
        <v>61</v>
      </c>
      <c r="G12" t="s">
        <v>18</v>
      </c>
      <c r="H12" t="s">
        <v>42</v>
      </c>
      <c r="I12" t="s">
        <v>20</v>
      </c>
      <c r="J12" t="s">
        <v>2617</v>
      </c>
    </row>
    <row r="13" spans="1:14">
      <c r="A13" t="s">
        <v>2628</v>
      </c>
      <c r="B13" t="s">
        <v>17</v>
      </c>
      <c r="C13">
        <v>61</v>
      </c>
      <c r="D13" t="s">
        <v>41</v>
      </c>
      <c r="E13">
        <v>1000</v>
      </c>
      <c r="F13">
        <v>61</v>
      </c>
      <c r="G13" t="s">
        <v>18</v>
      </c>
      <c r="H13" t="s">
        <v>42</v>
      </c>
      <c r="I13" t="s">
        <v>20</v>
      </c>
      <c r="J13" t="s">
        <v>2617</v>
      </c>
    </row>
    <row r="14" spans="1:14">
      <c r="A14" t="s">
        <v>2629</v>
      </c>
      <c r="B14" t="s">
        <v>17</v>
      </c>
      <c r="C14">
        <v>61</v>
      </c>
      <c r="D14" t="s">
        <v>41</v>
      </c>
      <c r="E14">
        <v>1000</v>
      </c>
      <c r="F14">
        <v>61</v>
      </c>
      <c r="G14" t="s">
        <v>18</v>
      </c>
      <c r="H14" t="s">
        <v>42</v>
      </c>
      <c r="I14" t="s">
        <v>20</v>
      </c>
      <c r="J14" t="s">
        <v>2617</v>
      </c>
    </row>
    <row r="15" spans="1:14">
      <c r="A15" t="s">
        <v>2630</v>
      </c>
      <c r="B15" t="s">
        <v>17</v>
      </c>
      <c r="C15">
        <v>61</v>
      </c>
      <c r="D15" t="s">
        <v>41</v>
      </c>
      <c r="E15">
        <v>1000</v>
      </c>
      <c r="F15">
        <v>61</v>
      </c>
      <c r="G15" t="s">
        <v>18</v>
      </c>
      <c r="H15" t="s">
        <v>42</v>
      </c>
      <c r="I15" t="s">
        <v>20</v>
      </c>
      <c r="J15" t="s">
        <v>2617</v>
      </c>
    </row>
    <row r="16" spans="1:14">
      <c r="A16" t="s">
        <v>2631</v>
      </c>
      <c r="B16" t="s">
        <v>17</v>
      </c>
      <c r="C16">
        <v>61</v>
      </c>
      <c r="D16" t="s">
        <v>41</v>
      </c>
      <c r="E16">
        <v>1000</v>
      </c>
      <c r="F16">
        <v>61</v>
      </c>
      <c r="G16" t="s">
        <v>18</v>
      </c>
      <c r="H16" t="s">
        <v>42</v>
      </c>
      <c r="I16" t="s">
        <v>20</v>
      </c>
      <c r="J16" t="s">
        <v>2617</v>
      </c>
    </row>
    <row r="17" spans="1:13">
      <c r="A17" t="s">
        <v>2632</v>
      </c>
      <c r="B17" t="s">
        <v>17</v>
      </c>
      <c r="C17">
        <v>61</v>
      </c>
      <c r="D17" t="s">
        <v>41</v>
      </c>
      <c r="E17">
        <v>1000</v>
      </c>
      <c r="F17">
        <v>61</v>
      </c>
      <c r="G17" t="s">
        <v>18</v>
      </c>
      <c r="H17" t="s">
        <v>42</v>
      </c>
      <c r="I17" t="s">
        <v>20</v>
      </c>
      <c r="J17" t="s">
        <v>2617</v>
      </c>
    </row>
    <row r="18" spans="1:13">
      <c r="A18" t="s">
        <v>2633</v>
      </c>
      <c r="B18" t="s">
        <v>17</v>
      </c>
      <c r="C18">
        <v>61</v>
      </c>
      <c r="D18" t="s">
        <v>41</v>
      </c>
      <c r="E18">
        <v>1000</v>
      </c>
      <c r="F18">
        <v>61</v>
      </c>
      <c r="G18" t="s">
        <v>18</v>
      </c>
      <c r="H18" t="s">
        <v>42</v>
      </c>
      <c r="I18" t="s">
        <v>20</v>
      </c>
      <c r="J18" t="s">
        <v>2617</v>
      </c>
    </row>
    <row r="19" spans="1:13">
      <c r="A19" t="s">
        <v>2634</v>
      </c>
      <c r="B19" t="s">
        <v>17</v>
      </c>
      <c r="C19">
        <v>61</v>
      </c>
      <c r="D19" t="s">
        <v>41</v>
      </c>
      <c r="E19">
        <v>1000</v>
      </c>
      <c r="F19">
        <v>61</v>
      </c>
      <c r="G19" t="s">
        <v>18</v>
      </c>
      <c r="H19" t="s">
        <v>42</v>
      </c>
      <c r="I19" t="s">
        <v>20</v>
      </c>
      <c r="J19" t="s">
        <v>2617</v>
      </c>
    </row>
    <row r="20" spans="1:13">
      <c r="A20" t="s">
        <v>2635</v>
      </c>
      <c r="B20" t="s">
        <v>17</v>
      </c>
      <c r="C20">
        <v>61</v>
      </c>
      <c r="D20" t="s">
        <v>41</v>
      </c>
      <c r="E20">
        <v>1000</v>
      </c>
      <c r="F20">
        <v>61</v>
      </c>
      <c r="G20" t="s">
        <v>18</v>
      </c>
      <c r="H20" t="s">
        <v>42</v>
      </c>
      <c r="I20" t="s">
        <v>20</v>
      </c>
      <c r="J20" t="s">
        <v>2617</v>
      </c>
    </row>
    <row r="21" spans="1:13">
      <c r="A21" t="s">
        <v>2636</v>
      </c>
      <c r="B21" t="s">
        <v>17</v>
      </c>
      <c r="C21">
        <v>61</v>
      </c>
      <c r="D21" t="s">
        <v>41</v>
      </c>
      <c r="E21">
        <v>1000</v>
      </c>
      <c r="F21">
        <v>61</v>
      </c>
      <c r="G21" t="s">
        <v>18</v>
      </c>
      <c r="H21" t="s">
        <v>42</v>
      </c>
      <c r="I21" t="s">
        <v>20</v>
      </c>
      <c r="J21" t="s">
        <v>2617</v>
      </c>
    </row>
    <row r="22" spans="1:13">
      <c r="A22" t="s">
        <v>2637</v>
      </c>
      <c r="B22" t="s">
        <v>17</v>
      </c>
      <c r="C22">
        <v>61</v>
      </c>
      <c r="D22" t="s">
        <v>41</v>
      </c>
      <c r="E22">
        <v>1000</v>
      </c>
      <c r="F22">
        <v>61</v>
      </c>
      <c r="G22" t="s">
        <v>18</v>
      </c>
      <c r="H22" t="s">
        <v>42</v>
      </c>
      <c r="I22" t="s">
        <v>20</v>
      </c>
      <c r="J22" t="s">
        <v>2617</v>
      </c>
    </row>
    <row r="23" spans="1:13">
      <c r="A23" t="s">
        <v>2638</v>
      </c>
      <c r="B23" t="s">
        <v>17</v>
      </c>
      <c r="C23">
        <v>61</v>
      </c>
      <c r="D23" t="s">
        <v>41</v>
      </c>
      <c r="E23">
        <v>1000</v>
      </c>
      <c r="F23">
        <v>18</v>
      </c>
      <c r="G23" t="s">
        <v>18</v>
      </c>
      <c r="H23" t="s">
        <v>42</v>
      </c>
      <c r="I23" t="s">
        <v>20</v>
      </c>
      <c r="J23" t="s">
        <v>2617</v>
      </c>
      <c r="L23" t="s">
        <v>2639</v>
      </c>
    </row>
    <row r="24" spans="1:13">
      <c r="A24" t="s">
        <v>2640</v>
      </c>
      <c r="B24" t="s">
        <v>17</v>
      </c>
      <c r="C24">
        <v>61</v>
      </c>
      <c r="D24" t="s">
        <v>41</v>
      </c>
      <c r="E24">
        <v>0</v>
      </c>
      <c r="F24">
        <v>43</v>
      </c>
      <c r="G24" t="s">
        <v>18</v>
      </c>
      <c r="H24" t="s">
        <v>42</v>
      </c>
      <c r="I24" t="s">
        <v>20</v>
      </c>
      <c r="J24" t="s">
        <v>2617</v>
      </c>
      <c r="L24" t="s">
        <v>2618</v>
      </c>
      <c r="M24" t="s">
        <v>2641</v>
      </c>
    </row>
    <row r="25" spans="1:13">
      <c r="A25" t="s">
        <v>2642</v>
      </c>
      <c r="B25" t="s">
        <v>17</v>
      </c>
      <c r="C25">
        <v>61</v>
      </c>
      <c r="D25" t="s">
        <v>41</v>
      </c>
      <c r="E25">
        <v>0</v>
      </c>
      <c r="F25">
        <v>3</v>
      </c>
      <c r="G25" t="s">
        <v>18</v>
      </c>
      <c r="H25" t="s">
        <v>42</v>
      </c>
      <c r="I25" t="s">
        <v>20</v>
      </c>
      <c r="J25" t="s">
        <v>191</v>
      </c>
    </row>
    <row r="26" spans="1:13">
      <c r="A26" t="s">
        <v>2643</v>
      </c>
      <c r="B26" t="s">
        <v>17</v>
      </c>
      <c r="C26">
        <v>61</v>
      </c>
      <c r="D26" t="s">
        <v>41</v>
      </c>
      <c r="E26">
        <v>0</v>
      </c>
      <c r="F26">
        <v>3</v>
      </c>
      <c r="G26" t="s">
        <v>18</v>
      </c>
      <c r="H26" t="s">
        <v>42</v>
      </c>
      <c r="I26" t="s">
        <v>20</v>
      </c>
      <c r="J26" t="s">
        <v>191</v>
      </c>
    </row>
    <row r="27" spans="1:13">
      <c r="A27" t="s">
        <v>2644</v>
      </c>
      <c r="B27" t="s">
        <v>17</v>
      </c>
      <c r="C27">
        <v>61</v>
      </c>
      <c r="D27" t="s">
        <v>41</v>
      </c>
      <c r="E27">
        <v>1000</v>
      </c>
      <c r="F27">
        <v>61</v>
      </c>
      <c r="G27" t="s">
        <v>18</v>
      </c>
      <c r="H27" t="s">
        <v>42</v>
      </c>
      <c r="I27" t="s">
        <v>20</v>
      </c>
      <c r="J27" t="s">
        <v>2617</v>
      </c>
      <c r="L27" t="s">
        <v>2645</v>
      </c>
    </row>
    <row r="28" spans="1:13">
      <c r="A28" t="s">
        <v>2646</v>
      </c>
      <c r="B28" t="s">
        <v>17</v>
      </c>
      <c r="C28">
        <v>61</v>
      </c>
      <c r="D28" t="s">
        <v>41</v>
      </c>
      <c r="E28">
        <v>1000</v>
      </c>
      <c r="F28">
        <v>61</v>
      </c>
      <c r="G28" t="s">
        <v>18</v>
      </c>
      <c r="H28" t="s">
        <v>42</v>
      </c>
      <c r="I28" t="s">
        <v>20</v>
      </c>
      <c r="J28" t="s">
        <v>2617</v>
      </c>
      <c r="L28" t="s">
        <v>2645</v>
      </c>
    </row>
    <row r="29" spans="1:13">
      <c r="A29" t="s">
        <v>2647</v>
      </c>
      <c r="B29" t="s">
        <v>17</v>
      </c>
      <c r="C29">
        <v>61</v>
      </c>
      <c r="D29" t="s">
        <v>41</v>
      </c>
      <c r="E29">
        <v>1000</v>
      </c>
      <c r="F29">
        <v>61</v>
      </c>
      <c r="G29" t="s">
        <v>18</v>
      </c>
      <c r="H29" t="s">
        <v>42</v>
      </c>
      <c r="I29" t="s">
        <v>20</v>
      </c>
      <c r="J29" t="s">
        <v>2617</v>
      </c>
      <c r="L29" t="s">
        <v>2645</v>
      </c>
    </row>
    <row r="30" spans="1:13">
      <c r="A30" t="s">
        <v>2648</v>
      </c>
      <c r="B30" t="s">
        <v>17</v>
      </c>
      <c r="C30">
        <v>61</v>
      </c>
      <c r="D30" t="s">
        <v>41</v>
      </c>
      <c r="E30">
        <v>1000</v>
      </c>
      <c r="F30">
        <v>61</v>
      </c>
      <c r="G30" t="s">
        <v>18</v>
      </c>
      <c r="H30" t="s">
        <v>42</v>
      </c>
      <c r="I30" t="s">
        <v>20</v>
      </c>
      <c r="J30" t="s">
        <v>2617</v>
      </c>
      <c r="L30" t="s">
        <v>2645</v>
      </c>
    </row>
    <row r="31" spans="1:13">
      <c r="A31" t="s">
        <v>2649</v>
      </c>
      <c r="B31" t="s">
        <v>17</v>
      </c>
      <c r="C31">
        <v>61</v>
      </c>
      <c r="D31" t="s">
        <v>41</v>
      </c>
      <c r="E31">
        <v>1000</v>
      </c>
      <c r="F31">
        <v>61</v>
      </c>
      <c r="G31" t="s">
        <v>18</v>
      </c>
      <c r="H31" t="s">
        <v>42</v>
      </c>
      <c r="I31" t="s">
        <v>20</v>
      </c>
      <c r="J31" t="s">
        <v>2617</v>
      </c>
      <c r="L31" t="s">
        <v>2645</v>
      </c>
    </row>
    <row r="32" spans="1:13">
      <c r="A32" t="s">
        <v>2650</v>
      </c>
      <c r="B32" t="s">
        <v>17</v>
      </c>
      <c r="C32">
        <v>61</v>
      </c>
      <c r="D32" t="s">
        <v>41</v>
      </c>
      <c r="E32">
        <v>1000</v>
      </c>
      <c r="F32">
        <v>61</v>
      </c>
      <c r="G32" t="s">
        <v>18</v>
      </c>
      <c r="H32" t="s">
        <v>42</v>
      </c>
      <c r="I32" t="s">
        <v>20</v>
      </c>
      <c r="J32" t="s">
        <v>2617</v>
      </c>
      <c r="L32" t="s">
        <v>2645</v>
      </c>
    </row>
    <row r="33" spans="1:12">
      <c r="A33" t="s">
        <v>2651</v>
      </c>
      <c r="B33" t="s">
        <v>17</v>
      </c>
      <c r="C33">
        <v>61</v>
      </c>
      <c r="D33" t="s">
        <v>41</v>
      </c>
      <c r="E33">
        <v>1000</v>
      </c>
      <c r="F33">
        <v>61</v>
      </c>
      <c r="G33" t="s">
        <v>18</v>
      </c>
      <c r="H33" t="s">
        <v>42</v>
      </c>
      <c r="I33" t="s">
        <v>20</v>
      </c>
      <c r="J33" t="s">
        <v>2617</v>
      </c>
      <c r="L33" t="s">
        <v>2645</v>
      </c>
    </row>
    <row r="34" spans="1:12">
      <c r="A34" t="s">
        <v>2652</v>
      </c>
      <c r="B34" t="s">
        <v>17</v>
      </c>
      <c r="C34">
        <v>61</v>
      </c>
      <c r="D34" t="s">
        <v>41</v>
      </c>
      <c r="E34">
        <v>1000</v>
      </c>
      <c r="F34">
        <v>61</v>
      </c>
      <c r="G34" t="s">
        <v>18</v>
      </c>
      <c r="H34" t="s">
        <v>42</v>
      </c>
      <c r="I34" t="s">
        <v>20</v>
      </c>
      <c r="J34" t="s">
        <v>2617</v>
      </c>
      <c r="L34" t="s">
        <v>2645</v>
      </c>
    </row>
    <row r="35" spans="1:12">
      <c r="A35" t="s">
        <v>2653</v>
      </c>
      <c r="B35" t="s">
        <v>17</v>
      </c>
      <c r="C35">
        <v>61</v>
      </c>
      <c r="D35" t="s">
        <v>41</v>
      </c>
      <c r="E35">
        <v>1000</v>
      </c>
      <c r="F35">
        <v>61</v>
      </c>
      <c r="G35" t="s">
        <v>18</v>
      </c>
      <c r="H35" t="s">
        <v>42</v>
      </c>
      <c r="I35" t="s">
        <v>20</v>
      </c>
      <c r="J35" t="s">
        <v>2617</v>
      </c>
      <c r="L35" t="s">
        <v>2645</v>
      </c>
    </row>
    <row r="36" spans="1:12">
      <c r="A36" t="s">
        <v>2654</v>
      </c>
      <c r="B36" t="s">
        <v>17</v>
      </c>
      <c r="C36">
        <v>61</v>
      </c>
      <c r="D36" t="s">
        <v>41</v>
      </c>
      <c r="E36">
        <v>1000</v>
      </c>
      <c r="F36">
        <v>61</v>
      </c>
      <c r="G36" t="s">
        <v>18</v>
      </c>
      <c r="H36" t="s">
        <v>42</v>
      </c>
      <c r="I36" t="s">
        <v>20</v>
      </c>
      <c r="J36" t="s">
        <v>2617</v>
      </c>
      <c r="L36" t="s">
        <v>2645</v>
      </c>
    </row>
    <row r="37" spans="1:12">
      <c r="A37" t="s">
        <v>2655</v>
      </c>
      <c r="B37" t="s">
        <v>17</v>
      </c>
      <c r="C37">
        <v>61</v>
      </c>
      <c r="D37" t="s">
        <v>41</v>
      </c>
      <c r="E37">
        <v>1000</v>
      </c>
      <c r="F37">
        <v>61</v>
      </c>
      <c r="G37" t="s">
        <v>18</v>
      </c>
      <c r="H37" t="s">
        <v>42</v>
      </c>
      <c r="I37" t="s">
        <v>20</v>
      </c>
      <c r="J37" t="s">
        <v>2617</v>
      </c>
      <c r="L37" t="s">
        <v>2645</v>
      </c>
    </row>
    <row r="38" spans="1:12">
      <c r="A38" t="s">
        <v>2656</v>
      </c>
      <c r="B38" t="s">
        <v>17</v>
      </c>
      <c r="C38">
        <v>61</v>
      </c>
      <c r="D38" t="s">
        <v>41</v>
      </c>
      <c r="E38">
        <v>1000</v>
      </c>
      <c r="F38">
        <v>61</v>
      </c>
      <c r="G38" t="s">
        <v>18</v>
      </c>
      <c r="H38" t="s">
        <v>42</v>
      </c>
      <c r="I38" t="s">
        <v>20</v>
      </c>
      <c r="J38" t="s">
        <v>2617</v>
      </c>
      <c r="L38" t="s">
        <v>2645</v>
      </c>
    </row>
    <row r="39" spans="1:12">
      <c r="A39" t="s">
        <v>2657</v>
      </c>
      <c r="B39" t="s">
        <v>17</v>
      </c>
      <c r="C39">
        <v>61</v>
      </c>
      <c r="D39" t="s">
        <v>41</v>
      </c>
      <c r="E39">
        <v>1000</v>
      </c>
      <c r="F39">
        <v>61</v>
      </c>
      <c r="G39" t="s">
        <v>18</v>
      </c>
      <c r="H39" t="s">
        <v>42</v>
      </c>
      <c r="I39" t="s">
        <v>20</v>
      </c>
      <c r="J39" t="s">
        <v>2617</v>
      </c>
      <c r="L39" t="s">
        <v>2645</v>
      </c>
    </row>
    <row r="40" spans="1:12">
      <c r="A40" t="s">
        <v>2658</v>
      </c>
      <c r="B40" t="s">
        <v>17</v>
      </c>
      <c r="C40">
        <v>61</v>
      </c>
      <c r="D40" t="s">
        <v>41</v>
      </c>
      <c r="E40">
        <v>1000</v>
      </c>
      <c r="F40">
        <v>61</v>
      </c>
      <c r="G40" t="s">
        <v>18</v>
      </c>
      <c r="H40" t="s">
        <v>42</v>
      </c>
      <c r="I40" t="s">
        <v>20</v>
      </c>
      <c r="J40" t="s">
        <v>2617</v>
      </c>
      <c r="L40" t="s">
        <v>2645</v>
      </c>
    </row>
    <row r="41" spans="1:12">
      <c r="A41" t="s">
        <v>2659</v>
      </c>
      <c r="B41" t="s">
        <v>17</v>
      </c>
      <c r="C41">
        <v>61</v>
      </c>
      <c r="D41" t="s">
        <v>41</v>
      </c>
      <c r="E41">
        <v>1000</v>
      </c>
      <c r="F41">
        <v>47</v>
      </c>
      <c r="G41" t="s">
        <v>18</v>
      </c>
      <c r="H41" t="s">
        <v>42</v>
      </c>
      <c r="I41" t="s">
        <v>20</v>
      </c>
      <c r="J41" t="s">
        <v>2617</v>
      </c>
      <c r="L41" t="s">
        <v>2660</v>
      </c>
    </row>
    <row r="42" spans="1:12">
      <c r="A42" t="s">
        <v>2661</v>
      </c>
      <c r="B42" t="s">
        <v>17</v>
      </c>
      <c r="C42">
        <v>61</v>
      </c>
      <c r="D42" t="s">
        <v>41</v>
      </c>
      <c r="E42">
        <v>1000</v>
      </c>
      <c r="F42">
        <v>61</v>
      </c>
      <c r="G42" t="s">
        <v>18</v>
      </c>
      <c r="H42" t="s">
        <v>42</v>
      </c>
      <c r="I42" t="s">
        <v>20</v>
      </c>
      <c r="J42" t="s">
        <v>2617</v>
      </c>
      <c r="L42" t="s">
        <v>2662</v>
      </c>
    </row>
    <row r="43" spans="1:12">
      <c r="A43" t="s">
        <v>2663</v>
      </c>
      <c r="B43" t="s">
        <v>17</v>
      </c>
      <c r="C43">
        <v>61</v>
      </c>
      <c r="D43" t="s">
        <v>41</v>
      </c>
      <c r="E43">
        <v>1000</v>
      </c>
      <c r="F43">
        <v>59</v>
      </c>
      <c r="G43" t="s">
        <v>18</v>
      </c>
      <c r="H43" t="s">
        <v>42</v>
      </c>
      <c r="I43" t="s">
        <v>20</v>
      </c>
      <c r="J43" t="s">
        <v>2617</v>
      </c>
      <c r="L43" t="s">
        <v>2664</v>
      </c>
    </row>
    <row r="44" spans="1:12">
      <c r="A44" t="s">
        <v>2665</v>
      </c>
      <c r="B44" t="s">
        <v>17</v>
      </c>
      <c r="C44">
        <v>61</v>
      </c>
      <c r="D44" t="s">
        <v>41</v>
      </c>
      <c r="E44">
        <v>1000</v>
      </c>
      <c r="F44">
        <v>61</v>
      </c>
      <c r="G44" t="s">
        <v>18</v>
      </c>
      <c r="H44" t="s">
        <v>42</v>
      </c>
      <c r="I44" t="s">
        <v>20</v>
      </c>
      <c r="J44" t="s">
        <v>2617</v>
      </c>
    </row>
    <row r="45" spans="1:12">
      <c r="A45" t="s">
        <v>2666</v>
      </c>
      <c r="B45" t="s">
        <v>17</v>
      </c>
      <c r="C45">
        <v>61</v>
      </c>
      <c r="D45" t="s">
        <v>41</v>
      </c>
      <c r="E45">
        <v>1000</v>
      </c>
      <c r="F45">
        <v>61</v>
      </c>
      <c r="G45" t="s">
        <v>18</v>
      </c>
      <c r="H45" t="s">
        <v>42</v>
      </c>
      <c r="I45" t="s">
        <v>20</v>
      </c>
      <c r="J45" t="s">
        <v>2617</v>
      </c>
    </row>
    <row r="46" spans="1:12">
      <c r="A46" t="s">
        <v>2667</v>
      </c>
      <c r="B46" t="s">
        <v>17</v>
      </c>
      <c r="C46">
        <v>61</v>
      </c>
      <c r="D46" t="s">
        <v>41</v>
      </c>
      <c r="E46">
        <v>1000</v>
      </c>
      <c r="F46">
        <v>61</v>
      </c>
      <c r="G46" t="s">
        <v>18</v>
      </c>
      <c r="H46" t="s">
        <v>42</v>
      </c>
      <c r="I46" t="s">
        <v>20</v>
      </c>
      <c r="J46" t="s">
        <v>2617</v>
      </c>
    </row>
    <row r="47" spans="1:12">
      <c r="A47" t="s">
        <v>2668</v>
      </c>
      <c r="B47" t="s">
        <v>17</v>
      </c>
      <c r="C47">
        <v>61</v>
      </c>
      <c r="D47" t="s">
        <v>41</v>
      </c>
      <c r="E47">
        <v>1000</v>
      </c>
      <c r="F47">
        <v>61</v>
      </c>
      <c r="G47" t="s">
        <v>18</v>
      </c>
      <c r="H47" t="s">
        <v>42</v>
      </c>
      <c r="I47" t="s">
        <v>20</v>
      </c>
      <c r="J47" t="s">
        <v>2617</v>
      </c>
    </row>
    <row r="48" spans="1:12">
      <c r="A48" t="s">
        <v>2669</v>
      </c>
      <c r="B48" t="s">
        <v>17</v>
      </c>
      <c r="C48">
        <v>61</v>
      </c>
      <c r="D48" t="s">
        <v>41</v>
      </c>
      <c r="E48">
        <v>1000</v>
      </c>
      <c r="F48">
        <v>25</v>
      </c>
      <c r="G48" t="s">
        <v>18</v>
      </c>
      <c r="H48" t="s">
        <v>42</v>
      </c>
      <c r="I48" t="s">
        <v>20</v>
      </c>
      <c r="J48" t="s">
        <v>2617</v>
      </c>
    </row>
    <row r="49" spans="1:12">
      <c r="A49" t="s">
        <v>2670</v>
      </c>
      <c r="B49" t="s">
        <v>17</v>
      </c>
      <c r="C49">
        <v>61</v>
      </c>
      <c r="D49" t="s">
        <v>41</v>
      </c>
      <c r="E49">
        <v>1000</v>
      </c>
      <c r="F49">
        <v>61</v>
      </c>
      <c r="G49" t="s">
        <v>18</v>
      </c>
      <c r="H49" t="s">
        <v>42</v>
      </c>
      <c r="I49" t="s">
        <v>20</v>
      </c>
      <c r="J49" t="s">
        <v>2617</v>
      </c>
      <c r="L49" t="s">
        <v>2671</v>
      </c>
    </row>
    <row r="50" spans="1:12">
      <c r="A50" t="s">
        <v>2672</v>
      </c>
      <c r="B50" t="s">
        <v>17</v>
      </c>
      <c r="C50">
        <v>61</v>
      </c>
      <c r="D50" t="s">
        <v>41</v>
      </c>
      <c r="E50">
        <v>1000</v>
      </c>
      <c r="F50">
        <v>61</v>
      </c>
      <c r="G50" t="s">
        <v>18</v>
      </c>
      <c r="H50" t="s">
        <v>42</v>
      </c>
      <c r="I50" t="s">
        <v>20</v>
      </c>
      <c r="J50" t="s">
        <v>2617</v>
      </c>
      <c r="L50" t="s">
        <v>2671</v>
      </c>
    </row>
    <row r="51" spans="1:12">
      <c r="A51" t="s">
        <v>2673</v>
      </c>
      <c r="B51" t="s">
        <v>17</v>
      </c>
      <c r="C51">
        <v>61</v>
      </c>
      <c r="D51" t="s">
        <v>41</v>
      </c>
      <c r="E51">
        <v>1000</v>
      </c>
      <c r="F51">
        <v>61</v>
      </c>
      <c r="G51" t="s">
        <v>18</v>
      </c>
      <c r="H51" t="s">
        <v>42</v>
      </c>
      <c r="I51" t="s">
        <v>20</v>
      </c>
      <c r="J51" t="s">
        <v>2617</v>
      </c>
      <c r="L51" t="s">
        <v>2671</v>
      </c>
    </row>
    <row r="52" spans="1:12">
      <c r="A52" t="s">
        <v>2674</v>
      </c>
      <c r="B52" t="s">
        <v>17</v>
      </c>
      <c r="C52">
        <v>61</v>
      </c>
      <c r="D52" t="s">
        <v>41</v>
      </c>
      <c r="E52">
        <v>1000</v>
      </c>
      <c r="F52">
        <v>61</v>
      </c>
      <c r="G52" t="s">
        <v>18</v>
      </c>
      <c r="H52" t="s">
        <v>42</v>
      </c>
      <c r="I52" t="s">
        <v>20</v>
      </c>
      <c r="J52" t="s">
        <v>2617</v>
      </c>
      <c r="L52" t="s">
        <v>2675</v>
      </c>
    </row>
    <row r="53" spans="1:12">
      <c r="A53" t="s">
        <v>2676</v>
      </c>
      <c r="B53" t="s">
        <v>17</v>
      </c>
      <c r="C53">
        <v>61</v>
      </c>
      <c r="D53" t="s">
        <v>41</v>
      </c>
      <c r="E53">
        <v>1000</v>
      </c>
      <c r="F53">
        <v>61</v>
      </c>
      <c r="G53" t="s">
        <v>18</v>
      </c>
      <c r="H53" t="s">
        <v>42</v>
      </c>
      <c r="I53" t="s">
        <v>20</v>
      </c>
      <c r="J53" t="s">
        <v>2617</v>
      </c>
      <c r="L53" t="s">
        <v>2675</v>
      </c>
    </row>
    <row r="54" spans="1:12">
      <c r="A54" t="s">
        <v>2677</v>
      </c>
      <c r="B54" t="s">
        <v>17</v>
      </c>
      <c r="C54">
        <v>61</v>
      </c>
      <c r="D54" t="s">
        <v>41</v>
      </c>
      <c r="E54">
        <v>1000</v>
      </c>
      <c r="F54">
        <v>61</v>
      </c>
      <c r="G54" t="s">
        <v>18</v>
      </c>
      <c r="H54" t="s">
        <v>42</v>
      </c>
      <c r="I54" t="s">
        <v>20</v>
      </c>
      <c r="J54" t="s">
        <v>2617</v>
      </c>
      <c r="L54" t="s">
        <v>2675</v>
      </c>
    </row>
    <row r="55" spans="1:12">
      <c r="A55" t="s">
        <v>2678</v>
      </c>
      <c r="B55" t="s">
        <v>17</v>
      </c>
      <c r="C55">
        <v>61</v>
      </c>
      <c r="D55" t="s">
        <v>41</v>
      </c>
      <c r="E55">
        <v>1000</v>
      </c>
      <c r="F55">
        <v>61</v>
      </c>
      <c r="G55" t="s">
        <v>18</v>
      </c>
      <c r="H55" t="s">
        <v>42</v>
      </c>
      <c r="I55" t="s">
        <v>20</v>
      </c>
      <c r="J55" t="s">
        <v>2617</v>
      </c>
      <c r="L55" t="s">
        <v>2675</v>
      </c>
    </row>
    <row r="56" spans="1:12">
      <c r="A56" t="s">
        <v>2679</v>
      </c>
      <c r="B56" t="s">
        <v>17</v>
      </c>
      <c r="C56">
        <v>61</v>
      </c>
      <c r="D56" t="s">
        <v>41</v>
      </c>
      <c r="E56">
        <v>1000</v>
      </c>
      <c r="F56">
        <v>61</v>
      </c>
      <c r="G56" t="s">
        <v>18</v>
      </c>
      <c r="H56" t="s">
        <v>42</v>
      </c>
      <c r="I56" t="s">
        <v>20</v>
      </c>
      <c r="J56" t="s">
        <v>2617</v>
      </c>
      <c r="L56" t="s">
        <v>2675</v>
      </c>
    </row>
    <row r="57" spans="1:12">
      <c r="A57" t="s">
        <v>2680</v>
      </c>
      <c r="B57" t="s">
        <v>17</v>
      </c>
      <c r="C57">
        <v>61</v>
      </c>
      <c r="D57" t="s">
        <v>41</v>
      </c>
      <c r="E57">
        <v>1000</v>
      </c>
      <c r="F57">
        <v>61</v>
      </c>
      <c r="G57" t="s">
        <v>18</v>
      </c>
      <c r="H57" t="s">
        <v>42</v>
      </c>
      <c r="I57" t="s">
        <v>20</v>
      </c>
      <c r="J57" t="s">
        <v>2617</v>
      </c>
      <c r="L57" t="s">
        <v>2675</v>
      </c>
    </row>
    <row r="58" spans="1:12">
      <c r="A58" t="s">
        <v>2681</v>
      </c>
      <c r="B58" t="s">
        <v>17</v>
      </c>
      <c r="C58">
        <v>61</v>
      </c>
      <c r="D58" t="s">
        <v>41</v>
      </c>
      <c r="E58">
        <v>1000</v>
      </c>
      <c r="F58">
        <v>61</v>
      </c>
      <c r="G58" t="s">
        <v>18</v>
      </c>
      <c r="H58" t="s">
        <v>42</v>
      </c>
      <c r="I58" t="s">
        <v>20</v>
      </c>
      <c r="J58" t="s">
        <v>2617</v>
      </c>
      <c r="L58" t="s">
        <v>2675</v>
      </c>
    </row>
    <row r="59" spans="1:12">
      <c r="A59" t="s">
        <v>2682</v>
      </c>
      <c r="B59" t="s">
        <v>17</v>
      </c>
      <c r="C59">
        <v>61</v>
      </c>
      <c r="D59" t="s">
        <v>41</v>
      </c>
      <c r="E59">
        <v>1000</v>
      </c>
      <c r="F59">
        <v>61</v>
      </c>
      <c r="G59" t="s">
        <v>18</v>
      </c>
      <c r="H59" t="s">
        <v>42</v>
      </c>
      <c r="I59" t="s">
        <v>20</v>
      </c>
      <c r="J59" t="s">
        <v>2617</v>
      </c>
      <c r="L59" t="s">
        <v>2675</v>
      </c>
    </row>
    <row r="60" spans="1:12">
      <c r="A60" t="s">
        <v>2683</v>
      </c>
      <c r="B60" t="s">
        <v>17</v>
      </c>
      <c r="C60">
        <v>61</v>
      </c>
      <c r="D60" t="s">
        <v>41</v>
      </c>
      <c r="E60">
        <v>1000</v>
      </c>
      <c r="F60">
        <v>61</v>
      </c>
      <c r="G60" t="s">
        <v>18</v>
      </c>
      <c r="H60" t="s">
        <v>42</v>
      </c>
      <c r="I60" t="s">
        <v>20</v>
      </c>
      <c r="J60" t="s">
        <v>2617</v>
      </c>
      <c r="L60" t="s">
        <v>2675</v>
      </c>
    </row>
    <row r="61" spans="1:12">
      <c r="A61" t="s">
        <v>2684</v>
      </c>
      <c r="B61" t="s">
        <v>17</v>
      </c>
      <c r="C61">
        <v>61</v>
      </c>
      <c r="D61" t="s">
        <v>41</v>
      </c>
      <c r="E61">
        <v>1000</v>
      </c>
      <c r="F61">
        <v>61</v>
      </c>
      <c r="G61" t="s">
        <v>18</v>
      </c>
      <c r="H61" t="s">
        <v>42</v>
      </c>
      <c r="I61" t="s">
        <v>20</v>
      </c>
      <c r="J61" t="s">
        <v>2617</v>
      </c>
      <c r="L61" t="s">
        <v>2675</v>
      </c>
    </row>
    <row r="62" spans="1:12">
      <c r="A62" t="s">
        <v>2685</v>
      </c>
      <c r="B62" t="s">
        <v>17</v>
      </c>
      <c r="C62">
        <v>61</v>
      </c>
      <c r="D62" t="s">
        <v>41</v>
      </c>
      <c r="E62">
        <v>1000</v>
      </c>
      <c r="F62">
        <v>61</v>
      </c>
      <c r="G62" t="s">
        <v>18</v>
      </c>
      <c r="H62" t="s">
        <v>42</v>
      </c>
      <c r="I62" t="s">
        <v>20</v>
      </c>
      <c r="J62" t="s">
        <v>2617</v>
      </c>
      <c r="L62" t="s">
        <v>2675</v>
      </c>
    </row>
    <row r="63" spans="1:12">
      <c r="A63" t="s">
        <v>2686</v>
      </c>
      <c r="B63" t="s">
        <v>17</v>
      </c>
      <c r="C63">
        <v>61</v>
      </c>
      <c r="D63" t="s">
        <v>41</v>
      </c>
      <c r="E63">
        <v>1000</v>
      </c>
      <c r="F63">
        <v>61</v>
      </c>
      <c r="G63" t="s">
        <v>18</v>
      </c>
      <c r="H63" t="s">
        <v>42</v>
      </c>
      <c r="I63" t="s">
        <v>20</v>
      </c>
      <c r="J63" t="s">
        <v>2617</v>
      </c>
      <c r="L63" t="s">
        <v>2675</v>
      </c>
    </row>
    <row r="64" spans="1:12">
      <c r="A64" t="s">
        <v>2687</v>
      </c>
      <c r="B64" t="s">
        <v>17</v>
      </c>
      <c r="C64">
        <v>61</v>
      </c>
      <c r="D64" t="s">
        <v>41</v>
      </c>
      <c r="E64">
        <v>1000</v>
      </c>
      <c r="F64">
        <v>5</v>
      </c>
      <c r="G64" t="s">
        <v>18</v>
      </c>
      <c r="H64" t="s">
        <v>42</v>
      </c>
      <c r="I64" t="s">
        <v>20</v>
      </c>
      <c r="J64" t="s">
        <v>191</v>
      </c>
    </row>
    <row r="65" spans="1:15">
      <c r="A65" t="s">
        <v>2688</v>
      </c>
      <c r="B65" t="s">
        <v>17</v>
      </c>
      <c r="C65">
        <v>61</v>
      </c>
      <c r="D65" t="s">
        <v>41</v>
      </c>
      <c r="E65">
        <v>1000</v>
      </c>
      <c r="F65">
        <v>61</v>
      </c>
      <c r="G65" t="s">
        <v>18</v>
      </c>
      <c r="H65" t="s">
        <v>42</v>
      </c>
      <c r="I65" t="s">
        <v>20</v>
      </c>
      <c r="J65" t="s">
        <v>2617</v>
      </c>
      <c r="N65" t="s">
        <v>2246</v>
      </c>
      <c r="O65" t="str">
        <f>""""&amp;A65&amp;""""</f>
        <v>"07161024_0930"</v>
      </c>
    </row>
    <row r="66" spans="1:15">
      <c r="A66" t="s">
        <v>2689</v>
      </c>
      <c r="B66" t="s">
        <v>17</v>
      </c>
      <c r="C66">
        <v>61</v>
      </c>
      <c r="D66" t="s">
        <v>41</v>
      </c>
      <c r="E66">
        <v>1000</v>
      </c>
      <c r="F66">
        <v>61</v>
      </c>
      <c r="G66" t="s">
        <v>18</v>
      </c>
      <c r="H66" t="s">
        <v>42</v>
      </c>
      <c r="I66" t="s">
        <v>20</v>
      </c>
      <c r="J66" t="s">
        <v>2617</v>
      </c>
      <c r="N66" t="s">
        <v>2246</v>
      </c>
      <c r="O66" t="str">
        <f>O65&amp;", """&amp;A66&amp;""""</f>
        <v>"07161024_0930", "07161024_1031"</v>
      </c>
    </row>
    <row r="67" spans="1:15">
      <c r="A67" t="s">
        <v>2690</v>
      </c>
      <c r="B67" t="s">
        <v>17</v>
      </c>
      <c r="C67">
        <v>61</v>
      </c>
      <c r="D67" t="s">
        <v>41</v>
      </c>
      <c r="E67">
        <v>1000</v>
      </c>
      <c r="F67">
        <v>61</v>
      </c>
      <c r="G67" t="s">
        <v>18</v>
      </c>
      <c r="H67" t="s">
        <v>42</v>
      </c>
      <c r="I67" t="s">
        <v>20</v>
      </c>
      <c r="J67" t="s">
        <v>2617</v>
      </c>
      <c r="N67" t="s">
        <v>2246</v>
      </c>
      <c r="O67" t="str">
        <f>O66&amp;", """&amp;A67&amp;""""</f>
        <v>"07161024_0930", "07161024_1031", "07161024_1132"</v>
      </c>
    </row>
    <row r="68" spans="1:15">
      <c r="A68" t="s">
        <v>2691</v>
      </c>
      <c r="B68" t="s">
        <v>17</v>
      </c>
      <c r="C68">
        <v>61</v>
      </c>
      <c r="D68" t="s">
        <v>41</v>
      </c>
      <c r="E68">
        <v>1000</v>
      </c>
      <c r="F68">
        <v>25</v>
      </c>
      <c r="G68" t="s">
        <v>18</v>
      </c>
      <c r="H68" t="s">
        <v>42</v>
      </c>
      <c r="I68" t="s">
        <v>20</v>
      </c>
      <c r="J68" t="s">
        <v>2617</v>
      </c>
      <c r="L68" t="s">
        <v>2692</v>
      </c>
      <c r="N68" t="s">
        <v>2246</v>
      </c>
      <c r="O68" t="str">
        <f>O67&amp;", """&amp;A68&amp;""""</f>
        <v>"07161024_0930", "07161024_1031", "07161024_1132", "07161024_1233"</v>
      </c>
    </row>
    <row r="69" spans="1:15">
      <c r="A69" t="s">
        <v>2693</v>
      </c>
      <c r="B69" t="s">
        <v>17</v>
      </c>
      <c r="C69">
        <v>61</v>
      </c>
      <c r="D69" t="s">
        <v>41</v>
      </c>
      <c r="E69">
        <v>36000</v>
      </c>
      <c r="F69">
        <v>33</v>
      </c>
      <c r="G69" t="s">
        <v>191</v>
      </c>
      <c r="H69" t="s">
        <v>42</v>
      </c>
      <c r="I69" t="s">
        <v>20</v>
      </c>
      <c r="J69" t="s">
        <v>2694</v>
      </c>
    </row>
    <row r="70" spans="1:15">
      <c r="A70" t="s">
        <v>2695</v>
      </c>
      <c r="B70" t="s">
        <v>17</v>
      </c>
      <c r="C70">
        <v>61</v>
      </c>
      <c r="D70" t="s">
        <v>41</v>
      </c>
      <c r="E70">
        <v>0</v>
      </c>
      <c r="F70">
        <v>9</v>
      </c>
      <c r="G70" t="s">
        <v>65</v>
      </c>
      <c r="H70" t="s">
        <v>42</v>
      </c>
      <c r="I70" t="s">
        <v>20</v>
      </c>
      <c r="J70" t="s">
        <v>2696</v>
      </c>
      <c r="K70">
        <v>0</v>
      </c>
    </row>
    <row r="71" spans="1:15">
      <c r="A71" t="s">
        <v>2697</v>
      </c>
      <c r="B71" t="s">
        <v>17</v>
      </c>
      <c r="C71">
        <v>61</v>
      </c>
      <c r="D71" t="s">
        <v>41</v>
      </c>
      <c r="E71">
        <v>0</v>
      </c>
      <c r="F71">
        <v>7</v>
      </c>
      <c r="G71" t="s">
        <v>65</v>
      </c>
      <c r="H71" t="s">
        <v>42</v>
      </c>
      <c r="I71" t="s">
        <v>20</v>
      </c>
      <c r="J71" t="s">
        <v>191</v>
      </c>
      <c r="K71">
        <v>0</v>
      </c>
    </row>
    <row r="72" spans="1:15">
      <c r="A72" t="s">
        <v>2698</v>
      </c>
      <c r="B72" t="s">
        <v>17</v>
      </c>
      <c r="C72">
        <v>61</v>
      </c>
      <c r="D72" t="s">
        <v>41</v>
      </c>
      <c r="E72">
        <v>20000</v>
      </c>
      <c r="F72">
        <v>17</v>
      </c>
      <c r="G72" t="s">
        <v>18</v>
      </c>
      <c r="H72" t="s">
        <v>42</v>
      </c>
      <c r="I72" t="s">
        <v>20</v>
      </c>
      <c r="J72" t="s">
        <v>2699</v>
      </c>
      <c r="K72">
        <v>0</v>
      </c>
    </row>
    <row r="73" spans="1:15">
      <c r="A73" t="s">
        <v>2700</v>
      </c>
      <c r="B73" t="s">
        <v>17</v>
      </c>
      <c r="C73">
        <v>61</v>
      </c>
      <c r="D73" t="s">
        <v>41</v>
      </c>
      <c r="E73">
        <v>1000</v>
      </c>
      <c r="F73">
        <v>61</v>
      </c>
      <c r="G73" t="s">
        <v>18</v>
      </c>
      <c r="H73" t="s">
        <v>42</v>
      </c>
      <c r="I73" t="s">
        <v>20</v>
      </c>
      <c r="J73" t="s">
        <v>2701</v>
      </c>
      <c r="K73">
        <v>0</v>
      </c>
    </row>
    <row r="74" spans="1:15">
      <c r="A74" t="s">
        <v>2702</v>
      </c>
      <c r="B74" t="s">
        <v>17</v>
      </c>
      <c r="C74">
        <v>61</v>
      </c>
      <c r="D74" t="s">
        <v>41</v>
      </c>
      <c r="E74">
        <v>1000</v>
      </c>
      <c r="F74">
        <v>61</v>
      </c>
      <c r="G74" t="s">
        <v>18</v>
      </c>
      <c r="H74" t="s">
        <v>42</v>
      </c>
      <c r="I74" t="s">
        <v>20</v>
      </c>
      <c r="J74" t="s">
        <v>2701</v>
      </c>
      <c r="K74">
        <v>0</v>
      </c>
    </row>
    <row r="75" spans="1:15">
      <c r="A75" t="s">
        <v>2703</v>
      </c>
      <c r="B75" t="s">
        <v>17</v>
      </c>
      <c r="C75">
        <v>61</v>
      </c>
      <c r="D75" t="s">
        <v>41</v>
      </c>
      <c r="E75">
        <v>1000</v>
      </c>
      <c r="F75" t="s">
        <v>41</v>
      </c>
      <c r="G75" t="s">
        <v>18</v>
      </c>
      <c r="H75" t="s">
        <v>42</v>
      </c>
      <c r="I75" t="s">
        <v>20</v>
      </c>
      <c r="J75" t="s">
        <v>2701</v>
      </c>
      <c r="K75">
        <v>0</v>
      </c>
      <c r="L75" t="s">
        <v>2704</v>
      </c>
    </row>
    <row r="76" spans="1:15">
      <c r="A76" t="s">
        <v>2705</v>
      </c>
      <c r="B76" t="s">
        <v>17</v>
      </c>
      <c r="C76">
        <v>61</v>
      </c>
      <c r="D76" t="s">
        <v>41</v>
      </c>
      <c r="E76">
        <v>1000</v>
      </c>
      <c r="F76">
        <v>8</v>
      </c>
      <c r="G76" t="s">
        <v>18</v>
      </c>
      <c r="H76" t="s">
        <v>42</v>
      </c>
      <c r="I76" t="s">
        <v>20</v>
      </c>
      <c r="J76" t="s">
        <v>2701</v>
      </c>
      <c r="K76">
        <v>0</v>
      </c>
      <c r="L76" t="s">
        <v>2706</v>
      </c>
    </row>
    <row r="77" spans="1:15">
      <c r="A77" t="s">
        <v>2707</v>
      </c>
      <c r="B77" t="s">
        <v>17</v>
      </c>
      <c r="C77">
        <v>61</v>
      </c>
      <c r="D77" t="s">
        <v>41</v>
      </c>
      <c r="E77">
        <v>1000</v>
      </c>
      <c r="F77">
        <v>2</v>
      </c>
      <c r="G77" t="s">
        <v>18</v>
      </c>
      <c r="H77" t="s">
        <v>42</v>
      </c>
      <c r="I77" t="s">
        <v>20</v>
      </c>
      <c r="J77" t="s">
        <v>191</v>
      </c>
      <c r="K77">
        <v>0</v>
      </c>
    </row>
    <row r="78" spans="1:15">
      <c r="A78" t="s">
        <v>2708</v>
      </c>
      <c r="B78" t="s">
        <v>17</v>
      </c>
      <c r="C78">
        <v>61</v>
      </c>
      <c r="D78" t="s">
        <v>41</v>
      </c>
      <c r="E78">
        <v>1000</v>
      </c>
      <c r="F78">
        <v>4</v>
      </c>
      <c r="G78" t="s">
        <v>18</v>
      </c>
      <c r="H78" t="s">
        <v>42</v>
      </c>
      <c r="I78" t="s">
        <v>20</v>
      </c>
      <c r="J78" t="s">
        <v>191</v>
      </c>
      <c r="K78">
        <v>0</v>
      </c>
      <c r="L78" t="s">
        <v>2709</v>
      </c>
    </row>
    <row r="79" spans="1:15">
      <c r="A79" t="s">
        <v>2710</v>
      </c>
      <c r="B79" t="s">
        <v>17</v>
      </c>
      <c r="C79">
        <v>61</v>
      </c>
      <c r="D79" t="s">
        <v>41</v>
      </c>
      <c r="E79">
        <v>1000</v>
      </c>
      <c r="F79">
        <v>45</v>
      </c>
      <c r="G79" t="s">
        <v>18</v>
      </c>
      <c r="H79" t="s">
        <v>42</v>
      </c>
      <c r="I79" t="s">
        <v>20</v>
      </c>
      <c r="J79" t="s">
        <v>191</v>
      </c>
      <c r="K79">
        <v>0</v>
      </c>
      <c r="L79" t="s">
        <v>2709</v>
      </c>
    </row>
    <row r="80" spans="1:15">
      <c r="A80" t="s">
        <v>2711</v>
      </c>
      <c r="B80" t="s">
        <v>17</v>
      </c>
      <c r="C80">
        <v>61</v>
      </c>
      <c r="D80" t="s">
        <v>41</v>
      </c>
      <c r="E80">
        <v>36000</v>
      </c>
      <c r="F80">
        <v>1</v>
      </c>
      <c r="G80" t="s">
        <v>18</v>
      </c>
      <c r="H80" t="s">
        <v>42</v>
      </c>
      <c r="I80" t="s">
        <v>20</v>
      </c>
      <c r="J80" t="s">
        <v>191</v>
      </c>
    </row>
    <row r="81" spans="1:11">
      <c r="A81" t="s">
        <v>2712</v>
      </c>
      <c r="B81" t="s">
        <v>17</v>
      </c>
      <c r="C81">
        <v>61</v>
      </c>
      <c r="D81" t="s">
        <v>41</v>
      </c>
      <c r="E81">
        <v>36000</v>
      </c>
      <c r="F81">
        <v>21</v>
      </c>
      <c r="G81" t="s">
        <v>18</v>
      </c>
      <c r="H81" t="s">
        <v>42</v>
      </c>
      <c r="I81" t="s">
        <v>20</v>
      </c>
      <c r="J81" t="s">
        <v>2701</v>
      </c>
      <c r="K81">
        <v>9.34</v>
      </c>
    </row>
    <row r="82" spans="1:11">
      <c r="A82" t="s">
        <v>2713</v>
      </c>
      <c r="B82" t="s">
        <v>17</v>
      </c>
      <c r="C82">
        <v>61</v>
      </c>
      <c r="D82" t="s">
        <v>41</v>
      </c>
      <c r="E82">
        <v>36000</v>
      </c>
      <c r="F82">
        <v>1</v>
      </c>
      <c r="G82" t="s">
        <v>18</v>
      </c>
      <c r="H82" t="s">
        <v>42</v>
      </c>
      <c r="I82" t="s">
        <v>20</v>
      </c>
      <c r="J82" t="s">
        <v>191</v>
      </c>
    </row>
    <row r="83" spans="1:11">
      <c r="A83" t="s">
        <v>2714</v>
      </c>
      <c r="B83" t="s">
        <v>17</v>
      </c>
      <c r="C83">
        <v>61</v>
      </c>
      <c r="D83" t="s">
        <v>41</v>
      </c>
      <c r="E83">
        <v>36000</v>
      </c>
      <c r="F83">
        <v>1</v>
      </c>
      <c r="G83" t="s">
        <v>18</v>
      </c>
      <c r="H83" t="s">
        <v>42</v>
      </c>
      <c r="I83" t="s">
        <v>20</v>
      </c>
      <c r="J83" t="s">
        <v>191</v>
      </c>
    </row>
    <row r="84" spans="1:11">
      <c r="A84" t="s">
        <v>2715</v>
      </c>
      <c r="B84" t="s">
        <v>17</v>
      </c>
      <c r="C84">
        <v>61</v>
      </c>
      <c r="D84" t="s">
        <v>41</v>
      </c>
      <c r="E84">
        <v>36000</v>
      </c>
      <c r="F84">
        <v>1</v>
      </c>
      <c r="G84" t="s">
        <v>18</v>
      </c>
      <c r="H84" t="s">
        <v>42</v>
      </c>
      <c r="I84" t="s">
        <v>20</v>
      </c>
      <c r="J84" t="s">
        <v>191</v>
      </c>
    </row>
    <row r="85" spans="1:11">
      <c r="A85" t="s">
        <v>2716</v>
      </c>
      <c r="B85" t="s">
        <v>17</v>
      </c>
      <c r="C85">
        <v>61</v>
      </c>
      <c r="D85" t="s">
        <v>41</v>
      </c>
      <c r="E85">
        <v>36000</v>
      </c>
      <c r="F85">
        <v>1</v>
      </c>
      <c r="G85" t="s">
        <v>18</v>
      </c>
      <c r="H85" t="s">
        <v>42</v>
      </c>
      <c r="I85" t="s">
        <v>20</v>
      </c>
      <c r="J85" t="s">
        <v>191</v>
      </c>
    </row>
    <row r="86" spans="1:11">
      <c r="A86" t="s">
        <v>2717</v>
      </c>
      <c r="B86" t="s">
        <v>17</v>
      </c>
      <c r="C86">
        <v>61</v>
      </c>
      <c r="D86" t="s">
        <v>41</v>
      </c>
      <c r="E86">
        <v>36000</v>
      </c>
      <c r="F86">
        <v>1</v>
      </c>
      <c r="G86" t="s">
        <v>18</v>
      </c>
      <c r="H86" t="s">
        <v>42</v>
      </c>
      <c r="I86" t="s">
        <v>20</v>
      </c>
      <c r="J86" t="s">
        <v>191</v>
      </c>
    </row>
    <row r="87" spans="1:11">
      <c r="A87" t="s">
        <v>2718</v>
      </c>
      <c r="B87" t="s">
        <v>17</v>
      </c>
      <c r="C87">
        <v>61</v>
      </c>
      <c r="D87" t="s">
        <v>41</v>
      </c>
      <c r="E87">
        <v>36000</v>
      </c>
      <c r="F87">
        <v>1</v>
      </c>
      <c r="G87" t="s">
        <v>18</v>
      </c>
      <c r="H87" t="s">
        <v>42</v>
      </c>
      <c r="I87" t="s">
        <v>20</v>
      </c>
      <c r="J87" t="s">
        <v>191</v>
      </c>
    </row>
    <row r="88" spans="1:11">
      <c r="A88" t="s">
        <v>2719</v>
      </c>
      <c r="B88" t="s">
        <v>17</v>
      </c>
      <c r="C88">
        <v>61</v>
      </c>
      <c r="D88" t="s">
        <v>41</v>
      </c>
      <c r="E88">
        <v>36000</v>
      </c>
      <c r="F88">
        <v>1</v>
      </c>
      <c r="G88" t="s">
        <v>18</v>
      </c>
      <c r="H88" t="s">
        <v>42</v>
      </c>
      <c r="I88" t="s">
        <v>20</v>
      </c>
      <c r="J88" t="s">
        <v>191</v>
      </c>
    </row>
    <row r="89" spans="1:11">
      <c r="A89" t="s">
        <v>2720</v>
      </c>
      <c r="B89" t="s">
        <v>17</v>
      </c>
      <c r="C89">
        <v>61</v>
      </c>
      <c r="D89" t="s">
        <v>41</v>
      </c>
      <c r="E89">
        <v>36000</v>
      </c>
      <c r="F89">
        <v>1</v>
      </c>
      <c r="G89" t="s">
        <v>18</v>
      </c>
      <c r="H89" t="s">
        <v>42</v>
      </c>
      <c r="I89" t="s">
        <v>20</v>
      </c>
      <c r="J89" t="s">
        <v>191</v>
      </c>
    </row>
    <row r="90" spans="1:11">
      <c r="A90" t="s">
        <v>2721</v>
      </c>
      <c r="B90" t="s">
        <v>17</v>
      </c>
      <c r="C90">
        <v>61</v>
      </c>
      <c r="D90" t="s">
        <v>41</v>
      </c>
      <c r="E90">
        <v>36000</v>
      </c>
      <c r="F90">
        <v>1</v>
      </c>
      <c r="G90" t="s">
        <v>18</v>
      </c>
      <c r="H90" t="s">
        <v>42</v>
      </c>
      <c r="I90" t="s">
        <v>20</v>
      </c>
      <c r="J90" t="s">
        <v>191</v>
      </c>
    </row>
    <row r="91" spans="1:11">
      <c r="A91" t="s">
        <v>2722</v>
      </c>
      <c r="B91" t="s">
        <v>17</v>
      </c>
      <c r="C91">
        <v>61</v>
      </c>
      <c r="D91" t="s">
        <v>41</v>
      </c>
      <c r="E91">
        <v>36000</v>
      </c>
      <c r="F91">
        <v>1</v>
      </c>
      <c r="G91" t="s">
        <v>18</v>
      </c>
      <c r="H91" t="s">
        <v>42</v>
      </c>
      <c r="I91" t="s">
        <v>20</v>
      </c>
      <c r="J91" t="s">
        <v>191</v>
      </c>
    </row>
    <row r="92" spans="1:11">
      <c r="A92" t="s">
        <v>2723</v>
      </c>
      <c r="B92" t="s">
        <v>17</v>
      </c>
      <c r="C92">
        <v>61</v>
      </c>
      <c r="D92" t="s">
        <v>41</v>
      </c>
      <c r="E92">
        <v>36000</v>
      </c>
      <c r="F92">
        <v>1</v>
      </c>
      <c r="G92" t="s">
        <v>18</v>
      </c>
      <c r="H92" t="s">
        <v>42</v>
      </c>
      <c r="I92" t="s">
        <v>20</v>
      </c>
      <c r="J92" t="s">
        <v>191</v>
      </c>
    </row>
    <row r="93" spans="1:11">
      <c r="A93" t="s">
        <v>2724</v>
      </c>
      <c r="B93" t="s">
        <v>17</v>
      </c>
      <c r="C93">
        <v>61</v>
      </c>
      <c r="D93" t="s">
        <v>41</v>
      </c>
      <c r="E93">
        <v>36000</v>
      </c>
      <c r="F93">
        <v>4</v>
      </c>
      <c r="G93" t="s">
        <v>18</v>
      </c>
      <c r="H93" t="s">
        <v>42</v>
      </c>
      <c r="I93" t="s">
        <v>20</v>
      </c>
      <c r="J93" t="s">
        <v>191</v>
      </c>
    </row>
    <row r="94" spans="1:11">
      <c r="A94" t="s">
        <v>2725</v>
      </c>
      <c r="B94" t="s">
        <v>17</v>
      </c>
      <c r="C94">
        <v>61</v>
      </c>
      <c r="D94" t="s">
        <v>41</v>
      </c>
      <c r="E94">
        <v>36000</v>
      </c>
      <c r="F94">
        <v>1</v>
      </c>
      <c r="G94" t="s">
        <v>18</v>
      </c>
      <c r="H94" t="s">
        <v>42</v>
      </c>
      <c r="I94" t="s">
        <v>20</v>
      </c>
      <c r="J94" t="s">
        <v>191</v>
      </c>
    </row>
    <row r="95" spans="1:11">
      <c r="A95" t="s">
        <v>2726</v>
      </c>
      <c r="B95" t="s">
        <v>17</v>
      </c>
      <c r="C95">
        <v>61</v>
      </c>
      <c r="D95" t="s">
        <v>41</v>
      </c>
      <c r="E95">
        <v>18000</v>
      </c>
      <c r="F95">
        <v>42</v>
      </c>
      <c r="G95" t="s">
        <v>18</v>
      </c>
      <c r="H95" t="s">
        <v>42</v>
      </c>
      <c r="I95" t="s">
        <v>20</v>
      </c>
      <c r="J95" t="s">
        <v>2699</v>
      </c>
      <c r="K95">
        <v>7.7</v>
      </c>
    </row>
    <row r="96" spans="1:11">
      <c r="A96" t="s">
        <v>2727</v>
      </c>
      <c r="B96" t="s">
        <v>17</v>
      </c>
      <c r="C96">
        <v>61</v>
      </c>
      <c r="D96" t="s">
        <v>41</v>
      </c>
      <c r="E96">
        <v>0</v>
      </c>
      <c r="F96">
        <v>6</v>
      </c>
      <c r="G96" t="s">
        <v>18</v>
      </c>
      <c r="H96" t="s">
        <v>42</v>
      </c>
      <c r="I96" t="s">
        <v>20</v>
      </c>
      <c r="J96" t="s">
        <v>1853</v>
      </c>
    </row>
    <row r="97" spans="1:13">
      <c r="A97" t="s">
        <v>2728</v>
      </c>
      <c r="B97" t="s">
        <v>17</v>
      </c>
      <c r="C97">
        <v>61</v>
      </c>
      <c r="D97" t="s">
        <v>41</v>
      </c>
      <c r="E97">
        <v>0</v>
      </c>
      <c r="F97">
        <v>8</v>
      </c>
      <c r="G97" t="s">
        <v>18</v>
      </c>
      <c r="H97" t="s">
        <v>42</v>
      </c>
      <c r="I97" t="s">
        <v>20</v>
      </c>
      <c r="J97" t="s">
        <v>2699</v>
      </c>
      <c r="K97">
        <v>0</v>
      </c>
      <c r="L97" t="s">
        <v>2729</v>
      </c>
    </row>
    <row r="98" spans="1:13">
      <c r="A98" t="s">
        <v>2730</v>
      </c>
      <c r="B98" t="s">
        <v>17</v>
      </c>
      <c r="C98">
        <v>61</v>
      </c>
      <c r="D98" t="s">
        <v>41</v>
      </c>
      <c r="E98">
        <v>0</v>
      </c>
      <c r="F98">
        <v>7</v>
      </c>
      <c r="G98" t="s">
        <v>18</v>
      </c>
      <c r="H98" t="s">
        <v>42</v>
      </c>
      <c r="I98" t="s">
        <v>20</v>
      </c>
      <c r="J98" t="s">
        <v>2699</v>
      </c>
      <c r="K98">
        <v>0</v>
      </c>
      <c r="L98" t="s">
        <v>2729</v>
      </c>
    </row>
    <row r="99" spans="1:13">
      <c r="A99" t="s">
        <v>2731</v>
      </c>
      <c r="B99" t="s">
        <v>17</v>
      </c>
      <c r="C99">
        <v>61</v>
      </c>
      <c r="D99" t="s">
        <v>41</v>
      </c>
      <c r="E99">
        <v>0</v>
      </c>
      <c r="F99">
        <v>7</v>
      </c>
      <c r="G99" t="s">
        <v>18</v>
      </c>
      <c r="H99" t="s">
        <v>42</v>
      </c>
      <c r="I99" t="s">
        <v>20</v>
      </c>
      <c r="J99" t="s">
        <v>2699</v>
      </c>
      <c r="K99">
        <v>0</v>
      </c>
      <c r="L99" t="s">
        <v>2732</v>
      </c>
    </row>
    <row r="100" spans="1:13">
      <c r="A100" t="s">
        <v>2733</v>
      </c>
      <c r="B100" t="s">
        <v>17</v>
      </c>
      <c r="C100">
        <v>61</v>
      </c>
      <c r="D100" t="s">
        <v>41</v>
      </c>
      <c r="E100">
        <v>0</v>
      </c>
      <c r="F100">
        <v>6</v>
      </c>
      <c r="G100" t="s">
        <v>18</v>
      </c>
      <c r="H100" t="s">
        <v>42</v>
      </c>
      <c r="I100" t="s">
        <v>20</v>
      </c>
      <c r="J100" t="s">
        <v>2699</v>
      </c>
      <c r="K100">
        <v>0</v>
      </c>
      <c r="L100" t="s">
        <v>2732</v>
      </c>
    </row>
    <row r="101" spans="1:13">
      <c r="A101" t="s">
        <v>2734</v>
      </c>
      <c r="B101" t="s">
        <v>17</v>
      </c>
      <c r="C101">
        <v>61</v>
      </c>
      <c r="D101" t="s">
        <v>41</v>
      </c>
      <c r="E101">
        <v>0</v>
      </c>
      <c r="F101">
        <v>3</v>
      </c>
      <c r="G101" t="s">
        <v>18</v>
      </c>
      <c r="H101" t="s">
        <v>42</v>
      </c>
      <c r="I101" t="s">
        <v>20</v>
      </c>
      <c r="J101" t="s">
        <v>1853</v>
      </c>
    </row>
    <row r="102" spans="1:13">
      <c r="A102" t="s">
        <v>2735</v>
      </c>
      <c r="B102" t="s">
        <v>17</v>
      </c>
      <c r="C102">
        <v>61</v>
      </c>
      <c r="D102" t="s">
        <v>41</v>
      </c>
      <c r="E102">
        <v>0</v>
      </c>
      <c r="F102">
        <v>4</v>
      </c>
      <c r="G102" t="s">
        <v>18</v>
      </c>
      <c r="H102" t="s">
        <v>42</v>
      </c>
      <c r="I102" t="s">
        <v>20</v>
      </c>
      <c r="J102" t="s">
        <v>1853</v>
      </c>
    </row>
    <row r="103" spans="1:13">
      <c r="A103" t="s">
        <v>2736</v>
      </c>
      <c r="B103" t="s">
        <v>17</v>
      </c>
      <c r="C103">
        <v>61</v>
      </c>
      <c r="D103" t="s">
        <v>41</v>
      </c>
      <c r="E103">
        <v>0</v>
      </c>
      <c r="F103">
        <v>9</v>
      </c>
      <c r="G103" t="s">
        <v>18</v>
      </c>
      <c r="H103" t="s">
        <v>42</v>
      </c>
      <c r="I103" t="s">
        <v>20</v>
      </c>
      <c r="J103" t="s">
        <v>2699</v>
      </c>
      <c r="K103">
        <v>0</v>
      </c>
      <c r="L103" t="s">
        <v>2729</v>
      </c>
      <c r="M103" t="s">
        <v>2737</v>
      </c>
    </row>
    <row r="104" spans="1:13">
      <c r="A104" t="s">
        <v>2738</v>
      </c>
      <c r="B104" t="s">
        <v>17</v>
      </c>
      <c r="C104">
        <v>61</v>
      </c>
      <c r="D104" t="s">
        <v>41</v>
      </c>
      <c r="E104">
        <v>0</v>
      </c>
      <c r="F104">
        <v>9</v>
      </c>
      <c r="G104" t="s">
        <v>18</v>
      </c>
      <c r="H104" t="s">
        <v>42</v>
      </c>
      <c r="I104" t="s">
        <v>20</v>
      </c>
      <c r="J104" t="s">
        <v>2699</v>
      </c>
      <c r="K104">
        <v>0</v>
      </c>
      <c r="L104" t="s">
        <v>2729</v>
      </c>
    </row>
    <row r="105" spans="1:13">
      <c r="A105" t="s">
        <v>2739</v>
      </c>
      <c r="B105" t="s">
        <v>17</v>
      </c>
      <c r="C105">
        <v>61</v>
      </c>
      <c r="D105" t="s">
        <v>41</v>
      </c>
      <c r="E105">
        <v>0</v>
      </c>
      <c r="F105">
        <v>8</v>
      </c>
      <c r="G105" t="s">
        <v>18</v>
      </c>
      <c r="H105" t="s">
        <v>42</v>
      </c>
      <c r="I105" t="s">
        <v>20</v>
      </c>
      <c r="J105" t="s">
        <v>2699</v>
      </c>
      <c r="K105">
        <v>0</v>
      </c>
      <c r="L105" t="s">
        <v>2740</v>
      </c>
    </row>
    <row r="106" spans="1:13">
      <c r="A106" t="s">
        <v>2741</v>
      </c>
      <c r="B106" t="s">
        <v>17</v>
      </c>
      <c r="C106">
        <v>61</v>
      </c>
      <c r="D106" t="s">
        <v>41</v>
      </c>
      <c r="E106">
        <v>0</v>
      </c>
      <c r="F106">
        <v>6</v>
      </c>
      <c r="G106" t="s">
        <v>18</v>
      </c>
      <c r="H106" t="s">
        <v>42</v>
      </c>
      <c r="I106" t="s">
        <v>20</v>
      </c>
      <c r="J106" t="s">
        <v>2742</v>
      </c>
      <c r="K106">
        <v>0</v>
      </c>
      <c r="L106" t="s">
        <v>2729</v>
      </c>
    </row>
    <row r="107" spans="1:13">
      <c r="A107" t="s">
        <v>2743</v>
      </c>
      <c r="B107" t="s">
        <v>17</v>
      </c>
      <c r="C107">
        <v>61</v>
      </c>
      <c r="D107" t="s">
        <v>41</v>
      </c>
      <c r="E107">
        <v>0</v>
      </c>
      <c r="F107">
        <v>4</v>
      </c>
      <c r="G107" t="s">
        <v>18</v>
      </c>
      <c r="H107" t="s">
        <v>42</v>
      </c>
      <c r="I107" t="s">
        <v>20</v>
      </c>
    </row>
    <row r="108" spans="1:13">
      <c r="A108" t="s">
        <v>2744</v>
      </c>
      <c r="B108" t="s">
        <v>17</v>
      </c>
      <c r="C108">
        <v>61</v>
      </c>
      <c r="D108" t="s">
        <v>41</v>
      </c>
      <c r="E108">
        <v>0</v>
      </c>
      <c r="F108">
        <v>12</v>
      </c>
      <c r="G108" t="s">
        <v>18</v>
      </c>
      <c r="H108" t="s">
        <v>42</v>
      </c>
      <c r="I108" t="s">
        <v>20</v>
      </c>
      <c r="J108" t="s">
        <v>2742</v>
      </c>
      <c r="K108">
        <v>0</v>
      </c>
    </row>
    <row r="109" spans="1:13">
      <c r="A109" t="s">
        <v>2745</v>
      </c>
      <c r="B109" t="s">
        <v>17</v>
      </c>
      <c r="C109">
        <v>61</v>
      </c>
      <c r="D109" t="s">
        <v>41</v>
      </c>
      <c r="E109">
        <v>0</v>
      </c>
      <c r="F109">
        <v>9</v>
      </c>
      <c r="G109" t="s">
        <v>18</v>
      </c>
      <c r="H109" t="s">
        <v>42</v>
      </c>
      <c r="I109" t="s">
        <v>20</v>
      </c>
      <c r="J109" t="s">
        <v>2742</v>
      </c>
      <c r="K109">
        <v>0</v>
      </c>
    </row>
    <row r="110" spans="1:13">
      <c r="A110" t="s">
        <v>2746</v>
      </c>
      <c r="B110" t="s">
        <v>17</v>
      </c>
      <c r="C110">
        <v>61</v>
      </c>
      <c r="D110" t="s">
        <v>41</v>
      </c>
      <c r="E110">
        <v>0</v>
      </c>
      <c r="F110">
        <v>5</v>
      </c>
      <c r="G110" t="s">
        <v>18</v>
      </c>
      <c r="H110" t="s">
        <v>42</v>
      </c>
      <c r="I110" t="s">
        <v>20</v>
      </c>
      <c r="J110" t="s">
        <v>2699</v>
      </c>
      <c r="K110">
        <v>0</v>
      </c>
    </row>
    <row r="111" spans="1:13">
      <c r="A111" t="s">
        <v>2747</v>
      </c>
      <c r="B111" t="s">
        <v>17</v>
      </c>
      <c r="C111">
        <v>61</v>
      </c>
      <c r="D111" t="s">
        <v>41</v>
      </c>
      <c r="E111">
        <v>0</v>
      </c>
      <c r="F111">
        <v>28</v>
      </c>
      <c r="G111" t="s">
        <v>18</v>
      </c>
      <c r="H111" t="s">
        <v>42</v>
      </c>
      <c r="I111" t="s">
        <v>20</v>
      </c>
      <c r="J111" t="s">
        <v>2699</v>
      </c>
      <c r="K111">
        <v>0</v>
      </c>
    </row>
    <row r="112" spans="1:13">
      <c r="A112" t="s">
        <v>2748</v>
      </c>
      <c r="B112" t="s">
        <v>17</v>
      </c>
      <c r="C112">
        <v>61</v>
      </c>
      <c r="D112" t="s">
        <v>41</v>
      </c>
      <c r="E112">
        <v>0</v>
      </c>
      <c r="F112">
        <v>12</v>
      </c>
      <c r="G112" t="s">
        <v>18</v>
      </c>
      <c r="H112" t="s">
        <v>42</v>
      </c>
      <c r="I112" t="s">
        <v>20</v>
      </c>
      <c r="J112" t="s">
        <v>2699</v>
      </c>
      <c r="K112">
        <v>0</v>
      </c>
      <c r="L112" t="s">
        <v>2749</v>
      </c>
    </row>
    <row r="113" spans="1:13">
      <c r="A113" t="s">
        <v>2750</v>
      </c>
      <c r="B113" t="s">
        <v>17</v>
      </c>
      <c r="C113">
        <v>61</v>
      </c>
      <c r="D113" t="s">
        <v>41</v>
      </c>
      <c r="E113">
        <v>0</v>
      </c>
      <c r="F113">
        <v>4</v>
      </c>
      <c r="G113" t="s">
        <v>18</v>
      </c>
      <c r="H113" t="s">
        <v>42</v>
      </c>
      <c r="I113" t="s">
        <v>20</v>
      </c>
      <c r="J113" t="s">
        <v>2699</v>
      </c>
      <c r="K113">
        <v>0</v>
      </c>
      <c r="L113" t="s">
        <v>2749</v>
      </c>
    </row>
    <row r="114" spans="1:13">
      <c r="A114" t="s">
        <v>2751</v>
      </c>
      <c r="B114" t="s">
        <v>17</v>
      </c>
      <c r="C114">
        <v>61</v>
      </c>
      <c r="D114" t="s">
        <v>41</v>
      </c>
      <c r="E114">
        <v>0</v>
      </c>
      <c r="F114">
        <v>14</v>
      </c>
      <c r="G114" t="s">
        <v>18</v>
      </c>
      <c r="H114" t="s">
        <v>42</v>
      </c>
      <c r="I114" t="s">
        <v>20</v>
      </c>
      <c r="J114" t="s">
        <v>2699</v>
      </c>
      <c r="K114">
        <v>0</v>
      </c>
    </row>
    <row r="115" spans="1:13">
      <c r="A115" t="s">
        <v>2752</v>
      </c>
      <c r="B115" t="s">
        <v>17</v>
      </c>
      <c r="C115">
        <v>61</v>
      </c>
      <c r="D115" t="s">
        <v>41</v>
      </c>
      <c r="E115">
        <v>0</v>
      </c>
      <c r="F115">
        <v>8</v>
      </c>
      <c r="G115" t="s">
        <v>18</v>
      </c>
      <c r="H115" t="s">
        <v>42</v>
      </c>
      <c r="I115" t="s">
        <v>20</v>
      </c>
      <c r="J115" t="s">
        <v>2753</v>
      </c>
      <c r="K115">
        <v>0</v>
      </c>
    </row>
    <row r="116" spans="1:13">
      <c r="A116" t="s">
        <v>2754</v>
      </c>
      <c r="B116" t="s">
        <v>17</v>
      </c>
      <c r="C116">
        <v>61</v>
      </c>
      <c r="D116" t="s">
        <v>41</v>
      </c>
      <c r="E116">
        <v>0</v>
      </c>
      <c r="F116">
        <v>93</v>
      </c>
      <c r="G116" t="s">
        <v>18</v>
      </c>
      <c r="H116" t="s">
        <v>42</v>
      </c>
      <c r="I116" t="s">
        <v>20</v>
      </c>
      <c r="J116" t="s">
        <v>2701</v>
      </c>
      <c r="K116">
        <v>0</v>
      </c>
    </row>
    <row r="117" spans="1:13">
      <c r="A117" t="s">
        <v>2755</v>
      </c>
      <c r="B117" t="s">
        <v>17</v>
      </c>
      <c r="C117">
        <v>61</v>
      </c>
      <c r="D117" t="s">
        <v>41</v>
      </c>
      <c r="E117">
        <v>0</v>
      </c>
      <c r="F117">
        <v>2</v>
      </c>
      <c r="G117" t="s">
        <v>18</v>
      </c>
      <c r="H117" t="s">
        <v>42</v>
      </c>
      <c r="I117" t="s">
        <v>20</v>
      </c>
    </row>
    <row r="118" spans="1:13">
      <c r="A118" t="s">
        <v>2756</v>
      </c>
      <c r="B118" t="s">
        <v>17</v>
      </c>
      <c r="C118">
        <v>61</v>
      </c>
      <c r="D118" t="s">
        <v>41</v>
      </c>
      <c r="E118">
        <v>0</v>
      </c>
      <c r="F118">
        <v>6</v>
      </c>
      <c r="G118" t="s">
        <v>18</v>
      </c>
      <c r="H118" t="s">
        <v>42</v>
      </c>
      <c r="I118" t="s">
        <v>20</v>
      </c>
      <c r="J118" t="s">
        <v>2753</v>
      </c>
      <c r="K118">
        <v>0</v>
      </c>
    </row>
    <row r="119" spans="1:13">
      <c r="A119" t="s">
        <v>2757</v>
      </c>
      <c r="B119" t="s">
        <v>17</v>
      </c>
      <c r="C119">
        <v>61</v>
      </c>
      <c r="D119" t="s">
        <v>41</v>
      </c>
      <c r="E119">
        <v>0</v>
      </c>
      <c r="F119">
        <v>9</v>
      </c>
      <c r="G119" t="s">
        <v>18</v>
      </c>
      <c r="H119" t="s">
        <v>42</v>
      </c>
      <c r="I119" t="s">
        <v>20</v>
      </c>
    </row>
    <row r="120" spans="1:13">
      <c r="A120" t="s">
        <v>2758</v>
      </c>
      <c r="B120" t="s">
        <v>17</v>
      </c>
      <c r="C120">
        <v>61</v>
      </c>
      <c r="D120" t="s">
        <v>41</v>
      </c>
      <c r="E120">
        <v>0</v>
      </c>
      <c r="F120">
        <v>26</v>
      </c>
      <c r="G120" t="s">
        <v>18</v>
      </c>
      <c r="H120" t="s">
        <v>42</v>
      </c>
      <c r="I120" t="s">
        <v>20</v>
      </c>
      <c r="J120" t="s">
        <v>2701</v>
      </c>
      <c r="K120">
        <v>0</v>
      </c>
    </row>
    <row r="121" spans="1:13">
      <c r="A121" t="s">
        <v>2759</v>
      </c>
      <c r="B121" t="s">
        <v>17</v>
      </c>
      <c r="C121">
        <v>61</v>
      </c>
      <c r="D121" t="s">
        <v>41</v>
      </c>
      <c r="E121">
        <v>0</v>
      </c>
      <c r="F121">
        <v>8</v>
      </c>
      <c r="G121" t="s">
        <v>18</v>
      </c>
      <c r="H121" t="s">
        <v>42</v>
      </c>
      <c r="I121" t="s">
        <v>20</v>
      </c>
    </row>
    <row r="122" spans="1:13">
      <c r="A122" t="s">
        <v>2760</v>
      </c>
      <c r="B122" t="s">
        <v>17</v>
      </c>
      <c r="C122">
        <v>61</v>
      </c>
      <c r="D122" t="s">
        <v>41</v>
      </c>
      <c r="E122">
        <v>0</v>
      </c>
      <c r="F122">
        <v>570</v>
      </c>
      <c r="G122" t="s">
        <v>18</v>
      </c>
      <c r="H122" t="s">
        <v>42</v>
      </c>
      <c r="I122" t="s">
        <v>20</v>
      </c>
      <c r="J122" t="s">
        <v>2701</v>
      </c>
      <c r="K122">
        <v>0</v>
      </c>
      <c r="L122" t="s">
        <v>2704</v>
      </c>
      <c r="M122" t="s">
        <v>2761</v>
      </c>
    </row>
    <row r="123" spans="1:13">
      <c r="A123" t="s">
        <v>2762</v>
      </c>
      <c r="B123" t="s">
        <v>17</v>
      </c>
      <c r="C123">
        <v>61</v>
      </c>
      <c r="D123" t="s">
        <v>41</v>
      </c>
      <c r="E123">
        <v>0</v>
      </c>
      <c r="F123">
        <v>4</v>
      </c>
      <c r="G123" t="s">
        <v>191</v>
      </c>
      <c r="H123" t="s">
        <v>42</v>
      </c>
      <c r="I123" t="s">
        <v>20</v>
      </c>
      <c r="J123" t="s">
        <v>2701</v>
      </c>
      <c r="K123">
        <v>0</v>
      </c>
    </row>
    <row r="124" spans="1:13">
      <c r="A124" t="s">
        <v>2763</v>
      </c>
      <c r="B124" t="s">
        <v>17</v>
      </c>
      <c r="C124">
        <v>61</v>
      </c>
      <c r="D124" t="s">
        <v>41</v>
      </c>
      <c r="E124">
        <v>0</v>
      </c>
      <c r="F124">
        <v>9</v>
      </c>
      <c r="G124" t="s">
        <v>18</v>
      </c>
      <c r="H124" t="s">
        <v>42</v>
      </c>
      <c r="I124" t="s">
        <v>20</v>
      </c>
      <c r="J124" t="s">
        <v>2753</v>
      </c>
      <c r="K124">
        <v>0</v>
      </c>
    </row>
    <row r="125" spans="1:13">
      <c r="A125" t="s">
        <v>2764</v>
      </c>
      <c r="B125" t="s">
        <v>17</v>
      </c>
      <c r="C125">
        <v>61</v>
      </c>
      <c r="D125" t="s">
        <v>41</v>
      </c>
      <c r="E125">
        <v>0</v>
      </c>
      <c r="F125">
        <v>13</v>
      </c>
      <c r="G125" t="s">
        <v>18</v>
      </c>
      <c r="H125" t="s">
        <v>42</v>
      </c>
      <c r="I125" t="s">
        <v>20</v>
      </c>
      <c r="J125" t="s">
        <v>2753</v>
      </c>
      <c r="K125">
        <v>4.5</v>
      </c>
      <c r="L125" t="s">
        <v>2765</v>
      </c>
    </row>
    <row r="126" spans="1:13">
      <c r="A126" t="s">
        <v>2766</v>
      </c>
      <c r="B126" t="s">
        <v>17</v>
      </c>
      <c r="C126">
        <v>61</v>
      </c>
      <c r="D126" t="s">
        <v>41</v>
      </c>
      <c r="E126">
        <v>0</v>
      </c>
      <c r="F126">
        <v>22</v>
      </c>
      <c r="G126" t="s">
        <v>18</v>
      </c>
      <c r="H126" t="s">
        <v>42</v>
      </c>
      <c r="I126" t="s">
        <v>20</v>
      </c>
      <c r="J126" t="s">
        <v>2753</v>
      </c>
      <c r="L126" t="s">
        <v>2767</v>
      </c>
    </row>
    <row r="127" spans="1:13">
      <c r="A127" t="s">
        <v>2768</v>
      </c>
      <c r="B127" t="s">
        <v>17</v>
      </c>
      <c r="C127">
        <v>61</v>
      </c>
      <c r="D127" t="s">
        <v>41</v>
      </c>
      <c r="E127">
        <v>0</v>
      </c>
      <c r="F127">
        <v>3</v>
      </c>
      <c r="G127" t="s">
        <v>18</v>
      </c>
      <c r="H127" t="s">
        <v>42</v>
      </c>
      <c r="I127" t="s">
        <v>20</v>
      </c>
      <c r="J127" t="s">
        <v>2753</v>
      </c>
      <c r="L127" t="s">
        <v>2769</v>
      </c>
    </row>
    <row r="128" spans="1:13">
      <c r="A128" t="s">
        <v>2770</v>
      </c>
      <c r="B128" t="s">
        <v>17</v>
      </c>
      <c r="C128">
        <v>61</v>
      </c>
      <c r="D128" t="s">
        <v>41</v>
      </c>
      <c r="E128">
        <v>0</v>
      </c>
      <c r="F128">
        <v>22</v>
      </c>
      <c r="G128" t="s">
        <v>18</v>
      </c>
      <c r="H128" t="s">
        <v>42</v>
      </c>
      <c r="I128" t="s">
        <v>20</v>
      </c>
      <c r="J128" t="s">
        <v>2753</v>
      </c>
      <c r="L128" t="s">
        <v>2771</v>
      </c>
    </row>
    <row r="129" spans="1:12">
      <c r="A129" t="s">
        <v>2772</v>
      </c>
      <c r="B129" t="s">
        <v>17</v>
      </c>
      <c r="C129">
        <v>61</v>
      </c>
      <c r="D129" t="s">
        <v>41</v>
      </c>
      <c r="E129">
        <v>0</v>
      </c>
      <c r="F129">
        <v>5</v>
      </c>
      <c r="G129" t="s">
        <v>18</v>
      </c>
      <c r="H129" t="s">
        <v>42</v>
      </c>
      <c r="I129" t="s">
        <v>20</v>
      </c>
      <c r="J129" t="s">
        <v>2753</v>
      </c>
      <c r="L129" t="s">
        <v>2773</v>
      </c>
    </row>
    <row r="130" spans="1:12">
      <c r="A130" t="s">
        <v>2774</v>
      </c>
      <c r="B130" t="s">
        <v>17</v>
      </c>
      <c r="C130">
        <v>61</v>
      </c>
      <c r="D130" t="s">
        <v>41</v>
      </c>
      <c r="E130">
        <v>0</v>
      </c>
      <c r="F130">
        <v>7</v>
      </c>
      <c r="G130" t="s">
        <v>18</v>
      </c>
      <c r="H130" t="s">
        <v>42</v>
      </c>
      <c r="I130" t="s">
        <v>20</v>
      </c>
      <c r="J130" t="s">
        <v>2753</v>
      </c>
      <c r="K130">
        <v>0</v>
      </c>
    </row>
    <row r="131" spans="1:12">
      <c r="A131" t="s">
        <v>2775</v>
      </c>
      <c r="B131" t="s">
        <v>17</v>
      </c>
      <c r="C131">
        <v>61</v>
      </c>
      <c r="D131" t="s">
        <v>41</v>
      </c>
      <c r="E131">
        <v>0</v>
      </c>
      <c r="F131">
        <v>20</v>
      </c>
      <c r="G131" t="s">
        <v>18</v>
      </c>
      <c r="H131" t="s">
        <v>42</v>
      </c>
      <c r="I131" t="s">
        <v>20</v>
      </c>
      <c r="J131" t="s">
        <v>2753</v>
      </c>
      <c r="L131" t="s">
        <v>2776</v>
      </c>
    </row>
    <row r="132" spans="1:12">
      <c r="A132" t="s">
        <v>2777</v>
      </c>
      <c r="B132" t="s">
        <v>17</v>
      </c>
      <c r="C132">
        <v>61</v>
      </c>
      <c r="D132" t="s">
        <v>41</v>
      </c>
      <c r="E132">
        <v>0</v>
      </c>
      <c r="F132">
        <v>3</v>
      </c>
      <c r="G132" t="s">
        <v>18</v>
      </c>
      <c r="H132" t="s">
        <v>42</v>
      </c>
      <c r="I132" t="s">
        <v>20</v>
      </c>
      <c r="J132" t="s">
        <v>2753</v>
      </c>
      <c r="L132" t="s">
        <v>2778</v>
      </c>
    </row>
    <row r="133" spans="1:12">
      <c r="A133" t="s">
        <v>2779</v>
      </c>
      <c r="B133" t="s">
        <v>17</v>
      </c>
      <c r="C133">
        <v>61</v>
      </c>
      <c r="D133" t="s">
        <v>41</v>
      </c>
      <c r="E133">
        <v>0</v>
      </c>
      <c r="F133">
        <v>1</v>
      </c>
      <c r="G133" t="s">
        <v>18</v>
      </c>
      <c r="H133" t="s">
        <v>42</v>
      </c>
      <c r="I133" t="s">
        <v>20</v>
      </c>
    </row>
    <row r="134" spans="1:12">
      <c r="A134" t="s">
        <v>2780</v>
      </c>
      <c r="B134" t="s">
        <v>17</v>
      </c>
      <c r="C134">
        <v>61</v>
      </c>
      <c r="D134" t="s">
        <v>41</v>
      </c>
      <c r="E134">
        <v>0</v>
      </c>
      <c r="F134">
        <v>23</v>
      </c>
      <c r="G134" t="s">
        <v>18</v>
      </c>
      <c r="H134" t="s">
        <v>42</v>
      </c>
      <c r="I134" t="s">
        <v>20</v>
      </c>
      <c r="J134" t="s">
        <v>2753</v>
      </c>
      <c r="L134" t="s">
        <v>2781</v>
      </c>
    </row>
    <row r="135" spans="1:12">
      <c r="A135" t="s">
        <v>2782</v>
      </c>
      <c r="B135" t="s">
        <v>17</v>
      </c>
      <c r="C135">
        <v>61</v>
      </c>
      <c r="D135" t="s">
        <v>41</v>
      </c>
      <c r="E135">
        <v>0</v>
      </c>
      <c r="F135">
        <v>1</v>
      </c>
      <c r="G135" t="s">
        <v>18</v>
      </c>
      <c r="H135" t="s">
        <v>42</v>
      </c>
      <c r="I135" t="s">
        <v>20</v>
      </c>
    </row>
    <row r="136" spans="1:12">
      <c r="A136" t="s">
        <v>2783</v>
      </c>
      <c r="B136" t="s">
        <v>17</v>
      </c>
      <c r="C136">
        <v>61</v>
      </c>
      <c r="D136" t="s">
        <v>41</v>
      </c>
      <c r="E136">
        <v>0</v>
      </c>
      <c r="F136">
        <v>14</v>
      </c>
      <c r="G136" t="s">
        <v>18</v>
      </c>
      <c r="H136" t="s">
        <v>42</v>
      </c>
      <c r="I136" t="s">
        <v>20</v>
      </c>
      <c r="J136" t="s">
        <v>2753</v>
      </c>
      <c r="K136">
        <v>0</v>
      </c>
    </row>
    <row r="137" spans="1:12">
      <c r="A137" t="s">
        <v>2784</v>
      </c>
      <c r="B137" t="s">
        <v>17</v>
      </c>
      <c r="C137">
        <v>61</v>
      </c>
      <c r="D137" t="s">
        <v>41</v>
      </c>
      <c r="E137">
        <v>0</v>
      </c>
      <c r="F137">
        <v>3</v>
      </c>
      <c r="G137" t="s">
        <v>18</v>
      </c>
      <c r="H137" t="s">
        <v>42</v>
      </c>
      <c r="I137" t="s">
        <v>20</v>
      </c>
    </row>
    <row r="138" spans="1:12">
      <c r="A138" t="s">
        <v>2785</v>
      </c>
      <c r="B138" t="s">
        <v>17</v>
      </c>
      <c r="C138">
        <v>61</v>
      </c>
      <c r="D138" t="s">
        <v>41</v>
      </c>
      <c r="E138">
        <v>0</v>
      </c>
      <c r="F138">
        <v>24</v>
      </c>
      <c r="G138" t="s">
        <v>18</v>
      </c>
      <c r="H138" t="s">
        <v>42</v>
      </c>
      <c r="I138" t="s">
        <v>20</v>
      </c>
      <c r="J138" t="s">
        <v>2753</v>
      </c>
      <c r="L138" t="s">
        <v>2786</v>
      </c>
    </row>
    <row r="139" spans="1:12">
      <c r="A139" t="s">
        <v>2787</v>
      </c>
      <c r="B139" t="s">
        <v>17</v>
      </c>
      <c r="C139">
        <v>61</v>
      </c>
      <c r="D139" t="s">
        <v>41</v>
      </c>
      <c r="E139">
        <v>0</v>
      </c>
      <c r="F139">
        <v>23</v>
      </c>
      <c r="G139" t="s">
        <v>18</v>
      </c>
      <c r="H139" t="s">
        <v>42</v>
      </c>
      <c r="I139" t="s">
        <v>20</v>
      </c>
      <c r="J139" t="s">
        <v>2753</v>
      </c>
      <c r="L139" t="s">
        <v>2788</v>
      </c>
    </row>
    <row r="140" spans="1:12">
      <c r="A140" t="s">
        <v>2789</v>
      </c>
      <c r="B140" t="s">
        <v>17</v>
      </c>
      <c r="C140">
        <v>61</v>
      </c>
      <c r="D140" t="s">
        <v>41</v>
      </c>
      <c r="E140">
        <v>0</v>
      </c>
      <c r="F140">
        <v>23</v>
      </c>
      <c r="G140" t="s">
        <v>18</v>
      </c>
      <c r="H140" t="s">
        <v>42</v>
      </c>
      <c r="I140" t="s">
        <v>20</v>
      </c>
      <c r="J140" t="s">
        <v>2753</v>
      </c>
      <c r="L140" t="s">
        <v>2790</v>
      </c>
    </row>
    <row r="141" spans="1:12">
      <c r="A141" t="s">
        <v>2791</v>
      </c>
      <c r="B141" t="s">
        <v>17</v>
      </c>
      <c r="C141">
        <v>61</v>
      </c>
      <c r="D141" t="s">
        <v>41</v>
      </c>
      <c r="E141">
        <v>0</v>
      </c>
      <c r="F141">
        <v>24</v>
      </c>
      <c r="G141" t="s">
        <v>18</v>
      </c>
      <c r="H141" t="s">
        <v>42</v>
      </c>
      <c r="I141" t="s">
        <v>20</v>
      </c>
      <c r="J141" t="s">
        <v>2753</v>
      </c>
      <c r="L141" t="s">
        <v>2792</v>
      </c>
    </row>
    <row r="142" spans="1:12">
      <c r="A142" t="s">
        <v>2793</v>
      </c>
      <c r="B142" t="s">
        <v>17</v>
      </c>
      <c r="C142">
        <v>61</v>
      </c>
      <c r="D142" t="s">
        <v>41</v>
      </c>
      <c r="E142">
        <v>0</v>
      </c>
      <c r="F142">
        <v>8</v>
      </c>
      <c r="G142" t="s">
        <v>18</v>
      </c>
      <c r="H142" t="s">
        <v>42</v>
      </c>
      <c r="I142" t="s">
        <v>20</v>
      </c>
      <c r="J142" t="s">
        <v>2753</v>
      </c>
      <c r="L142" t="s">
        <v>2794</v>
      </c>
    </row>
    <row r="143" spans="1:12">
      <c r="A143" t="s">
        <v>2795</v>
      </c>
      <c r="B143" t="s">
        <v>17</v>
      </c>
      <c r="C143">
        <v>61</v>
      </c>
      <c r="D143" t="s">
        <v>41</v>
      </c>
      <c r="E143">
        <v>0</v>
      </c>
      <c r="F143">
        <v>24</v>
      </c>
      <c r="G143" t="s">
        <v>18</v>
      </c>
      <c r="H143" t="s">
        <v>42</v>
      </c>
      <c r="I143" t="s">
        <v>20</v>
      </c>
      <c r="J143" t="s">
        <v>2753</v>
      </c>
      <c r="L143" t="s">
        <v>2796</v>
      </c>
    </row>
    <row r="144" spans="1:12">
      <c r="A144" t="s">
        <v>2797</v>
      </c>
      <c r="B144" t="s">
        <v>17</v>
      </c>
      <c r="C144">
        <v>61</v>
      </c>
      <c r="D144" t="s">
        <v>41</v>
      </c>
      <c r="E144">
        <v>0</v>
      </c>
      <c r="F144">
        <v>8</v>
      </c>
      <c r="G144" t="s">
        <v>18</v>
      </c>
      <c r="H144" t="s">
        <v>42</v>
      </c>
      <c r="I144" t="s">
        <v>20</v>
      </c>
    </row>
    <row r="145" spans="1:13">
      <c r="A145" t="s">
        <v>2798</v>
      </c>
      <c r="B145" t="s">
        <v>17</v>
      </c>
      <c r="C145">
        <v>61</v>
      </c>
      <c r="D145" t="s">
        <v>41</v>
      </c>
      <c r="E145">
        <v>0</v>
      </c>
      <c r="F145">
        <v>10</v>
      </c>
      <c r="G145" t="s">
        <v>18</v>
      </c>
      <c r="H145" t="s">
        <v>42</v>
      </c>
      <c r="I145" t="s">
        <v>20</v>
      </c>
      <c r="J145" t="s">
        <v>2753</v>
      </c>
      <c r="L145" t="s">
        <v>2799</v>
      </c>
    </row>
    <row r="146" spans="1:13">
      <c r="A146" t="s">
        <v>2800</v>
      </c>
      <c r="B146" t="s">
        <v>17</v>
      </c>
      <c r="C146">
        <v>61</v>
      </c>
      <c r="D146" t="s">
        <v>41</v>
      </c>
      <c r="E146">
        <v>0</v>
      </c>
      <c r="F146">
        <v>24</v>
      </c>
      <c r="G146" t="s">
        <v>18</v>
      </c>
      <c r="H146" t="s">
        <v>42</v>
      </c>
      <c r="I146" t="s">
        <v>20</v>
      </c>
      <c r="J146" t="s">
        <v>2753</v>
      </c>
      <c r="L146" t="s">
        <v>2801</v>
      </c>
    </row>
    <row r="147" spans="1:13">
      <c r="A147" t="s">
        <v>2802</v>
      </c>
      <c r="B147" t="s">
        <v>17</v>
      </c>
      <c r="C147">
        <v>61</v>
      </c>
      <c r="D147" t="s">
        <v>41</v>
      </c>
      <c r="E147">
        <v>0</v>
      </c>
      <c r="F147">
        <v>24</v>
      </c>
      <c r="G147" t="s">
        <v>18</v>
      </c>
      <c r="H147" t="s">
        <v>42</v>
      </c>
      <c r="I147" t="s">
        <v>20</v>
      </c>
      <c r="J147" t="s">
        <v>2753</v>
      </c>
      <c r="L147" t="s">
        <v>2803</v>
      </c>
    </row>
    <row r="148" spans="1:13">
      <c r="A148" t="s">
        <v>2804</v>
      </c>
      <c r="B148" t="s">
        <v>17</v>
      </c>
      <c r="C148">
        <v>61</v>
      </c>
      <c r="D148" t="s">
        <v>41</v>
      </c>
      <c r="E148">
        <v>0</v>
      </c>
      <c r="F148">
        <v>22</v>
      </c>
      <c r="G148" t="s">
        <v>18</v>
      </c>
      <c r="H148" t="s">
        <v>42</v>
      </c>
      <c r="I148" t="s">
        <v>20</v>
      </c>
      <c r="J148" t="s">
        <v>2753</v>
      </c>
      <c r="L148" t="s">
        <v>2805</v>
      </c>
    </row>
    <row r="149" spans="1:13">
      <c r="A149" t="s">
        <v>2806</v>
      </c>
      <c r="B149" t="s">
        <v>17</v>
      </c>
      <c r="C149">
        <v>61</v>
      </c>
      <c r="D149" t="s">
        <v>41</v>
      </c>
      <c r="E149">
        <v>0</v>
      </c>
      <c r="F149">
        <v>23</v>
      </c>
      <c r="G149" t="s">
        <v>18</v>
      </c>
      <c r="H149" t="s">
        <v>42</v>
      </c>
      <c r="I149" t="s">
        <v>20</v>
      </c>
      <c r="J149" t="s">
        <v>2753</v>
      </c>
      <c r="L149" t="s">
        <v>2807</v>
      </c>
    </row>
    <row r="150" spans="1:13">
      <c r="A150" t="s">
        <v>2808</v>
      </c>
      <c r="B150" t="s">
        <v>17</v>
      </c>
      <c r="C150">
        <v>61</v>
      </c>
      <c r="D150" t="s">
        <v>41</v>
      </c>
      <c r="E150">
        <v>0</v>
      </c>
      <c r="F150">
        <v>26</v>
      </c>
      <c r="G150" t="s">
        <v>18</v>
      </c>
      <c r="H150" t="s">
        <v>42</v>
      </c>
      <c r="I150" t="s">
        <v>20</v>
      </c>
      <c r="J150" t="s">
        <v>2753</v>
      </c>
      <c r="L150" t="s">
        <v>2809</v>
      </c>
    </row>
    <row r="151" spans="1:13">
      <c r="A151" t="s">
        <v>2810</v>
      </c>
      <c r="B151" t="s">
        <v>17</v>
      </c>
      <c r="C151">
        <v>61</v>
      </c>
      <c r="D151" t="s">
        <v>41</v>
      </c>
      <c r="E151">
        <v>0</v>
      </c>
      <c r="F151">
        <v>22</v>
      </c>
      <c r="G151" t="s">
        <v>18</v>
      </c>
      <c r="H151" t="s">
        <v>42</v>
      </c>
      <c r="I151" t="s">
        <v>20</v>
      </c>
      <c r="J151" t="s">
        <v>2753</v>
      </c>
      <c r="L151" t="s">
        <v>2811</v>
      </c>
    </row>
    <row r="152" spans="1:13">
      <c r="A152" t="s">
        <v>2812</v>
      </c>
      <c r="B152" t="s">
        <v>17</v>
      </c>
      <c r="C152">
        <v>61</v>
      </c>
      <c r="D152" t="s">
        <v>41</v>
      </c>
      <c r="E152">
        <v>0</v>
      </c>
      <c r="F152">
        <v>3</v>
      </c>
      <c r="G152" t="s">
        <v>18</v>
      </c>
      <c r="H152" t="s">
        <v>42</v>
      </c>
      <c r="I152" t="s">
        <v>20</v>
      </c>
      <c r="J152" t="s">
        <v>2753</v>
      </c>
      <c r="K152">
        <v>0</v>
      </c>
      <c r="M152" t="s">
        <v>2813</v>
      </c>
    </row>
    <row r="153" spans="1:13">
      <c r="A153" t="s">
        <v>2814</v>
      </c>
      <c r="B153" t="s">
        <v>17</v>
      </c>
      <c r="C153">
        <v>61</v>
      </c>
      <c r="D153" t="s">
        <v>41</v>
      </c>
      <c r="E153">
        <v>0</v>
      </c>
      <c r="F153">
        <v>4</v>
      </c>
      <c r="G153" t="s">
        <v>18</v>
      </c>
      <c r="H153" t="s">
        <v>42</v>
      </c>
      <c r="I153" t="s">
        <v>20</v>
      </c>
      <c r="J153" t="s">
        <v>2753</v>
      </c>
      <c r="L153" t="s">
        <v>2815</v>
      </c>
    </row>
    <row r="154" spans="1:13">
      <c r="A154" t="s">
        <v>2816</v>
      </c>
      <c r="B154" t="s">
        <v>17</v>
      </c>
      <c r="C154">
        <v>61</v>
      </c>
      <c r="D154" t="s">
        <v>41</v>
      </c>
      <c r="E154">
        <v>0</v>
      </c>
      <c r="F154">
        <v>6</v>
      </c>
      <c r="G154" t="s">
        <v>191</v>
      </c>
      <c r="H154" t="s">
        <v>42</v>
      </c>
      <c r="I154" t="s">
        <v>20</v>
      </c>
      <c r="J154" t="s">
        <v>2617</v>
      </c>
    </row>
    <row r="155" spans="1:13">
      <c r="A155" t="s">
        <v>2817</v>
      </c>
      <c r="B155" t="s">
        <v>17</v>
      </c>
      <c r="C155">
        <v>61</v>
      </c>
      <c r="D155" t="s">
        <v>41</v>
      </c>
      <c r="E155">
        <v>1000</v>
      </c>
      <c r="F155">
        <v>61</v>
      </c>
      <c r="G155" t="s">
        <v>18</v>
      </c>
      <c r="H155" t="s">
        <v>42</v>
      </c>
      <c r="I155" t="s">
        <v>20</v>
      </c>
      <c r="J155" t="s">
        <v>2617</v>
      </c>
    </row>
    <row r="156" spans="1:13">
      <c r="A156" t="s">
        <v>2818</v>
      </c>
      <c r="B156" t="s">
        <v>17</v>
      </c>
      <c r="C156">
        <v>61</v>
      </c>
      <c r="D156" t="s">
        <v>41</v>
      </c>
      <c r="E156">
        <v>1000</v>
      </c>
      <c r="F156">
        <v>61</v>
      </c>
      <c r="G156" t="s">
        <v>18</v>
      </c>
      <c r="H156" t="s">
        <v>42</v>
      </c>
      <c r="I156" t="s">
        <v>20</v>
      </c>
      <c r="J156" t="s">
        <v>2617</v>
      </c>
      <c r="L156" t="s">
        <v>2819</v>
      </c>
    </row>
    <row r="157" spans="1:13">
      <c r="A157" t="s">
        <v>2820</v>
      </c>
      <c r="B157" t="s">
        <v>17</v>
      </c>
      <c r="C157">
        <v>61</v>
      </c>
      <c r="D157" t="s">
        <v>41</v>
      </c>
      <c r="E157">
        <v>1000</v>
      </c>
      <c r="F157">
        <v>61</v>
      </c>
      <c r="G157" t="s">
        <v>18</v>
      </c>
      <c r="H157" t="s">
        <v>42</v>
      </c>
      <c r="I157" t="s">
        <v>20</v>
      </c>
      <c r="J157" t="s">
        <v>2617</v>
      </c>
      <c r="L157" t="s">
        <v>2819</v>
      </c>
    </row>
    <row r="158" spans="1:13">
      <c r="A158" t="s">
        <v>2821</v>
      </c>
      <c r="B158" t="s">
        <v>17</v>
      </c>
      <c r="C158">
        <v>61</v>
      </c>
      <c r="D158" t="s">
        <v>41</v>
      </c>
      <c r="E158">
        <v>1000</v>
      </c>
      <c r="F158">
        <v>61</v>
      </c>
      <c r="G158" t="s">
        <v>18</v>
      </c>
      <c r="H158" t="s">
        <v>42</v>
      </c>
      <c r="I158" t="s">
        <v>20</v>
      </c>
      <c r="J158" t="s">
        <v>2617</v>
      </c>
      <c r="L158" t="s">
        <v>2819</v>
      </c>
    </row>
    <row r="159" spans="1:13">
      <c r="A159" t="s">
        <v>2822</v>
      </c>
      <c r="B159" t="s">
        <v>17</v>
      </c>
      <c r="C159">
        <v>61</v>
      </c>
      <c r="D159" t="s">
        <v>41</v>
      </c>
      <c r="E159">
        <v>1000</v>
      </c>
      <c r="F159">
        <v>61</v>
      </c>
      <c r="G159" t="s">
        <v>18</v>
      </c>
      <c r="H159" t="s">
        <v>42</v>
      </c>
      <c r="I159" t="s">
        <v>20</v>
      </c>
      <c r="J159" t="s">
        <v>2617</v>
      </c>
      <c r="L159" t="s">
        <v>2819</v>
      </c>
    </row>
    <row r="160" spans="1:13">
      <c r="A160" t="s">
        <v>2823</v>
      </c>
      <c r="B160" t="s">
        <v>17</v>
      </c>
      <c r="C160">
        <v>61</v>
      </c>
      <c r="D160" t="s">
        <v>41</v>
      </c>
      <c r="E160">
        <v>1000</v>
      </c>
      <c r="F160">
        <v>61</v>
      </c>
      <c r="G160" t="s">
        <v>18</v>
      </c>
      <c r="H160" t="s">
        <v>42</v>
      </c>
      <c r="I160" t="s">
        <v>20</v>
      </c>
      <c r="J160" t="s">
        <v>2617</v>
      </c>
      <c r="L160" t="s">
        <v>2819</v>
      </c>
    </row>
    <row r="161" spans="1:15">
      <c r="A161" t="s">
        <v>2824</v>
      </c>
      <c r="B161" t="s">
        <v>17</v>
      </c>
      <c r="C161">
        <v>61</v>
      </c>
      <c r="D161" t="s">
        <v>41</v>
      </c>
      <c r="E161">
        <v>1000</v>
      </c>
      <c r="F161">
        <v>61</v>
      </c>
      <c r="G161" t="s">
        <v>18</v>
      </c>
      <c r="H161" t="s">
        <v>42</v>
      </c>
      <c r="I161" t="s">
        <v>20</v>
      </c>
      <c r="J161" t="s">
        <v>2617</v>
      </c>
      <c r="L161" t="s">
        <v>2819</v>
      </c>
    </row>
    <row r="162" spans="1:15">
      <c r="A162" t="s">
        <v>2825</v>
      </c>
      <c r="B162" t="s">
        <v>17</v>
      </c>
      <c r="C162">
        <v>61</v>
      </c>
      <c r="D162" t="s">
        <v>41</v>
      </c>
      <c r="E162">
        <v>1000</v>
      </c>
      <c r="F162">
        <v>61</v>
      </c>
      <c r="G162" t="s">
        <v>18</v>
      </c>
      <c r="H162" t="s">
        <v>42</v>
      </c>
      <c r="I162" t="s">
        <v>20</v>
      </c>
      <c r="J162" t="s">
        <v>2617</v>
      </c>
      <c r="L162" t="s">
        <v>2826</v>
      </c>
    </row>
    <row r="163" spans="1:15">
      <c r="A163" t="s">
        <v>2827</v>
      </c>
      <c r="B163" t="s">
        <v>17</v>
      </c>
      <c r="C163">
        <v>61</v>
      </c>
      <c r="D163" t="s">
        <v>41</v>
      </c>
      <c r="E163">
        <v>1000</v>
      </c>
      <c r="F163">
        <v>61</v>
      </c>
      <c r="G163" t="s">
        <v>18</v>
      </c>
      <c r="H163" t="s">
        <v>42</v>
      </c>
      <c r="I163" t="s">
        <v>20</v>
      </c>
      <c r="J163" t="s">
        <v>2617</v>
      </c>
      <c r="L163" t="s">
        <v>2826</v>
      </c>
    </row>
    <row r="164" spans="1:15">
      <c r="A164" t="s">
        <v>2828</v>
      </c>
      <c r="B164" t="s">
        <v>17</v>
      </c>
      <c r="C164">
        <v>61</v>
      </c>
      <c r="D164" t="s">
        <v>41</v>
      </c>
      <c r="E164">
        <v>1000</v>
      </c>
      <c r="F164">
        <v>61</v>
      </c>
      <c r="G164" t="s">
        <v>18</v>
      </c>
      <c r="H164" t="s">
        <v>42</v>
      </c>
      <c r="I164" t="s">
        <v>20</v>
      </c>
      <c r="J164" t="s">
        <v>2617</v>
      </c>
      <c r="L164" t="s">
        <v>2826</v>
      </c>
    </row>
    <row r="165" spans="1:15">
      <c r="A165" t="s">
        <v>2829</v>
      </c>
      <c r="B165" t="s">
        <v>17</v>
      </c>
      <c r="C165">
        <v>61</v>
      </c>
      <c r="D165" t="s">
        <v>41</v>
      </c>
      <c r="E165">
        <v>1000</v>
      </c>
      <c r="F165">
        <v>61</v>
      </c>
      <c r="G165" t="s">
        <v>18</v>
      </c>
      <c r="H165" t="s">
        <v>42</v>
      </c>
      <c r="I165" t="s">
        <v>20</v>
      </c>
      <c r="J165" t="s">
        <v>2617</v>
      </c>
      <c r="L165" t="s">
        <v>2826</v>
      </c>
    </row>
    <row r="166" spans="1:15">
      <c r="A166" t="s">
        <v>2830</v>
      </c>
      <c r="B166" t="s">
        <v>17</v>
      </c>
      <c r="C166">
        <v>61</v>
      </c>
      <c r="D166" t="s">
        <v>41</v>
      </c>
      <c r="E166">
        <v>1000</v>
      </c>
      <c r="F166">
        <v>61</v>
      </c>
      <c r="G166" t="s">
        <v>18</v>
      </c>
      <c r="H166" t="s">
        <v>42</v>
      </c>
      <c r="I166" t="s">
        <v>20</v>
      </c>
      <c r="J166" t="s">
        <v>2617</v>
      </c>
      <c r="L166" t="s">
        <v>2826</v>
      </c>
    </row>
    <row r="167" spans="1:15">
      <c r="A167" t="s">
        <v>2831</v>
      </c>
      <c r="B167" t="s">
        <v>17</v>
      </c>
      <c r="C167">
        <v>61</v>
      </c>
      <c r="D167" t="s">
        <v>41</v>
      </c>
      <c r="E167">
        <v>1000</v>
      </c>
      <c r="F167">
        <v>61</v>
      </c>
      <c r="G167" t="s">
        <v>18</v>
      </c>
      <c r="H167" t="s">
        <v>42</v>
      </c>
      <c r="I167" t="s">
        <v>20</v>
      </c>
      <c r="J167" t="s">
        <v>2617</v>
      </c>
      <c r="L167" t="s">
        <v>2826</v>
      </c>
    </row>
    <row r="168" spans="1:15">
      <c r="A168" t="s">
        <v>2832</v>
      </c>
      <c r="B168" t="s">
        <v>17</v>
      </c>
      <c r="C168">
        <v>61</v>
      </c>
      <c r="D168" t="s">
        <v>41</v>
      </c>
      <c r="E168">
        <v>1000</v>
      </c>
      <c r="F168">
        <v>61</v>
      </c>
      <c r="G168" t="s">
        <v>18</v>
      </c>
      <c r="H168" t="s">
        <v>42</v>
      </c>
      <c r="I168" t="s">
        <v>20</v>
      </c>
      <c r="J168" t="s">
        <v>2617</v>
      </c>
      <c r="L168" t="s">
        <v>2826</v>
      </c>
    </row>
    <row r="169" spans="1:15">
      <c r="A169" t="s">
        <v>2833</v>
      </c>
      <c r="B169" t="s">
        <v>17</v>
      </c>
      <c r="C169">
        <v>61</v>
      </c>
      <c r="D169" t="s">
        <v>41</v>
      </c>
      <c r="E169">
        <v>1000</v>
      </c>
      <c r="F169">
        <v>61</v>
      </c>
      <c r="G169" t="s">
        <v>18</v>
      </c>
      <c r="H169" t="s">
        <v>42</v>
      </c>
      <c r="I169" t="s">
        <v>20</v>
      </c>
      <c r="J169" t="s">
        <v>2617</v>
      </c>
      <c r="L169" t="s">
        <v>2826</v>
      </c>
    </row>
    <row r="170" spans="1:15">
      <c r="A170" t="s">
        <v>2834</v>
      </c>
      <c r="B170" t="s">
        <v>17</v>
      </c>
      <c r="C170">
        <v>61</v>
      </c>
      <c r="D170" t="s">
        <v>41</v>
      </c>
      <c r="E170">
        <v>1000</v>
      </c>
      <c r="F170">
        <v>61</v>
      </c>
      <c r="G170" t="s">
        <v>18</v>
      </c>
      <c r="H170" t="s">
        <v>42</v>
      </c>
      <c r="I170" t="s">
        <v>20</v>
      </c>
      <c r="J170" t="s">
        <v>2617</v>
      </c>
      <c r="N170" t="s">
        <v>2246</v>
      </c>
      <c r="O170" t="s">
        <v>2835</v>
      </c>
    </row>
    <row r="171" spans="1:15">
      <c r="A171" t="s">
        <v>2836</v>
      </c>
      <c r="B171" t="s">
        <v>17</v>
      </c>
      <c r="C171">
        <v>61</v>
      </c>
      <c r="D171" t="s">
        <v>41</v>
      </c>
      <c r="E171">
        <v>1000</v>
      </c>
      <c r="F171">
        <v>61</v>
      </c>
      <c r="G171" t="s">
        <v>18</v>
      </c>
      <c r="H171" t="s">
        <v>42</v>
      </c>
      <c r="I171" t="s">
        <v>20</v>
      </c>
      <c r="J171" t="s">
        <v>2617</v>
      </c>
      <c r="N171" t="s">
        <v>2246</v>
      </c>
    </row>
    <row r="172" spans="1:15">
      <c r="A172" t="s">
        <v>2837</v>
      </c>
      <c r="B172" t="s">
        <v>17</v>
      </c>
      <c r="C172">
        <v>61</v>
      </c>
      <c r="D172" t="s">
        <v>41</v>
      </c>
      <c r="E172">
        <v>1000</v>
      </c>
      <c r="F172">
        <v>61</v>
      </c>
      <c r="G172" t="s">
        <v>18</v>
      </c>
      <c r="H172" t="s">
        <v>42</v>
      </c>
      <c r="I172" t="s">
        <v>20</v>
      </c>
      <c r="J172" t="s">
        <v>2617</v>
      </c>
      <c r="N172" t="s">
        <v>2246</v>
      </c>
    </row>
    <row r="173" spans="1:15">
      <c r="A173" t="s">
        <v>2838</v>
      </c>
      <c r="B173" t="s">
        <v>17</v>
      </c>
      <c r="C173">
        <v>61</v>
      </c>
      <c r="D173" t="s">
        <v>41</v>
      </c>
      <c r="E173">
        <v>1000</v>
      </c>
      <c r="F173">
        <v>61</v>
      </c>
      <c r="G173" t="s">
        <v>18</v>
      </c>
      <c r="H173" t="s">
        <v>42</v>
      </c>
      <c r="I173" t="s">
        <v>20</v>
      </c>
      <c r="J173" t="s">
        <v>2617</v>
      </c>
      <c r="N173" t="s">
        <v>2246</v>
      </c>
    </row>
    <row r="174" spans="1:15">
      <c r="A174" t="s">
        <v>2839</v>
      </c>
      <c r="B174" t="s">
        <v>17</v>
      </c>
      <c r="C174">
        <v>61</v>
      </c>
      <c r="D174" t="s">
        <v>41</v>
      </c>
      <c r="E174">
        <v>1000</v>
      </c>
      <c r="F174">
        <v>61</v>
      </c>
      <c r="G174" t="s">
        <v>18</v>
      </c>
      <c r="H174" t="s">
        <v>42</v>
      </c>
      <c r="I174" t="s">
        <v>20</v>
      </c>
      <c r="J174" t="s">
        <v>2617</v>
      </c>
      <c r="N174" t="s">
        <v>2246</v>
      </c>
    </row>
    <row r="175" spans="1:15">
      <c r="A175" t="s">
        <v>2840</v>
      </c>
      <c r="B175" t="s">
        <v>17</v>
      </c>
      <c r="C175">
        <v>61</v>
      </c>
      <c r="D175" t="s">
        <v>41</v>
      </c>
      <c r="E175">
        <v>1000</v>
      </c>
      <c r="F175">
        <v>61</v>
      </c>
      <c r="G175" t="s">
        <v>18</v>
      </c>
      <c r="H175" t="s">
        <v>42</v>
      </c>
      <c r="I175" t="s">
        <v>20</v>
      </c>
      <c r="J175" t="s">
        <v>2617</v>
      </c>
      <c r="N175" t="s">
        <v>2246</v>
      </c>
    </row>
    <row r="176" spans="1:15">
      <c r="A176" t="s">
        <v>2841</v>
      </c>
      <c r="B176" t="s">
        <v>17</v>
      </c>
      <c r="C176">
        <v>61</v>
      </c>
      <c r="D176" t="s">
        <v>41</v>
      </c>
      <c r="E176">
        <v>1000</v>
      </c>
      <c r="F176">
        <v>61</v>
      </c>
      <c r="G176" t="s">
        <v>18</v>
      </c>
      <c r="H176" t="s">
        <v>42</v>
      </c>
      <c r="I176" t="s">
        <v>20</v>
      </c>
      <c r="J176" t="s">
        <v>2617</v>
      </c>
      <c r="N176" t="s">
        <v>2246</v>
      </c>
    </row>
    <row r="177" spans="1:14">
      <c r="A177" t="s">
        <v>2842</v>
      </c>
      <c r="B177" t="s">
        <v>17</v>
      </c>
      <c r="C177">
        <v>61</v>
      </c>
      <c r="D177" t="s">
        <v>41</v>
      </c>
      <c r="E177">
        <v>1000</v>
      </c>
      <c r="F177">
        <v>61</v>
      </c>
      <c r="G177" t="s">
        <v>18</v>
      </c>
      <c r="H177" t="s">
        <v>42</v>
      </c>
      <c r="I177" t="s">
        <v>20</v>
      </c>
      <c r="J177" t="s">
        <v>2617</v>
      </c>
      <c r="N177" t="s">
        <v>2246</v>
      </c>
    </row>
    <row r="178" spans="1:14">
      <c r="A178" t="s">
        <v>2843</v>
      </c>
      <c r="B178" t="s">
        <v>17</v>
      </c>
      <c r="C178">
        <v>61</v>
      </c>
      <c r="D178" t="s">
        <v>41</v>
      </c>
      <c r="E178">
        <v>1000</v>
      </c>
      <c r="F178">
        <v>61</v>
      </c>
      <c r="G178" t="s">
        <v>18</v>
      </c>
      <c r="H178" t="s">
        <v>42</v>
      </c>
      <c r="I178" t="s">
        <v>20</v>
      </c>
      <c r="J178" t="s">
        <v>2617</v>
      </c>
      <c r="N178" t="s">
        <v>2246</v>
      </c>
    </row>
    <row r="179" spans="1:14">
      <c r="A179" t="s">
        <v>2844</v>
      </c>
      <c r="B179" t="s">
        <v>17</v>
      </c>
      <c r="C179">
        <v>61</v>
      </c>
      <c r="D179" t="s">
        <v>41</v>
      </c>
      <c r="E179">
        <v>1000</v>
      </c>
      <c r="F179">
        <v>61</v>
      </c>
      <c r="G179" t="s">
        <v>18</v>
      </c>
      <c r="H179" t="s">
        <v>42</v>
      </c>
      <c r="I179" t="s">
        <v>20</v>
      </c>
      <c r="J179" t="s">
        <v>2617</v>
      </c>
      <c r="N179" t="s">
        <v>2246</v>
      </c>
    </row>
    <row r="180" spans="1:14">
      <c r="A180" t="s">
        <v>2845</v>
      </c>
      <c r="B180" t="s">
        <v>17</v>
      </c>
      <c r="C180">
        <v>61</v>
      </c>
      <c r="D180" t="s">
        <v>41</v>
      </c>
      <c r="E180">
        <v>1000</v>
      </c>
      <c r="F180">
        <v>61</v>
      </c>
      <c r="G180" t="s">
        <v>18</v>
      </c>
      <c r="H180" t="s">
        <v>42</v>
      </c>
      <c r="I180" t="s">
        <v>20</v>
      </c>
      <c r="J180" t="s">
        <v>2617</v>
      </c>
      <c r="N180" t="s">
        <v>2246</v>
      </c>
    </row>
    <row r="181" spans="1:14">
      <c r="A181" t="s">
        <v>2846</v>
      </c>
      <c r="B181" t="s">
        <v>17</v>
      </c>
      <c r="C181">
        <v>61</v>
      </c>
      <c r="D181" t="s">
        <v>41</v>
      </c>
      <c r="E181">
        <v>1000</v>
      </c>
      <c r="F181">
        <v>61</v>
      </c>
      <c r="G181" t="s">
        <v>18</v>
      </c>
      <c r="H181" t="s">
        <v>42</v>
      </c>
      <c r="I181" t="s">
        <v>20</v>
      </c>
      <c r="J181" t="s">
        <v>2617</v>
      </c>
      <c r="N181" t="s">
        <v>2246</v>
      </c>
    </row>
    <row r="182" spans="1:14">
      <c r="A182" t="s">
        <v>2847</v>
      </c>
      <c r="B182" t="s">
        <v>17</v>
      </c>
      <c r="C182">
        <v>61</v>
      </c>
      <c r="D182" t="s">
        <v>41</v>
      </c>
      <c r="E182">
        <v>1000</v>
      </c>
      <c r="F182">
        <v>61</v>
      </c>
      <c r="G182" t="s">
        <v>18</v>
      </c>
      <c r="H182" t="s">
        <v>42</v>
      </c>
      <c r="I182" t="s">
        <v>20</v>
      </c>
      <c r="J182" t="s">
        <v>2617</v>
      </c>
      <c r="N182" t="s">
        <v>2246</v>
      </c>
    </row>
    <row r="183" spans="1:14">
      <c r="A183" t="s">
        <v>2848</v>
      </c>
      <c r="B183" t="s">
        <v>17</v>
      </c>
      <c r="C183">
        <v>61</v>
      </c>
      <c r="D183" t="s">
        <v>41</v>
      </c>
      <c r="E183">
        <v>1000</v>
      </c>
      <c r="F183">
        <v>61</v>
      </c>
      <c r="G183" t="s">
        <v>18</v>
      </c>
      <c r="H183" t="s">
        <v>42</v>
      </c>
      <c r="I183" t="s">
        <v>20</v>
      </c>
      <c r="J183" t="s">
        <v>2617</v>
      </c>
      <c r="N183" t="s">
        <v>2246</v>
      </c>
    </row>
    <row r="184" spans="1:14">
      <c r="A184" t="s">
        <v>2849</v>
      </c>
      <c r="B184" t="s">
        <v>17</v>
      </c>
      <c r="C184">
        <v>61</v>
      </c>
      <c r="D184" t="s">
        <v>41</v>
      </c>
      <c r="E184">
        <v>1000</v>
      </c>
      <c r="F184">
        <v>61</v>
      </c>
      <c r="G184" t="s">
        <v>18</v>
      </c>
      <c r="H184" t="s">
        <v>42</v>
      </c>
      <c r="I184" t="s">
        <v>20</v>
      </c>
      <c r="J184" t="s">
        <v>2617</v>
      </c>
      <c r="N184" t="s">
        <v>2246</v>
      </c>
    </row>
    <row r="185" spans="1:14">
      <c r="A185" t="s">
        <v>2850</v>
      </c>
      <c r="B185" t="s">
        <v>17</v>
      </c>
      <c r="C185">
        <v>61</v>
      </c>
      <c r="D185" t="s">
        <v>41</v>
      </c>
      <c r="E185">
        <v>1000</v>
      </c>
      <c r="F185">
        <v>133</v>
      </c>
      <c r="G185" t="s">
        <v>18</v>
      </c>
      <c r="H185" t="s">
        <v>42</v>
      </c>
      <c r="I185" t="s">
        <v>20</v>
      </c>
      <c r="J185" t="s">
        <v>2617</v>
      </c>
    </row>
    <row r="186" spans="1:14">
      <c r="A186" t="s">
        <v>2851</v>
      </c>
      <c r="B186" t="s">
        <v>17</v>
      </c>
      <c r="C186">
        <v>61</v>
      </c>
      <c r="D186" t="s">
        <v>41</v>
      </c>
      <c r="E186">
        <v>1000</v>
      </c>
      <c r="F186">
        <v>61</v>
      </c>
      <c r="G186" t="s">
        <v>18</v>
      </c>
      <c r="H186" t="s">
        <v>42</v>
      </c>
      <c r="I186" t="s">
        <v>20</v>
      </c>
      <c r="J186" t="s">
        <v>2617</v>
      </c>
    </row>
    <row r="187" spans="1:14">
      <c r="A187" t="s">
        <v>2852</v>
      </c>
      <c r="B187" t="s">
        <v>17</v>
      </c>
      <c r="C187">
        <v>61</v>
      </c>
      <c r="D187" t="s">
        <v>41</v>
      </c>
      <c r="E187">
        <v>1000</v>
      </c>
      <c r="F187">
        <v>61</v>
      </c>
      <c r="G187" t="s">
        <v>18</v>
      </c>
      <c r="H187" t="s">
        <v>42</v>
      </c>
      <c r="I187" t="s">
        <v>20</v>
      </c>
      <c r="J187" t="s">
        <v>2617</v>
      </c>
    </row>
    <row r="188" spans="1:14">
      <c r="A188" t="s">
        <v>2853</v>
      </c>
      <c r="B188" t="s">
        <v>17</v>
      </c>
      <c r="C188">
        <v>61</v>
      </c>
      <c r="D188" t="s">
        <v>41</v>
      </c>
      <c r="E188">
        <v>1000</v>
      </c>
      <c r="F188">
        <v>61</v>
      </c>
      <c r="G188" t="s">
        <v>18</v>
      </c>
      <c r="H188" t="s">
        <v>42</v>
      </c>
      <c r="I188" t="s">
        <v>20</v>
      </c>
      <c r="J188" t="s">
        <v>2617</v>
      </c>
    </row>
    <row r="189" spans="1:14">
      <c r="A189" t="s">
        <v>2854</v>
      </c>
      <c r="B189" t="s">
        <v>17</v>
      </c>
      <c r="C189">
        <v>61</v>
      </c>
      <c r="D189" t="s">
        <v>41</v>
      </c>
      <c r="E189">
        <v>1000</v>
      </c>
      <c r="F189">
        <v>61</v>
      </c>
      <c r="G189" t="s">
        <v>18</v>
      </c>
      <c r="H189" t="s">
        <v>42</v>
      </c>
      <c r="I189" t="s">
        <v>20</v>
      </c>
      <c r="J189" t="s">
        <v>2617</v>
      </c>
    </row>
    <row r="190" spans="1:14">
      <c r="A190" t="s">
        <v>2855</v>
      </c>
      <c r="B190" t="s">
        <v>17</v>
      </c>
      <c r="C190">
        <v>61</v>
      </c>
      <c r="D190" t="s">
        <v>41</v>
      </c>
      <c r="E190">
        <v>1000</v>
      </c>
      <c r="F190">
        <v>61</v>
      </c>
      <c r="G190" t="s">
        <v>18</v>
      </c>
      <c r="H190" t="s">
        <v>42</v>
      </c>
      <c r="I190" t="s">
        <v>20</v>
      </c>
      <c r="J190" t="s">
        <v>2617</v>
      </c>
    </row>
    <row r="191" spans="1:14">
      <c r="A191" t="s">
        <v>2856</v>
      </c>
      <c r="B191" t="s">
        <v>17</v>
      </c>
      <c r="C191">
        <v>61</v>
      </c>
      <c r="D191" t="s">
        <v>41</v>
      </c>
      <c r="E191">
        <v>1000</v>
      </c>
      <c r="F191">
        <v>61</v>
      </c>
      <c r="G191" t="s">
        <v>18</v>
      </c>
      <c r="H191" t="s">
        <v>42</v>
      </c>
      <c r="I191" t="s">
        <v>20</v>
      </c>
      <c r="J191" t="s">
        <v>2617</v>
      </c>
    </row>
    <row r="192" spans="1:14">
      <c r="A192" t="s">
        <v>2857</v>
      </c>
      <c r="B192" t="s">
        <v>17</v>
      </c>
      <c r="C192">
        <v>61</v>
      </c>
      <c r="D192" t="s">
        <v>41</v>
      </c>
      <c r="E192">
        <v>1000</v>
      </c>
      <c r="F192">
        <v>61</v>
      </c>
      <c r="G192" t="s">
        <v>18</v>
      </c>
      <c r="H192" t="s">
        <v>42</v>
      </c>
      <c r="I192" t="s">
        <v>20</v>
      </c>
      <c r="J192" t="s">
        <v>2617</v>
      </c>
    </row>
    <row r="193" spans="1:12">
      <c r="A193" t="s">
        <v>2858</v>
      </c>
      <c r="B193" t="s">
        <v>17</v>
      </c>
      <c r="C193">
        <v>61</v>
      </c>
      <c r="D193" t="s">
        <v>41</v>
      </c>
      <c r="E193">
        <v>1000</v>
      </c>
      <c r="F193">
        <v>61</v>
      </c>
      <c r="G193" t="s">
        <v>18</v>
      </c>
      <c r="H193" t="s">
        <v>42</v>
      </c>
      <c r="I193" t="s">
        <v>20</v>
      </c>
      <c r="J193" t="s">
        <v>2617</v>
      </c>
    </row>
    <row r="194" spans="1:12">
      <c r="A194" t="s">
        <v>2859</v>
      </c>
      <c r="B194" t="s">
        <v>17</v>
      </c>
      <c r="C194">
        <v>61</v>
      </c>
      <c r="D194" t="s">
        <v>41</v>
      </c>
      <c r="E194">
        <v>1000</v>
      </c>
      <c r="F194">
        <v>61</v>
      </c>
      <c r="G194" t="s">
        <v>18</v>
      </c>
      <c r="H194" t="s">
        <v>42</v>
      </c>
      <c r="I194" t="s">
        <v>20</v>
      </c>
      <c r="J194" t="s">
        <v>2617</v>
      </c>
    </row>
    <row r="195" spans="1:12">
      <c r="A195" t="s">
        <v>2860</v>
      </c>
      <c r="B195" t="s">
        <v>17</v>
      </c>
      <c r="C195">
        <v>61</v>
      </c>
      <c r="D195" t="s">
        <v>41</v>
      </c>
      <c r="E195">
        <v>1000</v>
      </c>
      <c r="F195">
        <v>61</v>
      </c>
      <c r="G195" t="s">
        <v>18</v>
      </c>
      <c r="H195" t="s">
        <v>42</v>
      </c>
      <c r="I195" t="s">
        <v>20</v>
      </c>
      <c r="J195" t="s">
        <v>2617</v>
      </c>
    </row>
    <row r="196" spans="1:12">
      <c r="A196" t="s">
        <v>2861</v>
      </c>
      <c r="B196" t="s">
        <v>17</v>
      </c>
      <c r="C196">
        <v>61</v>
      </c>
      <c r="D196" t="s">
        <v>41</v>
      </c>
      <c r="E196">
        <v>1000</v>
      </c>
      <c r="F196">
        <v>61</v>
      </c>
      <c r="G196" t="s">
        <v>18</v>
      </c>
      <c r="H196" t="s">
        <v>42</v>
      </c>
      <c r="I196" t="s">
        <v>20</v>
      </c>
      <c r="J196" t="s">
        <v>2617</v>
      </c>
    </row>
    <row r="197" spans="1:12">
      <c r="A197" t="s">
        <v>2862</v>
      </c>
      <c r="B197" t="s">
        <v>17</v>
      </c>
      <c r="C197">
        <v>61</v>
      </c>
      <c r="D197" t="s">
        <v>41</v>
      </c>
      <c r="E197">
        <v>1000</v>
      </c>
      <c r="F197">
        <v>61</v>
      </c>
      <c r="G197" t="s">
        <v>18</v>
      </c>
      <c r="H197" t="s">
        <v>42</v>
      </c>
      <c r="I197" t="s">
        <v>20</v>
      </c>
      <c r="J197" t="s">
        <v>2617</v>
      </c>
    </row>
    <row r="198" spans="1:12">
      <c r="A198" t="s">
        <v>2863</v>
      </c>
      <c r="B198" t="s">
        <v>17</v>
      </c>
      <c r="C198">
        <v>61</v>
      </c>
      <c r="D198" t="s">
        <v>41</v>
      </c>
      <c r="E198">
        <v>1000</v>
      </c>
      <c r="F198">
        <v>61</v>
      </c>
      <c r="G198" t="s">
        <v>18</v>
      </c>
      <c r="H198" t="s">
        <v>42</v>
      </c>
      <c r="I198" t="s">
        <v>20</v>
      </c>
      <c r="J198" t="s">
        <v>2617</v>
      </c>
    </row>
    <row r="199" spans="1:12">
      <c r="A199" t="s">
        <v>2864</v>
      </c>
      <c r="B199" t="s">
        <v>17</v>
      </c>
      <c r="C199">
        <v>61</v>
      </c>
      <c r="D199" t="s">
        <v>41</v>
      </c>
      <c r="E199">
        <v>1000</v>
      </c>
      <c r="F199">
        <v>61</v>
      </c>
      <c r="G199" t="s">
        <v>18</v>
      </c>
      <c r="H199" t="s">
        <v>42</v>
      </c>
      <c r="I199" t="s">
        <v>20</v>
      </c>
      <c r="J199" t="s">
        <v>2617</v>
      </c>
    </row>
    <row r="200" spans="1:12">
      <c r="A200" t="s">
        <v>2865</v>
      </c>
      <c r="B200" t="s">
        <v>17</v>
      </c>
      <c r="C200">
        <v>61</v>
      </c>
      <c r="D200" t="s">
        <v>41</v>
      </c>
      <c r="E200">
        <v>1000</v>
      </c>
      <c r="F200">
        <v>61</v>
      </c>
      <c r="G200" t="s">
        <v>18</v>
      </c>
      <c r="H200" t="s">
        <v>42</v>
      </c>
      <c r="I200" t="s">
        <v>20</v>
      </c>
      <c r="J200" t="s">
        <v>2617</v>
      </c>
    </row>
    <row r="201" spans="1:12">
      <c r="A201" t="s">
        <v>2866</v>
      </c>
      <c r="B201" t="s">
        <v>17</v>
      </c>
      <c r="C201">
        <v>61</v>
      </c>
      <c r="D201" t="s">
        <v>41</v>
      </c>
      <c r="E201">
        <v>2000</v>
      </c>
      <c r="F201">
        <v>6</v>
      </c>
      <c r="G201" t="s">
        <v>18</v>
      </c>
      <c r="H201" t="s">
        <v>42</v>
      </c>
      <c r="I201" t="s">
        <v>20</v>
      </c>
      <c r="J201" t="s">
        <v>191</v>
      </c>
    </row>
    <row r="202" spans="1:12">
      <c r="A202" t="s">
        <v>2867</v>
      </c>
      <c r="B202" t="s">
        <v>17</v>
      </c>
      <c r="C202">
        <v>61</v>
      </c>
      <c r="D202" t="s">
        <v>41</v>
      </c>
      <c r="E202">
        <v>2000</v>
      </c>
      <c r="F202">
        <v>1</v>
      </c>
      <c r="G202" t="s">
        <v>18</v>
      </c>
      <c r="H202" t="s">
        <v>42</v>
      </c>
      <c r="I202" t="s">
        <v>20</v>
      </c>
      <c r="J202" t="s">
        <v>191</v>
      </c>
    </row>
    <row r="203" spans="1:12">
      <c r="A203" t="s">
        <v>2868</v>
      </c>
      <c r="B203" t="s">
        <v>17</v>
      </c>
      <c r="C203">
        <v>61</v>
      </c>
      <c r="D203" t="s">
        <v>41</v>
      </c>
      <c r="E203">
        <v>2000</v>
      </c>
      <c r="F203">
        <v>61</v>
      </c>
      <c r="G203" t="s">
        <v>18</v>
      </c>
      <c r="H203" t="s">
        <v>42</v>
      </c>
      <c r="I203" t="s">
        <v>20</v>
      </c>
      <c r="J203" t="s">
        <v>2617</v>
      </c>
      <c r="L203" t="s">
        <v>2869</v>
      </c>
    </row>
    <row r="204" spans="1:12">
      <c r="A204" t="s">
        <v>2870</v>
      </c>
      <c r="B204" t="s">
        <v>17</v>
      </c>
      <c r="C204">
        <v>61</v>
      </c>
      <c r="D204" t="s">
        <v>41</v>
      </c>
      <c r="E204">
        <v>2000</v>
      </c>
      <c r="F204">
        <v>61</v>
      </c>
      <c r="G204" t="s">
        <v>18</v>
      </c>
      <c r="H204" t="s">
        <v>42</v>
      </c>
      <c r="I204" t="s">
        <v>20</v>
      </c>
      <c r="J204" t="s">
        <v>2617</v>
      </c>
      <c r="L204" t="s">
        <v>2871</v>
      </c>
    </row>
    <row r="205" spans="1:12">
      <c r="A205" t="s">
        <v>2872</v>
      </c>
      <c r="B205" t="s">
        <v>17</v>
      </c>
      <c r="C205">
        <v>61</v>
      </c>
      <c r="D205" t="s">
        <v>41</v>
      </c>
      <c r="E205">
        <v>2000</v>
      </c>
      <c r="F205">
        <v>61</v>
      </c>
      <c r="G205" t="s">
        <v>18</v>
      </c>
      <c r="H205" t="s">
        <v>42</v>
      </c>
      <c r="I205" t="s">
        <v>20</v>
      </c>
      <c r="J205" t="s">
        <v>2617</v>
      </c>
      <c r="L205" t="s">
        <v>2871</v>
      </c>
    </row>
    <row r="206" spans="1:12">
      <c r="A206" t="s">
        <v>2873</v>
      </c>
      <c r="B206" t="s">
        <v>17</v>
      </c>
      <c r="C206">
        <v>61</v>
      </c>
      <c r="D206" t="s">
        <v>41</v>
      </c>
      <c r="E206">
        <v>2000</v>
      </c>
      <c r="F206">
        <v>61</v>
      </c>
      <c r="G206" t="s">
        <v>18</v>
      </c>
      <c r="H206" t="s">
        <v>42</v>
      </c>
      <c r="I206" t="s">
        <v>20</v>
      </c>
      <c r="J206" t="s">
        <v>2617</v>
      </c>
      <c r="L206" t="s">
        <v>2871</v>
      </c>
    </row>
    <row r="207" spans="1:12">
      <c r="A207" t="s">
        <v>2874</v>
      </c>
      <c r="B207" t="s">
        <v>17</v>
      </c>
      <c r="C207">
        <v>61</v>
      </c>
      <c r="D207" t="s">
        <v>41</v>
      </c>
      <c r="E207">
        <v>2000</v>
      </c>
      <c r="F207">
        <v>61</v>
      </c>
      <c r="G207" t="s">
        <v>18</v>
      </c>
      <c r="H207" t="s">
        <v>42</v>
      </c>
      <c r="I207" t="s">
        <v>20</v>
      </c>
      <c r="J207" t="s">
        <v>2617</v>
      </c>
      <c r="L207" t="s">
        <v>2871</v>
      </c>
    </row>
    <row r="208" spans="1:12">
      <c r="A208" t="s">
        <v>2875</v>
      </c>
      <c r="B208" t="s">
        <v>17</v>
      </c>
      <c r="C208">
        <v>61</v>
      </c>
      <c r="D208" t="s">
        <v>41</v>
      </c>
      <c r="E208">
        <v>2000</v>
      </c>
      <c r="F208">
        <v>61</v>
      </c>
      <c r="G208" t="s">
        <v>18</v>
      </c>
      <c r="H208" t="s">
        <v>42</v>
      </c>
      <c r="I208" t="s">
        <v>20</v>
      </c>
      <c r="J208" t="s">
        <v>2617</v>
      </c>
      <c r="L208" t="s">
        <v>2871</v>
      </c>
    </row>
    <row r="209" spans="1:12">
      <c r="A209" t="s">
        <v>2876</v>
      </c>
      <c r="B209" t="s">
        <v>17</v>
      </c>
      <c r="C209">
        <v>61</v>
      </c>
      <c r="D209" t="s">
        <v>41</v>
      </c>
      <c r="E209">
        <v>2000</v>
      </c>
      <c r="F209">
        <v>61</v>
      </c>
      <c r="G209" t="s">
        <v>18</v>
      </c>
      <c r="H209" t="s">
        <v>42</v>
      </c>
      <c r="I209" t="s">
        <v>20</v>
      </c>
      <c r="J209" t="s">
        <v>2617</v>
      </c>
      <c r="L209" t="s">
        <v>2871</v>
      </c>
    </row>
    <row r="210" spans="1:12">
      <c r="A210" t="s">
        <v>2877</v>
      </c>
      <c r="B210" t="s">
        <v>17</v>
      </c>
      <c r="C210">
        <v>61</v>
      </c>
      <c r="D210" t="s">
        <v>41</v>
      </c>
      <c r="E210">
        <v>2000</v>
      </c>
      <c r="F210">
        <v>61</v>
      </c>
      <c r="G210" t="s">
        <v>18</v>
      </c>
      <c r="H210" t="s">
        <v>42</v>
      </c>
      <c r="I210" t="s">
        <v>20</v>
      </c>
      <c r="J210" t="s">
        <v>2617</v>
      </c>
      <c r="L210" t="s">
        <v>2871</v>
      </c>
    </row>
    <row r="211" spans="1:12">
      <c r="A211" t="s">
        <v>2878</v>
      </c>
      <c r="B211" t="s">
        <v>17</v>
      </c>
      <c r="C211">
        <v>61</v>
      </c>
      <c r="D211" t="s">
        <v>41</v>
      </c>
      <c r="E211">
        <v>2000</v>
      </c>
      <c r="F211">
        <v>61</v>
      </c>
      <c r="G211" t="s">
        <v>18</v>
      </c>
      <c r="H211" t="s">
        <v>42</v>
      </c>
      <c r="I211" t="s">
        <v>20</v>
      </c>
      <c r="J211" t="s">
        <v>2617</v>
      </c>
      <c r="L211" t="s">
        <v>2871</v>
      </c>
    </row>
    <row r="212" spans="1:12">
      <c r="A212" t="s">
        <v>2879</v>
      </c>
      <c r="B212" t="s">
        <v>17</v>
      </c>
      <c r="C212">
        <v>61</v>
      </c>
      <c r="D212" t="s">
        <v>41</v>
      </c>
      <c r="E212">
        <v>2000</v>
      </c>
      <c r="F212">
        <v>61</v>
      </c>
      <c r="G212" t="s">
        <v>18</v>
      </c>
      <c r="H212" t="s">
        <v>42</v>
      </c>
      <c r="I212" t="s">
        <v>20</v>
      </c>
      <c r="J212" t="s">
        <v>2617</v>
      </c>
      <c r="L212" t="s">
        <v>2871</v>
      </c>
    </row>
    <row r="213" spans="1:12">
      <c r="A213" t="s">
        <v>2880</v>
      </c>
      <c r="B213" t="s">
        <v>17</v>
      </c>
      <c r="C213">
        <v>61</v>
      </c>
      <c r="D213" t="s">
        <v>41</v>
      </c>
      <c r="E213">
        <v>2000</v>
      </c>
      <c r="F213">
        <v>61</v>
      </c>
      <c r="G213" t="s">
        <v>18</v>
      </c>
      <c r="H213" t="s">
        <v>42</v>
      </c>
      <c r="I213" t="s">
        <v>20</v>
      </c>
      <c r="J213" t="s">
        <v>2617</v>
      </c>
      <c r="L213" t="s">
        <v>2871</v>
      </c>
    </row>
    <row r="214" spans="1:12">
      <c r="A214" t="s">
        <v>2881</v>
      </c>
      <c r="B214" t="s">
        <v>17</v>
      </c>
      <c r="C214">
        <v>61</v>
      </c>
      <c r="D214" t="s">
        <v>41</v>
      </c>
      <c r="E214">
        <v>2000</v>
      </c>
      <c r="F214">
        <v>61</v>
      </c>
      <c r="G214" t="s">
        <v>18</v>
      </c>
      <c r="H214" t="s">
        <v>42</v>
      </c>
      <c r="I214" t="s">
        <v>20</v>
      </c>
      <c r="J214" t="s">
        <v>2617</v>
      </c>
      <c r="L214" t="s">
        <v>2871</v>
      </c>
    </row>
    <row r="215" spans="1:12">
      <c r="A215" t="s">
        <v>2882</v>
      </c>
      <c r="B215" t="s">
        <v>17</v>
      </c>
      <c r="C215">
        <v>61</v>
      </c>
      <c r="D215" t="s">
        <v>41</v>
      </c>
      <c r="E215">
        <v>2000</v>
      </c>
      <c r="F215">
        <v>61</v>
      </c>
      <c r="G215" t="s">
        <v>18</v>
      </c>
      <c r="H215" t="s">
        <v>42</v>
      </c>
      <c r="I215" t="s">
        <v>20</v>
      </c>
      <c r="J215" t="s">
        <v>2617</v>
      </c>
      <c r="L215" t="s">
        <v>2871</v>
      </c>
    </row>
    <row r="216" spans="1:12">
      <c r="A216" t="s">
        <v>2883</v>
      </c>
      <c r="B216" t="s">
        <v>17</v>
      </c>
      <c r="C216">
        <v>61</v>
      </c>
      <c r="D216" t="s">
        <v>41</v>
      </c>
      <c r="E216">
        <v>2000</v>
      </c>
      <c r="F216">
        <v>61</v>
      </c>
      <c r="G216" t="s">
        <v>18</v>
      </c>
      <c r="H216" t="s">
        <v>42</v>
      </c>
      <c r="I216" t="s">
        <v>20</v>
      </c>
      <c r="J216" t="s">
        <v>2617</v>
      </c>
      <c r="L216" t="s">
        <v>2871</v>
      </c>
    </row>
    <row r="217" spans="1:12">
      <c r="A217" t="s">
        <v>2884</v>
      </c>
      <c r="B217" t="s">
        <v>17</v>
      </c>
      <c r="C217">
        <v>61</v>
      </c>
      <c r="D217" t="s">
        <v>41</v>
      </c>
      <c r="E217">
        <v>2000</v>
      </c>
      <c r="F217">
        <v>61</v>
      </c>
      <c r="G217" t="s">
        <v>18</v>
      </c>
      <c r="H217" t="s">
        <v>42</v>
      </c>
      <c r="I217" t="s">
        <v>20</v>
      </c>
      <c r="J217" t="s">
        <v>2617</v>
      </c>
      <c r="L217" t="s">
        <v>2871</v>
      </c>
    </row>
    <row r="218" spans="1:12">
      <c r="A218" t="s">
        <v>2885</v>
      </c>
      <c r="B218" t="s">
        <v>17</v>
      </c>
      <c r="C218">
        <v>61</v>
      </c>
      <c r="D218" t="s">
        <v>41</v>
      </c>
      <c r="E218">
        <v>2000</v>
      </c>
      <c r="F218">
        <v>61</v>
      </c>
      <c r="G218" t="s">
        <v>18</v>
      </c>
      <c r="H218" t="s">
        <v>42</v>
      </c>
      <c r="I218" t="s">
        <v>20</v>
      </c>
      <c r="J218" t="s">
        <v>2617</v>
      </c>
      <c r="L218" t="s">
        <v>2871</v>
      </c>
    </row>
    <row r="219" spans="1:12">
      <c r="A219" t="s">
        <v>2886</v>
      </c>
      <c r="B219" t="s">
        <v>17</v>
      </c>
      <c r="C219">
        <v>61</v>
      </c>
      <c r="D219" t="s">
        <v>41</v>
      </c>
      <c r="E219">
        <v>2000</v>
      </c>
      <c r="F219">
        <v>61</v>
      </c>
      <c r="G219" t="s">
        <v>18</v>
      </c>
      <c r="H219" t="s">
        <v>42</v>
      </c>
      <c r="I219" t="s">
        <v>20</v>
      </c>
      <c r="J219" t="s">
        <v>2617</v>
      </c>
      <c r="L219" t="s">
        <v>2871</v>
      </c>
    </row>
    <row r="220" spans="1:12">
      <c r="A220" t="s">
        <v>2887</v>
      </c>
      <c r="B220" t="s">
        <v>17</v>
      </c>
      <c r="C220">
        <v>61</v>
      </c>
      <c r="D220" t="s">
        <v>41</v>
      </c>
      <c r="E220">
        <v>2000</v>
      </c>
      <c r="F220">
        <v>61</v>
      </c>
      <c r="G220" t="s">
        <v>18</v>
      </c>
      <c r="H220" t="s">
        <v>42</v>
      </c>
      <c r="I220" t="s">
        <v>20</v>
      </c>
      <c r="J220" t="s">
        <v>2617</v>
      </c>
      <c r="L220" t="s">
        <v>2871</v>
      </c>
    </row>
    <row r="221" spans="1:12">
      <c r="A221" t="s">
        <v>2888</v>
      </c>
      <c r="B221" t="s">
        <v>17</v>
      </c>
      <c r="C221">
        <v>61</v>
      </c>
      <c r="D221" t="s">
        <v>41</v>
      </c>
      <c r="E221">
        <v>2000</v>
      </c>
      <c r="F221">
        <v>61</v>
      </c>
      <c r="G221" t="s">
        <v>18</v>
      </c>
      <c r="H221" t="s">
        <v>42</v>
      </c>
      <c r="I221" t="s">
        <v>20</v>
      </c>
      <c r="J221" t="s">
        <v>2617</v>
      </c>
      <c r="L221" t="s">
        <v>2871</v>
      </c>
    </row>
    <row r="222" spans="1:12">
      <c r="A222" t="s">
        <v>2889</v>
      </c>
      <c r="B222" t="s">
        <v>17</v>
      </c>
      <c r="C222">
        <v>61</v>
      </c>
      <c r="D222" t="s">
        <v>41</v>
      </c>
      <c r="E222">
        <v>2000</v>
      </c>
      <c r="F222">
        <v>61</v>
      </c>
      <c r="G222" t="s">
        <v>18</v>
      </c>
      <c r="H222" t="s">
        <v>42</v>
      </c>
      <c r="I222" t="s">
        <v>20</v>
      </c>
      <c r="J222" t="s">
        <v>2617</v>
      </c>
      <c r="L222" t="s">
        <v>2871</v>
      </c>
    </row>
    <row r="223" spans="1:12">
      <c r="A223" t="s">
        <v>2890</v>
      </c>
      <c r="B223" t="s">
        <v>17</v>
      </c>
      <c r="C223">
        <v>61</v>
      </c>
      <c r="D223" t="s">
        <v>41</v>
      </c>
      <c r="E223">
        <v>2000</v>
      </c>
      <c r="F223">
        <v>61</v>
      </c>
      <c r="G223" t="s">
        <v>18</v>
      </c>
      <c r="H223" t="s">
        <v>42</v>
      </c>
      <c r="I223" t="s">
        <v>20</v>
      </c>
      <c r="J223" t="s">
        <v>2617</v>
      </c>
      <c r="L223" t="s">
        <v>2871</v>
      </c>
    </row>
    <row r="224" spans="1:12">
      <c r="A224" t="s">
        <v>2891</v>
      </c>
      <c r="B224" t="s">
        <v>17</v>
      </c>
      <c r="C224">
        <v>61</v>
      </c>
      <c r="D224" t="s">
        <v>41</v>
      </c>
      <c r="E224">
        <v>2000</v>
      </c>
      <c r="F224">
        <v>61</v>
      </c>
      <c r="G224" t="s">
        <v>18</v>
      </c>
      <c r="H224" t="s">
        <v>42</v>
      </c>
      <c r="I224" t="s">
        <v>20</v>
      </c>
      <c r="J224" t="s">
        <v>2617</v>
      </c>
      <c r="L224" t="s">
        <v>2871</v>
      </c>
    </row>
    <row r="225" spans="1:12">
      <c r="A225" t="s">
        <v>2892</v>
      </c>
      <c r="B225" t="s">
        <v>17</v>
      </c>
      <c r="C225">
        <v>61</v>
      </c>
      <c r="D225" t="s">
        <v>41</v>
      </c>
      <c r="E225">
        <v>2000</v>
      </c>
      <c r="F225">
        <v>61</v>
      </c>
      <c r="G225" t="s">
        <v>18</v>
      </c>
      <c r="H225" t="s">
        <v>42</v>
      </c>
      <c r="I225" t="s">
        <v>20</v>
      </c>
      <c r="J225" t="s">
        <v>2617</v>
      </c>
      <c r="L225" t="s">
        <v>2871</v>
      </c>
    </row>
    <row r="226" spans="1:12">
      <c r="A226" t="s">
        <v>2893</v>
      </c>
      <c r="B226" t="s">
        <v>17</v>
      </c>
      <c r="C226">
        <v>61</v>
      </c>
      <c r="D226" t="s">
        <v>41</v>
      </c>
      <c r="E226">
        <v>2000</v>
      </c>
      <c r="F226">
        <v>61</v>
      </c>
      <c r="G226" t="s">
        <v>18</v>
      </c>
      <c r="H226" t="s">
        <v>42</v>
      </c>
      <c r="I226" t="s">
        <v>20</v>
      </c>
      <c r="J226" t="s">
        <v>2617</v>
      </c>
      <c r="L226" t="s">
        <v>2871</v>
      </c>
    </row>
    <row r="227" spans="1:12">
      <c r="A227" t="s">
        <v>2894</v>
      </c>
      <c r="B227" t="s">
        <v>17</v>
      </c>
      <c r="C227">
        <v>61</v>
      </c>
      <c r="D227" t="s">
        <v>41</v>
      </c>
      <c r="E227">
        <v>2000</v>
      </c>
      <c r="F227">
        <v>61</v>
      </c>
      <c r="G227" t="s">
        <v>18</v>
      </c>
      <c r="H227" t="s">
        <v>42</v>
      </c>
      <c r="I227" t="s">
        <v>20</v>
      </c>
      <c r="J227" t="s">
        <v>2617</v>
      </c>
      <c r="L227" t="s">
        <v>2871</v>
      </c>
    </row>
    <row r="228" spans="1:12">
      <c r="A228" t="s">
        <v>2895</v>
      </c>
      <c r="B228" t="s">
        <v>17</v>
      </c>
      <c r="C228">
        <v>61</v>
      </c>
      <c r="D228" t="s">
        <v>41</v>
      </c>
      <c r="E228">
        <v>2000</v>
      </c>
      <c r="F228">
        <v>61</v>
      </c>
      <c r="G228" t="s">
        <v>18</v>
      </c>
      <c r="H228" t="s">
        <v>42</v>
      </c>
      <c r="I228" t="s">
        <v>20</v>
      </c>
      <c r="J228" t="s">
        <v>2617</v>
      </c>
      <c r="L228" t="s">
        <v>2871</v>
      </c>
    </row>
    <row r="229" spans="1:12">
      <c r="A229" t="s">
        <v>2896</v>
      </c>
      <c r="B229" t="s">
        <v>17</v>
      </c>
      <c r="C229">
        <v>61</v>
      </c>
      <c r="D229" t="s">
        <v>41</v>
      </c>
      <c r="E229">
        <v>2000</v>
      </c>
      <c r="F229">
        <v>61</v>
      </c>
      <c r="G229" t="s">
        <v>18</v>
      </c>
      <c r="H229" t="s">
        <v>42</v>
      </c>
      <c r="I229" t="s">
        <v>20</v>
      </c>
      <c r="J229" t="s">
        <v>2617</v>
      </c>
      <c r="L229" t="s">
        <v>2871</v>
      </c>
    </row>
    <row r="230" spans="1:12">
      <c r="A230" t="s">
        <v>2897</v>
      </c>
      <c r="B230" t="s">
        <v>17</v>
      </c>
      <c r="C230">
        <v>61</v>
      </c>
      <c r="D230" t="s">
        <v>41</v>
      </c>
      <c r="E230">
        <v>2000</v>
      </c>
      <c r="F230">
        <v>61</v>
      </c>
      <c r="G230" t="s">
        <v>18</v>
      </c>
      <c r="H230" t="s">
        <v>42</v>
      </c>
      <c r="I230" t="s">
        <v>20</v>
      </c>
      <c r="J230" t="s">
        <v>2617</v>
      </c>
      <c r="L230" t="s">
        <v>2871</v>
      </c>
    </row>
    <row r="231" spans="1:12">
      <c r="A231" t="s">
        <v>2898</v>
      </c>
      <c r="B231" t="s">
        <v>17</v>
      </c>
      <c r="C231">
        <v>61</v>
      </c>
      <c r="D231" t="s">
        <v>41</v>
      </c>
      <c r="E231">
        <v>2000</v>
      </c>
      <c r="F231">
        <v>61</v>
      </c>
      <c r="G231" t="s">
        <v>18</v>
      </c>
      <c r="H231" t="s">
        <v>42</v>
      </c>
      <c r="I231" t="s">
        <v>20</v>
      </c>
      <c r="J231" t="s">
        <v>2617</v>
      </c>
      <c r="L231" t="s">
        <v>2871</v>
      </c>
    </row>
    <row r="232" spans="1:12">
      <c r="A232" t="s">
        <v>2899</v>
      </c>
      <c r="B232" t="s">
        <v>17</v>
      </c>
      <c r="C232">
        <v>61</v>
      </c>
      <c r="D232" t="s">
        <v>41</v>
      </c>
      <c r="E232">
        <v>2000</v>
      </c>
      <c r="F232">
        <v>61</v>
      </c>
      <c r="G232" t="s">
        <v>18</v>
      </c>
      <c r="H232" t="s">
        <v>42</v>
      </c>
      <c r="I232" t="s">
        <v>20</v>
      </c>
      <c r="J232" t="s">
        <v>2617</v>
      </c>
      <c r="L232" t="s">
        <v>2871</v>
      </c>
    </row>
    <row r="233" spans="1:12">
      <c r="A233" t="s">
        <v>2900</v>
      </c>
      <c r="B233" t="s">
        <v>17</v>
      </c>
      <c r="C233">
        <v>61</v>
      </c>
      <c r="D233" t="s">
        <v>41</v>
      </c>
      <c r="E233">
        <v>2000</v>
      </c>
      <c r="F233">
        <v>61</v>
      </c>
      <c r="G233" t="s">
        <v>18</v>
      </c>
      <c r="H233" t="s">
        <v>42</v>
      </c>
      <c r="I233" t="s">
        <v>20</v>
      </c>
      <c r="J233" t="s">
        <v>2617</v>
      </c>
      <c r="L233" t="s">
        <v>2871</v>
      </c>
    </row>
    <row r="234" spans="1:12">
      <c r="A234" t="s">
        <v>2901</v>
      </c>
      <c r="B234" t="s">
        <v>17</v>
      </c>
      <c r="C234">
        <v>61</v>
      </c>
      <c r="D234" t="s">
        <v>41</v>
      </c>
      <c r="E234">
        <v>2000</v>
      </c>
      <c r="F234">
        <v>61</v>
      </c>
      <c r="G234" t="s">
        <v>18</v>
      </c>
      <c r="H234" t="s">
        <v>42</v>
      </c>
      <c r="I234" t="s">
        <v>20</v>
      </c>
      <c r="J234" t="s">
        <v>2617</v>
      </c>
      <c r="L234" t="s">
        <v>2871</v>
      </c>
    </row>
    <row r="235" spans="1:12">
      <c r="A235" t="s">
        <v>2902</v>
      </c>
      <c r="B235" t="s">
        <v>17</v>
      </c>
      <c r="C235">
        <v>61</v>
      </c>
      <c r="D235" t="s">
        <v>41</v>
      </c>
      <c r="E235">
        <v>2000</v>
      </c>
      <c r="F235">
        <v>61</v>
      </c>
      <c r="G235" t="s">
        <v>18</v>
      </c>
      <c r="H235" t="s">
        <v>42</v>
      </c>
      <c r="I235" t="s">
        <v>20</v>
      </c>
      <c r="J235" t="s">
        <v>2617</v>
      </c>
      <c r="L235" t="s">
        <v>2871</v>
      </c>
    </row>
    <row r="236" spans="1:12">
      <c r="A236" t="s">
        <v>2903</v>
      </c>
      <c r="B236" t="s">
        <v>17</v>
      </c>
      <c r="C236">
        <v>61</v>
      </c>
      <c r="D236" t="s">
        <v>41</v>
      </c>
      <c r="E236">
        <v>2000</v>
      </c>
      <c r="F236">
        <v>61</v>
      </c>
      <c r="G236" t="s">
        <v>18</v>
      </c>
      <c r="H236" t="s">
        <v>42</v>
      </c>
      <c r="I236" t="s">
        <v>20</v>
      </c>
      <c r="J236" t="s">
        <v>2617</v>
      </c>
      <c r="L236" t="s">
        <v>2871</v>
      </c>
    </row>
    <row r="237" spans="1:12">
      <c r="A237" t="s">
        <v>2904</v>
      </c>
      <c r="B237" t="s">
        <v>17</v>
      </c>
      <c r="C237">
        <v>61</v>
      </c>
      <c r="D237" t="s">
        <v>41</v>
      </c>
      <c r="E237">
        <v>2000</v>
      </c>
      <c r="F237">
        <v>61</v>
      </c>
      <c r="G237" t="s">
        <v>18</v>
      </c>
      <c r="H237" t="s">
        <v>42</v>
      </c>
      <c r="I237" t="s">
        <v>20</v>
      </c>
      <c r="J237" t="s">
        <v>2617</v>
      </c>
      <c r="L237" t="s">
        <v>2871</v>
      </c>
    </row>
    <row r="238" spans="1:12">
      <c r="A238" t="s">
        <v>2905</v>
      </c>
      <c r="B238" t="s">
        <v>17</v>
      </c>
      <c r="C238">
        <v>61</v>
      </c>
      <c r="D238" t="s">
        <v>41</v>
      </c>
      <c r="E238">
        <v>2000</v>
      </c>
      <c r="F238">
        <v>61</v>
      </c>
      <c r="G238" t="s">
        <v>18</v>
      </c>
      <c r="H238" t="s">
        <v>42</v>
      </c>
      <c r="I238" t="s">
        <v>20</v>
      </c>
      <c r="J238" t="s">
        <v>2617</v>
      </c>
      <c r="L238" t="s">
        <v>2871</v>
      </c>
    </row>
    <row r="239" spans="1:12">
      <c r="A239" s="9" t="s">
        <v>2906</v>
      </c>
      <c r="B239" s="9" t="s">
        <v>17</v>
      </c>
      <c r="C239" s="9">
        <v>61</v>
      </c>
      <c r="D239" s="9" t="s">
        <v>41</v>
      </c>
      <c r="E239" s="9">
        <v>2000</v>
      </c>
      <c r="F239" s="9">
        <v>5</v>
      </c>
      <c r="G239" s="9" t="s">
        <v>18</v>
      </c>
      <c r="H239" s="10" t="s">
        <v>164</v>
      </c>
      <c r="I239" s="9" t="s">
        <v>20</v>
      </c>
    </row>
    <row r="240" spans="1:12">
      <c r="A240" s="9" t="s">
        <v>2907</v>
      </c>
      <c r="B240" s="9" t="s">
        <v>17</v>
      </c>
      <c r="C240" s="9">
        <v>61</v>
      </c>
      <c r="D240" s="9" t="s">
        <v>41</v>
      </c>
      <c r="E240" s="9">
        <v>2000</v>
      </c>
      <c r="F240" s="9">
        <v>61</v>
      </c>
      <c r="G240" s="9" t="s">
        <v>18</v>
      </c>
      <c r="H240" s="10" t="s">
        <v>164</v>
      </c>
      <c r="I240" s="9" t="s">
        <v>20</v>
      </c>
    </row>
    <row r="241" spans="1:9">
      <c r="A241" s="9" t="s">
        <v>2908</v>
      </c>
      <c r="B241" s="9" t="s">
        <v>17</v>
      </c>
      <c r="C241" s="9">
        <v>61</v>
      </c>
      <c r="D241" s="9" t="s">
        <v>41</v>
      </c>
      <c r="E241" s="9">
        <v>2000</v>
      </c>
      <c r="F241" s="9">
        <v>61</v>
      </c>
      <c r="G241" s="9" t="s">
        <v>18</v>
      </c>
      <c r="H241" s="10" t="s">
        <v>164</v>
      </c>
      <c r="I241" s="9" t="s">
        <v>20</v>
      </c>
    </row>
    <row r="242" spans="1:9">
      <c r="A242" s="9" t="s">
        <v>2909</v>
      </c>
      <c r="B242" s="9" t="s">
        <v>17</v>
      </c>
      <c r="C242" s="9">
        <v>61</v>
      </c>
      <c r="D242" s="9" t="s">
        <v>41</v>
      </c>
      <c r="E242" s="9">
        <v>2000</v>
      </c>
      <c r="F242" s="9">
        <v>61</v>
      </c>
      <c r="G242" s="9" t="s">
        <v>18</v>
      </c>
      <c r="H242" s="10" t="s">
        <v>164</v>
      </c>
      <c r="I242" s="9" t="s">
        <v>20</v>
      </c>
    </row>
    <row r="243" spans="1:9">
      <c r="A243" s="9" t="s">
        <v>2910</v>
      </c>
      <c r="B243" s="9" t="s">
        <v>17</v>
      </c>
      <c r="C243" s="9">
        <v>61</v>
      </c>
      <c r="D243" s="9" t="s">
        <v>41</v>
      </c>
      <c r="E243" s="9">
        <v>2000</v>
      </c>
      <c r="F243" s="9">
        <v>61</v>
      </c>
      <c r="G243" s="9" t="s">
        <v>18</v>
      </c>
      <c r="H243" s="10" t="s">
        <v>164</v>
      </c>
      <c r="I243" s="9" t="s">
        <v>20</v>
      </c>
    </row>
    <row r="244" spans="1:9">
      <c r="A244" s="9" t="s">
        <v>2911</v>
      </c>
      <c r="B244" s="9" t="s">
        <v>17</v>
      </c>
      <c r="C244" s="9">
        <v>61</v>
      </c>
      <c r="D244" s="9" t="s">
        <v>41</v>
      </c>
      <c r="E244" s="9">
        <v>2000</v>
      </c>
      <c r="F244" s="9">
        <v>61</v>
      </c>
      <c r="G244" s="9" t="s">
        <v>18</v>
      </c>
      <c r="H244" s="10" t="s">
        <v>164</v>
      </c>
      <c r="I244" s="9" t="s">
        <v>20</v>
      </c>
    </row>
    <row r="245" spans="1:9">
      <c r="A245" s="9" t="s">
        <v>2912</v>
      </c>
      <c r="B245" s="9" t="s">
        <v>17</v>
      </c>
      <c r="C245" s="9">
        <v>61</v>
      </c>
      <c r="D245" s="9" t="s">
        <v>41</v>
      </c>
      <c r="E245" s="9">
        <v>2000</v>
      </c>
      <c r="F245" s="9">
        <v>61</v>
      </c>
      <c r="G245" s="9" t="s">
        <v>18</v>
      </c>
      <c r="H245" s="10" t="s">
        <v>164</v>
      </c>
      <c r="I245" s="9" t="s">
        <v>20</v>
      </c>
    </row>
    <row r="246" spans="1:9">
      <c r="A246" s="9" t="s">
        <v>2913</v>
      </c>
      <c r="B246" s="9" t="s">
        <v>17</v>
      </c>
      <c r="C246" s="9">
        <v>61</v>
      </c>
      <c r="D246" s="9" t="s">
        <v>41</v>
      </c>
      <c r="E246" s="9">
        <v>2000</v>
      </c>
      <c r="F246" s="9">
        <v>61</v>
      </c>
      <c r="G246" s="9" t="s">
        <v>18</v>
      </c>
      <c r="H246" s="10" t="s">
        <v>164</v>
      </c>
      <c r="I246" s="9" t="s">
        <v>20</v>
      </c>
    </row>
    <row r="247" spans="1:9">
      <c r="A247" s="9" t="s">
        <v>2914</v>
      </c>
      <c r="B247" s="9" t="s">
        <v>17</v>
      </c>
      <c r="C247" s="9">
        <v>61</v>
      </c>
      <c r="D247" s="9" t="s">
        <v>41</v>
      </c>
      <c r="E247" s="9">
        <v>2000</v>
      </c>
      <c r="F247" s="9">
        <v>61</v>
      </c>
      <c r="G247" s="9" t="s">
        <v>18</v>
      </c>
      <c r="H247" s="10" t="s">
        <v>164</v>
      </c>
      <c r="I247" s="9" t="s">
        <v>20</v>
      </c>
    </row>
    <row r="248" spans="1:9">
      <c r="A248" s="9" t="s">
        <v>2915</v>
      </c>
      <c r="B248" s="9" t="s">
        <v>17</v>
      </c>
      <c r="C248" s="9">
        <v>61</v>
      </c>
      <c r="D248" s="9" t="s">
        <v>41</v>
      </c>
      <c r="E248" s="9">
        <v>2000</v>
      </c>
      <c r="F248" s="9">
        <v>61</v>
      </c>
      <c r="G248" s="9" t="s">
        <v>18</v>
      </c>
      <c r="H248" s="10" t="s">
        <v>164</v>
      </c>
      <c r="I248" s="9" t="s">
        <v>20</v>
      </c>
    </row>
    <row r="249" spans="1:9">
      <c r="A249" s="9" t="s">
        <v>2916</v>
      </c>
      <c r="B249" s="9" t="s">
        <v>17</v>
      </c>
      <c r="C249" s="9">
        <v>61</v>
      </c>
      <c r="D249" s="9" t="s">
        <v>41</v>
      </c>
      <c r="E249" s="9">
        <v>2000</v>
      </c>
      <c r="F249" s="9">
        <v>61</v>
      </c>
      <c r="G249" s="9" t="s">
        <v>18</v>
      </c>
      <c r="H249" s="10" t="s">
        <v>164</v>
      </c>
      <c r="I249" s="9" t="s">
        <v>20</v>
      </c>
    </row>
    <row r="250" spans="1:9">
      <c r="A250" s="9" t="s">
        <v>2917</v>
      </c>
      <c r="B250" s="9" t="s">
        <v>17</v>
      </c>
      <c r="C250" s="9">
        <v>61</v>
      </c>
      <c r="D250" s="9" t="s">
        <v>41</v>
      </c>
      <c r="E250" s="9">
        <v>2000</v>
      </c>
      <c r="F250" s="9">
        <v>61</v>
      </c>
      <c r="G250" s="9" t="s">
        <v>18</v>
      </c>
      <c r="H250" s="10" t="s">
        <v>164</v>
      </c>
      <c r="I250" s="9" t="s">
        <v>20</v>
      </c>
    </row>
    <row r="251" spans="1:9">
      <c r="A251" s="9" t="s">
        <v>2918</v>
      </c>
      <c r="B251" s="9" t="s">
        <v>17</v>
      </c>
      <c r="C251" s="9">
        <v>61</v>
      </c>
      <c r="D251" s="9" t="s">
        <v>41</v>
      </c>
      <c r="E251" s="9">
        <v>2000</v>
      </c>
      <c r="F251" s="9">
        <v>61</v>
      </c>
      <c r="G251" s="9" t="s">
        <v>18</v>
      </c>
      <c r="H251" s="10" t="s">
        <v>164</v>
      </c>
      <c r="I251" s="9" t="s">
        <v>20</v>
      </c>
    </row>
    <row r="252" spans="1:9">
      <c r="A252" s="9" t="s">
        <v>2919</v>
      </c>
      <c r="B252" s="9" t="s">
        <v>17</v>
      </c>
      <c r="C252" s="9">
        <v>61</v>
      </c>
      <c r="D252" s="9" t="s">
        <v>41</v>
      </c>
      <c r="E252" s="9">
        <v>2000</v>
      </c>
      <c r="F252" s="9">
        <v>61</v>
      </c>
      <c r="G252" s="9" t="s">
        <v>18</v>
      </c>
      <c r="H252" s="10" t="s">
        <v>164</v>
      </c>
      <c r="I252" s="9" t="s">
        <v>20</v>
      </c>
    </row>
    <row r="253" spans="1:9">
      <c r="A253" s="9" t="s">
        <v>2920</v>
      </c>
      <c r="B253" s="9" t="s">
        <v>17</v>
      </c>
      <c r="C253" s="9">
        <v>61</v>
      </c>
      <c r="D253" s="9" t="s">
        <v>41</v>
      </c>
      <c r="E253" s="9">
        <v>2000</v>
      </c>
      <c r="F253" s="9">
        <v>61</v>
      </c>
      <c r="G253" s="9" t="s">
        <v>18</v>
      </c>
      <c r="H253" s="10" t="s">
        <v>164</v>
      </c>
      <c r="I253" s="9" t="s">
        <v>20</v>
      </c>
    </row>
    <row r="254" spans="1:9">
      <c r="A254" s="9" t="s">
        <v>2921</v>
      </c>
      <c r="B254" s="9" t="s">
        <v>17</v>
      </c>
      <c r="C254" s="9">
        <v>61</v>
      </c>
      <c r="D254" s="9" t="s">
        <v>41</v>
      </c>
      <c r="E254" s="9">
        <v>2000</v>
      </c>
      <c r="F254" s="9">
        <v>61</v>
      </c>
      <c r="G254" s="9" t="s">
        <v>18</v>
      </c>
      <c r="H254" s="10" t="s">
        <v>164</v>
      </c>
      <c r="I254" s="9" t="s">
        <v>20</v>
      </c>
    </row>
    <row r="255" spans="1:9">
      <c r="A255" s="9" t="s">
        <v>2922</v>
      </c>
      <c r="B255" s="9" t="s">
        <v>17</v>
      </c>
      <c r="C255" s="9">
        <v>61</v>
      </c>
      <c r="D255" s="9" t="s">
        <v>41</v>
      </c>
      <c r="E255" s="9">
        <v>2000</v>
      </c>
      <c r="F255" s="9">
        <v>3</v>
      </c>
      <c r="G255" s="9" t="s">
        <v>18</v>
      </c>
      <c r="H255" s="10" t="s">
        <v>164</v>
      </c>
      <c r="I255" s="9" t="s">
        <v>20</v>
      </c>
    </row>
    <row r="256" spans="1:9">
      <c r="A256" s="9" t="s">
        <v>2923</v>
      </c>
      <c r="B256" s="9" t="s">
        <v>17</v>
      </c>
      <c r="C256" s="9">
        <v>61</v>
      </c>
      <c r="D256" s="9" t="s">
        <v>41</v>
      </c>
      <c r="E256" s="9">
        <v>2000</v>
      </c>
      <c r="F256" s="9">
        <v>11</v>
      </c>
      <c r="G256" s="9" t="s">
        <v>18</v>
      </c>
      <c r="H256" s="10" t="s">
        <v>164</v>
      </c>
      <c r="I256" s="9" t="s">
        <v>20</v>
      </c>
    </row>
    <row r="257" spans="1:9">
      <c r="A257" s="9" t="s">
        <v>2924</v>
      </c>
      <c r="B257" s="9" t="s">
        <v>17</v>
      </c>
      <c r="C257" s="9">
        <v>61</v>
      </c>
      <c r="D257" s="9" t="s">
        <v>41</v>
      </c>
      <c r="E257" s="9">
        <v>2000</v>
      </c>
      <c r="F257" s="9">
        <v>61</v>
      </c>
      <c r="G257" s="9" t="s">
        <v>18</v>
      </c>
      <c r="H257" s="10" t="s">
        <v>164</v>
      </c>
      <c r="I257" s="9" t="s">
        <v>20</v>
      </c>
    </row>
    <row r="258" spans="1:9">
      <c r="A258" s="9" t="s">
        <v>2925</v>
      </c>
      <c r="B258" s="9" t="s">
        <v>17</v>
      </c>
      <c r="C258" s="9">
        <v>61</v>
      </c>
      <c r="D258" s="9" t="s">
        <v>41</v>
      </c>
      <c r="E258" s="9">
        <v>2000</v>
      </c>
      <c r="F258" s="9">
        <v>61</v>
      </c>
      <c r="G258" s="9" t="s">
        <v>18</v>
      </c>
      <c r="H258" s="10" t="s">
        <v>164</v>
      </c>
      <c r="I258" s="9" t="s">
        <v>20</v>
      </c>
    </row>
    <row r="259" spans="1:9">
      <c r="A259" s="9" t="s">
        <v>2926</v>
      </c>
      <c r="B259" s="9" t="s">
        <v>17</v>
      </c>
      <c r="C259" s="9">
        <v>61</v>
      </c>
      <c r="D259" s="9" t="s">
        <v>41</v>
      </c>
      <c r="E259" s="9">
        <v>2000</v>
      </c>
      <c r="F259" s="9">
        <v>61</v>
      </c>
      <c r="G259" s="9" t="s">
        <v>18</v>
      </c>
      <c r="H259" s="10" t="s">
        <v>164</v>
      </c>
      <c r="I259" s="9" t="s">
        <v>20</v>
      </c>
    </row>
    <row r="260" spans="1:9">
      <c r="A260" s="9" t="s">
        <v>2927</v>
      </c>
      <c r="B260" s="9" t="s">
        <v>17</v>
      </c>
      <c r="C260" s="9">
        <v>61</v>
      </c>
      <c r="D260" s="9" t="s">
        <v>41</v>
      </c>
      <c r="E260" s="9">
        <v>2000</v>
      </c>
      <c r="F260" s="9">
        <v>61</v>
      </c>
      <c r="G260" s="9" t="s">
        <v>18</v>
      </c>
      <c r="H260" s="10" t="s">
        <v>164</v>
      </c>
      <c r="I260" s="9" t="s">
        <v>20</v>
      </c>
    </row>
    <row r="261" spans="1:9">
      <c r="A261" s="9" t="s">
        <v>2928</v>
      </c>
      <c r="B261" s="9" t="s">
        <v>17</v>
      </c>
      <c r="C261" s="9">
        <v>61</v>
      </c>
      <c r="D261" s="9" t="s">
        <v>41</v>
      </c>
      <c r="E261" s="9">
        <v>2000</v>
      </c>
      <c r="F261" s="9">
        <v>61</v>
      </c>
      <c r="G261" s="9" t="s">
        <v>18</v>
      </c>
      <c r="H261" s="10" t="s">
        <v>164</v>
      </c>
      <c r="I261" s="9" t="s">
        <v>20</v>
      </c>
    </row>
    <row r="262" spans="1:9">
      <c r="A262" s="9" t="s">
        <v>2929</v>
      </c>
      <c r="B262" s="9" t="s">
        <v>17</v>
      </c>
      <c r="C262" s="9">
        <v>61</v>
      </c>
      <c r="D262" s="9" t="s">
        <v>41</v>
      </c>
      <c r="E262" s="9">
        <v>2000</v>
      </c>
      <c r="F262" s="9">
        <v>61</v>
      </c>
      <c r="G262" s="9" t="s">
        <v>18</v>
      </c>
      <c r="H262" s="10" t="s">
        <v>164</v>
      </c>
      <c r="I262" s="9" t="s">
        <v>20</v>
      </c>
    </row>
    <row r="263" spans="1:9">
      <c r="A263" s="9" t="s">
        <v>2930</v>
      </c>
      <c r="B263" s="9" t="s">
        <v>17</v>
      </c>
      <c r="C263" s="9">
        <v>61</v>
      </c>
      <c r="D263" s="9" t="s">
        <v>41</v>
      </c>
      <c r="E263" s="9">
        <v>2000</v>
      </c>
      <c r="F263" s="9">
        <v>61</v>
      </c>
      <c r="G263" s="9" t="s">
        <v>18</v>
      </c>
      <c r="H263" s="10" t="s">
        <v>164</v>
      </c>
      <c r="I263" s="9" t="s">
        <v>20</v>
      </c>
    </row>
    <row r="264" spans="1:9">
      <c r="A264" s="9" t="s">
        <v>2931</v>
      </c>
      <c r="B264" s="9" t="s">
        <v>17</v>
      </c>
      <c r="C264" s="9">
        <v>61</v>
      </c>
      <c r="D264" s="9" t="s">
        <v>41</v>
      </c>
      <c r="E264" s="9">
        <v>2000</v>
      </c>
      <c r="F264" s="9">
        <v>61</v>
      </c>
      <c r="G264" s="9" t="s">
        <v>18</v>
      </c>
      <c r="H264" s="10" t="s">
        <v>164</v>
      </c>
      <c r="I264" s="9" t="s">
        <v>20</v>
      </c>
    </row>
    <row r="265" spans="1:9">
      <c r="A265" s="9" t="s">
        <v>2932</v>
      </c>
      <c r="B265" s="9" t="s">
        <v>17</v>
      </c>
      <c r="C265" s="9">
        <v>61</v>
      </c>
      <c r="D265" s="9" t="s">
        <v>41</v>
      </c>
      <c r="E265" s="9">
        <v>2000</v>
      </c>
      <c r="F265" s="9">
        <v>61</v>
      </c>
      <c r="G265" s="9" t="s">
        <v>18</v>
      </c>
      <c r="H265" s="10" t="s">
        <v>164</v>
      </c>
      <c r="I265" s="9" t="s">
        <v>20</v>
      </c>
    </row>
    <row r="266" spans="1:9">
      <c r="A266" s="9" t="s">
        <v>2933</v>
      </c>
      <c r="B266" s="9" t="s">
        <v>17</v>
      </c>
      <c r="C266" s="9">
        <v>61</v>
      </c>
      <c r="D266" s="9" t="s">
        <v>41</v>
      </c>
      <c r="E266" s="9">
        <v>2000</v>
      </c>
      <c r="F266" s="9">
        <v>61</v>
      </c>
      <c r="G266" s="9" t="s">
        <v>18</v>
      </c>
      <c r="H266" s="10" t="s">
        <v>164</v>
      </c>
      <c r="I266" s="9" t="s">
        <v>20</v>
      </c>
    </row>
    <row r="267" spans="1:9">
      <c r="A267" s="9" t="s">
        <v>2934</v>
      </c>
      <c r="B267" s="9" t="s">
        <v>17</v>
      </c>
      <c r="C267" s="9">
        <v>61</v>
      </c>
      <c r="D267" s="9" t="s">
        <v>41</v>
      </c>
      <c r="E267" s="9">
        <v>2000</v>
      </c>
      <c r="F267" s="9">
        <v>61</v>
      </c>
      <c r="G267" s="9" t="s">
        <v>18</v>
      </c>
      <c r="H267" s="10" t="s">
        <v>164</v>
      </c>
      <c r="I267" s="9" t="s">
        <v>20</v>
      </c>
    </row>
    <row r="268" spans="1:9">
      <c r="A268" s="9" t="s">
        <v>2935</v>
      </c>
      <c r="B268" s="9" t="s">
        <v>17</v>
      </c>
      <c r="C268" s="9">
        <v>61</v>
      </c>
      <c r="D268" s="9" t="s">
        <v>41</v>
      </c>
      <c r="E268" s="9">
        <v>2000</v>
      </c>
      <c r="F268" s="9">
        <v>61</v>
      </c>
      <c r="G268" s="9" t="s">
        <v>18</v>
      </c>
      <c r="H268" s="10" t="s">
        <v>164</v>
      </c>
      <c r="I268" s="9" t="s">
        <v>20</v>
      </c>
    </row>
    <row r="269" spans="1:9">
      <c r="A269" s="9" t="s">
        <v>2936</v>
      </c>
      <c r="B269" s="9" t="s">
        <v>17</v>
      </c>
      <c r="C269" s="9">
        <v>61</v>
      </c>
      <c r="D269" s="9" t="s">
        <v>41</v>
      </c>
      <c r="E269" s="9">
        <v>2000</v>
      </c>
      <c r="F269" s="9">
        <v>61</v>
      </c>
      <c r="G269" s="9" t="s">
        <v>18</v>
      </c>
      <c r="H269" s="10" t="s">
        <v>164</v>
      </c>
      <c r="I269" s="9" t="s">
        <v>20</v>
      </c>
    </row>
    <row r="270" spans="1:9">
      <c r="A270" s="9" t="s">
        <v>2937</v>
      </c>
      <c r="B270" s="9" t="s">
        <v>17</v>
      </c>
      <c r="C270" s="9">
        <v>61</v>
      </c>
      <c r="D270" s="9" t="s">
        <v>41</v>
      </c>
      <c r="E270" s="9">
        <v>2000</v>
      </c>
      <c r="F270" s="9">
        <v>61</v>
      </c>
      <c r="G270" s="9" t="s">
        <v>18</v>
      </c>
      <c r="H270" s="10" t="s">
        <v>164</v>
      </c>
      <c r="I270" s="9" t="s">
        <v>20</v>
      </c>
    </row>
    <row r="271" spans="1:9">
      <c r="A271" s="9" t="s">
        <v>2938</v>
      </c>
      <c r="B271" s="9" t="s">
        <v>17</v>
      </c>
      <c r="C271" s="9">
        <v>61</v>
      </c>
      <c r="D271" s="9" t="s">
        <v>41</v>
      </c>
      <c r="E271" s="9">
        <v>2000</v>
      </c>
      <c r="F271" s="9">
        <v>61</v>
      </c>
      <c r="G271" s="9" t="s">
        <v>18</v>
      </c>
      <c r="H271" s="10" t="s">
        <v>164</v>
      </c>
      <c r="I271" s="9" t="s">
        <v>20</v>
      </c>
    </row>
    <row r="272" spans="1:9">
      <c r="A272" s="9" t="s">
        <v>2939</v>
      </c>
      <c r="B272" s="9" t="s">
        <v>17</v>
      </c>
      <c r="C272" s="9">
        <v>61</v>
      </c>
      <c r="D272" s="9" t="s">
        <v>41</v>
      </c>
      <c r="E272" s="9">
        <v>2000</v>
      </c>
      <c r="F272" s="9">
        <v>4</v>
      </c>
      <c r="G272" s="9" t="s">
        <v>18</v>
      </c>
      <c r="H272" s="10" t="s">
        <v>164</v>
      </c>
      <c r="I272" s="9" t="s">
        <v>20</v>
      </c>
    </row>
    <row r="273" spans="1:9">
      <c r="A273" s="9" t="s">
        <v>2940</v>
      </c>
      <c r="B273" s="9" t="s">
        <v>17</v>
      </c>
      <c r="C273" s="9">
        <v>61</v>
      </c>
      <c r="D273" s="9" t="s">
        <v>41</v>
      </c>
      <c r="E273" s="9">
        <v>0</v>
      </c>
      <c r="F273" s="9">
        <v>1</v>
      </c>
      <c r="G273" s="9" t="s">
        <v>18</v>
      </c>
      <c r="H273" s="10" t="s">
        <v>164</v>
      </c>
      <c r="I273" s="9" t="s">
        <v>20</v>
      </c>
    </row>
    <row r="274" spans="1:9">
      <c r="A274" s="9" t="s">
        <v>2941</v>
      </c>
      <c r="B274" s="9" t="s">
        <v>17</v>
      </c>
      <c r="C274" s="9">
        <v>61</v>
      </c>
      <c r="D274" s="9" t="s">
        <v>41</v>
      </c>
      <c r="E274" s="9">
        <v>2000</v>
      </c>
      <c r="F274" s="9">
        <v>61</v>
      </c>
      <c r="G274" s="9" t="s">
        <v>18</v>
      </c>
      <c r="H274" s="10" t="s">
        <v>164</v>
      </c>
      <c r="I274" s="9" t="s">
        <v>20</v>
      </c>
    </row>
    <row r="275" spans="1:9">
      <c r="A275" s="9" t="s">
        <v>2942</v>
      </c>
      <c r="B275" s="9" t="s">
        <v>17</v>
      </c>
      <c r="C275" s="9">
        <v>61</v>
      </c>
      <c r="D275" s="9" t="s">
        <v>41</v>
      </c>
      <c r="E275" s="9">
        <v>2000</v>
      </c>
      <c r="F275" s="9">
        <v>61</v>
      </c>
      <c r="G275" s="9" t="s">
        <v>18</v>
      </c>
      <c r="H275" s="10" t="s">
        <v>164</v>
      </c>
      <c r="I275" s="9" t="s">
        <v>20</v>
      </c>
    </row>
    <row r="276" spans="1:9">
      <c r="A276" s="9" t="s">
        <v>2943</v>
      </c>
      <c r="B276" s="9" t="s">
        <v>17</v>
      </c>
      <c r="C276" s="9">
        <v>61</v>
      </c>
      <c r="D276" s="9" t="s">
        <v>41</v>
      </c>
      <c r="E276" s="9">
        <v>2000</v>
      </c>
      <c r="F276" s="9">
        <v>61</v>
      </c>
      <c r="G276" s="9" t="s">
        <v>18</v>
      </c>
      <c r="H276" s="10" t="s">
        <v>164</v>
      </c>
      <c r="I276" s="9" t="s">
        <v>20</v>
      </c>
    </row>
    <row r="277" spans="1:9">
      <c r="A277" s="9" t="s">
        <v>2944</v>
      </c>
      <c r="B277" s="9" t="s">
        <v>17</v>
      </c>
      <c r="C277" s="9">
        <v>61</v>
      </c>
      <c r="D277" s="9" t="s">
        <v>41</v>
      </c>
      <c r="E277" s="9">
        <v>2000</v>
      </c>
      <c r="F277" s="9">
        <v>61</v>
      </c>
      <c r="G277" s="9" t="s">
        <v>18</v>
      </c>
      <c r="H277" s="10" t="s">
        <v>164</v>
      </c>
      <c r="I277" s="9" t="s">
        <v>20</v>
      </c>
    </row>
    <row r="278" spans="1:9">
      <c r="A278" s="9" t="s">
        <v>2945</v>
      </c>
      <c r="B278" s="9" t="s">
        <v>17</v>
      </c>
      <c r="C278" s="9">
        <v>61</v>
      </c>
      <c r="D278" s="9" t="s">
        <v>41</v>
      </c>
      <c r="E278" s="9">
        <v>2000</v>
      </c>
      <c r="F278" s="9">
        <v>61</v>
      </c>
      <c r="G278" s="9" t="s">
        <v>18</v>
      </c>
      <c r="H278" s="10" t="s">
        <v>164</v>
      </c>
      <c r="I278" s="9" t="s">
        <v>20</v>
      </c>
    </row>
    <row r="279" spans="1:9">
      <c r="A279" s="9" t="s">
        <v>2946</v>
      </c>
      <c r="B279" s="9" t="s">
        <v>17</v>
      </c>
      <c r="C279" s="9">
        <v>61</v>
      </c>
      <c r="D279" s="9" t="s">
        <v>41</v>
      </c>
      <c r="E279" s="9">
        <v>2000</v>
      </c>
      <c r="F279" s="9">
        <v>61</v>
      </c>
      <c r="G279" s="9" t="s">
        <v>18</v>
      </c>
      <c r="H279" s="10" t="s">
        <v>164</v>
      </c>
      <c r="I279" s="9" t="s">
        <v>20</v>
      </c>
    </row>
    <row r="280" spans="1:9">
      <c r="A280" s="9" t="s">
        <v>2947</v>
      </c>
      <c r="B280" s="9" t="s">
        <v>17</v>
      </c>
      <c r="C280" s="9">
        <v>61</v>
      </c>
      <c r="D280" s="9" t="s">
        <v>41</v>
      </c>
      <c r="E280" s="9">
        <v>2000</v>
      </c>
      <c r="F280" s="9">
        <v>61</v>
      </c>
      <c r="G280" s="9" t="s">
        <v>18</v>
      </c>
      <c r="H280" s="10" t="s">
        <v>164</v>
      </c>
      <c r="I280" s="9" t="s">
        <v>20</v>
      </c>
    </row>
    <row r="281" spans="1:9">
      <c r="A281" s="9" t="s">
        <v>2948</v>
      </c>
      <c r="B281" s="9" t="s">
        <v>17</v>
      </c>
      <c r="C281" s="9">
        <v>61</v>
      </c>
      <c r="D281" s="9" t="s">
        <v>41</v>
      </c>
      <c r="E281" s="9">
        <v>2000</v>
      </c>
      <c r="F281" s="9">
        <v>61</v>
      </c>
      <c r="G281" s="9" t="s">
        <v>18</v>
      </c>
      <c r="H281" s="10" t="s">
        <v>164</v>
      </c>
      <c r="I281" s="9" t="s">
        <v>20</v>
      </c>
    </row>
    <row r="282" spans="1:9">
      <c r="A282" s="9" t="s">
        <v>2949</v>
      </c>
      <c r="B282" s="9" t="s">
        <v>17</v>
      </c>
      <c r="C282" s="9">
        <v>61</v>
      </c>
      <c r="D282" s="9" t="s">
        <v>41</v>
      </c>
      <c r="E282" s="9">
        <v>2000</v>
      </c>
      <c r="F282" s="9">
        <v>61</v>
      </c>
      <c r="G282" s="9" t="s">
        <v>18</v>
      </c>
      <c r="H282" s="10" t="s">
        <v>164</v>
      </c>
      <c r="I282" s="9" t="s">
        <v>20</v>
      </c>
    </row>
    <row r="283" spans="1:9">
      <c r="A283" s="9" t="s">
        <v>2950</v>
      </c>
      <c r="B283" s="9" t="s">
        <v>17</v>
      </c>
      <c r="C283" s="9">
        <v>61</v>
      </c>
      <c r="D283" s="9" t="s">
        <v>41</v>
      </c>
      <c r="E283" s="9">
        <v>2000</v>
      </c>
      <c r="F283" s="9">
        <v>61</v>
      </c>
      <c r="G283" s="9" t="s">
        <v>18</v>
      </c>
      <c r="H283" s="10" t="s">
        <v>164</v>
      </c>
      <c r="I283" s="9" t="s">
        <v>20</v>
      </c>
    </row>
    <row r="284" spans="1:9">
      <c r="A284" s="9" t="s">
        <v>2951</v>
      </c>
      <c r="B284" s="9" t="s">
        <v>17</v>
      </c>
      <c r="C284" s="9">
        <v>61</v>
      </c>
      <c r="D284" s="9" t="s">
        <v>41</v>
      </c>
      <c r="E284" s="9">
        <v>2000</v>
      </c>
      <c r="F284" s="9">
        <v>61</v>
      </c>
      <c r="G284" s="9" t="s">
        <v>18</v>
      </c>
      <c r="H284" s="10" t="s">
        <v>164</v>
      </c>
      <c r="I284" s="9" t="s">
        <v>20</v>
      </c>
    </row>
    <row r="285" spans="1:9">
      <c r="A285" s="9" t="s">
        <v>2952</v>
      </c>
      <c r="B285" s="9" t="s">
        <v>17</v>
      </c>
      <c r="C285" s="9">
        <v>61</v>
      </c>
      <c r="D285" s="9" t="s">
        <v>41</v>
      </c>
      <c r="E285" s="9">
        <v>2000</v>
      </c>
      <c r="F285" s="9">
        <v>61</v>
      </c>
      <c r="G285" s="9" t="s">
        <v>18</v>
      </c>
      <c r="H285" s="10" t="s">
        <v>164</v>
      </c>
      <c r="I285" s="9" t="s">
        <v>20</v>
      </c>
    </row>
    <row r="286" spans="1:9">
      <c r="A286" s="9" t="s">
        <v>2953</v>
      </c>
      <c r="B286" s="9" t="s">
        <v>17</v>
      </c>
      <c r="C286" s="9">
        <v>61</v>
      </c>
      <c r="D286" s="9" t="s">
        <v>41</v>
      </c>
      <c r="E286" s="9">
        <v>2000</v>
      </c>
      <c r="F286" s="9">
        <v>61</v>
      </c>
      <c r="G286" s="9" t="s">
        <v>18</v>
      </c>
      <c r="H286" s="10" t="s">
        <v>164</v>
      </c>
      <c r="I286" s="9" t="s">
        <v>20</v>
      </c>
    </row>
    <row r="287" spans="1:9">
      <c r="A287" s="9" t="s">
        <v>2954</v>
      </c>
      <c r="B287" s="9" t="s">
        <v>17</v>
      </c>
      <c r="C287" s="9">
        <v>61</v>
      </c>
      <c r="D287" s="9" t="s">
        <v>41</v>
      </c>
      <c r="E287" s="9">
        <v>2000</v>
      </c>
      <c r="F287" s="9">
        <v>61</v>
      </c>
      <c r="G287" s="9" t="s">
        <v>18</v>
      </c>
      <c r="H287" s="10" t="s">
        <v>164</v>
      </c>
      <c r="I287" s="9" t="s">
        <v>20</v>
      </c>
    </row>
    <row r="288" spans="1:9">
      <c r="A288" s="9" t="s">
        <v>2955</v>
      </c>
      <c r="B288" s="9" t="s">
        <v>17</v>
      </c>
      <c r="C288" s="9">
        <v>61</v>
      </c>
      <c r="D288" s="9" t="s">
        <v>41</v>
      </c>
      <c r="E288" s="9">
        <v>2000</v>
      </c>
      <c r="F288" s="9">
        <v>61</v>
      </c>
      <c r="G288" s="9" t="s">
        <v>18</v>
      </c>
      <c r="H288" s="10" t="s">
        <v>164</v>
      </c>
      <c r="I288" s="9" t="s">
        <v>20</v>
      </c>
    </row>
    <row r="289" spans="1:9">
      <c r="A289" s="9" t="s">
        <v>2956</v>
      </c>
      <c r="B289" s="9" t="s">
        <v>17</v>
      </c>
      <c r="C289" s="9">
        <v>61</v>
      </c>
      <c r="D289" s="9" t="s">
        <v>41</v>
      </c>
      <c r="E289" s="9">
        <v>2000</v>
      </c>
      <c r="F289" s="9">
        <v>4</v>
      </c>
      <c r="G289" s="9" t="s">
        <v>18</v>
      </c>
      <c r="H289" s="10" t="s">
        <v>164</v>
      </c>
      <c r="I289" s="9" t="s">
        <v>20</v>
      </c>
    </row>
    <row r="290" spans="1:9">
      <c r="A290" s="9" t="s">
        <v>2957</v>
      </c>
      <c r="B290" s="9" t="s">
        <v>17</v>
      </c>
      <c r="C290" s="9">
        <v>61</v>
      </c>
      <c r="D290" s="9" t="s">
        <v>41</v>
      </c>
      <c r="E290" s="9">
        <v>2000</v>
      </c>
      <c r="F290" s="9">
        <v>5</v>
      </c>
      <c r="G290" s="9" t="s">
        <v>18</v>
      </c>
      <c r="H290" s="10" t="s">
        <v>164</v>
      </c>
      <c r="I290" s="9" t="s">
        <v>20</v>
      </c>
    </row>
    <row r="291" spans="1:9">
      <c r="A291" s="9" t="s">
        <v>2958</v>
      </c>
      <c r="B291" s="9" t="s">
        <v>17</v>
      </c>
      <c r="C291" s="9">
        <v>61</v>
      </c>
      <c r="D291" s="9" t="s">
        <v>41</v>
      </c>
      <c r="E291" s="9">
        <v>2000</v>
      </c>
      <c r="F291" s="9">
        <v>3</v>
      </c>
      <c r="G291" s="9" t="s">
        <v>18</v>
      </c>
      <c r="H291" s="10" t="s">
        <v>164</v>
      </c>
      <c r="I291" s="9" t="s">
        <v>20</v>
      </c>
    </row>
    <row r="292" spans="1:9">
      <c r="A292" s="9" t="s">
        <v>2959</v>
      </c>
      <c r="B292" s="9" t="s">
        <v>17</v>
      </c>
      <c r="C292" s="9">
        <v>61</v>
      </c>
      <c r="D292" s="9" t="s">
        <v>41</v>
      </c>
      <c r="E292" s="9">
        <v>2000</v>
      </c>
      <c r="F292" s="9">
        <v>61</v>
      </c>
      <c r="G292" s="9" t="s">
        <v>18</v>
      </c>
      <c r="H292" s="10" t="s">
        <v>164</v>
      </c>
      <c r="I292" s="9" t="s">
        <v>20</v>
      </c>
    </row>
    <row r="293" spans="1:9">
      <c r="A293" s="9" t="s">
        <v>2960</v>
      </c>
      <c r="B293" s="9" t="s">
        <v>17</v>
      </c>
      <c r="C293" s="9">
        <v>61</v>
      </c>
      <c r="D293" s="9" t="s">
        <v>41</v>
      </c>
      <c r="E293" s="9">
        <v>2000</v>
      </c>
      <c r="F293" s="9">
        <v>61</v>
      </c>
      <c r="G293" s="9" t="s">
        <v>18</v>
      </c>
      <c r="H293" s="10" t="s">
        <v>164</v>
      </c>
      <c r="I293" s="9" t="s">
        <v>20</v>
      </c>
    </row>
    <row r="294" spans="1:9">
      <c r="A294" s="9" t="s">
        <v>2961</v>
      </c>
      <c r="B294" s="9" t="s">
        <v>17</v>
      </c>
      <c r="C294" s="9">
        <v>61</v>
      </c>
      <c r="D294" s="9" t="s">
        <v>41</v>
      </c>
      <c r="E294" s="9">
        <v>2000</v>
      </c>
      <c r="F294" s="9">
        <v>61</v>
      </c>
      <c r="G294" s="9" t="s">
        <v>18</v>
      </c>
      <c r="H294" s="10" t="s">
        <v>164</v>
      </c>
      <c r="I294" s="9" t="s">
        <v>20</v>
      </c>
    </row>
    <row r="295" spans="1:9">
      <c r="A295" s="9" t="s">
        <v>2962</v>
      </c>
      <c r="B295" s="9" t="s">
        <v>17</v>
      </c>
      <c r="C295" s="9">
        <v>61</v>
      </c>
      <c r="D295" s="9" t="s">
        <v>41</v>
      </c>
      <c r="E295" s="9">
        <v>2000</v>
      </c>
      <c r="F295" s="9">
        <v>61</v>
      </c>
      <c r="G295" s="9" t="s">
        <v>18</v>
      </c>
      <c r="H295" s="10" t="s">
        <v>164</v>
      </c>
      <c r="I295" s="9" t="s">
        <v>20</v>
      </c>
    </row>
    <row r="296" spans="1:9">
      <c r="A296" s="9" t="s">
        <v>2963</v>
      </c>
      <c r="B296" s="9" t="s">
        <v>17</v>
      </c>
      <c r="C296" s="9">
        <v>61</v>
      </c>
      <c r="D296" s="9" t="s">
        <v>41</v>
      </c>
      <c r="E296" s="9">
        <v>2000</v>
      </c>
      <c r="F296" s="9">
        <v>61</v>
      </c>
      <c r="G296" s="9" t="s">
        <v>18</v>
      </c>
      <c r="H296" s="10" t="s">
        <v>164</v>
      </c>
      <c r="I296" s="9" t="s">
        <v>20</v>
      </c>
    </row>
    <row r="297" spans="1:9">
      <c r="A297" s="9" t="s">
        <v>2964</v>
      </c>
      <c r="B297" s="9" t="s">
        <v>17</v>
      </c>
      <c r="C297" s="9">
        <v>61</v>
      </c>
      <c r="D297" s="9" t="s">
        <v>41</v>
      </c>
      <c r="E297" s="9">
        <v>2000</v>
      </c>
      <c r="F297" s="9">
        <v>61</v>
      </c>
      <c r="G297" s="9" t="s">
        <v>18</v>
      </c>
      <c r="H297" s="10" t="s">
        <v>164</v>
      </c>
      <c r="I297" s="9" t="s">
        <v>20</v>
      </c>
    </row>
    <row r="298" spans="1:9">
      <c r="A298" s="9" t="s">
        <v>2965</v>
      </c>
      <c r="B298" s="9" t="s">
        <v>17</v>
      </c>
      <c r="C298" s="9">
        <v>61</v>
      </c>
      <c r="D298" s="9" t="s">
        <v>41</v>
      </c>
      <c r="E298" s="9">
        <v>1000</v>
      </c>
      <c r="F298" s="9">
        <v>7</v>
      </c>
      <c r="G298" s="9" t="s">
        <v>18</v>
      </c>
      <c r="H298" s="10" t="s">
        <v>164</v>
      </c>
      <c r="I298" s="9" t="s">
        <v>20</v>
      </c>
    </row>
    <row r="299" spans="1:9">
      <c r="A299" s="9" t="s">
        <v>2966</v>
      </c>
      <c r="B299" s="9" t="s">
        <v>17</v>
      </c>
      <c r="C299" s="9">
        <v>61</v>
      </c>
      <c r="D299" s="9" t="s">
        <v>41</v>
      </c>
      <c r="E299" s="9">
        <v>1000</v>
      </c>
      <c r="F299" s="9">
        <v>1</v>
      </c>
      <c r="G299" s="9" t="s">
        <v>18</v>
      </c>
      <c r="H299" s="10" t="s">
        <v>164</v>
      </c>
      <c r="I299" s="9" t="s">
        <v>20</v>
      </c>
    </row>
    <row r="300" spans="1:9">
      <c r="A300" s="9" t="s">
        <v>2967</v>
      </c>
      <c r="B300" s="9" t="s">
        <v>17</v>
      </c>
      <c r="C300" s="9">
        <v>61</v>
      </c>
      <c r="D300" s="9" t="s">
        <v>41</v>
      </c>
      <c r="E300" s="9">
        <v>1000</v>
      </c>
      <c r="F300" s="9">
        <v>2</v>
      </c>
      <c r="G300" s="9" t="s">
        <v>18</v>
      </c>
      <c r="H300" s="10" t="s">
        <v>164</v>
      </c>
      <c r="I300" s="9" t="s">
        <v>20</v>
      </c>
    </row>
    <row r="301" spans="1:9">
      <c r="A301" s="9" t="s">
        <v>2968</v>
      </c>
      <c r="B301" s="9" t="s">
        <v>17</v>
      </c>
      <c r="C301" s="9">
        <v>61</v>
      </c>
      <c r="D301" s="9" t="s">
        <v>41</v>
      </c>
      <c r="E301" s="9">
        <v>1000</v>
      </c>
      <c r="F301" s="9">
        <v>4</v>
      </c>
      <c r="G301" s="9" t="s">
        <v>18</v>
      </c>
      <c r="H301" s="10" t="s">
        <v>164</v>
      </c>
      <c r="I301" s="9" t="s">
        <v>20</v>
      </c>
    </row>
    <row r="302" spans="1:9">
      <c r="A302" s="9" t="s">
        <v>2969</v>
      </c>
      <c r="B302" s="9" t="s">
        <v>17</v>
      </c>
      <c r="C302" s="9">
        <v>61</v>
      </c>
      <c r="D302" s="9" t="s">
        <v>41</v>
      </c>
      <c r="E302" s="9">
        <v>1000</v>
      </c>
      <c r="F302" s="9">
        <v>61</v>
      </c>
      <c r="G302" s="9" t="s">
        <v>18</v>
      </c>
      <c r="H302" s="10" t="s">
        <v>164</v>
      </c>
      <c r="I302" s="9" t="s">
        <v>20</v>
      </c>
    </row>
    <row r="303" spans="1:9">
      <c r="A303" s="9" t="s">
        <v>2970</v>
      </c>
      <c r="B303" s="9" t="s">
        <v>17</v>
      </c>
      <c r="C303" s="9">
        <v>61</v>
      </c>
      <c r="D303" s="9" t="s">
        <v>41</v>
      </c>
      <c r="E303" s="9">
        <v>1000</v>
      </c>
      <c r="F303" s="9">
        <v>61</v>
      </c>
      <c r="G303" s="9" t="s">
        <v>18</v>
      </c>
      <c r="H303" s="10" t="s">
        <v>164</v>
      </c>
      <c r="I303" s="9" t="s">
        <v>20</v>
      </c>
    </row>
    <row r="304" spans="1:9">
      <c r="A304" s="9" t="s">
        <v>2971</v>
      </c>
      <c r="B304" s="9" t="s">
        <v>17</v>
      </c>
      <c r="C304" s="9">
        <v>61</v>
      </c>
      <c r="D304" s="9" t="s">
        <v>41</v>
      </c>
      <c r="E304" s="9">
        <v>1000</v>
      </c>
      <c r="F304" s="9">
        <v>61</v>
      </c>
      <c r="G304" s="9" t="s">
        <v>18</v>
      </c>
      <c r="H304" s="10" t="s">
        <v>164</v>
      </c>
      <c r="I304" s="9" t="s">
        <v>20</v>
      </c>
    </row>
    <row r="305" spans="1:9">
      <c r="A305" s="9" t="s">
        <v>2972</v>
      </c>
      <c r="B305" s="9" t="s">
        <v>17</v>
      </c>
      <c r="C305" s="9">
        <v>61</v>
      </c>
      <c r="D305" s="9" t="s">
        <v>41</v>
      </c>
      <c r="E305" s="9">
        <v>1000</v>
      </c>
      <c r="F305" s="9">
        <v>61</v>
      </c>
      <c r="G305" s="9" t="s">
        <v>18</v>
      </c>
      <c r="H305" s="10" t="s">
        <v>164</v>
      </c>
      <c r="I305" s="9" t="s">
        <v>20</v>
      </c>
    </row>
    <row r="306" spans="1:9">
      <c r="A306" s="9" t="s">
        <v>2973</v>
      </c>
      <c r="B306" s="9" t="s">
        <v>17</v>
      </c>
      <c r="C306" s="9">
        <v>61</v>
      </c>
      <c r="D306" s="9" t="s">
        <v>41</v>
      </c>
      <c r="E306" s="9">
        <v>1000</v>
      </c>
      <c r="F306" s="9">
        <v>61</v>
      </c>
      <c r="G306" s="9" t="s">
        <v>18</v>
      </c>
      <c r="H306" s="10" t="s">
        <v>164</v>
      </c>
      <c r="I306" s="9" t="s">
        <v>20</v>
      </c>
    </row>
    <row r="307" spans="1:9">
      <c r="A307" s="9" t="s">
        <v>2974</v>
      </c>
      <c r="B307" s="9" t="s">
        <v>17</v>
      </c>
      <c r="C307" s="9">
        <v>61</v>
      </c>
      <c r="D307" s="9" t="s">
        <v>41</v>
      </c>
      <c r="E307" s="9">
        <v>1000</v>
      </c>
      <c r="F307" s="9">
        <v>61</v>
      </c>
      <c r="G307" s="9" t="s">
        <v>18</v>
      </c>
      <c r="H307" s="10" t="s">
        <v>164</v>
      </c>
      <c r="I307" s="9" t="s">
        <v>20</v>
      </c>
    </row>
    <row r="308" spans="1:9">
      <c r="A308" s="9" t="s">
        <v>2975</v>
      </c>
      <c r="B308" s="9" t="s">
        <v>17</v>
      </c>
      <c r="C308" s="9">
        <v>61</v>
      </c>
      <c r="D308" s="9" t="s">
        <v>41</v>
      </c>
      <c r="E308" s="9">
        <v>1000</v>
      </c>
      <c r="F308" s="9">
        <v>61</v>
      </c>
      <c r="G308" s="9" t="s">
        <v>18</v>
      </c>
      <c r="H308" s="10" t="s">
        <v>164</v>
      </c>
      <c r="I308" s="9" t="s">
        <v>20</v>
      </c>
    </row>
    <row r="309" spans="1:9">
      <c r="A309" s="9" t="s">
        <v>2976</v>
      </c>
      <c r="B309" s="9" t="s">
        <v>17</v>
      </c>
      <c r="C309" s="9">
        <v>61</v>
      </c>
      <c r="D309" s="9" t="s">
        <v>41</v>
      </c>
      <c r="E309" s="9">
        <v>1000</v>
      </c>
      <c r="F309" s="9">
        <v>61</v>
      </c>
      <c r="G309" s="9" t="s">
        <v>18</v>
      </c>
      <c r="H309" s="10" t="s">
        <v>164</v>
      </c>
      <c r="I309" s="9" t="s">
        <v>20</v>
      </c>
    </row>
    <row r="310" spans="1:9">
      <c r="A310" s="9" t="s">
        <v>2977</v>
      </c>
      <c r="B310" s="9" t="s">
        <v>17</v>
      </c>
      <c r="C310" s="9">
        <v>61</v>
      </c>
      <c r="D310" s="9" t="s">
        <v>41</v>
      </c>
      <c r="E310" s="9">
        <v>1000</v>
      </c>
      <c r="F310" s="9">
        <v>61</v>
      </c>
      <c r="G310" s="9" t="s">
        <v>18</v>
      </c>
      <c r="H310" s="10" t="s">
        <v>164</v>
      </c>
      <c r="I310" s="9" t="s">
        <v>20</v>
      </c>
    </row>
    <row r="311" spans="1:9">
      <c r="A311" s="9" t="s">
        <v>2978</v>
      </c>
      <c r="B311" s="9" t="s">
        <v>17</v>
      </c>
      <c r="C311" s="9">
        <v>61</v>
      </c>
      <c r="D311" s="9" t="s">
        <v>41</v>
      </c>
      <c r="E311" s="9">
        <v>1000</v>
      </c>
      <c r="F311" s="9">
        <v>61</v>
      </c>
      <c r="G311" s="9" t="s">
        <v>18</v>
      </c>
      <c r="H311" s="10" t="s">
        <v>164</v>
      </c>
      <c r="I311" s="9" t="s">
        <v>20</v>
      </c>
    </row>
    <row r="312" spans="1:9">
      <c r="A312" s="9" t="s">
        <v>2979</v>
      </c>
      <c r="B312" s="9" t="s">
        <v>17</v>
      </c>
      <c r="C312" s="9">
        <v>61</v>
      </c>
      <c r="D312" s="9" t="s">
        <v>41</v>
      </c>
      <c r="E312" s="9">
        <v>1000</v>
      </c>
      <c r="F312" s="9">
        <v>61</v>
      </c>
      <c r="G312" s="9" t="s">
        <v>18</v>
      </c>
      <c r="H312" s="10" t="s">
        <v>164</v>
      </c>
      <c r="I312" s="9" t="s">
        <v>20</v>
      </c>
    </row>
    <row r="313" spans="1:9">
      <c r="A313" s="9" t="s">
        <v>2980</v>
      </c>
      <c r="B313" s="9" t="s">
        <v>17</v>
      </c>
      <c r="C313" s="9">
        <v>61</v>
      </c>
      <c r="D313" s="9" t="s">
        <v>41</v>
      </c>
      <c r="E313" s="9">
        <v>1000</v>
      </c>
      <c r="F313" s="9">
        <v>61</v>
      </c>
      <c r="G313" s="9" t="s">
        <v>18</v>
      </c>
      <c r="H313" s="10" t="s">
        <v>164</v>
      </c>
      <c r="I313" s="9" t="s">
        <v>20</v>
      </c>
    </row>
    <row r="314" spans="1:9">
      <c r="A314" s="9" t="s">
        <v>2981</v>
      </c>
      <c r="B314" s="9" t="s">
        <v>17</v>
      </c>
      <c r="C314" s="9">
        <v>61</v>
      </c>
      <c r="D314" s="9" t="s">
        <v>41</v>
      </c>
      <c r="E314" s="9">
        <v>1000</v>
      </c>
      <c r="F314" s="9">
        <v>61</v>
      </c>
      <c r="G314" s="9" t="s">
        <v>18</v>
      </c>
      <c r="H314" s="10" t="s">
        <v>164</v>
      </c>
      <c r="I314" s="9" t="s">
        <v>20</v>
      </c>
    </row>
    <row r="315" spans="1:9">
      <c r="A315" s="9" t="s">
        <v>2982</v>
      </c>
      <c r="B315" s="9" t="s">
        <v>17</v>
      </c>
      <c r="C315" s="9">
        <v>61</v>
      </c>
      <c r="D315" s="9" t="s">
        <v>41</v>
      </c>
      <c r="E315" s="9">
        <v>1000</v>
      </c>
      <c r="F315" s="9">
        <v>61</v>
      </c>
      <c r="G315" s="9" t="s">
        <v>18</v>
      </c>
      <c r="H315" s="10" t="s">
        <v>164</v>
      </c>
      <c r="I315" s="9" t="s">
        <v>20</v>
      </c>
    </row>
    <row r="316" spans="1:9">
      <c r="A316" s="9" t="s">
        <v>2983</v>
      </c>
      <c r="B316" s="9" t="s">
        <v>17</v>
      </c>
      <c r="C316" s="9">
        <v>61</v>
      </c>
      <c r="D316" s="9" t="s">
        <v>41</v>
      </c>
      <c r="E316" s="9">
        <v>1000</v>
      </c>
      <c r="F316" s="9">
        <v>61</v>
      </c>
      <c r="G316" s="9" t="s">
        <v>18</v>
      </c>
      <c r="H316" s="10" t="s">
        <v>164</v>
      </c>
      <c r="I316" s="9" t="s">
        <v>20</v>
      </c>
    </row>
    <row r="317" spans="1:9">
      <c r="A317" s="9" t="s">
        <v>2984</v>
      </c>
      <c r="B317" s="9" t="s">
        <v>17</v>
      </c>
      <c r="C317" s="9">
        <v>61</v>
      </c>
      <c r="D317" s="9" t="s">
        <v>41</v>
      </c>
      <c r="E317" s="9">
        <v>1000</v>
      </c>
      <c r="F317" s="9">
        <v>9</v>
      </c>
      <c r="G317" s="9" t="s">
        <v>2985</v>
      </c>
      <c r="H317" s="10" t="s">
        <v>164</v>
      </c>
      <c r="I317" s="9" t="s">
        <v>20</v>
      </c>
    </row>
    <row r="318" spans="1:9">
      <c r="A318" s="9" t="s">
        <v>2986</v>
      </c>
      <c r="B318" s="9" t="s">
        <v>17</v>
      </c>
      <c r="C318" s="9">
        <v>61</v>
      </c>
      <c r="D318" s="9" t="s">
        <v>41</v>
      </c>
      <c r="E318" s="9">
        <v>1000</v>
      </c>
      <c r="F318" s="9">
        <v>46</v>
      </c>
      <c r="G318" s="9" t="s">
        <v>2985</v>
      </c>
      <c r="H318" s="10" t="s">
        <v>164</v>
      </c>
      <c r="I318" s="9" t="s">
        <v>20</v>
      </c>
    </row>
    <row r="319" spans="1:9">
      <c r="A319" s="9" t="s">
        <v>2987</v>
      </c>
      <c r="B319" s="9" t="s">
        <v>17</v>
      </c>
      <c r="C319" s="9">
        <v>61</v>
      </c>
      <c r="D319" s="9" t="s">
        <v>41</v>
      </c>
      <c r="E319" s="9">
        <v>1000</v>
      </c>
      <c r="F319" s="9">
        <v>6</v>
      </c>
      <c r="G319" s="9" t="s">
        <v>2985</v>
      </c>
      <c r="H319" s="10" t="s">
        <v>164</v>
      </c>
      <c r="I319" s="9" t="s">
        <v>20</v>
      </c>
    </row>
    <row r="320" spans="1:9">
      <c r="A320" s="9" t="s">
        <v>2988</v>
      </c>
      <c r="B320" s="9" t="s">
        <v>17</v>
      </c>
      <c r="C320" s="9">
        <v>61</v>
      </c>
      <c r="D320" s="9" t="s">
        <v>41</v>
      </c>
      <c r="E320" s="9">
        <v>2000</v>
      </c>
      <c r="F320" s="9">
        <v>62</v>
      </c>
      <c r="G320" s="9" t="s">
        <v>2985</v>
      </c>
      <c r="H320" s="10" t="s">
        <v>164</v>
      </c>
      <c r="I320" s="9" t="s">
        <v>20</v>
      </c>
    </row>
    <row r="321" spans="1:9">
      <c r="A321" s="9" t="s">
        <v>2989</v>
      </c>
      <c r="B321" s="9" t="s">
        <v>17</v>
      </c>
      <c r="C321" s="9">
        <v>61</v>
      </c>
      <c r="D321" s="9" t="s">
        <v>41</v>
      </c>
      <c r="E321" s="9">
        <v>0</v>
      </c>
      <c r="F321" s="9">
        <v>6</v>
      </c>
      <c r="G321" s="9" t="s">
        <v>2985</v>
      </c>
      <c r="H321" s="10" t="s">
        <v>164</v>
      </c>
      <c r="I321" s="9" t="s">
        <v>20</v>
      </c>
    </row>
    <row r="322" spans="1:9">
      <c r="A322" s="9" t="s">
        <v>2990</v>
      </c>
      <c r="B322" s="9" t="s">
        <v>17</v>
      </c>
      <c r="C322" s="9">
        <v>61</v>
      </c>
      <c r="D322" s="9" t="s">
        <v>41</v>
      </c>
      <c r="E322" s="9">
        <v>1000</v>
      </c>
      <c r="F322" s="9">
        <v>1</v>
      </c>
      <c r="G322" s="9" t="s">
        <v>2985</v>
      </c>
      <c r="H322" s="10" t="s">
        <v>164</v>
      </c>
      <c r="I322" s="9" t="s">
        <v>20</v>
      </c>
    </row>
    <row r="323" spans="1:9">
      <c r="A323" s="9" t="s">
        <v>2991</v>
      </c>
      <c r="B323" s="9" t="s">
        <v>17</v>
      </c>
      <c r="C323" s="9">
        <v>61</v>
      </c>
      <c r="D323" s="9" t="s">
        <v>41</v>
      </c>
      <c r="E323" s="9">
        <v>1000</v>
      </c>
      <c r="F323" s="9">
        <v>61</v>
      </c>
      <c r="G323" s="9" t="s">
        <v>18</v>
      </c>
      <c r="H323" s="10" t="s">
        <v>164</v>
      </c>
      <c r="I323" s="9" t="s">
        <v>20</v>
      </c>
    </row>
    <row r="324" spans="1:9">
      <c r="A324" s="9" t="s">
        <v>2992</v>
      </c>
      <c r="B324" s="9" t="s">
        <v>17</v>
      </c>
      <c r="C324" s="9">
        <v>61</v>
      </c>
      <c r="D324" s="9" t="s">
        <v>41</v>
      </c>
      <c r="E324" s="9">
        <v>1000</v>
      </c>
      <c r="F324" s="9">
        <v>61</v>
      </c>
      <c r="G324" s="9" t="s">
        <v>18</v>
      </c>
      <c r="H324" s="10" t="s">
        <v>164</v>
      </c>
      <c r="I324" s="9" t="s">
        <v>20</v>
      </c>
    </row>
    <row r="325" spans="1:9">
      <c r="A325" s="9" t="s">
        <v>2993</v>
      </c>
      <c r="B325" s="9" t="s">
        <v>17</v>
      </c>
      <c r="C325" s="9">
        <v>61</v>
      </c>
      <c r="D325" s="9" t="s">
        <v>41</v>
      </c>
      <c r="E325" s="9">
        <v>1000</v>
      </c>
      <c r="F325" s="9">
        <v>61</v>
      </c>
      <c r="G325" s="9" t="s">
        <v>18</v>
      </c>
      <c r="H325" s="10" t="s">
        <v>164</v>
      </c>
      <c r="I325" s="9" t="s">
        <v>20</v>
      </c>
    </row>
    <row r="326" spans="1:9">
      <c r="A326" s="9" t="s">
        <v>2994</v>
      </c>
      <c r="B326" s="9" t="s">
        <v>17</v>
      </c>
      <c r="C326" s="9">
        <v>61</v>
      </c>
      <c r="D326" s="9" t="s">
        <v>41</v>
      </c>
      <c r="E326" s="9">
        <v>1000</v>
      </c>
      <c r="F326" s="9">
        <v>61</v>
      </c>
      <c r="G326" s="9" t="s">
        <v>18</v>
      </c>
      <c r="H326" s="10" t="s">
        <v>164</v>
      </c>
      <c r="I326" s="9" t="s">
        <v>20</v>
      </c>
    </row>
    <row r="327" spans="1:9">
      <c r="A327" s="9" t="s">
        <v>2995</v>
      </c>
      <c r="B327" s="9" t="s">
        <v>17</v>
      </c>
      <c r="C327" s="9">
        <v>61</v>
      </c>
      <c r="D327" s="9" t="s">
        <v>41</v>
      </c>
      <c r="E327" s="9">
        <v>1000</v>
      </c>
      <c r="F327" s="9">
        <v>61</v>
      </c>
      <c r="G327" s="9" t="s">
        <v>18</v>
      </c>
      <c r="H327" s="10" t="s">
        <v>164</v>
      </c>
      <c r="I327" s="9" t="s">
        <v>20</v>
      </c>
    </row>
    <row r="328" spans="1:9">
      <c r="A328" s="9" t="s">
        <v>2996</v>
      </c>
      <c r="B328" s="9" t="s">
        <v>17</v>
      </c>
      <c r="C328" s="9">
        <v>61</v>
      </c>
      <c r="D328" s="9" t="s">
        <v>41</v>
      </c>
      <c r="E328" s="9">
        <v>1000</v>
      </c>
      <c r="F328" s="9">
        <v>61</v>
      </c>
      <c r="G328" s="9" t="s">
        <v>18</v>
      </c>
      <c r="H328" s="10" t="s">
        <v>164</v>
      </c>
      <c r="I328" s="9" t="s">
        <v>20</v>
      </c>
    </row>
    <row r="329" spans="1:9">
      <c r="A329" s="9" t="s">
        <v>2997</v>
      </c>
      <c r="B329" s="9" t="s">
        <v>17</v>
      </c>
      <c r="C329" s="9">
        <v>61</v>
      </c>
      <c r="D329" s="9" t="s">
        <v>41</v>
      </c>
      <c r="E329" s="9">
        <v>1000</v>
      </c>
      <c r="F329" s="9">
        <v>61</v>
      </c>
      <c r="G329" s="9" t="s">
        <v>18</v>
      </c>
      <c r="H329" s="10" t="s">
        <v>164</v>
      </c>
      <c r="I329" s="9" t="s">
        <v>20</v>
      </c>
    </row>
    <row r="330" spans="1:9">
      <c r="A330" s="9" t="s">
        <v>2998</v>
      </c>
      <c r="B330" s="9" t="s">
        <v>17</v>
      </c>
      <c r="C330" s="9">
        <v>61</v>
      </c>
      <c r="D330" s="9" t="s">
        <v>41</v>
      </c>
      <c r="E330" s="9">
        <v>1000</v>
      </c>
      <c r="F330" s="9">
        <v>61</v>
      </c>
      <c r="G330" s="9" t="s">
        <v>18</v>
      </c>
      <c r="H330" s="10" t="s">
        <v>164</v>
      </c>
      <c r="I330" s="9" t="s">
        <v>20</v>
      </c>
    </row>
    <row r="331" spans="1:9">
      <c r="A331" s="9" t="s">
        <v>2999</v>
      </c>
      <c r="B331" s="9" t="s">
        <v>17</v>
      </c>
      <c r="C331" s="9">
        <v>61</v>
      </c>
      <c r="D331" s="9" t="s">
        <v>41</v>
      </c>
      <c r="E331" s="9">
        <v>1000</v>
      </c>
      <c r="F331" s="9">
        <v>61</v>
      </c>
      <c r="G331" s="9" t="s">
        <v>18</v>
      </c>
      <c r="H331" s="10" t="s">
        <v>164</v>
      </c>
      <c r="I331" s="9" t="s">
        <v>20</v>
      </c>
    </row>
    <row r="332" spans="1:9">
      <c r="A332" s="9" t="s">
        <v>3000</v>
      </c>
      <c r="B332" s="9" t="s">
        <v>17</v>
      </c>
      <c r="C332" s="9">
        <v>61</v>
      </c>
      <c r="D332" s="9" t="s">
        <v>41</v>
      </c>
      <c r="E332" s="9">
        <v>1000</v>
      </c>
      <c r="F332" s="9">
        <v>61</v>
      </c>
      <c r="G332" s="9" t="s">
        <v>18</v>
      </c>
      <c r="H332" s="10" t="s">
        <v>164</v>
      </c>
      <c r="I332" s="9" t="s">
        <v>20</v>
      </c>
    </row>
    <row r="333" spans="1:9">
      <c r="A333" s="9" t="s">
        <v>3001</v>
      </c>
      <c r="B333" s="9" t="s">
        <v>17</v>
      </c>
      <c r="C333" s="9">
        <v>61</v>
      </c>
      <c r="D333" s="9" t="s">
        <v>41</v>
      </c>
      <c r="E333" s="9">
        <v>1000</v>
      </c>
      <c r="F333" s="9">
        <v>61</v>
      </c>
      <c r="G333" s="9" t="s">
        <v>18</v>
      </c>
      <c r="H333" s="10" t="s">
        <v>164</v>
      </c>
      <c r="I333" s="9" t="s">
        <v>20</v>
      </c>
    </row>
    <row r="334" spans="1:9">
      <c r="A334" s="9" t="s">
        <v>3002</v>
      </c>
      <c r="B334" s="9" t="s">
        <v>17</v>
      </c>
      <c r="C334" s="9">
        <v>61</v>
      </c>
      <c r="D334" s="9" t="s">
        <v>41</v>
      </c>
      <c r="E334" s="9">
        <v>1000</v>
      </c>
      <c r="F334" s="9">
        <v>61</v>
      </c>
      <c r="G334" s="9" t="s">
        <v>18</v>
      </c>
      <c r="H334" s="10" t="s">
        <v>164</v>
      </c>
      <c r="I334" s="9" t="s">
        <v>20</v>
      </c>
    </row>
    <row r="335" spans="1:9">
      <c r="A335" s="9" t="s">
        <v>3003</v>
      </c>
      <c r="B335" s="9" t="s">
        <v>17</v>
      </c>
      <c r="C335" s="9">
        <v>61</v>
      </c>
      <c r="D335" s="9" t="s">
        <v>41</v>
      </c>
      <c r="E335" s="9">
        <v>1000</v>
      </c>
      <c r="F335" s="9">
        <v>61</v>
      </c>
      <c r="G335" s="9" t="s">
        <v>18</v>
      </c>
      <c r="H335" s="10" t="s">
        <v>164</v>
      </c>
      <c r="I335" s="9" t="s">
        <v>20</v>
      </c>
    </row>
    <row r="336" spans="1:9">
      <c r="A336" s="9" t="s">
        <v>3004</v>
      </c>
      <c r="B336" s="9" t="s">
        <v>17</v>
      </c>
      <c r="C336" s="9">
        <v>61</v>
      </c>
      <c r="D336" s="9" t="s">
        <v>41</v>
      </c>
      <c r="E336" s="9">
        <v>1000</v>
      </c>
      <c r="F336" s="9">
        <v>61</v>
      </c>
      <c r="G336" s="9" t="s">
        <v>18</v>
      </c>
      <c r="H336" s="10" t="s">
        <v>164</v>
      </c>
      <c r="I336" s="9" t="s">
        <v>20</v>
      </c>
    </row>
    <row r="337" spans="1:9">
      <c r="A337" s="9" t="s">
        <v>3005</v>
      </c>
      <c r="B337" s="9" t="s">
        <v>17</v>
      </c>
      <c r="C337" s="9">
        <v>61</v>
      </c>
      <c r="D337" s="9" t="s">
        <v>41</v>
      </c>
      <c r="E337" s="9">
        <v>1000</v>
      </c>
      <c r="F337" s="9">
        <v>61</v>
      </c>
      <c r="G337" s="9" t="s">
        <v>18</v>
      </c>
      <c r="H337" s="10" t="s">
        <v>164</v>
      </c>
      <c r="I337" s="9" t="s">
        <v>20</v>
      </c>
    </row>
    <row r="338" spans="1:9">
      <c r="A338" s="9" t="s">
        <v>3006</v>
      </c>
      <c r="B338" s="9" t="s">
        <v>17</v>
      </c>
      <c r="C338" s="9">
        <v>61</v>
      </c>
      <c r="D338" s="9" t="s">
        <v>41</v>
      </c>
      <c r="E338" s="9">
        <v>1000</v>
      </c>
      <c r="F338" s="9">
        <v>61</v>
      </c>
      <c r="G338" s="9" t="s">
        <v>18</v>
      </c>
      <c r="H338" s="10" t="s">
        <v>164</v>
      </c>
      <c r="I338" s="9" t="s">
        <v>20</v>
      </c>
    </row>
    <row r="339" spans="1:9">
      <c r="A339" s="9" t="s">
        <v>3007</v>
      </c>
      <c r="B339" s="9" t="s">
        <v>17</v>
      </c>
      <c r="C339" s="9">
        <v>61</v>
      </c>
      <c r="D339" s="9" t="s">
        <v>41</v>
      </c>
      <c r="E339" s="9">
        <v>1000</v>
      </c>
      <c r="F339" s="9">
        <v>61</v>
      </c>
      <c r="G339" s="9" t="s">
        <v>18</v>
      </c>
      <c r="H339" s="10" t="s">
        <v>164</v>
      </c>
      <c r="I339" s="9" t="s">
        <v>20</v>
      </c>
    </row>
    <row r="340" spans="1:9">
      <c r="A340" s="9" t="s">
        <v>3008</v>
      </c>
      <c r="B340" s="9" t="s">
        <v>17</v>
      </c>
      <c r="C340" s="9">
        <v>61</v>
      </c>
      <c r="D340" s="9" t="s">
        <v>41</v>
      </c>
      <c r="E340" s="9">
        <v>1000</v>
      </c>
      <c r="F340" s="9">
        <v>61</v>
      </c>
      <c r="G340" s="9" t="s">
        <v>18</v>
      </c>
      <c r="H340" s="10" t="s">
        <v>164</v>
      </c>
      <c r="I340" s="9" t="s">
        <v>20</v>
      </c>
    </row>
    <row r="341" spans="1:9">
      <c r="A341" s="9" t="s">
        <v>3009</v>
      </c>
      <c r="B341" s="9" t="s">
        <v>17</v>
      </c>
      <c r="C341" s="9">
        <v>61</v>
      </c>
      <c r="D341" s="9" t="s">
        <v>41</v>
      </c>
      <c r="E341" s="9">
        <v>1000</v>
      </c>
      <c r="F341" s="9">
        <v>61</v>
      </c>
      <c r="G341" s="9" t="s">
        <v>18</v>
      </c>
      <c r="H341" s="10" t="s">
        <v>164</v>
      </c>
      <c r="I341" s="9" t="s">
        <v>20</v>
      </c>
    </row>
    <row r="342" spans="1:9">
      <c r="A342" s="9" t="s">
        <v>3010</v>
      </c>
      <c r="B342" s="9" t="s">
        <v>17</v>
      </c>
      <c r="C342" s="9">
        <v>61</v>
      </c>
      <c r="D342" s="9" t="s">
        <v>41</v>
      </c>
      <c r="E342" s="9">
        <v>1000</v>
      </c>
      <c r="F342" s="9">
        <v>61</v>
      </c>
      <c r="G342" s="9" t="s">
        <v>629</v>
      </c>
      <c r="H342" s="10" t="s">
        <v>164</v>
      </c>
      <c r="I342" s="9" t="s">
        <v>20</v>
      </c>
    </row>
    <row r="343" spans="1:9">
      <c r="A343" s="9" t="s">
        <v>3011</v>
      </c>
      <c r="B343" s="9" t="s">
        <v>17</v>
      </c>
      <c r="C343" s="9">
        <v>61</v>
      </c>
      <c r="D343" s="9" t="s">
        <v>41</v>
      </c>
      <c r="E343" s="9">
        <v>1000</v>
      </c>
      <c r="F343" s="9">
        <v>61</v>
      </c>
      <c r="G343" s="9" t="s">
        <v>629</v>
      </c>
      <c r="H343" s="10" t="s">
        <v>164</v>
      </c>
      <c r="I343" s="9" t="s">
        <v>20</v>
      </c>
    </row>
    <row r="344" spans="1:9">
      <c r="A344" s="9" t="s">
        <v>3012</v>
      </c>
      <c r="B344" s="9" t="s">
        <v>17</v>
      </c>
      <c r="C344" s="9">
        <v>61</v>
      </c>
      <c r="D344" s="9" t="s">
        <v>41</v>
      </c>
      <c r="E344" s="9">
        <v>1000</v>
      </c>
      <c r="F344" s="9">
        <v>61</v>
      </c>
      <c r="G344" s="9" t="s">
        <v>629</v>
      </c>
      <c r="H344" s="10" t="s">
        <v>164</v>
      </c>
      <c r="I344" s="9" t="s">
        <v>20</v>
      </c>
    </row>
    <row r="345" spans="1:9">
      <c r="A345" s="9" t="s">
        <v>3013</v>
      </c>
      <c r="B345" s="9" t="s">
        <v>17</v>
      </c>
      <c r="C345" s="9">
        <v>61</v>
      </c>
      <c r="D345" s="9" t="s">
        <v>41</v>
      </c>
      <c r="E345" s="9">
        <v>1000</v>
      </c>
      <c r="F345" s="9">
        <v>61</v>
      </c>
      <c r="G345" s="9" t="s">
        <v>629</v>
      </c>
      <c r="H345" s="10" t="s">
        <v>164</v>
      </c>
      <c r="I345" s="9" t="s">
        <v>20</v>
      </c>
    </row>
    <row r="346" spans="1:9">
      <c r="A346" s="9" t="s">
        <v>3014</v>
      </c>
      <c r="B346" s="9" t="s">
        <v>17</v>
      </c>
      <c r="C346" s="9">
        <v>61</v>
      </c>
      <c r="D346" s="9" t="s">
        <v>41</v>
      </c>
      <c r="E346" s="9">
        <v>1000</v>
      </c>
      <c r="F346" s="9">
        <v>61</v>
      </c>
      <c r="G346" s="9" t="s">
        <v>629</v>
      </c>
      <c r="H346" s="10" t="s">
        <v>164</v>
      </c>
      <c r="I346" s="9" t="s">
        <v>20</v>
      </c>
    </row>
    <row r="347" spans="1:9">
      <c r="A347" s="9" t="s">
        <v>3015</v>
      </c>
      <c r="B347" s="9" t="s">
        <v>17</v>
      </c>
      <c r="C347" s="9">
        <v>61</v>
      </c>
      <c r="D347" s="9" t="s">
        <v>41</v>
      </c>
      <c r="E347" s="9">
        <v>1000</v>
      </c>
      <c r="F347" s="9">
        <v>17</v>
      </c>
      <c r="G347" s="9" t="s">
        <v>629</v>
      </c>
      <c r="H347" s="10" t="s">
        <v>164</v>
      </c>
      <c r="I347" s="9" t="s">
        <v>20</v>
      </c>
    </row>
    <row r="348" spans="1:9">
      <c r="A348" s="9" t="s">
        <v>3016</v>
      </c>
      <c r="B348" s="9" t="s">
        <v>17</v>
      </c>
      <c r="C348" s="9">
        <v>61</v>
      </c>
      <c r="D348" s="9" t="s">
        <v>41</v>
      </c>
      <c r="E348" s="9">
        <v>1000</v>
      </c>
      <c r="F348" s="9">
        <v>23</v>
      </c>
      <c r="G348" s="9" t="s">
        <v>629</v>
      </c>
      <c r="H348" s="10" t="s">
        <v>164</v>
      </c>
      <c r="I348" s="9" t="s">
        <v>20</v>
      </c>
    </row>
    <row r="349" spans="1:9">
      <c r="A349" s="9" t="s">
        <v>3017</v>
      </c>
      <c r="B349" s="9" t="s">
        <v>17</v>
      </c>
      <c r="C349" s="9">
        <v>61</v>
      </c>
      <c r="D349" s="9" t="s">
        <v>41</v>
      </c>
      <c r="E349" s="9">
        <v>1000</v>
      </c>
      <c r="F349" s="9">
        <v>61</v>
      </c>
      <c r="G349" s="9" t="s">
        <v>18</v>
      </c>
      <c r="H349" s="10" t="s">
        <v>164</v>
      </c>
      <c r="I349" s="9" t="s">
        <v>20</v>
      </c>
    </row>
    <row r="350" spans="1:9">
      <c r="A350" s="9" t="s">
        <v>3018</v>
      </c>
      <c r="B350" s="9" t="s">
        <v>17</v>
      </c>
      <c r="C350" s="9">
        <v>61</v>
      </c>
      <c r="D350" s="9" t="s">
        <v>41</v>
      </c>
      <c r="E350" s="9">
        <v>1000</v>
      </c>
      <c r="F350" s="9">
        <v>61</v>
      </c>
      <c r="G350" s="9" t="s">
        <v>18</v>
      </c>
      <c r="H350" s="10" t="s">
        <v>164</v>
      </c>
      <c r="I350" s="9" t="s">
        <v>20</v>
      </c>
    </row>
    <row r="351" spans="1:9">
      <c r="A351" s="9" t="s">
        <v>3019</v>
      </c>
      <c r="B351" s="9" t="s">
        <v>17</v>
      </c>
      <c r="C351" s="9">
        <v>61</v>
      </c>
      <c r="D351" s="9" t="s">
        <v>41</v>
      </c>
      <c r="E351" s="9">
        <v>1000</v>
      </c>
      <c r="F351" s="9">
        <v>61</v>
      </c>
      <c r="G351" s="9" t="s">
        <v>18</v>
      </c>
      <c r="H351" s="10" t="s">
        <v>164</v>
      </c>
      <c r="I351" s="9" t="s">
        <v>20</v>
      </c>
    </row>
    <row r="352" spans="1:9">
      <c r="A352" s="9" t="s">
        <v>3020</v>
      </c>
      <c r="B352" s="9" t="s">
        <v>17</v>
      </c>
      <c r="C352" s="9">
        <v>61</v>
      </c>
      <c r="D352" s="9" t="s">
        <v>41</v>
      </c>
      <c r="E352" s="9">
        <v>1000</v>
      </c>
      <c r="F352" s="9">
        <v>61</v>
      </c>
      <c r="G352" s="9" t="s">
        <v>18</v>
      </c>
      <c r="H352" s="10" t="s">
        <v>164</v>
      </c>
      <c r="I352" s="9" t="s">
        <v>20</v>
      </c>
    </row>
    <row r="353" spans="1:9">
      <c r="A353" s="9" t="s">
        <v>3021</v>
      </c>
      <c r="B353" s="9" t="s">
        <v>17</v>
      </c>
      <c r="C353" s="9">
        <v>61</v>
      </c>
      <c r="D353" s="9" t="s">
        <v>41</v>
      </c>
      <c r="E353" s="9">
        <v>1000</v>
      </c>
      <c r="F353" s="9">
        <v>61</v>
      </c>
      <c r="G353" s="9" t="s">
        <v>18</v>
      </c>
      <c r="H353" s="10" t="s">
        <v>164</v>
      </c>
      <c r="I353" s="9" t="s">
        <v>20</v>
      </c>
    </row>
    <row r="354" spans="1:9">
      <c r="A354" s="9" t="s">
        <v>3022</v>
      </c>
      <c r="B354" s="9" t="s">
        <v>17</v>
      </c>
      <c r="C354" s="9">
        <v>61</v>
      </c>
      <c r="D354" s="9" t="s">
        <v>41</v>
      </c>
      <c r="E354" s="9">
        <v>1000</v>
      </c>
      <c r="F354" s="9">
        <v>61</v>
      </c>
      <c r="G354" s="9" t="s">
        <v>18</v>
      </c>
      <c r="H354" s="10" t="s">
        <v>164</v>
      </c>
      <c r="I354" s="9" t="s">
        <v>20</v>
      </c>
    </row>
    <row r="355" spans="1:9">
      <c r="A355" s="9" t="s">
        <v>3023</v>
      </c>
      <c r="B355" s="9" t="s">
        <v>17</v>
      </c>
      <c r="C355" s="9">
        <v>61</v>
      </c>
      <c r="D355" s="9" t="s">
        <v>41</v>
      </c>
      <c r="E355" s="9">
        <v>1000</v>
      </c>
      <c r="F355" s="9">
        <v>61</v>
      </c>
      <c r="G355" s="9" t="s">
        <v>18</v>
      </c>
      <c r="H355" s="10" t="s">
        <v>164</v>
      </c>
      <c r="I355" s="9" t="s">
        <v>20</v>
      </c>
    </row>
    <row r="356" spans="1:9">
      <c r="A356" s="9" t="s">
        <v>3024</v>
      </c>
      <c r="B356" s="9" t="s">
        <v>17</v>
      </c>
      <c r="C356" s="9">
        <v>61</v>
      </c>
      <c r="D356" s="9" t="s">
        <v>41</v>
      </c>
      <c r="E356" s="9">
        <v>1000</v>
      </c>
      <c r="F356" s="9">
        <v>61</v>
      </c>
      <c r="G356" s="9" t="s">
        <v>18</v>
      </c>
      <c r="H356" s="10" t="s">
        <v>164</v>
      </c>
      <c r="I356" s="9" t="s">
        <v>20</v>
      </c>
    </row>
    <row r="357" spans="1:9">
      <c r="A357" s="9" t="s">
        <v>3025</v>
      </c>
      <c r="B357" s="9" t="s">
        <v>17</v>
      </c>
      <c r="C357" s="9">
        <v>61</v>
      </c>
      <c r="D357" s="9" t="s">
        <v>41</v>
      </c>
      <c r="E357" s="9">
        <v>1000</v>
      </c>
      <c r="F357" s="9">
        <v>61</v>
      </c>
      <c r="G357" s="9" t="s">
        <v>18</v>
      </c>
      <c r="H357" s="10" t="s">
        <v>164</v>
      </c>
      <c r="I357" s="9" t="s">
        <v>20</v>
      </c>
    </row>
    <row r="358" spans="1:9">
      <c r="A358" s="9" t="s">
        <v>3026</v>
      </c>
      <c r="B358" s="9" t="s">
        <v>17</v>
      </c>
      <c r="C358" s="9">
        <v>61</v>
      </c>
      <c r="D358" s="9" t="s">
        <v>41</v>
      </c>
      <c r="E358" s="9">
        <v>1000</v>
      </c>
      <c r="F358" s="9">
        <v>61</v>
      </c>
      <c r="G358" s="9" t="s">
        <v>18</v>
      </c>
      <c r="H358" s="10" t="s">
        <v>164</v>
      </c>
      <c r="I358" s="9" t="s">
        <v>20</v>
      </c>
    </row>
    <row r="359" spans="1:9">
      <c r="A359" s="9" t="s">
        <v>3027</v>
      </c>
      <c r="B359" s="9" t="s">
        <v>17</v>
      </c>
      <c r="C359" s="9">
        <v>61</v>
      </c>
      <c r="D359" s="9" t="s">
        <v>41</v>
      </c>
      <c r="E359" s="9">
        <v>1000</v>
      </c>
      <c r="F359" s="9">
        <v>61</v>
      </c>
      <c r="G359" s="9" t="s">
        <v>18</v>
      </c>
      <c r="H359" s="10" t="s">
        <v>164</v>
      </c>
      <c r="I359" s="9" t="s">
        <v>20</v>
      </c>
    </row>
    <row r="360" spans="1:9">
      <c r="A360" s="9" t="s">
        <v>3028</v>
      </c>
      <c r="B360" s="9" t="s">
        <v>17</v>
      </c>
      <c r="C360" s="9">
        <v>61</v>
      </c>
      <c r="D360" s="9" t="s">
        <v>41</v>
      </c>
      <c r="E360" s="9">
        <v>1000</v>
      </c>
      <c r="F360" s="9">
        <v>61</v>
      </c>
      <c r="G360" s="9" t="s">
        <v>18</v>
      </c>
      <c r="H360" s="10" t="s">
        <v>164</v>
      </c>
      <c r="I360" s="9" t="s">
        <v>20</v>
      </c>
    </row>
    <row r="361" spans="1:9">
      <c r="A361" s="9" t="s">
        <v>3029</v>
      </c>
      <c r="B361" s="9" t="s">
        <v>17</v>
      </c>
      <c r="C361" s="9">
        <v>61</v>
      </c>
      <c r="D361" s="9" t="s">
        <v>41</v>
      </c>
      <c r="E361" s="9">
        <v>1000</v>
      </c>
      <c r="F361" s="9">
        <v>61</v>
      </c>
      <c r="G361" s="9" t="s">
        <v>18</v>
      </c>
      <c r="H361" s="10" t="s">
        <v>164</v>
      </c>
      <c r="I361" s="9" t="s">
        <v>20</v>
      </c>
    </row>
    <row r="362" spans="1:9">
      <c r="A362" s="9" t="s">
        <v>3030</v>
      </c>
      <c r="B362" s="9" t="s">
        <v>17</v>
      </c>
      <c r="C362" s="9">
        <v>61</v>
      </c>
      <c r="D362" s="9" t="s">
        <v>41</v>
      </c>
      <c r="E362" s="9">
        <v>1000</v>
      </c>
      <c r="F362" s="9">
        <v>61</v>
      </c>
      <c r="G362" s="9" t="s">
        <v>18</v>
      </c>
      <c r="H362" s="10" t="s">
        <v>164</v>
      </c>
      <c r="I362" s="9" t="s">
        <v>20</v>
      </c>
    </row>
    <row r="363" spans="1:9">
      <c r="A363" s="9" t="s">
        <v>3031</v>
      </c>
      <c r="B363" s="9" t="s">
        <v>17</v>
      </c>
      <c r="C363" s="9">
        <v>61</v>
      </c>
      <c r="D363" s="9" t="s">
        <v>41</v>
      </c>
      <c r="E363" s="9">
        <v>1000</v>
      </c>
      <c r="F363" s="9">
        <v>61</v>
      </c>
      <c r="G363" s="9" t="s">
        <v>18</v>
      </c>
      <c r="H363" s="10" t="s">
        <v>164</v>
      </c>
      <c r="I363" s="9" t="s">
        <v>20</v>
      </c>
    </row>
    <row r="364" spans="1:9">
      <c r="A364" s="9" t="s">
        <v>3032</v>
      </c>
      <c r="B364" s="9" t="s">
        <v>17</v>
      </c>
      <c r="C364" s="9">
        <v>61</v>
      </c>
      <c r="D364" s="9" t="s">
        <v>41</v>
      </c>
      <c r="E364" s="9">
        <v>1000</v>
      </c>
      <c r="F364" s="9">
        <v>61</v>
      </c>
      <c r="G364" s="9" t="s">
        <v>18</v>
      </c>
      <c r="H364" s="10" t="s">
        <v>164</v>
      </c>
      <c r="I364" s="9" t="s">
        <v>20</v>
      </c>
    </row>
    <row r="365" spans="1:9">
      <c r="A365" s="9" t="s">
        <v>3033</v>
      </c>
      <c r="B365" s="9" t="s">
        <v>17</v>
      </c>
      <c r="C365" s="9">
        <v>61</v>
      </c>
      <c r="D365" s="9" t="s">
        <v>41</v>
      </c>
      <c r="E365" s="9">
        <v>1000</v>
      </c>
      <c r="F365" s="9">
        <v>61</v>
      </c>
      <c r="G365" s="9" t="s">
        <v>18</v>
      </c>
      <c r="H365" s="10" t="s">
        <v>164</v>
      </c>
      <c r="I365" s="9" t="s">
        <v>20</v>
      </c>
    </row>
    <row r="366" spans="1:9">
      <c r="A366" s="9" t="s">
        <v>3034</v>
      </c>
      <c r="B366" s="9" t="s">
        <v>17</v>
      </c>
      <c r="C366" s="9">
        <v>61</v>
      </c>
      <c r="D366" s="9" t="s">
        <v>41</v>
      </c>
      <c r="E366" s="9">
        <v>1000</v>
      </c>
      <c r="F366" s="9">
        <v>61</v>
      </c>
      <c r="G366" s="9" t="s">
        <v>18</v>
      </c>
      <c r="H366" s="10" t="s">
        <v>164</v>
      </c>
      <c r="I366" s="9" t="s">
        <v>20</v>
      </c>
    </row>
    <row r="367" spans="1:9">
      <c r="A367" s="9" t="s">
        <v>3035</v>
      </c>
      <c r="B367" s="9" t="s">
        <v>17</v>
      </c>
      <c r="C367" s="9">
        <v>61</v>
      </c>
      <c r="D367" s="9" t="s">
        <v>41</v>
      </c>
      <c r="E367" s="9">
        <v>1000</v>
      </c>
      <c r="F367" s="9">
        <v>61</v>
      </c>
      <c r="G367" s="9" t="s">
        <v>18</v>
      </c>
      <c r="H367" s="10" t="s">
        <v>164</v>
      </c>
      <c r="I367" s="9" t="s">
        <v>20</v>
      </c>
    </row>
    <row r="368" spans="1:9">
      <c r="A368" s="9" t="s">
        <v>3036</v>
      </c>
      <c r="B368" s="9" t="s">
        <v>17</v>
      </c>
      <c r="C368" s="9">
        <v>61</v>
      </c>
      <c r="D368" s="9" t="s">
        <v>41</v>
      </c>
      <c r="E368" s="9">
        <v>1000</v>
      </c>
      <c r="F368" s="9">
        <v>61</v>
      </c>
      <c r="G368" s="9" t="s">
        <v>18</v>
      </c>
      <c r="H368" s="10" t="s">
        <v>164</v>
      </c>
      <c r="I368" s="9" t="s">
        <v>20</v>
      </c>
    </row>
    <row r="369" spans="1:9">
      <c r="A369" s="9" t="s">
        <v>3037</v>
      </c>
      <c r="B369" s="9" t="s">
        <v>17</v>
      </c>
      <c r="C369" s="9">
        <v>61</v>
      </c>
      <c r="D369" s="9" t="s">
        <v>41</v>
      </c>
      <c r="E369" s="9">
        <v>1000</v>
      </c>
      <c r="F369" s="9">
        <v>61</v>
      </c>
      <c r="G369" s="9" t="s">
        <v>18</v>
      </c>
      <c r="H369" s="10" t="s">
        <v>164</v>
      </c>
      <c r="I369" s="9" t="s">
        <v>20</v>
      </c>
    </row>
    <row r="370" spans="1:9">
      <c r="A370" s="9" t="s">
        <v>3038</v>
      </c>
      <c r="B370" s="9" t="s">
        <v>17</v>
      </c>
      <c r="C370" s="9">
        <v>61</v>
      </c>
      <c r="D370" s="9" t="s">
        <v>41</v>
      </c>
      <c r="E370" s="9">
        <v>1000</v>
      </c>
      <c r="F370" s="9">
        <v>61</v>
      </c>
      <c r="G370" s="9" t="s">
        <v>18</v>
      </c>
      <c r="H370" s="10" t="s">
        <v>164</v>
      </c>
      <c r="I370" s="9" t="s">
        <v>20</v>
      </c>
    </row>
    <row r="371" spans="1:9">
      <c r="A371" s="9" t="s">
        <v>3039</v>
      </c>
      <c r="B371" s="9" t="s">
        <v>17</v>
      </c>
      <c r="C371" s="9">
        <v>61</v>
      </c>
      <c r="D371" s="9" t="s">
        <v>41</v>
      </c>
      <c r="E371" s="9">
        <v>1000</v>
      </c>
      <c r="F371" s="9">
        <v>61</v>
      </c>
      <c r="G371" s="9" t="s">
        <v>18</v>
      </c>
      <c r="H371" s="10" t="s">
        <v>164</v>
      </c>
      <c r="I371" s="9" t="s">
        <v>20</v>
      </c>
    </row>
    <row r="372" spans="1:9">
      <c r="A372" s="9" t="s">
        <v>3040</v>
      </c>
      <c r="B372" s="9" t="s">
        <v>17</v>
      </c>
      <c r="C372" s="9">
        <v>61</v>
      </c>
      <c r="D372" s="9" t="s">
        <v>41</v>
      </c>
      <c r="E372" s="9">
        <v>1000</v>
      </c>
      <c r="F372" s="9">
        <v>61</v>
      </c>
      <c r="G372" s="9" t="s">
        <v>18</v>
      </c>
      <c r="H372" s="10" t="s">
        <v>164</v>
      </c>
      <c r="I372" s="9" t="s">
        <v>20</v>
      </c>
    </row>
    <row r="373" spans="1:9">
      <c r="A373" s="9" t="s">
        <v>3041</v>
      </c>
      <c r="B373" s="9" t="s">
        <v>17</v>
      </c>
      <c r="C373" s="9">
        <v>61</v>
      </c>
      <c r="D373" s="9" t="s">
        <v>41</v>
      </c>
      <c r="E373" s="9">
        <v>1000</v>
      </c>
      <c r="F373" s="9">
        <v>61</v>
      </c>
      <c r="G373" s="9" t="s">
        <v>18</v>
      </c>
      <c r="H373" s="10" t="s">
        <v>164</v>
      </c>
      <c r="I373" s="9" t="s">
        <v>20</v>
      </c>
    </row>
    <row r="374" spans="1:9">
      <c r="A374" s="9" t="s">
        <v>3042</v>
      </c>
      <c r="B374" s="9" t="s">
        <v>17</v>
      </c>
      <c r="C374" s="9">
        <v>61</v>
      </c>
      <c r="D374" s="9" t="s">
        <v>41</v>
      </c>
      <c r="E374" s="9">
        <v>1000</v>
      </c>
      <c r="F374" s="9">
        <v>61</v>
      </c>
      <c r="G374" s="9" t="s">
        <v>18</v>
      </c>
      <c r="H374" s="10" t="s">
        <v>164</v>
      </c>
      <c r="I374" s="9" t="s">
        <v>20</v>
      </c>
    </row>
    <row r="375" spans="1:9">
      <c r="A375" s="9" t="s">
        <v>3043</v>
      </c>
      <c r="B375" s="9" t="s">
        <v>17</v>
      </c>
      <c r="C375" s="9">
        <v>61</v>
      </c>
      <c r="D375" s="9" t="s">
        <v>41</v>
      </c>
      <c r="E375" s="9">
        <v>1000</v>
      </c>
      <c r="F375" s="9">
        <v>61</v>
      </c>
      <c r="G375" s="9" t="s">
        <v>18</v>
      </c>
      <c r="H375" s="10" t="s">
        <v>164</v>
      </c>
      <c r="I375" s="9" t="s">
        <v>20</v>
      </c>
    </row>
    <row r="376" spans="1:9">
      <c r="A376" s="9" t="s">
        <v>3044</v>
      </c>
      <c r="B376" s="9" t="s">
        <v>17</v>
      </c>
      <c r="C376" s="9">
        <v>61</v>
      </c>
      <c r="D376" s="9" t="s">
        <v>41</v>
      </c>
      <c r="E376" s="9">
        <v>1000</v>
      </c>
      <c r="F376" s="9">
        <v>61</v>
      </c>
      <c r="G376" s="9" t="s">
        <v>18</v>
      </c>
      <c r="H376" s="10" t="s">
        <v>164</v>
      </c>
      <c r="I376" s="9" t="s">
        <v>20</v>
      </c>
    </row>
    <row r="377" spans="1:9">
      <c r="A377" s="9" t="s">
        <v>3045</v>
      </c>
      <c r="B377" s="9" t="s">
        <v>17</v>
      </c>
      <c r="C377" s="9">
        <v>61</v>
      </c>
      <c r="D377" s="9" t="s">
        <v>41</v>
      </c>
      <c r="E377" s="9">
        <v>1000</v>
      </c>
      <c r="F377" s="9">
        <v>61</v>
      </c>
      <c r="G377" s="9" t="s">
        <v>18</v>
      </c>
      <c r="H377" s="10" t="s">
        <v>164</v>
      </c>
      <c r="I377" s="9" t="s">
        <v>20</v>
      </c>
    </row>
    <row r="378" spans="1:9">
      <c r="A378" s="9" t="s">
        <v>3046</v>
      </c>
      <c r="B378" s="9" t="s">
        <v>17</v>
      </c>
      <c r="C378" s="9">
        <v>61</v>
      </c>
      <c r="D378" s="9" t="s">
        <v>41</v>
      </c>
      <c r="E378" s="9">
        <v>1000</v>
      </c>
      <c r="F378" s="9">
        <v>61</v>
      </c>
      <c r="G378" s="9" t="s">
        <v>18</v>
      </c>
      <c r="H378" s="10" t="s">
        <v>164</v>
      </c>
      <c r="I378" s="9" t="s">
        <v>20</v>
      </c>
    </row>
    <row r="379" spans="1:9">
      <c r="A379" s="9" t="s">
        <v>3047</v>
      </c>
      <c r="B379" s="9" t="s">
        <v>17</v>
      </c>
      <c r="C379" s="9">
        <v>61</v>
      </c>
      <c r="D379" s="9" t="s">
        <v>41</v>
      </c>
      <c r="E379" s="9">
        <v>1000</v>
      </c>
      <c r="F379" s="9">
        <v>61</v>
      </c>
      <c r="G379" s="9" t="s">
        <v>18</v>
      </c>
      <c r="H379" s="10" t="s">
        <v>164</v>
      </c>
      <c r="I379" s="9" t="s">
        <v>20</v>
      </c>
    </row>
    <row r="380" spans="1:9">
      <c r="A380" s="9" t="s">
        <v>3048</v>
      </c>
      <c r="B380" s="9" t="s">
        <v>17</v>
      </c>
      <c r="C380" s="9">
        <v>61</v>
      </c>
      <c r="D380" s="9" t="s">
        <v>41</v>
      </c>
      <c r="E380" s="9">
        <v>1000</v>
      </c>
      <c r="F380" s="9">
        <v>61</v>
      </c>
      <c r="G380" s="9" t="s">
        <v>18</v>
      </c>
      <c r="H380" s="10" t="s">
        <v>164</v>
      </c>
      <c r="I380" s="9" t="s">
        <v>20</v>
      </c>
    </row>
    <row r="381" spans="1:9">
      <c r="A381" s="9" t="s">
        <v>3049</v>
      </c>
      <c r="B381" s="9" t="s">
        <v>17</v>
      </c>
      <c r="C381" s="9">
        <v>61</v>
      </c>
      <c r="D381" s="9" t="s">
        <v>41</v>
      </c>
      <c r="E381" s="9">
        <v>1000</v>
      </c>
      <c r="F381" s="9">
        <v>61</v>
      </c>
      <c r="G381" s="9" t="s">
        <v>18</v>
      </c>
      <c r="H381" s="10" t="s">
        <v>164</v>
      </c>
      <c r="I381" s="9" t="s">
        <v>20</v>
      </c>
    </row>
    <row r="382" spans="1:9">
      <c r="A382" s="9" t="s">
        <v>3050</v>
      </c>
      <c r="B382" s="9" t="s">
        <v>17</v>
      </c>
      <c r="C382" s="9">
        <v>61</v>
      </c>
      <c r="D382" s="9" t="s">
        <v>41</v>
      </c>
      <c r="E382" s="9">
        <v>1000</v>
      </c>
      <c r="F382" s="9">
        <v>61</v>
      </c>
      <c r="G382" s="9" t="s">
        <v>18</v>
      </c>
      <c r="H382" s="10" t="s">
        <v>164</v>
      </c>
      <c r="I382" s="9" t="s">
        <v>20</v>
      </c>
    </row>
    <row r="383" spans="1:9">
      <c r="A383" s="9" t="s">
        <v>3051</v>
      </c>
      <c r="B383" s="9" t="s">
        <v>17</v>
      </c>
      <c r="C383" s="9">
        <v>61</v>
      </c>
      <c r="D383" s="9" t="s">
        <v>41</v>
      </c>
      <c r="E383" s="9">
        <v>1000</v>
      </c>
      <c r="F383" s="9">
        <v>61</v>
      </c>
      <c r="G383" s="9" t="s">
        <v>18</v>
      </c>
      <c r="H383" s="10" t="s">
        <v>164</v>
      </c>
      <c r="I383" s="9" t="s">
        <v>20</v>
      </c>
    </row>
    <row r="384" spans="1:9">
      <c r="A384" s="9" t="s">
        <v>3052</v>
      </c>
      <c r="B384" s="9" t="s">
        <v>17</v>
      </c>
      <c r="C384" s="9">
        <v>61</v>
      </c>
      <c r="D384" s="9" t="s">
        <v>41</v>
      </c>
      <c r="E384" s="9">
        <v>1000</v>
      </c>
      <c r="F384" s="9">
        <v>61</v>
      </c>
      <c r="G384" s="9" t="s">
        <v>18</v>
      </c>
      <c r="H384" s="10" t="s">
        <v>164</v>
      </c>
      <c r="I384" s="9" t="s">
        <v>20</v>
      </c>
    </row>
    <row r="385" spans="1:9">
      <c r="A385" s="9" t="s">
        <v>3053</v>
      </c>
      <c r="B385" s="9" t="s">
        <v>17</v>
      </c>
      <c r="C385" s="9">
        <v>61</v>
      </c>
      <c r="D385" s="9" t="s">
        <v>41</v>
      </c>
      <c r="E385" s="9">
        <v>1000</v>
      </c>
      <c r="F385" s="9">
        <v>61</v>
      </c>
      <c r="G385" s="9" t="s">
        <v>18</v>
      </c>
      <c r="H385" s="10" t="s">
        <v>164</v>
      </c>
      <c r="I385" s="9" t="s">
        <v>20</v>
      </c>
    </row>
    <row r="386" spans="1:9">
      <c r="A386" s="9" t="s">
        <v>3054</v>
      </c>
      <c r="B386" s="9" t="s">
        <v>17</v>
      </c>
      <c r="C386" s="9">
        <v>61</v>
      </c>
      <c r="D386" s="9" t="s">
        <v>41</v>
      </c>
      <c r="E386" s="9">
        <v>1000</v>
      </c>
      <c r="F386" s="9">
        <v>61</v>
      </c>
      <c r="G386" s="9" t="s">
        <v>18</v>
      </c>
      <c r="H386" s="10" t="s">
        <v>164</v>
      </c>
      <c r="I386" s="9" t="s">
        <v>20</v>
      </c>
    </row>
    <row r="387" spans="1:9">
      <c r="A387" s="9" t="s">
        <v>3055</v>
      </c>
      <c r="B387" s="9" t="s">
        <v>17</v>
      </c>
      <c r="C387" s="9">
        <v>61</v>
      </c>
      <c r="D387" s="9" t="s">
        <v>41</v>
      </c>
      <c r="E387" s="9">
        <v>1000</v>
      </c>
      <c r="F387" s="9">
        <v>61</v>
      </c>
      <c r="G387" s="9" t="s">
        <v>18</v>
      </c>
      <c r="H387" s="10" t="s">
        <v>164</v>
      </c>
      <c r="I387" s="9" t="s">
        <v>20</v>
      </c>
    </row>
    <row r="388" spans="1:9">
      <c r="A388" s="9" t="s">
        <v>3056</v>
      </c>
      <c r="B388" s="9" t="s">
        <v>17</v>
      </c>
      <c r="C388" s="9">
        <v>61</v>
      </c>
      <c r="D388" s="9" t="s">
        <v>41</v>
      </c>
      <c r="E388" s="9">
        <v>1000</v>
      </c>
      <c r="F388" s="9">
        <v>61</v>
      </c>
      <c r="G388" s="9" t="s">
        <v>18</v>
      </c>
      <c r="H388" s="10" t="s">
        <v>164</v>
      </c>
      <c r="I388" s="9" t="s">
        <v>20</v>
      </c>
    </row>
    <row r="389" spans="1:9">
      <c r="A389" s="9" t="s">
        <v>3057</v>
      </c>
      <c r="B389" s="9" t="s">
        <v>17</v>
      </c>
      <c r="C389" s="9">
        <v>61</v>
      </c>
      <c r="D389" s="9" t="s">
        <v>41</v>
      </c>
      <c r="E389" s="9">
        <v>1000</v>
      </c>
      <c r="F389" s="9">
        <v>61</v>
      </c>
      <c r="G389" s="9" t="s">
        <v>18</v>
      </c>
      <c r="H389" s="10" t="s">
        <v>164</v>
      </c>
      <c r="I389" s="9" t="s">
        <v>20</v>
      </c>
    </row>
    <row r="390" spans="1:9">
      <c r="A390" s="9" t="s">
        <v>3058</v>
      </c>
      <c r="B390" s="9" t="s">
        <v>17</v>
      </c>
      <c r="C390" s="9">
        <v>61</v>
      </c>
      <c r="D390" s="9" t="s">
        <v>41</v>
      </c>
      <c r="E390" s="9">
        <v>1000</v>
      </c>
      <c r="F390" s="9">
        <v>61</v>
      </c>
      <c r="G390" s="9" t="s">
        <v>18</v>
      </c>
      <c r="H390" s="10" t="s">
        <v>164</v>
      </c>
      <c r="I390" s="9" t="s">
        <v>20</v>
      </c>
    </row>
    <row r="391" spans="1:9">
      <c r="A391" s="9" t="s">
        <v>3059</v>
      </c>
      <c r="B391" s="9" t="s">
        <v>17</v>
      </c>
      <c r="C391" s="9">
        <v>61</v>
      </c>
      <c r="D391" s="9" t="s">
        <v>41</v>
      </c>
      <c r="E391" s="9">
        <v>1000</v>
      </c>
      <c r="F391" s="9">
        <v>61</v>
      </c>
      <c r="G391" s="9" t="s">
        <v>18</v>
      </c>
      <c r="H391" s="10" t="s">
        <v>164</v>
      </c>
      <c r="I391" s="9" t="s">
        <v>20</v>
      </c>
    </row>
    <row r="392" spans="1:9">
      <c r="A392" s="9" t="s">
        <v>3060</v>
      </c>
      <c r="B392" s="9" t="s">
        <v>17</v>
      </c>
      <c r="C392" s="9">
        <v>61</v>
      </c>
      <c r="D392" s="9" t="s">
        <v>41</v>
      </c>
      <c r="E392" s="9">
        <v>1000</v>
      </c>
      <c r="F392" s="9">
        <v>6</v>
      </c>
      <c r="G392" s="9" t="s">
        <v>191</v>
      </c>
      <c r="H392" s="10" t="s">
        <v>164</v>
      </c>
      <c r="I392" s="9" t="s">
        <v>20</v>
      </c>
    </row>
    <row r="393" spans="1:9">
      <c r="A393" s="9" t="s">
        <v>3061</v>
      </c>
      <c r="B393" s="9" t="s">
        <v>17</v>
      </c>
      <c r="C393" s="9">
        <v>61</v>
      </c>
      <c r="D393" s="9" t="s">
        <v>41</v>
      </c>
      <c r="E393" s="9">
        <v>1000</v>
      </c>
      <c r="F393" s="9">
        <v>61</v>
      </c>
      <c r="G393" s="9" t="s">
        <v>3062</v>
      </c>
      <c r="H393" s="10" t="s">
        <v>164</v>
      </c>
      <c r="I393" s="9" t="s">
        <v>20</v>
      </c>
    </row>
    <row r="394" spans="1:9">
      <c r="A394" s="9" t="s">
        <v>3063</v>
      </c>
      <c r="B394" s="9" t="s">
        <v>17</v>
      </c>
      <c r="C394" s="9">
        <v>61</v>
      </c>
      <c r="D394" s="9" t="s">
        <v>41</v>
      </c>
      <c r="E394" s="9">
        <v>1000</v>
      </c>
      <c r="F394" s="9">
        <v>61</v>
      </c>
      <c r="G394" s="9" t="s">
        <v>3062</v>
      </c>
      <c r="H394" s="10" t="s">
        <v>164</v>
      </c>
      <c r="I394" s="9" t="s">
        <v>20</v>
      </c>
    </row>
    <row r="395" spans="1:9">
      <c r="A395" s="9" t="s">
        <v>3064</v>
      </c>
      <c r="B395" s="9" t="s">
        <v>17</v>
      </c>
      <c r="C395" s="9">
        <v>61</v>
      </c>
      <c r="D395" s="9" t="s">
        <v>41</v>
      </c>
      <c r="E395" s="9">
        <v>1000</v>
      </c>
      <c r="F395" s="9">
        <v>61</v>
      </c>
      <c r="G395" s="9" t="s">
        <v>3062</v>
      </c>
      <c r="H395" s="10" t="s">
        <v>164</v>
      </c>
      <c r="I395" s="9" t="s">
        <v>20</v>
      </c>
    </row>
    <row r="396" spans="1:9">
      <c r="A396" s="9" t="s">
        <v>3065</v>
      </c>
      <c r="B396" s="9" t="s">
        <v>17</v>
      </c>
      <c r="C396" s="9">
        <v>61</v>
      </c>
      <c r="D396" s="9" t="s">
        <v>41</v>
      </c>
      <c r="E396" s="9">
        <v>1000</v>
      </c>
      <c r="F396" s="9">
        <v>61</v>
      </c>
      <c r="G396" s="9" t="s">
        <v>3062</v>
      </c>
      <c r="H396" s="10" t="s">
        <v>164</v>
      </c>
      <c r="I396" s="9" t="s">
        <v>20</v>
      </c>
    </row>
    <row r="397" spans="1:9">
      <c r="A397" s="9" t="s">
        <v>3066</v>
      </c>
      <c r="B397" s="9" t="s">
        <v>17</v>
      </c>
      <c r="C397" s="9">
        <v>61</v>
      </c>
      <c r="D397" s="9" t="s">
        <v>41</v>
      </c>
      <c r="E397" s="9">
        <v>1000</v>
      </c>
      <c r="F397" s="9">
        <v>61</v>
      </c>
      <c r="G397" s="9" t="s">
        <v>3062</v>
      </c>
      <c r="H397" s="10" t="s">
        <v>164</v>
      </c>
      <c r="I397" s="9" t="s">
        <v>20</v>
      </c>
    </row>
    <row r="398" spans="1:9">
      <c r="A398" s="9" t="s">
        <v>3067</v>
      </c>
      <c r="B398" s="9" t="s">
        <v>17</v>
      </c>
      <c r="C398" s="9">
        <v>61</v>
      </c>
      <c r="D398" s="9" t="s">
        <v>41</v>
      </c>
      <c r="E398" s="9">
        <v>1000</v>
      </c>
      <c r="F398" s="9">
        <v>61</v>
      </c>
      <c r="G398" s="9" t="s">
        <v>3062</v>
      </c>
      <c r="H398" s="10" t="s">
        <v>164</v>
      </c>
      <c r="I398" s="9" t="s">
        <v>20</v>
      </c>
    </row>
    <row r="399" spans="1:9">
      <c r="A399" s="9" t="s">
        <v>3068</v>
      </c>
      <c r="B399" s="9" t="s">
        <v>17</v>
      </c>
      <c r="C399" s="9">
        <v>61</v>
      </c>
      <c r="D399" s="9" t="s">
        <v>41</v>
      </c>
      <c r="E399" s="9">
        <v>1000</v>
      </c>
      <c r="F399" s="9">
        <v>61</v>
      </c>
      <c r="G399" s="9" t="s">
        <v>3062</v>
      </c>
      <c r="H399" s="10" t="s">
        <v>164</v>
      </c>
      <c r="I399" s="9" t="s">
        <v>20</v>
      </c>
    </row>
    <row r="400" spans="1:9">
      <c r="A400" s="9" t="s">
        <v>3069</v>
      </c>
      <c r="B400" s="9" t="s">
        <v>17</v>
      </c>
      <c r="C400" s="9">
        <v>61</v>
      </c>
      <c r="D400" s="9" t="s">
        <v>41</v>
      </c>
      <c r="E400" s="9">
        <v>1000</v>
      </c>
      <c r="F400" s="9">
        <v>61</v>
      </c>
      <c r="G400" s="9" t="s">
        <v>3062</v>
      </c>
      <c r="H400" s="10" t="s">
        <v>164</v>
      </c>
      <c r="I400" s="9" t="s">
        <v>20</v>
      </c>
    </row>
    <row r="401" spans="1:9">
      <c r="A401" s="9" t="s">
        <v>3070</v>
      </c>
      <c r="B401" s="9" t="s">
        <v>17</v>
      </c>
      <c r="C401" s="9">
        <v>61</v>
      </c>
      <c r="D401" s="9" t="s">
        <v>41</v>
      </c>
      <c r="E401" s="9">
        <v>1000</v>
      </c>
      <c r="F401" s="9">
        <v>61</v>
      </c>
      <c r="G401" s="9" t="s">
        <v>3062</v>
      </c>
      <c r="H401" s="10" t="s">
        <v>164</v>
      </c>
      <c r="I401" s="9" t="s">
        <v>20</v>
      </c>
    </row>
    <row r="402" spans="1:9">
      <c r="A402" s="9" t="s">
        <v>3071</v>
      </c>
      <c r="B402" s="9" t="s">
        <v>17</v>
      </c>
      <c r="C402" s="9">
        <v>61</v>
      </c>
      <c r="D402" s="9" t="s">
        <v>41</v>
      </c>
      <c r="E402" s="9">
        <v>1000</v>
      </c>
      <c r="F402" s="9">
        <v>61</v>
      </c>
      <c r="G402" s="9" t="s">
        <v>3062</v>
      </c>
      <c r="H402" s="10" t="s">
        <v>164</v>
      </c>
      <c r="I402" s="9" t="s">
        <v>20</v>
      </c>
    </row>
    <row r="403" spans="1:9">
      <c r="A403" s="9" t="s">
        <v>3072</v>
      </c>
      <c r="B403" s="9" t="s">
        <v>17</v>
      </c>
      <c r="C403" s="9">
        <v>61</v>
      </c>
      <c r="D403" s="9" t="s">
        <v>41</v>
      </c>
      <c r="E403" s="9">
        <v>1000</v>
      </c>
      <c r="F403" s="9">
        <v>61</v>
      </c>
      <c r="G403" s="9" t="s">
        <v>3062</v>
      </c>
      <c r="H403" s="10" t="s">
        <v>164</v>
      </c>
      <c r="I403" s="9" t="s">
        <v>20</v>
      </c>
    </row>
    <row r="404" spans="1:9">
      <c r="A404" s="9" t="s">
        <v>3073</v>
      </c>
      <c r="B404" s="9" t="s">
        <v>17</v>
      </c>
      <c r="C404" s="9">
        <v>61</v>
      </c>
      <c r="D404" s="9" t="s">
        <v>41</v>
      </c>
      <c r="E404" s="9">
        <v>1000</v>
      </c>
      <c r="F404" s="9">
        <v>61</v>
      </c>
      <c r="G404" s="9" t="s">
        <v>3062</v>
      </c>
      <c r="H404" s="10" t="s">
        <v>164</v>
      </c>
      <c r="I404" s="9" t="s">
        <v>20</v>
      </c>
    </row>
    <row r="405" spans="1:9">
      <c r="A405" s="9" t="s">
        <v>3074</v>
      </c>
      <c r="B405" s="9" t="s">
        <v>17</v>
      </c>
      <c r="C405" s="9">
        <v>61</v>
      </c>
      <c r="D405" s="9" t="s">
        <v>41</v>
      </c>
      <c r="E405" s="9">
        <v>1000</v>
      </c>
      <c r="F405" s="9">
        <v>61</v>
      </c>
      <c r="G405" s="9" t="s">
        <v>3062</v>
      </c>
      <c r="H405" s="10" t="s">
        <v>164</v>
      </c>
      <c r="I405" s="9" t="s">
        <v>20</v>
      </c>
    </row>
    <row r="406" spans="1:9">
      <c r="A406" s="9" t="s">
        <v>3075</v>
      </c>
      <c r="B406" s="9" t="s">
        <v>17</v>
      </c>
      <c r="C406" s="9">
        <v>61</v>
      </c>
      <c r="D406" s="9" t="s">
        <v>41</v>
      </c>
      <c r="E406" s="9">
        <v>1000</v>
      </c>
      <c r="F406" s="9">
        <v>61</v>
      </c>
      <c r="G406" s="9" t="s">
        <v>3062</v>
      </c>
      <c r="H406" s="10" t="s">
        <v>164</v>
      </c>
      <c r="I406" s="9" t="s">
        <v>20</v>
      </c>
    </row>
    <row r="407" spans="1:9">
      <c r="A407" s="9" t="s">
        <v>3076</v>
      </c>
      <c r="B407" s="9" t="s">
        <v>17</v>
      </c>
      <c r="C407" s="9">
        <v>61</v>
      </c>
      <c r="D407" s="9" t="s">
        <v>41</v>
      </c>
      <c r="E407" s="9">
        <v>1000</v>
      </c>
      <c r="F407" s="9">
        <v>61</v>
      </c>
      <c r="G407" s="9" t="s">
        <v>3062</v>
      </c>
      <c r="H407" s="10" t="s">
        <v>164</v>
      </c>
      <c r="I407" s="9" t="s">
        <v>20</v>
      </c>
    </row>
    <row r="408" spans="1:9">
      <c r="A408" s="9" t="s">
        <v>3077</v>
      </c>
      <c r="B408" s="9" t="s">
        <v>17</v>
      </c>
      <c r="C408" s="9">
        <v>61</v>
      </c>
      <c r="D408" s="9" t="s">
        <v>41</v>
      </c>
      <c r="E408" s="9">
        <v>1000</v>
      </c>
      <c r="F408" s="9">
        <v>61</v>
      </c>
      <c r="G408" s="9" t="s">
        <v>3062</v>
      </c>
      <c r="H408" s="10" t="s">
        <v>164</v>
      </c>
      <c r="I408" s="9" t="s">
        <v>20</v>
      </c>
    </row>
    <row r="409" spans="1:9">
      <c r="A409" s="9" t="s">
        <v>3078</v>
      </c>
      <c r="B409" s="9" t="s">
        <v>17</v>
      </c>
      <c r="C409" s="9">
        <v>61</v>
      </c>
      <c r="D409" s="9" t="s">
        <v>41</v>
      </c>
      <c r="E409" s="9">
        <v>1000</v>
      </c>
      <c r="F409" s="9">
        <v>61</v>
      </c>
      <c r="G409" s="9" t="s">
        <v>3062</v>
      </c>
      <c r="H409" s="10" t="s">
        <v>164</v>
      </c>
      <c r="I409" s="9" t="s">
        <v>20</v>
      </c>
    </row>
    <row r="410" spans="1:9">
      <c r="A410" s="9" t="s">
        <v>3079</v>
      </c>
      <c r="B410" s="9" t="s">
        <v>17</v>
      </c>
      <c r="C410" s="9">
        <v>61</v>
      </c>
      <c r="D410" s="9" t="s">
        <v>41</v>
      </c>
      <c r="E410" s="9">
        <v>1000</v>
      </c>
      <c r="F410" s="9">
        <v>61</v>
      </c>
      <c r="G410" s="9" t="s">
        <v>3062</v>
      </c>
      <c r="H410" s="10" t="s">
        <v>164</v>
      </c>
      <c r="I410" s="9" t="s">
        <v>20</v>
      </c>
    </row>
    <row r="411" spans="1:9">
      <c r="A411" s="9" t="s">
        <v>3080</v>
      </c>
      <c r="B411" s="9" t="s">
        <v>17</v>
      </c>
      <c r="C411" s="9">
        <v>61</v>
      </c>
      <c r="D411" s="9" t="s">
        <v>41</v>
      </c>
      <c r="E411" s="9">
        <v>1000</v>
      </c>
      <c r="F411" s="9">
        <v>61</v>
      </c>
      <c r="G411" s="9" t="s">
        <v>3062</v>
      </c>
      <c r="H411" s="10" t="s">
        <v>164</v>
      </c>
      <c r="I411" s="9" t="s">
        <v>20</v>
      </c>
    </row>
    <row r="412" spans="1:9">
      <c r="A412" s="9" t="s">
        <v>3081</v>
      </c>
      <c r="B412" s="9" t="s">
        <v>17</v>
      </c>
      <c r="C412" s="9">
        <v>61</v>
      </c>
      <c r="D412" s="9" t="s">
        <v>41</v>
      </c>
      <c r="E412" s="9">
        <v>1000</v>
      </c>
      <c r="F412" s="9">
        <v>61</v>
      </c>
      <c r="G412" s="9" t="s">
        <v>3062</v>
      </c>
      <c r="H412" s="10" t="s">
        <v>164</v>
      </c>
      <c r="I412" s="9" t="s">
        <v>20</v>
      </c>
    </row>
    <row r="413" spans="1:9">
      <c r="A413" s="9" t="s">
        <v>3082</v>
      </c>
      <c r="B413" s="9" t="s">
        <v>17</v>
      </c>
      <c r="C413" s="9">
        <v>61</v>
      </c>
      <c r="D413" s="9" t="s">
        <v>41</v>
      </c>
      <c r="E413" s="9">
        <v>1000</v>
      </c>
      <c r="F413" s="9">
        <v>61</v>
      </c>
      <c r="G413" s="9" t="s">
        <v>3062</v>
      </c>
      <c r="H413" s="10" t="s">
        <v>164</v>
      </c>
      <c r="I413" s="9" t="s">
        <v>20</v>
      </c>
    </row>
    <row r="414" spans="1:9">
      <c r="A414" s="9" t="s">
        <v>3083</v>
      </c>
      <c r="B414" s="9" t="s">
        <v>17</v>
      </c>
      <c r="C414" s="9">
        <v>61</v>
      </c>
      <c r="D414" s="9" t="s">
        <v>41</v>
      </c>
      <c r="E414" s="9">
        <v>1000</v>
      </c>
      <c r="F414" s="9">
        <v>61</v>
      </c>
      <c r="G414" s="9" t="s">
        <v>3062</v>
      </c>
      <c r="H414" s="10" t="s">
        <v>164</v>
      </c>
      <c r="I414" s="9" t="s">
        <v>20</v>
      </c>
    </row>
    <row r="415" spans="1:9">
      <c r="A415" s="9" t="s">
        <v>3084</v>
      </c>
      <c r="B415" s="9" t="s">
        <v>17</v>
      </c>
      <c r="C415" s="9">
        <v>61</v>
      </c>
      <c r="D415" s="9" t="s">
        <v>41</v>
      </c>
      <c r="E415" s="9">
        <v>1000</v>
      </c>
      <c r="F415" s="9">
        <v>61</v>
      </c>
      <c r="G415" s="9" t="s">
        <v>3062</v>
      </c>
      <c r="H415" s="10" t="s">
        <v>164</v>
      </c>
      <c r="I415" s="9" t="s">
        <v>20</v>
      </c>
    </row>
    <row r="416" spans="1:9">
      <c r="A416" s="9" t="s">
        <v>3085</v>
      </c>
      <c r="B416" s="9" t="s">
        <v>17</v>
      </c>
      <c r="C416" s="9">
        <v>61</v>
      </c>
      <c r="D416" s="9" t="s">
        <v>41</v>
      </c>
      <c r="E416" s="9">
        <v>1000</v>
      </c>
      <c r="F416" s="9">
        <v>61</v>
      </c>
      <c r="G416" s="9" t="s">
        <v>3062</v>
      </c>
      <c r="H416" s="10" t="s">
        <v>164</v>
      </c>
      <c r="I416" s="9" t="s">
        <v>20</v>
      </c>
    </row>
    <row r="417" spans="1:9">
      <c r="A417" s="9" t="s">
        <v>3086</v>
      </c>
      <c r="B417" s="9" t="s">
        <v>17</v>
      </c>
      <c r="C417" s="9">
        <v>61</v>
      </c>
      <c r="D417" s="9" t="s">
        <v>41</v>
      </c>
      <c r="E417" s="9">
        <v>1000</v>
      </c>
      <c r="F417" s="9">
        <v>61</v>
      </c>
      <c r="G417" s="9" t="s">
        <v>3062</v>
      </c>
      <c r="H417" s="10" t="s">
        <v>164</v>
      </c>
      <c r="I417" s="9" t="s">
        <v>20</v>
      </c>
    </row>
    <row r="418" spans="1:9">
      <c r="A418" s="9" t="s">
        <v>3087</v>
      </c>
      <c r="B418" s="9" t="s">
        <v>17</v>
      </c>
      <c r="C418" s="9">
        <v>61</v>
      </c>
      <c r="D418" s="9" t="s">
        <v>41</v>
      </c>
      <c r="E418" s="9">
        <v>1000</v>
      </c>
      <c r="F418" s="9">
        <v>61</v>
      </c>
      <c r="G418" s="9" t="s">
        <v>3062</v>
      </c>
      <c r="H418" s="10" t="s">
        <v>164</v>
      </c>
      <c r="I418" s="9" t="s">
        <v>20</v>
      </c>
    </row>
    <row r="419" spans="1:9">
      <c r="A419" s="9" t="s">
        <v>3088</v>
      </c>
      <c r="B419" s="9" t="s">
        <v>17</v>
      </c>
      <c r="C419" s="9">
        <v>61</v>
      </c>
      <c r="D419" s="9" t="s">
        <v>41</v>
      </c>
      <c r="E419" s="9">
        <v>1000</v>
      </c>
      <c r="F419" s="9">
        <v>61</v>
      </c>
      <c r="G419" s="9" t="s">
        <v>3062</v>
      </c>
      <c r="H419" s="10" t="s">
        <v>164</v>
      </c>
      <c r="I419" s="9" t="s">
        <v>20</v>
      </c>
    </row>
    <row r="420" spans="1:9">
      <c r="A420" s="9" t="s">
        <v>3089</v>
      </c>
      <c r="B420" s="9" t="s">
        <v>17</v>
      </c>
      <c r="C420" s="9">
        <v>61</v>
      </c>
      <c r="D420" s="9" t="s">
        <v>41</v>
      </c>
      <c r="E420" s="9">
        <v>1000</v>
      </c>
      <c r="F420" s="9">
        <v>61</v>
      </c>
      <c r="G420" s="9" t="s">
        <v>3062</v>
      </c>
      <c r="H420" s="10" t="s">
        <v>164</v>
      </c>
      <c r="I420" s="9" t="s">
        <v>20</v>
      </c>
    </row>
    <row r="421" spans="1:9">
      <c r="A421" s="9" t="s">
        <v>3090</v>
      </c>
      <c r="B421" s="9" t="s">
        <v>17</v>
      </c>
      <c r="C421" s="9">
        <v>61</v>
      </c>
      <c r="D421" s="9" t="s">
        <v>41</v>
      </c>
      <c r="E421" s="9">
        <v>1000</v>
      </c>
      <c r="F421" s="9">
        <v>61</v>
      </c>
      <c r="G421" s="9" t="s">
        <v>3062</v>
      </c>
      <c r="H421" s="10" t="s">
        <v>164</v>
      </c>
      <c r="I421" s="9" t="s">
        <v>20</v>
      </c>
    </row>
    <row r="422" spans="1:9">
      <c r="A422" s="9" t="s">
        <v>3091</v>
      </c>
      <c r="B422" s="9" t="s">
        <v>17</v>
      </c>
      <c r="C422" s="9">
        <v>61</v>
      </c>
      <c r="D422" s="9" t="s">
        <v>41</v>
      </c>
      <c r="E422" s="9">
        <v>1000</v>
      </c>
      <c r="F422" s="9">
        <v>61</v>
      </c>
      <c r="G422" s="9" t="s">
        <v>3062</v>
      </c>
      <c r="H422" s="10" t="s">
        <v>164</v>
      </c>
      <c r="I422" s="9" t="s">
        <v>20</v>
      </c>
    </row>
    <row r="423" spans="1:9">
      <c r="A423" s="9" t="s">
        <v>3092</v>
      </c>
      <c r="B423" s="9" t="s">
        <v>17</v>
      </c>
      <c r="C423" s="9">
        <v>61</v>
      </c>
      <c r="D423" s="9" t="s">
        <v>41</v>
      </c>
      <c r="E423" s="9">
        <v>1000</v>
      </c>
      <c r="F423" s="9">
        <v>61</v>
      </c>
      <c r="G423" s="9" t="s">
        <v>3062</v>
      </c>
      <c r="H423" s="10" t="s">
        <v>164</v>
      </c>
      <c r="I423" s="9" t="s">
        <v>20</v>
      </c>
    </row>
    <row r="424" spans="1:9">
      <c r="A424" s="9" t="s">
        <v>3093</v>
      </c>
      <c r="B424" s="9" t="s">
        <v>17</v>
      </c>
      <c r="C424" s="9">
        <v>61</v>
      </c>
      <c r="D424" s="9" t="s">
        <v>41</v>
      </c>
      <c r="E424" s="9">
        <v>1000</v>
      </c>
      <c r="F424" s="9">
        <v>61</v>
      </c>
      <c r="G424" s="9" t="s">
        <v>3062</v>
      </c>
      <c r="H424" s="10" t="s">
        <v>164</v>
      </c>
      <c r="I424" s="9" t="s">
        <v>20</v>
      </c>
    </row>
    <row r="425" spans="1:9">
      <c r="A425" s="9" t="s">
        <v>3094</v>
      </c>
      <c r="B425" s="9" t="s">
        <v>17</v>
      </c>
      <c r="C425" s="9">
        <v>61</v>
      </c>
      <c r="D425" s="9" t="s">
        <v>41</v>
      </c>
      <c r="E425" s="9">
        <v>1000</v>
      </c>
      <c r="F425" s="9">
        <v>61</v>
      </c>
      <c r="G425" s="9" t="s">
        <v>3062</v>
      </c>
      <c r="H425" s="10" t="s">
        <v>164</v>
      </c>
      <c r="I425" s="9" t="s">
        <v>20</v>
      </c>
    </row>
    <row r="426" spans="1:9">
      <c r="A426" s="9" t="s">
        <v>3095</v>
      </c>
      <c r="B426" s="9" t="s">
        <v>17</v>
      </c>
      <c r="C426" s="9">
        <v>61</v>
      </c>
      <c r="D426" s="9" t="s">
        <v>41</v>
      </c>
      <c r="E426" s="9">
        <v>1000</v>
      </c>
      <c r="F426" s="9">
        <v>61</v>
      </c>
      <c r="G426" s="9" t="s">
        <v>3062</v>
      </c>
      <c r="H426" s="10" t="s">
        <v>164</v>
      </c>
      <c r="I426" s="9" t="s">
        <v>20</v>
      </c>
    </row>
    <row r="427" spans="1:9">
      <c r="A427" s="9" t="s">
        <v>3096</v>
      </c>
      <c r="B427" s="9" t="s">
        <v>17</v>
      </c>
      <c r="C427" s="9">
        <v>61</v>
      </c>
      <c r="D427" s="9" t="s">
        <v>41</v>
      </c>
      <c r="E427" s="9">
        <v>1000</v>
      </c>
      <c r="F427" s="9">
        <v>61</v>
      </c>
      <c r="G427" s="9" t="s">
        <v>3062</v>
      </c>
      <c r="H427" s="10" t="s">
        <v>164</v>
      </c>
      <c r="I427" s="9" t="s">
        <v>20</v>
      </c>
    </row>
    <row r="428" spans="1:9">
      <c r="A428" s="9" t="s">
        <v>3097</v>
      </c>
      <c r="B428" s="9" t="s">
        <v>17</v>
      </c>
      <c r="C428" s="9">
        <v>61</v>
      </c>
      <c r="D428" s="9" t="s">
        <v>41</v>
      </c>
      <c r="E428" s="9">
        <v>1000</v>
      </c>
      <c r="F428" s="9">
        <v>61</v>
      </c>
      <c r="G428" s="9" t="s">
        <v>3062</v>
      </c>
      <c r="H428" s="10" t="s">
        <v>164</v>
      </c>
      <c r="I428" s="9" t="s">
        <v>20</v>
      </c>
    </row>
    <row r="429" spans="1:9">
      <c r="A429" s="9" t="s">
        <v>3098</v>
      </c>
      <c r="B429" s="9" t="s">
        <v>17</v>
      </c>
      <c r="C429" s="9">
        <v>61</v>
      </c>
      <c r="D429" s="9" t="s">
        <v>41</v>
      </c>
      <c r="E429" s="9">
        <v>1000</v>
      </c>
      <c r="F429" s="9">
        <v>61</v>
      </c>
      <c r="G429" s="9" t="s">
        <v>3062</v>
      </c>
      <c r="H429" s="10" t="s">
        <v>164</v>
      </c>
      <c r="I429" s="9" t="s">
        <v>20</v>
      </c>
    </row>
    <row r="430" spans="1:9">
      <c r="A430" s="9" t="s">
        <v>3099</v>
      </c>
      <c r="B430" s="9" t="s">
        <v>17</v>
      </c>
      <c r="C430" s="9">
        <v>61</v>
      </c>
      <c r="D430" s="9" t="s">
        <v>41</v>
      </c>
      <c r="E430" s="9">
        <v>1000</v>
      </c>
      <c r="F430" s="9">
        <v>61</v>
      </c>
      <c r="G430" s="9" t="s">
        <v>3062</v>
      </c>
      <c r="H430" s="10" t="s">
        <v>164</v>
      </c>
      <c r="I430" s="9" t="s">
        <v>20</v>
      </c>
    </row>
    <row r="431" spans="1:9">
      <c r="A431" s="9" t="s">
        <v>3100</v>
      </c>
      <c r="B431" s="9" t="s">
        <v>17</v>
      </c>
      <c r="C431" s="9">
        <v>61</v>
      </c>
      <c r="D431" s="9" t="s">
        <v>41</v>
      </c>
      <c r="E431" s="9">
        <v>1000</v>
      </c>
      <c r="F431" s="9">
        <v>61</v>
      </c>
      <c r="G431" s="9" t="s">
        <v>3062</v>
      </c>
      <c r="H431" s="10" t="s">
        <v>164</v>
      </c>
      <c r="I431" s="9" t="s">
        <v>20</v>
      </c>
    </row>
    <row r="432" spans="1:9">
      <c r="A432" s="9" t="s">
        <v>3101</v>
      </c>
      <c r="B432" s="9" t="s">
        <v>17</v>
      </c>
      <c r="C432" s="9">
        <v>61</v>
      </c>
      <c r="D432" s="9" t="s">
        <v>41</v>
      </c>
      <c r="E432" s="9">
        <v>1000</v>
      </c>
      <c r="F432" s="9">
        <v>61</v>
      </c>
      <c r="G432" s="9" t="s">
        <v>3062</v>
      </c>
      <c r="H432" s="10" t="s">
        <v>164</v>
      </c>
      <c r="I432" s="9" t="s">
        <v>20</v>
      </c>
    </row>
    <row r="433" spans="1:9">
      <c r="A433" s="9" t="s">
        <v>3102</v>
      </c>
      <c r="B433" s="9" t="s">
        <v>17</v>
      </c>
      <c r="C433" s="9">
        <v>61</v>
      </c>
      <c r="D433" s="9" t="s">
        <v>41</v>
      </c>
      <c r="E433" s="9">
        <v>1000</v>
      </c>
      <c r="F433" s="9">
        <v>61</v>
      </c>
      <c r="G433" s="9" t="s">
        <v>3062</v>
      </c>
      <c r="H433" s="10" t="s">
        <v>164</v>
      </c>
      <c r="I433" s="9" t="s">
        <v>20</v>
      </c>
    </row>
    <row r="434" spans="1:9">
      <c r="A434" s="9" t="s">
        <v>3103</v>
      </c>
      <c r="B434" s="9" t="s">
        <v>17</v>
      </c>
      <c r="C434" s="9">
        <v>61</v>
      </c>
      <c r="D434" s="9" t="s">
        <v>41</v>
      </c>
      <c r="E434" s="9">
        <v>1000</v>
      </c>
      <c r="F434" s="9">
        <v>61</v>
      </c>
      <c r="G434" s="9" t="s">
        <v>3062</v>
      </c>
      <c r="H434" s="10" t="s">
        <v>164</v>
      </c>
      <c r="I434" s="9" t="s">
        <v>20</v>
      </c>
    </row>
    <row r="435" spans="1:9">
      <c r="A435" s="9" t="s">
        <v>3104</v>
      </c>
      <c r="B435" s="9" t="s">
        <v>17</v>
      </c>
      <c r="C435" s="9">
        <v>61</v>
      </c>
      <c r="D435" s="9" t="s">
        <v>41</v>
      </c>
      <c r="E435" s="9">
        <v>1000</v>
      </c>
      <c r="F435" s="9">
        <v>61</v>
      </c>
      <c r="G435" s="9" t="s">
        <v>3062</v>
      </c>
      <c r="H435" s="10" t="s">
        <v>164</v>
      </c>
      <c r="I435" s="9" t="s">
        <v>20</v>
      </c>
    </row>
    <row r="436" spans="1:9">
      <c r="A436" s="9" t="s">
        <v>3105</v>
      </c>
      <c r="B436" s="9" t="s">
        <v>17</v>
      </c>
      <c r="C436" s="9">
        <v>61</v>
      </c>
      <c r="D436" s="9" t="s">
        <v>41</v>
      </c>
      <c r="E436" s="9">
        <v>1000</v>
      </c>
      <c r="F436" s="9">
        <v>61</v>
      </c>
      <c r="G436" s="9" t="s">
        <v>3062</v>
      </c>
      <c r="H436" s="10" t="s">
        <v>164</v>
      </c>
      <c r="I436" s="9" t="s">
        <v>20</v>
      </c>
    </row>
    <row r="437" spans="1:9">
      <c r="A437" s="9" t="s">
        <v>3106</v>
      </c>
      <c r="B437" s="9" t="s">
        <v>17</v>
      </c>
      <c r="C437" s="9">
        <v>61</v>
      </c>
      <c r="D437" s="9" t="s">
        <v>41</v>
      </c>
      <c r="E437" s="9">
        <v>1000</v>
      </c>
      <c r="F437" s="9">
        <v>61</v>
      </c>
      <c r="G437" s="9" t="s">
        <v>3062</v>
      </c>
      <c r="H437" s="10" t="s">
        <v>164</v>
      </c>
      <c r="I437" s="9" t="s">
        <v>20</v>
      </c>
    </row>
    <row r="438" spans="1:9">
      <c r="A438" s="9" t="s">
        <v>3107</v>
      </c>
      <c r="B438" s="9" t="s">
        <v>17</v>
      </c>
      <c r="C438" s="9">
        <v>61</v>
      </c>
      <c r="D438" s="9" t="s">
        <v>41</v>
      </c>
      <c r="E438" s="9">
        <v>1000</v>
      </c>
      <c r="F438" s="9">
        <v>61</v>
      </c>
      <c r="G438" s="9" t="s">
        <v>3062</v>
      </c>
      <c r="H438" s="10" t="s">
        <v>164</v>
      </c>
      <c r="I438" s="9" t="s">
        <v>20</v>
      </c>
    </row>
    <row r="439" spans="1:9">
      <c r="A439" s="9" t="s">
        <v>3108</v>
      </c>
      <c r="B439" s="9" t="s">
        <v>17</v>
      </c>
      <c r="C439" s="9">
        <v>61</v>
      </c>
      <c r="D439" s="9" t="s">
        <v>41</v>
      </c>
      <c r="E439" s="9">
        <v>1000</v>
      </c>
      <c r="F439" s="9">
        <v>61</v>
      </c>
      <c r="G439" s="9" t="s">
        <v>3062</v>
      </c>
      <c r="H439" s="10" t="s">
        <v>164</v>
      </c>
      <c r="I439" s="9" t="s">
        <v>20</v>
      </c>
    </row>
    <row r="440" spans="1:9">
      <c r="A440" s="9" t="s">
        <v>3109</v>
      </c>
      <c r="B440" s="9" t="s">
        <v>17</v>
      </c>
      <c r="C440" s="9">
        <v>61</v>
      </c>
      <c r="D440" s="9" t="s">
        <v>41</v>
      </c>
      <c r="E440" s="9">
        <v>1000</v>
      </c>
      <c r="F440" s="9">
        <v>61</v>
      </c>
      <c r="G440" s="9" t="s">
        <v>3062</v>
      </c>
      <c r="H440" s="10" t="s">
        <v>164</v>
      </c>
      <c r="I440" s="9" t="s">
        <v>20</v>
      </c>
    </row>
    <row r="441" spans="1:9">
      <c r="A441" s="9" t="s">
        <v>3110</v>
      </c>
      <c r="B441" s="9" t="s">
        <v>17</v>
      </c>
      <c r="C441" s="9">
        <v>61</v>
      </c>
      <c r="D441" s="9" t="s">
        <v>41</v>
      </c>
      <c r="E441" s="9">
        <v>1000</v>
      </c>
      <c r="F441" s="9">
        <v>61</v>
      </c>
      <c r="G441" s="9" t="s">
        <v>3062</v>
      </c>
      <c r="H441" s="10" t="s">
        <v>164</v>
      </c>
      <c r="I441" s="9" t="s">
        <v>20</v>
      </c>
    </row>
    <row r="442" spans="1:9">
      <c r="A442" s="9" t="s">
        <v>3111</v>
      </c>
      <c r="B442" s="9" t="s">
        <v>17</v>
      </c>
      <c r="C442" s="9">
        <v>61</v>
      </c>
      <c r="D442" s="9" t="s">
        <v>41</v>
      </c>
      <c r="E442" s="9">
        <v>1000</v>
      </c>
      <c r="F442" s="9">
        <v>61</v>
      </c>
      <c r="G442" s="9" t="s">
        <v>3062</v>
      </c>
      <c r="H442" s="10" t="s">
        <v>164</v>
      </c>
      <c r="I442" s="9" t="s">
        <v>20</v>
      </c>
    </row>
    <row r="443" spans="1:9">
      <c r="A443" s="9" t="s">
        <v>3112</v>
      </c>
      <c r="B443" s="9" t="s">
        <v>17</v>
      </c>
      <c r="C443" s="9">
        <v>61</v>
      </c>
      <c r="D443" s="9" t="s">
        <v>41</v>
      </c>
      <c r="E443" s="9">
        <v>1000</v>
      </c>
      <c r="F443" s="9">
        <v>61</v>
      </c>
      <c r="G443" s="9" t="s">
        <v>3062</v>
      </c>
      <c r="H443" s="10" t="s">
        <v>164</v>
      </c>
      <c r="I443" s="9" t="s">
        <v>20</v>
      </c>
    </row>
    <row r="444" spans="1:9">
      <c r="A444" s="9" t="s">
        <v>3113</v>
      </c>
      <c r="B444" s="9" t="s">
        <v>17</v>
      </c>
      <c r="C444" s="9">
        <v>61</v>
      </c>
      <c r="D444" s="9" t="s">
        <v>41</v>
      </c>
      <c r="E444" s="9">
        <v>1000</v>
      </c>
      <c r="F444" s="9">
        <v>61</v>
      </c>
      <c r="G444" s="9" t="s">
        <v>3062</v>
      </c>
      <c r="H444" s="10" t="s">
        <v>164</v>
      </c>
      <c r="I444" s="9" t="s">
        <v>20</v>
      </c>
    </row>
    <row r="445" spans="1:9">
      <c r="A445" s="9" t="s">
        <v>3114</v>
      </c>
      <c r="B445" s="9" t="s">
        <v>17</v>
      </c>
      <c r="C445" s="9">
        <v>61</v>
      </c>
      <c r="D445" s="9" t="s">
        <v>41</v>
      </c>
      <c r="E445" s="9">
        <v>1000</v>
      </c>
      <c r="F445" s="9">
        <v>61</v>
      </c>
      <c r="G445" s="9" t="s">
        <v>3062</v>
      </c>
      <c r="H445" s="10" t="s">
        <v>164</v>
      </c>
      <c r="I445" s="9" t="s">
        <v>20</v>
      </c>
    </row>
    <row r="446" spans="1:9">
      <c r="A446" s="9" t="s">
        <v>3115</v>
      </c>
      <c r="B446" s="9" t="s">
        <v>17</v>
      </c>
      <c r="C446" s="9">
        <v>61</v>
      </c>
      <c r="D446" s="9" t="s">
        <v>41</v>
      </c>
      <c r="E446" s="9">
        <v>1000</v>
      </c>
      <c r="F446" s="9">
        <v>61</v>
      </c>
      <c r="G446" s="9" t="s">
        <v>3062</v>
      </c>
      <c r="H446" s="10" t="s">
        <v>164</v>
      </c>
      <c r="I446" s="9" t="s">
        <v>20</v>
      </c>
    </row>
    <row r="447" spans="1:9">
      <c r="A447" s="9" t="s">
        <v>3116</v>
      </c>
      <c r="B447" s="9" t="s">
        <v>17</v>
      </c>
      <c r="C447" s="9">
        <v>61</v>
      </c>
      <c r="D447" s="9" t="s">
        <v>41</v>
      </c>
      <c r="E447" s="9">
        <v>1000</v>
      </c>
      <c r="F447" s="9">
        <v>61</v>
      </c>
      <c r="G447" s="9" t="s">
        <v>3062</v>
      </c>
      <c r="H447" s="10" t="s">
        <v>164</v>
      </c>
      <c r="I447" s="9" t="s">
        <v>20</v>
      </c>
    </row>
    <row r="448" spans="1:9">
      <c r="A448" s="9" t="s">
        <v>3117</v>
      </c>
      <c r="B448" s="9" t="s">
        <v>17</v>
      </c>
      <c r="C448" s="9">
        <v>61</v>
      </c>
      <c r="D448" s="9" t="s">
        <v>41</v>
      </c>
      <c r="E448" s="9">
        <v>1000</v>
      </c>
      <c r="F448" s="9">
        <v>61</v>
      </c>
      <c r="G448" s="9" t="s">
        <v>3062</v>
      </c>
      <c r="H448" s="10" t="s">
        <v>164</v>
      </c>
      <c r="I448" s="9" t="s">
        <v>20</v>
      </c>
    </row>
    <row r="449" spans="1:9">
      <c r="A449" s="9" t="s">
        <v>3118</v>
      </c>
      <c r="B449" s="9" t="s">
        <v>17</v>
      </c>
      <c r="C449" s="9">
        <v>61</v>
      </c>
      <c r="D449" s="9" t="s">
        <v>41</v>
      </c>
      <c r="E449" s="9">
        <v>1000</v>
      </c>
      <c r="F449" s="9">
        <v>61</v>
      </c>
      <c r="G449" s="9" t="s">
        <v>3062</v>
      </c>
      <c r="H449" s="10" t="s">
        <v>164</v>
      </c>
      <c r="I449" s="9" t="s">
        <v>20</v>
      </c>
    </row>
    <row r="450" spans="1:9">
      <c r="A450" s="9" t="s">
        <v>3119</v>
      </c>
      <c r="B450" s="9" t="s">
        <v>17</v>
      </c>
      <c r="C450" s="9">
        <v>61</v>
      </c>
      <c r="D450" s="9" t="s">
        <v>41</v>
      </c>
      <c r="E450" s="9">
        <v>1000</v>
      </c>
      <c r="F450" s="9">
        <v>61</v>
      </c>
      <c r="G450" s="9" t="s">
        <v>3062</v>
      </c>
      <c r="H450" s="10" t="s">
        <v>164</v>
      </c>
      <c r="I450" s="9" t="s">
        <v>20</v>
      </c>
    </row>
    <row r="451" spans="1:9">
      <c r="A451" s="9" t="s">
        <v>3120</v>
      </c>
      <c r="B451" s="9" t="s">
        <v>17</v>
      </c>
      <c r="C451" s="9">
        <v>61</v>
      </c>
      <c r="D451" s="9" t="s">
        <v>41</v>
      </c>
      <c r="E451" s="9">
        <v>1000</v>
      </c>
      <c r="F451" s="9">
        <v>61</v>
      </c>
      <c r="G451" s="9" t="s">
        <v>3062</v>
      </c>
      <c r="H451" s="10" t="s">
        <v>164</v>
      </c>
      <c r="I451" s="9" t="s">
        <v>20</v>
      </c>
    </row>
    <row r="452" spans="1:9">
      <c r="A452" s="9" t="s">
        <v>3121</v>
      </c>
      <c r="B452" s="9" t="s">
        <v>17</v>
      </c>
      <c r="C452" s="9">
        <v>61</v>
      </c>
      <c r="D452" s="9" t="s">
        <v>41</v>
      </c>
      <c r="E452" s="9">
        <v>1000</v>
      </c>
      <c r="F452" s="9">
        <v>61</v>
      </c>
      <c r="G452" s="9" t="s">
        <v>3062</v>
      </c>
      <c r="H452" s="10" t="s">
        <v>164</v>
      </c>
      <c r="I452" s="9" t="s">
        <v>20</v>
      </c>
    </row>
    <row r="453" spans="1:9">
      <c r="A453" s="9" t="s">
        <v>3122</v>
      </c>
      <c r="B453" s="9" t="s">
        <v>17</v>
      </c>
      <c r="C453" s="9">
        <v>61</v>
      </c>
      <c r="D453" s="9" t="s">
        <v>41</v>
      </c>
      <c r="E453" s="9">
        <v>1000</v>
      </c>
      <c r="F453" s="9">
        <v>61</v>
      </c>
      <c r="G453" s="9" t="s">
        <v>3062</v>
      </c>
      <c r="H453" s="10" t="s">
        <v>164</v>
      </c>
      <c r="I453" s="9" t="s">
        <v>20</v>
      </c>
    </row>
    <row r="454" spans="1:9">
      <c r="A454" s="9" t="s">
        <v>3123</v>
      </c>
      <c r="B454" s="9" t="s">
        <v>17</v>
      </c>
      <c r="C454" s="9">
        <v>61</v>
      </c>
      <c r="D454" s="9" t="s">
        <v>41</v>
      </c>
      <c r="E454" s="9">
        <v>1000</v>
      </c>
      <c r="F454" s="9">
        <v>61</v>
      </c>
      <c r="G454" s="9" t="s">
        <v>3062</v>
      </c>
      <c r="H454" s="10" t="s">
        <v>164</v>
      </c>
      <c r="I454" s="9" t="s">
        <v>20</v>
      </c>
    </row>
    <row r="455" spans="1:9">
      <c r="A455" s="9" t="s">
        <v>3124</v>
      </c>
      <c r="B455" s="9" t="s">
        <v>17</v>
      </c>
      <c r="C455" s="9">
        <v>61</v>
      </c>
      <c r="D455" s="9" t="s">
        <v>41</v>
      </c>
      <c r="E455" s="9">
        <v>1000</v>
      </c>
      <c r="F455" s="9">
        <v>61</v>
      </c>
      <c r="G455" s="9" t="s">
        <v>3062</v>
      </c>
      <c r="H455" s="10" t="s">
        <v>164</v>
      </c>
      <c r="I455" s="9" t="s">
        <v>20</v>
      </c>
    </row>
    <row r="456" spans="1:9">
      <c r="A456" s="9" t="s">
        <v>3125</v>
      </c>
      <c r="B456" s="9" t="s">
        <v>17</v>
      </c>
      <c r="C456" s="9">
        <v>61</v>
      </c>
      <c r="D456" s="9" t="s">
        <v>41</v>
      </c>
      <c r="E456" s="9">
        <v>1000</v>
      </c>
      <c r="F456" s="9">
        <v>61</v>
      </c>
      <c r="G456" s="9" t="s">
        <v>3062</v>
      </c>
      <c r="H456" s="10" t="s">
        <v>164</v>
      </c>
      <c r="I456" s="9" t="s">
        <v>20</v>
      </c>
    </row>
    <row r="457" spans="1:9">
      <c r="A457" s="9" t="s">
        <v>3126</v>
      </c>
      <c r="B457" s="9" t="s">
        <v>17</v>
      </c>
      <c r="C457" s="9">
        <v>61</v>
      </c>
      <c r="D457" s="9" t="s">
        <v>41</v>
      </c>
      <c r="E457" s="9">
        <v>1000</v>
      </c>
      <c r="F457" s="9">
        <v>11</v>
      </c>
      <c r="G457" s="9" t="s">
        <v>18</v>
      </c>
      <c r="H457" s="10" t="s">
        <v>164</v>
      </c>
      <c r="I457" s="9" t="s">
        <v>20</v>
      </c>
    </row>
    <row r="458" spans="1:9">
      <c r="A458" s="9" t="s">
        <v>3127</v>
      </c>
      <c r="B458" s="9" t="s">
        <v>17</v>
      </c>
      <c r="C458" s="9">
        <v>61</v>
      </c>
      <c r="D458" s="9" t="s">
        <v>41</v>
      </c>
      <c r="E458" s="9">
        <v>1000</v>
      </c>
      <c r="F458" s="9">
        <v>11</v>
      </c>
      <c r="G458" s="9" t="s">
        <v>18</v>
      </c>
      <c r="H458" s="10" t="s">
        <v>164</v>
      </c>
      <c r="I458" s="9" t="s">
        <v>20</v>
      </c>
    </row>
    <row r="459" spans="1:9">
      <c r="A459" s="9" t="s">
        <v>3128</v>
      </c>
      <c r="B459" s="9" t="s">
        <v>17</v>
      </c>
      <c r="C459" s="9">
        <v>61</v>
      </c>
      <c r="D459" s="9" t="s">
        <v>41</v>
      </c>
      <c r="E459" s="9">
        <v>1000</v>
      </c>
      <c r="F459" s="9">
        <v>10</v>
      </c>
      <c r="G459" s="9" t="s">
        <v>18</v>
      </c>
      <c r="H459" s="10" t="s">
        <v>164</v>
      </c>
      <c r="I459" s="9" t="s">
        <v>20</v>
      </c>
    </row>
    <row r="460" spans="1:9">
      <c r="A460" s="9" t="s">
        <v>3129</v>
      </c>
      <c r="B460" s="9" t="s">
        <v>17</v>
      </c>
      <c r="C460" s="9">
        <v>61</v>
      </c>
      <c r="D460" s="9" t="s">
        <v>41</v>
      </c>
      <c r="E460" s="9">
        <v>1000</v>
      </c>
      <c r="F460" s="9">
        <v>10</v>
      </c>
      <c r="G460" s="9" t="s">
        <v>18</v>
      </c>
      <c r="H460" s="10" t="s">
        <v>164</v>
      </c>
      <c r="I460" s="9" t="s">
        <v>20</v>
      </c>
    </row>
    <row r="461" spans="1:9">
      <c r="A461" s="9" t="s">
        <v>3130</v>
      </c>
      <c r="B461" s="9" t="s">
        <v>17</v>
      </c>
      <c r="C461" s="9">
        <v>61</v>
      </c>
      <c r="D461" s="9" t="s">
        <v>41</v>
      </c>
      <c r="E461" s="9">
        <v>1000</v>
      </c>
      <c r="F461" s="9">
        <v>16</v>
      </c>
      <c r="G461" s="9" t="s">
        <v>18</v>
      </c>
      <c r="H461" s="10" t="s">
        <v>164</v>
      </c>
      <c r="I461" s="9" t="s">
        <v>20</v>
      </c>
    </row>
    <row r="462" spans="1:9">
      <c r="A462" s="9" t="s">
        <v>3131</v>
      </c>
      <c r="B462" s="9" t="s">
        <v>17</v>
      </c>
      <c r="C462" s="9">
        <v>61</v>
      </c>
      <c r="D462" s="9" t="s">
        <v>41</v>
      </c>
      <c r="E462" s="9">
        <v>1000</v>
      </c>
      <c r="F462" s="9">
        <v>61</v>
      </c>
      <c r="G462" s="9" t="s">
        <v>18</v>
      </c>
      <c r="H462" s="10" t="s">
        <v>164</v>
      </c>
      <c r="I462" s="9" t="s">
        <v>20</v>
      </c>
    </row>
    <row r="463" spans="1:9">
      <c r="A463" s="9" t="s">
        <v>3132</v>
      </c>
      <c r="B463" s="9" t="s">
        <v>17</v>
      </c>
      <c r="C463" s="9">
        <v>61</v>
      </c>
      <c r="D463" s="9" t="s">
        <v>41</v>
      </c>
      <c r="E463" s="9">
        <v>1000</v>
      </c>
      <c r="F463" s="9">
        <v>61</v>
      </c>
      <c r="G463" s="9" t="s">
        <v>18</v>
      </c>
      <c r="H463" s="10" t="s">
        <v>164</v>
      </c>
      <c r="I463" s="9" t="s">
        <v>20</v>
      </c>
    </row>
    <row r="464" spans="1:9">
      <c r="A464" s="9" t="s">
        <v>3133</v>
      </c>
      <c r="B464" s="9" t="s">
        <v>17</v>
      </c>
      <c r="C464" s="9">
        <v>61</v>
      </c>
      <c r="D464" s="9" t="s">
        <v>41</v>
      </c>
      <c r="E464" s="9">
        <v>1000</v>
      </c>
      <c r="F464" s="9">
        <v>61</v>
      </c>
      <c r="G464" s="9" t="s">
        <v>18</v>
      </c>
      <c r="H464" s="10" t="s">
        <v>164</v>
      </c>
      <c r="I464" s="9" t="s">
        <v>20</v>
      </c>
    </row>
    <row r="465" spans="1:9">
      <c r="A465" s="9" t="s">
        <v>3134</v>
      </c>
      <c r="B465" s="9" t="s">
        <v>17</v>
      </c>
      <c r="C465" s="9">
        <v>61</v>
      </c>
      <c r="D465" s="9" t="s">
        <v>41</v>
      </c>
      <c r="E465" s="9">
        <v>1000</v>
      </c>
      <c r="F465" s="9">
        <v>61</v>
      </c>
      <c r="G465" s="9" t="s">
        <v>18</v>
      </c>
      <c r="H465" s="10" t="s">
        <v>164</v>
      </c>
      <c r="I465" s="9" t="s">
        <v>20</v>
      </c>
    </row>
    <row r="466" spans="1:9">
      <c r="A466" s="9" t="s">
        <v>3135</v>
      </c>
      <c r="B466" s="9" t="s">
        <v>17</v>
      </c>
      <c r="C466" s="9">
        <v>61</v>
      </c>
      <c r="D466" s="9" t="s">
        <v>41</v>
      </c>
      <c r="E466" s="9">
        <v>1000</v>
      </c>
      <c r="F466" s="9">
        <v>61</v>
      </c>
      <c r="G466" s="9" t="s">
        <v>18</v>
      </c>
      <c r="H466" s="10" t="s">
        <v>164</v>
      </c>
      <c r="I466" s="9" t="s">
        <v>20</v>
      </c>
    </row>
    <row r="467" spans="1:9">
      <c r="A467" s="9" t="s">
        <v>3136</v>
      </c>
      <c r="B467" s="9" t="s">
        <v>17</v>
      </c>
      <c r="C467" s="9">
        <v>61</v>
      </c>
      <c r="D467" s="9" t="s">
        <v>41</v>
      </c>
      <c r="E467" s="9">
        <v>1000</v>
      </c>
      <c r="F467" s="9">
        <v>61</v>
      </c>
      <c r="G467" s="9" t="s">
        <v>18</v>
      </c>
      <c r="H467" s="10" t="s">
        <v>164</v>
      </c>
      <c r="I467" s="9" t="s">
        <v>20</v>
      </c>
    </row>
    <row r="468" spans="1:9">
      <c r="A468" s="9" t="s">
        <v>3137</v>
      </c>
      <c r="B468" s="9" t="s">
        <v>17</v>
      </c>
      <c r="C468" s="9">
        <v>61</v>
      </c>
      <c r="D468" s="9" t="s">
        <v>41</v>
      </c>
      <c r="E468" s="9">
        <v>1000</v>
      </c>
      <c r="F468" s="9">
        <v>61</v>
      </c>
      <c r="G468" s="9" t="s">
        <v>18</v>
      </c>
      <c r="H468" s="10" t="s">
        <v>164</v>
      </c>
      <c r="I468" s="9" t="s">
        <v>20</v>
      </c>
    </row>
    <row r="469" spans="1:9">
      <c r="A469" s="9" t="s">
        <v>3138</v>
      </c>
      <c r="B469" s="9" t="s">
        <v>17</v>
      </c>
      <c r="C469" s="9">
        <v>61</v>
      </c>
      <c r="D469" s="9" t="s">
        <v>41</v>
      </c>
      <c r="E469" s="9">
        <v>1000</v>
      </c>
      <c r="F469" s="9">
        <v>61</v>
      </c>
      <c r="G469" s="9" t="s">
        <v>18</v>
      </c>
      <c r="H469" s="10" t="s">
        <v>164</v>
      </c>
      <c r="I469" s="9" t="s">
        <v>20</v>
      </c>
    </row>
    <row r="470" spans="1:9">
      <c r="A470" s="9" t="s">
        <v>3139</v>
      </c>
      <c r="B470" s="9" t="s">
        <v>17</v>
      </c>
      <c r="C470" s="9">
        <v>61</v>
      </c>
      <c r="D470" s="9" t="s">
        <v>41</v>
      </c>
      <c r="E470" s="9">
        <v>1000</v>
      </c>
      <c r="F470" s="9">
        <v>61</v>
      </c>
      <c r="G470" s="9" t="s">
        <v>18</v>
      </c>
      <c r="H470" s="10" t="s">
        <v>164</v>
      </c>
      <c r="I470" s="9" t="s">
        <v>20</v>
      </c>
    </row>
    <row r="471" spans="1:9">
      <c r="A471" s="9" t="s">
        <v>3140</v>
      </c>
      <c r="B471" s="9" t="s">
        <v>17</v>
      </c>
      <c r="C471" s="9">
        <v>61</v>
      </c>
      <c r="D471" s="9" t="s">
        <v>41</v>
      </c>
      <c r="E471" s="9">
        <v>1000</v>
      </c>
      <c r="F471" s="9">
        <v>61</v>
      </c>
      <c r="G471" s="9" t="s">
        <v>18</v>
      </c>
      <c r="H471" s="10" t="s">
        <v>164</v>
      </c>
      <c r="I471" s="9" t="s">
        <v>20</v>
      </c>
    </row>
    <row r="472" spans="1:9">
      <c r="A472" s="9" t="s">
        <v>3141</v>
      </c>
      <c r="B472" s="9" t="s">
        <v>17</v>
      </c>
      <c r="C472" s="9">
        <v>61</v>
      </c>
      <c r="D472" s="9" t="s">
        <v>41</v>
      </c>
      <c r="E472" s="9">
        <v>0</v>
      </c>
      <c r="F472" s="9">
        <v>95</v>
      </c>
      <c r="G472" s="9" t="s">
        <v>3142</v>
      </c>
      <c r="H472" s="10" t="s">
        <v>164</v>
      </c>
      <c r="I472" s="9" t="s">
        <v>20</v>
      </c>
    </row>
    <row r="473" spans="1:9">
      <c r="A473" s="9" t="s">
        <v>3143</v>
      </c>
      <c r="B473" s="9" t="s">
        <v>17</v>
      </c>
      <c r="C473" s="9">
        <v>61</v>
      </c>
      <c r="D473" s="9" t="s">
        <v>41</v>
      </c>
      <c r="E473" s="9">
        <v>1000</v>
      </c>
      <c r="F473" s="9">
        <v>61</v>
      </c>
      <c r="G473" s="9" t="s">
        <v>3142</v>
      </c>
      <c r="H473" s="10" t="s">
        <v>164</v>
      </c>
      <c r="I473" s="9" t="s">
        <v>20</v>
      </c>
    </row>
    <row r="474" spans="1:9">
      <c r="A474" s="9" t="s">
        <v>3144</v>
      </c>
      <c r="B474" s="9" t="s">
        <v>17</v>
      </c>
      <c r="C474" s="9">
        <v>61</v>
      </c>
      <c r="D474" s="9" t="s">
        <v>41</v>
      </c>
      <c r="E474" s="9">
        <v>1000</v>
      </c>
      <c r="F474" s="9">
        <v>61</v>
      </c>
      <c r="G474" s="9" t="s">
        <v>3142</v>
      </c>
      <c r="H474" s="10" t="s">
        <v>164</v>
      </c>
      <c r="I474" s="9" t="s">
        <v>20</v>
      </c>
    </row>
    <row r="475" spans="1:9">
      <c r="A475" s="9" t="s">
        <v>3145</v>
      </c>
      <c r="B475" s="9" t="s">
        <v>17</v>
      </c>
      <c r="C475" s="9">
        <v>61</v>
      </c>
      <c r="D475" s="9" t="s">
        <v>41</v>
      </c>
      <c r="E475" s="9">
        <v>1000</v>
      </c>
      <c r="F475" s="9">
        <v>61</v>
      </c>
      <c r="G475" s="9" t="s">
        <v>3142</v>
      </c>
      <c r="H475" s="10" t="s">
        <v>164</v>
      </c>
      <c r="I475" s="9" t="s">
        <v>20</v>
      </c>
    </row>
    <row r="476" spans="1:9">
      <c r="A476" s="9" t="s">
        <v>3146</v>
      </c>
      <c r="B476" s="9" t="s">
        <v>17</v>
      </c>
      <c r="C476" s="9">
        <v>61</v>
      </c>
      <c r="D476" s="9" t="s">
        <v>41</v>
      </c>
      <c r="E476" s="9">
        <v>1000</v>
      </c>
      <c r="F476" s="9">
        <v>61</v>
      </c>
      <c r="G476" s="9" t="s">
        <v>3142</v>
      </c>
      <c r="H476" s="10" t="s">
        <v>164</v>
      </c>
      <c r="I476" s="9" t="s">
        <v>20</v>
      </c>
    </row>
    <row r="477" spans="1:9">
      <c r="A477" s="9" t="s">
        <v>3147</v>
      </c>
      <c r="B477" s="9" t="s">
        <v>17</v>
      </c>
      <c r="C477" s="9">
        <v>61</v>
      </c>
      <c r="D477" s="9" t="s">
        <v>41</v>
      </c>
      <c r="E477" s="9">
        <v>1000</v>
      </c>
      <c r="F477" s="9">
        <v>61</v>
      </c>
      <c r="G477" s="9" t="s">
        <v>3142</v>
      </c>
      <c r="H477" s="10" t="s">
        <v>164</v>
      </c>
      <c r="I477" s="9" t="s">
        <v>20</v>
      </c>
    </row>
    <row r="478" spans="1:9">
      <c r="A478" s="9" t="s">
        <v>3148</v>
      </c>
      <c r="B478" s="9" t="s">
        <v>17</v>
      </c>
      <c r="C478" s="9">
        <v>61</v>
      </c>
      <c r="D478" s="9" t="s">
        <v>41</v>
      </c>
      <c r="E478" s="9">
        <v>1000</v>
      </c>
      <c r="F478" s="9">
        <v>61</v>
      </c>
      <c r="G478" s="9" t="s">
        <v>3142</v>
      </c>
      <c r="H478" s="10" t="s">
        <v>164</v>
      </c>
      <c r="I478" s="9" t="s">
        <v>20</v>
      </c>
    </row>
    <row r="479" spans="1:9">
      <c r="A479" s="9" t="s">
        <v>3149</v>
      </c>
      <c r="B479" s="9" t="s">
        <v>17</v>
      </c>
      <c r="C479" s="9">
        <v>61</v>
      </c>
      <c r="D479" s="9" t="s">
        <v>41</v>
      </c>
      <c r="E479" s="9">
        <v>1000</v>
      </c>
      <c r="F479" s="9">
        <v>61</v>
      </c>
      <c r="G479" s="9" t="s">
        <v>3142</v>
      </c>
      <c r="H479" s="10" t="s">
        <v>164</v>
      </c>
      <c r="I479" s="9" t="s">
        <v>20</v>
      </c>
    </row>
    <row r="480" spans="1:9">
      <c r="A480" s="9" t="s">
        <v>3150</v>
      </c>
      <c r="B480" s="9" t="s">
        <v>17</v>
      </c>
      <c r="C480" s="9">
        <v>61</v>
      </c>
      <c r="D480" s="9" t="s">
        <v>41</v>
      </c>
      <c r="E480" s="9">
        <v>1000</v>
      </c>
      <c r="F480" s="9">
        <v>61</v>
      </c>
      <c r="G480" s="9" t="s">
        <v>3142</v>
      </c>
      <c r="H480" s="10" t="s">
        <v>164</v>
      </c>
      <c r="I480" s="9" t="s">
        <v>20</v>
      </c>
    </row>
    <row r="481" spans="1:9">
      <c r="A481" s="9" t="s">
        <v>3151</v>
      </c>
      <c r="B481" s="9" t="s">
        <v>17</v>
      </c>
      <c r="C481" s="9">
        <v>61</v>
      </c>
      <c r="D481" s="9" t="s">
        <v>41</v>
      </c>
      <c r="E481" s="9">
        <v>1000</v>
      </c>
      <c r="F481" s="9">
        <v>61</v>
      </c>
      <c r="G481" s="9" t="s">
        <v>3142</v>
      </c>
      <c r="H481" s="10" t="s">
        <v>164</v>
      </c>
      <c r="I481" s="9" t="s">
        <v>20</v>
      </c>
    </row>
    <row r="482" spans="1:9">
      <c r="A482" s="9" t="s">
        <v>3152</v>
      </c>
      <c r="B482" s="9" t="s">
        <v>17</v>
      </c>
      <c r="C482" s="9">
        <v>61</v>
      </c>
      <c r="D482" s="9" t="s">
        <v>41</v>
      </c>
      <c r="E482" s="9">
        <v>1000</v>
      </c>
      <c r="F482" s="9">
        <v>61</v>
      </c>
      <c r="G482" s="9" t="s">
        <v>3142</v>
      </c>
      <c r="H482" s="10" t="s">
        <v>164</v>
      </c>
      <c r="I482" s="9" t="s">
        <v>20</v>
      </c>
    </row>
    <row r="483" spans="1:9">
      <c r="A483" s="9" t="s">
        <v>3153</v>
      </c>
      <c r="B483" s="9" t="s">
        <v>17</v>
      </c>
      <c r="C483" s="9">
        <v>61</v>
      </c>
      <c r="D483" s="9" t="s">
        <v>41</v>
      </c>
      <c r="E483" s="9">
        <v>1000</v>
      </c>
      <c r="F483" s="9">
        <v>61</v>
      </c>
      <c r="G483" s="9" t="s">
        <v>3142</v>
      </c>
      <c r="H483" s="10" t="s">
        <v>164</v>
      </c>
      <c r="I483" s="9" t="s">
        <v>20</v>
      </c>
    </row>
    <row r="484" spans="1:9">
      <c r="A484" s="9" t="s">
        <v>3154</v>
      </c>
      <c r="B484" s="9" t="s">
        <v>17</v>
      </c>
      <c r="C484" s="9">
        <v>61</v>
      </c>
      <c r="D484" s="9" t="s">
        <v>41</v>
      </c>
      <c r="E484" s="9">
        <v>1000</v>
      </c>
      <c r="F484" s="9">
        <v>61</v>
      </c>
      <c r="G484" s="9" t="s">
        <v>3142</v>
      </c>
      <c r="H484" s="10" t="s">
        <v>164</v>
      </c>
      <c r="I484" s="9" t="s">
        <v>20</v>
      </c>
    </row>
    <row r="485" spans="1:9">
      <c r="A485" s="9" t="s">
        <v>3155</v>
      </c>
      <c r="B485" s="9" t="s">
        <v>17</v>
      </c>
      <c r="C485" s="9">
        <v>61</v>
      </c>
      <c r="D485" s="9" t="s">
        <v>41</v>
      </c>
      <c r="E485" s="9">
        <v>1000</v>
      </c>
      <c r="F485" s="9">
        <v>90</v>
      </c>
      <c r="G485" s="9" t="s">
        <v>3142</v>
      </c>
      <c r="H485" s="10" t="s">
        <v>164</v>
      </c>
      <c r="I485" s="9" t="s">
        <v>20</v>
      </c>
    </row>
    <row r="486" spans="1:9">
      <c r="A486" s="9" t="s">
        <v>3156</v>
      </c>
      <c r="B486" s="9" t="s">
        <v>17</v>
      </c>
      <c r="C486" s="9">
        <v>61</v>
      </c>
      <c r="D486" s="9" t="s">
        <v>41</v>
      </c>
      <c r="E486" s="9">
        <v>1000</v>
      </c>
      <c r="F486" s="9">
        <v>72</v>
      </c>
      <c r="G486" s="9" t="s">
        <v>18</v>
      </c>
      <c r="H486" s="10" t="s">
        <v>164</v>
      </c>
      <c r="I486" s="9" t="s">
        <v>20</v>
      </c>
    </row>
    <row r="487" spans="1:9">
      <c r="A487" s="9" t="s">
        <v>3157</v>
      </c>
      <c r="B487" s="9" t="s">
        <v>17</v>
      </c>
      <c r="C487" s="9">
        <v>61</v>
      </c>
      <c r="D487" s="9" t="s">
        <v>41</v>
      </c>
      <c r="E487" s="9">
        <v>1000</v>
      </c>
      <c r="F487" s="9">
        <v>7</v>
      </c>
      <c r="G487" s="9" t="s">
        <v>18</v>
      </c>
      <c r="H487" s="10" t="s">
        <v>164</v>
      </c>
      <c r="I487" s="9" t="s">
        <v>20</v>
      </c>
    </row>
    <row r="488" spans="1:9">
      <c r="A488" s="9" t="s">
        <v>3158</v>
      </c>
      <c r="B488" s="9" t="s">
        <v>17</v>
      </c>
      <c r="C488" s="9">
        <v>61</v>
      </c>
      <c r="D488" s="9" t="s">
        <v>41</v>
      </c>
      <c r="E488" s="9">
        <v>1000</v>
      </c>
      <c r="F488" s="9">
        <v>61</v>
      </c>
      <c r="G488" s="9" t="s">
        <v>18</v>
      </c>
      <c r="H488" s="10" t="s">
        <v>164</v>
      </c>
      <c r="I488" s="9" t="s">
        <v>20</v>
      </c>
    </row>
    <row r="489" spans="1:9">
      <c r="A489" s="9" t="s">
        <v>3159</v>
      </c>
      <c r="B489" s="9" t="s">
        <v>17</v>
      </c>
      <c r="C489" s="9">
        <v>61</v>
      </c>
      <c r="D489" s="9" t="s">
        <v>41</v>
      </c>
      <c r="E489" s="9">
        <v>1000</v>
      </c>
      <c r="F489" s="9">
        <v>61</v>
      </c>
      <c r="G489" s="9" t="s">
        <v>18</v>
      </c>
      <c r="H489" s="10" t="s">
        <v>164</v>
      </c>
      <c r="I489" s="9" t="s">
        <v>20</v>
      </c>
    </row>
    <row r="490" spans="1:9">
      <c r="A490" s="9" t="s">
        <v>3160</v>
      </c>
      <c r="B490" s="9" t="s">
        <v>17</v>
      </c>
      <c r="C490" s="9">
        <v>61</v>
      </c>
      <c r="D490" s="9" t="s">
        <v>41</v>
      </c>
      <c r="E490" s="9">
        <v>1000</v>
      </c>
      <c r="F490" s="9">
        <v>61</v>
      </c>
      <c r="G490" s="9" t="s">
        <v>18</v>
      </c>
      <c r="H490" s="10" t="s">
        <v>164</v>
      </c>
      <c r="I490" s="9" t="s">
        <v>20</v>
      </c>
    </row>
    <row r="491" spans="1:9">
      <c r="A491" s="9" t="s">
        <v>3161</v>
      </c>
      <c r="B491" s="9" t="s">
        <v>17</v>
      </c>
      <c r="C491" s="9">
        <v>61</v>
      </c>
      <c r="D491" s="9" t="s">
        <v>41</v>
      </c>
      <c r="E491" s="9">
        <v>1000</v>
      </c>
      <c r="F491" s="9">
        <v>61</v>
      </c>
      <c r="G491" s="9" t="s">
        <v>18</v>
      </c>
      <c r="H491" s="10" t="s">
        <v>164</v>
      </c>
      <c r="I491" s="9" t="s">
        <v>20</v>
      </c>
    </row>
    <row r="492" spans="1:9">
      <c r="A492" s="9" t="s">
        <v>3162</v>
      </c>
      <c r="B492" s="9" t="s">
        <v>17</v>
      </c>
      <c r="C492" s="9">
        <v>61</v>
      </c>
      <c r="D492" s="9" t="s">
        <v>41</v>
      </c>
      <c r="E492" s="9">
        <v>1000</v>
      </c>
      <c r="F492" s="9">
        <v>61</v>
      </c>
      <c r="G492" s="9" t="s">
        <v>18</v>
      </c>
      <c r="H492" s="10" t="s">
        <v>164</v>
      </c>
      <c r="I492" s="9" t="s">
        <v>20</v>
      </c>
    </row>
    <row r="493" spans="1:9">
      <c r="A493" s="9" t="s">
        <v>3163</v>
      </c>
      <c r="B493" s="9" t="s">
        <v>17</v>
      </c>
      <c r="C493" s="9">
        <v>61</v>
      </c>
      <c r="D493" s="9" t="s">
        <v>41</v>
      </c>
      <c r="E493" s="9">
        <v>1000</v>
      </c>
      <c r="F493" s="9">
        <v>61</v>
      </c>
      <c r="G493" s="9" t="s">
        <v>18</v>
      </c>
      <c r="H493" s="10" t="s">
        <v>164</v>
      </c>
      <c r="I493" s="9" t="s">
        <v>20</v>
      </c>
    </row>
    <row r="494" spans="1:9">
      <c r="A494" s="9" t="s">
        <v>3164</v>
      </c>
      <c r="B494" s="9" t="s">
        <v>17</v>
      </c>
      <c r="C494" s="9">
        <v>61</v>
      </c>
      <c r="D494" s="9" t="s">
        <v>41</v>
      </c>
      <c r="E494" s="9">
        <v>1000</v>
      </c>
      <c r="F494" s="9">
        <v>61</v>
      </c>
      <c r="G494" s="9" t="s">
        <v>18</v>
      </c>
      <c r="H494" s="10" t="s">
        <v>164</v>
      </c>
      <c r="I494" s="9" t="s">
        <v>20</v>
      </c>
    </row>
    <row r="495" spans="1:9">
      <c r="A495" s="9" t="s">
        <v>3165</v>
      </c>
      <c r="B495" s="9" t="s">
        <v>17</v>
      </c>
      <c r="C495" s="9">
        <v>61</v>
      </c>
      <c r="D495" s="9" t="s">
        <v>41</v>
      </c>
      <c r="E495" s="9">
        <v>1000</v>
      </c>
      <c r="F495" s="9">
        <v>61</v>
      </c>
      <c r="G495" s="9" t="s">
        <v>18</v>
      </c>
      <c r="H495" s="10" t="s">
        <v>164</v>
      </c>
      <c r="I495" s="9" t="s">
        <v>20</v>
      </c>
    </row>
    <row r="496" spans="1:9">
      <c r="A496" s="9" t="s">
        <v>3166</v>
      </c>
      <c r="B496" s="9" t="s">
        <v>17</v>
      </c>
      <c r="C496" s="9">
        <v>61</v>
      </c>
      <c r="D496" s="9" t="s">
        <v>41</v>
      </c>
      <c r="E496" s="9">
        <v>1000</v>
      </c>
      <c r="F496" s="9">
        <v>61</v>
      </c>
      <c r="G496" s="9" t="s">
        <v>18</v>
      </c>
      <c r="H496" s="10" t="s">
        <v>164</v>
      </c>
      <c r="I496" s="9" t="s">
        <v>20</v>
      </c>
    </row>
    <row r="497" spans="1:15">
      <c r="A497" s="9" t="s">
        <v>3167</v>
      </c>
      <c r="B497" s="9" t="s">
        <v>17</v>
      </c>
      <c r="C497" s="9">
        <v>61</v>
      </c>
      <c r="D497" s="9" t="s">
        <v>41</v>
      </c>
      <c r="E497" s="9">
        <v>1000</v>
      </c>
      <c r="F497" s="9">
        <v>61</v>
      </c>
      <c r="G497" s="9" t="s">
        <v>18</v>
      </c>
      <c r="H497" s="10" t="s">
        <v>164</v>
      </c>
      <c r="I497" s="9" t="s">
        <v>20</v>
      </c>
    </row>
    <row r="498" spans="1:15">
      <c r="A498" s="9" t="s">
        <v>3168</v>
      </c>
      <c r="B498" s="9" t="s">
        <v>17</v>
      </c>
      <c r="C498" s="9">
        <v>61</v>
      </c>
      <c r="D498" s="9" t="s">
        <v>41</v>
      </c>
      <c r="E498" s="9">
        <v>1000</v>
      </c>
      <c r="F498" s="9">
        <v>61</v>
      </c>
      <c r="G498" s="9" t="s">
        <v>18</v>
      </c>
      <c r="H498" s="10" t="s">
        <v>164</v>
      </c>
      <c r="I498" s="9" t="s">
        <v>20</v>
      </c>
    </row>
    <row r="499" spans="1:15">
      <c r="A499" s="9" t="s">
        <v>3169</v>
      </c>
      <c r="B499" s="9" t="s">
        <v>17</v>
      </c>
      <c r="C499" s="9">
        <v>61</v>
      </c>
      <c r="D499" s="9" t="s">
        <v>41</v>
      </c>
      <c r="E499" s="9">
        <v>1000</v>
      </c>
      <c r="F499" s="9">
        <v>61</v>
      </c>
      <c r="G499" s="9" t="s">
        <v>18</v>
      </c>
      <c r="H499" s="10" t="s">
        <v>164</v>
      </c>
      <c r="I499" s="9" t="s">
        <v>20</v>
      </c>
    </row>
    <row r="500" spans="1:15">
      <c r="A500" s="9" t="s">
        <v>3170</v>
      </c>
      <c r="B500" s="9" t="s">
        <v>17</v>
      </c>
      <c r="C500" s="9">
        <v>61</v>
      </c>
      <c r="D500" s="9" t="s">
        <v>41</v>
      </c>
      <c r="E500" s="9">
        <v>1000</v>
      </c>
      <c r="F500" s="9">
        <v>61</v>
      </c>
      <c r="G500" s="9" t="s">
        <v>18</v>
      </c>
      <c r="H500" s="10" t="s">
        <v>164</v>
      </c>
      <c r="I500" s="9" t="s">
        <v>20</v>
      </c>
    </row>
    <row r="501" spans="1:15">
      <c r="A501" s="9" t="s">
        <v>3171</v>
      </c>
      <c r="B501" s="9" t="s">
        <v>17</v>
      </c>
      <c r="C501" s="9">
        <v>61</v>
      </c>
      <c r="D501" s="9" t="s">
        <v>41</v>
      </c>
      <c r="E501" s="9">
        <v>1000</v>
      </c>
      <c r="F501" s="9">
        <v>61</v>
      </c>
      <c r="G501" s="9" t="s">
        <v>18</v>
      </c>
      <c r="H501" s="10" t="s">
        <v>164</v>
      </c>
      <c r="I501" s="9" t="s">
        <v>20</v>
      </c>
    </row>
    <row r="502" spans="1:15">
      <c r="A502" s="9" t="s">
        <v>3172</v>
      </c>
      <c r="B502" s="9" t="s">
        <v>17</v>
      </c>
      <c r="C502" s="9">
        <v>61</v>
      </c>
      <c r="D502" s="9" t="s">
        <v>41</v>
      </c>
      <c r="E502" s="9">
        <v>1000</v>
      </c>
      <c r="F502" s="9">
        <v>42</v>
      </c>
      <c r="G502" s="9" t="s">
        <v>18</v>
      </c>
      <c r="H502" s="10" t="s">
        <v>164</v>
      </c>
      <c r="I502" s="9" t="s">
        <v>20</v>
      </c>
    </row>
    <row r="503" spans="1:15">
      <c r="A503" s="9" t="s">
        <v>3173</v>
      </c>
      <c r="B503" s="9" t="s">
        <v>17</v>
      </c>
      <c r="C503" s="9">
        <v>61</v>
      </c>
      <c r="D503" s="9" t="s">
        <v>41</v>
      </c>
      <c r="E503" s="9">
        <v>0</v>
      </c>
      <c r="F503" s="9">
        <v>61</v>
      </c>
      <c r="G503" s="9" t="s">
        <v>18</v>
      </c>
      <c r="H503" s="10" t="s">
        <v>164</v>
      </c>
      <c r="I503" s="9" t="s">
        <v>20</v>
      </c>
      <c r="J503" t="s">
        <v>2617</v>
      </c>
      <c r="M503" t="s">
        <v>3174</v>
      </c>
      <c r="N503" t="s">
        <v>2246</v>
      </c>
      <c r="O503" t="str">
        <f>"condorProc.py --series "&amp;A503&amp;" --dumps a --procenv environments/pymidas_HVmf.env"</f>
        <v>condorProc.py --series 07161202_1511 --dumps a --procenv environments/pymidas_HVmf.env</v>
      </c>
    </row>
    <row r="504" spans="1:15">
      <c r="A504" s="9" t="s">
        <v>3175</v>
      </c>
      <c r="B504" s="9" t="s">
        <v>17</v>
      </c>
      <c r="C504" s="9">
        <v>61</v>
      </c>
      <c r="D504" s="9" t="s">
        <v>41</v>
      </c>
      <c r="E504" s="9">
        <v>0</v>
      </c>
      <c r="F504" s="9">
        <v>61</v>
      </c>
      <c r="G504" s="9" t="s">
        <v>18</v>
      </c>
      <c r="H504" s="10" t="s">
        <v>164</v>
      </c>
      <c r="I504" s="9" t="s">
        <v>20</v>
      </c>
      <c r="J504" t="s">
        <v>2617</v>
      </c>
      <c r="M504" t="s">
        <v>3174</v>
      </c>
      <c r="N504" t="s">
        <v>2246</v>
      </c>
      <c r="O504" t="str">
        <f t="shared" ref="O504:O510" si="0">"condorProc.py --series "&amp;A504&amp;" --dumps a --procenv environments/pymidas_HVmf.env"</f>
        <v>condorProc.py --series 07161202_1611 --dumps a --procenv environments/pymidas_HVmf.env</v>
      </c>
    </row>
    <row r="505" spans="1:15">
      <c r="A505" s="9" t="s">
        <v>3176</v>
      </c>
      <c r="B505" s="9" t="s">
        <v>17</v>
      </c>
      <c r="C505" s="9">
        <v>61</v>
      </c>
      <c r="D505" s="9" t="s">
        <v>41</v>
      </c>
      <c r="E505" s="9">
        <v>0</v>
      </c>
      <c r="F505" s="9">
        <v>61</v>
      </c>
      <c r="G505" s="9" t="s">
        <v>18</v>
      </c>
      <c r="H505" s="10" t="s">
        <v>164</v>
      </c>
      <c r="I505" s="9" t="s">
        <v>20</v>
      </c>
      <c r="J505" t="s">
        <v>2617</v>
      </c>
      <c r="M505" t="s">
        <v>3174</v>
      </c>
      <c r="N505" t="s">
        <v>2246</v>
      </c>
      <c r="O505" t="str">
        <f t="shared" si="0"/>
        <v>condorProc.py --series 07161202_1711 --dumps a --procenv environments/pymidas_HVmf.env</v>
      </c>
    </row>
    <row r="506" spans="1:15">
      <c r="A506" s="9" t="s">
        <v>3177</v>
      </c>
      <c r="B506" s="9" t="s">
        <v>17</v>
      </c>
      <c r="C506" s="9">
        <v>61</v>
      </c>
      <c r="D506" s="9" t="s">
        <v>41</v>
      </c>
      <c r="E506" s="9">
        <v>0</v>
      </c>
      <c r="F506" s="9">
        <v>61</v>
      </c>
      <c r="G506" s="9" t="s">
        <v>18</v>
      </c>
      <c r="H506" s="10" t="s">
        <v>164</v>
      </c>
      <c r="I506" s="9" t="s">
        <v>20</v>
      </c>
      <c r="J506" t="s">
        <v>2617</v>
      </c>
      <c r="M506" t="s">
        <v>3174</v>
      </c>
      <c r="N506" t="s">
        <v>2246</v>
      </c>
      <c r="O506" t="str">
        <f t="shared" si="0"/>
        <v>condorProc.py --series 07161202_1811 --dumps a --procenv environments/pymidas_HVmf.env</v>
      </c>
    </row>
    <row r="507" spans="1:15">
      <c r="A507" s="9" t="s">
        <v>3178</v>
      </c>
      <c r="B507" s="9" t="s">
        <v>17</v>
      </c>
      <c r="C507" s="9">
        <v>61</v>
      </c>
      <c r="D507" s="9" t="s">
        <v>41</v>
      </c>
      <c r="E507" s="9">
        <v>0</v>
      </c>
      <c r="F507" s="9">
        <v>61</v>
      </c>
      <c r="G507" s="9" t="s">
        <v>18</v>
      </c>
      <c r="H507" s="10" t="s">
        <v>164</v>
      </c>
      <c r="I507" s="9" t="s">
        <v>20</v>
      </c>
      <c r="J507" t="s">
        <v>2617</v>
      </c>
      <c r="M507" t="s">
        <v>3174</v>
      </c>
      <c r="N507" t="s">
        <v>2246</v>
      </c>
      <c r="O507" t="str">
        <f t="shared" si="0"/>
        <v>condorProc.py --series 07161202_1911 --dumps a --procenv environments/pymidas_HVmf.env</v>
      </c>
    </row>
    <row r="508" spans="1:15">
      <c r="A508" s="9" t="s">
        <v>3179</v>
      </c>
      <c r="B508" s="9" t="s">
        <v>17</v>
      </c>
      <c r="C508" s="9">
        <v>61</v>
      </c>
      <c r="D508" s="9" t="s">
        <v>41</v>
      </c>
      <c r="E508" s="9">
        <v>0</v>
      </c>
      <c r="F508" s="9">
        <v>61</v>
      </c>
      <c r="G508" s="9" t="s">
        <v>18</v>
      </c>
      <c r="H508" s="10" t="s">
        <v>164</v>
      </c>
      <c r="I508" s="9" t="s">
        <v>20</v>
      </c>
      <c r="J508" t="s">
        <v>2617</v>
      </c>
      <c r="M508" t="s">
        <v>3174</v>
      </c>
      <c r="N508" t="s">
        <v>2246</v>
      </c>
      <c r="O508" t="str">
        <f t="shared" si="0"/>
        <v>condorProc.py --series 07161202_2012 --dumps a --procenv environments/pymidas_HVmf.env</v>
      </c>
    </row>
    <row r="509" spans="1:15">
      <c r="A509" s="9" t="s">
        <v>3180</v>
      </c>
      <c r="B509" s="9" t="s">
        <v>17</v>
      </c>
      <c r="C509" s="9">
        <v>61</v>
      </c>
      <c r="D509" s="9" t="s">
        <v>41</v>
      </c>
      <c r="E509" s="9">
        <v>0</v>
      </c>
      <c r="F509" s="9">
        <v>61</v>
      </c>
      <c r="G509" s="9" t="s">
        <v>18</v>
      </c>
      <c r="H509" s="10" t="s">
        <v>164</v>
      </c>
      <c r="I509" s="9" t="s">
        <v>20</v>
      </c>
      <c r="J509" t="s">
        <v>2617</v>
      </c>
      <c r="M509" t="s">
        <v>3174</v>
      </c>
      <c r="N509" t="s">
        <v>2246</v>
      </c>
      <c r="O509" t="str">
        <f t="shared" si="0"/>
        <v>condorProc.py --series 07161202_2112 --dumps a --procenv environments/pymidas_HVmf.env</v>
      </c>
    </row>
    <row r="510" spans="1:15">
      <c r="A510" s="9" t="s">
        <v>3181</v>
      </c>
      <c r="B510" s="9" t="s">
        <v>17</v>
      </c>
      <c r="C510" s="9">
        <v>61</v>
      </c>
      <c r="D510" s="9" t="s">
        <v>41</v>
      </c>
      <c r="E510" s="9">
        <v>0</v>
      </c>
      <c r="F510" s="9">
        <v>61</v>
      </c>
      <c r="G510" s="9" t="s">
        <v>18</v>
      </c>
      <c r="H510" s="10" t="s">
        <v>164</v>
      </c>
      <c r="I510" s="9" t="s">
        <v>20</v>
      </c>
      <c r="J510" t="s">
        <v>2617</v>
      </c>
      <c r="M510" t="s">
        <v>3174</v>
      </c>
      <c r="N510" t="s">
        <v>2246</v>
      </c>
      <c r="O510" t="str">
        <f t="shared" si="0"/>
        <v>condorProc.py --series 07161202_2212 --dumps a --procenv environments/pymidas_HVmf.env</v>
      </c>
    </row>
    <row r="511" spans="1:15">
      <c r="A511" s="9" t="s">
        <v>3182</v>
      </c>
      <c r="B511" s="9" t="s">
        <v>17</v>
      </c>
      <c r="C511" s="9">
        <v>61</v>
      </c>
      <c r="D511" s="9" t="s">
        <v>41</v>
      </c>
      <c r="E511" s="9">
        <v>0</v>
      </c>
      <c r="F511" s="9">
        <v>61</v>
      </c>
      <c r="G511" s="9" t="s">
        <v>18</v>
      </c>
      <c r="H511" s="10" t="s">
        <v>164</v>
      </c>
      <c r="I511" s="9" t="s">
        <v>20</v>
      </c>
      <c r="J511" t="s">
        <v>2617</v>
      </c>
      <c r="L511" t="s">
        <v>3183</v>
      </c>
      <c r="M511" t="s">
        <v>3174</v>
      </c>
    </row>
    <row r="512" spans="1:15">
      <c r="A512" s="9" t="s">
        <v>3184</v>
      </c>
      <c r="B512" s="9" t="s">
        <v>17</v>
      </c>
      <c r="C512" s="9">
        <v>61</v>
      </c>
      <c r="D512" s="9" t="s">
        <v>41</v>
      </c>
      <c r="E512" s="9">
        <v>0</v>
      </c>
      <c r="F512" s="9">
        <v>61</v>
      </c>
      <c r="G512" s="9" t="s">
        <v>18</v>
      </c>
      <c r="H512" s="10" t="s">
        <v>164</v>
      </c>
      <c r="I512" s="9" t="s">
        <v>20</v>
      </c>
      <c r="J512" t="s">
        <v>2617</v>
      </c>
      <c r="L512" t="s">
        <v>2645</v>
      </c>
      <c r="M512" t="s">
        <v>3174</v>
      </c>
    </row>
    <row r="513" spans="1:13">
      <c r="A513" s="9" t="s">
        <v>3185</v>
      </c>
      <c r="B513" s="9" t="s">
        <v>17</v>
      </c>
      <c r="C513" s="9">
        <v>61</v>
      </c>
      <c r="D513" s="9" t="s">
        <v>41</v>
      </c>
      <c r="E513" s="9">
        <v>0</v>
      </c>
      <c r="F513" s="9">
        <v>61</v>
      </c>
      <c r="G513" s="9" t="s">
        <v>18</v>
      </c>
      <c r="H513" s="10" t="s">
        <v>164</v>
      </c>
      <c r="I513" s="9" t="s">
        <v>20</v>
      </c>
      <c r="J513" t="s">
        <v>2617</v>
      </c>
      <c r="L513" t="s">
        <v>2645</v>
      </c>
      <c r="M513" t="s">
        <v>3174</v>
      </c>
    </row>
    <row r="514" spans="1:13">
      <c r="A514" s="9" t="s">
        <v>3186</v>
      </c>
      <c r="B514" s="9" t="s">
        <v>17</v>
      </c>
      <c r="C514" s="9">
        <v>61</v>
      </c>
      <c r="D514" s="9" t="s">
        <v>41</v>
      </c>
      <c r="E514" s="9">
        <v>0</v>
      </c>
      <c r="F514" s="9">
        <v>61</v>
      </c>
      <c r="G514" s="9" t="s">
        <v>18</v>
      </c>
      <c r="H514" s="10" t="s">
        <v>164</v>
      </c>
      <c r="I514" s="9" t="s">
        <v>20</v>
      </c>
      <c r="J514" t="s">
        <v>2617</v>
      </c>
      <c r="L514" t="s">
        <v>2645</v>
      </c>
      <c r="M514" t="s">
        <v>3174</v>
      </c>
    </row>
    <row r="515" spans="1:13">
      <c r="A515" t="s">
        <v>3187</v>
      </c>
      <c r="B515" t="s">
        <v>17</v>
      </c>
      <c r="C515">
        <v>61</v>
      </c>
      <c r="D515" t="s">
        <v>41</v>
      </c>
      <c r="E515">
        <v>1000</v>
      </c>
      <c r="F515">
        <v>1</v>
      </c>
      <c r="G515" t="s">
        <v>18</v>
      </c>
      <c r="H515" t="s">
        <v>42</v>
      </c>
      <c r="I515" t="s">
        <v>20</v>
      </c>
    </row>
    <row r="516" spans="1:13">
      <c r="A516" t="s">
        <v>3188</v>
      </c>
      <c r="B516" t="s">
        <v>17</v>
      </c>
      <c r="C516">
        <v>61</v>
      </c>
      <c r="D516" t="s">
        <v>41</v>
      </c>
      <c r="E516">
        <v>1000</v>
      </c>
      <c r="F516">
        <v>8</v>
      </c>
      <c r="G516" t="s">
        <v>18</v>
      </c>
      <c r="H516" t="s">
        <v>42</v>
      </c>
      <c r="I516" t="s">
        <v>20</v>
      </c>
    </row>
    <row r="517" spans="1:13">
      <c r="A517" t="s">
        <v>3189</v>
      </c>
      <c r="B517" t="s">
        <v>17</v>
      </c>
      <c r="C517">
        <v>61</v>
      </c>
      <c r="D517" t="s">
        <v>41</v>
      </c>
      <c r="E517">
        <v>1000</v>
      </c>
      <c r="F517">
        <v>61</v>
      </c>
      <c r="G517" t="s">
        <v>3190</v>
      </c>
      <c r="H517" t="s">
        <v>42</v>
      </c>
      <c r="I517" t="s">
        <v>20</v>
      </c>
    </row>
    <row r="518" spans="1:13">
      <c r="A518" t="s">
        <v>3191</v>
      </c>
      <c r="B518" t="s">
        <v>17</v>
      </c>
      <c r="C518">
        <v>61</v>
      </c>
      <c r="D518" t="s">
        <v>41</v>
      </c>
      <c r="E518">
        <v>1000</v>
      </c>
      <c r="F518">
        <v>61</v>
      </c>
      <c r="G518" t="s">
        <v>3190</v>
      </c>
      <c r="H518" t="s">
        <v>42</v>
      </c>
      <c r="I518" t="s">
        <v>20</v>
      </c>
    </row>
    <row r="519" spans="1:13">
      <c r="A519" t="s">
        <v>3192</v>
      </c>
      <c r="B519" t="s">
        <v>17</v>
      </c>
      <c r="C519">
        <v>61</v>
      </c>
      <c r="D519" t="s">
        <v>41</v>
      </c>
      <c r="E519">
        <v>1000</v>
      </c>
      <c r="F519">
        <v>61</v>
      </c>
      <c r="G519" t="s">
        <v>3190</v>
      </c>
      <c r="H519" t="s">
        <v>42</v>
      </c>
      <c r="I519" t="s">
        <v>20</v>
      </c>
    </row>
    <row r="520" spans="1:13">
      <c r="A520" t="s">
        <v>3193</v>
      </c>
      <c r="B520" t="s">
        <v>17</v>
      </c>
      <c r="C520">
        <v>61</v>
      </c>
      <c r="D520" t="s">
        <v>41</v>
      </c>
      <c r="E520">
        <v>1000</v>
      </c>
      <c r="F520">
        <v>61</v>
      </c>
      <c r="G520" t="s">
        <v>3190</v>
      </c>
      <c r="H520" t="s">
        <v>42</v>
      </c>
      <c r="I520" t="s">
        <v>20</v>
      </c>
    </row>
    <row r="521" spans="1:13">
      <c r="A521" t="s">
        <v>3194</v>
      </c>
      <c r="B521" t="s">
        <v>17</v>
      </c>
      <c r="C521">
        <v>61</v>
      </c>
      <c r="D521" t="s">
        <v>41</v>
      </c>
      <c r="E521">
        <v>1000</v>
      </c>
      <c r="F521">
        <v>61</v>
      </c>
      <c r="G521" t="s">
        <v>3190</v>
      </c>
      <c r="H521" t="s">
        <v>42</v>
      </c>
      <c r="I521" t="s">
        <v>20</v>
      </c>
    </row>
    <row r="522" spans="1:13">
      <c r="A522" t="s">
        <v>3195</v>
      </c>
      <c r="B522" t="s">
        <v>17</v>
      </c>
      <c r="C522">
        <v>61</v>
      </c>
      <c r="D522" t="s">
        <v>41</v>
      </c>
      <c r="E522">
        <v>1000</v>
      </c>
      <c r="F522">
        <v>61</v>
      </c>
      <c r="G522" t="s">
        <v>3190</v>
      </c>
      <c r="H522" t="s">
        <v>42</v>
      </c>
      <c r="I522" t="s">
        <v>20</v>
      </c>
    </row>
    <row r="523" spans="1:13">
      <c r="A523" t="s">
        <v>3196</v>
      </c>
      <c r="B523" t="s">
        <v>17</v>
      </c>
      <c r="C523">
        <v>61</v>
      </c>
      <c r="D523" t="s">
        <v>41</v>
      </c>
      <c r="E523">
        <v>1000</v>
      </c>
      <c r="F523">
        <v>61</v>
      </c>
      <c r="G523" t="s">
        <v>3190</v>
      </c>
      <c r="H523" t="s">
        <v>42</v>
      </c>
      <c r="I523" t="s">
        <v>20</v>
      </c>
    </row>
    <row r="524" spans="1:13">
      <c r="A524" t="s">
        <v>3197</v>
      </c>
      <c r="B524" t="s">
        <v>17</v>
      </c>
      <c r="C524">
        <v>61</v>
      </c>
      <c r="D524" t="s">
        <v>41</v>
      </c>
      <c r="E524">
        <v>1000</v>
      </c>
      <c r="F524">
        <v>61</v>
      </c>
      <c r="G524" t="s">
        <v>3190</v>
      </c>
      <c r="H524" t="s">
        <v>42</v>
      </c>
      <c r="I524" t="s">
        <v>20</v>
      </c>
    </row>
    <row r="525" spans="1:13">
      <c r="A525" t="s">
        <v>3198</v>
      </c>
      <c r="B525" t="s">
        <v>17</v>
      </c>
      <c r="C525">
        <v>61</v>
      </c>
      <c r="D525" t="s">
        <v>41</v>
      </c>
      <c r="E525">
        <v>1000</v>
      </c>
      <c r="F525">
        <v>61</v>
      </c>
      <c r="G525" t="s">
        <v>3190</v>
      </c>
      <c r="H525" t="s">
        <v>42</v>
      </c>
      <c r="I525" t="s">
        <v>20</v>
      </c>
    </row>
    <row r="526" spans="1:13">
      <c r="A526" t="s">
        <v>3199</v>
      </c>
      <c r="B526" t="s">
        <v>17</v>
      </c>
      <c r="C526">
        <v>61</v>
      </c>
      <c r="D526" t="s">
        <v>41</v>
      </c>
      <c r="E526">
        <v>1000</v>
      </c>
      <c r="F526">
        <v>61</v>
      </c>
      <c r="G526" t="s">
        <v>3190</v>
      </c>
      <c r="H526" t="s">
        <v>42</v>
      </c>
      <c r="I526" t="s">
        <v>20</v>
      </c>
    </row>
    <row r="527" spans="1:13">
      <c r="A527" t="s">
        <v>3200</v>
      </c>
      <c r="B527" t="s">
        <v>17</v>
      </c>
      <c r="C527">
        <v>61</v>
      </c>
      <c r="D527" t="s">
        <v>41</v>
      </c>
      <c r="E527">
        <v>1000</v>
      </c>
      <c r="F527">
        <v>61</v>
      </c>
      <c r="G527" t="s">
        <v>3190</v>
      </c>
      <c r="H527" t="s">
        <v>42</v>
      </c>
      <c r="I527" t="s">
        <v>20</v>
      </c>
    </row>
    <row r="528" spans="1:13">
      <c r="A528" t="s">
        <v>3201</v>
      </c>
      <c r="B528" t="s">
        <v>17</v>
      </c>
      <c r="C528">
        <v>61</v>
      </c>
      <c r="D528" t="s">
        <v>41</v>
      </c>
      <c r="E528">
        <v>1000</v>
      </c>
      <c r="F528">
        <v>61</v>
      </c>
      <c r="G528" t="s">
        <v>3190</v>
      </c>
      <c r="H528" t="s">
        <v>42</v>
      </c>
      <c r="I528" t="s">
        <v>20</v>
      </c>
    </row>
    <row r="529" spans="1:9">
      <c r="A529" t="s">
        <v>3202</v>
      </c>
      <c r="B529" t="s">
        <v>17</v>
      </c>
      <c r="C529">
        <v>61</v>
      </c>
      <c r="D529" t="s">
        <v>41</v>
      </c>
      <c r="E529">
        <v>1000</v>
      </c>
      <c r="F529">
        <v>61</v>
      </c>
      <c r="G529" t="s">
        <v>3190</v>
      </c>
      <c r="H529" t="s">
        <v>42</v>
      </c>
      <c r="I529" t="s">
        <v>20</v>
      </c>
    </row>
    <row r="530" spans="1:9">
      <c r="A530" t="s">
        <v>3203</v>
      </c>
      <c r="B530" t="s">
        <v>17</v>
      </c>
      <c r="C530">
        <v>61</v>
      </c>
      <c r="D530" t="s">
        <v>41</v>
      </c>
      <c r="E530">
        <v>1000</v>
      </c>
      <c r="F530">
        <v>61</v>
      </c>
      <c r="G530" t="s">
        <v>3190</v>
      </c>
      <c r="H530" t="s">
        <v>42</v>
      </c>
      <c r="I530" t="s">
        <v>20</v>
      </c>
    </row>
    <row r="531" spans="1:9">
      <c r="A531" t="s">
        <v>3204</v>
      </c>
      <c r="B531" t="s">
        <v>17</v>
      </c>
      <c r="C531">
        <v>61</v>
      </c>
      <c r="D531" t="s">
        <v>41</v>
      </c>
      <c r="E531">
        <v>1000</v>
      </c>
      <c r="F531">
        <v>61</v>
      </c>
      <c r="G531" t="s">
        <v>3190</v>
      </c>
      <c r="H531" t="s">
        <v>42</v>
      </c>
      <c r="I531" t="s">
        <v>20</v>
      </c>
    </row>
    <row r="532" spans="1:9">
      <c r="A532" t="s">
        <v>3205</v>
      </c>
      <c r="B532" t="s">
        <v>17</v>
      </c>
      <c r="C532">
        <v>61</v>
      </c>
      <c r="D532" t="s">
        <v>41</v>
      </c>
      <c r="E532">
        <v>1000</v>
      </c>
      <c r="F532">
        <v>61</v>
      </c>
      <c r="G532" t="s">
        <v>3190</v>
      </c>
      <c r="H532" t="s">
        <v>42</v>
      </c>
      <c r="I532" t="s">
        <v>20</v>
      </c>
    </row>
    <row r="533" spans="1:9">
      <c r="A533" t="s">
        <v>3206</v>
      </c>
      <c r="B533" t="s">
        <v>17</v>
      </c>
      <c r="C533">
        <v>61</v>
      </c>
      <c r="D533" t="s">
        <v>41</v>
      </c>
      <c r="E533">
        <v>1000</v>
      </c>
      <c r="F533">
        <v>8</v>
      </c>
      <c r="G533" t="s">
        <v>3207</v>
      </c>
      <c r="H533" t="s">
        <v>42</v>
      </c>
      <c r="I533" t="s">
        <v>20</v>
      </c>
    </row>
    <row r="534" spans="1:9">
      <c r="A534" t="s">
        <v>3208</v>
      </c>
      <c r="B534" t="s">
        <v>17</v>
      </c>
      <c r="C534">
        <v>61</v>
      </c>
      <c r="D534" t="s">
        <v>41</v>
      </c>
      <c r="E534">
        <v>1000</v>
      </c>
      <c r="F534">
        <v>61</v>
      </c>
      <c r="G534" t="s">
        <v>3207</v>
      </c>
      <c r="H534" t="s">
        <v>42</v>
      </c>
      <c r="I534" t="s">
        <v>20</v>
      </c>
    </row>
    <row r="535" spans="1:9">
      <c r="A535" t="s">
        <v>3209</v>
      </c>
      <c r="B535" t="s">
        <v>17</v>
      </c>
      <c r="C535">
        <v>61</v>
      </c>
      <c r="D535" t="s">
        <v>41</v>
      </c>
      <c r="E535">
        <v>1000</v>
      </c>
      <c r="F535">
        <v>61</v>
      </c>
      <c r="G535" t="s">
        <v>3207</v>
      </c>
      <c r="H535" t="s">
        <v>42</v>
      </c>
      <c r="I535" t="s">
        <v>20</v>
      </c>
    </row>
    <row r="536" spans="1:9">
      <c r="A536" t="s">
        <v>3210</v>
      </c>
      <c r="B536" t="s">
        <v>17</v>
      </c>
      <c r="C536">
        <v>61</v>
      </c>
      <c r="D536" t="s">
        <v>41</v>
      </c>
      <c r="E536">
        <v>1000</v>
      </c>
      <c r="F536">
        <v>61</v>
      </c>
      <c r="G536" t="s">
        <v>3207</v>
      </c>
      <c r="H536" t="s">
        <v>42</v>
      </c>
      <c r="I536" t="s">
        <v>20</v>
      </c>
    </row>
    <row r="537" spans="1:9">
      <c r="A537" t="s">
        <v>3211</v>
      </c>
      <c r="B537" t="s">
        <v>17</v>
      </c>
      <c r="C537">
        <v>61</v>
      </c>
      <c r="D537" t="s">
        <v>41</v>
      </c>
      <c r="E537">
        <v>1000</v>
      </c>
      <c r="F537">
        <v>61</v>
      </c>
      <c r="G537" t="s">
        <v>3207</v>
      </c>
      <c r="H537" t="s">
        <v>42</v>
      </c>
      <c r="I537" t="s">
        <v>20</v>
      </c>
    </row>
    <row r="538" spans="1:9">
      <c r="A538" t="s">
        <v>3212</v>
      </c>
      <c r="B538" t="s">
        <v>17</v>
      </c>
      <c r="C538">
        <v>61</v>
      </c>
      <c r="D538" t="s">
        <v>41</v>
      </c>
      <c r="E538">
        <v>1000</v>
      </c>
      <c r="F538">
        <v>61</v>
      </c>
      <c r="G538" t="s">
        <v>3207</v>
      </c>
      <c r="H538" t="s">
        <v>42</v>
      </c>
      <c r="I538" t="s">
        <v>20</v>
      </c>
    </row>
    <row r="539" spans="1:9">
      <c r="A539" t="s">
        <v>3213</v>
      </c>
      <c r="B539" t="s">
        <v>17</v>
      </c>
      <c r="C539">
        <v>61</v>
      </c>
      <c r="D539" t="s">
        <v>41</v>
      </c>
      <c r="E539">
        <v>1000</v>
      </c>
      <c r="F539">
        <v>61</v>
      </c>
      <c r="G539" t="s">
        <v>3207</v>
      </c>
      <c r="H539" t="s">
        <v>42</v>
      </c>
      <c r="I539" t="s">
        <v>20</v>
      </c>
    </row>
    <row r="540" spans="1:9">
      <c r="A540" t="s">
        <v>3214</v>
      </c>
      <c r="B540" t="s">
        <v>17</v>
      </c>
      <c r="C540">
        <v>61</v>
      </c>
      <c r="D540" t="s">
        <v>41</v>
      </c>
      <c r="E540">
        <v>1000</v>
      </c>
      <c r="F540">
        <v>61</v>
      </c>
      <c r="G540" t="s">
        <v>3207</v>
      </c>
      <c r="H540" t="s">
        <v>42</v>
      </c>
      <c r="I540" t="s">
        <v>20</v>
      </c>
    </row>
    <row r="541" spans="1:9">
      <c r="A541" t="s">
        <v>3215</v>
      </c>
      <c r="B541" t="s">
        <v>17</v>
      </c>
      <c r="C541">
        <v>61</v>
      </c>
      <c r="D541" t="s">
        <v>41</v>
      </c>
      <c r="E541">
        <v>1000</v>
      </c>
      <c r="F541">
        <v>61</v>
      </c>
      <c r="G541" t="s">
        <v>3207</v>
      </c>
      <c r="H541" t="s">
        <v>42</v>
      </c>
      <c r="I541" t="s">
        <v>20</v>
      </c>
    </row>
    <row r="542" spans="1:9">
      <c r="A542" t="s">
        <v>3216</v>
      </c>
      <c r="B542" t="s">
        <v>17</v>
      </c>
      <c r="C542">
        <v>61</v>
      </c>
      <c r="D542" t="s">
        <v>41</v>
      </c>
      <c r="E542">
        <v>1000</v>
      </c>
      <c r="F542">
        <v>61</v>
      </c>
      <c r="G542" t="s">
        <v>3207</v>
      </c>
      <c r="H542" t="s">
        <v>42</v>
      </c>
      <c r="I542" t="s">
        <v>20</v>
      </c>
    </row>
    <row r="543" spans="1:9">
      <c r="A543" t="s">
        <v>3217</v>
      </c>
      <c r="B543" t="s">
        <v>17</v>
      </c>
      <c r="C543">
        <v>61</v>
      </c>
      <c r="D543" t="s">
        <v>41</v>
      </c>
      <c r="E543">
        <v>1000</v>
      </c>
      <c r="F543">
        <v>61</v>
      </c>
      <c r="G543" t="s">
        <v>3207</v>
      </c>
      <c r="H543" t="s">
        <v>42</v>
      </c>
      <c r="I543" t="s">
        <v>20</v>
      </c>
    </row>
    <row r="544" spans="1:9">
      <c r="A544" t="s">
        <v>3218</v>
      </c>
      <c r="B544" t="s">
        <v>17</v>
      </c>
      <c r="C544">
        <v>61</v>
      </c>
      <c r="D544" t="s">
        <v>41</v>
      </c>
      <c r="E544">
        <v>1000</v>
      </c>
      <c r="F544">
        <v>61</v>
      </c>
      <c r="G544" t="s">
        <v>3207</v>
      </c>
      <c r="H544" t="s">
        <v>42</v>
      </c>
      <c r="I544" t="s">
        <v>20</v>
      </c>
    </row>
    <row r="545" spans="1:14">
      <c r="A545" t="s">
        <v>3219</v>
      </c>
      <c r="B545" t="s">
        <v>17</v>
      </c>
      <c r="C545">
        <v>61</v>
      </c>
      <c r="D545" t="s">
        <v>41</v>
      </c>
      <c r="E545">
        <v>1000</v>
      </c>
      <c r="F545">
        <v>61</v>
      </c>
      <c r="G545" t="s">
        <v>3207</v>
      </c>
      <c r="H545" t="s">
        <v>42</v>
      </c>
      <c r="I545" t="s">
        <v>20</v>
      </c>
    </row>
    <row r="546" spans="1:14">
      <c r="A546" t="s">
        <v>3220</v>
      </c>
      <c r="B546" t="s">
        <v>17</v>
      </c>
      <c r="C546">
        <v>61</v>
      </c>
      <c r="D546" t="s">
        <v>41</v>
      </c>
      <c r="E546">
        <v>1000</v>
      </c>
      <c r="F546">
        <v>61</v>
      </c>
      <c r="G546" t="s">
        <v>3207</v>
      </c>
      <c r="H546" t="s">
        <v>42</v>
      </c>
      <c r="I546" t="s">
        <v>20</v>
      </c>
    </row>
    <row r="547" spans="1:14">
      <c r="A547" t="s">
        <v>3221</v>
      </c>
      <c r="B547" t="s">
        <v>17</v>
      </c>
      <c r="C547">
        <v>61</v>
      </c>
      <c r="D547" t="s">
        <v>41</v>
      </c>
      <c r="E547">
        <v>1000</v>
      </c>
      <c r="F547">
        <v>61</v>
      </c>
      <c r="G547" t="s">
        <v>3207</v>
      </c>
      <c r="H547" t="s">
        <v>42</v>
      </c>
      <c r="I547" t="s">
        <v>20</v>
      </c>
    </row>
    <row r="548" spans="1:14">
      <c r="A548" t="s">
        <v>3222</v>
      </c>
      <c r="B548" t="s">
        <v>17</v>
      </c>
      <c r="C548">
        <v>61</v>
      </c>
      <c r="D548" t="s">
        <v>41</v>
      </c>
      <c r="E548">
        <v>1000</v>
      </c>
      <c r="F548">
        <v>61</v>
      </c>
      <c r="G548" t="s">
        <v>3207</v>
      </c>
      <c r="H548" t="s">
        <v>42</v>
      </c>
      <c r="I548" t="s">
        <v>20</v>
      </c>
    </row>
    <row r="549" spans="1:14">
      <c r="A549" t="s">
        <v>3223</v>
      </c>
      <c r="B549" t="s">
        <v>17</v>
      </c>
      <c r="C549">
        <v>61</v>
      </c>
      <c r="D549" t="s">
        <v>41</v>
      </c>
      <c r="E549">
        <v>1000</v>
      </c>
      <c r="F549">
        <v>61</v>
      </c>
      <c r="G549" t="s">
        <v>3207</v>
      </c>
      <c r="H549" t="s">
        <v>42</v>
      </c>
      <c r="I549" t="s">
        <v>20</v>
      </c>
    </row>
    <row r="550" spans="1:14">
      <c r="A550" t="s">
        <v>3224</v>
      </c>
      <c r="B550" t="s">
        <v>17</v>
      </c>
      <c r="C550">
        <v>61</v>
      </c>
      <c r="D550" t="s">
        <v>41</v>
      </c>
      <c r="E550">
        <v>1000</v>
      </c>
      <c r="F550">
        <v>61</v>
      </c>
      <c r="G550" t="s">
        <v>3207</v>
      </c>
      <c r="H550" t="s">
        <v>42</v>
      </c>
      <c r="I550" t="s">
        <v>20</v>
      </c>
    </row>
    <row r="551" spans="1:14">
      <c r="A551" t="s">
        <v>3225</v>
      </c>
      <c r="B551" t="s">
        <v>17</v>
      </c>
      <c r="C551">
        <v>61</v>
      </c>
      <c r="D551" t="s">
        <v>41</v>
      </c>
      <c r="E551">
        <v>1000</v>
      </c>
      <c r="F551">
        <v>61</v>
      </c>
      <c r="G551" t="s">
        <v>3207</v>
      </c>
      <c r="H551" t="s">
        <v>42</v>
      </c>
      <c r="I551" t="s">
        <v>20</v>
      </c>
    </row>
    <row r="552" spans="1:14">
      <c r="A552" t="s">
        <v>3226</v>
      </c>
      <c r="B552" t="s">
        <v>17</v>
      </c>
      <c r="C552">
        <v>61</v>
      </c>
      <c r="D552" t="s">
        <v>41</v>
      </c>
      <c r="E552">
        <v>1000</v>
      </c>
      <c r="F552">
        <v>61</v>
      </c>
      <c r="G552" t="s">
        <v>3207</v>
      </c>
      <c r="H552" t="s">
        <v>42</v>
      </c>
      <c r="I552" t="s">
        <v>20</v>
      </c>
    </row>
    <row r="553" spans="1:14">
      <c r="A553" t="s">
        <v>3227</v>
      </c>
      <c r="B553" t="s">
        <v>17</v>
      </c>
      <c r="C553">
        <v>61</v>
      </c>
      <c r="D553" t="s">
        <v>41</v>
      </c>
      <c r="E553">
        <v>1000</v>
      </c>
      <c r="F553">
        <v>61</v>
      </c>
      <c r="G553" t="s">
        <v>3207</v>
      </c>
      <c r="H553" t="s">
        <v>42</v>
      </c>
      <c r="I553" t="s">
        <v>20</v>
      </c>
    </row>
    <row r="554" spans="1:14">
      <c r="A554" t="s">
        <v>3228</v>
      </c>
      <c r="B554" t="s">
        <v>17</v>
      </c>
      <c r="C554">
        <v>61</v>
      </c>
      <c r="D554" t="s">
        <v>41</v>
      </c>
      <c r="E554">
        <v>1000</v>
      </c>
      <c r="F554">
        <v>61</v>
      </c>
      <c r="G554" t="s">
        <v>3207</v>
      </c>
      <c r="H554" t="s">
        <v>42</v>
      </c>
      <c r="I554" t="s">
        <v>20</v>
      </c>
    </row>
    <row r="555" spans="1:14">
      <c r="A555" t="s">
        <v>3229</v>
      </c>
      <c r="B555" t="s">
        <v>17</v>
      </c>
      <c r="C555">
        <v>61</v>
      </c>
      <c r="D555" t="s">
        <v>41</v>
      </c>
      <c r="E555">
        <v>1000</v>
      </c>
      <c r="F555">
        <v>61</v>
      </c>
      <c r="G555" t="s">
        <v>18</v>
      </c>
      <c r="H555" t="s">
        <v>42</v>
      </c>
      <c r="I555" t="s">
        <v>20</v>
      </c>
      <c r="J555" t="s">
        <v>2701</v>
      </c>
      <c r="K555">
        <v>0</v>
      </c>
      <c r="N555" t="s">
        <v>2246</v>
      </c>
    </row>
    <row r="556" spans="1:14">
      <c r="A556" t="s">
        <v>3230</v>
      </c>
      <c r="B556" t="s">
        <v>17</v>
      </c>
      <c r="C556">
        <v>61</v>
      </c>
      <c r="D556" t="s">
        <v>41</v>
      </c>
      <c r="E556">
        <v>1000</v>
      </c>
      <c r="F556">
        <v>49</v>
      </c>
      <c r="G556" t="s">
        <v>18</v>
      </c>
      <c r="H556" t="s">
        <v>42</v>
      </c>
      <c r="I556" t="s">
        <v>20</v>
      </c>
      <c r="J556" t="s">
        <v>2701</v>
      </c>
      <c r="K556">
        <v>0</v>
      </c>
      <c r="L556" s="54" t="s">
        <v>3231</v>
      </c>
    </row>
    <row r="557" spans="1:14">
      <c r="A557" t="s">
        <v>3232</v>
      </c>
      <c r="B557" t="s">
        <v>17</v>
      </c>
      <c r="C557">
        <v>61</v>
      </c>
      <c r="D557" t="s">
        <v>41</v>
      </c>
      <c r="E557">
        <v>1000</v>
      </c>
      <c r="F557">
        <v>5</v>
      </c>
      <c r="G557" t="s">
        <v>18</v>
      </c>
      <c r="H557" t="s">
        <v>42</v>
      </c>
      <c r="I557" t="s">
        <v>20</v>
      </c>
      <c r="J557" t="s">
        <v>2701</v>
      </c>
      <c r="K557">
        <v>29.2</v>
      </c>
      <c r="L557" t="s">
        <v>3233</v>
      </c>
      <c r="M557" t="s">
        <v>3234</v>
      </c>
    </row>
    <row r="558" spans="1:14">
      <c r="A558" t="s">
        <v>3235</v>
      </c>
      <c r="B558" t="s">
        <v>17</v>
      </c>
      <c r="C558">
        <v>61</v>
      </c>
      <c r="D558" t="s">
        <v>41</v>
      </c>
      <c r="E558">
        <v>1000</v>
      </c>
      <c r="F558">
        <v>7</v>
      </c>
      <c r="G558" t="s">
        <v>18</v>
      </c>
      <c r="H558" t="s">
        <v>42</v>
      </c>
      <c r="I558" t="s">
        <v>20</v>
      </c>
      <c r="J558" t="s">
        <v>2701</v>
      </c>
      <c r="K558">
        <v>29.2</v>
      </c>
      <c r="L558" t="s">
        <v>3233</v>
      </c>
    </row>
    <row r="559" spans="1:14">
      <c r="A559" t="s">
        <v>3236</v>
      </c>
      <c r="B559" t="s">
        <v>17</v>
      </c>
      <c r="C559">
        <v>61</v>
      </c>
      <c r="D559" t="s">
        <v>41</v>
      </c>
      <c r="E559">
        <v>1000</v>
      </c>
      <c r="F559">
        <v>21</v>
      </c>
      <c r="G559" t="s">
        <v>18</v>
      </c>
      <c r="H559" t="s">
        <v>42</v>
      </c>
      <c r="I559" t="s">
        <v>20</v>
      </c>
      <c r="J559" t="s">
        <v>2701</v>
      </c>
      <c r="K559">
        <v>29.2</v>
      </c>
      <c r="L559" t="s">
        <v>3233</v>
      </c>
    </row>
    <row r="560" spans="1:14">
      <c r="A560" s="16" t="s">
        <v>3237</v>
      </c>
      <c r="B560" t="s">
        <v>17</v>
      </c>
      <c r="C560">
        <v>61</v>
      </c>
      <c r="D560" t="s">
        <v>41</v>
      </c>
      <c r="E560">
        <v>1000</v>
      </c>
      <c r="F560">
        <v>61</v>
      </c>
      <c r="G560" t="s">
        <v>18</v>
      </c>
      <c r="H560" t="s">
        <v>42</v>
      </c>
      <c r="I560" t="s">
        <v>20</v>
      </c>
      <c r="J560" t="s">
        <v>2701</v>
      </c>
      <c r="K560">
        <v>29.2</v>
      </c>
      <c r="L560" s="54" t="s">
        <v>3238</v>
      </c>
      <c r="N560" t="s">
        <v>2246</v>
      </c>
    </row>
    <row r="561" spans="1:14">
      <c r="A561" t="s">
        <v>3239</v>
      </c>
      <c r="B561" t="s">
        <v>17</v>
      </c>
      <c r="C561">
        <v>61</v>
      </c>
      <c r="D561" t="s">
        <v>41</v>
      </c>
      <c r="E561">
        <v>1000</v>
      </c>
      <c r="F561">
        <v>61</v>
      </c>
      <c r="G561" t="s">
        <v>18</v>
      </c>
      <c r="H561" t="s">
        <v>42</v>
      </c>
      <c r="I561" t="s">
        <v>20</v>
      </c>
      <c r="J561" t="s">
        <v>2701</v>
      </c>
      <c r="K561">
        <v>29.2</v>
      </c>
      <c r="L561" t="s">
        <v>2706</v>
      </c>
      <c r="N561" t="s">
        <v>2246</v>
      </c>
    </row>
    <row r="562" spans="1:14">
      <c r="A562" t="s">
        <v>3240</v>
      </c>
      <c r="B562" t="s">
        <v>17</v>
      </c>
      <c r="C562">
        <v>61</v>
      </c>
      <c r="D562" t="s">
        <v>41</v>
      </c>
      <c r="E562">
        <v>1000</v>
      </c>
      <c r="F562">
        <v>61</v>
      </c>
      <c r="G562" t="s">
        <v>18</v>
      </c>
      <c r="H562" t="s">
        <v>42</v>
      </c>
      <c r="I562" t="s">
        <v>20</v>
      </c>
      <c r="J562" t="s">
        <v>2701</v>
      </c>
      <c r="K562">
        <v>29.2</v>
      </c>
      <c r="L562" t="s">
        <v>2706</v>
      </c>
      <c r="N562" t="s">
        <v>2246</v>
      </c>
    </row>
    <row r="563" spans="1:14">
      <c r="A563" t="s">
        <v>3241</v>
      </c>
      <c r="B563" t="s">
        <v>17</v>
      </c>
      <c r="C563">
        <v>61</v>
      </c>
      <c r="D563" t="s">
        <v>41</v>
      </c>
      <c r="E563">
        <v>1000</v>
      </c>
      <c r="F563">
        <v>61</v>
      </c>
      <c r="G563" t="s">
        <v>18</v>
      </c>
      <c r="H563" t="s">
        <v>42</v>
      </c>
      <c r="I563" t="s">
        <v>20</v>
      </c>
      <c r="J563" t="s">
        <v>2701</v>
      </c>
      <c r="K563">
        <v>29.2</v>
      </c>
      <c r="L563" t="s">
        <v>2706</v>
      </c>
      <c r="N563" t="s">
        <v>2246</v>
      </c>
    </row>
    <row r="564" spans="1:14">
      <c r="A564" t="s">
        <v>3242</v>
      </c>
      <c r="B564" t="s">
        <v>17</v>
      </c>
      <c r="C564">
        <v>61</v>
      </c>
      <c r="D564" t="s">
        <v>41</v>
      </c>
      <c r="E564">
        <v>1000</v>
      </c>
      <c r="F564">
        <v>61</v>
      </c>
      <c r="G564" t="s">
        <v>18</v>
      </c>
      <c r="H564" t="s">
        <v>42</v>
      </c>
      <c r="I564" t="s">
        <v>20</v>
      </c>
      <c r="J564" t="s">
        <v>2701</v>
      </c>
      <c r="K564">
        <v>29.2</v>
      </c>
      <c r="L564" t="s">
        <v>2706</v>
      </c>
      <c r="N564" t="s">
        <v>2246</v>
      </c>
    </row>
    <row r="565" spans="1:14">
      <c r="A565" t="s">
        <v>3243</v>
      </c>
      <c r="B565" t="s">
        <v>17</v>
      </c>
      <c r="C565">
        <v>61</v>
      </c>
      <c r="D565" t="s">
        <v>41</v>
      </c>
      <c r="E565">
        <v>1000</v>
      </c>
      <c r="F565">
        <v>61</v>
      </c>
      <c r="G565" t="s">
        <v>18</v>
      </c>
      <c r="H565" t="s">
        <v>42</v>
      </c>
      <c r="I565" t="s">
        <v>20</v>
      </c>
      <c r="J565" t="s">
        <v>2701</v>
      </c>
      <c r="K565">
        <v>29.2</v>
      </c>
      <c r="L565" t="s">
        <v>2706</v>
      </c>
      <c r="N565" t="s">
        <v>2246</v>
      </c>
    </row>
    <row r="566" spans="1:14">
      <c r="A566" t="s">
        <v>3244</v>
      </c>
      <c r="B566" t="s">
        <v>17</v>
      </c>
      <c r="C566">
        <v>61</v>
      </c>
      <c r="D566" t="s">
        <v>41</v>
      </c>
      <c r="E566">
        <v>1000</v>
      </c>
      <c r="F566">
        <v>61</v>
      </c>
      <c r="G566" t="s">
        <v>18</v>
      </c>
      <c r="H566" t="s">
        <v>42</v>
      </c>
      <c r="I566" t="s">
        <v>20</v>
      </c>
      <c r="J566" t="s">
        <v>2701</v>
      </c>
      <c r="K566">
        <v>29.2</v>
      </c>
      <c r="L566" t="s">
        <v>2706</v>
      </c>
      <c r="N566" t="s">
        <v>2246</v>
      </c>
    </row>
    <row r="567" spans="1:14">
      <c r="A567" t="s">
        <v>3245</v>
      </c>
      <c r="B567" t="s">
        <v>17</v>
      </c>
      <c r="C567">
        <v>61</v>
      </c>
      <c r="D567" t="s">
        <v>41</v>
      </c>
      <c r="E567">
        <v>1000</v>
      </c>
      <c r="F567">
        <v>61</v>
      </c>
      <c r="G567" t="s">
        <v>18</v>
      </c>
      <c r="H567" t="s">
        <v>42</v>
      </c>
      <c r="I567" t="s">
        <v>20</v>
      </c>
      <c r="J567" t="s">
        <v>2701</v>
      </c>
      <c r="K567">
        <v>29.2</v>
      </c>
      <c r="L567" t="s">
        <v>2706</v>
      </c>
      <c r="N567" t="s">
        <v>2246</v>
      </c>
    </row>
    <row r="568" spans="1:14">
      <c r="A568" t="s">
        <v>3246</v>
      </c>
      <c r="B568" t="s">
        <v>17</v>
      </c>
      <c r="C568">
        <v>61</v>
      </c>
      <c r="D568" t="s">
        <v>41</v>
      </c>
      <c r="E568">
        <v>1000</v>
      </c>
      <c r="F568">
        <v>61</v>
      </c>
      <c r="G568" t="s">
        <v>18</v>
      </c>
      <c r="H568" t="s">
        <v>42</v>
      </c>
      <c r="I568" t="s">
        <v>20</v>
      </c>
      <c r="J568" t="s">
        <v>2701</v>
      </c>
      <c r="K568">
        <v>29.2</v>
      </c>
      <c r="L568" t="s">
        <v>2706</v>
      </c>
      <c r="N568" t="s">
        <v>2246</v>
      </c>
    </row>
    <row r="569" spans="1:14">
      <c r="A569" t="s">
        <v>3247</v>
      </c>
      <c r="B569" t="s">
        <v>17</v>
      </c>
      <c r="C569">
        <v>61</v>
      </c>
      <c r="D569" t="s">
        <v>41</v>
      </c>
      <c r="E569">
        <v>1000</v>
      </c>
      <c r="F569">
        <v>61</v>
      </c>
      <c r="G569" t="s">
        <v>18</v>
      </c>
      <c r="H569" t="s">
        <v>42</v>
      </c>
      <c r="I569" t="s">
        <v>20</v>
      </c>
      <c r="J569" t="s">
        <v>2701</v>
      </c>
      <c r="K569">
        <v>29.2</v>
      </c>
      <c r="L569" t="s">
        <v>2706</v>
      </c>
      <c r="N569" t="s">
        <v>2246</v>
      </c>
    </row>
    <row r="570" spans="1:14">
      <c r="A570" t="s">
        <v>3248</v>
      </c>
      <c r="B570" t="s">
        <v>17</v>
      </c>
      <c r="C570">
        <v>61</v>
      </c>
      <c r="D570" t="s">
        <v>41</v>
      </c>
      <c r="E570">
        <v>1000</v>
      </c>
      <c r="F570">
        <v>61</v>
      </c>
      <c r="G570" t="s">
        <v>18</v>
      </c>
      <c r="H570" t="s">
        <v>42</v>
      </c>
      <c r="I570" t="s">
        <v>20</v>
      </c>
      <c r="J570" t="s">
        <v>2701</v>
      </c>
      <c r="K570">
        <v>29.2</v>
      </c>
      <c r="L570" t="s">
        <v>2706</v>
      </c>
      <c r="N570" t="s">
        <v>2246</v>
      </c>
    </row>
    <row r="571" spans="1:14">
      <c r="A571" t="s">
        <v>3249</v>
      </c>
      <c r="B571" t="s">
        <v>17</v>
      </c>
      <c r="C571">
        <v>61</v>
      </c>
      <c r="D571" t="s">
        <v>41</v>
      </c>
      <c r="E571">
        <v>1000</v>
      </c>
      <c r="F571">
        <v>61</v>
      </c>
      <c r="G571" t="s">
        <v>18</v>
      </c>
      <c r="H571" t="s">
        <v>42</v>
      </c>
      <c r="I571" t="s">
        <v>20</v>
      </c>
      <c r="J571" t="s">
        <v>2701</v>
      </c>
      <c r="K571">
        <v>29.2</v>
      </c>
      <c r="L571" t="s">
        <v>2706</v>
      </c>
      <c r="N571" t="s">
        <v>2246</v>
      </c>
    </row>
    <row r="572" spans="1:14">
      <c r="A572" t="s">
        <v>3250</v>
      </c>
      <c r="B572" t="s">
        <v>17</v>
      </c>
      <c r="C572">
        <v>61</v>
      </c>
      <c r="D572" t="s">
        <v>41</v>
      </c>
      <c r="E572">
        <v>1000</v>
      </c>
      <c r="F572">
        <v>61</v>
      </c>
      <c r="G572" t="s">
        <v>18</v>
      </c>
      <c r="H572" t="s">
        <v>42</v>
      </c>
      <c r="I572" t="s">
        <v>20</v>
      </c>
      <c r="J572" t="s">
        <v>2701</v>
      </c>
      <c r="K572">
        <v>29.2</v>
      </c>
      <c r="L572" t="s">
        <v>2706</v>
      </c>
      <c r="N572" t="s">
        <v>2246</v>
      </c>
    </row>
    <row r="573" spans="1:14">
      <c r="A573" t="s">
        <v>3251</v>
      </c>
      <c r="B573" t="s">
        <v>17</v>
      </c>
      <c r="C573">
        <v>61</v>
      </c>
      <c r="D573" t="s">
        <v>41</v>
      </c>
      <c r="E573">
        <v>1000</v>
      </c>
      <c r="F573">
        <v>61</v>
      </c>
      <c r="G573" t="s">
        <v>18</v>
      </c>
      <c r="H573" t="s">
        <v>42</v>
      </c>
      <c r="I573" t="s">
        <v>20</v>
      </c>
      <c r="J573" t="s">
        <v>2701</v>
      </c>
      <c r="K573">
        <v>29.2</v>
      </c>
      <c r="L573" t="s">
        <v>2706</v>
      </c>
      <c r="N573" t="s">
        <v>2246</v>
      </c>
    </row>
    <row r="574" spans="1:14">
      <c r="A574" t="s">
        <v>3252</v>
      </c>
      <c r="B574" t="s">
        <v>17</v>
      </c>
      <c r="C574">
        <v>61</v>
      </c>
      <c r="D574" t="s">
        <v>41</v>
      </c>
      <c r="E574">
        <v>1000</v>
      </c>
      <c r="F574" t="s">
        <v>41</v>
      </c>
      <c r="G574" t="s">
        <v>18</v>
      </c>
      <c r="H574" t="s">
        <v>42</v>
      </c>
      <c r="I574" t="s">
        <v>20</v>
      </c>
      <c r="J574" t="s">
        <v>2701</v>
      </c>
      <c r="K574">
        <v>29.6</v>
      </c>
      <c r="L574" t="s">
        <v>2706</v>
      </c>
      <c r="N574" t="s">
        <v>2246</v>
      </c>
    </row>
    <row r="575" spans="1:14">
      <c r="A575" t="s">
        <v>3253</v>
      </c>
      <c r="B575" t="s">
        <v>17</v>
      </c>
      <c r="C575">
        <v>61</v>
      </c>
      <c r="D575" t="s">
        <v>41</v>
      </c>
      <c r="E575">
        <v>1000</v>
      </c>
      <c r="F575">
        <v>4</v>
      </c>
      <c r="G575" t="s">
        <v>18</v>
      </c>
      <c r="H575" t="s">
        <v>42</v>
      </c>
      <c r="I575" t="s">
        <v>20</v>
      </c>
    </row>
    <row r="576" spans="1:14">
      <c r="A576" t="s">
        <v>3254</v>
      </c>
      <c r="B576" t="s">
        <v>17</v>
      </c>
      <c r="C576">
        <v>61</v>
      </c>
      <c r="D576" t="s">
        <v>41</v>
      </c>
      <c r="E576">
        <v>1000</v>
      </c>
      <c r="F576">
        <v>5</v>
      </c>
      <c r="G576" t="s">
        <v>18</v>
      </c>
      <c r="H576" t="s">
        <v>42</v>
      </c>
      <c r="I576" t="s">
        <v>20</v>
      </c>
    </row>
    <row r="577" spans="1:9">
      <c r="A577" t="s">
        <v>3255</v>
      </c>
      <c r="B577" t="s">
        <v>17</v>
      </c>
      <c r="C577">
        <v>61</v>
      </c>
      <c r="D577" t="s">
        <v>41</v>
      </c>
      <c r="E577">
        <v>1000</v>
      </c>
      <c r="F577">
        <v>4</v>
      </c>
      <c r="G577" t="s">
        <v>18</v>
      </c>
      <c r="H577" t="s">
        <v>42</v>
      </c>
      <c r="I577" t="s">
        <v>20</v>
      </c>
    </row>
    <row r="578" spans="1:9">
      <c r="A578" t="s">
        <v>3256</v>
      </c>
      <c r="B578" t="s">
        <v>17</v>
      </c>
      <c r="C578">
        <v>61</v>
      </c>
      <c r="D578" t="s">
        <v>41</v>
      </c>
      <c r="E578">
        <v>1000</v>
      </c>
      <c r="F578">
        <v>61</v>
      </c>
      <c r="G578" t="s">
        <v>18</v>
      </c>
      <c r="H578" t="s">
        <v>42</v>
      </c>
      <c r="I578" t="s">
        <v>20</v>
      </c>
    </row>
    <row r="579" spans="1:9">
      <c r="A579" t="s">
        <v>3257</v>
      </c>
      <c r="B579" t="s">
        <v>17</v>
      </c>
      <c r="C579">
        <v>61</v>
      </c>
      <c r="D579" t="s">
        <v>41</v>
      </c>
      <c r="E579">
        <v>1000</v>
      </c>
      <c r="F579">
        <v>51</v>
      </c>
      <c r="G579" t="s">
        <v>18</v>
      </c>
      <c r="H579" t="s">
        <v>42</v>
      </c>
      <c r="I579" t="s">
        <v>20</v>
      </c>
    </row>
    <row r="580" spans="1:9">
      <c r="A580" t="s">
        <v>3258</v>
      </c>
      <c r="B580" t="s">
        <v>17</v>
      </c>
      <c r="C580">
        <v>61</v>
      </c>
      <c r="D580" t="s">
        <v>41</v>
      </c>
      <c r="E580">
        <v>1000</v>
      </c>
      <c r="F580">
        <v>5</v>
      </c>
      <c r="G580" t="s">
        <v>18</v>
      </c>
      <c r="H580" t="s">
        <v>42</v>
      </c>
      <c r="I580" t="s">
        <v>20</v>
      </c>
    </row>
    <row r="581" spans="1:9">
      <c r="A581" t="s">
        <v>3259</v>
      </c>
      <c r="B581" t="s">
        <v>17</v>
      </c>
      <c r="C581">
        <v>61</v>
      </c>
      <c r="D581" t="s">
        <v>41</v>
      </c>
      <c r="E581">
        <v>1000</v>
      </c>
      <c r="F581">
        <v>61</v>
      </c>
      <c r="G581" t="s">
        <v>18</v>
      </c>
      <c r="H581" t="s">
        <v>42</v>
      </c>
      <c r="I581" t="s">
        <v>20</v>
      </c>
    </row>
    <row r="582" spans="1:9">
      <c r="A582" t="s">
        <v>3260</v>
      </c>
      <c r="B582" t="s">
        <v>17</v>
      </c>
      <c r="C582">
        <v>61</v>
      </c>
      <c r="D582" t="s">
        <v>41</v>
      </c>
      <c r="E582">
        <v>1000</v>
      </c>
      <c r="F582">
        <v>11</v>
      </c>
      <c r="G582" t="s">
        <v>18</v>
      </c>
      <c r="H582" t="s">
        <v>42</v>
      </c>
      <c r="I582" t="s">
        <v>20</v>
      </c>
    </row>
    <row r="583" spans="1:9">
      <c r="A583" t="s">
        <v>3261</v>
      </c>
      <c r="B583" t="s">
        <v>17</v>
      </c>
      <c r="C583">
        <v>61</v>
      </c>
      <c r="D583" t="s">
        <v>41</v>
      </c>
      <c r="E583">
        <v>1000</v>
      </c>
      <c r="F583">
        <v>61</v>
      </c>
      <c r="G583" t="s">
        <v>18</v>
      </c>
      <c r="H583" t="s">
        <v>42</v>
      </c>
      <c r="I583" t="s">
        <v>20</v>
      </c>
    </row>
    <row r="584" spans="1:9">
      <c r="A584" t="s">
        <v>3262</v>
      </c>
      <c r="B584" t="s">
        <v>17</v>
      </c>
      <c r="C584">
        <v>61</v>
      </c>
      <c r="D584" t="s">
        <v>41</v>
      </c>
      <c r="E584">
        <v>1000</v>
      </c>
      <c r="F584">
        <v>4</v>
      </c>
      <c r="G584" t="s">
        <v>18</v>
      </c>
      <c r="H584" t="s">
        <v>42</v>
      </c>
      <c r="I584" t="s">
        <v>20</v>
      </c>
    </row>
    <row r="585" spans="1:9">
      <c r="A585" t="s">
        <v>3263</v>
      </c>
      <c r="B585" t="s">
        <v>17</v>
      </c>
      <c r="C585">
        <v>61</v>
      </c>
      <c r="D585" t="s">
        <v>41</v>
      </c>
      <c r="E585">
        <v>1000</v>
      </c>
      <c r="F585">
        <v>61</v>
      </c>
      <c r="G585" t="s">
        <v>18</v>
      </c>
      <c r="H585" t="s">
        <v>42</v>
      </c>
      <c r="I585" t="s">
        <v>20</v>
      </c>
    </row>
    <row r="586" spans="1:9">
      <c r="A586" t="s">
        <v>3264</v>
      </c>
      <c r="B586" t="s">
        <v>17</v>
      </c>
      <c r="C586">
        <v>61</v>
      </c>
      <c r="D586" t="s">
        <v>41</v>
      </c>
      <c r="E586">
        <v>1000</v>
      </c>
      <c r="F586">
        <v>61</v>
      </c>
      <c r="G586" t="s">
        <v>18</v>
      </c>
      <c r="H586" t="s">
        <v>42</v>
      </c>
      <c r="I586" t="s">
        <v>20</v>
      </c>
    </row>
    <row r="587" spans="1:9">
      <c r="A587" t="s">
        <v>3265</v>
      </c>
      <c r="B587" t="s">
        <v>17</v>
      </c>
      <c r="C587">
        <v>61</v>
      </c>
      <c r="D587" t="s">
        <v>41</v>
      </c>
      <c r="E587">
        <v>1000</v>
      </c>
      <c r="F587">
        <v>61</v>
      </c>
      <c r="G587" t="s">
        <v>18</v>
      </c>
      <c r="H587" t="s">
        <v>42</v>
      </c>
      <c r="I587" t="s">
        <v>20</v>
      </c>
    </row>
    <row r="588" spans="1:9">
      <c r="A588" t="s">
        <v>3266</v>
      </c>
      <c r="B588" t="s">
        <v>17</v>
      </c>
      <c r="C588">
        <v>61</v>
      </c>
      <c r="D588" t="s">
        <v>41</v>
      </c>
      <c r="E588">
        <v>1000</v>
      </c>
      <c r="F588">
        <v>61</v>
      </c>
      <c r="G588" t="s">
        <v>18</v>
      </c>
      <c r="H588" t="s">
        <v>42</v>
      </c>
      <c r="I588" t="s">
        <v>20</v>
      </c>
    </row>
    <row r="589" spans="1:9">
      <c r="A589" t="s">
        <v>3267</v>
      </c>
      <c r="B589" t="s">
        <v>17</v>
      </c>
      <c r="C589">
        <v>61</v>
      </c>
      <c r="D589" t="s">
        <v>41</v>
      </c>
      <c r="E589">
        <v>1000</v>
      </c>
      <c r="F589">
        <v>61</v>
      </c>
      <c r="G589" t="s">
        <v>18</v>
      </c>
      <c r="H589" t="s">
        <v>42</v>
      </c>
      <c r="I589" t="s">
        <v>20</v>
      </c>
    </row>
    <row r="590" spans="1:9">
      <c r="A590" t="s">
        <v>3268</v>
      </c>
      <c r="B590" t="s">
        <v>17</v>
      </c>
      <c r="C590">
        <v>61</v>
      </c>
      <c r="D590" t="s">
        <v>41</v>
      </c>
      <c r="E590">
        <v>1000</v>
      </c>
      <c r="F590">
        <v>61</v>
      </c>
      <c r="G590" t="s">
        <v>18</v>
      </c>
      <c r="H590" t="s">
        <v>42</v>
      </c>
      <c r="I590" t="s">
        <v>20</v>
      </c>
    </row>
    <row r="591" spans="1:9">
      <c r="A591" t="s">
        <v>3269</v>
      </c>
      <c r="B591" t="s">
        <v>17</v>
      </c>
      <c r="C591">
        <v>61</v>
      </c>
      <c r="D591" t="s">
        <v>41</v>
      </c>
      <c r="E591">
        <v>1000</v>
      </c>
      <c r="F591" t="s">
        <v>41</v>
      </c>
      <c r="G591" t="s">
        <v>18</v>
      </c>
      <c r="H591" t="s">
        <v>42</v>
      </c>
      <c r="I591" t="s">
        <v>20</v>
      </c>
    </row>
    <row r="592" spans="1:9">
      <c r="A592" t="s">
        <v>3270</v>
      </c>
      <c r="B592" t="s">
        <v>17</v>
      </c>
      <c r="C592">
        <v>61</v>
      </c>
      <c r="D592" t="s">
        <v>41</v>
      </c>
      <c r="E592">
        <v>1000</v>
      </c>
      <c r="F592">
        <v>61</v>
      </c>
      <c r="G592" t="s">
        <v>18</v>
      </c>
      <c r="H592" t="s">
        <v>42</v>
      </c>
      <c r="I592" t="s">
        <v>20</v>
      </c>
    </row>
    <row r="593" spans="1:15">
      <c r="A593" t="s">
        <v>3271</v>
      </c>
      <c r="B593" t="s">
        <v>17</v>
      </c>
      <c r="C593">
        <v>61</v>
      </c>
      <c r="D593" t="s">
        <v>41</v>
      </c>
      <c r="E593">
        <v>1000</v>
      </c>
      <c r="F593">
        <v>61</v>
      </c>
      <c r="G593" t="s">
        <v>18</v>
      </c>
      <c r="H593" t="s">
        <v>42</v>
      </c>
      <c r="I593" t="s">
        <v>20</v>
      </c>
    </row>
    <row r="594" spans="1:15">
      <c r="A594" t="s">
        <v>3272</v>
      </c>
      <c r="B594" t="s">
        <v>17</v>
      </c>
      <c r="C594">
        <v>61</v>
      </c>
      <c r="D594" t="s">
        <v>41</v>
      </c>
      <c r="E594">
        <v>1000</v>
      </c>
      <c r="F594">
        <v>61</v>
      </c>
      <c r="G594" t="s">
        <v>18</v>
      </c>
      <c r="H594" t="s">
        <v>42</v>
      </c>
      <c r="I594" t="s">
        <v>20</v>
      </c>
    </row>
    <row r="595" spans="1:15">
      <c r="A595" t="s">
        <v>3273</v>
      </c>
      <c r="B595" t="s">
        <v>17</v>
      </c>
      <c r="C595">
        <v>61</v>
      </c>
      <c r="D595" t="s">
        <v>41</v>
      </c>
      <c r="E595">
        <v>1000</v>
      </c>
      <c r="F595">
        <v>61</v>
      </c>
      <c r="G595" t="s">
        <v>18</v>
      </c>
      <c r="H595" t="s">
        <v>42</v>
      </c>
      <c r="I595" t="s">
        <v>20</v>
      </c>
    </row>
    <row r="596" spans="1:15">
      <c r="A596" t="s">
        <v>3274</v>
      </c>
      <c r="B596" t="s">
        <v>17</v>
      </c>
      <c r="C596">
        <v>61</v>
      </c>
      <c r="D596" t="s">
        <v>41</v>
      </c>
      <c r="E596">
        <v>1000</v>
      </c>
      <c r="F596">
        <v>61</v>
      </c>
      <c r="G596" t="s">
        <v>18</v>
      </c>
      <c r="H596" t="s">
        <v>42</v>
      </c>
      <c r="I596" t="s">
        <v>20</v>
      </c>
    </row>
    <row r="597" spans="1:15">
      <c r="A597" t="s">
        <v>3275</v>
      </c>
      <c r="B597" t="s">
        <v>17</v>
      </c>
      <c r="C597">
        <v>61</v>
      </c>
      <c r="D597" t="s">
        <v>41</v>
      </c>
      <c r="E597">
        <v>1000</v>
      </c>
      <c r="F597">
        <v>61</v>
      </c>
      <c r="G597" t="s">
        <v>18</v>
      </c>
      <c r="H597" t="s">
        <v>42</v>
      </c>
      <c r="I597" t="s">
        <v>20</v>
      </c>
    </row>
    <row r="598" spans="1:15">
      <c r="A598" t="s">
        <v>3276</v>
      </c>
      <c r="B598" t="s">
        <v>17</v>
      </c>
      <c r="C598">
        <v>61</v>
      </c>
      <c r="D598" t="s">
        <v>41</v>
      </c>
      <c r="E598">
        <v>1000</v>
      </c>
      <c r="F598">
        <v>61</v>
      </c>
      <c r="G598" t="s">
        <v>18</v>
      </c>
      <c r="H598" t="s">
        <v>42</v>
      </c>
      <c r="I598" t="s">
        <v>20</v>
      </c>
    </row>
    <row r="599" spans="1:15">
      <c r="A599" t="s">
        <v>3277</v>
      </c>
      <c r="B599" t="s">
        <v>17</v>
      </c>
      <c r="C599">
        <v>61</v>
      </c>
      <c r="D599" t="s">
        <v>41</v>
      </c>
      <c r="E599">
        <v>1000</v>
      </c>
      <c r="F599">
        <v>61</v>
      </c>
      <c r="G599" t="s">
        <v>18</v>
      </c>
      <c r="H599" t="s">
        <v>42</v>
      </c>
      <c r="I599" t="s">
        <v>20</v>
      </c>
      <c r="J599" t="s">
        <v>2701</v>
      </c>
      <c r="K599">
        <v>43.9</v>
      </c>
      <c r="L599" s="61" t="s">
        <v>3278</v>
      </c>
      <c r="M599" t="str">
        <f>""""&amp;A599&amp;""""</f>
        <v>"07161208_1732"</v>
      </c>
      <c r="N599" t="s">
        <v>2246</v>
      </c>
      <c r="O599" t="s">
        <v>3279</v>
      </c>
    </row>
    <row r="600" spans="1:15">
      <c r="A600" t="s">
        <v>3280</v>
      </c>
      <c r="B600" t="s">
        <v>17</v>
      </c>
      <c r="C600">
        <v>61</v>
      </c>
      <c r="D600" t="s">
        <v>41</v>
      </c>
      <c r="E600">
        <v>1000</v>
      </c>
      <c r="F600">
        <v>61</v>
      </c>
      <c r="G600" t="s">
        <v>18</v>
      </c>
      <c r="H600" t="s">
        <v>42</v>
      </c>
      <c r="I600" t="s">
        <v>20</v>
      </c>
      <c r="J600" t="s">
        <v>2701</v>
      </c>
      <c r="K600">
        <v>43.9</v>
      </c>
      <c r="L600" s="61" t="s">
        <v>3278</v>
      </c>
      <c r="M600" t="str">
        <f>M599&amp;", """&amp;A600&amp;""""</f>
        <v>"07161208_1732", "07161208_1832"</v>
      </c>
      <c r="N600" t="s">
        <v>2246</v>
      </c>
      <c r="O600" t="str">
        <f t="shared" ref="O600:O612" si="1">"condorProc.py --series "&amp;A600&amp;" --donoise  --dumps a --procenv environments/pymidas_HVHVmf.env"</f>
        <v>condorProc.py --series 07161208_1832 --donoise  --dumps a --procenv environments/pymidas_HVHVmf.env</v>
      </c>
    </row>
    <row r="601" spans="1:15">
      <c r="A601" t="s">
        <v>3281</v>
      </c>
      <c r="B601" t="s">
        <v>17</v>
      </c>
      <c r="C601">
        <v>61</v>
      </c>
      <c r="D601" t="s">
        <v>41</v>
      </c>
      <c r="E601">
        <v>1000</v>
      </c>
      <c r="F601">
        <v>61</v>
      </c>
      <c r="G601" t="s">
        <v>18</v>
      </c>
      <c r="H601" t="s">
        <v>42</v>
      </c>
      <c r="I601" t="s">
        <v>20</v>
      </c>
      <c r="J601" t="s">
        <v>2701</v>
      </c>
      <c r="K601">
        <v>43.9</v>
      </c>
      <c r="L601" t="s">
        <v>3282</v>
      </c>
      <c r="M601" t="str">
        <f t="shared" ref="M601:M612" si="2">M600&amp;", """&amp;A601&amp;""""</f>
        <v>"07161208_1732", "07161208_1832", "07161208_1932"</v>
      </c>
      <c r="N601" t="s">
        <v>2246</v>
      </c>
      <c r="O601" t="str">
        <f t="shared" si="1"/>
        <v>condorProc.py --series 07161208_1932 --donoise  --dumps a --procenv environments/pymidas_HVHVmf.env</v>
      </c>
    </row>
    <row r="602" spans="1:15">
      <c r="A602" t="s">
        <v>3283</v>
      </c>
      <c r="B602" t="s">
        <v>17</v>
      </c>
      <c r="C602">
        <v>61</v>
      </c>
      <c r="D602" t="s">
        <v>41</v>
      </c>
      <c r="E602">
        <v>1000</v>
      </c>
      <c r="F602">
        <v>61</v>
      </c>
      <c r="G602" t="s">
        <v>18</v>
      </c>
      <c r="H602" t="s">
        <v>42</v>
      </c>
      <c r="I602" t="s">
        <v>20</v>
      </c>
      <c r="J602" t="s">
        <v>2701</v>
      </c>
      <c r="K602">
        <v>43.9</v>
      </c>
      <c r="M602" t="str">
        <f t="shared" si="2"/>
        <v>"07161208_1732", "07161208_1832", "07161208_1932", "07161208_2032"</v>
      </c>
      <c r="N602" t="s">
        <v>2246</v>
      </c>
      <c r="O602" t="str">
        <f t="shared" si="1"/>
        <v>condorProc.py --series 07161208_2032 --donoise  --dumps a --procenv environments/pymidas_HVHVmf.env</v>
      </c>
    </row>
    <row r="603" spans="1:15">
      <c r="A603" t="s">
        <v>3284</v>
      </c>
      <c r="B603" t="s">
        <v>17</v>
      </c>
      <c r="C603">
        <v>61</v>
      </c>
      <c r="D603" t="s">
        <v>41</v>
      </c>
      <c r="E603">
        <v>1000</v>
      </c>
      <c r="F603">
        <v>61</v>
      </c>
      <c r="G603" t="s">
        <v>18</v>
      </c>
      <c r="H603" t="s">
        <v>42</v>
      </c>
      <c r="I603" t="s">
        <v>20</v>
      </c>
      <c r="J603" t="s">
        <v>2701</v>
      </c>
      <c r="K603">
        <v>43.9</v>
      </c>
      <c r="M603" t="str">
        <f t="shared" si="2"/>
        <v>"07161208_1732", "07161208_1832", "07161208_1932", "07161208_2032", "07161208_2133"</v>
      </c>
      <c r="N603" t="s">
        <v>2246</v>
      </c>
      <c r="O603" t="str">
        <f t="shared" si="1"/>
        <v>condorProc.py --series 07161208_2133 --donoise  --dumps a --procenv environments/pymidas_HVHVmf.env</v>
      </c>
    </row>
    <row r="604" spans="1:15">
      <c r="A604" t="s">
        <v>3285</v>
      </c>
      <c r="B604" t="s">
        <v>17</v>
      </c>
      <c r="C604">
        <v>61</v>
      </c>
      <c r="D604" t="s">
        <v>41</v>
      </c>
      <c r="E604">
        <v>1000</v>
      </c>
      <c r="F604">
        <v>61</v>
      </c>
      <c r="G604" t="s">
        <v>18</v>
      </c>
      <c r="H604" t="s">
        <v>42</v>
      </c>
      <c r="I604" t="s">
        <v>20</v>
      </c>
      <c r="J604" t="s">
        <v>2701</v>
      </c>
      <c r="K604">
        <v>43.9</v>
      </c>
      <c r="M604" t="str">
        <f t="shared" si="2"/>
        <v>"07161208_1732", "07161208_1832", "07161208_1932", "07161208_2032", "07161208_2133", "07161208_2233"</v>
      </c>
      <c r="N604" t="s">
        <v>2246</v>
      </c>
      <c r="O604" t="str">
        <f t="shared" si="1"/>
        <v>condorProc.py --series 07161208_2233 --donoise  --dumps a --procenv environments/pymidas_HVHVmf.env</v>
      </c>
    </row>
    <row r="605" spans="1:15">
      <c r="A605" t="s">
        <v>3286</v>
      </c>
      <c r="B605" t="s">
        <v>17</v>
      </c>
      <c r="C605">
        <v>61</v>
      </c>
      <c r="D605" t="s">
        <v>41</v>
      </c>
      <c r="E605">
        <v>1000</v>
      </c>
      <c r="F605">
        <v>61</v>
      </c>
      <c r="G605" t="s">
        <v>18</v>
      </c>
      <c r="H605" t="s">
        <v>42</v>
      </c>
      <c r="I605" t="s">
        <v>20</v>
      </c>
      <c r="J605" t="s">
        <v>2701</v>
      </c>
      <c r="K605">
        <v>43.9</v>
      </c>
      <c r="M605" t="str">
        <f t="shared" si="2"/>
        <v>"07161208_1732", "07161208_1832", "07161208_1932", "07161208_2032", "07161208_2133", "07161208_2233", "07161208_2333"</v>
      </c>
      <c r="N605" t="s">
        <v>2246</v>
      </c>
      <c r="O605" t="str">
        <f t="shared" si="1"/>
        <v>condorProc.py --series 07161208_2333 --donoise  --dumps a --procenv environments/pymidas_HVHVmf.env</v>
      </c>
    </row>
    <row r="606" spans="1:15">
      <c r="A606" t="s">
        <v>3287</v>
      </c>
      <c r="B606" t="s">
        <v>17</v>
      </c>
      <c r="C606">
        <v>61</v>
      </c>
      <c r="D606" t="s">
        <v>41</v>
      </c>
      <c r="E606">
        <v>1000</v>
      </c>
      <c r="F606">
        <v>61</v>
      </c>
      <c r="G606" t="s">
        <v>18</v>
      </c>
      <c r="H606" t="s">
        <v>42</v>
      </c>
      <c r="I606" t="s">
        <v>20</v>
      </c>
      <c r="J606" t="s">
        <v>2701</v>
      </c>
      <c r="K606">
        <v>43.9</v>
      </c>
      <c r="M606" t="str">
        <f t="shared" si="2"/>
        <v>"07161208_1732", "07161208_1832", "07161208_1932", "07161208_2032", "07161208_2133", "07161208_2233", "07161208_2333", "07161209_0033"</v>
      </c>
      <c r="N606" t="s">
        <v>2246</v>
      </c>
      <c r="O606" t="str">
        <f t="shared" si="1"/>
        <v>condorProc.py --series 07161209_0033 --donoise  --dumps a --procenv environments/pymidas_HVHVmf.env</v>
      </c>
    </row>
    <row r="607" spans="1:15">
      <c r="A607" t="s">
        <v>3288</v>
      </c>
      <c r="B607" t="s">
        <v>17</v>
      </c>
      <c r="C607">
        <v>61</v>
      </c>
      <c r="D607" t="s">
        <v>41</v>
      </c>
      <c r="E607">
        <v>1000</v>
      </c>
      <c r="F607">
        <v>61</v>
      </c>
      <c r="G607" t="s">
        <v>18</v>
      </c>
      <c r="H607" t="s">
        <v>42</v>
      </c>
      <c r="I607" t="s">
        <v>20</v>
      </c>
      <c r="J607" t="s">
        <v>2701</v>
      </c>
      <c r="K607">
        <v>43.9</v>
      </c>
      <c r="M607" t="str">
        <f t="shared" si="2"/>
        <v>"07161208_1732", "07161208_1832", "07161208_1932", "07161208_2032", "07161208_2133", "07161208_2233", "07161208_2333", "07161209_0033", "07161209_0133"</v>
      </c>
      <c r="N607" t="s">
        <v>2246</v>
      </c>
      <c r="O607" t="str">
        <f t="shared" si="1"/>
        <v>condorProc.py --series 07161209_0133 --donoise  --dumps a --procenv environments/pymidas_HVHVmf.env</v>
      </c>
    </row>
    <row r="608" spans="1:15">
      <c r="A608" t="s">
        <v>3289</v>
      </c>
      <c r="B608" t="s">
        <v>17</v>
      </c>
      <c r="C608">
        <v>61</v>
      </c>
      <c r="D608" t="s">
        <v>41</v>
      </c>
      <c r="E608">
        <v>1000</v>
      </c>
      <c r="F608">
        <v>61</v>
      </c>
      <c r="G608" t="s">
        <v>18</v>
      </c>
      <c r="H608" t="s">
        <v>42</v>
      </c>
      <c r="I608" t="s">
        <v>20</v>
      </c>
      <c r="J608" t="s">
        <v>2701</v>
      </c>
      <c r="K608">
        <v>43.9</v>
      </c>
      <c r="M608" t="str">
        <f t="shared" si="2"/>
        <v>"07161208_1732", "07161208_1832", "07161208_1932", "07161208_2032", "07161208_2133", "07161208_2233", "07161208_2333", "07161209_0033", "07161209_0133", "07161209_0234"</v>
      </c>
      <c r="N608" t="s">
        <v>2246</v>
      </c>
      <c r="O608" t="str">
        <f t="shared" si="1"/>
        <v>condorProc.py --series 07161209_0234 --donoise  --dumps a --procenv environments/pymidas_HVHVmf.env</v>
      </c>
    </row>
    <row r="609" spans="1:15">
      <c r="A609" t="s">
        <v>3290</v>
      </c>
      <c r="B609" t="s">
        <v>17</v>
      </c>
      <c r="C609">
        <v>61</v>
      </c>
      <c r="D609" t="s">
        <v>41</v>
      </c>
      <c r="E609">
        <v>1000</v>
      </c>
      <c r="F609">
        <v>61</v>
      </c>
      <c r="G609" t="s">
        <v>18</v>
      </c>
      <c r="H609" t="s">
        <v>42</v>
      </c>
      <c r="I609" t="s">
        <v>20</v>
      </c>
      <c r="J609" t="s">
        <v>2701</v>
      </c>
      <c r="K609">
        <v>43.9</v>
      </c>
      <c r="M609" t="str">
        <f t="shared" si="2"/>
        <v>"07161208_1732", "07161208_1832", "07161208_1932", "07161208_2032", "07161208_2133", "07161208_2233", "07161208_2333", "07161209_0033", "07161209_0133", "07161209_0234", "07161209_0334"</v>
      </c>
      <c r="N609" t="s">
        <v>2246</v>
      </c>
      <c r="O609" t="str">
        <f t="shared" si="1"/>
        <v>condorProc.py --series 07161209_0334 --donoise  --dumps a --procenv environments/pymidas_HVHVmf.env</v>
      </c>
    </row>
    <row r="610" spans="1:15">
      <c r="A610" t="s">
        <v>3291</v>
      </c>
      <c r="B610" t="s">
        <v>17</v>
      </c>
      <c r="C610">
        <v>61</v>
      </c>
      <c r="D610" t="s">
        <v>41</v>
      </c>
      <c r="E610">
        <v>1000</v>
      </c>
      <c r="F610">
        <v>61</v>
      </c>
      <c r="G610" t="s">
        <v>18</v>
      </c>
      <c r="H610" t="s">
        <v>42</v>
      </c>
      <c r="I610" t="s">
        <v>20</v>
      </c>
      <c r="J610" t="s">
        <v>2701</v>
      </c>
      <c r="K610">
        <v>43.9</v>
      </c>
      <c r="M610" t="str">
        <f t="shared" si="2"/>
        <v>"07161208_1732", "07161208_1832", "07161208_1932", "07161208_2032", "07161208_2133", "07161208_2233", "07161208_2333", "07161209_0033", "07161209_0133", "07161209_0234", "07161209_0334", "07161209_0434"</v>
      </c>
      <c r="N610" t="s">
        <v>2246</v>
      </c>
      <c r="O610" t="str">
        <f t="shared" si="1"/>
        <v>condorProc.py --series 07161209_0434 --donoise  --dumps a --procenv environments/pymidas_HVHVmf.env</v>
      </c>
    </row>
    <row r="611" spans="1:15">
      <c r="A611" t="s">
        <v>3292</v>
      </c>
      <c r="B611" t="s">
        <v>17</v>
      </c>
      <c r="C611">
        <v>61</v>
      </c>
      <c r="D611" t="s">
        <v>41</v>
      </c>
      <c r="E611">
        <v>1000</v>
      </c>
      <c r="F611">
        <v>179</v>
      </c>
      <c r="G611" t="s">
        <v>18</v>
      </c>
      <c r="H611" t="s">
        <v>42</v>
      </c>
      <c r="I611" t="s">
        <v>20</v>
      </c>
      <c r="J611" t="s">
        <v>2701</v>
      </c>
      <c r="K611">
        <v>43.9</v>
      </c>
      <c r="M611" t="str">
        <f t="shared" si="2"/>
        <v>"07161208_1732", "07161208_1832", "07161208_1932", "07161208_2032", "07161208_2133", "07161208_2233", "07161208_2333", "07161209_0033", "07161209_0133", "07161209_0234", "07161209_0334", "07161209_0434", "07161209_0535"</v>
      </c>
      <c r="N611" t="s">
        <v>2246</v>
      </c>
      <c r="O611" t="str">
        <f t="shared" si="1"/>
        <v>condorProc.py --series 07161209_0535 --donoise  --dumps a --procenv environments/pymidas_HVHVmf.env</v>
      </c>
    </row>
    <row r="612" spans="1:15">
      <c r="A612" t="s">
        <v>3293</v>
      </c>
      <c r="B612" t="s">
        <v>17</v>
      </c>
      <c r="C612">
        <v>61</v>
      </c>
      <c r="D612" t="s">
        <v>41</v>
      </c>
      <c r="E612">
        <v>1000</v>
      </c>
      <c r="F612">
        <v>37</v>
      </c>
      <c r="G612" t="s">
        <v>18</v>
      </c>
      <c r="H612" t="s">
        <v>42</v>
      </c>
      <c r="I612" t="s">
        <v>20</v>
      </c>
      <c r="J612" t="s">
        <v>2701</v>
      </c>
      <c r="K612">
        <v>43.9</v>
      </c>
      <c r="M612" t="str">
        <f t="shared" si="2"/>
        <v>"07161208_1732", "07161208_1832", "07161208_1932", "07161208_2032", "07161208_2133", "07161208_2233", "07161208_2333", "07161209_0033", "07161209_0133", "07161209_0234", "07161209_0334", "07161209_0434", "07161209_0535", "07161209_0833"</v>
      </c>
      <c r="N612" t="s">
        <v>2246</v>
      </c>
      <c r="O612" t="str">
        <f t="shared" si="1"/>
        <v>condorProc.py --series 07161209_0833 --donoise  --dumps a --procenv environments/pymidas_HVHVmf.env</v>
      </c>
    </row>
    <row r="613" spans="1:15">
      <c r="A613" t="s">
        <v>3294</v>
      </c>
      <c r="B613" t="s">
        <v>17</v>
      </c>
      <c r="C613">
        <v>61</v>
      </c>
      <c r="D613" t="s">
        <v>41</v>
      </c>
      <c r="E613">
        <v>0</v>
      </c>
      <c r="F613">
        <v>31</v>
      </c>
      <c r="G613" t="s">
        <v>18</v>
      </c>
      <c r="H613" t="s">
        <v>42</v>
      </c>
      <c r="I613" t="s">
        <v>20</v>
      </c>
    </row>
    <row r="614" spans="1:15">
      <c r="A614" t="s">
        <v>3295</v>
      </c>
      <c r="B614" t="s">
        <v>17</v>
      </c>
      <c r="C614">
        <v>61</v>
      </c>
      <c r="D614" t="s">
        <v>41</v>
      </c>
      <c r="E614">
        <v>0</v>
      </c>
      <c r="F614">
        <v>31</v>
      </c>
      <c r="G614" t="s">
        <v>18</v>
      </c>
      <c r="H614" t="s">
        <v>42</v>
      </c>
      <c r="I614" t="s">
        <v>20</v>
      </c>
    </row>
    <row r="615" spans="1:15">
      <c r="A615" t="s">
        <v>3296</v>
      </c>
      <c r="B615" t="s">
        <v>17</v>
      </c>
      <c r="C615">
        <v>61</v>
      </c>
      <c r="D615" t="s">
        <v>41</v>
      </c>
      <c r="E615">
        <v>0</v>
      </c>
      <c r="F615">
        <v>27</v>
      </c>
      <c r="G615" t="s">
        <v>18</v>
      </c>
      <c r="H615" t="s">
        <v>42</v>
      </c>
      <c r="I615" t="s">
        <v>20</v>
      </c>
    </row>
    <row r="616" spans="1:15">
      <c r="A616" t="s">
        <v>3297</v>
      </c>
      <c r="B616" t="s">
        <v>17</v>
      </c>
      <c r="C616">
        <v>61</v>
      </c>
      <c r="D616" t="s">
        <v>41</v>
      </c>
      <c r="E616">
        <v>0</v>
      </c>
      <c r="F616">
        <v>37</v>
      </c>
      <c r="G616" t="s">
        <v>18</v>
      </c>
      <c r="H616" t="s">
        <v>42</v>
      </c>
      <c r="I616" t="s">
        <v>20</v>
      </c>
    </row>
    <row r="617" spans="1:15">
      <c r="A617" t="s">
        <v>3298</v>
      </c>
      <c r="B617" t="s">
        <v>17</v>
      </c>
      <c r="C617">
        <v>61</v>
      </c>
      <c r="D617" t="s">
        <v>41</v>
      </c>
      <c r="E617">
        <v>0</v>
      </c>
      <c r="F617">
        <v>38</v>
      </c>
      <c r="G617" t="s">
        <v>18</v>
      </c>
      <c r="H617" t="s">
        <v>42</v>
      </c>
      <c r="I617" t="s">
        <v>20</v>
      </c>
    </row>
    <row r="618" spans="1:15">
      <c r="A618" t="s">
        <v>3299</v>
      </c>
      <c r="B618" t="s">
        <v>17</v>
      </c>
      <c r="C618">
        <v>61</v>
      </c>
      <c r="D618" t="s">
        <v>41</v>
      </c>
      <c r="E618">
        <v>1000</v>
      </c>
      <c r="F618">
        <v>5</v>
      </c>
      <c r="G618" t="s">
        <v>18</v>
      </c>
      <c r="H618" t="s">
        <v>42</v>
      </c>
      <c r="I618" t="s">
        <v>20</v>
      </c>
    </row>
    <row r="619" spans="1:15">
      <c r="A619" t="s">
        <v>3300</v>
      </c>
      <c r="B619" t="s">
        <v>17</v>
      </c>
      <c r="C619">
        <v>61</v>
      </c>
      <c r="D619" t="s">
        <v>41</v>
      </c>
      <c r="E619">
        <v>1000</v>
      </c>
      <c r="F619">
        <v>1</v>
      </c>
      <c r="G619" t="s">
        <v>18</v>
      </c>
      <c r="H619" t="s">
        <v>42</v>
      </c>
      <c r="I619" t="s">
        <v>20</v>
      </c>
    </row>
    <row r="620" spans="1:15">
      <c r="A620" t="s">
        <v>3301</v>
      </c>
      <c r="B620" t="s">
        <v>17</v>
      </c>
      <c r="C620">
        <v>61</v>
      </c>
      <c r="D620" t="s">
        <v>41</v>
      </c>
      <c r="E620">
        <v>1000</v>
      </c>
      <c r="F620">
        <v>61</v>
      </c>
      <c r="G620" t="s">
        <v>18</v>
      </c>
      <c r="H620" t="s">
        <v>42</v>
      </c>
      <c r="I620" t="s">
        <v>20</v>
      </c>
    </row>
    <row r="621" spans="1:15">
      <c r="A621" t="s">
        <v>3302</v>
      </c>
      <c r="B621" t="s">
        <v>17</v>
      </c>
      <c r="C621">
        <v>61</v>
      </c>
      <c r="D621" t="s">
        <v>41</v>
      </c>
      <c r="E621">
        <v>1000</v>
      </c>
      <c r="F621">
        <v>61</v>
      </c>
      <c r="G621" t="s">
        <v>18</v>
      </c>
      <c r="H621" t="s">
        <v>42</v>
      </c>
      <c r="I621" t="s">
        <v>20</v>
      </c>
    </row>
    <row r="622" spans="1:15">
      <c r="A622" t="s">
        <v>3303</v>
      </c>
      <c r="B622" t="s">
        <v>17</v>
      </c>
      <c r="C622">
        <v>61</v>
      </c>
      <c r="D622" t="s">
        <v>41</v>
      </c>
      <c r="E622">
        <v>1000</v>
      </c>
      <c r="F622">
        <v>61</v>
      </c>
      <c r="G622" t="s">
        <v>18</v>
      </c>
      <c r="H622" t="s">
        <v>42</v>
      </c>
      <c r="I622" t="s">
        <v>20</v>
      </c>
    </row>
    <row r="623" spans="1:15">
      <c r="A623" t="s">
        <v>3304</v>
      </c>
      <c r="B623" t="s">
        <v>17</v>
      </c>
      <c r="C623">
        <v>61</v>
      </c>
      <c r="D623" t="s">
        <v>41</v>
      </c>
      <c r="E623">
        <v>1000</v>
      </c>
      <c r="F623" t="s">
        <v>41</v>
      </c>
      <c r="G623" t="s">
        <v>18</v>
      </c>
      <c r="H623" t="s">
        <v>42</v>
      </c>
      <c r="I623" t="s">
        <v>20</v>
      </c>
    </row>
    <row r="624" spans="1:15">
      <c r="A624" t="s">
        <v>3305</v>
      </c>
    </row>
    <row r="625" spans="1:1">
      <c r="A625" t="s">
        <v>3306</v>
      </c>
    </row>
    <row r="626" spans="1:1">
      <c r="A626" t="s">
        <v>3307</v>
      </c>
    </row>
    <row r="627" spans="1:1">
      <c r="A627" t="s">
        <v>3308</v>
      </c>
    </row>
    <row r="628" spans="1:1">
      <c r="A628" t="s">
        <v>3309</v>
      </c>
    </row>
    <row r="629" spans="1:1">
      <c r="A629" t="s">
        <v>3310</v>
      </c>
    </row>
    <row r="630" spans="1:1">
      <c r="A630" t="s">
        <v>3311</v>
      </c>
    </row>
    <row r="631" spans="1:1">
      <c r="A631" t="s">
        <v>3312</v>
      </c>
    </row>
    <row r="632" spans="1:1">
      <c r="A632" t="s">
        <v>3313</v>
      </c>
    </row>
    <row r="633" spans="1:1">
      <c r="A633" t="s">
        <v>3314</v>
      </c>
    </row>
    <row r="634" spans="1:1">
      <c r="A634" t="s">
        <v>3315</v>
      </c>
    </row>
    <row r="635" spans="1:1">
      <c r="A635" t="s">
        <v>3316</v>
      </c>
    </row>
    <row r="636" spans="1:1">
      <c r="A636" t="s">
        <v>3317</v>
      </c>
    </row>
    <row r="637" spans="1:1">
      <c r="A637" t="s">
        <v>3318</v>
      </c>
    </row>
    <row r="638" spans="1:1">
      <c r="A638" t="s">
        <v>3319</v>
      </c>
    </row>
    <row r="639" spans="1:1">
      <c r="A639" t="s">
        <v>3320</v>
      </c>
    </row>
    <row r="640" spans="1:1">
      <c r="A640" t="s">
        <v>3321</v>
      </c>
    </row>
    <row r="641" spans="1:1">
      <c r="A641" t="s">
        <v>3322</v>
      </c>
    </row>
    <row r="642" spans="1:1">
      <c r="A642" t="s">
        <v>3323</v>
      </c>
    </row>
    <row r="643" spans="1:1">
      <c r="A643" t="s">
        <v>3324</v>
      </c>
    </row>
    <row r="644" spans="1:1">
      <c r="A644" t="s">
        <v>3325</v>
      </c>
    </row>
    <row r="645" spans="1:1">
      <c r="A645" t="s">
        <v>3326</v>
      </c>
    </row>
    <row r="646" spans="1:1">
      <c r="A646" t="s">
        <v>3327</v>
      </c>
    </row>
    <row r="647" spans="1:1">
      <c r="A647" t="s">
        <v>3328</v>
      </c>
    </row>
    <row r="648" spans="1:1">
      <c r="A648" t="s">
        <v>3329</v>
      </c>
    </row>
    <row r="649" spans="1:1">
      <c r="A649" t="s">
        <v>3330</v>
      </c>
    </row>
    <row r="650" spans="1:1">
      <c r="A650" t="s">
        <v>3331</v>
      </c>
    </row>
    <row r="651" spans="1:1">
      <c r="A651" t="s">
        <v>3332</v>
      </c>
    </row>
    <row r="652" spans="1:1">
      <c r="A652" t="s">
        <v>3333</v>
      </c>
    </row>
    <row r="653" spans="1:1">
      <c r="A653" t="s">
        <v>3334</v>
      </c>
    </row>
    <row r="654" spans="1:1">
      <c r="A654" t="s">
        <v>3335</v>
      </c>
    </row>
    <row r="655" spans="1:1">
      <c r="A655" t="s">
        <v>3336</v>
      </c>
    </row>
    <row r="656" spans="1:1">
      <c r="A656" t="s">
        <v>3337</v>
      </c>
    </row>
    <row r="657" spans="1:9">
      <c r="A657" t="s">
        <v>3338</v>
      </c>
    </row>
    <row r="658" spans="1:9">
      <c r="A658" t="s">
        <v>3339</v>
      </c>
    </row>
    <row r="659" spans="1:9">
      <c r="A659" t="s">
        <v>3340</v>
      </c>
    </row>
    <row r="660" spans="1:9">
      <c r="A660" t="s">
        <v>3341</v>
      </c>
      <c r="B660" t="s">
        <v>17</v>
      </c>
      <c r="C660">
        <v>61</v>
      </c>
      <c r="D660" t="s">
        <v>41</v>
      </c>
      <c r="E660">
        <v>1000</v>
      </c>
      <c r="F660">
        <v>61</v>
      </c>
      <c r="G660" t="s">
        <v>3342</v>
      </c>
      <c r="H660" t="s">
        <v>42</v>
      </c>
      <c r="I660" t="s">
        <v>20</v>
      </c>
    </row>
    <row r="661" spans="1:9">
      <c r="A661" t="s">
        <v>3343</v>
      </c>
      <c r="B661" t="s">
        <v>17</v>
      </c>
      <c r="C661">
        <v>61</v>
      </c>
      <c r="D661" t="s">
        <v>41</v>
      </c>
      <c r="E661">
        <v>1000</v>
      </c>
      <c r="F661">
        <v>61</v>
      </c>
      <c r="G661" t="s">
        <v>3342</v>
      </c>
      <c r="H661" t="s">
        <v>42</v>
      </c>
      <c r="I661" t="s">
        <v>20</v>
      </c>
    </row>
    <row r="662" spans="1:9">
      <c r="A662" t="s">
        <v>3344</v>
      </c>
      <c r="B662" t="s">
        <v>17</v>
      </c>
      <c r="C662">
        <v>61</v>
      </c>
      <c r="D662" t="s">
        <v>41</v>
      </c>
      <c r="E662">
        <v>1000</v>
      </c>
      <c r="F662">
        <v>61</v>
      </c>
      <c r="G662" t="s">
        <v>3342</v>
      </c>
      <c r="H662" t="s">
        <v>42</v>
      </c>
      <c r="I662" t="s">
        <v>20</v>
      </c>
    </row>
    <row r="663" spans="1:9">
      <c r="A663" t="s">
        <v>3345</v>
      </c>
      <c r="B663" t="s">
        <v>17</v>
      </c>
      <c r="C663">
        <v>61</v>
      </c>
      <c r="D663" t="s">
        <v>41</v>
      </c>
      <c r="E663">
        <v>1000</v>
      </c>
      <c r="F663">
        <v>61</v>
      </c>
      <c r="G663" t="s">
        <v>3342</v>
      </c>
      <c r="H663" t="s">
        <v>42</v>
      </c>
      <c r="I663" t="s">
        <v>20</v>
      </c>
    </row>
    <row r="664" spans="1:9">
      <c r="A664" t="s">
        <v>3346</v>
      </c>
      <c r="B664" t="s">
        <v>17</v>
      </c>
      <c r="C664">
        <v>61</v>
      </c>
      <c r="D664" t="s">
        <v>41</v>
      </c>
      <c r="E664">
        <v>1000</v>
      </c>
      <c r="F664">
        <v>61</v>
      </c>
      <c r="G664" t="s">
        <v>3342</v>
      </c>
      <c r="H664" t="s">
        <v>42</v>
      </c>
      <c r="I664" t="s">
        <v>20</v>
      </c>
    </row>
    <row r="665" spans="1:9">
      <c r="A665" t="s">
        <v>3347</v>
      </c>
      <c r="B665" t="s">
        <v>17</v>
      </c>
      <c r="C665">
        <v>61</v>
      </c>
      <c r="D665" t="s">
        <v>41</v>
      </c>
      <c r="E665">
        <v>1000</v>
      </c>
      <c r="F665">
        <v>61</v>
      </c>
      <c r="G665" t="s">
        <v>3342</v>
      </c>
      <c r="H665" t="s">
        <v>42</v>
      </c>
      <c r="I665" t="s">
        <v>20</v>
      </c>
    </row>
    <row r="666" spans="1:9">
      <c r="A666" t="s">
        <v>3348</v>
      </c>
      <c r="B666" t="s">
        <v>17</v>
      </c>
      <c r="C666">
        <v>61</v>
      </c>
      <c r="D666" t="s">
        <v>41</v>
      </c>
      <c r="E666">
        <v>1000</v>
      </c>
      <c r="F666">
        <v>61</v>
      </c>
      <c r="G666" t="s">
        <v>3342</v>
      </c>
      <c r="H666" t="s">
        <v>42</v>
      </c>
      <c r="I666" t="s">
        <v>20</v>
      </c>
    </row>
    <row r="667" spans="1:9">
      <c r="A667" t="s">
        <v>3349</v>
      </c>
      <c r="B667" t="s">
        <v>17</v>
      </c>
      <c r="C667">
        <v>61</v>
      </c>
      <c r="D667" t="s">
        <v>41</v>
      </c>
      <c r="E667">
        <v>1000</v>
      </c>
      <c r="F667">
        <v>61</v>
      </c>
      <c r="G667" t="s">
        <v>3342</v>
      </c>
      <c r="H667" t="s">
        <v>42</v>
      </c>
      <c r="I667" t="s">
        <v>20</v>
      </c>
    </row>
    <row r="668" spans="1:9">
      <c r="A668" t="s">
        <v>3350</v>
      </c>
      <c r="B668" t="s">
        <v>17</v>
      </c>
      <c r="C668">
        <v>61</v>
      </c>
      <c r="D668" t="s">
        <v>41</v>
      </c>
      <c r="E668">
        <v>1000</v>
      </c>
      <c r="F668">
        <v>61</v>
      </c>
      <c r="G668" t="s">
        <v>3342</v>
      </c>
      <c r="H668" t="s">
        <v>42</v>
      </c>
      <c r="I668" t="s">
        <v>20</v>
      </c>
    </row>
    <row r="669" spans="1:9">
      <c r="A669" t="s">
        <v>3351</v>
      </c>
      <c r="B669" t="s">
        <v>17</v>
      </c>
      <c r="C669">
        <v>61</v>
      </c>
      <c r="D669" t="s">
        <v>41</v>
      </c>
      <c r="E669">
        <v>1000</v>
      </c>
      <c r="F669">
        <v>61</v>
      </c>
      <c r="G669" t="s">
        <v>3342</v>
      </c>
      <c r="H669" t="s">
        <v>42</v>
      </c>
      <c r="I669" t="s">
        <v>20</v>
      </c>
    </row>
    <row r="670" spans="1:9">
      <c r="A670" t="s">
        <v>3352</v>
      </c>
      <c r="B670" t="s">
        <v>17</v>
      </c>
      <c r="C670">
        <v>61</v>
      </c>
      <c r="D670" t="s">
        <v>41</v>
      </c>
      <c r="E670">
        <v>1000</v>
      </c>
      <c r="F670">
        <v>61</v>
      </c>
      <c r="G670" t="s">
        <v>3342</v>
      </c>
      <c r="H670" t="s">
        <v>42</v>
      </c>
      <c r="I670" t="s">
        <v>20</v>
      </c>
    </row>
    <row r="671" spans="1:9">
      <c r="A671" t="s">
        <v>3353</v>
      </c>
      <c r="B671" t="s">
        <v>17</v>
      </c>
      <c r="C671">
        <v>61</v>
      </c>
      <c r="D671" t="s">
        <v>41</v>
      </c>
      <c r="E671">
        <v>1000</v>
      </c>
      <c r="F671">
        <v>61</v>
      </c>
      <c r="G671" t="s">
        <v>3342</v>
      </c>
      <c r="H671" t="s">
        <v>42</v>
      </c>
      <c r="I671" t="s">
        <v>20</v>
      </c>
    </row>
    <row r="672" spans="1:9">
      <c r="A672" t="s">
        <v>3354</v>
      </c>
      <c r="B672" t="s">
        <v>17</v>
      </c>
      <c r="C672">
        <v>61</v>
      </c>
      <c r="D672" t="s">
        <v>41</v>
      </c>
      <c r="E672">
        <v>1000</v>
      </c>
      <c r="F672">
        <v>8</v>
      </c>
      <c r="G672" t="s">
        <v>3142</v>
      </c>
      <c r="H672" t="s">
        <v>42</v>
      </c>
      <c r="I672" t="s">
        <v>20</v>
      </c>
    </row>
    <row r="673" spans="1:9">
      <c r="A673" t="s">
        <v>3355</v>
      </c>
      <c r="B673" t="s">
        <v>17</v>
      </c>
      <c r="C673">
        <v>61</v>
      </c>
      <c r="D673" t="s">
        <v>41</v>
      </c>
      <c r="E673">
        <v>1000</v>
      </c>
      <c r="F673">
        <v>11</v>
      </c>
      <c r="G673" t="s">
        <v>3142</v>
      </c>
      <c r="H673" t="s">
        <v>42</v>
      </c>
      <c r="I673" t="s">
        <v>20</v>
      </c>
    </row>
    <row r="674" spans="1:9">
      <c r="A674" t="s">
        <v>3356</v>
      </c>
      <c r="B674" t="s">
        <v>17</v>
      </c>
      <c r="C674">
        <v>61</v>
      </c>
      <c r="D674" t="s">
        <v>41</v>
      </c>
      <c r="E674">
        <v>1000</v>
      </c>
      <c r="F674">
        <v>26</v>
      </c>
      <c r="G674" t="s">
        <v>3142</v>
      </c>
      <c r="H674" t="s">
        <v>42</v>
      </c>
      <c r="I674" t="s">
        <v>20</v>
      </c>
    </row>
    <row r="675" spans="1:9">
      <c r="A675" t="s">
        <v>3357</v>
      </c>
      <c r="B675" t="s">
        <v>17</v>
      </c>
      <c r="C675">
        <v>61</v>
      </c>
      <c r="D675" t="s">
        <v>41</v>
      </c>
      <c r="E675">
        <v>1000</v>
      </c>
      <c r="F675">
        <v>51</v>
      </c>
      <c r="G675" t="s">
        <v>3142</v>
      </c>
      <c r="H675" t="s">
        <v>42</v>
      </c>
      <c r="I675" t="s">
        <v>20</v>
      </c>
    </row>
    <row r="676" spans="1:9">
      <c r="A676" t="s">
        <v>3358</v>
      </c>
      <c r="B676" t="s">
        <v>17</v>
      </c>
      <c r="C676">
        <v>61</v>
      </c>
      <c r="D676" t="s">
        <v>41</v>
      </c>
      <c r="E676">
        <v>1000</v>
      </c>
      <c r="F676">
        <v>11</v>
      </c>
      <c r="G676" t="s">
        <v>3359</v>
      </c>
      <c r="H676" t="s">
        <v>42</v>
      </c>
      <c r="I676" t="s">
        <v>20</v>
      </c>
    </row>
    <row r="677" spans="1:9">
      <c r="A677" t="s">
        <v>3360</v>
      </c>
      <c r="B677" t="s">
        <v>17</v>
      </c>
      <c r="C677">
        <v>61</v>
      </c>
      <c r="D677" t="s">
        <v>41</v>
      </c>
      <c r="E677">
        <v>1000</v>
      </c>
      <c r="F677">
        <v>62</v>
      </c>
      <c r="G677" t="s">
        <v>3359</v>
      </c>
      <c r="H677" t="s">
        <v>42</v>
      </c>
      <c r="I677" t="s">
        <v>20</v>
      </c>
    </row>
    <row r="678" spans="1:9">
      <c r="A678" t="s">
        <v>3361</v>
      </c>
      <c r="B678" t="s">
        <v>17</v>
      </c>
      <c r="C678">
        <v>61</v>
      </c>
      <c r="D678" t="s">
        <v>41</v>
      </c>
      <c r="E678">
        <v>1000</v>
      </c>
      <c r="F678">
        <v>726</v>
      </c>
      <c r="G678" t="s">
        <v>3359</v>
      </c>
      <c r="H678" t="s">
        <v>42</v>
      </c>
      <c r="I678" t="s">
        <v>20</v>
      </c>
    </row>
    <row r="679" spans="1:9">
      <c r="A679" t="s">
        <v>3362</v>
      </c>
      <c r="B679" t="s">
        <v>17</v>
      </c>
      <c r="C679">
        <v>61</v>
      </c>
      <c r="D679" t="s">
        <v>41</v>
      </c>
      <c r="E679">
        <v>1000</v>
      </c>
      <c r="F679">
        <v>61</v>
      </c>
      <c r="G679" t="s">
        <v>18</v>
      </c>
      <c r="H679" t="s">
        <v>42</v>
      </c>
      <c r="I679" t="s">
        <v>20</v>
      </c>
    </row>
    <row r="680" spans="1:9">
      <c r="A680" t="s">
        <v>3363</v>
      </c>
      <c r="B680" t="s">
        <v>17</v>
      </c>
      <c r="C680">
        <v>61</v>
      </c>
      <c r="D680" t="s">
        <v>41</v>
      </c>
      <c r="E680">
        <v>1000</v>
      </c>
      <c r="F680">
        <v>61</v>
      </c>
      <c r="G680" t="s">
        <v>18</v>
      </c>
      <c r="H680" t="s">
        <v>42</v>
      </c>
      <c r="I680" t="s">
        <v>20</v>
      </c>
    </row>
    <row r="681" spans="1:9">
      <c r="A681" t="s">
        <v>3364</v>
      </c>
      <c r="B681" t="s">
        <v>17</v>
      </c>
      <c r="C681">
        <v>61</v>
      </c>
      <c r="D681" t="s">
        <v>41</v>
      </c>
      <c r="E681">
        <v>1000</v>
      </c>
      <c r="F681">
        <v>61</v>
      </c>
      <c r="G681" t="s">
        <v>18</v>
      </c>
      <c r="H681" t="s">
        <v>42</v>
      </c>
      <c r="I681" t="s">
        <v>20</v>
      </c>
    </row>
    <row r="682" spans="1:9">
      <c r="A682" t="s">
        <v>3365</v>
      </c>
      <c r="B682" t="s">
        <v>17</v>
      </c>
      <c r="C682">
        <v>61</v>
      </c>
      <c r="D682" t="s">
        <v>41</v>
      </c>
      <c r="E682">
        <v>1000</v>
      </c>
      <c r="F682">
        <v>61</v>
      </c>
      <c r="G682" t="s">
        <v>18</v>
      </c>
      <c r="H682" t="s">
        <v>42</v>
      </c>
      <c r="I682" t="s">
        <v>20</v>
      </c>
    </row>
    <row r="683" spans="1:9">
      <c r="A683" t="s">
        <v>3366</v>
      </c>
      <c r="B683" t="s">
        <v>17</v>
      </c>
      <c r="C683">
        <v>61</v>
      </c>
      <c r="D683" t="s">
        <v>41</v>
      </c>
      <c r="E683">
        <v>1000</v>
      </c>
      <c r="F683">
        <v>61</v>
      </c>
      <c r="G683" t="s">
        <v>18</v>
      </c>
      <c r="H683" t="s">
        <v>42</v>
      </c>
      <c r="I683" t="s">
        <v>20</v>
      </c>
    </row>
    <row r="684" spans="1:9">
      <c r="A684" t="s">
        <v>3367</v>
      </c>
      <c r="B684" t="s">
        <v>17</v>
      </c>
      <c r="C684">
        <v>61</v>
      </c>
      <c r="D684" t="s">
        <v>41</v>
      </c>
      <c r="E684">
        <v>1000</v>
      </c>
      <c r="F684">
        <v>61</v>
      </c>
      <c r="G684" t="s">
        <v>18</v>
      </c>
      <c r="H684" t="s">
        <v>42</v>
      </c>
      <c r="I684" t="s">
        <v>20</v>
      </c>
    </row>
  </sheetData>
  <sortState xmlns:xlrd2="http://schemas.microsoft.com/office/spreadsheetml/2017/richdata2" ref="A516:J578">
    <sortCondition ref="A516:A57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123"/>
  <sheetViews>
    <sheetView workbookViewId="0">
      <pane ySplit="1" topLeftCell="A2" activePane="bottomLeft" state="frozen"/>
      <selection pane="bottomLeft" activeCell="J2" sqref="J2"/>
    </sheetView>
  </sheetViews>
  <sheetFormatPr defaultColWidth="9" defaultRowHeight="14.45"/>
  <cols>
    <col min="1" max="1" width="13.85546875" bestFit="1" customWidth="1"/>
    <col min="2" max="2" width="7.42578125" hidden="1" customWidth="1"/>
    <col min="3" max="3" width="8.28515625" hidden="1" customWidth="1"/>
    <col min="4" max="4" width="7.7109375" hidden="1" customWidth="1"/>
    <col min="5" max="5" width="9.42578125" hidden="1" customWidth="1"/>
    <col min="6" max="6" width="9" hidden="1" customWidth="1"/>
    <col min="7" max="7" width="5.5703125" bestFit="1" customWidth="1"/>
    <col min="8" max="8" width="5.140625" hidden="1" customWidth="1"/>
    <col min="9" max="9" width="10.42578125" hidden="1" customWidth="1"/>
    <col min="10" max="10" width="9.42578125" bestFit="1" customWidth="1"/>
    <col min="11" max="11" width="6" bestFit="1" customWidth="1"/>
    <col min="12" max="12" width="26.5703125" bestFit="1" customWidth="1"/>
    <col min="13" max="13" width="10.7109375" bestFit="1" customWidth="1"/>
  </cols>
  <sheetData>
    <row r="1" spans="1:15" ht="41.4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1616</v>
      </c>
      <c r="J1" s="60" t="s">
        <v>2190</v>
      </c>
      <c r="K1" s="60" t="s">
        <v>2614</v>
      </c>
      <c r="L1" s="60" t="s">
        <v>13</v>
      </c>
      <c r="M1" s="60" t="s">
        <v>2191</v>
      </c>
      <c r="N1" s="60" t="s">
        <v>1444</v>
      </c>
    </row>
    <row r="2" spans="1:15">
      <c r="A2" t="s">
        <v>3368</v>
      </c>
      <c r="G2" t="s">
        <v>18</v>
      </c>
      <c r="J2" t="s">
        <v>1626</v>
      </c>
    </row>
    <row r="3" spans="1:15">
      <c r="A3" t="s">
        <v>3369</v>
      </c>
      <c r="G3" t="s">
        <v>18</v>
      </c>
      <c r="J3" t="s">
        <v>3370</v>
      </c>
      <c r="K3" t="s">
        <v>3371</v>
      </c>
    </row>
    <row r="4" spans="1:15">
      <c r="A4" s="62" t="s">
        <v>3372</v>
      </c>
      <c r="G4" t="s">
        <v>18</v>
      </c>
      <c r="J4" t="s">
        <v>3370</v>
      </c>
      <c r="K4" t="s">
        <v>3371</v>
      </c>
      <c r="N4" t="s">
        <v>2246</v>
      </c>
      <c r="O4" t="str">
        <f>"condorProc.py --series "&amp;A4&amp;" --donoise --dumps a --procenv environments/pymidas_HV_r62_mf.env"</f>
        <v>condorProc.py --series 07170220_1459 --donoise --dumps a --procenv environments/pymidas_HV_r62_mf.env</v>
      </c>
    </row>
    <row r="5" spans="1:15">
      <c r="A5" s="63" t="s">
        <v>3373</v>
      </c>
      <c r="G5" t="s">
        <v>18</v>
      </c>
      <c r="J5" t="s">
        <v>3370</v>
      </c>
      <c r="K5" t="s">
        <v>3371</v>
      </c>
      <c r="N5" t="s">
        <v>2246</v>
      </c>
      <c r="O5" t="str">
        <f t="shared" ref="O5:O15" si="0">"condorProc.py --series "&amp;A5&amp;" --donoise --dumps a --procenv environments/pymidas_HV_r62_mf.env"</f>
        <v>condorProc.py --series 07170220_1600 --donoise --dumps a --procenv environments/pymidas_HV_r62_mf.env</v>
      </c>
    </row>
    <row r="6" spans="1:15">
      <c r="A6" s="63" t="s">
        <v>3374</v>
      </c>
      <c r="G6" t="s">
        <v>18</v>
      </c>
      <c r="J6" t="s">
        <v>3370</v>
      </c>
      <c r="K6" t="s">
        <v>3371</v>
      </c>
      <c r="N6" t="s">
        <v>2246</v>
      </c>
      <c r="O6" t="str">
        <f t="shared" si="0"/>
        <v>condorProc.py --series 07170220_1614 --donoise --dumps a --procenv environments/pymidas_HV_r62_mf.env</v>
      </c>
    </row>
    <row r="7" spans="1:15">
      <c r="A7" s="63" t="s">
        <v>3375</v>
      </c>
      <c r="G7" t="s">
        <v>18</v>
      </c>
      <c r="J7" t="s">
        <v>3370</v>
      </c>
      <c r="K7" t="s">
        <v>3371</v>
      </c>
      <c r="N7" t="s">
        <v>2246</v>
      </c>
      <c r="O7" t="str">
        <f t="shared" si="0"/>
        <v>condorProc.py --series 07170220_1715 --donoise --dumps a --procenv environments/pymidas_HV_r62_mf.env</v>
      </c>
    </row>
    <row r="8" spans="1:15">
      <c r="A8" s="63" t="s">
        <v>3376</v>
      </c>
      <c r="G8" t="s">
        <v>18</v>
      </c>
      <c r="J8" t="s">
        <v>3370</v>
      </c>
      <c r="K8" t="s">
        <v>3371</v>
      </c>
      <c r="N8" t="s">
        <v>2246</v>
      </c>
      <c r="O8" t="str">
        <f t="shared" si="0"/>
        <v>condorProc.py --series 07170220_1816 --donoise --dumps a --procenv environments/pymidas_HV_r62_mf.env</v>
      </c>
    </row>
    <row r="9" spans="1:15">
      <c r="A9" s="63" t="s">
        <v>3377</v>
      </c>
      <c r="G9" t="s">
        <v>18</v>
      </c>
      <c r="J9" t="s">
        <v>3370</v>
      </c>
      <c r="K9" t="s">
        <v>3371</v>
      </c>
      <c r="N9" t="s">
        <v>2246</v>
      </c>
      <c r="O9" t="str">
        <f t="shared" si="0"/>
        <v>condorProc.py --series 07170220_1917 --donoise --dumps a --procenv environments/pymidas_HV_r62_mf.env</v>
      </c>
    </row>
    <row r="10" spans="1:15">
      <c r="A10" s="63" t="s">
        <v>3378</v>
      </c>
      <c r="G10" t="s">
        <v>18</v>
      </c>
      <c r="J10" t="s">
        <v>3370</v>
      </c>
      <c r="K10" t="s">
        <v>3371</v>
      </c>
      <c r="O10" t="str">
        <f t="shared" si="0"/>
        <v>condorProc.py --series 07170220_2018 --donoise --dumps a --procenv environments/pymidas_HV_r62_mf.env</v>
      </c>
    </row>
    <row r="11" spans="1:15">
      <c r="A11" s="63" t="s">
        <v>3379</v>
      </c>
      <c r="G11" t="s">
        <v>18</v>
      </c>
      <c r="J11" t="s">
        <v>3370</v>
      </c>
      <c r="K11" t="s">
        <v>3371</v>
      </c>
      <c r="O11" t="str">
        <f t="shared" si="0"/>
        <v>condorProc.py --series 07170220_2118 --donoise --dumps a --procenv environments/pymidas_HV_r62_mf.env</v>
      </c>
    </row>
    <row r="12" spans="1:15">
      <c r="A12" s="63" t="s">
        <v>3380</v>
      </c>
      <c r="G12" t="s">
        <v>18</v>
      </c>
      <c r="J12" t="s">
        <v>3370</v>
      </c>
      <c r="K12" t="s">
        <v>3371</v>
      </c>
      <c r="O12" t="str">
        <f t="shared" si="0"/>
        <v>condorProc.py --series 07170220_2219 --donoise --dumps a --procenv environments/pymidas_HV_r62_mf.env</v>
      </c>
    </row>
    <row r="13" spans="1:15">
      <c r="A13" s="63" t="s">
        <v>3381</v>
      </c>
      <c r="G13" t="s">
        <v>18</v>
      </c>
      <c r="J13" t="s">
        <v>3370</v>
      </c>
      <c r="K13" t="s">
        <v>3371</v>
      </c>
      <c r="O13" t="str">
        <f t="shared" si="0"/>
        <v>condorProc.py --series 07170220_2320 --donoise --dumps a --procenv environments/pymidas_HV_r62_mf.env</v>
      </c>
    </row>
    <row r="14" spans="1:15">
      <c r="A14" s="63" t="s">
        <v>3382</v>
      </c>
      <c r="G14" t="s">
        <v>18</v>
      </c>
      <c r="J14" t="s">
        <v>3370</v>
      </c>
      <c r="K14" t="s">
        <v>3371</v>
      </c>
      <c r="O14" t="str">
        <f t="shared" si="0"/>
        <v>condorProc.py --series 07170221_0021 --donoise --dumps a --procenv environments/pymidas_HV_r62_mf.env</v>
      </c>
    </row>
    <row r="15" spans="1:15">
      <c r="A15" s="64" t="s">
        <v>3383</v>
      </c>
      <c r="G15" t="s">
        <v>18</v>
      </c>
      <c r="J15" t="s">
        <v>3370</v>
      </c>
      <c r="K15" t="s">
        <v>3371</v>
      </c>
      <c r="O15" t="str">
        <f t="shared" si="0"/>
        <v>condorProc.py --series 07170221_0122 --donoise --dumps a --procenv environments/pymidas_HV_r62_mf.env</v>
      </c>
    </row>
    <row r="16" spans="1:15">
      <c r="A16" t="s">
        <v>3384</v>
      </c>
      <c r="G16" t="s">
        <v>18</v>
      </c>
      <c r="J16" t="s">
        <v>1853</v>
      </c>
      <c r="L16" t="s">
        <v>3385</v>
      </c>
    </row>
    <row r="17" spans="1:15">
      <c r="A17" t="s">
        <v>3386</v>
      </c>
      <c r="G17" t="s">
        <v>18</v>
      </c>
      <c r="J17" t="s">
        <v>3387</v>
      </c>
      <c r="K17">
        <v>0</v>
      </c>
    </row>
    <row r="18" spans="1:15">
      <c r="A18" t="s">
        <v>3388</v>
      </c>
      <c r="G18" t="s">
        <v>18</v>
      </c>
      <c r="J18" t="s">
        <v>3387</v>
      </c>
      <c r="K18">
        <v>0</v>
      </c>
    </row>
    <row r="19" spans="1:15">
      <c r="A19" t="s">
        <v>3389</v>
      </c>
      <c r="G19" t="s">
        <v>18</v>
      </c>
      <c r="J19" t="s">
        <v>3387</v>
      </c>
      <c r="K19">
        <v>0</v>
      </c>
    </row>
    <row r="20" spans="1:15">
      <c r="A20" t="s">
        <v>3390</v>
      </c>
      <c r="G20" t="s">
        <v>18</v>
      </c>
      <c r="J20" t="s">
        <v>3387</v>
      </c>
      <c r="K20">
        <v>0</v>
      </c>
      <c r="L20" t="s">
        <v>3391</v>
      </c>
    </row>
    <row r="21" spans="1:15">
      <c r="A21" t="s">
        <v>3392</v>
      </c>
      <c r="F21">
        <v>107</v>
      </c>
      <c r="G21" t="s">
        <v>18</v>
      </c>
      <c r="J21" t="s">
        <v>3387</v>
      </c>
      <c r="K21">
        <v>49.25</v>
      </c>
      <c r="N21" t="s">
        <v>2246</v>
      </c>
    </row>
    <row r="22" spans="1:15">
      <c r="A22" t="s">
        <v>3393</v>
      </c>
      <c r="G22" t="s">
        <v>18</v>
      </c>
      <c r="J22" t="s">
        <v>1853</v>
      </c>
    </row>
    <row r="23" spans="1:15">
      <c r="A23" t="s">
        <v>3394</v>
      </c>
      <c r="G23" t="s">
        <v>18</v>
      </c>
      <c r="J23" t="s">
        <v>3387</v>
      </c>
      <c r="K23">
        <v>0</v>
      </c>
    </row>
    <row r="24" spans="1:15">
      <c r="A24" t="s">
        <v>3395</v>
      </c>
      <c r="G24" t="s">
        <v>18</v>
      </c>
      <c r="J24" t="s">
        <v>3387</v>
      </c>
      <c r="K24">
        <v>0</v>
      </c>
    </row>
    <row r="25" spans="1:15">
      <c r="A25" t="s">
        <v>3396</v>
      </c>
      <c r="G25" t="s">
        <v>18</v>
      </c>
      <c r="J25" t="s">
        <v>3387</v>
      </c>
      <c r="K25">
        <v>0</v>
      </c>
    </row>
    <row r="26" spans="1:15">
      <c r="A26" t="s">
        <v>3397</v>
      </c>
      <c r="G26" t="s">
        <v>18</v>
      </c>
      <c r="J26" t="s">
        <v>3387</v>
      </c>
      <c r="K26">
        <v>0</v>
      </c>
    </row>
    <row r="27" spans="1:15">
      <c r="A27" t="s">
        <v>3398</v>
      </c>
      <c r="G27" t="s">
        <v>18</v>
      </c>
      <c r="J27" t="s">
        <v>3387</v>
      </c>
      <c r="K27">
        <v>0</v>
      </c>
    </row>
    <row r="28" spans="1:15">
      <c r="A28" t="s">
        <v>3399</v>
      </c>
      <c r="G28" t="s">
        <v>18</v>
      </c>
      <c r="J28" t="s">
        <v>3387</v>
      </c>
      <c r="K28">
        <v>0</v>
      </c>
    </row>
    <row r="29" spans="1:15">
      <c r="A29" t="s">
        <v>3400</v>
      </c>
      <c r="G29" t="s">
        <v>18</v>
      </c>
      <c r="J29" t="s">
        <v>3387</v>
      </c>
      <c r="K29">
        <v>0</v>
      </c>
      <c r="L29" t="s">
        <v>3401</v>
      </c>
      <c r="N29" t="s">
        <v>2246</v>
      </c>
      <c r="O29" t="str">
        <f>"condorProc.py --series "&amp;A29&amp;" --donoise --dumps a --procenv environments/pymidas_HVHV_r62_mf.env"</f>
        <v>condorProc.py --series 07170227_1218 --donoise --dumps a --procenv environments/pymidas_HVHV_r62_mf.env</v>
      </c>
    </row>
    <row r="30" spans="1:15">
      <c r="A30" t="s">
        <v>3402</v>
      </c>
      <c r="G30" t="s">
        <v>18</v>
      </c>
      <c r="J30" t="s">
        <v>3387</v>
      </c>
      <c r="K30">
        <v>0</v>
      </c>
      <c r="L30" t="s">
        <v>3401</v>
      </c>
      <c r="N30" t="s">
        <v>2246</v>
      </c>
      <c r="O30" t="str">
        <f t="shared" ref="O30:O59" si="1">"condorProc.py --series "&amp;A30&amp;" --donoise --dumps a --procenv environments/pymidas_HVHV_r62_mf.env"</f>
        <v>condorProc.py --series 07170227_1319 --donoise --dumps a --procenv environments/pymidas_HVHV_r62_mf.env</v>
      </c>
    </row>
    <row r="31" spans="1:15">
      <c r="A31" t="s">
        <v>3403</v>
      </c>
      <c r="G31" t="s">
        <v>18</v>
      </c>
      <c r="J31" t="s">
        <v>3387</v>
      </c>
      <c r="K31">
        <v>0</v>
      </c>
      <c r="L31" t="s">
        <v>3401</v>
      </c>
      <c r="N31" t="s">
        <v>2246</v>
      </c>
      <c r="O31" t="str">
        <f t="shared" si="1"/>
        <v>condorProc.py --series 07170227_1659 --donoise --dumps a --procenv environments/pymidas_HVHV_r62_mf.env</v>
      </c>
    </row>
    <row r="32" spans="1:15">
      <c r="A32" t="s">
        <v>3404</v>
      </c>
      <c r="G32" t="s">
        <v>18</v>
      </c>
      <c r="J32" t="s">
        <v>3387</v>
      </c>
      <c r="K32">
        <v>0</v>
      </c>
      <c r="L32" t="s">
        <v>3401</v>
      </c>
      <c r="N32" t="s">
        <v>2246</v>
      </c>
      <c r="O32" t="str">
        <f t="shared" si="1"/>
        <v>condorProc.py --series 07170227_1701 --donoise --dumps a --procenv environments/pymidas_HVHV_r62_mf.env</v>
      </c>
    </row>
    <row r="33" spans="1:15">
      <c r="A33" t="s">
        <v>3405</v>
      </c>
      <c r="G33" t="s">
        <v>18</v>
      </c>
      <c r="J33" t="s">
        <v>3387</v>
      </c>
      <c r="K33">
        <v>0</v>
      </c>
      <c r="L33" t="s">
        <v>3401</v>
      </c>
      <c r="N33" t="s">
        <v>2246</v>
      </c>
      <c r="O33" t="str">
        <f t="shared" si="1"/>
        <v>condorProc.py --series 07170227_1802 --donoise --dumps a --procenv environments/pymidas_HVHV_r62_mf.env</v>
      </c>
    </row>
    <row r="34" spans="1:15">
      <c r="A34" t="s">
        <v>3406</v>
      </c>
      <c r="G34" t="s">
        <v>18</v>
      </c>
      <c r="J34" t="s">
        <v>3387</v>
      </c>
      <c r="K34">
        <v>0</v>
      </c>
      <c r="L34" t="s">
        <v>3401</v>
      </c>
      <c r="N34" t="s">
        <v>2246</v>
      </c>
      <c r="O34" t="str">
        <f t="shared" si="1"/>
        <v>condorProc.py --series 07170227_1902 --donoise --dumps a --procenv environments/pymidas_HVHV_r62_mf.env</v>
      </c>
    </row>
    <row r="35" spans="1:15">
      <c r="A35" t="s">
        <v>3407</v>
      </c>
      <c r="G35" t="s">
        <v>18</v>
      </c>
      <c r="J35" t="s">
        <v>3387</v>
      </c>
      <c r="K35">
        <v>0</v>
      </c>
      <c r="L35" t="s">
        <v>3401</v>
      </c>
      <c r="N35" t="s">
        <v>2246</v>
      </c>
      <c r="O35" t="str">
        <f t="shared" si="1"/>
        <v>condorProc.py --series 07170227_2003 --donoise --dumps a --procenv environments/pymidas_HVHV_r62_mf.env</v>
      </c>
    </row>
    <row r="36" spans="1:15">
      <c r="A36" t="s">
        <v>3408</v>
      </c>
      <c r="G36" t="s">
        <v>18</v>
      </c>
      <c r="J36" t="s">
        <v>3387</v>
      </c>
      <c r="K36">
        <v>0</v>
      </c>
      <c r="L36" t="s">
        <v>3401</v>
      </c>
      <c r="N36" t="s">
        <v>2246</v>
      </c>
      <c r="O36" t="str">
        <f t="shared" si="1"/>
        <v>condorProc.py --series 07170227_2104 --donoise --dumps a --procenv environments/pymidas_HVHV_r62_mf.env</v>
      </c>
    </row>
    <row r="37" spans="1:15">
      <c r="A37" t="s">
        <v>3409</v>
      </c>
      <c r="G37" t="s">
        <v>18</v>
      </c>
      <c r="J37" t="s">
        <v>3387</v>
      </c>
      <c r="K37">
        <v>0</v>
      </c>
      <c r="L37" t="s">
        <v>3401</v>
      </c>
      <c r="N37" t="s">
        <v>2246</v>
      </c>
      <c r="O37" t="str">
        <f t="shared" si="1"/>
        <v>condorProc.py --series 07170227_2205 --donoise --dumps a --procenv environments/pymidas_HVHV_r62_mf.env</v>
      </c>
    </row>
    <row r="38" spans="1:15">
      <c r="A38" t="s">
        <v>3410</v>
      </c>
      <c r="G38" t="s">
        <v>18</v>
      </c>
      <c r="J38" t="s">
        <v>3387</v>
      </c>
      <c r="K38">
        <v>0</v>
      </c>
      <c r="L38" t="s">
        <v>3401</v>
      </c>
      <c r="N38" t="s">
        <v>2246</v>
      </c>
      <c r="O38" t="str">
        <f t="shared" si="1"/>
        <v>condorProc.py --series 07170227_2306 --donoise --dumps a --procenv environments/pymidas_HVHV_r62_mf.env</v>
      </c>
    </row>
    <row r="39" spans="1:15">
      <c r="A39" t="s">
        <v>3411</v>
      </c>
      <c r="G39" t="s">
        <v>18</v>
      </c>
      <c r="J39" t="s">
        <v>3387</v>
      </c>
      <c r="K39">
        <v>0</v>
      </c>
      <c r="L39" t="s">
        <v>3401</v>
      </c>
      <c r="N39" t="s">
        <v>2246</v>
      </c>
      <c r="O39" t="str">
        <f t="shared" si="1"/>
        <v>condorProc.py --series 07170228_0007 --donoise --dumps a --procenv environments/pymidas_HVHV_r62_mf.env</v>
      </c>
    </row>
    <row r="40" spans="1:15">
      <c r="A40" t="s">
        <v>3412</v>
      </c>
      <c r="G40" t="s">
        <v>18</v>
      </c>
      <c r="J40" t="s">
        <v>3387</v>
      </c>
      <c r="K40">
        <v>0</v>
      </c>
      <c r="L40" t="s">
        <v>3401</v>
      </c>
      <c r="N40" t="s">
        <v>2246</v>
      </c>
      <c r="O40" t="str">
        <f t="shared" si="1"/>
        <v>condorProc.py --series 07170228_0108 --donoise --dumps a --procenv environments/pymidas_HVHV_r62_mf.env</v>
      </c>
    </row>
    <row r="41" spans="1:15">
      <c r="A41" t="s">
        <v>3413</v>
      </c>
      <c r="G41" t="s">
        <v>18</v>
      </c>
      <c r="J41" t="s">
        <v>3387</v>
      </c>
      <c r="K41">
        <v>0</v>
      </c>
      <c r="L41" t="s">
        <v>3401</v>
      </c>
      <c r="N41" t="s">
        <v>2246</v>
      </c>
      <c r="O41" t="str">
        <f t="shared" si="1"/>
        <v>condorProc.py --series 07170228_0209 --donoise --dumps a --procenv environments/pymidas_HVHV_r62_mf.env</v>
      </c>
    </row>
    <row r="42" spans="1:15">
      <c r="A42" t="s">
        <v>3414</v>
      </c>
      <c r="G42" t="s">
        <v>18</v>
      </c>
      <c r="J42" t="s">
        <v>3387</v>
      </c>
      <c r="K42">
        <v>0</v>
      </c>
      <c r="L42" t="s">
        <v>3401</v>
      </c>
      <c r="N42" t="s">
        <v>2246</v>
      </c>
      <c r="O42" t="str">
        <f t="shared" si="1"/>
        <v>condorProc.py --series 07170228_0310 --donoise --dumps a --procenv environments/pymidas_HVHV_r62_mf.env</v>
      </c>
    </row>
    <row r="43" spans="1:15">
      <c r="A43" t="s">
        <v>3415</v>
      </c>
      <c r="G43" t="s">
        <v>18</v>
      </c>
      <c r="J43" t="s">
        <v>3387</v>
      </c>
      <c r="K43">
        <v>0</v>
      </c>
      <c r="L43" t="s">
        <v>3401</v>
      </c>
      <c r="N43" t="s">
        <v>2246</v>
      </c>
      <c r="O43" t="str">
        <f t="shared" si="1"/>
        <v>condorProc.py --series 07170228_0411 --donoise --dumps a --procenv environments/pymidas_HVHV_r62_mf.env</v>
      </c>
    </row>
    <row r="44" spans="1:15">
      <c r="A44" t="s">
        <v>3416</v>
      </c>
      <c r="G44" t="s">
        <v>18</v>
      </c>
      <c r="J44" t="s">
        <v>3387</v>
      </c>
      <c r="K44">
        <v>0</v>
      </c>
      <c r="L44" t="s">
        <v>3401</v>
      </c>
      <c r="N44" t="s">
        <v>2246</v>
      </c>
      <c r="O44" t="str">
        <f t="shared" si="1"/>
        <v>condorProc.py --series 07170228_0512 --donoise --dumps a --procenv environments/pymidas_HVHV_r62_mf.env</v>
      </c>
    </row>
    <row r="45" spans="1:15" s="65" customFormat="1">
      <c r="A45" s="65" t="s">
        <v>3417</v>
      </c>
      <c r="G45" s="65" t="s">
        <v>18</v>
      </c>
      <c r="J45" s="65" t="s">
        <v>3387</v>
      </c>
      <c r="K45" s="65">
        <v>0</v>
      </c>
      <c r="L45" t="s">
        <v>3401</v>
      </c>
      <c r="M45"/>
      <c r="N45" t="s">
        <v>2246</v>
      </c>
      <c r="O45" s="65" t="str">
        <f t="shared" si="1"/>
        <v>condorProc.py --series 07170228_0613 --donoise --dumps a --procenv environments/pymidas_HVHV_r62_mf.env</v>
      </c>
    </row>
    <row r="46" spans="1:15">
      <c r="A46" t="s">
        <v>3418</v>
      </c>
      <c r="G46" t="s">
        <v>629</v>
      </c>
      <c r="J46" t="s">
        <v>3387</v>
      </c>
      <c r="K46">
        <v>0</v>
      </c>
      <c r="L46" t="s">
        <v>3401</v>
      </c>
      <c r="N46" t="s">
        <v>2246</v>
      </c>
      <c r="O46" t="str">
        <f t="shared" si="1"/>
        <v>condorProc.py --series 07170228_1707 --donoise --dumps a --procenv environments/pymidas_HVHV_r62_mf.env</v>
      </c>
    </row>
    <row r="47" spans="1:15">
      <c r="A47" t="s">
        <v>3419</v>
      </c>
      <c r="G47" t="s">
        <v>629</v>
      </c>
      <c r="J47" t="s">
        <v>3387</v>
      </c>
      <c r="K47">
        <v>0</v>
      </c>
      <c r="L47" t="s">
        <v>3401</v>
      </c>
      <c r="N47" t="s">
        <v>2246</v>
      </c>
      <c r="O47" t="str">
        <f t="shared" si="1"/>
        <v>condorProc.py --series 07170228_1807 --donoise --dumps a --procenv environments/pymidas_HVHV_r62_mf.env</v>
      </c>
    </row>
    <row r="48" spans="1:15">
      <c r="A48" t="s">
        <v>3420</v>
      </c>
      <c r="G48" t="s">
        <v>629</v>
      </c>
      <c r="J48" t="s">
        <v>3387</v>
      </c>
      <c r="K48">
        <v>0</v>
      </c>
      <c r="L48" t="s">
        <v>3401</v>
      </c>
      <c r="N48" t="s">
        <v>2246</v>
      </c>
      <c r="O48" t="str">
        <f t="shared" si="1"/>
        <v>condorProc.py --series 07170228_1907 --donoise --dumps a --procenv environments/pymidas_HVHV_r62_mf.env</v>
      </c>
    </row>
    <row r="49" spans="1:15">
      <c r="A49" t="s">
        <v>3421</v>
      </c>
      <c r="G49" t="s">
        <v>629</v>
      </c>
      <c r="J49" t="s">
        <v>3387</v>
      </c>
      <c r="K49">
        <v>0</v>
      </c>
      <c r="L49" t="s">
        <v>3401</v>
      </c>
      <c r="N49" t="s">
        <v>2246</v>
      </c>
      <c r="O49" t="str">
        <f t="shared" si="1"/>
        <v>condorProc.py --series 07170228_2007 --donoise --dumps a --procenv environments/pymidas_HVHV_r62_mf.env</v>
      </c>
    </row>
    <row r="50" spans="1:15">
      <c r="A50" t="s">
        <v>3422</v>
      </c>
      <c r="G50" t="s">
        <v>629</v>
      </c>
      <c r="J50" t="s">
        <v>3387</v>
      </c>
      <c r="K50">
        <v>0</v>
      </c>
      <c r="L50" t="s">
        <v>3401</v>
      </c>
      <c r="N50" t="s">
        <v>2246</v>
      </c>
      <c r="O50" t="str">
        <f t="shared" si="1"/>
        <v>condorProc.py --series 07170228_2107 --donoise --dumps a --procenv environments/pymidas_HVHV_r62_mf.env</v>
      </c>
    </row>
    <row r="51" spans="1:15">
      <c r="A51" t="s">
        <v>3423</v>
      </c>
      <c r="G51" t="s">
        <v>629</v>
      </c>
      <c r="J51" t="s">
        <v>3387</v>
      </c>
      <c r="K51">
        <v>0</v>
      </c>
      <c r="L51" t="s">
        <v>3401</v>
      </c>
      <c r="N51" t="s">
        <v>2246</v>
      </c>
      <c r="O51" t="str">
        <f t="shared" si="1"/>
        <v>condorProc.py --series 07170228_2208 --donoise --dumps a --procenv environments/pymidas_HVHV_r62_mf.env</v>
      </c>
    </row>
    <row r="52" spans="1:15">
      <c r="A52" t="s">
        <v>3424</v>
      </c>
      <c r="G52" t="s">
        <v>629</v>
      </c>
      <c r="J52" t="s">
        <v>3387</v>
      </c>
      <c r="K52">
        <v>0</v>
      </c>
      <c r="L52" t="s">
        <v>3401</v>
      </c>
      <c r="N52" t="s">
        <v>2246</v>
      </c>
      <c r="O52" t="str">
        <f t="shared" si="1"/>
        <v>condorProc.py --series 07170228_2308 --donoise --dumps a --procenv environments/pymidas_HVHV_r62_mf.env</v>
      </c>
    </row>
    <row r="53" spans="1:15">
      <c r="A53" t="s">
        <v>3425</v>
      </c>
      <c r="G53" t="s">
        <v>629</v>
      </c>
      <c r="J53" t="s">
        <v>3387</v>
      </c>
      <c r="K53">
        <v>0</v>
      </c>
      <c r="L53" t="s">
        <v>3401</v>
      </c>
      <c r="N53" t="s">
        <v>2246</v>
      </c>
      <c r="O53" t="str">
        <f t="shared" si="1"/>
        <v>condorProc.py --series 07170301_0008 --donoise --dumps a --procenv environments/pymidas_HVHV_r62_mf.env</v>
      </c>
    </row>
    <row r="54" spans="1:15">
      <c r="A54" t="s">
        <v>3426</v>
      </c>
      <c r="G54" t="s">
        <v>629</v>
      </c>
      <c r="J54" t="s">
        <v>3387</v>
      </c>
      <c r="K54">
        <v>0</v>
      </c>
      <c r="L54" t="s">
        <v>3401</v>
      </c>
      <c r="N54" t="s">
        <v>2246</v>
      </c>
      <c r="O54" t="str">
        <f t="shared" si="1"/>
        <v>condorProc.py --series 07170301_0108 --donoise --dumps a --procenv environments/pymidas_HVHV_r62_mf.env</v>
      </c>
    </row>
    <row r="55" spans="1:15">
      <c r="A55" t="s">
        <v>3427</v>
      </c>
      <c r="G55" t="s">
        <v>629</v>
      </c>
      <c r="J55" t="s">
        <v>3387</v>
      </c>
      <c r="K55">
        <v>0</v>
      </c>
      <c r="L55" t="s">
        <v>3401</v>
      </c>
      <c r="N55" t="s">
        <v>2246</v>
      </c>
      <c r="O55" t="str">
        <f t="shared" si="1"/>
        <v>condorProc.py --series 07170301_0208 --donoise --dumps a --procenv environments/pymidas_HVHV_r62_mf.env</v>
      </c>
    </row>
    <row r="56" spans="1:15">
      <c r="A56" t="s">
        <v>3428</v>
      </c>
      <c r="G56" t="s">
        <v>629</v>
      </c>
      <c r="J56" t="s">
        <v>3387</v>
      </c>
      <c r="K56">
        <v>0</v>
      </c>
      <c r="L56" t="s">
        <v>3401</v>
      </c>
      <c r="N56" t="s">
        <v>2246</v>
      </c>
      <c r="O56" t="str">
        <f t="shared" si="1"/>
        <v>condorProc.py --series 07170301_0308 --donoise --dumps a --procenv environments/pymidas_HVHV_r62_mf.env</v>
      </c>
    </row>
    <row r="57" spans="1:15">
      <c r="A57" t="s">
        <v>3429</v>
      </c>
      <c r="G57" t="s">
        <v>629</v>
      </c>
      <c r="J57" t="s">
        <v>3387</v>
      </c>
      <c r="K57">
        <v>0</v>
      </c>
      <c r="L57" t="s">
        <v>3401</v>
      </c>
      <c r="N57" t="s">
        <v>2246</v>
      </c>
      <c r="O57" t="str">
        <f t="shared" si="1"/>
        <v>condorProc.py --series 07170301_0408 --donoise --dumps a --procenv environments/pymidas_HVHV_r62_mf.env</v>
      </c>
    </row>
    <row r="58" spans="1:15">
      <c r="A58" t="s">
        <v>3430</v>
      </c>
      <c r="G58" t="s">
        <v>629</v>
      </c>
      <c r="J58" t="s">
        <v>3387</v>
      </c>
      <c r="K58">
        <v>0</v>
      </c>
      <c r="L58" t="s">
        <v>3401</v>
      </c>
      <c r="N58" t="s">
        <v>2246</v>
      </c>
      <c r="O58" t="str">
        <f t="shared" si="1"/>
        <v>condorProc.py --series 07170301_0508 --donoise --dumps a --procenv environments/pymidas_HVHV_r62_mf.env</v>
      </c>
    </row>
    <row r="59" spans="1:15">
      <c r="A59" t="s">
        <v>3431</v>
      </c>
      <c r="G59" t="s">
        <v>629</v>
      </c>
      <c r="J59" t="s">
        <v>3387</v>
      </c>
      <c r="K59">
        <v>0</v>
      </c>
      <c r="L59" t="s">
        <v>3401</v>
      </c>
      <c r="N59" t="s">
        <v>2246</v>
      </c>
      <c r="O59" t="str">
        <f t="shared" si="1"/>
        <v>condorProc.py --series 07170301_0608 --donoise --dumps a --procenv environments/pymidas_HVHV_r62_mf.env</v>
      </c>
    </row>
    <row r="60" spans="1:15">
      <c r="A60" t="s">
        <v>3432</v>
      </c>
    </row>
    <row r="61" spans="1:15">
      <c r="A61" t="s">
        <v>3433</v>
      </c>
    </row>
    <row r="62" spans="1:15">
      <c r="A62" t="s">
        <v>3434</v>
      </c>
    </row>
    <row r="63" spans="1:15">
      <c r="A63" t="s">
        <v>3435</v>
      </c>
    </row>
    <row r="64" spans="1:15">
      <c r="A64" t="s">
        <v>3436</v>
      </c>
    </row>
    <row r="65" spans="1:1">
      <c r="A65" t="s">
        <v>3437</v>
      </c>
    </row>
    <row r="66" spans="1:1">
      <c r="A66" t="s">
        <v>3438</v>
      </c>
    </row>
    <row r="67" spans="1:1">
      <c r="A67" t="s">
        <v>3439</v>
      </c>
    </row>
    <row r="68" spans="1:1">
      <c r="A68" t="s">
        <v>3440</v>
      </c>
    </row>
    <row r="69" spans="1:1">
      <c r="A69" t="s">
        <v>3441</v>
      </c>
    </row>
    <row r="70" spans="1:1">
      <c r="A70" t="s">
        <v>3442</v>
      </c>
    </row>
    <row r="71" spans="1:1">
      <c r="A71" t="s">
        <v>3443</v>
      </c>
    </row>
    <row r="72" spans="1:1">
      <c r="A72" t="s">
        <v>3444</v>
      </c>
    </row>
    <row r="73" spans="1:1">
      <c r="A73" t="s">
        <v>3445</v>
      </c>
    </row>
    <row r="74" spans="1:1">
      <c r="A74" t="s">
        <v>3446</v>
      </c>
    </row>
    <row r="75" spans="1:1">
      <c r="A75" t="s">
        <v>3447</v>
      </c>
    </row>
    <row r="76" spans="1:1">
      <c r="A76" t="s">
        <v>3448</v>
      </c>
    </row>
    <row r="77" spans="1:1">
      <c r="A77" t="s">
        <v>3449</v>
      </c>
    </row>
    <row r="78" spans="1:1">
      <c r="A78" t="s">
        <v>3450</v>
      </c>
    </row>
    <row r="79" spans="1:1">
      <c r="A79" t="s">
        <v>3451</v>
      </c>
    </row>
    <row r="80" spans="1:1">
      <c r="A80" t="s">
        <v>3452</v>
      </c>
    </row>
    <row r="81" spans="1:1">
      <c r="A81" t="s">
        <v>3453</v>
      </c>
    </row>
    <row r="82" spans="1:1">
      <c r="A82" t="s">
        <v>3454</v>
      </c>
    </row>
    <row r="83" spans="1:1">
      <c r="A83" t="s">
        <v>3455</v>
      </c>
    </row>
    <row r="84" spans="1:1">
      <c r="A84" t="s">
        <v>3456</v>
      </c>
    </row>
    <row r="85" spans="1:1">
      <c r="A85" t="s">
        <v>3457</v>
      </c>
    </row>
    <row r="86" spans="1:1">
      <c r="A86" t="s">
        <v>3458</v>
      </c>
    </row>
    <row r="87" spans="1:1">
      <c r="A87" t="s">
        <v>3459</v>
      </c>
    </row>
    <row r="88" spans="1:1">
      <c r="A88" t="s">
        <v>3460</v>
      </c>
    </row>
    <row r="89" spans="1:1">
      <c r="A89" t="s">
        <v>3461</v>
      </c>
    </row>
    <row r="90" spans="1:1">
      <c r="A90" t="s">
        <v>3462</v>
      </c>
    </row>
    <row r="91" spans="1:1">
      <c r="A91" t="s">
        <v>3463</v>
      </c>
    </row>
    <row r="92" spans="1:1">
      <c r="A92" t="s">
        <v>3464</v>
      </c>
    </row>
    <row r="93" spans="1:1">
      <c r="A93" t="s">
        <v>3465</v>
      </c>
    </row>
    <row r="94" spans="1:1">
      <c r="A94" t="s">
        <v>3466</v>
      </c>
    </row>
    <row r="95" spans="1:1">
      <c r="A95" t="s">
        <v>3467</v>
      </c>
    </row>
    <row r="96" spans="1:1">
      <c r="A96" t="s">
        <v>3468</v>
      </c>
    </row>
    <row r="97" spans="1:16">
      <c r="A97" t="s">
        <v>3469</v>
      </c>
    </row>
    <row r="98" spans="1:16">
      <c r="A98" t="s">
        <v>3470</v>
      </c>
      <c r="G98" t="s">
        <v>18</v>
      </c>
      <c r="J98" t="s">
        <v>3387</v>
      </c>
      <c r="K98">
        <v>0</v>
      </c>
      <c r="L98" s="67" t="s">
        <v>3471</v>
      </c>
      <c r="M98" s="67"/>
      <c r="N98" t="s">
        <v>2246</v>
      </c>
      <c r="O98" t="str">
        <f>"condorProc.py --series "&amp;A98&amp;" --donoise --dumps a --procenv environments/pymidas_HVHV_r62_mf.env"</f>
        <v>condorProc.py --series 07170306_1606 --donoise --dumps a --procenv environments/pymidas_HVHV_r62_mf.env</v>
      </c>
      <c r="P98" t="str">
        <f>""""&amp;A98&amp;""""</f>
        <v>"07170306_1606"</v>
      </c>
    </row>
    <row r="99" spans="1:16">
      <c r="A99" t="s">
        <v>3472</v>
      </c>
      <c r="G99" t="s">
        <v>18</v>
      </c>
      <c r="J99" t="s">
        <v>3387</v>
      </c>
      <c r="K99">
        <v>0</v>
      </c>
      <c r="L99" s="66" t="s">
        <v>3473</v>
      </c>
      <c r="M99" s="66"/>
      <c r="N99" t="s">
        <v>2246</v>
      </c>
      <c r="O99" t="str">
        <f t="shared" ref="O99:O111" si="2">"condorProc.py --series "&amp;A99&amp;" --donoise --dumps a --procenv environments/pymidas_HVHV_r62_mf.env"</f>
        <v>condorProc.py --series 07170306_1706 --donoise --dumps a --procenv environments/pymidas_HVHV_r62_mf.env</v>
      </c>
      <c r="P99" t="str">
        <f>P98&amp;", """&amp;A99&amp;""""</f>
        <v>"07170306_1606", "07170306_1706"</v>
      </c>
    </row>
    <row r="100" spans="1:16">
      <c r="A100" t="s">
        <v>3474</v>
      </c>
      <c r="G100" t="s">
        <v>18</v>
      </c>
      <c r="J100" t="s">
        <v>3387</v>
      </c>
      <c r="K100">
        <v>0</v>
      </c>
      <c r="L100" s="66" t="s">
        <v>3473</v>
      </c>
      <c r="M100" s="66"/>
      <c r="N100" t="s">
        <v>2246</v>
      </c>
      <c r="O100" t="str">
        <f t="shared" si="2"/>
        <v>condorProc.py --series 07170306_1806 --donoise --dumps a --procenv environments/pymidas_HVHV_r62_mf.env</v>
      </c>
      <c r="P100" t="str">
        <f t="shared" ref="P100:P112" si="3">P99&amp;", """&amp;A100&amp;""""</f>
        <v>"07170306_1606", "07170306_1706", "07170306_1806"</v>
      </c>
    </row>
    <row r="101" spans="1:16">
      <c r="A101" t="s">
        <v>3475</v>
      </c>
      <c r="G101" t="s">
        <v>18</v>
      </c>
      <c r="J101" t="s">
        <v>3387</v>
      </c>
      <c r="K101">
        <v>0</v>
      </c>
      <c r="L101" s="66" t="s">
        <v>3476</v>
      </c>
      <c r="M101" s="66"/>
      <c r="N101" t="s">
        <v>2246</v>
      </c>
      <c r="O101" t="str">
        <f t="shared" si="2"/>
        <v>condorProc.py --series 07170306_1906 --donoise --dumps a --procenv environments/pymidas_HVHV_r62_mf.env</v>
      </c>
      <c r="P101" t="str">
        <f t="shared" si="3"/>
        <v>"07170306_1606", "07170306_1706", "07170306_1806", "07170306_1906"</v>
      </c>
    </row>
    <row r="102" spans="1:16">
      <c r="A102" t="s">
        <v>3477</v>
      </c>
      <c r="G102" t="s">
        <v>18</v>
      </c>
      <c r="J102" t="s">
        <v>3387</v>
      </c>
      <c r="K102">
        <v>0</v>
      </c>
      <c r="N102" t="s">
        <v>2246</v>
      </c>
      <c r="O102" t="str">
        <f t="shared" si="2"/>
        <v>condorProc.py --series 07170306_2006 --donoise --dumps a --procenv environments/pymidas_HVHV_r62_mf.env</v>
      </c>
      <c r="P102" t="str">
        <f t="shared" si="3"/>
        <v>"07170306_1606", "07170306_1706", "07170306_1806", "07170306_1906", "07170306_2006"</v>
      </c>
    </row>
    <row r="103" spans="1:16">
      <c r="A103" t="s">
        <v>3478</v>
      </c>
      <c r="G103" t="s">
        <v>18</v>
      </c>
      <c r="J103" t="s">
        <v>3387</v>
      </c>
      <c r="K103">
        <v>0</v>
      </c>
      <c r="N103" t="s">
        <v>2246</v>
      </c>
      <c r="O103" t="str">
        <f t="shared" si="2"/>
        <v>condorProc.py --series 07170306_2106 --donoise --dumps a --procenv environments/pymidas_HVHV_r62_mf.env</v>
      </c>
      <c r="P103" t="str">
        <f t="shared" si="3"/>
        <v>"07170306_1606", "07170306_1706", "07170306_1806", "07170306_1906", "07170306_2006", "07170306_2106"</v>
      </c>
    </row>
    <row r="104" spans="1:16">
      <c r="A104" t="s">
        <v>3479</v>
      </c>
      <c r="G104" t="s">
        <v>18</v>
      </c>
      <c r="J104" t="s">
        <v>3387</v>
      </c>
      <c r="K104">
        <v>0</v>
      </c>
      <c r="N104" t="s">
        <v>2246</v>
      </c>
      <c r="O104" t="str">
        <f t="shared" si="2"/>
        <v>condorProc.py --series 07170306_2207 --donoise --dumps a --procenv environments/pymidas_HVHV_r62_mf.env</v>
      </c>
      <c r="P104" t="str">
        <f t="shared" si="3"/>
        <v>"07170306_1606", "07170306_1706", "07170306_1806", "07170306_1906", "07170306_2006", "07170306_2106", "07170306_2207"</v>
      </c>
    </row>
    <row r="105" spans="1:16">
      <c r="A105" t="s">
        <v>3480</v>
      </c>
      <c r="G105" t="s">
        <v>18</v>
      </c>
      <c r="J105" t="s">
        <v>3387</v>
      </c>
      <c r="K105">
        <v>0</v>
      </c>
      <c r="N105" t="s">
        <v>2246</v>
      </c>
      <c r="O105" t="str">
        <f t="shared" si="2"/>
        <v>condorProc.py --series 07170306_2307 --donoise --dumps a --procenv environments/pymidas_HVHV_r62_mf.env</v>
      </c>
      <c r="P105" t="str">
        <f t="shared" si="3"/>
        <v>"07170306_1606", "07170306_1706", "07170306_1806", "07170306_1906", "07170306_2006", "07170306_2106", "07170306_2207", "07170306_2307"</v>
      </c>
    </row>
    <row r="106" spans="1:16">
      <c r="A106" t="s">
        <v>3481</v>
      </c>
      <c r="G106" t="s">
        <v>18</v>
      </c>
      <c r="J106" t="s">
        <v>3387</v>
      </c>
      <c r="K106">
        <v>0</v>
      </c>
      <c r="N106" t="s">
        <v>2246</v>
      </c>
      <c r="O106" t="str">
        <f t="shared" si="2"/>
        <v>condorProc.py --series 07170307_0007 --donoise --dumps a --procenv environments/pymidas_HVHV_r62_mf.env</v>
      </c>
      <c r="P106" t="str">
        <f t="shared" si="3"/>
        <v>"07170306_1606", "07170306_1706", "07170306_1806", "07170306_1906", "07170306_2006", "07170306_2106", "07170306_2207", "07170306_2307", "07170307_0007"</v>
      </c>
    </row>
    <row r="107" spans="1:16">
      <c r="A107" t="s">
        <v>3482</v>
      </c>
      <c r="G107" t="s">
        <v>18</v>
      </c>
      <c r="J107" t="s">
        <v>3387</v>
      </c>
      <c r="K107">
        <v>0</v>
      </c>
      <c r="N107" t="s">
        <v>2246</v>
      </c>
      <c r="O107" t="str">
        <f t="shared" si="2"/>
        <v>condorProc.py --series 07170307_0107 --donoise --dumps a --procenv environments/pymidas_HVHV_r62_mf.env</v>
      </c>
      <c r="P107" t="str">
        <f t="shared" si="3"/>
        <v>"07170306_1606", "07170306_1706", "07170306_1806", "07170306_1906", "07170306_2006", "07170306_2106", "07170306_2207", "07170306_2307", "07170307_0007", "07170307_0107"</v>
      </c>
    </row>
    <row r="108" spans="1:16">
      <c r="A108" t="s">
        <v>3483</v>
      </c>
      <c r="G108" t="s">
        <v>18</v>
      </c>
      <c r="J108" t="s">
        <v>3387</v>
      </c>
      <c r="K108">
        <v>0</v>
      </c>
      <c r="N108" t="s">
        <v>2246</v>
      </c>
      <c r="O108" t="str">
        <f t="shared" si="2"/>
        <v>condorProc.py --series 07170307_0207 --donoise --dumps a --procenv environments/pymidas_HVHV_r62_mf.env</v>
      </c>
      <c r="P108" t="str">
        <f t="shared" si="3"/>
        <v>"07170306_1606", "07170306_1706", "07170306_1806", "07170306_1906", "07170306_2006", "07170306_2106", "07170306_2207", "07170306_2307", "07170307_0007", "07170307_0107", "07170307_0207"</v>
      </c>
    </row>
    <row r="109" spans="1:16">
      <c r="A109" t="s">
        <v>3484</v>
      </c>
      <c r="G109" t="s">
        <v>18</v>
      </c>
      <c r="J109" t="s">
        <v>3387</v>
      </c>
      <c r="K109">
        <v>0</v>
      </c>
      <c r="N109" t="s">
        <v>2246</v>
      </c>
      <c r="O109" t="str">
        <f t="shared" si="2"/>
        <v>condorProc.py --series 07170307_0307 --donoise --dumps a --procenv environments/pymidas_HVHV_r62_mf.env</v>
      </c>
      <c r="P109" t="str">
        <f t="shared" si="3"/>
        <v>"07170306_1606", "07170306_1706", "07170306_1806", "07170306_1906", "07170306_2006", "07170306_2106", "07170306_2207", "07170306_2307", "07170307_0007", "07170307_0107", "07170307_0207", "07170307_0307"</v>
      </c>
    </row>
    <row r="110" spans="1:16">
      <c r="A110" t="s">
        <v>3485</v>
      </c>
      <c r="G110" t="s">
        <v>18</v>
      </c>
      <c r="J110" t="s">
        <v>3387</v>
      </c>
      <c r="K110">
        <v>0</v>
      </c>
      <c r="N110" t="s">
        <v>2246</v>
      </c>
      <c r="O110" t="str">
        <f t="shared" si="2"/>
        <v>condorProc.py --series 07170307_0407 --donoise --dumps a --procenv environments/pymidas_HVHV_r62_mf.env</v>
      </c>
      <c r="P110" t="str">
        <f t="shared" si="3"/>
        <v>"07170306_1606", "07170306_1706", "07170306_1806", "07170306_1906", "07170306_2006", "07170306_2106", "07170306_2207", "07170306_2307", "07170307_0007", "07170307_0107", "07170307_0207", "07170307_0307", "07170307_0407"</v>
      </c>
    </row>
    <row r="111" spans="1:16">
      <c r="A111" t="s">
        <v>3486</v>
      </c>
      <c r="G111" t="s">
        <v>18</v>
      </c>
      <c r="J111" t="s">
        <v>3387</v>
      </c>
      <c r="K111">
        <v>0</v>
      </c>
      <c r="N111" t="s">
        <v>2246</v>
      </c>
      <c r="O111" t="str">
        <f t="shared" si="2"/>
        <v>condorProc.py --series 07170307_0507 --donoise --dumps a --procenv environments/pymidas_HVHV_r62_mf.env</v>
      </c>
      <c r="P111" t="str">
        <f t="shared" si="3"/>
        <v>"07170306_1606", "07170306_1706", "07170306_1806", "07170306_1906", "07170306_2006", "07170306_2106", "07170306_2207", "07170306_2307", "07170307_0007", "07170307_0107", "07170307_0207", "07170307_0307", "07170307_0407", "07170307_0507"</v>
      </c>
    </row>
    <row r="112" spans="1:16">
      <c r="A112" t="s">
        <v>3487</v>
      </c>
      <c r="G112" t="s">
        <v>18</v>
      </c>
      <c r="J112" t="s">
        <v>3387</v>
      </c>
      <c r="K112">
        <v>0</v>
      </c>
      <c r="N112" t="s">
        <v>2246</v>
      </c>
      <c r="O112" t="str">
        <f>"condorProc.py --series "&amp;A112&amp;" --donoise --dumps a --procenv environments/pymidas_HVHV_r62_mf.env"</f>
        <v>condorProc.py --series 07170307_0608 --donoise --dumps a --procenv environments/pymidas_HVHV_r62_mf.env</v>
      </c>
      <c r="P112" t="str">
        <f t="shared" si="3"/>
        <v>"07170306_1606", "07170306_1706", "07170306_1806", "07170306_1906", "07170306_2006", "07170306_2106", "07170306_2207", "07170306_2307", "07170307_0007", "07170307_0107", "07170307_0207", "07170307_0307", "07170307_0407", "07170307_0507", "07170307_0608"</v>
      </c>
    </row>
    <row r="113" spans="1:16">
      <c r="A113" t="s">
        <v>3488</v>
      </c>
    </row>
    <row r="114" spans="1:16">
      <c r="A114" t="s">
        <v>3489</v>
      </c>
    </row>
    <row r="115" spans="1:16">
      <c r="A115" t="s">
        <v>3490</v>
      </c>
    </row>
    <row r="116" spans="1:16">
      <c r="A116" t="s">
        <v>3491</v>
      </c>
    </row>
    <row r="117" spans="1:16">
      <c r="A117" t="s">
        <v>3492</v>
      </c>
    </row>
    <row r="118" spans="1:16">
      <c r="A118" t="s">
        <v>3493</v>
      </c>
    </row>
    <row r="119" spans="1:16">
      <c r="A119" t="s">
        <v>3494</v>
      </c>
    </row>
    <row r="120" spans="1:16">
      <c r="A120" t="s">
        <v>3495</v>
      </c>
    </row>
    <row r="121" spans="1:16">
      <c r="A121" t="s">
        <v>3496</v>
      </c>
    </row>
    <row r="122" spans="1:16">
      <c r="A122" t="s">
        <v>3497</v>
      </c>
    </row>
    <row r="123" spans="1:16">
      <c r="A123" t="s">
        <v>3498</v>
      </c>
    </row>
    <row r="124" spans="1:16">
      <c r="A124" s="70" t="s">
        <v>3499</v>
      </c>
      <c r="B124" s="70"/>
      <c r="C124" s="70"/>
      <c r="D124" s="70"/>
      <c r="E124" s="70"/>
      <c r="F124" s="70"/>
      <c r="G124" s="70" t="s">
        <v>18</v>
      </c>
      <c r="H124" s="70"/>
      <c r="I124" s="70"/>
      <c r="J124" s="70" t="s">
        <v>2701</v>
      </c>
      <c r="K124" s="70">
        <v>0</v>
      </c>
      <c r="L124" s="71" t="s">
        <v>3500</v>
      </c>
      <c r="M124" s="71"/>
      <c r="N124" t="s">
        <v>2246</v>
      </c>
      <c r="O124" t="str">
        <f t="shared" ref="O124:O186" si="4">"condorProc.py --series "&amp;A124&amp;" --donoise --dumps a --procenv environments/pymidas_HVHV_r62_mf.env"</f>
        <v>condorProc.py --series 07170310_1739 --donoise --dumps a --procenv environments/pymidas_HVHV_r62_mf.env</v>
      </c>
      <c r="P124" t="str">
        <f>""""&amp;A124&amp;""""</f>
        <v>"07170310_1739"</v>
      </c>
    </row>
    <row r="125" spans="1:16">
      <c r="A125" s="70" t="s">
        <v>3501</v>
      </c>
      <c r="B125" s="70"/>
      <c r="C125" s="70"/>
      <c r="D125" s="70"/>
      <c r="E125" s="70"/>
      <c r="F125" s="70"/>
      <c r="G125" s="70" t="s">
        <v>18</v>
      </c>
      <c r="H125" s="70"/>
      <c r="I125" s="70"/>
      <c r="J125" s="70" t="s">
        <v>2701</v>
      </c>
      <c r="K125" s="70">
        <v>0</v>
      </c>
      <c r="L125" s="71" t="s">
        <v>3502</v>
      </c>
      <c r="M125" s="71"/>
      <c r="N125" t="s">
        <v>2246</v>
      </c>
      <c r="O125" t="str">
        <f t="shared" si="4"/>
        <v>condorProc.py --series 07170310_1839 --donoise --dumps a --procenv environments/pymidas_HVHV_r62_mf.env</v>
      </c>
      <c r="P125" t="str">
        <f>P124&amp;", """&amp;A125&amp;""""</f>
        <v>"07170310_1739", "07170310_1839"</v>
      </c>
    </row>
    <row r="126" spans="1:16">
      <c r="A126" s="70" t="s">
        <v>3503</v>
      </c>
      <c r="B126" s="70"/>
      <c r="C126" s="70"/>
      <c r="D126" s="70"/>
      <c r="E126" s="70"/>
      <c r="F126" s="70"/>
      <c r="G126" s="70" t="s">
        <v>18</v>
      </c>
      <c r="H126" s="70"/>
      <c r="I126" s="70"/>
      <c r="J126" s="70" t="s">
        <v>2701</v>
      </c>
      <c r="K126" s="70">
        <v>0</v>
      </c>
      <c r="L126" s="70"/>
      <c r="M126" s="70"/>
      <c r="N126" t="s">
        <v>2246</v>
      </c>
      <c r="O126" t="str">
        <f t="shared" si="4"/>
        <v>condorProc.py --series 07170310_1940 --donoise --dumps a --procenv environments/pymidas_HVHV_r62_mf.env</v>
      </c>
      <c r="P126" t="str">
        <f t="shared" ref="P126:P186" si="5">P125&amp;", """&amp;A126&amp;""""</f>
        <v>"07170310_1739", "07170310_1839", "07170310_1940"</v>
      </c>
    </row>
    <row r="127" spans="1:16">
      <c r="A127" s="70" t="s">
        <v>3504</v>
      </c>
      <c r="B127" s="70"/>
      <c r="C127" s="70"/>
      <c r="D127" s="70"/>
      <c r="E127" s="70"/>
      <c r="F127" s="70"/>
      <c r="G127" s="70" t="s">
        <v>18</v>
      </c>
      <c r="H127" s="70"/>
      <c r="I127" s="70"/>
      <c r="J127" s="70" t="s">
        <v>2701</v>
      </c>
      <c r="K127" s="70">
        <v>0</v>
      </c>
      <c r="L127" s="70" t="s">
        <v>3505</v>
      </c>
      <c r="M127" s="70"/>
      <c r="N127" t="s">
        <v>2246</v>
      </c>
      <c r="O127" t="str">
        <f t="shared" si="4"/>
        <v>condorProc.py --series 07170310_2040 --donoise --dumps a --procenv environments/pymidas_HVHV_r62_mf.env</v>
      </c>
      <c r="P127" t="str">
        <f t="shared" si="5"/>
        <v>"07170310_1739", "07170310_1839", "07170310_1940", "07170310_2040"</v>
      </c>
    </row>
    <row r="128" spans="1:16">
      <c r="A128" s="70" t="s">
        <v>3506</v>
      </c>
      <c r="B128" s="70"/>
      <c r="C128" s="70"/>
      <c r="D128" s="70"/>
      <c r="E128" s="70"/>
      <c r="F128" s="70"/>
      <c r="G128" s="70" t="s">
        <v>18</v>
      </c>
      <c r="H128" s="70"/>
      <c r="I128" s="70"/>
      <c r="J128" s="70" t="s">
        <v>2701</v>
      </c>
      <c r="K128" s="70">
        <v>0</v>
      </c>
      <c r="L128" s="70" t="s">
        <v>3507</v>
      </c>
      <c r="M128" s="70"/>
      <c r="N128" t="s">
        <v>2246</v>
      </c>
      <c r="O128" t="str">
        <f t="shared" si="4"/>
        <v>condorProc.py --series 07170310_2140 --donoise --dumps a --procenv environments/pymidas_HVHV_r62_mf.env</v>
      </c>
      <c r="P128" t="str">
        <f t="shared" si="5"/>
        <v>"07170310_1739", "07170310_1839", "07170310_1940", "07170310_2040", "07170310_2140"</v>
      </c>
    </row>
    <row r="129" spans="1:16">
      <c r="A129" s="70" t="s">
        <v>3508</v>
      </c>
      <c r="B129" s="70"/>
      <c r="C129" s="70"/>
      <c r="D129" s="70"/>
      <c r="E129" s="70"/>
      <c r="F129" s="70"/>
      <c r="G129" s="70" t="s">
        <v>18</v>
      </c>
      <c r="H129" s="70"/>
      <c r="I129" s="70"/>
      <c r="J129" s="70" t="s">
        <v>2701</v>
      </c>
      <c r="K129" s="70">
        <v>0</v>
      </c>
      <c r="L129" s="70" t="s">
        <v>3509</v>
      </c>
      <c r="M129" s="70"/>
      <c r="N129" t="s">
        <v>2246</v>
      </c>
      <c r="O129" t="str">
        <f t="shared" si="4"/>
        <v>condorProc.py --series 07170310_2240 --donoise --dumps a --procenv environments/pymidas_HVHV_r62_mf.env</v>
      </c>
      <c r="P129" t="str">
        <f t="shared" si="5"/>
        <v>"07170310_1739", "07170310_1839", "07170310_1940", "07170310_2040", "07170310_2140", "07170310_2240"</v>
      </c>
    </row>
    <row r="130" spans="1:16">
      <c r="A130" s="70" t="s">
        <v>3510</v>
      </c>
      <c r="B130" s="70"/>
      <c r="C130" s="70"/>
      <c r="D130" s="70"/>
      <c r="E130" s="70"/>
      <c r="F130" s="70"/>
      <c r="G130" s="70" t="s">
        <v>18</v>
      </c>
      <c r="H130" s="70"/>
      <c r="I130" s="70"/>
      <c r="J130" s="70" t="s">
        <v>2701</v>
      </c>
      <c r="K130" s="70">
        <v>0</v>
      </c>
      <c r="L130" s="70"/>
      <c r="M130" s="70"/>
      <c r="N130" t="s">
        <v>2246</v>
      </c>
      <c r="O130" t="str">
        <f t="shared" si="4"/>
        <v>condorProc.py --series 07170310_2340 --donoise --dumps a --procenv environments/pymidas_HVHV_r62_mf.env</v>
      </c>
      <c r="P130" t="str">
        <f t="shared" si="5"/>
        <v>"07170310_1739", "07170310_1839", "07170310_1940", "07170310_2040", "07170310_2140", "07170310_2240", "07170310_2340"</v>
      </c>
    </row>
    <row r="131" spans="1:16">
      <c r="A131" s="70" t="s">
        <v>3511</v>
      </c>
      <c r="B131" s="70"/>
      <c r="C131" s="70"/>
      <c r="D131" s="70"/>
      <c r="E131" s="70"/>
      <c r="F131" s="70"/>
      <c r="G131" s="70" t="s">
        <v>18</v>
      </c>
      <c r="H131" s="70"/>
      <c r="I131" s="70"/>
      <c r="J131" s="70" t="s">
        <v>2701</v>
      </c>
      <c r="K131" s="70">
        <v>0</v>
      </c>
      <c r="L131" s="70" t="s">
        <v>3512</v>
      </c>
      <c r="M131" s="70"/>
      <c r="N131" t="s">
        <v>2246</v>
      </c>
      <c r="O131" t="str">
        <f t="shared" si="4"/>
        <v>condorProc.py --series 07170311_0040 --donoise --dumps a --procenv environments/pymidas_HVHV_r62_mf.env</v>
      </c>
      <c r="P131" t="str">
        <f t="shared" si="5"/>
        <v>"07170310_1739", "07170310_1839", "07170310_1940", "07170310_2040", "07170310_2140", "07170310_2240", "07170310_2340", "07170311_0040"</v>
      </c>
    </row>
    <row r="132" spans="1:16">
      <c r="A132" s="70" t="s">
        <v>3513</v>
      </c>
      <c r="B132" s="70"/>
      <c r="C132" s="70"/>
      <c r="D132" s="70"/>
      <c r="E132" s="70"/>
      <c r="F132" s="70"/>
      <c r="G132" s="70" t="s">
        <v>18</v>
      </c>
      <c r="H132" s="70"/>
      <c r="I132" s="70"/>
      <c r="J132" s="70" t="s">
        <v>2701</v>
      </c>
      <c r="K132" s="70">
        <v>0</v>
      </c>
      <c r="L132" s="70"/>
      <c r="M132" s="70"/>
      <c r="N132" t="s">
        <v>2246</v>
      </c>
      <c r="O132" t="str">
        <f t="shared" si="4"/>
        <v>condorProc.py --series 07170311_0140 --donoise --dumps a --procenv environments/pymidas_HVHV_r62_mf.env</v>
      </c>
      <c r="P132" t="str">
        <f t="shared" si="5"/>
        <v>"07170310_1739", "07170310_1839", "07170310_1940", "07170310_2040", "07170310_2140", "07170310_2240", "07170310_2340", "07170311_0040", "07170311_0140"</v>
      </c>
    </row>
    <row r="133" spans="1:16">
      <c r="A133" s="70" t="s">
        <v>3514</v>
      </c>
      <c r="B133" s="70"/>
      <c r="C133" s="70"/>
      <c r="D133" s="70"/>
      <c r="E133" s="70"/>
      <c r="F133" s="70"/>
      <c r="G133" s="70" t="s">
        <v>18</v>
      </c>
      <c r="H133" s="70"/>
      <c r="I133" s="70"/>
      <c r="J133" s="70" t="s">
        <v>2701</v>
      </c>
      <c r="K133" s="70">
        <v>0</v>
      </c>
      <c r="L133" s="70"/>
      <c r="M133" s="70"/>
      <c r="N133" t="s">
        <v>2246</v>
      </c>
      <c r="O133" t="str">
        <f t="shared" si="4"/>
        <v>condorProc.py --series 07170311_0240 --donoise --dumps a --procenv environments/pymidas_HVHV_r62_mf.env</v>
      </c>
      <c r="P133" t="str">
        <f t="shared" si="5"/>
        <v>"07170310_1739", "07170310_1839", "07170310_1940", "07170310_2040", "07170310_2140", "07170310_2240", "07170310_2340", "07170311_0040", "07170311_0140", "07170311_0240"</v>
      </c>
    </row>
    <row r="134" spans="1:16">
      <c r="A134" s="70" t="s">
        <v>3515</v>
      </c>
      <c r="B134" s="70"/>
      <c r="C134" s="70"/>
      <c r="D134" s="70"/>
      <c r="E134" s="70"/>
      <c r="F134" s="70"/>
      <c r="G134" s="70" t="s">
        <v>18</v>
      </c>
      <c r="H134" s="70"/>
      <c r="I134" s="70"/>
      <c r="J134" s="70" t="s">
        <v>2701</v>
      </c>
      <c r="K134" s="70">
        <v>0</v>
      </c>
      <c r="L134" s="70"/>
      <c r="M134" s="70"/>
      <c r="N134" t="s">
        <v>2246</v>
      </c>
      <c r="O134" t="str">
        <f t="shared" si="4"/>
        <v>condorProc.py --series 07170311_0340 --donoise --dumps a --procenv environments/pymidas_HVHV_r62_mf.env</v>
      </c>
      <c r="P134" t="str">
        <f t="shared" si="5"/>
        <v>"07170310_1739", "07170310_1839", "07170310_1940", "07170310_2040", "07170310_2140", "07170310_2240", "07170310_2340", "07170311_0040", "07170311_0140", "07170311_0240", "07170311_0340"</v>
      </c>
    </row>
    <row r="135" spans="1:16">
      <c r="A135" s="70" t="s">
        <v>3516</v>
      </c>
      <c r="B135" s="70"/>
      <c r="C135" s="70"/>
      <c r="D135" s="70"/>
      <c r="E135" s="70"/>
      <c r="F135" s="70"/>
      <c r="G135" s="70" t="s">
        <v>18</v>
      </c>
      <c r="H135" s="70"/>
      <c r="I135" s="70"/>
      <c r="J135" s="70" t="s">
        <v>2701</v>
      </c>
      <c r="K135" s="70">
        <v>0</v>
      </c>
      <c r="L135" s="70"/>
      <c r="M135" s="70"/>
      <c r="N135" t="s">
        <v>2246</v>
      </c>
      <c r="O135" t="str">
        <f t="shared" si="4"/>
        <v>condorProc.py --series 07170311_0440 --donoise --dumps a --procenv environments/pymidas_HVHV_r62_mf.env</v>
      </c>
      <c r="P135" t="str">
        <f t="shared" si="5"/>
        <v>"07170310_1739", "07170310_1839", "07170310_1940", "07170310_2040", "07170310_2140", "07170310_2240", "07170310_2340", "07170311_0040", "07170311_0140", "07170311_0240", "07170311_0340", "07170311_0440"</v>
      </c>
    </row>
    <row r="136" spans="1:16">
      <c r="A136" s="70" t="s">
        <v>3517</v>
      </c>
      <c r="B136" s="70"/>
      <c r="C136" s="70"/>
      <c r="D136" s="70"/>
      <c r="E136" s="70"/>
      <c r="F136" s="70"/>
      <c r="G136" s="70" t="s">
        <v>18</v>
      </c>
      <c r="H136" s="70"/>
      <c r="I136" s="70"/>
      <c r="J136" s="70" t="s">
        <v>2701</v>
      </c>
      <c r="K136" s="70">
        <v>0</v>
      </c>
      <c r="L136" s="70"/>
      <c r="M136" s="70"/>
      <c r="N136" t="s">
        <v>2246</v>
      </c>
      <c r="O136" t="str">
        <f t="shared" si="4"/>
        <v>condorProc.py --series 07170311_0540 --donoise --dumps a --procenv environments/pymidas_HVHV_r62_mf.env</v>
      </c>
      <c r="P136" t="str">
        <f t="shared" si="5"/>
        <v>"07170310_1739", "07170310_1839", "07170310_1940", "07170310_2040", "07170310_2140", "07170310_2240", "07170310_2340", "07170311_0040", "07170311_0140", "07170311_0240", "07170311_0340", "07170311_0440", "07170311_0540"</v>
      </c>
    </row>
    <row r="137" spans="1:16">
      <c r="A137" s="70" t="s">
        <v>3518</v>
      </c>
      <c r="B137" s="70"/>
      <c r="C137" s="70"/>
      <c r="D137" s="70"/>
      <c r="E137" s="70"/>
      <c r="F137" s="70"/>
      <c r="G137" s="70" t="s">
        <v>18</v>
      </c>
      <c r="H137" s="70"/>
      <c r="I137" s="70"/>
      <c r="J137" s="70" t="s">
        <v>2701</v>
      </c>
      <c r="K137" s="70">
        <v>0</v>
      </c>
      <c r="L137" s="70"/>
      <c r="M137" s="70"/>
      <c r="N137" t="s">
        <v>2246</v>
      </c>
      <c r="O137" t="str">
        <f t="shared" si="4"/>
        <v>condorProc.py --series 07170311_0640 --donoise --dumps a --procenv environments/pymidas_HVHV_r62_mf.env</v>
      </c>
      <c r="P137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</v>
      </c>
    </row>
    <row r="138" spans="1:16">
      <c r="A138" s="77" t="s">
        <v>3519</v>
      </c>
      <c r="B138" s="77"/>
      <c r="C138" s="77"/>
      <c r="D138" s="77"/>
      <c r="E138" s="77"/>
      <c r="F138" s="77"/>
      <c r="G138" s="77" t="s">
        <v>18</v>
      </c>
      <c r="H138" s="77"/>
      <c r="I138" s="77"/>
      <c r="J138" s="77" t="s">
        <v>2701</v>
      </c>
      <c r="K138" s="77">
        <v>0</v>
      </c>
      <c r="L138" s="77" t="s">
        <v>3520</v>
      </c>
      <c r="M138" s="70"/>
      <c r="N138" t="s">
        <v>2246</v>
      </c>
      <c r="O138" t="str">
        <f t="shared" si="4"/>
        <v>condorProc.py --series 07170311_0741 --donoise --dumps a --procenv environments/pymidas_HVHV_r62_mf.env</v>
      </c>
      <c r="P138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</v>
      </c>
    </row>
    <row r="139" spans="1:16">
      <c r="A139" s="70" t="s">
        <v>3521</v>
      </c>
      <c r="B139" s="70"/>
      <c r="C139" s="70"/>
      <c r="D139" s="70"/>
      <c r="E139" s="70"/>
      <c r="F139" s="70"/>
      <c r="G139" s="70" t="s">
        <v>18</v>
      </c>
      <c r="H139" s="70"/>
      <c r="I139" s="70"/>
      <c r="J139" s="70" t="s">
        <v>2701</v>
      </c>
      <c r="K139" s="70">
        <v>0</v>
      </c>
      <c r="L139" s="70"/>
      <c r="M139" s="70"/>
      <c r="N139" t="s">
        <v>2246</v>
      </c>
      <c r="O139" t="str">
        <f t="shared" si="4"/>
        <v>condorProc.py --series 07170311_0850 --donoise --dumps a --procenv environments/pymidas_HVHV_r62_mf.env</v>
      </c>
      <c r="P139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</v>
      </c>
    </row>
    <row r="140" spans="1:16">
      <c r="A140" s="70" t="s">
        <v>3522</v>
      </c>
      <c r="B140" s="70"/>
      <c r="C140" s="70"/>
      <c r="D140" s="70"/>
      <c r="E140" s="70"/>
      <c r="F140" s="70"/>
      <c r="G140" s="70" t="s">
        <v>18</v>
      </c>
      <c r="H140" s="70"/>
      <c r="I140" s="70"/>
      <c r="J140" s="70" t="s">
        <v>2701</v>
      </c>
      <c r="K140" s="70">
        <v>0</v>
      </c>
      <c r="L140" s="70"/>
      <c r="M140" s="70"/>
      <c r="N140" t="s">
        <v>2246</v>
      </c>
      <c r="O140" t="str">
        <f t="shared" si="4"/>
        <v>condorProc.py --series 07170311_0950 --donoise --dumps a --procenv environments/pymidas_HVHV_r62_mf.env</v>
      </c>
      <c r="P140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</v>
      </c>
    </row>
    <row r="141" spans="1:16">
      <c r="A141" s="70" t="s">
        <v>3523</v>
      </c>
      <c r="B141" s="70"/>
      <c r="C141" s="70"/>
      <c r="D141" s="70"/>
      <c r="E141" s="70"/>
      <c r="F141" s="70"/>
      <c r="G141" s="70" t="s">
        <v>18</v>
      </c>
      <c r="H141" s="70"/>
      <c r="I141" s="70"/>
      <c r="J141" s="70" t="s">
        <v>2701</v>
      </c>
      <c r="K141" s="70">
        <v>0</v>
      </c>
      <c r="L141" s="70" t="s">
        <v>3524</v>
      </c>
      <c r="M141" s="70"/>
      <c r="N141" t="s">
        <v>2246</v>
      </c>
      <c r="O141" t="str">
        <f t="shared" si="4"/>
        <v>condorProc.py --series 07170311_1050 --donoise --dumps a --procenv environments/pymidas_HVHV_r62_mf.env</v>
      </c>
      <c r="P141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</v>
      </c>
    </row>
    <row r="142" spans="1:16">
      <c r="A142" s="70" t="s">
        <v>3525</v>
      </c>
      <c r="B142" s="70"/>
      <c r="C142" s="70"/>
      <c r="D142" s="70"/>
      <c r="E142" s="70"/>
      <c r="F142" s="70"/>
      <c r="G142" s="70" t="s">
        <v>18</v>
      </c>
      <c r="H142" s="70"/>
      <c r="I142" s="70"/>
      <c r="J142" s="70" t="s">
        <v>2701</v>
      </c>
      <c r="K142" s="70">
        <v>0</v>
      </c>
      <c r="L142" s="70"/>
      <c r="M142" s="70"/>
      <c r="N142" t="s">
        <v>2246</v>
      </c>
      <c r="O142" t="str">
        <f t="shared" si="4"/>
        <v>condorProc.py --series 07170311_1150 --donoise --dumps a --procenv environments/pymidas_HVHV_r62_mf.env</v>
      </c>
      <c r="P142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</v>
      </c>
    </row>
    <row r="143" spans="1:16">
      <c r="A143" s="70" t="s">
        <v>3526</v>
      </c>
      <c r="B143" s="70"/>
      <c r="C143" s="70"/>
      <c r="D143" s="70"/>
      <c r="E143" s="70"/>
      <c r="F143" s="70"/>
      <c r="G143" s="70" t="s">
        <v>18</v>
      </c>
      <c r="H143" s="70"/>
      <c r="I143" s="70"/>
      <c r="J143" s="70" t="s">
        <v>2701</v>
      </c>
      <c r="K143" s="70">
        <v>0</v>
      </c>
      <c r="L143" s="70"/>
      <c r="M143" s="70"/>
      <c r="N143" t="s">
        <v>2246</v>
      </c>
      <c r="O143" t="str">
        <f t="shared" si="4"/>
        <v>condorProc.py --series 07170311_1250 --donoise --dumps a --procenv environments/pymidas_HVHV_r62_mf.env</v>
      </c>
      <c r="P143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</v>
      </c>
    </row>
    <row r="144" spans="1:16">
      <c r="A144" s="70" t="s">
        <v>3527</v>
      </c>
      <c r="B144" s="70"/>
      <c r="C144" s="70"/>
      <c r="D144" s="70"/>
      <c r="E144" s="70"/>
      <c r="F144" s="70"/>
      <c r="G144" s="70" t="s">
        <v>18</v>
      </c>
      <c r="H144" s="70"/>
      <c r="I144" s="70"/>
      <c r="J144" s="70" t="s">
        <v>2701</v>
      </c>
      <c r="K144" s="70">
        <v>0</v>
      </c>
      <c r="L144" s="70"/>
      <c r="M144" s="70"/>
      <c r="N144" t="s">
        <v>2246</v>
      </c>
      <c r="O144" t="str">
        <f t="shared" si="4"/>
        <v>condorProc.py --series 07170311_1350 --donoise --dumps a --procenv environments/pymidas_HVHV_r62_mf.env</v>
      </c>
      <c r="P144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</v>
      </c>
    </row>
    <row r="145" spans="1:16">
      <c r="A145" s="70" t="s">
        <v>3528</v>
      </c>
      <c r="B145" s="70"/>
      <c r="C145" s="70"/>
      <c r="D145" s="70"/>
      <c r="E145" s="70"/>
      <c r="F145" s="70"/>
      <c r="G145" s="70" t="s">
        <v>18</v>
      </c>
      <c r="H145" s="70"/>
      <c r="I145" s="70"/>
      <c r="J145" s="70" t="s">
        <v>2701</v>
      </c>
      <c r="K145" s="70">
        <v>0</v>
      </c>
      <c r="L145" s="70"/>
      <c r="M145" s="70"/>
      <c r="N145" t="s">
        <v>2246</v>
      </c>
      <c r="O145" t="str">
        <f t="shared" si="4"/>
        <v>condorProc.py --series 07170311_1451 --donoise --dumps a --procenv environments/pymidas_HVHV_r62_mf.env</v>
      </c>
      <c r="P145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</v>
      </c>
    </row>
    <row r="146" spans="1:16">
      <c r="A146" s="70" t="s">
        <v>3529</v>
      </c>
      <c r="B146" s="70"/>
      <c r="C146" s="70"/>
      <c r="D146" s="70"/>
      <c r="E146" s="70"/>
      <c r="F146" s="70"/>
      <c r="G146" s="70" t="s">
        <v>18</v>
      </c>
      <c r="H146" s="70"/>
      <c r="I146" s="70"/>
      <c r="J146" s="70" t="s">
        <v>2701</v>
      </c>
      <c r="K146" s="70">
        <v>0</v>
      </c>
      <c r="L146" s="70"/>
      <c r="M146" s="70"/>
      <c r="N146" t="s">
        <v>2246</v>
      </c>
      <c r="O146" t="str">
        <f t="shared" si="4"/>
        <v>condorProc.py --series 07170311_1551 --donoise --dumps a --procenv environments/pymidas_HVHV_r62_mf.env</v>
      </c>
      <c r="P146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</v>
      </c>
    </row>
    <row r="147" spans="1:16">
      <c r="A147" s="70" t="s">
        <v>3530</v>
      </c>
      <c r="B147" s="70"/>
      <c r="C147" s="70"/>
      <c r="D147" s="70"/>
      <c r="E147" s="70"/>
      <c r="F147" s="70"/>
      <c r="G147" s="70" t="s">
        <v>18</v>
      </c>
      <c r="H147" s="70"/>
      <c r="I147" s="70"/>
      <c r="J147" s="70" t="s">
        <v>2701</v>
      </c>
      <c r="K147" s="70">
        <v>0</v>
      </c>
      <c r="L147" s="70"/>
      <c r="M147" s="70"/>
      <c r="N147" t="s">
        <v>2246</v>
      </c>
      <c r="O147" t="str">
        <f t="shared" si="4"/>
        <v>condorProc.py --series 07170311_1651 --donoise --dumps a --procenv environments/pymidas_HVHV_r62_mf.env</v>
      </c>
      <c r="P147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</v>
      </c>
    </row>
    <row r="148" spans="1:16">
      <c r="A148" s="70" t="s">
        <v>3531</v>
      </c>
      <c r="B148" s="70"/>
      <c r="C148" s="70"/>
      <c r="D148" s="70"/>
      <c r="E148" s="70"/>
      <c r="F148" s="70"/>
      <c r="G148" s="70" t="s">
        <v>18</v>
      </c>
      <c r="H148" s="70"/>
      <c r="I148" s="70"/>
      <c r="J148" s="70" t="s">
        <v>2701</v>
      </c>
      <c r="K148" s="70">
        <v>0</v>
      </c>
      <c r="L148" s="70"/>
      <c r="M148" s="70"/>
      <c r="N148" t="s">
        <v>2246</v>
      </c>
      <c r="O148" t="str">
        <f t="shared" si="4"/>
        <v>condorProc.py --series 07170311_1751 --donoise --dumps a --procenv environments/pymidas_HVHV_r62_mf.env</v>
      </c>
      <c r="P148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</v>
      </c>
    </row>
    <row r="149" spans="1:16">
      <c r="A149" s="70" t="s">
        <v>3532</v>
      </c>
      <c r="B149" s="70"/>
      <c r="C149" s="70"/>
      <c r="D149" s="70"/>
      <c r="E149" s="70"/>
      <c r="F149" s="70"/>
      <c r="G149" s="70" t="s">
        <v>18</v>
      </c>
      <c r="H149" s="70"/>
      <c r="I149" s="70"/>
      <c r="J149" s="70" t="s">
        <v>2701</v>
      </c>
      <c r="K149" s="70">
        <v>0</v>
      </c>
      <c r="L149" s="70"/>
      <c r="M149" s="70"/>
      <c r="N149" t="s">
        <v>2246</v>
      </c>
      <c r="O149" t="str">
        <f t="shared" si="4"/>
        <v>condorProc.py --series 07170311_1851 --donoise --dumps a --procenv environments/pymidas_HVHV_r62_mf.env</v>
      </c>
      <c r="P149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</v>
      </c>
    </row>
    <row r="150" spans="1:16">
      <c r="A150" s="70" t="s">
        <v>3533</v>
      </c>
      <c r="B150" s="70"/>
      <c r="C150" s="70"/>
      <c r="D150" s="70"/>
      <c r="E150" s="70"/>
      <c r="F150" s="70"/>
      <c r="G150" s="70" t="s">
        <v>18</v>
      </c>
      <c r="H150" s="70"/>
      <c r="I150" s="70"/>
      <c r="J150" s="70" t="s">
        <v>2701</v>
      </c>
      <c r="K150" s="70">
        <v>0</v>
      </c>
      <c r="L150" s="70"/>
      <c r="M150" s="70"/>
      <c r="N150" t="s">
        <v>2246</v>
      </c>
      <c r="O150" t="str">
        <f t="shared" si="4"/>
        <v>condorProc.py --series 07170311_1951 --donoise --dumps a --procenv environments/pymidas_HVHV_r62_mf.env</v>
      </c>
      <c r="P150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</v>
      </c>
    </row>
    <row r="151" spans="1:16">
      <c r="A151" s="70" t="s">
        <v>3534</v>
      </c>
      <c r="B151" s="70"/>
      <c r="C151" s="70"/>
      <c r="D151" s="70"/>
      <c r="E151" s="70"/>
      <c r="F151" s="70"/>
      <c r="G151" s="70" t="s">
        <v>18</v>
      </c>
      <c r="H151" s="70"/>
      <c r="I151" s="70"/>
      <c r="J151" s="70" t="s">
        <v>2701</v>
      </c>
      <c r="K151" s="70">
        <v>0</v>
      </c>
      <c r="L151" s="70"/>
      <c r="M151" s="70"/>
      <c r="N151" t="s">
        <v>2246</v>
      </c>
      <c r="O151" t="str">
        <f t="shared" si="4"/>
        <v>condorProc.py --series 07170311_2051 --donoise --dumps a --procenv environments/pymidas_HVHV_r62_mf.env</v>
      </c>
      <c r="P151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</v>
      </c>
    </row>
    <row r="152" spans="1:16">
      <c r="A152" s="70" t="s">
        <v>3535</v>
      </c>
      <c r="B152" s="70"/>
      <c r="C152" s="70"/>
      <c r="D152" s="70"/>
      <c r="E152" s="70"/>
      <c r="F152" s="70"/>
      <c r="G152" s="70" t="s">
        <v>18</v>
      </c>
      <c r="H152" s="70"/>
      <c r="I152" s="70"/>
      <c r="J152" s="70" t="s">
        <v>2701</v>
      </c>
      <c r="K152" s="70">
        <v>0</v>
      </c>
      <c r="L152" s="70"/>
      <c r="M152" s="70"/>
      <c r="N152" t="s">
        <v>2246</v>
      </c>
      <c r="O152" t="str">
        <f t="shared" si="4"/>
        <v>condorProc.py --series 07170311_2151 --donoise --dumps a --procenv environments/pymidas_HVHV_r62_mf.env</v>
      </c>
      <c r="P152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</v>
      </c>
    </row>
    <row r="153" spans="1:16">
      <c r="A153" s="70" t="s">
        <v>3536</v>
      </c>
      <c r="B153" s="70"/>
      <c r="C153" s="70"/>
      <c r="D153" s="70"/>
      <c r="E153" s="70"/>
      <c r="F153" s="70"/>
      <c r="G153" s="70" t="s">
        <v>18</v>
      </c>
      <c r="H153" s="70"/>
      <c r="I153" s="70"/>
      <c r="J153" s="70" t="s">
        <v>2701</v>
      </c>
      <c r="K153" s="70">
        <v>0</v>
      </c>
      <c r="L153" s="70"/>
      <c r="M153" s="70"/>
      <c r="N153" t="s">
        <v>2246</v>
      </c>
      <c r="O153" t="str">
        <f t="shared" si="4"/>
        <v>condorProc.py --series 07170311_2251 --donoise --dumps a --procenv environments/pymidas_HVHV_r62_mf.env</v>
      </c>
      <c r="P153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</v>
      </c>
    </row>
    <row r="154" spans="1:16">
      <c r="A154" s="70" t="s">
        <v>3537</v>
      </c>
      <c r="B154" s="70"/>
      <c r="C154" s="70"/>
      <c r="D154" s="70"/>
      <c r="E154" s="70"/>
      <c r="F154" s="70"/>
      <c r="G154" s="70" t="s">
        <v>18</v>
      </c>
      <c r="H154" s="70"/>
      <c r="I154" s="70"/>
      <c r="J154" s="70" t="s">
        <v>2701</v>
      </c>
      <c r="K154" s="70">
        <v>0</v>
      </c>
      <c r="L154" s="70"/>
      <c r="M154" s="70"/>
      <c r="N154" t="s">
        <v>2246</v>
      </c>
      <c r="O154" t="str">
        <f t="shared" si="4"/>
        <v>condorProc.py --series 07170311_2351 --donoise --dumps a --procenv environments/pymidas_HVHV_r62_mf.env</v>
      </c>
      <c r="P154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</v>
      </c>
    </row>
    <row r="155" spans="1:16">
      <c r="A155" s="70" t="s">
        <v>3538</v>
      </c>
      <c r="B155" s="70"/>
      <c r="C155" s="70"/>
      <c r="D155" s="70"/>
      <c r="E155" s="70"/>
      <c r="F155" s="70"/>
      <c r="G155" s="70" t="s">
        <v>18</v>
      </c>
      <c r="H155" s="70"/>
      <c r="I155" s="70"/>
      <c r="J155" s="70" t="s">
        <v>2701</v>
      </c>
      <c r="K155" s="70">
        <v>0</v>
      </c>
      <c r="L155" s="70"/>
      <c r="M155" s="70"/>
      <c r="N155" t="s">
        <v>2246</v>
      </c>
      <c r="O155" t="str">
        <f t="shared" si="4"/>
        <v>condorProc.py --series 07170312_0051 --donoise --dumps a --procenv environments/pymidas_HVHV_r62_mf.env</v>
      </c>
      <c r="P155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</v>
      </c>
    </row>
    <row r="156" spans="1:16">
      <c r="A156" s="70" t="s">
        <v>3539</v>
      </c>
      <c r="B156" s="70"/>
      <c r="C156" s="70"/>
      <c r="D156" s="70"/>
      <c r="E156" s="70"/>
      <c r="F156" s="70"/>
      <c r="G156" s="70" t="s">
        <v>18</v>
      </c>
      <c r="H156" s="70"/>
      <c r="I156" s="70"/>
      <c r="J156" s="70" t="s">
        <v>2701</v>
      </c>
      <c r="K156" s="70">
        <v>0</v>
      </c>
      <c r="L156" s="70"/>
      <c r="M156" s="70"/>
      <c r="N156" t="s">
        <v>2246</v>
      </c>
      <c r="O156" t="str">
        <f t="shared" si="4"/>
        <v>condorProc.py --series 07170312_0151 --donoise --dumps a --procenv environments/pymidas_HVHV_r62_mf.env</v>
      </c>
      <c r="P156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</v>
      </c>
    </row>
    <row r="157" spans="1:16">
      <c r="A157" s="70" t="s">
        <v>3540</v>
      </c>
      <c r="B157" s="70"/>
      <c r="C157" s="70"/>
      <c r="D157" s="70"/>
      <c r="E157" s="70"/>
      <c r="F157" s="70"/>
      <c r="G157" s="70" t="s">
        <v>18</v>
      </c>
      <c r="H157" s="70"/>
      <c r="I157" s="70"/>
      <c r="J157" s="70" t="s">
        <v>2701</v>
      </c>
      <c r="K157" s="70">
        <v>0</v>
      </c>
      <c r="L157" s="70"/>
      <c r="M157" s="70"/>
      <c r="N157" t="s">
        <v>2246</v>
      </c>
      <c r="O157" t="str">
        <f t="shared" si="4"/>
        <v>condorProc.py --series 07170312_0351 --donoise --dumps a --procenv environments/pymidas_HVHV_r62_mf.env</v>
      </c>
      <c r="P157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</v>
      </c>
    </row>
    <row r="158" spans="1:16">
      <c r="A158" s="70" t="s">
        <v>3541</v>
      </c>
      <c r="B158" s="70"/>
      <c r="C158" s="70"/>
      <c r="D158" s="70"/>
      <c r="E158" s="70"/>
      <c r="F158" s="70"/>
      <c r="G158" s="70" t="s">
        <v>18</v>
      </c>
      <c r="H158" s="70"/>
      <c r="I158" s="70"/>
      <c r="J158" s="70" t="s">
        <v>2701</v>
      </c>
      <c r="K158" s="70">
        <v>0</v>
      </c>
      <c r="L158" s="70"/>
      <c r="M158" s="70"/>
      <c r="N158" t="s">
        <v>2246</v>
      </c>
      <c r="O158" t="str">
        <f t="shared" si="4"/>
        <v>condorProc.py --series 07170312_0451 --donoise --dumps a --procenv environments/pymidas_HVHV_r62_mf.env</v>
      </c>
      <c r="P158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</v>
      </c>
    </row>
    <row r="159" spans="1:16">
      <c r="A159" s="70" t="s">
        <v>3542</v>
      </c>
      <c r="B159" s="70"/>
      <c r="C159" s="70"/>
      <c r="D159" s="70"/>
      <c r="E159" s="70"/>
      <c r="F159" s="70"/>
      <c r="G159" s="70" t="s">
        <v>18</v>
      </c>
      <c r="H159" s="70"/>
      <c r="I159" s="70"/>
      <c r="J159" s="70" t="s">
        <v>2701</v>
      </c>
      <c r="K159" s="70">
        <v>0</v>
      </c>
      <c r="L159" s="70"/>
      <c r="M159" s="70"/>
      <c r="N159" t="s">
        <v>2246</v>
      </c>
      <c r="O159" t="str">
        <f t="shared" si="4"/>
        <v>condorProc.py --series 07170312_0552 --donoise --dumps a --procenv environments/pymidas_HVHV_r62_mf.env</v>
      </c>
      <c r="P159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</v>
      </c>
    </row>
    <row r="160" spans="1:16">
      <c r="A160" s="70" t="s">
        <v>3543</v>
      </c>
      <c r="B160" s="70"/>
      <c r="C160" s="70"/>
      <c r="D160" s="70"/>
      <c r="E160" s="70"/>
      <c r="F160" s="70"/>
      <c r="G160" s="70" t="s">
        <v>18</v>
      </c>
      <c r="H160" s="70"/>
      <c r="I160" s="70"/>
      <c r="J160" s="70" t="s">
        <v>2701</v>
      </c>
      <c r="K160" s="70">
        <v>0</v>
      </c>
      <c r="L160" s="70"/>
      <c r="M160" s="70"/>
      <c r="N160" t="s">
        <v>2246</v>
      </c>
      <c r="O160" t="str">
        <f t="shared" si="4"/>
        <v>condorProc.py --series 07170312_0652 --donoise --dumps a --procenv environments/pymidas_HVHV_r62_mf.env</v>
      </c>
      <c r="P160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</v>
      </c>
    </row>
    <row r="161" spans="1:16">
      <c r="A161" s="70" t="s">
        <v>3544</v>
      </c>
      <c r="B161" s="70"/>
      <c r="C161" s="70"/>
      <c r="D161" s="70"/>
      <c r="E161" s="70"/>
      <c r="F161" s="70"/>
      <c r="G161" s="70" t="s">
        <v>18</v>
      </c>
      <c r="H161" s="70"/>
      <c r="I161" s="70"/>
      <c r="J161" s="70" t="s">
        <v>2701</v>
      </c>
      <c r="K161" s="70">
        <v>0</v>
      </c>
      <c r="L161" s="70"/>
      <c r="M161" s="70"/>
      <c r="N161" t="s">
        <v>2246</v>
      </c>
      <c r="O161" t="str">
        <f t="shared" si="4"/>
        <v>condorProc.py --series 07170312_0752 --donoise --dumps a --procenv environments/pymidas_HVHV_r62_mf.env</v>
      </c>
      <c r="P161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</v>
      </c>
    </row>
    <row r="162" spans="1:16">
      <c r="A162" s="77" t="s">
        <v>3545</v>
      </c>
      <c r="B162" s="77"/>
      <c r="C162" s="77"/>
      <c r="D162" s="77"/>
      <c r="E162" s="77"/>
      <c r="F162" s="77"/>
      <c r="G162" s="77" t="s">
        <v>18</v>
      </c>
      <c r="H162" s="77"/>
      <c r="I162" s="77"/>
      <c r="J162" s="77" t="s">
        <v>2701</v>
      </c>
      <c r="K162" s="77">
        <v>0</v>
      </c>
      <c r="L162" s="77"/>
      <c r="M162" s="70"/>
      <c r="N162" t="s">
        <v>2246</v>
      </c>
      <c r="O162" t="str">
        <f t="shared" si="4"/>
        <v>condorProc.py --series 07170312_0852 --donoise --dumps a --procenv environments/pymidas_HVHV_r62_mf.env</v>
      </c>
      <c r="P162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</v>
      </c>
    </row>
    <row r="163" spans="1:16">
      <c r="A163" s="70" t="s">
        <v>3546</v>
      </c>
      <c r="B163" s="70"/>
      <c r="C163" s="70"/>
      <c r="D163" s="70"/>
      <c r="E163" s="70"/>
      <c r="F163" s="70"/>
      <c r="G163" s="70" t="s">
        <v>18</v>
      </c>
      <c r="H163" s="70"/>
      <c r="I163" s="70"/>
      <c r="J163" s="70" t="s">
        <v>2701</v>
      </c>
      <c r="K163" s="70">
        <v>0</v>
      </c>
      <c r="L163" s="70" t="s">
        <v>3547</v>
      </c>
      <c r="M163" s="70"/>
      <c r="N163" t="s">
        <v>2246</v>
      </c>
      <c r="O163" t="str">
        <f t="shared" si="4"/>
        <v>condorProc.py --series 07170312_1043 --donoise --dumps a --procenv environments/pymidas_HVHV_r62_mf.env</v>
      </c>
      <c r="P163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</v>
      </c>
    </row>
    <row r="164" spans="1:16">
      <c r="A164" s="70" t="s">
        <v>3548</v>
      </c>
      <c r="B164" s="70"/>
      <c r="C164" s="70"/>
      <c r="D164" s="70"/>
      <c r="E164" s="70"/>
      <c r="F164" s="70"/>
      <c r="G164" s="70" t="s">
        <v>18</v>
      </c>
      <c r="H164" s="70"/>
      <c r="I164" s="70"/>
      <c r="J164" s="70" t="s">
        <v>2701</v>
      </c>
      <c r="K164" s="70">
        <v>0</v>
      </c>
      <c r="L164" s="70"/>
      <c r="M164" s="70"/>
      <c r="N164" t="s">
        <v>2246</v>
      </c>
      <c r="O164" t="str">
        <f t="shared" si="4"/>
        <v>condorProc.py --series 07170312_1143 --donoise --dumps a --procenv environments/pymidas_HVHV_r62_mf.env</v>
      </c>
      <c r="P164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</v>
      </c>
    </row>
    <row r="165" spans="1:16">
      <c r="A165" s="70" t="s">
        <v>3549</v>
      </c>
      <c r="B165" s="70"/>
      <c r="C165" s="70"/>
      <c r="D165" s="70"/>
      <c r="E165" s="70"/>
      <c r="F165" s="70"/>
      <c r="G165" s="70" t="s">
        <v>18</v>
      </c>
      <c r="H165" s="70"/>
      <c r="I165" s="70"/>
      <c r="J165" s="70" t="s">
        <v>2701</v>
      </c>
      <c r="K165" s="70">
        <v>0</v>
      </c>
      <c r="L165" s="70"/>
      <c r="M165" s="70"/>
      <c r="N165" t="s">
        <v>2246</v>
      </c>
      <c r="O165" t="str">
        <f t="shared" si="4"/>
        <v>condorProc.py --series 07170312_1243 --donoise --dumps a --procenv environments/pymidas_HVHV_r62_mf.env</v>
      </c>
      <c r="P165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</v>
      </c>
    </row>
    <row r="166" spans="1:16">
      <c r="A166" s="70" t="s">
        <v>3550</v>
      </c>
      <c r="B166" s="70"/>
      <c r="C166" s="70"/>
      <c r="D166" s="70"/>
      <c r="E166" s="70"/>
      <c r="F166" s="70"/>
      <c r="G166" s="70" t="s">
        <v>18</v>
      </c>
      <c r="H166" s="70"/>
      <c r="I166" s="70"/>
      <c r="J166" s="70" t="s">
        <v>2701</v>
      </c>
      <c r="K166" s="70">
        <v>0</v>
      </c>
      <c r="L166" s="70"/>
      <c r="M166" s="70"/>
      <c r="N166" t="s">
        <v>2246</v>
      </c>
      <c r="O166" t="str">
        <f t="shared" si="4"/>
        <v>condorProc.py --series 07170312_1343 --donoise --dumps a --procenv environments/pymidas_HVHV_r62_mf.env</v>
      </c>
      <c r="P166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</v>
      </c>
    </row>
    <row r="167" spans="1:16">
      <c r="A167" s="70" t="s">
        <v>3551</v>
      </c>
      <c r="B167" s="70"/>
      <c r="C167" s="70"/>
      <c r="D167" s="70"/>
      <c r="E167" s="70"/>
      <c r="F167" s="70"/>
      <c r="G167" s="70" t="s">
        <v>18</v>
      </c>
      <c r="H167" s="70"/>
      <c r="I167" s="70"/>
      <c r="J167" s="70" t="s">
        <v>2701</v>
      </c>
      <c r="K167" s="70">
        <v>0</v>
      </c>
      <c r="L167" s="70" t="s">
        <v>3552</v>
      </c>
      <c r="M167" s="70"/>
      <c r="N167" t="s">
        <v>2246</v>
      </c>
      <c r="O167" t="str">
        <f t="shared" si="4"/>
        <v>condorProc.py --series 07170312_1443 --donoise --dumps a --procenv environments/pymidas_HVHV_r62_mf.env</v>
      </c>
      <c r="P167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</v>
      </c>
    </row>
    <row r="168" spans="1:16">
      <c r="A168" s="70" t="s">
        <v>3553</v>
      </c>
      <c r="B168" s="70"/>
      <c r="C168" s="70"/>
      <c r="D168" s="70"/>
      <c r="E168" s="70"/>
      <c r="F168" s="70"/>
      <c r="G168" s="70" t="s">
        <v>18</v>
      </c>
      <c r="H168" s="70"/>
      <c r="I168" s="70"/>
      <c r="J168" s="70" t="s">
        <v>2701</v>
      </c>
      <c r="K168" s="70">
        <v>0</v>
      </c>
      <c r="L168" s="70"/>
      <c r="M168" s="70"/>
      <c r="N168" t="s">
        <v>2246</v>
      </c>
      <c r="O168" t="str">
        <f t="shared" si="4"/>
        <v>condorProc.py --series 07170312_1544 --donoise --dumps a --procenv environments/pymidas_HVHV_r62_mf.env</v>
      </c>
      <c r="P168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</v>
      </c>
    </row>
    <row r="169" spans="1:16">
      <c r="A169" s="70" t="s">
        <v>3554</v>
      </c>
      <c r="B169" s="70"/>
      <c r="C169" s="70"/>
      <c r="D169" s="70"/>
      <c r="E169" s="70"/>
      <c r="F169" s="70"/>
      <c r="G169" s="70" t="s">
        <v>18</v>
      </c>
      <c r="H169" s="70"/>
      <c r="I169" s="70"/>
      <c r="J169" s="70" t="s">
        <v>2701</v>
      </c>
      <c r="K169" s="70">
        <v>0</v>
      </c>
      <c r="L169" s="70"/>
      <c r="M169" s="70"/>
      <c r="N169" t="s">
        <v>2246</v>
      </c>
      <c r="O169" t="str">
        <f t="shared" si="4"/>
        <v>condorProc.py --series 07170312_1644 --donoise --dumps a --procenv environments/pymidas_HVHV_r62_mf.env</v>
      </c>
      <c r="P169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</v>
      </c>
    </row>
    <row r="170" spans="1:16">
      <c r="A170" s="70" t="s">
        <v>3555</v>
      </c>
      <c r="B170" s="70"/>
      <c r="C170" s="70"/>
      <c r="D170" s="70"/>
      <c r="E170" s="70"/>
      <c r="F170" s="70"/>
      <c r="G170" s="70" t="s">
        <v>18</v>
      </c>
      <c r="H170" s="70"/>
      <c r="I170" s="70"/>
      <c r="J170" s="70" t="s">
        <v>2701</v>
      </c>
      <c r="K170" s="70">
        <v>0</v>
      </c>
      <c r="L170" s="70"/>
      <c r="M170" s="70"/>
      <c r="N170" t="s">
        <v>2246</v>
      </c>
      <c r="O170" t="str">
        <f t="shared" si="4"/>
        <v>condorProc.py --series 07170312_1744 --donoise --dumps a --procenv environments/pymidas_HVHV_r62_mf.env</v>
      </c>
      <c r="P170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</v>
      </c>
    </row>
    <row r="171" spans="1:16">
      <c r="A171" s="70" t="s">
        <v>3556</v>
      </c>
      <c r="B171" s="70"/>
      <c r="C171" s="70"/>
      <c r="D171" s="70"/>
      <c r="E171" s="70"/>
      <c r="F171" s="70"/>
      <c r="G171" s="70" t="s">
        <v>18</v>
      </c>
      <c r="H171" s="70"/>
      <c r="I171" s="70"/>
      <c r="J171" s="70" t="s">
        <v>2701</v>
      </c>
      <c r="K171" s="70">
        <v>0</v>
      </c>
      <c r="L171" s="70"/>
      <c r="M171" s="70"/>
      <c r="N171" t="s">
        <v>2246</v>
      </c>
      <c r="O171" t="str">
        <f t="shared" si="4"/>
        <v>condorProc.py --series 07170312_1844 --donoise --dumps a --procenv environments/pymidas_HVHV_r62_mf.env</v>
      </c>
      <c r="P171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</v>
      </c>
    </row>
    <row r="172" spans="1:16">
      <c r="A172" s="70" t="s">
        <v>3557</v>
      </c>
      <c r="B172" s="70"/>
      <c r="C172" s="70"/>
      <c r="D172" s="70"/>
      <c r="E172" s="70"/>
      <c r="F172" s="70"/>
      <c r="G172" s="70" t="s">
        <v>18</v>
      </c>
      <c r="H172" s="70"/>
      <c r="I172" s="70"/>
      <c r="J172" s="70" t="s">
        <v>2701</v>
      </c>
      <c r="K172" s="70">
        <v>0</v>
      </c>
      <c r="L172" s="70"/>
      <c r="M172" s="70"/>
      <c r="N172" t="s">
        <v>2246</v>
      </c>
      <c r="O172" t="str">
        <f t="shared" si="4"/>
        <v>condorProc.py --series 07170312_1944 --donoise --dumps a --procenv environments/pymidas_HVHV_r62_mf.env</v>
      </c>
      <c r="P172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</v>
      </c>
    </row>
    <row r="173" spans="1:16">
      <c r="A173" s="70" t="s">
        <v>3558</v>
      </c>
      <c r="B173" s="70"/>
      <c r="C173" s="70"/>
      <c r="D173" s="70"/>
      <c r="E173" s="70"/>
      <c r="F173" s="70"/>
      <c r="G173" s="70" t="s">
        <v>18</v>
      </c>
      <c r="H173" s="70"/>
      <c r="I173" s="70"/>
      <c r="J173" s="70" t="s">
        <v>2701</v>
      </c>
      <c r="K173" s="70">
        <v>0</v>
      </c>
      <c r="L173" s="70"/>
      <c r="M173" s="70"/>
      <c r="N173" t="s">
        <v>2246</v>
      </c>
      <c r="O173" t="str">
        <f t="shared" si="4"/>
        <v>condorProc.py --series 07170312_2044 --donoise --dumps a --procenv environments/pymidas_HVHV_r62_mf.env</v>
      </c>
      <c r="P173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</v>
      </c>
    </row>
    <row r="174" spans="1:16">
      <c r="A174" s="70" t="s">
        <v>3559</v>
      </c>
      <c r="B174" s="70"/>
      <c r="C174" s="70"/>
      <c r="D174" s="70"/>
      <c r="E174" s="70"/>
      <c r="F174" s="70"/>
      <c r="G174" s="70" t="s">
        <v>18</v>
      </c>
      <c r="H174" s="70"/>
      <c r="I174" s="70"/>
      <c r="J174" s="70" t="s">
        <v>2701</v>
      </c>
      <c r="K174" s="70">
        <v>0</v>
      </c>
      <c r="L174" s="70"/>
      <c r="M174" s="70"/>
      <c r="N174" t="s">
        <v>2246</v>
      </c>
      <c r="O174" t="str">
        <f t="shared" si="4"/>
        <v>condorProc.py --series 07170312_2144 --donoise --dumps a --procenv environments/pymidas_HVHV_r62_mf.env</v>
      </c>
      <c r="P174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</v>
      </c>
    </row>
    <row r="175" spans="1:16">
      <c r="A175" s="70" t="s">
        <v>3560</v>
      </c>
      <c r="B175" s="70"/>
      <c r="C175" s="70"/>
      <c r="D175" s="70"/>
      <c r="E175" s="70"/>
      <c r="F175" s="70"/>
      <c r="G175" s="70" t="s">
        <v>18</v>
      </c>
      <c r="H175" s="70"/>
      <c r="I175" s="70"/>
      <c r="J175" s="70" t="s">
        <v>2701</v>
      </c>
      <c r="K175" s="70">
        <v>0</v>
      </c>
      <c r="L175" s="70"/>
      <c r="M175" s="70"/>
      <c r="N175" t="s">
        <v>2246</v>
      </c>
      <c r="O175" t="str">
        <f t="shared" si="4"/>
        <v>condorProc.py --series 07170312_2245 --donoise --dumps a --procenv environments/pymidas_HVHV_r62_mf.env</v>
      </c>
      <c r="P175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</v>
      </c>
    </row>
    <row r="176" spans="1:16">
      <c r="A176" s="70" t="s">
        <v>3561</v>
      </c>
      <c r="B176" s="70"/>
      <c r="C176" s="70"/>
      <c r="D176" s="70"/>
      <c r="E176" s="70"/>
      <c r="F176" s="70"/>
      <c r="G176" s="70" t="s">
        <v>18</v>
      </c>
      <c r="H176" s="70"/>
      <c r="I176" s="70"/>
      <c r="J176" s="70" t="s">
        <v>2701</v>
      </c>
      <c r="K176" s="70">
        <v>0</v>
      </c>
      <c r="L176" s="70"/>
      <c r="M176" s="70"/>
      <c r="N176" t="s">
        <v>2246</v>
      </c>
      <c r="O176" t="str">
        <f t="shared" si="4"/>
        <v>condorProc.py --series 07170312_2345 --donoise --dumps a --procenv environments/pymidas_HVHV_r62_mf.env</v>
      </c>
      <c r="P176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</v>
      </c>
    </row>
    <row r="177" spans="1:16">
      <c r="A177" s="70" t="s">
        <v>3562</v>
      </c>
      <c r="B177" s="70"/>
      <c r="C177" s="70"/>
      <c r="D177" s="70"/>
      <c r="E177" s="70"/>
      <c r="F177" s="70"/>
      <c r="G177" s="70" t="s">
        <v>18</v>
      </c>
      <c r="H177" s="70"/>
      <c r="I177" s="70"/>
      <c r="J177" s="70" t="s">
        <v>2701</v>
      </c>
      <c r="K177" s="70">
        <v>0</v>
      </c>
      <c r="L177" s="70"/>
      <c r="M177" s="70"/>
      <c r="N177" t="s">
        <v>2246</v>
      </c>
      <c r="O177" t="str">
        <f t="shared" si="4"/>
        <v>condorProc.py --series 07170313_0045 --donoise --dumps a --procenv environments/pymidas_HVHV_r62_mf.env</v>
      </c>
      <c r="P177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</v>
      </c>
    </row>
    <row r="178" spans="1:16">
      <c r="A178" s="70" t="s">
        <v>3563</v>
      </c>
      <c r="B178" s="70"/>
      <c r="C178" s="70"/>
      <c r="D178" s="70"/>
      <c r="E178" s="70"/>
      <c r="F178" s="70"/>
      <c r="G178" s="70" t="s">
        <v>18</v>
      </c>
      <c r="H178" s="70"/>
      <c r="I178" s="70"/>
      <c r="J178" s="70" t="s">
        <v>2701</v>
      </c>
      <c r="K178" s="70">
        <v>0</v>
      </c>
      <c r="L178" s="70"/>
      <c r="M178" s="70"/>
      <c r="N178" t="s">
        <v>2246</v>
      </c>
      <c r="O178" t="str">
        <f t="shared" si="4"/>
        <v>condorProc.py --series 07170313_0145 --donoise --dumps a --procenv environments/pymidas_HVHV_r62_mf.env</v>
      </c>
      <c r="P178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"07170313_0045", "07170313_0145"</v>
      </c>
    </row>
    <row r="179" spans="1:16">
      <c r="A179" s="70" t="s">
        <v>3564</v>
      </c>
      <c r="B179" s="70"/>
      <c r="C179" s="70"/>
      <c r="D179" s="70"/>
      <c r="E179" s="70"/>
      <c r="F179" s="70"/>
      <c r="G179" s="70" t="s">
        <v>18</v>
      </c>
      <c r="H179" s="70"/>
      <c r="I179" s="70"/>
      <c r="J179" s="70" t="s">
        <v>2701</v>
      </c>
      <c r="K179" s="70">
        <v>0</v>
      </c>
      <c r="L179" s="70"/>
      <c r="M179" s="70"/>
      <c r="N179" t="s">
        <v>2246</v>
      </c>
      <c r="O179" t="str">
        <f t="shared" si="4"/>
        <v>condorProc.py --series 07170313_0245 --donoise --dumps a --procenv environments/pymidas_HVHV_r62_mf.env</v>
      </c>
      <c r="P179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"07170313_0045", "07170313_0145", "07170313_0245"</v>
      </c>
    </row>
    <row r="180" spans="1:16">
      <c r="A180" s="70" t="s">
        <v>3565</v>
      </c>
      <c r="B180" s="70"/>
      <c r="C180" s="70"/>
      <c r="D180" s="70"/>
      <c r="E180" s="70"/>
      <c r="F180" s="70"/>
      <c r="G180" s="70" t="s">
        <v>18</v>
      </c>
      <c r="H180" s="70"/>
      <c r="I180" s="70"/>
      <c r="J180" s="70" t="s">
        <v>2701</v>
      </c>
      <c r="K180" s="70">
        <v>0</v>
      </c>
      <c r="L180" s="70"/>
      <c r="M180" s="70"/>
      <c r="N180" t="s">
        <v>2246</v>
      </c>
      <c r="O180" t="str">
        <f t="shared" si="4"/>
        <v>condorProc.py --series 07170313_0345 --donoise --dumps a --procenv environments/pymidas_HVHV_r62_mf.env</v>
      </c>
      <c r="P180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"07170313_0045", "07170313_0145", "07170313_0245", "07170313_0345"</v>
      </c>
    </row>
    <row r="181" spans="1:16">
      <c r="A181" s="70" t="s">
        <v>3566</v>
      </c>
      <c r="B181" s="70"/>
      <c r="C181" s="70"/>
      <c r="D181" s="70"/>
      <c r="E181" s="70"/>
      <c r="F181" s="70"/>
      <c r="G181" s="70" t="s">
        <v>18</v>
      </c>
      <c r="H181" s="70"/>
      <c r="I181" s="70"/>
      <c r="J181" s="70" t="s">
        <v>2701</v>
      </c>
      <c r="K181" s="70">
        <v>0</v>
      </c>
      <c r="L181" s="70"/>
      <c r="M181" s="70"/>
      <c r="N181" t="s">
        <v>2246</v>
      </c>
      <c r="O181" t="str">
        <f t="shared" si="4"/>
        <v>condorProc.py --series 07170313_0445 --donoise --dumps a --procenv environments/pymidas_HVHV_r62_mf.env</v>
      </c>
      <c r="P181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"07170313_0045", "07170313_0145", "07170313_0245", "07170313_0345", "07170313_0445"</v>
      </c>
    </row>
    <row r="182" spans="1:16">
      <c r="A182" s="70" t="s">
        <v>3567</v>
      </c>
      <c r="B182" s="70"/>
      <c r="C182" s="70"/>
      <c r="D182" s="70"/>
      <c r="E182" s="70"/>
      <c r="F182" s="70"/>
      <c r="G182" s="70" t="s">
        <v>18</v>
      </c>
      <c r="H182" s="70"/>
      <c r="I182" s="70"/>
      <c r="J182" s="70" t="s">
        <v>2701</v>
      </c>
      <c r="K182" s="70">
        <v>0</v>
      </c>
      <c r="L182" s="70"/>
      <c r="M182" s="70"/>
      <c r="N182" t="s">
        <v>2246</v>
      </c>
      <c r="O182" t="str">
        <f t="shared" si="4"/>
        <v>condorProc.py --series 07170313_0545 --donoise --dumps a --procenv environments/pymidas_HVHV_r62_mf.env</v>
      </c>
      <c r="P182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"07170313_0045", "07170313_0145", "07170313_0245", "07170313_0345", "07170313_0445", "07170313_0545"</v>
      </c>
    </row>
    <row r="183" spans="1:16">
      <c r="A183" s="70" t="s">
        <v>3568</v>
      </c>
      <c r="B183" s="70"/>
      <c r="C183" s="70"/>
      <c r="D183" s="70"/>
      <c r="E183" s="70"/>
      <c r="F183" s="70"/>
      <c r="G183" s="70" t="s">
        <v>18</v>
      </c>
      <c r="H183" s="70"/>
      <c r="I183" s="70"/>
      <c r="J183" s="70" t="s">
        <v>2701</v>
      </c>
      <c r="K183" s="70">
        <v>0</v>
      </c>
      <c r="L183" s="70"/>
      <c r="M183" s="70"/>
      <c r="N183" t="s">
        <v>2246</v>
      </c>
      <c r="O183" t="str">
        <f t="shared" si="4"/>
        <v>condorProc.py --series 07170313_0646 --donoise --dumps a --procenv environments/pymidas_HVHV_r62_mf.env</v>
      </c>
      <c r="P183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"07170313_0045", "07170313_0145", "07170313_0245", "07170313_0345", "07170313_0445", "07170313_0545", "07170313_0646"</v>
      </c>
    </row>
    <row r="184" spans="1:16">
      <c r="A184" s="70" t="s">
        <v>3569</v>
      </c>
      <c r="B184" s="70"/>
      <c r="C184" s="70"/>
      <c r="D184" s="70"/>
      <c r="E184" s="70"/>
      <c r="F184" s="70"/>
      <c r="G184" s="70" t="s">
        <v>18</v>
      </c>
      <c r="H184" s="70"/>
      <c r="I184" s="70"/>
      <c r="J184" s="70" t="s">
        <v>2701</v>
      </c>
      <c r="K184" s="70">
        <v>0</v>
      </c>
      <c r="L184" s="70"/>
      <c r="M184" s="70"/>
      <c r="N184" t="s">
        <v>2246</v>
      </c>
      <c r="O184" t="str">
        <f t="shared" si="4"/>
        <v>condorProc.py --series 07170313_0746 --donoise --dumps a --procenv environments/pymidas_HVHV_r62_mf.env</v>
      </c>
      <c r="P184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"07170313_0045", "07170313_0145", "07170313_0245", "07170313_0345", "07170313_0445", "07170313_0545", "07170313_0646", "07170313_0746"</v>
      </c>
    </row>
    <row r="185" spans="1:16">
      <c r="A185" s="70" t="s">
        <v>3570</v>
      </c>
      <c r="B185" s="70"/>
      <c r="C185" s="70"/>
      <c r="D185" s="70"/>
      <c r="E185" s="70"/>
      <c r="F185" s="70"/>
      <c r="G185" s="70" t="s">
        <v>18</v>
      </c>
      <c r="H185" s="70"/>
      <c r="I185" s="70"/>
      <c r="J185" s="70" t="s">
        <v>2701</v>
      </c>
      <c r="K185" s="70">
        <v>0</v>
      </c>
      <c r="L185" s="70"/>
      <c r="M185" s="70"/>
      <c r="N185" t="s">
        <v>2246</v>
      </c>
      <c r="O185" t="str">
        <f t="shared" si="4"/>
        <v>condorProc.py --series 07170313_0846 --donoise --dumps a --procenv environments/pymidas_HVHV_r62_mf.env</v>
      </c>
      <c r="P185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"07170313_0045", "07170313_0145", "07170313_0245", "07170313_0345", "07170313_0445", "07170313_0545", "07170313_0646", "07170313_0746", "07170313_0846"</v>
      </c>
    </row>
    <row r="186" spans="1:16">
      <c r="A186" s="70" t="s">
        <v>3571</v>
      </c>
      <c r="B186" s="70"/>
      <c r="C186" s="70"/>
      <c r="D186" s="70"/>
      <c r="E186" s="70"/>
      <c r="F186" s="70"/>
      <c r="G186" s="70" t="s">
        <v>18</v>
      </c>
      <c r="H186" s="70"/>
      <c r="I186" s="70"/>
      <c r="J186" s="70" t="s">
        <v>2701</v>
      </c>
      <c r="K186" s="70">
        <v>0</v>
      </c>
      <c r="L186" s="70"/>
      <c r="M186" s="70"/>
      <c r="N186" t="s">
        <v>2246</v>
      </c>
      <c r="O186" t="str">
        <f t="shared" si="4"/>
        <v>condorProc.py --series 07170313_0946 --donoise --dumps a --procenv environments/pymidas_HVHV_r62_mf.env</v>
      </c>
      <c r="P186" t="str">
        <f t="shared" si="5"/>
        <v>"07170310_1739", "07170310_1839", "07170310_1940", "07170310_2040", "07170310_2140", "07170310_2240", "07170310_2340", "07170311_0040", "07170311_0140", "07170311_0240", "07170311_0340", "07170311_0440", "07170311_0540", "07170311_0640", "07170311_0741", "07170311_0850", "07170311_0950", "07170311_1050", "07170311_1150", "07170311_1250", "07170311_1350", "07170311_1451", "07170311_1551", "07170311_1651", "07170311_1751", "07170311_1851", "07170311_1951", "07170311_2051", "07170311_2151", "07170311_2251", "07170311_2351", "07170312_0051", "07170312_0151", "07170312_0351", "07170312_0451", "07170312_0552", "07170312_0652", "07170312_0752", "07170312_0852", "07170312_1043", "07170312_1143", "07170312_1243", "07170312_1343", "07170312_1443", "07170312_1544", "07170312_1644", "07170312_1744", "07170312_1844", "07170312_1944", "07170312_2044", "07170312_2144", "07170312_2245", "07170312_2345", "07170313_0045", "07170313_0145", "07170313_0245", "07170313_0345", "07170313_0445", "07170313_0545", "07170313_0646", "07170313_0746", "07170313_0846", "07170313_0946"</v>
      </c>
    </row>
    <row r="187" spans="1:16">
      <c r="A187" s="55" t="s">
        <v>3572</v>
      </c>
      <c r="B187" s="55"/>
      <c r="C187" s="55"/>
      <c r="D187" s="55"/>
      <c r="E187" s="55"/>
      <c r="F187" s="55"/>
      <c r="G187" s="55" t="s">
        <v>18</v>
      </c>
      <c r="H187" s="55"/>
      <c r="I187" s="55"/>
      <c r="J187" s="55" t="s">
        <v>2701</v>
      </c>
      <c r="K187" s="55">
        <v>4.66</v>
      </c>
      <c r="L187" s="73" t="s">
        <v>3500</v>
      </c>
      <c r="M187" s="73"/>
      <c r="N187" t="s">
        <v>2246</v>
      </c>
      <c r="O187" t="str">
        <f t="shared" ref="O187:O212" si="6">"condorProc.py --series "&amp;A187&amp;" --donoise --dumps a --procenv environments/pymidas_HVHV_r62_mf.env"</f>
        <v>condorProc.py --series 07170313_1617 --donoise --dumps a --procenv environments/pymidas_HVHV_r62_mf.env</v>
      </c>
      <c r="P187" t="str">
        <f>""""&amp;A187&amp;""""</f>
        <v>"07170313_1617"</v>
      </c>
    </row>
    <row r="188" spans="1:16">
      <c r="A188" s="55" t="s">
        <v>3573</v>
      </c>
      <c r="B188" s="55"/>
      <c r="C188" s="55"/>
      <c r="D188" s="55"/>
      <c r="E188" s="55"/>
      <c r="F188" s="55"/>
      <c r="G188" s="55" t="s">
        <v>18</v>
      </c>
      <c r="H188" s="55"/>
      <c r="I188" s="55"/>
      <c r="J188" s="55" t="s">
        <v>2701</v>
      </c>
      <c r="K188" s="55">
        <v>4.66</v>
      </c>
      <c r="L188" s="73" t="s">
        <v>3502</v>
      </c>
      <c r="M188" s="73"/>
      <c r="N188" t="s">
        <v>2246</v>
      </c>
      <c r="O188" t="str">
        <f t="shared" si="6"/>
        <v>condorProc.py --series 07170313_1717 --donoise --dumps a --procenv environments/pymidas_HVHV_r62_mf.env</v>
      </c>
      <c r="P188" t="str">
        <f>P187&amp;", """&amp;A188&amp;""""</f>
        <v>"07170313_1617", "07170313_1717"</v>
      </c>
    </row>
    <row r="189" spans="1:16">
      <c r="A189" s="55" t="s">
        <v>3574</v>
      </c>
      <c r="B189" s="55"/>
      <c r="C189" s="55"/>
      <c r="D189" s="55"/>
      <c r="E189" s="55"/>
      <c r="F189" s="55"/>
      <c r="G189" s="55" t="s">
        <v>18</v>
      </c>
      <c r="H189" s="55"/>
      <c r="I189" s="55"/>
      <c r="J189" s="55" t="s">
        <v>2701</v>
      </c>
      <c r="K189" s="55">
        <v>4.66</v>
      </c>
      <c r="L189" s="55"/>
      <c r="M189" s="55"/>
      <c r="N189" t="s">
        <v>2246</v>
      </c>
      <c r="O189" t="str">
        <f t="shared" si="6"/>
        <v>condorProc.py --series 07170313_1817 --donoise --dumps a --procenv environments/pymidas_HVHV_r62_mf.env</v>
      </c>
      <c r="P189" t="str">
        <f t="shared" ref="P189:P200" si="7">P188&amp;", """&amp;A189&amp;""""</f>
        <v>"07170313_1617", "07170313_1717", "07170313_1817"</v>
      </c>
    </row>
    <row r="190" spans="1:16">
      <c r="A190" s="55" t="s">
        <v>3575</v>
      </c>
      <c r="B190" s="55"/>
      <c r="C190" s="55"/>
      <c r="D190" s="55"/>
      <c r="E190" s="55"/>
      <c r="F190" s="55"/>
      <c r="G190" s="55" t="s">
        <v>18</v>
      </c>
      <c r="H190" s="55"/>
      <c r="I190" s="55"/>
      <c r="J190" s="55" t="s">
        <v>2701</v>
      </c>
      <c r="K190" s="55">
        <v>4.66</v>
      </c>
      <c r="L190" s="55" t="s">
        <v>3505</v>
      </c>
      <c r="M190" s="55"/>
      <c r="N190" t="s">
        <v>2246</v>
      </c>
      <c r="O190" t="str">
        <f t="shared" si="6"/>
        <v>condorProc.py --series 07170313_1917 --donoise --dumps a --procenv environments/pymidas_HVHV_r62_mf.env</v>
      </c>
      <c r="P190" t="str">
        <f t="shared" si="7"/>
        <v>"07170313_1617", "07170313_1717", "07170313_1817", "07170313_1917"</v>
      </c>
    </row>
    <row r="191" spans="1:16">
      <c r="A191" s="55" t="s">
        <v>3576</v>
      </c>
      <c r="B191" s="55"/>
      <c r="C191" s="55"/>
      <c r="D191" s="55"/>
      <c r="E191" s="55"/>
      <c r="F191" s="55"/>
      <c r="G191" s="55" t="s">
        <v>18</v>
      </c>
      <c r="H191" s="55"/>
      <c r="I191" s="55"/>
      <c r="J191" s="55" t="s">
        <v>2701</v>
      </c>
      <c r="K191" s="55">
        <v>4.66</v>
      </c>
      <c r="L191" s="55" t="s">
        <v>3507</v>
      </c>
      <c r="M191" s="55"/>
      <c r="N191" t="s">
        <v>2246</v>
      </c>
      <c r="O191" t="str">
        <f t="shared" si="6"/>
        <v>condorProc.py --series 07170313_2017 --donoise --dumps a --procenv environments/pymidas_HVHV_r62_mf.env</v>
      </c>
      <c r="P191" t="str">
        <f t="shared" si="7"/>
        <v>"07170313_1617", "07170313_1717", "07170313_1817", "07170313_1917", "07170313_2017"</v>
      </c>
    </row>
    <row r="192" spans="1:16">
      <c r="A192" s="55" t="s">
        <v>3577</v>
      </c>
      <c r="B192" s="55"/>
      <c r="C192" s="55"/>
      <c r="D192" s="55"/>
      <c r="E192" s="55"/>
      <c r="F192" s="55"/>
      <c r="G192" s="55" t="s">
        <v>18</v>
      </c>
      <c r="H192" s="55"/>
      <c r="I192" s="55"/>
      <c r="J192" s="55" t="s">
        <v>2701</v>
      </c>
      <c r="K192" s="55">
        <v>4.66</v>
      </c>
      <c r="L192" s="55" t="s">
        <v>3509</v>
      </c>
      <c r="M192" s="55"/>
      <c r="N192" t="s">
        <v>2246</v>
      </c>
      <c r="O192" t="str">
        <f t="shared" si="6"/>
        <v>condorProc.py --series 07170313_2117 --donoise --dumps a --procenv environments/pymidas_HVHV_r62_mf.env</v>
      </c>
      <c r="P192" t="str">
        <f t="shared" si="7"/>
        <v>"07170313_1617", "07170313_1717", "07170313_1817", "07170313_1917", "07170313_2017", "07170313_2117"</v>
      </c>
    </row>
    <row r="193" spans="1:16">
      <c r="A193" s="55" t="s">
        <v>3578</v>
      </c>
      <c r="B193" s="55"/>
      <c r="C193" s="55"/>
      <c r="D193" s="55"/>
      <c r="E193" s="55"/>
      <c r="F193" s="55"/>
      <c r="G193" s="55" t="s">
        <v>18</v>
      </c>
      <c r="H193" s="55"/>
      <c r="I193" s="55"/>
      <c r="J193" s="55" t="s">
        <v>2701</v>
      </c>
      <c r="K193" s="55">
        <v>4.66</v>
      </c>
      <c r="L193" s="55"/>
      <c r="M193" s="55"/>
      <c r="N193" t="s">
        <v>2246</v>
      </c>
      <c r="O193" t="str">
        <f t="shared" si="6"/>
        <v>condorProc.py --series 07170313_2218 --donoise --dumps a --procenv environments/pymidas_HVHV_r62_mf.env</v>
      </c>
      <c r="P193" t="str">
        <f t="shared" si="7"/>
        <v>"07170313_1617", "07170313_1717", "07170313_1817", "07170313_1917", "07170313_2017", "07170313_2117", "07170313_2218"</v>
      </c>
    </row>
    <row r="194" spans="1:16">
      <c r="A194" s="55" t="s">
        <v>3579</v>
      </c>
      <c r="B194" s="55"/>
      <c r="C194" s="55"/>
      <c r="D194" s="55"/>
      <c r="E194" s="55"/>
      <c r="F194" s="55"/>
      <c r="G194" s="55" t="s">
        <v>18</v>
      </c>
      <c r="H194" s="55"/>
      <c r="I194" s="55"/>
      <c r="J194" s="55" t="s">
        <v>2701</v>
      </c>
      <c r="K194" s="55">
        <v>4.66</v>
      </c>
      <c r="L194" s="55" t="s">
        <v>3512</v>
      </c>
      <c r="M194" s="55"/>
      <c r="N194" t="s">
        <v>2246</v>
      </c>
      <c r="O194" t="str">
        <f t="shared" si="6"/>
        <v>condorProc.py --series 07170313_2318 --donoise --dumps a --procenv environments/pymidas_HVHV_r62_mf.env</v>
      </c>
      <c r="P194" t="str">
        <f t="shared" si="7"/>
        <v>"07170313_1617", "07170313_1717", "07170313_1817", "07170313_1917", "07170313_2017", "07170313_2117", "07170313_2218", "07170313_2318"</v>
      </c>
    </row>
    <row r="195" spans="1:16">
      <c r="A195" s="55" t="s">
        <v>3580</v>
      </c>
      <c r="B195" s="55"/>
      <c r="C195" s="55"/>
      <c r="D195" s="55"/>
      <c r="E195" s="55"/>
      <c r="F195" s="55"/>
      <c r="G195" s="55" t="s">
        <v>18</v>
      </c>
      <c r="H195" s="55"/>
      <c r="I195" s="55"/>
      <c r="J195" s="55" t="s">
        <v>2701</v>
      </c>
      <c r="K195" s="55">
        <v>4.66</v>
      </c>
      <c r="L195" s="55"/>
      <c r="M195" s="55"/>
      <c r="N195" t="s">
        <v>2246</v>
      </c>
      <c r="O195" t="str">
        <f t="shared" si="6"/>
        <v>condorProc.py --series 07170314_0018 --donoise --dumps a --procenv environments/pymidas_HVHV_r62_mf.env</v>
      </c>
      <c r="P195" t="str">
        <f t="shared" si="7"/>
        <v>"07170313_1617", "07170313_1717", "07170313_1817", "07170313_1917", "07170313_2017", "07170313_2117", "07170313_2218", "07170313_2318", "07170314_0018"</v>
      </c>
    </row>
    <row r="196" spans="1:16">
      <c r="A196" s="55" t="s">
        <v>3581</v>
      </c>
      <c r="B196" s="55"/>
      <c r="C196" s="55"/>
      <c r="D196" s="55"/>
      <c r="E196" s="55"/>
      <c r="F196" s="55"/>
      <c r="G196" s="55" t="s">
        <v>18</v>
      </c>
      <c r="H196" s="55"/>
      <c r="I196" s="55"/>
      <c r="J196" s="55" t="s">
        <v>2701</v>
      </c>
      <c r="K196" s="55">
        <v>4.66</v>
      </c>
      <c r="L196" s="55"/>
      <c r="M196" s="55"/>
      <c r="N196" t="s">
        <v>2246</v>
      </c>
      <c r="O196" t="str">
        <f t="shared" si="6"/>
        <v>condorProc.py --series 07170314_0118 --donoise --dumps a --procenv environments/pymidas_HVHV_r62_mf.env</v>
      </c>
      <c r="P196" t="str">
        <f t="shared" si="7"/>
        <v>"07170313_1617", "07170313_1717", "07170313_1817", "07170313_1917", "07170313_2017", "07170313_2117", "07170313_2218", "07170313_2318", "07170314_0018", "07170314_0118"</v>
      </c>
    </row>
    <row r="197" spans="1:16">
      <c r="A197" s="55" t="s">
        <v>3582</v>
      </c>
      <c r="B197" s="55"/>
      <c r="C197" s="55"/>
      <c r="D197" s="55"/>
      <c r="E197" s="55"/>
      <c r="F197" s="55"/>
      <c r="G197" s="55" t="s">
        <v>18</v>
      </c>
      <c r="H197" s="55"/>
      <c r="I197" s="55"/>
      <c r="J197" s="55" t="s">
        <v>2701</v>
      </c>
      <c r="K197" s="55">
        <v>4.66</v>
      </c>
      <c r="L197" s="55"/>
      <c r="M197" s="55"/>
      <c r="N197" t="s">
        <v>2246</v>
      </c>
      <c r="O197" t="str">
        <f t="shared" si="6"/>
        <v>condorProc.py --series 07170314_0218 --donoise --dumps a --procenv environments/pymidas_HVHV_r62_mf.env</v>
      </c>
      <c r="P197" t="str">
        <f t="shared" si="7"/>
        <v>"07170313_1617", "07170313_1717", "07170313_1817", "07170313_1917", "07170313_2017", "07170313_2117", "07170313_2218", "07170313_2318", "07170314_0018", "07170314_0118", "07170314_0218"</v>
      </c>
    </row>
    <row r="198" spans="1:16">
      <c r="A198" s="55" t="s">
        <v>3583</v>
      </c>
      <c r="B198" s="55"/>
      <c r="C198" s="55"/>
      <c r="D198" s="55"/>
      <c r="E198" s="55"/>
      <c r="F198" s="55"/>
      <c r="G198" s="55" t="s">
        <v>18</v>
      </c>
      <c r="H198" s="55"/>
      <c r="I198" s="55"/>
      <c r="J198" s="55" t="s">
        <v>2701</v>
      </c>
      <c r="K198" s="55">
        <v>4.66</v>
      </c>
      <c r="L198" s="55"/>
      <c r="M198" s="55"/>
      <c r="N198" t="s">
        <v>2246</v>
      </c>
      <c r="O198" t="str">
        <f t="shared" si="6"/>
        <v>condorProc.py --series 07170314_0318 --donoise --dumps a --procenv environments/pymidas_HVHV_r62_mf.env</v>
      </c>
      <c r="P198" t="str">
        <f t="shared" si="7"/>
        <v>"07170313_1617", "07170313_1717", "07170313_1817", "07170313_1917", "07170313_2017", "07170313_2117", "07170313_2218", "07170313_2318", "07170314_0018", "07170314_0118", "07170314_0218", "07170314_0318"</v>
      </c>
    </row>
    <row r="199" spans="1:16">
      <c r="A199" s="55" t="s">
        <v>3584</v>
      </c>
      <c r="B199" s="55"/>
      <c r="C199" s="55"/>
      <c r="D199" s="55"/>
      <c r="E199" s="55"/>
      <c r="F199" s="55"/>
      <c r="G199" s="55" t="s">
        <v>18</v>
      </c>
      <c r="H199" s="55"/>
      <c r="I199" s="55"/>
      <c r="J199" s="55" t="s">
        <v>2701</v>
      </c>
      <c r="K199" s="55">
        <v>4.66</v>
      </c>
      <c r="L199" s="55"/>
      <c r="M199" s="55"/>
      <c r="N199" t="s">
        <v>2246</v>
      </c>
      <c r="O199" t="str">
        <f t="shared" si="6"/>
        <v>condorProc.py --series 07170314_0418 --donoise --dumps a --procenv environments/pymidas_HVHV_r62_mf.env</v>
      </c>
      <c r="P199" t="str">
        <f t="shared" si="7"/>
        <v>"07170313_1617", "07170313_1717", "07170313_1817", "07170313_1917", "07170313_2017", "07170313_2117", "07170313_2218", "07170313_2318", "07170314_0018", "07170314_0118", "07170314_0218", "07170314_0318", "07170314_0418"</v>
      </c>
    </row>
    <row r="200" spans="1:16">
      <c r="A200" s="55" t="s">
        <v>3585</v>
      </c>
      <c r="B200" s="55"/>
      <c r="C200" s="55"/>
      <c r="D200" s="55"/>
      <c r="E200" s="55"/>
      <c r="F200" s="55"/>
      <c r="G200" s="55" t="s">
        <v>18</v>
      </c>
      <c r="H200" s="55"/>
      <c r="I200" s="55"/>
      <c r="J200" s="55" t="s">
        <v>2701</v>
      </c>
      <c r="K200" s="55">
        <v>4.66</v>
      </c>
      <c r="L200" s="55"/>
      <c r="M200" s="55"/>
      <c r="N200" t="s">
        <v>2246</v>
      </c>
      <c r="O200" t="str">
        <f t="shared" si="6"/>
        <v>condorProc.py --series 07170314_0519 --donoise --dumps a --procenv environments/pymidas_HVHV_r62_mf.env</v>
      </c>
      <c r="P200" t="str">
        <f t="shared" si="7"/>
        <v>"07170313_1617", "07170313_1717", "07170313_1817", "07170313_1917", "07170313_2017", "07170313_2117", "07170313_2218", "07170313_2318", "07170314_0018", "07170314_0118", "07170314_0218", "07170314_0318", "07170314_0418", "07170314_0519"</v>
      </c>
    </row>
    <row r="201" spans="1:16">
      <c r="A201" s="74" t="s">
        <v>3586</v>
      </c>
      <c r="B201" s="74"/>
      <c r="C201" s="74"/>
      <c r="D201" s="74"/>
      <c r="E201" s="74"/>
      <c r="F201" s="74"/>
      <c r="G201" s="74" t="s">
        <v>18</v>
      </c>
      <c r="H201" s="74"/>
      <c r="I201" s="74"/>
      <c r="J201" s="74" t="s">
        <v>2701</v>
      </c>
      <c r="K201" s="74">
        <v>0</v>
      </c>
      <c r="L201" s="75" t="s">
        <v>3587</v>
      </c>
      <c r="M201" s="75"/>
      <c r="N201" t="s">
        <v>2246</v>
      </c>
      <c r="O201" t="str">
        <f t="shared" si="6"/>
        <v>condorProc.py --series 07170314_1700 --donoise --dumps a --procenv environments/pymidas_HVHV_r62_mf.env</v>
      </c>
    </row>
    <row r="202" spans="1:16">
      <c r="A202" s="74" t="s">
        <v>3588</v>
      </c>
      <c r="B202" s="74"/>
      <c r="C202" s="74"/>
      <c r="D202" s="74"/>
      <c r="E202" s="74"/>
      <c r="F202" s="74"/>
      <c r="G202" s="74" t="s">
        <v>18</v>
      </c>
      <c r="H202" s="74"/>
      <c r="I202" s="74"/>
      <c r="J202" s="74" t="s">
        <v>2701</v>
      </c>
      <c r="K202" s="74">
        <v>0</v>
      </c>
      <c r="L202" s="75" t="s">
        <v>3502</v>
      </c>
      <c r="M202" s="75"/>
      <c r="N202" t="s">
        <v>2246</v>
      </c>
      <c r="O202" t="str">
        <f t="shared" si="6"/>
        <v>condorProc.py --series 07170314_1800 --donoise --dumps a --procenv environments/pymidas_HVHV_r62_mf.env</v>
      </c>
    </row>
    <row r="203" spans="1:16">
      <c r="A203" s="74" t="s">
        <v>3589</v>
      </c>
      <c r="B203" s="74"/>
      <c r="C203" s="74"/>
      <c r="D203" s="74"/>
      <c r="E203" s="74"/>
      <c r="F203" s="74"/>
      <c r="G203" s="74" t="s">
        <v>18</v>
      </c>
      <c r="H203" s="74"/>
      <c r="I203" s="74"/>
      <c r="J203" s="74" t="s">
        <v>2701</v>
      </c>
      <c r="K203" s="74">
        <v>0</v>
      </c>
      <c r="L203" s="74"/>
      <c r="M203" s="74"/>
      <c r="N203" t="s">
        <v>2246</v>
      </c>
      <c r="O203" t="str">
        <f t="shared" si="6"/>
        <v>condorProc.py --series 07170314_1900 --donoise --dumps a --procenv environments/pymidas_HVHV_r62_mf.env</v>
      </c>
    </row>
    <row r="204" spans="1:16">
      <c r="A204" s="74" t="s">
        <v>3590</v>
      </c>
      <c r="B204" s="74"/>
      <c r="C204" s="74"/>
      <c r="D204" s="74"/>
      <c r="E204" s="74"/>
      <c r="F204" s="74"/>
      <c r="G204" s="74" t="s">
        <v>18</v>
      </c>
      <c r="H204" s="74"/>
      <c r="I204" s="74"/>
      <c r="J204" s="74" t="s">
        <v>2701</v>
      </c>
      <c r="K204" s="74">
        <v>0</v>
      </c>
      <c r="L204" s="74" t="s">
        <v>3591</v>
      </c>
      <c r="M204" s="74"/>
      <c r="N204" t="s">
        <v>2246</v>
      </c>
      <c r="O204" t="str">
        <f t="shared" si="6"/>
        <v>condorProc.py --series 07170314_2000 --donoise --dumps a --procenv environments/pymidas_HVHV_r62_mf.env</v>
      </c>
    </row>
    <row r="205" spans="1:16">
      <c r="A205" s="74" t="s">
        <v>3592</v>
      </c>
      <c r="B205" s="74"/>
      <c r="C205" s="74"/>
      <c r="D205" s="74"/>
      <c r="E205" s="74"/>
      <c r="F205" s="74"/>
      <c r="G205" s="74" t="s">
        <v>18</v>
      </c>
      <c r="H205" s="74"/>
      <c r="I205" s="74"/>
      <c r="J205" s="74" t="s">
        <v>2701</v>
      </c>
      <c r="K205" s="74"/>
      <c r="L205" s="74"/>
      <c r="M205" s="74"/>
      <c r="N205" t="s">
        <v>2246</v>
      </c>
      <c r="O205" t="str">
        <f t="shared" si="6"/>
        <v>condorProc.py --series 07170314_2100 --donoise --dumps a --procenv environments/pymidas_HVHV_r62_mf.env</v>
      </c>
    </row>
    <row r="206" spans="1:16">
      <c r="A206" s="74" t="s">
        <v>3593</v>
      </c>
      <c r="B206" s="74"/>
      <c r="C206" s="74"/>
      <c r="D206" s="74"/>
      <c r="E206" s="74"/>
      <c r="F206" s="74"/>
      <c r="G206" s="74" t="s">
        <v>18</v>
      </c>
      <c r="H206" s="74"/>
      <c r="I206" s="74"/>
      <c r="J206" s="74" t="s">
        <v>2701</v>
      </c>
      <c r="K206" s="74"/>
      <c r="L206" s="74" t="s">
        <v>3512</v>
      </c>
      <c r="M206" s="74"/>
      <c r="N206" t="s">
        <v>2246</v>
      </c>
      <c r="O206" t="str">
        <f t="shared" si="6"/>
        <v>condorProc.py --series 07170314_2200 --donoise --dumps a --procenv environments/pymidas_HVHV_r62_mf.env</v>
      </c>
    </row>
    <row r="207" spans="1:16">
      <c r="A207" s="74" t="s">
        <v>3594</v>
      </c>
      <c r="B207" s="74"/>
      <c r="C207" s="74"/>
      <c r="D207" s="74"/>
      <c r="E207" s="74"/>
      <c r="F207" s="74"/>
      <c r="G207" s="74" t="s">
        <v>18</v>
      </c>
      <c r="H207" s="74"/>
      <c r="I207" s="74"/>
      <c r="J207" s="74" t="s">
        <v>2701</v>
      </c>
      <c r="K207" s="74"/>
      <c r="L207" s="74"/>
      <c r="M207" s="74"/>
      <c r="N207" t="s">
        <v>2246</v>
      </c>
      <c r="O207" t="str">
        <f t="shared" si="6"/>
        <v>condorProc.py --series 07170314_2301 --donoise --dumps a --procenv environments/pymidas_HVHV_r62_mf.env</v>
      </c>
    </row>
    <row r="208" spans="1:16">
      <c r="A208" s="74" t="s">
        <v>3595</v>
      </c>
      <c r="B208" s="74"/>
      <c r="C208" s="74"/>
      <c r="D208" s="74"/>
      <c r="E208" s="74"/>
      <c r="F208" s="74"/>
      <c r="G208" s="74" t="s">
        <v>18</v>
      </c>
      <c r="H208" s="74"/>
      <c r="I208" s="74"/>
      <c r="J208" s="74" t="s">
        <v>2701</v>
      </c>
      <c r="K208" s="74"/>
      <c r="L208" s="74"/>
      <c r="M208" s="74"/>
      <c r="N208" t="s">
        <v>2246</v>
      </c>
      <c r="O208" t="str">
        <f t="shared" si="6"/>
        <v>condorProc.py --series 07170315_0001 --donoise --dumps a --procenv environments/pymidas_HVHV_r62_mf.env</v>
      </c>
    </row>
    <row r="209" spans="1:15">
      <c r="A209" s="74" t="s">
        <v>3596</v>
      </c>
      <c r="B209" s="74"/>
      <c r="C209" s="74"/>
      <c r="D209" s="74"/>
      <c r="E209" s="74"/>
      <c r="F209" s="74"/>
      <c r="G209" s="74" t="s">
        <v>18</v>
      </c>
      <c r="H209" s="74"/>
      <c r="I209" s="74"/>
      <c r="J209" s="74" t="s">
        <v>2701</v>
      </c>
      <c r="K209" s="74"/>
      <c r="L209" s="74"/>
      <c r="M209" s="74"/>
      <c r="N209" t="s">
        <v>2246</v>
      </c>
      <c r="O209" t="str">
        <f t="shared" si="6"/>
        <v>condorProc.py --series 07170315_0101 --donoise --dumps a --procenv environments/pymidas_HVHV_r62_mf.env</v>
      </c>
    </row>
    <row r="210" spans="1:15">
      <c r="A210" s="74" t="s">
        <v>3597</v>
      </c>
      <c r="B210" s="74"/>
      <c r="C210" s="74"/>
      <c r="D210" s="74"/>
      <c r="E210" s="74"/>
      <c r="F210" s="74"/>
      <c r="G210" s="74" t="s">
        <v>18</v>
      </c>
      <c r="H210" s="74"/>
      <c r="I210" s="74"/>
      <c r="J210" s="74" t="s">
        <v>2701</v>
      </c>
      <c r="K210" s="74"/>
      <c r="L210" s="74"/>
      <c r="M210" s="74"/>
      <c r="N210" t="s">
        <v>2246</v>
      </c>
      <c r="O210" t="str">
        <f t="shared" si="6"/>
        <v>condorProc.py --series 07170315_0201 --donoise --dumps a --procenv environments/pymidas_HVHV_r62_mf.env</v>
      </c>
    </row>
    <row r="211" spans="1:15">
      <c r="A211" s="74" t="s">
        <v>3598</v>
      </c>
      <c r="B211" s="74"/>
      <c r="C211" s="74"/>
      <c r="D211" s="74"/>
      <c r="E211" s="74"/>
      <c r="F211" s="74"/>
      <c r="G211" s="74" t="s">
        <v>18</v>
      </c>
      <c r="H211" s="74"/>
      <c r="I211" s="74"/>
      <c r="J211" s="74" t="s">
        <v>2701</v>
      </c>
      <c r="K211" s="74"/>
      <c r="L211" s="74"/>
      <c r="M211" s="74"/>
      <c r="N211" t="s">
        <v>2246</v>
      </c>
      <c r="O211" t="str">
        <f t="shared" si="6"/>
        <v>condorProc.py --series 07170315_0301 --donoise --dumps a --procenv environments/pymidas_HVHV_r62_mf.env</v>
      </c>
    </row>
    <row r="212" spans="1:15">
      <c r="A212" s="74" t="s">
        <v>3599</v>
      </c>
      <c r="B212" s="74"/>
      <c r="C212" s="74"/>
      <c r="D212" s="74"/>
      <c r="E212" s="74"/>
      <c r="F212" s="74"/>
      <c r="G212" s="74" t="s">
        <v>18</v>
      </c>
      <c r="H212" s="74"/>
      <c r="I212" s="74"/>
      <c r="J212" s="74" t="s">
        <v>2701</v>
      </c>
      <c r="K212" s="74"/>
      <c r="L212" s="74"/>
      <c r="M212" s="74"/>
      <c r="N212" t="s">
        <v>2246</v>
      </c>
      <c r="O212" t="str">
        <f t="shared" si="6"/>
        <v>condorProc.py --series 07170315_0401 --donoise --dumps a --procenv environments/pymidas_HVHV_r62_mf.env</v>
      </c>
    </row>
    <row r="213" spans="1:15">
      <c r="A213" s="58" t="s">
        <v>3600</v>
      </c>
      <c r="B213" s="58"/>
      <c r="C213" s="58"/>
      <c r="D213" s="58"/>
      <c r="E213" s="58"/>
      <c r="F213" s="58"/>
      <c r="G213" s="58" t="s">
        <v>18</v>
      </c>
      <c r="H213" s="58"/>
      <c r="I213" s="58"/>
      <c r="J213" s="58" t="s">
        <v>2701</v>
      </c>
      <c r="K213" s="58">
        <v>0</v>
      </c>
      <c r="L213" s="68" t="s">
        <v>3601</v>
      </c>
      <c r="M213" s="68"/>
    </row>
    <row r="214" spans="1:15">
      <c r="A214" s="58" t="s">
        <v>3602</v>
      </c>
      <c r="B214" s="58"/>
      <c r="C214" s="58"/>
      <c r="D214" s="58"/>
      <c r="E214" s="58"/>
      <c r="F214" s="58"/>
      <c r="G214" s="58" t="s">
        <v>18</v>
      </c>
      <c r="H214" s="58"/>
      <c r="I214" s="58"/>
      <c r="J214" s="58" t="s">
        <v>2701</v>
      </c>
      <c r="K214" s="58">
        <v>0</v>
      </c>
      <c r="L214" s="68" t="s">
        <v>3502</v>
      </c>
      <c r="M214" s="68"/>
    </row>
    <row r="215" spans="1:15">
      <c r="A215" s="58" t="s">
        <v>3603</v>
      </c>
      <c r="B215" s="58"/>
      <c r="C215" s="58"/>
      <c r="D215" s="58"/>
      <c r="E215" s="58"/>
      <c r="F215" s="58"/>
      <c r="G215" s="58" t="s">
        <v>18</v>
      </c>
      <c r="H215" s="58"/>
      <c r="I215" s="58"/>
      <c r="J215" s="58" t="s">
        <v>2701</v>
      </c>
      <c r="K215" s="58">
        <v>0</v>
      </c>
      <c r="L215" s="58"/>
      <c r="M215" s="58"/>
    </row>
    <row r="216" spans="1:15">
      <c r="A216" s="58" t="s">
        <v>3604</v>
      </c>
      <c r="B216" s="58"/>
      <c r="C216" s="58"/>
      <c r="D216" s="58"/>
      <c r="E216" s="58"/>
      <c r="F216" s="58"/>
      <c r="G216" s="58" t="s">
        <v>18</v>
      </c>
      <c r="H216" s="58"/>
      <c r="I216" s="58"/>
      <c r="J216" s="58" t="s">
        <v>2701</v>
      </c>
      <c r="K216" s="58">
        <v>0</v>
      </c>
      <c r="L216" s="58" t="s">
        <v>3512</v>
      </c>
      <c r="M216" s="58"/>
    </row>
    <row r="217" spans="1:15">
      <c r="A217" s="58" t="s">
        <v>3605</v>
      </c>
      <c r="B217" s="58"/>
      <c r="C217" s="58"/>
      <c r="D217" s="58"/>
      <c r="E217" s="58"/>
      <c r="F217" s="58"/>
      <c r="G217" s="58" t="s">
        <v>18</v>
      </c>
      <c r="H217" s="58"/>
      <c r="I217" s="58"/>
      <c r="J217" s="58" t="s">
        <v>2701</v>
      </c>
      <c r="K217" s="58">
        <v>0</v>
      </c>
      <c r="L217" s="58"/>
      <c r="M217" s="58"/>
    </row>
    <row r="218" spans="1:15">
      <c r="A218" s="58" t="s">
        <v>3606</v>
      </c>
      <c r="B218" s="58"/>
      <c r="C218" s="58"/>
      <c r="D218" s="58"/>
      <c r="E218" s="58"/>
      <c r="F218" s="58"/>
      <c r="G218" s="58" t="s">
        <v>18</v>
      </c>
      <c r="H218" s="58"/>
      <c r="I218" s="58"/>
      <c r="J218" s="58" t="s">
        <v>2701</v>
      </c>
      <c r="K218" s="58">
        <v>0</v>
      </c>
      <c r="L218" s="58"/>
      <c r="M218" s="58"/>
    </row>
    <row r="219" spans="1:15">
      <c r="A219" s="58" t="s">
        <v>3607</v>
      </c>
      <c r="B219" s="58"/>
      <c r="C219" s="58"/>
      <c r="D219" s="58"/>
      <c r="E219" s="58"/>
      <c r="F219" s="58"/>
      <c r="G219" s="58" t="s">
        <v>18</v>
      </c>
      <c r="H219" s="58"/>
      <c r="I219" s="58"/>
      <c r="J219" s="58" t="s">
        <v>2701</v>
      </c>
      <c r="K219" s="58">
        <v>0</v>
      </c>
      <c r="L219" s="58"/>
      <c r="M219" s="58"/>
    </row>
    <row r="220" spans="1:15">
      <c r="A220" s="58" t="s">
        <v>3608</v>
      </c>
      <c r="B220" s="58"/>
      <c r="C220" s="58"/>
      <c r="D220" s="58"/>
      <c r="E220" s="58"/>
      <c r="F220" s="58"/>
      <c r="G220" s="58" t="s">
        <v>18</v>
      </c>
      <c r="H220" s="58"/>
      <c r="I220" s="58"/>
      <c r="J220" s="58" t="s">
        <v>2701</v>
      </c>
      <c r="K220" s="58">
        <v>0</v>
      </c>
      <c r="L220" s="58"/>
      <c r="M220" s="58"/>
    </row>
    <row r="221" spans="1:15">
      <c r="A221" s="58" t="s">
        <v>3609</v>
      </c>
      <c r="B221" s="58"/>
      <c r="C221" s="58"/>
      <c r="D221" s="58"/>
      <c r="E221" s="58"/>
      <c r="F221" s="58"/>
      <c r="G221" s="58" t="s">
        <v>18</v>
      </c>
      <c r="H221" s="58"/>
      <c r="I221" s="58"/>
      <c r="J221" s="58" t="s">
        <v>2701</v>
      </c>
      <c r="K221" s="58">
        <v>0</v>
      </c>
      <c r="L221" s="58"/>
      <c r="M221" s="58"/>
    </row>
    <row r="222" spans="1:15">
      <c r="A222" s="58" t="s">
        <v>3610</v>
      </c>
      <c r="B222" s="58"/>
      <c r="C222" s="58"/>
      <c r="D222" s="58"/>
      <c r="E222" s="58"/>
      <c r="F222" s="58"/>
      <c r="G222" s="58" t="s">
        <v>18</v>
      </c>
      <c r="H222" s="58"/>
      <c r="I222" s="58"/>
      <c r="J222" s="58" t="s">
        <v>2701</v>
      </c>
      <c r="K222" s="58">
        <v>0</v>
      </c>
      <c r="L222" s="58"/>
      <c r="M222" s="58"/>
    </row>
    <row r="223" spans="1:15">
      <c r="A223" s="58" t="s">
        <v>3611</v>
      </c>
      <c r="B223" s="58"/>
      <c r="C223" s="58"/>
      <c r="D223" s="58"/>
      <c r="E223" s="58"/>
      <c r="F223" s="58"/>
      <c r="G223" s="58" t="s">
        <v>18</v>
      </c>
      <c r="H223" s="58"/>
      <c r="I223" s="58"/>
      <c r="J223" s="58" t="s">
        <v>2701</v>
      </c>
      <c r="K223" s="58">
        <v>0</v>
      </c>
      <c r="L223" s="58"/>
      <c r="M223" s="58"/>
    </row>
    <row r="224" spans="1:15">
      <c r="A224" s="69" t="s">
        <v>3612</v>
      </c>
      <c r="B224" s="69"/>
      <c r="C224" s="69"/>
      <c r="D224" s="69"/>
      <c r="E224" s="69"/>
      <c r="F224" s="69"/>
      <c r="G224" s="69" t="s">
        <v>18</v>
      </c>
      <c r="H224" s="69"/>
      <c r="I224" s="69"/>
      <c r="J224" s="69" t="s">
        <v>2701</v>
      </c>
      <c r="K224" s="69">
        <v>0</v>
      </c>
      <c r="L224" s="69"/>
      <c r="M224" s="58"/>
    </row>
    <row r="225" spans="1:13">
      <c r="A225" s="58" t="s">
        <v>3613</v>
      </c>
      <c r="B225" s="58"/>
      <c r="C225" s="58"/>
      <c r="D225" s="58"/>
      <c r="E225" s="58"/>
      <c r="F225" s="58"/>
      <c r="G225" s="58" t="s">
        <v>18</v>
      </c>
      <c r="H225" s="58"/>
      <c r="I225" s="58"/>
      <c r="J225" s="58" t="s">
        <v>2701</v>
      </c>
      <c r="K225" s="58">
        <v>0</v>
      </c>
      <c r="L225" s="68"/>
      <c r="M225" s="68"/>
    </row>
    <row r="226" spans="1:13">
      <c r="A226" s="58" t="s">
        <v>3614</v>
      </c>
      <c r="B226" s="58"/>
      <c r="C226" s="58"/>
      <c r="D226" s="58"/>
      <c r="E226" s="58"/>
      <c r="F226" s="58"/>
      <c r="G226" s="58" t="s">
        <v>18</v>
      </c>
      <c r="H226" s="58"/>
      <c r="I226" s="58"/>
      <c r="J226" s="58" t="s">
        <v>2701</v>
      </c>
      <c r="K226" s="58">
        <v>0</v>
      </c>
      <c r="L226" s="68"/>
      <c r="M226" s="68"/>
    </row>
    <row r="227" spans="1:13">
      <c r="A227" s="58" t="s">
        <v>3615</v>
      </c>
      <c r="B227" s="58"/>
      <c r="C227" s="58"/>
      <c r="D227" s="58"/>
      <c r="E227" s="58"/>
      <c r="F227" s="58"/>
      <c r="G227" s="58" t="s">
        <v>18</v>
      </c>
      <c r="H227" s="58"/>
      <c r="I227" s="58"/>
      <c r="J227" s="58" t="s">
        <v>2701</v>
      </c>
      <c r="K227" s="58">
        <v>0</v>
      </c>
      <c r="L227" s="58"/>
      <c r="M227" s="58"/>
    </row>
    <row r="228" spans="1:13">
      <c r="A228" s="58" t="s">
        <v>3616</v>
      </c>
      <c r="B228" s="58"/>
      <c r="C228" s="58"/>
      <c r="D228" s="58"/>
      <c r="E228" s="58"/>
      <c r="F228" s="58"/>
      <c r="G228" s="58" t="s">
        <v>18</v>
      </c>
      <c r="H228" s="58"/>
      <c r="I228" s="58"/>
      <c r="J228" s="58" t="s">
        <v>2701</v>
      </c>
      <c r="K228" s="58">
        <v>0</v>
      </c>
      <c r="L228" s="58"/>
      <c r="M228" s="58"/>
    </row>
    <row r="229" spans="1:13">
      <c r="A229" s="58" t="s">
        <v>3617</v>
      </c>
      <c r="B229" s="58"/>
      <c r="C229" s="58"/>
      <c r="D229" s="58"/>
      <c r="E229" s="58"/>
      <c r="F229" s="58"/>
      <c r="G229" s="58" t="s">
        <v>18</v>
      </c>
      <c r="H229" s="58"/>
      <c r="I229" s="58"/>
      <c r="J229" s="58" t="s">
        <v>2701</v>
      </c>
      <c r="K229" s="58">
        <v>0</v>
      </c>
      <c r="L229" s="58"/>
      <c r="M229" s="58"/>
    </row>
    <row r="230" spans="1:13">
      <c r="A230" s="58" t="s">
        <v>3618</v>
      </c>
      <c r="B230" s="58"/>
      <c r="C230" s="58"/>
      <c r="D230" s="58"/>
      <c r="E230" s="58"/>
      <c r="F230" s="58"/>
      <c r="G230" s="58" t="s">
        <v>18</v>
      </c>
      <c r="H230" s="58"/>
      <c r="I230" s="58"/>
      <c r="J230" s="58" t="s">
        <v>2701</v>
      </c>
      <c r="K230" s="58">
        <v>0</v>
      </c>
      <c r="L230" s="58"/>
      <c r="M230" s="58"/>
    </row>
    <row r="231" spans="1:13">
      <c r="A231" s="58" t="s">
        <v>3619</v>
      </c>
      <c r="B231" s="58"/>
      <c r="C231" s="58"/>
      <c r="D231" s="58"/>
      <c r="E231" s="58"/>
      <c r="F231" s="58"/>
      <c r="G231" s="58" t="s">
        <v>18</v>
      </c>
      <c r="H231" s="58"/>
      <c r="I231" s="58"/>
      <c r="J231" s="58" t="s">
        <v>2701</v>
      </c>
      <c r="K231" s="58">
        <v>0</v>
      </c>
      <c r="L231" s="58"/>
      <c r="M231" s="58"/>
    </row>
    <row r="232" spans="1:13">
      <c r="A232" s="58" t="s">
        <v>3620</v>
      </c>
      <c r="B232" s="58"/>
      <c r="C232" s="58"/>
      <c r="D232" s="58"/>
      <c r="E232" s="58"/>
      <c r="F232" s="58"/>
      <c r="G232" s="58" t="s">
        <v>18</v>
      </c>
      <c r="H232" s="58"/>
      <c r="I232" s="58"/>
      <c r="J232" s="58" t="s">
        <v>2701</v>
      </c>
      <c r="K232" s="58">
        <v>0</v>
      </c>
      <c r="L232" s="58"/>
      <c r="M232" s="58"/>
    </row>
    <row r="233" spans="1:13">
      <c r="A233" s="58" t="s">
        <v>3621</v>
      </c>
      <c r="B233" s="58"/>
      <c r="C233" s="58"/>
      <c r="D233" s="58"/>
      <c r="E233" s="58"/>
      <c r="F233" s="58"/>
      <c r="G233" s="58" t="s">
        <v>18</v>
      </c>
      <c r="H233" s="58"/>
      <c r="I233" s="58"/>
      <c r="J233" s="58" t="s">
        <v>2701</v>
      </c>
      <c r="K233" s="58">
        <v>0</v>
      </c>
      <c r="L233" s="58"/>
      <c r="M233" s="58"/>
    </row>
    <row r="234" spans="1:13">
      <c r="A234" s="58" t="s">
        <v>3622</v>
      </c>
      <c r="B234" s="58"/>
      <c r="C234" s="58"/>
      <c r="D234" s="58"/>
      <c r="E234" s="58"/>
      <c r="F234" s="58"/>
      <c r="G234" s="58" t="s">
        <v>18</v>
      </c>
      <c r="H234" s="58"/>
      <c r="I234" s="58"/>
      <c r="J234" s="58" t="s">
        <v>2701</v>
      </c>
      <c r="K234" s="58">
        <v>0</v>
      </c>
      <c r="L234" s="58"/>
      <c r="M234" s="58"/>
    </row>
    <row r="235" spans="1:13">
      <c r="A235" s="58" t="s">
        <v>3623</v>
      </c>
      <c r="B235" s="58"/>
      <c r="C235" s="58"/>
      <c r="D235" s="58"/>
      <c r="E235" s="58"/>
      <c r="F235" s="58"/>
      <c r="G235" s="58" t="s">
        <v>18</v>
      </c>
      <c r="H235" s="58"/>
      <c r="I235" s="58"/>
      <c r="J235" s="58" t="s">
        <v>2701</v>
      </c>
      <c r="K235" s="58">
        <v>0</v>
      </c>
      <c r="L235" s="58"/>
      <c r="M235" s="58"/>
    </row>
    <row r="236" spans="1:13">
      <c r="A236" s="58" t="s">
        <v>3624</v>
      </c>
      <c r="B236" s="58"/>
      <c r="C236" s="58"/>
      <c r="D236" s="58"/>
      <c r="E236" s="58"/>
      <c r="F236" s="58"/>
      <c r="G236" s="58" t="s">
        <v>18</v>
      </c>
      <c r="H236" s="58"/>
      <c r="I236" s="58"/>
      <c r="J236" s="58" t="s">
        <v>2701</v>
      </c>
      <c r="K236" s="58">
        <v>0</v>
      </c>
      <c r="L236" s="58"/>
      <c r="M236" s="58"/>
    </row>
    <row r="237" spans="1:13" s="5" customFormat="1">
      <c r="A237" s="5" t="s">
        <v>3625</v>
      </c>
      <c r="G237" s="5" t="s">
        <v>18</v>
      </c>
      <c r="J237" s="5" t="s">
        <v>3626</v>
      </c>
      <c r="K237" s="5">
        <v>0</v>
      </c>
      <c r="L237" s="5" t="s">
        <v>3627</v>
      </c>
    </row>
    <row r="238" spans="1:13" s="5" customFormat="1">
      <c r="A238" s="5" t="s">
        <v>3628</v>
      </c>
      <c r="G238" s="5" t="s">
        <v>18</v>
      </c>
      <c r="J238" s="5" t="s">
        <v>3626</v>
      </c>
      <c r="K238" s="5">
        <v>0</v>
      </c>
      <c r="L238" s="5" t="s">
        <v>3629</v>
      </c>
    </row>
    <row r="239" spans="1:13">
      <c r="A239" t="s">
        <v>3630</v>
      </c>
      <c r="G239" t="s">
        <v>18</v>
      </c>
      <c r="J239" t="s">
        <v>3626</v>
      </c>
      <c r="K239">
        <v>0</v>
      </c>
      <c r="L239" t="s">
        <v>1853</v>
      </c>
    </row>
    <row r="240" spans="1:13" s="5" customFormat="1">
      <c r="A240" s="5" t="s">
        <v>3631</v>
      </c>
      <c r="G240" s="5" t="s">
        <v>18</v>
      </c>
      <c r="J240" s="5" t="s">
        <v>3626</v>
      </c>
      <c r="K240" s="5">
        <v>0</v>
      </c>
      <c r="L240" s="5" t="s">
        <v>3632</v>
      </c>
    </row>
    <row r="241" spans="1:13" s="36" customFormat="1">
      <c r="A241" s="72" t="s">
        <v>3633</v>
      </c>
      <c r="B241" s="72"/>
      <c r="C241" s="72"/>
      <c r="D241" s="72"/>
      <c r="E241" s="72"/>
      <c r="F241" s="72"/>
      <c r="G241" s="72" t="s">
        <v>18</v>
      </c>
      <c r="H241" s="72"/>
      <c r="I241" s="72"/>
      <c r="J241" s="72" t="s">
        <v>3626</v>
      </c>
      <c r="K241" s="72">
        <v>0</v>
      </c>
      <c r="L241" s="72" t="s">
        <v>3601</v>
      </c>
      <c r="M241" s="72"/>
    </row>
    <row r="242" spans="1:13" s="36" customFormat="1">
      <c r="A242" s="72" t="s">
        <v>3634</v>
      </c>
      <c r="B242" s="72"/>
      <c r="C242" s="72"/>
      <c r="D242" s="72"/>
      <c r="E242" s="72"/>
      <c r="F242" s="72"/>
      <c r="G242" s="72" t="s">
        <v>18</v>
      </c>
      <c r="H242" s="72"/>
      <c r="I242" s="72"/>
      <c r="J242" s="72" t="s">
        <v>3626</v>
      </c>
      <c r="K242" s="72">
        <v>0</v>
      </c>
      <c r="L242" s="72" t="s">
        <v>3635</v>
      </c>
      <c r="M242" s="72"/>
    </row>
    <row r="243" spans="1:13" s="36" customFormat="1">
      <c r="A243" s="72" t="s">
        <v>3636</v>
      </c>
      <c r="B243" s="72"/>
      <c r="C243" s="72"/>
      <c r="D243" s="72"/>
      <c r="E243" s="72"/>
      <c r="F243" s="72"/>
      <c r="G243" s="72" t="s">
        <v>18</v>
      </c>
      <c r="H243" s="72"/>
      <c r="I243" s="72"/>
      <c r="J243" s="72" t="s">
        <v>3626</v>
      </c>
      <c r="K243" s="72">
        <v>0</v>
      </c>
      <c r="L243" s="72"/>
      <c r="M243" s="72"/>
    </row>
    <row r="244" spans="1:13" s="36" customFormat="1">
      <c r="A244" s="72" t="s">
        <v>3637</v>
      </c>
      <c r="B244" s="72"/>
      <c r="C244" s="72"/>
      <c r="D244" s="72"/>
      <c r="E244" s="72"/>
      <c r="F244" s="72"/>
      <c r="G244" s="72" t="s">
        <v>18</v>
      </c>
      <c r="H244" s="72"/>
      <c r="I244" s="72"/>
      <c r="J244" s="72" t="s">
        <v>3626</v>
      </c>
      <c r="K244" s="72">
        <v>0</v>
      </c>
      <c r="L244" s="72" t="s">
        <v>3512</v>
      </c>
      <c r="M244" s="72"/>
    </row>
    <row r="245" spans="1:13" s="36" customFormat="1">
      <c r="A245" s="72" t="s">
        <v>3638</v>
      </c>
      <c r="B245" s="72"/>
      <c r="C245" s="72"/>
      <c r="D245" s="72"/>
      <c r="E245" s="72"/>
      <c r="F245" s="72"/>
      <c r="G245" s="72" t="s">
        <v>18</v>
      </c>
      <c r="H245" s="72"/>
      <c r="I245" s="72"/>
      <c r="J245" s="72" t="s">
        <v>3626</v>
      </c>
      <c r="K245" s="72">
        <v>0</v>
      </c>
      <c r="L245" s="72"/>
      <c r="M245" s="72"/>
    </row>
    <row r="246" spans="1:13" s="36" customFormat="1">
      <c r="A246" s="72" t="s">
        <v>3639</v>
      </c>
      <c r="B246" s="72"/>
      <c r="C246" s="72"/>
      <c r="D246" s="72"/>
      <c r="E246" s="72"/>
      <c r="F246" s="72"/>
      <c r="G246" s="72" t="s">
        <v>18</v>
      </c>
      <c r="H246" s="72"/>
      <c r="I246" s="72"/>
      <c r="J246" s="72" t="s">
        <v>3626</v>
      </c>
      <c r="K246" s="72">
        <v>0</v>
      </c>
      <c r="L246" s="72"/>
      <c r="M246" s="72"/>
    </row>
    <row r="247" spans="1:13" s="36" customFormat="1">
      <c r="A247" s="72" t="s">
        <v>3640</v>
      </c>
      <c r="B247" s="72"/>
      <c r="C247" s="72"/>
      <c r="D247" s="72"/>
      <c r="E247" s="72"/>
      <c r="F247" s="72"/>
      <c r="G247" s="72" t="s">
        <v>18</v>
      </c>
      <c r="H247" s="72"/>
      <c r="I247" s="72"/>
      <c r="J247" s="72" t="s">
        <v>3626</v>
      </c>
      <c r="K247" s="72">
        <v>0</v>
      </c>
      <c r="L247" s="72"/>
      <c r="M247" s="72"/>
    </row>
    <row r="248" spans="1:13" s="36" customFormat="1">
      <c r="A248" s="72" t="s">
        <v>3641</v>
      </c>
      <c r="B248" s="72"/>
      <c r="C248" s="72"/>
      <c r="D248" s="72"/>
      <c r="E248" s="72"/>
      <c r="F248" s="72"/>
      <c r="G248" s="72" t="s">
        <v>18</v>
      </c>
      <c r="H248" s="72"/>
      <c r="I248" s="72"/>
      <c r="J248" s="72" t="s">
        <v>3626</v>
      </c>
      <c r="K248" s="72">
        <v>0</v>
      </c>
      <c r="L248" s="72"/>
      <c r="M248" s="72"/>
    </row>
    <row r="249" spans="1:13" s="36" customFormat="1">
      <c r="A249" s="72" t="s">
        <v>3642</v>
      </c>
      <c r="B249" s="72"/>
      <c r="C249" s="72"/>
      <c r="D249" s="72"/>
      <c r="E249" s="72"/>
      <c r="F249" s="72"/>
      <c r="G249" s="72" t="s">
        <v>18</v>
      </c>
      <c r="H249" s="72"/>
      <c r="I249" s="72"/>
      <c r="J249" s="72" t="s">
        <v>3626</v>
      </c>
      <c r="K249" s="72">
        <v>0</v>
      </c>
      <c r="L249" s="72"/>
      <c r="M249" s="72"/>
    </row>
    <row r="250" spans="1:13" s="36" customFormat="1">
      <c r="A250" s="72" t="s">
        <v>3643</v>
      </c>
      <c r="B250" s="72"/>
      <c r="C250" s="72"/>
      <c r="D250" s="72"/>
      <c r="E250" s="72"/>
      <c r="F250" s="72"/>
      <c r="G250" s="72" t="s">
        <v>18</v>
      </c>
      <c r="H250" s="72"/>
      <c r="I250" s="72"/>
      <c r="J250" s="72" t="s">
        <v>3626</v>
      </c>
      <c r="K250" s="72">
        <v>0</v>
      </c>
      <c r="L250" s="72"/>
      <c r="M250" s="72"/>
    </row>
    <row r="251" spans="1:13" s="36" customFormat="1">
      <c r="A251" s="72" t="s">
        <v>3644</v>
      </c>
      <c r="B251" s="72"/>
      <c r="C251" s="72"/>
      <c r="D251" s="72"/>
      <c r="E251" s="72"/>
      <c r="F251" s="72"/>
      <c r="G251" s="72" t="s">
        <v>18</v>
      </c>
      <c r="H251" s="72"/>
      <c r="I251" s="72"/>
      <c r="J251" s="72" t="s">
        <v>3626</v>
      </c>
      <c r="K251" s="72">
        <v>0</v>
      </c>
      <c r="L251" s="72"/>
      <c r="M251" s="72"/>
    </row>
    <row r="252" spans="1:13" s="36" customFormat="1">
      <c r="A252" s="72" t="s">
        <v>3645</v>
      </c>
      <c r="B252" s="72"/>
      <c r="C252" s="72"/>
      <c r="D252" s="72"/>
      <c r="E252" s="72"/>
      <c r="F252" s="72"/>
      <c r="G252" s="72" t="s">
        <v>18</v>
      </c>
      <c r="H252" s="72"/>
      <c r="I252" s="72"/>
      <c r="J252" s="72" t="s">
        <v>3626</v>
      </c>
      <c r="K252" s="72">
        <v>0</v>
      </c>
      <c r="L252" s="72"/>
      <c r="M252" s="72"/>
    </row>
    <row r="253" spans="1:13" s="36" customFormat="1">
      <c r="A253" s="72" t="s">
        <v>3646</v>
      </c>
      <c r="B253" s="72"/>
      <c r="C253" s="72"/>
      <c r="D253" s="72"/>
      <c r="E253" s="72"/>
      <c r="F253" s="72"/>
      <c r="G253" s="72" t="s">
        <v>18</v>
      </c>
      <c r="H253" s="72"/>
      <c r="I253" s="72"/>
      <c r="J253" s="72" t="s">
        <v>3626</v>
      </c>
      <c r="K253" s="72">
        <v>0</v>
      </c>
      <c r="L253" s="72"/>
      <c r="M253" s="72"/>
    </row>
    <row r="254" spans="1:13" s="36" customFormat="1">
      <c r="A254" s="72" t="s">
        <v>3647</v>
      </c>
      <c r="B254" s="72"/>
      <c r="C254" s="72"/>
      <c r="D254" s="72"/>
      <c r="E254" s="72"/>
      <c r="F254" s="72"/>
      <c r="G254" s="72" t="s">
        <v>18</v>
      </c>
      <c r="H254" s="72"/>
      <c r="I254" s="72"/>
      <c r="J254" s="72" t="s">
        <v>3626</v>
      </c>
      <c r="K254" s="72">
        <v>0</v>
      </c>
      <c r="L254" s="72"/>
      <c r="M254" s="72"/>
    </row>
    <row r="255" spans="1:13" s="36" customFormat="1">
      <c r="A255" s="72" t="s">
        <v>3648</v>
      </c>
      <c r="B255" s="72"/>
      <c r="C255" s="72"/>
      <c r="D255" s="72"/>
      <c r="E255" s="72"/>
      <c r="F255" s="72"/>
      <c r="G255" s="72" t="s">
        <v>18</v>
      </c>
      <c r="H255" s="72"/>
      <c r="I255" s="72"/>
      <c r="J255" s="72" t="s">
        <v>3626</v>
      </c>
      <c r="K255" s="72">
        <v>0</v>
      </c>
      <c r="L255" s="72"/>
      <c r="M255" s="72"/>
    </row>
    <row r="256" spans="1:13" s="36" customFormat="1">
      <c r="A256" s="72" t="s">
        <v>3649</v>
      </c>
      <c r="B256" s="72"/>
      <c r="C256" s="72"/>
      <c r="D256" s="72"/>
      <c r="E256" s="72"/>
      <c r="F256" s="72"/>
      <c r="G256" s="72" t="s">
        <v>18</v>
      </c>
      <c r="H256" s="72"/>
      <c r="I256" s="72"/>
      <c r="J256" s="72" t="s">
        <v>3626</v>
      </c>
      <c r="K256" s="72">
        <v>0</v>
      </c>
      <c r="L256" s="72"/>
      <c r="M256" s="72"/>
    </row>
    <row r="257" spans="1:13" s="36" customFormat="1">
      <c r="A257" s="72" t="s">
        <v>3650</v>
      </c>
      <c r="B257" s="72"/>
      <c r="C257" s="72"/>
      <c r="D257" s="72"/>
      <c r="E257" s="72"/>
      <c r="F257" s="72"/>
      <c r="G257" s="72" t="s">
        <v>18</v>
      </c>
      <c r="H257" s="72"/>
      <c r="I257" s="72"/>
      <c r="J257" s="72" t="s">
        <v>3626</v>
      </c>
      <c r="K257" s="72">
        <v>0</v>
      </c>
      <c r="L257" s="72"/>
      <c r="M257" s="72"/>
    </row>
    <row r="258" spans="1:13" s="36" customFormat="1">
      <c r="A258" s="72" t="s">
        <v>3651</v>
      </c>
      <c r="B258" s="72"/>
      <c r="C258" s="72"/>
      <c r="D258" s="72"/>
      <c r="E258" s="72"/>
      <c r="F258" s="72"/>
      <c r="G258" s="72" t="s">
        <v>18</v>
      </c>
      <c r="H258" s="72"/>
      <c r="I258" s="72"/>
      <c r="J258" s="72" t="s">
        <v>3626</v>
      </c>
      <c r="K258" s="72">
        <v>0</v>
      </c>
      <c r="L258" s="72"/>
      <c r="M258" s="72"/>
    </row>
    <row r="259" spans="1:13" s="36" customFormat="1">
      <c r="A259" s="72" t="s">
        <v>3652</v>
      </c>
      <c r="B259" s="72"/>
      <c r="C259" s="72"/>
      <c r="D259" s="72"/>
      <c r="E259" s="72"/>
      <c r="F259" s="72"/>
      <c r="G259" s="72" t="s">
        <v>18</v>
      </c>
      <c r="H259" s="72"/>
      <c r="I259" s="72"/>
      <c r="J259" s="72" t="s">
        <v>3626</v>
      </c>
      <c r="K259" s="72">
        <v>0</v>
      </c>
      <c r="L259" s="72"/>
      <c r="M259" s="72"/>
    </row>
    <row r="260" spans="1:13" s="36" customFormat="1">
      <c r="A260" s="72" t="s">
        <v>3653</v>
      </c>
      <c r="B260" s="72"/>
      <c r="C260" s="72"/>
      <c r="D260" s="72"/>
      <c r="E260" s="72"/>
      <c r="F260" s="72"/>
      <c r="G260" s="72" t="s">
        <v>18</v>
      </c>
      <c r="H260" s="72"/>
      <c r="I260" s="72"/>
      <c r="J260" s="72" t="s">
        <v>3626</v>
      </c>
      <c r="K260" s="72">
        <v>0</v>
      </c>
      <c r="L260" s="72"/>
      <c r="M260" s="72"/>
    </row>
    <row r="261" spans="1:13" s="36" customFormat="1">
      <c r="A261" s="72" t="s">
        <v>3654</v>
      </c>
      <c r="B261" s="72"/>
      <c r="C261" s="72"/>
      <c r="D261" s="72"/>
      <c r="E261" s="72"/>
      <c r="F261" s="72"/>
      <c r="G261" s="72" t="s">
        <v>18</v>
      </c>
      <c r="H261" s="72"/>
      <c r="I261" s="72"/>
      <c r="J261" s="72" t="s">
        <v>3626</v>
      </c>
      <c r="K261" s="72">
        <v>0</v>
      </c>
      <c r="L261" s="72"/>
      <c r="M261" s="72"/>
    </row>
    <row r="262" spans="1:13" s="36" customFormat="1">
      <c r="A262" s="72" t="s">
        <v>3655</v>
      </c>
      <c r="B262" s="72"/>
      <c r="C262" s="72"/>
      <c r="D262" s="72"/>
      <c r="E262" s="72"/>
      <c r="F262" s="72"/>
      <c r="G262" s="72" t="s">
        <v>18</v>
      </c>
      <c r="H262" s="72"/>
      <c r="I262" s="72"/>
      <c r="J262" s="72" t="s">
        <v>3626</v>
      </c>
      <c r="K262" s="72">
        <v>0</v>
      </c>
      <c r="L262" s="72"/>
      <c r="M262" s="72"/>
    </row>
    <row r="263" spans="1:13" s="36" customFormat="1">
      <c r="A263" s="76" t="s">
        <v>3656</v>
      </c>
      <c r="B263" s="76"/>
      <c r="C263" s="76"/>
      <c r="D263" s="76"/>
      <c r="E263" s="76"/>
      <c r="F263" s="76"/>
      <c r="G263" s="76" t="s">
        <v>18</v>
      </c>
      <c r="H263" s="76"/>
      <c r="I263" s="76"/>
      <c r="J263" s="76" t="s">
        <v>3626</v>
      </c>
      <c r="K263" s="76">
        <v>0</v>
      </c>
      <c r="L263" s="76"/>
      <c r="M263" s="72"/>
    </row>
    <row r="264" spans="1:13" s="36" customFormat="1">
      <c r="A264" s="72" t="s">
        <v>3657</v>
      </c>
      <c r="B264" s="72"/>
      <c r="C264" s="72"/>
      <c r="D264" s="72"/>
      <c r="E264" s="72"/>
      <c r="F264" s="72"/>
      <c r="G264" s="72" t="s">
        <v>18</v>
      </c>
      <c r="H264" s="72"/>
      <c r="I264" s="72"/>
      <c r="J264" s="72" t="s">
        <v>3626</v>
      </c>
      <c r="K264" s="72">
        <v>0</v>
      </c>
      <c r="L264" s="72"/>
      <c r="M264" s="72"/>
    </row>
    <row r="265" spans="1:13" s="36" customFormat="1">
      <c r="A265" s="72" t="s">
        <v>3658</v>
      </c>
      <c r="B265" s="72"/>
      <c r="C265" s="72"/>
      <c r="D265" s="72"/>
      <c r="E265" s="72"/>
      <c r="F265" s="72"/>
      <c r="G265" s="72" t="s">
        <v>18</v>
      </c>
      <c r="H265" s="72"/>
      <c r="I265" s="72"/>
      <c r="J265" s="72" t="s">
        <v>3626</v>
      </c>
      <c r="K265" s="72">
        <v>0</v>
      </c>
      <c r="L265" s="72"/>
      <c r="M265" s="72"/>
    </row>
    <row r="266" spans="1:13" s="36" customFormat="1">
      <c r="A266" s="72" t="s">
        <v>3659</v>
      </c>
      <c r="B266" s="72"/>
      <c r="C266" s="72"/>
      <c r="D266" s="72"/>
      <c r="E266" s="72"/>
      <c r="F266" s="72"/>
      <c r="G266" s="72" t="s">
        <v>18</v>
      </c>
      <c r="H266" s="72"/>
      <c r="I266" s="72"/>
      <c r="J266" s="72" t="s">
        <v>3626</v>
      </c>
      <c r="K266" s="72">
        <v>0</v>
      </c>
      <c r="L266" s="72"/>
      <c r="M266" s="72"/>
    </row>
    <row r="267" spans="1:13" s="36" customFormat="1">
      <c r="A267" s="72" t="s">
        <v>3660</v>
      </c>
      <c r="B267" s="72"/>
      <c r="C267" s="72"/>
      <c r="D267" s="72"/>
      <c r="E267" s="72"/>
      <c r="F267" s="72"/>
      <c r="G267" s="72" t="s">
        <v>18</v>
      </c>
      <c r="H267" s="72"/>
      <c r="I267" s="72"/>
      <c r="J267" s="72" t="s">
        <v>3626</v>
      </c>
      <c r="K267" s="72">
        <v>0</v>
      </c>
      <c r="L267" s="72"/>
      <c r="M267" s="72"/>
    </row>
    <row r="268" spans="1:13" s="36" customFormat="1">
      <c r="A268" s="72" t="s">
        <v>3661</v>
      </c>
      <c r="B268" s="72"/>
      <c r="C268" s="72"/>
      <c r="D268" s="72"/>
      <c r="E268" s="72"/>
      <c r="F268" s="72"/>
      <c r="G268" s="72" t="s">
        <v>18</v>
      </c>
      <c r="H268" s="72"/>
      <c r="I268" s="72"/>
      <c r="J268" s="72" t="s">
        <v>3626</v>
      </c>
      <c r="K268" s="72">
        <v>0</v>
      </c>
      <c r="L268" s="72"/>
      <c r="M268" s="72"/>
    </row>
    <row r="269" spans="1:13" s="36" customFormat="1">
      <c r="A269" s="72" t="s">
        <v>3662</v>
      </c>
      <c r="B269" s="72"/>
      <c r="C269" s="72"/>
      <c r="D269" s="72"/>
      <c r="E269" s="72"/>
      <c r="F269" s="72"/>
      <c r="G269" s="72" t="s">
        <v>18</v>
      </c>
      <c r="H269" s="72"/>
      <c r="I269" s="72"/>
      <c r="J269" s="72" t="s">
        <v>3626</v>
      </c>
      <c r="K269" s="72">
        <v>0</v>
      </c>
      <c r="L269" s="72"/>
      <c r="M269" s="72"/>
    </row>
    <row r="270" spans="1:13" s="36" customFormat="1">
      <c r="A270" s="72" t="s">
        <v>3663</v>
      </c>
      <c r="B270" s="72"/>
      <c r="C270" s="72"/>
      <c r="D270" s="72"/>
      <c r="E270" s="72"/>
      <c r="F270" s="72"/>
      <c r="G270" s="72" t="s">
        <v>18</v>
      </c>
      <c r="H270" s="72"/>
      <c r="I270" s="72"/>
      <c r="J270" s="72" t="s">
        <v>3626</v>
      </c>
      <c r="K270" s="72">
        <v>0</v>
      </c>
      <c r="L270" s="72"/>
      <c r="M270" s="72"/>
    </row>
    <row r="271" spans="1:13" s="36" customFormat="1">
      <c r="A271" s="72" t="s">
        <v>3664</v>
      </c>
      <c r="B271" s="72"/>
      <c r="C271" s="72"/>
      <c r="D271" s="72"/>
      <c r="E271" s="72"/>
      <c r="F271" s="72"/>
      <c r="G271" s="72" t="s">
        <v>18</v>
      </c>
      <c r="H271" s="72"/>
      <c r="I271" s="72"/>
      <c r="J271" s="72" t="s">
        <v>3626</v>
      </c>
      <c r="K271" s="72">
        <v>0</v>
      </c>
      <c r="L271" s="72"/>
      <c r="M271" s="72"/>
    </row>
    <row r="272" spans="1:13" s="36" customFormat="1">
      <c r="A272" s="72" t="s">
        <v>3665</v>
      </c>
      <c r="B272" s="72"/>
      <c r="C272" s="72"/>
      <c r="D272" s="72"/>
      <c r="E272" s="72"/>
      <c r="F272" s="72"/>
      <c r="G272" s="72" t="s">
        <v>18</v>
      </c>
      <c r="H272" s="72"/>
      <c r="I272" s="72"/>
      <c r="J272" s="72" t="s">
        <v>3626</v>
      </c>
      <c r="K272" s="72">
        <v>0</v>
      </c>
      <c r="L272" s="72"/>
      <c r="M272" s="72"/>
    </row>
    <row r="273" spans="1:13" s="36" customFormat="1">
      <c r="A273" s="72" t="s">
        <v>3666</v>
      </c>
      <c r="B273" s="72"/>
      <c r="C273" s="72"/>
      <c r="D273" s="72"/>
      <c r="E273" s="72"/>
      <c r="F273" s="72"/>
      <c r="G273" s="72" t="s">
        <v>18</v>
      </c>
      <c r="H273" s="72"/>
      <c r="I273" s="72"/>
      <c r="J273" s="72" t="s">
        <v>3626</v>
      </c>
      <c r="K273" s="72">
        <v>0</v>
      </c>
      <c r="L273" s="72"/>
      <c r="M273" s="72"/>
    </row>
    <row r="274" spans="1:13" s="36" customFormat="1">
      <c r="A274" s="72" t="s">
        <v>3667</v>
      </c>
      <c r="B274" s="72"/>
      <c r="C274" s="72"/>
      <c r="D274" s="72"/>
      <c r="E274" s="72"/>
      <c r="F274" s="72"/>
      <c r="G274" s="72" t="s">
        <v>18</v>
      </c>
      <c r="H274" s="72"/>
      <c r="I274" s="72"/>
      <c r="J274" s="72" t="s">
        <v>3626</v>
      </c>
      <c r="K274" s="72">
        <v>0</v>
      </c>
      <c r="L274" s="72"/>
      <c r="M274" s="72"/>
    </row>
    <row r="275" spans="1:13" s="36" customFormat="1">
      <c r="A275" s="72" t="s">
        <v>3668</v>
      </c>
      <c r="B275" s="72"/>
      <c r="C275" s="72"/>
      <c r="D275" s="72"/>
      <c r="E275" s="72"/>
      <c r="F275" s="72"/>
      <c r="G275" s="72" t="s">
        <v>18</v>
      </c>
      <c r="H275" s="72"/>
      <c r="I275" s="72"/>
      <c r="J275" s="72" t="s">
        <v>3626</v>
      </c>
      <c r="K275" s="72">
        <v>0</v>
      </c>
      <c r="L275" s="72"/>
      <c r="M275" s="72"/>
    </row>
    <row r="276" spans="1:13" s="36" customFormat="1">
      <c r="A276" s="72" t="s">
        <v>3669</v>
      </c>
      <c r="B276" s="72"/>
      <c r="C276" s="72"/>
      <c r="D276" s="72"/>
      <c r="E276" s="72"/>
      <c r="F276" s="72"/>
      <c r="G276" s="72" t="s">
        <v>18</v>
      </c>
      <c r="H276" s="72"/>
      <c r="I276" s="72"/>
      <c r="J276" s="72" t="s">
        <v>3626</v>
      </c>
      <c r="K276" s="72">
        <v>0</v>
      </c>
      <c r="L276" s="72"/>
      <c r="M276" s="72"/>
    </row>
    <row r="277" spans="1:13" s="36" customFormat="1">
      <c r="A277" s="72" t="s">
        <v>3670</v>
      </c>
      <c r="B277" s="72"/>
      <c r="C277" s="72"/>
      <c r="D277" s="72"/>
      <c r="E277" s="72"/>
      <c r="F277" s="72"/>
      <c r="G277" s="72" t="s">
        <v>18</v>
      </c>
      <c r="H277" s="72"/>
      <c r="I277" s="72"/>
      <c r="J277" s="72" t="s">
        <v>3626</v>
      </c>
      <c r="K277" s="72">
        <v>0</v>
      </c>
      <c r="L277" s="72"/>
      <c r="M277" s="72"/>
    </row>
    <row r="278" spans="1:13" s="36" customFormat="1">
      <c r="A278" s="72" t="s">
        <v>3671</v>
      </c>
      <c r="B278" s="72"/>
      <c r="C278" s="72"/>
      <c r="D278" s="72"/>
      <c r="E278" s="72"/>
      <c r="F278" s="72"/>
      <c r="G278" s="72" t="s">
        <v>18</v>
      </c>
      <c r="H278" s="72"/>
      <c r="I278" s="72"/>
      <c r="J278" s="72" t="s">
        <v>3626</v>
      </c>
      <c r="K278" s="72">
        <v>0</v>
      </c>
      <c r="L278" s="72"/>
      <c r="M278" s="72"/>
    </row>
    <row r="279" spans="1:13" s="36" customFormat="1">
      <c r="A279" s="72" t="s">
        <v>3672</v>
      </c>
      <c r="B279" s="72"/>
      <c r="C279" s="72"/>
      <c r="D279" s="72"/>
      <c r="E279" s="72"/>
      <c r="F279" s="72"/>
      <c r="G279" s="72" t="s">
        <v>18</v>
      </c>
      <c r="H279" s="72"/>
      <c r="I279" s="72"/>
      <c r="J279" s="72" t="s">
        <v>3626</v>
      </c>
      <c r="K279" s="72">
        <v>0</v>
      </c>
      <c r="L279" s="72"/>
      <c r="M279" s="72"/>
    </row>
    <row r="280" spans="1:13" s="36" customFormat="1">
      <c r="A280" s="72" t="s">
        <v>3673</v>
      </c>
      <c r="B280" s="72"/>
      <c r="C280" s="72"/>
      <c r="D280" s="72"/>
      <c r="E280" s="72"/>
      <c r="F280" s="72"/>
      <c r="G280" s="72" t="s">
        <v>18</v>
      </c>
      <c r="H280" s="72"/>
      <c r="I280" s="72"/>
      <c r="J280" s="72" t="s">
        <v>3626</v>
      </c>
      <c r="K280" s="72">
        <v>0</v>
      </c>
      <c r="L280" s="72"/>
      <c r="M280" s="72"/>
    </row>
    <row r="281" spans="1:13" s="36" customFormat="1">
      <c r="A281" s="72" t="s">
        <v>3674</v>
      </c>
      <c r="B281" s="72"/>
      <c r="C281" s="72"/>
      <c r="D281" s="72"/>
      <c r="E281" s="72"/>
      <c r="F281" s="72"/>
      <c r="G281" s="72" t="s">
        <v>18</v>
      </c>
      <c r="H281" s="72"/>
      <c r="I281" s="72"/>
      <c r="J281" s="72" t="s">
        <v>3626</v>
      </c>
      <c r="K281" s="72">
        <v>0</v>
      </c>
      <c r="L281" s="72"/>
      <c r="M281" s="72"/>
    </row>
    <row r="282" spans="1:13" s="36" customFormat="1">
      <c r="A282" s="72" t="s">
        <v>3675</v>
      </c>
      <c r="B282" s="72"/>
      <c r="C282" s="72"/>
      <c r="D282" s="72"/>
      <c r="E282" s="72"/>
      <c r="F282" s="72"/>
      <c r="G282" s="72" t="s">
        <v>18</v>
      </c>
      <c r="H282" s="72"/>
      <c r="I282" s="72"/>
      <c r="J282" s="72" t="s">
        <v>3626</v>
      </c>
      <c r="K282" s="72">
        <v>0</v>
      </c>
      <c r="L282" s="72"/>
      <c r="M282" s="72"/>
    </row>
    <row r="283" spans="1:13" s="36" customFormat="1">
      <c r="A283" s="72" t="s">
        <v>3676</v>
      </c>
      <c r="B283" s="72"/>
      <c r="C283" s="72"/>
      <c r="D283" s="72"/>
      <c r="E283" s="72"/>
      <c r="F283" s="72"/>
      <c r="G283" s="72" t="s">
        <v>18</v>
      </c>
      <c r="H283" s="72"/>
      <c r="I283" s="72"/>
      <c r="J283" s="72" t="s">
        <v>3626</v>
      </c>
      <c r="K283" s="72">
        <v>0</v>
      </c>
      <c r="L283" s="72"/>
      <c r="M283" s="72"/>
    </row>
    <row r="284" spans="1:13" s="36" customFormat="1">
      <c r="A284" s="72" t="s">
        <v>3677</v>
      </c>
      <c r="B284" s="72"/>
      <c r="C284" s="72"/>
      <c r="D284" s="72"/>
      <c r="E284" s="72"/>
      <c r="F284" s="72"/>
      <c r="G284" s="72" t="s">
        <v>18</v>
      </c>
      <c r="H284" s="72"/>
      <c r="I284" s="72"/>
      <c r="J284" s="72" t="s">
        <v>3626</v>
      </c>
      <c r="K284" s="72">
        <v>0</v>
      </c>
      <c r="L284" s="72"/>
      <c r="M284" s="72"/>
    </row>
    <row r="285" spans="1:13" s="36" customFormat="1">
      <c r="A285" s="72" t="s">
        <v>3678</v>
      </c>
      <c r="B285" s="72"/>
      <c r="C285" s="72"/>
      <c r="D285" s="72"/>
      <c r="E285" s="72"/>
      <c r="F285" s="72"/>
      <c r="G285" s="72" t="s">
        <v>18</v>
      </c>
      <c r="H285" s="72"/>
      <c r="I285" s="72"/>
      <c r="J285" s="72" t="s">
        <v>3626</v>
      </c>
      <c r="K285" s="72">
        <v>0</v>
      </c>
      <c r="L285" s="72"/>
      <c r="M285" s="72"/>
    </row>
    <row r="286" spans="1:13" s="36" customFormat="1">
      <c r="A286" s="72" t="s">
        <v>3679</v>
      </c>
      <c r="B286" s="72"/>
      <c r="C286" s="72"/>
      <c r="D286" s="72"/>
      <c r="E286" s="72"/>
      <c r="F286" s="72"/>
      <c r="G286" s="72" t="s">
        <v>18</v>
      </c>
      <c r="H286" s="72"/>
      <c r="I286" s="72"/>
      <c r="J286" s="72" t="s">
        <v>3626</v>
      </c>
      <c r="K286" s="72">
        <v>0</v>
      </c>
      <c r="L286" s="72"/>
      <c r="M286" s="72"/>
    </row>
    <row r="287" spans="1:13" s="36" customFormat="1">
      <c r="A287" s="72" t="s">
        <v>3680</v>
      </c>
      <c r="B287" s="72"/>
      <c r="C287" s="72"/>
      <c r="D287" s="72"/>
      <c r="E287" s="72"/>
      <c r="F287" s="72"/>
      <c r="G287" s="72" t="s">
        <v>18</v>
      </c>
      <c r="H287" s="72"/>
      <c r="I287" s="72"/>
      <c r="J287" s="72" t="s">
        <v>3626</v>
      </c>
      <c r="K287" s="72">
        <v>0</v>
      </c>
      <c r="L287" s="72"/>
      <c r="M287" s="72"/>
    </row>
    <row r="288" spans="1:13">
      <c r="A288" t="s">
        <v>3681</v>
      </c>
      <c r="G288" t="s">
        <v>18</v>
      </c>
      <c r="J288" t="s">
        <v>3626</v>
      </c>
      <c r="K288">
        <v>58.6</v>
      </c>
      <c r="L288" t="s">
        <v>1853</v>
      </c>
    </row>
    <row r="289" spans="1:20" s="5" customFormat="1">
      <c r="A289" s="5" t="s">
        <v>3682</v>
      </c>
      <c r="G289" s="5" t="s">
        <v>18</v>
      </c>
      <c r="J289" s="5" t="s">
        <v>3626</v>
      </c>
      <c r="K289" s="5">
        <v>58.6</v>
      </c>
      <c r="L289" s="5" t="s">
        <v>3632</v>
      </c>
      <c r="T289" s="5">
        <f>2/19.48*60</f>
        <v>6.1601642710472273</v>
      </c>
    </row>
    <row r="290" spans="1:20" s="5" customFormat="1">
      <c r="A290" s="5" t="s">
        <v>3683</v>
      </c>
      <c r="G290" s="5" t="s">
        <v>18</v>
      </c>
      <c r="J290" s="5" t="s">
        <v>3626</v>
      </c>
      <c r="K290" s="5">
        <v>0</v>
      </c>
      <c r="L290" s="5" t="s">
        <v>3684</v>
      </c>
      <c r="T290" s="5">
        <f>2/15.03*60</f>
        <v>7.9840319361277459</v>
      </c>
    </row>
    <row r="291" spans="1:20" s="5" customFormat="1">
      <c r="A291" s="5" t="s">
        <v>3685</v>
      </c>
      <c r="G291" s="5" t="s">
        <v>18</v>
      </c>
      <c r="J291" s="5" t="s">
        <v>3626</v>
      </c>
      <c r="K291" s="5">
        <v>57.8</v>
      </c>
      <c r="L291" s="5" t="s">
        <v>3684</v>
      </c>
      <c r="T291" s="5">
        <f>2/10.07*60</f>
        <v>11.916583912611717</v>
      </c>
    </row>
    <row r="292" spans="1:20">
      <c r="A292" s="5" t="s">
        <v>3686</v>
      </c>
      <c r="B292" s="5"/>
      <c r="C292" s="5"/>
      <c r="D292" s="5"/>
      <c r="E292" s="5"/>
      <c r="F292" s="5"/>
      <c r="G292" s="5" t="s">
        <v>18</v>
      </c>
      <c r="H292" s="5"/>
      <c r="I292" s="5"/>
      <c r="J292" s="5" t="s">
        <v>3626</v>
      </c>
      <c r="K292" s="5">
        <v>58.6</v>
      </c>
      <c r="L292" s="5" t="s">
        <v>3629</v>
      </c>
      <c r="M292" s="5"/>
      <c r="T292">
        <f>2/12.33*60</f>
        <v>9.7323600973235997</v>
      </c>
    </row>
    <row r="293" spans="1:20" s="5" customFormat="1">
      <c r="A293" s="5" t="s">
        <v>3687</v>
      </c>
      <c r="G293" s="5" t="s">
        <v>18</v>
      </c>
      <c r="J293" s="5" t="s">
        <v>3626</v>
      </c>
      <c r="K293" s="5">
        <v>58.1</v>
      </c>
      <c r="L293" s="5" t="s">
        <v>3627</v>
      </c>
    </row>
    <row r="294" spans="1:20">
      <c r="A294" s="5" t="s">
        <v>3688</v>
      </c>
      <c r="B294" s="5"/>
      <c r="C294" s="5"/>
      <c r="D294" s="5"/>
      <c r="E294" s="5"/>
      <c r="F294" s="5"/>
      <c r="G294" s="5" t="s">
        <v>18</v>
      </c>
      <c r="H294" s="5"/>
      <c r="I294" s="5"/>
      <c r="J294" s="5" t="s">
        <v>3626</v>
      </c>
      <c r="K294" s="5">
        <v>85.8</v>
      </c>
      <c r="L294" s="5" t="s">
        <v>3627</v>
      </c>
      <c r="M294" s="5"/>
    </row>
    <row r="295" spans="1:20">
      <c r="A295" s="55" t="s">
        <v>3689</v>
      </c>
      <c r="B295" s="55"/>
      <c r="C295" s="55"/>
      <c r="D295" s="55"/>
      <c r="E295" s="55"/>
      <c r="F295" s="55"/>
      <c r="G295" s="55" t="s">
        <v>18</v>
      </c>
      <c r="H295" s="55"/>
      <c r="I295" s="55"/>
      <c r="J295" s="55" t="s">
        <v>3626</v>
      </c>
      <c r="K295" s="73">
        <v>9.75</v>
      </c>
      <c r="L295" s="73" t="s">
        <v>3601</v>
      </c>
      <c r="M295" s="73"/>
      <c r="N295" t="s">
        <v>2246</v>
      </c>
      <c r="O295" t="str">
        <f t="shared" ref="O295:O326" si="8">"condorProc.py --series "&amp;A295&amp;" --donoise --dumps a --procenv environments/pymidas_HVHV_r62_mf.env"</f>
        <v>condorProc.py --series 07170321_1756 --donoise --dumps a --procenv environments/pymidas_HVHV_r62_mf.env</v>
      </c>
    </row>
    <row r="296" spans="1:20">
      <c r="A296" s="55" t="s">
        <v>3690</v>
      </c>
      <c r="B296" s="55"/>
      <c r="C296" s="55"/>
      <c r="D296" s="55"/>
      <c r="E296" s="55"/>
      <c r="F296" s="55"/>
      <c r="G296" s="55" t="s">
        <v>18</v>
      </c>
      <c r="H296" s="55"/>
      <c r="I296" s="55"/>
      <c r="J296" s="55" t="s">
        <v>3626</v>
      </c>
      <c r="K296" s="73">
        <v>9.75</v>
      </c>
      <c r="L296" s="73" t="s">
        <v>3502</v>
      </c>
      <c r="M296" s="73"/>
      <c r="N296" t="s">
        <v>2246</v>
      </c>
      <c r="O296" t="str">
        <f t="shared" si="8"/>
        <v>condorProc.py --series 07170321_1857 --donoise --dumps a --procenv environments/pymidas_HVHV_r62_mf.env</v>
      </c>
    </row>
    <row r="297" spans="1:20">
      <c r="A297" s="55" t="s">
        <v>3691</v>
      </c>
      <c r="B297" s="55"/>
      <c r="C297" s="55"/>
      <c r="D297" s="55"/>
      <c r="E297" s="55"/>
      <c r="F297" s="55"/>
      <c r="G297" s="55" t="s">
        <v>18</v>
      </c>
      <c r="H297" s="55"/>
      <c r="I297" s="55"/>
      <c r="J297" s="55" t="s">
        <v>3626</v>
      </c>
      <c r="K297" s="73">
        <v>9.75</v>
      </c>
      <c r="L297" s="55"/>
      <c r="M297" s="55"/>
      <c r="N297" t="s">
        <v>2246</v>
      </c>
      <c r="O297" t="str">
        <f t="shared" si="8"/>
        <v>condorProc.py --series 07170321_1957 --donoise --dumps a --procenv environments/pymidas_HVHV_r62_mf.env</v>
      </c>
    </row>
    <row r="298" spans="1:20">
      <c r="A298" s="55" t="s">
        <v>3692</v>
      </c>
      <c r="B298" s="55"/>
      <c r="C298" s="55"/>
      <c r="D298" s="55"/>
      <c r="E298" s="55"/>
      <c r="F298" s="55"/>
      <c r="G298" s="55" t="s">
        <v>18</v>
      </c>
      <c r="H298" s="55"/>
      <c r="I298" s="55"/>
      <c r="J298" s="55" t="s">
        <v>3626</v>
      </c>
      <c r="K298" s="73">
        <v>9.75</v>
      </c>
      <c r="L298" s="55" t="s">
        <v>3512</v>
      </c>
      <c r="M298" s="55"/>
      <c r="N298" t="s">
        <v>2246</v>
      </c>
      <c r="O298" t="str">
        <f t="shared" si="8"/>
        <v>condorProc.py --series 07170321_2057 --donoise --dumps a --procenv environments/pymidas_HVHV_r62_mf.env</v>
      </c>
    </row>
    <row r="299" spans="1:20">
      <c r="A299" s="55" t="s">
        <v>3693</v>
      </c>
      <c r="B299" s="55"/>
      <c r="C299" s="55"/>
      <c r="D299" s="55"/>
      <c r="E299" s="55"/>
      <c r="F299" s="55"/>
      <c r="G299" s="55" t="s">
        <v>18</v>
      </c>
      <c r="H299" s="55"/>
      <c r="I299" s="55"/>
      <c r="J299" s="55" t="s">
        <v>3626</v>
      </c>
      <c r="K299" s="73">
        <v>9.75</v>
      </c>
      <c r="L299" s="55"/>
      <c r="M299" s="55"/>
      <c r="N299" t="s">
        <v>2246</v>
      </c>
      <c r="O299" t="str">
        <f t="shared" si="8"/>
        <v>condorProc.py --series 07170321_2157 --donoise --dumps a --procenv environments/pymidas_HVHV_r62_mf.env</v>
      </c>
    </row>
    <row r="300" spans="1:20">
      <c r="A300" s="55" t="s">
        <v>3694</v>
      </c>
      <c r="B300" s="55"/>
      <c r="C300" s="55"/>
      <c r="D300" s="55"/>
      <c r="E300" s="55"/>
      <c r="F300" s="55"/>
      <c r="G300" s="55" t="s">
        <v>18</v>
      </c>
      <c r="H300" s="55"/>
      <c r="I300" s="55"/>
      <c r="J300" s="55" t="s">
        <v>3626</v>
      </c>
      <c r="K300" s="73">
        <v>9.75</v>
      </c>
      <c r="L300" s="55"/>
      <c r="M300" s="55"/>
      <c r="N300" t="s">
        <v>2246</v>
      </c>
      <c r="O300" t="str">
        <f t="shared" si="8"/>
        <v>condorProc.py --series 07170321_2257 --donoise --dumps a --procenv environments/pymidas_HVHV_r62_mf.env</v>
      </c>
    </row>
    <row r="301" spans="1:20">
      <c r="A301" s="55" t="s">
        <v>3695</v>
      </c>
      <c r="B301" s="55"/>
      <c r="C301" s="55"/>
      <c r="D301" s="55"/>
      <c r="E301" s="55"/>
      <c r="F301" s="55"/>
      <c r="G301" s="55" t="s">
        <v>18</v>
      </c>
      <c r="H301" s="55"/>
      <c r="I301" s="55"/>
      <c r="J301" s="55" t="s">
        <v>3626</v>
      </c>
      <c r="K301" s="73">
        <v>9.75</v>
      </c>
      <c r="L301" s="55"/>
      <c r="M301" s="55"/>
      <c r="N301" t="s">
        <v>2246</v>
      </c>
      <c r="O301" t="str">
        <f t="shared" si="8"/>
        <v>condorProc.py --series 07170321_2357 --donoise --dumps a --procenv environments/pymidas_HVHV_r62_mf.env</v>
      </c>
    </row>
    <row r="302" spans="1:20">
      <c r="A302" s="55" t="s">
        <v>3696</v>
      </c>
      <c r="B302" s="55"/>
      <c r="C302" s="55"/>
      <c r="D302" s="55"/>
      <c r="E302" s="55"/>
      <c r="F302" s="55"/>
      <c r="G302" s="55" t="s">
        <v>18</v>
      </c>
      <c r="H302" s="55"/>
      <c r="I302" s="55"/>
      <c r="J302" s="55" t="s">
        <v>3626</v>
      </c>
      <c r="K302" s="73">
        <v>9.75</v>
      </c>
      <c r="L302" s="55"/>
      <c r="M302" s="55"/>
      <c r="N302" t="s">
        <v>2246</v>
      </c>
      <c r="O302" t="str">
        <f t="shared" si="8"/>
        <v>condorProc.py --series 07170322_0058 --donoise --dumps a --procenv environments/pymidas_HVHV_r62_mf.env</v>
      </c>
    </row>
    <row r="303" spans="1:20">
      <c r="A303" s="55" t="s">
        <v>3697</v>
      </c>
      <c r="B303" s="55"/>
      <c r="C303" s="55"/>
      <c r="D303" s="55"/>
      <c r="E303" s="55"/>
      <c r="F303" s="55"/>
      <c r="G303" s="55" t="s">
        <v>18</v>
      </c>
      <c r="H303" s="55"/>
      <c r="I303" s="55"/>
      <c r="J303" s="55" t="s">
        <v>3626</v>
      </c>
      <c r="K303" s="73">
        <v>9.75</v>
      </c>
      <c r="L303" s="55"/>
      <c r="M303" s="55"/>
      <c r="N303" t="s">
        <v>2246</v>
      </c>
      <c r="O303" t="str">
        <f t="shared" si="8"/>
        <v>condorProc.py --series 07170322_0158 --donoise --dumps a --procenv environments/pymidas_HVHV_r62_mf.env</v>
      </c>
    </row>
    <row r="304" spans="1:20">
      <c r="A304" s="55" t="s">
        <v>3698</v>
      </c>
      <c r="B304" s="55"/>
      <c r="C304" s="55"/>
      <c r="D304" s="55"/>
      <c r="E304" s="55"/>
      <c r="F304" s="55"/>
      <c r="G304" s="55" t="s">
        <v>18</v>
      </c>
      <c r="H304" s="55"/>
      <c r="I304" s="55"/>
      <c r="J304" s="55" t="s">
        <v>3626</v>
      </c>
      <c r="K304" s="73">
        <v>9.75</v>
      </c>
      <c r="L304" s="55"/>
      <c r="M304" s="55"/>
      <c r="N304" t="s">
        <v>2246</v>
      </c>
      <c r="O304" t="str">
        <f t="shared" si="8"/>
        <v>condorProc.py --series 07170322_0258 --donoise --dumps a --procenv environments/pymidas_HVHV_r62_mf.env</v>
      </c>
    </row>
    <row r="305" spans="1:16">
      <c r="A305" s="55" t="s">
        <v>3699</v>
      </c>
      <c r="B305" s="55"/>
      <c r="C305" s="55"/>
      <c r="D305" s="55"/>
      <c r="E305" s="55"/>
      <c r="F305" s="55"/>
      <c r="G305" s="55" t="s">
        <v>18</v>
      </c>
      <c r="H305" s="55"/>
      <c r="I305" s="55"/>
      <c r="J305" s="55" t="s">
        <v>3626</v>
      </c>
      <c r="K305" s="73">
        <v>9.75</v>
      </c>
      <c r="L305" s="55"/>
      <c r="M305" s="55"/>
      <c r="N305" t="s">
        <v>2246</v>
      </c>
      <c r="O305" t="str">
        <f t="shared" si="8"/>
        <v>condorProc.py --series 07170322_0358 --donoise --dumps a --procenv environments/pymidas_HVHV_r62_mf.env</v>
      </c>
    </row>
    <row r="306" spans="1:16">
      <c r="A306" s="55" t="s">
        <v>3700</v>
      </c>
      <c r="B306" s="55"/>
      <c r="C306" s="55"/>
      <c r="D306" s="55"/>
      <c r="E306" s="55"/>
      <c r="F306" s="55"/>
      <c r="G306" s="55" t="s">
        <v>18</v>
      </c>
      <c r="H306" s="55"/>
      <c r="I306" s="55"/>
      <c r="J306" s="55" t="s">
        <v>3626</v>
      </c>
      <c r="K306" s="73">
        <v>9.75</v>
      </c>
      <c r="L306" s="55"/>
      <c r="M306" s="55"/>
      <c r="N306" t="s">
        <v>2246</v>
      </c>
      <c r="O306" t="str">
        <f t="shared" si="8"/>
        <v>condorProc.py --series 07170322_0459 --donoise --dumps a --procenv environments/pymidas_HVHV_r62_mf.env</v>
      </c>
    </row>
    <row r="307" spans="1:16">
      <c r="A307" s="55" t="s">
        <v>3701</v>
      </c>
      <c r="B307" s="55"/>
      <c r="C307" s="55"/>
      <c r="D307" s="55"/>
      <c r="E307" s="55"/>
      <c r="F307" s="55"/>
      <c r="G307" s="55" t="s">
        <v>18</v>
      </c>
      <c r="H307" s="55"/>
      <c r="I307" s="55"/>
      <c r="J307" s="55" t="s">
        <v>3626</v>
      </c>
      <c r="K307" s="73">
        <v>9.75</v>
      </c>
      <c r="L307" s="55"/>
      <c r="M307" s="55"/>
      <c r="N307" t="s">
        <v>2246</v>
      </c>
      <c r="O307" t="str">
        <f t="shared" si="8"/>
        <v>condorProc.py --series 07170322_0559 --donoise --dumps a --procenv environments/pymidas_HVHV_r62_mf.env</v>
      </c>
    </row>
    <row r="308" spans="1:16">
      <c r="A308" s="55" t="s">
        <v>3702</v>
      </c>
      <c r="B308" s="55"/>
      <c r="C308" s="55"/>
      <c r="D308" s="55"/>
      <c r="E308" s="55"/>
      <c r="F308" s="55"/>
      <c r="G308" s="55" t="s">
        <v>18</v>
      </c>
      <c r="H308" s="55"/>
      <c r="I308" s="55"/>
      <c r="J308" s="55" t="s">
        <v>3626</v>
      </c>
      <c r="K308" s="73">
        <v>9.75</v>
      </c>
      <c r="L308" s="55"/>
      <c r="M308" s="55"/>
      <c r="N308" t="s">
        <v>2246</v>
      </c>
      <c r="O308" t="str">
        <f t="shared" si="8"/>
        <v>condorProc.py --series 07170322_0659 --donoise --dumps a --procenv environments/pymidas_HVHV_r62_mf.env</v>
      </c>
    </row>
    <row r="309" spans="1:16">
      <c r="A309" s="56" t="s">
        <v>3703</v>
      </c>
      <c r="B309" s="56"/>
      <c r="C309" s="56"/>
      <c r="D309" s="56"/>
      <c r="E309" s="56"/>
      <c r="F309" s="56"/>
      <c r="G309" s="56" t="s">
        <v>3704</v>
      </c>
      <c r="H309" s="56"/>
      <c r="I309" s="56"/>
      <c r="J309" s="56" t="s">
        <v>3626</v>
      </c>
      <c r="K309" s="78">
        <v>0</v>
      </c>
      <c r="L309" s="78" t="s">
        <v>3601</v>
      </c>
      <c r="M309" s="78"/>
      <c r="N309" t="s">
        <v>2246</v>
      </c>
      <c r="O309" t="str">
        <f t="shared" si="8"/>
        <v>condorProc.py --series 07170322_1236 --donoise --dumps a --procenv environments/pymidas_HVHV_r62_mf.env</v>
      </c>
      <c r="P309" t="str">
        <f>""""&amp;A309&amp;""""</f>
        <v>"07170322_1236"</v>
      </c>
    </row>
    <row r="310" spans="1:16">
      <c r="A310" s="79" t="s">
        <v>3705</v>
      </c>
      <c r="B310" s="56"/>
      <c r="C310" s="56"/>
      <c r="D310" s="56"/>
      <c r="E310" s="56"/>
      <c r="F310" s="56"/>
      <c r="G310" s="56" t="s">
        <v>3704</v>
      </c>
      <c r="H310" s="56"/>
      <c r="I310" s="56"/>
      <c r="J310" s="56" t="s">
        <v>3626</v>
      </c>
      <c r="K310" s="78">
        <v>0</v>
      </c>
      <c r="L310" s="78" t="s">
        <v>3706</v>
      </c>
      <c r="M310" s="78"/>
      <c r="N310" t="s">
        <v>2246</v>
      </c>
      <c r="O310" t="str">
        <f t="shared" si="8"/>
        <v>condorProc.py --series 07170322_1336 --donoise --dumps a --procenv environments/pymidas_HVHV_r62_mf.env</v>
      </c>
      <c r="P310" t="str">
        <f>P309&amp;", """&amp;A310&amp;""""</f>
        <v>"07170322_1236", "07170322_1336"</v>
      </c>
    </row>
    <row r="311" spans="1:16">
      <c r="A311" s="80" t="s">
        <v>3707</v>
      </c>
      <c r="B311" s="56"/>
      <c r="C311" s="56"/>
      <c r="D311" s="56"/>
      <c r="E311" s="56"/>
      <c r="F311" s="56"/>
      <c r="G311" s="56" t="s">
        <v>3704</v>
      </c>
      <c r="H311" s="56"/>
      <c r="I311" s="56"/>
      <c r="J311" s="56" t="s">
        <v>3626</v>
      </c>
      <c r="K311" s="78">
        <v>0</v>
      </c>
      <c r="L311" s="78"/>
      <c r="M311" s="78"/>
      <c r="N311" t="s">
        <v>2246</v>
      </c>
      <c r="O311" t="str">
        <f t="shared" si="8"/>
        <v>condorProc.py --series 07170322_1437 --donoise --dumps a --procenv environments/pymidas_HVHV_r62_mf.env</v>
      </c>
      <c r="P311" t="str">
        <f t="shared" ref="P311:P326" si="9">P310&amp;", """&amp;A311&amp;""""</f>
        <v>"07170322_1236", "07170322_1336", "07170322_1437"</v>
      </c>
    </row>
    <row r="312" spans="1:16">
      <c r="A312" s="56" t="s">
        <v>3708</v>
      </c>
      <c r="B312" s="56"/>
      <c r="C312" s="56"/>
      <c r="D312" s="56"/>
      <c r="E312" s="56"/>
      <c r="F312" s="56"/>
      <c r="G312" s="56" t="s">
        <v>3704</v>
      </c>
      <c r="H312" s="56"/>
      <c r="I312" s="56"/>
      <c r="J312" s="56" t="s">
        <v>3626</v>
      </c>
      <c r="K312" s="78">
        <v>0</v>
      </c>
      <c r="L312" s="56" t="s">
        <v>3512</v>
      </c>
      <c r="M312" s="56"/>
      <c r="N312" t="s">
        <v>2246</v>
      </c>
      <c r="O312" t="str">
        <f t="shared" si="8"/>
        <v>condorProc.py --series 07170322_1537 --donoise --dumps a --procenv environments/pymidas_HVHV_r62_mf.env</v>
      </c>
      <c r="P312" t="str">
        <f t="shared" si="9"/>
        <v>"07170322_1236", "07170322_1336", "07170322_1437", "07170322_1537"</v>
      </c>
    </row>
    <row r="313" spans="1:16">
      <c r="A313" s="70" t="s">
        <v>3709</v>
      </c>
      <c r="B313" s="70"/>
      <c r="C313" s="70"/>
      <c r="D313" s="70"/>
      <c r="E313" s="70"/>
      <c r="F313" s="70"/>
      <c r="G313" s="70" t="s">
        <v>18</v>
      </c>
      <c r="H313" s="70"/>
      <c r="I313" s="70"/>
      <c r="J313" s="70" t="s">
        <v>3626</v>
      </c>
      <c r="K313" s="71">
        <v>0</v>
      </c>
      <c r="L313" s="70" t="s">
        <v>3710</v>
      </c>
      <c r="M313" s="70"/>
      <c r="N313" t="s">
        <v>2246</v>
      </c>
      <c r="O313" t="str">
        <f t="shared" si="8"/>
        <v>condorProc.py --series 07170322_1619 --donoise --dumps a --procenv environments/pymidas_HVHV_r62_mf.env</v>
      </c>
      <c r="P313" t="str">
        <f>""""&amp;A313&amp;""""</f>
        <v>"07170322_1619"</v>
      </c>
    </row>
    <row r="314" spans="1:16">
      <c r="A314" s="70" t="s">
        <v>3711</v>
      </c>
      <c r="B314" s="70"/>
      <c r="C314" s="70"/>
      <c r="D314" s="70"/>
      <c r="E314" s="70"/>
      <c r="F314" s="70"/>
      <c r="G314" s="70" t="s">
        <v>18</v>
      </c>
      <c r="H314" s="70"/>
      <c r="I314" s="70"/>
      <c r="J314" s="70" t="s">
        <v>3626</v>
      </c>
      <c r="K314" s="71">
        <v>0</v>
      </c>
      <c r="L314" s="70"/>
      <c r="M314" s="70"/>
      <c r="N314" t="s">
        <v>2246</v>
      </c>
      <c r="O314" t="str">
        <f t="shared" si="8"/>
        <v>condorProc.py --series 07170322_1719 --donoise --dumps a --procenv environments/pymidas_HVHV_r62_mf.env</v>
      </c>
      <c r="P314" t="str">
        <f t="shared" si="9"/>
        <v>"07170322_1619", "07170322_1719"</v>
      </c>
    </row>
    <row r="315" spans="1:16">
      <c r="A315" s="70" t="s">
        <v>3712</v>
      </c>
      <c r="B315" s="70"/>
      <c r="C315" s="70"/>
      <c r="D315" s="70"/>
      <c r="E315" s="70"/>
      <c r="F315" s="70"/>
      <c r="G315" s="70" t="s">
        <v>18</v>
      </c>
      <c r="H315" s="70"/>
      <c r="I315" s="70"/>
      <c r="J315" s="70" t="s">
        <v>3626</v>
      </c>
      <c r="K315" s="71">
        <v>0</v>
      </c>
      <c r="L315" s="70"/>
      <c r="M315" s="70"/>
      <c r="N315" t="s">
        <v>2246</v>
      </c>
      <c r="O315" t="str">
        <f t="shared" si="8"/>
        <v>condorProc.py --series 07170322_1820 --donoise --dumps a --procenv environments/pymidas_HVHV_r62_mf.env</v>
      </c>
      <c r="P315" t="str">
        <f t="shared" si="9"/>
        <v>"07170322_1619", "07170322_1719", "07170322_1820"</v>
      </c>
    </row>
    <row r="316" spans="1:16">
      <c r="A316" s="70" t="s">
        <v>3713</v>
      </c>
      <c r="B316" s="70"/>
      <c r="C316" s="70"/>
      <c r="D316" s="70"/>
      <c r="E316" s="70"/>
      <c r="F316" s="70"/>
      <c r="G316" s="70" t="s">
        <v>18</v>
      </c>
      <c r="H316" s="70"/>
      <c r="I316" s="70"/>
      <c r="J316" s="70" t="s">
        <v>3626</v>
      </c>
      <c r="K316" s="71">
        <v>0</v>
      </c>
      <c r="L316" s="70"/>
      <c r="M316" s="70"/>
      <c r="N316" t="s">
        <v>2246</v>
      </c>
      <c r="O316" t="str">
        <f t="shared" si="8"/>
        <v>condorProc.py --series 07170322_1920 --donoise --dumps a --procenv environments/pymidas_HVHV_r62_mf.env</v>
      </c>
      <c r="P316" t="str">
        <f t="shared" si="9"/>
        <v>"07170322_1619", "07170322_1719", "07170322_1820", "07170322_1920"</v>
      </c>
    </row>
    <row r="317" spans="1:16">
      <c r="A317" s="70" t="s">
        <v>3714</v>
      </c>
      <c r="B317" s="70"/>
      <c r="C317" s="70"/>
      <c r="D317" s="70"/>
      <c r="E317" s="70"/>
      <c r="F317" s="70"/>
      <c r="G317" s="70" t="s">
        <v>18</v>
      </c>
      <c r="H317" s="70"/>
      <c r="I317" s="70"/>
      <c r="J317" s="70" t="s">
        <v>3626</v>
      </c>
      <c r="K317" s="71">
        <v>0</v>
      </c>
      <c r="L317" s="70"/>
      <c r="M317" s="70"/>
      <c r="N317" t="s">
        <v>2246</v>
      </c>
      <c r="O317" t="str">
        <f t="shared" si="8"/>
        <v>condorProc.py --series 07170322_2020 --donoise --dumps a --procenv environments/pymidas_HVHV_r62_mf.env</v>
      </c>
      <c r="P317" t="str">
        <f t="shared" si="9"/>
        <v>"07170322_1619", "07170322_1719", "07170322_1820", "07170322_1920", "07170322_2020"</v>
      </c>
    </row>
    <row r="318" spans="1:16">
      <c r="A318" s="70" t="s">
        <v>3715</v>
      </c>
      <c r="G318" s="70" t="s">
        <v>18</v>
      </c>
      <c r="H318" s="70"/>
      <c r="I318" s="70"/>
      <c r="J318" s="70" t="s">
        <v>3626</v>
      </c>
      <c r="K318" s="71">
        <v>0</v>
      </c>
      <c r="L318" s="70"/>
      <c r="M318" s="70"/>
      <c r="N318" t="s">
        <v>2246</v>
      </c>
      <c r="O318" t="str">
        <f t="shared" si="8"/>
        <v>condorProc.py --series 07170322_2120 --donoise --dumps a --procenv environments/pymidas_HVHV_r62_mf.env</v>
      </c>
      <c r="P318" t="str">
        <f t="shared" si="9"/>
        <v>"07170322_1619", "07170322_1719", "07170322_1820", "07170322_1920", "07170322_2020", "07170322_2120"</v>
      </c>
    </row>
    <row r="319" spans="1:16">
      <c r="A319" s="70" t="s">
        <v>3716</v>
      </c>
      <c r="G319" s="70" t="s">
        <v>18</v>
      </c>
      <c r="H319" s="70"/>
      <c r="I319" s="70"/>
      <c r="J319" s="70" t="s">
        <v>3626</v>
      </c>
      <c r="K319" s="71">
        <v>0</v>
      </c>
      <c r="L319" s="70"/>
      <c r="M319" s="70"/>
      <c r="N319" t="s">
        <v>2246</v>
      </c>
      <c r="O319" t="str">
        <f t="shared" si="8"/>
        <v>condorProc.py --series 07170322_2221 --donoise --dumps a --procenv environments/pymidas_HVHV_r62_mf.env</v>
      </c>
      <c r="P319" t="str">
        <f t="shared" si="9"/>
        <v>"07170322_1619", "07170322_1719", "07170322_1820", "07170322_1920", "07170322_2020", "07170322_2120", "07170322_2221"</v>
      </c>
    </row>
    <row r="320" spans="1:16">
      <c r="A320" s="70" t="s">
        <v>3717</v>
      </c>
      <c r="G320" s="70" t="s">
        <v>18</v>
      </c>
      <c r="H320" s="70"/>
      <c r="I320" s="70"/>
      <c r="J320" s="70" t="s">
        <v>3626</v>
      </c>
      <c r="K320" s="71">
        <v>0</v>
      </c>
      <c r="L320" s="70"/>
      <c r="M320" s="70"/>
      <c r="N320" t="s">
        <v>2246</v>
      </c>
      <c r="O320" t="str">
        <f t="shared" si="8"/>
        <v>condorProc.py --series 07170322_2321 --donoise --dumps a --procenv environments/pymidas_HVHV_r62_mf.env</v>
      </c>
      <c r="P320" t="str">
        <f t="shared" si="9"/>
        <v>"07170322_1619", "07170322_1719", "07170322_1820", "07170322_1920", "07170322_2020", "07170322_2120", "07170322_2221", "07170322_2321"</v>
      </c>
    </row>
    <row r="321" spans="1:16">
      <c r="A321" s="70" t="s">
        <v>3718</v>
      </c>
      <c r="G321" s="70" t="s">
        <v>18</v>
      </c>
      <c r="H321" s="70"/>
      <c r="I321" s="70"/>
      <c r="J321" s="70" t="s">
        <v>3626</v>
      </c>
      <c r="K321" s="71">
        <v>0</v>
      </c>
      <c r="L321" s="70"/>
      <c r="M321" s="70"/>
      <c r="N321" t="s">
        <v>2246</v>
      </c>
      <c r="O321" t="str">
        <f t="shared" si="8"/>
        <v>condorProc.py --series 07170323_0021 --donoise --dumps a --procenv environments/pymidas_HVHV_r62_mf.env</v>
      </c>
      <c r="P321" t="str">
        <f t="shared" si="9"/>
        <v>"07170322_1619", "07170322_1719", "07170322_1820", "07170322_1920", "07170322_2020", "07170322_2120", "07170322_2221", "07170322_2321", "07170323_0021"</v>
      </c>
    </row>
    <row r="322" spans="1:16">
      <c r="A322" s="70" t="s">
        <v>3719</v>
      </c>
      <c r="G322" s="70" t="s">
        <v>18</v>
      </c>
      <c r="H322" s="70"/>
      <c r="I322" s="70"/>
      <c r="J322" s="70" t="s">
        <v>3626</v>
      </c>
      <c r="K322" s="71">
        <v>0</v>
      </c>
      <c r="L322" s="70"/>
      <c r="M322" s="70"/>
      <c r="N322" t="s">
        <v>2246</v>
      </c>
      <c r="O322" t="str">
        <f t="shared" si="8"/>
        <v>condorProc.py --series 07170323_0121 --donoise --dumps a --procenv environments/pymidas_HVHV_r62_mf.env</v>
      </c>
      <c r="P322" t="str">
        <f t="shared" si="9"/>
        <v>"07170322_1619", "07170322_1719", "07170322_1820", "07170322_1920", "07170322_2020", "07170322_2120", "07170322_2221", "07170322_2321", "07170323_0021", "07170323_0121"</v>
      </c>
    </row>
    <row r="323" spans="1:16">
      <c r="A323" s="70" t="s">
        <v>3720</v>
      </c>
      <c r="G323" s="70" t="s">
        <v>18</v>
      </c>
      <c r="H323" s="70"/>
      <c r="I323" s="70"/>
      <c r="J323" s="70" t="s">
        <v>3626</v>
      </c>
      <c r="K323" s="71">
        <v>0</v>
      </c>
      <c r="L323" s="70"/>
      <c r="M323" s="70"/>
      <c r="N323" t="s">
        <v>2246</v>
      </c>
      <c r="O323" t="str">
        <f t="shared" si="8"/>
        <v>condorProc.py --series 07170323_0222 --donoise --dumps a --procenv environments/pymidas_HVHV_r62_mf.env</v>
      </c>
      <c r="P323" t="str">
        <f t="shared" si="9"/>
        <v>"07170322_1619", "07170322_1719", "07170322_1820", "07170322_1920", "07170322_2020", "07170322_2120", "07170322_2221", "07170322_2321", "07170323_0021", "07170323_0121", "07170323_0222"</v>
      </c>
    </row>
    <row r="324" spans="1:16">
      <c r="A324" s="70" t="s">
        <v>3721</v>
      </c>
      <c r="G324" s="70" t="s">
        <v>18</v>
      </c>
      <c r="H324" s="70"/>
      <c r="I324" s="70"/>
      <c r="J324" s="70" t="s">
        <v>3626</v>
      </c>
      <c r="K324" s="71">
        <v>0</v>
      </c>
      <c r="L324" s="70"/>
      <c r="M324" s="70"/>
      <c r="N324" t="s">
        <v>2246</v>
      </c>
      <c r="O324" t="str">
        <f t="shared" si="8"/>
        <v>condorProc.py --series 07170323_0322 --donoise --dumps a --procenv environments/pymidas_HVHV_r62_mf.env</v>
      </c>
      <c r="P324" t="str">
        <f t="shared" si="9"/>
        <v>"07170322_1619", "07170322_1719", "07170322_1820", "07170322_1920", "07170322_2020", "07170322_2120", "07170322_2221", "07170322_2321", "07170323_0021", "07170323_0121", "07170323_0222", "07170323_0322"</v>
      </c>
    </row>
    <row r="325" spans="1:16">
      <c r="A325" s="70" t="s">
        <v>3722</v>
      </c>
      <c r="G325" s="70" t="s">
        <v>18</v>
      </c>
      <c r="H325" s="70"/>
      <c r="I325" s="70"/>
      <c r="J325" s="70" t="s">
        <v>3626</v>
      </c>
      <c r="K325" s="71">
        <v>0</v>
      </c>
      <c r="L325" s="70"/>
      <c r="M325" s="70"/>
      <c r="N325" t="s">
        <v>2246</v>
      </c>
      <c r="O325" t="str">
        <f t="shared" si="8"/>
        <v>condorProc.py --series 07170323_0422 --donoise --dumps a --procenv environments/pymidas_HVHV_r62_mf.env</v>
      </c>
      <c r="P325" t="str">
        <f t="shared" si="9"/>
        <v>"07170322_1619", "07170322_1719", "07170322_1820", "07170322_1920", "07170322_2020", "07170322_2120", "07170322_2221", "07170322_2321", "07170323_0021", "07170323_0121", "07170323_0222", "07170323_0322", "07170323_0422"</v>
      </c>
    </row>
    <row r="326" spans="1:16">
      <c r="A326" s="70" t="s">
        <v>3723</v>
      </c>
      <c r="G326" s="70" t="s">
        <v>18</v>
      </c>
      <c r="H326" s="70"/>
      <c r="I326" s="70"/>
      <c r="J326" s="70" t="s">
        <v>3626</v>
      </c>
      <c r="K326" s="71">
        <v>0</v>
      </c>
      <c r="L326" s="70"/>
      <c r="M326" s="70"/>
      <c r="N326" t="s">
        <v>2246</v>
      </c>
      <c r="O326" t="str">
        <f t="shared" si="8"/>
        <v>condorProc.py --series 07170323_0522 --donoise --dumps a --procenv environments/pymidas_HVHV_r62_mf.env</v>
      </c>
      <c r="P326" t="str">
        <f t="shared" si="9"/>
        <v>"07170322_1619", "07170322_1719", "07170322_1820", "07170322_1920", "07170322_2020", "07170322_2120", "07170322_2221", "07170322_2321", "07170323_0021", "07170323_0121", "07170323_0222", "07170323_0322", "07170323_0422", "07170323_0522"</v>
      </c>
    </row>
    <row r="327" spans="1:16">
      <c r="A327" s="57" t="s">
        <v>3724</v>
      </c>
      <c r="B327" s="57"/>
      <c r="C327" s="57"/>
      <c r="D327" s="57"/>
      <c r="E327" s="57"/>
      <c r="F327" s="57"/>
      <c r="G327" s="57" t="s">
        <v>18</v>
      </c>
      <c r="H327" s="57"/>
      <c r="I327" s="57"/>
      <c r="J327" s="57" t="s">
        <v>3626</v>
      </c>
      <c r="K327" s="82">
        <v>19.399999999999999</v>
      </c>
      <c r="L327" s="82" t="s">
        <v>3601</v>
      </c>
      <c r="M327" s="82"/>
    </row>
    <row r="328" spans="1:16">
      <c r="A328" s="57" t="s">
        <v>3725</v>
      </c>
      <c r="B328" s="57"/>
      <c r="C328" s="57"/>
      <c r="D328" s="57"/>
      <c r="E328" s="57"/>
      <c r="F328" s="57"/>
      <c r="G328" s="57" t="s">
        <v>18</v>
      </c>
      <c r="H328" s="57"/>
      <c r="I328" s="57"/>
      <c r="J328" s="57" t="s">
        <v>3626</v>
      </c>
      <c r="K328" s="82">
        <v>19.399999999999999</v>
      </c>
      <c r="L328" s="82" t="s">
        <v>3502</v>
      </c>
      <c r="M328" s="82"/>
    </row>
    <row r="329" spans="1:16">
      <c r="A329" s="57" t="s">
        <v>3726</v>
      </c>
      <c r="B329" s="57"/>
      <c r="C329" s="57"/>
      <c r="D329" s="57"/>
      <c r="E329" s="57"/>
      <c r="F329" s="57"/>
      <c r="G329" s="57" t="s">
        <v>18</v>
      </c>
      <c r="H329" s="57"/>
      <c r="I329" s="57"/>
      <c r="J329" s="57" t="s">
        <v>3626</v>
      </c>
      <c r="K329" s="82">
        <v>19.399999999999999</v>
      </c>
      <c r="L329" s="57"/>
      <c r="M329" s="57"/>
    </row>
    <row r="330" spans="1:16">
      <c r="A330" s="57" t="s">
        <v>3727</v>
      </c>
      <c r="B330" s="57"/>
      <c r="C330" s="57"/>
      <c r="D330" s="57"/>
      <c r="E330" s="57"/>
      <c r="F330" s="57"/>
      <c r="G330" s="57" t="s">
        <v>18</v>
      </c>
      <c r="H330" s="57"/>
      <c r="I330" s="57"/>
      <c r="J330" s="57" t="s">
        <v>3626</v>
      </c>
      <c r="K330" s="82">
        <v>19.399999999999999</v>
      </c>
      <c r="L330" s="57" t="s">
        <v>3512</v>
      </c>
      <c r="M330" s="57"/>
    </row>
    <row r="331" spans="1:16">
      <c r="A331" s="57" t="s">
        <v>3728</v>
      </c>
      <c r="B331" s="57"/>
      <c r="C331" s="57"/>
      <c r="D331" s="57"/>
      <c r="E331" s="57"/>
      <c r="F331" s="57"/>
      <c r="G331" s="57" t="s">
        <v>18</v>
      </c>
      <c r="H331" s="57"/>
      <c r="I331" s="57"/>
      <c r="J331" s="57" t="s">
        <v>3626</v>
      </c>
      <c r="K331" s="82">
        <v>19.399999999999999</v>
      </c>
      <c r="L331" s="83" t="s">
        <v>3729</v>
      </c>
      <c r="M331" s="83"/>
    </row>
    <row r="332" spans="1:16">
      <c r="A332" s="57" t="s">
        <v>3730</v>
      </c>
      <c r="B332" s="57"/>
      <c r="C332" s="57"/>
      <c r="D332" s="57"/>
      <c r="E332" s="57"/>
      <c r="F332" s="57"/>
      <c r="G332" s="57" t="s">
        <v>18</v>
      </c>
      <c r="H332" s="57"/>
      <c r="I332" s="57"/>
      <c r="J332" s="57" t="s">
        <v>3626</v>
      </c>
      <c r="K332" s="82">
        <v>19.399999999999999</v>
      </c>
      <c r="L332" s="57"/>
      <c r="M332" s="57"/>
    </row>
    <row r="333" spans="1:16">
      <c r="A333" s="57" t="s">
        <v>3731</v>
      </c>
      <c r="B333" s="57"/>
      <c r="C333" s="57"/>
      <c r="D333" s="57"/>
      <c r="E333" s="57"/>
      <c r="F333" s="57"/>
      <c r="G333" s="57" t="s">
        <v>18</v>
      </c>
      <c r="H333" s="57"/>
      <c r="I333" s="57"/>
      <c r="J333" s="57" t="s">
        <v>3626</v>
      </c>
      <c r="K333" s="82">
        <v>19.399999999999999</v>
      </c>
      <c r="L333" s="57" t="s">
        <v>3732</v>
      </c>
      <c r="M333" s="57"/>
    </row>
    <row r="334" spans="1:16">
      <c r="A334" s="57" t="s">
        <v>3733</v>
      </c>
      <c r="B334" s="57"/>
      <c r="C334" s="57"/>
      <c r="D334" s="57"/>
      <c r="E334" s="57"/>
      <c r="F334" s="57"/>
      <c r="G334" s="57" t="s">
        <v>18</v>
      </c>
      <c r="H334" s="57"/>
      <c r="I334" s="57"/>
      <c r="J334" s="57" t="s">
        <v>3626</v>
      </c>
      <c r="K334" s="82">
        <v>19.399999999999999</v>
      </c>
      <c r="L334" s="57"/>
      <c r="M334" s="57"/>
    </row>
    <row r="335" spans="1:16">
      <c r="A335" s="57" t="s">
        <v>3734</v>
      </c>
      <c r="G335" s="57" t="s">
        <v>18</v>
      </c>
      <c r="H335" s="57"/>
      <c r="I335" s="57"/>
      <c r="J335" s="57" t="s">
        <v>3626</v>
      </c>
      <c r="K335" s="82">
        <v>19.399999999999999</v>
      </c>
      <c r="L335" s="57"/>
      <c r="M335" s="57"/>
    </row>
    <row r="336" spans="1:16">
      <c r="A336" s="57" t="s">
        <v>3735</v>
      </c>
      <c r="G336" s="57" t="s">
        <v>18</v>
      </c>
      <c r="H336" s="57"/>
      <c r="I336" s="57"/>
      <c r="J336" s="57" t="s">
        <v>3626</v>
      </c>
      <c r="K336" s="82">
        <v>19.399999999999999</v>
      </c>
      <c r="L336" s="57"/>
      <c r="M336" s="57"/>
    </row>
    <row r="337" spans="1:16">
      <c r="A337" s="57" t="s">
        <v>3736</v>
      </c>
      <c r="G337" s="57" t="s">
        <v>18</v>
      </c>
      <c r="H337" s="57"/>
      <c r="I337" s="57"/>
      <c r="J337" s="57" t="s">
        <v>3626</v>
      </c>
      <c r="K337" s="82">
        <v>19.399999999999999</v>
      </c>
      <c r="L337" s="57"/>
      <c r="M337" s="57"/>
    </row>
    <row r="338" spans="1:16">
      <c r="A338" s="57" t="s">
        <v>3737</v>
      </c>
      <c r="G338" s="57" t="s">
        <v>18</v>
      </c>
      <c r="H338" s="57"/>
      <c r="I338" s="57"/>
      <c r="J338" s="57" t="s">
        <v>3626</v>
      </c>
      <c r="K338" s="82">
        <v>19.399999999999999</v>
      </c>
      <c r="L338" s="57"/>
      <c r="M338" s="57"/>
    </row>
    <row r="339" spans="1:16">
      <c r="A339" s="5" t="s">
        <v>3738</v>
      </c>
      <c r="G339" s="5" t="s">
        <v>18</v>
      </c>
      <c r="H339" s="5"/>
      <c r="I339" s="5"/>
      <c r="J339" s="5" t="s">
        <v>3626</v>
      </c>
      <c r="K339" s="5">
        <v>87.3</v>
      </c>
      <c r="L339" s="5" t="s">
        <v>3684</v>
      </c>
      <c r="M339" s="5"/>
    </row>
    <row r="340" spans="1:16">
      <c r="A340" s="5" t="s">
        <v>3739</v>
      </c>
      <c r="G340" s="5" t="s">
        <v>18</v>
      </c>
      <c r="H340" s="5"/>
      <c r="I340" s="5"/>
      <c r="J340" s="5" t="s">
        <v>3626</v>
      </c>
      <c r="K340" s="5">
        <v>87.3</v>
      </c>
      <c r="L340" s="5" t="s">
        <v>3629</v>
      </c>
      <c r="M340" s="5"/>
    </row>
    <row r="341" spans="1:16">
      <c r="A341" s="81" t="s">
        <v>3740</v>
      </c>
      <c r="G341" s="81" t="s">
        <v>18</v>
      </c>
      <c r="H341" s="81"/>
      <c r="I341" s="81"/>
      <c r="J341" s="81" t="s">
        <v>3626</v>
      </c>
      <c r="K341" s="81">
        <v>19.899999999999999</v>
      </c>
      <c r="L341" s="72" t="s">
        <v>3601</v>
      </c>
      <c r="M341" s="72"/>
      <c r="N341" t="s">
        <v>2246</v>
      </c>
      <c r="O341" t="str">
        <f t="shared" ref="O341:O388" si="10">"condorProc.py --series "&amp;A341&amp;" --donoise --dumps a --procenv environments/pymidas_HVHV_r62_mf.env"</f>
        <v>condorProc.py --series 07170324_1548 --donoise --dumps a --procenv environments/pymidas_HVHV_r62_mf.env</v>
      </c>
      <c r="P341" t="str">
        <f>""""&amp;A341&amp;""""</f>
        <v>"07170324_1548"</v>
      </c>
    </row>
    <row r="342" spans="1:16">
      <c r="A342" s="81" t="s">
        <v>3741</v>
      </c>
      <c r="G342" s="81" t="s">
        <v>18</v>
      </c>
      <c r="H342" s="81"/>
      <c r="I342" s="81"/>
      <c r="J342" s="81" t="s">
        <v>3626</v>
      </c>
      <c r="K342" s="81">
        <v>19.899999999999999</v>
      </c>
      <c r="L342" s="72" t="s">
        <v>3742</v>
      </c>
      <c r="M342" s="72"/>
      <c r="N342" t="s">
        <v>2246</v>
      </c>
      <c r="O342" t="str">
        <f t="shared" si="10"/>
        <v>condorProc.py --series 07170324_1648 --donoise --dumps a --procenv environments/pymidas_HVHV_r62_mf.env</v>
      </c>
      <c r="P342" t="str">
        <f>P341&amp;", """&amp;A342&amp;""""</f>
        <v>"07170324_1548", "07170324_1648"</v>
      </c>
    </row>
    <row r="343" spans="1:16">
      <c r="A343" s="81" t="s">
        <v>3743</v>
      </c>
      <c r="G343" s="81" t="s">
        <v>18</v>
      </c>
      <c r="H343" s="81"/>
      <c r="I343" s="81"/>
      <c r="J343" s="81" t="s">
        <v>3626</v>
      </c>
      <c r="K343" s="81">
        <v>19.899999999999999</v>
      </c>
      <c r="L343" s="81"/>
      <c r="M343" s="81"/>
      <c r="N343" t="s">
        <v>2246</v>
      </c>
      <c r="O343" t="str">
        <f t="shared" si="10"/>
        <v>condorProc.py --series 07170324_1749 --donoise --dumps a --procenv environments/pymidas_HVHV_r62_mf.env</v>
      </c>
      <c r="P343" t="str">
        <f t="shared" ref="P343:P356" si="11">P342&amp;", """&amp;A343&amp;""""</f>
        <v>"07170324_1548", "07170324_1648", "07170324_1749"</v>
      </c>
    </row>
    <row r="344" spans="1:16">
      <c r="A344" s="81" t="s">
        <v>3744</v>
      </c>
      <c r="G344" s="81" t="s">
        <v>18</v>
      </c>
      <c r="H344" s="81"/>
      <c r="I344" s="81"/>
      <c r="J344" s="81" t="s">
        <v>3626</v>
      </c>
      <c r="K344" s="81">
        <v>19.899999999999999</v>
      </c>
      <c r="L344" s="81" t="s">
        <v>3512</v>
      </c>
      <c r="M344" s="81"/>
      <c r="N344" t="s">
        <v>2246</v>
      </c>
      <c r="O344" t="str">
        <f t="shared" si="10"/>
        <v>condorProc.py --series 07170324_1849 --donoise --dumps a --procenv environments/pymidas_HVHV_r62_mf.env</v>
      </c>
      <c r="P344" t="str">
        <f t="shared" si="11"/>
        <v>"07170324_1548", "07170324_1648", "07170324_1749", "07170324_1849"</v>
      </c>
    </row>
    <row r="345" spans="1:16">
      <c r="A345" s="81" t="s">
        <v>3745</v>
      </c>
      <c r="G345" s="81" t="s">
        <v>18</v>
      </c>
      <c r="H345" s="81"/>
      <c r="I345" s="81"/>
      <c r="J345" s="81" t="s">
        <v>3626</v>
      </c>
      <c r="K345" s="81">
        <v>19.899999999999999</v>
      </c>
      <c r="L345" s="81"/>
      <c r="M345" s="81"/>
      <c r="N345" t="s">
        <v>2246</v>
      </c>
      <c r="O345" t="str">
        <f t="shared" si="10"/>
        <v>condorProc.py --series 07170324_1949 --donoise --dumps a --procenv environments/pymidas_HVHV_r62_mf.env</v>
      </c>
      <c r="P345" t="str">
        <f t="shared" si="11"/>
        <v>"07170324_1548", "07170324_1648", "07170324_1749", "07170324_1849", "07170324_1949"</v>
      </c>
    </row>
    <row r="346" spans="1:16">
      <c r="A346" s="81" t="s">
        <v>3746</v>
      </c>
      <c r="G346" s="81" t="s">
        <v>18</v>
      </c>
      <c r="H346" s="81"/>
      <c r="I346" s="81"/>
      <c r="J346" s="81" t="s">
        <v>3626</v>
      </c>
      <c r="K346" s="81">
        <v>19.899999999999999</v>
      </c>
      <c r="L346" s="81" t="s">
        <v>3747</v>
      </c>
      <c r="M346" s="81"/>
      <c r="N346" t="s">
        <v>2246</v>
      </c>
      <c r="O346" t="str">
        <f t="shared" si="10"/>
        <v>condorProc.py --series 07170324_2049 --donoise --dumps a --procenv environments/pymidas_HVHV_r62_mf.env</v>
      </c>
      <c r="P346" t="str">
        <f t="shared" si="11"/>
        <v>"07170324_1548", "07170324_1648", "07170324_1749", "07170324_1849", "07170324_1949", "07170324_2049"</v>
      </c>
    </row>
    <row r="347" spans="1:16">
      <c r="A347" s="81" t="s">
        <v>3748</v>
      </c>
      <c r="G347" s="81" t="s">
        <v>18</v>
      </c>
      <c r="H347" s="81"/>
      <c r="I347" s="81"/>
      <c r="J347" s="81" t="s">
        <v>3626</v>
      </c>
      <c r="K347" s="81">
        <v>19.899999999999999</v>
      </c>
      <c r="L347" s="81" t="s">
        <v>3749</v>
      </c>
      <c r="M347" s="81"/>
      <c r="N347" t="s">
        <v>2246</v>
      </c>
      <c r="O347" t="str">
        <f t="shared" si="10"/>
        <v>condorProc.py --series 07170324_2150 --donoise --dumps a --procenv environments/pymidas_HVHV_r62_mf.env</v>
      </c>
      <c r="P347" t="str">
        <f t="shared" si="11"/>
        <v>"07170324_1548", "07170324_1648", "07170324_1749", "07170324_1849", "07170324_1949", "07170324_2049", "07170324_2150"</v>
      </c>
    </row>
    <row r="348" spans="1:16">
      <c r="A348" s="81" t="s">
        <v>3750</v>
      </c>
      <c r="G348" s="81" t="s">
        <v>18</v>
      </c>
      <c r="H348" s="81"/>
      <c r="I348" s="81"/>
      <c r="J348" s="81" t="s">
        <v>3626</v>
      </c>
      <c r="K348" s="81">
        <v>19.899999999999999</v>
      </c>
      <c r="L348" s="81" t="s">
        <v>3751</v>
      </c>
      <c r="M348" s="81"/>
      <c r="N348" t="s">
        <v>2246</v>
      </c>
      <c r="O348" t="str">
        <f t="shared" si="10"/>
        <v>condorProc.py --series 07170324_2250 --donoise --dumps a --procenv environments/pymidas_HVHV_r62_mf.env</v>
      </c>
      <c r="P348" t="str">
        <f t="shared" si="11"/>
        <v>"07170324_1548", "07170324_1648", "07170324_1749", "07170324_1849", "07170324_1949", "07170324_2049", "07170324_2150", "07170324_2250"</v>
      </c>
    </row>
    <row r="349" spans="1:16">
      <c r="A349" s="81" t="s">
        <v>3752</v>
      </c>
      <c r="G349" s="81" t="s">
        <v>18</v>
      </c>
      <c r="H349" s="81"/>
      <c r="I349" s="81"/>
      <c r="J349" s="81" t="s">
        <v>3626</v>
      </c>
      <c r="K349" s="81">
        <v>19.899999999999999</v>
      </c>
      <c r="L349" s="81"/>
      <c r="M349" s="81"/>
      <c r="N349" t="s">
        <v>2246</v>
      </c>
      <c r="O349" t="str">
        <f t="shared" si="10"/>
        <v>condorProc.py --series 07170324_2350 --donoise --dumps a --procenv environments/pymidas_HVHV_r62_mf.env</v>
      </c>
      <c r="P349" t="str">
        <f t="shared" si="11"/>
        <v>"07170324_1548", "07170324_1648", "07170324_1749", "07170324_1849", "07170324_1949", "07170324_2049", "07170324_2150", "07170324_2250", "07170324_2350"</v>
      </c>
    </row>
    <row r="350" spans="1:16">
      <c r="A350" s="81" t="s">
        <v>3753</v>
      </c>
      <c r="G350" s="81" t="s">
        <v>18</v>
      </c>
      <c r="H350" s="81"/>
      <c r="I350" s="81"/>
      <c r="J350" s="81" t="s">
        <v>3626</v>
      </c>
      <c r="K350" s="81">
        <v>19.899999999999999</v>
      </c>
      <c r="L350" s="81"/>
      <c r="M350" s="81"/>
      <c r="N350" t="s">
        <v>2246</v>
      </c>
      <c r="O350" t="str">
        <f t="shared" si="10"/>
        <v>condorProc.py --series 07170325_0051 --donoise --dumps a --procenv environments/pymidas_HVHV_r62_mf.env</v>
      </c>
      <c r="P350" t="str">
        <f t="shared" si="11"/>
        <v>"07170324_1548", "07170324_1648", "07170324_1749", "07170324_1849", "07170324_1949", "07170324_2049", "07170324_2150", "07170324_2250", "07170324_2350", "07170325_0051"</v>
      </c>
    </row>
    <row r="351" spans="1:16">
      <c r="A351" s="81" t="s">
        <v>3754</v>
      </c>
      <c r="G351" s="81" t="s">
        <v>18</v>
      </c>
      <c r="H351" s="81"/>
      <c r="I351" s="81"/>
      <c r="J351" s="81" t="s">
        <v>3626</v>
      </c>
      <c r="K351" s="81">
        <v>19.899999999999999</v>
      </c>
      <c r="L351" s="81"/>
      <c r="M351" s="81"/>
      <c r="N351" t="s">
        <v>2246</v>
      </c>
      <c r="O351" t="str">
        <f t="shared" si="10"/>
        <v>condorProc.py --series 07170325_0151 --donoise --dumps a --procenv environments/pymidas_HVHV_r62_mf.env</v>
      </c>
      <c r="P351" t="str">
        <f t="shared" si="11"/>
        <v>"07170324_1548", "07170324_1648", "07170324_1749", "07170324_1849", "07170324_1949", "07170324_2049", "07170324_2150", "07170324_2250", "07170324_2350", "07170325_0051", "07170325_0151"</v>
      </c>
    </row>
    <row r="352" spans="1:16">
      <c r="A352" s="81" t="s">
        <v>3755</v>
      </c>
      <c r="G352" s="81" t="s">
        <v>18</v>
      </c>
      <c r="H352" s="81"/>
      <c r="I352" s="81"/>
      <c r="J352" s="81" t="s">
        <v>3626</v>
      </c>
      <c r="K352" s="81">
        <v>19.899999999999999</v>
      </c>
      <c r="L352" s="81"/>
      <c r="M352" s="81"/>
      <c r="N352" t="s">
        <v>2246</v>
      </c>
      <c r="O352" t="str">
        <f t="shared" si="10"/>
        <v>condorProc.py --series 07170325_0252 --donoise --dumps a --procenv environments/pymidas_HVHV_r62_mf.env</v>
      </c>
      <c r="P352" t="str">
        <f t="shared" si="11"/>
        <v>"07170324_1548", "07170324_1648", "07170324_1749", "07170324_1849", "07170324_1949", "07170324_2049", "07170324_2150", "07170324_2250", "07170324_2350", "07170325_0051", "07170325_0151", "07170325_0252"</v>
      </c>
    </row>
    <row r="353" spans="1:16">
      <c r="A353" s="81" t="s">
        <v>3756</v>
      </c>
      <c r="G353" s="81" t="s">
        <v>18</v>
      </c>
      <c r="H353" s="81"/>
      <c r="I353" s="81"/>
      <c r="J353" s="81" t="s">
        <v>3626</v>
      </c>
      <c r="K353" s="81">
        <v>19.899999999999999</v>
      </c>
      <c r="L353" s="81"/>
      <c r="M353" s="81"/>
      <c r="N353" t="s">
        <v>2246</v>
      </c>
      <c r="O353" t="str">
        <f t="shared" si="10"/>
        <v>condorProc.py --series 07170325_0352 --donoise --dumps a --procenv environments/pymidas_HVHV_r62_mf.env</v>
      </c>
      <c r="P353" t="str">
        <f t="shared" si="11"/>
        <v>"07170324_1548", "07170324_1648", "07170324_1749", "07170324_1849", "07170324_1949", "07170324_2049", "07170324_2150", "07170324_2250", "07170324_2350", "07170325_0051", "07170325_0151", "07170325_0252", "07170325_0352"</v>
      </c>
    </row>
    <row r="354" spans="1:16">
      <c r="A354" s="81" t="s">
        <v>3757</v>
      </c>
      <c r="G354" s="81" t="s">
        <v>18</v>
      </c>
      <c r="H354" s="81"/>
      <c r="I354" s="81"/>
      <c r="J354" s="81" t="s">
        <v>3626</v>
      </c>
      <c r="K354" s="81">
        <v>19.899999999999999</v>
      </c>
      <c r="L354" s="81"/>
      <c r="M354" s="81"/>
      <c r="N354" t="s">
        <v>2246</v>
      </c>
      <c r="O354" t="str">
        <f t="shared" si="10"/>
        <v>condorProc.py --series 07170325_0452 --donoise --dumps a --procenv environments/pymidas_HVHV_r62_mf.env</v>
      </c>
      <c r="P354" t="str">
        <f t="shared" si="11"/>
        <v>"07170324_1548", "07170324_1648", "07170324_1749", "07170324_1849", "07170324_1949", "07170324_2049", "07170324_2150", "07170324_2250", "07170324_2350", "07170325_0051", "07170325_0151", "07170325_0252", "07170325_0352", "07170325_0452"</v>
      </c>
    </row>
    <row r="355" spans="1:16">
      <c r="A355" s="81" t="s">
        <v>3758</v>
      </c>
      <c r="G355" s="81" t="s">
        <v>18</v>
      </c>
      <c r="H355" s="81"/>
      <c r="I355" s="81"/>
      <c r="J355" s="81" t="s">
        <v>3626</v>
      </c>
      <c r="K355" s="81">
        <v>19.899999999999999</v>
      </c>
      <c r="L355" s="81"/>
      <c r="M355" s="81"/>
      <c r="N355" t="s">
        <v>2246</v>
      </c>
      <c r="O355" t="str">
        <f t="shared" si="10"/>
        <v>condorProc.py --series 07170325_0553 --donoise --dumps a --procenv environments/pymidas_HVHV_r62_mf.env</v>
      </c>
      <c r="P355" t="str">
        <f t="shared" si="11"/>
        <v>"07170324_1548", "07170324_1648", "07170324_1749", "07170324_1849", "07170324_1949", "07170324_2049", "07170324_2150", "07170324_2250", "07170324_2350", "07170325_0051", "07170325_0151", "07170325_0252", "07170325_0352", "07170325_0452", "07170325_0553"</v>
      </c>
    </row>
    <row r="356" spans="1:16">
      <c r="A356" s="81" t="s">
        <v>3759</v>
      </c>
      <c r="G356" s="81" t="s">
        <v>18</v>
      </c>
      <c r="H356" s="81"/>
      <c r="I356" s="81"/>
      <c r="J356" s="81" t="s">
        <v>3626</v>
      </c>
      <c r="K356" s="81">
        <v>19.899999999999999</v>
      </c>
      <c r="L356" s="81"/>
      <c r="M356" s="81"/>
      <c r="N356" t="s">
        <v>2246</v>
      </c>
      <c r="O356" t="str">
        <f t="shared" si="10"/>
        <v>condorProc.py --series 07170325_0653 --donoise --dumps a --procenv environments/pymidas_HVHV_r62_mf.env</v>
      </c>
      <c r="P356" t="str">
        <f t="shared" si="11"/>
        <v>"07170324_1548", "07170324_1648", "07170324_1749", "07170324_1849", "07170324_1949", "07170324_2049", "07170324_2150", "07170324_2250", "07170324_2350", "07170325_0051", "07170325_0151", "07170325_0252", "07170325_0352", "07170325_0452", "07170325_0553", "07170325_0653"</v>
      </c>
    </row>
    <row r="357" spans="1:16">
      <c r="A357" s="57" t="s">
        <v>3760</v>
      </c>
      <c r="B357" s="57"/>
      <c r="C357" s="57"/>
      <c r="D357" s="57"/>
      <c r="E357" s="57"/>
      <c r="F357" s="57"/>
      <c r="G357" s="57" t="s">
        <v>18</v>
      </c>
      <c r="H357" s="57"/>
      <c r="I357" s="57"/>
      <c r="J357" s="57" t="s">
        <v>3626</v>
      </c>
      <c r="K357" s="57">
        <v>49.2</v>
      </c>
      <c r="L357" s="82" t="s">
        <v>3601</v>
      </c>
      <c r="M357" s="82"/>
      <c r="N357" t="s">
        <v>2246</v>
      </c>
      <c r="O357" t="str">
        <f t="shared" si="10"/>
        <v>condorProc.py --series 07170331_1810 --donoise --dumps a --procenv environments/pymidas_HVHV_r62_mf.env</v>
      </c>
      <c r="P357" t="str">
        <f>""""&amp;A357&amp;""""</f>
        <v>"07170331_1810"</v>
      </c>
    </row>
    <row r="358" spans="1:16">
      <c r="A358" s="57" t="s">
        <v>3761</v>
      </c>
      <c r="B358" s="57"/>
      <c r="C358" s="57"/>
      <c r="D358" s="57"/>
      <c r="E358" s="57"/>
      <c r="F358" s="57"/>
      <c r="G358" s="57" t="s">
        <v>18</v>
      </c>
      <c r="H358" s="57"/>
      <c r="I358" s="57"/>
      <c r="J358" s="57" t="s">
        <v>3626</v>
      </c>
      <c r="K358" s="57">
        <v>49.2</v>
      </c>
      <c r="L358" s="82" t="s">
        <v>3762</v>
      </c>
      <c r="M358" s="82"/>
      <c r="N358" t="s">
        <v>2246</v>
      </c>
      <c r="O358" t="str">
        <f t="shared" si="10"/>
        <v>condorProc.py --series 07170331_1910 --donoise --dumps a --procenv environments/pymidas_HVHV_r62_mf.env</v>
      </c>
      <c r="P358" t="str">
        <f>P357&amp;", """&amp;A358&amp;""""</f>
        <v>"07170331_1810", "07170331_1910"</v>
      </c>
    </row>
    <row r="359" spans="1:16">
      <c r="A359" s="57" t="s">
        <v>3763</v>
      </c>
      <c r="B359" s="57"/>
      <c r="C359" s="57"/>
      <c r="D359" s="57"/>
      <c r="E359" s="57"/>
      <c r="F359" s="57"/>
      <c r="G359" s="57" t="s">
        <v>18</v>
      </c>
      <c r="H359" s="57"/>
      <c r="I359" s="57"/>
      <c r="J359" s="57" t="s">
        <v>3626</v>
      </c>
      <c r="K359" s="57">
        <v>49.2</v>
      </c>
      <c r="L359" s="57"/>
      <c r="M359" s="57"/>
      <c r="N359" t="s">
        <v>2246</v>
      </c>
      <c r="O359" t="str">
        <f t="shared" si="10"/>
        <v>condorProc.py --series 07170331_2010 --donoise --dumps a --procenv environments/pymidas_HVHV_r62_mf.env</v>
      </c>
      <c r="P359" t="str">
        <f t="shared" ref="P359:P372" si="12">P358&amp;", """&amp;A359&amp;""""</f>
        <v>"07170331_1810", "07170331_1910", "07170331_2010"</v>
      </c>
    </row>
    <row r="360" spans="1:16">
      <c r="A360" s="57" t="s">
        <v>3764</v>
      </c>
      <c r="B360" s="57"/>
      <c r="C360" s="57"/>
      <c r="D360" s="57"/>
      <c r="E360" s="57"/>
      <c r="F360" s="57"/>
      <c r="G360" s="57" t="s">
        <v>18</v>
      </c>
      <c r="H360" s="57"/>
      <c r="I360" s="57"/>
      <c r="J360" s="57" t="s">
        <v>3626</v>
      </c>
      <c r="K360" s="57">
        <v>49.2</v>
      </c>
      <c r="L360" s="57" t="s">
        <v>3512</v>
      </c>
      <c r="M360" s="57"/>
      <c r="N360" t="s">
        <v>2246</v>
      </c>
      <c r="O360" t="str">
        <f t="shared" si="10"/>
        <v>condorProc.py --series 07170331_2110 --donoise --dumps a --procenv environments/pymidas_HVHV_r62_mf.env</v>
      </c>
      <c r="P360" t="str">
        <f t="shared" si="12"/>
        <v>"07170331_1810", "07170331_1910", "07170331_2010", "07170331_2110"</v>
      </c>
    </row>
    <row r="361" spans="1:16">
      <c r="A361" s="57" t="s">
        <v>3765</v>
      </c>
      <c r="B361" s="57"/>
      <c r="C361" s="57"/>
      <c r="D361" s="57"/>
      <c r="E361" s="57"/>
      <c r="F361" s="57"/>
      <c r="G361" s="57" t="s">
        <v>18</v>
      </c>
      <c r="H361" s="57"/>
      <c r="I361" s="57"/>
      <c r="J361" s="57" t="s">
        <v>3626</v>
      </c>
      <c r="K361" s="57">
        <v>49.2</v>
      </c>
      <c r="L361" s="57"/>
      <c r="M361" s="57"/>
      <c r="N361" t="s">
        <v>2246</v>
      </c>
      <c r="O361" t="str">
        <f t="shared" si="10"/>
        <v>condorProc.py --series 07170331_2210 --donoise --dumps a --procenv environments/pymidas_HVHV_r62_mf.env</v>
      </c>
      <c r="P361" t="str">
        <f t="shared" si="12"/>
        <v>"07170331_1810", "07170331_1910", "07170331_2010", "07170331_2110", "07170331_2210"</v>
      </c>
    </row>
    <row r="362" spans="1:16">
      <c r="A362" s="57" t="s">
        <v>3766</v>
      </c>
      <c r="B362" s="57"/>
      <c r="C362" s="57"/>
      <c r="D362" s="57"/>
      <c r="E362" s="57"/>
      <c r="F362" s="57"/>
      <c r="G362" s="57" t="s">
        <v>18</v>
      </c>
      <c r="H362" s="57"/>
      <c r="I362" s="57"/>
      <c r="J362" s="57" t="s">
        <v>3626</v>
      </c>
      <c r="K362" s="57">
        <v>49.2</v>
      </c>
      <c r="L362" s="57" t="s">
        <v>3767</v>
      </c>
      <c r="M362" s="57"/>
      <c r="N362" t="s">
        <v>2246</v>
      </c>
      <c r="O362" t="str">
        <f t="shared" si="10"/>
        <v>condorProc.py --series 07170331_2310 --donoise --dumps a --procenv environments/pymidas_HVHV_r62_mf.env</v>
      </c>
      <c r="P362" t="str">
        <f t="shared" si="12"/>
        <v>"07170331_1810", "07170331_1910", "07170331_2010", "07170331_2110", "07170331_2210", "07170331_2310"</v>
      </c>
    </row>
    <row r="363" spans="1:16">
      <c r="A363" s="57" t="s">
        <v>3768</v>
      </c>
      <c r="B363" s="57"/>
      <c r="C363" s="57"/>
      <c r="D363" s="57"/>
      <c r="E363" s="57"/>
      <c r="F363" s="57"/>
      <c r="G363" s="57" t="s">
        <v>18</v>
      </c>
      <c r="H363" s="57"/>
      <c r="I363" s="57"/>
      <c r="J363" s="57" t="s">
        <v>3626</v>
      </c>
      <c r="K363" s="57">
        <v>49.2</v>
      </c>
      <c r="L363" s="57" t="s">
        <v>3769</v>
      </c>
      <c r="M363" s="57"/>
      <c r="N363" t="s">
        <v>2246</v>
      </c>
      <c r="O363" t="str">
        <f t="shared" si="10"/>
        <v>condorProc.py --series 07170401_0010 --donoise --dumps a --procenv environments/pymidas_HVHV_r62_mf.env</v>
      </c>
      <c r="P363" t="str">
        <f t="shared" si="12"/>
        <v>"07170331_1810", "07170331_1910", "07170331_2010", "07170331_2110", "07170331_2210", "07170331_2310", "07170401_0010"</v>
      </c>
    </row>
    <row r="364" spans="1:16">
      <c r="A364" s="57" t="s">
        <v>3770</v>
      </c>
      <c r="B364" s="57"/>
      <c r="C364" s="57"/>
      <c r="D364" s="57"/>
      <c r="E364" s="57"/>
      <c r="F364" s="57"/>
      <c r="G364" s="57" t="s">
        <v>18</v>
      </c>
      <c r="H364" s="57"/>
      <c r="I364" s="57"/>
      <c r="J364" s="57" t="s">
        <v>3626</v>
      </c>
      <c r="K364" s="57">
        <v>49.2</v>
      </c>
      <c r="L364" s="57"/>
      <c r="M364" s="57"/>
      <c r="N364" t="s">
        <v>2246</v>
      </c>
      <c r="O364" t="str">
        <f t="shared" si="10"/>
        <v>condorProc.py --series 07170401_0111 --donoise --dumps a --procenv environments/pymidas_HVHV_r62_mf.env</v>
      </c>
      <c r="P364" t="str">
        <f t="shared" si="12"/>
        <v>"07170331_1810", "07170331_1910", "07170331_2010", "07170331_2110", "07170331_2210", "07170331_2310", "07170401_0010", "07170401_0111"</v>
      </c>
    </row>
    <row r="365" spans="1:16">
      <c r="A365" s="57" t="s">
        <v>3771</v>
      </c>
      <c r="B365" s="57"/>
      <c r="C365" s="57"/>
      <c r="D365" s="57"/>
      <c r="E365" s="57"/>
      <c r="F365" s="57"/>
      <c r="G365" s="57" t="s">
        <v>18</v>
      </c>
      <c r="H365" s="57"/>
      <c r="I365" s="57"/>
      <c r="J365" s="57" t="s">
        <v>3626</v>
      </c>
      <c r="K365" s="57">
        <v>49.2</v>
      </c>
      <c r="L365" s="57">
        <v>46.4</v>
      </c>
      <c r="M365" s="57"/>
      <c r="N365" t="s">
        <v>2246</v>
      </c>
      <c r="O365" t="str">
        <f t="shared" si="10"/>
        <v>condorProc.py --series 07170401_0211 --donoise --dumps a --procenv environments/pymidas_HVHV_r62_mf.env</v>
      </c>
      <c r="P365" t="str">
        <f t="shared" si="12"/>
        <v>"07170331_1810", "07170331_1910", "07170331_2010", "07170331_2110", "07170331_2210", "07170331_2310", "07170401_0010", "07170401_0111", "07170401_0211"</v>
      </c>
    </row>
    <row r="366" spans="1:16">
      <c r="A366" s="57" t="s">
        <v>3772</v>
      </c>
      <c r="B366" s="57"/>
      <c r="C366" s="57"/>
      <c r="D366" s="57"/>
      <c r="E366" s="57"/>
      <c r="F366" s="57"/>
      <c r="G366" s="57" t="s">
        <v>18</v>
      </c>
      <c r="H366" s="57"/>
      <c r="I366" s="57"/>
      <c r="J366" s="57" t="s">
        <v>3626</v>
      </c>
      <c r="K366" s="57">
        <v>49.2</v>
      </c>
      <c r="L366" s="57">
        <v>50.2</v>
      </c>
      <c r="M366" s="57"/>
      <c r="N366" t="s">
        <v>2246</v>
      </c>
      <c r="O366" t="str">
        <f t="shared" si="10"/>
        <v>condorProc.py --series 07170401_0311 --donoise --dumps a --procenv environments/pymidas_HVHV_r62_mf.env</v>
      </c>
      <c r="P366" t="str">
        <f t="shared" si="12"/>
        <v>"07170331_1810", "07170331_1910", "07170331_2010", "07170331_2110", "07170331_2210", "07170331_2310", "07170401_0010", "07170401_0111", "07170401_0211", "07170401_0311"</v>
      </c>
    </row>
    <row r="367" spans="1:16">
      <c r="A367" s="57" t="s">
        <v>3773</v>
      </c>
      <c r="B367" s="57"/>
      <c r="C367" s="57"/>
      <c r="D367" s="57"/>
      <c r="E367" s="57"/>
      <c r="F367" s="57"/>
      <c r="G367" s="57" t="s">
        <v>18</v>
      </c>
      <c r="H367" s="57"/>
      <c r="I367" s="57"/>
      <c r="J367" s="57" t="s">
        <v>3626</v>
      </c>
      <c r="K367" s="57">
        <v>49.2</v>
      </c>
      <c r="L367" s="57">
        <v>41.6</v>
      </c>
      <c r="M367" s="57"/>
      <c r="N367" t="s">
        <v>2246</v>
      </c>
      <c r="O367" t="str">
        <f t="shared" si="10"/>
        <v>condorProc.py --series 07170401_0411 --donoise --dumps a --procenv environments/pymidas_HVHV_r62_mf.env</v>
      </c>
      <c r="P367" t="str">
        <f t="shared" si="12"/>
        <v>"07170331_1810", "07170331_1910", "07170331_2010", "07170331_2110", "07170331_2210", "07170331_2310", "07170401_0010", "07170401_0111", "07170401_0211", "07170401_0311", "07170401_0411"</v>
      </c>
    </row>
    <row r="368" spans="1:16">
      <c r="A368" s="57" t="s">
        <v>3774</v>
      </c>
      <c r="B368" s="57"/>
      <c r="C368" s="57"/>
      <c r="D368" s="57"/>
      <c r="E368" s="57"/>
      <c r="F368" s="57"/>
      <c r="G368" s="57" t="s">
        <v>18</v>
      </c>
      <c r="H368" s="57"/>
      <c r="I368" s="57"/>
      <c r="J368" s="57" t="s">
        <v>3626</v>
      </c>
      <c r="K368" s="57">
        <v>49.2</v>
      </c>
      <c r="L368" s="84">
        <f>AVERAGE(L365:L367)</f>
        <v>46.066666666666663</v>
      </c>
      <c r="M368" s="84"/>
      <c r="N368" t="s">
        <v>2246</v>
      </c>
      <c r="O368" t="str">
        <f t="shared" si="10"/>
        <v>condorProc.py --series 07170401_0511 --donoise --dumps a --procenv environments/pymidas_HVHV_r62_mf.env</v>
      </c>
      <c r="P368" t="str">
        <f t="shared" si="12"/>
        <v>"07170331_1810", "07170331_1910", "07170331_2010", "07170331_2110", "07170331_2210", "07170331_2310", "07170401_0010", "07170401_0111", "07170401_0211", "07170401_0311", "07170401_0411", "07170401_0511"</v>
      </c>
    </row>
    <row r="369" spans="1:16">
      <c r="A369" s="57" t="s">
        <v>3775</v>
      </c>
      <c r="B369" s="57"/>
      <c r="C369" s="57"/>
      <c r="D369" s="57"/>
      <c r="E369" s="57"/>
      <c r="F369" s="57"/>
      <c r="G369" s="57" t="s">
        <v>18</v>
      </c>
      <c r="H369" s="57"/>
      <c r="I369" s="57"/>
      <c r="J369" s="57" t="s">
        <v>3626</v>
      </c>
      <c r="K369" s="57">
        <v>49.2</v>
      </c>
      <c r="L369" s="84">
        <f>L368</f>
        <v>46.066666666666663</v>
      </c>
      <c r="M369" s="84"/>
      <c r="N369" t="s">
        <v>2246</v>
      </c>
      <c r="O369" t="str">
        <f t="shared" si="10"/>
        <v>condorProc.py --series 07170401_0611 --donoise --dumps a --procenv environments/pymidas_HVHV_r62_mf.env</v>
      </c>
      <c r="P369" t="str">
        <f t="shared" si="12"/>
        <v>"07170331_1810", "07170331_1910", "07170331_2010", "07170331_2110", "07170331_2210", "07170331_2310", "07170401_0010", "07170401_0111", "07170401_0211", "07170401_0311", "07170401_0411", "07170401_0511", "07170401_0611"</v>
      </c>
    </row>
    <row r="370" spans="1:16">
      <c r="A370" s="57" t="s">
        <v>3776</v>
      </c>
      <c r="B370" s="57"/>
      <c r="C370" s="57"/>
      <c r="D370" s="57"/>
      <c r="E370" s="57"/>
      <c r="F370" s="57"/>
      <c r="G370" s="57" t="s">
        <v>18</v>
      </c>
      <c r="H370" s="57"/>
      <c r="I370" s="57"/>
      <c r="J370" s="57" t="s">
        <v>3626</v>
      </c>
      <c r="K370" s="57">
        <v>49.2</v>
      </c>
      <c r="L370" s="57"/>
      <c r="M370" s="57"/>
      <c r="N370" t="s">
        <v>2246</v>
      </c>
      <c r="O370" t="str">
        <f t="shared" si="10"/>
        <v>condorProc.py --series 07170401_0711 --donoise --dumps a --procenv environments/pymidas_HVHV_r62_mf.env</v>
      </c>
      <c r="P370" t="str">
        <f t="shared" si="12"/>
        <v>"07170331_1810", "07170331_1910", "07170331_2010", "07170331_2110", "07170331_2210", "07170331_2310", "07170401_0010", "07170401_0111", "07170401_0211", "07170401_0311", "07170401_0411", "07170401_0511", "07170401_0611", "07170401_0711"</v>
      </c>
    </row>
    <row r="371" spans="1:16">
      <c r="A371" s="57" t="s">
        <v>3777</v>
      </c>
      <c r="B371" s="57"/>
      <c r="C371" s="57"/>
      <c r="D371" s="57"/>
      <c r="E371" s="57"/>
      <c r="F371" s="57"/>
      <c r="G371" s="57" t="s">
        <v>18</v>
      </c>
      <c r="H371" s="57"/>
      <c r="I371" s="57"/>
      <c r="J371" s="57" t="s">
        <v>3626</v>
      </c>
      <c r="K371" s="57">
        <v>49.2</v>
      </c>
      <c r="L371" s="57"/>
      <c r="M371" s="57"/>
      <c r="N371" t="s">
        <v>2246</v>
      </c>
      <c r="O371" t="str">
        <f t="shared" si="10"/>
        <v>condorProc.py --series 07170401_0811 --donoise --dumps a --procenv environments/pymidas_HVHV_r62_mf.env</v>
      </c>
      <c r="P371" t="str">
        <f t="shared" si="12"/>
        <v>"07170331_1810", "07170331_1910", "07170331_2010", "07170331_2110", "07170331_2210", "07170331_2310", "07170401_0010", "07170401_0111", "07170401_0211", "07170401_0311", "07170401_0411", "07170401_0511", "07170401_0611", "07170401_0711", "07170401_0811"</v>
      </c>
    </row>
    <row r="372" spans="1:16">
      <c r="A372" s="57" t="s">
        <v>3778</v>
      </c>
      <c r="B372" s="57"/>
      <c r="C372" s="57"/>
      <c r="D372" s="57"/>
      <c r="E372" s="57"/>
      <c r="F372" s="57"/>
      <c r="G372" s="57" t="s">
        <v>18</v>
      </c>
      <c r="H372" s="57"/>
      <c r="I372" s="57"/>
      <c r="J372" s="57" t="s">
        <v>3626</v>
      </c>
      <c r="K372" s="57">
        <v>49.2</v>
      </c>
      <c r="L372" s="57"/>
      <c r="M372" s="57"/>
      <c r="N372" t="s">
        <v>2246</v>
      </c>
      <c r="O372" t="str">
        <f t="shared" si="10"/>
        <v>condorProc.py --series 07170401_0911 --donoise --dumps a --procenv environments/pymidas_HVHV_r62_mf.env</v>
      </c>
      <c r="P372" t="str">
        <f t="shared" si="12"/>
        <v>"07170331_1810", "07170331_1910", "07170331_2010", "07170331_2110", "07170331_2210", "07170331_2310", "07170401_0010", "07170401_0111", "07170401_0211", "07170401_0311", "07170401_0411", "07170401_0511", "07170401_0611", "07170401_0711", "07170401_0811", "07170401_0911"</v>
      </c>
    </row>
    <row r="373" spans="1:16">
      <c r="A373" s="74" t="s">
        <v>3779</v>
      </c>
      <c r="B373" s="74"/>
      <c r="C373" s="74"/>
      <c r="D373" s="74"/>
      <c r="E373" s="74"/>
      <c r="F373" s="74"/>
      <c r="G373" s="74" t="s">
        <v>18</v>
      </c>
      <c r="H373" s="74"/>
      <c r="I373" s="74"/>
      <c r="J373" s="74" t="s">
        <v>3626</v>
      </c>
      <c r="K373" s="74">
        <v>96.5</v>
      </c>
      <c r="L373" s="74"/>
      <c r="M373" s="74"/>
      <c r="N373" t="s">
        <v>2246</v>
      </c>
      <c r="O373" t="str">
        <f t="shared" si="10"/>
        <v>condorProc.py --series 07170404_1757 --donoise --dumps a --procenv environments/pymidas_HVHV_r62_mf.env</v>
      </c>
      <c r="P373" t="str">
        <f>""""&amp;A373&amp;""""</f>
        <v>"07170404_1757"</v>
      </c>
    </row>
    <row r="374" spans="1:16">
      <c r="A374" s="74" t="s">
        <v>3780</v>
      </c>
      <c r="B374" s="74"/>
      <c r="C374" s="74"/>
      <c r="D374" s="74"/>
      <c r="E374" s="74"/>
      <c r="F374" s="74"/>
      <c r="G374" s="74" t="s">
        <v>18</v>
      </c>
      <c r="H374" s="74"/>
      <c r="I374" s="74"/>
      <c r="J374" s="74" t="s">
        <v>3626</v>
      </c>
      <c r="K374" s="74">
        <v>96.5</v>
      </c>
      <c r="L374" s="74"/>
      <c r="M374" s="74"/>
      <c r="N374" t="s">
        <v>2246</v>
      </c>
      <c r="O374" t="str">
        <f t="shared" si="10"/>
        <v>condorProc.py --series 07170404_1857 --donoise --dumps a --procenv environments/pymidas_HVHV_r62_mf.env</v>
      </c>
      <c r="P374" t="str">
        <f>P373&amp;", """&amp;A374&amp;""""</f>
        <v>"07170404_1757", "07170404_1857"</v>
      </c>
    </row>
    <row r="375" spans="1:16">
      <c r="A375" s="74" t="s">
        <v>3781</v>
      </c>
      <c r="B375" s="74"/>
      <c r="C375" s="74"/>
      <c r="D375" s="74"/>
      <c r="E375" s="74"/>
      <c r="F375" s="74"/>
      <c r="G375" s="74" t="s">
        <v>18</v>
      </c>
      <c r="H375" s="74"/>
      <c r="I375" s="74"/>
      <c r="J375" s="74" t="s">
        <v>3626</v>
      </c>
      <c r="K375" s="74">
        <v>96.5</v>
      </c>
      <c r="L375" s="74"/>
      <c r="M375" s="74"/>
      <c r="N375" t="s">
        <v>2246</v>
      </c>
      <c r="O375" t="str">
        <f t="shared" si="10"/>
        <v>condorProc.py --series 07170404_1958 --donoise --dumps a --procenv environments/pymidas_HVHV_r62_mf.env</v>
      </c>
      <c r="P375" t="str">
        <f t="shared" ref="P375:P388" si="13">P374&amp;", """&amp;A375&amp;""""</f>
        <v>"07170404_1757", "07170404_1857", "07170404_1958"</v>
      </c>
    </row>
    <row r="376" spans="1:16">
      <c r="A376" s="74" t="s">
        <v>3782</v>
      </c>
      <c r="B376" s="74"/>
      <c r="C376" s="74"/>
      <c r="D376" s="74"/>
      <c r="E376" s="74"/>
      <c r="F376" s="74"/>
      <c r="G376" s="74" t="s">
        <v>18</v>
      </c>
      <c r="H376" s="74"/>
      <c r="I376" s="74"/>
      <c r="J376" s="74" t="s">
        <v>3626</v>
      </c>
      <c r="K376" s="74">
        <v>96.5</v>
      </c>
      <c r="L376" s="74"/>
      <c r="M376" s="74"/>
      <c r="N376" t="s">
        <v>2246</v>
      </c>
      <c r="O376" t="str">
        <f t="shared" si="10"/>
        <v>condorProc.py --series 07170404_2058 --donoise --dumps a --procenv environments/pymidas_HVHV_r62_mf.env</v>
      </c>
      <c r="P376" t="str">
        <f t="shared" si="13"/>
        <v>"07170404_1757", "07170404_1857", "07170404_1958", "07170404_2058"</v>
      </c>
    </row>
    <row r="377" spans="1:16">
      <c r="A377" s="74" t="s">
        <v>3783</v>
      </c>
      <c r="B377" s="74"/>
      <c r="C377" s="74"/>
      <c r="D377" s="74"/>
      <c r="E377" s="74"/>
      <c r="F377" s="74"/>
      <c r="G377" s="74" t="s">
        <v>18</v>
      </c>
      <c r="H377" s="74"/>
      <c r="I377" s="74"/>
      <c r="J377" s="74" t="s">
        <v>3626</v>
      </c>
      <c r="K377" s="74">
        <v>96.5</v>
      </c>
      <c r="L377" s="74"/>
      <c r="M377" s="74"/>
      <c r="N377" t="s">
        <v>2246</v>
      </c>
      <c r="O377" t="str">
        <f t="shared" si="10"/>
        <v>condorProc.py --series 07170404_2158 --donoise --dumps a --procenv environments/pymidas_HVHV_r62_mf.env</v>
      </c>
      <c r="P377" t="str">
        <f t="shared" si="13"/>
        <v>"07170404_1757", "07170404_1857", "07170404_1958", "07170404_2058", "07170404_2158"</v>
      </c>
    </row>
    <row r="378" spans="1:16">
      <c r="A378" s="74" t="s">
        <v>3784</v>
      </c>
      <c r="B378" s="74"/>
      <c r="C378" s="74"/>
      <c r="D378" s="74"/>
      <c r="E378" s="74"/>
      <c r="F378" s="74"/>
      <c r="G378" s="74" t="s">
        <v>18</v>
      </c>
      <c r="H378" s="74"/>
      <c r="I378" s="74"/>
      <c r="J378" s="74" t="s">
        <v>3626</v>
      </c>
      <c r="K378" s="74">
        <v>96.5</v>
      </c>
      <c r="L378" s="74"/>
      <c r="M378" s="74"/>
      <c r="N378" t="s">
        <v>2246</v>
      </c>
      <c r="O378" t="str">
        <f t="shared" si="10"/>
        <v>condorProc.py --series 07170404_2258 --donoise --dumps a --procenv environments/pymidas_HVHV_r62_mf.env</v>
      </c>
      <c r="P378" t="str">
        <f t="shared" si="13"/>
        <v>"07170404_1757", "07170404_1857", "07170404_1958", "07170404_2058", "07170404_2158", "07170404_2258"</v>
      </c>
    </row>
    <row r="379" spans="1:16">
      <c r="A379" s="74" t="s">
        <v>3785</v>
      </c>
      <c r="B379" s="74"/>
      <c r="C379" s="74"/>
      <c r="D379" s="74"/>
      <c r="E379" s="74"/>
      <c r="F379" s="74"/>
      <c r="G379" s="74" t="s">
        <v>18</v>
      </c>
      <c r="H379" s="74"/>
      <c r="I379" s="74"/>
      <c r="J379" s="74" t="s">
        <v>3626</v>
      </c>
      <c r="K379" s="74">
        <v>96.5</v>
      </c>
      <c r="L379" s="74"/>
      <c r="M379" s="74"/>
      <c r="N379" t="s">
        <v>2246</v>
      </c>
      <c r="O379" t="str">
        <f t="shared" si="10"/>
        <v>condorProc.py --series 07170404_2358 --donoise --dumps a --procenv environments/pymidas_HVHV_r62_mf.env</v>
      </c>
      <c r="P379" t="str">
        <f t="shared" si="13"/>
        <v>"07170404_1757", "07170404_1857", "07170404_1958", "07170404_2058", "07170404_2158", "07170404_2258", "07170404_2358"</v>
      </c>
    </row>
    <row r="380" spans="1:16">
      <c r="A380" s="74" t="s">
        <v>3786</v>
      </c>
      <c r="B380" s="74"/>
      <c r="C380" s="74"/>
      <c r="D380" s="74"/>
      <c r="E380" s="74"/>
      <c r="F380" s="74"/>
      <c r="G380" s="74" t="s">
        <v>18</v>
      </c>
      <c r="H380" s="74"/>
      <c r="I380" s="74"/>
      <c r="J380" s="74" t="s">
        <v>3626</v>
      </c>
      <c r="K380" s="74">
        <v>96.5</v>
      </c>
      <c r="L380" s="74"/>
      <c r="M380" s="74"/>
      <c r="N380" t="s">
        <v>2246</v>
      </c>
      <c r="O380" t="str">
        <f t="shared" si="10"/>
        <v>condorProc.py --series 07170405_0058 --donoise --dumps a --procenv environments/pymidas_HVHV_r62_mf.env</v>
      </c>
      <c r="P380" t="str">
        <f t="shared" si="13"/>
        <v>"07170404_1757", "07170404_1857", "07170404_1958", "07170404_2058", "07170404_2158", "07170404_2258", "07170404_2358", "07170405_0058"</v>
      </c>
    </row>
    <row r="381" spans="1:16">
      <c r="A381" s="74" t="s">
        <v>3787</v>
      </c>
      <c r="B381" s="74"/>
      <c r="C381" s="74"/>
      <c r="D381" s="74"/>
      <c r="E381" s="74"/>
      <c r="F381" s="74"/>
      <c r="G381" s="74" t="s">
        <v>18</v>
      </c>
      <c r="H381" s="74"/>
      <c r="I381" s="74"/>
      <c r="J381" s="74" t="s">
        <v>3626</v>
      </c>
      <c r="K381" s="74">
        <v>96.5</v>
      </c>
      <c r="L381" s="74"/>
      <c r="M381" s="74"/>
      <c r="N381" t="s">
        <v>2246</v>
      </c>
      <c r="O381" t="str">
        <f t="shared" si="10"/>
        <v>condorProc.py --series 07170405_0158 --donoise --dumps a --procenv environments/pymidas_HVHV_r62_mf.env</v>
      </c>
      <c r="P381" t="str">
        <f t="shared" si="13"/>
        <v>"07170404_1757", "07170404_1857", "07170404_1958", "07170404_2058", "07170404_2158", "07170404_2258", "07170404_2358", "07170405_0058", "07170405_0158"</v>
      </c>
    </row>
    <row r="382" spans="1:16">
      <c r="A382" s="74" t="s">
        <v>3788</v>
      </c>
      <c r="B382" s="74"/>
      <c r="C382" s="74"/>
      <c r="D382" s="74"/>
      <c r="E382" s="74"/>
      <c r="F382" s="74"/>
      <c r="G382" s="74" t="s">
        <v>18</v>
      </c>
      <c r="H382" s="74"/>
      <c r="I382" s="74"/>
      <c r="J382" s="74" t="s">
        <v>3626</v>
      </c>
      <c r="K382" s="74">
        <v>96.5</v>
      </c>
      <c r="L382" s="74"/>
      <c r="M382" s="74"/>
      <c r="N382" t="s">
        <v>2246</v>
      </c>
      <c r="O382" t="str">
        <f t="shared" si="10"/>
        <v>condorProc.py --series 07170405_0258 --donoise --dumps a --procenv environments/pymidas_HVHV_r62_mf.env</v>
      </c>
      <c r="P382" t="str">
        <f t="shared" si="13"/>
        <v>"07170404_1757", "07170404_1857", "07170404_1958", "07170404_2058", "07170404_2158", "07170404_2258", "07170404_2358", "07170405_0058", "07170405_0158", "07170405_0258"</v>
      </c>
    </row>
    <row r="383" spans="1:16">
      <c r="A383" s="74" t="s">
        <v>3789</v>
      </c>
      <c r="B383" s="74"/>
      <c r="C383" s="74"/>
      <c r="D383" s="74"/>
      <c r="E383" s="74"/>
      <c r="F383" s="74"/>
      <c r="G383" s="74" t="s">
        <v>18</v>
      </c>
      <c r="H383" s="74"/>
      <c r="I383" s="74"/>
      <c r="J383" s="74" t="s">
        <v>3626</v>
      </c>
      <c r="K383" s="74">
        <v>96.5</v>
      </c>
      <c r="L383" s="74"/>
      <c r="M383" s="74"/>
      <c r="N383" t="s">
        <v>2246</v>
      </c>
      <c r="O383" t="str">
        <f t="shared" si="10"/>
        <v>condorProc.py --series 07170405_0358 --donoise --dumps a --procenv environments/pymidas_HVHV_r62_mf.env</v>
      </c>
      <c r="P383" t="str">
        <f t="shared" si="13"/>
        <v>"07170404_1757", "07170404_1857", "07170404_1958", "07170404_2058", "07170404_2158", "07170404_2258", "07170404_2358", "07170405_0058", "07170405_0158", "07170405_0258", "07170405_0358"</v>
      </c>
    </row>
    <row r="384" spans="1:16">
      <c r="A384" s="74" t="s">
        <v>3790</v>
      </c>
      <c r="B384" s="74"/>
      <c r="C384" s="74"/>
      <c r="D384" s="74"/>
      <c r="E384" s="74"/>
      <c r="F384" s="74"/>
      <c r="G384" s="74" t="s">
        <v>18</v>
      </c>
      <c r="H384" s="74"/>
      <c r="I384" s="74"/>
      <c r="J384" s="74" t="s">
        <v>3626</v>
      </c>
      <c r="K384" s="74">
        <v>96.5</v>
      </c>
      <c r="L384" s="74"/>
      <c r="M384" s="74"/>
      <c r="N384" t="s">
        <v>2246</v>
      </c>
      <c r="O384" t="str">
        <f t="shared" si="10"/>
        <v>condorProc.py --series 07170405_0458 --donoise --dumps a --procenv environments/pymidas_HVHV_r62_mf.env</v>
      </c>
      <c r="P384" t="str">
        <f t="shared" si="13"/>
        <v>"07170404_1757", "07170404_1857", "07170404_1958", "07170404_2058", "07170404_2158", "07170404_2258", "07170404_2358", "07170405_0058", "07170405_0158", "07170405_0258", "07170405_0358", "07170405_0458"</v>
      </c>
    </row>
    <row r="385" spans="1:32">
      <c r="A385" s="74" t="s">
        <v>3791</v>
      </c>
      <c r="B385" s="74"/>
      <c r="C385" s="74"/>
      <c r="D385" s="74"/>
      <c r="E385" s="74"/>
      <c r="F385" s="74"/>
      <c r="G385" s="74" t="s">
        <v>18</v>
      </c>
      <c r="H385" s="74"/>
      <c r="I385" s="74"/>
      <c r="J385" s="74" t="s">
        <v>3626</v>
      </c>
      <c r="K385" s="74">
        <v>96.5</v>
      </c>
      <c r="L385" s="74"/>
      <c r="M385" s="74"/>
      <c r="N385" t="s">
        <v>2246</v>
      </c>
      <c r="O385" t="str">
        <f t="shared" si="10"/>
        <v>condorProc.py --series 07170405_0558 --donoise --dumps a --procenv environments/pymidas_HVHV_r62_mf.env</v>
      </c>
      <c r="P385" t="str">
        <f t="shared" si="13"/>
        <v>"07170404_1757", "07170404_1857", "07170404_1958", "07170404_2058", "07170404_2158", "07170404_2258", "07170404_2358", "07170405_0058", "07170405_0158", "07170405_0258", "07170405_0358", "07170405_0458", "07170405_0558"</v>
      </c>
    </row>
    <row r="386" spans="1:32">
      <c r="A386" s="74" t="s">
        <v>3792</v>
      </c>
      <c r="B386" s="74"/>
      <c r="C386" s="74"/>
      <c r="D386" s="74"/>
      <c r="E386" s="74"/>
      <c r="F386" s="74"/>
      <c r="G386" s="74" t="s">
        <v>18</v>
      </c>
      <c r="H386" s="74"/>
      <c r="I386" s="74"/>
      <c r="J386" s="74" t="s">
        <v>3626</v>
      </c>
      <c r="K386" s="74">
        <v>96.5</v>
      </c>
      <c r="L386" s="74"/>
      <c r="M386" s="74"/>
      <c r="N386" t="s">
        <v>2246</v>
      </c>
      <c r="O386" t="str">
        <f t="shared" si="10"/>
        <v>condorProc.py --series 07170405_0658 --donoise --dumps a --procenv environments/pymidas_HVHV_r62_mf.env</v>
      </c>
      <c r="P386" t="str">
        <f t="shared" si="13"/>
        <v>"07170404_1757", "07170404_1857", "07170404_1958", "07170404_2058", "07170404_2158", "07170404_2258", "07170404_2358", "07170405_0058", "07170405_0158", "07170405_0258", "07170405_0358", "07170405_0458", "07170405_0558", "07170405_0658"</v>
      </c>
    </row>
    <row r="387" spans="1:32">
      <c r="A387" s="74" t="s">
        <v>3793</v>
      </c>
      <c r="B387" s="74"/>
      <c r="C387" s="74"/>
      <c r="D387" s="74"/>
      <c r="E387" s="74"/>
      <c r="F387" s="74"/>
      <c r="G387" s="74" t="s">
        <v>18</v>
      </c>
      <c r="H387" s="74"/>
      <c r="I387" s="74"/>
      <c r="J387" s="74" t="s">
        <v>3626</v>
      </c>
      <c r="K387" s="74">
        <v>96.5</v>
      </c>
      <c r="L387" s="74"/>
      <c r="M387" s="74"/>
      <c r="N387" t="s">
        <v>2246</v>
      </c>
      <c r="O387" t="str">
        <f t="shared" si="10"/>
        <v>condorProc.py --series 07170405_0758 --donoise --dumps a --procenv environments/pymidas_HVHV_r62_mf.env</v>
      </c>
      <c r="P387" t="str">
        <f t="shared" si="13"/>
        <v>"07170404_1757", "07170404_1857", "07170404_1958", "07170404_2058", "07170404_2158", "07170404_2258", "07170404_2358", "07170405_0058", "07170405_0158", "07170405_0258", "07170405_0358", "07170405_0458", "07170405_0558", "07170405_0658", "07170405_0758"</v>
      </c>
    </row>
    <row r="388" spans="1:32">
      <c r="A388" s="74" t="s">
        <v>3794</v>
      </c>
      <c r="B388" s="74"/>
      <c r="C388" s="74"/>
      <c r="D388" s="74"/>
      <c r="E388" s="74"/>
      <c r="F388" s="74"/>
      <c r="G388" s="74" t="s">
        <v>18</v>
      </c>
      <c r="H388" s="74"/>
      <c r="I388" s="74"/>
      <c r="J388" s="74" t="s">
        <v>3626</v>
      </c>
      <c r="K388" s="74">
        <v>96.5</v>
      </c>
      <c r="L388" s="74"/>
      <c r="M388" s="74"/>
      <c r="N388" t="s">
        <v>2246</v>
      </c>
      <c r="O388" t="str">
        <f t="shared" si="10"/>
        <v>condorProc.py --series 07170405_0858 --donoise --dumps a --procenv environments/pymidas_HVHV_r62_mf.env</v>
      </c>
      <c r="P388" t="str">
        <f t="shared" si="13"/>
        <v>"07170404_1757", "07170404_1857", "07170404_1958", "07170404_2058", "07170404_2158", "07170404_2258", "07170404_2358", "07170405_0058", "07170405_0158", "07170405_0258", "07170405_0358", "07170405_0458", "07170405_0558", "07170405_0658", "07170405_0758", "07170405_0858"</v>
      </c>
    </row>
    <row r="389" spans="1:32">
      <c r="A389" s="81" t="s">
        <v>3795</v>
      </c>
      <c r="B389" s="81"/>
      <c r="C389" s="81"/>
      <c r="D389" s="81"/>
      <c r="E389" s="81"/>
      <c r="F389" s="81"/>
      <c r="G389" s="81" t="s">
        <v>18</v>
      </c>
      <c r="H389" s="81"/>
      <c r="I389" s="81"/>
      <c r="J389" s="81" t="s">
        <v>3626</v>
      </c>
      <c r="K389" s="81">
        <v>19.7</v>
      </c>
      <c r="L389" s="72" t="s">
        <v>3601</v>
      </c>
      <c r="M389" s="72"/>
      <c r="N389" s="85"/>
      <c r="O389" s="16"/>
    </row>
    <row r="390" spans="1:32">
      <c r="A390" s="81" t="s">
        <v>3796</v>
      </c>
      <c r="B390" s="81"/>
      <c r="C390" s="81"/>
      <c r="D390" s="81"/>
      <c r="E390" s="81"/>
      <c r="F390" s="81"/>
      <c r="G390" s="81" t="s">
        <v>18</v>
      </c>
      <c r="H390" s="81"/>
      <c r="I390" s="81"/>
      <c r="J390" s="81" t="s">
        <v>3626</v>
      </c>
      <c r="K390" s="81"/>
      <c r="L390" s="72" t="s">
        <v>3762</v>
      </c>
      <c r="M390" s="72"/>
    </row>
    <row r="391" spans="1:32">
      <c r="A391" s="81" t="s">
        <v>3797</v>
      </c>
      <c r="B391" s="81"/>
      <c r="C391" s="81"/>
      <c r="D391" s="81"/>
      <c r="E391" s="81"/>
      <c r="F391" s="81"/>
      <c r="G391" s="81" t="s">
        <v>18</v>
      </c>
      <c r="H391" s="81"/>
      <c r="I391" s="81"/>
      <c r="J391" s="81" t="s">
        <v>3626</v>
      </c>
      <c r="K391" s="81"/>
      <c r="L391" s="81" t="s">
        <v>3512</v>
      </c>
      <c r="M391" s="81"/>
    </row>
    <row r="392" spans="1:32">
      <c r="A392" s="81" t="s">
        <v>3798</v>
      </c>
      <c r="B392" s="81"/>
      <c r="C392" s="81"/>
      <c r="D392" s="81"/>
      <c r="E392" s="81"/>
      <c r="F392" s="81"/>
      <c r="G392" s="81" t="s">
        <v>18</v>
      </c>
      <c r="H392" s="81"/>
      <c r="I392" s="81"/>
      <c r="J392" s="81" t="s">
        <v>3626</v>
      </c>
      <c r="K392" s="81"/>
      <c r="L392" s="81"/>
      <c r="M392" s="81"/>
    </row>
    <row r="393" spans="1:32">
      <c r="A393" s="81" t="s">
        <v>3799</v>
      </c>
      <c r="B393" s="81"/>
      <c r="C393" s="81"/>
      <c r="D393" s="81"/>
      <c r="E393" s="81"/>
      <c r="F393" s="81"/>
      <c r="G393" s="81" t="s">
        <v>18</v>
      </c>
      <c r="H393" s="81"/>
      <c r="I393" s="81"/>
      <c r="J393" s="81" t="s">
        <v>3626</v>
      </c>
      <c r="K393" s="81"/>
      <c r="L393" s="81" t="s">
        <v>3800</v>
      </c>
      <c r="M393" s="81"/>
    </row>
    <row r="394" spans="1:32">
      <c r="A394" s="81" t="s">
        <v>3801</v>
      </c>
      <c r="B394" s="81"/>
      <c r="C394" s="81"/>
      <c r="D394" s="81"/>
      <c r="E394" s="81"/>
      <c r="F394" s="81"/>
      <c r="G394" s="81" t="s">
        <v>18</v>
      </c>
      <c r="H394" s="81"/>
      <c r="I394" s="81"/>
      <c r="J394" s="81" t="s">
        <v>3626</v>
      </c>
      <c r="K394" s="81"/>
      <c r="L394" s="81" t="s">
        <v>3802</v>
      </c>
      <c r="M394" s="81"/>
      <c r="X394">
        <f>X400/X396</f>
        <v>10.27027027027027</v>
      </c>
    </row>
    <row r="395" spans="1:32">
      <c r="A395" s="56" t="s">
        <v>3803</v>
      </c>
      <c r="B395" s="56"/>
      <c r="C395" s="56"/>
      <c r="D395" s="56"/>
      <c r="E395" s="56"/>
      <c r="F395" s="56"/>
      <c r="G395" s="56" t="s">
        <v>18</v>
      </c>
      <c r="H395" s="56"/>
      <c r="I395" s="56"/>
      <c r="J395" s="56" t="s">
        <v>3626</v>
      </c>
      <c r="K395" s="56">
        <v>0</v>
      </c>
      <c r="L395" s="56"/>
      <c r="M395" s="56" t="s">
        <v>1853</v>
      </c>
      <c r="V395" t="s">
        <v>3804</v>
      </c>
      <c r="W395" t="s">
        <v>3805</v>
      </c>
      <c r="X395" t="s">
        <v>3806</v>
      </c>
      <c r="Y395" t="s">
        <v>3807</v>
      </c>
      <c r="Z395" t="s">
        <v>3808</v>
      </c>
      <c r="AA395" t="s">
        <v>3809</v>
      </c>
      <c r="AB395" t="s">
        <v>3810</v>
      </c>
      <c r="AC395" t="s">
        <v>3811</v>
      </c>
      <c r="AD395" t="s">
        <v>3812</v>
      </c>
      <c r="AE395" t="s">
        <v>3813</v>
      </c>
    </row>
    <row r="396" spans="1:32">
      <c r="A396" s="56" t="s">
        <v>3814</v>
      </c>
      <c r="B396" s="56"/>
      <c r="C396" s="56"/>
      <c r="D396" s="56"/>
      <c r="E396" s="56"/>
      <c r="F396" s="56"/>
      <c r="G396" s="56" t="s">
        <v>18</v>
      </c>
      <c r="H396" s="56"/>
      <c r="I396" s="56"/>
      <c r="J396" s="56" t="s">
        <v>3626</v>
      </c>
      <c r="K396" s="56">
        <v>0</v>
      </c>
      <c r="L396" s="78"/>
      <c r="M396" s="78">
        <v>10</v>
      </c>
      <c r="N396" t="s">
        <v>2246</v>
      </c>
      <c r="O396" t="str">
        <f t="shared" ref="O396:O407" si="14">"condorProc.py --series "&amp;A396&amp;" --donoise --dumps a --procenv environments/pymidas_HVHV_r62_mf.env"</f>
        <v>condorProc.py --series 07170411_1141 --donoise --dumps a --procenv environments/pymidas_HVHV_r62_mf.env</v>
      </c>
      <c r="Q396" s="78">
        <v>10</v>
      </c>
      <c r="R396" s="56" t="s">
        <v>3814</v>
      </c>
      <c r="S396" t="str">
        <f>""""&amp;R396&amp;""""</f>
        <v>"07170411_1141"</v>
      </c>
      <c r="T396" t="str">
        <f>"TCut c"&amp;Q396&amp;" = ""SeriesNumber=="&amp;MID(R396,2,7)&amp;RIGHT(R396,4)&amp;"||SeriesNumber=="&amp;MID(R397,2,7)&amp;RIGHT(R397,4)&amp;""""</f>
        <v>TCut c10 = "SeriesNumber==71704111141||SeriesNumber==71704111828"</v>
      </c>
      <c r="V396" s="89">
        <v>58</v>
      </c>
      <c r="W396">
        <f>1/V396</f>
        <v>1.7241379310344827E-2</v>
      </c>
      <c r="X396" s="89">
        <v>1.8499999999999999E-2</v>
      </c>
      <c r="Y396">
        <f>1/X396</f>
        <v>54.054054054054056</v>
      </c>
      <c r="Z396">
        <f>W396/W$399*X$399</f>
        <v>6.5172413793103456E-2</v>
      </c>
      <c r="AA396">
        <f>X396/Z396</f>
        <v>0.28386243386243382</v>
      </c>
      <c r="AB396">
        <f>38/V396</f>
        <v>0.65517241379310343</v>
      </c>
      <c r="AC396">
        <f>X396/0.095</f>
        <v>0.19473684210526315</v>
      </c>
      <c r="AD396">
        <f>V396/AVERAGE(V$396:V$400)</f>
        <v>1.5263157894736843</v>
      </c>
      <c r="AE396">
        <f>Y396/AVERAGE(Y$396:Y$400)</f>
        <v>2.8220926394542856</v>
      </c>
    </row>
    <row r="397" spans="1:32">
      <c r="A397" s="56" t="s">
        <v>3815</v>
      </c>
      <c r="B397" s="56"/>
      <c r="C397" s="56"/>
      <c r="D397" s="56"/>
      <c r="E397" s="56"/>
      <c r="F397" s="56"/>
      <c r="G397" s="56" t="s">
        <v>18</v>
      </c>
      <c r="H397" s="56"/>
      <c r="I397" s="56"/>
      <c r="J397" s="56" t="s">
        <v>3626</v>
      </c>
      <c r="K397" s="56">
        <v>0</v>
      </c>
      <c r="L397" s="56" t="s">
        <v>3816</v>
      </c>
      <c r="M397" s="78">
        <v>20</v>
      </c>
      <c r="N397" t="s">
        <v>2246</v>
      </c>
      <c r="O397" t="str">
        <f t="shared" si="14"/>
        <v>condorProc.py --series 07170411_1251 --donoise --dumps a --procenv environments/pymidas_HVHV_r62_mf.env</v>
      </c>
      <c r="Q397" s="56">
        <v>10</v>
      </c>
      <c r="R397" s="56" t="s">
        <v>3817</v>
      </c>
      <c r="S397" t="str">
        <f>S396&amp;", """&amp;R397&amp;""""</f>
        <v>"07170411_1141", "07170411_1828"</v>
      </c>
      <c r="V397" s="89">
        <v>48</v>
      </c>
      <c r="W397">
        <f>1/V397</f>
        <v>2.0833333333333332E-2</v>
      </c>
      <c r="X397" s="89">
        <v>5.3999999999999999E-2</v>
      </c>
      <c r="Y397">
        <f>1/X397</f>
        <v>18.518518518518519</v>
      </c>
      <c r="Z397">
        <f>W397/W$399*X$399</f>
        <v>7.8750000000000014E-2</v>
      </c>
      <c r="AA397">
        <f>X397/Z397</f>
        <v>0.68571428571428561</v>
      </c>
      <c r="AB397">
        <f>38/V397</f>
        <v>0.79166666666666663</v>
      </c>
      <c r="AC397">
        <f>X397/0.095</f>
        <v>0.56842105263157894</v>
      </c>
      <c r="AD397">
        <f>V397/AVERAGE(V$396:V$400)</f>
        <v>1.263157894736842</v>
      </c>
      <c r="AE397">
        <f>Y397/AVERAGE(Y$396:Y$400)</f>
        <v>0.96682803388711636</v>
      </c>
    </row>
    <row r="398" spans="1:32">
      <c r="A398" s="56" t="s">
        <v>3818</v>
      </c>
      <c r="B398" s="56"/>
      <c r="C398" s="56"/>
      <c r="D398" s="56"/>
      <c r="E398" s="56"/>
      <c r="F398" s="56"/>
      <c r="G398" s="56" t="s">
        <v>18</v>
      </c>
      <c r="H398" s="56"/>
      <c r="I398" s="56"/>
      <c r="J398" s="56" t="s">
        <v>3626</v>
      </c>
      <c r="K398" s="56">
        <v>0</v>
      </c>
      <c r="L398" s="56"/>
      <c r="M398" s="56" t="s">
        <v>3819</v>
      </c>
      <c r="Q398" s="78">
        <v>20</v>
      </c>
      <c r="R398" s="56" t="s">
        <v>3815</v>
      </c>
      <c r="S398" t="str">
        <f t="shared" ref="S398:S405" si="15">S397&amp;", """&amp;R398&amp;""""</f>
        <v>"07170411_1141", "07170411_1828", "07170411_1251"</v>
      </c>
      <c r="T398" t="str">
        <f>"TCut c"&amp;Q398&amp;" = ""SeriesNumber=="&amp;MID(R398,2,7)&amp;RIGHT(R398,4)&amp;"||SeriesNumber=="&amp;MID(R399,2,7)&amp;RIGHT(R399,4)&amp;""""</f>
        <v>TCut c20 = "SeriesNumber==71704111251||SeriesNumber==71704111928"</v>
      </c>
      <c r="V398" s="89">
        <v>38</v>
      </c>
      <c r="W398">
        <f>1/V398</f>
        <v>2.6315789473684209E-2</v>
      </c>
      <c r="X398" s="89">
        <v>9.5000000000000001E-2</v>
      </c>
      <c r="Y398">
        <f>1/X398</f>
        <v>10.526315789473685</v>
      </c>
      <c r="Z398">
        <f>W398/W$399*X$399</f>
        <v>9.9473684210526311E-2</v>
      </c>
      <c r="AA398">
        <f>X398/Z398</f>
        <v>0.95502645502645511</v>
      </c>
      <c r="AB398">
        <f>38/V398</f>
        <v>1</v>
      </c>
      <c r="AC398">
        <f>X398/0.095</f>
        <v>1</v>
      </c>
      <c r="AD398">
        <f>V398/AVERAGE(V$396:V$400)</f>
        <v>1</v>
      </c>
      <c r="AE398">
        <f>Y398/AVERAGE(Y$396:Y$400)</f>
        <v>0.54956540873583459</v>
      </c>
      <c r="AF398">
        <f>AE398</f>
        <v>0.54956540873583459</v>
      </c>
    </row>
    <row r="399" spans="1:32">
      <c r="A399" s="56" t="s">
        <v>3820</v>
      </c>
      <c r="B399" s="56"/>
      <c r="C399" s="56"/>
      <c r="D399" s="56"/>
      <c r="E399" s="56"/>
      <c r="F399" s="56"/>
      <c r="G399" s="56" t="s">
        <v>18</v>
      </c>
      <c r="H399" s="56"/>
      <c r="I399" s="56"/>
      <c r="J399" s="56" t="s">
        <v>3626</v>
      </c>
      <c r="K399" s="56">
        <v>0</v>
      </c>
      <c r="L399" s="56"/>
      <c r="M399" s="56" t="s">
        <v>3819</v>
      </c>
      <c r="Q399" s="56">
        <v>20</v>
      </c>
      <c r="R399" s="56" t="s">
        <v>3821</v>
      </c>
      <c r="S399" t="str">
        <f t="shared" si="15"/>
        <v>"07170411_1141", "07170411_1828", "07170411_1251", "07170411_1928"</v>
      </c>
      <c r="V399" s="89">
        <v>28</v>
      </c>
      <c r="W399">
        <f>1/V399</f>
        <v>3.5714285714285712E-2</v>
      </c>
      <c r="X399" s="89">
        <v>0.13500000000000001</v>
      </c>
      <c r="Y399">
        <f>1/X399</f>
        <v>7.4074074074074066</v>
      </c>
      <c r="Z399">
        <f>W399/W$399*X$399</f>
        <v>0.13500000000000001</v>
      </c>
      <c r="AA399">
        <f>X399/Z399</f>
        <v>1</v>
      </c>
      <c r="AB399">
        <f>38/V399</f>
        <v>1.3571428571428572</v>
      </c>
      <c r="AC399">
        <f>X399/0.095</f>
        <v>1.4210526315789473</v>
      </c>
      <c r="AD399">
        <f>V399/AVERAGE(V$396:V$400)</f>
        <v>0.73684210526315785</v>
      </c>
      <c r="AE399">
        <f>Y399/AVERAGE(Y$396:Y$400)</f>
        <v>0.38673121355484652</v>
      </c>
      <c r="AF399">
        <f>AE399</f>
        <v>0.38673121355484652</v>
      </c>
    </row>
    <row r="400" spans="1:32">
      <c r="A400" s="56" t="s">
        <v>3822</v>
      </c>
      <c r="B400" s="56"/>
      <c r="C400" s="56"/>
      <c r="D400" s="56"/>
      <c r="E400" s="56"/>
      <c r="F400" s="56"/>
      <c r="G400" s="56" t="s">
        <v>18</v>
      </c>
      <c r="H400" s="56"/>
      <c r="I400" s="56"/>
      <c r="J400" s="56" t="s">
        <v>3626</v>
      </c>
      <c r="K400" s="56">
        <v>0</v>
      </c>
      <c r="L400" s="56"/>
      <c r="M400" s="56">
        <v>30</v>
      </c>
      <c r="N400" t="s">
        <v>2246</v>
      </c>
      <c r="O400" t="str">
        <f t="shared" si="14"/>
        <v>condorProc.py --series 07170411_1523 --donoise --dumps a --procenv environments/pymidas_HVHV_r62_mf.env</v>
      </c>
      <c r="Q400" s="56">
        <v>30</v>
      </c>
      <c r="R400" s="56" t="s">
        <v>3822</v>
      </c>
      <c r="S400" t="str">
        <f t="shared" si="15"/>
        <v>"07170411_1141", "07170411_1828", "07170411_1251", "07170411_1928", "07170411_1523"</v>
      </c>
      <c r="T400" t="str">
        <f>"TCut c"&amp;Q400&amp;" = ""SeriesNumber=="&amp;MID(R400,2,7)&amp;RIGHT(R400,4)&amp;"||SeriesNumber=="&amp;MID(R401,2,7)&amp;RIGHT(R401,4)&amp;""""</f>
        <v>TCut c30 = "SeriesNumber==71704111523||SeriesNumber==71704112028"</v>
      </c>
      <c r="V400" s="89">
        <v>18</v>
      </c>
      <c r="W400">
        <f>1/V400</f>
        <v>5.5555555555555552E-2</v>
      </c>
      <c r="X400" s="89">
        <v>0.19</v>
      </c>
      <c r="Y400">
        <f>1/X400</f>
        <v>5.2631578947368425</v>
      </c>
      <c r="Z400">
        <f>W400/W$399*X$399</f>
        <v>0.21000000000000002</v>
      </c>
      <c r="AA400">
        <f>X400/Z400</f>
        <v>0.90476190476190466</v>
      </c>
      <c r="AB400">
        <f>38/V400</f>
        <v>2.1111111111111112</v>
      </c>
      <c r="AC400">
        <f>X400/0.095</f>
        <v>2</v>
      </c>
      <c r="AD400">
        <f>V400/AVERAGE(V$396:V$400)</f>
        <v>0.47368421052631576</v>
      </c>
      <c r="AE400">
        <f>Y400/AVERAGE(Y$396:Y$400)</f>
        <v>0.2747827043679173</v>
      </c>
      <c r="AF400">
        <f>AE400</f>
        <v>0.2747827043679173</v>
      </c>
    </row>
    <row r="401" spans="1:20">
      <c r="A401" s="56" t="s">
        <v>3823</v>
      </c>
      <c r="B401" s="56"/>
      <c r="C401" s="56"/>
      <c r="D401" s="56"/>
      <c r="E401" s="56"/>
      <c r="F401" s="56"/>
      <c r="G401" s="56" t="s">
        <v>18</v>
      </c>
      <c r="H401" s="56"/>
      <c r="I401" s="56"/>
      <c r="J401" s="56" t="s">
        <v>3626</v>
      </c>
      <c r="K401" s="56">
        <v>0</v>
      </c>
      <c r="L401" s="56" t="s">
        <v>3824</v>
      </c>
      <c r="M401" s="56">
        <v>40</v>
      </c>
      <c r="N401" t="s">
        <v>2246</v>
      </c>
      <c r="O401" t="str">
        <f t="shared" si="14"/>
        <v>condorProc.py --series 07170411_1628 --donoise --dumps a --procenv environments/pymidas_HVHV_r62_mf.env</v>
      </c>
      <c r="Q401" s="56">
        <v>30</v>
      </c>
      <c r="R401" s="56" t="s">
        <v>3825</v>
      </c>
      <c r="S401" t="str">
        <f t="shared" si="15"/>
        <v>"07170411_1141", "07170411_1828", "07170411_1251", "07170411_1928", "07170411_1523", "07170411_2028"</v>
      </c>
    </row>
    <row r="402" spans="1:20">
      <c r="A402" s="56" t="s">
        <v>3826</v>
      </c>
      <c r="B402" s="56"/>
      <c r="C402" s="56"/>
      <c r="D402" s="56"/>
      <c r="E402" s="56"/>
      <c r="F402" s="56"/>
      <c r="G402" s="56" t="s">
        <v>18</v>
      </c>
      <c r="H402" s="56"/>
      <c r="I402" s="56"/>
      <c r="J402" s="56" t="s">
        <v>3626</v>
      </c>
      <c r="K402" s="56">
        <v>0</v>
      </c>
      <c r="L402" s="56"/>
      <c r="M402" s="56">
        <v>50</v>
      </c>
      <c r="N402" t="s">
        <v>2246</v>
      </c>
      <c r="O402" t="str">
        <f t="shared" si="14"/>
        <v>condorProc.py --series 07170411_1728 --donoise --dumps a --procenv environments/pymidas_HVHV_r62_mf.env</v>
      </c>
      <c r="Q402" s="56">
        <v>40</v>
      </c>
      <c r="R402" s="56" t="s">
        <v>3823</v>
      </c>
      <c r="S402" t="str">
        <f t="shared" si="15"/>
        <v>"07170411_1141", "07170411_1828", "07170411_1251", "07170411_1928", "07170411_1523", "07170411_2028", "07170411_1628"</v>
      </c>
      <c r="T402" t="str">
        <f>"TCut c"&amp;Q402&amp;" = ""SeriesNumber=="&amp;MID(R402,2,7)&amp;RIGHT(R402,4)&amp;"||SeriesNumber=="&amp;MID(R403,2,7)&amp;RIGHT(R403,4)&amp;""""</f>
        <v>TCut c40 = "SeriesNumber==71704111628||SeriesNumber==71704112128"</v>
      </c>
    </row>
    <row r="403" spans="1:20">
      <c r="A403" s="56" t="s">
        <v>3817</v>
      </c>
      <c r="B403" s="56"/>
      <c r="C403" s="56"/>
      <c r="D403" s="56"/>
      <c r="E403" s="56"/>
      <c r="F403" s="56"/>
      <c r="G403" s="56" t="s">
        <v>18</v>
      </c>
      <c r="H403" s="56"/>
      <c r="I403" s="56"/>
      <c r="J403" s="56" t="s">
        <v>3626</v>
      </c>
      <c r="K403" s="56">
        <v>0</v>
      </c>
      <c r="L403" s="86" t="s">
        <v>3827</v>
      </c>
      <c r="M403" s="56">
        <v>10</v>
      </c>
      <c r="N403" t="s">
        <v>2246</v>
      </c>
      <c r="O403" t="str">
        <f t="shared" si="14"/>
        <v>condorProc.py --series 07170411_1828 --donoise --dumps a --procenv environments/pymidas_HVHV_r62_mf.env</v>
      </c>
      <c r="Q403" s="56">
        <v>40</v>
      </c>
      <c r="R403" s="56" t="s">
        <v>3828</v>
      </c>
      <c r="S403" t="str">
        <f t="shared" si="15"/>
        <v>"07170411_1141", "07170411_1828", "07170411_1251", "07170411_1928", "07170411_1523", "07170411_2028", "07170411_1628", "07170411_2128"</v>
      </c>
    </row>
    <row r="404" spans="1:20">
      <c r="A404" s="56" t="s">
        <v>3821</v>
      </c>
      <c r="B404" s="56"/>
      <c r="C404" s="56"/>
      <c r="D404" s="56"/>
      <c r="E404" s="56"/>
      <c r="F404" s="56"/>
      <c r="G404" s="56" t="s">
        <v>18</v>
      </c>
      <c r="H404" s="56"/>
      <c r="I404" s="56"/>
      <c r="J404" s="56" t="s">
        <v>3626</v>
      </c>
      <c r="K404" s="56">
        <v>0</v>
      </c>
      <c r="L404" s="87" t="s">
        <v>3829</v>
      </c>
      <c r="M404" s="56">
        <v>20</v>
      </c>
      <c r="N404" t="s">
        <v>2246</v>
      </c>
      <c r="O404" t="str">
        <f t="shared" si="14"/>
        <v>condorProc.py --series 07170411_1928 --donoise --dumps a --procenv environments/pymidas_HVHV_r62_mf.env</v>
      </c>
      <c r="Q404" s="56">
        <v>50</v>
      </c>
      <c r="R404" s="56" t="s">
        <v>3826</v>
      </c>
      <c r="S404" t="str">
        <f t="shared" si="15"/>
        <v>"07170411_1141", "07170411_1828", "07170411_1251", "07170411_1928", "07170411_1523", "07170411_2028", "07170411_1628", "07170411_2128", "07170411_1728"</v>
      </c>
      <c r="T404" t="str">
        <f>"TCut c"&amp;Q404&amp;" = ""SeriesNumber=="&amp;MID(R404,2,7)&amp;RIGHT(R404,4)&amp;"||SeriesNumber=="&amp;MID(R405,2,7)&amp;RIGHT(R405,4)&amp;""""</f>
        <v>TCut c50 = "SeriesNumber==71704111728||SeriesNumber==71704112229"</v>
      </c>
    </row>
    <row r="405" spans="1:20">
      <c r="A405" s="56" t="s">
        <v>3825</v>
      </c>
      <c r="B405" s="56"/>
      <c r="C405" s="56"/>
      <c r="D405" s="56"/>
      <c r="E405" s="56"/>
      <c r="F405" s="56"/>
      <c r="G405" s="56" t="s">
        <v>18</v>
      </c>
      <c r="H405" s="56"/>
      <c r="I405" s="56"/>
      <c r="J405" s="56" t="s">
        <v>3626</v>
      </c>
      <c r="K405" s="56">
        <v>0</v>
      </c>
      <c r="L405" s="88" t="s">
        <v>3512</v>
      </c>
      <c r="M405" s="56">
        <v>30</v>
      </c>
      <c r="N405" t="s">
        <v>2246</v>
      </c>
      <c r="O405" t="str">
        <f t="shared" si="14"/>
        <v>condorProc.py --series 07170411_2028 --donoise --dumps a --procenv environments/pymidas_HVHV_r62_mf.env</v>
      </c>
      <c r="Q405" s="56">
        <v>50</v>
      </c>
      <c r="R405" s="56" t="s">
        <v>3830</v>
      </c>
      <c r="S405" t="str">
        <f t="shared" si="15"/>
        <v>"07170411_1141", "07170411_1828", "07170411_1251", "07170411_1928", "07170411_1523", "07170411_2028", "07170411_1628", "07170411_2128", "07170411_1728", "07170411_2229"</v>
      </c>
    </row>
    <row r="406" spans="1:20">
      <c r="A406" s="56" t="s">
        <v>3828</v>
      </c>
      <c r="B406" s="56"/>
      <c r="C406" s="56"/>
      <c r="D406" s="56"/>
      <c r="E406" s="56"/>
      <c r="F406" s="56"/>
      <c r="G406" s="56" t="s">
        <v>18</v>
      </c>
      <c r="H406" s="56"/>
      <c r="I406" s="56"/>
      <c r="J406" s="56" t="s">
        <v>3626</v>
      </c>
      <c r="K406" s="56">
        <v>0</v>
      </c>
      <c r="L406" s="56"/>
      <c r="M406" s="56">
        <v>40</v>
      </c>
      <c r="N406" t="s">
        <v>2246</v>
      </c>
      <c r="O406" t="str">
        <f t="shared" si="14"/>
        <v>condorProc.py --series 07170411_2128 --donoise --dumps a --procenv environments/pymidas_HVHV_r62_mf.env</v>
      </c>
    </row>
    <row r="407" spans="1:20">
      <c r="A407" s="56" t="s">
        <v>3830</v>
      </c>
      <c r="B407" s="56"/>
      <c r="C407" s="56"/>
      <c r="D407" s="56"/>
      <c r="E407" s="56"/>
      <c r="F407" s="56"/>
      <c r="G407" s="56" t="s">
        <v>18</v>
      </c>
      <c r="H407" s="56"/>
      <c r="I407" s="56"/>
      <c r="J407" s="56" t="s">
        <v>3626</v>
      </c>
      <c r="K407" s="56">
        <v>0</v>
      </c>
      <c r="L407" s="56"/>
      <c r="M407" s="56">
        <v>50</v>
      </c>
      <c r="N407" t="s">
        <v>2246</v>
      </c>
      <c r="O407" t="str">
        <f t="shared" si="14"/>
        <v>condorProc.py --series 07170411_2229 --donoise --dumps a --procenv environments/pymidas_HVHV_r62_mf.env</v>
      </c>
    </row>
    <row r="408" spans="1:20">
      <c r="A408" t="s">
        <v>3831</v>
      </c>
      <c r="L408" t="s">
        <v>191</v>
      </c>
    </row>
    <row r="409" spans="1:20">
      <c r="A409" s="74" t="s">
        <v>3832</v>
      </c>
      <c r="B409" s="74"/>
      <c r="C409" s="74"/>
      <c r="D409" s="74"/>
      <c r="E409" s="74"/>
      <c r="F409" s="74"/>
      <c r="G409" s="74" t="s">
        <v>18</v>
      </c>
      <c r="H409" s="74"/>
      <c r="I409" s="74"/>
      <c r="J409" s="74" t="s">
        <v>3833</v>
      </c>
      <c r="K409" s="74" t="s">
        <v>2181</v>
      </c>
      <c r="L409" s="90" t="s">
        <v>3601</v>
      </c>
      <c r="M409" s="74"/>
      <c r="N409" t="s">
        <v>2246</v>
      </c>
      <c r="O409" t="str">
        <f>"condorProc.py --series "&amp;A409&amp;" --donoise --dumps a --procenv environments/pymidas_HV_r62_mf.env"</f>
        <v>condorProc.py --series 07170417_1112 --donoise --dumps a --procenv environments/pymidas_HV_r62_mf.env</v>
      </c>
      <c r="P409" t="str">
        <f>""""&amp;A409&amp;""""</f>
        <v>"07170417_1112"</v>
      </c>
    </row>
    <row r="410" spans="1:20">
      <c r="A410" s="74" t="s">
        <v>3834</v>
      </c>
      <c r="B410" s="74"/>
      <c r="C410" s="74"/>
      <c r="D410" s="74"/>
      <c r="E410" s="74"/>
      <c r="F410" s="74"/>
      <c r="G410" s="74" t="s">
        <v>18</v>
      </c>
      <c r="H410" s="74"/>
      <c r="I410" s="74"/>
      <c r="J410" s="74" t="s">
        <v>3833</v>
      </c>
      <c r="K410" s="74" t="s">
        <v>2181</v>
      </c>
      <c r="L410" s="91" t="s">
        <v>3835</v>
      </c>
      <c r="M410" s="74"/>
      <c r="N410" t="s">
        <v>2246</v>
      </c>
      <c r="O410" t="str">
        <f>"condorProc.py --series "&amp;A410&amp;" --donoise --dumps a --procenv environments/pymidas_HV_r62_mf.env"</f>
        <v>condorProc.py --series 07170417_1212 --donoise --dumps a --procenv environments/pymidas_HV_r62_mf.env</v>
      </c>
      <c r="P410" t="str">
        <f>P409&amp;", """&amp;A410&amp;""""</f>
        <v>"07170417_1112", "07170417_1212"</v>
      </c>
    </row>
    <row r="411" spans="1:20">
      <c r="A411" s="74" t="s">
        <v>3836</v>
      </c>
      <c r="B411" s="74"/>
      <c r="C411" s="74"/>
      <c r="D411" s="74"/>
      <c r="E411" s="74"/>
      <c r="F411" s="74"/>
      <c r="G411" s="74" t="s">
        <v>18</v>
      </c>
      <c r="H411" s="74"/>
      <c r="I411" s="74"/>
      <c r="J411" s="74" t="s">
        <v>3833</v>
      </c>
      <c r="K411" s="74" t="s">
        <v>2181</v>
      </c>
      <c r="L411" s="92" t="s">
        <v>3837</v>
      </c>
      <c r="M411" s="74"/>
      <c r="N411" t="s">
        <v>2246</v>
      </c>
      <c r="O411" t="str">
        <f t="shared" ref="O411:O429" si="16">"condorProc.py --series "&amp;A411&amp;" --donoise --dumps a --procenv environments/pymidas_HV_r62_mf.env"</f>
        <v>condorProc.py --series 07170417_1312 --donoise --dumps a --procenv environments/pymidas_HV_r62_mf.env</v>
      </c>
      <c r="P411" t="str">
        <f t="shared" ref="P411:P429" si="17">P410&amp;", """&amp;A411&amp;""""</f>
        <v>"07170417_1112", "07170417_1212", "07170417_1312"</v>
      </c>
    </row>
    <row r="412" spans="1:20">
      <c r="A412" s="74" t="s">
        <v>3838</v>
      </c>
      <c r="B412" s="74"/>
      <c r="C412" s="74"/>
      <c r="D412" s="74"/>
      <c r="E412" s="74"/>
      <c r="F412" s="74"/>
      <c r="G412" s="74" t="s">
        <v>18</v>
      </c>
      <c r="H412" s="74"/>
      <c r="I412" s="74"/>
      <c r="J412" s="74" t="s">
        <v>3833</v>
      </c>
      <c r="K412" s="74" t="s">
        <v>2181</v>
      </c>
      <c r="L412" s="74"/>
      <c r="M412" s="74"/>
      <c r="N412" t="s">
        <v>2246</v>
      </c>
      <c r="O412" t="str">
        <f t="shared" si="16"/>
        <v>condorProc.py --series 07170417_1412 --donoise --dumps a --procenv environments/pymidas_HV_r62_mf.env</v>
      </c>
      <c r="P412" t="str">
        <f t="shared" si="17"/>
        <v>"07170417_1112", "07170417_1212", "07170417_1312", "07170417_1412"</v>
      </c>
    </row>
    <row r="413" spans="1:20">
      <c r="A413" s="74" t="s">
        <v>3839</v>
      </c>
      <c r="B413" s="74"/>
      <c r="C413" s="74"/>
      <c r="D413" s="74"/>
      <c r="E413" s="74"/>
      <c r="F413" s="74"/>
      <c r="G413" s="74" t="s">
        <v>18</v>
      </c>
      <c r="H413" s="74"/>
      <c r="I413" s="74"/>
      <c r="J413" s="74" t="s">
        <v>3833</v>
      </c>
      <c r="K413" s="74" t="s">
        <v>2181</v>
      </c>
      <c r="L413" s="74"/>
      <c r="M413" s="74"/>
      <c r="N413" t="s">
        <v>2246</v>
      </c>
      <c r="O413" t="str">
        <f t="shared" si="16"/>
        <v>condorProc.py --series 07170417_1548 --donoise --dumps a --procenv environments/pymidas_HV_r62_mf.env</v>
      </c>
      <c r="P413" t="str">
        <f t="shared" si="17"/>
        <v>"07170417_1112", "07170417_1212", "07170417_1312", "07170417_1412", "07170417_1548"</v>
      </c>
    </row>
    <row r="414" spans="1:20">
      <c r="A414" s="74" t="s">
        <v>3840</v>
      </c>
      <c r="B414" s="74"/>
      <c r="C414" s="74"/>
      <c r="D414" s="74"/>
      <c r="E414" s="74"/>
      <c r="F414" s="74"/>
      <c r="G414" s="74" t="s">
        <v>18</v>
      </c>
      <c r="H414" s="74"/>
      <c r="I414" s="74"/>
      <c r="J414" s="74" t="s">
        <v>3833</v>
      </c>
      <c r="K414" s="74" t="s">
        <v>2181</v>
      </c>
      <c r="L414" s="74"/>
      <c r="M414" s="74"/>
      <c r="N414" t="s">
        <v>2246</v>
      </c>
      <c r="O414" t="str">
        <f t="shared" si="16"/>
        <v>condorProc.py --series 07170417_1648 --donoise --dumps a --procenv environments/pymidas_HV_r62_mf.env</v>
      </c>
      <c r="P414" t="str">
        <f t="shared" si="17"/>
        <v>"07170417_1112", "07170417_1212", "07170417_1312", "07170417_1412", "07170417_1548", "07170417_1648"</v>
      </c>
    </row>
    <row r="415" spans="1:20">
      <c r="A415" s="74" t="s">
        <v>3841</v>
      </c>
      <c r="B415" s="74"/>
      <c r="C415" s="74"/>
      <c r="D415" s="74"/>
      <c r="E415" s="74"/>
      <c r="F415" s="74"/>
      <c r="G415" s="74" t="s">
        <v>18</v>
      </c>
      <c r="H415" s="74"/>
      <c r="I415" s="74"/>
      <c r="J415" s="74" t="s">
        <v>3833</v>
      </c>
      <c r="K415" s="74" t="s">
        <v>2181</v>
      </c>
      <c r="L415" s="74"/>
      <c r="M415" s="74"/>
      <c r="N415" t="s">
        <v>2246</v>
      </c>
      <c r="O415" t="str">
        <f t="shared" si="16"/>
        <v>condorProc.py --series 07170417_1748 --donoise --dumps a --procenv environments/pymidas_HV_r62_mf.env</v>
      </c>
      <c r="P415" t="str">
        <f t="shared" si="17"/>
        <v>"07170417_1112", "07170417_1212", "07170417_1312", "07170417_1412", "07170417_1548", "07170417_1648", "07170417_1748"</v>
      </c>
    </row>
    <row r="416" spans="1:20">
      <c r="A416" s="74" t="s">
        <v>3842</v>
      </c>
      <c r="B416" s="74"/>
      <c r="C416" s="74"/>
      <c r="D416" s="74"/>
      <c r="E416" s="74"/>
      <c r="F416" s="74"/>
      <c r="G416" s="74" t="s">
        <v>18</v>
      </c>
      <c r="H416" s="74"/>
      <c r="I416" s="74"/>
      <c r="J416" s="74" t="s">
        <v>3833</v>
      </c>
      <c r="K416" s="74" t="s">
        <v>2181</v>
      </c>
      <c r="L416" s="74"/>
      <c r="M416" s="74"/>
      <c r="N416" t="s">
        <v>2246</v>
      </c>
      <c r="O416" t="str">
        <f t="shared" si="16"/>
        <v>condorProc.py --series 07170417_1848 --donoise --dumps a --procenv environments/pymidas_HV_r62_mf.env</v>
      </c>
      <c r="P416" t="str">
        <f t="shared" si="17"/>
        <v>"07170417_1112", "07170417_1212", "07170417_1312", "07170417_1412", "07170417_1548", "07170417_1648", "07170417_1748", "07170417_1848"</v>
      </c>
    </row>
    <row r="417" spans="1:16">
      <c r="A417" s="74" t="s">
        <v>3843</v>
      </c>
      <c r="B417" s="74"/>
      <c r="C417" s="74"/>
      <c r="D417" s="74"/>
      <c r="E417" s="74"/>
      <c r="F417" s="74"/>
      <c r="G417" s="74" t="s">
        <v>18</v>
      </c>
      <c r="H417" s="74"/>
      <c r="I417" s="74"/>
      <c r="J417" s="74" t="s">
        <v>3833</v>
      </c>
      <c r="K417" s="74" t="s">
        <v>2181</v>
      </c>
      <c r="L417" s="74"/>
      <c r="M417" s="74"/>
      <c r="N417" t="s">
        <v>2246</v>
      </c>
      <c r="O417" t="str">
        <f t="shared" si="16"/>
        <v>condorProc.py --series 07170417_1948 --donoise --dumps a --procenv environments/pymidas_HV_r62_mf.env</v>
      </c>
      <c r="P417" t="str">
        <f t="shared" si="17"/>
        <v>"07170417_1112", "07170417_1212", "07170417_1312", "07170417_1412", "07170417_1548", "07170417_1648", "07170417_1748", "07170417_1848", "07170417_1948"</v>
      </c>
    </row>
    <row r="418" spans="1:16">
      <c r="A418" s="74" t="s">
        <v>3844</v>
      </c>
      <c r="B418" s="74"/>
      <c r="C418" s="74"/>
      <c r="D418" s="74"/>
      <c r="E418" s="74"/>
      <c r="F418" s="74"/>
      <c r="G418" s="74" t="s">
        <v>18</v>
      </c>
      <c r="H418" s="74"/>
      <c r="I418" s="74"/>
      <c r="J418" s="74" t="s">
        <v>3833</v>
      </c>
      <c r="K418" s="74" t="s">
        <v>2181</v>
      </c>
      <c r="L418" s="74"/>
      <c r="M418" s="74"/>
      <c r="N418" t="s">
        <v>2246</v>
      </c>
      <c r="O418" t="str">
        <f t="shared" si="16"/>
        <v>condorProc.py --series 07170417_2048 --donoise --dumps a --procenv environments/pymidas_HV_r62_mf.env</v>
      </c>
      <c r="P418" t="str">
        <f t="shared" si="17"/>
        <v>"07170417_1112", "07170417_1212", "07170417_1312", "07170417_1412", "07170417_1548", "07170417_1648", "07170417_1748", "07170417_1848", "07170417_1948", "07170417_2048"</v>
      </c>
    </row>
    <row r="419" spans="1:16">
      <c r="A419" s="74" t="s">
        <v>3845</v>
      </c>
      <c r="B419" s="74"/>
      <c r="C419" s="74"/>
      <c r="D419" s="74"/>
      <c r="E419" s="74"/>
      <c r="F419" s="74"/>
      <c r="G419" s="74" t="s">
        <v>18</v>
      </c>
      <c r="H419" s="74"/>
      <c r="I419" s="74"/>
      <c r="J419" s="74" t="s">
        <v>3833</v>
      </c>
      <c r="K419" s="74" t="s">
        <v>2181</v>
      </c>
      <c r="L419" s="74"/>
      <c r="M419" s="74"/>
      <c r="N419" t="s">
        <v>2246</v>
      </c>
      <c r="O419" t="str">
        <f t="shared" si="16"/>
        <v>condorProc.py --series 07170417_2148 --donoise --dumps a --procenv environments/pymidas_HV_r62_mf.env</v>
      </c>
      <c r="P419" t="str">
        <f t="shared" si="17"/>
        <v>"07170417_1112", "07170417_1212", "07170417_1312", "07170417_1412", "07170417_1548", "07170417_1648", "07170417_1748", "07170417_1848", "07170417_1948", "07170417_2048", "07170417_2148"</v>
      </c>
    </row>
    <row r="420" spans="1:16">
      <c r="A420" s="74" t="s">
        <v>3846</v>
      </c>
      <c r="B420" s="74"/>
      <c r="C420" s="74"/>
      <c r="D420" s="74"/>
      <c r="E420" s="74"/>
      <c r="F420" s="74"/>
      <c r="G420" s="74" t="s">
        <v>18</v>
      </c>
      <c r="H420" s="74"/>
      <c r="I420" s="74"/>
      <c r="J420" s="74" t="s">
        <v>3833</v>
      </c>
      <c r="K420" s="74" t="s">
        <v>2181</v>
      </c>
      <c r="L420" s="74"/>
      <c r="M420" s="74"/>
      <c r="N420" t="s">
        <v>2246</v>
      </c>
      <c r="O420" t="str">
        <f t="shared" si="16"/>
        <v>condorProc.py --series 07170417_2248 --donoise --dumps a --procenv environments/pymidas_HV_r62_mf.env</v>
      </c>
      <c r="P420" t="str">
        <f t="shared" si="17"/>
        <v>"07170417_1112", "07170417_1212", "07170417_1312", "07170417_1412", "07170417_1548", "07170417_1648", "07170417_1748", "07170417_1848", "07170417_1948", "07170417_2048", "07170417_2148", "07170417_2248"</v>
      </c>
    </row>
    <row r="421" spans="1:16">
      <c r="A421" s="74" t="s">
        <v>3847</v>
      </c>
      <c r="B421" s="74"/>
      <c r="C421" s="74"/>
      <c r="D421" s="74"/>
      <c r="E421" s="74"/>
      <c r="F421" s="74"/>
      <c r="G421" s="74" t="s">
        <v>18</v>
      </c>
      <c r="H421" s="74"/>
      <c r="I421" s="74"/>
      <c r="J421" s="74" t="s">
        <v>3833</v>
      </c>
      <c r="K421" s="74" t="s">
        <v>2181</v>
      </c>
      <c r="L421" s="74"/>
      <c r="M421" s="74"/>
      <c r="N421" t="s">
        <v>2246</v>
      </c>
      <c r="O421" t="str">
        <f t="shared" si="16"/>
        <v>condorProc.py --series 07170417_2348 --donoise --dumps a --procenv environments/pymidas_HV_r62_mf.env</v>
      </c>
      <c r="P421" t="str">
        <f t="shared" si="17"/>
        <v>"07170417_1112", "07170417_1212", "07170417_1312", "07170417_1412", "07170417_1548", "07170417_1648", "07170417_1748", "07170417_1848", "07170417_1948", "07170417_2048", "07170417_2148", "07170417_2248", "07170417_2348"</v>
      </c>
    </row>
    <row r="422" spans="1:16">
      <c r="A422" s="74" t="s">
        <v>3848</v>
      </c>
      <c r="B422" s="74"/>
      <c r="C422" s="74"/>
      <c r="D422" s="74"/>
      <c r="E422" s="74"/>
      <c r="F422" s="74"/>
      <c r="G422" s="74" t="s">
        <v>18</v>
      </c>
      <c r="H422" s="74"/>
      <c r="I422" s="74"/>
      <c r="J422" s="74" t="s">
        <v>3833</v>
      </c>
      <c r="K422" s="74" t="s">
        <v>2181</v>
      </c>
      <c r="L422" s="74"/>
      <c r="M422" s="74"/>
      <c r="N422" t="s">
        <v>2246</v>
      </c>
      <c r="O422" t="str">
        <f t="shared" si="16"/>
        <v>condorProc.py --series 07170418_0048 --donoise --dumps a --procenv environments/pymidas_HV_r62_mf.env</v>
      </c>
      <c r="P422" t="str">
        <f t="shared" si="17"/>
        <v>"07170417_1112", "07170417_1212", "07170417_1312", "07170417_1412", "07170417_1548", "07170417_1648", "07170417_1748", "07170417_1848", "07170417_1948", "07170417_2048", "07170417_2148", "07170417_2248", "07170417_2348", "07170418_0048"</v>
      </c>
    </row>
    <row r="423" spans="1:16">
      <c r="A423" s="74" t="s">
        <v>3849</v>
      </c>
      <c r="B423" s="74"/>
      <c r="C423" s="74"/>
      <c r="D423" s="74"/>
      <c r="E423" s="74"/>
      <c r="F423" s="74"/>
      <c r="G423" s="74" t="s">
        <v>18</v>
      </c>
      <c r="H423" s="74"/>
      <c r="I423" s="74"/>
      <c r="J423" s="74" t="s">
        <v>3833</v>
      </c>
      <c r="K423" s="74" t="s">
        <v>2181</v>
      </c>
      <c r="L423" s="74"/>
      <c r="M423" s="74"/>
      <c r="N423" t="s">
        <v>2246</v>
      </c>
      <c r="O423" t="str">
        <f t="shared" si="16"/>
        <v>condorProc.py --series 07170418_0149 --donoise --dumps a --procenv environments/pymidas_HV_r62_mf.env</v>
      </c>
      <c r="P423" t="str">
        <f t="shared" si="17"/>
        <v>"07170417_1112", "07170417_1212", "07170417_1312", "07170417_1412", "07170417_1548", "07170417_1648", "07170417_1748", "07170417_1848", "07170417_1948", "07170417_2048", "07170417_2148", "07170417_2248", "07170417_2348", "07170418_0048", "07170418_0149"</v>
      </c>
    </row>
    <row r="424" spans="1:16">
      <c r="A424" s="74" t="s">
        <v>3850</v>
      </c>
      <c r="B424" s="74"/>
      <c r="C424" s="74"/>
      <c r="D424" s="74"/>
      <c r="E424" s="74"/>
      <c r="F424" s="74"/>
      <c r="G424" s="74" t="s">
        <v>18</v>
      </c>
      <c r="H424" s="74"/>
      <c r="I424" s="74"/>
      <c r="J424" s="74" t="s">
        <v>3833</v>
      </c>
      <c r="K424" s="74" t="s">
        <v>2181</v>
      </c>
      <c r="L424" s="74"/>
      <c r="M424" s="74"/>
      <c r="N424" t="s">
        <v>2246</v>
      </c>
      <c r="O424" t="str">
        <f t="shared" si="16"/>
        <v>condorProc.py --series 07170418_0249 --donoise --dumps a --procenv environments/pymidas_HV_r62_mf.env</v>
      </c>
      <c r="P424" t="str">
        <f t="shared" si="17"/>
        <v>"07170417_1112", "07170417_1212", "07170417_1312", "07170417_1412", "07170417_1548", "07170417_1648", "07170417_1748", "07170417_1848", "07170417_1948", "07170417_2048", "07170417_2148", "07170417_2248", "07170417_2348", "07170418_0048", "07170418_0149", "07170418_0249"</v>
      </c>
    </row>
    <row r="425" spans="1:16">
      <c r="A425" s="74" t="s">
        <v>3851</v>
      </c>
      <c r="B425" s="74"/>
      <c r="C425" s="74"/>
      <c r="D425" s="74"/>
      <c r="E425" s="74"/>
      <c r="F425" s="74"/>
      <c r="G425" s="74" t="s">
        <v>18</v>
      </c>
      <c r="H425" s="74"/>
      <c r="I425" s="74"/>
      <c r="J425" s="74" t="s">
        <v>3833</v>
      </c>
      <c r="K425" s="74" t="s">
        <v>2181</v>
      </c>
      <c r="L425" s="74"/>
      <c r="M425" s="74"/>
      <c r="N425" t="s">
        <v>2246</v>
      </c>
      <c r="O425" t="str">
        <f t="shared" si="16"/>
        <v>condorProc.py --series 07170418_0349 --donoise --dumps a --procenv environments/pymidas_HV_r62_mf.env</v>
      </c>
      <c r="P425" t="str">
        <f t="shared" si="17"/>
        <v>"07170417_1112", "07170417_1212", "07170417_1312", "07170417_1412", "07170417_1548", "07170417_1648", "07170417_1748", "07170417_1848", "07170417_1948", "07170417_2048", "07170417_2148", "07170417_2248", "07170417_2348", "07170418_0048", "07170418_0149", "07170418_0249", "07170418_0349"</v>
      </c>
    </row>
    <row r="426" spans="1:16">
      <c r="A426" s="74" t="s">
        <v>3852</v>
      </c>
      <c r="B426" s="74"/>
      <c r="C426" s="74"/>
      <c r="D426" s="74"/>
      <c r="E426" s="74"/>
      <c r="F426" s="74"/>
      <c r="G426" s="74" t="s">
        <v>18</v>
      </c>
      <c r="H426" s="74"/>
      <c r="I426" s="74"/>
      <c r="J426" s="74" t="s">
        <v>3833</v>
      </c>
      <c r="K426" s="74" t="s">
        <v>2181</v>
      </c>
      <c r="L426" s="74"/>
      <c r="M426" s="74"/>
      <c r="N426" t="s">
        <v>2246</v>
      </c>
      <c r="O426" t="str">
        <f t="shared" si="16"/>
        <v>condorProc.py --series 07170418_0449 --donoise --dumps a --procenv environments/pymidas_HV_r62_mf.env</v>
      </c>
      <c r="P426" t="str">
        <f t="shared" si="17"/>
        <v>"07170417_1112", "07170417_1212", "07170417_1312", "07170417_1412", "07170417_1548", "07170417_1648", "07170417_1748", "07170417_1848", "07170417_1948", "07170417_2048", "07170417_2148", "07170417_2248", "07170417_2348", "07170418_0048", "07170418_0149", "07170418_0249", "07170418_0349", "07170418_0449"</v>
      </c>
    </row>
    <row r="427" spans="1:16">
      <c r="A427" s="74" t="s">
        <v>3853</v>
      </c>
      <c r="B427" s="74"/>
      <c r="C427" s="74"/>
      <c r="D427" s="74"/>
      <c r="E427" s="74"/>
      <c r="F427" s="74"/>
      <c r="G427" s="74" t="s">
        <v>18</v>
      </c>
      <c r="H427" s="74"/>
      <c r="I427" s="74"/>
      <c r="J427" s="74" t="s">
        <v>3833</v>
      </c>
      <c r="K427" s="74" t="s">
        <v>2181</v>
      </c>
      <c r="L427" s="74"/>
      <c r="M427" s="74"/>
      <c r="N427" t="s">
        <v>2246</v>
      </c>
      <c r="O427" t="str">
        <f t="shared" si="16"/>
        <v>condorProc.py --series 07170418_0549 --donoise --dumps a --procenv environments/pymidas_HV_r62_mf.env</v>
      </c>
      <c r="P427" t="str">
        <f t="shared" si="17"/>
        <v>"07170417_1112", "07170417_1212", "07170417_1312", "07170417_1412", "07170417_1548", "07170417_1648", "07170417_1748", "07170417_1848", "07170417_1948", "07170417_2048", "07170417_2148", "07170417_2248", "07170417_2348", "07170418_0048", "07170418_0149", "07170418_0249", "07170418_0349", "07170418_0449", "07170418_0549"</v>
      </c>
    </row>
    <row r="428" spans="1:16">
      <c r="A428" s="74" t="s">
        <v>3854</v>
      </c>
      <c r="B428" s="74"/>
      <c r="C428" s="74"/>
      <c r="D428" s="74"/>
      <c r="E428" s="74"/>
      <c r="F428" s="74"/>
      <c r="G428" s="74" t="s">
        <v>18</v>
      </c>
      <c r="H428" s="74"/>
      <c r="I428" s="74"/>
      <c r="J428" s="74" t="s">
        <v>3833</v>
      </c>
      <c r="K428" s="74" t="s">
        <v>2181</v>
      </c>
      <c r="L428" s="74"/>
      <c r="M428" s="74"/>
      <c r="N428" t="s">
        <v>2246</v>
      </c>
      <c r="O428" t="str">
        <f t="shared" si="16"/>
        <v>condorProc.py --series 07170418_0649 --donoise --dumps a --procenv environments/pymidas_HV_r62_mf.env</v>
      </c>
      <c r="P428" t="str">
        <f t="shared" si="17"/>
        <v>"07170417_1112", "07170417_1212", "07170417_1312", "07170417_1412", "07170417_1548", "07170417_1648", "07170417_1748", "07170417_1848", "07170417_1948", "07170417_2048", "07170417_2148", "07170417_2248", "07170417_2348", "07170418_0048", "07170418_0149", "07170418_0249", "07170418_0349", "07170418_0449", "07170418_0549", "07170418_0649"</v>
      </c>
    </row>
    <row r="429" spans="1:16">
      <c r="A429" s="74" t="s">
        <v>3855</v>
      </c>
      <c r="B429" s="74"/>
      <c r="C429" s="74"/>
      <c r="D429" s="74"/>
      <c r="E429" s="74"/>
      <c r="F429" s="74"/>
      <c r="G429" s="74" t="s">
        <v>18</v>
      </c>
      <c r="H429" s="74"/>
      <c r="I429" s="74"/>
      <c r="J429" s="74" t="s">
        <v>3833</v>
      </c>
      <c r="K429" s="74" t="s">
        <v>2181</v>
      </c>
      <c r="L429" s="74"/>
      <c r="M429" s="74"/>
      <c r="N429" t="s">
        <v>2246</v>
      </c>
      <c r="O429" t="str">
        <f t="shared" si="16"/>
        <v>condorProc.py --series 07170418_0749 --donoise --dumps a --procenv environments/pymidas_HV_r62_mf.env</v>
      </c>
      <c r="P429" t="str">
        <f t="shared" si="17"/>
        <v>"07170417_1112", "07170417_1212", "07170417_1312", "07170417_1412", "07170417_1548", "07170417_1648", "07170417_1748", "07170417_1848", "07170417_1948", "07170417_2048", "07170417_2148", "07170417_2248", "07170417_2348", "07170418_0048", "07170418_0149", "07170418_0249", "07170418_0349", "07170418_0449", "07170418_0549", "07170418_0649", "07170418_0749"</v>
      </c>
    </row>
    <row r="430" spans="1:16">
      <c r="A430" t="s">
        <v>3856</v>
      </c>
      <c r="G430" t="s">
        <v>18</v>
      </c>
      <c r="J430" t="s">
        <v>3626</v>
      </c>
      <c r="K430">
        <v>48.8</v>
      </c>
      <c r="L430" t="s">
        <v>3857</v>
      </c>
    </row>
    <row r="431" spans="1:16">
      <c r="A431" s="56" t="s">
        <v>3858</v>
      </c>
      <c r="B431" s="56"/>
      <c r="C431" s="56"/>
      <c r="D431" s="56"/>
      <c r="E431" s="56"/>
      <c r="F431" s="56"/>
      <c r="G431" s="56" t="s">
        <v>18</v>
      </c>
      <c r="H431" s="56"/>
      <c r="I431" s="56"/>
      <c r="J431" s="56" t="s">
        <v>3626</v>
      </c>
      <c r="K431" s="56">
        <v>48.8</v>
      </c>
      <c r="L431" s="93" t="s">
        <v>3601</v>
      </c>
      <c r="M431" s="56"/>
      <c r="N431" t="s">
        <v>2246</v>
      </c>
      <c r="O431" t="str">
        <f t="shared" ref="O431:O442" si="18">"condorProc.py --series "&amp;A431&amp;" --donoise --dumps a --procenv environments/pymidas_HVHV_r62_mf.env"</f>
        <v>condorProc.py --series 07170419_1751 --donoise --dumps a --procenv environments/pymidas_HVHV_r62_mf.env</v>
      </c>
      <c r="P431" t="str">
        <f>""""&amp;A431&amp;""""</f>
        <v>"07170419_1751"</v>
      </c>
    </row>
    <row r="432" spans="1:16">
      <c r="A432" s="56" t="s">
        <v>3859</v>
      </c>
      <c r="B432" s="56"/>
      <c r="C432" s="56"/>
      <c r="D432" s="56"/>
      <c r="E432" s="56"/>
      <c r="F432" s="56"/>
      <c r="G432" s="56" t="s">
        <v>18</v>
      </c>
      <c r="H432" s="56"/>
      <c r="I432" s="56"/>
      <c r="J432" s="56" t="s">
        <v>3626</v>
      </c>
      <c r="K432" s="56">
        <v>48.8</v>
      </c>
      <c r="L432" s="87" t="s">
        <v>3762</v>
      </c>
      <c r="M432" s="56"/>
      <c r="N432" t="s">
        <v>2246</v>
      </c>
      <c r="O432" t="str">
        <f t="shared" si="18"/>
        <v>condorProc.py --series 07170419_1851 --donoise --dumps a --procenv environments/pymidas_HVHV_r62_mf.env</v>
      </c>
      <c r="P432" t="str">
        <f>P431&amp;", """&amp;A432&amp;""""</f>
        <v>"07170419_1751", "07170419_1851"</v>
      </c>
    </row>
    <row r="433" spans="1:16">
      <c r="A433" s="56" t="s">
        <v>3860</v>
      </c>
      <c r="B433" s="56"/>
      <c r="C433" s="56"/>
      <c r="D433" s="56"/>
      <c r="E433" s="56"/>
      <c r="F433" s="56"/>
      <c r="G433" s="56" t="s">
        <v>18</v>
      </c>
      <c r="H433" s="56"/>
      <c r="I433" s="56"/>
      <c r="J433" s="56" t="s">
        <v>3626</v>
      </c>
      <c r="K433" s="56">
        <v>48.8</v>
      </c>
      <c r="L433" s="88" t="s">
        <v>3512</v>
      </c>
      <c r="M433" s="56"/>
      <c r="N433" t="s">
        <v>2246</v>
      </c>
      <c r="O433" t="str">
        <f t="shared" si="18"/>
        <v>condorProc.py --series 07170419_1952 --donoise --dumps a --procenv environments/pymidas_HVHV_r62_mf.env</v>
      </c>
      <c r="P433" t="str">
        <f t="shared" ref="P433:P442" si="19">P432&amp;", """&amp;A433&amp;""""</f>
        <v>"07170419_1751", "07170419_1851", "07170419_1952"</v>
      </c>
    </row>
    <row r="434" spans="1:16">
      <c r="A434" s="56" t="s">
        <v>3861</v>
      </c>
      <c r="B434" s="56"/>
      <c r="C434" s="56"/>
      <c r="D434" s="56"/>
      <c r="E434" s="56"/>
      <c r="F434" s="56"/>
      <c r="G434" s="56" t="s">
        <v>18</v>
      </c>
      <c r="H434" s="56"/>
      <c r="I434" s="56"/>
      <c r="J434" s="56" t="s">
        <v>3626</v>
      </c>
      <c r="K434" s="56">
        <v>48.8</v>
      </c>
      <c r="L434" s="56"/>
      <c r="M434" s="56"/>
      <c r="N434" t="s">
        <v>2246</v>
      </c>
      <c r="O434" t="str">
        <f t="shared" si="18"/>
        <v>condorProc.py --series 07170419_2052 --donoise --dumps a --procenv environments/pymidas_HVHV_r62_mf.env</v>
      </c>
      <c r="P434" t="str">
        <f t="shared" si="19"/>
        <v>"07170419_1751", "07170419_1851", "07170419_1952", "07170419_2052"</v>
      </c>
    </row>
    <row r="435" spans="1:16">
      <c r="A435" s="56" t="s">
        <v>3862</v>
      </c>
      <c r="B435" s="56"/>
      <c r="C435" s="56"/>
      <c r="D435" s="56"/>
      <c r="E435" s="56"/>
      <c r="F435" s="56"/>
      <c r="G435" s="56" t="s">
        <v>18</v>
      </c>
      <c r="H435" s="56"/>
      <c r="I435" s="56"/>
      <c r="J435" s="56" t="s">
        <v>3626</v>
      </c>
      <c r="K435" s="56">
        <v>48.8</v>
      </c>
      <c r="L435" s="56"/>
      <c r="M435" s="56"/>
      <c r="N435" t="s">
        <v>2246</v>
      </c>
      <c r="O435" t="str">
        <f t="shared" si="18"/>
        <v>condorProc.py --series 07170419_2152 --donoise --dumps a --procenv environments/pymidas_HVHV_r62_mf.env</v>
      </c>
      <c r="P435" t="str">
        <f t="shared" si="19"/>
        <v>"07170419_1751", "07170419_1851", "07170419_1952", "07170419_2052", "07170419_2152"</v>
      </c>
    </row>
    <row r="436" spans="1:16">
      <c r="A436" s="56" t="s">
        <v>3863</v>
      </c>
      <c r="B436" s="56"/>
      <c r="C436" s="56"/>
      <c r="D436" s="56"/>
      <c r="E436" s="56"/>
      <c r="F436" s="56"/>
      <c r="G436" s="56" t="s">
        <v>18</v>
      </c>
      <c r="H436" s="56"/>
      <c r="I436" s="56"/>
      <c r="J436" s="56" t="s">
        <v>3626</v>
      </c>
      <c r="K436" s="56">
        <v>48.8</v>
      </c>
      <c r="L436" s="56"/>
      <c r="M436" s="56"/>
      <c r="N436" t="s">
        <v>2246</v>
      </c>
      <c r="O436" t="str">
        <f t="shared" si="18"/>
        <v>condorProc.py --series 07170419_2252 --donoise --dumps a --procenv environments/pymidas_HVHV_r62_mf.env</v>
      </c>
      <c r="P436" t="str">
        <f t="shared" si="19"/>
        <v>"07170419_1751", "07170419_1851", "07170419_1952", "07170419_2052", "07170419_2152", "07170419_2252"</v>
      </c>
    </row>
    <row r="437" spans="1:16">
      <c r="A437" s="56" t="s">
        <v>3864</v>
      </c>
      <c r="B437" s="56"/>
      <c r="C437" s="56"/>
      <c r="D437" s="56"/>
      <c r="E437" s="56"/>
      <c r="F437" s="56"/>
      <c r="G437" s="56" t="s">
        <v>18</v>
      </c>
      <c r="H437" s="56"/>
      <c r="I437" s="56"/>
      <c r="J437" s="56" t="s">
        <v>3626</v>
      </c>
      <c r="K437" s="56">
        <v>48.8</v>
      </c>
      <c r="L437" s="56"/>
      <c r="M437" s="56"/>
      <c r="N437" t="s">
        <v>2246</v>
      </c>
      <c r="O437" t="str">
        <f t="shared" si="18"/>
        <v>condorProc.py --series 07170419_2352 --donoise --dumps a --procenv environments/pymidas_HVHV_r62_mf.env</v>
      </c>
      <c r="P437" t="str">
        <f t="shared" si="19"/>
        <v>"07170419_1751", "07170419_1851", "07170419_1952", "07170419_2052", "07170419_2152", "07170419_2252", "07170419_2352"</v>
      </c>
    </row>
    <row r="438" spans="1:16">
      <c r="A438" s="56" t="s">
        <v>3865</v>
      </c>
      <c r="B438" s="56"/>
      <c r="C438" s="56"/>
      <c r="D438" s="56"/>
      <c r="E438" s="56"/>
      <c r="F438" s="56"/>
      <c r="G438" s="56" t="s">
        <v>18</v>
      </c>
      <c r="H438" s="56"/>
      <c r="I438" s="56"/>
      <c r="J438" s="56" t="s">
        <v>3626</v>
      </c>
      <c r="K438" s="56">
        <v>48.8</v>
      </c>
      <c r="L438" s="56"/>
      <c r="M438" s="56"/>
      <c r="N438" t="s">
        <v>2246</v>
      </c>
      <c r="O438" t="str">
        <f t="shared" si="18"/>
        <v>condorProc.py --series 07170420_0053 --donoise --dumps a --procenv environments/pymidas_HVHV_r62_mf.env</v>
      </c>
      <c r="P438" t="str">
        <f t="shared" si="19"/>
        <v>"07170419_1751", "07170419_1851", "07170419_1952", "07170419_2052", "07170419_2152", "07170419_2252", "07170419_2352", "07170420_0053"</v>
      </c>
    </row>
    <row r="439" spans="1:16">
      <c r="A439" s="56" t="s">
        <v>3866</v>
      </c>
      <c r="B439" s="56"/>
      <c r="C439" s="56"/>
      <c r="D439" s="56"/>
      <c r="E439" s="56"/>
      <c r="F439" s="56"/>
      <c r="G439" s="56" t="s">
        <v>18</v>
      </c>
      <c r="H439" s="56"/>
      <c r="I439" s="56"/>
      <c r="J439" s="56" t="s">
        <v>3626</v>
      </c>
      <c r="K439" s="56">
        <v>48.8</v>
      </c>
      <c r="L439" s="56"/>
      <c r="M439" s="56"/>
      <c r="N439" t="s">
        <v>2246</v>
      </c>
      <c r="O439" t="str">
        <f t="shared" si="18"/>
        <v>condorProc.py --series 07170420_0153 --donoise --dumps a --procenv environments/pymidas_HVHV_r62_mf.env</v>
      </c>
      <c r="P439" t="str">
        <f t="shared" si="19"/>
        <v>"07170419_1751", "07170419_1851", "07170419_1952", "07170419_2052", "07170419_2152", "07170419_2252", "07170419_2352", "07170420_0053", "07170420_0153"</v>
      </c>
    </row>
    <row r="440" spans="1:16">
      <c r="A440" s="56" t="s">
        <v>3867</v>
      </c>
      <c r="B440" s="56"/>
      <c r="C440" s="56"/>
      <c r="D440" s="56"/>
      <c r="E440" s="56"/>
      <c r="F440" s="56"/>
      <c r="G440" s="56" t="s">
        <v>18</v>
      </c>
      <c r="H440" s="56"/>
      <c r="I440" s="56"/>
      <c r="J440" s="56" t="s">
        <v>3626</v>
      </c>
      <c r="K440" s="56">
        <v>48.8</v>
      </c>
      <c r="L440" s="56"/>
      <c r="M440" s="56"/>
      <c r="N440" t="s">
        <v>2246</v>
      </c>
      <c r="O440" t="str">
        <f t="shared" si="18"/>
        <v>condorProc.py --series 07170420_0253 --donoise --dumps a --procenv environments/pymidas_HVHV_r62_mf.env</v>
      </c>
      <c r="P440" t="str">
        <f t="shared" si="19"/>
        <v>"07170419_1751", "07170419_1851", "07170419_1952", "07170419_2052", "07170419_2152", "07170419_2252", "07170419_2352", "07170420_0053", "07170420_0153", "07170420_0253"</v>
      </c>
    </row>
    <row r="441" spans="1:16">
      <c r="A441" s="56" t="s">
        <v>3868</v>
      </c>
      <c r="B441" s="56"/>
      <c r="C441" s="56"/>
      <c r="D441" s="56"/>
      <c r="E441" s="56"/>
      <c r="F441" s="56"/>
      <c r="G441" s="56" t="s">
        <v>18</v>
      </c>
      <c r="H441" s="56"/>
      <c r="I441" s="56"/>
      <c r="J441" s="56" t="s">
        <v>3626</v>
      </c>
      <c r="K441" s="56">
        <v>48.8</v>
      </c>
      <c r="L441" s="56"/>
      <c r="M441" s="56"/>
      <c r="N441" t="s">
        <v>2246</v>
      </c>
      <c r="O441" t="str">
        <f t="shared" si="18"/>
        <v>condorProc.py --series 07170420_0353 --donoise --dumps a --procenv environments/pymidas_HVHV_r62_mf.env</v>
      </c>
      <c r="P441" t="str">
        <f t="shared" si="19"/>
        <v>"07170419_1751", "07170419_1851", "07170419_1952", "07170419_2052", "07170419_2152", "07170419_2252", "07170419_2352", "07170420_0053", "07170420_0153", "07170420_0253", "07170420_0353"</v>
      </c>
    </row>
    <row r="442" spans="1:16">
      <c r="A442" s="56" t="s">
        <v>3869</v>
      </c>
      <c r="B442" s="56"/>
      <c r="C442" s="56"/>
      <c r="D442" s="56"/>
      <c r="E442" s="56"/>
      <c r="F442" s="56"/>
      <c r="G442" s="56" t="s">
        <v>18</v>
      </c>
      <c r="H442" s="56"/>
      <c r="I442" s="56"/>
      <c r="J442" s="56" t="s">
        <v>3626</v>
      </c>
      <c r="K442" s="56">
        <v>48.8</v>
      </c>
      <c r="L442" s="56"/>
      <c r="M442" s="56"/>
      <c r="N442" t="s">
        <v>2246</v>
      </c>
      <c r="O442" t="str">
        <f t="shared" si="18"/>
        <v>condorProc.py --series 07170420_0453 --donoise --dumps a --procenv environments/pymidas_HVHV_r62_mf.env</v>
      </c>
      <c r="P442" t="str">
        <f t="shared" si="19"/>
        <v>"07170419_1751", "07170419_1851", "07170419_1952", "07170419_2052", "07170419_2152", "07170419_2252", "07170419_2352", "07170420_0053", "07170420_0153", "07170420_0253", "07170420_0353", "07170420_0453"</v>
      </c>
    </row>
    <row r="443" spans="1:16">
      <c r="A443" t="s">
        <v>3870</v>
      </c>
      <c r="G443" t="s">
        <v>3062</v>
      </c>
      <c r="J443" t="s">
        <v>3871</v>
      </c>
      <c r="K443">
        <v>0</v>
      </c>
      <c r="M443" t="s">
        <v>3872</v>
      </c>
    </row>
    <row r="444" spans="1:16">
      <c r="A444" t="s">
        <v>3873</v>
      </c>
      <c r="G444" t="s">
        <v>3062</v>
      </c>
      <c r="J444" t="s">
        <v>3871</v>
      </c>
      <c r="K444">
        <v>0</v>
      </c>
      <c r="M444" t="s">
        <v>3874</v>
      </c>
    </row>
    <row r="445" spans="1:16">
      <c r="A445" t="s">
        <v>3875</v>
      </c>
      <c r="G445" t="s">
        <v>3062</v>
      </c>
      <c r="J445" t="s">
        <v>3871</v>
      </c>
      <c r="K445">
        <v>0</v>
      </c>
      <c r="M445" t="s">
        <v>3876</v>
      </c>
    </row>
    <row r="446" spans="1:16">
      <c r="A446" t="s">
        <v>3877</v>
      </c>
      <c r="G446" t="s">
        <v>3062</v>
      </c>
      <c r="J446" t="s">
        <v>3871</v>
      </c>
      <c r="K446">
        <v>50</v>
      </c>
      <c r="M446" t="s">
        <v>3876</v>
      </c>
    </row>
    <row r="447" spans="1:16">
      <c r="A447" t="s">
        <v>3878</v>
      </c>
      <c r="G447" t="s">
        <v>2248</v>
      </c>
      <c r="J447" t="s">
        <v>3871</v>
      </c>
      <c r="K447">
        <v>0</v>
      </c>
      <c r="M447" t="s">
        <v>3879</v>
      </c>
    </row>
    <row r="448" spans="1:16">
      <c r="A448" t="s">
        <v>3880</v>
      </c>
      <c r="G448" t="s">
        <v>2248</v>
      </c>
      <c r="J448" t="s">
        <v>3871</v>
      </c>
      <c r="K448">
        <v>0</v>
      </c>
      <c r="M448" t="s">
        <v>3879</v>
      </c>
    </row>
    <row r="449" spans="1:15">
      <c r="A449" t="s">
        <v>3881</v>
      </c>
      <c r="G449" t="s">
        <v>2248</v>
      </c>
      <c r="J449" t="s">
        <v>3871</v>
      </c>
      <c r="K449">
        <v>50</v>
      </c>
      <c r="M449" t="s">
        <v>3874</v>
      </c>
    </row>
    <row r="450" spans="1:15">
      <c r="A450" s="55" t="s">
        <v>3882</v>
      </c>
      <c r="B450" s="55"/>
      <c r="C450" s="55"/>
      <c r="D450" s="55"/>
      <c r="E450" s="55"/>
      <c r="F450" s="55"/>
      <c r="G450" s="55" t="s">
        <v>2248</v>
      </c>
      <c r="H450" s="55"/>
      <c r="I450" s="55"/>
      <c r="J450" s="55" t="s">
        <v>3871</v>
      </c>
      <c r="K450" s="55">
        <v>50</v>
      </c>
      <c r="L450" s="94" t="s">
        <v>3883</v>
      </c>
      <c r="M450" s="55" t="s">
        <v>3874</v>
      </c>
    </row>
    <row r="451" spans="1:15">
      <c r="A451" s="55" t="s">
        <v>3884</v>
      </c>
      <c r="B451" s="55"/>
      <c r="C451" s="55"/>
      <c r="D451" s="55"/>
      <c r="E451" s="55"/>
      <c r="F451" s="55"/>
      <c r="G451" s="55" t="s">
        <v>2248</v>
      </c>
      <c r="H451" s="55"/>
      <c r="I451" s="55"/>
      <c r="J451" s="55" t="s">
        <v>3871</v>
      </c>
      <c r="K451" s="55">
        <v>50</v>
      </c>
      <c r="L451" s="95"/>
      <c r="M451" s="55" t="s">
        <v>3874</v>
      </c>
    </row>
    <row r="452" spans="1:15">
      <c r="A452" s="55" t="s">
        <v>3885</v>
      </c>
      <c r="B452" s="55"/>
      <c r="C452" s="55"/>
      <c r="D452" s="55"/>
      <c r="E452" s="55"/>
      <c r="F452" s="55"/>
      <c r="G452" s="55" t="s">
        <v>2248</v>
      </c>
      <c r="H452" s="55"/>
      <c r="I452" s="55"/>
      <c r="J452" s="55" t="s">
        <v>3871</v>
      </c>
      <c r="K452" s="55">
        <v>50</v>
      </c>
      <c r="L452" s="95" t="s">
        <v>3886</v>
      </c>
      <c r="M452" s="55" t="s">
        <v>3874</v>
      </c>
    </row>
    <row r="453" spans="1:15">
      <c r="A453" s="55" t="s">
        <v>3887</v>
      </c>
      <c r="B453" s="55"/>
      <c r="C453" s="55"/>
      <c r="D453" s="55"/>
      <c r="E453" s="55"/>
      <c r="F453" s="55"/>
      <c r="G453" s="55" t="s">
        <v>2248</v>
      </c>
      <c r="H453" s="55"/>
      <c r="I453" s="55"/>
      <c r="J453" s="55" t="s">
        <v>3871</v>
      </c>
      <c r="K453" s="55">
        <v>50</v>
      </c>
      <c r="L453" s="95" t="s">
        <v>3888</v>
      </c>
      <c r="M453" s="55" t="s">
        <v>3874</v>
      </c>
    </row>
    <row r="454" spans="1:15">
      <c r="A454" s="55" t="s">
        <v>3889</v>
      </c>
      <c r="B454" s="55"/>
      <c r="C454" s="55"/>
      <c r="D454" s="55"/>
      <c r="E454" s="55"/>
      <c r="F454" s="55"/>
      <c r="G454" s="55" t="s">
        <v>2248</v>
      </c>
      <c r="H454" s="55"/>
      <c r="I454" s="55"/>
      <c r="J454" s="55" t="s">
        <v>3871</v>
      </c>
      <c r="K454" s="55">
        <v>50</v>
      </c>
      <c r="L454" s="95"/>
      <c r="M454" s="55" t="s">
        <v>3874</v>
      </c>
    </row>
    <row r="455" spans="1:15">
      <c r="A455" s="55" t="s">
        <v>3890</v>
      </c>
      <c r="B455" s="55"/>
      <c r="C455" s="55"/>
      <c r="D455" s="55"/>
      <c r="E455" s="55"/>
      <c r="F455" s="55"/>
      <c r="G455" s="55" t="s">
        <v>2248</v>
      </c>
      <c r="H455" s="55"/>
      <c r="I455" s="55"/>
      <c r="J455" s="55" t="s">
        <v>3871</v>
      </c>
      <c r="K455" s="55">
        <v>50</v>
      </c>
      <c r="L455" s="96" t="s">
        <v>3891</v>
      </c>
      <c r="M455" s="55" t="s">
        <v>3874</v>
      </c>
    </row>
    <row r="456" spans="1:15">
      <c r="A456" s="55" t="s">
        <v>3892</v>
      </c>
      <c r="B456" s="55"/>
      <c r="C456" s="55"/>
      <c r="D456" s="55"/>
      <c r="E456" s="55"/>
      <c r="F456" s="55"/>
      <c r="G456" s="55" t="s">
        <v>2248</v>
      </c>
      <c r="H456" s="55"/>
      <c r="I456" s="55"/>
      <c r="J456" s="55" t="s">
        <v>3871</v>
      </c>
      <c r="K456" s="55">
        <v>50</v>
      </c>
      <c r="L456" s="55"/>
      <c r="M456" s="55" t="s">
        <v>3874</v>
      </c>
    </row>
    <row r="457" spans="1:15">
      <c r="A457" s="55" t="s">
        <v>3893</v>
      </c>
      <c r="B457" s="55"/>
      <c r="C457" s="55"/>
      <c r="D457" s="55"/>
      <c r="E457" s="55"/>
      <c r="F457" s="55"/>
      <c r="G457" s="55" t="s">
        <v>2248</v>
      </c>
      <c r="H457" s="55"/>
      <c r="I457" s="55"/>
      <c r="J457" s="55" t="s">
        <v>3871</v>
      </c>
      <c r="K457" s="55">
        <v>50</v>
      </c>
      <c r="L457" s="55"/>
      <c r="M457" s="55" t="s">
        <v>3874</v>
      </c>
    </row>
    <row r="458" spans="1:15">
      <c r="A458" s="55" t="s">
        <v>3894</v>
      </c>
      <c r="B458" s="55"/>
      <c r="C458" s="55"/>
      <c r="D458" s="55"/>
      <c r="E458" s="55"/>
      <c r="F458" s="55"/>
      <c r="G458" s="55" t="s">
        <v>2248</v>
      </c>
      <c r="H458" s="55"/>
      <c r="I458" s="55"/>
      <c r="J458" s="55" t="s">
        <v>3871</v>
      </c>
      <c r="K458" s="55">
        <v>50</v>
      </c>
      <c r="L458" s="55"/>
      <c r="M458" s="55" t="s">
        <v>3874</v>
      </c>
    </row>
    <row r="459" spans="1:15">
      <c r="A459" s="55" t="s">
        <v>3895</v>
      </c>
      <c r="B459" s="55"/>
      <c r="C459" s="55"/>
      <c r="D459" s="55"/>
      <c r="E459" s="55"/>
      <c r="F459" s="55"/>
      <c r="G459" s="55" t="s">
        <v>2248</v>
      </c>
      <c r="H459" s="55"/>
      <c r="I459" s="55"/>
      <c r="J459" s="55" t="s">
        <v>3871</v>
      </c>
      <c r="K459" s="55">
        <v>50</v>
      </c>
      <c r="L459" s="55"/>
      <c r="M459" s="55" t="s">
        <v>3874</v>
      </c>
    </row>
    <row r="460" spans="1:15">
      <c r="A460" s="55" t="s">
        <v>3896</v>
      </c>
      <c r="B460" s="55"/>
      <c r="C460" s="55"/>
      <c r="D460" s="55"/>
      <c r="E460" s="55"/>
      <c r="F460" s="55"/>
      <c r="G460" s="55" t="s">
        <v>2248</v>
      </c>
      <c r="H460" s="55"/>
      <c r="I460" s="55"/>
      <c r="J460" s="55" t="s">
        <v>3871</v>
      </c>
      <c r="K460" s="55">
        <v>50</v>
      </c>
      <c r="L460" s="55"/>
      <c r="M460" s="55" t="s">
        <v>3874</v>
      </c>
    </row>
    <row r="461" spans="1:15">
      <c r="A461" s="55" t="s">
        <v>3897</v>
      </c>
      <c r="B461" s="55"/>
      <c r="C461" s="55"/>
      <c r="D461" s="55"/>
      <c r="E461" s="55"/>
      <c r="F461" s="55"/>
      <c r="G461" s="55" t="s">
        <v>2248</v>
      </c>
      <c r="H461" s="55"/>
      <c r="I461" s="55"/>
      <c r="J461" s="55" t="s">
        <v>3871</v>
      </c>
      <c r="K461" s="55">
        <v>50</v>
      </c>
      <c r="L461" s="55"/>
      <c r="M461" s="55" t="s">
        <v>3874</v>
      </c>
    </row>
    <row r="462" spans="1:15">
      <c r="A462" t="s">
        <v>3898</v>
      </c>
      <c r="G462" t="s">
        <v>2248</v>
      </c>
      <c r="J462" t="s">
        <v>3871</v>
      </c>
      <c r="K462">
        <v>50</v>
      </c>
      <c r="L462" t="s">
        <v>3899</v>
      </c>
      <c r="M462" t="s">
        <v>3879</v>
      </c>
      <c r="N462" t="s">
        <v>2246</v>
      </c>
      <c r="O462" t="str">
        <f>"condorProc.py --series "&amp;A462&amp;" --donoise --dumps a --procenv environments/pymidas_HVHV_r62_mf.env"</f>
        <v>condorProc.py --series 07170427_0917 --donoise --dumps a --procenv environments/pymidas_HVHV_r62_mf.env</v>
      </c>
    </row>
    <row r="463" spans="1:15">
      <c r="A463" t="s">
        <v>3900</v>
      </c>
      <c r="G463" t="s">
        <v>2248</v>
      </c>
      <c r="J463" t="s">
        <v>3871</v>
      </c>
      <c r="K463">
        <v>49.3</v>
      </c>
      <c r="L463" t="s">
        <v>3901</v>
      </c>
      <c r="M463" t="s">
        <v>3879</v>
      </c>
      <c r="N463" t="s">
        <v>2246</v>
      </c>
      <c r="O463" t="str">
        <f>"condorProc.py --series "&amp;A463&amp;" --donoise --dumps a --procenv environments/pymidas_HVHV_r62_mf.env"</f>
        <v>condorProc.py --series 07170427_1720 --donoise --dumps a --procenv environments/pymidas_HVHV_r62_mf.env</v>
      </c>
    </row>
    <row r="464" spans="1:15">
      <c r="A464" s="81" t="s">
        <v>3902</v>
      </c>
      <c r="B464" s="81"/>
      <c r="C464" s="81"/>
      <c r="D464" s="81"/>
      <c r="E464" s="81"/>
      <c r="F464" s="81"/>
      <c r="G464" s="81" t="s">
        <v>2248</v>
      </c>
      <c r="H464" s="81"/>
      <c r="I464" s="81"/>
      <c r="J464" s="81" t="s">
        <v>3871</v>
      </c>
      <c r="K464" s="81">
        <v>49.3</v>
      </c>
      <c r="L464" s="97" t="s">
        <v>3883</v>
      </c>
      <c r="M464" s="81" t="s">
        <v>3874</v>
      </c>
    </row>
    <row r="465" spans="1:15">
      <c r="A465" s="81" t="s">
        <v>3903</v>
      </c>
      <c r="B465" s="81"/>
      <c r="C465" s="81"/>
      <c r="D465" s="81"/>
      <c r="E465" s="81"/>
      <c r="F465" s="81"/>
      <c r="G465" s="81" t="s">
        <v>2248</v>
      </c>
      <c r="H465" s="81"/>
      <c r="I465" s="81"/>
      <c r="J465" s="81" t="s">
        <v>3871</v>
      </c>
      <c r="K465" s="81">
        <v>49.3</v>
      </c>
      <c r="L465" s="98"/>
      <c r="M465" s="81" t="s">
        <v>3874</v>
      </c>
    </row>
    <row r="466" spans="1:15">
      <c r="A466" s="81" t="s">
        <v>3904</v>
      </c>
      <c r="B466" s="81"/>
      <c r="C466" s="81"/>
      <c r="D466" s="81"/>
      <c r="E466" s="81"/>
      <c r="F466" s="81"/>
      <c r="G466" s="81" t="s">
        <v>2248</v>
      </c>
      <c r="H466" s="81"/>
      <c r="I466" s="81"/>
      <c r="J466" s="81" t="s">
        <v>3871</v>
      </c>
      <c r="K466" s="81">
        <v>49.3</v>
      </c>
      <c r="L466" s="99" t="s">
        <v>3905</v>
      </c>
      <c r="M466" s="81" t="s">
        <v>3874</v>
      </c>
    </row>
    <row r="467" spans="1:15">
      <c r="A467" s="81" t="s">
        <v>3906</v>
      </c>
      <c r="B467" s="81"/>
      <c r="C467" s="81"/>
      <c r="D467" s="81"/>
      <c r="E467" s="81"/>
      <c r="F467" s="81"/>
      <c r="G467" s="81" t="s">
        <v>2248</v>
      </c>
      <c r="H467" s="81"/>
      <c r="I467" s="81"/>
      <c r="J467" s="81" t="s">
        <v>3871</v>
      </c>
      <c r="K467" s="81">
        <v>49.3</v>
      </c>
      <c r="L467" s="81"/>
      <c r="M467" s="81" t="s">
        <v>3874</v>
      </c>
    </row>
    <row r="468" spans="1:15">
      <c r="A468" s="81" t="s">
        <v>3907</v>
      </c>
      <c r="B468" s="81"/>
      <c r="C468" s="81"/>
      <c r="D468" s="81"/>
      <c r="E468" s="81"/>
      <c r="F468" s="81"/>
      <c r="G468" s="81" t="s">
        <v>2248</v>
      </c>
      <c r="H468" s="81"/>
      <c r="I468" s="81"/>
      <c r="J468" s="81" t="s">
        <v>3871</v>
      </c>
      <c r="K468" s="81">
        <v>49.3</v>
      </c>
      <c r="L468" s="81"/>
      <c r="M468" s="81" t="s">
        <v>3874</v>
      </c>
    </row>
    <row r="469" spans="1:15">
      <c r="A469" s="81" t="s">
        <v>3908</v>
      </c>
      <c r="B469" s="81"/>
      <c r="C469" s="81"/>
      <c r="D469" s="81"/>
      <c r="E469" s="81"/>
      <c r="F469" s="81"/>
      <c r="G469" s="81" t="s">
        <v>2248</v>
      </c>
      <c r="H469" s="81"/>
      <c r="I469" s="81"/>
      <c r="J469" s="81" t="s">
        <v>3871</v>
      </c>
      <c r="K469" s="81">
        <v>49.3</v>
      </c>
      <c r="L469" s="81"/>
      <c r="M469" s="81" t="s">
        <v>3874</v>
      </c>
    </row>
    <row r="470" spans="1:15">
      <c r="A470" s="81" t="s">
        <v>3909</v>
      </c>
      <c r="B470" s="81"/>
      <c r="C470" s="81"/>
      <c r="D470" s="81"/>
      <c r="E470" s="81"/>
      <c r="F470" s="81"/>
      <c r="G470" s="81" t="s">
        <v>2248</v>
      </c>
      <c r="H470" s="81"/>
      <c r="I470" s="81"/>
      <c r="J470" s="81" t="s">
        <v>3871</v>
      </c>
      <c r="K470" s="81">
        <v>49.3</v>
      </c>
      <c r="L470" s="81"/>
      <c r="M470" s="81" t="s">
        <v>3874</v>
      </c>
    </row>
    <row r="471" spans="1:15">
      <c r="A471" s="81" t="s">
        <v>3910</v>
      </c>
      <c r="B471" s="81"/>
      <c r="C471" s="81"/>
      <c r="D471" s="81"/>
      <c r="E471" s="81"/>
      <c r="F471" s="81"/>
      <c r="G471" s="81" t="s">
        <v>2248</v>
      </c>
      <c r="H471" s="81"/>
      <c r="I471" s="81"/>
      <c r="J471" s="81" t="s">
        <v>3871</v>
      </c>
      <c r="K471" s="81">
        <v>49.3</v>
      </c>
      <c r="L471" s="81"/>
      <c r="M471" s="81" t="s">
        <v>3874</v>
      </c>
    </row>
    <row r="472" spans="1:15">
      <c r="A472" s="81" t="s">
        <v>3911</v>
      </c>
      <c r="B472" s="81"/>
      <c r="C472" s="81"/>
      <c r="D472" s="81"/>
      <c r="E472" s="81"/>
      <c r="F472" s="81"/>
      <c r="G472" s="81" t="s">
        <v>2248</v>
      </c>
      <c r="H472" s="81"/>
      <c r="I472" s="81"/>
      <c r="J472" s="81" t="s">
        <v>3871</v>
      </c>
      <c r="K472" s="81">
        <v>49.3</v>
      </c>
      <c r="L472" s="81"/>
      <c r="M472" s="81" t="s">
        <v>3874</v>
      </c>
    </row>
    <row r="473" spans="1:15">
      <c r="A473" s="81" t="s">
        <v>3912</v>
      </c>
      <c r="B473" s="81"/>
      <c r="C473" s="81"/>
      <c r="D473" s="81"/>
      <c r="E473" s="81"/>
      <c r="F473" s="81"/>
      <c r="G473" s="81" t="s">
        <v>2248</v>
      </c>
      <c r="H473" s="81"/>
      <c r="I473" s="81"/>
      <c r="J473" s="81" t="s">
        <v>3871</v>
      </c>
      <c r="K473" s="81">
        <v>49.3</v>
      </c>
      <c r="L473" s="81"/>
      <c r="M473" s="81" t="s">
        <v>3874</v>
      </c>
    </row>
    <row r="474" spans="1:15">
      <c r="A474" s="81" t="s">
        <v>3913</v>
      </c>
      <c r="B474" s="81"/>
      <c r="C474" s="81"/>
      <c r="D474" s="81"/>
      <c r="E474" s="81"/>
      <c r="F474" s="81"/>
      <c r="G474" s="81" t="s">
        <v>2248</v>
      </c>
      <c r="H474" s="81"/>
      <c r="I474" s="81"/>
      <c r="J474" s="81" t="s">
        <v>3871</v>
      </c>
      <c r="K474" s="81">
        <v>49.3</v>
      </c>
      <c r="L474" s="81"/>
      <c r="M474" s="81" t="s">
        <v>3874</v>
      </c>
    </row>
    <row r="475" spans="1:15">
      <c r="A475" s="81" t="s">
        <v>3914</v>
      </c>
      <c r="B475" s="81"/>
      <c r="C475" s="81"/>
      <c r="D475" s="81"/>
      <c r="E475" s="81"/>
      <c r="F475" s="81"/>
      <c r="G475" s="81" t="s">
        <v>2248</v>
      </c>
      <c r="H475" s="81"/>
      <c r="I475" s="81"/>
      <c r="J475" s="81" t="s">
        <v>3871</v>
      </c>
      <c r="K475" s="81">
        <v>49.3</v>
      </c>
      <c r="L475" s="81"/>
      <c r="M475" s="81" t="s">
        <v>3874</v>
      </c>
    </row>
    <row r="476" spans="1:15">
      <c r="A476" s="81" t="s">
        <v>3915</v>
      </c>
      <c r="B476" s="81"/>
      <c r="C476" s="81"/>
      <c r="D476" s="81"/>
      <c r="E476" s="81"/>
      <c r="F476" s="81"/>
      <c r="G476" s="81" t="s">
        <v>2248</v>
      </c>
      <c r="H476" s="81"/>
      <c r="I476" s="81"/>
      <c r="J476" s="81" t="s">
        <v>3871</v>
      </c>
      <c r="K476" s="81">
        <v>49.3</v>
      </c>
      <c r="L476" s="81"/>
      <c r="M476" s="81" t="s">
        <v>3874</v>
      </c>
    </row>
    <row r="477" spans="1:15">
      <c r="A477" s="81" t="s">
        <v>3916</v>
      </c>
      <c r="B477" s="81"/>
      <c r="C477" s="81"/>
      <c r="D477" s="81"/>
      <c r="E477" s="81"/>
      <c r="F477" s="81"/>
      <c r="G477" s="81" t="s">
        <v>2248</v>
      </c>
      <c r="H477" s="81"/>
      <c r="I477" s="81"/>
      <c r="J477" s="81" t="s">
        <v>3871</v>
      </c>
      <c r="K477" s="81">
        <v>49.3</v>
      </c>
      <c r="L477" s="81"/>
      <c r="M477" s="81" t="s">
        <v>3874</v>
      </c>
    </row>
    <row r="478" spans="1:15">
      <c r="A478" t="s">
        <v>3917</v>
      </c>
      <c r="G478" t="s">
        <v>2248</v>
      </c>
      <c r="J478" t="s">
        <v>3871</v>
      </c>
      <c r="K478">
        <v>49.3</v>
      </c>
      <c r="L478" t="s">
        <v>3899</v>
      </c>
      <c r="M478" t="s">
        <v>3879</v>
      </c>
      <c r="N478" t="s">
        <v>2246</v>
      </c>
      <c r="O478" t="str">
        <f>"condorProc.py --series "&amp;A478&amp;" --donoise --dumps a --procenv environments/pymidas_HVHV_r62_mf.env"</f>
        <v>condorProc.py --series 07170428_1104 --donoise --dumps a --procenv environments/pymidas_HVHV_r62_mf.env</v>
      </c>
    </row>
    <row r="479" spans="1:15">
      <c r="A479" t="s">
        <v>3918</v>
      </c>
      <c r="G479" t="s">
        <v>2248</v>
      </c>
      <c r="J479" t="s">
        <v>3871</v>
      </c>
      <c r="K479">
        <v>0</v>
      </c>
      <c r="L479" t="s">
        <v>1853</v>
      </c>
      <c r="M479" t="s">
        <v>3874</v>
      </c>
    </row>
    <row r="480" spans="1:15">
      <c r="A480" t="s">
        <v>3919</v>
      </c>
      <c r="G480" t="s">
        <v>2248</v>
      </c>
      <c r="J480" t="s">
        <v>3871</v>
      </c>
      <c r="K480">
        <v>49</v>
      </c>
      <c r="L480" t="s">
        <v>3901</v>
      </c>
      <c r="M480" t="s">
        <v>3879</v>
      </c>
      <c r="N480" t="s">
        <v>2246</v>
      </c>
      <c r="O480" t="str">
        <f>"condorProc.py --series "&amp;A480&amp;" --donoise --dumps a --procenv environments/pymidas_HVHV_r62_mf.env"</f>
        <v>condorProc.py --series 07170428_1451 --donoise --dumps a --procenv environments/pymidas_HVHV_r62_mf.env</v>
      </c>
    </row>
    <row r="481" spans="1:13">
      <c r="A481" s="55" t="s">
        <v>3920</v>
      </c>
      <c r="B481" s="55"/>
      <c r="C481" s="55"/>
      <c r="D481" s="55"/>
      <c r="E481" s="55"/>
      <c r="F481" s="55"/>
      <c r="G481" s="55" t="s">
        <v>2248</v>
      </c>
      <c r="H481" s="55"/>
      <c r="I481" s="55"/>
      <c r="J481" s="55" t="s">
        <v>3871</v>
      </c>
      <c r="K481" s="55">
        <v>49</v>
      </c>
      <c r="L481" s="94" t="s">
        <v>3921</v>
      </c>
      <c r="M481" s="55" t="s">
        <v>3874</v>
      </c>
    </row>
    <row r="482" spans="1:13">
      <c r="A482" s="55" t="s">
        <v>3922</v>
      </c>
      <c r="B482" s="55"/>
      <c r="C482" s="55"/>
      <c r="D482" s="55"/>
      <c r="E482" s="55"/>
      <c r="F482" s="55"/>
      <c r="G482" s="55" t="s">
        <v>2248</v>
      </c>
      <c r="H482" s="55"/>
      <c r="I482" s="55"/>
      <c r="J482" s="55" t="s">
        <v>3871</v>
      </c>
      <c r="K482" s="55">
        <v>49</v>
      </c>
      <c r="L482" s="95"/>
      <c r="M482" s="55" t="s">
        <v>3874</v>
      </c>
    </row>
    <row r="483" spans="1:13">
      <c r="A483" s="55" t="s">
        <v>3923</v>
      </c>
      <c r="B483" s="55"/>
      <c r="C483" s="55"/>
      <c r="D483" s="55"/>
      <c r="E483" s="55"/>
      <c r="F483" s="55"/>
      <c r="G483" s="55" t="s">
        <v>2248</v>
      </c>
      <c r="H483" s="55"/>
      <c r="I483" s="55"/>
      <c r="J483" s="55" t="s">
        <v>3871</v>
      </c>
      <c r="K483" s="55">
        <v>49</v>
      </c>
      <c r="L483" s="96" t="s">
        <v>3905</v>
      </c>
      <c r="M483" s="55" t="s">
        <v>3874</v>
      </c>
    </row>
    <row r="484" spans="1:13">
      <c r="A484" s="55" t="s">
        <v>3924</v>
      </c>
      <c r="B484" s="55"/>
      <c r="C484" s="55"/>
      <c r="D484" s="55"/>
      <c r="E484" s="55"/>
      <c r="F484" s="55"/>
      <c r="G484" s="55" t="s">
        <v>2248</v>
      </c>
      <c r="H484" s="55"/>
      <c r="I484" s="55"/>
      <c r="J484" s="55" t="s">
        <v>3871</v>
      </c>
      <c r="K484" s="55">
        <v>49</v>
      </c>
      <c r="L484" s="55"/>
      <c r="M484" s="55" t="s">
        <v>3874</v>
      </c>
    </row>
    <row r="485" spans="1:13">
      <c r="A485" s="55" t="s">
        <v>3925</v>
      </c>
      <c r="B485" s="55"/>
      <c r="C485" s="55"/>
      <c r="D485" s="55"/>
      <c r="E485" s="55"/>
      <c r="F485" s="55"/>
      <c r="G485" s="55" t="s">
        <v>2248</v>
      </c>
      <c r="H485" s="55"/>
      <c r="I485" s="55"/>
      <c r="J485" s="55" t="s">
        <v>3871</v>
      </c>
      <c r="K485" s="55">
        <v>49</v>
      </c>
      <c r="L485" s="55"/>
      <c r="M485" s="55" t="s">
        <v>3874</v>
      </c>
    </row>
    <row r="486" spans="1:13">
      <c r="A486" s="55" t="s">
        <v>3926</v>
      </c>
      <c r="B486" s="55"/>
      <c r="C486" s="55"/>
      <c r="D486" s="55"/>
      <c r="E486" s="55"/>
      <c r="F486" s="55"/>
      <c r="G486" s="55" t="s">
        <v>2248</v>
      </c>
      <c r="H486" s="55"/>
      <c r="I486" s="55"/>
      <c r="J486" s="55" t="s">
        <v>3871</v>
      </c>
      <c r="K486" s="55">
        <v>49</v>
      </c>
      <c r="L486" s="55"/>
      <c r="M486" s="55" t="s">
        <v>3874</v>
      </c>
    </row>
    <row r="487" spans="1:13">
      <c r="A487" s="55" t="s">
        <v>3927</v>
      </c>
      <c r="B487" s="55"/>
      <c r="C487" s="55"/>
      <c r="D487" s="55"/>
      <c r="E487" s="55"/>
      <c r="F487" s="55"/>
      <c r="G487" s="55" t="s">
        <v>2248</v>
      </c>
      <c r="H487" s="55"/>
      <c r="I487" s="55"/>
      <c r="J487" s="55" t="s">
        <v>3871</v>
      </c>
      <c r="K487" s="55">
        <v>49</v>
      </c>
      <c r="L487" s="55"/>
      <c r="M487" s="55" t="s">
        <v>3874</v>
      </c>
    </row>
    <row r="488" spans="1:13">
      <c r="A488" s="55" t="s">
        <v>3928</v>
      </c>
      <c r="B488" s="55"/>
      <c r="C488" s="55"/>
      <c r="D488" s="55"/>
      <c r="E488" s="55"/>
      <c r="F488" s="55"/>
      <c r="G488" s="55" t="s">
        <v>2248</v>
      </c>
      <c r="H488" s="55"/>
      <c r="I488" s="55"/>
      <c r="J488" s="55" t="s">
        <v>3871</v>
      </c>
      <c r="K488" s="55">
        <v>49</v>
      </c>
      <c r="L488" s="55"/>
      <c r="M488" s="55" t="s">
        <v>3874</v>
      </c>
    </row>
    <row r="489" spans="1:13">
      <c r="A489" s="55" t="s">
        <v>3929</v>
      </c>
      <c r="B489" s="55"/>
      <c r="C489" s="55"/>
      <c r="D489" s="55"/>
      <c r="E489" s="55"/>
      <c r="F489" s="55"/>
      <c r="G489" s="55" t="s">
        <v>2248</v>
      </c>
      <c r="H489" s="55"/>
      <c r="I489" s="55"/>
      <c r="J489" s="55" t="s">
        <v>3871</v>
      </c>
      <c r="K489" s="55">
        <v>49</v>
      </c>
      <c r="L489" s="55"/>
      <c r="M489" s="55" t="s">
        <v>3874</v>
      </c>
    </row>
    <row r="490" spans="1:13">
      <c r="A490" s="55" t="s">
        <v>3930</v>
      </c>
      <c r="B490" s="55"/>
      <c r="C490" s="55"/>
      <c r="D490" s="55"/>
      <c r="E490" s="55"/>
      <c r="F490" s="55"/>
      <c r="G490" s="55" t="s">
        <v>2248</v>
      </c>
      <c r="H490" s="55"/>
      <c r="I490" s="55"/>
      <c r="J490" s="55" t="s">
        <v>3871</v>
      </c>
      <c r="K490" s="55">
        <v>49</v>
      </c>
      <c r="L490" s="55"/>
      <c r="M490" s="55" t="s">
        <v>3874</v>
      </c>
    </row>
    <row r="491" spans="1:13">
      <c r="A491" s="55" t="s">
        <v>3931</v>
      </c>
      <c r="B491" s="55"/>
      <c r="C491" s="55"/>
      <c r="D491" s="55"/>
      <c r="E491" s="55"/>
      <c r="F491" s="55"/>
      <c r="G491" s="55" t="s">
        <v>2248</v>
      </c>
      <c r="H491" s="55"/>
      <c r="I491" s="55"/>
      <c r="J491" s="55" t="s">
        <v>3871</v>
      </c>
      <c r="K491" s="55">
        <v>49</v>
      </c>
      <c r="L491" s="55"/>
      <c r="M491" s="55" t="s">
        <v>3874</v>
      </c>
    </row>
    <row r="492" spans="1:13">
      <c r="A492" s="55" t="s">
        <v>3932</v>
      </c>
      <c r="B492" s="55"/>
      <c r="C492" s="55"/>
      <c r="D492" s="55"/>
      <c r="E492" s="55"/>
      <c r="F492" s="55"/>
      <c r="G492" s="55" t="s">
        <v>2248</v>
      </c>
      <c r="H492" s="55"/>
      <c r="I492" s="55"/>
      <c r="J492" s="55" t="s">
        <v>3871</v>
      </c>
      <c r="K492" s="55">
        <v>49</v>
      </c>
      <c r="L492" s="55"/>
      <c r="M492" s="55" t="s">
        <v>3874</v>
      </c>
    </row>
    <row r="493" spans="1:13">
      <c r="A493" s="55" t="s">
        <v>3933</v>
      </c>
      <c r="B493" s="55"/>
      <c r="C493" s="55"/>
      <c r="D493" s="55"/>
      <c r="E493" s="55"/>
      <c r="F493" s="55"/>
      <c r="G493" s="55" t="s">
        <v>2248</v>
      </c>
      <c r="H493" s="55"/>
      <c r="I493" s="55"/>
      <c r="J493" s="55" t="s">
        <v>3871</v>
      </c>
      <c r="K493" s="55">
        <v>49</v>
      </c>
      <c r="L493" s="55"/>
      <c r="M493" s="55" t="s">
        <v>3874</v>
      </c>
    </row>
    <row r="494" spans="1:13">
      <c r="A494" s="55" t="s">
        <v>3934</v>
      </c>
      <c r="B494" s="55"/>
      <c r="C494" s="55"/>
      <c r="D494" s="55"/>
      <c r="E494" s="55"/>
      <c r="F494" s="55"/>
      <c r="G494" s="55" t="s">
        <v>2248</v>
      </c>
      <c r="H494" s="55"/>
      <c r="I494" s="55"/>
      <c r="J494" s="55" t="s">
        <v>3871</v>
      </c>
      <c r="K494" s="55">
        <v>49</v>
      </c>
      <c r="L494" s="55"/>
      <c r="M494" s="55" t="s">
        <v>3874</v>
      </c>
    </row>
    <row r="495" spans="1:13">
      <c r="A495" s="55" t="s">
        <v>3935</v>
      </c>
      <c r="B495" s="55"/>
      <c r="C495" s="55"/>
      <c r="D495" s="55"/>
      <c r="E495" s="55"/>
      <c r="F495" s="55"/>
      <c r="G495" s="55" t="s">
        <v>2248</v>
      </c>
      <c r="H495" s="55"/>
      <c r="I495" s="55"/>
      <c r="J495" s="55" t="s">
        <v>3871</v>
      </c>
      <c r="K495" s="55">
        <v>49</v>
      </c>
      <c r="L495" s="55"/>
      <c r="M495" s="55" t="s">
        <v>3874</v>
      </c>
    </row>
    <row r="496" spans="1:13">
      <c r="A496" s="55" t="s">
        <v>3936</v>
      </c>
      <c r="B496" s="55"/>
      <c r="C496" s="55"/>
      <c r="D496" s="55"/>
      <c r="E496" s="55"/>
      <c r="F496" s="55"/>
      <c r="G496" s="55" t="s">
        <v>2248</v>
      </c>
      <c r="H496" s="55"/>
      <c r="I496" s="55"/>
      <c r="J496" s="55" t="s">
        <v>3871</v>
      </c>
      <c r="K496" s="55">
        <v>49</v>
      </c>
      <c r="L496" s="55"/>
      <c r="M496" s="55" t="s">
        <v>3874</v>
      </c>
    </row>
    <row r="497" spans="1:13">
      <c r="A497" s="55" t="s">
        <v>3937</v>
      </c>
      <c r="B497" s="55"/>
      <c r="C497" s="55"/>
      <c r="D497" s="55"/>
      <c r="E497" s="55"/>
      <c r="F497" s="55"/>
      <c r="G497" s="55" t="s">
        <v>2248</v>
      </c>
      <c r="H497" s="55"/>
      <c r="I497" s="55"/>
      <c r="J497" s="55" t="s">
        <v>3871</v>
      </c>
      <c r="K497" s="55">
        <v>49</v>
      </c>
      <c r="L497" s="55"/>
      <c r="M497" s="55" t="s">
        <v>3874</v>
      </c>
    </row>
    <row r="498" spans="1:13">
      <c r="A498" s="55" t="s">
        <v>3938</v>
      </c>
      <c r="B498" s="55"/>
      <c r="C498" s="55"/>
      <c r="D498" s="55"/>
      <c r="E498" s="55"/>
      <c r="F498" s="55"/>
      <c r="G498" s="55" t="s">
        <v>2248</v>
      </c>
      <c r="H498" s="55"/>
      <c r="I498" s="55"/>
      <c r="J498" s="55" t="s">
        <v>3871</v>
      </c>
      <c r="K498" s="55">
        <v>49</v>
      </c>
      <c r="L498" s="55"/>
      <c r="M498" s="55" t="s">
        <v>3874</v>
      </c>
    </row>
    <row r="499" spans="1:13">
      <c r="A499" s="55" t="s">
        <v>3939</v>
      </c>
      <c r="B499" s="55"/>
      <c r="C499" s="55"/>
      <c r="D499" s="55"/>
      <c r="E499" s="55"/>
      <c r="F499" s="55"/>
      <c r="G499" s="55" t="s">
        <v>2248</v>
      </c>
      <c r="H499" s="55"/>
      <c r="I499" s="55"/>
      <c r="J499" s="55" t="s">
        <v>3871</v>
      </c>
      <c r="K499" s="55">
        <v>49</v>
      </c>
      <c r="L499" s="55"/>
      <c r="M499" s="55" t="s">
        <v>3874</v>
      </c>
    </row>
    <row r="500" spans="1:13">
      <c r="A500" s="55" t="s">
        <v>3940</v>
      </c>
      <c r="B500" s="55"/>
      <c r="C500" s="55"/>
      <c r="D500" s="55"/>
      <c r="E500" s="55"/>
      <c r="F500" s="55"/>
      <c r="G500" s="55" t="s">
        <v>2248</v>
      </c>
      <c r="H500" s="55"/>
      <c r="I500" s="55"/>
      <c r="J500" s="55" t="s">
        <v>3871</v>
      </c>
      <c r="K500" s="55">
        <v>49</v>
      </c>
      <c r="L500" s="55"/>
      <c r="M500" s="55" t="s">
        <v>3874</v>
      </c>
    </row>
    <row r="501" spans="1:13">
      <c r="A501" s="56" t="s">
        <v>3941</v>
      </c>
      <c r="B501" s="56"/>
      <c r="C501" s="56"/>
      <c r="D501" s="56"/>
      <c r="E501" s="56"/>
      <c r="F501" s="56"/>
      <c r="G501" s="56" t="s">
        <v>2248</v>
      </c>
      <c r="H501" s="56"/>
      <c r="I501" s="56"/>
      <c r="J501" s="56" t="s">
        <v>3871</v>
      </c>
      <c r="K501" s="56" t="s">
        <v>3942</v>
      </c>
      <c r="L501" s="93" t="s">
        <v>3921</v>
      </c>
      <c r="M501" s="56" t="s">
        <v>3874</v>
      </c>
    </row>
    <row r="502" spans="1:13">
      <c r="A502" s="56" t="s">
        <v>3943</v>
      </c>
      <c r="B502" s="56"/>
      <c r="C502" s="56"/>
      <c r="D502" s="56"/>
      <c r="E502" s="56"/>
      <c r="F502" s="56"/>
      <c r="G502" s="56" t="s">
        <v>2248</v>
      </c>
      <c r="H502" s="56"/>
      <c r="I502" s="56"/>
      <c r="J502" s="56" t="s">
        <v>3871</v>
      </c>
      <c r="K502" s="56" t="s">
        <v>3942</v>
      </c>
      <c r="L502" s="87"/>
      <c r="M502" s="56" t="s">
        <v>3874</v>
      </c>
    </row>
    <row r="503" spans="1:13">
      <c r="A503" s="56" t="s">
        <v>3944</v>
      </c>
      <c r="B503" s="56"/>
      <c r="C503" s="56"/>
      <c r="D503" s="56"/>
      <c r="E503" s="56"/>
      <c r="F503" s="56"/>
      <c r="G503" s="56" t="s">
        <v>2248</v>
      </c>
      <c r="H503" s="56"/>
      <c r="I503" s="56"/>
      <c r="J503" s="56" t="s">
        <v>3871</v>
      </c>
      <c r="K503" s="56" t="s">
        <v>3942</v>
      </c>
      <c r="L503" s="88" t="s">
        <v>3905</v>
      </c>
      <c r="M503" s="56" t="s">
        <v>3874</v>
      </c>
    </row>
    <row r="504" spans="1:13">
      <c r="A504" s="56" t="s">
        <v>3945</v>
      </c>
      <c r="B504" s="56"/>
      <c r="C504" s="56"/>
      <c r="D504" s="56"/>
      <c r="E504" s="56"/>
      <c r="F504" s="56"/>
      <c r="G504" s="56" t="s">
        <v>2248</v>
      </c>
      <c r="H504" s="56"/>
      <c r="I504" s="56"/>
      <c r="J504" s="56" t="s">
        <v>3871</v>
      </c>
      <c r="K504" s="56" t="s">
        <v>3942</v>
      </c>
      <c r="L504" s="56"/>
      <c r="M504" s="56" t="s">
        <v>3874</v>
      </c>
    </row>
    <row r="505" spans="1:13">
      <c r="A505" s="56" t="s">
        <v>3946</v>
      </c>
      <c r="B505" s="56"/>
      <c r="C505" s="56"/>
      <c r="D505" s="56"/>
      <c r="E505" s="56"/>
      <c r="F505" s="56"/>
      <c r="G505" s="56" t="s">
        <v>2248</v>
      </c>
      <c r="H505" s="56"/>
      <c r="I505" s="56"/>
      <c r="J505" s="56" t="s">
        <v>3871</v>
      </c>
      <c r="K505" s="56" t="s">
        <v>3942</v>
      </c>
      <c r="L505" s="56" t="s">
        <v>3947</v>
      </c>
      <c r="M505" s="56" t="s">
        <v>3874</v>
      </c>
    </row>
    <row r="506" spans="1:13">
      <c r="A506" s="56" t="s">
        <v>3948</v>
      </c>
      <c r="B506" s="56"/>
      <c r="C506" s="56"/>
      <c r="D506" s="56"/>
      <c r="E506" s="56"/>
      <c r="F506" s="56"/>
      <c r="G506" s="56" t="s">
        <v>2248</v>
      </c>
      <c r="H506" s="56"/>
      <c r="I506" s="56"/>
      <c r="J506" s="56" t="s">
        <v>3871</v>
      </c>
      <c r="K506" s="56" t="s">
        <v>3942</v>
      </c>
      <c r="L506" s="56" t="s">
        <v>3947</v>
      </c>
      <c r="M506" s="56" t="s">
        <v>3874</v>
      </c>
    </row>
    <row r="507" spans="1:13">
      <c r="A507" s="56" t="s">
        <v>3949</v>
      </c>
      <c r="B507" s="56"/>
      <c r="C507" s="56"/>
      <c r="D507" s="56"/>
      <c r="E507" s="56"/>
      <c r="F507" s="56"/>
      <c r="G507" s="56" t="s">
        <v>2248</v>
      </c>
      <c r="H507" s="56"/>
      <c r="I507" s="56"/>
      <c r="J507" s="56" t="s">
        <v>3871</v>
      </c>
      <c r="K507" s="56" t="s">
        <v>3942</v>
      </c>
      <c r="L507" s="56" t="s">
        <v>3947</v>
      </c>
      <c r="M507" s="56" t="s">
        <v>3874</v>
      </c>
    </row>
    <row r="508" spans="1:13">
      <c r="A508" s="56" t="s">
        <v>3950</v>
      </c>
      <c r="B508" s="56"/>
      <c r="C508" s="56"/>
      <c r="D508" s="56"/>
      <c r="E508" s="56"/>
      <c r="F508" s="56"/>
      <c r="G508" s="56" t="s">
        <v>2248</v>
      </c>
      <c r="H508" s="56"/>
      <c r="I508" s="56"/>
      <c r="J508" s="56" t="s">
        <v>3871</v>
      </c>
      <c r="K508" s="56" t="s">
        <v>3942</v>
      </c>
      <c r="L508" s="56" t="s">
        <v>3947</v>
      </c>
      <c r="M508" s="56" t="s">
        <v>3874</v>
      </c>
    </row>
    <row r="509" spans="1:13">
      <c r="A509" s="56" t="s">
        <v>3951</v>
      </c>
      <c r="B509" s="56"/>
      <c r="C509" s="56"/>
      <c r="D509" s="56"/>
      <c r="E509" s="56"/>
      <c r="F509" s="56"/>
      <c r="G509" s="56" t="s">
        <v>2248</v>
      </c>
      <c r="H509" s="56"/>
      <c r="I509" s="56"/>
      <c r="J509" s="56" t="s">
        <v>3871</v>
      </c>
      <c r="K509" s="56" t="s">
        <v>3942</v>
      </c>
      <c r="L509" s="56" t="s">
        <v>3947</v>
      </c>
      <c r="M509" s="56" t="s">
        <v>3874</v>
      </c>
    </row>
    <row r="510" spans="1:13">
      <c r="A510" s="56" t="s">
        <v>3952</v>
      </c>
      <c r="B510" s="56"/>
      <c r="C510" s="56"/>
      <c r="D510" s="56"/>
      <c r="E510" s="56"/>
      <c r="F510" s="56"/>
      <c r="G510" s="56" t="s">
        <v>2248</v>
      </c>
      <c r="H510" s="56"/>
      <c r="I510" s="56"/>
      <c r="J510" s="56" t="s">
        <v>3871</v>
      </c>
      <c r="K510" s="56" t="s">
        <v>3942</v>
      </c>
      <c r="L510" s="56" t="s">
        <v>3947</v>
      </c>
      <c r="M510" s="56" t="s">
        <v>3874</v>
      </c>
    </row>
    <row r="511" spans="1:13">
      <c r="A511" s="56" t="s">
        <v>3953</v>
      </c>
      <c r="B511" s="56"/>
      <c r="C511" s="56"/>
      <c r="D511" s="56"/>
      <c r="E511" s="56"/>
      <c r="F511" s="56"/>
      <c r="G511" s="56" t="s">
        <v>2248</v>
      </c>
      <c r="H511" s="56"/>
      <c r="I511" s="56"/>
      <c r="J511" s="56" t="s">
        <v>3871</v>
      </c>
      <c r="K511" s="56" t="s">
        <v>3942</v>
      </c>
      <c r="L511" s="56" t="s">
        <v>3947</v>
      </c>
      <c r="M511" s="56" t="s">
        <v>3874</v>
      </c>
    </row>
    <row r="512" spans="1:13">
      <c r="A512" s="56" t="s">
        <v>3954</v>
      </c>
      <c r="B512" s="56"/>
      <c r="C512" s="56"/>
      <c r="D512" s="56"/>
      <c r="E512" s="56"/>
      <c r="F512" s="56"/>
      <c r="G512" s="56" t="s">
        <v>2248</v>
      </c>
      <c r="H512" s="56"/>
      <c r="I512" s="56"/>
      <c r="J512" s="56" t="s">
        <v>3871</v>
      </c>
      <c r="K512" s="56" t="s">
        <v>3942</v>
      </c>
      <c r="L512" s="56" t="s">
        <v>3947</v>
      </c>
      <c r="M512" s="56" t="s">
        <v>3874</v>
      </c>
    </row>
    <row r="513" spans="1:13">
      <c r="A513" s="56" t="s">
        <v>3955</v>
      </c>
      <c r="B513" s="56"/>
      <c r="C513" s="56"/>
      <c r="D513" s="56"/>
      <c r="E513" s="56"/>
      <c r="F513" s="56"/>
      <c r="G513" s="56" t="s">
        <v>2248</v>
      </c>
      <c r="H513" s="56"/>
      <c r="I513" s="56"/>
      <c r="J513" s="56" t="s">
        <v>3871</v>
      </c>
      <c r="K513" s="56" t="s">
        <v>3942</v>
      </c>
      <c r="L513" s="56" t="s">
        <v>3947</v>
      </c>
      <c r="M513" s="56" t="s">
        <v>3874</v>
      </c>
    </row>
    <row r="514" spans="1:13">
      <c r="A514" s="56" t="s">
        <v>3956</v>
      </c>
      <c r="B514" s="56"/>
      <c r="C514" s="56"/>
      <c r="D514" s="56"/>
      <c r="E514" s="56"/>
      <c r="F514" s="56"/>
      <c r="G514" s="56" t="s">
        <v>2248</v>
      </c>
      <c r="H514" s="56"/>
      <c r="I514" s="56"/>
      <c r="J514" s="56" t="s">
        <v>3871</v>
      </c>
      <c r="K514" s="56" t="s">
        <v>3942</v>
      </c>
      <c r="L514" s="56" t="s">
        <v>3947</v>
      </c>
      <c r="M514" s="56" t="s">
        <v>3874</v>
      </c>
    </row>
    <row r="515" spans="1:13">
      <c r="A515" s="56" t="s">
        <v>3957</v>
      </c>
      <c r="B515" s="56"/>
      <c r="C515" s="56"/>
      <c r="D515" s="56"/>
      <c r="E515" s="56"/>
      <c r="F515" s="56"/>
      <c r="G515" s="56" t="s">
        <v>2248</v>
      </c>
      <c r="H515" s="56"/>
      <c r="I515" s="56"/>
      <c r="J515" s="56" t="s">
        <v>3871</v>
      </c>
      <c r="K515" s="56" t="s">
        <v>3942</v>
      </c>
      <c r="L515" s="56" t="s">
        <v>3947</v>
      </c>
      <c r="M515" s="56" t="s">
        <v>3874</v>
      </c>
    </row>
    <row r="516" spans="1:13">
      <c r="A516" s="56" t="s">
        <v>3958</v>
      </c>
      <c r="B516" s="56"/>
      <c r="C516" s="56"/>
      <c r="D516" s="56"/>
      <c r="E516" s="56"/>
      <c r="F516" s="56"/>
      <c r="G516" s="56" t="s">
        <v>2248</v>
      </c>
      <c r="H516" s="56"/>
      <c r="I516" s="56"/>
      <c r="J516" s="56" t="s">
        <v>3871</v>
      </c>
      <c r="K516" s="56" t="s">
        <v>3942</v>
      </c>
      <c r="L516" s="56" t="s">
        <v>3947</v>
      </c>
      <c r="M516" s="56" t="s">
        <v>3874</v>
      </c>
    </row>
    <row r="517" spans="1:13">
      <c r="A517" s="56" t="s">
        <v>3959</v>
      </c>
      <c r="B517" s="56"/>
      <c r="C517" s="56"/>
      <c r="D517" s="56"/>
      <c r="E517" s="56"/>
      <c r="F517" s="56"/>
      <c r="G517" s="56" t="s">
        <v>2248</v>
      </c>
      <c r="H517" s="56"/>
      <c r="I517" s="56"/>
      <c r="J517" s="56" t="s">
        <v>3871</v>
      </c>
      <c r="K517" s="56" t="s">
        <v>3942</v>
      </c>
      <c r="L517" s="56" t="s">
        <v>3947</v>
      </c>
      <c r="M517" s="56" t="s">
        <v>3874</v>
      </c>
    </row>
    <row r="518" spans="1:13">
      <c r="A518" s="56" t="s">
        <v>3960</v>
      </c>
      <c r="B518" s="56"/>
      <c r="C518" s="56"/>
      <c r="D518" s="56"/>
      <c r="E518" s="56"/>
      <c r="F518" s="56"/>
      <c r="G518" s="56" t="s">
        <v>2248</v>
      </c>
      <c r="H518" s="56"/>
      <c r="I518" s="56"/>
      <c r="J518" s="56" t="s">
        <v>3871</v>
      </c>
      <c r="K518" s="56" t="s">
        <v>3942</v>
      </c>
      <c r="L518" s="56" t="s">
        <v>3947</v>
      </c>
      <c r="M518" s="56" t="s">
        <v>3874</v>
      </c>
    </row>
    <row r="519" spans="1:13">
      <c r="A519" s="56" t="s">
        <v>3961</v>
      </c>
      <c r="B519" s="56"/>
      <c r="C519" s="56"/>
      <c r="D519" s="56"/>
      <c r="E519" s="56"/>
      <c r="F519" s="56"/>
      <c r="G519" s="56" t="s">
        <v>2248</v>
      </c>
      <c r="H519" s="56"/>
      <c r="I519" s="56"/>
      <c r="J519" s="56" t="s">
        <v>3871</v>
      </c>
      <c r="K519" s="56" t="s">
        <v>3942</v>
      </c>
      <c r="L519" s="56" t="s">
        <v>3947</v>
      </c>
      <c r="M519" s="56" t="s">
        <v>3874</v>
      </c>
    </row>
    <row r="520" spans="1:13">
      <c r="A520" s="56" t="s">
        <v>3962</v>
      </c>
      <c r="B520" s="56"/>
      <c r="C520" s="56"/>
      <c r="D520" s="56"/>
      <c r="E520" s="56"/>
      <c r="F520" s="56"/>
      <c r="G520" s="56" t="s">
        <v>2248</v>
      </c>
      <c r="H520" s="56"/>
      <c r="I520" s="56"/>
      <c r="J520" s="56" t="s">
        <v>3871</v>
      </c>
      <c r="K520" s="56" t="s">
        <v>3942</v>
      </c>
      <c r="L520" s="56" t="s">
        <v>3947</v>
      </c>
      <c r="M520" s="56" t="s">
        <v>3874</v>
      </c>
    </row>
    <row r="521" spans="1:13">
      <c r="A521" s="56" t="s">
        <v>3963</v>
      </c>
      <c r="B521" s="56"/>
      <c r="C521" s="56"/>
      <c r="D521" s="56"/>
      <c r="E521" s="56"/>
      <c r="F521" s="56"/>
      <c r="G521" s="56" t="s">
        <v>2248</v>
      </c>
      <c r="H521" s="56"/>
      <c r="I521" s="56"/>
      <c r="J521" s="56" t="s">
        <v>3871</v>
      </c>
      <c r="K521" s="56" t="s">
        <v>3942</v>
      </c>
      <c r="L521" s="56" t="s">
        <v>3947</v>
      </c>
      <c r="M521" s="56" t="s">
        <v>3874</v>
      </c>
    </row>
    <row r="522" spans="1:13">
      <c r="A522" s="58" t="s">
        <v>3964</v>
      </c>
      <c r="B522" s="58"/>
      <c r="C522" s="58"/>
      <c r="D522" s="58"/>
      <c r="E522" s="58"/>
      <c r="F522" s="58"/>
      <c r="G522" s="58" t="s">
        <v>2248</v>
      </c>
      <c r="H522" s="58"/>
      <c r="I522" s="58"/>
      <c r="J522" s="58" t="s">
        <v>3871</v>
      </c>
      <c r="K522" s="58">
        <v>49.1</v>
      </c>
      <c r="L522" s="100" t="s">
        <v>3921</v>
      </c>
      <c r="M522" s="58" t="s">
        <v>3874</v>
      </c>
    </row>
    <row r="523" spans="1:13">
      <c r="A523" s="58" t="s">
        <v>3965</v>
      </c>
      <c r="B523" s="58"/>
      <c r="C523" s="58"/>
      <c r="D523" s="58"/>
      <c r="E523" s="58"/>
      <c r="F523" s="58"/>
      <c r="G523" s="58" t="s">
        <v>2248</v>
      </c>
      <c r="H523" s="58"/>
      <c r="I523" s="58"/>
      <c r="J523" s="58" t="s">
        <v>3871</v>
      </c>
      <c r="K523" s="58">
        <v>49.1</v>
      </c>
      <c r="L523" s="101"/>
      <c r="M523" s="58" t="s">
        <v>3874</v>
      </c>
    </row>
    <row r="524" spans="1:13">
      <c r="A524" s="58" t="s">
        <v>3966</v>
      </c>
      <c r="B524" s="58"/>
      <c r="C524" s="58"/>
      <c r="D524" s="58"/>
      <c r="E524" s="58"/>
      <c r="F524" s="58"/>
      <c r="G524" s="58" t="s">
        <v>2248</v>
      </c>
      <c r="H524" s="58"/>
      <c r="I524" s="58"/>
      <c r="J524" s="58" t="s">
        <v>3871</v>
      </c>
      <c r="K524" s="58">
        <v>49.1</v>
      </c>
      <c r="L524" s="102" t="s">
        <v>3905</v>
      </c>
      <c r="M524" s="58" t="s">
        <v>3874</v>
      </c>
    </row>
    <row r="525" spans="1:13">
      <c r="A525" s="58" t="s">
        <v>3967</v>
      </c>
      <c r="B525" s="58"/>
      <c r="C525" s="58"/>
      <c r="D525" s="58"/>
      <c r="E525" s="58"/>
      <c r="F525" s="58"/>
      <c r="G525" s="58" t="s">
        <v>2248</v>
      </c>
      <c r="H525" s="58"/>
      <c r="I525" s="58"/>
      <c r="J525" s="58" t="s">
        <v>3871</v>
      </c>
      <c r="K525" s="58">
        <v>49.1</v>
      </c>
      <c r="L525" s="58"/>
      <c r="M525" s="58" t="s">
        <v>3874</v>
      </c>
    </row>
    <row r="526" spans="1:13">
      <c r="A526" s="58" t="s">
        <v>3968</v>
      </c>
      <c r="B526" s="58"/>
      <c r="C526" s="58"/>
      <c r="D526" s="58"/>
      <c r="E526" s="58"/>
      <c r="F526" s="58"/>
      <c r="G526" s="58" t="s">
        <v>2248</v>
      </c>
      <c r="H526" s="58"/>
      <c r="I526" s="58"/>
      <c r="J526" s="58" t="s">
        <v>3871</v>
      </c>
      <c r="K526" s="58">
        <v>49.1</v>
      </c>
      <c r="L526" s="58"/>
      <c r="M526" s="58" t="s">
        <v>3874</v>
      </c>
    </row>
    <row r="527" spans="1:13">
      <c r="A527" s="58" t="s">
        <v>3969</v>
      </c>
      <c r="B527" s="58"/>
      <c r="C527" s="58"/>
      <c r="D527" s="58"/>
      <c r="E527" s="58"/>
      <c r="F527" s="58"/>
      <c r="G527" s="58" t="s">
        <v>2248</v>
      </c>
      <c r="H527" s="58"/>
      <c r="I527" s="58"/>
      <c r="J527" s="58" t="s">
        <v>3871</v>
      </c>
      <c r="K527" s="58">
        <v>49.1</v>
      </c>
      <c r="L527" s="58"/>
      <c r="M527" s="58" t="s">
        <v>3874</v>
      </c>
    </row>
    <row r="528" spans="1:13">
      <c r="A528" s="58" t="s">
        <v>3970</v>
      </c>
      <c r="B528" s="58"/>
      <c r="C528" s="58"/>
      <c r="D528" s="58"/>
      <c r="E528" s="58"/>
      <c r="F528" s="58"/>
      <c r="G528" s="58" t="s">
        <v>2248</v>
      </c>
      <c r="H528" s="58"/>
      <c r="I528" s="58"/>
      <c r="J528" s="58" t="s">
        <v>3871</v>
      </c>
      <c r="K528" s="58">
        <v>49.1</v>
      </c>
      <c r="L528" s="58"/>
      <c r="M528" s="58" t="s">
        <v>3874</v>
      </c>
    </row>
    <row r="529" spans="1:16">
      <c r="A529" s="58" t="s">
        <v>3971</v>
      </c>
      <c r="B529" s="58"/>
      <c r="C529" s="58"/>
      <c r="D529" s="58"/>
      <c r="E529" s="58"/>
      <c r="F529" s="58"/>
      <c r="G529" s="58" t="s">
        <v>2248</v>
      </c>
      <c r="H529" s="58"/>
      <c r="I529" s="58"/>
      <c r="J529" s="58" t="s">
        <v>3871</v>
      </c>
      <c r="K529" s="58">
        <v>49.1</v>
      </c>
      <c r="L529" s="58"/>
      <c r="M529" s="58" t="s">
        <v>3874</v>
      </c>
    </row>
    <row r="530" spans="1:16">
      <c r="A530" s="58" t="s">
        <v>3972</v>
      </c>
      <c r="B530" s="58"/>
      <c r="C530" s="58"/>
      <c r="D530" s="58"/>
      <c r="E530" s="58"/>
      <c r="F530" s="58"/>
      <c r="G530" s="58" t="s">
        <v>2248</v>
      </c>
      <c r="H530" s="58"/>
      <c r="I530" s="58"/>
      <c r="J530" s="58" t="s">
        <v>3871</v>
      </c>
      <c r="K530" s="58">
        <v>49.1</v>
      </c>
      <c r="L530" s="58"/>
      <c r="M530" s="58" t="s">
        <v>3874</v>
      </c>
    </row>
    <row r="531" spans="1:16">
      <c r="A531" s="58" t="s">
        <v>3973</v>
      </c>
      <c r="B531" s="58"/>
      <c r="C531" s="58"/>
      <c r="D531" s="58"/>
      <c r="E531" s="58"/>
      <c r="F531" s="58"/>
      <c r="G531" s="58" t="s">
        <v>2248</v>
      </c>
      <c r="H531" s="58"/>
      <c r="I531" s="58"/>
      <c r="J531" s="58" t="s">
        <v>3871</v>
      </c>
      <c r="K531" s="58">
        <v>49.1</v>
      </c>
      <c r="L531" s="58"/>
      <c r="M531" s="58" t="s">
        <v>3874</v>
      </c>
    </row>
    <row r="532" spans="1:16">
      <c r="A532" s="58" t="s">
        <v>3974</v>
      </c>
      <c r="B532" s="58"/>
      <c r="C532" s="58"/>
      <c r="D532" s="58"/>
      <c r="E532" s="58"/>
      <c r="F532" s="58"/>
      <c r="G532" s="58" t="s">
        <v>2248</v>
      </c>
      <c r="H532" s="58"/>
      <c r="I532" s="58"/>
      <c r="J532" s="58" t="s">
        <v>3871</v>
      </c>
      <c r="K532" s="58">
        <v>49.1</v>
      </c>
      <c r="L532" s="58"/>
      <c r="M532" s="58" t="s">
        <v>3874</v>
      </c>
    </row>
    <row r="533" spans="1:16">
      <c r="A533" s="58" t="s">
        <v>3975</v>
      </c>
      <c r="B533" s="58"/>
      <c r="C533" s="58"/>
      <c r="D533" s="58"/>
      <c r="E533" s="58"/>
      <c r="F533" s="58"/>
      <c r="G533" s="58" t="s">
        <v>2248</v>
      </c>
      <c r="H533" s="58"/>
      <c r="I533" s="58"/>
      <c r="J533" s="58" t="s">
        <v>3871</v>
      </c>
      <c r="K533" s="58">
        <v>49.1</v>
      </c>
      <c r="L533" s="58"/>
      <c r="M533" s="58" t="s">
        <v>3874</v>
      </c>
    </row>
    <row r="534" spans="1:16">
      <c r="A534" s="58" t="s">
        <v>3976</v>
      </c>
      <c r="B534" s="58"/>
      <c r="C534" s="58"/>
      <c r="D534" s="58"/>
      <c r="E534" s="58"/>
      <c r="F534" s="58"/>
      <c r="G534" s="58" t="s">
        <v>2248</v>
      </c>
      <c r="H534" s="58"/>
      <c r="I534" s="58"/>
      <c r="J534" s="58" t="s">
        <v>3871</v>
      </c>
      <c r="K534" s="58">
        <v>49.1</v>
      </c>
      <c r="L534" s="58"/>
      <c r="M534" s="58" t="s">
        <v>3874</v>
      </c>
    </row>
    <row r="535" spans="1:16">
      <c r="A535" s="58" t="s">
        <v>3977</v>
      </c>
      <c r="B535" s="58"/>
      <c r="C535" s="58"/>
      <c r="D535" s="58"/>
      <c r="E535" s="58"/>
      <c r="F535" s="58"/>
      <c r="G535" s="58" t="s">
        <v>2248</v>
      </c>
      <c r="H535" s="58"/>
      <c r="I535" s="58"/>
      <c r="J535" s="58" t="s">
        <v>3871</v>
      </c>
      <c r="K535" s="58">
        <v>49.1</v>
      </c>
      <c r="L535" s="58"/>
      <c r="M535" s="58" t="s">
        <v>3874</v>
      </c>
    </row>
    <row r="536" spans="1:16">
      <c r="A536" s="58" t="s">
        <v>3978</v>
      </c>
      <c r="B536" s="58"/>
      <c r="C536" s="58"/>
      <c r="D536" s="58"/>
      <c r="E536" s="58"/>
      <c r="F536" s="58"/>
      <c r="G536" s="58" t="s">
        <v>2248</v>
      </c>
      <c r="H536" s="58"/>
      <c r="I536" s="58"/>
      <c r="J536" s="58" t="s">
        <v>3871</v>
      </c>
      <c r="K536" s="58">
        <v>49.1</v>
      </c>
      <c r="L536" s="58"/>
      <c r="M536" s="58" t="s">
        <v>3874</v>
      </c>
    </row>
    <row r="537" spans="1:16">
      <c r="A537" s="58" t="s">
        <v>3979</v>
      </c>
      <c r="B537" s="58"/>
      <c r="C537" s="58"/>
      <c r="D537" s="58"/>
      <c r="E537" s="58"/>
      <c r="F537" s="58"/>
      <c r="G537" s="58" t="s">
        <v>2248</v>
      </c>
      <c r="H537" s="58"/>
      <c r="I537" s="58"/>
      <c r="J537" s="58" t="s">
        <v>3871</v>
      </c>
      <c r="K537" s="58">
        <v>49.1</v>
      </c>
      <c r="L537" s="58"/>
      <c r="M537" s="58" t="s">
        <v>3874</v>
      </c>
    </row>
    <row r="538" spans="1:16">
      <c r="A538" s="58" t="s">
        <v>3980</v>
      </c>
      <c r="B538" s="58"/>
      <c r="C538" s="58"/>
      <c r="D538" s="58"/>
      <c r="E538" s="58"/>
      <c r="F538" s="58"/>
      <c r="G538" s="58" t="s">
        <v>2248</v>
      </c>
      <c r="H538" s="58"/>
      <c r="I538" s="58"/>
      <c r="J538" s="58" t="s">
        <v>3871</v>
      </c>
      <c r="K538" s="58">
        <v>49.1</v>
      </c>
      <c r="L538" s="58"/>
      <c r="M538" s="58" t="s">
        <v>3874</v>
      </c>
    </row>
    <row r="539" spans="1:16">
      <c r="A539" s="58" t="s">
        <v>3981</v>
      </c>
      <c r="B539" s="58"/>
      <c r="C539" s="58"/>
      <c r="D539" s="58"/>
      <c r="E539" s="58"/>
      <c r="F539" s="58"/>
      <c r="G539" s="58" t="s">
        <v>2248</v>
      </c>
      <c r="H539" s="58"/>
      <c r="I539" s="58"/>
      <c r="J539" s="58" t="s">
        <v>3871</v>
      </c>
      <c r="K539" s="58">
        <v>49.1</v>
      </c>
      <c r="L539" s="58"/>
      <c r="M539" s="58" t="s">
        <v>3874</v>
      </c>
    </row>
    <row r="540" spans="1:16">
      <c r="A540" s="58" t="s">
        <v>3982</v>
      </c>
      <c r="B540" s="58"/>
      <c r="C540" s="58"/>
      <c r="D540" s="58"/>
      <c r="E540" s="58"/>
      <c r="F540" s="58"/>
      <c r="G540" s="58" t="s">
        <v>2248</v>
      </c>
      <c r="H540" s="58"/>
      <c r="I540" s="58"/>
      <c r="J540" s="58" t="s">
        <v>3871</v>
      </c>
      <c r="K540" s="58">
        <v>49.1</v>
      </c>
      <c r="L540" s="58"/>
      <c r="M540" s="58" t="s">
        <v>3874</v>
      </c>
    </row>
    <row r="541" spans="1:16">
      <c r="A541" t="s">
        <v>3983</v>
      </c>
      <c r="G541" t="s">
        <v>2248</v>
      </c>
      <c r="J541" t="s">
        <v>3871</v>
      </c>
      <c r="K541">
        <v>49.1</v>
      </c>
      <c r="L541" t="s">
        <v>3899</v>
      </c>
      <c r="M541" t="s">
        <v>3879</v>
      </c>
      <c r="N541" t="s">
        <v>2246</v>
      </c>
      <c r="O541" t="str">
        <f t="shared" ref="O541:O548" si="20">"condorProc.py --series "&amp;A541&amp;" --donoise --dumps a --procenv environments/pymidas_HVHV_r62_mf.env"</f>
        <v>condorProc.py --series 07170501_1016 --donoise --dumps a --procenv environments/pymidas_HVHV_r62_mf.env</v>
      </c>
    </row>
    <row r="542" spans="1:16">
      <c r="A542" t="s">
        <v>3984</v>
      </c>
      <c r="G542" t="s">
        <v>2248</v>
      </c>
      <c r="J542" t="s">
        <v>3871</v>
      </c>
      <c r="K542">
        <v>49.1</v>
      </c>
      <c r="L542" t="s">
        <v>3901</v>
      </c>
      <c r="M542" t="s">
        <v>3879</v>
      </c>
      <c r="N542" t="s">
        <v>2246</v>
      </c>
      <c r="O542" t="str">
        <f t="shared" si="20"/>
        <v>condorProc.py --series 07170501_1551 --donoise --dumps a --procenv environments/pymidas_HVHV_r62_mf.env</v>
      </c>
    </row>
    <row r="543" spans="1:16">
      <c r="A543" s="55" t="s">
        <v>3985</v>
      </c>
      <c r="G543" s="55" t="s">
        <v>2248</v>
      </c>
      <c r="H543" s="55"/>
      <c r="I543" s="55"/>
      <c r="J543" s="55" t="s">
        <v>3871</v>
      </c>
      <c r="K543" s="55">
        <v>49.5</v>
      </c>
      <c r="L543" s="94" t="s">
        <v>3921</v>
      </c>
      <c r="M543" s="55" t="s">
        <v>3874</v>
      </c>
    </row>
    <row r="544" spans="1:16">
      <c r="A544" s="55" t="s">
        <v>3986</v>
      </c>
      <c r="G544" s="55" t="s">
        <v>2248</v>
      </c>
      <c r="H544" s="55"/>
      <c r="I544" s="55"/>
      <c r="J544" s="55" t="s">
        <v>3871</v>
      </c>
      <c r="K544" s="55">
        <v>49.5</v>
      </c>
      <c r="L544" s="95"/>
      <c r="M544" s="55" t="s">
        <v>3874</v>
      </c>
      <c r="N544" t="s">
        <v>2246</v>
      </c>
      <c r="O544" t="str">
        <f t="shared" si="20"/>
        <v>condorProc.py --series 07170501_1756 --donoise --dumps a --procenv environments/pymidas_HVHV_r62_mf.env</v>
      </c>
      <c r="P544" t="str">
        <f>""""&amp;A544&amp;""""</f>
        <v>"07170501_1756"</v>
      </c>
    </row>
    <row r="545" spans="1:16">
      <c r="A545" s="55" t="s">
        <v>3987</v>
      </c>
      <c r="G545" s="55" t="s">
        <v>2248</v>
      </c>
      <c r="H545" s="55"/>
      <c r="I545" s="55"/>
      <c r="J545" s="55" t="s">
        <v>3871</v>
      </c>
      <c r="K545" s="55">
        <v>49.5</v>
      </c>
      <c r="L545" s="96" t="s">
        <v>3905</v>
      </c>
      <c r="M545" s="55" t="s">
        <v>3874</v>
      </c>
      <c r="N545" t="s">
        <v>2246</v>
      </c>
      <c r="O545" t="str">
        <f t="shared" si="20"/>
        <v>condorProc.py --series 07170501_1857 --donoise --dumps a --procenv environments/pymidas_HVHV_r62_mf.env</v>
      </c>
      <c r="P545" t="str">
        <f>P544&amp;", """&amp;A545&amp;""""</f>
        <v>"07170501_1756", "07170501_1857"</v>
      </c>
    </row>
    <row r="546" spans="1:16">
      <c r="A546" s="55" t="s">
        <v>3988</v>
      </c>
      <c r="G546" s="55" t="s">
        <v>2248</v>
      </c>
      <c r="H546" s="55"/>
      <c r="I546" s="55"/>
      <c r="J546" s="55" t="s">
        <v>3871</v>
      </c>
      <c r="K546" s="55">
        <v>49.5</v>
      </c>
      <c r="L546" s="55"/>
      <c r="M546" s="55" t="s">
        <v>3874</v>
      </c>
      <c r="N546" t="s">
        <v>2246</v>
      </c>
      <c r="O546" t="str">
        <f t="shared" si="20"/>
        <v>condorProc.py --series 07170501_1958 --donoise --dumps a --procenv environments/pymidas_HVHV_r62_mf.env</v>
      </c>
      <c r="P546" t="str">
        <f>P545&amp;", """&amp;A546&amp;""""</f>
        <v>"07170501_1756", "07170501_1857", "07170501_1958"</v>
      </c>
    </row>
    <row r="547" spans="1:16">
      <c r="A547" s="55" t="s">
        <v>3989</v>
      </c>
      <c r="G547" s="55" t="s">
        <v>2248</v>
      </c>
      <c r="H547" s="55"/>
      <c r="I547" s="55"/>
      <c r="J547" s="55" t="s">
        <v>3871</v>
      </c>
      <c r="K547" s="55">
        <v>49.5</v>
      </c>
      <c r="L547" s="55"/>
      <c r="M547" s="55" t="s">
        <v>3874</v>
      </c>
      <c r="N547" t="s">
        <v>2246</v>
      </c>
      <c r="O547" t="str">
        <f t="shared" si="20"/>
        <v>condorProc.py --series 07170501_2059 --donoise --dumps a --procenv environments/pymidas_HVHV_r62_mf.env</v>
      </c>
      <c r="P547" t="str">
        <f>P546&amp;", """&amp;A547&amp;""""</f>
        <v>"07170501_1756", "07170501_1857", "07170501_1958", "07170501_2059"</v>
      </c>
    </row>
    <row r="548" spans="1:16">
      <c r="A548" s="55" t="s">
        <v>3990</v>
      </c>
      <c r="G548" s="55" t="s">
        <v>2248</v>
      </c>
      <c r="H548" s="55"/>
      <c r="I548" s="55"/>
      <c r="J548" s="55" t="s">
        <v>3871</v>
      </c>
      <c r="K548" s="55">
        <v>49.5</v>
      </c>
      <c r="L548" s="55"/>
      <c r="M548" s="55" t="s">
        <v>3874</v>
      </c>
      <c r="N548" t="s">
        <v>2246</v>
      </c>
      <c r="O548" t="str">
        <f t="shared" si="20"/>
        <v>condorProc.py --series 07170501_2200 --donoise --dumps a --procenv environments/pymidas_HVHV_r62_mf.env</v>
      </c>
      <c r="P548" t="str">
        <f>P547&amp;", """&amp;A548&amp;""""</f>
        <v>"07170501_1756", "07170501_1857", "07170501_1958", "07170501_2059", "07170501_2200"</v>
      </c>
    </row>
    <row r="549" spans="1:16">
      <c r="A549" s="55" t="s">
        <v>3991</v>
      </c>
      <c r="G549" s="55" t="s">
        <v>2248</v>
      </c>
      <c r="H549" s="55"/>
      <c r="I549" s="55"/>
      <c r="J549" s="55" t="s">
        <v>3871</v>
      </c>
      <c r="K549" s="55">
        <v>49.5</v>
      </c>
      <c r="L549" s="55"/>
      <c r="M549" s="55" t="s">
        <v>3874</v>
      </c>
    </row>
    <row r="550" spans="1:16">
      <c r="A550" s="55" t="s">
        <v>3992</v>
      </c>
      <c r="G550" s="55" t="s">
        <v>2248</v>
      </c>
      <c r="H550" s="55"/>
      <c r="I550" s="55"/>
      <c r="J550" s="55" t="s">
        <v>3871</v>
      </c>
      <c r="K550" s="55">
        <v>49.5</v>
      </c>
      <c r="L550" s="55"/>
      <c r="M550" s="55" t="s">
        <v>3874</v>
      </c>
    </row>
    <row r="551" spans="1:16">
      <c r="A551" s="55" t="s">
        <v>3993</v>
      </c>
      <c r="G551" s="55" t="s">
        <v>2248</v>
      </c>
      <c r="H551" s="55"/>
      <c r="I551" s="55"/>
      <c r="J551" s="55" t="s">
        <v>3871</v>
      </c>
      <c r="K551" s="55">
        <v>49.5</v>
      </c>
      <c r="L551" s="55"/>
      <c r="M551" s="55" t="s">
        <v>3874</v>
      </c>
    </row>
    <row r="552" spans="1:16">
      <c r="A552" s="55" t="s">
        <v>3994</v>
      </c>
      <c r="G552" s="55" t="s">
        <v>2248</v>
      </c>
      <c r="H552" s="55"/>
      <c r="I552" s="55"/>
      <c r="J552" s="55" t="s">
        <v>3871</v>
      </c>
      <c r="K552" s="55">
        <v>49.5</v>
      </c>
      <c r="L552" s="55"/>
      <c r="M552" s="55" t="s">
        <v>3874</v>
      </c>
    </row>
    <row r="553" spans="1:16">
      <c r="A553" s="55" t="s">
        <v>3995</v>
      </c>
      <c r="G553" s="55" t="s">
        <v>2248</v>
      </c>
      <c r="H553" s="55"/>
      <c r="I553" s="55"/>
      <c r="J553" s="55" t="s">
        <v>3871</v>
      </c>
      <c r="K553" s="55">
        <v>49.5</v>
      </c>
      <c r="L553" s="55"/>
      <c r="M553" s="55" t="s">
        <v>3874</v>
      </c>
    </row>
    <row r="554" spans="1:16">
      <c r="A554" s="55" t="s">
        <v>3996</v>
      </c>
      <c r="G554" s="55" t="s">
        <v>2248</v>
      </c>
      <c r="H554" s="55"/>
      <c r="I554" s="55"/>
      <c r="J554" s="55" t="s">
        <v>3871</v>
      </c>
      <c r="K554" s="55">
        <v>49.5</v>
      </c>
      <c r="L554" s="55"/>
      <c r="M554" s="55" t="s">
        <v>3874</v>
      </c>
    </row>
    <row r="555" spans="1:16">
      <c r="A555" s="55" t="s">
        <v>3997</v>
      </c>
      <c r="G555" s="55" t="s">
        <v>2248</v>
      </c>
      <c r="H555" s="55"/>
      <c r="I555" s="55"/>
      <c r="J555" s="55" t="s">
        <v>3871</v>
      </c>
      <c r="K555" s="55">
        <v>49.5</v>
      </c>
      <c r="L555" s="55"/>
      <c r="M555" s="55" t="s">
        <v>3874</v>
      </c>
    </row>
    <row r="556" spans="1:16">
      <c r="A556" s="55" t="s">
        <v>3998</v>
      </c>
      <c r="G556" s="55" t="s">
        <v>2248</v>
      </c>
      <c r="H556" s="55"/>
      <c r="I556" s="55"/>
      <c r="J556" s="55" t="s">
        <v>3871</v>
      </c>
      <c r="K556" s="55">
        <v>49.5</v>
      </c>
      <c r="L556" s="55"/>
      <c r="M556" s="55" t="s">
        <v>3874</v>
      </c>
    </row>
    <row r="557" spans="1:16">
      <c r="A557" s="55" t="s">
        <v>3999</v>
      </c>
      <c r="G557" s="55" t="s">
        <v>2248</v>
      </c>
      <c r="H557" s="55"/>
      <c r="I557" s="55"/>
      <c r="J557" s="55" t="s">
        <v>3871</v>
      </c>
      <c r="K557" s="55">
        <v>49.5</v>
      </c>
      <c r="L557" s="55"/>
      <c r="M557" s="55" t="s">
        <v>3874</v>
      </c>
    </row>
    <row r="558" spans="1:16">
      <c r="A558" s="55" t="s">
        <v>4000</v>
      </c>
      <c r="G558" s="55" t="s">
        <v>2248</v>
      </c>
      <c r="H558" s="55"/>
      <c r="I558" s="55"/>
      <c r="J558" s="55" t="s">
        <v>3871</v>
      </c>
      <c r="K558" s="55">
        <v>49.5</v>
      </c>
      <c r="L558" s="55"/>
      <c r="M558" s="55" t="s">
        <v>3874</v>
      </c>
    </row>
    <row r="559" spans="1:16">
      <c r="A559" s="59" t="s">
        <v>4001</v>
      </c>
      <c r="B559" s="59"/>
      <c r="C559" s="59"/>
      <c r="D559" s="59"/>
      <c r="E559" s="59"/>
      <c r="F559" s="59"/>
      <c r="G559" s="59" t="s">
        <v>2248</v>
      </c>
      <c r="H559" s="59"/>
      <c r="I559" s="59"/>
      <c r="J559" s="59" t="s">
        <v>3871</v>
      </c>
      <c r="K559" s="59">
        <v>49.5</v>
      </c>
      <c r="L559" s="59" t="s">
        <v>4002</v>
      </c>
      <c r="M559" s="59" t="s">
        <v>3874</v>
      </c>
    </row>
    <row r="560" spans="1:16">
      <c r="A560" t="s">
        <v>4003</v>
      </c>
      <c r="G560" t="s">
        <v>2248</v>
      </c>
      <c r="J560" t="s">
        <v>3871</v>
      </c>
      <c r="K560">
        <v>49.5</v>
      </c>
      <c r="L560" t="s">
        <v>4004</v>
      </c>
      <c r="M560" t="s">
        <v>3879</v>
      </c>
      <c r="N560" t="s">
        <v>2246</v>
      </c>
      <c r="O560" t="str">
        <f>"condorProc.py --series "&amp;A560&amp;" --donoise --dumps a --procenv environments/pymidas_HVHV_r62_mf.env"</f>
        <v>condorProc.py --series 07170502_0913 --donoise --dumps a --procenv environments/pymidas_HVHV_r62_mf.env</v>
      </c>
    </row>
    <row r="561" spans="1:16">
      <c r="A561" t="s">
        <v>4005</v>
      </c>
      <c r="G561" t="s">
        <v>2248</v>
      </c>
      <c r="J561" t="s">
        <v>3871</v>
      </c>
      <c r="K561">
        <v>49.5</v>
      </c>
      <c r="L561" t="s">
        <v>4006</v>
      </c>
      <c r="M561" t="s">
        <v>3879</v>
      </c>
      <c r="N561" t="s">
        <v>2246</v>
      </c>
      <c r="O561" t="str">
        <f>"condorProc.py --series "&amp;A561&amp;" --donoise --dumps a --procenv environments/pymidas_HVHV_r62_mf.env"</f>
        <v>condorProc.py --series 07170502_1256 --donoise --dumps a --procenv environments/pymidas_HVHV_r62_mf.env</v>
      </c>
    </row>
    <row r="562" spans="1:16">
      <c r="A562" s="56" t="s">
        <v>4007</v>
      </c>
      <c r="B562" s="56"/>
      <c r="C562" s="56"/>
      <c r="D562" s="56"/>
      <c r="E562" s="56"/>
      <c r="F562" s="56"/>
      <c r="G562" s="56" t="s">
        <v>2248</v>
      </c>
      <c r="H562" s="56"/>
      <c r="I562" s="56"/>
      <c r="J562" s="56" t="s">
        <v>3871</v>
      </c>
      <c r="K562" s="56">
        <v>49.2</v>
      </c>
      <c r="L562" s="93" t="s">
        <v>3921</v>
      </c>
      <c r="M562" s="56" t="s">
        <v>3874</v>
      </c>
    </row>
    <row r="563" spans="1:16">
      <c r="A563" s="56" t="s">
        <v>4008</v>
      </c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87"/>
      <c r="M563" s="56"/>
    </row>
    <row r="564" spans="1:16">
      <c r="A564" s="56" t="s">
        <v>4009</v>
      </c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88" t="s">
        <v>3905</v>
      </c>
      <c r="M564" s="56"/>
    </row>
    <row r="565" spans="1:16">
      <c r="A565" s="56" t="s">
        <v>4010</v>
      </c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</row>
    <row r="566" spans="1:16">
      <c r="A566" s="56" t="s">
        <v>4011</v>
      </c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</row>
    <row r="567" spans="1:16">
      <c r="A567" s="56" t="s">
        <v>4012</v>
      </c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</row>
    <row r="568" spans="1:16">
      <c r="A568" s="56" t="s">
        <v>4013</v>
      </c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</row>
    <row r="569" spans="1:16">
      <c r="A569" s="56" t="s">
        <v>4014</v>
      </c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</row>
    <row r="570" spans="1:16">
      <c r="A570" t="s">
        <v>4015</v>
      </c>
      <c r="G570" t="s">
        <v>2248</v>
      </c>
      <c r="J570" t="s">
        <v>3871</v>
      </c>
      <c r="K570">
        <v>48.8</v>
      </c>
      <c r="L570" t="s">
        <v>4016</v>
      </c>
      <c r="M570" t="s">
        <v>3879</v>
      </c>
      <c r="N570" t="s">
        <v>2246</v>
      </c>
      <c r="O570" t="str">
        <f t="shared" ref="O570:O592" si="21">"condorProc.py --series "&amp;A570&amp;" --donoise --dumps a --procenv environments/pymidas_HVHV_r62_mf.env"</f>
        <v>condorProc.py --series 07170503_1025 --donoise --dumps a --procenv environments/pymidas_HVHV_r62_mf.env</v>
      </c>
    </row>
    <row r="571" spans="1:16">
      <c r="A571" s="57" t="s">
        <v>4017</v>
      </c>
      <c r="B571" s="57"/>
      <c r="C571" s="57"/>
      <c r="D571" s="57"/>
      <c r="E571" s="57"/>
      <c r="F571" s="57"/>
      <c r="G571" s="57" t="s">
        <v>2248</v>
      </c>
      <c r="H571" s="57"/>
      <c r="I571" s="57"/>
      <c r="J571" s="57" t="s">
        <v>3871</v>
      </c>
      <c r="K571" s="57">
        <v>0</v>
      </c>
      <c r="L571" s="57" t="s">
        <v>4018</v>
      </c>
      <c r="M571" s="57" t="s">
        <v>3874</v>
      </c>
      <c r="N571" t="s">
        <v>2246</v>
      </c>
      <c r="O571" t="str">
        <f t="shared" si="21"/>
        <v>condorProc.py --series 07170503_1226 --donoise --dumps a --procenv environments/pymidas_HVHV_r62_mf.env</v>
      </c>
    </row>
    <row r="572" spans="1:16">
      <c r="A572" s="70" t="s">
        <v>4019</v>
      </c>
      <c r="B572" s="70"/>
      <c r="C572" s="70"/>
      <c r="D572" s="70"/>
      <c r="E572" s="70"/>
      <c r="F572" s="70"/>
      <c r="G572" s="70" t="s">
        <v>2248</v>
      </c>
      <c r="H572" s="70"/>
      <c r="I572" s="70"/>
      <c r="J572" s="70" t="s">
        <v>3871</v>
      </c>
      <c r="K572" s="70">
        <v>0</v>
      </c>
      <c r="L572" s="70" t="s">
        <v>4020</v>
      </c>
      <c r="M572" s="70" t="s">
        <v>3874</v>
      </c>
      <c r="N572" t="s">
        <v>2246</v>
      </c>
      <c r="O572" t="str">
        <f t="shared" si="21"/>
        <v>condorProc.py --series 07170503_1241 --donoise --dumps a --procenv environments/pymidas_HVHV_r62_mf.env</v>
      </c>
    </row>
    <row r="573" spans="1:16">
      <c r="A573" t="s">
        <v>4021</v>
      </c>
      <c r="G573" t="s">
        <v>2248</v>
      </c>
      <c r="J573" t="s">
        <v>3871</v>
      </c>
      <c r="K573">
        <v>49</v>
      </c>
      <c r="L573" t="s">
        <v>4022</v>
      </c>
      <c r="M573" t="s">
        <v>3879</v>
      </c>
      <c r="N573" t="s">
        <v>2246</v>
      </c>
      <c r="O573" t="str">
        <f t="shared" si="21"/>
        <v>condorProc.py --series 07170503_1338 --donoise --dumps a --procenv environments/pymidas_HVHV_r62_mf.env</v>
      </c>
    </row>
    <row r="574" spans="1:16">
      <c r="A574" s="56" t="s">
        <v>4023</v>
      </c>
      <c r="B574" s="56"/>
      <c r="C574" s="56"/>
      <c r="D574" s="56"/>
      <c r="E574" s="56"/>
      <c r="F574" s="56"/>
      <c r="G574" s="56" t="s">
        <v>2248</v>
      </c>
      <c r="H574" s="56"/>
      <c r="I574" s="56"/>
      <c r="J574" s="56" t="s">
        <v>3871</v>
      </c>
      <c r="K574" s="56">
        <v>49</v>
      </c>
      <c r="L574" s="93" t="s">
        <v>3921</v>
      </c>
      <c r="M574" s="56" t="s">
        <v>3874</v>
      </c>
      <c r="N574" t="s">
        <v>2246</v>
      </c>
      <c r="O574" t="str">
        <f t="shared" si="21"/>
        <v>condorProc.py --series 07170503_1444 --donoise --dumps a --procenv environments/pymidas_HVHV_r62_mf.env</v>
      </c>
      <c r="P574" t="str">
        <f>""""&amp;A574&amp;""""</f>
        <v>"07170503_1444"</v>
      </c>
    </row>
    <row r="575" spans="1:16">
      <c r="A575" s="56" t="s">
        <v>4024</v>
      </c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87"/>
      <c r="M575" s="56"/>
      <c r="N575" t="s">
        <v>2246</v>
      </c>
      <c r="O575" t="str">
        <f t="shared" si="21"/>
        <v>condorProc.py --series 07170503_1544 --donoise --dumps a --procenv environments/pymidas_HVHV_r62_mf.env</v>
      </c>
      <c r="P575" t="str">
        <f>P574&amp;", """&amp;A575&amp;""""</f>
        <v>"07170503_1444", "07170503_1544"</v>
      </c>
    </row>
    <row r="576" spans="1:16">
      <c r="A576" s="56" t="s">
        <v>4025</v>
      </c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88" t="s">
        <v>3905</v>
      </c>
      <c r="M576" s="56"/>
      <c r="N576" t="s">
        <v>2246</v>
      </c>
      <c r="O576" t="str">
        <f t="shared" si="21"/>
        <v>condorProc.py --series 07170503_1644 --donoise --dumps a --procenv environments/pymidas_HVHV_r62_mf.env</v>
      </c>
      <c r="P576" t="str">
        <f t="shared" ref="P576:P592" si="22">P575&amp;", """&amp;A576&amp;""""</f>
        <v>"07170503_1444", "07170503_1544", "07170503_1644"</v>
      </c>
    </row>
    <row r="577" spans="1:16">
      <c r="A577" s="56" t="s">
        <v>4026</v>
      </c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t="s">
        <v>2246</v>
      </c>
      <c r="O577" t="str">
        <f t="shared" si="21"/>
        <v>condorProc.py --series 07170503_1744 --donoise --dumps a --procenv environments/pymidas_HVHV_r62_mf.env</v>
      </c>
      <c r="P577" t="str">
        <f t="shared" si="22"/>
        <v>"07170503_1444", "07170503_1544", "07170503_1644", "07170503_1744"</v>
      </c>
    </row>
    <row r="578" spans="1:16">
      <c r="A578" s="56" t="s">
        <v>4027</v>
      </c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t="s">
        <v>2246</v>
      </c>
      <c r="O578" t="str">
        <f t="shared" si="21"/>
        <v>condorProc.py --series 07170503_1845 --donoise --dumps a --procenv environments/pymidas_HVHV_r62_mf.env</v>
      </c>
      <c r="P578" t="str">
        <f t="shared" si="22"/>
        <v>"07170503_1444", "07170503_1544", "07170503_1644", "07170503_1744", "07170503_1845"</v>
      </c>
    </row>
    <row r="579" spans="1:16">
      <c r="A579" s="56" t="s">
        <v>4028</v>
      </c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t="s">
        <v>2246</v>
      </c>
      <c r="O579" t="str">
        <f t="shared" si="21"/>
        <v>condorProc.py --series 07170503_1945 --donoise --dumps a --procenv environments/pymidas_HVHV_r62_mf.env</v>
      </c>
      <c r="P579" t="str">
        <f t="shared" si="22"/>
        <v>"07170503_1444", "07170503_1544", "07170503_1644", "07170503_1744", "07170503_1845", "07170503_1945"</v>
      </c>
    </row>
    <row r="580" spans="1:16">
      <c r="A580" s="56" t="s">
        <v>4029</v>
      </c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t="s">
        <v>2246</v>
      </c>
      <c r="O580" t="str">
        <f t="shared" si="21"/>
        <v>condorProc.py --series 07170503_2045 --donoise --dumps a --procenv environments/pymidas_HVHV_r62_mf.env</v>
      </c>
      <c r="P580" t="str">
        <f t="shared" si="22"/>
        <v>"07170503_1444", "07170503_1544", "07170503_1644", "07170503_1744", "07170503_1845", "07170503_1945", "07170503_2045"</v>
      </c>
    </row>
    <row r="581" spans="1:16">
      <c r="A581" s="56" t="s">
        <v>4030</v>
      </c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t="s">
        <v>2246</v>
      </c>
      <c r="O581" t="str">
        <f t="shared" si="21"/>
        <v>condorProc.py --series 07170503_2145 --donoise --dumps a --procenv environments/pymidas_HVHV_r62_mf.env</v>
      </c>
      <c r="P581" t="str">
        <f t="shared" si="22"/>
        <v>"07170503_1444", "07170503_1544", "07170503_1644", "07170503_1744", "07170503_1845", "07170503_1945", "07170503_2045", "07170503_2145"</v>
      </c>
    </row>
    <row r="582" spans="1:16">
      <c r="A582" s="56" t="s">
        <v>4031</v>
      </c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t="s">
        <v>2246</v>
      </c>
      <c r="O582" t="str">
        <f t="shared" si="21"/>
        <v>condorProc.py --series 07170503_2245 --donoise --dumps a --procenv environments/pymidas_HVHV_r62_mf.env</v>
      </c>
      <c r="P582" t="str">
        <f t="shared" si="22"/>
        <v>"07170503_1444", "07170503_1544", "07170503_1644", "07170503_1744", "07170503_1845", "07170503_1945", "07170503_2045", "07170503_2145", "07170503_2245"</v>
      </c>
    </row>
    <row r="583" spans="1:16">
      <c r="A583" s="56" t="s">
        <v>4032</v>
      </c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t="s">
        <v>2246</v>
      </c>
      <c r="O583" t="str">
        <f t="shared" si="21"/>
        <v>condorProc.py --series 07170503_2346 --donoise --dumps a --procenv environments/pymidas_HVHV_r62_mf.env</v>
      </c>
      <c r="P583" t="str">
        <f t="shared" si="22"/>
        <v>"07170503_1444", "07170503_1544", "07170503_1644", "07170503_1744", "07170503_1845", "07170503_1945", "07170503_2045", "07170503_2145", "07170503_2245", "07170503_2346"</v>
      </c>
    </row>
    <row r="584" spans="1:16">
      <c r="A584" s="56" t="s">
        <v>4033</v>
      </c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t="s">
        <v>2246</v>
      </c>
      <c r="O584" t="str">
        <f t="shared" si="21"/>
        <v>condorProc.py --series 07170504_0046 --donoise --dumps a --procenv environments/pymidas_HVHV_r62_mf.env</v>
      </c>
      <c r="P584" t="str">
        <f t="shared" si="22"/>
        <v>"07170503_1444", "07170503_1544", "07170503_1644", "07170503_1744", "07170503_1845", "07170503_1945", "07170503_2045", "07170503_2145", "07170503_2245", "07170503_2346", "07170504_0046"</v>
      </c>
    </row>
    <row r="585" spans="1:16">
      <c r="A585" s="56" t="s">
        <v>4034</v>
      </c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t="s">
        <v>2246</v>
      </c>
      <c r="O585" t="str">
        <f t="shared" si="21"/>
        <v>condorProc.py --series 07170504_0146 --donoise --dumps a --procenv environments/pymidas_HVHV_r62_mf.env</v>
      </c>
      <c r="P585" t="str">
        <f t="shared" si="22"/>
        <v>"07170503_1444", "07170503_1544", "07170503_1644", "07170503_1744", "07170503_1845", "07170503_1945", "07170503_2045", "07170503_2145", "07170503_2245", "07170503_2346", "07170504_0046", "07170504_0146"</v>
      </c>
    </row>
    <row r="586" spans="1:16">
      <c r="A586" s="56" t="s">
        <v>4035</v>
      </c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t="s">
        <v>2246</v>
      </c>
      <c r="O586" t="str">
        <f t="shared" si="21"/>
        <v>condorProc.py --series 07170504_0247 --donoise --dumps a --procenv environments/pymidas_HVHV_r62_mf.env</v>
      </c>
      <c r="P586" t="str">
        <f t="shared" si="22"/>
        <v>"07170503_1444", "07170503_1544", "07170503_1644", "07170503_1744", "07170503_1845", "07170503_1945", "07170503_2045", "07170503_2145", "07170503_2245", "07170503_2346", "07170504_0046", "07170504_0146", "07170504_0247"</v>
      </c>
    </row>
    <row r="587" spans="1:16">
      <c r="A587" s="56" t="s">
        <v>4036</v>
      </c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t="s">
        <v>2246</v>
      </c>
      <c r="O587" t="str">
        <f t="shared" si="21"/>
        <v>condorProc.py --series 07170504_0347 --donoise --dumps a --procenv environments/pymidas_HVHV_r62_mf.env</v>
      </c>
      <c r="P587" t="str">
        <f t="shared" si="22"/>
        <v>"07170503_1444", "07170503_1544", "07170503_1644", "07170503_1744", "07170503_1845", "07170503_1945", "07170503_2045", "07170503_2145", "07170503_2245", "07170503_2346", "07170504_0046", "07170504_0146", "07170504_0247", "07170504_0347"</v>
      </c>
    </row>
    <row r="588" spans="1:16">
      <c r="A588" s="56" t="s">
        <v>4037</v>
      </c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t="s">
        <v>2246</v>
      </c>
      <c r="O588" t="str">
        <f t="shared" si="21"/>
        <v>condorProc.py --series 07170504_0447 --donoise --dumps a --procenv environments/pymidas_HVHV_r62_mf.env</v>
      </c>
      <c r="P588" t="str">
        <f t="shared" si="22"/>
        <v>"07170503_1444", "07170503_1544", "07170503_1644", "07170503_1744", "07170503_1845", "07170503_1945", "07170503_2045", "07170503_2145", "07170503_2245", "07170503_2346", "07170504_0046", "07170504_0146", "07170504_0247", "07170504_0347", "07170504_0447"</v>
      </c>
    </row>
    <row r="589" spans="1:16">
      <c r="A589" s="56" t="s">
        <v>4038</v>
      </c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t="s">
        <v>2246</v>
      </c>
      <c r="O589" t="str">
        <f t="shared" si="21"/>
        <v>condorProc.py --series 07170504_0547 --donoise --dumps a --procenv environments/pymidas_HVHV_r62_mf.env</v>
      </c>
      <c r="P589" t="str">
        <f t="shared" si="22"/>
        <v>"07170503_1444", "07170503_1544", "07170503_1644", "07170503_1744", "07170503_1845", "07170503_1945", "07170503_2045", "07170503_2145", "07170503_2245", "07170503_2346", "07170504_0046", "07170504_0146", "07170504_0247", "07170504_0347", "07170504_0447", "07170504_0547"</v>
      </c>
    </row>
    <row r="590" spans="1:16">
      <c r="A590" s="56" t="s">
        <v>4039</v>
      </c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t="s">
        <v>2246</v>
      </c>
      <c r="O590" t="str">
        <f t="shared" si="21"/>
        <v>condorProc.py --series 07170504_0648 --donoise --dumps a --procenv environments/pymidas_HVHV_r62_mf.env</v>
      </c>
      <c r="P590" t="str">
        <f t="shared" si="22"/>
        <v>"07170503_1444", "07170503_1544", "07170503_1644", "07170503_1744", "07170503_1845", "07170503_1945", "07170503_2045", "07170503_2145", "07170503_2245", "07170503_2346", "07170504_0046", "07170504_0146", "07170504_0247", "07170504_0347", "07170504_0447", "07170504_0547", "07170504_0648"</v>
      </c>
    </row>
    <row r="591" spans="1:16">
      <c r="A591" s="56" t="s">
        <v>4040</v>
      </c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t="s">
        <v>2246</v>
      </c>
      <c r="O591" t="str">
        <f t="shared" si="21"/>
        <v>condorProc.py --series 07170504_0748 --donoise --dumps a --procenv environments/pymidas_HVHV_r62_mf.env</v>
      </c>
      <c r="P591" t="str">
        <f t="shared" si="22"/>
        <v>"07170503_1444", "07170503_1544", "07170503_1644", "07170503_1744", "07170503_1845", "07170503_1945", "07170503_2045", "07170503_2145", "07170503_2245", "07170503_2346", "07170504_0046", "07170504_0146", "07170504_0247", "07170504_0347", "07170504_0447", "07170504_0547", "07170504_0648", "07170504_0748"</v>
      </c>
    </row>
    <row r="592" spans="1:16">
      <c r="A592" s="56" t="s">
        <v>4041</v>
      </c>
      <c r="B592" s="56"/>
      <c r="C592" s="56"/>
      <c r="D592" s="56"/>
      <c r="E592" s="56"/>
      <c r="F592" s="56"/>
      <c r="G592" s="56"/>
      <c r="H592" s="56"/>
      <c r="I592" s="56"/>
      <c r="J592" s="56"/>
      <c r="K592" s="56">
        <v>49</v>
      </c>
      <c r="L592" s="56"/>
      <c r="M592" s="56"/>
      <c r="N592" t="s">
        <v>2246</v>
      </c>
      <c r="O592" t="str">
        <f t="shared" si="21"/>
        <v>condorProc.py --series 07170504_0848 --donoise --dumps a --procenv environments/pymidas_HVHV_r62_mf.env</v>
      </c>
      <c r="P592" t="str">
        <f t="shared" si="22"/>
        <v>"07170503_1444", "07170503_1544", "07170503_1644", "07170503_1744", "07170503_1845", "07170503_1945", "07170503_2045", "07170503_2145", "07170503_2245", "07170503_2346", "07170504_0046", "07170504_0146", "07170504_0247", "07170504_0347", "07170504_0447", "07170504_0547", "07170504_0648", "07170504_0748", "07170504_0848"</v>
      </c>
    </row>
    <row r="593" spans="1:15">
      <c r="A593" t="s">
        <v>4042</v>
      </c>
      <c r="G593" t="s">
        <v>2248</v>
      </c>
      <c r="J593" t="s">
        <v>3871</v>
      </c>
      <c r="K593">
        <v>49</v>
      </c>
      <c r="L593" t="s">
        <v>4016</v>
      </c>
      <c r="M593" t="s">
        <v>3879</v>
      </c>
      <c r="N593" t="s">
        <v>2246</v>
      </c>
      <c r="O593" t="str">
        <f>"condorProc.py --series "&amp;A593&amp;" --donoise --dumps a --procenv environments/pymidas_HVHV_r62_mf.env"</f>
        <v>condorProc.py --series 07170504_0952 --donoise --dumps a --procenv environments/pymidas_HVHV_r62_mf.env</v>
      </c>
    </row>
    <row r="594" spans="1:15">
      <c r="A594" t="s">
        <v>4043</v>
      </c>
      <c r="G594" t="s">
        <v>2248</v>
      </c>
      <c r="J594" t="s">
        <v>3871</v>
      </c>
      <c r="K594">
        <v>48.9</v>
      </c>
      <c r="L594" t="s">
        <v>3901</v>
      </c>
      <c r="M594" t="s">
        <v>3879</v>
      </c>
      <c r="N594" t="s">
        <v>2246</v>
      </c>
      <c r="O594" t="str">
        <f>"condorProc.py --series "&amp;A594&amp;" --donoise --dumps a --procenv environments/pymidas_HVHV_r62_mf.env"</f>
        <v>condorProc.py --series 07170504_1305 --donoise --dumps a --procenv environments/pymidas_HVHV_r62_mf.env</v>
      </c>
    </row>
    <row r="595" spans="1:15">
      <c r="A595" s="56" t="s">
        <v>4044</v>
      </c>
      <c r="G595" s="56" t="s">
        <v>2248</v>
      </c>
      <c r="H595" s="56"/>
      <c r="I595" s="56"/>
      <c r="J595" s="56" t="s">
        <v>3871</v>
      </c>
      <c r="K595" s="56">
        <v>48.9</v>
      </c>
      <c r="L595" s="93" t="s">
        <v>3921</v>
      </c>
      <c r="M595" s="56" t="s">
        <v>3874</v>
      </c>
    </row>
    <row r="596" spans="1:15">
      <c r="A596" s="56" t="s">
        <v>4045</v>
      </c>
      <c r="G596" s="56"/>
      <c r="H596" s="56"/>
      <c r="I596" s="56"/>
      <c r="J596" s="56"/>
      <c r="K596" s="56"/>
      <c r="L596" s="87"/>
      <c r="M596" s="56"/>
    </row>
    <row r="597" spans="1:15">
      <c r="A597" s="56" t="s">
        <v>4046</v>
      </c>
      <c r="G597" s="56"/>
      <c r="H597" s="56"/>
      <c r="I597" s="56"/>
      <c r="J597" s="56"/>
      <c r="K597" s="56"/>
      <c r="L597" s="88" t="s">
        <v>3905</v>
      </c>
      <c r="M597" s="56"/>
    </row>
    <row r="598" spans="1:15">
      <c r="A598" s="56" t="s">
        <v>4047</v>
      </c>
      <c r="G598" s="56"/>
      <c r="H598" s="56"/>
      <c r="I598" s="56"/>
      <c r="J598" s="56"/>
      <c r="K598" s="56"/>
      <c r="L598" s="56"/>
      <c r="M598" s="56"/>
    </row>
    <row r="599" spans="1:15">
      <c r="A599" s="56" t="s">
        <v>4048</v>
      </c>
      <c r="G599" s="56"/>
      <c r="H599" s="56"/>
      <c r="I599" s="56"/>
      <c r="J599" s="56"/>
      <c r="K599" s="56"/>
      <c r="L599" s="56"/>
      <c r="M599" s="56"/>
    </row>
    <row r="600" spans="1:15">
      <c r="A600" s="56" t="s">
        <v>4049</v>
      </c>
      <c r="G600" s="56"/>
      <c r="H600" s="56"/>
      <c r="I600" s="56"/>
      <c r="J600" s="56"/>
      <c r="K600" s="56"/>
      <c r="L600" s="56"/>
      <c r="M600" s="56"/>
    </row>
    <row r="601" spans="1:15">
      <c r="A601" s="56" t="s">
        <v>4050</v>
      </c>
      <c r="G601" s="56"/>
      <c r="H601" s="56"/>
      <c r="I601" s="56"/>
      <c r="J601" s="56"/>
      <c r="K601" s="56"/>
      <c r="L601" s="56"/>
      <c r="M601" s="56"/>
    </row>
    <row r="602" spans="1:15">
      <c r="A602" s="56" t="s">
        <v>4051</v>
      </c>
      <c r="G602" s="56"/>
      <c r="H602" s="56"/>
      <c r="I602" s="56"/>
      <c r="J602" s="56"/>
      <c r="K602" s="56"/>
      <c r="L602" s="56"/>
      <c r="M602" s="56"/>
    </row>
    <row r="603" spans="1:15">
      <c r="A603" s="56" t="s">
        <v>4052</v>
      </c>
      <c r="G603" s="56"/>
      <c r="H603" s="56"/>
      <c r="I603" s="56"/>
      <c r="J603" s="56"/>
      <c r="K603" s="56"/>
      <c r="L603" s="56"/>
      <c r="M603" s="56"/>
    </row>
    <row r="604" spans="1:15">
      <c r="A604" s="56" t="s">
        <v>4053</v>
      </c>
      <c r="G604" s="56"/>
      <c r="H604" s="56"/>
      <c r="I604" s="56"/>
      <c r="J604" s="56"/>
      <c r="K604" s="56"/>
      <c r="L604" s="56"/>
      <c r="M604" s="56"/>
    </row>
    <row r="605" spans="1:15">
      <c r="A605" s="56" t="s">
        <v>4054</v>
      </c>
      <c r="G605" s="56"/>
      <c r="H605" s="56"/>
      <c r="I605" s="56"/>
      <c r="J605" s="56"/>
      <c r="K605" s="56"/>
      <c r="L605" s="56"/>
      <c r="M605" s="56"/>
    </row>
    <row r="606" spans="1:15">
      <c r="A606" s="56" t="s">
        <v>4055</v>
      </c>
      <c r="G606" s="56"/>
      <c r="H606" s="56"/>
      <c r="I606" s="56"/>
      <c r="J606" s="56"/>
      <c r="K606" s="56"/>
      <c r="L606" s="56"/>
      <c r="M606" s="56"/>
    </row>
    <row r="607" spans="1:15">
      <c r="A607" s="56" t="s">
        <v>4056</v>
      </c>
      <c r="G607" s="56"/>
      <c r="H607" s="56"/>
      <c r="I607" s="56"/>
      <c r="J607" s="56"/>
      <c r="K607" s="56"/>
      <c r="L607" s="56"/>
      <c r="M607" s="56"/>
    </row>
    <row r="608" spans="1:15">
      <c r="A608" s="56" t="s">
        <v>4057</v>
      </c>
      <c r="G608" s="56"/>
      <c r="H608" s="56"/>
      <c r="I608" s="56"/>
      <c r="J608" s="56"/>
      <c r="K608" s="56"/>
      <c r="L608" s="56"/>
      <c r="M608" s="56"/>
    </row>
    <row r="609" spans="1:15">
      <c r="A609" s="56" t="s">
        <v>4058</v>
      </c>
      <c r="G609" s="56"/>
      <c r="H609" s="56"/>
      <c r="I609" s="56"/>
      <c r="J609" s="56"/>
      <c r="K609" s="56"/>
      <c r="L609" s="56"/>
      <c r="M609" s="56"/>
    </row>
    <row r="610" spans="1:15">
      <c r="A610" s="56" t="s">
        <v>4059</v>
      </c>
      <c r="G610" s="56"/>
      <c r="H610" s="56"/>
      <c r="I610" s="56"/>
      <c r="J610" s="56"/>
      <c r="K610" s="56"/>
      <c r="L610" s="56"/>
      <c r="M610" s="56"/>
    </row>
    <row r="611" spans="1:15">
      <c r="A611" s="56" t="s">
        <v>4060</v>
      </c>
      <c r="G611" s="56"/>
      <c r="H611" s="56"/>
      <c r="I611" s="56"/>
      <c r="J611" s="56"/>
      <c r="K611" s="56"/>
      <c r="L611" s="56"/>
      <c r="M611" s="56"/>
    </row>
    <row r="612" spans="1:15">
      <c r="A612" s="56" t="s">
        <v>4061</v>
      </c>
      <c r="G612" s="56"/>
      <c r="H612" s="56"/>
      <c r="I612" s="56"/>
      <c r="J612" s="56"/>
      <c r="K612" s="56"/>
      <c r="L612" s="56"/>
      <c r="M612" s="56"/>
    </row>
    <row r="613" spans="1:15">
      <c r="A613" s="56" t="s">
        <v>4062</v>
      </c>
      <c r="G613" s="56"/>
      <c r="H613" s="56"/>
      <c r="I613" s="56"/>
      <c r="J613" s="56"/>
      <c r="K613" s="56">
        <v>49.4</v>
      </c>
      <c r="L613" s="56"/>
      <c r="M613" s="56"/>
    </row>
    <row r="614" spans="1:15">
      <c r="A614" t="s">
        <v>4063</v>
      </c>
      <c r="G614" t="s">
        <v>2248</v>
      </c>
      <c r="J614" t="s">
        <v>3871</v>
      </c>
      <c r="K614">
        <v>49.4</v>
      </c>
      <c r="L614" t="s">
        <v>4016</v>
      </c>
      <c r="M614" t="s">
        <v>3879</v>
      </c>
      <c r="N614" t="s">
        <v>2246</v>
      </c>
      <c r="O614" t="str">
        <f>"condorProc.py --series "&amp;A614&amp;" --donoise --dumps a --procenv environments/pymidas_HVHV_r62_mf.env"</f>
        <v>condorProc.py --series 07170505_0925 --donoise --dumps a --procenv environments/pymidas_HVHV_r62_mf.env</v>
      </c>
    </row>
    <row r="615" spans="1:15">
      <c r="A615" t="s">
        <v>4064</v>
      </c>
      <c r="G615" t="s">
        <v>2248</v>
      </c>
      <c r="J615" t="s">
        <v>3871</v>
      </c>
      <c r="K615">
        <v>48.8</v>
      </c>
      <c r="L615" t="s">
        <v>4065</v>
      </c>
      <c r="M615" t="s">
        <v>3879</v>
      </c>
    </row>
    <row r="616" spans="1:15">
      <c r="A616" t="s">
        <v>4066</v>
      </c>
      <c r="G616" t="s">
        <v>2248</v>
      </c>
      <c r="J616" t="s">
        <v>3871</v>
      </c>
      <c r="K616">
        <v>48.8</v>
      </c>
      <c r="L616" t="s">
        <v>3901</v>
      </c>
      <c r="M616" t="s">
        <v>3879</v>
      </c>
      <c r="N616" t="s">
        <v>2246</v>
      </c>
      <c r="O616" t="str">
        <f>"condorProc.py --series "&amp;A616&amp;" --donoise --dumps a --procenv environments/pymidas_HVHV_r62_mf.env"</f>
        <v>condorProc.py --series 07170505_1602 --donoise --dumps a --procenv environments/pymidas_HVHV_r62_mf.env</v>
      </c>
    </row>
    <row r="617" spans="1:15">
      <c r="A617" s="56" t="s">
        <v>4067</v>
      </c>
      <c r="G617" s="56" t="s">
        <v>2248</v>
      </c>
      <c r="H617" s="56"/>
      <c r="I617" s="56"/>
      <c r="J617" s="56" t="s">
        <v>3871</v>
      </c>
      <c r="K617" s="56">
        <v>48.8</v>
      </c>
      <c r="L617" s="93" t="s">
        <v>3921</v>
      </c>
      <c r="M617" s="56" t="s">
        <v>3874</v>
      </c>
    </row>
    <row r="618" spans="1:15">
      <c r="A618" s="56" t="s">
        <v>4068</v>
      </c>
      <c r="G618" s="56"/>
      <c r="H618" s="56"/>
      <c r="I618" s="56"/>
      <c r="J618" s="56"/>
      <c r="K618" s="56"/>
      <c r="L618" s="87"/>
      <c r="M618" s="56"/>
    </row>
    <row r="619" spans="1:15">
      <c r="A619" s="56" t="s">
        <v>4069</v>
      </c>
      <c r="G619" s="56"/>
      <c r="H619" s="56"/>
      <c r="I619" s="56"/>
      <c r="J619" s="56"/>
      <c r="K619" s="56"/>
      <c r="L619" s="88" t="s">
        <v>3905</v>
      </c>
      <c r="M619" s="56"/>
    </row>
    <row r="620" spans="1:15">
      <c r="A620" s="56" t="s">
        <v>4070</v>
      </c>
      <c r="G620" s="56"/>
      <c r="H620" s="56"/>
      <c r="I620" s="56"/>
      <c r="J620" s="56"/>
      <c r="K620" s="56"/>
      <c r="L620" s="56"/>
      <c r="M620" s="56"/>
    </row>
    <row r="621" spans="1:15">
      <c r="A621" s="56" t="s">
        <v>4071</v>
      </c>
      <c r="G621" s="56"/>
      <c r="H621" s="56"/>
      <c r="I621" s="56"/>
      <c r="J621" s="56"/>
      <c r="K621" s="56"/>
      <c r="L621" s="56"/>
      <c r="M621" s="56"/>
    </row>
    <row r="622" spans="1:15">
      <c r="A622" s="56" t="s">
        <v>4072</v>
      </c>
      <c r="G622" s="56"/>
      <c r="H622" s="56"/>
      <c r="I622" s="56"/>
      <c r="J622" s="56"/>
      <c r="K622" s="56"/>
      <c r="L622" s="56"/>
      <c r="M622" s="56"/>
    </row>
    <row r="623" spans="1:15">
      <c r="A623" s="56" t="s">
        <v>4073</v>
      </c>
      <c r="G623" s="56"/>
      <c r="H623" s="56"/>
      <c r="I623" s="56"/>
      <c r="J623" s="56"/>
      <c r="K623" s="56"/>
      <c r="L623" s="56"/>
      <c r="M623" s="56"/>
    </row>
    <row r="624" spans="1:15">
      <c r="A624" s="56" t="s">
        <v>4074</v>
      </c>
      <c r="G624" s="56"/>
      <c r="H624" s="56"/>
      <c r="I624" s="56"/>
      <c r="J624" s="56"/>
      <c r="K624" s="56"/>
      <c r="L624" s="56"/>
      <c r="M624" s="56"/>
    </row>
    <row r="625" spans="1:13">
      <c r="A625" s="56" t="s">
        <v>4075</v>
      </c>
      <c r="G625" s="56"/>
      <c r="H625" s="56"/>
      <c r="I625" s="56"/>
      <c r="J625" s="56"/>
      <c r="K625" s="56"/>
      <c r="L625" s="56"/>
      <c r="M625" s="56"/>
    </row>
    <row r="626" spans="1:13">
      <c r="A626" s="56" t="s">
        <v>4076</v>
      </c>
      <c r="G626" s="56"/>
      <c r="H626" s="56"/>
      <c r="I626" s="56"/>
      <c r="J626" s="56"/>
      <c r="K626" s="56"/>
      <c r="L626" s="56"/>
      <c r="M626" s="56"/>
    </row>
    <row r="627" spans="1:13">
      <c r="A627" s="56" t="s">
        <v>4077</v>
      </c>
      <c r="G627" s="56"/>
      <c r="H627" s="56"/>
      <c r="I627" s="56"/>
      <c r="J627" s="56"/>
      <c r="K627" s="56"/>
      <c r="L627" s="56"/>
      <c r="M627" s="56"/>
    </row>
    <row r="628" spans="1:13">
      <c r="A628" s="56" t="s">
        <v>4078</v>
      </c>
      <c r="G628" s="56"/>
      <c r="H628" s="56"/>
      <c r="I628" s="56"/>
      <c r="J628" s="56"/>
      <c r="K628" s="56"/>
      <c r="L628" s="56"/>
      <c r="M628" s="56"/>
    </row>
    <row r="629" spans="1:13">
      <c r="A629" s="56" t="s">
        <v>4079</v>
      </c>
      <c r="G629" s="56"/>
      <c r="H629" s="56"/>
      <c r="I629" s="56"/>
      <c r="J629" s="56"/>
      <c r="K629" s="56"/>
      <c r="L629" s="56"/>
      <c r="M629" s="56"/>
    </row>
    <row r="630" spans="1:13">
      <c r="A630" s="56" t="s">
        <v>4080</v>
      </c>
      <c r="G630" s="56"/>
      <c r="H630" s="56"/>
      <c r="I630" s="56"/>
      <c r="J630" s="56"/>
      <c r="K630" s="56"/>
      <c r="L630" s="56"/>
      <c r="M630" s="56"/>
    </row>
    <row r="631" spans="1:13">
      <c r="A631" s="56" t="s">
        <v>4081</v>
      </c>
      <c r="G631" s="56"/>
      <c r="H631" s="56"/>
      <c r="I631" s="56"/>
      <c r="J631" s="56"/>
      <c r="K631" s="56"/>
      <c r="L631" s="56"/>
      <c r="M631" s="56"/>
    </row>
    <row r="632" spans="1:13">
      <c r="A632" s="56" t="s">
        <v>4082</v>
      </c>
      <c r="G632" s="56"/>
      <c r="H632" s="56"/>
      <c r="I632" s="56"/>
      <c r="J632" s="56"/>
      <c r="K632" s="56"/>
      <c r="L632" s="56"/>
      <c r="M632" s="56"/>
    </row>
    <row r="633" spans="1:13">
      <c r="A633" s="56" t="s">
        <v>4083</v>
      </c>
      <c r="G633" s="56"/>
      <c r="H633" s="56"/>
      <c r="I633" s="56"/>
      <c r="J633" s="56"/>
      <c r="K633" s="56"/>
      <c r="L633" s="56"/>
      <c r="M633" s="56"/>
    </row>
    <row r="634" spans="1:13">
      <c r="A634" s="56" t="s">
        <v>4084</v>
      </c>
      <c r="G634" s="56"/>
      <c r="H634" s="56"/>
      <c r="I634" s="56"/>
      <c r="J634" s="56"/>
      <c r="K634" s="56"/>
      <c r="L634" s="56"/>
      <c r="M634" s="56"/>
    </row>
    <row r="635" spans="1:13">
      <c r="A635" s="56" t="s">
        <v>4085</v>
      </c>
      <c r="G635" s="56"/>
      <c r="H635" s="56"/>
      <c r="I635" s="56"/>
      <c r="J635" s="56"/>
      <c r="K635" s="56"/>
      <c r="L635" s="56"/>
      <c r="M635" s="56"/>
    </row>
    <row r="636" spans="1:13">
      <c r="A636" t="s">
        <v>4086</v>
      </c>
      <c r="L636" t="s">
        <v>1273</v>
      </c>
    </row>
    <row r="637" spans="1:13">
      <c r="A637" s="56" t="s">
        <v>4087</v>
      </c>
      <c r="G637" s="56" t="s">
        <v>2248</v>
      </c>
      <c r="H637" s="56"/>
      <c r="I637" s="56"/>
      <c r="J637" s="56" t="s">
        <v>3871</v>
      </c>
      <c r="K637" s="56">
        <v>48.3</v>
      </c>
      <c r="L637" s="93" t="s">
        <v>3921</v>
      </c>
      <c r="M637" s="56" t="s">
        <v>3874</v>
      </c>
    </row>
    <row r="638" spans="1:13">
      <c r="A638" s="56" t="s">
        <v>4088</v>
      </c>
      <c r="G638" s="56"/>
      <c r="H638" s="56"/>
      <c r="I638" s="56"/>
      <c r="J638" s="56"/>
      <c r="K638" s="56"/>
      <c r="L638" s="87"/>
      <c r="M638" s="56"/>
    </row>
    <row r="639" spans="1:13">
      <c r="A639" s="56" t="s">
        <v>4089</v>
      </c>
      <c r="G639" s="56"/>
      <c r="H639" s="56"/>
      <c r="I639" s="56"/>
      <c r="J639" s="56"/>
      <c r="K639" s="56"/>
      <c r="L639" s="88" t="s">
        <v>3905</v>
      </c>
      <c r="M639" s="56"/>
    </row>
    <row r="640" spans="1:13">
      <c r="A640" s="56" t="s">
        <v>4090</v>
      </c>
      <c r="G640" s="56"/>
      <c r="H640" s="56"/>
      <c r="I640" s="56"/>
      <c r="J640" s="56"/>
      <c r="K640" s="56"/>
      <c r="L640" s="56"/>
      <c r="M640" s="56"/>
    </row>
    <row r="641" spans="1:13">
      <c r="A641" s="56" t="s">
        <v>4091</v>
      </c>
      <c r="G641" s="56"/>
      <c r="H641" s="56"/>
      <c r="I641" s="56"/>
      <c r="J641" s="56"/>
      <c r="K641" s="56"/>
      <c r="L641" s="56"/>
      <c r="M641" s="56"/>
    </row>
    <row r="642" spans="1:13">
      <c r="A642" s="56" t="s">
        <v>4092</v>
      </c>
      <c r="G642" s="56"/>
      <c r="H642" s="56"/>
      <c r="I642" s="56"/>
      <c r="J642" s="56"/>
      <c r="K642" s="56"/>
      <c r="L642" s="56"/>
      <c r="M642" s="56"/>
    </row>
    <row r="643" spans="1:13">
      <c r="A643" s="56" t="s">
        <v>4093</v>
      </c>
      <c r="G643" s="56"/>
      <c r="H643" s="56"/>
      <c r="I643" s="56"/>
      <c r="J643" s="56"/>
      <c r="K643" s="56"/>
      <c r="L643" s="56"/>
      <c r="M643" s="56"/>
    </row>
    <row r="644" spans="1:13">
      <c r="A644" s="56" t="s">
        <v>4094</v>
      </c>
      <c r="G644" s="56"/>
      <c r="H644" s="56"/>
      <c r="I644" s="56"/>
      <c r="J644" s="56"/>
      <c r="K644" s="56"/>
      <c r="L644" s="56"/>
      <c r="M644" s="56"/>
    </row>
    <row r="645" spans="1:13">
      <c r="A645" s="56" t="s">
        <v>4095</v>
      </c>
      <c r="G645" s="56"/>
      <c r="H645" s="56"/>
      <c r="I645" s="56"/>
      <c r="J645" s="56"/>
      <c r="K645" s="56"/>
      <c r="L645" s="56"/>
      <c r="M645" s="56"/>
    </row>
    <row r="646" spans="1:13">
      <c r="A646" s="56" t="s">
        <v>4096</v>
      </c>
      <c r="G646" s="56"/>
      <c r="H646" s="56"/>
      <c r="I646" s="56"/>
      <c r="J646" s="56"/>
      <c r="K646" s="56"/>
      <c r="L646" s="56"/>
      <c r="M646" s="56"/>
    </row>
    <row r="647" spans="1:13">
      <c r="A647" s="56" t="s">
        <v>4097</v>
      </c>
      <c r="G647" s="56"/>
      <c r="H647" s="56"/>
      <c r="I647" s="56"/>
      <c r="J647" s="56"/>
      <c r="K647" s="56"/>
      <c r="L647" s="56"/>
      <c r="M647" s="56"/>
    </row>
    <row r="648" spans="1:13">
      <c r="A648" s="56" t="s">
        <v>4098</v>
      </c>
      <c r="G648" s="56"/>
      <c r="H648" s="56"/>
      <c r="I648" s="56"/>
      <c r="J648" s="56"/>
      <c r="K648" s="56"/>
      <c r="L648" s="56"/>
      <c r="M648" s="56"/>
    </row>
    <row r="649" spans="1:13">
      <c r="A649" s="56" t="s">
        <v>4099</v>
      </c>
      <c r="G649" s="56"/>
      <c r="H649" s="56"/>
      <c r="I649" s="56"/>
      <c r="J649" s="56"/>
      <c r="K649" s="56"/>
      <c r="L649" s="56"/>
      <c r="M649" s="56"/>
    </row>
    <row r="650" spans="1:13">
      <c r="A650" s="56" t="s">
        <v>4100</v>
      </c>
      <c r="G650" s="56"/>
      <c r="H650" s="56"/>
      <c r="I650" s="56"/>
      <c r="J650" s="56"/>
      <c r="K650" s="56"/>
      <c r="L650" s="56"/>
      <c r="M650" s="56"/>
    </row>
    <row r="651" spans="1:13">
      <c r="A651" s="56" t="s">
        <v>4101</v>
      </c>
      <c r="G651" s="56"/>
      <c r="H651" s="56"/>
      <c r="I651" s="56"/>
      <c r="J651" s="56"/>
      <c r="K651" s="56"/>
      <c r="L651" s="56"/>
      <c r="M651" s="56"/>
    </row>
    <row r="652" spans="1:13">
      <c r="A652" s="56" t="s">
        <v>4102</v>
      </c>
      <c r="G652" s="56"/>
      <c r="H652" s="56"/>
      <c r="I652" s="56"/>
      <c r="J652" s="56"/>
      <c r="K652" s="56"/>
      <c r="L652" s="56"/>
      <c r="M652" s="56"/>
    </row>
    <row r="653" spans="1:13">
      <c r="A653" s="56" t="s">
        <v>4103</v>
      </c>
      <c r="G653" s="56"/>
      <c r="H653" s="56"/>
      <c r="I653" s="56"/>
      <c r="J653" s="56"/>
      <c r="K653" s="56"/>
      <c r="L653" s="56"/>
      <c r="M653" s="56"/>
    </row>
    <row r="654" spans="1:13">
      <c r="A654" s="56" t="s">
        <v>4104</v>
      </c>
      <c r="G654" s="56"/>
      <c r="H654" s="56"/>
      <c r="I654" s="56"/>
      <c r="J654" s="56"/>
      <c r="K654" s="56"/>
      <c r="L654" s="56"/>
      <c r="M654" s="56"/>
    </row>
    <row r="655" spans="1:13">
      <c r="A655" s="56" t="s">
        <v>4105</v>
      </c>
      <c r="G655" s="56"/>
      <c r="H655" s="56"/>
      <c r="I655" s="56"/>
      <c r="J655" s="56"/>
      <c r="K655" s="56"/>
      <c r="L655" s="56"/>
      <c r="M655" s="56"/>
    </row>
    <row r="656" spans="1:13">
      <c r="A656" s="55" t="s">
        <v>4106</v>
      </c>
      <c r="B656" s="55"/>
      <c r="C656" s="55"/>
      <c r="D656" s="55"/>
      <c r="E656" s="55"/>
      <c r="F656" s="55"/>
      <c r="G656" s="55" t="s">
        <v>2248</v>
      </c>
      <c r="H656" s="55"/>
      <c r="I656" s="55"/>
      <c r="J656" s="55" t="s">
        <v>3871</v>
      </c>
      <c r="K656" s="55">
        <v>49.1</v>
      </c>
      <c r="L656" s="94" t="s">
        <v>3921</v>
      </c>
      <c r="M656" s="55" t="s">
        <v>3874</v>
      </c>
    </row>
    <row r="657" spans="1:13">
      <c r="A657" s="55" t="s">
        <v>4107</v>
      </c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95"/>
      <c r="M657" s="55"/>
    </row>
    <row r="658" spans="1:13">
      <c r="A658" s="55" t="s">
        <v>4108</v>
      </c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96" t="s">
        <v>3905</v>
      </c>
      <c r="M658" s="55"/>
    </row>
    <row r="659" spans="1:13">
      <c r="A659" s="55" t="s">
        <v>4109</v>
      </c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</row>
    <row r="660" spans="1:13">
      <c r="A660" s="55" t="s">
        <v>4110</v>
      </c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</row>
    <row r="661" spans="1:13">
      <c r="A661" s="55" t="s">
        <v>4111</v>
      </c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</row>
    <row r="662" spans="1:13">
      <c r="A662" s="55" t="s">
        <v>4112</v>
      </c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</row>
    <row r="663" spans="1:13">
      <c r="A663" s="55" t="s">
        <v>4113</v>
      </c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</row>
    <row r="664" spans="1:13">
      <c r="A664" s="55" t="s">
        <v>4114</v>
      </c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</row>
    <row r="665" spans="1:13">
      <c r="A665" s="55" t="s">
        <v>4115</v>
      </c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</row>
    <row r="666" spans="1:13">
      <c r="A666" s="55" t="s">
        <v>4116</v>
      </c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</row>
    <row r="667" spans="1:13">
      <c r="A667" s="55" t="s">
        <v>4117</v>
      </c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</row>
    <row r="668" spans="1:13">
      <c r="A668" s="55" t="s">
        <v>4118</v>
      </c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</row>
    <row r="669" spans="1:13">
      <c r="A669" s="55" t="s">
        <v>4119</v>
      </c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</row>
    <row r="670" spans="1:13">
      <c r="A670" s="55" t="s">
        <v>4120</v>
      </c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</row>
    <row r="671" spans="1:13">
      <c r="A671" s="55" t="s">
        <v>4121</v>
      </c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</row>
    <row r="672" spans="1:13">
      <c r="A672" s="55" t="s">
        <v>4122</v>
      </c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</row>
    <row r="673" spans="1:15">
      <c r="A673" s="55" t="s">
        <v>4123</v>
      </c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</row>
    <row r="674" spans="1:15">
      <c r="A674" s="55" t="s">
        <v>4124</v>
      </c>
      <c r="B674" s="55"/>
      <c r="C674" s="55"/>
      <c r="D674" s="55"/>
      <c r="E674" s="55"/>
      <c r="F674" s="55"/>
      <c r="G674" s="55"/>
      <c r="H674" s="55"/>
      <c r="I674" s="55"/>
      <c r="J674" s="55"/>
      <c r="K674" s="55">
        <v>49.3</v>
      </c>
      <c r="L674" s="55"/>
      <c r="M674" s="55"/>
    </row>
    <row r="675" spans="1:15">
      <c r="A675" t="s">
        <v>4125</v>
      </c>
      <c r="G675" t="s">
        <v>2248</v>
      </c>
      <c r="J675" t="s">
        <v>3871</v>
      </c>
      <c r="K675">
        <v>49.3</v>
      </c>
      <c r="L675" t="s">
        <v>4126</v>
      </c>
      <c r="M675" t="s">
        <v>3879</v>
      </c>
      <c r="N675" t="s">
        <v>2246</v>
      </c>
      <c r="O675" t="str">
        <f>"condorProc.py --series "&amp;A675&amp;" --donoise --dumps a --procenv environments/pymidas_HVHV_r62_mf.env"</f>
        <v>condorProc.py --series 07170508_0948 --donoise --dumps a --procenv environments/pymidas_HVHV_r62_mf.env</v>
      </c>
    </row>
    <row r="676" spans="1:15">
      <c r="A676" t="s">
        <v>4127</v>
      </c>
      <c r="G676" t="s">
        <v>2248</v>
      </c>
      <c r="J676" t="s">
        <v>3871</v>
      </c>
      <c r="K676">
        <v>49.6</v>
      </c>
      <c r="L676" t="s">
        <v>3901</v>
      </c>
      <c r="M676" t="s">
        <v>3879</v>
      </c>
      <c r="N676" t="s">
        <v>2246</v>
      </c>
      <c r="O676" t="str">
        <f>"condorProc.py --series "&amp;A676&amp;" --donoise --dumps a --procenv environments/pymidas_HVHV_r62_mf.env"</f>
        <v>condorProc.py --series 07170508_1249 --donoise --dumps a --procenv environments/pymidas_HVHV_r62_mf.env</v>
      </c>
    </row>
    <row r="677" spans="1:15">
      <c r="A677" s="55" t="s">
        <v>4128</v>
      </c>
      <c r="B677" s="55"/>
      <c r="C677" s="55"/>
      <c r="D677" s="55"/>
      <c r="E677" s="55"/>
      <c r="F677" s="55"/>
      <c r="G677" s="55" t="s">
        <v>2248</v>
      </c>
      <c r="H677" s="55"/>
      <c r="I677" s="55"/>
      <c r="J677" s="55" t="s">
        <v>3871</v>
      </c>
      <c r="K677" s="55">
        <v>49.1</v>
      </c>
      <c r="L677" s="94" t="s">
        <v>3921</v>
      </c>
      <c r="M677" s="55" t="s">
        <v>3874</v>
      </c>
    </row>
    <row r="678" spans="1:15">
      <c r="A678" s="55" t="s">
        <v>4129</v>
      </c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95"/>
      <c r="M678" s="55"/>
    </row>
    <row r="679" spans="1:15">
      <c r="A679" s="55" t="s">
        <v>4130</v>
      </c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96" t="s">
        <v>3905</v>
      </c>
      <c r="M679" s="55"/>
    </row>
    <row r="680" spans="1:15">
      <c r="A680" s="55" t="s">
        <v>4131</v>
      </c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</row>
    <row r="681" spans="1:15">
      <c r="A681" s="55" t="s">
        <v>4132</v>
      </c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</row>
    <row r="682" spans="1:15">
      <c r="A682" s="55" t="s">
        <v>4133</v>
      </c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</row>
    <row r="683" spans="1:15">
      <c r="A683" s="55" t="s">
        <v>4134</v>
      </c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</row>
    <row r="684" spans="1:15">
      <c r="A684" s="55" t="s">
        <v>4135</v>
      </c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</row>
    <row r="685" spans="1:15">
      <c r="A685" s="55" t="s">
        <v>4136</v>
      </c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</row>
    <row r="686" spans="1:15">
      <c r="A686" s="55" t="s">
        <v>4137</v>
      </c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</row>
    <row r="687" spans="1:15">
      <c r="A687" s="55" t="s">
        <v>4138</v>
      </c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</row>
    <row r="688" spans="1:15">
      <c r="A688" s="55" t="s">
        <v>4139</v>
      </c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</row>
    <row r="689" spans="1:15">
      <c r="A689" s="55" t="s">
        <v>4140</v>
      </c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</row>
    <row r="690" spans="1:15">
      <c r="A690" s="55" t="s">
        <v>4141</v>
      </c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</row>
    <row r="691" spans="1:15">
      <c r="A691" s="55" t="s">
        <v>4142</v>
      </c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</row>
    <row r="692" spans="1:15">
      <c r="A692" s="55" t="s">
        <v>4143</v>
      </c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</row>
    <row r="693" spans="1:15">
      <c r="A693" s="55" t="s">
        <v>4144</v>
      </c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</row>
    <row r="694" spans="1:15">
      <c r="A694" s="55" t="s">
        <v>4145</v>
      </c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</row>
    <row r="695" spans="1:15">
      <c r="A695" s="55" t="s">
        <v>4146</v>
      </c>
      <c r="B695" s="55"/>
      <c r="C695" s="55"/>
      <c r="D695" s="55"/>
      <c r="E695" s="55"/>
      <c r="F695" s="55"/>
      <c r="G695" s="55"/>
      <c r="H695" s="55"/>
      <c r="I695" s="55"/>
      <c r="J695" s="55"/>
      <c r="K695" s="55">
        <v>47.8</v>
      </c>
      <c r="L695" s="55"/>
      <c r="M695" s="55"/>
    </row>
    <row r="696" spans="1:15">
      <c r="A696" t="s">
        <v>4147</v>
      </c>
      <c r="G696" t="s">
        <v>2248</v>
      </c>
      <c r="J696" t="s">
        <v>3871</v>
      </c>
      <c r="K696">
        <v>47.8</v>
      </c>
      <c r="L696" t="s">
        <v>4016</v>
      </c>
      <c r="M696" t="s">
        <v>3879</v>
      </c>
      <c r="N696" t="s">
        <v>2246</v>
      </c>
      <c r="O696" t="str">
        <f>"condorProc.py --series "&amp;A696&amp;" --donoise --dumps a --procenv environments/pymidas_HVHV_r62_mf.env"</f>
        <v>condorProc.py --series 07170509_0909 --donoise --dumps a --procenv environments/pymidas_HVHV_r62_mf.env</v>
      </c>
    </row>
    <row r="697" spans="1:15">
      <c r="A697" t="s">
        <v>4148</v>
      </c>
      <c r="G697" t="s">
        <v>2248</v>
      </c>
      <c r="J697" t="s">
        <v>3871</v>
      </c>
      <c r="K697">
        <v>48.7</v>
      </c>
      <c r="L697" t="s">
        <v>3901</v>
      </c>
      <c r="M697" t="s">
        <v>3879</v>
      </c>
      <c r="N697" t="s">
        <v>2246</v>
      </c>
      <c r="O697" t="str">
        <f>"condorProc.py --series "&amp;A697&amp;" --donoise --dumps a --procenv environments/pymidas_HVHV_r62_mf.env"</f>
        <v>condorProc.py --series 07170509_1547 --donoise --dumps a --procenv environments/pymidas_HVHV_r62_mf.env</v>
      </c>
    </row>
    <row r="698" spans="1:15">
      <c r="A698" s="55" t="s">
        <v>4149</v>
      </c>
      <c r="G698" s="55" t="s">
        <v>2248</v>
      </c>
      <c r="H698" s="55"/>
      <c r="I698" s="55"/>
      <c r="J698" s="55" t="s">
        <v>3871</v>
      </c>
      <c r="K698" s="55">
        <v>49.1</v>
      </c>
      <c r="L698" s="94" t="s">
        <v>3921</v>
      </c>
      <c r="M698" s="55" t="s">
        <v>3874</v>
      </c>
    </row>
    <row r="699" spans="1:15">
      <c r="A699" s="55" t="s">
        <v>4150</v>
      </c>
      <c r="G699" s="55"/>
      <c r="H699" s="55"/>
      <c r="I699" s="55"/>
      <c r="J699" s="55"/>
      <c r="K699" s="55"/>
      <c r="L699" s="95"/>
      <c r="M699" s="55"/>
    </row>
    <row r="700" spans="1:15">
      <c r="A700" s="55" t="s">
        <v>4151</v>
      </c>
      <c r="G700" s="55"/>
      <c r="H700" s="55"/>
      <c r="I700" s="55"/>
      <c r="J700" s="55"/>
      <c r="K700" s="55"/>
      <c r="L700" s="96" t="s">
        <v>3905</v>
      </c>
      <c r="M700" s="55"/>
    </row>
    <row r="701" spans="1:15">
      <c r="A701" s="55" t="s">
        <v>4152</v>
      </c>
      <c r="G701" s="55"/>
      <c r="H701" s="55"/>
      <c r="I701" s="55"/>
      <c r="J701" s="55"/>
      <c r="K701" s="55"/>
      <c r="L701" s="55"/>
      <c r="M701" s="55"/>
    </row>
    <row r="702" spans="1:15">
      <c r="A702" s="55" t="s">
        <v>4153</v>
      </c>
      <c r="G702" s="55"/>
      <c r="H702" s="55"/>
      <c r="I702" s="55"/>
      <c r="J702" s="55"/>
      <c r="K702" s="55"/>
      <c r="L702" s="55"/>
      <c r="M702" s="55"/>
    </row>
    <row r="703" spans="1:15">
      <c r="A703" s="55" t="s">
        <v>4154</v>
      </c>
      <c r="G703" s="55"/>
      <c r="H703" s="55"/>
      <c r="I703" s="55"/>
      <c r="J703" s="55"/>
      <c r="K703" s="55"/>
      <c r="L703" s="55"/>
      <c r="M703" s="55"/>
    </row>
    <row r="704" spans="1:15">
      <c r="A704" s="55" t="s">
        <v>4155</v>
      </c>
      <c r="G704" s="55"/>
      <c r="H704" s="55"/>
      <c r="I704" s="55"/>
      <c r="J704" s="55"/>
      <c r="K704" s="55"/>
      <c r="L704" s="55"/>
      <c r="M704" s="55"/>
    </row>
    <row r="705" spans="1:15">
      <c r="A705" s="55" t="s">
        <v>4156</v>
      </c>
      <c r="G705" s="55"/>
      <c r="H705" s="55"/>
      <c r="I705" s="55"/>
      <c r="J705" s="55"/>
      <c r="K705" s="55"/>
      <c r="L705" s="55"/>
      <c r="M705" s="55"/>
    </row>
    <row r="706" spans="1:15">
      <c r="A706" s="55" t="s">
        <v>4157</v>
      </c>
      <c r="G706" s="55"/>
      <c r="H706" s="55"/>
      <c r="I706" s="55"/>
      <c r="J706" s="55"/>
      <c r="K706" s="55"/>
      <c r="L706" s="55"/>
      <c r="M706" s="55"/>
    </row>
    <row r="707" spans="1:15">
      <c r="A707" s="55" t="s">
        <v>4158</v>
      </c>
      <c r="G707" s="55"/>
      <c r="H707" s="55"/>
      <c r="I707" s="55"/>
      <c r="J707" s="55"/>
      <c r="K707" s="55"/>
      <c r="L707" s="55"/>
      <c r="M707" s="55"/>
    </row>
    <row r="708" spans="1:15">
      <c r="A708" s="55" t="s">
        <v>4159</v>
      </c>
      <c r="G708" s="55"/>
      <c r="H708" s="55"/>
      <c r="I708" s="55"/>
      <c r="J708" s="55"/>
      <c r="K708" s="55"/>
      <c r="L708" s="55"/>
      <c r="M708" s="55"/>
    </row>
    <row r="709" spans="1:15">
      <c r="A709" s="55" t="s">
        <v>4160</v>
      </c>
      <c r="G709" s="55"/>
      <c r="H709" s="55"/>
      <c r="I709" s="55"/>
      <c r="J709" s="55"/>
      <c r="K709" s="55"/>
      <c r="L709" s="55"/>
      <c r="M709" s="55"/>
    </row>
    <row r="710" spans="1:15">
      <c r="A710" s="55" t="s">
        <v>4161</v>
      </c>
      <c r="G710" s="55"/>
      <c r="H710" s="55"/>
      <c r="I710" s="55"/>
      <c r="J710" s="55"/>
      <c r="K710" s="55"/>
      <c r="L710" s="55"/>
      <c r="M710" s="55"/>
    </row>
    <row r="711" spans="1:15">
      <c r="A711" s="55" t="s">
        <v>4162</v>
      </c>
      <c r="G711" s="55"/>
      <c r="H711" s="55"/>
      <c r="I711" s="55"/>
      <c r="J711" s="55"/>
      <c r="K711" s="55"/>
      <c r="L711" s="55"/>
      <c r="M711" s="55"/>
    </row>
    <row r="712" spans="1:15">
      <c r="A712" s="55" t="s">
        <v>4163</v>
      </c>
      <c r="G712" s="55"/>
      <c r="H712" s="55"/>
      <c r="I712" s="55"/>
      <c r="J712" s="55"/>
      <c r="K712" s="55"/>
      <c r="L712" s="55"/>
      <c r="M712" s="55"/>
    </row>
    <row r="713" spans="1:15">
      <c r="A713" s="55" t="s">
        <v>4164</v>
      </c>
      <c r="G713" s="55"/>
      <c r="H713" s="55"/>
      <c r="I713" s="55"/>
      <c r="J713" s="55"/>
      <c r="K713" s="55"/>
      <c r="L713" s="55"/>
      <c r="M713" s="55"/>
    </row>
    <row r="714" spans="1:15">
      <c r="A714" s="55" t="s">
        <v>4165</v>
      </c>
      <c r="G714" s="55"/>
      <c r="H714" s="55"/>
      <c r="I714" s="55"/>
      <c r="J714" s="55"/>
      <c r="K714" s="55">
        <v>47.9</v>
      </c>
      <c r="L714" s="55"/>
      <c r="M714" s="55"/>
    </row>
    <row r="715" spans="1:15">
      <c r="A715" t="s">
        <v>4166</v>
      </c>
      <c r="G715" t="s">
        <v>2248</v>
      </c>
      <c r="J715" t="s">
        <v>3871</v>
      </c>
      <c r="K715">
        <v>47.9</v>
      </c>
      <c r="L715" t="s">
        <v>4016</v>
      </c>
      <c r="M715" t="s">
        <v>3879</v>
      </c>
      <c r="N715" t="s">
        <v>2246</v>
      </c>
      <c r="O715" t="str">
        <f>"condorProc.py --series "&amp;A715&amp;" --donoise --dumps a --procenv environments/pymidas_HVHV_r62_mf.env"</f>
        <v>condorProc.py --series 07170510_1004 --donoise --dumps a --procenv environments/pymidas_HVHV_r62_mf.env</v>
      </c>
    </row>
    <row r="716" spans="1:15">
      <c r="A716" t="s">
        <v>4167</v>
      </c>
      <c r="G716" t="s">
        <v>2248</v>
      </c>
      <c r="J716" t="s">
        <v>3871</v>
      </c>
      <c r="K716">
        <v>49</v>
      </c>
      <c r="L716" t="s">
        <v>3901</v>
      </c>
      <c r="M716" t="s">
        <v>3879</v>
      </c>
      <c r="N716" t="s">
        <v>2246</v>
      </c>
      <c r="O716" t="str">
        <f>"condorProc.py --series "&amp;A716&amp;" --donoise --dumps a --procenv environments/pymidas_HVHV_r62_mf.env"</f>
        <v>condorProc.py --series 07170510_1316 --donoise --dumps a --procenv environments/pymidas_HVHV_r62_mf.env</v>
      </c>
    </row>
    <row r="717" spans="1:15">
      <c r="A717" s="55" t="s">
        <v>4168</v>
      </c>
      <c r="B717" s="55"/>
      <c r="C717" s="55"/>
      <c r="D717" s="55"/>
      <c r="E717" s="55"/>
      <c r="F717" s="55"/>
      <c r="G717" s="55" t="s">
        <v>2248</v>
      </c>
      <c r="H717" s="55"/>
      <c r="I717" s="55"/>
      <c r="J717" s="55" t="s">
        <v>3871</v>
      </c>
      <c r="K717" s="55">
        <v>49</v>
      </c>
      <c r="L717" s="94" t="s">
        <v>3921</v>
      </c>
      <c r="M717" s="55" t="s">
        <v>3874</v>
      </c>
    </row>
    <row r="718" spans="1:15">
      <c r="A718" s="55" t="s">
        <v>4169</v>
      </c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95"/>
      <c r="M718" s="55"/>
    </row>
    <row r="719" spans="1:15">
      <c r="A719" s="55" t="s">
        <v>4170</v>
      </c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96" t="s">
        <v>3905</v>
      </c>
      <c r="M719" s="55"/>
    </row>
    <row r="720" spans="1:15">
      <c r="A720" s="55" t="s">
        <v>4171</v>
      </c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</row>
    <row r="721" spans="1:15">
      <c r="A721" s="55" t="s">
        <v>4172</v>
      </c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</row>
    <row r="722" spans="1:15">
      <c r="A722" s="55" t="s">
        <v>4173</v>
      </c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</row>
    <row r="723" spans="1:15">
      <c r="A723" s="55" t="s">
        <v>4174</v>
      </c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</row>
    <row r="724" spans="1:15">
      <c r="A724" s="55" t="s">
        <v>4175</v>
      </c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</row>
    <row r="725" spans="1:15">
      <c r="A725" s="55" t="s">
        <v>4176</v>
      </c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</row>
    <row r="726" spans="1:15">
      <c r="A726" s="55" t="s">
        <v>4177</v>
      </c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</row>
    <row r="727" spans="1:15">
      <c r="A727" s="55" t="s">
        <v>4178</v>
      </c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</row>
    <row r="728" spans="1:15">
      <c r="A728" s="55" t="s">
        <v>4179</v>
      </c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</row>
    <row r="729" spans="1:15">
      <c r="A729" s="55" t="s">
        <v>4180</v>
      </c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</row>
    <row r="730" spans="1:15">
      <c r="A730" s="55" t="s">
        <v>4181</v>
      </c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</row>
    <row r="731" spans="1:15">
      <c r="A731" s="55" t="s">
        <v>4182</v>
      </c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</row>
    <row r="732" spans="1:15">
      <c r="A732" s="55" t="s">
        <v>4183</v>
      </c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</row>
    <row r="733" spans="1:15">
      <c r="A733" s="55" t="s">
        <v>4184</v>
      </c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</row>
    <row r="734" spans="1:15">
      <c r="A734" s="55" t="s">
        <v>4185</v>
      </c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</row>
    <row r="735" spans="1:15">
      <c r="A735" s="55" t="s">
        <v>4186</v>
      </c>
      <c r="B735" s="55"/>
      <c r="C735" s="55"/>
      <c r="D735" s="55"/>
      <c r="E735" s="55"/>
      <c r="F735" s="55"/>
      <c r="G735" s="55"/>
      <c r="H735" s="55"/>
      <c r="I735" s="55"/>
      <c r="J735" s="55"/>
      <c r="K735" s="55">
        <v>48.9</v>
      </c>
      <c r="L735" s="55"/>
      <c r="M735" s="55"/>
    </row>
    <row r="736" spans="1:15">
      <c r="A736" t="s">
        <v>4187</v>
      </c>
      <c r="G736" t="s">
        <v>2248</v>
      </c>
      <c r="J736" t="s">
        <v>3871</v>
      </c>
      <c r="K736">
        <v>48.9</v>
      </c>
      <c r="L736" t="s">
        <v>4016</v>
      </c>
      <c r="M736" t="s">
        <v>3879</v>
      </c>
      <c r="N736" t="s">
        <v>2246</v>
      </c>
      <c r="O736" t="str">
        <f>"condorProc.py --series "&amp;A736&amp;" --donoise --dumps a --procenv environments/pymidas_HVHV_r62_mf.env"</f>
        <v>condorProc.py --series 07170511_0946 --donoise --dumps a --procenv environments/pymidas_HVHV_r62_mf.env</v>
      </c>
    </row>
    <row r="737" spans="1:13">
      <c r="A737" t="s">
        <v>4188</v>
      </c>
      <c r="L737" t="s">
        <v>1853</v>
      </c>
    </row>
    <row r="738" spans="1:13">
      <c r="A738" s="55" t="s">
        <v>4189</v>
      </c>
      <c r="G738" s="55" t="s">
        <v>2248</v>
      </c>
      <c r="H738" s="55"/>
      <c r="I738" s="55"/>
      <c r="J738" s="55" t="s">
        <v>3871</v>
      </c>
      <c r="K738" s="55">
        <v>48.9</v>
      </c>
      <c r="L738" s="94" t="s">
        <v>3921</v>
      </c>
      <c r="M738" s="55" t="s">
        <v>4190</v>
      </c>
    </row>
    <row r="739" spans="1:13">
      <c r="A739" s="55" t="s">
        <v>4191</v>
      </c>
      <c r="G739" s="55"/>
      <c r="H739" s="55"/>
      <c r="I739" s="55"/>
      <c r="J739" s="55"/>
      <c r="K739" s="55"/>
      <c r="L739" s="95"/>
      <c r="M739" s="55" t="s">
        <v>3874</v>
      </c>
    </row>
    <row r="740" spans="1:13">
      <c r="A740" s="55" t="s">
        <v>4192</v>
      </c>
      <c r="G740" s="55"/>
      <c r="H740" s="55"/>
      <c r="I740" s="55"/>
      <c r="J740" s="55"/>
      <c r="K740" s="55"/>
      <c r="L740" s="96" t="s">
        <v>3905</v>
      </c>
      <c r="M740" s="55"/>
    </row>
    <row r="741" spans="1:13">
      <c r="A741" s="55" t="s">
        <v>4193</v>
      </c>
      <c r="G741" s="55"/>
      <c r="H741" s="55"/>
      <c r="I741" s="55"/>
      <c r="J741" s="55"/>
      <c r="K741" s="55"/>
      <c r="L741" s="55"/>
      <c r="M741" s="55"/>
    </row>
    <row r="742" spans="1:13">
      <c r="A742" s="55" t="s">
        <v>4194</v>
      </c>
      <c r="G742" s="55"/>
      <c r="H742" s="55"/>
      <c r="I742" s="55"/>
      <c r="J742" s="55"/>
      <c r="K742" s="55"/>
      <c r="L742" s="94" t="s">
        <v>4195</v>
      </c>
      <c r="M742" s="55"/>
    </row>
    <row r="743" spans="1:13">
      <c r="A743" s="55" t="s">
        <v>4196</v>
      </c>
      <c r="G743" s="55"/>
      <c r="H743" s="55"/>
      <c r="I743" s="55"/>
      <c r="J743" s="55"/>
      <c r="K743" s="55"/>
      <c r="L743" s="96" t="s">
        <v>4197</v>
      </c>
      <c r="M743" s="55"/>
    </row>
    <row r="744" spans="1:13">
      <c r="A744" s="55" t="s">
        <v>4198</v>
      </c>
      <c r="G744" s="55"/>
      <c r="H744" s="55"/>
      <c r="I744" s="55"/>
      <c r="J744" s="55"/>
      <c r="K744" s="55"/>
      <c r="L744" s="55"/>
      <c r="M744" s="55"/>
    </row>
    <row r="745" spans="1:13">
      <c r="A745" s="55" t="s">
        <v>4199</v>
      </c>
      <c r="G745" s="55"/>
      <c r="H745" s="55"/>
      <c r="I745" s="55"/>
      <c r="J745" s="55"/>
      <c r="K745" s="55"/>
      <c r="L745" s="55"/>
      <c r="M745" s="55"/>
    </row>
    <row r="746" spans="1:13">
      <c r="A746" s="55" t="s">
        <v>4200</v>
      </c>
      <c r="G746" s="55"/>
      <c r="H746" s="55"/>
      <c r="I746" s="55"/>
      <c r="J746" s="55"/>
      <c r="K746" s="55"/>
      <c r="L746" s="55"/>
      <c r="M746" s="55"/>
    </row>
    <row r="747" spans="1:13">
      <c r="A747" s="55" t="s">
        <v>4201</v>
      </c>
      <c r="G747" s="55"/>
      <c r="H747" s="55"/>
      <c r="I747" s="55"/>
      <c r="J747" s="55"/>
      <c r="K747" s="55"/>
      <c r="L747" s="55"/>
      <c r="M747" s="55"/>
    </row>
    <row r="748" spans="1:13">
      <c r="A748" s="55" t="s">
        <v>4202</v>
      </c>
      <c r="G748" s="55"/>
      <c r="H748" s="55"/>
      <c r="I748" s="55"/>
      <c r="J748" s="55"/>
      <c r="K748" s="55"/>
      <c r="L748" s="55"/>
      <c r="M748" s="55"/>
    </row>
    <row r="749" spans="1:13">
      <c r="A749" s="55" t="s">
        <v>4203</v>
      </c>
      <c r="G749" s="55"/>
      <c r="H749" s="55"/>
      <c r="I749" s="55"/>
      <c r="J749" s="55"/>
      <c r="K749" s="55"/>
      <c r="L749" s="55"/>
      <c r="M749" s="55"/>
    </row>
    <row r="750" spans="1:13">
      <c r="A750" s="55" t="s">
        <v>4204</v>
      </c>
      <c r="G750" s="55"/>
      <c r="H750" s="55"/>
      <c r="I750" s="55"/>
      <c r="J750" s="55"/>
      <c r="K750" s="55"/>
      <c r="L750" s="55"/>
      <c r="M750" s="55"/>
    </row>
    <row r="751" spans="1:13">
      <c r="A751" s="55" t="s">
        <v>4205</v>
      </c>
      <c r="G751" s="55"/>
      <c r="H751" s="55"/>
      <c r="I751" s="55"/>
      <c r="J751" s="55"/>
      <c r="K751" s="55"/>
      <c r="L751" s="55"/>
      <c r="M751" s="55"/>
    </row>
    <row r="752" spans="1:13">
      <c r="A752" s="55" t="s">
        <v>4206</v>
      </c>
      <c r="G752" s="55"/>
      <c r="H752" s="55"/>
      <c r="I752" s="55"/>
      <c r="J752" s="55"/>
      <c r="K752" s="55"/>
      <c r="L752" s="55"/>
      <c r="M752" s="55"/>
    </row>
    <row r="753" spans="1:13">
      <c r="A753" s="55" t="s">
        <v>4207</v>
      </c>
      <c r="G753" s="55"/>
      <c r="H753" s="55"/>
      <c r="I753" s="55"/>
      <c r="J753" s="55"/>
      <c r="K753" s="55"/>
      <c r="L753" s="55"/>
      <c r="M753" s="55"/>
    </row>
    <row r="754" spans="1:13">
      <c r="A754" s="55" t="s">
        <v>4208</v>
      </c>
      <c r="G754" s="55"/>
      <c r="H754" s="55"/>
      <c r="I754" s="55"/>
      <c r="J754" s="55"/>
      <c r="K754" s="55"/>
      <c r="L754" s="55"/>
      <c r="M754" s="55"/>
    </row>
    <row r="755" spans="1:13">
      <c r="A755" s="55" t="s">
        <v>4209</v>
      </c>
      <c r="G755" s="55"/>
      <c r="H755" s="55"/>
      <c r="I755" s="55"/>
      <c r="J755" s="55"/>
      <c r="K755" s="55"/>
      <c r="L755" s="55"/>
      <c r="M755" s="55"/>
    </row>
    <row r="756" spans="1:13">
      <c r="A756" s="55" t="s">
        <v>4210</v>
      </c>
      <c r="G756" s="55"/>
      <c r="H756" s="55"/>
      <c r="I756" s="55"/>
      <c r="J756" s="55"/>
      <c r="K756" s="55"/>
      <c r="L756" s="55"/>
      <c r="M756" s="55"/>
    </row>
    <row r="757" spans="1:13">
      <c r="A757" s="55" t="s">
        <v>4211</v>
      </c>
      <c r="G757" s="55"/>
      <c r="H757" s="55"/>
      <c r="I757" s="55"/>
      <c r="J757" s="55"/>
      <c r="K757" s="55"/>
      <c r="L757" s="55"/>
      <c r="M757" s="55"/>
    </row>
    <row r="758" spans="1:13">
      <c r="A758" s="56" t="s">
        <v>4212</v>
      </c>
      <c r="G758" s="56" t="s">
        <v>2248</v>
      </c>
      <c r="H758" s="56"/>
      <c r="I758" s="56"/>
      <c r="J758" s="56" t="s">
        <v>3871</v>
      </c>
      <c r="K758" s="56">
        <v>49.3</v>
      </c>
      <c r="L758" s="93" t="s">
        <v>3921</v>
      </c>
      <c r="M758" s="56" t="s">
        <v>3874</v>
      </c>
    </row>
    <row r="759" spans="1:13">
      <c r="A759" s="56" t="s">
        <v>4213</v>
      </c>
      <c r="G759" s="56"/>
      <c r="H759" s="56"/>
      <c r="I759" s="56"/>
      <c r="J759" s="56"/>
      <c r="K759" s="56"/>
      <c r="L759" s="87"/>
      <c r="M759" s="56"/>
    </row>
    <row r="760" spans="1:13">
      <c r="A760" s="56" t="s">
        <v>4214</v>
      </c>
      <c r="G760" s="56"/>
      <c r="H760" s="56"/>
      <c r="I760" s="56"/>
      <c r="J760" s="56"/>
      <c r="K760" s="56"/>
      <c r="L760" s="88" t="s">
        <v>3905</v>
      </c>
      <c r="M760" s="56"/>
    </row>
    <row r="761" spans="1:13">
      <c r="A761" s="56" t="s">
        <v>4215</v>
      </c>
      <c r="G761" s="56"/>
      <c r="H761" s="56"/>
      <c r="I761" s="56"/>
      <c r="J761" s="56"/>
      <c r="K761" s="56"/>
      <c r="L761" s="56"/>
      <c r="M761" s="56"/>
    </row>
    <row r="762" spans="1:13">
      <c r="A762" s="56" t="s">
        <v>4216</v>
      </c>
      <c r="G762" s="56"/>
      <c r="H762" s="56"/>
      <c r="I762" s="56"/>
      <c r="J762" s="56"/>
      <c r="K762" s="56"/>
      <c r="L762" s="56"/>
      <c r="M762" s="56"/>
    </row>
    <row r="763" spans="1:13">
      <c r="A763" s="56" t="s">
        <v>4217</v>
      </c>
      <c r="G763" s="56"/>
      <c r="H763" s="56"/>
      <c r="I763" s="56"/>
      <c r="J763" s="56"/>
      <c r="K763" s="56"/>
      <c r="L763" s="56"/>
      <c r="M763" s="56"/>
    </row>
    <row r="764" spans="1:13">
      <c r="A764" s="56" t="s">
        <v>4218</v>
      </c>
      <c r="G764" s="56"/>
      <c r="H764" s="56"/>
      <c r="I764" s="56"/>
      <c r="J764" s="56"/>
      <c r="K764" s="56"/>
      <c r="L764" s="56"/>
      <c r="M764" s="56"/>
    </row>
    <row r="765" spans="1:13">
      <c r="A765" s="56" t="s">
        <v>4219</v>
      </c>
      <c r="G765" s="56"/>
      <c r="H765" s="56"/>
      <c r="I765" s="56"/>
      <c r="J765" s="56"/>
      <c r="K765" s="56"/>
      <c r="L765" s="56"/>
      <c r="M765" s="56"/>
    </row>
    <row r="766" spans="1:13">
      <c r="A766" s="56" t="s">
        <v>4220</v>
      </c>
      <c r="G766" s="56"/>
      <c r="H766" s="56"/>
      <c r="I766" s="56"/>
      <c r="J766" s="56"/>
      <c r="K766" s="56"/>
      <c r="L766" s="56"/>
      <c r="M766" s="56"/>
    </row>
    <row r="767" spans="1:13">
      <c r="A767" s="56" t="s">
        <v>4221</v>
      </c>
      <c r="G767" s="56"/>
      <c r="H767" s="56"/>
      <c r="I767" s="56"/>
      <c r="J767" s="56"/>
      <c r="K767" s="56"/>
      <c r="L767" s="56"/>
      <c r="M767" s="56"/>
    </row>
    <row r="768" spans="1:13">
      <c r="A768" s="56" t="s">
        <v>4222</v>
      </c>
      <c r="G768" s="56"/>
      <c r="H768" s="56"/>
      <c r="I768" s="56"/>
      <c r="J768" s="56"/>
      <c r="K768" s="56"/>
      <c r="L768" s="56"/>
      <c r="M768" s="56"/>
    </row>
    <row r="769" spans="1:13">
      <c r="A769" s="56" t="s">
        <v>4223</v>
      </c>
      <c r="G769" s="56"/>
      <c r="H769" s="56"/>
      <c r="I769" s="56"/>
      <c r="J769" s="56"/>
      <c r="K769" s="56"/>
      <c r="L769" s="56"/>
      <c r="M769" s="56"/>
    </row>
    <row r="770" spans="1:13">
      <c r="A770" s="56" t="s">
        <v>4224</v>
      </c>
      <c r="G770" s="56"/>
      <c r="H770" s="56"/>
      <c r="I770" s="56"/>
      <c r="J770" s="56"/>
      <c r="K770" s="56"/>
      <c r="L770" s="56"/>
      <c r="M770" s="56"/>
    </row>
    <row r="771" spans="1:13">
      <c r="A771" s="56" t="s">
        <v>4225</v>
      </c>
      <c r="G771" s="56"/>
      <c r="H771" s="56"/>
      <c r="I771" s="56"/>
      <c r="J771" s="56"/>
      <c r="K771" s="56"/>
      <c r="L771" s="56"/>
      <c r="M771" s="56"/>
    </row>
    <row r="772" spans="1:13">
      <c r="A772" s="56" t="s">
        <v>4226</v>
      </c>
      <c r="G772" s="56"/>
      <c r="H772" s="56"/>
      <c r="I772" s="56"/>
      <c r="J772" s="56"/>
      <c r="K772" s="56"/>
      <c r="L772" s="56"/>
      <c r="M772" s="56"/>
    </row>
    <row r="773" spans="1:13">
      <c r="A773" s="56" t="s">
        <v>4227</v>
      </c>
      <c r="G773" s="56"/>
      <c r="H773" s="56"/>
      <c r="I773" s="56"/>
      <c r="J773" s="56"/>
      <c r="K773" s="56"/>
      <c r="L773" s="56"/>
      <c r="M773" s="56"/>
    </row>
    <row r="774" spans="1:13">
      <c r="A774" s="56" t="s">
        <v>4228</v>
      </c>
      <c r="G774" s="56"/>
      <c r="H774" s="56"/>
      <c r="I774" s="56"/>
      <c r="J774" s="56"/>
      <c r="K774" s="56"/>
      <c r="L774" s="56"/>
      <c r="M774" s="56"/>
    </row>
    <row r="775" spans="1:13">
      <c r="A775" s="56" t="s">
        <v>4229</v>
      </c>
      <c r="G775" s="56"/>
      <c r="H775" s="56"/>
      <c r="I775" s="56"/>
      <c r="J775" s="56"/>
      <c r="K775" s="56"/>
      <c r="L775" s="56"/>
      <c r="M775" s="56"/>
    </row>
    <row r="776" spans="1:13">
      <c r="A776" s="56" t="s">
        <v>4230</v>
      </c>
      <c r="G776" s="56"/>
      <c r="H776" s="56"/>
      <c r="I776" s="56"/>
      <c r="J776" s="56"/>
      <c r="K776" s="56"/>
      <c r="L776" s="56"/>
      <c r="M776" s="56"/>
    </row>
    <row r="777" spans="1:13">
      <c r="A777" s="56" t="s">
        <v>4231</v>
      </c>
      <c r="G777" s="56"/>
      <c r="H777" s="56"/>
      <c r="I777" s="56"/>
      <c r="J777" s="56"/>
      <c r="K777" s="56"/>
      <c r="L777" s="56"/>
      <c r="M777" s="56"/>
    </row>
    <row r="778" spans="1:13">
      <c r="A778" s="56" t="s">
        <v>4232</v>
      </c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</row>
    <row r="779" spans="1:13">
      <c r="A779" s="55" t="s">
        <v>4233</v>
      </c>
      <c r="B779" s="55"/>
      <c r="C779" s="55"/>
      <c r="D779" s="55"/>
      <c r="E779" s="55"/>
      <c r="F779" s="55"/>
      <c r="G779" s="55" t="s">
        <v>2248</v>
      </c>
      <c r="H779" s="55"/>
      <c r="I779" s="55"/>
      <c r="J779" s="55" t="s">
        <v>3871</v>
      </c>
      <c r="K779" s="55">
        <v>48.9</v>
      </c>
      <c r="L779" s="94" t="s">
        <v>3921</v>
      </c>
      <c r="M779" s="55" t="s">
        <v>3874</v>
      </c>
    </row>
    <row r="780" spans="1:13">
      <c r="A780" s="55" t="s">
        <v>4234</v>
      </c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95"/>
      <c r="M780" s="55"/>
    </row>
    <row r="781" spans="1:13">
      <c r="A781" s="55" t="s">
        <v>4235</v>
      </c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96" t="s">
        <v>3905</v>
      </c>
      <c r="M781" s="55"/>
    </row>
    <row r="782" spans="1:13">
      <c r="A782" s="55" t="s">
        <v>4236</v>
      </c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</row>
    <row r="783" spans="1:13">
      <c r="A783" s="55" t="s">
        <v>4237</v>
      </c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</row>
    <row r="784" spans="1:13">
      <c r="A784" s="55" t="s">
        <v>4238</v>
      </c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</row>
    <row r="785" spans="1:15">
      <c r="A785" s="55" t="s">
        <v>4239</v>
      </c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</row>
    <row r="786" spans="1:15">
      <c r="A786" s="55" t="s">
        <v>4240</v>
      </c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</row>
    <row r="787" spans="1:15">
      <c r="A787" s="55" t="s">
        <v>4241</v>
      </c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</row>
    <row r="788" spans="1:15">
      <c r="A788" s="55" t="s">
        <v>4242</v>
      </c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</row>
    <row r="789" spans="1:15">
      <c r="A789" s="55" t="s">
        <v>4243</v>
      </c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</row>
    <row r="790" spans="1:15">
      <c r="A790" s="55" t="s">
        <v>4244</v>
      </c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</row>
    <row r="791" spans="1:15">
      <c r="A791" s="55" t="s">
        <v>4245</v>
      </c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</row>
    <row r="792" spans="1:15">
      <c r="A792" s="55" t="s">
        <v>4246</v>
      </c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</row>
    <row r="793" spans="1:15">
      <c r="A793" s="55" t="s">
        <v>4247</v>
      </c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</row>
    <row r="794" spans="1:15">
      <c r="A794" s="55" t="s">
        <v>4248</v>
      </c>
      <c r="B794" s="55"/>
      <c r="C794" s="55"/>
      <c r="D794" s="55"/>
      <c r="E794" s="55"/>
      <c r="F794" s="55"/>
      <c r="G794" s="55"/>
      <c r="H794" s="55"/>
      <c r="I794" s="55"/>
      <c r="J794" s="55"/>
      <c r="K794" s="55">
        <v>48.3</v>
      </c>
      <c r="L794" s="55"/>
      <c r="M794" s="55"/>
    </row>
    <row r="795" spans="1:15">
      <c r="A795" t="s">
        <v>4249</v>
      </c>
      <c r="G795" t="s">
        <v>2248</v>
      </c>
      <c r="J795" t="s">
        <v>3871</v>
      </c>
      <c r="K795">
        <v>48.3</v>
      </c>
      <c r="L795" t="s">
        <v>4250</v>
      </c>
      <c r="M795" t="s">
        <v>3879</v>
      </c>
      <c r="N795" t="s">
        <v>2246</v>
      </c>
      <c r="O795" t="str">
        <f>"condorProc.py --series "&amp;A795&amp;" --donoise --dumps a --procenv environments/pymidas_HVHV_r62_mf.env"</f>
        <v>condorProc.py --series 07170515_1041 --donoise --dumps a --procenv environments/pymidas_HVHV_r62_mf.env</v>
      </c>
    </row>
    <row r="796" spans="1:15">
      <c r="A796" t="s">
        <v>4251</v>
      </c>
      <c r="G796" t="s">
        <v>2248</v>
      </c>
      <c r="J796" t="s">
        <v>3871</v>
      </c>
      <c r="K796">
        <v>48.3</v>
      </c>
      <c r="L796" t="s">
        <v>4016</v>
      </c>
      <c r="M796" t="s">
        <v>3879</v>
      </c>
      <c r="N796" t="s">
        <v>2246</v>
      </c>
      <c r="O796" t="str">
        <f>"condorProc.py --series "&amp;A796&amp;" --donoise --dumps a --procenv environments/pymidas_HVHV_r62_mf.env"</f>
        <v>condorProc.py --series 07170515_1145 --donoise --dumps a --procenv environments/pymidas_HVHV_r62_mf.env</v>
      </c>
    </row>
    <row r="797" spans="1:15">
      <c r="A797" t="s">
        <v>4252</v>
      </c>
      <c r="L797" t="s">
        <v>4253</v>
      </c>
    </row>
    <row r="798" spans="1:15">
      <c r="A798" t="s">
        <v>4254</v>
      </c>
      <c r="L798" t="s">
        <v>4253</v>
      </c>
    </row>
    <row r="799" spans="1:15">
      <c r="A799" t="s">
        <v>4255</v>
      </c>
      <c r="L799" t="s">
        <v>4253</v>
      </c>
    </row>
    <row r="800" spans="1:15">
      <c r="A800" s="55" t="s">
        <v>4256</v>
      </c>
      <c r="G800" s="55" t="s">
        <v>2248</v>
      </c>
      <c r="H800" s="55"/>
      <c r="I800" s="55"/>
      <c r="J800" s="55" t="s">
        <v>3871</v>
      </c>
      <c r="K800" s="55" t="s">
        <v>3942</v>
      </c>
      <c r="L800" s="94" t="s">
        <v>3921</v>
      </c>
      <c r="M800" s="55" t="s">
        <v>3874</v>
      </c>
    </row>
    <row r="801" spans="1:15">
      <c r="A801" s="55" t="s">
        <v>4257</v>
      </c>
      <c r="G801" s="55"/>
      <c r="H801" s="55"/>
      <c r="I801" s="55"/>
      <c r="J801" s="55"/>
      <c r="K801" s="55"/>
      <c r="L801" s="95"/>
      <c r="M801" s="55"/>
    </row>
    <row r="802" spans="1:15">
      <c r="A802" s="55" t="s">
        <v>4258</v>
      </c>
      <c r="G802" s="55"/>
      <c r="H802" s="55"/>
      <c r="I802" s="55"/>
      <c r="J802" s="55"/>
      <c r="K802" s="55"/>
      <c r="L802" s="96" t="s">
        <v>3905</v>
      </c>
      <c r="M802" s="55"/>
    </row>
    <row r="803" spans="1:15">
      <c r="A803" s="55" t="s">
        <v>4259</v>
      </c>
      <c r="G803" s="55"/>
      <c r="H803" s="55"/>
      <c r="I803" s="55"/>
      <c r="J803" s="55"/>
      <c r="K803" s="55"/>
      <c r="L803" s="55"/>
      <c r="M803" s="55"/>
    </row>
    <row r="804" spans="1:15">
      <c r="A804" s="55" t="s">
        <v>4260</v>
      </c>
      <c r="G804" s="55"/>
      <c r="H804" s="55"/>
      <c r="I804" s="55"/>
      <c r="J804" s="55"/>
      <c r="K804" s="55"/>
      <c r="L804" s="55"/>
      <c r="M804" s="55"/>
    </row>
    <row r="805" spans="1:15">
      <c r="A805" s="55" t="s">
        <v>4261</v>
      </c>
      <c r="G805" s="55"/>
      <c r="H805" s="55"/>
      <c r="I805" s="55"/>
      <c r="J805" s="55"/>
      <c r="K805" s="55"/>
      <c r="L805" s="55"/>
      <c r="M805" s="55"/>
    </row>
    <row r="806" spans="1:15">
      <c r="A806" s="55" t="s">
        <v>4262</v>
      </c>
      <c r="G806" s="55"/>
      <c r="H806" s="55"/>
      <c r="I806" s="55"/>
      <c r="J806" s="55"/>
      <c r="K806" s="55"/>
      <c r="L806" s="55"/>
      <c r="M806" s="55"/>
    </row>
    <row r="807" spans="1:15">
      <c r="A807" s="55" t="s">
        <v>4263</v>
      </c>
      <c r="G807" s="55"/>
      <c r="H807" s="55"/>
      <c r="I807" s="55"/>
      <c r="J807" s="55"/>
      <c r="K807" s="55"/>
      <c r="L807" s="55"/>
      <c r="M807" s="55"/>
    </row>
    <row r="808" spans="1:15">
      <c r="A808" s="55" t="s">
        <v>4264</v>
      </c>
      <c r="G808" s="55"/>
      <c r="H808" s="55"/>
      <c r="I808" s="55"/>
      <c r="J808" s="55"/>
      <c r="K808" s="55"/>
      <c r="L808" s="55"/>
      <c r="M808" s="55"/>
    </row>
    <row r="809" spans="1:15">
      <c r="A809" s="55" t="s">
        <v>4265</v>
      </c>
      <c r="G809" s="55"/>
      <c r="H809" s="55"/>
      <c r="I809" s="55"/>
      <c r="J809" s="55"/>
      <c r="K809" s="55"/>
      <c r="L809" s="55"/>
      <c r="M809" s="55"/>
    </row>
    <row r="810" spans="1:15">
      <c r="A810" s="55" t="s">
        <v>4266</v>
      </c>
      <c r="G810" s="55"/>
      <c r="H810" s="55"/>
      <c r="I810" s="55"/>
      <c r="J810" s="55"/>
      <c r="K810" s="55"/>
      <c r="L810" s="55"/>
      <c r="M810" s="55"/>
    </row>
    <row r="811" spans="1:15">
      <c r="A811" s="55" t="s">
        <v>4267</v>
      </c>
      <c r="G811" s="55"/>
      <c r="H811" s="55"/>
      <c r="I811" s="55"/>
      <c r="J811" s="55"/>
      <c r="K811" s="55"/>
      <c r="L811" s="55"/>
      <c r="M811" s="55"/>
    </row>
    <row r="812" spans="1:15">
      <c r="A812" s="55" t="s">
        <v>4268</v>
      </c>
      <c r="G812" s="55"/>
      <c r="H812" s="55"/>
      <c r="I812" s="55"/>
      <c r="J812" s="55"/>
      <c r="K812" s="55">
        <v>38.299999999999997</v>
      </c>
      <c r="L812" s="55" t="s">
        <v>4269</v>
      </c>
      <c r="M812" s="55"/>
    </row>
    <row r="813" spans="1:15">
      <c r="A813" t="s">
        <v>4270</v>
      </c>
      <c r="G813" t="s">
        <v>2248</v>
      </c>
      <c r="J813" t="s">
        <v>3871</v>
      </c>
      <c r="K813">
        <v>38.299999999999997</v>
      </c>
      <c r="L813" t="s">
        <v>4016</v>
      </c>
      <c r="M813" t="s">
        <v>3879</v>
      </c>
      <c r="N813" t="s">
        <v>2246</v>
      </c>
      <c r="O813" t="str">
        <f>"condorProc.py --series "&amp;A813&amp;" --donoise --dumps a --procenv environments/pymidas_HVHV_r62_mf.env"</f>
        <v>condorProc.py --series 07170517_0840 --donoise --dumps a --procenv environments/pymidas_HVHV_r62_mf.env</v>
      </c>
    </row>
    <row r="814" spans="1:15">
      <c r="A814" s="70" t="s">
        <v>4271</v>
      </c>
      <c r="G814" s="103" t="s">
        <v>2248</v>
      </c>
      <c r="H814" s="104"/>
      <c r="I814" s="104"/>
      <c r="J814" s="105" t="s">
        <v>3871</v>
      </c>
      <c r="K814" s="70">
        <v>49.9</v>
      </c>
      <c r="L814" s="103" t="s">
        <v>3905</v>
      </c>
      <c r="M814" s="105" t="s">
        <v>3874</v>
      </c>
    </row>
    <row r="815" spans="1:15">
      <c r="A815" s="70" t="s">
        <v>4272</v>
      </c>
      <c r="G815" s="70"/>
      <c r="H815" s="70"/>
      <c r="I815" s="70"/>
      <c r="J815" s="70"/>
      <c r="K815" s="70"/>
      <c r="L815" s="70"/>
      <c r="M815" s="70"/>
    </row>
    <row r="816" spans="1:15">
      <c r="A816" s="70" t="s">
        <v>4273</v>
      </c>
      <c r="G816" s="70"/>
      <c r="H816" s="70"/>
      <c r="I816" s="70"/>
      <c r="J816" s="70"/>
      <c r="K816" s="70"/>
      <c r="L816" s="70"/>
      <c r="M816" s="70"/>
    </row>
    <row r="817" spans="1:13">
      <c r="A817" s="70" t="s">
        <v>4274</v>
      </c>
      <c r="G817" s="70"/>
      <c r="H817" s="70"/>
      <c r="I817" s="70"/>
      <c r="J817" s="70"/>
      <c r="K817" s="70"/>
      <c r="L817" s="70"/>
      <c r="M817" s="70"/>
    </row>
    <row r="818" spans="1:13">
      <c r="A818" s="70" t="s">
        <v>4275</v>
      </c>
      <c r="G818" s="70"/>
      <c r="H818" s="70"/>
      <c r="I818" s="70"/>
      <c r="J818" s="70"/>
      <c r="K818" s="70"/>
      <c r="L818" s="70"/>
      <c r="M818" s="70"/>
    </row>
    <row r="819" spans="1:13">
      <c r="A819" s="70" t="s">
        <v>4276</v>
      </c>
      <c r="G819" s="70"/>
      <c r="H819" s="70"/>
      <c r="I819" s="70"/>
      <c r="J819" s="70"/>
      <c r="K819" s="70"/>
      <c r="L819" s="70"/>
      <c r="M819" s="70"/>
    </row>
    <row r="820" spans="1:13">
      <c r="A820" s="70" t="s">
        <v>4277</v>
      </c>
      <c r="G820" s="70"/>
      <c r="H820" s="70"/>
      <c r="I820" s="70"/>
      <c r="J820" s="70"/>
      <c r="K820" s="70"/>
      <c r="L820" s="70"/>
      <c r="M820" s="70"/>
    </row>
    <row r="821" spans="1:13">
      <c r="A821" s="70" t="s">
        <v>4278</v>
      </c>
      <c r="G821" s="70"/>
      <c r="H821" s="70"/>
      <c r="I821" s="70"/>
      <c r="J821" s="70"/>
      <c r="K821" s="70"/>
      <c r="L821" s="70"/>
      <c r="M821" s="70"/>
    </row>
    <row r="822" spans="1:13">
      <c r="A822" s="70" t="s">
        <v>4279</v>
      </c>
      <c r="G822" s="70"/>
      <c r="H822" s="70"/>
      <c r="I822" s="70"/>
      <c r="J822" s="70"/>
      <c r="K822" s="70"/>
      <c r="L822" s="70"/>
      <c r="M822" s="70"/>
    </row>
    <row r="823" spans="1:13">
      <c r="A823" s="70" t="s">
        <v>4280</v>
      </c>
      <c r="G823" s="70"/>
      <c r="H823" s="70"/>
      <c r="I823" s="70"/>
      <c r="J823" s="70"/>
      <c r="K823" s="70"/>
      <c r="L823" s="70"/>
      <c r="M823" s="70"/>
    </row>
    <row r="824" spans="1:13">
      <c r="A824" s="70" t="s">
        <v>4281</v>
      </c>
      <c r="G824" s="70"/>
      <c r="H824" s="70"/>
      <c r="I824" s="70"/>
      <c r="J824" s="70"/>
      <c r="K824" s="70"/>
      <c r="L824" s="70"/>
      <c r="M824" s="70"/>
    </row>
    <row r="825" spans="1:13">
      <c r="A825" s="70" t="s">
        <v>4282</v>
      </c>
      <c r="G825" s="70"/>
      <c r="H825" s="70"/>
      <c r="I825" s="70"/>
      <c r="J825" s="70"/>
      <c r="K825" s="70"/>
      <c r="L825" s="70"/>
      <c r="M825" s="70"/>
    </row>
    <row r="826" spans="1:13">
      <c r="A826" s="70" t="s">
        <v>4283</v>
      </c>
      <c r="G826" s="70"/>
      <c r="H826" s="70"/>
      <c r="I826" s="70"/>
      <c r="J826" s="70"/>
      <c r="K826" s="70">
        <v>60</v>
      </c>
      <c r="L826" s="70"/>
      <c r="M826" s="70"/>
    </row>
    <row r="827" spans="1:13">
      <c r="A827" t="s">
        <v>4284</v>
      </c>
      <c r="G827" t="s">
        <v>2248</v>
      </c>
      <c r="J827" t="s">
        <v>3871</v>
      </c>
      <c r="K827">
        <v>60</v>
      </c>
      <c r="L827" t="s">
        <v>4016</v>
      </c>
      <c r="M827" t="s">
        <v>3879</v>
      </c>
    </row>
    <row r="828" spans="1:13">
      <c r="A828" s="55" t="s">
        <v>4285</v>
      </c>
      <c r="B828" s="55"/>
      <c r="C828" s="55"/>
      <c r="D828" s="55"/>
      <c r="E828" s="55"/>
      <c r="F828" s="55"/>
      <c r="G828" s="106" t="s">
        <v>2248</v>
      </c>
      <c r="H828" s="107"/>
      <c r="I828" s="107"/>
      <c r="J828" s="108" t="s">
        <v>3871</v>
      </c>
      <c r="K828" s="55">
        <v>48.8</v>
      </c>
      <c r="L828" s="106" t="s">
        <v>3905</v>
      </c>
      <c r="M828" s="108" t="s">
        <v>3874</v>
      </c>
    </row>
    <row r="829" spans="1:13">
      <c r="A829" s="55" t="s">
        <v>4286</v>
      </c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</row>
    <row r="830" spans="1:13">
      <c r="A830" s="55" t="s">
        <v>4287</v>
      </c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</row>
    <row r="831" spans="1:13">
      <c r="A831" s="55" t="s">
        <v>4288</v>
      </c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</row>
    <row r="832" spans="1:13">
      <c r="A832" s="55" t="s">
        <v>4289</v>
      </c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</row>
    <row r="833" spans="1:13">
      <c r="A833" s="55" t="s">
        <v>4290</v>
      </c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</row>
    <row r="834" spans="1:13">
      <c r="A834" s="55" t="s">
        <v>4291</v>
      </c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</row>
    <row r="835" spans="1:13">
      <c r="A835" s="55" t="s">
        <v>4292</v>
      </c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</row>
    <row r="836" spans="1:13">
      <c r="A836" s="55" t="s">
        <v>4293</v>
      </c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</row>
    <row r="837" spans="1:13">
      <c r="A837" s="55" t="s">
        <v>4294</v>
      </c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</row>
    <row r="838" spans="1:13">
      <c r="A838" s="55" t="s">
        <v>4295</v>
      </c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</row>
    <row r="839" spans="1:13">
      <c r="A839" s="55" t="s">
        <v>4296</v>
      </c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</row>
    <row r="840" spans="1:13">
      <c r="A840" s="55" t="s">
        <v>4297</v>
      </c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</row>
    <row r="841" spans="1:13">
      <c r="A841" s="55" t="s">
        <v>4298</v>
      </c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</row>
    <row r="842" spans="1:13">
      <c r="A842" s="55" t="s">
        <v>4299</v>
      </c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</row>
    <row r="843" spans="1:13">
      <c r="A843" s="55" t="s">
        <v>4300</v>
      </c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</row>
    <row r="844" spans="1:13">
      <c r="A844" s="55" t="s">
        <v>4301</v>
      </c>
      <c r="B844" s="55"/>
      <c r="C844" s="55"/>
      <c r="D844" s="55"/>
      <c r="E844" s="55"/>
      <c r="F844" s="55"/>
      <c r="G844" s="55"/>
      <c r="H844" s="55"/>
      <c r="I844" s="55"/>
      <c r="J844" s="55"/>
      <c r="K844" s="55">
        <v>49</v>
      </c>
      <c r="L844" s="55"/>
      <c r="M844" s="55"/>
    </row>
    <row r="845" spans="1:13">
      <c r="A845" s="81" t="s">
        <v>4302</v>
      </c>
      <c r="B845" s="81"/>
      <c r="C845" s="81"/>
      <c r="D845" s="81"/>
      <c r="E845" s="81"/>
      <c r="F845" s="81"/>
      <c r="G845" s="109" t="s">
        <v>2248</v>
      </c>
      <c r="H845" s="110"/>
      <c r="I845" s="110"/>
      <c r="J845" s="111" t="s">
        <v>3871</v>
      </c>
      <c r="K845" s="81">
        <v>50.1</v>
      </c>
      <c r="L845" s="109" t="s">
        <v>3905</v>
      </c>
      <c r="M845" s="111" t="s">
        <v>3874</v>
      </c>
    </row>
    <row r="846" spans="1:13">
      <c r="A846" s="81" t="s">
        <v>4303</v>
      </c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</row>
    <row r="847" spans="1:13">
      <c r="A847" s="81" t="s">
        <v>4304</v>
      </c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</row>
    <row r="848" spans="1:13">
      <c r="A848" s="81" t="s">
        <v>4305</v>
      </c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</row>
    <row r="849" spans="1:13">
      <c r="A849" s="81" t="s">
        <v>4306</v>
      </c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</row>
    <row r="850" spans="1:13">
      <c r="A850" s="81" t="s">
        <v>4307</v>
      </c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</row>
    <row r="851" spans="1:13">
      <c r="A851" s="81" t="s">
        <v>4308</v>
      </c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</row>
    <row r="852" spans="1:13">
      <c r="A852" s="81" t="s">
        <v>4309</v>
      </c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</row>
    <row r="853" spans="1:13">
      <c r="A853" s="81" t="s">
        <v>4310</v>
      </c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</row>
    <row r="854" spans="1:13">
      <c r="A854" s="81" t="s">
        <v>4311</v>
      </c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</row>
    <row r="855" spans="1:13">
      <c r="A855" s="81" t="s">
        <v>4312</v>
      </c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</row>
    <row r="856" spans="1:13">
      <c r="A856" s="81" t="s">
        <v>4313</v>
      </c>
      <c r="B856" s="81"/>
      <c r="C856" s="81"/>
      <c r="D856" s="81"/>
      <c r="E856" s="81"/>
      <c r="F856" s="81"/>
      <c r="G856" s="81"/>
      <c r="H856" s="81"/>
      <c r="I856" s="81"/>
      <c r="J856" s="81"/>
      <c r="K856" s="81">
        <v>51.1</v>
      </c>
      <c r="L856" s="81"/>
      <c r="M856" s="81"/>
    </row>
    <row r="857" spans="1:13">
      <c r="A857" s="55" t="s">
        <v>4314</v>
      </c>
      <c r="G857" s="106" t="s">
        <v>2248</v>
      </c>
      <c r="H857" s="107"/>
      <c r="I857" s="107"/>
      <c r="J857" s="108" t="s">
        <v>3871</v>
      </c>
      <c r="K857" s="55">
        <v>50</v>
      </c>
      <c r="L857" s="106" t="s">
        <v>3905</v>
      </c>
      <c r="M857" s="108" t="s">
        <v>3874</v>
      </c>
    </row>
    <row r="858" spans="1:13">
      <c r="A858" s="55" t="s">
        <v>4315</v>
      </c>
      <c r="G858" s="55"/>
      <c r="H858" s="55"/>
      <c r="I858" s="55"/>
      <c r="J858" s="55"/>
      <c r="K858" s="55"/>
      <c r="L858" s="55"/>
      <c r="M858" s="55"/>
    </row>
    <row r="859" spans="1:13">
      <c r="A859" s="55" t="s">
        <v>4316</v>
      </c>
      <c r="G859" s="55"/>
      <c r="H859" s="55"/>
      <c r="I859" s="55"/>
      <c r="J859" s="55"/>
      <c r="K859" s="55"/>
      <c r="L859" s="55"/>
      <c r="M859" s="55"/>
    </row>
    <row r="860" spans="1:13">
      <c r="A860" s="55" t="s">
        <v>4317</v>
      </c>
      <c r="G860" s="55"/>
      <c r="H860" s="55"/>
      <c r="I860" s="55"/>
      <c r="J860" s="55"/>
      <c r="K860" s="55"/>
      <c r="L860" s="55"/>
      <c r="M860" s="55"/>
    </row>
    <row r="861" spans="1:13">
      <c r="A861" s="55" t="s">
        <v>4318</v>
      </c>
      <c r="G861" s="55"/>
      <c r="H861" s="55"/>
      <c r="I861" s="55"/>
      <c r="J861" s="55"/>
      <c r="K861" s="55"/>
      <c r="L861" s="55"/>
      <c r="M861" s="55"/>
    </row>
    <row r="862" spans="1:13">
      <c r="A862" s="55" t="s">
        <v>4319</v>
      </c>
      <c r="G862" s="55"/>
      <c r="H862" s="55"/>
      <c r="I862" s="55"/>
      <c r="J862" s="55"/>
      <c r="K862" s="55"/>
      <c r="L862" s="55"/>
      <c r="M862" s="55"/>
    </row>
    <row r="863" spans="1:13">
      <c r="A863" s="55" t="s">
        <v>4320</v>
      </c>
      <c r="G863" s="55"/>
      <c r="H863" s="55"/>
      <c r="I863" s="55"/>
      <c r="J863" s="55"/>
      <c r="K863" s="55"/>
      <c r="L863" s="55"/>
      <c r="M863" s="55"/>
    </row>
    <row r="864" spans="1:13">
      <c r="A864" s="55" t="s">
        <v>4321</v>
      </c>
      <c r="G864" s="55"/>
      <c r="H864" s="55"/>
      <c r="I864" s="55"/>
      <c r="J864" s="55"/>
      <c r="K864" s="55"/>
      <c r="L864" s="55"/>
      <c r="M864" s="55"/>
    </row>
    <row r="865" spans="1:16">
      <c r="A865" s="55" t="s">
        <v>4322</v>
      </c>
      <c r="G865" s="55"/>
      <c r="H865" s="55"/>
      <c r="I865" s="55"/>
      <c r="J865" s="55"/>
      <c r="K865" s="55"/>
      <c r="L865" s="55"/>
      <c r="M865" s="55"/>
    </row>
    <row r="866" spans="1:16">
      <c r="A866" s="55" t="s">
        <v>4323</v>
      </c>
      <c r="G866" s="55"/>
      <c r="H866" s="55"/>
      <c r="I866" s="55"/>
      <c r="J866" s="55"/>
      <c r="K866" s="55"/>
      <c r="L866" s="55"/>
      <c r="M866" s="55"/>
    </row>
    <row r="867" spans="1:16">
      <c r="A867" s="55" t="s">
        <v>4324</v>
      </c>
      <c r="G867" s="55"/>
      <c r="H867" s="55"/>
      <c r="I867" s="55"/>
      <c r="J867" s="55"/>
      <c r="K867" s="55"/>
      <c r="L867" s="55"/>
      <c r="M867" s="55"/>
    </row>
    <row r="868" spans="1:16">
      <c r="A868" s="55" t="s">
        <v>4325</v>
      </c>
      <c r="G868" s="55"/>
      <c r="H868" s="55"/>
      <c r="I868" s="55"/>
      <c r="J868" s="55"/>
      <c r="K868" s="55">
        <v>49.8</v>
      </c>
      <c r="L868" s="55"/>
      <c r="M868" s="55"/>
    </row>
    <row r="869" spans="1:16">
      <c r="A869" s="81" t="s">
        <v>4326</v>
      </c>
      <c r="G869" s="109" t="s">
        <v>2248</v>
      </c>
      <c r="H869" s="110"/>
      <c r="I869" s="110"/>
      <c r="J869" s="111" t="s">
        <v>3871</v>
      </c>
      <c r="K869" s="81">
        <v>50</v>
      </c>
      <c r="L869" s="109" t="s">
        <v>3905</v>
      </c>
      <c r="M869" s="111" t="s">
        <v>3874</v>
      </c>
    </row>
    <row r="870" spans="1:16">
      <c r="A870" s="81" t="s">
        <v>4327</v>
      </c>
      <c r="G870" s="81"/>
      <c r="H870" s="81"/>
      <c r="I870" s="81"/>
      <c r="J870" s="81"/>
      <c r="K870" s="81"/>
      <c r="L870" s="81"/>
      <c r="M870" s="81"/>
    </row>
    <row r="871" spans="1:16">
      <c r="A871" s="81" t="s">
        <v>4328</v>
      </c>
      <c r="G871" s="81"/>
      <c r="H871" s="81"/>
      <c r="I871" s="81"/>
      <c r="J871" s="81"/>
      <c r="K871" s="81"/>
      <c r="L871" s="81"/>
      <c r="M871" s="81"/>
    </row>
    <row r="872" spans="1:16">
      <c r="A872" s="81" t="s">
        <v>4329</v>
      </c>
      <c r="G872" s="81"/>
      <c r="H872" s="81"/>
      <c r="I872" s="81"/>
      <c r="J872" s="81"/>
      <c r="K872" s="81"/>
      <c r="L872" s="81"/>
      <c r="M872" s="81"/>
    </row>
    <row r="873" spans="1:16">
      <c r="A873" s="81" t="s">
        <v>4330</v>
      </c>
      <c r="G873" s="81"/>
      <c r="H873" s="81"/>
      <c r="I873" s="81"/>
      <c r="J873" s="81"/>
      <c r="K873" s="81"/>
      <c r="L873" s="81"/>
      <c r="M873" s="81"/>
    </row>
    <row r="874" spans="1:16">
      <c r="A874" s="81" t="s">
        <v>4331</v>
      </c>
      <c r="G874" s="81"/>
      <c r="H874" s="81"/>
      <c r="I874" s="81"/>
      <c r="J874" s="81"/>
      <c r="K874" s="81"/>
      <c r="L874" s="81"/>
      <c r="M874" s="81"/>
    </row>
    <row r="875" spans="1:16">
      <c r="A875" s="81" t="s">
        <v>4332</v>
      </c>
      <c r="G875" s="81"/>
      <c r="H875" s="81"/>
      <c r="I875" s="81"/>
      <c r="J875" s="81"/>
      <c r="K875" s="81"/>
      <c r="L875" s="81"/>
      <c r="M875" s="81"/>
    </row>
    <row r="876" spans="1:16">
      <c r="A876" s="81" t="s">
        <v>4333</v>
      </c>
      <c r="B876" s="81"/>
      <c r="C876" s="81"/>
      <c r="D876" s="81"/>
      <c r="E876" s="81"/>
      <c r="F876" s="81"/>
      <c r="G876" s="81"/>
      <c r="H876" s="81"/>
      <c r="I876" s="81"/>
      <c r="J876" s="81"/>
      <c r="K876" s="81">
        <v>50.3</v>
      </c>
      <c r="L876" s="81"/>
      <c r="M876" s="81"/>
    </row>
    <row r="877" spans="1:16">
      <c r="A877" t="s">
        <v>4334</v>
      </c>
      <c r="G877" t="s">
        <v>18</v>
      </c>
      <c r="J877" t="s">
        <v>2701</v>
      </c>
      <c r="K877">
        <v>0</v>
      </c>
      <c r="L877" t="s">
        <v>1853</v>
      </c>
    </row>
    <row r="878" spans="1:16">
      <c r="A878" t="s">
        <v>4335</v>
      </c>
      <c r="G878" t="s">
        <v>18</v>
      </c>
      <c r="J878" t="s">
        <v>2701</v>
      </c>
      <c r="K878">
        <v>0</v>
      </c>
      <c r="L878" t="s">
        <v>4336</v>
      </c>
    </row>
    <row r="879" spans="1:16">
      <c r="A879" t="s">
        <v>4337</v>
      </c>
      <c r="G879" t="s">
        <v>18</v>
      </c>
      <c r="J879" t="s">
        <v>2701</v>
      </c>
      <c r="K879">
        <v>0</v>
      </c>
      <c r="L879" t="s">
        <v>4338</v>
      </c>
    </row>
    <row r="880" spans="1:16">
      <c r="A880" s="56" t="s">
        <v>4339</v>
      </c>
      <c r="B880" s="56"/>
      <c r="C880" s="56"/>
      <c r="D880" s="56"/>
      <c r="E880" s="56"/>
      <c r="F880" s="56"/>
      <c r="G880" s="112" t="s">
        <v>18</v>
      </c>
      <c r="H880" s="113"/>
      <c r="I880" s="113"/>
      <c r="J880" s="113" t="s">
        <v>2701</v>
      </c>
      <c r="K880" s="113">
        <v>0</v>
      </c>
      <c r="L880" s="114" t="s">
        <v>4340</v>
      </c>
      <c r="M880" s="56">
        <v>30</v>
      </c>
      <c r="N880" t="s">
        <v>2246</v>
      </c>
      <c r="O880" t="str">
        <f t="shared" ref="O880:O887" si="23">"condorProc.py --series "&amp;A880&amp;" --donoise --dumps a --procenv environments/pymidas_HVHV_r62_mf.env"</f>
        <v>condorProc.py --series 07170523_1619 --donoise --dumps a --procenv environments/pymidas_HVHV_r62_mf.env</v>
      </c>
      <c r="P880" t="str">
        <f>""""&amp;A880&amp;""""</f>
        <v>"07170523_1619"</v>
      </c>
    </row>
    <row r="881" spans="1:16">
      <c r="A881" s="56" t="s">
        <v>4341</v>
      </c>
      <c r="B881" s="56"/>
      <c r="C881" s="56"/>
      <c r="D881" s="56"/>
      <c r="E881" s="56"/>
      <c r="F881" s="56"/>
      <c r="G881" s="115"/>
      <c r="H881" s="56"/>
      <c r="I881" s="56"/>
      <c r="J881" s="56"/>
      <c r="K881" s="56"/>
      <c r="L881" s="116" t="s">
        <v>4342</v>
      </c>
      <c r="M881" s="56">
        <v>30</v>
      </c>
      <c r="N881" t="s">
        <v>2246</v>
      </c>
      <c r="O881" t="str">
        <f t="shared" si="23"/>
        <v>condorProc.py --series 07170523_1719 --donoise --dumps a --procenv environments/pymidas_HVHV_r62_mf.env</v>
      </c>
      <c r="P881" t="str">
        <f>P880&amp;", """&amp;A881&amp;""""</f>
        <v>"07170523_1619", "07170523_1719"</v>
      </c>
    </row>
    <row r="882" spans="1:16">
      <c r="A882" s="56" t="s">
        <v>4343</v>
      </c>
      <c r="B882" s="56"/>
      <c r="C882" s="56"/>
      <c r="D882" s="56"/>
      <c r="E882" s="56"/>
      <c r="F882" s="56"/>
      <c r="G882" s="117"/>
      <c r="H882" s="118"/>
      <c r="I882" s="118"/>
      <c r="J882" s="118"/>
      <c r="K882" s="118"/>
      <c r="L882" s="119" t="s">
        <v>4344</v>
      </c>
      <c r="M882" s="56">
        <v>25</v>
      </c>
      <c r="N882" t="s">
        <v>2246</v>
      </c>
      <c r="O882" t="str">
        <f t="shared" si="23"/>
        <v>condorProc.py --series 07170523_1820 --donoise --dumps a --procenv environments/pymidas_HVHV_r62_mf.env</v>
      </c>
      <c r="P882" t="str">
        <f t="shared" ref="P882:P887" si="24">P881&amp;", """&amp;A882&amp;""""</f>
        <v>"07170523_1619", "07170523_1719", "07170523_1820"</v>
      </c>
    </row>
    <row r="883" spans="1:16">
      <c r="A883" s="56" t="s">
        <v>4345</v>
      </c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>
        <v>25</v>
      </c>
      <c r="N883" t="s">
        <v>2246</v>
      </c>
      <c r="O883" t="str">
        <f t="shared" si="23"/>
        <v>condorProc.py --series 07170523_1920 --donoise --dumps a --procenv environments/pymidas_HVHV_r62_mf.env</v>
      </c>
      <c r="P883" t="str">
        <f t="shared" si="24"/>
        <v>"07170523_1619", "07170523_1719", "07170523_1820", "07170523_1920"</v>
      </c>
    </row>
    <row r="884" spans="1:16">
      <c r="A884" s="56" t="s">
        <v>4346</v>
      </c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>
        <v>20</v>
      </c>
      <c r="N884" t="s">
        <v>2246</v>
      </c>
      <c r="O884" t="str">
        <f t="shared" si="23"/>
        <v>condorProc.py --series 07170523_2020 --donoise --dumps a --procenv environments/pymidas_HVHV_r62_mf.env</v>
      </c>
      <c r="P884" t="str">
        <f t="shared" si="24"/>
        <v>"07170523_1619", "07170523_1719", "07170523_1820", "07170523_1920", "07170523_2020"</v>
      </c>
    </row>
    <row r="885" spans="1:16">
      <c r="A885" s="56" t="s">
        <v>4347</v>
      </c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>
        <v>20</v>
      </c>
      <c r="N885" t="s">
        <v>2246</v>
      </c>
      <c r="O885" t="str">
        <f t="shared" si="23"/>
        <v>condorProc.py --series 07170523_2120 --donoise --dumps a --procenv environments/pymidas_HVHV_r62_mf.env</v>
      </c>
      <c r="P885" t="str">
        <f t="shared" si="24"/>
        <v>"07170523_1619", "07170523_1719", "07170523_1820", "07170523_1920", "07170523_2020", "07170523_2120"</v>
      </c>
    </row>
    <row r="886" spans="1:16">
      <c r="A886" s="56" t="s">
        <v>4348</v>
      </c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>
        <v>15</v>
      </c>
      <c r="N886" t="s">
        <v>2246</v>
      </c>
      <c r="O886" t="str">
        <f t="shared" si="23"/>
        <v>condorProc.py --series 07170523_2220 --donoise --dumps a --procenv environments/pymidas_HVHV_r62_mf.env</v>
      </c>
      <c r="P886" t="str">
        <f t="shared" si="24"/>
        <v>"07170523_1619", "07170523_1719", "07170523_1820", "07170523_1920", "07170523_2020", "07170523_2120", "07170523_2220"</v>
      </c>
    </row>
    <row r="887" spans="1:16">
      <c r="A887" s="56" t="s">
        <v>4349</v>
      </c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>
        <v>15</v>
      </c>
      <c r="N887" t="s">
        <v>2246</v>
      </c>
      <c r="O887" t="str">
        <f t="shared" si="23"/>
        <v>condorProc.py --series 07170523_2320 --donoise --dumps a --procenv environments/pymidas_HVHV_r62_mf.env</v>
      </c>
      <c r="P887" t="str">
        <f t="shared" si="24"/>
        <v>"07170523_1619", "07170523_1719", "07170523_1820", "07170523_1920", "07170523_2020", "07170523_2120", "07170523_2220", "07170523_2320"</v>
      </c>
    </row>
    <row r="888" spans="1:16">
      <c r="A888" s="56" t="s">
        <v>4350</v>
      </c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 t="s">
        <v>3391</v>
      </c>
      <c r="M888" s="56">
        <v>10</v>
      </c>
    </row>
    <row r="889" spans="1:16">
      <c r="A889" s="56" t="s">
        <v>4351</v>
      </c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 t="s">
        <v>3391</v>
      </c>
      <c r="M889" s="56">
        <v>10</v>
      </c>
    </row>
    <row r="890" spans="1:16">
      <c r="A890" s="56" t="s">
        <v>4352</v>
      </c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 t="s">
        <v>3391</v>
      </c>
      <c r="M890" s="56">
        <v>5</v>
      </c>
    </row>
    <row r="891" spans="1:16">
      <c r="A891" s="56" t="s">
        <v>4353</v>
      </c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 t="s">
        <v>3391</v>
      </c>
      <c r="M891" s="56">
        <v>5</v>
      </c>
    </row>
    <row r="892" spans="1:16">
      <c r="A892" s="56" t="s">
        <v>4354</v>
      </c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>
        <v>10</v>
      </c>
    </row>
    <row r="893" spans="1:16">
      <c r="A893" s="56" t="s">
        <v>4355</v>
      </c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 t="s">
        <v>3391</v>
      </c>
      <c r="M893" s="56">
        <v>10</v>
      </c>
    </row>
    <row r="894" spans="1:16">
      <c r="A894" s="5" t="s">
        <v>4356</v>
      </c>
      <c r="B894" s="5"/>
      <c r="C894" s="5"/>
      <c r="D894" s="5"/>
      <c r="E894" s="5"/>
      <c r="F894" s="5"/>
      <c r="G894" s="5" t="s">
        <v>18</v>
      </c>
      <c r="H894" s="5"/>
      <c r="I894" s="5"/>
      <c r="J894" s="5" t="s">
        <v>2701</v>
      </c>
      <c r="K894" s="5">
        <v>0</v>
      </c>
      <c r="L894" s="5" t="s">
        <v>3684</v>
      </c>
      <c r="M894" s="5" t="s">
        <v>4357</v>
      </c>
    </row>
    <row r="895" spans="1:16">
      <c r="A895" s="5" t="s">
        <v>4358</v>
      </c>
      <c r="B895" s="5"/>
      <c r="C895" s="5"/>
      <c r="D895" s="5"/>
      <c r="E895" s="5"/>
      <c r="F895" s="5"/>
      <c r="G895" s="5" t="s">
        <v>18</v>
      </c>
      <c r="H895" s="5"/>
      <c r="I895" s="5"/>
      <c r="J895" s="5" t="s">
        <v>2701</v>
      </c>
      <c r="K895" s="5">
        <v>0</v>
      </c>
      <c r="L895" s="5" t="s">
        <v>4359</v>
      </c>
      <c r="M895" s="5"/>
    </row>
    <row r="896" spans="1:16">
      <c r="A896" s="5" t="s">
        <v>4360</v>
      </c>
      <c r="B896" s="5"/>
      <c r="C896" s="5"/>
      <c r="D896" s="5"/>
      <c r="E896" s="5"/>
      <c r="F896" s="5"/>
      <c r="G896" s="5" t="s">
        <v>18</v>
      </c>
      <c r="H896" s="5"/>
      <c r="I896" s="5"/>
      <c r="J896" s="5" t="s">
        <v>2701</v>
      </c>
      <c r="K896" s="5">
        <v>0</v>
      </c>
      <c r="L896" s="5" t="s">
        <v>4361</v>
      </c>
      <c r="M896" s="5"/>
    </row>
    <row r="897" spans="1:15">
      <c r="A897" s="5" t="s">
        <v>4362</v>
      </c>
      <c r="B897" s="5"/>
      <c r="C897" s="5"/>
      <c r="D897" s="5"/>
      <c r="E897" s="5"/>
      <c r="F897" s="5"/>
      <c r="G897" s="5" t="s">
        <v>18</v>
      </c>
      <c r="H897" s="5"/>
      <c r="I897" s="5"/>
      <c r="J897" s="5" t="s">
        <v>2701</v>
      </c>
      <c r="K897" s="5">
        <v>0</v>
      </c>
      <c r="L897" s="5" t="s">
        <v>4361</v>
      </c>
      <c r="M897" s="120" t="s">
        <v>4363</v>
      </c>
    </row>
    <row r="898" spans="1:15">
      <c r="A898" s="5" t="s">
        <v>4364</v>
      </c>
      <c r="B898" s="5"/>
      <c r="C898" s="5"/>
      <c r="D898" s="5"/>
      <c r="E898" s="5"/>
      <c r="F898" s="5"/>
      <c r="G898" s="5" t="s">
        <v>18</v>
      </c>
      <c r="H898" s="5"/>
      <c r="I898" s="5"/>
      <c r="J898" s="5" t="s">
        <v>2701</v>
      </c>
      <c r="K898" s="5">
        <v>49.85</v>
      </c>
      <c r="L898" s="5" t="s">
        <v>3684</v>
      </c>
      <c r="M898" s="5" t="s">
        <v>4357</v>
      </c>
    </row>
    <row r="899" spans="1:15">
      <c r="A899" s="5" t="s">
        <v>4365</v>
      </c>
      <c r="B899" s="5"/>
      <c r="C899" s="5"/>
      <c r="D899" s="5"/>
      <c r="E899" s="5"/>
      <c r="F899" s="5"/>
      <c r="G899" s="5" t="s">
        <v>18</v>
      </c>
      <c r="H899" s="5"/>
      <c r="I899" s="5"/>
      <c r="J899" s="5" t="s">
        <v>2701</v>
      </c>
      <c r="K899" s="5">
        <v>50</v>
      </c>
      <c r="L899" s="5" t="s">
        <v>4361</v>
      </c>
      <c r="M899" s="5"/>
    </row>
    <row r="900" spans="1:15">
      <c r="A900" s="5" t="s">
        <v>4366</v>
      </c>
      <c r="B900" s="5"/>
      <c r="C900" s="5"/>
      <c r="D900" s="5"/>
      <c r="E900" s="5"/>
      <c r="F900" s="5"/>
      <c r="G900" s="5" t="s">
        <v>18</v>
      </c>
      <c r="H900" s="5"/>
      <c r="I900" s="5"/>
      <c r="J900" s="5" t="s">
        <v>2701</v>
      </c>
      <c r="K900" s="5">
        <v>49.8</v>
      </c>
      <c r="L900" s="5" t="s">
        <v>4359</v>
      </c>
      <c r="M900" s="5"/>
    </row>
    <row r="901" spans="1:15">
      <c r="A901" s="5" t="s">
        <v>4367</v>
      </c>
      <c r="B901" s="5"/>
      <c r="C901" s="5"/>
      <c r="D901" s="5"/>
      <c r="E901" s="5"/>
      <c r="F901" s="5"/>
      <c r="G901" s="5" t="s">
        <v>18</v>
      </c>
      <c r="H901" s="5"/>
      <c r="I901" s="5"/>
      <c r="J901" s="5" t="s">
        <v>2701</v>
      </c>
      <c r="K901" s="5">
        <v>75.099999999999994</v>
      </c>
      <c r="L901" s="5" t="s">
        <v>3684</v>
      </c>
      <c r="M901" s="5" t="s">
        <v>4357</v>
      </c>
    </row>
    <row r="902" spans="1:15">
      <c r="A902" s="5" t="s">
        <v>4368</v>
      </c>
      <c r="B902" s="5"/>
      <c r="C902" s="5"/>
      <c r="D902" s="5"/>
      <c r="E902" s="5"/>
      <c r="F902" s="5"/>
      <c r="G902" s="5" t="s">
        <v>18</v>
      </c>
      <c r="H902" s="5"/>
      <c r="I902" s="5"/>
      <c r="J902" s="5" t="s">
        <v>2701</v>
      </c>
      <c r="K902" s="5">
        <v>75.2</v>
      </c>
      <c r="L902" s="5" t="s">
        <v>4361</v>
      </c>
      <c r="M902" s="5"/>
    </row>
    <row r="903" spans="1:15">
      <c r="A903" s="5" t="s">
        <v>4369</v>
      </c>
      <c r="B903" s="5"/>
      <c r="C903" s="5"/>
      <c r="D903" s="5"/>
      <c r="E903" s="5"/>
      <c r="F903" s="5"/>
      <c r="G903" s="5" t="s">
        <v>18</v>
      </c>
      <c r="H903" s="5"/>
      <c r="I903" s="5"/>
      <c r="J903" s="5" t="s">
        <v>2701</v>
      </c>
      <c r="K903" s="5">
        <v>75</v>
      </c>
      <c r="L903" s="5" t="s">
        <v>4361</v>
      </c>
      <c r="M903" s="5"/>
    </row>
    <row r="904" spans="1:15">
      <c r="A904" s="55" t="s">
        <v>4370</v>
      </c>
      <c r="B904" s="55"/>
      <c r="C904" s="55"/>
      <c r="D904" s="55"/>
      <c r="E904" s="55"/>
      <c r="F904" s="55"/>
      <c r="G904" s="106" t="s">
        <v>18</v>
      </c>
      <c r="H904" s="107"/>
      <c r="I904" s="107"/>
      <c r="J904" s="108" t="s">
        <v>2701</v>
      </c>
      <c r="K904" s="55">
        <v>70.2</v>
      </c>
      <c r="L904" s="121" t="s">
        <v>4371</v>
      </c>
      <c r="M904" s="55"/>
      <c r="N904" t="s">
        <v>2246</v>
      </c>
      <c r="O904" t="str">
        <f>"condorProc.py --series "&amp;A904&amp;" --donoise --dumps a --procenv environments/pymidas_HVHV_r62_mf.env"</f>
        <v>condorProc.py --series 07170526_1034 --donoise --dumps a --procenv environments/pymidas_HVHV_r62_mf.env</v>
      </c>
    </row>
    <row r="905" spans="1:15">
      <c r="A905" s="55" t="s">
        <v>4372</v>
      </c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 t="s">
        <v>4373</v>
      </c>
    </row>
    <row r="906" spans="1:15">
      <c r="A906" s="55" t="s">
        <v>4374</v>
      </c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 t="s">
        <v>4373</v>
      </c>
    </row>
    <row r="907" spans="1:15">
      <c r="A907" s="55" t="s">
        <v>4375</v>
      </c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 t="s">
        <v>4373</v>
      </c>
    </row>
    <row r="908" spans="1:15">
      <c r="A908" s="55" t="s">
        <v>4376</v>
      </c>
      <c r="B908" s="55"/>
      <c r="C908" s="55"/>
      <c r="D908" s="55"/>
      <c r="E908" s="55"/>
      <c r="F908" s="55"/>
      <c r="G908" s="55"/>
      <c r="H908" s="55"/>
      <c r="I908" s="55"/>
      <c r="J908" s="55"/>
      <c r="K908" s="55">
        <v>70</v>
      </c>
      <c r="L908" s="55"/>
      <c r="M908" s="55"/>
      <c r="N908" t="s">
        <v>2246</v>
      </c>
      <c r="O908" t="str">
        <f t="shared" ref="O908:O947" si="25">"condorProc.py --series "&amp;A908&amp;" --donoise --dumps a --procenv environments/pymidas_HVHV_r62_mf.env"</f>
        <v>condorProc.py --series 07170526_1220 --donoise --dumps a --procenv environments/pymidas_HVHV_r62_mf.env</v>
      </c>
    </row>
    <row r="909" spans="1:15">
      <c r="A909" s="55" t="s">
        <v>4377</v>
      </c>
      <c r="B909" s="55"/>
      <c r="C909" s="55"/>
      <c r="D909" s="55"/>
      <c r="E909" s="55"/>
      <c r="F909" s="55"/>
      <c r="G909" s="55"/>
      <c r="H909" s="55"/>
      <c r="I909" s="55"/>
      <c r="J909" s="55"/>
      <c r="K909" s="55">
        <v>69.7</v>
      </c>
      <c r="L909" s="55"/>
      <c r="M909" s="55"/>
      <c r="N909" t="s">
        <v>2246</v>
      </c>
      <c r="O909" t="str">
        <f t="shared" si="25"/>
        <v>condorProc.py --series 07170526_1320 --donoise --dumps a --procenv environments/pymidas_HVHV_r62_mf.env</v>
      </c>
    </row>
    <row r="910" spans="1:15">
      <c r="A910" s="55" t="s">
        <v>4378</v>
      </c>
      <c r="B910" s="55"/>
      <c r="C910" s="55"/>
      <c r="D910" s="55"/>
      <c r="E910" s="55"/>
      <c r="F910" s="55"/>
      <c r="G910" s="55"/>
      <c r="H910" s="55"/>
      <c r="I910" s="55"/>
      <c r="J910" s="55"/>
      <c r="K910" s="55">
        <v>70.099999999999994</v>
      </c>
      <c r="L910" s="55"/>
      <c r="M910" s="55"/>
      <c r="N910" t="s">
        <v>2246</v>
      </c>
      <c r="O910" t="str">
        <f t="shared" si="25"/>
        <v>condorProc.py --series 07170526_1419 --donoise --dumps a --procenv environments/pymidas_HVHV_r62_mf.env</v>
      </c>
    </row>
    <row r="911" spans="1:15">
      <c r="A911" s="56" t="s">
        <v>4379</v>
      </c>
      <c r="B911" s="56"/>
      <c r="C911" s="56"/>
      <c r="D911" s="56"/>
      <c r="E911" s="56"/>
      <c r="F911" s="56"/>
      <c r="G911" s="122" t="s">
        <v>18</v>
      </c>
      <c r="H911" s="123"/>
      <c r="I911" s="123"/>
      <c r="J911" s="124" t="s">
        <v>2701</v>
      </c>
      <c r="K911" s="56">
        <v>20</v>
      </c>
      <c r="L911" s="93" t="s">
        <v>4371</v>
      </c>
      <c r="M911" s="56"/>
      <c r="N911" t="s">
        <v>2246</v>
      </c>
      <c r="O911" t="str">
        <f t="shared" si="25"/>
        <v>condorProc.py --series 07170526_1704 --donoise --dumps a --procenv environments/pymidas_HVHV_r62_mf.env</v>
      </c>
    </row>
    <row r="912" spans="1:15">
      <c r="A912" s="56" t="s">
        <v>4380</v>
      </c>
      <c r="B912" s="56"/>
      <c r="C912" s="56"/>
      <c r="D912" s="56"/>
      <c r="E912" s="56"/>
      <c r="F912" s="56"/>
      <c r="G912" s="56"/>
      <c r="H912" s="56"/>
      <c r="I912" s="56"/>
      <c r="J912" s="56"/>
      <c r="K912" s="126">
        <v>20.2</v>
      </c>
      <c r="L912" s="87" t="s">
        <v>4381</v>
      </c>
      <c r="M912" s="56"/>
      <c r="N912" t="s">
        <v>2246</v>
      </c>
      <c r="O912" t="str">
        <f t="shared" si="25"/>
        <v>condorProc.py --series 07170526_1805 --donoise --dumps a --procenv environments/pymidas_HVHV_r62_mf.env</v>
      </c>
    </row>
    <row r="913" spans="1:15">
      <c r="A913" s="56" t="s">
        <v>4382</v>
      </c>
      <c r="B913" s="56"/>
      <c r="C913" s="56"/>
      <c r="D913" s="56"/>
      <c r="E913" s="56"/>
      <c r="F913" s="56"/>
      <c r="G913" s="56"/>
      <c r="H913" s="56"/>
      <c r="I913" s="56"/>
      <c r="J913" s="56"/>
      <c r="K913" s="126">
        <v>20.8</v>
      </c>
      <c r="L913" s="87" t="s">
        <v>4383</v>
      </c>
      <c r="M913" s="56"/>
      <c r="N913" t="s">
        <v>2246</v>
      </c>
      <c r="O913" t="str">
        <f t="shared" si="25"/>
        <v>condorProc.py --series 07170526_1905 --donoise --dumps a --procenv environments/pymidas_HVHV_r62_mf.env</v>
      </c>
    </row>
    <row r="914" spans="1:15">
      <c r="A914" s="56" t="s">
        <v>4384</v>
      </c>
      <c r="B914" s="56"/>
      <c r="C914" s="56"/>
      <c r="D914" s="56"/>
      <c r="E914" s="56"/>
      <c r="F914" s="56"/>
      <c r="G914" s="56"/>
      <c r="H914" s="56"/>
      <c r="I914" s="56"/>
      <c r="J914" s="56"/>
      <c r="K914" s="126">
        <v>21.4</v>
      </c>
      <c r="L914" s="87" t="s">
        <v>4385</v>
      </c>
      <c r="M914" s="56"/>
      <c r="N914" t="s">
        <v>2246</v>
      </c>
      <c r="O914" t="str">
        <f t="shared" si="25"/>
        <v>condorProc.py --series 07170526_2005 --donoise --dumps a --procenv environments/pymidas_HVHV_r62_mf.env</v>
      </c>
    </row>
    <row r="915" spans="1:15">
      <c r="A915" s="56" t="s">
        <v>4386</v>
      </c>
      <c r="B915" s="56"/>
      <c r="C915" s="56"/>
      <c r="D915" s="56"/>
      <c r="E915" s="56"/>
      <c r="F915" s="56"/>
      <c r="G915" s="56"/>
      <c r="H915" s="56"/>
      <c r="I915" s="56"/>
      <c r="J915" s="56"/>
      <c r="K915" s="126">
        <v>22.4</v>
      </c>
      <c r="L915" s="87" t="s">
        <v>4387</v>
      </c>
      <c r="M915" s="56"/>
      <c r="N915" t="s">
        <v>2246</v>
      </c>
      <c r="O915" t="str">
        <f t="shared" si="25"/>
        <v>condorProc.py --series 07170526_2105 --donoise --dumps a --procenv environments/pymidas_HVHV_r62_mf.env</v>
      </c>
    </row>
    <row r="916" spans="1:15">
      <c r="A916" s="56" t="s">
        <v>4388</v>
      </c>
      <c r="B916" s="56"/>
      <c r="C916" s="56"/>
      <c r="D916" s="56"/>
      <c r="E916" s="56"/>
      <c r="F916" s="56"/>
      <c r="G916" s="56"/>
      <c r="H916" s="56"/>
      <c r="I916" s="56"/>
      <c r="J916" s="56"/>
      <c r="K916" s="126">
        <v>22.4</v>
      </c>
      <c r="L916" s="88" t="s">
        <v>4389</v>
      </c>
      <c r="M916" s="56"/>
      <c r="N916" t="s">
        <v>2246</v>
      </c>
      <c r="O916" t="str">
        <f t="shared" si="25"/>
        <v>condorProc.py --series 07170526_2205 --donoise --dumps a --procenv environments/pymidas_HVHV_r62_mf.env</v>
      </c>
    </row>
    <row r="917" spans="1:15">
      <c r="A917" s="56" t="s">
        <v>4390</v>
      </c>
      <c r="B917" s="56"/>
      <c r="C917" s="56"/>
      <c r="D917" s="56"/>
      <c r="E917" s="56"/>
      <c r="F917" s="56"/>
      <c r="G917" s="56"/>
      <c r="H917" s="56"/>
      <c r="I917" s="56"/>
      <c r="J917" s="56"/>
      <c r="K917" s="126">
        <v>22.4</v>
      </c>
      <c r="L917" s="56"/>
      <c r="M917" s="56"/>
      <c r="N917" t="s">
        <v>2246</v>
      </c>
      <c r="O917" t="str">
        <f t="shared" si="25"/>
        <v>condorProc.py --series 07170526_2305 --donoise --dumps a --procenv environments/pymidas_HVHV_r62_mf.env</v>
      </c>
    </row>
    <row r="918" spans="1:15">
      <c r="A918" s="56" t="s">
        <v>4391</v>
      </c>
      <c r="B918" s="56"/>
      <c r="C918" s="56"/>
      <c r="D918" s="56"/>
      <c r="E918" s="56"/>
      <c r="F918" s="56"/>
      <c r="G918" s="56"/>
      <c r="H918" s="56"/>
      <c r="I918" s="56"/>
      <c r="J918" s="56"/>
      <c r="K918" s="126">
        <v>22.4</v>
      </c>
      <c r="L918" s="56"/>
      <c r="M918" s="56"/>
      <c r="N918" t="s">
        <v>2246</v>
      </c>
      <c r="O918" t="str">
        <f t="shared" si="25"/>
        <v>condorProc.py --series 07170527_0005 --donoise --dumps a --procenv environments/pymidas_HVHV_r62_mf.env</v>
      </c>
    </row>
    <row r="919" spans="1:15">
      <c r="A919" s="56" t="s">
        <v>4392</v>
      </c>
      <c r="B919" s="56"/>
      <c r="C919" s="56"/>
      <c r="D919" s="56"/>
      <c r="E919" s="56"/>
      <c r="F919" s="56"/>
      <c r="G919" s="56"/>
      <c r="H919" s="56"/>
      <c r="I919" s="56"/>
      <c r="J919" s="56"/>
      <c r="K919" s="126">
        <v>22.4</v>
      </c>
      <c r="L919" s="56"/>
      <c r="M919" s="56"/>
      <c r="N919" t="s">
        <v>2246</v>
      </c>
      <c r="O919" t="str">
        <f t="shared" si="25"/>
        <v>condorProc.py --series 07170527_0105 --donoise --dumps a --procenv environments/pymidas_HVHV_r62_mf.env</v>
      </c>
    </row>
    <row r="920" spans="1:15">
      <c r="A920" s="56" t="s">
        <v>4393</v>
      </c>
      <c r="B920" s="56"/>
      <c r="C920" s="56"/>
      <c r="D920" s="56"/>
      <c r="E920" s="56"/>
      <c r="F920" s="56"/>
      <c r="G920" s="56"/>
      <c r="H920" s="56"/>
      <c r="I920" s="56"/>
      <c r="J920" s="56"/>
      <c r="K920" s="126">
        <v>22.4</v>
      </c>
      <c r="L920" s="56"/>
      <c r="M920" s="56"/>
      <c r="N920" t="s">
        <v>2246</v>
      </c>
      <c r="O920" t="str">
        <f t="shared" si="25"/>
        <v>condorProc.py --series 07170527_0205 --donoise --dumps a --procenv environments/pymidas_HVHV_r62_mf.env</v>
      </c>
    </row>
    <row r="921" spans="1:15">
      <c r="A921" s="56" t="s">
        <v>4394</v>
      </c>
      <c r="B921" s="56"/>
      <c r="C921" s="56"/>
      <c r="D921" s="56"/>
      <c r="E921" s="56"/>
      <c r="F921" s="56"/>
      <c r="G921" s="56"/>
      <c r="H921" s="56"/>
      <c r="I921" s="56"/>
      <c r="J921" s="56"/>
      <c r="K921" s="126">
        <v>22.4</v>
      </c>
      <c r="L921" s="56"/>
      <c r="M921" s="56"/>
      <c r="N921" t="s">
        <v>2246</v>
      </c>
      <c r="O921" t="str">
        <f t="shared" si="25"/>
        <v>condorProc.py --series 07170527_0305 --donoise --dumps a --procenv environments/pymidas_HVHV_r62_mf.env</v>
      </c>
    </row>
    <row r="922" spans="1:15">
      <c r="A922" s="56" t="s">
        <v>4395</v>
      </c>
      <c r="B922" s="56"/>
      <c r="C922" s="56"/>
      <c r="D922" s="56"/>
      <c r="E922" s="56"/>
      <c r="F922" s="56"/>
      <c r="G922" s="56"/>
      <c r="H922" s="56"/>
      <c r="I922" s="56"/>
      <c r="J922" s="56"/>
      <c r="K922" s="126">
        <v>22.4</v>
      </c>
      <c r="L922" s="56"/>
      <c r="M922" s="56"/>
      <c r="N922" t="s">
        <v>2246</v>
      </c>
      <c r="O922" t="str">
        <f t="shared" si="25"/>
        <v>condorProc.py --series 07170527_0405 --donoise --dumps a --procenv environments/pymidas_HVHV_r62_mf.env</v>
      </c>
    </row>
    <row r="923" spans="1:15">
      <c r="A923" s="56" t="s">
        <v>4396</v>
      </c>
      <c r="B923" s="56"/>
      <c r="C923" s="56"/>
      <c r="D923" s="56"/>
      <c r="E923" s="56"/>
      <c r="F923" s="56"/>
      <c r="G923" s="56"/>
      <c r="H923" s="56"/>
      <c r="I923" s="56"/>
      <c r="J923" s="56"/>
      <c r="K923" s="126">
        <v>22.4</v>
      </c>
      <c r="L923" s="56"/>
      <c r="M923" s="56"/>
      <c r="N923" t="s">
        <v>2246</v>
      </c>
      <c r="O923" t="str">
        <f t="shared" si="25"/>
        <v>condorProc.py --series 07170527_0505 --donoise --dumps a --procenv environments/pymidas_HVHV_r62_mf.env</v>
      </c>
    </row>
    <row r="924" spans="1:15">
      <c r="A924" s="56" t="s">
        <v>4397</v>
      </c>
      <c r="B924" s="56"/>
      <c r="C924" s="56"/>
      <c r="D924" s="56"/>
      <c r="E924" s="56"/>
      <c r="F924" s="56"/>
      <c r="G924" s="56"/>
      <c r="H924" s="56"/>
      <c r="I924" s="56"/>
      <c r="J924" s="56"/>
      <c r="K924" s="126">
        <v>22.4</v>
      </c>
      <c r="L924" s="56"/>
      <c r="M924" s="56"/>
      <c r="N924" t="s">
        <v>2246</v>
      </c>
      <c r="O924" t="str">
        <f t="shared" si="25"/>
        <v>condorProc.py --series 07170527_0605 --donoise --dumps a --procenv environments/pymidas_HVHV_r62_mf.env</v>
      </c>
    </row>
    <row r="925" spans="1:15">
      <c r="A925" s="56" t="s">
        <v>4398</v>
      </c>
      <c r="B925" s="56"/>
      <c r="C925" s="56"/>
      <c r="D925" s="56"/>
      <c r="E925" s="56"/>
      <c r="F925" s="56"/>
      <c r="G925" s="56"/>
      <c r="H925" s="56"/>
      <c r="I925" s="56"/>
      <c r="J925" s="56"/>
      <c r="K925" s="126">
        <v>22.4</v>
      </c>
      <c r="L925" s="56"/>
      <c r="M925" s="56"/>
      <c r="N925" t="s">
        <v>2246</v>
      </c>
      <c r="O925" t="str">
        <f t="shared" si="25"/>
        <v>condorProc.py --series 07170527_0705 --donoise --dumps a --procenv environments/pymidas_HVHV_r62_mf.env</v>
      </c>
    </row>
    <row r="926" spans="1:15">
      <c r="A926" s="56" t="s">
        <v>4399</v>
      </c>
      <c r="B926" s="56"/>
      <c r="C926" s="56"/>
      <c r="D926" s="56"/>
      <c r="E926" s="56"/>
      <c r="F926" s="56"/>
      <c r="G926" s="56"/>
      <c r="H926" s="56"/>
      <c r="I926" s="56"/>
      <c r="J926" s="56"/>
      <c r="K926" s="126">
        <v>22.4</v>
      </c>
      <c r="L926" s="56"/>
      <c r="M926" s="56"/>
      <c r="N926" t="s">
        <v>2246</v>
      </c>
      <c r="O926" t="str">
        <f t="shared" si="25"/>
        <v>condorProc.py --series 07170527_0806 --donoise --dumps a --procenv environments/pymidas_HVHV_r62_mf.env</v>
      </c>
    </row>
    <row r="927" spans="1:15">
      <c r="A927" s="56" t="s">
        <v>4400</v>
      </c>
      <c r="B927" s="56"/>
      <c r="C927" s="56"/>
      <c r="D927" s="56"/>
      <c r="E927" s="56"/>
      <c r="F927" s="56"/>
      <c r="G927" s="56"/>
      <c r="H927" s="56"/>
      <c r="I927" s="56"/>
      <c r="J927" s="56"/>
      <c r="K927" s="126">
        <v>22.4</v>
      </c>
      <c r="L927" s="56"/>
      <c r="M927" s="56"/>
      <c r="N927" t="s">
        <v>2246</v>
      </c>
      <c r="O927" t="str">
        <f t="shared" si="25"/>
        <v>condorProc.py --series 07170527_0906 --donoise --dumps a --procenv environments/pymidas_HVHV_r62_mf.env</v>
      </c>
    </row>
    <row r="928" spans="1:15">
      <c r="A928" s="56" t="s">
        <v>4401</v>
      </c>
      <c r="B928" s="56"/>
      <c r="C928" s="56"/>
      <c r="D928" s="56"/>
      <c r="E928" s="56"/>
      <c r="F928" s="56"/>
      <c r="G928" s="56"/>
      <c r="H928" s="56"/>
      <c r="I928" s="56"/>
      <c r="J928" s="56"/>
      <c r="K928" s="126">
        <v>22.4</v>
      </c>
      <c r="L928" s="56"/>
      <c r="M928" s="56"/>
      <c r="N928" t="s">
        <v>2246</v>
      </c>
      <c r="O928" t="str">
        <f t="shared" si="25"/>
        <v>condorProc.py --series 07170527_1006 --donoise --dumps a --procenv environments/pymidas_HVHV_r62_mf.env</v>
      </c>
    </row>
    <row r="929" spans="1:16">
      <c r="A929" t="s">
        <v>4402</v>
      </c>
      <c r="M929" t="s">
        <v>4403</v>
      </c>
    </row>
    <row r="930" spans="1:16">
      <c r="A930" s="55" t="s">
        <v>4404</v>
      </c>
      <c r="B930" s="55"/>
      <c r="C930" s="55"/>
      <c r="D930" s="55"/>
      <c r="E930" s="55"/>
      <c r="F930" s="55"/>
      <c r="G930" s="106" t="s">
        <v>18</v>
      </c>
      <c r="H930" s="107"/>
      <c r="I930" s="107"/>
      <c r="J930" s="108" t="s">
        <v>2701</v>
      </c>
      <c r="K930" s="55">
        <v>99.8</v>
      </c>
      <c r="L930" s="121" t="s">
        <v>4371</v>
      </c>
      <c r="M930" s="55"/>
      <c r="N930" t="s">
        <v>2246</v>
      </c>
      <c r="O930" t="str">
        <f t="shared" si="25"/>
        <v>condorProc.py --series 07170527_1539 --donoise --dumps a --procenv environments/pymidas_HVHV_r62_mf.env</v>
      </c>
      <c r="P930" t="str">
        <f>""""&amp;A930&amp;""""</f>
        <v>"07170527_1539"</v>
      </c>
    </row>
    <row r="931" spans="1:16">
      <c r="A931" s="55" t="s">
        <v>4405</v>
      </c>
      <c r="B931" s="55"/>
      <c r="C931" s="55"/>
      <c r="D931" s="55"/>
      <c r="E931" s="55"/>
      <c r="F931" s="55"/>
      <c r="G931" s="55"/>
      <c r="H931" s="55"/>
      <c r="I931" s="55"/>
      <c r="J931" s="127"/>
      <c r="K931" s="128"/>
      <c r="L931" s="55"/>
      <c r="M931" s="55"/>
      <c r="N931" t="s">
        <v>2246</v>
      </c>
      <c r="O931" t="str">
        <f t="shared" si="25"/>
        <v>condorProc.py --series 07170527_1639 --donoise --dumps a --procenv environments/pymidas_HVHV_r62_mf.env</v>
      </c>
      <c r="P931" t="str">
        <f>P930&amp;", """&amp;A931&amp;""""</f>
        <v>"07170527_1539", "07170527_1639"</v>
      </c>
    </row>
    <row r="932" spans="1:16">
      <c r="A932" s="55" t="s">
        <v>4406</v>
      </c>
      <c r="B932" s="55"/>
      <c r="C932" s="55"/>
      <c r="D932" s="55"/>
      <c r="E932" s="55"/>
      <c r="F932" s="55"/>
      <c r="G932" s="55"/>
      <c r="H932" s="55"/>
      <c r="I932" s="55"/>
      <c r="J932" s="127"/>
      <c r="K932" s="128"/>
      <c r="L932" s="55"/>
      <c r="M932" s="55"/>
      <c r="N932" t="s">
        <v>2246</v>
      </c>
      <c r="O932" t="str">
        <f t="shared" si="25"/>
        <v>condorProc.py --series 07170527_1739 --donoise --dumps a --procenv environments/pymidas_HVHV_r62_mf.env</v>
      </c>
      <c r="P932" t="str">
        <f t="shared" ref="P932:P947" si="26">P931&amp;", """&amp;A932&amp;""""</f>
        <v>"07170527_1539", "07170527_1639", "07170527_1739"</v>
      </c>
    </row>
    <row r="933" spans="1:16">
      <c r="A933" s="55" t="s">
        <v>4407</v>
      </c>
      <c r="B933" s="55"/>
      <c r="C933" s="55"/>
      <c r="D933" s="55"/>
      <c r="E933" s="55"/>
      <c r="F933" s="55"/>
      <c r="G933" s="55"/>
      <c r="H933" s="55"/>
      <c r="I933" s="55"/>
      <c r="J933" s="127"/>
      <c r="K933" s="128"/>
      <c r="L933" s="55"/>
      <c r="M933" s="55"/>
      <c r="N933" t="s">
        <v>2246</v>
      </c>
      <c r="O933" t="str">
        <f t="shared" si="25"/>
        <v>condorProc.py --series 07170527_1839 --donoise --dumps a --procenv environments/pymidas_HVHV_r62_mf.env</v>
      </c>
      <c r="P933" t="str">
        <f t="shared" si="26"/>
        <v>"07170527_1539", "07170527_1639", "07170527_1739", "07170527_1839"</v>
      </c>
    </row>
    <row r="934" spans="1:16">
      <c r="A934" s="55" t="s">
        <v>4408</v>
      </c>
      <c r="B934" s="55"/>
      <c r="C934" s="55"/>
      <c r="D934" s="55"/>
      <c r="E934" s="55"/>
      <c r="F934" s="55"/>
      <c r="G934" s="55"/>
      <c r="H934" s="55"/>
      <c r="I934" s="55"/>
      <c r="J934" s="129"/>
      <c r="K934" s="55"/>
      <c r="L934" s="55"/>
      <c r="M934" s="55"/>
      <c r="N934" t="s">
        <v>2246</v>
      </c>
      <c r="O934" t="str">
        <f t="shared" si="25"/>
        <v>condorProc.py --series 07170527_1939 --donoise --dumps a --procenv environments/pymidas_HVHV_r62_mf.env</v>
      </c>
      <c r="P934" t="str">
        <f t="shared" si="26"/>
        <v>"07170527_1539", "07170527_1639", "07170527_1739", "07170527_1839", "07170527_1939"</v>
      </c>
    </row>
    <row r="935" spans="1:16">
      <c r="A935" s="55" t="s">
        <v>4409</v>
      </c>
      <c r="B935" s="55"/>
      <c r="C935" s="55"/>
      <c r="D935" s="55"/>
      <c r="E935" s="55"/>
      <c r="F935" s="55"/>
      <c r="G935" s="55"/>
      <c r="H935" s="55"/>
      <c r="I935" s="55"/>
      <c r="J935" s="129"/>
      <c r="K935" s="55"/>
      <c r="L935" s="55"/>
      <c r="M935" s="55"/>
      <c r="N935" t="s">
        <v>2246</v>
      </c>
      <c r="O935" t="str">
        <f t="shared" si="25"/>
        <v>condorProc.py --series 07170527_2039 --donoise --dumps a --procenv environments/pymidas_HVHV_r62_mf.env</v>
      </c>
      <c r="P935" t="str">
        <f t="shared" si="26"/>
        <v>"07170527_1539", "07170527_1639", "07170527_1739", "07170527_1839", "07170527_1939", "07170527_2039"</v>
      </c>
    </row>
    <row r="936" spans="1:16">
      <c r="A936" s="55" t="s">
        <v>4410</v>
      </c>
      <c r="B936" s="55"/>
      <c r="C936" s="55"/>
      <c r="D936" s="55"/>
      <c r="E936" s="55"/>
      <c r="F936" s="55"/>
      <c r="G936" s="55"/>
      <c r="H936" s="55"/>
      <c r="I936" s="55"/>
      <c r="J936" s="129"/>
      <c r="K936" s="55"/>
      <c r="L936" s="55"/>
      <c r="M936" s="55"/>
      <c r="N936" t="s">
        <v>2246</v>
      </c>
      <c r="O936" t="str">
        <f t="shared" si="25"/>
        <v>condorProc.py --series 07170527_2139 --donoise --dumps a --procenv environments/pymidas_HVHV_r62_mf.env</v>
      </c>
      <c r="P936" t="str">
        <f t="shared" si="26"/>
        <v>"07170527_1539", "07170527_1639", "07170527_1739", "07170527_1839", "07170527_1939", "07170527_2039", "07170527_2139"</v>
      </c>
    </row>
    <row r="937" spans="1:16">
      <c r="A937" s="55" t="s">
        <v>4411</v>
      </c>
      <c r="B937" s="55"/>
      <c r="C937" s="55"/>
      <c r="D937" s="55"/>
      <c r="E937" s="55"/>
      <c r="F937" s="55"/>
      <c r="G937" s="55"/>
      <c r="H937" s="55"/>
      <c r="I937" s="55"/>
      <c r="J937" s="129"/>
      <c r="K937" s="55"/>
      <c r="L937" s="55"/>
      <c r="M937" s="55"/>
      <c r="N937" t="s">
        <v>2246</v>
      </c>
      <c r="O937" t="str">
        <f t="shared" si="25"/>
        <v>condorProc.py --series 07170527_2239 --donoise --dumps a --procenv environments/pymidas_HVHV_r62_mf.env</v>
      </c>
      <c r="P937" t="str">
        <f t="shared" si="26"/>
        <v>"07170527_1539", "07170527_1639", "07170527_1739", "07170527_1839", "07170527_1939", "07170527_2039", "07170527_2139", "07170527_2239"</v>
      </c>
    </row>
    <row r="938" spans="1:16">
      <c r="A938" s="55" t="s">
        <v>4412</v>
      </c>
      <c r="B938" s="55"/>
      <c r="C938" s="55"/>
      <c r="D938" s="55"/>
      <c r="E938" s="55"/>
      <c r="F938" s="55"/>
      <c r="G938" s="55"/>
      <c r="H938" s="55"/>
      <c r="I938" s="55"/>
      <c r="J938" s="129"/>
      <c r="K938" s="55"/>
      <c r="L938" s="55"/>
      <c r="M938" s="55"/>
      <c r="N938" t="s">
        <v>2246</v>
      </c>
      <c r="O938" t="str">
        <f t="shared" si="25"/>
        <v>condorProc.py --series 07170527_2339 --donoise --dumps a --procenv environments/pymidas_HVHV_r62_mf.env</v>
      </c>
      <c r="P938" t="str">
        <f t="shared" si="26"/>
        <v>"07170527_1539", "07170527_1639", "07170527_1739", "07170527_1839", "07170527_1939", "07170527_2039", "07170527_2139", "07170527_2239", "07170527_2339"</v>
      </c>
    </row>
    <row r="939" spans="1:16">
      <c r="A939" s="55" t="s">
        <v>4413</v>
      </c>
      <c r="B939" s="55"/>
      <c r="C939" s="55"/>
      <c r="D939" s="55"/>
      <c r="E939" s="55"/>
      <c r="F939" s="55"/>
      <c r="G939" s="55"/>
      <c r="H939" s="55"/>
      <c r="I939" s="55"/>
      <c r="J939" s="129"/>
      <c r="K939" s="55"/>
      <c r="L939" s="55"/>
      <c r="M939" s="55"/>
      <c r="N939" t="s">
        <v>2246</v>
      </c>
      <c r="O939" t="str">
        <f t="shared" si="25"/>
        <v>condorProc.py --series 07170528_0039 --donoise --dumps a --procenv environments/pymidas_HVHV_r62_mf.env</v>
      </c>
      <c r="P939" t="str">
        <f t="shared" si="26"/>
        <v>"07170527_1539", "07170527_1639", "07170527_1739", "07170527_1839", "07170527_1939", "07170527_2039", "07170527_2139", "07170527_2239", "07170527_2339", "07170528_0039"</v>
      </c>
    </row>
    <row r="940" spans="1:16">
      <c r="A940" s="55" t="s">
        <v>4414</v>
      </c>
      <c r="B940" s="55"/>
      <c r="C940" s="55"/>
      <c r="D940" s="55"/>
      <c r="E940" s="55"/>
      <c r="F940" s="55"/>
      <c r="G940" s="55"/>
      <c r="H940" s="55"/>
      <c r="I940" s="55"/>
      <c r="J940" s="129"/>
      <c r="K940" s="55"/>
      <c r="L940" s="55"/>
      <c r="M940" s="55"/>
      <c r="N940" t="s">
        <v>2246</v>
      </c>
      <c r="O940" t="str">
        <f t="shared" si="25"/>
        <v>condorProc.py --series 07170528_0140 --donoise --dumps a --procenv environments/pymidas_HVHV_r62_mf.env</v>
      </c>
      <c r="P940" t="str">
        <f t="shared" si="26"/>
        <v>"07170527_1539", "07170527_1639", "07170527_1739", "07170527_1839", "07170527_1939", "07170527_2039", "07170527_2139", "07170527_2239", "07170527_2339", "07170528_0039", "07170528_0140"</v>
      </c>
    </row>
    <row r="941" spans="1:16">
      <c r="A941" s="55" t="s">
        <v>4415</v>
      </c>
      <c r="B941" s="55"/>
      <c r="C941" s="55"/>
      <c r="D941" s="55"/>
      <c r="E941" s="55"/>
      <c r="F941" s="55"/>
      <c r="G941" s="55"/>
      <c r="H941" s="55"/>
      <c r="I941" s="55"/>
      <c r="J941" s="129"/>
      <c r="K941" s="55"/>
      <c r="L941" s="55"/>
      <c r="M941" s="55"/>
      <c r="N941" t="s">
        <v>2246</v>
      </c>
      <c r="O941" t="str">
        <f t="shared" si="25"/>
        <v>condorProc.py --series 07170528_0240 --donoise --dumps a --procenv environments/pymidas_HVHV_r62_mf.env</v>
      </c>
      <c r="P941" t="str">
        <f t="shared" si="26"/>
        <v>"07170527_1539", "07170527_1639", "07170527_1739", "07170527_1839", "07170527_1939", "07170527_2039", "07170527_2139", "07170527_2239", "07170527_2339", "07170528_0039", "07170528_0140", "07170528_0240"</v>
      </c>
    </row>
    <row r="942" spans="1:16">
      <c r="A942" s="55" t="s">
        <v>4416</v>
      </c>
      <c r="B942" s="55"/>
      <c r="C942" s="55"/>
      <c r="D942" s="55"/>
      <c r="E942" s="55"/>
      <c r="F942" s="55"/>
      <c r="G942" s="55"/>
      <c r="H942" s="55"/>
      <c r="I942" s="55"/>
      <c r="J942" s="129"/>
      <c r="K942" s="55"/>
      <c r="L942" s="55"/>
      <c r="M942" s="55"/>
      <c r="N942" t="s">
        <v>2246</v>
      </c>
      <c r="O942" t="str">
        <f t="shared" si="25"/>
        <v>condorProc.py --series 07170528_0340 --donoise --dumps a --procenv environments/pymidas_HVHV_r62_mf.env</v>
      </c>
      <c r="P942" t="str">
        <f t="shared" si="26"/>
        <v>"07170527_1539", "07170527_1639", "07170527_1739", "07170527_1839", "07170527_1939", "07170527_2039", "07170527_2139", "07170527_2239", "07170527_2339", "07170528_0039", "07170528_0140", "07170528_0240", "07170528_0340"</v>
      </c>
    </row>
    <row r="943" spans="1:16">
      <c r="A943" s="55" t="s">
        <v>4417</v>
      </c>
      <c r="B943" s="55"/>
      <c r="C943" s="55"/>
      <c r="D943" s="55"/>
      <c r="E943" s="55"/>
      <c r="F943" s="55"/>
      <c r="G943" s="55"/>
      <c r="H943" s="55"/>
      <c r="I943" s="55"/>
      <c r="J943" s="129"/>
      <c r="K943" s="55"/>
      <c r="L943" s="55"/>
      <c r="M943" s="55"/>
      <c r="N943" t="s">
        <v>2246</v>
      </c>
      <c r="O943" t="str">
        <f t="shared" si="25"/>
        <v>condorProc.py --series 07170528_0440 --donoise --dumps a --procenv environments/pymidas_HVHV_r62_mf.env</v>
      </c>
      <c r="P943" t="str">
        <f t="shared" si="26"/>
        <v>"07170527_1539", "07170527_1639", "07170527_1739", "07170527_1839", "07170527_1939", "07170527_2039", "07170527_2139", "07170527_2239", "07170527_2339", "07170528_0039", "07170528_0140", "07170528_0240", "07170528_0340", "07170528_0440"</v>
      </c>
    </row>
    <row r="944" spans="1:16">
      <c r="A944" s="55" t="s">
        <v>4418</v>
      </c>
      <c r="B944" s="55"/>
      <c r="C944" s="55"/>
      <c r="D944" s="55"/>
      <c r="E944" s="55"/>
      <c r="F944" s="55"/>
      <c r="G944" s="55"/>
      <c r="H944" s="55"/>
      <c r="I944" s="55"/>
      <c r="J944" s="129"/>
      <c r="K944" s="55"/>
      <c r="L944" s="55"/>
      <c r="M944" s="55"/>
      <c r="N944" t="s">
        <v>2246</v>
      </c>
      <c r="O944" t="str">
        <f t="shared" si="25"/>
        <v>condorProc.py --series 07170528_0540 --donoise --dumps a --procenv environments/pymidas_HVHV_r62_mf.env</v>
      </c>
      <c r="P944" t="str">
        <f t="shared" si="26"/>
        <v>"07170527_1539", "07170527_1639", "07170527_1739", "07170527_1839", "07170527_1939", "07170527_2039", "07170527_2139", "07170527_2239", "07170527_2339", "07170528_0039", "07170528_0140", "07170528_0240", "07170528_0340", "07170528_0440", "07170528_0540"</v>
      </c>
    </row>
    <row r="945" spans="1:16">
      <c r="A945" s="55" t="s">
        <v>4419</v>
      </c>
      <c r="B945" s="55"/>
      <c r="C945" s="55"/>
      <c r="D945" s="55"/>
      <c r="E945" s="55"/>
      <c r="F945" s="55"/>
      <c r="G945" s="55"/>
      <c r="H945" s="55"/>
      <c r="I945" s="55"/>
      <c r="J945" s="129"/>
      <c r="K945" s="55"/>
      <c r="L945" s="55"/>
      <c r="M945" s="55"/>
      <c r="N945" t="s">
        <v>2246</v>
      </c>
      <c r="O945" t="str">
        <f t="shared" si="25"/>
        <v>condorProc.py --series 07170528_0640 --donoise --dumps a --procenv environments/pymidas_HVHV_r62_mf.env</v>
      </c>
      <c r="P945" t="str">
        <f t="shared" si="26"/>
        <v>"07170527_1539", "07170527_1639", "07170527_1739", "07170527_1839", "07170527_1939", "07170527_2039", "07170527_2139", "07170527_2239", "07170527_2339", "07170528_0039", "07170528_0140", "07170528_0240", "07170528_0340", "07170528_0440", "07170528_0540", "07170528_0640"</v>
      </c>
    </row>
    <row r="946" spans="1:16">
      <c r="A946" s="55" t="s">
        <v>4420</v>
      </c>
      <c r="B946" s="55"/>
      <c r="C946" s="55"/>
      <c r="D946" s="55"/>
      <c r="E946" s="55"/>
      <c r="F946" s="55"/>
      <c r="G946" s="55"/>
      <c r="H946" s="55"/>
      <c r="I946" s="55"/>
      <c r="J946" s="129"/>
      <c r="K946" s="55"/>
      <c r="L946" s="55"/>
      <c r="M946" s="55"/>
      <c r="N946" t="s">
        <v>2246</v>
      </c>
      <c r="O946" t="str">
        <f t="shared" si="25"/>
        <v>condorProc.py --series 07170528_0740 --donoise --dumps a --procenv environments/pymidas_HVHV_r62_mf.env</v>
      </c>
      <c r="P946" t="str">
        <f t="shared" si="26"/>
        <v>"07170527_1539", "07170527_1639", "07170527_1739", "07170527_1839", "07170527_1939", "07170527_2039", "07170527_2139", "07170527_2239", "07170527_2339", "07170528_0039", "07170528_0140", "07170528_0240", "07170528_0340", "07170528_0440", "07170528_0540", "07170528_0640", "07170528_0740"</v>
      </c>
    </row>
    <row r="947" spans="1:16">
      <c r="A947" s="55" t="s">
        <v>4421</v>
      </c>
      <c r="B947" s="55"/>
      <c r="C947" s="55"/>
      <c r="D947" s="55"/>
      <c r="E947" s="55"/>
      <c r="F947" s="55"/>
      <c r="G947" s="55"/>
      <c r="H947" s="55"/>
      <c r="I947" s="55"/>
      <c r="J947" s="129"/>
      <c r="K947" s="55">
        <v>99.7</v>
      </c>
      <c r="L947" s="55"/>
      <c r="M947" s="55"/>
      <c r="N947" t="s">
        <v>2246</v>
      </c>
      <c r="O947" t="str">
        <f t="shared" si="25"/>
        <v>condorProc.py --series 07170528_0840 --donoise --dumps a --procenv environments/pymidas_HVHV_r62_mf.env</v>
      </c>
      <c r="P947" t="str">
        <f t="shared" si="26"/>
        <v>"07170527_1539", "07170527_1639", "07170527_1739", "07170527_1839", "07170527_1939", "07170527_2039", "07170527_2139", "07170527_2239", "07170527_2339", "07170528_0039", "07170528_0140", "07170528_0240", "07170528_0340", "07170528_0440", "07170528_0540", "07170528_0640", "07170528_0740", "07170528_0840"</v>
      </c>
    </row>
    <row r="948" spans="1:16">
      <c r="A948" s="56" t="s">
        <v>4422</v>
      </c>
      <c r="B948" s="56"/>
      <c r="C948" s="56"/>
      <c r="D948" s="56"/>
      <c r="E948" s="56"/>
      <c r="F948" s="56"/>
      <c r="G948" s="122" t="s">
        <v>18</v>
      </c>
      <c r="H948" s="123"/>
      <c r="I948" s="123"/>
      <c r="J948" s="130" t="s">
        <v>2701</v>
      </c>
      <c r="K948" s="56">
        <v>9.9499999999999993</v>
      </c>
      <c r="L948" s="125" t="s">
        <v>4371</v>
      </c>
      <c r="M948" s="56" t="s">
        <v>4423</v>
      </c>
    </row>
    <row r="949" spans="1:16">
      <c r="A949" s="56" t="s">
        <v>4424</v>
      </c>
      <c r="B949" s="56"/>
      <c r="C949" s="56"/>
      <c r="D949" s="56"/>
      <c r="E949" s="56"/>
      <c r="F949" s="56"/>
      <c r="G949" s="56"/>
      <c r="H949" s="56"/>
      <c r="I949" s="56"/>
      <c r="J949" s="131"/>
      <c r="K949" s="56"/>
      <c r="L949" s="56"/>
      <c r="M949" s="56" t="s">
        <v>4423</v>
      </c>
    </row>
    <row r="950" spans="1:16">
      <c r="A950" s="56" t="s">
        <v>4425</v>
      </c>
      <c r="B950" s="56"/>
      <c r="C950" s="56"/>
      <c r="D950" s="56"/>
      <c r="E950" s="56"/>
      <c r="F950" s="56"/>
      <c r="G950" s="56"/>
      <c r="H950" s="56"/>
      <c r="I950" s="56"/>
      <c r="J950" s="131"/>
      <c r="K950" s="56"/>
      <c r="L950" s="56"/>
      <c r="M950" s="56" t="s">
        <v>4423</v>
      </c>
    </row>
    <row r="951" spans="1:16">
      <c r="A951" s="56" t="s">
        <v>4426</v>
      </c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t="s">
        <v>2246</v>
      </c>
      <c r="O951" t="str">
        <f t="shared" ref="O951:O965" si="27">"condorProc.py --series "&amp;A951&amp;" --donoise --dumps a --procenv environments/pymidas_HVHV_r62_mf.env"</f>
        <v>condorProc.py --series 07170528_1732 --donoise --dumps a --procenv environments/pymidas_HVHV_r62_mf.env</v>
      </c>
      <c r="P951" t="str">
        <f>""""&amp;A951&amp;""""</f>
        <v>"07170528_1732"</v>
      </c>
    </row>
    <row r="952" spans="1:16">
      <c r="A952" s="56" t="s">
        <v>4427</v>
      </c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t="s">
        <v>2246</v>
      </c>
      <c r="O952" t="str">
        <f t="shared" si="27"/>
        <v>condorProc.py --series 07170528_1832 --donoise --dumps a --procenv environments/pymidas_HVHV_r62_mf.env</v>
      </c>
      <c r="P952" t="str">
        <f>P951&amp;", """&amp;A952&amp;""""</f>
        <v>"07170528_1732", "07170528_1832"</v>
      </c>
    </row>
    <row r="953" spans="1:16">
      <c r="A953" s="56" t="s">
        <v>4428</v>
      </c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t="s">
        <v>2246</v>
      </c>
      <c r="O953" t="str">
        <f t="shared" si="27"/>
        <v>condorProc.py --series 07170528_1932 --donoise --dumps a --procenv environments/pymidas_HVHV_r62_mf.env</v>
      </c>
      <c r="P953" t="str">
        <f t="shared" ref="P953:P965" si="28">P952&amp;", """&amp;A953&amp;""""</f>
        <v>"07170528_1732", "07170528_1832", "07170528_1932"</v>
      </c>
    </row>
    <row r="954" spans="1:16">
      <c r="A954" s="56" t="s">
        <v>4429</v>
      </c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t="s">
        <v>2246</v>
      </c>
      <c r="O954" t="str">
        <f t="shared" si="27"/>
        <v>condorProc.py --series 07170528_2032 --donoise --dumps a --procenv environments/pymidas_HVHV_r62_mf.env</v>
      </c>
      <c r="P954" t="str">
        <f t="shared" si="28"/>
        <v>"07170528_1732", "07170528_1832", "07170528_1932", "07170528_2032"</v>
      </c>
    </row>
    <row r="955" spans="1:16">
      <c r="A955" s="56" t="s">
        <v>4430</v>
      </c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t="s">
        <v>2246</v>
      </c>
      <c r="O955" t="str">
        <f t="shared" si="27"/>
        <v>condorProc.py --series 07170528_2132 --donoise --dumps a --procenv environments/pymidas_HVHV_r62_mf.env</v>
      </c>
      <c r="P955" t="str">
        <f t="shared" si="28"/>
        <v>"07170528_1732", "07170528_1832", "07170528_1932", "07170528_2032", "07170528_2132"</v>
      </c>
    </row>
    <row r="956" spans="1:16">
      <c r="A956" s="56" t="s">
        <v>4431</v>
      </c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t="s">
        <v>2246</v>
      </c>
      <c r="O956" t="str">
        <f t="shared" si="27"/>
        <v>condorProc.py --series 07170528_2232 --donoise --dumps a --procenv environments/pymidas_HVHV_r62_mf.env</v>
      </c>
      <c r="P956" t="str">
        <f t="shared" si="28"/>
        <v>"07170528_1732", "07170528_1832", "07170528_1932", "07170528_2032", "07170528_2132", "07170528_2232"</v>
      </c>
    </row>
    <row r="957" spans="1:16">
      <c r="A957" s="56" t="s">
        <v>4432</v>
      </c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t="s">
        <v>2246</v>
      </c>
      <c r="O957" t="str">
        <f t="shared" si="27"/>
        <v>condorProc.py --series 07170528_2332 --donoise --dumps a --procenv environments/pymidas_HVHV_r62_mf.env</v>
      </c>
      <c r="P957" t="str">
        <f t="shared" si="28"/>
        <v>"07170528_1732", "07170528_1832", "07170528_1932", "07170528_2032", "07170528_2132", "07170528_2232", "07170528_2332"</v>
      </c>
    </row>
    <row r="958" spans="1:16">
      <c r="A958" s="56" t="s">
        <v>4433</v>
      </c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t="s">
        <v>2246</v>
      </c>
      <c r="O958" t="str">
        <f t="shared" si="27"/>
        <v>condorProc.py --series 07170529_0032 --donoise --dumps a --procenv environments/pymidas_HVHV_r62_mf.env</v>
      </c>
      <c r="P958" t="str">
        <f t="shared" si="28"/>
        <v>"07170528_1732", "07170528_1832", "07170528_1932", "07170528_2032", "07170528_2132", "07170528_2232", "07170528_2332", "07170529_0032"</v>
      </c>
    </row>
    <row r="959" spans="1:16">
      <c r="A959" s="56" t="s">
        <v>4434</v>
      </c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t="s">
        <v>2246</v>
      </c>
      <c r="O959" t="str">
        <f t="shared" si="27"/>
        <v>condorProc.py --series 07170529_0133 --donoise --dumps a --procenv environments/pymidas_HVHV_r62_mf.env</v>
      </c>
      <c r="P959" t="str">
        <f t="shared" si="28"/>
        <v>"07170528_1732", "07170528_1832", "07170528_1932", "07170528_2032", "07170528_2132", "07170528_2232", "07170528_2332", "07170529_0032", "07170529_0133"</v>
      </c>
    </row>
    <row r="960" spans="1:16">
      <c r="A960" s="56" t="s">
        <v>4435</v>
      </c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t="s">
        <v>2246</v>
      </c>
      <c r="O960" t="str">
        <f t="shared" si="27"/>
        <v>condorProc.py --series 07170529_0233 --donoise --dumps a --procenv environments/pymidas_HVHV_r62_mf.env</v>
      </c>
      <c r="P960" t="str">
        <f t="shared" si="28"/>
        <v>"07170528_1732", "07170528_1832", "07170528_1932", "07170528_2032", "07170528_2132", "07170528_2232", "07170528_2332", "07170529_0032", "07170529_0133", "07170529_0233"</v>
      </c>
    </row>
    <row r="961" spans="1:21">
      <c r="A961" s="56" t="s">
        <v>4436</v>
      </c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t="s">
        <v>2246</v>
      </c>
      <c r="O961" t="str">
        <f t="shared" si="27"/>
        <v>condorProc.py --series 07170529_0333 --donoise --dumps a --procenv environments/pymidas_HVHV_r62_mf.env</v>
      </c>
      <c r="P961" t="str">
        <f t="shared" si="28"/>
        <v>"07170528_1732", "07170528_1832", "07170528_1932", "07170528_2032", "07170528_2132", "07170528_2232", "07170528_2332", "07170529_0032", "07170529_0133", "07170529_0233", "07170529_0333"</v>
      </c>
    </row>
    <row r="962" spans="1:21">
      <c r="A962" s="56" t="s">
        <v>4437</v>
      </c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t="s">
        <v>2246</v>
      </c>
      <c r="O962" t="str">
        <f t="shared" si="27"/>
        <v>condorProc.py --series 07170529_0433 --donoise --dumps a --procenv environments/pymidas_HVHV_r62_mf.env</v>
      </c>
      <c r="P962" t="str">
        <f t="shared" si="28"/>
        <v>"07170528_1732", "07170528_1832", "07170528_1932", "07170528_2032", "07170528_2132", "07170528_2232", "07170528_2332", "07170529_0032", "07170529_0133", "07170529_0233", "07170529_0333", "07170529_0433"</v>
      </c>
    </row>
    <row r="963" spans="1:21">
      <c r="A963" s="56" t="s">
        <v>4438</v>
      </c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t="s">
        <v>2246</v>
      </c>
      <c r="O963" t="str">
        <f t="shared" si="27"/>
        <v>condorProc.py --series 07170529_0533 --donoise --dumps a --procenv environments/pymidas_HVHV_r62_mf.env</v>
      </c>
      <c r="P963" t="str">
        <f t="shared" si="28"/>
        <v>"07170528_1732", "07170528_1832", "07170528_1932", "07170528_2032", "07170528_2132", "07170528_2232", "07170528_2332", "07170529_0032", "07170529_0133", "07170529_0233", "07170529_0333", "07170529_0433", "07170529_0533"</v>
      </c>
    </row>
    <row r="964" spans="1:21">
      <c r="A964" s="56" t="s">
        <v>4439</v>
      </c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t="s">
        <v>2246</v>
      </c>
      <c r="O964" t="str">
        <f t="shared" si="27"/>
        <v>condorProc.py --series 07170529_0633 --donoise --dumps a --procenv environments/pymidas_HVHV_r62_mf.env</v>
      </c>
      <c r="P964" t="str">
        <f t="shared" si="28"/>
        <v>"07170528_1732", "07170528_1832", "07170528_1932", "07170528_2032", "07170528_2132", "07170528_2232", "07170528_2332", "07170529_0032", "07170529_0133", "07170529_0233", "07170529_0333", "07170529_0433", "07170529_0533", "07170529_0633"</v>
      </c>
    </row>
    <row r="965" spans="1:21">
      <c r="A965" s="56" t="s">
        <v>4440</v>
      </c>
      <c r="B965" s="56"/>
      <c r="C965" s="56"/>
      <c r="D965" s="56"/>
      <c r="E965" s="56"/>
      <c r="F965" s="56"/>
      <c r="G965" s="56"/>
      <c r="H965" s="56"/>
      <c r="I965" s="56"/>
      <c r="J965" s="56"/>
      <c r="K965" s="56">
        <v>9.7200000000000006</v>
      </c>
      <c r="L965" s="56"/>
      <c r="M965" s="56"/>
      <c r="N965" t="s">
        <v>2246</v>
      </c>
      <c r="O965" t="str">
        <f t="shared" si="27"/>
        <v>condorProc.py --series 07170529_0733 --donoise --dumps a --procenv environments/pymidas_HVHV_r62_mf.env</v>
      </c>
      <c r="P965" t="str">
        <f t="shared" si="28"/>
        <v>"07170528_1732", "07170528_1832", "07170528_1932", "07170528_2032", "07170528_2132", "07170528_2232", "07170528_2332", "07170529_0032", "07170529_0133", "07170529_0233", "07170529_0333", "07170529_0433", "07170529_0533", "07170529_0633", "07170529_0733"</v>
      </c>
    </row>
    <row r="966" spans="1:21">
      <c r="A966" s="57" t="s">
        <v>4441</v>
      </c>
      <c r="B966" s="57"/>
      <c r="C966" s="57"/>
      <c r="D966" s="57"/>
      <c r="E966" s="57"/>
      <c r="F966" s="57"/>
      <c r="G966" s="132" t="s">
        <v>18</v>
      </c>
      <c r="H966" s="133"/>
      <c r="I966" s="133"/>
      <c r="J966" s="134" t="s">
        <v>2701</v>
      </c>
      <c r="K966" s="57">
        <v>29.3</v>
      </c>
      <c r="L966" s="135" t="s">
        <v>4371</v>
      </c>
      <c r="M966" s="57" t="s">
        <v>4442</v>
      </c>
    </row>
    <row r="967" spans="1:21">
      <c r="A967" s="57" t="s">
        <v>4443</v>
      </c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 t="s">
        <v>4442</v>
      </c>
    </row>
    <row r="968" spans="1:21">
      <c r="A968" s="57" t="s">
        <v>4444</v>
      </c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 t="s">
        <v>4445</v>
      </c>
      <c r="N968" t="s">
        <v>2246</v>
      </c>
      <c r="O968" t="str">
        <f t="shared" ref="O968:O983" si="29">"condorProc.py --series "&amp;A968&amp;" --donoise --dumps a --procenv environments/pymidas_HVHV_r62_mf.env"</f>
        <v>condorProc.py --series 07170529_1627 --donoise --dumps a --procenv environments/pymidas_HVHV_r62_mf.env</v>
      </c>
      <c r="P968" t="str">
        <f>""""&amp;A968&amp;""""</f>
        <v>"07170529_1627"</v>
      </c>
    </row>
    <row r="969" spans="1:21">
      <c r="A969" s="57" t="s">
        <v>4446</v>
      </c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t="s">
        <v>2246</v>
      </c>
      <c r="O969" t="str">
        <f t="shared" si="29"/>
        <v>condorProc.py --series 07170529_1727 --donoise --dumps a --procenv environments/pymidas_HVHV_r62_mf.env</v>
      </c>
      <c r="P969" t="str">
        <f>P968&amp;", """&amp;A969&amp;""""</f>
        <v>"07170529_1627", "07170529_1727"</v>
      </c>
    </row>
    <row r="970" spans="1:21">
      <c r="A970" s="57" t="s">
        <v>4447</v>
      </c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t="s">
        <v>2246</v>
      </c>
      <c r="O970" t="str">
        <f t="shared" si="29"/>
        <v>condorProc.py --series 07170529_1827 --donoise --dumps a --procenv environments/pymidas_HVHV_r62_mf.env</v>
      </c>
      <c r="P970" t="str">
        <f t="shared" ref="P970:P983" si="30">P969&amp;", """&amp;A970&amp;""""</f>
        <v>"07170529_1627", "07170529_1727", "07170529_1827"</v>
      </c>
    </row>
    <row r="971" spans="1:21">
      <c r="A971" s="57" t="s">
        <v>4448</v>
      </c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t="s">
        <v>2246</v>
      </c>
      <c r="O971" t="str">
        <f t="shared" si="29"/>
        <v>condorProc.py --series 07170529_1927 --donoise --dumps a --procenv environments/pymidas_HVHV_r62_mf.env</v>
      </c>
      <c r="P971" t="str">
        <f t="shared" si="30"/>
        <v>"07170529_1627", "07170529_1727", "07170529_1827", "07170529_1927"</v>
      </c>
    </row>
    <row r="972" spans="1:21">
      <c r="A972" s="57" t="s">
        <v>4449</v>
      </c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t="s">
        <v>2246</v>
      </c>
      <c r="O972" t="str">
        <f t="shared" si="29"/>
        <v>condorProc.py --series 07170529_2027 --donoise --dumps a --procenv environments/pymidas_HVHV_r62_mf.env</v>
      </c>
      <c r="P972" t="str">
        <f t="shared" si="30"/>
        <v>"07170529_1627", "07170529_1727", "07170529_1827", "07170529_1927", "07170529_2027"</v>
      </c>
      <c r="T972" t="s">
        <v>2158</v>
      </c>
      <c r="U972">
        <v>250</v>
      </c>
    </row>
    <row r="973" spans="1:21">
      <c r="A973" s="57" t="s">
        <v>4450</v>
      </c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t="s">
        <v>2246</v>
      </c>
      <c r="O973" t="str">
        <f t="shared" si="29"/>
        <v>condorProc.py --series 07170529_2127 --donoise --dumps a --procenv environments/pymidas_HVHV_r62_mf.env</v>
      </c>
      <c r="P973" t="str">
        <f t="shared" si="30"/>
        <v>"07170529_1627", "07170529_1727", "07170529_1827", "07170529_1927", "07170529_2027", "07170529_2127"</v>
      </c>
      <c r="T973" t="s">
        <v>4451</v>
      </c>
      <c r="U973">
        <v>50</v>
      </c>
    </row>
    <row r="974" spans="1:21">
      <c r="A974" s="57" t="s">
        <v>4452</v>
      </c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t="s">
        <v>2246</v>
      </c>
      <c r="O974" t="str">
        <f t="shared" si="29"/>
        <v>condorProc.py --series 07170529_2227 --donoise --dumps a --procenv environments/pymidas_HVHV_r62_mf.env</v>
      </c>
      <c r="P974" t="str">
        <f t="shared" si="30"/>
        <v>"07170529_1627", "07170529_1727", "07170529_1827", "07170529_1927", "07170529_2027", "07170529_2127", "07170529_2227"</v>
      </c>
      <c r="T974" t="s">
        <v>4453</v>
      </c>
      <c r="U974">
        <v>0.2</v>
      </c>
    </row>
    <row r="975" spans="1:21">
      <c r="A975" s="57" t="s">
        <v>4454</v>
      </c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t="s">
        <v>2246</v>
      </c>
      <c r="O975" t="str">
        <f t="shared" si="29"/>
        <v>condorProc.py --series 07170529_2328 --donoise --dumps a --procenv environments/pymidas_HVHV_r62_mf.env</v>
      </c>
      <c r="P975" t="str">
        <f t="shared" si="30"/>
        <v>"07170529_1627", "07170529_1727", "07170529_1827", "07170529_1927", "07170529_2027", "07170529_2127", "07170529_2227", "07170529_2328"</v>
      </c>
    </row>
    <row r="976" spans="1:21">
      <c r="A976" s="57" t="s">
        <v>4455</v>
      </c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t="s">
        <v>2246</v>
      </c>
      <c r="O976" t="str">
        <f t="shared" si="29"/>
        <v>condorProc.py --series 07170530_0028 --donoise --dumps a --procenv environments/pymidas_HVHV_r62_mf.env</v>
      </c>
      <c r="P976" t="str">
        <f t="shared" si="30"/>
        <v>"07170529_1627", "07170529_1727", "07170529_1827", "07170529_1927", "07170529_2027", "07170529_2127", "07170529_2227", "07170529_2328", "07170530_0028"</v>
      </c>
      <c r="T976" t="s">
        <v>4456</v>
      </c>
      <c r="U976">
        <v>5</v>
      </c>
    </row>
    <row r="977" spans="1:21">
      <c r="A977" s="57" t="s">
        <v>4457</v>
      </c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t="s">
        <v>2246</v>
      </c>
      <c r="O977" t="str">
        <f t="shared" si="29"/>
        <v>condorProc.py --series 07170530_0128 --donoise --dumps a --procenv environments/pymidas_HVHV_r62_mf.env</v>
      </c>
      <c r="P977" t="str">
        <f t="shared" si="30"/>
        <v>"07170529_1627", "07170529_1727", "07170529_1827", "07170529_1927", "07170529_2027", "07170529_2127", "07170529_2227", "07170529_2328", "07170530_0028", "07170530_0128"</v>
      </c>
    </row>
    <row r="978" spans="1:21">
      <c r="A978" s="57" t="s">
        <v>4458</v>
      </c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t="s">
        <v>2158</v>
      </c>
      <c r="O978" t="str">
        <f t="shared" si="29"/>
        <v>condorProc.py --series 07170530_0228 --donoise --dumps a --procenv environments/pymidas_HVHV_r62_mf.env</v>
      </c>
      <c r="P978" t="str">
        <f t="shared" si="30"/>
        <v>"07170529_1627", "07170529_1727", "07170529_1827", "07170529_1927", "07170529_2027", "07170529_2127", "07170529_2227", "07170529_2328", "07170530_0028", "07170530_0128", "07170530_0228"</v>
      </c>
    </row>
    <row r="979" spans="1:21">
      <c r="A979" s="57" t="s">
        <v>4459</v>
      </c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t="s">
        <v>2158</v>
      </c>
      <c r="O979" t="str">
        <f t="shared" si="29"/>
        <v>condorProc.py --series 07170530_0328 --donoise --dumps a --procenv environments/pymidas_HVHV_r62_mf.env</v>
      </c>
      <c r="P979" t="str">
        <f t="shared" si="30"/>
        <v>"07170529_1627", "07170529_1727", "07170529_1827", "07170529_1927", "07170529_2027", "07170529_2127", "07170529_2227", "07170529_2328", "07170530_0028", "07170530_0128", "07170530_0228", "07170530_0328"</v>
      </c>
    </row>
    <row r="980" spans="1:21">
      <c r="A980" s="57" t="s">
        <v>4460</v>
      </c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t="s">
        <v>2158</v>
      </c>
      <c r="O980" t="str">
        <f t="shared" si="29"/>
        <v>condorProc.py --series 07170530_0428 --donoise --dumps a --procenv environments/pymidas_HVHV_r62_mf.env</v>
      </c>
      <c r="P980" t="str">
        <f t="shared" si="30"/>
        <v>"07170529_1627", "07170529_1727", "07170529_1827", "07170529_1927", "07170529_2027", "07170529_2127", "07170529_2227", "07170529_2328", "07170530_0028", "07170530_0128", "07170530_0228", "07170530_0328", "07170530_0428"</v>
      </c>
    </row>
    <row r="981" spans="1:21">
      <c r="A981" s="57" t="s">
        <v>4461</v>
      </c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t="s">
        <v>2158</v>
      </c>
      <c r="O981" t="str">
        <f t="shared" si="29"/>
        <v>condorProc.py --series 07170530_0528 --donoise --dumps a --procenv environments/pymidas_HVHV_r62_mf.env</v>
      </c>
      <c r="P981" t="str">
        <f t="shared" si="30"/>
        <v>"07170529_1627", "07170529_1727", "07170529_1827", "07170529_1927", "07170529_2027", "07170529_2127", "07170529_2227", "07170529_2328", "07170530_0028", "07170530_0128", "07170530_0228", "07170530_0328", "07170530_0428", "07170530_0528"</v>
      </c>
    </row>
    <row r="982" spans="1:21">
      <c r="A982" s="57" t="s">
        <v>4462</v>
      </c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t="s">
        <v>2158</v>
      </c>
      <c r="O982" t="str">
        <f t="shared" si="29"/>
        <v>condorProc.py --series 07170530_0628 --donoise --dumps a --procenv environments/pymidas_HVHV_r62_mf.env</v>
      </c>
      <c r="P982" t="str">
        <f t="shared" si="30"/>
        <v>"07170529_1627", "07170529_1727", "07170529_1827", "07170529_1927", "07170529_2027", "07170529_2127", "07170529_2227", "07170529_2328", "07170530_0028", "07170530_0128", "07170530_0228", "07170530_0328", "07170530_0428", "07170530_0528", "07170530_0628"</v>
      </c>
      <c r="T982" t="s">
        <v>4463</v>
      </c>
      <c r="U982">
        <f>(U972-U973)/U974</f>
        <v>1000</v>
      </c>
    </row>
    <row r="983" spans="1:21">
      <c r="A983" s="57" t="s">
        <v>4464</v>
      </c>
      <c r="B983" s="57"/>
      <c r="C983" s="57"/>
      <c r="D983" s="57"/>
      <c r="E983" s="57"/>
      <c r="F983" s="57"/>
      <c r="G983" s="57"/>
      <c r="H983" s="57"/>
      <c r="I983" s="57"/>
      <c r="J983" s="57"/>
      <c r="K983" s="57">
        <v>29.7</v>
      </c>
      <c r="L983" s="57"/>
      <c r="M983" s="57"/>
      <c r="N983" t="s">
        <v>2158</v>
      </c>
      <c r="O983" t="str">
        <f t="shared" si="29"/>
        <v>condorProc.py --series 07170530_0728 --donoise --dumps a --procenv environments/pymidas_HVHV_r62_mf.env</v>
      </c>
      <c r="P983" t="str">
        <f t="shared" si="30"/>
        <v>"07170529_1627", "07170529_1727", "07170529_1827", "07170529_1927", "07170529_2027", "07170529_2127", "07170529_2227", "07170529_2328", "07170530_0028", "07170530_0128", "07170530_0228", "07170530_0328", "07170530_0428", "07170530_0528", "07170530_0628", "07170530_0728"</v>
      </c>
      <c r="T983" t="s">
        <v>4465</v>
      </c>
      <c r="U983">
        <f>U982*U976</f>
        <v>5000</v>
      </c>
    </row>
    <row r="984" spans="1:21">
      <c r="A984" s="136" t="s">
        <v>4466</v>
      </c>
      <c r="B984" s="136"/>
      <c r="C984" s="136"/>
      <c r="D984" s="136"/>
      <c r="E984" s="136"/>
      <c r="F984" s="136"/>
      <c r="G984" s="137" t="s">
        <v>18</v>
      </c>
      <c r="H984" s="138"/>
      <c r="I984" s="138"/>
      <c r="J984" s="138" t="s">
        <v>4467</v>
      </c>
      <c r="K984" s="138">
        <v>0</v>
      </c>
      <c r="L984" s="138" t="s">
        <v>4468</v>
      </c>
      <c r="M984" s="139" t="s">
        <v>4469</v>
      </c>
      <c r="T984" t="s">
        <v>4470</v>
      </c>
      <c r="U984">
        <f>U983/60/60</f>
        <v>1.3888888888888888</v>
      </c>
    </row>
    <row r="985" spans="1:21">
      <c r="A985" s="136" t="s">
        <v>4471</v>
      </c>
      <c r="B985" s="136"/>
      <c r="C985" s="136"/>
      <c r="D985" s="136"/>
      <c r="E985" s="136"/>
      <c r="F985" s="136"/>
      <c r="G985" s="136"/>
      <c r="H985" s="136"/>
      <c r="I985" s="136"/>
      <c r="J985" s="136"/>
      <c r="K985" s="136"/>
      <c r="L985" s="136"/>
      <c r="M985" s="140" t="s">
        <v>4472</v>
      </c>
    </row>
    <row r="986" spans="1:21">
      <c r="A986" s="136" t="s">
        <v>4473</v>
      </c>
      <c r="B986" s="136"/>
      <c r="C986" s="136"/>
      <c r="D986" s="136"/>
      <c r="E986" s="136"/>
      <c r="F986" s="136"/>
      <c r="G986" s="136"/>
      <c r="H986" s="136"/>
      <c r="I986" s="136"/>
      <c r="J986" s="136"/>
      <c r="K986" s="136"/>
      <c r="L986" s="136"/>
      <c r="M986" s="140"/>
    </row>
    <row r="987" spans="1:21">
      <c r="A987" s="136" t="s">
        <v>4474</v>
      </c>
      <c r="B987" s="136"/>
      <c r="C987" s="136"/>
      <c r="D987" s="136"/>
      <c r="E987" s="136"/>
      <c r="F987" s="136"/>
      <c r="G987" s="136"/>
      <c r="H987" s="136"/>
      <c r="I987" s="136"/>
      <c r="J987" s="136"/>
      <c r="K987" s="136"/>
      <c r="L987" s="136"/>
      <c r="M987" s="140"/>
    </row>
    <row r="988" spans="1:21">
      <c r="A988" s="136" t="s">
        <v>4475</v>
      </c>
      <c r="B988" s="136"/>
      <c r="C988" s="136"/>
      <c r="D988" s="136"/>
      <c r="E988" s="136"/>
      <c r="F988" s="136"/>
      <c r="G988" s="136"/>
      <c r="H988" s="136"/>
      <c r="I988" s="136"/>
      <c r="J988" s="136"/>
      <c r="K988" s="136"/>
      <c r="L988" s="136"/>
      <c r="M988" s="140"/>
    </row>
    <row r="989" spans="1:21">
      <c r="A989" s="4" t="s">
        <v>4476</v>
      </c>
      <c r="B989" s="4"/>
      <c r="C989" s="4"/>
      <c r="D989" s="4"/>
      <c r="E989" s="4"/>
      <c r="F989" s="4"/>
      <c r="G989" s="4"/>
      <c r="H989" s="4"/>
      <c r="I989" s="4"/>
      <c r="J989" s="4" t="s">
        <v>4467</v>
      </c>
      <c r="K989" s="4"/>
      <c r="L989" s="4" t="s">
        <v>4477</v>
      </c>
      <c r="M989" s="141"/>
    </row>
    <row r="990" spans="1:21">
      <c r="A990" t="s">
        <v>4478</v>
      </c>
      <c r="J990" t="s">
        <v>4467</v>
      </c>
      <c r="L990" t="s">
        <v>4479</v>
      </c>
      <c r="M990" t="s">
        <v>191</v>
      </c>
    </row>
    <row r="991" spans="1:21">
      <c r="A991" t="s">
        <v>4480</v>
      </c>
      <c r="M991" t="s">
        <v>191</v>
      </c>
    </row>
    <row r="992" spans="1:21">
      <c r="A992" t="s">
        <v>4481</v>
      </c>
      <c r="M992" t="s">
        <v>191</v>
      </c>
    </row>
    <row r="993" spans="1:13">
      <c r="A993" t="s">
        <v>4482</v>
      </c>
      <c r="M993" t="s">
        <v>191</v>
      </c>
    </row>
    <row r="994" spans="1:13">
      <c r="A994" s="136" t="s">
        <v>4483</v>
      </c>
      <c r="B994" s="136"/>
      <c r="C994" s="136"/>
      <c r="D994" s="136"/>
      <c r="E994" s="136"/>
      <c r="F994" s="136"/>
      <c r="G994" s="137" t="s">
        <v>18</v>
      </c>
      <c r="H994" s="138"/>
      <c r="I994" s="138"/>
      <c r="J994" s="138" t="s">
        <v>4467</v>
      </c>
      <c r="K994" s="138">
        <v>0</v>
      </c>
      <c r="L994" s="142" t="s">
        <v>4468</v>
      </c>
      <c r="M994" s="144" t="s">
        <v>4484</v>
      </c>
    </row>
    <row r="995" spans="1:13">
      <c r="A995" s="136" t="s">
        <v>4485</v>
      </c>
      <c r="B995" s="136"/>
      <c r="C995" s="136"/>
      <c r="D995" s="136"/>
      <c r="E995" s="136"/>
      <c r="F995" s="136"/>
      <c r="G995" s="136"/>
      <c r="H995" s="136"/>
      <c r="I995" s="136"/>
      <c r="J995" s="136"/>
      <c r="K995" s="136"/>
      <c r="L995" s="140" t="s">
        <v>4486</v>
      </c>
      <c r="M995" s="144" t="s">
        <v>4487</v>
      </c>
    </row>
    <row r="996" spans="1:13">
      <c r="A996" s="136" t="s">
        <v>4488</v>
      </c>
      <c r="B996" s="136"/>
      <c r="C996" s="136"/>
      <c r="D996" s="136"/>
      <c r="E996" s="136"/>
      <c r="F996" s="136"/>
      <c r="G996" s="136"/>
      <c r="H996" s="136"/>
      <c r="I996" s="136"/>
      <c r="J996" s="136"/>
      <c r="K996" s="136"/>
      <c r="L996" s="143" t="s">
        <v>4489</v>
      </c>
      <c r="M996" s="144" t="s">
        <v>4490</v>
      </c>
    </row>
    <row r="997" spans="1:13">
      <c r="A997" s="136" t="s">
        <v>4491</v>
      </c>
      <c r="B997" s="136"/>
      <c r="C997" s="136"/>
      <c r="D997" s="136"/>
      <c r="E997" s="136"/>
      <c r="F997" s="136"/>
      <c r="G997" s="136"/>
      <c r="H997" s="136"/>
      <c r="I997" s="136"/>
      <c r="J997" s="136"/>
      <c r="K997" s="136"/>
      <c r="L997" s="136"/>
      <c r="M997" s="144" t="s">
        <v>4492</v>
      </c>
    </row>
    <row r="998" spans="1:13">
      <c r="A998" s="136" t="s">
        <v>4493</v>
      </c>
      <c r="B998" s="136"/>
      <c r="C998" s="136"/>
      <c r="D998" s="136"/>
      <c r="E998" s="136"/>
      <c r="F998" s="136"/>
      <c r="G998" s="136"/>
      <c r="H998" s="136"/>
      <c r="I998" s="136"/>
      <c r="J998" s="136"/>
      <c r="K998" s="136"/>
      <c r="L998" s="136"/>
      <c r="M998" s="144" t="s">
        <v>4494</v>
      </c>
    </row>
    <row r="999" spans="1:13">
      <c r="A999" s="4" t="s">
        <v>4495</v>
      </c>
      <c r="B999" s="4"/>
      <c r="C999" s="4"/>
      <c r="D999" s="4"/>
      <c r="E999" s="4"/>
      <c r="F999" s="4"/>
      <c r="G999" s="4"/>
      <c r="H999" s="4"/>
      <c r="I999" s="4"/>
      <c r="J999" s="4" t="s">
        <v>4467</v>
      </c>
      <c r="K999" s="4"/>
      <c r="L999" s="4" t="s">
        <v>4477</v>
      </c>
      <c r="M999" s="4"/>
    </row>
    <row r="1000" spans="1:13">
      <c r="A1000" s="4" t="s">
        <v>4496</v>
      </c>
      <c r="B1000" s="4"/>
      <c r="C1000" s="4"/>
      <c r="D1000" s="4"/>
      <c r="E1000" s="4"/>
      <c r="F1000" s="4"/>
      <c r="G1000" s="4"/>
      <c r="H1000" s="4"/>
      <c r="I1000" s="4"/>
      <c r="J1000" s="4" t="s">
        <v>4467</v>
      </c>
      <c r="K1000" s="4"/>
      <c r="L1000" s="4" t="s">
        <v>4497</v>
      </c>
      <c r="M1000" s="4"/>
    </row>
    <row r="1001" spans="1:13">
      <c r="A1001" s="4" t="s">
        <v>4498</v>
      </c>
      <c r="B1001" s="4"/>
      <c r="C1001" s="4"/>
      <c r="D1001" s="4"/>
      <c r="E1001" s="4"/>
      <c r="F1001" s="4"/>
      <c r="G1001" s="4"/>
      <c r="H1001" s="4"/>
      <c r="I1001" s="4"/>
      <c r="J1001" s="4" t="s">
        <v>4467</v>
      </c>
      <c r="K1001" s="4"/>
      <c r="L1001" s="4" t="s">
        <v>4499</v>
      </c>
      <c r="M1001" s="4"/>
    </row>
    <row r="1002" spans="1:13">
      <c r="A1002" s="4" t="s">
        <v>4500</v>
      </c>
      <c r="B1002" s="4"/>
      <c r="C1002" s="4"/>
      <c r="D1002" s="4"/>
      <c r="E1002" s="4"/>
      <c r="F1002" s="4"/>
      <c r="G1002" s="4"/>
      <c r="H1002" s="4"/>
      <c r="I1002" s="4"/>
      <c r="J1002" s="4" t="s">
        <v>4467</v>
      </c>
      <c r="K1002" s="4"/>
      <c r="L1002" s="4" t="s">
        <v>4499</v>
      </c>
      <c r="M1002" s="4"/>
    </row>
    <row r="1003" spans="1:13">
      <c r="A1003" s="4" t="s">
        <v>4501</v>
      </c>
      <c r="B1003" s="4"/>
      <c r="C1003" s="4"/>
      <c r="D1003" s="4"/>
      <c r="E1003" s="4"/>
      <c r="F1003" s="4"/>
      <c r="G1003" s="4"/>
      <c r="H1003" s="4"/>
      <c r="I1003" s="4"/>
      <c r="J1003" s="4" t="s">
        <v>4467</v>
      </c>
      <c r="K1003" s="4"/>
      <c r="L1003" s="4" t="s">
        <v>4499</v>
      </c>
      <c r="M1003" s="4"/>
    </row>
    <row r="1004" spans="1:13">
      <c r="A1004" s="4" t="s">
        <v>4502</v>
      </c>
      <c r="B1004" s="4"/>
      <c r="C1004" s="4"/>
      <c r="D1004" s="4"/>
      <c r="E1004" s="4"/>
      <c r="F1004" s="4"/>
      <c r="G1004" s="4"/>
      <c r="H1004" s="4"/>
      <c r="I1004" s="4"/>
      <c r="J1004" s="4" t="s">
        <v>4467</v>
      </c>
      <c r="K1004" s="4"/>
      <c r="L1004" s="4" t="s">
        <v>4499</v>
      </c>
      <c r="M1004" s="4"/>
    </row>
    <row r="1005" spans="1:13">
      <c r="A1005" s="4" t="s">
        <v>4503</v>
      </c>
      <c r="B1005" s="4"/>
      <c r="C1005" s="4"/>
      <c r="D1005" s="4"/>
      <c r="E1005" s="4"/>
      <c r="F1005" s="4"/>
      <c r="G1005" s="4"/>
      <c r="H1005" s="4"/>
      <c r="I1005" s="4"/>
      <c r="J1005" s="4" t="s">
        <v>4467</v>
      </c>
      <c r="K1005" s="4"/>
      <c r="L1005" s="4" t="s">
        <v>4499</v>
      </c>
      <c r="M1005" s="4"/>
    </row>
    <row r="1006" spans="1:13">
      <c r="A1006" t="s">
        <v>4504</v>
      </c>
      <c r="L1006" t="s">
        <v>191</v>
      </c>
    </row>
    <row r="1007" spans="1:13">
      <c r="A1007" t="s">
        <v>4505</v>
      </c>
      <c r="L1007" t="s">
        <v>191</v>
      </c>
    </row>
    <row r="1008" spans="1:13">
      <c r="A1008" t="s">
        <v>4506</v>
      </c>
      <c r="L1008" t="s">
        <v>4507</v>
      </c>
    </row>
    <row r="1009" spans="1:12">
      <c r="A1009" t="s">
        <v>4508</v>
      </c>
      <c r="L1009" t="s">
        <v>4507</v>
      </c>
    </row>
    <row r="1010" spans="1:12">
      <c r="A1010" t="s">
        <v>4509</v>
      </c>
      <c r="G1010" s="145" t="s">
        <v>2248</v>
      </c>
      <c r="H1010" s="146"/>
      <c r="I1010" s="146"/>
      <c r="J1010" s="147" t="s">
        <v>3871</v>
      </c>
    </row>
    <row r="1011" spans="1:12">
      <c r="A1011" t="s">
        <v>4510</v>
      </c>
    </row>
    <row r="1012" spans="1:12">
      <c r="A1012" t="s">
        <v>4511</v>
      </c>
    </row>
    <row r="1013" spans="1:12">
      <c r="A1013" t="s">
        <v>4512</v>
      </c>
    </row>
    <row r="1014" spans="1:12">
      <c r="A1014" t="s">
        <v>4513</v>
      </c>
    </row>
    <row r="1015" spans="1:12">
      <c r="A1015" t="s">
        <v>4514</v>
      </c>
    </row>
    <row r="1016" spans="1:12">
      <c r="A1016" t="s">
        <v>4515</v>
      </c>
    </row>
    <row r="1017" spans="1:12">
      <c r="A1017" t="s">
        <v>4516</v>
      </c>
    </row>
    <row r="1018" spans="1:12">
      <c r="A1018" t="s">
        <v>4517</v>
      </c>
    </row>
    <row r="1019" spans="1:12">
      <c r="A1019" t="s">
        <v>4518</v>
      </c>
    </row>
    <row r="1020" spans="1:12">
      <c r="A1020" t="s">
        <v>4519</v>
      </c>
    </row>
    <row r="1021" spans="1:12">
      <c r="A1021" t="s">
        <v>4520</v>
      </c>
    </row>
    <row r="1022" spans="1:12">
      <c r="A1022" t="s">
        <v>4521</v>
      </c>
    </row>
    <row r="1023" spans="1:12">
      <c r="A1023" t="s">
        <v>4522</v>
      </c>
    </row>
    <row r="1024" spans="1:12">
      <c r="A1024" t="s">
        <v>4523</v>
      </c>
    </row>
    <row r="1025" spans="1:1">
      <c r="A1025" t="s">
        <v>4524</v>
      </c>
    </row>
    <row r="1026" spans="1:1">
      <c r="A1026" t="s">
        <v>4525</v>
      </c>
    </row>
    <row r="1027" spans="1:1">
      <c r="A1027" t="s">
        <v>4526</v>
      </c>
    </row>
    <row r="1028" spans="1:1">
      <c r="A1028" t="s">
        <v>4527</v>
      </c>
    </row>
    <row r="1029" spans="1:1">
      <c r="A1029" t="s">
        <v>4528</v>
      </c>
    </row>
    <row r="1030" spans="1:1">
      <c r="A1030" t="s">
        <v>4529</v>
      </c>
    </row>
    <row r="1031" spans="1:1">
      <c r="A1031" t="s">
        <v>4530</v>
      </c>
    </row>
    <row r="1032" spans="1:1">
      <c r="A1032" t="s">
        <v>4531</v>
      </c>
    </row>
    <row r="1033" spans="1:1">
      <c r="A1033" t="s">
        <v>4532</v>
      </c>
    </row>
    <row r="1034" spans="1:1">
      <c r="A1034" t="s">
        <v>4533</v>
      </c>
    </row>
    <row r="1035" spans="1:1">
      <c r="A1035" t="s">
        <v>4534</v>
      </c>
    </row>
    <row r="1036" spans="1:1">
      <c r="A1036" t="s">
        <v>4535</v>
      </c>
    </row>
    <row r="1037" spans="1:1">
      <c r="A1037" t="s">
        <v>4536</v>
      </c>
    </row>
    <row r="1038" spans="1:1">
      <c r="A1038" t="s">
        <v>4537</v>
      </c>
    </row>
    <row r="1039" spans="1:1">
      <c r="A1039" t="s">
        <v>4538</v>
      </c>
    </row>
    <row r="1040" spans="1:1">
      <c r="A1040" t="s">
        <v>4539</v>
      </c>
    </row>
    <row r="1041" spans="1:1">
      <c r="A1041" t="s">
        <v>4540</v>
      </c>
    </row>
    <row r="1042" spans="1:1">
      <c r="A1042" t="s">
        <v>4541</v>
      </c>
    </row>
    <row r="1043" spans="1:1">
      <c r="A1043" t="s">
        <v>4542</v>
      </c>
    </row>
    <row r="1044" spans="1:1">
      <c r="A1044" t="s">
        <v>4543</v>
      </c>
    </row>
    <row r="1045" spans="1:1">
      <c r="A1045" t="s">
        <v>4544</v>
      </c>
    </row>
    <row r="1046" spans="1:1">
      <c r="A1046" t="s">
        <v>4545</v>
      </c>
    </row>
    <row r="1047" spans="1:1">
      <c r="A1047" t="s">
        <v>4546</v>
      </c>
    </row>
    <row r="1048" spans="1:1">
      <c r="A1048" t="s">
        <v>4547</v>
      </c>
    </row>
    <row r="1049" spans="1:1">
      <c r="A1049" t="s">
        <v>4548</v>
      </c>
    </row>
    <row r="1050" spans="1:1">
      <c r="A1050" t="s">
        <v>4549</v>
      </c>
    </row>
    <row r="1051" spans="1:1">
      <c r="A1051" t="s">
        <v>4550</v>
      </c>
    </row>
    <row r="1052" spans="1:1">
      <c r="A1052" t="s">
        <v>4551</v>
      </c>
    </row>
    <row r="1053" spans="1:1">
      <c r="A1053" t="s">
        <v>4552</v>
      </c>
    </row>
    <row r="1054" spans="1:1">
      <c r="A1054" t="s">
        <v>4553</v>
      </c>
    </row>
    <row r="1055" spans="1:1">
      <c r="A1055" t="s">
        <v>4554</v>
      </c>
    </row>
    <row r="1056" spans="1:1">
      <c r="A1056" t="s">
        <v>4555</v>
      </c>
    </row>
    <row r="1057" spans="1:1">
      <c r="A1057" t="s">
        <v>4556</v>
      </c>
    </row>
    <row r="1058" spans="1:1">
      <c r="A1058" t="s">
        <v>4557</v>
      </c>
    </row>
    <row r="1059" spans="1:1">
      <c r="A1059" t="s">
        <v>4558</v>
      </c>
    </row>
    <row r="1060" spans="1:1">
      <c r="A1060" t="s">
        <v>4559</v>
      </c>
    </row>
    <row r="1061" spans="1:1">
      <c r="A1061" t="s">
        <v>4560</v>
      </c>
    </row>
    <row r="1062" spans="1:1">
      <c r="A1062" t="s">
        <v>4561</v>
      </c>
    </row>
    <row r="1063" spans="1:1">
      <c r="A1063" t="s">
        <v>4562</v>
      </c>
    </row>
    <row r="1064" spans="1:1">
      <c r="A1064" t="s">
        <v>4563</v>
      </c>
    </row>
    <row r="1065" spans="1:1">
      <c r="A1065" t="s">
        <v>4564</v>
      </c>
    </row>
    <row r="1066" spans="1:1">
      <c r="A1066" t="s">
        <v>4565</v>
      </c>
    </row>
    <row r="1067" spans="1:1">
      <c r="A1067" t="s">
        <v>4566</v>
      </c>
    </row>
    <row r="1068" spans="1:1">
      <c r="A1068" t="s">
        <v>4567</v>
      </c>
    </row>
    <row r="1069" spans="1:1">
      <c r="A1069" t="s">
        <v>4568</v>
      </c>
    </row>
    <row r="1070" spans="1:1">
      <c r="A1070" t="s">
        <v>4569</v>
      </c>
    </row>
    <row r="1071" spans="1:1">
      <c r="A1071" t="s">
        <v>4570</v>
      </c>
    </row>
    <row r="1072" spans="1:1">
      <c r="A1072" t="s">
        <v>4571</v>
      </c>
    </row>
    <row r="1073" spans="1:1">
      <c r="A1073" t="s">
        <v>4572</v>
      </c>
    </row>
    <row r="1074" spans="1:1">
      <c r="A1074" t="s">
        <v>4573</v>
      </c>
    </row>
    <row r="1075" spans="1:1">
      <c r="A1075" t="s">
        <v>4574</v>
      </c>
    </row>
    <row r="1076" spans="1:1">
      <c r="A1076" t="s">
        <v>4575</v>
      </c>
    </row>
    <row r="1077" spans="1:1">
      <c r="A1077" t="s">
        <v>4576</v>
      </c>
    </row>
    <row r="1078" spans="1:1">
      <c r="A1078" t="s">
        <v>4577</v>
      </c>
    </row>
    <row r="1079" spans="1:1">
      <c r="A1079" t="s">
        <v>4578</v>
      </c>
    </row>
    <row r="1080" spans="1:1">
      <c r="A1080" t="s">
        <v>4579</v>
      </c>
    </row>
    <row r="1081" spans="1:1">
      <c r="A1081" t="s">
        <v>4580</v>
      </c>
    </row>
    <row r="1082" spans="1:1">
      <c r="A1082" t="s">
        <v>4581</v>
      </c>
    </row>
    <row r="1083" spans="1:1">
      <c r="A1083" t="s">
        <v>4582</v>
      </c>
    </row>
    <row r="1084" spans="1:1">
      <c r="A1084" t="s">
        <v>4583</v>
      </c>
    </row>
    <row r="1085" spans="1:1">
      <c r="A1085" t="s">
        <v>4584</v>
      </c>
    </row>
    <row r="1086" spans="1:1">
      <c r="A1086" t="s">
        <v>4585</v>
      </c>
    </row>
    <row r="1087" spans="1:1">
      <c r="A1087" t="s">
        <v>4586</v>
      </c>
    </row>
    <row r="1088" spans="1:1">
      <c r="A1088" t="s">
        <v>4587</v>
      </c>
    </row>
    <row r="1089" spans="1:1">
      <c r="A1089" t="s">
        <v>4588</v>
      </c>
    </row>
    <row r="1090" spans="1:1">
      <c r="A1090" t="s">
        <v>4589</v>
      </c>
    </row>
    <row r="1091" spans="1:1">
      <c r="A1091" t="s">
        <v>4590</v>
      </c>
    </row>
    <row r="1092" spans="1:1">
      <c r="A1092" t="s">
        <v>4591</v>
      </c>
    </row>
    <row r="1093" spans="1:1">
      <c r="A1093" t="s">
        <v>4592</v>
      </c>
    </row>
    <row r="1094" spans="1:1">
      <c r="A1094" t="s">
        <v>4593</v>
      </c>
    </row>
    <row r="1095" spans="1:1">
      <c r="A1095" t="s">
        <v>4594</v>
      </c>
    </row>
    <row r="1096" spans="1:1">
      <c r="A1096" t="s">
        <v>4595</v>
      </c>
    </row>
    <row r="1097" spans="1:1">
      <c r="A1097" t="s">
        <v>4596</v>
      </c>
    </row>
    <row r="1098" spans="1:1">
      <c r="A1098" t="s">
        <v>4597</v>
      </c>
    </row>
    <row r="1099" spans="1:1">
      <c r="A1099" t="s">
        <v>4598</v>
      </c>
    </row>
    <row r="1100" spans="1:1">
      <c r="A1100" t="s">
        <v>4599</v>
      </c>
    </row>
    <row r="1101" spans="1:1">
      <c r="A1101" t="s">
        <v>4600</v>
      </c>
    </row>
    <row r="1102" spans="1:1">
      <c r="A1102" t="s">
        <v>4601</v>
      </c>
    </row>
    <row r="1103" spans="1:1">
      <c r="A1103" t="s">
        <v>4602</v>
      </c>
    </row>
    <row r="1104" spans="1:1">
      <c r="A1104" t="s">
        <v>4603</v>
      </c>
    </row>
    <row r="1105" spans="1:1">
      <c r="A1105" t="s">
        <v>4604</v>
      </c>
    </row>
    <row r="1106" spans="1:1">
      <c r="A1106" t="s">
        <v>4605</v>
      </c>
    </row>
    <row r="1107" spans="1:1">
      <c r="A1107" t="s">
        <v>4606</v>
      </c>
    </row>
    <row r="1108" spans="1:1">
      <c r="A1108" t="s">
        <v>4607</v>
      </c>
    </row>
    <row r="1109" spans="1:1">
      <c r="A1109" t="s">
        <v>4608</v>
      </c>
    </row>
    <row r="1110" spans="1:1">
      <c r="A1110" t="s">
        <v>4609</v>
      </c>
    </row>
    <row r="1111" spans="1:1">
      <c r="A1111" t="s">
        <v>4610</v>
      </c>
    </row>
    <row r="1112" spans="1:1">
      <c r="A1112" t="s">
        <v>4611</v>
      </c>
    </row>
    <row r="1113" spans="1:1">
      <c r="A1113" t="s">
        <v>4612</v>
      </c>
    </row>
    <row r="1114" spans="1:1">
      <c r="A1114" t="s">
        <v>4613</v>
      </c>
    </row>
    <row r="1115" spans="1:1">
      <c r="A1115" t="s">
        <v>4614</v>
      </c>
    </row>
    <row r="1116" spans="1:1">
      <c r="A1116" t="s">
        <v>4615</v>
      </c>
    </row>
    <row r="1117" spans="1:1">
      <c r="A1117" t="s">
        <v>4616</v>
      </c>
    </row>
    <row r="1118" spans="1:1">
      <c r="A1118" t="s">
        <v>4617</v>
      </c>
    </row>
    <row r="1119" spans="1:1">
      <c r="A1119" t="s">
        <v>4618</v>
      </c>
    </row>
    <row r="1120" spans="1:1">
      <c r="A1120" t="s">
        <v>4619</v>
      </c>
    </row>
    <row r="1121" spans="1:1">
      <c r="A1121" t="s">
        <v>4620</v>
      </c>
    </row>
    <row r="1122" spans="1:1">
      <c r="A1122" t="s">
        <v>4621</v>
      </c>
    </row>
    <row r="1123" spans="1:1">
      <c r="A1123" t="s">
        <v>4622</v>
      </c>
    </row>
  </sheetData>
  <sortState xmlns:xlrd2="http://schemas.microsoft.com/office/spreadsheetml/2017/richdata2" ref="N571:O654">
    <sortCondition ref="N571"/>
  </sortState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46"/>
  <sheetViews>
    <sheetView workbookViewId="0">
      <pane xSplit="6" ySplit="1" topLeftCell="G109" activePane="bottomRight" state="frozen"/>
      <selection pane="bottomRight"/>
      <selection pane="bottomLeft" activeCell="A2" sqref="A2"/>
      <selection pane="topRight" activeCell="G1" sqref="G1"/>
    </sheetView>
  </sheetViews>
  <sheetFormatPr defaultColWidth="9" defaultRowHeight="14.45"/>
  <cols>
    <col min="1" max="1" width="13.85546875" bestFit="1" customWidth="1"/>
    <col min="2" max="6" width="0" hidden="1" customWidth="1"/>
    <col min="7" max="10" width="9.140625"/>
    <col min="11" max="11" width="16" bestFit="1" customWidth="1"/>
    <col min="12" max="13" width="9.140625"/>
    <col min="22" max="22" width="14" bestFit="1" customWidth="1"/>
  </cols>
  <sheetData>
    <row r="1" spans="1:15" ht="27.6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1616</v>
      </c>
      <c r="J1" s="60" t="s">
        <v>2190</v>
      </c>
      <c r="K1" s="60" t="s">
        <v>13</v>
      </c>
      <c r="L1" s="60" t="s">
        <v>2191</v>
      </c>
      <c r="M1" s="60" t="s">
        <v>1444</v>
      </c>
    </row>
    <row r="2" spans="1:15">
      <c r="A2" s="20" t="s">
        <v>4623</v>
      </c>
      <c r="B2" s="20"/>
      <c r="C2" s="20"/>
      <c r="D2" s="20"/>
      <c r="E2" s="20"/>
      <c r="F2" s="20"/>
      <c r="G2" s="20" t="s">
        <v>18</v>
      </c>
      <c r="H2" s="20">
        <v>0</v>
      </c>
      <c r="I2" s="20"/>
      <c r="J2" s="20"/>
      <c r="K2" s="20"/>
      <c r="L2" s="20"/>
      <c r="M2" s="20" t="s">
        <v>2246</v>
      </c>
      <c r="N2" t="str">
        <f>"condorProc.py --series "&amp;A2&amp;" --donoise --dumps a --procenv environments/pymidas_iZIPv7_r63_mf.env"</f>
        <v>condorProc.py --series 07170717_1709 --donoise --dumps a --procenv environments/pymidas_iZIPv7_r63_mf.env</v>
      </c>
      <c r="O2" t="str">
        <f>""""&amp;A2&amp;""""</f>
        <v>"07170717_1709"</v>
      </c>
    </row>
    <row r="3" spans="1:15">
      <c r="A3" s="20" t="s">
        <v>4624</v>
      </c>
      <c r="B3" s="20"/>
      <c r="C3" s="20"/>
      <c r="D3" s="20"/>
      <c r="E3" s="20"/>
      <c r="F3" s="20"/>
      <c r="G3" s="20" t="s">
        <v>18</v>
      </c>
      <c r="H3" s="20" t="s">
        <v>4625</v>
      </c>
      <c r="I3" s="20"/>
      <c r="J3" s="20"/>
      <c r="K3" s="20"/>
      <c r="L3" s="20"/>
      <c r="M3" s="20" t="s">
        <v>2246</v>
      </c>
      <c r="N3" t="str">
        <f t="shared" ref="N3:N16" si="0">"condorProc.py --series "&amp;A3&amp;" --donoise --dumps a --procenv environments/pymidas_iZIPv7_r63_mf.env"</f>
        <v>condorProc.py --series 07170717_1805 --donoise --dumps a --procenv environments/pymidas_iZIPv7_r63_mf.env</v>
      </c>
      <c r="O3" t="str">
        <f t="shared" ref="O3:O16" si="1">O2&amp;", """&amp;A3&amp;""""</f>
        <v>"07170717_1709", "07170717_1805"</v>
      </c>
    </row>
    <row r="4" spans="1:15">
      <c r="A4" s="20" t="s">
        <v>4626</v>
      </c>
      <c r="B4" s="20"/>
      <c r="C4" s="20"/>
      <c r="D4" s="20"/>
      <c r="E4" s="20"/>
      <c r="F4" s="20"/>
      <c r="G4" s="20" t="s">
        <v>18</v>
      </c>
      <c r="H4" s="20" t="s">
        <v>4627</v>
      </c>
      <c r="I4" s="20"/>
      <c r="J4" s="20"/>
      <c r="K4" s="20"/>
      <c r="L4" s="20"/>
      <c r="M4" s="20" t="s">
        <v>2246</v>
      </c>
      <c r="N4" t="str">
        <f t="shared" si="0"/>
        <v>condorProc.py --series 07170717_1900 --donoise --dumps a --procenv environments/pymidas_iZIPv7_r63_mf.env</v>
      </c>
      <c r="O4" t="str">
        <f t="shared" si="1"/>
        <v>"07170717_1709", "07170717_1805", "07170717_1900"</v>
      </c>
    </row>
    <row r="5" spans="1:15">
      <c r="A5" s="20" t="s">
        <v>4628</v>
      </c>
      <c r="B5" s="20"/>
      <c r="C5" s="20"/>
      <c r="D5" s="20"/>
      <c r="E5" s="20"/>
      <c r="F5" s="20"/>
      <c r="G5" s="20" t="s">
        <v>18</v>
      </c>
      <c r="H5" s="20" t="s">
        <v>4629</v>
      </c>
      <c r="I5" s="20"/>
      <c r="J5" s="20"/>
      <c r="K5" s="20"/>
      <c r="L5" s="20"/>
      <c r="M5" s="20" t="s">
        <v>2246</v>
      </c>
      <c r="N5" t="str">
        <f t="shared" si="0"/>
        <v>condorProc.py --series 07170717_1956 --donoise --dumps a --procenv environments/pymidas_iZIPv7_r63_mf.env</v>
      </c>
      <c r="O5" t="str">
        <f t="shared" si="1"/>
        <v>"07170717_1709", "07170717_1805", "07170717_1900", "07170717_1956"</v>
      </c>
    </row>
    <row r="6" spans="1:15">
      <c r="A6" s="20" t="s">
        <v>4630</v>
      </c>
      <c r="B6" s="20"/>
      <c r="C6" s="20"/>
      <c r="D6" s="20"/>
      <c r="E6" s="20"/>
      <c r="F6" s="20"/>
      <c r="G6" s="20" t="s">
        <v>18</v>
      </c>
      <c r="H6" s="20" t="s">
        <v>4631</v>
      </c>
      <c r="I6" s="20"/>
      <c r="J6" s="20"/>
      <c r="K6" s="20"/>
      <c r="L6" s="20"/>
      <c r="M6" s="20" t="s">
        <v>2246</v>
      </c>
      <c r="N6" t="str">
        <f t="shared" si="0"/>
        <v>condorProc.py --series 07170717_2052 --donoise --dumps a --procenv environments/pymidas_iZIPv7_r63_mf.env</v>
      </c>
      <c r="O6" t="str">
        <f t="shared" si="1"/>
        <v>"07170717_1709", "07170717_1805", "07170717_1900", "07170717_1956", "07170717_2052"</v>
      </c>
    </row>
    <row r="7" spans="1:15">
      <c r="A7" s="20" t="s">
        <v>4632</v>
      </c>
      <c r="B7" s="20"/>
      <c r="C7" s="20"/>
      <c r="D7" s="20"/>
      <c r="E7" s="20"/>
      <c r="F7" s="20"/>
      <c r="G7" s="20" t="s">
        <v>18</v>
      </c>
      <c r="H7" s="20" t="s">
        <v>4633</v>
      </c>
      <c r="I7" s="20"/>
      <c r="J7" s="20"/>
      <c r="K7" s="20"/>
      <c r="L7" s="20"/>
      <c r="M7" s="20" t="s">
        <v>2246</v>
      </c>
      <c r="N7" t="str">
        <f t="shared" si="0"/>
        <v>condorProc.py --series 07170717_2148 --donoise --dumps a --procenv environments/pymidas_iZIPv7_r63_mf.env</v>
      </c>
      <c r="O7" t="str">
        <f t="shared" si="1"/>
        <v>"07170717_1709", "07170717_1805", "07170717_1900", "07170717_1956", "07170717_2052", "07170717_2148"</v>
      </c>
    </row>
    <row r="8" spans="1:15">
      <c r="A8" s="20" t="s">
        <v>4634</v>
      </c>
      <c r="B8" s="20"/>
      <c r="C8" s="20"/>
      <c r="D8" s="20"/>
      <c r="E8" s="20"/>
      <c r="F8" s="20"/>
      <c r="G8" s="20" t="s">
        <v>18</v>
      </c>
      <c r="H8" s="20" t="s">
        <v>4635</v>
      </c>
      <c r="I8" s="20"/>
      <c r="J8" s="20"/>
      <c r="K8" s="20"/>
      <c r="L8" s="20"/>
      <c r="M8" s="20" t="s">
        <v>2246</v>
      </c>
      <c r="N8" t="str">
        <f t="shared" si="0"/>
        <v>condorProc.py --series 07170717_2244 --donoise --dumps a --procenv environments/pymidas_iZIPv7_r63_mf.env</v>
      </c>
      <c r="O8" t="str">
        <f t="shared" si="1"/>
        <v>"07170717_1709", "07170717_1805", "07170717_1900", "07170717_1956", "07170717_2052", "07170717_2148", "07170717_2244"</v>
      </c>
    </row>
    <row r="9" spans="1:15">
      <c r="A9" s="20" t="s">
        <v>4636</v>
      </c>
      <c r="B9" s="20"/>
      <c r="C9" s="20"/>
      <c r="D9" s="20"/>
      <c r="E9" s="20"/>
      <c r="F9" s="20"/>
      <c r="G9" s="20" t="s">
        <v>18</v>
      </c>
      <c r="H9" s="20" t="s">
        <v>4637</v>
      </c>
      <c r="I9" s="20"/>
      <c r="J9" s="20"/>
      <c r="K9" s="20"/>
      <c r="L9" s="20"/>
      <c r="M9" s="20" t="s">
        <v>2246</v>
      </c>
      <c r="N9" t="str">
        <f t="shared" si="0"/>
        <v>condorProc.py --series 07170717_2340 --donoise --dumps a --procenv environments/pymidas_iZIPv7_r63_mf.env</v>
      </c>
      <c r="O9" t="str">
        <f t="shared" si="1"/>
        <v>"07170717_1709", "07170717_1805", "07170717_1900", "07170717_1956", "07170717_2052", "07170717_2148", "07170717_2244", "07170717_2340"</v>
      </c>
    </row>
    <row r="10" spans="1:15">
      <c r="A10" s="20" t="s">
        <v>4638</v>
      </c>
      <c r="B10" s="20"/>
      <c r="C10" s="20"/>
      <c r="D10" s="20"/>
      <c r="E10" s="20"/>
      <c r="F10" s="20"/>
      <c r="G10" s="20" t="s">
        <v>18</v>
      </c>
      <c r="H10" s="20" t="s">
        <v>4639</v>
      </c>
      <c r="I10" s="20"/>
      <c r="J10" s="20"/>
      <c r="K10" s="20"/>
      <c r="L10" s="20"/>
      <c r="M10" s="20" t="s">
        <v>2246</v>
      </c>
      <c r="N10" t="str">
        <f t="shared" si="0"/>
        <v>condorProc.py --series 07170718_0035 --donoise --dumps a --procenv environments/pymidas_iZIPv7_r63_mf.env</v>
      </c>
      <c r="O10" t="str">
        <f t="shared" si="1"/>
        <v>"07170717_1709", "07170717_1805", "07170717_1900", "07170717_1956", "07170717_2052", "07170717_2148", "07170717_2244", "07170717_2340", "07170718_0035"</v>
      </c>
    </row>
    <row r="11" spans="1:15">
      <c r="A11" s="20" t="s">
        <v>4640</v>
      </c>
      <c r="B11" s="20"/>
      <c r="C11" s="20"/>
      <c r="D11" s="20"/>
      <c r="E11" s="20"/>
      <c r="F11" s="20"/>
      <c r="G11" s="20" t="s">
        <v>18</v>
      </c>
      <c r="H11" s="20" t="s">
        <v>4641</v>
      </c>
      <c r="I11" s="20"/>
      <c r="J11" s="20"/>
      <c r="K11" s="20"/>
      <c r="L11" s="20"/>
      <c r="M11" s="20" t="s">
        <v>2246</v>
      </c>
      <c r="N11" t="str">
        <f t="shared" si="0"/>
        <v>condorProc.py --series 07170718_0131 --donoise --dumps a --procenv environments/pymidas_iZIPv7_r63_mf.env</v>
      </c>
      <c r="O11" t="str">
        <f t="shared" si="1"/>
        <v>"07170717_1709", "07170717_1805", "07170717_1900", "07170717_1956", "07170717_2052", "07170717_2148", "07170717_2244", "07170717_2340", "07170718_0035", "07170718_0131"</v>
      </c>
    </row>
    <row r="12" spans="1:15">
      <c r="A12" s="20" t="s">
        <v>4642</v>
      </c>
      <c r="B12" s="20"/>
      <c r="C12" s="20"/>
      <c r="D12" s="20"/>
      <c r="E12" s="20"/>
      <c r="F12" s="20"/>
      <c r="G12" s="20" t="s">
        <v>18</v>
      </c>
      <c r="H12" s="20" t="s">
        <v>4643</v>
      </c>
      <c r="I12" s="20"/>
      <c r="J12" s="20"/>
      <c r="K12" s="20"/>
      <c r="L12" s="20"/>
      <c r="M12" s="20" t="s">
        <v>2246</v>
      </c>
      <c r="N12" t="str">
        <f t="shared" si="0"/>
        <v>condorProc.py --series 07170718_0227 --donoise --dumps a --procenv environments/pymidas_iZIPv7_r63_mf.env</v>
      </c>
      <c r="O12" t="str">
        <f t="shared" si="1"/>
        <v>"07170717_1709", "07170717_1805", "07170717_1900", "07170717_1956", "07170717_2052", "07170717_2148", "07170717_2244", "07170717_2340", "07170718_0035", "07170718_0131", "07170718_0227"</v>
      </c>
    </row>
    <row r="13" spans="1:15">
      <c r="A13" s="20" t="s">
        <v>4644</v>
      </c>
      <c r="B13" s="20"/>
      <c r="C13" s="20"/>
      <c r="D13" s="20"/>
      <c r="E13" s="20"/>
      <c r="F13" s="20"/>
      <c r="G13" s="20" t="s">
        <v>18</v>
      </c>
      <c r="H13" s="20" t="s">
        <v>4645</v>
      </c>
      <c r="I13" s="20"/>
      <c r="J13" s="20"/>
      <c r="K13" s="20"/>
      <c r="L13" s="20"/>
      <c r="M13" s="20" t="s">
        <v>2246</v>
      </c>
      <c r="N13" t="str">
        <f t="shared" si="0"/>
        <v>condorProc.py --series 07170718_0323 --donoise --dumps a --procenv environments/pymidas_iZIPv7_r63_mf.env</v>
      </c>
      <c r="O13" t="str">
        <f t="shared" si="1"/>
        <v>"07170717_1709", "07170717_1805", "07170717_1900", "07170717_1956", "07170717_2052", "07170717_2148", "07170717_2244", "07170717_2340", "07170718_0035", "07170718_0131", "07170718_0227", "07170718_0323"</v>
      </c>
    </row>
    <row r="14" spans="1:15">
      <c r="A14" s="20" t="s">
        <v>4646</v>
      </c>
      <c r="B14" s="20"/>
      <c r="C14" s="20"/>
      <c r="D14" s="20"/>
      <c r="E14" s="20"/>
      <c r="F14" s="20"/>
      <c r="G14" s="20" t="s">
        <v>18</v>
      </c>
      <c r="H14" s="20" t="s">
        <v>4647</v>
      </c>
      <c r="I14" s="20"/>
      <c r="J14" s="20"/>
      <c r="K14" s="20"/>
      <c r="L14" s="20"/>
      <c r="M14" s="20" t="s">
        <v>2246</v>
      </c>
      <c r="N14" t="str">
        <f t="shared" si="0"/>
        <v>condorProc.py --series 07170718_0418 --donoise --dumps a --procenv environments/pymidas_iZIPv7_r63_mf.env</v>
      </c>
      <c r="O14" t="str">
        <f t="shared" si="1"/>
        <v>"07170717_1709", "07170717_1805", "07170717_1900", "07170717_1956", "07170717_2052", "07170717_2148", "07170717_2244", "07170717_2340", "07170718_0035", "07170718_0131", "07170718_0227", "07170718_0323", "07170718_0418"</v>
      </c>
    </row>
    <row r="15" spans="1:15">
      <c r="A15" s="20" t="s">
        <v>4648</v>
      </c>
      <c r="B15" s="20"/>
      <c r="C15" s="20"/>
      <c r="D15" s="20"/>
      <c r="E15" s="20"/>
      <c r="F15" s="20"/>
      <c r="G15" s="20" t="s">
        <v>18</v>
      </c>
      <c r="H15" s="20" t="s">
        <v>4649</v>
      </c>
      <c r="I15" s="20"/>
      <c r="J15" s="20"/>
      <c r="K15" s="20"/>
      <c r="L15" s="20"/>
      <c r="M15" s="20" t="s">
        <v>2246</v>
      </c>
      <c r="N15" t="str">
        <f t="shared" si="0"/>
        <v>condorProc.py --series 07170718_0514 --donoise --dumps a --procenv environments/pymidas_iZIPv7_r63_mf.env</v>
      </c>
      <c r="O15" t="str">
        <f t="shared" si="1"/>
        <v>"07170717_1709", "07170717_1805", "07170717_1900", "07170717_1956", "07170717_2052", "07170717_2148", "07170717_2244", "07170717_2340", "07170718_0035", "07170718_0131", "07170718_0227", "07170718_0323", "07170718_0418", "07170718_0514"</v>
      </c>
    </row>
    <row r="16" spans="1:15">
      <c r="A16" s="20" t="s">
        <v>4650</v>
      </c>
      <c r="B16" s="20"/>
      <c r="C16" s="20"/>
      <c r="D16" s="20"/>
      <c r="E16" s="20"/>
      <c r="F16" s="20"/>
      <c r="G16" s="20" t="s">
        <v>18</v>
      </c>
      <c r="H16" s="20" t="s">
        <v>4651</v>
      </c>
      <c r="I16" s="20"/>
      <c r="J16" s="20"/>
      <c r="K16" s="20"/>
      <c r="L16" s="20"/>
      <c r="M16" s="20" t="s">
        <v>2246</v>
      </c>
      <c r="N16" t="str">
        <f t="shared" si="0"/>
        <v>condorProc.py --series 07170718_0610 --donoise --dumps a --procenv environments/pymidas_iZIPv7_r63_mf.env</v>
      </c>
      <c r="O16" t="str">
        <f t="shared" si="1"/>
        <v>"07170717_1709", "07170717_1805", "07170717_1900", "07170717_1956", "07170717_2052", "07170717_2148", "07170717_2244", "07170717_2340", "07170718_0035", "07170718_0131", "07170718_0227", "07170718_0323", "07170718_0418", "07170718_0514", "07170718_0610"</v>
      </c>
    </row>
    <row r="17" spans="1:13">
      <c r="A17" t="s">
        <v>4652</v>
      </c>
      <c r="G17" t="s">
        <v>18</v>
      </c>
    </row>
    <row r="18" spans="1:13">
      <c r="A18" t="s">
        <v>4653</v>
      </c>
      <c r="G18" t="s">
        <v>18</v>
      </c>
    </row>
    <row r="19" spans="1:13">
      <c r="A19" t="s">
        <v>4654</v>
      </c>
      <c r="G19" t="s">
        <v>18</v>
      </c>
    </row>
    <row r="20" spans="1:13">
      <c r="A20" s="20" t="s">
        <v>4655</v>
      </c>
      <c r="B20" s="20"/>
      <c r="C20" s="20"/>
      <c r="D20" s="20"/>
      <c r="E20" s="20"/>
      <c r="F20" s="20"/>
      <c r="G20" s="20" t="s">
        <v>18</v>
      </c>
      <c r="H20" s="20" t="s">
        <v>4656</v>
      </c>
      <c r="I20" s="20"/>
      <c r="J20" s="20"/>
      <c r="K20" s="20"/>
      <c r="L20" s="20"/>
      <c r="M20" s="20"/>
    </row>
    <row r="21" spans="1:13">
      <c r="A21" s="20" t="s">
        <v>4657</v>
      </c>
      <c r="B21" s="20"/>
      <c r="C21" s="20"/>
      <c r="D21" s="20"/>
      <c r="E21" s="20"/>
      <c r="F21" s="20"/>
      <c r="G21" s="20" t="s">
        <v>18</v>
      </c>
      <c r="H21" s="20" t="s">
        <v>4658</v>
      </c>
      <c r="I21" s="20"/>
      <c r="J21" s="20"/>
      <c r="K21" s="20"/>
      <c r="L21" s="20"/>
      <c r="M21" s="20"/>
    </row>
    <row r="22" spans="1:13">
      <c r="A22" s="20" t="s">
        <v>4659</v>
      </c>
      <c r="B22" s="20"/>
      <c r="C22" s="20"/>
      <c r="D22" s="20"/>
      <c r="E22" s="20"/>
      <c r="F22" s="20"/>
      <c r="G22" s="20" t="s">
        <v>18</v>
      </c>
      <c r="H22" s="20" t="s">
        <v>4660</v>
      </c>
      <c r="I22" s="20"/>
      <c r="J22" s="20"/>
      <c r="K22" s="20"/>
      <c r="L22" s="20"/>
      <c r="M22" s="20"/>
    </row>
    <row r="23" spans="1:13">
      <c r="A23" s="20" t="s">
        <v>4661</v>
      </c>
      <c r="B23" s="20"/>
      <c r="C23" s="20"/>
      <c r="D23" s="20"/>
      <c r="E23" s="20"/>
      <c r="F23" s="20"/>
      <c r="G23" s="20" t="s">
        <v>18</v>
      </c>
      <c r="H23" s="20" t="s">
        <v>4662</v>
      </c>
      <c r="I23" s="20"/>
      <c r="J23" s="20"/>
      <c r="K23" s="20"/>
      <c r="L23" s="20"/>
      <c r="M23" s="20"/>
    </row>
    <row r="24" spans="1:13">
      <c r="A24" s="20" t="s">
        <v>4663</v>
      </c>
      <c r="B24" s="20"/>
      <c r="C24" s="20"/>
      <c r="D24" s="20"/>
      <c r="E24" s="20"/>
      <c r="F24" s="20"/>
      <c r="G24" s="20" t="s">
        <v>18</v>
      </c>
      <c r="H24" s="20" t="s">
        <v>4664</v>
      </c>
      <c r="I24" s="20"/>
      <c r="J24" s="20"/>
      <c r="K24" s="20" t="s">
        <v>2618</v>
      </c>
      <c r="L24" s="20"/>
      <c r="M24" s="20"/>
    </row>
    <row r="25" spans="1:13">
      <c r="A25" s="20" t="s">
        <v>4665</v>
      </c>
      <c r="B25" s="20"/>
      <c r="C25" s="20"/>
      <c r="D25" s="20"/>
      <c r="E25" s="20"/>
      <c r="F25" s="20"/>
      <c r="G25" s="20" t="s">
        <v>18</v>
      </c>
      <c r="H25" s="20" t="s">
        <v>4666</v>
      </c>
      <c r="I25" s="20"/>
      <c r="J25" s="20"/>
      <c r="K25" s="20"/>
      <c r="L25" s="20"/>
      <c r="M25" s="20"/>
    </row>
    <row r="26" spans="1:13">
      <c r="A26" s="20" t="s">
        <v>4667</v>
      </c>
      <c r="B26" s="20"/>
      <c r="C26" s="20"/>
      <c r="D26" s="20"/>
      <c r="E26" s="20"/>
      <c r="F26" s="20"/>
      <c r="G26" s="20" t="s">
        <v>18</v>
      </c>
      <c r="H26" s="20" t="s">
        <v>4668</v>
      </c>
      <c r="I26" s="20"/>
      <c r="J26" s="20"/>
      <c r="K26" s="20"/>
      <c r="L26" s="20"/>
      <c r="M26" s="20"/>
    </row>
    <row r="27" spans="1:13">
      <c r="A27" t="s">
        <v>4669</v>
      </c>
      <c r="G27" t="s">
        <v>18</v>
      </c>
      <c r="J27" t="s">
        <v>191</v>
      </c>
    </row>
    <row r="28" spans="1:13">
      <c r="A28" s="70" t="s">
        <v>4670</v>
      </c>
      <c r="B28" s="70"/>
      <c r="C28" s="70"/>
      <c r="D28" s="70"/>
      <c r="E28" s="70"/>
      <c r="F28" s="70"/>
      <c r="G28" s="70" t="s">
        <v>18</v>
      </c>
      <c r="H28" s="70"/>
      <c r="I28" s="70"/>
      <c r="J28" s="70" t="s">
        <v>4671</v>
      </c>
      <c r="K28" s="70" t="s">
        <v>4672</v>
      </c>
      <c r="L28" s="70"/>
      <c r="M28" s="70"/>
    </row>
    <row r="29" spans="1:13">
      <c r="A29" t="s">
        <v>4673</v>
      </c>
      <c r="G29" t="s">
        <v>18</v>
      </c>
      <c r="J29" t="s">
        <v>1491</v>
      </c>
    </row>
    <row r="30" spans="1:13">
      <c r="A30" t="s">
        <v>4674</v>
      </c>
      <c r="G30" t="s">
        <v>18</v>
      </c>
      <c r="J30" t="s">
        <v>1491</v>
      </c>
    </row>
    <row r="31" spans="1:13">
      <c r="A31" t="s">
        <v>4675</v>
      </c>
      <c r="G31" t="s">
        <v>18</v>
      </c>
      <c r="J31" t="s">
        <v>1491</v>
      </c>
    </row>
    <row r="32" spans="1:13">
      <c r="A32" t="s">
        <v>4676</v>
      </c>
      <c r="G32" t="s">
        <v>18</v>
      </c>
      <c r="J32" t="s">
        <v>1491</v>
      </c>
    </row>
    <row r="33" spans="1:21">
      <c r="A33" t="s">
        <v>4677</v>
      </c>
      <c r="G33" t="s">
        <v>18</v>
      </c>
      <c r="J33" t="s">
        <v>1491</v>
      </c>
    </row>
    <row r="34" spans="1:21">
      <c r="A34" t="s">
        <v>4678</v>
      </c>
      <c r="G34" t="s">
        <v>18</v>
      </c>
      <c r="J34" t="s">
        <v>1491</v>
      </c>
    </row>
    <row r="35" spans="1:21">
      <c r="A35" s="20" t="s">
        <v>4679</v>
      </c>
      <c r="B35" s="20"/>
      <c r="C35" s="20"/>
      <c r="D35" s="20"/>
      <c r="E35" s="20"/>
      <c r="F35" s="20"/>
      <c r="G35" s="20" t="s">
        <v>18</v>
      </c>
      <c r="H35" s="20" t="s">
        <v>4656</v>
      </c>
      <c r="I35" s="20"/>
      <c r="J35" s="20"/>
      <c r="K35" s="20"/>
      <c r="L35" s="20"/>
      <c r="M35" s="20"/>
    </row>
    <row r="36" spans="1:21">
      <c r="A36" s="20" t="s">
        <v>4680</v>
      </c>
      <c r="B36" s="20"/>
      <c r="C36" s="20"/>
      <c r="D36" s="20"/>
      <c r="E36" s="20"/>
      <c r="F36" s="20"/>
      <c r="G36" s="20" t="s">
        <v>18</v>
      </c>
      <c r="H36" s="20" t="s">
        <v>4658</v>
      </c>
      <c r="I36" s="20"/>
      <c r="J36" s="20"/>
      <c r="K36" s="20"/>
      <c r="L36" s="20"/>
      <c r="M36" s="20"/>
    </row>
    <row r="37" spans="1:21">
      <c r="A37" s="20" t="s">
        <v>4681</v>
      </c>
      <c r="B37" s="20"/>
      <c r="C37" s="20"/>
      <c r="D37" s="20"/>
      <c r="E37" s="20"/>
      <c r="F37" s="20"/>
      <c r="G37" s="20" t="s">
        <v>18</v>
      </c>
      <c r="H37" s="20" t="s">
        <v>4660</v>
      </c>
      <c r="I37" s="20"/>
      <c r="J37" s="20"/>
      <c r="K37" s="20"/>
      <c r="L37" s="20"/>
      <c r="M37" s="20"/>
    </row>
    <row r="38" spans="1:21">
      <c r="A38" s="20" t="s">
        <v>4682</v>
      </c>
      <c r="B38" s="20"/>
      <c r="C38" s="20"/>
      <c r="D38" s="20"/>
      <c r="E38" s="20"/>
      <c r="F38" s="20"/>
      <c r="G38" s="20" t="s">
        <v>18</v>
      </c>
      <c r="H38" s="20" t="s">
        <v>4662</v>
      </c>
      <c r="I38" s="20"/>
      <c r="J38" s="20"/>
      <c r="K38" s="20"/>
      <c r="L38" s="20"/>
      <c r="M38" s="20"/>
    </row>
    <row r="39" spans="1:21">
      <c r="A39" s="70" t="s">
        <v>4683</v>
      </c>
      <c r="B39" s="70"/>
      <c r="C39" s="70"/>
      <c r="D39" s="70"/>
      <c r="E39" s="70"/>
      <c r="F39" s="70"/>
      <c r="G39" s="70" t="s">
        <v>18</v>
      </c>
      <c r="H39" s="70"/>
      <c r="I39" s="70"/>
      <c r="J39" s="70" t="s">
        <v>4671</v>
      </c>
      <c r="K39" s="70" t="s">
        <v>4672</v>
      </c>
      <c r="L39" s="70"/>
      <c r="M39" s="70"/>
    </row>
    <row r="40" spans="1:21">
      <c r="A40" s="20" t="s">
        <v>4684</v>
      </c>
      <c r="B40" s="20"/>
      <c r="C40" s="20"/>
      <c r="D40" s="20"/>
      <c r="E40" s="20"/>
      <c r="F40" s="20"/>
      <c r="G40" s="20" t="s">
        <v>18</v>
      </c>
      <c r="H40" s="20" t="s">
        <v>4664</v>
      </c>
      <c r="I40" s="20"/>
      <c r="J40" s="20"/>
      <c r="K40" s="20"/>
      <c r="L40" s="20"/>
      <c r="M40" s="20"/>
    </row>
    <row r="41" spans="1:21">
      <c r="A41" s="20" t="s">
        <v>4685</v>
      </c>
      <c r="B41" s="20"/>
      <c r="C41" s="20"/>
      <c r="D41" s="20"/>
      <c r="E41" s="20"/>
      <c r="F41" s="20"/>
      <c r="G41" s="20" t="s">
        <v>18</v>
      </c>
      <c r="H41" s="20" t="s">
        <v>4666</v>
      </c>
      <c r="I41" s="20"/>
      <c r="J41" s="20"/>
      <c r="K41" s="20"/>
      <c r="L41" s="20"/>
      <c r="M41" s="20"/>
    </row>
    <row r="42" spans="1:21">
      <c r="A42" s="20" t="s">
        <v>4686</v>
      </c>
      <c r="B42" s="20"/>
      <c r="C42" s="20"/>
      <c r="D42" s="20"/>
      <c r="E42" s="20"/>
      <c r="F42" s="20"/>
      <c r="G42" s="20" t="s">
        <v>18</v>
      </c>
      <c r="H42" s="20" t="s">
        <v>4668</v>
      </c>
      <c r="I42" s="20"/>
      <c r="J42" s="20"/>
      <c r="K42" s="20"/>
      <c r="L42" s="20"/>
      <c r="M42" s="20"/>
    </row>
    <row r="43" spans="1:21">
      <c r="A43" s="20" t="s">
        <v>4687</v>
      </c>
      <c r="B43" s="20"/>
      <c r="C43" s="20"/>
      <c r="D43" s="20"/>
      <c r="E43" s="20"/>
      <c r="F43" s="20"/>
      <c r="G43" s="20" t="s">
        <v>18</v>
      </c>
      <c r="H43" s="20" t="s">
        <v>4688</v>
      </c>
      <c r="I43" s="20"/>
      <c r="J43" s="20"/>
      <c r="K43" s="20"/>
      <c r="L43" s="20"/>
      <c r="M43" s="20"/>
    </row>
    <row r="44" spans="1:21">
      <c r="A44" s="20" t="s">
        <v>4689</v>
      </c>
      <c r="B44" s="20"/>
      <c r="C44" s="20"/>
      <c r="D44" s="20"/>
      <c r="E44" s="20"/>
      <c r="F44" s="20"/>
      <c r="G44" s="20" t="s">
        <v>18</v>
      </c>
      <c r="H44" s="20" t="s">
        <v>4690</v>
      </c>
      <c r="I44" s="20"/>
      <c r="J44" s="20"/>
      <c r="K44" s="20"/>
      <c r="L44" s="20"/>
      <c r="M44" s="20"/>
    </row>
    <row r="45" spans="1:21">
      <c r="A45" s="20" t="s">
        <v>4691</v>
      </c>
      <c r="B45" s="20"/>
      <c r="C45" s="20"/>
      <c r="D45" s="20"/>
      <c r="E45" s="20"/>
      <c r="F45" s="20"/>
      <c r="G45" s="20" t="s">
        <v>18</v>
      </c>
      <c r="H45" s="20" t="s">
        <v>4692</v>
      </c>
      <c r="I45" s="20"/>
      <c r="J45" s="20"/>
      <c r="K45" s="20"/>
      <c r="L45" s="20"/>
      <c r="M45" s="20"/>
    </row>
    <row r="46" spans="1:21">
      <c r="A46" s="20" t="s">
        <v>4693</v>
      </c>
      <c r="B46" s="20"/>
      <c r="C46" s="20"/>
      <c r="D46" s="20"/>
      <c r="E46" s="20"/>
      <c r="F46" s="20"/>
      <c r="G46" s="20" t="s">
        <v>18</v>
      </c>
      <c r="H46" s="20" t="s">
        <v>4694</v>
      </c>
      <c r="I46" s="20"/>
      <c r="J46" s="20"/>
      <c r="K46" s="20" t="s">
        <v>4695</v>
      </c>
      <c r="L46" s="20"/>
      <c r="M46" s="20"/>
    </row>
    <row r="47" spans="1:21">
      <c r="A47" s="20" t="s">
        <v>4696</v>
      </c>
      <c r="B47" s="20"/>
      <c r="C47" s="20"/>
      <c r="D47" s="20"/>
      <c r="E47" s="20"/>
      <c r="F47" s="20"/>
      <c r="G47" s="20" t="s">
        <v>18</v>
      </c>
      <c r="H47" s="20" t="s">
        <v>4697</v>
      </c>
      <c r="I47" s="20"/>
      <c r="J47" s="20"/>
      <c r="K47" s="20" t="s">
        <v>4698</v>
      </c>
      <c r="L47" s="20"/>
      <c r="M47" s="20"/>
    </row>
    <row r="48" spans="1:21" ht="15" thickBot="1">
      <c r="A48" s="55" t="s">
        <v>4699</v>
      </c>
      <c r="B48" s="55"/>
      <c r="C48" s="55"/>
      <c r="D48" s="55"/>
      <c r="E48" s="55"/>
      <c r="F48" s="55"/>
      <c r="G48" s="55" t="s">
        <v>18</v>
      </c>
      <c r="H48" s="55" t="s">
        <v>4635</v>
      </c>
      <c r="I48" s="55"/>
      <c r="J48" s="153"/>
      <c r="K48" s="154" t="s">
        <v>4700</v>
      </c>
      <c r="L48" s="155" t="s">
        <v>4701</v>
      </c>
      <c r="M48" s="55" t="s">
        <v>2246</v>
      </c>
      <c r="N48" t="str">
        <f t="shared" ref="N48:N58" si="2">"condorProc.py --series "&amp;A48&amp;" --donoise --dumps a --procenv environments/pymidas_iZIPv7_r63_mf.env"</f>
        <v>condorProc.py --series 07170725_1253 --donoise --dumps a --procenv environments/pymidas_iZIPv7_r63_mf.env</v>
      </c>
      <c r="O48" t="str">
        <f>""""&amp;A48&amp;""""</f>
        <v>"07170725_1253"</v>
      </c>
      <c r="P48">
        <v>11</v>
      </c>
      <c r="S48" s="153"/>
      <c r="T48" s="154" t="s">
        <v>4700</v>
      </c>
      <c r="U48" s="155" t="s">
        <v>4701</v>
      </c>
    </row>
    <row r="49" spans="1:23" ht="15" thickTop="1">
      <c r="A49" s="55" t="s">
        <v>4702</v>
      </c>
      <c r="B49" s="55"/>
      <c r="C49" s="55"/>
      <c r="D49" s="55"/>
      <c r="E49" s="55"/>
      <c r="F49" s="55"/>
      <c r="G49" s="55" t="s">
        <v>18</v>
      </c>
      <c r="H49" s="55" t="s">
        <v>4635</v>
      </c>
      <c r="I49" s="55"/>
      <c r="J49" s="148" t="s">
        <v>4703</v>
      </c>
      <c r="K49" s="55">
        <v>65.8</v>
      </c>
      <c r="L49" s="149">
        <v>0.498</v>
      </c>
      <c r="M49" s="55" t="s">
        <v>2246</v>
      </c>
      <c r="N49" t="str">
        <f t="shared" si="2"/>
        <v>condorProc.py --series 07170725_1424 --donoise --dumps a --procenv environments/pymidas_iZIPv7_r63_mf.env</v>
      </c>
      <c r="O49" t="str">
        <f t="shared" ref="O49:O58" si="3">O48&amp;", """&amp;A49&amp;""""</f>
        <v>"07170725_1253", "07170725_1424"</v>
      </c>
      <c r="S49" t="s">
        <v>4704</v>
      </c>
      <c r="T49">
        <v>0</v>
      </c>
      <c r="U49">
        <v>1</v>
      </c>
      <c r="V49">
        <f>ABS(T49)</f>
        <v>0</v>
      </c>
      <c r="W49">
        <f>ABS(U49)</f>
        <v>1</v>
      </c>
    </row>
    <row r="50" spans="1:23">
      <c r="A50" s="55" t="s">
        <v>4705</v>
      </c>
      <c r="B50" s="55"/>
      <c r="C50" s="55"/>
      <c r="D50" s="55"/>
      <c r="E50" s="55"/>
      <c r="F50" s="55"/>
      <c r="G50" s="55" t="s">
        <v>18</v>
      </c>
      <c r="H50" s="55" t="s">
        <v>4635</v>
      </c>
      <c r="I50" s="55"/>
      <c r="J50" s="148" t="s">
        <v>4706</v>
      </c>
      <c r="K50" s="55">
        <v>-55</v>
      </c>
      <c r="L50" s="149">
        <v>0.46899999999999997</v>
      </c>
      <c r="M50" s="55" t="s">
        <v>2246</v>
      </c>
      <c r="N50" t="str">
        <f t="shared" si="2"/>
        <v>condorProc.py --series 07170725_1704 --donoise --dumps a --procenv environments/pymidas_iZIPv7_r63_mf.env</v>
      </c>
      <c r="O50" t="str">
        <f t="shared" si="3"/>
        <v>"07170725_1253", "07170725_1424", "07170725_1704"</v>
      </c>
      <c r="S50" s="148" t="s">
        <v>4703</v>
      </c>
      <c r="T50" s="55">
        <v>65.8</v>
      </c>
      <c r="U50" s="149">
        <v>0.498</v>
      </c>
      <c r="V50" t="str">
        <f>V49&amp;", "&amp;ABS(T50)</f>
        <v>0, 65.8</v>
      </c>
      <c r="W50" t="str">
        <f>W49&amp;", "&amp;ABS(U50)</f>
        <v>1, 0.498</v>
      </c>
    </row>
    <row r="51" spans="1:23">
      <c r="A51" s="55" t="s">
        <v>4707</v>
      </c>
      <c r="B51" s="55"/>
      <c r="C51" s="55"/>
      <c r="D51" s="55"/>
      <c r="E51" s="55"/>
      <c r="F51" s="55"/>
      <c r="G51" s="55" t="s">
        <v>18</v>
      </c>
      <c r="H51" s="55" t="s">
        <v>4635</v>
      </c>
      <c r="I51" s="55"/>
      <c r="J51" s="148" t="s">
        <v>4708</v>
      </c>
      <c r="K51" s="55">
        <v>50.5</v>
      </c>
      <c r="L51" s="149">
        <v>0.48299999999999998</v>
      </c>
      <c r="M51" s="55" t="s">
        <v>2246</v>
      </c>
      <c r="N51" t="str">
        <f t="shared" si="2"/>
        <v>condorProc.py --series 07170725_1835 --donoise --dumps a --procenv environments/pymidas_iZIPv7_r63_mf.env</v>
      </c>
      <c r="O51" t="str">
        <f t="shared" si="3"/>
        <v>"07170725_1253", "07170725_1424", "07170725_1704", "07170725_1835"</v>
      </c>
      <c r="S51" s="148" t="s">
        <v>4706</v>
      </c>
      <c r="T51" s="55">
        <v>-55</v>
      </c>
      <c r="U51" s="149">
        <v>0.46899999999999997</v>
      </c>
      <c r="V51" t="str">
        <f t="shared" ref="V51:W60" si="4">V50&amp;", "&amp;ABS(T51)</f>
        <v>0, 65.8, 55</v>
      </c>
      <c r="W51" t="str">
        <f t="shared" si="4"/>
        <v>1, 0.498, 0.469</v>
      </c>
    </row>
    <row r="52" spans="1:23">
      <c r="A52" s="55" t="s">
        <v>4709</v>
      </c>
      <c r="B52" s="55"/>
      <c r="C52" s="55"/>
      <c r="D52" s="55"/>
      <c r="E52" s="55"/>
      <c r="F52" s="55"/>
      <c r="G52" s="55" t="s">
        <v>18</v>
      </c>
      <c r="H52" s="55" t="s">
        <v>4635</v>
      </c>
      <c r="I52" s="55"/>
      <c r="J52" s="148" t="s">
        <v>4710</v>
      </c>
      <c r="K52" s="55">
        <v>57.5</v>
      </c>
      <c r="L52" s="149">
        <v>0.496</v>
      </c>
      <c r="M52" s="55" t="s">
        <v>2246</v>
      </c>
      <c r="N52" t="str">
        <f t="shared" si="2"/>
        <v>condorProc.py --series 07170725_2006 --donoise --dumps a --procenv environments/pymidas_iZIPv7_r63_mf.env</v>
      </c>
      <c r="O52" t="str">
        <f t="shared" si="3"/>
        <v>"07170725_1253", "07170725_1424", "07170725_1704", "07170725_1835", "07170725_2006"</v>
      </c>
      <c r="S52" s="148" t="s">
        <v>4708</v>
      </c>
      <c r="T52" s="55">
        <v>50.5</v>
      </c>
      <c r="U52" s="149">
        <v>0.48299999999999998</v>
      </c>
      <c r="V52" t="str">
        <f t="shared" si="4"/>
        <v>0, 65.8, 55, 50.5</v>
      </c>
      <c r="W52" t="str">
        <f t="shared" si="4"/>
        <v>1, 0.498, 0.469, 0.483</v>
      </c>
    </row>
    <row r="53" spans="1:23">
      <c r="A53" s="55" t="s">
        <v>4711</v>
      </c>
      <c r="B53" s="55"/>
      <c r="C53" s="55"/>
      <c r="D53" s="55"/>
      <c r="E53" s="55"/>
      <c r="F53" s="55"/>
      <c r="G53" s="55" t="s">
        <v>18</v>
      </c>
      <c r="H53" s="55" t="s">
        <v>4635</v>
      </c>
      <c r="I53" s="55"/>
      <c r="J53" s="148" t="s">
        <v>4712</v>
      </c>
      <c r="K53" s="55">
        <v>-74</v>
      </c>
      <c r="L53" s="149">
        <v>0.49299999999999999</v>
      </c>
      <c r="M53" s="55" t="s">
        <v>2246</v>
      </c>
      <c r="N53" t="str">
        <f t="shared" si="2"/>
        <v>condorProc.py --series 07170725_2136 --donoise --dumps a --procenv environments/pymidas_iZIPv7_r63_mf.env</v>
      </c>
      <c r="O53" t="str">
        <f t="shared" si="3"/>
        <v>"07170725_1253", "07170725_1424", "07170725_1704", "07170725_1835", "07170725_2006", "07170725_2136"</v>
      </c>
      <c r="S53" s="148" t="s">
        <v>4710</v>
      </c>
      <c r="T53" s="55">
        <v>57.5</v>
      </c>
      <c r="U53" s="149">
        <v>0.496</v>
      </c>
      <c r="V53" t="str">
        <f t="shared" si="4"/>
        <v>0, 65.8, 55, 50.5, 57.5</v>
      </c>
      <c r="W53" t="str">
        <f t="shared" si="4"/>
        <v>1, 0.498, 0.469, 0.483, 0.496</v>
      </c>
    </row>
    <row r="54" spans="1:23">
      <c r="A54" s="55" t="s">
        <v>4713</v>
      </c>
      <c r="B54" s="55"/>
      <c r="C54" s="55"/>
      <c r="D54" s="55"/>
      <c r="E54" s="55"/>
      <c r="F54" s="55"/>
      <c r="G54" s="55" t="s">
        <v>18</v>
      </c>
      <c r="H54" s="55" t="s">
        <v>4635</v>
      </c>
      <c r="I54" s="55"/>
      <c r="J54" s="148" t="s">
        <v>4714</v>
      </c>
      <c r="K54" s="55">
        <v>61.5</v>
      </c>
      <c r="L54" s="149">
        <v>0.50800000000000001</v>
      </c>
      <c r="M54" s="55" t="s">
        <v>2246</v>
      </c>
      <c r="N54" t="str">
        <f t="shared" si="2"/>
        <v>condorProc.py --series 07170725_2307 --donoise --dumps a --procenv environments/pymidas_iZIPv7_r63_mf.env</v>
      </c>
      <c r="O54" t="str">
        <f t="shared" si="3"/>
        <v>"07170725_1253", "07170725_1424", "07170725_1704", "07170725_1835", "07170725_2006", "07170725_2136", "07170725_2307"</v>
      </c>
      <c r="S54" t="s">
        <v>4715</v>
      </c>
      <c r="T54">
        <v>0</v>
      </c>
      <c r="U54">
        <v>1</v>
      </c>
      <c r="V54" t="str">
        <f t="shared" si="4"/>
        <v>0, 65.8, 55, 50.5, 57.5, 0</v>
      </c>
      <c r="W54" t="str">
        <f t="shared" si="4"/>
        <v>1, 0.498, 0.469, 0.483, 0.496, 1</v>
      </c>
    </row>
    <row r="55" spans="1:23">
      <c r="A55" s="55" t="s">
        <v>4716</v>
      </c>
      <c r="B55" s="55"/>
      <c r="C55" s="55"/>
      <c r="D55" s="55"/>
      <c r="E55" s="55"/>
      <c r="F55" s="55"/>
      <c r="G55" s="55" t="s">
        <v>18</v>
      </c>
      <c r="H55" s="55" t="s">
        <v>4635</v>
      </c>
      <c r="I55" s="55"/>
      <c r="J55" s="148" t="s">
        <v>4717</v>
      </c>
      <c r="K55" s="55">
        <v>62</v>
      </c>
      <c r="L55" s="149">
        <v>0.52400000000000002</v>
      </c>
      <c r="M55" s="55" t="s">
        <v>2246</v>
      </c>
      <c r="N55" t="str">
        <f t="shared" si="2"/>
        <v>condorProc.py --series 07170726_0038 --donoise --dumps a --procenv environments/pymidas_iZIPv7_r63_mf.env</v>
      </c>
      <c r="O55" t="str">
        <f t="shared" si="3"/>
        <v>"07170725_1253", "07170725_1424", "07170725_1704", "07170725_1835", "07170725_2006", "07170725_2136", "07170725_2307", "07170726_0038"</v>
      </c>
      <c r="S55" t="s">
        <v>4718</v>
      </c>
      <c r="T55">
        <v>0</v>
      </c>
      <c r="U55">
        <v>1</v>
      </c>
      <c r="V55" t="str">
        <f t="shared" si="4"/>
        <v>0, 65.8, 55, 50.5, 57.5, 0, 0</v>
      </c>
      <c r="W55" t="str">
        <f t="shared" si="4"/>
        <v>1, 0.498, 0.469, 0.483, 0.496, 1, 1</v>
      </c>
    </row>
    <row r="56" spans="1:23">
      <c r="A56" s="55" t="s">
        <v>4719</v>
      </c>
      <c r="B56" s="55"/>
      <c r="C56" s="55"/>
      <c r="D56" s="55"/>
      <c r="E56" s="55"/>
      <c r="F56" s="55"/>
      <c r="G56" s="55" t="s">
        <v>18</v>
      </c>
      <c r="H56" s="55" t="s">
        <v>4635</v>
      </c>
      <c r="I56" s="55"/>
      <c r="J56" s="150" t="s">
        <v>4720</v>
      </c>
      <c r="K56" s="151">
        <v>67.8</v>
      </c>
      <c r="L56" s="152">
        <v>0.49099999999999999</v>
      </c>
      <c r="M56" s="55" t="s">
        <v>2246</v>
      </c>
      <c r="N56" t="str">
        <f t="shared" si="2"/>
        <v>condorProc.py --series 07170726_0209 --donoise --dumps a --procenv environments/pymidas_iZIPv7_r63_mf.env</v>
      </c>
      <c r="O56" t="str">
        <f t="shared" si="3"/>
        <v>"07170725_1253", "07170725_1424", "07170725_1704", "07170725_1835", "07170725_2006", "07170725_2136", "07170725_2307", "07170726_0038", "07170726_0209"</v>
      </c>
      <c r="S56" t="s">
        <v>4721</v>
      </c>
      <c r="T56">
        <v>0</v>
      </c>
      <c r="U56">
        <v>1</v>
      </c>
      <c r="V56" t="str">
        <f t="shared" si="4"/>
        <v>0, 65.8, 55, 50.5, 57.5, 0, 0, 0</v>
      </c>
      <c r="W56" t="str">
        <f t="shared" si="4"/>
        <v>1, 0.498, 0.469, 0.483, 0.496, 1, 1, 1</v>
      </c>
    </row>
    <row r="57" spans="1:23">
      <c r="A57" s="55" t="s">
        <v>4722</v>
      </c>
      <c r="B57" s="55"/>
      <c r="C57" s="55"/>
      <c r="D57" s="55"/>
      <c r="E57" s="55"/>
      <c r="F57" s="55"/>
      <c r="G57" s="55" t="s">
        <v>18</v>
      </c>
      <c r="H57" s="55" t="s">
        <v>4635</v>
      </c>
      <c r="I57" s="55"/>
      <c r="J57" s="55"/>
      <c r="K57" s="55"/>
      <c r="L57" s="55"/>
      <c r="M57" s="55" t="s">
        <v>2246</v>
      </c>
      <c r="N57" t="str">
        <f t="shared" si="2"/>
        <v>condorProc.py --series 07170726_0340 --donoise --dumps a --procenv environments/pymidas_iZIPv7_r63_mf.env</v>
      </c>
      <c r="O57" t="str">
        <f t="shared" si="3"/>
        <v>"07170725_1253", "07170725_1424", "07170725_1704", "07170725_1835", "07170725_2006", "07170725_2136", "07170725_2307", "07170726_0038", "07170726_0209", "07170726_0340"</v>
      </c>
      <c r="S57" s="148" t="s">
        <v>4712</v>
      </c>
      <c r="T57" s="55">
        <v>-74</v>
      </c>
      <c r="U57" s="149">
        <v>0.49299999999999999</v>
      </c>
      <c r="V57" t="str">
        <f t="shared" si="4"/>
        <v>0, 65.8, 55, 50.5, 57.5, 0, 0, 0, 74</v>
      </c>
      <c r="W57" t="str">
        <f t="shared" si="4"/>
        <v>1, 0.498, 0.469, 0.483, 0.496, 1, 1, 1, 0.493</v>
      </c>
    </row>
    <row r="58" spans="1:23">
      <c r="A58" s="55" t="s">
        <v>4723</v>
      </c>
      <c r="B58" s="55"/>
      <c r="C58" s="55"/>
      <c r="D58" s="55"/>
      <c r="E58" s="55"/>
      <c r="F58" s="55"/>
      <c r="G58" s="55" t="s">
        <v>18</v>
      </c>
      <c r="H58" s="55" t="s">
        <v>4635</v>
      </c>
      <c r="I58" s="55"/>
      <c r="J58" s="55"/>
      <c r="K58" s="55"/>
      <c r="L58" s="55"/>
      <c r="M58" s="55" t="s">
        <v>2246</v>
      </c>
      <c r="N58" t="str">
        <f t="shared" si="2"/>
        <v>condorProc.py --series 07170726_0510 --donoise --dumps a --procenv environments/pymidas_iZIPv7_r63_mf.env</v>
      </c>
      <c r="O58" t="str">
        <f t="shared" si="3"/>
        <v>"07170725_1253", "07170725_1424", "07170725_1704", "07170725_1835", "07170725_2006", "07170725_2136", "07170725_2307", "07170726_0038", "07170726_0209", "07170726_0340", "07170726_0510"</v>
      </c>
      <c r="S58" s="148" t="s">
        <v>4714</v>
      </c>
      <c r="T58" s="55">
        <v>61.5</v>
      </c>
      <c r="U58" s="149">
        <v>0.50800000000000001</v>
      </c>
      <c r="V58" t="str">
        <f t="shared" si="4"/>
        <v>0, 65.8, 55, 50.5, 57.5, 0, 0, 0, 74, 61.5</v>
      </c>
      <c r="W58" t="str">
        <f t="shared" si="4"/>
        <v>1, 0.498, 0.469, 0.483, 0.496, 1, 1, 1, 0.493, 0.508</v>
      </c>
    </row>
    <row r="59" spans="1:23">
      <c r="A59" s="20" t="s">
        <v>4724</v>
      </c>
      <c r="B59" s="20"/>
      <c r="C59" s="20"/>
      <c r="D59" s="20"/>
      <c r="E59" s="20"/>
      <c r="F59" s="20"/>
      <c r="G59" s="20" t="s">
        <v>18</v>
      </c>
      <c r="H59" s="20" t="s">
        <v>4725</v>
      </c>
      <c r="I59" s="20"/>
      <c r="J59" s="20"/>
      <c r="K59" s="156" t="s">
        <v>4726</v>
      </c>
      <c r="L59" s="20"/>
      <c r="M59" s="20" t="s">
        <v>2246</v>
      </c>
      <c r="N59" t="str">
        <f t="shared" ref="N59:N70" si="5">"condorProc.py --series "&amp;A59&amp;" --donoise --dumps a --procenv environments/pymidas_iZIPv7_r63_mf.env"</f>
        <v>condorProc.py --series 07170726_1631 --donoise --dumps a --procenv environments/pymidas_iZIPv7_r63_mf.env</v>
      </c>
      <c r="S59" s="148" t="s">
        <v>4717</v>
      </c>
      <c r="T59" s="55">
        <v>62</v>
      </c>
      <c r="U59" s="149">
        <v>0.52400000000000002</v>
      </c>
      <c r="V59" t="str">
        <f t="shared" si="4"/>
        <v>0, 65.8, 55, 50.5, 57.5, 0, 0, 0, 74, 61.5, 62</v>
      </c>
      <c r="W59" t="str">
        <f t="shared" si="4"/>
        <v>1, 0.498, 0.469, 0.483, 0.496, 1, 1, 1, 0.493, 0.508, 0.524</v>
      </c>
    </row>
    <row r="60" spans="1:23">
      <c r="A60" s="20" t="s">
        <v>4727</v>
      </c>
      <c r="B60" s="20"/>
      <c r="C60" s="20"/>
      <c r="D60" s="20"/>
      <c r="E60" s="20"/>
      <c r="F60" s="20"/>
      <c r="G60" s="20" t="s">
        <v>18</v>
      </c>
      <c r="H60" s="20" t="s">
        <v>4625</v>
      </c>
      <c r="I60" s="20"/>
      <c r="J60" s="20"/>
      <c r="K60" s="20"/>
      <c r="L60" s="20"/>
      <c r="M60" s="20" t="s">
        <v>2246</v>
      </c>
      <c r="N60" t="str">
        <f t="shared" si="5"/>
        <v>condorProc.py --series 07170726_1732 --donoise --dumps a --procenv environments/pymidas_iZIPv7_r63_mf.env</v>
      </c>
      <c r="S60" s="150" t="s">
        <v>4720</v>
      </c>
      <c r="T60" s="151">
        <v>67.8</v>
      </c>
      <c r="U60" s="152">
        <v>0.49099999999999999</v>
      </c>
      <c r="V60" t="str">
        <f t="shared" si="4"/>
        <v>0, 65.8, 55, 50.5, 57.5, 0, 0, 0, 74, 61.5, 62, 67.8</v>
      </c>
      <c r="W60" t="str">
        <f t="shared" si="4"/>
        <v>1, 0.498, 0.469, 0.483, 0.496, 1, 1, 1, 0.493, 0.508, 0.524, 0.491</v>
      </c>
    </row>
    <row r="61" spans="1:23">
      <c r="A61" s="20" t="s">
        <v>4728</v>
      </c>
      <c r="B61" s="20"/>
      <c r="C61" s="20"/>
      <c r="D61" s="20"/>
      <c r="E61" s="20"/>
      <c r="F61" s="20"/>
      <c r="G61" s="20" t="s">
        <v>18</v>
      </c>
      <c r="H61" s="20" t="s">
        <v>4627</v>
      </c>
      <c r="I61" s="20"/>
      <c r="J61" s="20"/>
      <c r="K61" s="20"/>
      <c r="L61" s="20"/>
      <c r="M61" s="20" t="s">
        <v>2246</v>
      </c>
      <c r="N61" t="str">
        <f t="shared" si="5"/>
        <v>condorProc.py --series 07170726_1833 --donoise --dumps a --procenv environments/pymidas_iZIPv7_r63_mf.env</v>
      </c>
    </row>
    <row r="62" spans="1:23">
      <c r="A62" s="20" t="s">
        <v>4729</v>
      </c>
      <c r="B62" s="20"/>
      <c r="C62" s="20"/>
      <c r="D62" s="20"/>
      <c r="E62" s="20"/>
      <c r="F62" s="20"/>
      <c r="G62" s="20" t="s">
        <v>18</v>
      </c>
      <c r="H62" s="20" t="s">
        <v>4629</v>
      </c>
      <c r="I62" s="20"/>
      <c r="J62" s="20"/>
      <c r="K62" s="20"/>
      <c r="L62" s="20"/>
      <c r="M62" s="20" t="s">
        <v>2246</v>
      </c>
      <c r="N62" t="str">
        <f t="shared" si="5"/>
        <v>condorProc.py --series 07170726_1933 --donoise --dumps a --procenv environments/pymidas_iZIPv7_r63_mf.env</v>
      </c>
    </row>
    <row r="63" spans="1:23">
      <c r="A63" s="20" t="s">
        <v>4730</v>
      </c>
      <c r="B63" s="20"/>
      <c r="C63" s="20"/>
      <c r="D63" s="20"/>
      <c r="E63" s="20"/>
      <c r="F63" s="20"/>
      <c r="G63" s="20" t="s">
        <v>18</v>
      </c>
      <c r="H63" s="20" t="s">
        <v>4631</v>
      </c>
      <c r="I63" s="20"/>
      <c r="J63" s="20"/>
      <c r="K63" s="20"/>
      <c r="L63" s="20"/>
      <c r="M63" s="20" t="s">
        <v>2246</v>
      </c>
      <c r="N63" t="str">
        <f t="shared" si="5"/>
        <v>condorProc.py --series 07170726_2034 --donoise --dumps a --procenv environments/pymidas_iZIPv7_r63_mf.env</v>
      </c>
    </row>
    <row r="64" spans="1:23">
      <c r="A64" s="20" t="s">
        <v>4731</v>
      </c>
      <c r="B64" s="20"/>
      <c r="C64" s="20"/>
      <c r="D64" s="20"/>
      <c r="E64" s="20"/>
      <c r="F64" s="20"/>
      <c r="G64" s="20" t="s">
        <v>18</v>
      </c>
      <c r="H64" s="20" t="s">
        <v>4633</v>
      </c>
      <c r="I64" s="20"/>
      <c r="J64" s="20"/>
      <c r="K64" s="20"/>
      <c r="L64" s="20"/>
      <c r="M64" s="20" t="s">
        <v>2246</v>
      </c>
      <c r="N64" t="str">
        <f t="shared" si="5"/>
        <v>condorProc.py --series 07170726_2135 --donoise --dumps a --procenv environments/pymidas_iZIPv7_r63_mf.env</v>
      </c>
    </row>
    <row r="65" spans="1:18">
      <c r="A65" s="20" t="s">
        <v>4732</v>
      </c>
      <c r="B65" s="20"/>
      <c r="C65" s="20"/>
      <c r="D65" s="20"/>
      <c r="E65" s="20"/>
      <c r="F65" s="20"/>
      <c r="G65" s="20" t="s">
        <v>18</v>
      </c>
      <c r="H65" s="20" t="s">
        <v>4635</v>
      </c>
      <c r="I65" s="20"/>
      <c r="J65" s="20"/>
      <c r="K65" s="20"/>
      <c r="L65" s="20"/>
      <c r="M65" s="20" t="s">
        <v>2246</v>
      </c>
      <c r="N65" t="str">
        <f t="shared" si="5"/>
        <v>condorProc.py --series 07170726_2236 --donoise --dumps a --procenv environments/pymidas_iZIPv7_r63_mf.env</v>
      </c>
    </row>
    <row r="66" spans="1:18">
      <c r="A66" s="20" t="s">
        <v>4733</v>
      </c>
      <c r="B66" s="20"/>
      <c r="C66" s="20"/>
      <c r="D66" s="20"/>
      <c r="E66" s="20"/>
      <c r="F66" s="20"/>
      <c r="G66" s="20" t="s">
        <v>18</v>
      </c>
      <c r="H66" s="20" t="s">
        <v>4637</v>
      </c>
      <c r="I66" s="20"/>
      <c r="J66" s="20"/>
      <c r="K66" s="20"/>
      <c r="L66" s="20"/>
      <c r="M66" s="20" t="s">
        <v>2246</v>
      </c>
      <c r="N66" t="str">
        <f t="shared" si="5"/>
        <v>condorProc.py --series 07170726_2337 --donoise --dumps a --procenv environments/pymidas_iZIPv7_r63_mf.env</v>
      </c>
    </row>
    <row r="67" spans="1:18">
      <c r="A67" s="20" t="s">
        <v>4734</v>
      </c>
      <c r="B67" s="20"/>
      <c r="C67" s="20"/>
      <c r="D67" s="20"/>
      <c r="E67" s="20"/>
      <c r="F67" s="20"/>
      <c r="G67" s="20" t="s">
        <v>18</v>
      </c>
      <c r="H67" s="20" t="s">
        <v>4639</v>
      </c>
      <c r="I67" s="20"/>
      <c r="J67" s="20"/>
      <c r="K67" s="20"/>
      <c r="L67" s="20"/>
      <c r="M67" s="20" t="s">
        <v>2246</v>
      </c>
      <c r="N67" t="str">
        <f t="shared" si="5"/>
        <v>condorProc.py --series 07170727_0037 --donoise --dumps a --procenv environments/pymidas_iZIPv7_r63_mf.env</v>
      </c>
    </row>
    <row r="68" spans="1:18">
      <c r="A68" s="20" t="s">
        <v>4735</v>
      </c>
      <c r="B68" s="20"/>
      <c r="C68" s="20"/>
      <c r="D68" s="20"/>
      <c r="E68" s="20"/>
      <c r="F68" s="20"/>
      <c r="G68" s="20" t="s">
        <v>18</v>
      </c>
      <c r="H68" s="20" t="s">
        <v>4641</v>
      </c>
      <c r="I68" s="20"/>
      <c r="J68" s="20"/>
      <c r="K68" s="20"/>
      <c r="L68" s="20"/>
      <c r="M68" s="20" t="s">
        <v>2246</v>
      </c>
      <c r="N68" t="str">
        <f t="shared" si="5"/>
        <v>condorProc.py --series 07170727_0138 --donoise --dumps a --procenv environments/pymidas_iZIPv7_r63_mf.env</v>
      </c>
    </row>
    <row r="69" spans="1:18">
      <c r="A69" s="20" t="s">
        <v>4736</v>
      </c>
      <c r="B69" s="20"/>
      <c r="C69" s="20"/>
      <c r="D69" s="20"/>
      <c r="E69" s="20"/>
      <c r="F69" s="20"/>
      <c r="G69" s="20" t="s">
        <v>18</v>
      </c>
      <c r="H69" s="20" t="s">
        <v>4643</v>
      </c>
      <c r="I69" s="20"/>
      <c r="J69" s="20"/>
      <c r="K69" s="20"/>
      <c r="L69" s="20"/>
      <c r="M69" s="20" t="s">
        <v>2246</v>
      </c>
      <c r="N69" t="str">
        <f t="shared" si="5"/>
        <v>condorProc.py --series 07170727_0239 --donoise --dumps a --procenv environments/pymidas_iZIPv7_r63_mf.env</v>
      </c>
    </row>
    <row r="70" spans="1:18">
      <c r="A70" s="20" t="s">
        <v>4737</v>
      </c>
      <c r="B70" s="20"/>
      <c r="C70" s="20"/>
      <c r="D70" s="20"/>
      <c r="E70" s="20"/>
      <c r="F70" s="20"/>
      <c r="G70" s="20" t="s">
        <v>18</v>
      </c>
      <c r="H70" s="20" t="s">
        <v>4645</v>
      </c>
      <c r="I70" s="20"/>
      <c r="J70" s="20"/>
      <c r="K70" s="20"/>
      <c r="L70" s="20"/>
      <c r="M70" s="20" t="s">
        <v>2246</v>
      </c>
      <c r="N70" t="str">
        <f t="shared" si="5"/>
        <v>condorProc.py --series 07170727_0340 --donoise --dumps a --procenv environments/pymidas_iZIPv7_r63_mf.env</v>
      </c>
    </row>
    <row r="71" spans="1:18">
      <c r="A71" s="57" t="s">
        <v>4738</v>
      </c>
      <c r="B71" s="57"/>
      <c r="C71" s="57"/>
      <c r="D71" s="57"/>
      <c r="E71" s="57"/>
      <c r="F71" s="57"/>
      <c r="G71" s="57" t="s">
        <v>18</v>
      </c>
      <c r="H71" s="57"/>
      <c r="I71" s="57"/>
      <c r="J71" s="57" t="s">
        <v>2288</v>
      </c>
      <c r="K71" s="57" t="s">
        <v>4739</v>
      </c>
      <c r="L71" s="57" t="s">
        <v>4740</v>
      </c>
      <c r="M71" s="57" t="s">
        <v>2246</v>
      </c>
      <c r="N71" t="str">
        <f t="shared" ref="N71:N80" si="6">"condorProc.py --series "&amp;A71&amp;" --donoise --dumps a --procenv environments/pymidas_iZIPv7_r63_mf.env"</f>
        <v>condorProc.py --series 07170727_1343 --donoise --dumps a --procenv environments/pymidas_iZIPv7_r63_mf.env</v>
      </c>
      <c r="P71">
        <f t="shared" ref="P71:P80" si="7">VALUE(LEFT(L71,LEN(L71)-3))</f>
        <v>0</v>
      </c>
      <c r="Q71">
        <f>VALUE(LEFT(K71,LEN(K71)-3))</f>
        <v>25.5</v>
      </c>
    </row>
    <row r="72" spans="1:18">
      <c r="A72" s="57" t="s">
        <v>4741</v>
      </c>
      <c r="B72" s="57"/>
      <c r="C72" s="57"/>
      <c r="D72" s="57"/>
      <c r="E72" s="57"/>
      <c r="F72" s="57"/>
      <c r="G72" s="57" t="s">
        <v>18</v>
      </c>
      <c r="H72" s="57"/>
      <c r="I72" s="57"/>
      <c r="J72" s="57" t="s">
        <v>2288</v>
      </c>
      <c r="K72" s="57" t="s">
        <v>4742</v>
      </c>
      <c r="L72" s="57" t="s">
        <v>4743</v>
      </c>
      <c r="M72" s="57" t="s">
        <v>2246</v>
      </c>
      <c r="N72" t="str">
        <f t="shared" si="6"/>
        <v>condorProc.py --series 07170727_1406 --donoise --dumps a --procenv environments/pymidas_iZIPv7_r63_mf.env</v>
      </c>
      <c r="P72">
        <f t="shared" si="7"/>
        <v>1</v>
      </c>
      <c r="Q72">
        <f>VALUE(LEFT(K72,LEN(K72)-3))</f>
        <v>28.7</v>
      </c>
    </row>
    <row r="73" spans="1:18">
      <c r="A73" s="57" t="s">
        <v>4744</v>
      </c>
      <c r="B73" s="57"/>
      <c r="C73" s="57"/>
      <c r="D73" s="57"/>
      <c r="E73" s="57"/>
      <c r="F73" s="57"/>
      <c r="G73" s="57" t="s">
        <v>18</v>
      </c>
      <c r="H73" s="57"/>
      <c r="I73" s="57"/>
      <c r="J73" s="57" t="s">
        <v>2288</v>
      </c>
      <c r="K73" s="57" t="s">
        <v>4745</v>
      </c>
      <c r="L73" s="57" t="s">
        <v>4746</v>
      </c>
      <c r="M73" s="57" t="s">
        <v>2246</v>
      </c>
      <c r="N73" t="str">
        <f t="shared" si="6"/>
        <v>condorProc.py --series 07170727_1508 --donoise --dumps a --procenv environments/pymidas_iZIPv7_r63_mf.env</v>
      </c>
      <c r="P73">
        <f t="shared" si="7"/>
        <v>2</v>
      </c>
      <c r="Q73">
        <f>VALUE(LEFT(K73,LEN(K73)-3))</f>
        <v>34.1</v>
      </c>
    </row>
    <row r="74" spans="1:18">
      <c r="A74" s="57" t="s">
        <v>4747</v>
      </c>
      <c r="B74" s="57"/>
      <c r="C74" s="57"/>
      <c r="D74" s="57"/>
      <c r="E74" s="57"/>
      <c r="F74" s="57"/>
      <c r="G74" s="57" t="s">
        <v>18</v>
      </c>
      <c r="H74" s="57"/>
      <c r="I74" s="57"/>
      <c r="J74" s="57" t="s">
        <v>2288</v>
      </c>
      <c r="K74" s="57" t="s">
        <v>4748</v>
      </c>
      <c r="L74" s="57" t="s">
        <v>4749</v>
      </c>
      <c r="M74" s="57" t="s">
        <v>2246</v>
      </c>
      <c r="N74" t="str">
        <f t="shared" si="6"/>
        <v>condorProc.py --series 07170727_1543 --donoise --dumps a --procenv environments/pymidas_iZIPv7_r63_mf.env</v>
      </c>
      <c r="P74">
        <f t="shared" si="7"/>
        <v>3</v>
      </c>
      <c r="Q74">
        <f>VALUE(LEFT(K74,LEN(K74)-3))</f>
        <v>36.4</v>
      </c>
    </row>
    <row r="75" spans="1:18">
      <c r="A75" s="57" t="s">
        <v>4750</v>
      </c>
      <c r="B75" s="57"/>
      <c r="C75" s="57"/>
      <c r="D75" s="57"/>
      <c r="E75" s="57"/>
      <c r="F75" s="57"/>
      <c r="G75" s="57" t="s">
        <v>18</v>
      </c>
      <c r="H75" s="57"/>
      <c r="I75" s="57"/>
      <c r="J75" s="57" t="s">
        <v>2288</v>
      </c>
      <c r="K75" s="57" t="s">
        <v>4751</v>
      </c>
      <c r="L75" s="57" t="s">
        <v>4752</v>
      </c>
      <c r="M75" s="57" t="s">
        <v>2246</v>
      </c>
      <c r="N75" t="str">
        <f t="shared" si="6"/>
        <v>condorProc.py --series 07170727_1617 --donoise --dumps a --procenv environments/pymidas_iZIPv7_r63_mf.env</v>
      </c>
      <c r="P75">
        <f t="shared" si="7"/>
        <v>4</v>
      </c>
      <c r="Q75">
        <f>VALUE(LEFT(K75,LEN(K75)-3))</f>
        <v>44.7</v>
      </c>
    </row>
    <row r="76" spans="1:18">
      <c r="A76" s="57" t="s">
        <v>4753</v>
      </c>
      <c r="B76" s="57"/>
      <c r="C76" s="57"/>
      <c r="D76" s="57"/>
      <c r="E76" s="57"/>
      <c r="F76" s="57"/>
      <c r="G76" s="57" t="s">
        <v>18</v>
      </c>
      <c r="H76" s="57"/>
      <c r="I76" s="57"/>
      <c r="J76" s="57" t="s">
        <v>2288</v>
      </c>
      <c r="K76" s="57" t="s">
        <v>4754</v>
      </c>
      <c r="L76" s="57" t="s">
        <v>4740</v>
      </c>
      <c r="M76" s="57" t="s">
        <v>2246</v>
      </c>
      <c r="N76" t="str">
        <f t="shared" si="6"/>
        <v>condorProc.py --series 07170728_1139 --donoise --dumps a --procenv environments/pymidas_iZIPv7_r63_mf.env</v>
      </c>
      <c r="P76">
        <f t="shared" si="7"/>
        <v>0</v>
      </c>
      <c r="R76">
        <f>VALUE(LEFT(K76,LEN(K76)-3))</f>
        <v>25.6</v>
      </c>
    </row>
    <row r="77" spans="1:18">
      <c r="A77" s="57" t="s">
        <v>4755</v>
      </c>
      <c r="B77" s="57"/>
      <c r="C77" s="57"/>
      <c r="D77" s="57"/>
      <c r="E77" s="57"/>
      <c r="F77" s="57"/>
      <c r="G77" s="57" t="s">
        <v>18</v>
      </c>
      <c r="H77" s="57"/>
      <c r="I77" s="57"/>
      <c r="J77" s="57" t="s">
        <v>2288</v>
      </c>
      <c r="K77" s="57" t="s">
        <v>4756</v>
      </c>
      <c r="L77" s="57" t="s">
        <v>4757</v>
      </c>
      <c r="M77" s="57" t="s">
        <v>2246</v>
      </c>
      <c r="N77" t="str">
        <f t="shared" si="6"/>
        <v>condorProc.py --series 07170728_1206 --donoise --dumps a --procenv environments/pymidas_iZIPv7_r63_mf.env</v>
      </c>
      <c r="P77">
        <f t="shared" si="7"/>
        <v>0.5</v>
      </c>
      <c r="R77">
        <f>VALUE(LEFT(K77,LEN(K77)-3))</f>
        <v>26.7</v>
      </c>
    </row>
    <row r="78" spans="1:18">
      <c r="A78" s="57" t="s">
        <v>4758</v>
      </c>
      <c r="B78" s="57"/>
      <c r="C78" s="57"/>
      <c r="D78" s="57"/>
      <c r="E78" s="57"/>
      <c r="F78" s="57"/>
      <c r="G78" s="57" t="s">
        <v>18</v>
      </c>
      <c r="H78" s="57"/>
      <c r="I78" s="57"/>
      <c r="J78" s="57" t="s">
        <v>2288</v>
      </c>
      <c r="K78" s="57" t="s">
        <v>4759</v>
      </c>
      <c r="L78" s="57" t="s">
        <v>4760</v>
      </c>
      <c r="M78" s="57" t="s">
        <v>2246</v>
      </c>
      <c r="N78" t="str">
        <f t="shared" si="6"/>
        <v>condorProc.py --series 07170728_1228 --donoise --dumps a --procenv environments/pymidas_iZIPv7_r63_mf.env</v>
      </c>
      <c r="P78">
        <f t="shared" si="7"/>
        <v>1.5</v>
      </c>
      <c r="R78">
        <f>VALUE(LEFT(K78,LEN(K78)-3))</f>
        <v>36</v>
      </c>
    </row>
    <row r="79" spans="1:18">
      <c r="A79" s="57" t="s">
        <v>4761</v>
      </c>
      <c r="B79" s="57"/>
      <c r="C79" s="57"/>
      <c r="D79" s="57"/>
      <c r="E79" s="57"/>
      <c r="F79" s="57"/>
      <c r="G79" s="57" t="s">
        <v>18</v>
      </c>
      <c r="H79" s="57"/>
      <c r="I79" s="57"/>
      <c r="J79" s="57" t="s">
        <v>2288</v>
      </c>
      <c r="K79" s="57" t="s">
        <v>4762</v>
      </c>
      <c r="L79" s="57" t="s">
        <v>4763</v>
      </c>
      <c r="M79" s="57" t="s">
        <v>2246</v>
      </c>
      <c r="N79" t="str">
        <f t="shared" si="6"/>
        <v>condorProc.py --series 07170728_1255 --donoise --dumps a --procenv environments/pymidas_iZIPv7_r63_mf.env</v>
      </c>
      <c r="P79">
        <f t="shared" si="7"/>
        <v>2.5</v>
      </c>
      <c r="R79">
        <f>VALUE(LEFT(K79,LEN(K79)-3))</f>
        <v>42.8</v>
      </c>
    </row>
    <row r="80" spans="1:18">
      <c r="A80" s="57" t="s">
        <v>4764</v>
      </c>
      <c r="B80" s="57"/>
      <c r="C80" s="57"/>
      <c r="D80" s="57"/>
      <c r="E80" s="57"/>
      <c r="F80" s="57"/>
      <c r="G80" s="57" t="s">
        <v>18</v>
      </c>
      <c r="H80" s="57"/>
      <c r="I80" s="57"/>
      <c r="J80" s="57" t="s">
        <v>2288</v>
      </c>
      <c r="K80" s="57" t="s">
        <v>4765</v>
      </c>
      <c r="L80" s="57" t="s">
        <v>4766</v>
      </c>
      <c r="M80" s="57" t="s">
        <v>2246</v>
      </c>
      <c r="N80" t="str">
        <f t="shared" si="6"/>
        <v>condorProc.py --series 07170728_1312 --donoise --dumps a --procenv environments/pymidas_iZIPv7_r63_mf.env</v>
      </c>
      <c r="P80">
        <f t="shared" si="7"/>
        <v>3.5</v>
      </c>
      <c r="R80">
        <f>VALUE(LEFT(K80,LEN(K80)-3))</f>
        <v>46.5</v>
      </c>
    </row>
    <row r="81" spans="1:22">
      <c r="A81" s="70" t="s">
        <v>4767</v>
      </c>
      <c r="B81" s="70"/>
      <c r="C81" s="70"/>
      <c r="D81" s="70"/>
      <c r="E81" s="70"/>
      <c r="F81" s="70"/>
      <c r="G81" s="70" t="s">
        <v>18</v>
      </c>
      <c r="H81" s="70"/>
      <c r="I81" s="70"/>
      <c r="J81" s="70" t="s">
        <v>4671</v>
      </c>
      <c r="K81" s="70" t="s">
        <v>4672</v>
      </c>
      <c r="L81" s="70"/>
      <c r="M81" s="70"/>
    </row>
    <row r="82" spans="1:22">
      <c r="A82" s="70" t="s">
        <v>4768</v>
      </c>
      <c r="B82" s="70"/>
      <c r="C82" s="70"/>
      <c r="D82" s="70"/>
      <c r="E82" s="70"/>
      <c r="F82" s="70"/>
      <c r="G82" s="70" t="s">
        <v>18</v>
      </c>
      <c r="H82" s="70"/>
      <c r="I82" s="70"/>
      <c r="J82" s="70" t="s">
        <v>4671</v>
      </c>
      <c r="K82" s="70" t="s">
        <v>4672</v>
      </c>
      <c r="L82" s="70"/>
      <c r="M82" s="70"/>
    </row>
    <row r="83" spans="1:22">
      <c r="A83" s="20" t="s">
        <v>4769</v>
      </c>
      <c r="B83" s="20"/>
      <c r="C83" s="20"/>
      <c r="D83" s="20"/>
      <c r="E83" s="20"/>
      <c r="F83" s="20"/>
      <c r="G83" s="20" t="s">
        <v>18</v>
      </c>
      <c r="H83" s="20" t="s">
        <v>4656</v>
      </c>
      <c r="I83" s="20"/>
      <c r="J83" s="20"/>
      <c r="K83" s="156" t="s">
        <v>4726</v>
      </c>
      <c r="L83" s="20"/>
      <c r="M83" s="20" t="s">
        <v>2246</v>
      </c>
      <c r="N83" t="str">
        <f t="shared" ref="N83:N94" si="8">"condorProc.py --series "&amp;A83&amp;" --donoise --dumps a --procenv environments/pymidas_iZIPv7_r63_mf.env"</f>
        <v>condorProc.py --series 07170728_1652 --donoise --dumps a --procenv environments/pymidas_iZIPv7_r63_mf.env</v>
      </c>
    </row>
    <row r="84" spans="1:22">
      <c r="A84" s="20" t="s">
        <v>4770</v>
      </c>
      <c r="B84" s="20"/>
      <c r="C84" s="20"/>
      <c r="D84" s="20"/>
      <c r="E84" s="20"/>
      <c r="F84" s="20"/>
      <c r="G84" s="20" t="s">
        <v>18</v>
      </c>
      <c r="H84" s="20" t="s">
        <v>4658</v>
      </c>
      <c r="I84" s="20"/>
      <c r="J84" s="20"/>
      <c r="K84" s="20"/>
      <c r="L84" s="20"/>
      <c r="M84" s="20" t="s">
        <v>2246</v>
      </c>
      <c r="N84" t="str">
        <f t="shared" si="8"/>
        <v>condorProc.py --series 07170728_1823 --donoise --dumps a --procenv environments/pymidas_iZIPv7_r63_mf.env</v>
      </c>
    </row>
    <row r="85" spans="1:22">
      <c r="A85" s="20" t="s">
        <v>4771</v>
      </c>
      <c r="B85" s="20"/>
      <c r="C85" s="20"/>
      <c r="D85" s="20"/>
      <c r="E85" s="20"/>
      <c r="F85" s="20"/>
      <c r="G85" s="20" t="s">
        <v>18</v>
      </c>
      <c r="H85" s="20" t="s">
        <v>4660</v>
      </c>
      <c r="I85" s="20"/>
      <c r="J85" s="20"/>
      <c r="K85" s="20"/>
      <c r="L85" s="20"/>
      <c r="M85" s="20" t="s">
        <v>2246</v>
      </c>
      <c r="N85" t="str">
        <f t="shared" si="8"/>
        <v>condorProc.py --series 07170728_1953 --donoise --dumps a --procenv environments/pymidas_iZIPv7_r63_mf.env</v>
      </c>
    </row>
    <row r="86" spans="1:22">
      <c r="A86" s="20" t="s">
        <v>4772</v>
      </c>
      <c r="B86" s="20"/>
      <c r="C86" s="20"/>
      <c r="D86" s="20"/>
      <c r="E86" s="20"/>
      <c r="F86" s="20"/>
      <c r="G86" s="20" t="s">
        <v>18</v>
      </c>
      <c r="H86" s="20" t="s">
        <v>4662</v>
      </c>
      <c r="I86" s="20"/>
      <c r="J86" s="20"/>
      <c r="K86" s="20"/>
      <c r="L86" s="20"/>
      <c r="M86" s="20" t="s">
        <v>2246</v>
      </c>
      <c r="N86" t="str">
        <f t="shared" si="8"/>
        <v>condorProc.py --series 07170728_2124 --donoise --dumps a --procenv environments/pymidas_iZIPv7_r63_mf.env</v>
      </c>
    </row>
    <row r="87" spans="1:22">
      <c r="A87" s="20" t="s">
        <v>4773</v>
      </c>
      <c r="B87" s="20"/>
      <c r="C87" s="20"/>
      <c r="D87" s="20"/>
      <c r="E87" s="20"/>
      <c r="F87" s="20"/>
      <c r="G87" s="20" t="s">
        <v>18</v>
      </c>
      <c r="H87" s="20" t="s">
        <v>4664</v>
      </c>
      <c r="I87" s="20"/>
      <c r="J87" s="20"/>
      <c r="K87" s="20"/>
      <c r="L87" s="20"/>
      <c r="M87" s="20" t="s">
        <v>2246</v>
      </c>
      <c r="N87" t="str">
        <f t="shared" si="8"/>
        <v>condorProc.py --series 07170728_2255 --donoise --dumps a --procenv environments/pymidas_iZIPv7_r63_mf.env</v>
      </c>
    </row>
    <row r="88" spans="1:22">
      <c r="A88" s="20" t="s">
        <v>4774</v>
      </c>
      <c r="B88" s="20"/>
      <c r="C88" s="20"/>
      <c r="D88" s="20"/>
      <c r="E88" s="20"/>
      <c r="F88" s="20"/>
      <c r="G88" s="20" t="s">
        <v>18</v>
      </c>
      <c r="H88" s="20" t="s">
        <v>4666</v>
      </c>
      <c r="I88" s="20"/>
      <c r="J88" s="20"/>
      <c r="K88" s="20"/>
      <c r="L88" s="20"/>
      <c r="M88" s="20" t="s">
        <v>2246</v>
      </c>
      <c r="N88" t="str">
        <f t="shared" si="8"/>
        <v>condorProc.py --series 07170729_0026 --donoise --dumps a --procenv environments/pymidas_iZIPv7_r63_mf.env</v>
      </c>
    </row>
    <row r="89" spans="1:22">
      <c r="A89" s="20" t="s">
        <v>4775</v>
      </c>
      <c r="B89" s="20"/>
      <c r="C89" s="20"/>
      <c r="D89" s="20"/>
      <c r="E89" s="20"/>
      <c r="F89" s="20"/>
      <c r="G89" s="20" t="s">
        <v>18</v>
      </c>
      <c r="H89" s="20" t="s">
        <v>4668</v>
      </c>
      <c r="I89" s="20"/>
      <c r="J89" s="20"/>
      <c r="K89" s="20"/>
      <c r="L89" s="20"/>
      <c r="M89" s="20" t="s">
        <v>2246</v>
      </c>
      <c r="N89" t="str">
        <f t="shared" si="8"/>
        <v>condorProc.py --series 07170729_0156 --donoise --dumps a --procenv environments/pymidas_iZIPv7_r63_mf.env</v>
      </c>
    </row>
    <row r="90" spans="1:22">
      <c r="A90" s="20" t="s">
        <v>4776</v>
      </c>
      <c r="B90" s="20"/>
      <c r="C90" s="20"/>
      <c r="D90" s="20"/>
      <c r="E90" s="20"/>
      <c r="F90" s="20"/>
      <c r="G90" s="20" t="s">
        <v>18</v>
      </c>
      <c r="H90" s="20" t="s">
        <v>4688</v>
      </c>
      <c r="I90" s="20"/>
      <c r="J90" s="20"/>
      <c r="K90" s="20"/>
      <c r="L90" s="20"/>
      <c r="M90" s="20" t="s">
        <v>2246</v>
      </c>
      <c r="N90" t="str">
        <f t="shared" si="8"/>
        <v>condorProc.py --series 07170729_0327 --donoise --dumps a --procenv environments/pymidas_iZIPv7_r63_mf.env</v>
      </c>
    </row>
    <row r="91" spans="1:22">
      <c r="A91" s="20" t="s">
        <v>4777</v>
      </c>
      <c r="B91" s="20"/>
      <c r="C91" s="20"/>
      <c r="D91" s="20"/>
      <c r="E91" s="20"/>
      <c r="F91" s="20"/>
      <c r="G91" s="20" t="s">
        <v>18</v>
      </c>
      <c r="H91" s="20" t="s">
        <v>4690</v>
      </c>
      <c r="I91" s="20"/>
      <c r="J91" s="20"/>
      <c r="K91" s="20"/>
      <c r="L91" s="20"/>
      <c r="M91" s="20" t="s">
        <v>2246</v>
      </c>
      <c r="N91" t="str">
        <f t="shared" si="8"/>
        <v>condorProc.py --series 07170729_0458 --donoise --dumps a --procenv environments/pymidas_iZIPv7_r63_mf.env</v>
      </c>
    </row>
    <row r="92" spans="1:22">
      <c r="A92" s="20" t="s">
        <v>4778</v>
      </c>
      <c r="B92" s="20"/>
      <c r="C92" s="20"/>
      <c r="D92" s="20"/>
      <c r="E92" s="20"/>
      <c r="F92" s="20"/>
      <c r="G92" s="20" t="s">
        <v>18</v>
      </c>
      <c r="H92" s="20" t="s">
        <v>4692</v>
      </c>
      <c r="I92" s="20"/>
      <c r="J92" s="20"/>
      <c r="K92" s="20"/>
      <c r="L92" s="20"/>
      <c r="M92" s="20" t="s">
        <v>2246</v>
      </c>
      <c r="N92" t="str">
        <f t="shared" si="8"/>
        <v>condorProc.py --series 07170729_0629 --donoise --dumps a --procenv environments/pymidas_iZIPv7_r63_mf.env</v>
      </c>
    </row>
    <row r="93" spans="1:22">
      <c r="A93" s="20" t="s">
        <v>4779</v>
      </c>
      <c r="B93" s="20"/>
      <c r="C93" s="20"/>
      <c r="D93" s="20"/>
      <c r="E93" s="20"/>
      <c r="F93" s="20"/>
      <c r="G93" s="20" t="s">
        <v>18</v>
      </c>
      <c r="H93" s="20" t="s">
        <v>4694</v>
      </c>
      <c r="I93" s="20"/>
      <c r="J93" s="20"/>
      <c r="K93" s="20"/>
      <c r="L93" s="20"/>
      <c r="M93" s="20" t="s">
        <v>2246</v>
      </c>
      <c r="N93" t="str">
        <f t="shared" si="8"/>
        <v>condorProc.py --series 07170729_0800 --donoise --dumps a --procenv environments/pymidas_iZIPv7_r63_mf.env</v>
      </c>
    </row>
    <row r="94" spans="1:22">
      <c r="A94" s="20" t="s">
        <v>4780</v>
      </c>
      <c r="B94" s="20"/>
      <c r="C94" s="20"/>
      <c r="D94" s="20"/>
      <c r="E94" s="20"/>
      <c r="F94" s="20"/>
      <c r="G94" s="20" t="s">
        <v>18</v>
      </c>
      <c r="H94" s="20" t="s">
        <v>4697</v>
      </c>
      <c r="I94" s="20"/>
      <c r="J94" s="20"/>
      <c r="K94" s="20"/>
      <c r="L94" s="20"/>
      <c r="M94" s="20" t="s">
        <v>2246</v>
      </c>
      <c r="N94" t="str">
        <f t="shared" si="8"/>
        <v>condorProc.py --series 07170729_0930 --donoise --dumps a --procenv environments/pymidas_iZIPv7_r63_mf.env</v>
      </c>
    </row>
    <row r="95" spans="1:22">
      <c r="A95" t="s">
        <v>4781</v>
      </c>
      <c r="G95" t="s">
        <v>18</v>
      </c>
      <c r="H95" t="s">
        <v>4668</v>
      </c>
      <c r="V95" s="159">
        <f>25211/3600/24</f>
        <v>0.29179398148148145</v>
      </c>
    </row>
    <row r="96" spans="1:22">
      <c r="A96" t="s">
        <v>4782</v>
      </c>
      <c r="G96" t="s">
        <v>18</v>
      </c>
      <c r="H96" t="s">
        <v>4668</v>
      </c>
    </row>
    <row r="97" spans="1:22">
      <c r="A97" s="56" t="s">
        <v>4783</v>
      </c>
      <c r="B97" s="56"/>
      <c r="C97" s="56"/>
      <c r="D97" s="56"/>
      <c r="E97" s="56"/>
      <c r="F97" s="56"/>
      <c r="G97" s="56" t="s">
        <v>18</v>
      </c>
      <c r="H97" s="56" t="s">
        <v>4635</v>
      </c>
      <c r="I97" s="56"/>
      <c r="J97" s="56"/>
      <c r="K97" s="93" t="s">
        <v>4784</v>
      </c>
      <c r="L97" s="56"/>
      <c r="M97" s="56" t="s">
        <v>2246</v>
      </c>
      <c r="N97" t="str">
        <f>"condorProc.py --series "&amp;A97&amp;" --donoise --dumps a --procenv environments/pymidas_iZIPv7_r63_mf.env"</f>
        <v>condorProc.py --series 07170730_1927 --donoise --dumps a --procenv environments/pymidas_iZIPv7_r63_mf.env</v>
      </c>
      <c r="O97" t="str">
        <f>""""&amp;A97&amp;""""</f>
        <v>"07170730_1927"</v>
      </c>
      <c r="V97" s="1">
        <v>42946.8125</v>
      </c>
    </row>
    <row r="98" spans="1:22">
      <c r="A98" s="56" t="s">
        <v>4785</v>
      </c>
      <c r="B98" s="56"/>
      <c r="C98" s="56"/>
      <c r="D98" s="56"/>
      <c r="E98" s="56"/>
      <c r="F98" s="56"/>
      <c r="G98" s="56" t="s">
        <v>18</v>
      </c>
      <c r="H98" s="56" t="s">
        <v>4635</v>
      </c>
      <c r="I98" s="56"/>
      <c r="J98" s="56"/>
      <c r="K98" s="88" t="s">
        <v>4786</v>
      </c>
      <c r="L98" s="56"/>
      <c r="M98" s="56" t="s">
        <v>2246</v>
      </c>
      <c r="N98" t="str">
        <f>"condorProc.py --series "&amp;A98&amp;" --donoise --dumps a --procenv environments/pymidas_iZIPv7_r63_mf.env"</f>
        <v>condorProc.py --series 07170730_2027 --donoise --dumps a --procenv environments/pymidas_iZIPv7_r63_mf.env</v>
      </c>
      <c r="O98" t="str">
        <f>O97&amp;", """&amp;A98&amp;""""</f>
        <v>"07170730_1927", "07170730_2027"</v>
      </c>
      <c r="V98" s="1">
        <v>42947.177083333336</v>
      </c>
    </row>
    <row r="99" spans="1:22">
      <c r="A99" s="56" t="s">
        <v>4787</v>
      </c>
      <c r="B99" s="56"/>
      <c r="C99" s="56"/>
      <c r="D99" s="56"/>
      <c r="E99" s="56"/>
      <c r="F99" s="56"/>
      <c r="G99" s="56" t="s">
        <v>18</v>
      </c>
      <c r="H99" s="56" t="s">
        <v>4635</v>
      </c>
      <c r="I99" s="56"/>
      <c r="J99" s="56"/>
      <c r="K99" s="56"/>
      <c r="L99" s="56"/>
      <c r="M99" s="56" t="s">
        <v>2246</v>
      </c>
      <c r="N99" t="str">
        <f t="shared" ref="N99:N108" si="9">"condorProc.py --series "&amp;A99&amp;" --donoise --dumps a --procenv environments/pymidas_iZIPv7_r63_mf.env"</f>
        <v>condorProc.py --series 07170730_2128 --donoise --dumps a --procenv environments/pymidas_iZIPv7_r63_mf.env</v>
      </c>
      <c r="O99" t="str">
        <f t="shared" ref="O99:O108" si="10">O98&amp;", """&amp;A99&amp;""""</f>
        <v>"07170730_1927", "07170730_2027", "07170730_2128"</v>
      </c>
      <c r="V99" s="159">
        <f>V98-V97</f>
        <v>0.36458333333575865</v>
      </c>
    </row>
    <row r="100" spans="1:22">
      <c r="A100" s="56" t="s">
        <v>4788</v>
      </c>
      <c r="B100" s="56"/>
      <c r="C100" s="56"/>
      <c r="D100" s="56"/>
      <c r="E100" s="56"/>
      <c r="F100" s="56"/>
      <c r="G100" s="56" t="s">
        <v>18</v>
      </c>
      <c r="H100" s="56" t="s">
        <v>4635</v>
      </c>
      <c r="I100" s="56"/>
      <c r="J100" s="56"/>
      <c r="K100" s="56"/>
      <c r="L100" s="56"/>
      <c r="M100" s="56" t="s">
        <v>2246</v>
      </c>
      <c r="N100" t="str">
        <f t="shared" si="9"/>
        <v>condorProc.py --series 07170730_2228 --donoise --dumps a --procenv environments/pymidas_iZIPv7_r63_mf.env</v>
      </c>
      <c r="O100" t="str">
        <f t="shared" si="10"/>
        <v>"07170730_1927", "07170730_2027", "07170730_2128", "07170730_2228"</v>
      </c>
    </row>
    <row r="101" spans="1:22">
      <c r="A101" s="56" t="s">
        <v>4789</v>
      </c>
      <c r="B101" s="56"/>
      <c r="C101" s="56"/>
      <c r="D101" s="56"/>
      <c r="E101" s="56"/>
      <c r="F101" s="56"/>
      <c r="G101" s="56" t="s">
        <v>18</v>
      </c>
      <c r="H101" s="56" t="s">
        <v>4635</v>
      </c>
      <c r="I101" s="56"/>
      <c r="J101" s="56"/>
      <c r="K101" s="56"/>
      <c r="L101" s="56"/>
      <c r="M101" s="56" t="s">
        <v>2246</v>
      </c>
      <c r="N101" t="str">
        <f t="shared" si="9"/>
        <v>condorProc.py --series 07170730_2328 --donoise --dumps a --procenv environments/pymidas_iZIPv7_r63_mf.env</v>
      </c>
      <c r="O101" t="str">
        <f t="shared" si="10"/>
        <v>"07170730_1927", "07170730_2027", "07170730_2128", "07170730_2228", "07170730_2328"</v>
      </c>
    </row>
    <row r="102" spans="1:22">
      <c r="A102" s="56" t="s">
        <v>4790</v>
      </c>
      <c r="B102" s="56"/>
      <c r="C102" s="56"/>
      <c r="D102" s="56"/>
      <c r="E102" s="56"/>
      <c r="F102" s="56"/>
      <c r="G102" s="56" t="s">
        <v>18</v>
      </c>
      <c r="H102" s="56" t="s">
        <v>4635</v>
      </c>
      <c r="I102" s="56"/>
      <c r="J102" s="56"/>
      <c r="K102" s="56"/>
      <c r="L102" s="56"/>
      <c r="M102" s="56" t="s">
        <v>2246</v>
      </c>
      <c r="N102" t="str">
        <f t="shared" si="9"/>
        <v>condorProc.py --series 07170731_0028 --donoise --dumps a --procenv environments/pymidas_iZIPv7_r63_mf.env</v>
      </c>
      <c r="O102" t="str">
        <f t="shared" si="10"/>
        <v>"07170730_1927", "07170730_2027", "07170730_2128", "07170730_2228", "07170730_2328", "07170731_0028"</v>
      </c>
    </row>
    <row r="103" spans="1:22">
      <c r="A103" s="56" t="s">
        <v>4791</v>
      </c>
      <c r="B103" s="56"/>
      <c r="C103" s="56"/>
      <c r="D103" s="56"/>
      <c r="E103" s="56"/>
      <c r="F103" s="56"/>
      <c r="G103" s="56" t="s">
        <v>18</v>
      </c>
      <c r="H103" s="56" t="s">
        <v>4635</v>
      </c>
      <c r="I103" s="56"/>
      <c r="J103" s="56"/>
      <c r="K103" s="56"/>
      <c r="L103" s="56"/>
      <c r="M103" s="56" t="s">
        <v>2246</v>
      </c>
      <c r="N103" t="str">
        <f t="shared" si="9"/>
        <v>condorProc.py --series 07170731_0128 --donoise --dumps a --procenv environments/pymidas_iZIPv7_r63_mf.env</v>
      </c>
      <c r="O103" t="str">
        <f t="shared" si="10"/>
        <v>"07170730_1927", "07170730_2027", "07170730_2128", "07170730_2228", "07170730_2328", "07170731_0028", "07170731_0128"</v>
      </c>
    </row>
    <row r="104" spans="1:22">
      <c r="A104" s="56" t="s">
        <v>4792</v>
      </c>
      <c r="B104" s="56"/>
      <c r="C104" s="56"/>
      <c r="D104" s="56"/>
      <c r="E104" s="56"/>
      <c r="F104" s="56"/>
      <c r="G104" s="56" t="s">
        <v>18</v>
      </c>
      <c r="H104" s="56" t="s">
        <v>4635</v>
      </c>
      <c r="I104" s="56"/>
      <c r="J104" s="56"/>
      <c r="K104" s="56"/>
      <c r="L104" s="56"/>
      <c r="M104" s="56" t="s">
        <v>2246</v>
      </c>
      <c r="N104" t="str">
        <f t="shared" si="9"/>
        <v>condorProc.py --series 07170731_0228 --donoise --dumps a --procenv environments/pymidas_iZIPv7_r63_mf.env</v>
      </c>
      <c r="O104" t="str">
        <f t="shared" si="10"/>
        <v>"07170730_1927", "07170730_2027", "07170730_2128", "07170730_2228", "07170730_2328", "07170731_0028", "07170731_0128", "07170731_0228"</v>
      </c>
    </row>
    <row r="105" spans="1:22">
      <c r="A105" s="56" t="s">
        <v>4793</v>
      </c>
      <c r="B105" s="56"/>
      <c r="C105" s="56"/>
      <c r="D105" s="56"/>
      <c r="E105" s="56"/>
      <c r="F105" s="56"/>
      <c r="G105" s="56" t="s">
        <v>18</v>
      </c>
      <c r="H105" s="56" t="s">
        <v>4635</v>
      </c>
      <c r="I105" s="56"/>
      <c r="J105" s="56"/>
      <c r="K105" s="56"/>
      <c r="L105" s="56"/>
      <c r="M105" s="56" t="s">
        <v>2246</v>
      </c>
      <c r="N105" t="str">
        <f t="shared" si="9"/>
        <v>condorProc.py --series 07170731_0329 --donoise --dumps a --procenv environments/pymidas_iZIPv7_r63_mf.env</v>
      </c>
      <c r="O105" t="str">
        <f t="shared" si="10"/>
        <v>"07170730_1927", "07170730_2027", "07170730_2128", "07170730_2228", "07170730_2328", "07170731_0028", "07170731_0128", "07170731_0228", "07170731_0329"</v>
      </c>
    </row>
    <row r="106" spans="1:22">
      <c r="A106" s="56" t="s">
        <v>4794</v>
      </c>
      <c r="B106" s="56"/>
      <c r="C106" s="56"/>
      <c r="D106" s="56"/>
      <c r="E106" s="56"/>
      <c r="F106" s="56"/>
      <c r="G106" s="56" t="s">
        <v>18</v>
      </c>
      <c r="H106" s="56" t="s">
        <v>4635</v>
      </c>
      <c r="I106" s="56"/>
      <c r="J106" s="56"/>
      <c r="K106" s="56"/>
      <c r="L106" s="56"/>
      <c r="M106" s="56" t="s">
        <v>2246</v>
      </c>
      <c r="N106" t="str">
        <f t="shared" si="9"/>
        <v>condorProc.py --series 07170731_0429 --donoise --dumps a --procenv environments/pymidas_iZIPv7_r63_mf.env</v>
      </c>
      <c r="O106" t="str">
        <f t="shared" si="10"/>
        <v>"07170730_1927", "07170730_2027", "07170730_2128", "07170730_2228", "07170730_2328", "07170731_0028", "07170731_0128", "07170731_0228", "07170731_0329", "07170731_0429"</v>
      </c>
    </row>
    <row r="107" spans="1:22">
      <c r="A107" s="56" t="s">
        <v>4795</v>
      </c>
      <c r="B107" s="56"/>
      <c r="C107" s="56"/>
      <c r="D107" s="56"/>
      <c r="E107" s="56"/>
      <c r="F107" s="56"/>
      <c r="G107" s="56" t="s">
        <v>18</v>
      </c>
      <c r="H107" s="56" t="s">
        <v>4635</v>
      </c>
      <c r="I107" s="56"/>
      <c r="J107" s="56"/>
      <c r="K107" s="56"/>
      <c r="L107" s="56"/>
      <c r="M107" s="56" t="s">
        <v>2246</v>
      </c>
      <c r="N107" t="str">
        <f t="shared" si="9"/>
        <v>condorProc.py --series 07170731_0529 --donoise --dumps a --procenv environments/pymidas_iZIPv7_r63_mf.env</v>
      </c>
      <c r="O107" t="str">
        <f t="shared" si="10"/>
        <v>"07170730_1927", "07170730_2027", "07170730_2128", "07170730_2228", "07170730_2328", "07170731_0028", "07170731_0128", "07170731_0228", "07170731_0329", "07170731_0429", "07170731_0529"</v>
      </c>
    </row>
    <row r="108" spans="1:22">
      <c r="A108" s="56" t="s">
        <v>4796</v>
      </c>
      <c r="B108" s="56"/>
      <c r="C108" s="56"/>
      <c r="D108" s="56"/>
      <c r="E108" s="56"/>
      <c r="F108" s="56"/>
      <c r="G108" s="56" t="s">
        <v>18</v>
      </c>
      <c r="H108" s="56" t="s">
        <v>4635</v>
      </c>
      <c r="I108" s="56"/>
      <c r="J108" s="56"/>
      <c r="K108" s="56"/>
      <c r="L108" s="56"/>
      <c r="M108" s="56" t="s">
        <v>2246</v>
      </c>
      <c r="N108" t="str">
        <f t="shared" si="9"/>
        <v>condorProc.py --series 07170731_0629 --donoise --dumps a --procenv environments/pymidas_iZIPv7_r63_mf.env</v>
      </c>
      <c r="O108" t="str">
        <f t="shared" si="10"/>
        <v>"07170730_1927", "07170730_2027", "07170730_2128", "07170730_2228", "07170730_2328", "07170731_0028", "07170731_0128", "07170731_0228", "07170731_0329", "07170731_0429", "07170731_0529", "07170731_0629"</v>
      </c>
    </row>
    <row r="109" spans="1:22">
      <c r="A109" t="s">
        <v>4797</v>
      </c>
      <c r="G109" s="16" t="s">
        <v>4798</v>
      </c>
      <c r="H109" t="s">
        <v>4635</v>
      </c>
      <c r="K109" t="s">
        <v>2387</v>
      </c>
    </row>
    <row r="110" spans="1:22">
      <c r="A110" s="74" t="s">
        <v>4799</v>
      </c>
      <c r="B110" s="74"/>
      <c r="C110" s="74"/>
      <c r="D110" s="74"/>
      <c r="E110" s="74"/>
      <c r="F110" s="74"/>
      <c r="G110" s="160" t="s">
        <v>4798</v>
      </c>
      <c r="H110" s="74" t="s">
        <v>4635</v>
      </c>
      <c r="I110" s="74"/>
      <c r="J110" s="74"/>
      <c r="K110" s="74"/>
      <c r="L110" s="74"/>
      <c r="M110" s="74"/>
    </row>
    <row r="111" spans="1:22">
      <c r="A111" s="74" t="s">
        <v>4800</v>
      </c>
      <c r="B111" s="74"/>
      <c r="C111" s="74"/>
      <c r="D111" s="74"/>
      <c r="E111" s="74"/>
      <c r="F111" s="74"/>
      <c r="G111" s="160" t="s">
        <v>4798</v>
      </c>
      <c r="H111" s="74" t="s">
        <v>4635</v>
      </c>
      <c r="I111" s="74"/>
      <c r="J111" s="74"/>
      <c r="K111" s="74"/>
      <c r="L111" s="74"/>
      <c r="M111" s="74"/>
    </row>
    <row r="112" spans="1:22">
      <c r="A112" s="74" t="s">
        <v>4801</v>
      </c>
      <c r="B112" s="74"/>
      <c r="C112" s="74"/>
      <c r="D112" s="74"/>
      <c r="E112" s="74"/>
      <c r="F112" s="74"/>
      <c r="G112" s="160" t="s">
        <v>4798</v>
      </c>
      <c r="H112" s="74" t="s">
        <v>4635</v>
      </c>
      <c r="I112" s="74"/>
      <c r="J112" s="74"/>
      <c r="K112" s="74"/>
      <c r="L112" s="74"/>
      <c r="M112" s="74"/>
    </row>
    <row r="113" spans="1:17">
      <c r="A113" s="74" t="s">
        <v>4802</v>
      </c>
      <c r="B113" s="74"/>
      <c r="C113" s="74"/>
      <c r="D113" s="74"/>
      <c r="E113" s="74"/>
      <c r="F113" s="74"/>
      <c r="G113" s="160" t="s">
        <v>4798</v>
      </c>
      <c r="H113" s="74" t="s">
        <v>4635</v>
      </c>
      <c r="I113" s="74"/>
      <c r="J113" s="74"/>
      <c r="K113" s="74"/>
      <c r="L113" s="74"/>
      <c r="M113" s="74"/>
    </row>
    <row r="114" spans="1:17">
      <c r="A114" s="74" t="s">
        <v>4803</v>
      </c>
      <c r="B114" s="74"/>
      <c r="C114" s="74"/>
      <c r="D114" s="74"/>
      <c r="E114" s="74"/>
      <c r="F114" s="74"/>
      <c r="G114" s="160" t="s">
        <v>4798</v>
      </c>
      <c r="H114" s="74" t="s">
        <v>4635</v>
      </c>
      <c r="I114" s="74"/>
      <c r="J114" s="74"/>
      <c r="K114" s="74"/>
      <c r="L114" s="74"/>
      <c r="M114" s="74"/>
    </row>
    <row r="115" spans="1:17">
      <c r="A115" s="74" t="s">
        <v>4804</v>
      </c>
      <c r="B115" s="74"/>
      <c r="C115" s="74"/>
      <c r="D115" s="74"/>
      <c r="E115" s="74"/>
      <c r="F115" s="74"/>
      <c r="G115" s="160" t="s">
        <v>4798</v>
      </c>
      <c r="H115" s="74" t="s">
        <v>4635</v>
      </c>
      <c r="I115" s="74"/>
      <c r="J115" s="74"/>
      <c r="K115" s="74"/>
      <c r="L115" s="74"/>
      <c r="M115" s="74"/>
    </row>
    <row r="116" spans="1:17">
      <c r="A116" s="74" t="s">
        <v>4805</v>
      </c>
      <c r="B116" s="74"/>
      <c r="C116" s="74"/>
      <c r="D116" s="74"/>
      <c r="E116" s="74"/>
      <c r="F116" s="74"/>
      <c r="G116" s="160" t="s">
        <v>4798</v>
      </c>
      <c r="H116" s="74" t="s">
        <v>4635</v>
      </c>
      <c r="I116" s="74"/>
      <c r="J116" s="74"/>
      <c r="K116" s="74"/>
      <c r="L116" s="74"/>
      <c r="M116" s="74"/>
    </row>
    <row r="117" spans="1:17">
      <c r="A117" s="74" t="s">
        <v>4806</v>
      </c>
      <c r="B117" s="74"/>
      <c r="C117" s="74"/>
      <c r="D117" s="74"/>
      <c r="E117" s="74"/>
      <c r="F117" s="74"/>
      <c r="G117" s="160" t="s">
        <v>4798</v>
      </c>
      <c r="H117" s="74" t="s">
        <v>4635</v>
      </c>
      <c r="I117" s="74"/>
      <c r="J117" s="74"/>
      <c r="K117" s="74"/>
      <c r="L117" s="74"/>
      <c r="M117" s="74"/>
    </row>
    <row r="118" spans="1:17">
      <c r="A118" s="74" t="s">
        <v>4807</v>
      </c>
      <c r="B118" s="74"/>
      <c r="C118" s="74"/>
      <c r="D118" s="74"/>
      <c r="E118" s="74"/>
      <c r="F118" s="74"/>
      <c r="G118" s="160" t="s">
        <v>4798</v>
      </c>
      <c r="H118" s="74" t="s">
        <v>4635</v>
      </c>
      <c r="I118" s="74"/>
      <c r="J118" s="74"/>
      <c r="K118" s="74"/>
      <c r="L118" s="74"/>
      <c r="M118" s="74"/>
    </row>
    <row r="119" spans="1:17">
      <c r="A119" s="74" t="s">
        <v>4808</v>
      </c>
      <c r="B119" s="74"/>
      <c r="C119" s="74"/>
      <c r="D119" s="74"/>
      <c r="E119" s="74"/>
      <c r="F119" s="74"/>
      <c r="G119" s="160" t="s">
        <v>4798</v>
      </c>
      <c r="H119" s="74" t="s">
        <v>4635</v>
      </c>
      <c r="I119" s="74"/>
      <c r="J119" s="74"/>
      <c r="K119" s="74"/>
      <c r="L119" s="74"/>
      <c r="M119" s="74"/>
      <c r="Q119" s="158">
        <v>0.3430555555555555</v>
      </c>
    </row>
    <row r="120" spans="1:17">
      <c r="A120" s="74" t="s">
        <v>4809</v>
      </c>
      <c r="B120" s="74"/>
      <c r="C120" s="74"/>
      <c r="D120" s="74"/>
      <c r="E120" s="74"/>
      <c r="F120" s="74"/>
      <c r="G120" s="160" t="s">
        <v>4798</v>
      </c>
      <c r="H120" s="74" t="s">
        <v>4635</v>
      </c>
      <c r="I120" s="74"/>
      <c r="J120" s="74"/>
      <c r="K120" s="74"/>
      <c r="L120" s="74"/>
      <c r="M120" s="74"/>
      <c r="Q120" s="158">
        <f>Q119/27</f>
        <v>1.2705761316872425E-2</v>
      </c>
    </row>
    <row r="121" spans="1:17">
      <c r="A121" s="74" t="s">
        <v>4810</v>
      </c>
      <c r="B121" s="74"/>
      <c r="C121" s="74"/>
      <c r="D121" s="74"/>
      <c r="E121" s="74"/>
      <c r="F121" s="74"/>
      <c r="G121" s="160" t="s">
        <v>4798</v>
      </c>
      <c r="H121" s="74" t="s">
        <v>4635</v>
      </c>
      <c r="I121" s="74"/>
      <c r="J121" s="74"/>
      <c r="K121" s="74"/>
      <c r="L121" s="74"/>
      <c r="M121" s="74"/>
    </row>
    <row r="122" spans="1:17">
      <c r="A122" s="74" t="s">
        <v>4811</v>
      </c>
      <c r="B122" s="74"/>
      <c r="C122" s="74"/>
      <c r="D122" s="74"/>
      <c r="E122" s="74"/>
      <c r="F122" s="74"/>
      <c r="G122" s="160" t="s">
        <v>4798</v>
      </c>
      <c r="H122" s="74" t="s">
        <v>4635</v>
      </c>
      <c r="I122" s="74"/>
      <c r="J122" s="74"/>
      <c r="K122" s="74"/>
      <c r="L122" s="74"/>
      <c r="M122" s="74"/>
    </row>
    <row r="123" spans="1:17">
      <c r="A123" s="74" t="s">
        <v>4812</v>
      </c>
      <c r="B123" s="74"/>
      <c r="C123" s="74"/>
      <c r="D123" s="74"/>
      <c r="E123" s="74"/>
      <c r="F123" s="74"/>
      <c r="G123" s="160" t="s">
        <v>4798</v>
      </c>
      <c r="H123" s="74" t="s">
        <v>4635</v>
      </c>
      <c r="I123" s="74"/>
      <c r="J123" s="74"/>
      <c r="K123" s="74"/>
      <c r="L123" s="74"/>
      <c r="M123" s="74"/>
    </row>
    <row r="124" spans="1:17">
      <c r="A124" s="74" t="s">
        <v>4813</v>
      </c>
      <c r="B124" s="74"/>
      <c r="C124" s="74"/>
      <c r="D124" s="74"/>
      <c r="E124" s="74"/>
      <c r="F124" s="74"/>
      <c r="G124" s="160" t="s">
        <v>4798</v>
      </c>
      <c r="H124" s="74" t="s">
        <v>4635</v>
      </c>
      <c r="I124" s="74"/>
      <c r="J124" s="74"/>
      <c r="K124" s="74"/>
      <c r="L124" s="74"/>
      <c r="M124" s="74"/>
    </row>
    <row r="125" spans="1:17">
      <c r="A125" s="74" t="s">
        <v>4814</v>
      </c>
      <c r="B125" s="74"/>
      <c r="C125" s="74"/>
      <c r="D125" s="74"/>
      <c r="E125" s="74"/>
      <c r="F125" s="74"/>
      <c r="G125" s="160" t="s">
        <v>4798</v>
      </c>
      <c r="H125" s="74" t="s">
        <v>4635</v>
      </c>
      <c r="I125" s="74"/>
      <c r="J125" s="74"/>
      <c r="K125" s="74"/>
      <c r="L125" s="74"/>
      <c r="M125" s="74"/>
    </row>
    <row r="126" spans="1:17">
      <c r="A126" s="74" t="s">
        <v>4815</v>
      </c>
      <c r="B126" s="74"/>
      <c r="C126" s="74"/>
      <c r="D126" s="74"/>
      <c r="E126" s="74"/>
      <c r="F126" s="74"/>
      <c r="G126" s="160" t="s">
        <v>4798</v>
      </c>
      <c r="H126" s="74" t="s">
        <v>4635</v>
      </c>
      <c r="I126" s="74"/>
      <c r="J126" s="74"/>
      <c r="K126" s="74"/>
      <c r="L126" s="74"/>
      <c r="M126" s="74"/>
    </row>
    <row r="127" spans="1:17">
      <c r="A127" s="74" t="s">
        <v>4816</v>
      </c>
      <c r="B127" s="74"/>
      <c r="C127" s="74"/>
      <c r="D127" s="74"/>
      <c r="E127" s="74"/>
      <c r="F127" s="74"/>
      <c r="G127" s="160" t="s">
        <v>4798</v>
      </c>
      <c r="H127" s="74" t="s">
        <v>4635</v>
      </c>
      <c r="I127" s="74"/>
      <c r="J127" s="74"/>
      <c r="K127" s="74"/>
      <c r="L127" s="74"/>
      <c r="M127" s="74"/>
    </row>
    <row r="128" spans="1:17">
      <c r="A128" s="74" t="s">
        <v>4817</v>
      </c>
      <c r="B128" s="74"/>
      <c r="C128" s="74"/>
      <c r="D128" s="74"/>
      <c r="E128" s="74"/>
      <c r="F128" s="74"/>
      <c r="G128" s="160" t="s">
        <v>4798</v>
      </c>
      <c r="H128" s="74" t="s">
        <v>4635</v>
      </c>
      <c r="I128" s="74"/>
      <c r="J128" s="74"/>
      <c r="K128" s="74"/>
      <c r="L128" s="74"/>
      <c r="M128" s="74"/>
    </row>
    <row r="129" spans="1:15">
      <c r="A129" s="74" t="s">
        <v>4818</v>
      </c>
      <c r="B129" s="74"/>
      <c r="C129" s="74"/>
      <c r="D129" s="74"/>
      <c r="E129" s="74"/>
      <c r="F129" s="74"/>
      <c r="G129" s="160" t="s">
        <v>4798</v>
      </c>
      <c r="H129" s="74" t="s">
        <v>4635</v>
      </c>
      <c r="I129" s="74"/>
      <c r="J129" s="74"/>
      <c r="K129" s="74"/>
      <c r="L129" s="74"/>
      <c r="M129" s="74"/>
    </row>
    <row r="130" spans="1:15">
      <c r="A130" s="74" t="s">
        <v>4819</v>
      </c>
      <c r="B130" s="74"/>
      <c r="C130" s="74"/>
      <c r="D130" s="74"/>
      <c r="E130" s="74"/>
      <c r="F130" s="74"/>
      <c r="G130" s="160" t="s">
        <v>4798</v>
      </c>
      <c r="H130" s="74" t="s">
        <v>4635</v>
      </c>
      <c r="I130" s="74"/>
      <c r="J130" s="74"/>
      <c r="K130" s="74"/>
      <c r="L130" s="74"/>
      <c r="M130" s="74"/>
    </row>
    <row r="131" spans="1:15">
      <c r="A131" s="74" t="s">
        <v>4820</v>
      </c>
      <c r="B131" s="74"/>
      <c r="C131" s="74"/>
      <c r="D131" s="74"/>
      <c r="E131" s="74"/>
      <c r="F131" s="74"/>
      <c r="G131" s="160" t="s">
        <v>4798</v>
      </c>
      <c r="H131" s="74" t="s">
        <v>4635</v>
      </c>
      <c r="I131" s="74"/>
      <c r="J131" s="74"/>
      <c r="K131" s="74"/>
      <c r="L131" s="74"/>
      <c r="M131" s="74"/>
    </row>
    <row r="132" spans="1:15">
      <c r="A132" s="157" t="s">
        <v>4821</v>
      </c>
      <c r="B132" s="157"/>
      <c r="C132" s="157"/>
      <c r="D132" s="157"/>
      <c r="E132" s="157"/>
      <c r="F132" s="157"/>
      <c r="G132" s="161" t="s">
        <v>4798</v>
      </c>
      <c r="H132" s="157" t="s">
        <v>4668</v>
      </c>
      <c r="I132" s="157"/>
      <c r="J132" s="157"/>
      <c r="K132" s="157" t="s">
        <v>4822</v>
      </c>
      <c r="L132" s="157"/>
      <c r="M132" s="157"/>
    </row>
    <row r="133" spans="1:15">
      <c r="A133" s="157" t="s">
        <v>4823</v>
      </c>
      <c r="B133" s="157"/>
      <c r="C133" s="157"/>
      <c r="D133" s="157"/>
      <c r="E133" s="157"/>
      <c r="F133" s="157"/>
      <c r="G133" s="161" t="s">
        <v>4798</v>
      </c>
      <c r="H133" s="157" t="s">
        <v>4668</v>
      </c>
      <c r="I133" s="157"/>
      <c r="J133" s="157"/>
      <c r="K133" s="157"/>
      <c r="L133" s="157"/>
      <c r="M133" s="157"/>
    </row>
    <row r="134" spans="1:15">
      <c r="A134" s="157" t="s">
        <v>4824</v>
      </c>
      <c r="B134" s="157"/>
      <c r="C134" s="157"/>
      <c r="D134" s="157"/>
      <c r="E134" s="157"/>
      <c r="F134" s="157"/>
      <c r="G134" s="161" t="s">
        <v>4798</v>
      </c>
      <c r="H134" s="157" t="s">
        <v>4668</v>
      </c>
      <c r="I134" s="157"/>
      <c r="J134" s="157"/>
      <c r="K134" s="157"/>
      <c r="L134" s="157"/>
      <c r="M134" s="157"/>
    </row>
    <row r="135" spans="1:15">
      <c r="A135" s="56" t="s">
        <v>4825</v>
      </c>
      <c r="G135" s="56" t="s">
        <v>18</v>
      </c>
      <c r="H135" s="56" t="s">
        <v>4635</v>
      </c>
      <c r="I135" s="56"/>
      <c r="J135" s="56"/>
      <c r="K135" s="93" t="s">
        <v>4784</v>
      </c>
      <c r="L135" s="56"/>
      <c r="M135" s="56" t="s">
        <v>2246</v>
      </c>
      <c r="N135" t="str">
        <f t="shared" ref="N135:N146" si="11">"condorProc.py --series "&amp;A135&amp;" --donoise --dumps a --procenv environments/pymidas_iZIPv7_r63_mf.env"</f>
        <v>condorProc.py --series 07170803_1711 --donoise --dumps a --procenv environments/pymidas_iZIPv7_r63_mf.env</v>
      </c>
      <c r="O135" t="str">
        <f>""""&amp;A135&amp;""""</f>
        <v>"07170803_1711"</v>
      </c>
    </row>
    <row r="136" spans="1:15">
      <c r="A136" s="56" t="s">
        <v>4826</v>
      </c>
      <c r="G136" s="56" t="s">
        <v>18</v>
      </c>
      <c r="H136" s="56" t="s">
        <v>4635</v>
      </c>
      <c r="I136" s="56"/>
      <c r="J136" s="56"/>
      <c r="K136" s="88" t="s">
        <v>4786</v>
      </c>
      <c r="L136" s="56"/>
      <c r="M136" s="56" t="s">
        <v>2246</v>
      </c>
      <c r="N136" t="str">
        <f t="shared" si="11"/>
        <v>condorProc.py --series 07170803_1811 --donoise --dumps a --procenv environments/pymidas_iZIPv7_r63_mf.env</v>
      </c>
      <c r="O136" t="str">
        <f t="shared" ref="O136:O146" si="12">O135&amp;", """&amp;A136&amp;""""</f>
        <v>"07170803_1711", "07170803_1811"</v>
      </c>
    </row>
    <row r="137" spans="1:15">
      <c r="A137" s="56" t="s">
        <v>4827</v>
      </c>
      <c r="G137" s="56" t="s">
        <v>18</v>
      </c>
      <c r="H137" s="56" t="s">
        <v>4635</v>
      </c>
      <c r="I137" s="56"/>
      <c r="J137" s="56"/>
      <c r="K137" s="56"/>
      <c r="L137" s="56"/>
      <c r="M137" s="56" t="s">
        <v>2246</v>
      </c>
      <c r="N137" t="str">
        <f t="shared" si="11"/>
        <v>condorProc.py --series 07170803_1911 --donoise --dumps a --procenv environments/pymidas_iZIPv7_r63_mf.env</v>
      </c>
      <c r="O137" t="str">
        <f t="shared" si="12"/>
        <v>"07170803_1711", "07170803_1811", "07170803_1911"</v>
      </c>
    </row>
    <row r="138" spans="1:15">
      <c r="A138" s="56" t="s">
        <v>4828</v>
      </c>
      <c r="G138" s="56" t="s">
        <v>18</v>
      </c>
      <c r="H138" s="56" t="s">
        <v>4635</v>
      </c>
      <c r="I138" s="56"/>
      <c r="J138" s="56"/>
      <c r="K138" s="56"/>
      <c r="L138" s="56"/>
      <c r="M138" s="56" t="s">
        <v>2246</v>
      </c>
      <c r="N138" t="str">
        <f t="shared" si="11"/>
        <v>condorProc.py --series 07170803_2011 --donoise --dumps a --procenv environments/pymidas_iZIPv7_r63_mf.env</v>
      </c>
      <c r="O138" t="str">
        <f t="shared" si="12"/>
        <v>"07170803_1711", "07170803_1811", "07170803_1911", "07170803_2011"</v>
      </c>
    </row>
    <row r="139" spans="1:15">
      <c r="A139" s="56" t="s">
        <v>4829</v>
      </c>
      <c r="G139" s="56" t="s">
        <v>18</v>
      </c>
      <c r="H139" s="56" t="s">
        <v>4635</v>
      </c>
      <c r="I139" s="56"/>
      <c r="J139" s="56"/>
      <c r="K139" s="56"/>
      <c r="L139" s="56"/>
      <c r="M139" s="56" t="s">
        <v>2246</v>
      </c>
      <c r="N139" t="str">
        <f t="shared" si="11"/>
        <v>condorProc.py --series 07170803_2112 --donoise --dumps a --procenv environments/pymidas_iZIPv7_r63_mf.env</v>
      </c>
      <c r="O139" t="str">
        <f t="shared" si="12"/>
        <v>"07170803_1711", "07170803_1811", "07170803_1911", "07170803_2011", "07170803_2112"</v>
      </c>
    </row>
    <row r="140" spans="1:15">
      <c r="A140" s="56" t="s">
        <v>4830</v>
      </c>
      <c r="G140" s="56" t="s">
        <v>18</v>
      </c>
      <c r="H140" s="56" t="s">
        <v>4635</v>
      </c>
      <c r="I140" s="56"/>
      <c r="J140" s="56"/>
      <c r="K140" s="56"/>
      <c r="L140" s="56"/>
      <c r="M140" s="56" t="s">
        <v>2246</v>
      </c>
      <c r="N140" t="str">
        <f t="shared" si="11"/>
        <v>condorProc.py --series 07170803_2212 --donoise --dumps a --procenv environments/pymidas_iZIPv7_r63_mf.env</v>
      </c>
      <c r="O140" t="str">
        <f t="shared" si="12"/>
        <v>"07170803_1711", "07170803_1811", "07170803_1911", "07170803_2011", "07170803_2112", "07170803_2212"</v>
      </c>
    </row>
    <row r="141" spans="1:15">
      <c r="A141" s="56" t="s">
        <v>4831</v>
      </c>
      <c r="G141" s="56" t="s">
        <v>18</v>
      </c>
      <c r="H141" s="56" t="s">
        <v>4635</v>
      </c>
      <c r="I141" s="56"/>
      <c r="J141" s="56"/>
      <c r="K141" s="56"/>
      <c r="L141" s="56"/>
      <c r="M141" s="56" t="s">
        <v>2246</v>
      </c>
      <c r="N141" t="str">
        <f t="shared" si="11"/>
        <v>condorProc.py --series 07170803_2312 --donoise --dumps a --procenv environments/pymidas_iZIPv7_r63_mf.env</v>
      </c>
      <c r="O141" t="str">
        <f t="shared" si="12"/>
        <v>"07170803_1711", "07170803_1811", "07170803_1911", "07170803_2011", "07170803_2112", "07170803_2212", "07170803_2312"</v>
      </c>
    </row>
    <row r="142" spans="1:15">
      <c r="A142" s="56" t="s">
        <v>4832</v>
      </c>
      <c r="G142" s="56" t="s">
        <v>18</v>
      </c>
      <c r="H142" s="56" t="s">
        <v>4635</v>
      </c>
      <c r="I142" s="56"/>
      <c r="J142" s="56"/>
      <c r="K142" s="56"/>
      <c r="L142" s="56"/>
      <c r="M142" s="56" t="s">
        <v>2246</v>
      </c>
      <c r="N142" t="str">
        <f t="shared" si="11"/>
        <v>condorProc.py --series 07170804_0012 --donoise --dumps a --procenv environments/pymidas_iZIPv7_r63_mf.env</v>
      </c>
      <c r="O142" t="str">
        <f t="shared" si="12"/>
        <v>"07170803_1711", "07170803_1811", "07170803_1911", "07170803_2011", "07170803_2112", "07170803_2212", "07170803_2312", "07170804_0012"</v>
      </c>
    </row>
    <row r="143" spans="1:15">
      <c r="A143" s="56" t="s">
        <v>4833</v>
      </c>
      <c r="G143" s="56" t="s">
        <v>18</v>
      </c>
      <c r="H143" s="56" t="s">
        <v>4635</v>
      </c>
      <c r="I143" s="56"/>
      <c r="J143" s="56"/>
      <c r="K143" s="56"/>
      <c r="L143" s="56"/>
      <c r="M143" s="56" t="s">
        <v>2246</v>
      </c>
      <c r="N143" t="str">
        <f t="shared" si="11"/>
        <v>condorProc.py --series 07170804_0112 --donoise --dumps a --procenv environments/pymidas_iZIPv7_r63_mf.env</v>
      </c>
      <c r="O143" t="str">
        <f t="shared" si="12"/>
        <v>"07170803_1711", "07170803_1811", "07170803_1911", "07170803_2011", "07170803_2112", "07170803_2212", "07170803_2312", "07170804_0012", "07170804_0112"</v>
      </c>
    </row>
    <row r="144" spans="1:15">
      <c r="A144" s="56" t="s">
        <v>4834</v>
      </c>
      <c r="G144" s="56" t="s">
        <v>18</v>
      </c>
      <c r="H144" s="56" t="s">
        <v>4635</v>
      </c>
      <c r="I144" s="56"/>
      <c r="J144" s="56"/>
      <c r="K144" s="56"/>
      <c r="L144" s="56"/>
      <c r="M144" s="56" t="s">
        <v>2246</v>
      </c>
      <c r="N144" t="str">
        <f t="shared" si="11"/>
        <v>condorProc.py --series 07170804_0212 --donoise --dumps a --procenv environments/pymidas_iZIPv7_r63_mf.env</v>
      </c>
      <c r="O144" t="str">
        <f t="shared" si="12"/>
        <v>"07170803_1711", "07170803_1811", "07170803_1911", "07170803_2011", "07170803_2112", "07170803_2212", "07170803_2312", "07170804_0012", "07170804_0112", "07170804_0212"</v>
      </c>
    </row>
    <row r="145" spans="1:15">
      <c r="A145" s="56" t="s">
        <v>4835</v>
      </c>
      <c r="G145" s="56" t="s">
        <v>18</v>
      </c>
      <c r="H145" s="56" t="s">
        <v>4635</v>
      </c>
      <c r="I145" s="56"/>
      <c r="J145" s="56"/>
      <c r="K145" s="56"/>
      <c r="L145" s="56"/>
      <c r="M145" s="56" t="s">
        <v>2246</v>
      </c>
      <c r="N145" t="str">
        <f t="shared" si="11"/>
        <v>condorProc.py --series 07170804_0313 --donoise --dumps a --procenv environments/pymidas_iZIPv7_r63_mf.env</v>
      </c>
      <c r="O145" t="str">
        <f t="shared" si="12"/>
        <v>"07170803_1711", "07170803_1811", "07170803_1911", "07170803_2011", "07170803_2112", "07170803_2212", "07170803_2312", "07170804_0012", "07170804_0112", "07170804_0212", "07170804_0313"</v>
      </c>
    </row>
    <row r="146" spans="1:15">
      <c r="A146" s="56" t="s">
        <v>4836</v>
      </c>
      <c r="G146" s="56" t="s">
        <v>18</v>
      </c>
      <c r="H146" s="56" t="s">
        <v>4635</v>
      </c>
      <c r="I146" s="56"/>
      <c r="J146" s="56"/>
      <c r="K146" s="56"/>
      <c r="L146" s="56"/>
      <c r="M146" s="56" t="s">
        <v>2246</v>
      </c>
      <c r="N146" t="str">
        <f t="shared" si="11"/>
        <v>condorProc.py --series 07170804_0413 --donoise --dumps a --procenv environments/pymidas_iZIPv7_r63_mf.env</v>
      </c>
      <c r="O146" t="str">
        <f t="shared" si="12"/>
        <v>"07170803_1711", "07170803_1811", "07170803_1911", "07170803_2011", "07170803_2112", "07170803_2212", "07170803_2312", "07170804_0012", "07170804_0112", "07170804_0212", "07170804_0313", "07170804_0413"</v>
      </c>
    </row>
  </sheetData>
  <sortState xmlns:xlrd2="http://schemas.microsoft.com/office/spreadsheetml/2017/richdata2" ref="K48:P57">
    <sortCondition ref="L48"/>
  </sortState>
  <pageMargins left="0.7" right="0.7" top="0.75" bottom="0.75" header="0.3" footer="0.3"/>
  <pageSetup scale="64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2"/>
  <sheetViews>
    <sheetView workbookViewId="0">
      <pane xSplit="1" ySplit="1" topLeftCell="B2" activePane="bottomRight" state="frozen"/>
      <selection pane="bottomRight" activeCell="C26" sqref="C26"/>
      <selection pane="bottomLeft"/>
      <selection pane="topRight"/>
    </sheetView>
  </sheetViews>
  <sheetFormatPr defaultRowHeight="14.45"/>
  <cols>
    <col min="1" max="1" width="16.85546875" customWidth="1"/>
    <col min="3" max="3" width="23.85546875" bestFit="1" customWidth="1"/>
    <col min="4" max="4" width="21" bestFit="1" customWidth="1"/>
  </cols>
  <sheetData>
    <row r="1" spans="1:8" ht="27.6">
      <c r="A1" s="27" t="s">
        <v>0</v>
      </c>
      <c r="B1" s="60" t="s">
        <v>2190</v>
      </c>
      <c r="C1" s="60" t="s">
        <v>13</v>
      </c>
      <c r="D1" s="60" t="s">
        <v>2191</v>
      </c>
      <c r="E1" s="60" t="s">
        <v>1444</v>
      </c>
      <c r="F1" s="60" t="s">
        <v>4837</v>
      </c>
      <c r="G1" s="60" t="s">
        <v>4838</v>
      </c>
      <c r="H1" s="60" t="s">
        <v>2192</v>
      </c>
    </row>
    <row r="2" spans="1:8">
      <c r="A2" t="s">
        <v>4839</v>
      </c>
      <c r="B2" t="s">
        <v>4840</v>
      </c>
      <c r="C2" t="s">
        <v>4841</v>
      </c>
    </row>
    <row r="3" spans="1:8">
      <c r="A3" t="s">
        <v>4842</v>
      </c>
      <c r="B3" t="s">
        <v>4840</v>
      </c>
      <c r="C3" t="s">
        <v>4841</v>
      </c>
    </row>
    <row r="4" spans="1:8">
      <c r="A4" t="s">
        <v>4843</v>
      </c>
      <c r="B4" t="s">
        <v>4840</v>
      </c>
      <c r="C4" t="s">
        <v>4841</v>
      </c>
    </row>
    <row r="5" spans="1:8">
      <c r="A5" t="s">
        <v>4844</v>
      </c>
      <c r="B5" t="s">
        <v>18</v>
      </c>
      <c r="C5" t="s">
        <v>4845</v>
      </c>
    </row>
    <row r="6" spans="1:8">
      <c r="A6" t="s">
        <v>4846</v>
      </c>
      <c r="B6" t="s">
        <v>18</v>
      </c>
      <c r="C6" t="s">
        <v>4847</v>
      </c>
    </row>
    <row r="7" spans="1:8">
      <c r="A7" t="s">
        <v>4848</v>
      </c>
      <c r="B7" t="s">
        <v>18</v>
      </c>
      <c r="C7" t="s">
        <v>4849</v>
      </c>
    </row>
    <row r="8" spans="1:8">
      <c r="A8" t="s">
        <v>4850</v>
      </c>
      <c r="B8" t="s">
        <v>18</v>
      </c>
      <c r="C8" t="s">
        <v>4851</v>
      </c>
    </row>
    <row r="9" spans="1:8">
      <c r="A9" t="s">
        <v>4852</v>
      </c>
      <c r="B9" t="s">
        <v>18</v>
      </c>
      <c r="C9" t="s">
        <v>4853</v>
      </c>
    </row>
    <row r="10" spans="1:8">
      <c r="A10" t="s">
        <v>4854</v>
      </c>
      <c r="B10" t="s">
        <v>2441</v>
      </c>
      <c r="C10" t="s">
        <v>4855</v>
      </c>
    </row>
    <row r="11" spans="1:8">
      <c r="A11" t="s">
        <v>4856</v>
      </c>
      <c r="B11" t="s">
        <v>2441</v>
      </c>
      <c r="C11" t="s">
        <v>4857</v>
      </c>
    </row>
    <row r="12" spans="1:8">
      <c r="A12" t="s">
        <v>4858</v>
      </c>
      <c r="B12" t="s">
        <v>18</v>
      </c>
      <c r="C12" t="s">
        <v>4845</v>
      </c>
      <c r="D12" t="s">
        <v>4859</v>
      </c>
    </row>
    <row r="13" spans="1:8">
      <c r="A13" t="s">
        <v>4860</v>
      </c>
      <c r="B13" t="s">
        <v>2248</v>
      </c>
      <c r="C13" t="s">
        <v>4861</v>
      </c>
    </row>
    <row r="14" spans="1:8">
      <c r="A14" t="s">
        <v>4862</v>
      </c>
      <c r="B14" t="s">
        <v>2248</v>
      </c>
      <c r="C14" t="s">
        <v>4861</v>
      </c>
    </row>
    <row r="15" spans="1:8">
      <c r="A15" t="s">
        <v>4863</v>
      </c>
      <c r="B15" t="s">
        <v>2248</v>
      </c>
      <c r="C15" t="s">
        <v>4861</v>
      </c>
    </row>
    <row r="16" spans="1:8">
      <c r="A16" t="s">
        <v>4864</v>
      </c>
      <c r="B16" t="s">
        <v>2248</v>
      </c>
      <c r="C16" t="s">
        <v>4861</v>
      </c>
    </row>
    <row r="17" spans="1:4">
      <c r="A17" t="s">
        <v>4865</v>
      </c>
      <c r="B17" t="s">
        <v>2248</v>
      </c>
      <c r="C17" t="s">
        <v>4861</v>
      </c>
    </row>
    <row r="18" spans="1:4">
      <c r="A18" t="s">
        <v>4866</v>
      </c>
      <c r="B18" t="s">
        <v>2248</v>
      </c>
      <c r="C18" t="s">
        <v>4861</v>
      </c>
    </row>
    <row r="19" spans="1:4">
      <c r="A19" t="s">
        <v>4867</v>
      </c>
      <c r="B19" t="s">
        <v>2248</v>
      </c>
      <c r="C19" t="s">
        <v>4868</v>
      </c>
    </row>
    <row r="20" spans="1:4">
      <c r="A20" t="s">
        <v>4869</v>
      </c>
      <c r="B20" t="s">
        <v>2248</v>
      </c>
      <c r="C20" t="s">
        <v>4861</v>
      </c>
      <c r="D20" t="s">
        <v>4870</v>
      </c>
    </row>
    <row r="21" spans="1:4">
      <c r="A21" t="s">
        <v>4871</v>
      </c>
      <c r="B21" t="s">
        <v>2248</v>
      </c>
      <c r="C21" t="s">
        <v>4861</v>
      </c>
      <c r="D21" t="s">
        <v>4870</v>
      </c>
    </row>
    <row r="22" spans="1:4">
      <c r="A22" t="s">
        <v>4872</v>
      </c>
      <c r="B22" t="s">
        <v>2248</v>
      </c>
      <c r="C22" t="s">
        <v>4861</v>
      </c>
    </row>
    <row r="23" spans="1:4">
      <c r="A23" t="s">
        <v>4873</v>
      </c>
      <c r="B23" t="s">
        <v>2248</v>
      </c>
      <c r="C23" t="s">
        <v>4861</v>
      </c>
    </row>
    <row r="24" spans="1:4">
      <c r="A24" t="s">
        <v>4874</v>
      </c>
      <c r="B24" t="s">
        <v>2248</v>
      </c>
      <c r="C24" t="s">
        <v>4861</v>
      </c>
    </row>
    <row r="25" spans="1:4">
      <c r="A25" t="s">
        <v>4875</v>
      </c>
      <c r="B25" t="s">
        <v>2248</v>
      </c>
      <c r="C25" t="s">
        <v>4861</v>
      </c>
    </row>
    <row r="26" spans="1:4">
      <c r="A26" t="s">
        <v>4876</v>
      </c>
      <c r="B26" t="s">
        <v>18</v>
      </c>
      <c r="C26" t="s">
        <v>4861</v>
      </c>
    </row>
    <row r="27" spans="1:4">
      <c r="A27" t="s">
        <v>4877</v>
      </c>
      <c r="B27" t="s">
        <v>18</v>
      </c>
      <c r="C27" t="s">
        <v>4861</v>
      </c>
      <c r="D27" t="s">
        <v>4870</v>
      </c>
    </row>
    <row r="28" spans="1:4">
      <c r="A28" t="s">
        <v>4878</v>
      </c>
      <c r="B28" t="s">
        <v>18</v>
      </c>
      <c r="C28" t="s">
        <v>4861</v>
      </c>
    </row>
    <row r="29" spans="1:4">
      <c r="A29" t="s">
        <v>4879</v>
      </c>
    </row>
    <row r="30" spans="1:4">
      <c r="A30" t="s">
        <v>4880</v>
      </c>
    </row>
    <row r="31" spans="1:4">
      <c r="A31" t="s">
        <v>4881</v>
      </c>
    </row>
    <row r="32" spans="1:4">
      <c r="A32" t="s">
        <v>4882</v>
      </c>
    </row>
    <row r="33" spans="1:1">
      <c r="A33" t="s">
        <v>4883</v>
      </c>
    </row>
    <row r="34" spans="1:1">
      <c r="A34" t="s">
        <v>4884</v>
      </c>
    </row>
    <row r="35" spans="1:1">
      <c r="A35" t="s">
        <v>4885</v>
      </c>
    </row>
    <row r="36" spans="1:1">
      <c r="A36" t="s">
        <v>4886</v>
      </c>
    </row>
    <row r="37" spans="1:1">
      <c r="A37" t="s">
        <v>4887</v>
      </c>
    </row>
    <row r="38" spans="1:1">
      <c r="A38" t="s">
        <v>4888</v>
      </c>
    </row>
    <row r="39" spans="1:1">
      <c r="A39" t="s">
        <v>4889</v>
      </c>
    </row>
    <row r="40" spans="1:1">
      <c r="A40" t="s">
        <v>4890</v>
      </c>
    </row>
    <row r="41" spans="1:1">
      <c r="A41" t="s">
        <v>4891</v>
      </c>
    </row>
    <row r="42" spans="1:1">
      <c r="A42" t="s">
        <v>4892</v>
      </c>
    </row>
    <row r="43" spans="1:1">
      <c r="A43" t="s">
        <v>4893</v>
      </c>
    </row>
    <row r="44" spans="1:1">
      <c r="A44" t="s">
        <v>4894</v>
      </c>
    </row>
    <row r="45" spans="1:1">
      <c r="A45" t="s">
        <v>4895</v>
      </c>
    </row>
    <row r="46" spans="1:1">
      <c r="A46" t="s">
        <v>4896</v>
      </c>
    </row>
    <row r="47" spans="1:1">
      <c r="A47" t="s">
        <v>4897</v>
      </c>
    </row>
    <row r="48" spans="1:1">
      <c r="A48" t="s">
        <v>4898</v>
      </c>
    </row>
    <row r="49" spans="1:1">
      <c r="A49" t="s">
        <v>4899</v>
      </c>
    </row>
    <row r="50" spans="1:1">
      <c r="A50" t="s">
        <v>4900</v>
      </c>
    </row>
    <row r="51" spans="1:1">
      <c r="A51" t="s">
        <v>4901</v>
      </c>
    </row>
    <row r="52" spans="1:1">
      <c r="A52" t="s">
        <v>4902</v>
      </c>
    </row>
    <row r="53" spans="1:1">
      <c r="A53" t="s">
        <v>4903</v>
      </c>
    </row>
    <row r="54" spans="1:1">
      <c r="A54" t="s">
        <v>4904</v>
      </c>
    </row>
    <row r="55" spans="1:1">
      <c r="A55" t="s">
        <v>4905</v>
      </c>
    </row>
    <row r="56" spans="1:1">
      <c r="A56" t="s">
        <v>4906</v>
      </c>
    </row>
    <row r="57" spans="1:1">
      <c r="A57" t="s">
        <v>4907</v>
      </c>
    </row>
    <row r="58" spans="1:1">
      <c r="A58" t="s">
        <v>4908</v>
      </c>
    </row>
    <row r="59" spans="1:1">
      <c r="A59" t="s">
        <v>4909</v>
      </c>
    </row>
    <row r="60" spans="1:1">
      <c r="A60" t="s">
        <v>4910</v>
      </c>
    </row>
    <row r="61" spans="1:1">
      <c r="A61" t="s">
        <v>4911</v>
      </c>
    </row>
    <row r="62" spans="1:1">
      <c r="A62" t="s">
        <v>4912</v>
      </c>
    </row>
    <row r="63" spans="1:1">
      <c r="A63" t="s">
        <v>4913</v>
      </c>
    </row>
    <row r="64" spans="1:1">
      <c r="A64" t="s">
        <v>4914</v>
      </c>
    </row>
    <row r="65" spans="1:1">
      <c r="A65" t="s">
        <v>4915</v>
      </c>
    </row>
    <row r="66" spans="1:1">
      <c r="A66" t="s">
        <v>4916</v>
      </c>
    </row>
    <row r="67" spans="1:1">
      <c r="A67" t="s">
        <v>4917</v>
      </c>
    </row>
    <row r="68" spans="1:1">
      <c r="A68" t="s">
        <v>4918</v>
      </c>
    </row>
    <row r="69" spans="1:1">
      <c r="A69" t="s">
        <v>4919</v>
      </c>
    </row>
    <row r="70" spans="1:1">
      <c r="A70" t="s">
        <v>4920</v>
      </c>
    </row>
    <row r="71" spans="1:1">
      <c r="A71" t="s">
        <v>4921</v>
      </c>
    </row>
    <row r="72" spans="1:1">
      <c r="A72" t="s">
        <v>4922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68"/>
  <sheetViews>
    <sheetView topLeftCell="A27" workbookViewId="0">
      <selection activeCell="F31" sqref="F31"/>
    </sheetView>
  </sheetViews>
  <sheetFormatPr defaultRowHeight="14.45"/>
  <cols>
    <col min="1" max="1" width="14.5703125" bestFit="1" customWidth="1"/>
  </cols>
  <sheetData>
    <row r="1" spans="1:6">
      <c r="A1" s="60" t="s">
        <v>4838</v>
      </c>
      <c r="B1" t="s">
        <v>4923</v>
      </c>
      <c r="C1" t="s">
        <v>4470</v>
      </c>
    </row>
    <row r="2" spans="1:6">
      <c r="A2" t="s">
        <v>4924</v>
      </c>
      <c r="B2">
        <f>COUNTIF('Run68'!O:O,datasets!A2)</f>
        <v>71</v>
      </c>
      <c r="C2" s="17">
        <f t="shared" ref="C2:C7" si="0">B2/6</f>
        <v>11.833333333333334</v>
      </c>
      <c r="F2" s="17"/>
    </row>
    <row r="3" spans="1:6">
      <c r="A3" t="s">
        <v>4925</v>
      </c>
      <c r="B3">
        <f>COUNTIF('Run68'!O:O,datasets!A3)</f>
        <v>380</v>
      </c>
      <c r="C3" s="17">
        <f t="shared" si="0"/>
        <v>63.333333333333336</v>
      </c>
      <c r="D3" s="17">
        <f>SUM(C2:C3)</f>
        <v>75.166666666666671</v>
      </c>
    </row>
    <row r="4" spans="1:6">
      <c r="A4" t="s">
        <v>4926</v>
      </c>
      <c r="B4">
        <f>COUNTIF('Run68'!O:O,datasets!A4)</f>
        <v>12</v>
      </c>
      <c r="C4" s="17">
        <f t="shared" si="0"/>
        <v>2</v>
      </c>
    </row>
    <row r="5" spans="1:6">
      <c r="A5" t="s">
        <v>4927</v>
      </c>
      <c r="B5">
        <f>COUNTIF('Run68'!O:O,datasets!A5)</f>
        <v>427</v>
      </c>
      <c r="C5" s="17">
        <f t="shared" si="0"/>
        <v>71.166666666666671</v>
      </c>
      <c r="F5" s="17"/>
    </row>
    <row r="6" spans="1:6">
      <c r="A6" t="s">
        <v>4928</v>
      </c>
      <c r="B6">
        <f>COUNTIF('Run68'!O:O,datasets!A6)</f>
        <v>400</v>
      </c>
      <c r="C6" s="17">
        <f t="shared" si="0"/>
        <v>66.666666666666671</v>
      </c>
    </row>
    <row r="7" spans="1:6">
      <c r="A7" t="s">
        <v>4929</v>
      </c>
      <c r="B7">
        <f>COUNTIF('Run68'!O:O,datasets!A7)</f>
        <v>146</v>
      </c>
      <c r="C7" s="17">
        <f t="shared" si="0"/>
        <v>24.333333333333332</v>
      </c>
      <c r="D7" s="17">
        <f>SUM(C5:C7)</f>
        <v>162.16666666666669</v>
      </c>
    </row>
    <row r="8" spans="1:6">
      <c r="A8" t="s">
        <v>4930</v>
      </c>
      <c r="B8">
        <f>COUNTIF('Run68'!O:O,datasets!A8)</f>
        <v>247</v>
      </c>
      <c r="C8" s="17">
        <f t="shared" ref="C8:C22" si="1">B8/6</f>
        <v>41.166666666666664</v>
      </c>
      <c r="F8" s="17"/>
    </row>
    <row r="9" spans="1:6">
      <c r="A9" t="s">
        <v>4931</v>
      </c>
      <c r="B9">
        <f>COUNTIF('Run68'!O:O,datasets!A9)</f>
        <v>417</v>
      </c>
      <c r="C9" s="17">
        <f t="shared" si="1"/>
        <v>69.5</v>
      </c>
      <c r="F9" s="17"/>
    </row>
    <row r="10" spans="1:6">
      <c r="A10" t="s">
        <v>4932</v>
      </c>
      <c r="B10">
        <f>COUNTIF('Run68'!O:O,datasets!A10)</f>
        <v>153</v>
      </c>
      <c r="C10" s="17">
        <f t="shared" si="1"/>
        <v>25.5</v>
      </c>
      <c r="F10" s="17"/>
    </row>
    <row r="11" spans="1:6">
      <c r="A11" t="s">
        <v>4933</v>
      </c>
      <c r="B11">
        <f>COUNTIF('Run68'!O:O,datasets!A11)</f>
        <v>34</v>
      </c>
      <c r="C11" s="17">
        <f t="shared" si="1"/>
        <v>5.666666666666667</v>
      </c>
      <c r="F11" s="17"/>
    </row>
    <row r="12" spans="1:6">
      <c r="A12" t="s">
        <v>4934</v>
      </c>
      <c r="B12">
        <f>COUNTIF('Run68'!O:O,datasets!A12)</f>
        <v>204</v>
      </c>
      <c r="C12" s="17">
        <f t="shared" si="1"/>
        <v>34</v>
      </c>
      <c r="D12" s="17">
        <f>SUM(C11:C12)</f>
        <v>39.666666666666664</v>
      </c>
    </row>
    <row r="13" spans="1:6">
      <c r="A13" t="s">
        <v>4935</v>
      </c>
      <c r="B13">
        <f>COUNTIF('Run68'!O:O,datasets!A13)</f>
        <v>52</v>
      </c>
      <c r="C13" s="17">
        <f t="shared" si="1"/>
        <v>8.6666666666666661</v>
      </c>
    </row>
    <row r="14" spans="1:6">
      <c r="A14" t="s">
        <v>4936</v>
      </c>
      <c r="B14">
        <f>COUNTIF('Run68'!O:O,datasets!A14)</f>
        <v>296</v>
      </c>
      <c r="C14" s="17">
        <f t="shared" si="1"/>
        <v>49.333333333333336</v>
      </c>
      <c r="D14" s="17">
        <f>SUM(C13:C14)</f>
        <v>58</v>
      </c>
    </row>
    <row r="15" spans="1:6">
      <c r="A15" t="s">
        <v>4937</v>
      </c>
      <c r="B15">
        <f>COUNTIF('Run68'!O:O,datasets!A15)</f>
        <v>108</v>
      </c>
      <c r="C15" s="17">
        <f t="shared" si="1"/>
        <v>18</v>
      </c>
    </row>
    <row r="16" spans="1:6">
      <c r="A16" t="s">
        <v>4938</v>
      </c>
      <c r="B16">
        <f>COUNTIF('Run68'!O:O,datasets!A16)</f>
        <v>96</v>
      </c>
      <c r="C16" s="17">
        <f t="shared" si="1"/>
        <v>16</v>
      </c>
    </row>
    <row r="17" spans="1:7">
      <c r="A17" t="s">
        <v>4939</v>
      </c>
      <c r="B17">
        <f>COUNTIF('Run68'!O:O,datasets!A17)</f>
        <v>80</v>
      </c>
      <c r="C17" s="17">
        <f t="shared" si="1"/>
        <v>13.333333333333334</v>
      </c>
    </row>
    <row r="18" spans="1:7">
      <c r="A18" t="s">
        <v>4940</v>
      </c>
      <c r="B18">
        <f>COUNTIF('Run68'!O:O,datasets!A18)</f>
        <v>356</v>
      </c>
      <c r="C18" s="17">
        <f t="shared" si="1"/>
        <v>59.333333333333336</v>
      </c>
      <c r="D18" s="17">
        <f>SUM(C15:C18)</f>
        <v>106.66666666666667</v>
      </c>
    </row>
    <row r="19" spans="1:7">
      <c r="A19" t="s">
        <v>4941</v>
      </c>
      <c r="B19">
        <f>COUNTIF('Run68'!O:O,datasets!A19)</f>
        <v>72</v>
      </c>
      <c r="C19" s="17">
        <f t="shared" si="1"/>
        <v>12</v>
      </c>
    </row>
    <row r="20" spans="1:7">
      <c r="A20" t="s">
        <v>4942</v>
      </c>
      <c r="B20">
        <f>COUNTIF('Run68'!O:O,datasets!A20)</f>
        <v>121</v>
      </c>
      <c r="C20" s="17">
        <f t="shared" si="1"/>
        <v>20.166666666666668</v>
      </c>
      <c r="D20" s="17">
        <f>C20+C19</f>
        <v>32.166666666666671</v>
      </c>
    </row>
    <row r="21" spans="1:7">
      <c r="A21" t="s">
        <v>4943</v>
      </c>
      <c r="B21">
        <f>COUNTIF('Run68'!O:O,datasets!A21)</f>
        <v>96</v>
      </c>
      <c r="C21" s="17">
        <f t="shared" si="1"/>
        <v>16</v>
      </c>
    </row>
    <row r="22" spans="1:7">
      <c r="A22" t="s">
        <v>4944</v>
      </c>
      <c r="B22">
        <f>COUNTIF('Run68'!O:O,datasets!A22)</f>
        <v>439</v>
      </c>
      <c r="C22" s="17">
        <f t="shared" si="1"/>
        <v>73.166666666666671</v>
      </c>
      <c r="D22" s="17">
        <f>C22+C21</f>
        <v>89.166666666666671</v>
      </c>
      <c r="E22" s="17">
        <f>SUM(D18:D22)</f>
        <v>228</v>
      </c>
      <c r="F22">
        <f>E22*0.16</f>
        <v>36.480000000000004</v>
      </c>
      <c r="G22">
        <f>F22/24</f>
        <v>1.5200000000000002</v>
      </c>
    </row>
    <row r="24" spans="1:7">
      <c r="A24" t="s">
        <v>4945</v>
      </c>
      <c r="B24">
        <f>COUNTIF('Run68'!M:M,datasets!A24)</f>
        <v>1431</v>
      </c>
    </row>
    <row r="184" spans="1:1">
      <c r="A184" s="16"/>
    </row>
    <row r="280" spans="1:1">
      <c r="A280" s="16"/>
    </row>
    <row r="296" spans="1:1">
      <c r="A296" s="16"/>
    </row>
    <row r="368" spans="1:1">
      <c r="A368" s="16"/>
    </row>
  </sheetData>
  <sortState xmlns:xlrd2="http://schemas.microsoft.com/office/spreadsheetml/2017/richdata2" ref="A1:A1046461">
    <sortCondition ref="A1:A1046461"/>
  </sortState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16"/>
  <sheetViews>
    <sheetView workbookViewId="0">
      <pane xSplit="7" ySplit="1" topLeftCell="H41" activePane="bottomRight" state="frozen"/>
      <selection pane="bottomRight"/>
      <selection pane="bottomLeft" activeCell="A2" sqref="A2"/>
      <selection pane="topRight" activeCell="H1" sqref="H1"/>
    </sheetView>
  </sheetViews>
  <sheetFormatPr defaultRowHeight="14.45"/>
  <cols>
    <col min="1" max="1" width="13.85546875" bestFit="1" customWidth="1"/>
    <col min="2" max="5" width="9" hidden="1" customWidth="1"/>
    <col min="6" max="6" width="3.85546875" customWidth="1"/>
    <col min="7" max="7" width="5.42578125" hidden="1" customWidth="1"/>
    <col min="8" max="8" width="7.5703125" bestFit="1" customWidth="1"/>
    <col min="9" max="9" width="11.42578125" customWidth="1"/>
    <col min="10" max="10" width="5.28515625" hidden="1" customWidth="1"/>
    <col min="12" max="12" width="13.7109375" customWidth="1"/>
    <col min="13" max="13" width="0" hidden="1" customWidth="1"/>
  </cols>
  <sheetData>
    <row r="1" spans="1:24" ht="55.1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1616</v>
      </c>
      <c r="J1" s="60" t="s">
        <v>2190</v>
      </c>
      <c r="K1" s="60" t="s">
        <v>13</v>
      </c>
      <c r="L1" s="60" t="s">
        <v>2191</v>
      </c>
      <c r="M1" s="60" t="s">
        <v>1444</v>
      </c>
      <c r="N1" s="60" t="s">
        <v>2192</v>
      </c>
    </row>
    <row r="2" spans="1:24">
      <c r="A2" t="s">
        <v>4946</v>
      </c>
      <c r="H2" t="s">
        <v>4947</v>
      </c>
      <c r="I2" t="s">
        <v>4948</v>
      </c>
      <c r="K2" t="s">
        <v>4949</v>
      </c>
    </row>
    <row r="3" spans="1:24">
      <c r="A3" t="s">
        <v>4950</v>
      </c>
      <c r="H3" t="s">
        <v>4947</v>
      </c>
      <c r="K3" t="s">
        <v>4951</v>
      </c>
      <c r="L3" t="s">
        <v>4952</v>
      </c>
    </row>
    <row r="4" spans="1:24">
      <c r="A4" t="s">
        <v>4953</v>
      </c>
      <c r="H4" t="s">
        <v>4954</v>
      </c>
      <c r="K4" t="s">
        <v>4955</v>
      </c>
      <c r="L4" t="s">
        <v>4956</v>
      </c>
    </row>
    <row r="5" spans="1:24">
      <c r="A5" t="s">
        <v>4957</v>
      </c>
      <c r="H5" t="s">
        <v>4958</v>
      </c>
      <c r="K5" t="s">
        <v>4959</v>
      </c>
      <c r="L5" t="s">
        <v>4960</v>
      </c>
    </row>
    <row r="6" spans="1:24">
      <c r="A6" t="s">
        <v>4961</v>
      </c>
      <c r="H6" t="s">
        <v>4962</v>
      </c>
    </row>
    <row r="7" spans="1:24">
      <c r="A7" t="s">
        <v>4963</v>
      </c>
      <c r="H7" s="54" t="s">
        <v>4964</v>
      </c>
      <c r="K7" t="s">
        <v>4965</v>
      </c>
      <c r="L7" t="s">
        <v>4966</v>
      </c>
    </row>
    <row r="8" spans="1:24">
      <c r="A8" t="s">
        <v>4967</v>
      </c>
      <c r="F8">
        <v>50</v>
      </c>
      <c r="H8" s="54" t="s">
        <v>4968</v>
      </c>
      <c r="K8" t="s">
        <v>4969</v>
      </c>
      <c r="L8" t="s">
        <v>4966</v>
      </c>
      <c r="N8" t="s">
        <v>4970</v>
      </c>
    </row>
    <row r="9" spans="1:24">
      <c r="A9" t="s">
        <v>4971</v>
      </c>
      <c r="H9" t="s">
        <v>4972</v>
      </c>
      <c r="K9" t="s">
        <v>4959</v>
      </c>
      <c r="L9" t="s">
        <v>4966</v>
      </c>
      <c r="X9">
        <v>2</v>
      </c>
    </row>
    <row r="10" spans="1:24">
      <c r="A10" t="s">
        <v>4973</v>
      </c>
      <c r="H10" t="s">
        <v>4974</v>
      </c>
      <c r="K10" t="s">
        <v>4959</v>
      </c>
      <c r="L10" t="s">
        <v>4975</v>
      </c>
      <c r="X10" s="39">
        <v>2.5000000000000001E-2</v>
      </c>
    </row>
    <row r="11" spans="1:24">
      <c r="A11" t="s">
        <v>4976</v>
      </c>
      <c r="H11" t="s">
        <v>4977</v>
      </c>
      <c r="K11" t="s">
        <v>4959</v>
      </c>
      <c r="L11" t="s">
        <v>4978</v>
      </c>
      <c r="X11" s="39">
        <f>X9/X10</f>
        <v>80</v>
      </c>
    </row>
    <row r="12" spans="1:24">
      <c r="A12" t="s">
        <v>4979</v>
      </c>
      <c r="K12" t="s">
        <v>4980</v>
      </c>
    </row>
    <row r="13" spans="1:24">
      <c r="A13" t="s">
        <v>4981</v>
      </c>
      <c r="H13" t="s">
        <v>4958</v>
      </c>
      <c r="K13" t="s">
        <v>4955</v>
      </c>
      <c r="L13" t="s">
        <v>4982</v>
      </c>
    </row>
    <row r="14" spans="1:24">
      <c r="A14" t="s">
        <v>4983</v>
      </c>
      <c r="H14" t="s">
        <v>4984</v>
      </c>
      <c r="I14" t="s">
        <v>4985</v>
      </c>
      <c r="L14" t="s">
        <v>4982</v>
      </c>
    </row>
    <row r="15" spans="1:24" ht="15" thickBot="1">
      <c r="A15" t="s">
        <v>4986</v>
      </c>
      <c r="H15" t="s">
        <v>4987</v>
      </c>
      <c r="K15" t="s">
        <v>4959</v>
      </c>
      <c r="L15" t="s">
        <v>4982</v>
      </c>
    </row>
    <row r="16" spans="1:24">
      <c r="A16" s="74" t="s">
        <v>4988</v>
      </c>
      <c r="B16" s="74"/>
      <c r="C16" s="74"/>
      <c r="D16" s="74"/>
      <c r="E16" s="74"/>
      <c r="F16" s="74"/>
      <c r="G16" s="74"/>
      <c r="H16" s="74" t="s">
        <v>4958</v>
      </c>
      <c r="I16" s="162" t="s">
        <v>4989</v>
      </c>
      <c r="J16" s="163"/>
      <c r="K16" s="163" t="s">
        <v>4990</v>
      </c>
      <c r="L16" s="164" t="s">
        <v>4982</v>
      </c>
    </row>
    <row r="17" spans="1:14">
      <c r="A17" s="74" t="s">
        <v>4991</v>
      </c>
      <c r="B17" s="74"/>
      <c r="C17" s="74"/>
      <c r="D17" s="74"/>
      <c r="E17" s="74"/>
      <c r="F17" s="74"/>
      <c r="G17" s="74"/>
      <c r="H17" s="74" t="s">
        <v>4992</v>
      </c>
      <c r="I17" s="165" t="s">
        <v>4993</v>
      </c>
      <c r="J17" s="74"/>
      <c r="K17" s="74" t="s">
        <v>4994</v>
      </c>
      <c r="L17" s="166"/>
    </row>
    <row r="18" spans="1:14" ht="15" thickBot="1">
      <c r="A18" s="74" t="s">
        <v>4995</v>
      </c>
      <c r="B18" s="74"/>
      <c r="C18" s="74"/>
      <c r="D18" s="74"/>
      <c r="E18" s="74"/>
      <c r="F18" s="74"/>
      <c r="G18" s="74"/>
      <c r="H18" s="74" t="s">
        <v>4996</v>
      </c>
      <c r="I18" s="167" t="s">
        <v>4997</v>
      </c>
      <c r="J18" s="168"/>
      <c r="K18" s="168"/>
      <c r="L18" s="169"/>
    </row>
    <row r="19" spans="1:14">
      <c r="A19" s="74" t="s">
        <v>4998</v>
      </c>
      <c r="B19" s="74"/>
      <c r="C19" s="74"/>
      <c r="D19" s="74"/>
      <c r="E19" s="74"/>
      <c r="F19" s="74"/>
      <c r="G19" s="74"/>
      <c r="H19" s="74" t="s">
        <v>4999</v>
      </c>
      <c r="I19" s="165" t="s">
        <v>5000</v>
      </c>
      <c r="J19" s="74"/>
      <c r="K19" s="74"/>
      <c r="L19" s="166"/>
    </row>
    <row r="20" spans="1:14">
      <c r="A20" s="74" t="s">
        <v>5001</v>
      </c>
      <c r="B20" s="74"/>
      <c r="C20" s="74"/>
      <c r="D20" s="74"/>
      <c r="E20" s="74"/>
      <c r="F20" s="74"/>
      <c r="G20" s="74"/>
      <c r="H20" s="74" t="s">
        <v>5002</v>
      </c>
      <c r="I20" s="165" t="s">
        <v>5003</v>
      </c>
      <c r="J20" s="74"/>
      <c r="K20" s="74"/>
      <c r="L20" s="166"/>
    </row>
    <row r="21" spans="1:14" ht="15" thickBot="1">
      <c r="A21" s="74" t="s">
        <v>5004</v>
      </c>
      <c r="B21" s="74"/>
      <c r="C21" s="74"/>
      <c r="D21" s="74"/>
      <c r="E21" s="74"/>
      <c r="F21" s="74"/>
      <c r="G21" s="74"/>
      <c r="H21" s="74" t="s">
        <v>5005</v>
      </c>
      <c r="I21" s="167" t="s">
        <v>5006</v>
      </c>
      <c r="J21" s="168"/>
      <c r="K21" s="168"/>
      <c r="L21" s="169"/>
    </row>
    <row r="22" spans="1:14">
      <c r="A22" s="74" t="s">
        <v>5007</v>
      </c>
      <c r="B22" s="74"/>
      <c r="C22" s="74"/>
      <c r="D22" s="74"/>
      <c r="E22" s="74"/>
      <c r="F22" s="74"/>
      <c r="G22" s="74"/>
      <c r="H22" s="74" t="s">
        <v>5008</v>
      </c>
      <c r="I22" s="74"/>
      <c r="J22" s="74"/>
      <c r="K22" s="74"/>
      <c r="L22" s="74"/>
    </row>
    <row r="23" spans="1:14">
      <c r="A23" s="74" t="s">
        <v>5009</v>
      </c>
      <c r="B23" s="74"/>
      <c r="C23" s="74"/>
      <c r="D23" s="74"/>
      <c r="E23" s="74"/>
      <c r="F23" s="74"/>
      <c r="G23" s="74"/>
      <c r="H23" s="74" t="s">
        <v>5010</v>
      </c>
      <c r="I23" s="74"/>
      <c r="J23" s="74"/>
      <c r="K23" s="74"/>
      <c r="L23" s="74"/>
    </row>
    <row r="24" spans="1:14" ht="15" thickBot="1">
      <c r="A24" s="74" t="s">
        <v>5011</v>
      </c>
      <c r="B24" s="74"/>
      <c r="C24" s="74"/>
      <c r="D24" s="74"/>
      <c r="E24" s="74"/>
      <c r="F24" s="74"/>
      <c r="G24" s="74"/>
      <c r="H24" s="74" t="s">
        <v>5012</v>
      </c>
      <c r="I24" s="74"/>
      <c r="J24" s="74"/>
      <c r="K24" s="74"/>
      <c r="L24" s="74"/>
    </row>
    <row r="25" spans="1:14">
      <c r="A25" s="81" t="s">
        <v>5013</v>
      </c>
      <c r="B25" s="81"/>
      <c r="C25" s="81"/>
      <c r="D25" s="81"/>
      <c r="E25" s="81"/>
      <c r="F25" s="81"/>
      <c r="G25" s="81"/>
      <c r="H25" s="81" t="s">
        <v>4958</v>
      </c>
      <c r="I25" s="81"/>
      <c r="J25" s="81"/>
      <c r="K25" s="170" t="s">
        <v>4989</v>
      </c>
      <c r="L25" s="171" t="s">
        <v>4982</v>
      </c>
    </row>
    <row r="26" spans="1:14">
      <c r="A26" s="81" t="s">
        <v>5014</v>
      </c>
      <c r="B26" s="81"/>
      <c r="C26" s="81"/>
      <c r="D26" s="81"/>
      <c r="E26" s="81"/>
      <c r="F26" s="81"/>
      <c r="G26" s="81"/>
      <c r="H26" s="81" t="s">
        <v>4992</v>
      </c>
      <c r="I26" s="81" t="s">
        <v>4948</v>
      </c>
      <c r="J26" s="81"/>
      <c r="K26" s="172" t="s">
        <v>4993</v>
      </c>
      <c r="L26" s="173" t="s">
        <v>5015</v>
      </c>
    </row>
    <row r="27" spans="1:14">
      <c r="A27" s="81" t="s">
        <v>5016</v>
      </c>
      <c r="B27" s="81"/>
      <c r="C27" s="81"/>
      <c r="D27" s="81"/>
      <c r="E27" s="81"/>
      <c r="F27" s="81"/>
      <c r="G27" s="81"/>
      <c r="H27" s="81" t="s">
        <v>4996</v>
      </c>
      <c r="I27" s="81"/>
      <c r="J27" s="81"/>
      <c r="K27" s="172" t="s">
        <v>4997</v>
      </c>
      <c r="L27" s="173"/>
    </row>
    <row r="28" spans="1:14">
      <c r="A28" s="81" t="s">
        <v>5017</v>
      </c>
      <c r="B28" s="81"/>
      <c r="C28" s="81"/>
      <c r="D28" s="81"/>
      <c r="E28" s="81"/>
      <c r="F28" s="81"/>
      <c r="G28" s="81"/>
      <c r="H28" s="81" t="s">
        <v>4999</v>
      </c>
      <c r="I28" s="81"/>
      <c r="J28" s="81"/>
      <c r="K28" s="172"/>
      <c r="L28" s="173" t="s">
        <v>5000</v>
      </c>
    </row>
    <row r="29" spans="1:14">
      <c r="A29" s="81" t="s">
        <v>5018</v>
      </c>
      <c r="B29" s="81"/>
      <c r="C29" s="81"/>
      <c r="D29" s="81"/>
      <c r="E29" s="81"/>
      <c r="F29" s="81"/>
      <c r="G29" s="81"/>
      <c r="H29" s="81" t="s">
        <v>5002</v>
      </c>
      <c r="I29" s="81"/>
      <c r="J29" s="81"/>
      <c r="K29" s="172" t="s">
        <v>4990</v>
      </c>
      <c r="L29" s="173" t="s">
        <v>5003</v>
      </c>
    </row>
    <row r="30" spans="1:14" ht="15" thickBot="1">
      <c r="A30" s="81" t="s">
        <v>5019</v>
      </c>
      <c r="B30" s="81"/>
      <c r="C30" s="81"/>
      <c r="D30" s="81"/>
      <c r="E30" s="81"/>
      <c r="F30" s="81"/>
      <c r="G30" s="81"/>
      <c r="H30" s="81" t="s">
        <v>5005</v>
      </c>
      <c r="I30" s="81"/>
      <c r="J30" s="81"/>
      <c r="K30" s="174" t="s">
        <v>4994</v>
      </c>
      <c r="L30" s="175" t="s">
        <v>5006</v>
      </c>
    </row>
    <row r="31" spans="1:14">
      <c r="A31" s="81" t="s">
        <v>5020</v>
      </c>
      <c r="B31" s="81"/>
      <c r="C31" s="81"/>
      <c r="D31" s="81"/>
      <c r="E31" s="81"/>
      <c r="F31" s="81"/>
      <c r="G31" s="81"/>
      <c r="H31" s="81" t="s">
        <v>5008</v>
      </c>
      <c r="I31" s="81"/>
      <c r="J31" s="81"/>
      <c r="K31" s="81"/>
      <c r="L31" s="81"/>
    </row>
    <row r="32" spans="1:14">
      <c r="A32" t="s">
        <v>5021</v>
      </c>
      <c r="F32">
        <v>63</v>
      </c>
      <c r="H32" t="s">
        <v>4972</v>
      </c>
      <c r="I32" t="s">
        <v>5022</v>
      </c>
      <c r="K32" t="s">
        <v>4959</v>
      </c>
      <c r="L32" t="s">
        <v>4982</v>
      </c>
      <c r="N32" t="s">
        <v>4970</v>
      </c>
    </row>
    <row r="33" spans="1:14">
      <c r="A33" t="s">
        <v>5023</v>
      </c>
      <c r="F33">
        <v>20</v>
      </c>
      <c r="H33" t="s">
        <v>4977</v>
      </c>
      <c r="K33" t="s">
        <v>4959</v>
      </c>
      <c r="L33" t="s">
        <v>4982</v>
      </c>
    </row>
    <row r="34" spans="1:14">
      <c r="A34" t="s">
        <v>5024</v>
      </c>
      <c r="F34">
        <v>68</v>
      </c>
      <c r="H34" t="s">
        <v>4974</v>
      </c>
      <c r="I34" t="s">
        <v>5025</v>
      </c>
      <c r="K34" t="s">
        <v>4959</v>
      </c>
      <c r="L34" t="s">
        <v>4982</v>
      </c>
    </row>
    <row r="35" spans="1:14">
      <c r="A35" t="s">
        <v>5026</v>
      </c>
      <c r="F35">
        <v>48</v>
      </c>
      <c r="H35" t="s">
        <v>4974</v>
      </c>
      <c r="K35" t="s">
        <v>4959</v>
      </c>
      <c r="L35" t="s">
        <v>4982</v>
      </c>
    </row>
    <row r="36" spans="1:14">
      <c r="A36" t="s">
        <v>5027</v>
      </c>
      <c r="F36">
        <v>82</v>
      </c>
      <c r="H36" t="s">
        <v>5028</v>
      </c>
      <c r="K36" t="s">
        <v>4959</v>
      </c>
      <c r="L36" t="s">
        <v>4982</v>
      </c>
    </row>
    <row r="37" spans="1:14">
      <c r="A37" t="s">
        <v>5029</v>
      </c>
      <c r="H37" t="s">
        <v>4958</v>
      </c>
      <c r="K37" t="s">
        <v>4955</v>
      </c>
      <c r="L37" t="s">
        <v>4982</v>
      </c>
    </row>
    <row r="38" spans="1:14">
      <c r="A38" t="s">
        <v>5030</v>
      </c>
      <c r="H38" t="s">
        <v>4992</v>
      </c>
      <c r="I38" t="s">
        <v>5025</v>
      </c>
      <c r="K38" t="s">
        <v>4959</v>
      </c>
      <c r="L38" t="s">
        <v>4982</v>
      </c>
    </row>
    <row r="39" spans="1:14">
      <c r="A39" t="s">
        <v>5031</v>
      </c>
      <c r="H39" t="s">
        <v>4958</v>
      </c>
      <c r="L39" t="s">
        <v>4982</v>
      </c>
    </row>
    <row r="40" spans="1:14">
      <c r="A40" t="s">
        <v>5032</v>
      </c>
      <c r="H40" t="s">
        <v>4992</v>
      </c>
      <c r="I40" t="s">
        <v>5025</v>
      </c>
      <c r="K40" t="s">
        <v>5033</v>
      </c>
      <c r="L40" t="s">
        <v>4982</v>
      </c>
    </row>
    <row r="41" spans="1:14">
      <c r="A41" t="s">
        <v>5034</v>
      </c>
      <c r="H41" t="s">
        <v>4992</v>
      </c>
      <c r="I41" t="s">
        <v>5025</v>
      </c>
      <c r="L41" t="s">
        <v>5035</v>
      </c>
    </row>
    <row r="42" spans="1:14">
      <c r="A42" t="s">
        <v>5036</v>
      </c>
      <c r="H42" t="s">
        <v>4958</v>
      </c>
      <c r="I42" t="s">
        <v>5025</v>
      </c>
      <c r="L42" t="s">
        <v>4982</v>
      </c>
    </row>
    <row r="43" spans="1:14">
      <c r="A43" t="s">
        <v>5037</v>
      </c>
      <c r="H43" t="s">
        <v>5038</v>
      </c>
      <c r="I43" t="s">
        <v>5025</v>
      </c>
      <c r="L43" t="s">
        <v>4982</v>
      </c>
    </row>
    <row r="44" spans="1:14">
      <c r="A44" t="s">
        <v>5039</v>
      </c>
      <c r="H44" t="s">
        <v>5038</v>
      </c>
      <c r="L44" t="s">
        <v>4982</v>
      </c>
    </row>
    <row r="45" spans="1:14">
      <c r="A45" t="s">
        <v>5040</v>
      </c>
      <c r="H45" t="s">
        <v>4992</v>
      </c>
      <c r="K45" t="s">
        <v>4959</v>
      </c>
      <c r="L45" t="s">
        <v>4982</v>
      </c>
    </row>
    <row r="46" spans="1:14">
      <c r="A46" t="s">
        <v>5041</v>
      </c>
      <c r="H46" t="s">
        <v>4992</v>
      </c>
      <c r="L46" t="s">
        <v>4982</v>
      </c>
    </row>
    <row r="47" spans="1:14">
      <c r="A47" t="s">
        <v>5042</v>
      </c>
      <c r="F47">
        <v>23</v>
      </c>
      <c r="H47" t="s">
        <v>5043</v>
      </c>
      <c r="K47" t="s">
        <v>4955</v>
      </c>
      <c r="L47" t="s">
        <v>4982</v>
      </c>
    </row>
    <row r="48" spans="1:14">
      <c r="A48" t="s">
        <v>5044</v>
      </c>
      <c r="F48">
        <v>21</v>
      </c>
      <c r="H48" t="s">
        <v>5045</v>
      </c>
      <c r="K48" t="s">
        <v>4959</v>
      </c>
      <c r="L48" t="s">
        <v>4982</v>
      </c>
      <c r="N48" t="s">
        <v>4970</v>
      </c>
    </row>
    <row r="49" spans="1:14">
      <c r="A49" t="s">
        <v>5046</v>
      </c>
      <c r="F49">
        <v>21</v>
      </c>
      <c r="H49" t="s">
        <v>5047</v>
      </c>
      <c r="K49" t="s">
        <v>4959</v>
      </c>
      <c r="L49" t="s">
        <v>4982</v>
      </c>
      <c r="N49" t="s">
        <v>4970</v>
      </c>
    </row>
    <row r="50" spans="1:14">
      <c r="A50" t="s">
        <v>5048</v>
      </c>
      <c r="F50">
        <v>22</v>
      </c>
      <c r="H50" t="s">
        <v>5049</v>
      </c>
      <c r="K50" t="s">
        <v>4959</v>
      </c>
      <c r="L50" t="s">
        <v>4982</v>
      </c>
      <c r="N50" t="s">
        <v>4970</v>
      </c>
    </row>
    <row r="51" spans="1:14">
      <c r="A51" t="s">
        <v>5050</v>
      </c>
      <c r="F51">
        <v>23</v>
      </c>
      <c r="H51" t="s">
        <v>5051</v>
      </c>
      <c r="K51" t="s">
        <v>4959</v>
      </c>
      <c r="L51" t="s">
        <v>4982</v>
      </c>
      <c r="N51" t="s">
        <v>4970</v>
      </c>
    </row>
    <row r="52" spans="1:14">
      <c r="A52" t="s">
        <v>5052</v>
      </c>
      <c r="F52">
        <v>1</v>
      </c>
      <c r="K52" t="s">
        <v>4980</v>
      </c>
    </row>
    <row r="53" spans="1:14">
      <c r="A53" t="s">
        <v>5053</v>
      </c>
      <c r="F53">
        <v>24</v>
      </c>
      <c r="H53" t="s">
        <v>5054</v>
      </c>
      <c r="K53" t="s">
        <v>4959</v>
      </c>
      <c r="L53" t="s">
        <v>4982</v>
      </c>
      <c r="N53" t="s">
        <v>5055</v>
      </c>
    </row>
    <row r="54" spans="1:14">
      <c r="A54" t="s">
        <v>5056</v>
      </c>
      <c r="F54">
        <v>24</v>
      </c>
      <c r="H54" t="s">
        <v>5057</v>
      </c>
      <c r="K54" t="s">
        <v>4959</v>
      </c>
      <c r="L54" t="s">
        <v>4982</v>
      </c>
    </row>
    <row r="55" spans="1:14">
      <c r="A55" t="s">
        <v>5058</v>
      </c>
      <c r="F55">
        <v>21</v>
      </c>
      <c r="H55" s="54" t="s">
        <v>5059</v>
      </c>
      <c r="K55" t="s">
        <v>4955</v>
      </c>
      <c r="L55" t="s">
        <v>4982</v>
      </c>
      <c r="N55" t="s">
        <v>4970</v>
      </c>
    </row>
    <row r="56" spans="1:14">
      <c r="A56" t="s">
        <v>5060</v>
      </c>
      <c r="F56">
        <v>49</v>
      </c>
      <c r="H56" s="54" t="s">
        <v>5061</v>
      </c>
      <c r="K56" t="s">
        <v>4959</v>
      </c>
      <c r="L56" t="s">
        <v>4982</v>
      </c>
      <c r="N56" t="s">
        <v>4970</v>
      </c>
    </row>
    <row r="57" spans="1:14">
      <c r="A57" t="s">
        <v>5062</v>
      </c>
      <c r="F57">
        <v>20</v>
      </c>
      <c r="H57" s="54" t="s">
        <v>5063</v>
      </c>
      <c r="K57" t="s">
        <v>4959</v>
      </c>
      <c r="L57" t="s">
        <v>4982</v>
      </c>
      <c r="N57" t="s">
        <v>4970</v>
      </c>
    </row>
    <row r="58" spans="1:14">
      <c r="A58" t="s">
        <v>5064</v>
      </c>
      <c r="F58">
        <v>22</v>
      </c>
      <c r="H58" s="54" t="s">
        <v>5063</v>
      </c>
      <c r="K58" t="s">
        <v>4955</v>
      </c>
      <c r="L58" t="s">
        <v>4982</v>
      </c>
      <c r="N58" t="s">
        <v>4970</v>
      </c>
    </row>
    <row r="59" spans="1:14">
      <c r="A59" t="s">
        <v>5065</v>
      </c>
      <c r="F59">
        <v>22</v>
      </c>
      <c r="H59" s="54" t="s">
        <v>5066</v>
      </c>
      <c r="K59" t="s">
        <v>4959</v>
      </c>
      <c r="L59" t="s">
        <v>4982</v>
      </c>
      <c r="N59" t="s">
        <v>4970</v>
      </c>
    </row>
    <row r="60" spans="1:14">
      <c r="A60" t="s">
        <v>5067</v>
      </c>
      <c r="F60">
        <v>21</v>
      </c>
      <c r="H60" s="54" t="s">
        <v>5068</v>
      </c>
      <c r="K60" t="s">
        <v>4959</v>
      </c>
      <c r="L60" t="s">
        <v>4982</v>
      </c>
      <c r="N60" t="s">
        <v>4970</v>
      </c>
    </row>
    <row r="61" spans="1:14">
      <c r="A61" t="s">
        <v>5069</v>
      </c>
      <c r="F61">
        <v>21</v>
      </c>
      <c r="H61" s="54" t="s">
        <v>5070</v>
      </c>
      <c r="K61" t="s">
        <v>4959</v>
      </c>
      <c r="L61" t="s">
        <v>4982</v>
      </c>
      <c r="N61" t="s">
        <v>4970</v>
      </c>
    </row>
    <row r="62" spans="1:14">
      <c r="A62" t="s">
        <v>5071</v>
      </c>
      <c r="F62">
        <v>22</v>
      </c>
      <c r="H62" s="54" t="s">
        <v>5072</v>
      </c>
      <c r="I62" t="s">
        <v>5073</v>
      </c>
      <c r="K62" t="s">
        <v>4959</v>
      </c>
      <c r="L62" t="s">
        <v>4982</v>
      </c>
    </row>
    <row r="63" spans="1:14">
      <c r="A63" t="s">
        <v>5074</v>
      </c>
      <c r="F63">
        <v>22</v>
      </c>
      <c r="H63" s="54" t="s">
        <v>5075</v>
      </c>
      <c r="I63" t="s">
        <v>5076</v>
      </c>
      <c r="K63" t="s">
        <v>4959</v>
      </c>
      <c r="L63" t="s">
        <v>4982</v>
      </c>
    </row>
    <row r="64" spans="1:14">
      <c r="A64" t="s">
        <v>5077</v>
      </c>
      <c r="F64">
        <v>22</v>
      </c>
      <c r="H64" s="54" t="s">
        <v>5078</v>
      </c>
      <c r="I64" t="s">
        <v>5073</v>
      </c>
      <c r="K64" t="s">
        <v>4959</v>
      </c>
      <c r="L64" t="s">
        <v>4982</v>
      </c>
    </row>
    <row r="65" spans="1:14">
      <c r="A65" t="s">
        <v>5079</v>
      </c>
      <c r="F65">
        <v>22</v>
      </c>
      <c r="H65" s="54" t="s">
        <v>5080</v>
      </c>
      <c r="K65" t="s">
        <v>4959</v>
      </c>
      <c r="L65" t="s">
        <v>4982</v>
      </c>
    </row>
    <row r="66" spans="1:14">
      <c r="A66" t="s">
        <v>5081</v>
      </c>
      <c r="F66">
        <v>22</v>
      </c>
      <c r="H66" s="54" t="s">
        <v>5082</v>
      </c>
      <c r="K66" t="s">
        <v>4959</v>
      </c>
      <c r="L66" t="s">
        <v>4982</v>
      </c>
    </row>
    <row r="67" spans="1:14">
      <c r="A67" t="s">
        <v>5083</v>
      </c>
      <c r="F67">
        <v>23</v>
      </c>
      <c r="H67" s="54" t="s">
        <v>5084</v>
      </c>
      <c r="K67" t="s">
        <v>4955</v>
      </c>
      <c r="L67" t="s">
        <v>4982</v>
      </c>
      <c r="N67" t="s">
        <v>4970</v>
      </c>
    </row>
    <row r="68" spans="1:14">
      <c r="A68" t="s">
        <v>5085</v>
      </c>
      <c r="F68">
        <v>26</v>
      </c>
      <c r="H68" s="54" t="s">
        <v>5068</v>
      </c>
      <c r="K68" t="s">
        <v>4959</v>
      </c>
      <c r="L68" t="s">
        <v>4982</v>
      </c>
      <c r="N68" t="s">
        <v>4970</v>
      </c>
    </row>
    <row r="69" spans="1:14">
      <c r="A69" t="s">
        <v>5086</v>
      </c>
      <c r="F69">
        <v>21</v>
      </c>
      <c r="H69" s="54" t="s">
        <v>5072</v>
      </c>
      <c r="K69" t="s">
        <v>4959</v>
      </c>
      <c r="L69" t="s">
        <v>4982</v>
      </c>
    </row>
    <row r="70" spans="1:14">
      <c r="A70" t="s">
        <v>5087</v>
      </c>
      <c r="F70">
        <v>22</v>
      </c>
      <c r="H70" s="54" t="s">
        <v>4968</v>
      </c>
      <c r="K70" t="s">
        <v>4959</v>
      </c>
      <c r="L70" t="s">
        <v>4982</v>
      </c>
    </row>
    <row r="71" spans="1:14">
      <c r="A71" t="s">
        <v>5088</v>
      </c>
    </row>
    <row r="72" spans="1:14">
      <c r="A72" t="s">
        <v>5089</v>
      </c>
    </row>
    <row r="73" spans="1:14">
      <c r="A73" t="s">
        <v>5090</v>
      </c>
    </row>
    <row r="74" spans="1:14">
      <c r="A74" t="s">
        <v>5091</v>
      </c>
    </row>
    <row r="75" spans="1:14">
      <c r="A75" t="s">
        <v>5092</v>
      </c>
    </row>
    <row r="76" spans="1:14">
      <c r="A76" t="s">
        <v>5093</v>
      </c>
    </row>
    <row r="77" spans="1:14">
      <c r="A77" t="s">
        <v>5094</v>
      </c>
    </row>
    <row r="78" spans="1:14">
      <c r="A78" t="s">
        <v>5095</v>
      </c>
    </row>
    <row r="79" spans="1:14">
      <c r="A79" t="s">
        <v>5096</v>
      </c>
    </row>
    <row r="80" spans="1:14">
      <c r="A80" t="s">
        <v>5097</v>
      </c>
    </row>
    <row r="81" spans="1:1">
      <c r="A81" t="s">
        <v>5098</v>
      </c>
    </row>
    <row r="82" spans="1:1">
      <c r="A82" t="s">
        <v>5099</v>
      </c>
    </row>
    <row r="83" spans="1:1">
      <c r="A83" t="s">
        <v>5100</v>
      </c>
    </row>
    <row r="84" spans="1:1">
      <c r="A84" t="s">
        <v>5101</v>
      </c>
    </row>
    <row r="85" spans="1:1">
      <c r="A85" t="s">
        <v>5102</v>
      </c>
    </row>
    <row r="86" spans="1:1">
      <c r="A86" t="s">
        <v>5103</v>
      </c>
    </row>
    <row r="87" spans="1:1">
      <c r="A87" t="s">
        <v>5104</v>
      </c>
    </row>
    <row r="88" spans="1:1">
      <c r="A88" t="s">
        <v>5105</v>
      </c>
    </row>
    <row r="89" spans="1:1">
      <c r="A89" t="s">
        <v>5106</v>
      </c>
    </row>
    <row r="90" spans="1:1">
      <c r="A90" t="s">
        <v>5107</v>
      </c>
    </row>
    <row r="91" spans="1:1">
      <c r="A91" t="s">
        <v>5108</v>
      </c>
    </row>
    <row r="92" spans="1:1">
      <c r="A92" t="s">
        <v>5109</v>
      </c>
    </row>
    <row r="93" spans="1:1">
      <c r="A93" t="s">
        <v>5110</v>
      </c>
    </row>
    <row r="94" spans="1:1">
      <c r="A94" t="s">
        <v>5111</v>
      </c>
    </row>
    <row r="95" spans="1:1">
      <c r="A95" t="s">
        <v>5112</v>
      </c>
    </row>
    <row r="96" spans="1:1">
      <c r="A96" t="s">
        <v>5113</v>
      </c>
    </row>
    <row r="97" spans="1:1">
      <c r="A97" t="s">
        <v>5114</v>
      </c>
    </row>
    <row r="98" spans="1:1">
      <c r="A98" t="s">
        <v>5115</v>
      </c>
    </row>
    <row r="99" spans="1:1">
      <c r="A99" t="s">
        <v>5116</v>
      </c>
    </row>
    <row r="100" spans="1:1">
      <c r="A100" t="s">
        <v>5117</v>
      </c>
    </row>
    <row r="101" spans="1:1">
      <c r="A101" t="s">
        <v>5118</v>
      </c>
    </row>
    <row r="102" spans="1:1">
      <c r="A102" t="s">
        <v>5119</v>
      </c>
    </row>
    <row r="103" spans="1:1">
      <c r="A103" t="s">
        <v>5120</v>
      </c>
    </row>
    <row r="104" spans="1:1">
      <c r="A104" t="s">
        <v>5121</v>
      </c>
    </row>
    <row r="105" spans="1:1">
      <c r="A105" t="s">
        <v>5122</v>
      </c>
    </row>
    <row r="106" spans="1:1">
      <c r="A106" t="s">
        <v>5123</v>
      </c>
    </row>
    <row r="107" spans="1:1">
      <c r="A107" t="s">
        <v>5124</v>
      </c>
    </row>
    <row r="108" spans="1:1">
      <c r="A108" t="s">
        <v>5125</v>
      </c>
    </row>
    <row r="109" spans="1:1">
      <c r="A109" t="s">
        <v>5126</v>
      </c>
    </row>
    <row r="110" spans="1:1">
      <c r="A110" t="s">
        <v>5127</v>
      </c>
    </row>
    <row r="111" spans="1:1">
      <c r="A111" t="s">
        <v>5128</v>
      </c>
    </row>
    <row r="112" spans="1:1">
      <c r="A112" t="s">
        <v>5129</v>
      </c>
    </row>
    <row r="113" spans="1:1">
      <c r="A113" t="s">
        <v>5130</v>
      </c>
    </row>
    <row r="114" spans="1:1">
      <c r="A114" t="s">
        <v>5131</v>
      </c>
    </row>
    <row r="115" spans="1:1">
      <c r="A115" t="s">
        <v>5132</v>
      </c>
    </row>
    <row r="116" spans="1:1">
      <c r="A116" t="s">
        <v>5133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5"/>
  <dimension ref="A1:G68"/>
  <sheetViews>
    <sheetView workbookViewId="0">
      <selection activeCell="A9" sqref="A9"/>
    </sheetView>
  </sheetViews>
  <sheetFormatPr defaultColWidth="9" defaultRowHeight="14.45"/>
  <cols>
    <col min="1" max="1" width="61.85546875" bestFit="1" customWidth="1"/>
    <col min="2" max="2" width="15.42578125" bestFit="1" customWidth="1"/>
    <col min="3" max="3" width="82.42578125" bestFit="1" customWidth="1"/>
  </cols>
  <sheetData>
    <row r="1" spans="1:6">
      <c r="A1" t="s">
        <v>5134</v>
      </c>
    </row>
    <row r="2" spans="1:6">
      <c r="A2" t="s">
        <v>5135</v>
      </c>
    </row>
    <row r="3" spans="1:6">
      <c r="A3" t="s">
        <v>5136</v>
      </c>
      <c r="B3" t="str">
        <f>MID(A3,LEN(A3)-23,13)</f>
        <v>07180811_2240</v>
      </c>
      <c r="C3" t="str">
        <f>"condorProc.py --series "&amp;MID(A3,LEN(A3)-23,13)&amp;"  --dumps "&amp;VALUE(MID(A3,LEN(A3)-7,3))&amp;" --procenv environments/pymidas_HVHV_NaI_mf.env"</f>
        <v>condorProc.py --series 07180811_2240  --dumps 10 --procenv environments/pymidas_HVHV_NaI_mf.env</v>
      </c>
    </row>
    <row r="4" spans="1:6">
      <c r="A4" t="s">
        <v>5137</v>
      </c>
      <c r="C4" t="str">
        <f t="shared" ref="C4:C54" si="0">"condorProc.py --series "&amp;MID(A4,LEN(A4)-23,13)&amp;"  --dumps "&amp;VALUE(MID(A4,LEN(A4)-7,3))&amp;" --procenv environments/pymidas_HVHV_NaI_mf.env"</f>
        <v>condorProc.py --series 07180811_2310  --dumps 9 --procenv environments/pymidas_HVHV_NaI_mf.env</v>
      </c>
    </row>
    <row r="5" spans="1:6">
      <c r="A5" t="s">
        <v>5138</v>
      </c>
      <c r="C5" t="str">
        <f t="shared" si="0"/>
        <v>condorProc.py --series 07180812_0241  --dumps 3 --procenv environments/pymidas_HVHV_NaI_mf.env</v>
      </c>
    </row>
    <row r="6" spans="1:6">
      <c r="A6" t="s">
        <v>5139</v>
      </c>
      <c r="C6" t="str">
        <f t="shared" si="0"/>
        <v>condorProc.py --series 07180812_0241  --dumps 6 --procenv environments/pymidas_HVHV_NaI_mf.env</v>
      </c>
    </row>
    <row r="7" spans="1:6">
      <c r="A7" t="s">
        <v>5140</v>
      </c>
      <c r="C7" t="str">
        <f t="shared" si="0"/>
        <v>condorProc.py --series 07180812_0252  --dumps 4 --procenv environments/pymidas_HVHV_NaI_mf.env</v>
      </c>
    </row>
    <row r="8" spans="1:6">
      <c r="A8" t="s">
        <v>5141</v>
      </c>
      <c r="C8" t="str">
        <f t="shared" si="0"/>
        <v>condorProc.py --series 07180812_1115  --dumps 7 --procenv environments/pymidas_HVHV_NaI_mf.env</v>
      </c>
    </row>
    <row r="9" spans="1:6">
      <c r="A9" t="s">
        <v>5142</v>
      </c>
      <c r="C9" t="str">
        <f t="shared" si="0"/>
        <v>condorProc.py --series 07180812_1135  --dumps 4 --procenv environments/pymidas_HVHV_NaI_mf.env</v>
      </c>
    </row>
    <row r="10" spans="1:6">
      <c r="C10" t="e">
        <f t="shared" si="0"/>
        <v>#VALUE!</v>
      </c>
    </row>
    <row r="11" spans="1:6">
      <c r="C11" t="e">
        <f t="shared" si="0"/>
        <v>#VALUE!</v>
      </c>
    </row>
    <row r="12" spans="1:6">
      <c r="C12" t="e">
        <f t="shared" si="0"/>
        <v>#VALUE!</v>
      </c>
    </row>
    <row r="13" spans="1:6">
      <c r="C13" t="e">
        <f t="shared" si="0"/>
        <v>#VALUE!</v>
      </c>
    </row>
    <row r="14" spans="1:6">
      <c r="C14" t="e">
        <f t="shared" si="0"/>
        <v>#VALUE!</v>
      </c>
      <c r="D14" s="158">
        <v>0.63055555555555554</v>
      </c>
    </row>
    <row r="15" spans="1:6">
      <c r="C15" t="e">
        <f t="shared" si="0"/>
        <v>#VALUE!</v>
      </c>
      <c r="D15" s="158">
        <v>0.8354166666666667</v>
      </c>
    </row>
    <row r="16" spans="1:6">
      <c r="C16" t="e">
        <f t="shared" si="0"/>
        <v>#VALUE!</v>
      </c>
      <c r="D16" s="158">
        <f>D15+1</f>
        <v>1.8354166666666667</v>
      </c>
      <c r="E16">
        <v>7</v>
      </c>
      <c r="F16" s="158">
        <f>D16+E16*E17</f>
        <v>2.6788194444444446</v>
      </c>
    </row>
    <row r="17" spans="3:7">
      <c r="C17" t="e">
        <f t="shared" si="0"/>
        <v>#VALUE!</v>
      </c>
      <c r="D17">
        <f>D16-D14</f>
        <v>1.2048611111111112</v>
      </c>
      <c r="E17" s="158">
        <f>D17/10</f>
        <v>0.12048611111111111</v>
      </c>
    </row>
    <row r="18" spans="3:7">
      <c r="C18" t="e">
        <f t="shared" si="0"/>
        <v>#VALUE!</v>
      </c>
      <c r="D18" s="158">
        <f>D16+D17</f>
        <v>3.0402777777777779</v>
      </c>
    </row>
    <row r="19" spans="3:7">
      <c r="C19" t="e">
        <f t="shared" si="0"/>
        <v>#VALUE!</v>
      </c>
      <c r="D19">
        <v>3.9E-2</v>
      </c>
      <c r="E19">
        <v>4.4999999999999998E-2</v>
      </c>
      <c r="F19">
        <v>4.2000000000000003E-2</v>
      </c>
      <c r="G19">
        <v>4.2999999999999997E-2</v>
      </c>
    </row>
    <row r="20" spans="3:7">
      <c r="C20" t="e">
        <f t="shared" si="0"/>
        <v>#VALUE!</v>
      </c>
      <c r="D20">
        <f>AVERAGE(D19:G19)</f>
        <v>4.2249999999999996E-2</v>
      </c>
    </row>
    <row r="21" spans="3:7">
      <c r="C21" t="e">
        <f t="shared" si="0"/>
        <v>#VALUE!</v>
      </c>
    </row>
    <row r="22" spans="3:7">
      <c r="C22" t="e">
        <f t="shared" si="0"/>
        <v>#VALUE!</v>
      </c>
      <c r="D22">
        <f>D20-0.038+0.119</f>
        <v>0.12325</v>
      </c>
      <c r="E22">
        <f>D22*25.4</f>
        <v>3.1305499999999999</v>
      </c>
    </row>
    <row r="23" spans="3:7">
      <c r="C23" t="e">
        <f t="shared" si="0"/>
        <v>#VALUE!</v>
      </c>
    </row>
    <row r="24" spans="3:7">
      <c r="C24" t="e">
        <f t="shared" si="0"/>
        <v>#VALUE!</v>
      </c>
    </row>
    <row r="25" spans="3:7">
      <c r="C25" t="e">
        <f t="shared" si="0"/>
        <v>#VALUE!</v>
      </c>
    </row>
    <row r="26" spans="3:7">
      <c r="C26" t="e">
        <f t="shared" si="0"/>
        <v>#VALUE!</v>
      </c>
    </row>
    <row r="27" spans="3:7">
      <c r="C27" t="e">
        <f t="shared" si="0"/>
        <v>#VALUE!</v>
      </c>
    </row>
    <row r="28" spans="3:7">
      <c r="C28" t="e">
        <f t="shared" si="0"/>
        <v>#VALUE!</v>
      </c>
    </row>
    <row r="29" spans="3:7">
      <c r="C29" t="e">
        <f t="shared" si="0"/>
        <v>#VALUE!</v>
      </c>
    </row>
    <row r="30" spans="3:7">
      <c r="C30" t="e">
        <f t="shared" si="0"/>
        <v>#VALUE!</v>
      </c>
    </row>
    <row r="31" spans="3:7">
      <c r="C31" t="e">
        <f t="shared" si="0"/>
        <v>#VALUE!</v>
      </c>
    </row>
    <row r="32" spans="3:7">
      <c r="C32" t="e">
        <f t="shared" si="0"/>
        <v>#VALUE!</v>
      </c>
    </row>
    <row r="33" spans="1:3">
      <c r="C33" t="e">
        <f t="shared" si="0"/>
        <v>#VALUE!</v>
      </c>
    </row>
    <row r="34" spans="1:3">
      <c r="C34" t="e">
        <f t="shared" si="0"/>
        <v>#VALUE!</v>
      </c>
    </row>
    <row r="35" spans="1:3">
      <c r="C35" t="e">
        <f t="shared" si="0"/>
        <v>#VALUE!</v>
      </c>
    </row>
    <row r="36" spans="1:3">
      <c r="C36" t="e">
        <f t="shared" si="0"/>
        <v>#VALUE!</v>
      </c>
    </row>
    <row r="37" spans="1:3">
      <c r="C37" t="e">
        <f t="shared" si="0"/>
        <v>#VALUE!</v>
      </c>
    </row>
    <row r="38" spans="1:3">
      <c r="C38" t="e">
        <f t="shared" si="0"/>
        <v>#VALUE!</v>
      </c>
    </row>
    <row r="39" spans="1:3">
      <c r="C39" t="e">
        <f t="shared" si="0"/>
        <v>#VALUE!</v>
      </c>
    </row>
    <row r="40" spans="1:3">
      <c r="C40" t="e">
        <f t="shared" si="0"/>
        <v>#VALUE!</v>
      </c>
    </row>
    <row r="41" spans="1:3">
      <c r="C41" t="e">
        <f t="shared" si="0"/>
        <v>#VALUE!</v>
      </c>
    </row>
    <row r="42" spans="1:3">
      <c r="C42" t="e">
        <f t="shared" si="0"/>
        <v>#VALUE!</v>
      </c>
    </row>
    <row r="43" spans="1:3">
      <c r="C43" t="e">
        <f t="shared" si="0"/>
        <v>#VALUE!</v>
      </c>
    </row>
    <row r="44" spans="1:3">
      <c r="C44" t="e">
        <f t="shared" si="0"/>
        <v>#VALUE!</v>
      </c>
    </row>
    <row r="45" spans="1:3">
      <c r="C45" t="e">
        <f t="shared" si="0"/>
        <v>#VALUE!</v>
      </c>
    </row>
    <row r="46" spans="1:3">
      <c r="C46" t="e">
        <f t="shared" si="0"/>
        <v>#VALUE!</v>
      </c>
    </row>
    <row r="47" spans="1:3">
      <c r="C47" t="e">
        <f t="shared" si="0"/>
        <v>#VALUE!</v>
      </c>
    </row>
    <row r="48" spans="1:3">
      <c r="A48" s="16"/>
      <c r="C48" t="e">
        <f t="shared" si="0"/>
        <v>#VALUE!</v>
      </c>
    </row>
    <row r="49" spans="1:3">
      <c r="C49" t="e">
        <f t="shared" si="0"/>
        <v>#VALUE!</v>
      </c>
    </row>
    <row r="50" spans="1:3">
      <c r="C50" t="e">
        <f t="shared" si="0"/>
        <v>#VALUE!</v>
      </c>
    </row>
    <row r="51" spans="1:3">
      <c r="C51" t="e">
        <f t="shared" si="0"/>
        <v>#VALUE!</v>
      </c>
    </row>
    <row r="52" spans="1:3">
      <c r="C52" t="e">
        <f t="shared" si="0"/>
        <v>#VALUE!</v>
      </c>
    </row>
    <row r="53" spans="1:3">
      <c r="C53" t="e">
        <f t="shared" si="0"/>
        <v>#VALUE!</v>
      </c>
    </row>
    <row r="54" spans="1:3">
      <c r="C54" t="e">
        <f t="shared" si="0"/>
        <v>#VALUE!</v>
      </c>
    </row>
    <row r="57" spans="1:3">
      <c r="A57" t="s">
        <v>5143</v>
      </c>
    </row>
    <row r="58" spans="1:3">
      <c r="A58" t="s">
        <v>5144</v>
      </c>
    </row>
    <row r="59" spans="1:3">
      <c r="A59" t="s">
        <v>5145</v>
      </c>
    </row>
    <row r="60" spans="1:3">
      <c r="A60" t="s">
        <v>5146</v>
      </c>
    </row>
    <row r="61" spans="1:3">
      <c r="A61" t="s">
        <v>5147</v>
      </c>
    </row>
    <row r="62" spans="1:3">
      <c r="A62" t="s">
        <v>5148</v>
      </c>
    </row>
    <row r="63" spans="1:3">
      <c r="A63" t="s">
        <v>5149</v>
      </c>
    </row>
    <row r="64" spans="1:3">
      <c r="A64" t="s">
        <v>5150</v>
      </c>
    </row>
    <row r="65" spans="1:1">
      <c r="A65" t="s">
        <v>5151</v>
      </c>
    </row>
    <row r="66" spans="1:1">
      <c r="A66" t="s">
        <v>5152</v>
      </c>
    </row>
    <row r="67" spans="1:1">
      <c r="A67" t="s">
        <v>5153</v>
      </c>
    </row>
    <row r="68" spans="1:1">
      <c r="A68" t="s">
        <v>5154</v>
      </c>
    </row>
  </sheetData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81"/>
  <sheetViews>
    <sheetView workbookViewId="0">
      <pane xSplit="5" ySplit="1" topLeftCell="F125" activePane="bottomRight" state="frozen"/>
      <selection pane="bottomRight" activeCell="A138" sqref="A138"/>
      <selection pane="bottomLeft" activeCell="A2" sqref="A2"/>
      <selection pane="topRight" activeCell="F1" sqref="F1"/>
    </sheetView>
  </sheetViews>
  <sheetFormatPr defaultRowHeight="14.45"/>
  <cols>
    <col min="1" max="1" width="13.7109375" bestFit="1" customWidth="1"/>
    <col min="2" max="4" width="0" hidden="1" customWidth="1"/>
    <col min="5" max="5" width="9.42578125" hidden="1" customWidth="1"/>
  </cols>
  <sheetData>
    <row r="1" spans="1:20" ht="27.6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1616</v>
      </c>
      <c r="J1" s="60" t="s">
        <v>2190</v>
      </c>
      <c r="K1" s="60" t="s">
        <v>13</v>
      </c>
      <c r="L1" s="60" t="s">
        <v>2191</v>
      </c>
      <c r="M1" s="60" t="s">
        <v>1444</v>
      </c>
      <c r="N1" s="60" t="s">
        <v>2192</v>
      </c>
    </row>
    <row r="2" spans="1:20">
      <c r="A2" t="s">
        <v>5155</v>
      </c>
      <c r="F2">
        <v>30</v>
      </c>
      <c r="H2">
        <v>5</v>
      </c>
      <c r="J2" t="s">
        <v>5156</v>
      </c>
      <c r="M2" t="s">
        <v>2246</v>
      </c>
      <c r="O2" t="str">
        <f>"condorProc.py --series "&amp;A2&amp;" --donoise --dumps a --procenv environments/pymidas_USD1.env &amp;"</f>
        <v>condorProc.py --series 07180306_1042 --donoise --dumps a --procenv environments/pymidas_USD1.env &amp;</v>
      </c>
    </row>
    <row r="3" spans="1:20">
      <c r="A3" t="s">
        <v>5157</v>
      </c>
      <c r="J3" t="s">
        <v>2387</v>
      </c>
    </row>
    <row r="4" spans="1:20">
      <c r="A4" t="s">
        <v>5158</v>
      </c>
      <c r="F4">
        <v>30</v>
      </c>
      <c r="H4">
        <v>5</v>
      </c>
      <c r="J4" t="s">
        <v>5159</v>
      </c>
    </row>
    <row r="5" spans="1:20">
      <c r="A5" t="s">
        <v>5160</v>
      </c>
      <c r="F5">
        <v>30</v>
      </c>
      <c r="H5">
        <v>10</v>
      </c>
      <c r="J5" t="s">
        <v>5161</v>
      </c>
      <c r="M5" t="s">
        <v>2246</v>
      </c>
      <c r="O5" t="str">
        <f>"condorProc.py --series "&amp;A5&amp;" --donoise --dumps a --procenv environments/pymidas_USD1.env &amp;"</f>
        <v>condorProc.py --series 07180307_1023 --donoise --dumps a --procenv environments/pymidas_USD1.env &amp;</v>
      </c>
    </row>
    <row r="6" spans="1:20">
      <c r="A6" t="s">
        <v>5162</v>
      </c>
      <c r="F6">
        <v>60</v>
      </c>
      <c r="H6">
        <v>12</v>
      </c>
      <c r="J6" t="s">
        <v>5163</v>
      </c>
      <c r="M6" t="s">
        <v>2246</v>
      </c>
      <c r="O6" t="str">
        <f>"condorProc.py --series "&amp;A6&amp;" --donoise --dumps a --procenv environments/pymidas_USD1.env &amp;"</f>
        <v>condorProc.py --series 07180308_1505 --donoise --dumps a --procenv environments/pymidas_USD1.env &amp;</v>
      </c>
    </row>
    <row r="7" spans="1:20">
      <c r="A7" t="s">
        <v>5164</v>
      </c>
      <c r="J7" t="s">
        <v>5165</v>
      </c>
    </row>
    <row r="8" spans="1:20">
      <c r="A8" t="s">
        <v>5166</v>
      </c>
      <c r="J8" t="s">
        <v>5165</v>
      </c>
    </row>
    <row r="9" spans="1:20">
      <c r="A9" t="s">
        <v>5167</v>
      </c>
      <c r="J9" t="s">
        <v>5165</v>
      </c>
    </row>
    <row r="10" spans="1:20">
      <c r="A10" t="s">
        <v>5168</v>
      </c>
      <c r="J10" t="s">
        <v>5165</v>
      </c>
      <c r="Q10">
        <v>100</v>
      </c>
      <c r="T10">
        <v>60</v>
      </c>
    </row>
    <row r="11" spans="1:20">
      <c r="A11" t="s">
        <v>5169</v>
      </c>
      <c r="J11" t="s">
        <v>5165</v>
      </c>
      <c r="P11">
        <v>13</v>
      </c>
      <c r="Q11">
        <f>3500/P11</f>
        <v>269.23076923076923</v>
      </c>
      <c r="T11">
        <v>140</v>
      </c>
    </row>
    <row r="12" spans="1:20">
      <c r="A12" t="s">
        <v>5170</v>
      </c>
      <c r="J12" t="s">
        <v>5165</v>
      </c>
      <c r="Q12">
        <v>150</v>
      </c>
      <c r="T12">
        <v>80</v>
      </c>
    </row>
    <row r="13" spans="1:20">
      <c r="A13" t="s">
        <v>5171</v>
      </c>
      <c r="J13" t="s">
        <v>5165</v>
      </c>
      <c r="Q13">
        <v>450</v>
      </c>
      <c r="T13">
        <v>250</v>
      </c>
    </row>
    <row r="14" spans="1:20">
      <c r="A14" t="s">
        <v>5172</v>
      </c>
      <c r="J14" t="s">
        <v>5165</v>
      </c>
    </row>
    <row r="15" spans="1:20">
      <c r="A15" t="s">
        <v>5173</v>
      </c>
      <c r="F15">
        <v>30</v>
      </c>
      <c r="H15">
        <v>1</v>
      </c>
      <c r="M15" t="s">
        <v>2246</v>
      </c>
      <c r="O15" t="str">
        <f t="shared" ref="O15:O26" si="0">"condorProc.py --series "&amp;A15&amp;" --donoise --dumps a --procenv environments/pymidas_USD1.env &amp;"</f>
        <v>condorProc.py --series 07180308_1808 --donoise --dumps a --procenv environments/pymidas_USD1.env &amp;</v>
      </c>
      <c r="P15" t="str">
        <f>""""&amp;A15&amp;""""</f>
        <v>"07180308_1808"</v>
      </c>
    </row>
    <row r="16" spans="1:20">
      <c r="A16" t="s">
        <v>5174</v>
      </c>
      <c r="F16">
        <v>30</v>
      </c>
      <c r="H16">
        <v>3</v>
      </c>
      <c r="M16" t="s">
        <v>2246</v>
      </c>
      <c r="O16" t="str">
        <f t="shared" si="0"/>
        <v>condorProc.py --series 07180308_1909 --donoise --dumps a --procenv environments/pymidas_USD1.env &amp;</v>
      </c>
      <c r="P16" t="str">
        <f>P15&amp;", """&amp;A16&amp;""""</f>
        <v>"07180308_1808", "07180308_1909"</v>
      </c>
    </row>
    <row r="17" spans="1:22">
      <c r="A17" t="s">
        <v>5175</v>
      </c>
      <c r="F17">
        <v>30</v>
      </c>
      <c r="H17">
        <v>5</v>
      </c>
      <c r="M17" t="s">
        <v>2246</v>
      </c>
      <c r="O17" t="str">
        <f t="shared" si="0"/>
        <v>condorProc.py --series 07180308_2010 --donoise --dumps a --procenv environments/pymidas_USD1.env &amp;</v>
      </c>
      <c r="P17" t="str">
        <f t="shared" ref="P17:P26" si="1">P16&amp;", """&amp;A17&amp;""""</f>
        <v>"07180308_1808", "07180308_1909", "07180308_2010"</v>
      </c>
    </row>
    <row r="18" spans="1:22">
      <c r="A18" t="s">
        <v>5176</v>
      </c>
      <c r="F18">
        <v>30</v>
      </c>
      <c r="H18">
        <v>7</v>
      </c>
      <c r="M18" t="s">
        <v>2246</v>
      </c>
      <c r="O18" t="str">
        <f t="shared" si="0"/>
        <v>condorProc.py --series 07180308_2111 --donoise --dumps a --procenv environments/pymidas_USD1.env &amp;</v>
      </c>
      <c r="P18" t="str">
        <f t="shared" si="1"/>
        <v>"07180308_1808", "07180308_1909", "07180308_2010", "07180308_2111"</v>
      </c>
    </row>
    <row r="19" spans="1:22">
      <c r="A19" t="s">
        <v>5177</v>
      </c>
      <c r="F19">
        <v>30</v>
      </c>
      <c r="H19">
        <v>9</v>
      </c>
      <c r="M19" t="s">
        <v>2246</v>
      </c>
      <c r="O19" t="str">
        <f t="shared" si="0"/>
        <v>condorProc.py --series 07180308_2212 --donoise --dumps a --procenv environments/pymidas_USD1.env &amp;</v>
      </c>
      <c r="P19" t="str">
        <f t="shared" si="1"/>
        <v>"07180308_1808", "07180308_1909", "07180308_2010", "07180308_2111", "07180308_2212"</v>
      </c>
    </row>
    <row r="20" spans="1:22">
      <c r="A20" t="s">
        <v>5178</v>
      </c>
      <c r="F20">
        <v>30</v>
      </c>
      <c r="H20">
        <v>11</v>
      </c>
      <c r="M20" t="s">
        <v>2246</v>
      </c>
      <c r="O20" t="str">
        <f t="shared" si="0"/>
        <v>condorProc.py --series 07180308_2313 --donoise --dumps a --procenv environments/pymidas_USD1.env &amp;</v>
      </c>
      <c r="P20" t="str">
        <f t="shared" si="1"/>
        <v>"07180308_1808", "07180308_1909", "07180308_2010", "07180308_2111", "07180308_2212", "07180308_2313"</v>
      </c>
    </row>
    <row r="21" spans="1:22">
      <c r="A21" t="s">
        <v>5179</v>
      </c>
      <c r="F21">
        <v>30</v>
      </c>
      <c r="H21">
        <f t="shared" ref="H21:H26" si="2">-H15</f>
        <v>-1</v>
      </c>
      <c r="M21" t="s">
        <v>2246</v>
      </c>
      <c r="O21" t="str">
        <f t="shared" si="0"/>
        <v>condorProc.py --series 07180309_0014 --donoise --dumps a --procenv environments/pymidas_USD1.env &amp;</v>
      </c>
      <c r="P21" t="str">
        <f t="shared" si="1"/>
        <v>"07180308_1808", "07180308_1909", "07180308_2010", "07180308_2111", "07180308_2212", "07180308_2313", "07180309_0014"</v>
      </c>
    </row>
    <row r="22" spans="1:22">
      <c r="A22" t="s">
        <v>5180</v>
      </c>
      <c r="F22">
        <v>30</v>
      </c>
      <c r="H22">
        <f t="shared" si="2"/>
        <v>-3</v>
      </c>
      <c r="M22" t="s">
        <v>2246</v>
      </c>
      <c r="O22" t="str">
        <f t="shared" si="0"/>
        <v>condorProc.py --series 07180309_0114 --donoise --dumps a --procenv environments/pymidas_USD1.env &amp;</v>
      </c>
      <c r="P22" t="str">
        <f t="shared" si="1"/>
        <v>"07180308_1808", "07180308_1909", "07180308_2010", "07180308_2111", "07180308_2212", "07180308_2313", "07180309_0014", "07180309_0114"</v>
      </c>
    </row>
    <row r="23" spans="1:22">
      <c r="A23" t="s">
        <v>5181</v>
      </c>
      <c r="F23">
        <v>30</v>
      </c>
      <c r="H23">
        <f t="shared" si="2"/>
        <v>-5</v>
      </c>
      <c r="M23" t="s">
        <v>2246</v>
      </c>
      <c r="O23" t="str">
        <f t="shared" si="0"/>
        <v>condorProc.py --series 07180309_0215 --donoise --dumps a --procenv environments/pymidas_USD1.env &amp;</v>
      </c>
      <c r="P23" t="str">
        <f t="shared" si="1"/>
        <v>"07180308_1808", "07180308_1909", "07180308_2010", "07180308_2111", "07180308_2212", "07180308_2313", "07180309_0014", "07180309_0114", "07180309_0215"</v>
      </c>
    </row>
    <row r="24" spans="1:22">
      <c r="A24" t="s">
        <v>5182</v>
      </c>
      <c r="F24">
        <v>30</v>
      </c>
      <c r="H24">
        <f t="shared" si="2"/>
        <v>-7</v>
      </c>
      <c r="M24" t="s">
        <v>2246</v>
      </c>
      <c r="O24" t="str">
        <f t="shared" si="0"/>
        <v>condorProc.py --series 07180309_0316 --donoise --dumps a --procenv environments/pymidas_USD1.env &amp;</v>
      </c>
      <c r="P24" t="str">
        <f t="shared" si="1"/>
        <v>"07180308_1808", "07180308_1909", "07180308_2010", "07180308_2111", "07180308_2212", "07180308_2313", "07180309_0014", "07180309_0114", "07180309_0215", "07180309_0316"</v>
      </c>
    </row>
    <row r="25" spans="1:22">
      <c r="A25" t="s">
        <v>5183</v>
      </c>
      <c r="F25">
        <v>30</v>
      </c>
      <c r="H25">
        <f t="shared" si="2"/>
        <v>-9</v>
      </c>
      <c r="M25" t="s">
        <v>2246</v>
      </c>
      <c r="O25" t="str">
        <f t="shared" si="0"/>
        <v>condorProc.py --series 07180309_0417 --donoise --dumps a --procenv environments/pymidas_USD1.env &amp;</v>
      </c>
      <c r="P25" t="str">
        <f t="shared" si="1"/>
        <v>"07180308_1808", "07180308_1909", "07180308_2010", "07180308_2111", "07180308_2212", "07180308_2313", "07180309_0014", "07180309_0114", "07180309_0215", "07180309_0316", "07180309_0417"</v>
      </c>
    </row>
    <row r="26" spans="1:22">
      <c r="A26" t="s">
        <v>5184</v>
      </c>
      <c r="F26">
        <v>30</v>
      </c>
      <c r="H26">
        <f t="shared" si="2"/>
        <v>-11</v>
      </c>
      <c r="M26" t="s">
        <v>2246</v>
      </c>
      <c r="O26" t="str">
        <f t="shared" si="0"/>
        <v>condorProc.py --series 07180309_0518 --donoise --dumps a --procenv environments/pymidas_USD1.env &amp;</v>
      </c>
      <c r="P26" t="str">
        <f t="shared" si="1"/>
        <v>"07180308_1808", "07180308_1909", "07180308_2010", "07180308_2111", "07180308_2212", "07180308_2313", "07180309_0014", "07180309_0114", "07180309_0215", "07180309_0316", "07180309_0417", "07180309_0518"</v>
      </c>
    </row>
    <row r="27" spans="1:22">
      <c r="A27" t="s">
        <v>5185</v>
      </c>
    </row>
    <row r="28" spans="1:22">
      <c r="A28" t="s">
        <v>5186</v>
      </c>
    </row>
    <row r="29" spans="1:22" s="183" customFormat="1" ht="15" thickBot="1">
      <c r="A29" s="183" t="s">
        <v>5187</v>
      </c>
    </row>
    <row r="30" spans="1:22">
      <c r="A30" t="s">
        <v>5188</v>
      </c>
      <c r="F30">
        <v>60</v>
      </c>
      <c r="H30">
        <v>12</v>
      </c>
      <c r="K30" t="s">
        <v>5189</v>
      </c>
      <c r="M30" t="s">
        <v>2246</v>
      </c>
      <c r="O30" t="str">
        <f t="shared" ref="O30:O43" si="3">"condorProc.py --series "&amp;A30&amp;" --donoise --dumps a --procenv environments/pymidas_USD1.env &amp;"</f>
        <v>condorProc.py --series 07180321_1555 --donoise --dumps a --procenv environments/pymidas_USD1.env &amp;</v>
      </c>
      <c r="P30" t="str">
        <f t="shared" ref="P30:P43" si="4">P29&amp;", """&amp;A30&amp;""""</f>
        <v>, "07180321_1555"</v>
      </c>
      <c r="Q30" t="str">
        <f t="shared" ref="Q30:Q43" si="5">Q29&amp;", """&amp;SUBSTITUTE(IF(LEFT(H30,1)="-","n"&amp;RIGHT(H30,LEN(H30)-1),"p"&amp;H30),".","o")&amp;""""</f>
        <v>, "p12"</v>
      </c>
      <c r="R30" t="str">
        <f t="shared" ref="R30:R43" si="6">R29&amp;", "&amp;IF(H30&gt;0,1,-1)</f>
        <v>, 1</v>
      </c>
      <c r="S30">
        <v>91</v>
      </c>
      <c r="T30" t="str">
        <f t="shared" ref="T30:T43" si="7">T29&amp;", """&amp;IF(J30="Ba","Ba","Am")&amp;""""</f>
        <v>, "Am"</v>
      </c>
      <c r="U30">
        <f t="shared" ref="U30:U43" si="8">IF(AND(H30=H29,J30=J29),U29+1,0)</f>
        <v>0</v>
      </c>
      <c r="V30" t="str">
        <f t="shared" ref="V30:V43" si="9">V29&amp;", "&amp;U30</f>
        <v>, 0</v>
      </c>
    </row>
    <row r="31" spans="1:22">
      <c r="A31" t="s">
        <v>5190</v>
      </c>
      <c r="F31">
        <v>200</v>
      </c>
      <c r="H31">
        <v>12</v>
      </c>
      <c r="L31">
        <v>240</v>
      </c>
      <c r="M31" t="s">
        <v>2246</v>
      </c>
      <c r="N31" t="s">
        <v>5191</v>
      </c>
      <c r="O31" t="str">
        <f t="shared" si="3"/>
        <v>condorProc.py --series 07180322_1334 --donoise --dumps a --procenv environments/pymidas_USD1.env &amp;</v>
      </c>
      <c r="P31" t="str">
        <f t="shared" si="4"/>
        <v>, "07180321_1555", "07180322_1334"</v>
      </c>
      <c r="Q31" t="str">
        <f t="shared" si="5"/>
        <v>, "p12", "p12"</v>
      </c>
      <c r="R31" t="str">
        <f t="shared" si="6"/>
        <v>, 1, 1</v>
      </c>
      <c r="S31">
        <v>93</v>
      </c>
      <c r="T31" t="str">
        <f t="shared" si="7"/>
        <v>, "Am", "Am"</v>
      </c>
      <c r="U31">
        <f t="shared" si="8"/>
        <v>1</v>
      </c>
      <c r="V31" t="str">
        <f t="shared" si="9"/>
        <v>, 0, 1</v>
      </c>
    </row>
    <row r="32" spans="1:22">
      <c r="A32" t="s">
        <v>5192</v>
      </c>
      <c r="F32">
        <v>30</v>
      </c>
      <c r="H32">
        <v>1</v>
      </c>
      <c r="M32" t="s">
        <v>2246</v>
      </c>
      <c r="O32" t="str">
        <f t="shared" si="3"/>
        <v>condorProc.py --series 07180322_1730 --donoise --dumps a --procenv environments/pymidas_USD1.env &amp;</v>
      </c>
      <c r="P32" t="str">
        <f t="shared" si="4"/>
        <v>, "07180321_1555", "07180322_1334", "07180322_1730"</v>
      </c>
      <c r="Q32" t="str">
        <f t="shared" si="5"/>
        <v>, "p12", "p12", "p1"</v>
      </c>
      <c r="R32" t="str">
        <f t="shared" si="6"/>
        <v>, 1, 1, 1</v>
      </c>
      <c r="S32">
        <v>60</v>
      </c>
      <c r="T32" t="str">
        <f t="shared" si="7"/>
        <v>, "Am", "Am", "Am"</v>
      </c>
      <c r="U32">
        <f t="shared" si="8"/>
        <v>0</v>
      </c>
      <c r="V32" t="str">
        <f t="shared" si="9"/>
        <v>, 0, 1, 0</v>
      </c>
    </row>
    <row r="33" spans="1:22">
      <c r="A33" t="s">
        <v>5193</v>
      </c>
      <c r="F33">
        <v>30</v>
      </c>
      <c r="H33">
        <v>3</v>
      </c>
      <c r="M33" t="s">
        <v>2246</v>
      </c>
      <c r="O33" t="str">
        <f t="shared" si="3"/>
        <v>condorProc.py --series 07180322_1830 --donoise --dumps a --procenv environments/pymidas_USD1.env &amp;</v>
      </c>
      <c r="P33" t="str">
        <f t="shared" si="4"/>
        <v>, "07180321_1555", "07180322_1334", "07180322_1730", "07180322_1830"</v>
      </c>
      <c r="Q33" t="str">
        <f t="shared" si="5"/>
        <v>, "p12", "p12", "p1", "p3"</v>
      </c>
      <c r="R33" t="str">
        <f t="shared" si="6"/>
        <v>, 1, 1, 1, 1</v>
      </c>
      <c r="S33">
        <v>64</v>
      </c>
      <c r="T33" t="str">
        <f t="shared" si="7"/>
        <v>, "Am", "Am", "Am", "Am"</v>
      </c>
      <c r="U33">
        <f t="shared" si="8"/>
        <v>0</v>
      </c>
      <c r="V33" t="str">
        <f t="shared" si="9"/>
        <v>, 0, 1, 0, 0</v>
      </c>
    </row>
    <row r="34" spans="1:22">
      <c r="A34" t="s">
        <v>5194</v>
      </c>
      <c r="F34">
        <v>30</v>
      </c>
      <c r="H34">
        <v>5</v>
      </c>
      <c r="L34">
        <v>30</v>
      </c>
      <c r="M34" t="s">
        <v>2246</v>
      </c>
      <c r="N34" t="s">
        <v>5191</v>
      </c>
      <c r="O34" t="str">
        <f t="shared" si="3"/>
        <v>condorProc.py --series 07180322_1931 --donoise --dumps a --procenv environments/pymidas_USD1.env &amp;</v>
      </c>
      <c r="P34" t="str">
        <f t="shared" si="4"/>
        <v>, "07180321_1555", "07180322_1334", "07180322_1730", "07180322_1830", "07180322_1931"</v>
      </c>
      <c r="Q34" t="str">
        <f t="shared" si="5"/>
        <v>, "p12", "p12", "p1", "p3", "p5"</v>
      </c>
      <c r="R34" t="str">
        <f t="shared" si="6"/>
        <v>, 1, 1, 1, 1, 1</v>
      </c>
      <c r="S34">
        <v>69</v>
      </c>
      <c r="T34" t="str">
        <f t="shared" si="7"/>
        <v>, "Am", "Am", "Am", "Am", "Am"</v>
      </c>
      <c r="U34">
        <f t="shared" si="8"/>
        <v>0</v>
      </c>
      <c r="V34" t="str">
        <f t="shared" si="9"/>
        <v>, 0, 1, 0, 0, 0</v>
      </c>
    </row>
    <row r="35" spans="1:22">
      <c r="A35" t="s">
        <v>5195</v>
      </c>
      <c r="F35">
        <v>30</v>
      </c>
      <c r="H35">
        <v>7</v>
      </c>
      <c r="L35">
        <v>30</v>
      </c>
      <c r="M35" t="s">
        <v>2246</v>
      </c>
      <c r="N35" t="s">
        <v>5191</v>
      </c>
      <c r="O35" t="str">
        <f t="shared" si="3"/>
        <v>condorProc.py --series 07180322_2032 --donoise --dumps a --procenv environments/pymidas_USD1.env &amp;</v>
      </c>
      <c r="P35" t="str">
        <f t="shared" si="4"/>
        <v>, "07180321_1555", "07180322_1334", "07180322_1730", "07180322_1830", "07180322_1931", "07180322_2032"</v>
      </c>
      <c r="Q35" t="str">
        <f t="shared" si="5"/>
        <v>, "p12", "p12", "p1", "p3", "p5", "p7"</v>
      </c>
      <c r="R35" t="str">
        <f t="shared" si="6"/>
        <v>, 1, 1, 1, 1, 1, 1</v>
      </c>
      <c r="S35">
        <v>80</v>
      </c>
      <c r="T35" t="str">
        <f t="shared" si="7"/>
        <v>, "Am", "Am", "Am", "Am", "Am", "Am"</v>
      </c>
      <c r="U35">
        <f t="shared" si="8"/>
        <v>0</v>
      </c>
      <c r="V35" t="str">
        <f t="shared" si="9"/>
        <v>, 0, 1, 0, 0, 0, 0</v>
      </c>
    </row>
    <row r="36" spans="1:22">
      <c r="A36" t="s">
        <v>5196</v>
      </c>
      <c r="F36">
        <v>30</v>
      </c>
      <c r="H36">
        <v>9</v>
      </c>
      <c r="L36">
        <v>30</v>
      </c>
      <c r="M36" t="s">
        <v>2246</v>
      </c>
      <c r="N36" t="s">
        <v>5191</v>
      </c>
      <c r="O36" t="str">
        <f t="shared" si="3"/>
        <v>condorProc.py --series 07180322_2133 --donoise --dumps a --procenv environments/pymidas_USD1.env &amp;</v>
      </c>
      <c r="P36" t="str">
        <f t="shared" si="4"/>
        <v>, "07180321_1555", "07180322_1334", "07180322_1730", "07180322_1830", "07180322_1931", "07180322_2032", "07180322_2133"</v>
      </c>
      <c r="Q36" t="str">
        <f t="shared" si="5"/>
        <v>, "p12", "p12", "p1", "p3", "p5", "p7", "p9"</v>
      </c>
      <c r="R36" t="str">
        <f t="shared" si="6"/>
        <v>, 1, 1, 1, 1, 1, 1, 1</v>
      </c>
      <c r="S36">
        <v>83</v>
      </c>
      <c r="T36" t="str">
        <f t="shared" si="7"/>
        <v>, "Am", "Am", "Am", "Am", "Am", "Am", "Am"</v>
      </c>
      <c r="U36">
        <f t="shared" si="8"/>
        <v>0</v>
      </c>
      <c r="V36" t="str">
        <f t="shared" si="9"/>
        <v>, 0, 1, 0, 0, 0, 0, 0</v>
      </c>
    </row>
    <row r="37" spans="1:22">
      <c r="A37" t="s">
        <v>5197</v>
      </c>
      <c r="F37">
        <v>30</v>
      </c>
      <c r="H37">
        <v>11</v>
      </c>
      <c r="M37" t="s">
        <v>2246</v>
      </c>
      <c r="N37" t="s">
        <v>5198</v>
      </c>
      <c r="O37" t="str">
        <f t="shared" si="3"/>
        <v>condorProc.py --series 07180322_2234 --donoise --dumps a --procenv environments/pymidas_USD1.env &amp;</v>
      </c>
      <c r="P37" t="str">
        <f t="shared" si="4"/>
        <v>, "07180321_1555", "07180322_1334", "07180322_1730", "07180322_1830", "07180322_1931", "07180322_2032", "07180322_2133", "07180322_2234"</v>
      </c>
      <c r="Q37" t="str">
        <f t="shared" si="5"/>
        <v>, "p12", "p12", "p1", "p3", "p5", "p7", "p9", "p11"</v>
      </c>
      <c r="R37" t="str">
        <f t="shared" si="6"/>
        <v>, 1, 1, 1, 1, 1, 1, 1, 1</v>
      </c>
      <c r="S37">
        <v>88</v>
      </c>
      <c r="T37" t="str">
        <f t="shared" si="7"/>
        <v>, "Am", "Am", "Am", "Am", "Am", "Am", "Am", "Am"</v>
      </c>
      <c r="U37">
        <f t="shared" si="8"/>
        <v>0</v>
      </c>
      <c r="V37" t="str">
        <f t="shared" si="9"/>
        <v>, 0, 1, 0, 0, 0, 0, 0, 0</v>
      </c>
    </row>
    <row r="38" spans="1:22">
      <c r="A38" t="s">
        <v>5199</v>
      </c>
      <c r="F38">
        <v>30</v>
      </c>
      <c r="H38">
        <v>-1</v>
      </c>
      <c r="M38" t="s">
        <v>2246</v>
      </c>
      <c r="O38" t="str">
        <f t="shared" si="3"/>
        <v>condorProc.py --series 07180322_2335 --donoise --dumps a --procenv environments/pymidas_USD1.env &amp;</v>
      </c>
      <c r="P38" t="str">
        <f t="shared" si="4"/>
        <v>, "07180321_1555", "07180322_1334", "07180322_1730", "07180322_1830", "07180322_1931", "07180322_2032", "07180322_2133", "07180322_2234", "07180322_2335"</v>
      </c>
      <c r="Q38" t="str">
        <f t="shared" si="5"/>
        <v>, "p12", "p12", "p1", "p3", "p5", "p7", "p9", "p11", "n1"</v>
      </c>
      <c r="R38" t="str">
        <f t="shared" si="6"/>
        <v>, 1, 1, 1, 1, 1, 1, 1, 1, -1</v>
      </c>
      <c r="S38">
        <v>57</v>
      </c>
      <c r="T38" t="str">
        <f t="shared" si="7"/>
        <v>, "Am", "Am", "Am", "Am", "Am", "Am", "Am", "Am", "Am"</v>
      </c>
      <c r="U38">
        <f t="shared" si="8"/>
        <v>0</v>
      </c>
      <c r="V38" t="str">
        <f t="shared" si="9"/>
        <v>, 0, 1, 0, 0, 0, 0, 0, 0, 0</v>
      </c>
    </row>
    <row r="39" spans="1:22">
      <c r="A39" t="s">
        <v>5200</v>
      </c>
      <c r="F39">
        <v>30</v>
      </c>
      <c r="H39">
        <v>-3</v>
      </c>
      <c r="L39">
        <v>30</v>
      </c>
      <c r="M39" t="s">
        <v>2246</v>
      </c>
      <c r="N39" t="s">
        <v>5191</v>
      </c>
      <c r="O39" t="str">
        <f t="shared" si="3"/>
        <v>condorProc.py --series 07180323_0036 --donoise --dumps a --procenv environments/pymidas_USD1.env &amp;</v>
      </c>
      <c r="P39" t="str">
        <f t="shared" si="4"/>
        <v>, "07180321_1555", "07180322_1334", "07180322_1730", "07180322_1830", "07180322_1931", "07180322_2032", "07180322_2133", "07180322_2234", "07180322_2335", "07180323_0036"</v>
      </c>
      <c r="Q39" t="str">
        <f t="shared" si="5"/>
        <v>, "p12", "p12", "p1", "p3", "p5", "p7", "p9", "p11", "n1", "n3"</v>
      </c>
      <c r="R39" t="str">
        <f t="shared" si="6"/>
        <v>, 1, 1, 1, 1, 1, 1, 1, 1, -1, -1</v>
      </c>
      <c r="S39">
        <v>53</v>
      </c>
      <c r="T39" t="str">
        <f t="shared" si="7"/>
        <v>, "Am", "Am", "Am", "Am", "Am", "Am", "Am", "Am", "Am", "Am"</v>
      </c>
      <c r="U39">
        <f t="shared" si="8"/>
        <v>0</v>
      </c>
      <c r="V39" t="str">
        <f t="shared" si="9"/>
        <v>, 0, 1, 0, 0, 0, 0, 0, 0, 0, 0</v>
      </c>
    </row>
    <row r="40" spans="1:22">
      <c r="A40" t="s">
        <v>5201</v>
      </c>
      <c r="F40">
        <v>30</v>
      </c>
      <c r="H40">
        <v>-5</v>
      </c>
      <c r="M40" t="s">
        <v>2246</v>
      </c>
      <c r="O40" t="str">
        <f t="shared" si="3"/>
        <v>condorProc.py --series 07180323_0137 --donoise --dumps a --procenv environments/pymidas_USD1.env &amp;</v>
      </c>
      <c r="P40" t="str">
        <f t="shared" si="4"/>
        <v>, "07180321_1555", "07180322_1334", "07180322_1730", "07180322_1830", "07180322_1931", "07180322_2032", "07180322_2133", "07180322_2234", "07180322_2335", "07180323_0036", "07180323_0137"</v>
      </c>
      <c r="Q40" t="str">
        <f t="shared" si="5"/>
        <v>, "p12", "p12", "p1", "p3", "p5", "p7", "p9", "p11", "n1", "n3", "n5"</v>
      </c>
      <c r="R40" t="str">
        <f t="shared" si="6"/>
        <v>, 1, 1, 1, 1, 1, 1, 1, 1, -1, -1, -1</v>
      </c>
      <c r="S40">
        <v>48</v>
      </c>
      <c r="T40" t="str">
        <f t="shared" si="7"/>
        <v>, "Am", "Am", "Am", "Am", "Am", "Am", "Am", "Am", "Am", "Am", "Am"</v>
      </c>
      <c r="U40">
        <f t="shared" si="8"/>
        <v>0</v>
      </c>
      <c r="V40" t="str">
        <f t="shared" si="9"/>
        <v>, 0, 1, 0, 0, 0, 0, 0, 0, 0, 0, 0</v>
      </c>
    </row>
    <row r="41" spans="1:22">
      <c r="A41" t="s">
        <v>5202</v>
      </c>
      <c r="F41">
        <v>30</v>
      </c>
      <c r="H41">
        <v>-7</v>
      </c>
      <c r="L41">
        <v>30</v>
      </c>
      <c r="M41" t="s">
        <v>2246</v>
      </c>
      <c r="N41" t="s">
        <v>5191</v>
      </c>
      <c r="O41" t="str">
        <f t="shared" si="3"/>
        <v>condorProc.py --series 07180323_0238 --donoise --dumps a --procenv environments/pymidas_USD1.env &amp;</v>
      </c>
      <c r="P41" t="str">
        <f t="shared" si="4"/>
        <v>, "07180321_1555", "07180322_1334", "07180322_1730", "07180322_1830", "07180322_1931", "07180322_2032", "07180322_2133", "07180322_2234", "07180322_2335", "07180323_0036", "07180323_0137", "07180323_0238"</v>
      </c>
      <c r="Q41" t="str">
        <f t="shared" si="5"/>
        <v>, "p12", "p12", "p1", "p3", "p5", "p7", "p9", "p11", "n1", "n3", "n5", "n7"</v>
      </c>
      <c r="R41" t="str">
        <f t="shared" si="6"/>
        <v>, 1, 1, 1, 1, 1, 1, 1, 1, -1, -1, -1, -1</v>
      </c>
      <c r="S41">
        <v>45</v>
      </c>
      <c r="T41" t="str">
        <f t="shared" si="7"/>
        <v>, "Am", "Am", "Am", "Am", "Am", "Am", "Am", "Am", "Am", "Am", "Am", "Am"</v>
      </c>
      <c r="U41">
        <f t="shared" si="8"/>
        <v>0</v>
      </c>
      <c r="V41" t="str">
        <f t="shared" si="9"/>
        <v>, 0, 1, 0, 0, 0, 0, 0, 0, 0, 0, 0, 0</v>
      </c>
    </row>
    <row r="42" spans="1:22">
      <c r="A42" t="s">
        <v>5203</v>
      </c>
      <c r="F42">
        <v>30</v>
      </c>
      <c r="H42">
        <v>-9</v>
      </c>
      <c r="M42" t="s">
        <v>2246</v>
      </c>
      <c r="O42" t="str">
        <f t="shared" si="3"/>
        <v>condorProc.py --series 07180323_0339 --donoise --dumps a --procenv environments/pymidas_USD1.env &amp;</v>
      </c>
      <c r="P42" t="str">
        <f t="shared" si="4"/>
        <v>, "07180321_1555", "07180322_1334", "07180322_1730", "07180322_1830", "07180322_1931", "07180322_2032", "07180322_2133", "07180322_2234", "07180322_2335", "07180323_0036", "07180323_0137", "07180323_0238", "07180323_0339"</v>
      </c>
      <c r="Q42" t="str">
        <f t="shared" si="5"/>
        <v>, "p12", "p12", "p1", "p3", "p5", "p7", "p9", "p11", "n1", "n3", "n5", "n7", "n9"</v>
      </c>
      <c r="R42" t="str">
        <f t="shared" si="6"/>
        <v>, 1, 1, 1, 1, 1, 1, 1, 1, -1, -1, -1, -1, -1</v>
      </c>
      <c r="S42">
        <v>42</v>
      </c>
      <c r="T42" t="str">
        <f t="shared" si="7"/>
        <v>, "Am", "Am", "Am", "Am", "Am", "Am", "Am", "Am", "Am", "Am", "Am", "Am", "Am"</v>
      </c>
      <c r="U42">
        <f t="shared" si="8"/>
        <v>0</v>
      </c>
      <c r="V42" t="str">
        <f t="shared" si="9"/>
        <v>, 0, 1, 0, 0, 0, 0, 0, 0, 0, 0, 0, 0, 0</v>
      </c>
    </row>
    <row r="43" spans="1:22">
      <c r="A43" t="s">
        <v>5204</v>
      </c>
      <c r="F43">
        <v>30</v>
      </c>
      <c r="H43">
        <v>-11</v>
      </c>
      <c r="L43">
        <v>30</v>
      </c>
      <c r="M43" t="s">
        <v>2246</v>
      </c>
      <c r="N43" t="s">
        <v>5191</v>
      </c>
      <c r="O43" t="str">
        <f t="shared" si="3"/>
        <v>condorProc.py --series 07180323_0440 --donoise --dumps a --procenv environments/pymidas_USD1.env &amp;</v>
      </c>
      <c r="P43" t="str">
        <f t="shared" si="4"/>
        <v>, "07180321_1555", "07180322_1334", "07180322_1730", "07180322_1830", "07180322_1931", "07180322_2032", "07180322_2133", "07180322_2234", "07180322_2335", "07180323_0036", "07180323_0137", "07180323_0238", "07180323_0339", "07180323_0440"</v>
      </c>
      <c r="Q43" t="str">
        <f t="shared" si="5"/>
        <v>, "p12", "p12", "p1", "p3", "p5", "p7", "p9", "p11", "n1", "n3", "n5", "n7", "n9", "n11"</v>
      </c>
      <c r="R43" t="str">
        <f t="shared" si="6"/>
        <v>, 1, 1, 1, 1, 1, 1, 1, 1, -1, -1, -1, -1, -1, -1</v>
      </c>
      <c r="S43">
        <v>40</v>
      </c>
      <c r="T43" t="str">
        <f t="shared" si="7"/>
        <v>, "Am", "Am", "Am", "Am", "Am", "Am", "Am", "Am", "Am", "Am", "Am", "Am", "Am", "Am"</v>
      </c>
      <c r="U43">
        <f t="shared" si="8"/>
        <v>0</v>
      </c>
      <c r="V43" t="str">
        <f t="shared" si="9"/>
        <v>, 0, 1, 0, 0, 0, 0, 0, 0, 0, 0, 0, 0, 0, 0</v>
      </c>
    </row>
    <row r="44" spans="1:22" s="8" customFormat="1">
      <c r="A44" s="8" t="s">
        <v>5205</v>
      </c>
      <c r="K44" s="8" t="s">
        <v>1853</v>
      </c>
      <c r="U44"/>
      <c r="V44"/>
    </row>
    <row r="45" spans="1:22">
      <c r="A45" t="s">
        <v>5206</v>
      </c>
      <c r="F45">
        <v>110</v>
      </c>
      <c r="H45">
        <v>5</v>
      </c>
      <c r="K45" t="s">
        <v>5207</v>
      </c>
      <c r="L45">
        <v>5</v>
      </c>
      <c r="M45" t="s">
        <v>2246</v>
      </c>
      <c r="N45" t="s">
        <v>5191</v>
      </c>
      <c r="O45" t="str">
        <f t="shared" ref="O45:O76" si="10">"condorProc.py --series "&amp;A45&amp;" --donoise --dumps a --procenv environments/pymidas_USD1.env &amp;"</f>
        <v>condorProc.py --series 07180323_1314 --donoise --dumps a --procenv environments/pymidas_USD1.env &amp;</v>
      </c>
      <c r="P45" t="str">
        <f>"| {{:cdms:k100:run_summary:run_67:r67_timedep_"&amp;A45&amp;".png?500|}} | "&amp;H45&amp;" V | "&amp;L45&amp;" min after flash |"</f>
        <v>| {{:cdms:k100:run_summary:run_67:r67_timedep_07180323_1314.png?500|}} | 5 V | 5 min after flash |</v>
      </c>
    </row>
    <row r="46" spans="1:22">
      <c r="A46" t="s">
        <v>5208</v>
      </c>
      <c r="F46">
        <v>30</v>
      </c>
      <c r="H46">
        <v>2</v>
      </c>
      <c r="M46" t="s">
        <v>2246</v>
      </c>
      <c r="O46" t="str">
        <f t="shared" si="10"/>
        <v>condorProc.py --series 07180323_1740 --donoise --dumps a --procenv environments/pymidas_USD1.env &amp;</v>
      </c>
      <c r="P46" t="str">
        <f t="shared" ref="P46:P74" si="11">P45&amp;", """&amp;A46&amp;""""</f>
        <v>| {{:cdms:k100:run_summary:run_67:r67_timedep_07180323_1314.png?500|}} | 5 V | 5 min after flash |, "07180323_1740"</v>
      </c>
      <c r="Q46" t="str">
        <f t="shared" ref="Q46:Q74" si="12">Q45&amp;", """&amp;SUBSTITUTE(IF(LEFT(H46,1)="-","n"&amp;RIGHT(H46,LEN(H46)-1),"p"&amp;H46),".","o")&amp;""""</f>
        <v>, "p2"</v>
      </c>
      <c r="R46" t="str">
        <f t="shared" ref="R46:R74" si="13">R45&amp;", "&amp;IF(H46&gt;0,1,-1)</f>
        <v>, 1</v>
      </c>
      <c r="S46">
        <v>62</v>
      </c>
      <c r="T46" t="str">
        <f t="shared" ref="T46:T74" si="14">T45&amp;", """&amp;IF(J46="Ba","Ba","Am")&amp;""""</f>
        <v>, "Am"</v>
      </c>
      <c r="U46">
        <f t="shared" ref="U46:U74" si="15">IF(AND(H46=H45,J46=J45),U45+1,0)</f>
        <v>0</v>
      </c>
      <c r="V46" t="str">
        <f t="shared" ref="V46:V74" si="16">V45&amp;", "&amp;U46</f>
        <v>, 0</v>
      </c>
    </row>
    <row r="47" spans="1:22">
      <c r="A47" t="s">
        <v>5209</v>
      </c>
      <c r="F47">
        <v>30</v>
      </c>
      <c r="H47">
        <v>4</v>
      </c>
      <c r="M47" t="s">
        <v>2246</v>
      </c>
      <c r="O47" t="str">
        <f t="shared" si="10"/>
        <v>condorProc.py --series 07180323_1841 --donoise --dumps a --procenv environments/pymidas_USD1.env &amp;</v>
      </c>
      <c r="P47" t="str">
        <f t="shared" si="11"/>
        <v>| {{:cdms:k100:run_summary:run_67:r67_timedep_07180323_1314.png?500|}} | 5 V | 5 min after flash |, "07180323_1740", "07180323_1841"</v>
      </c>
      <c r="Q47" t="str">
        <f t="shared" si="12"/>
        <v>, "p2", "p4"</v>
      </c>
      <c r="R47" t="str">
        <f t="shared" si="13"/>
        <v>, 1, 1</v>
      </c>
      <c r="S47">
        <v>67</v>
      </c>
      <c r="T47" t="str">
        <f t="shared" si="14"/>
        <v>, "Am", "Am"</v>
      </c>
      <c r="U47">
        <f t="shared" si="15"/>
        <v>0</v>
      </c>
      <c r="V47" t="str">
        <f t="shared" si="16"/>
        <v>, 0, 0</v>
      </c>
    </row>
    <row r="48" spans="1:22">
      <c r="A48" t="s">
        <v>5210</v>
      </c>
      <c r="F48">
        <v>30</v>
      </c>
      <c r="H48">
        <v>6</v>
      </c>
      <c r="M48" t="s">
        <v>2246</v>
      </c>
      <c r="O48" t="str">
        <f t="shared" si="10"/>
        <v>condorProc.py --series 07180323_1942 --donoise --dumps a --procenv environments/pymidas_USD1.env &amp;</v>
      </c>
      <c r="P48" t="str">
        <f t="shared" si="11"/>
        <v>| {{:cdms:k100:run_summary:run_67:r67_timedep_07180323_1314.png?500|}} | 5 V | 5 min after flash |, "07180323_1740", "07180323_1841", "07180323_1942"</v>
      </c>
      <c r="Q48" t="str">
        <f t="shared" si="12"/>
        <v>, "p2", "p4", "p6"</v>
      </c>
      <c r="R48" t="str">
        <f t="shared" si="13"/>
        <v>, 1, 1, 1</v>
      </c>
      <c r="S48">
        <v>72</v>
      </c>
      <c r="T48" t="str">
        <f t="shared" si="14"/>
        <v>, "Am", "Am", "Am"</v>
      </c>
      <c r="U48">
        <f t="shared" si="15"/>
        <v>0</v>
      </c>
      <c r="V48" t="str">
        <f t="shared" si="16"/>
        <v>, 0, 0, 0</v>
      </c>
    </row>
    <row r="49" spans="1:22">
      <c r="A49" t="s">
        <v>5211</v>
      </c>
      <c r="F49">
        <v>30</v>
      </c>
      <c r="H49">
        <v>8</v>
      </c>
      <c r="L49">
        <v>30</v>
      </c>
      <c r="M49" t="s">
        <v>2246</v>
      </c>
      <c r="N49" t="s">
        <v>5191</v>
      </c>
      <c r="O49" t="str">
        <f t="shared" si="10"/>
        <v>condorProc.py --series 07180323_2043 --donoise --dumps a --procenv environments/pymidas_USD1.env &amp;</v>
      </c>
      <c r="P49" t="str">
        <f t="shared" si="11"/>
        <v>| {{:cdms:k100:run_summary:run_67:r67_timedep_07180323_1314.png?500|}} | 5 V | 5 min after flash |, "07180323_1740", "07180323_1841", "07180323_1942", "07180323_2043"</v>
      </c>
      <c r="Q49" t="str">
        <f t="shared" si="12"/>
        <v>, "p2", "p4", "p6", "p8"</v>
      </c>
      <c r="R49" t="str">
        <f t="shared" si="13"/>
        <v>, 1, 1, 1, 1</v>
      </c>
      <c r="S49">
        <v>82</v>
      </c>
      <c r="T49" t="str">
        <f t="shared" si="14"/>
        <v>, "Am", "Am", "Am", "Am"</v>
      </c>
      <c r="U49">
        <f t="shared" si="15"/>
        <v>0</v>
      </c>
      <c r="V49" t="str">
        <f t="shared" si="16"/>
        <v>, 0, 0, 0, 0</v>
      </c>
    </row>
    <row r="50" spans="1:22">
      <c r="A50" t="s">
        <v>5212</v>
      </c>
      <c r="F50">
        <v>30</v>
      </c>
      <c r="H50">
        <v>10</v>
      </c>
      <c r="M50" t="s">
        <v>2246</v>
      </c>
      <c r="O50" t="str">
        <f t="shared" si="10"/>
        <v>condorProc.py --series 07180323_2144 --donoise --dumps a --procenv environments/pymidas_USD1.env &amp;</v>
      </c>
      <c r="P50" t="str">
        <f t="shared" si="11"/>
        <v>| {{:cdms:k100:run_summary:run_67:r67_timedep_07180323_1314.png?500|}} | 5 V | 5 min after flash |, "07180323_1740", "07180323_1841", "07180323_1942", "07180323_2043", "07180323_2144"</v>
      </c>
      <c r="Q50" t="str">
        <f t="shared" si="12"/>
        <v>, "p2", "p4", "p6", "p8", "p10"</v>
      </c>
      <c r="R50" t="str">
        <f t="shared" si="13"/>
        <v>, 1, 1, 1, 1, 1</v>
      </c>
      <c r="S50">
        <v>86</v>
      </c>
      <c r="T50" t="str">
        <f t="shared" si="14"/>
        <v>, "Am", "Am", "Am", "Am", "Am"</v>
      </c>
      <c r="U50">
        <f t="shared" si="15"/>
        <v>0</v>
      </c>
      <c r="V50" t="str">
        <f t="shared" si="16"/>
        <v>, 0, 0, 0, 0, 0</v>
      </c>
    </row>
    <row r="51" spans="1:22">
      <c r="A51" t="s">
        <v>5213</v>
      </c>
      <c r="F51">
        <v>30</v>
      </c>
      <c r="H51">
        <v>12</v>
      </c>
      <c r="M51" t="s">
        <v>2246</v>
      </c>
      <c r="N51" t="s">
        <v>5198</v>
      </c>
      <c r="O51" t="str">
        <f t="shared" si="10"/>
        <v>condorProc.py --series 07180323_2245 --donoise --dumps a --procenv environments/pymidas_USD1.env &amp;</v>
      </c>
      <c r="P51" t="str">
        <f t="shared" si="11"/>
        <v>| {{:cdms:k100:run_summary:run_67:r67_timedep_07180323_1314.png?500|}} | 5 V | 5 min after flash |, "07180323_1740", "07180323_1841", "07180323_1942", "07180323_2043", "07180323_2144", "07180323_2245"</v>
      </c>
      <c r="Q51" t="str">
        <f t="shared" si="12"/>
        <v>, "p2", "p4", "p6", "p8", "p10", "p12"</v>
      </c>
      <c r="R51" t="str">
        <f t="shared" si="13"/>
        <v>, 1, 1, 1, 1, 1, 1</v>
      </c>
      <c r="S51">
        <v>90</v>
      </c>
      <c r="T51" t="str">
        <f t="shared" si="14"/>
        <v>, "Am", "Am", "Am", "Am", "Am", "Am"</v>
      </c>
      <c r="U51">
        <f t="shared" si="15"/>
        <v>0</v>
      </c>
      <c r="V51" t="str">
        <f t="shared" si="16"/>
        <v>, 0, 0, 0, 0, 0, 0</v>
      </c>
    </row>
    <row r="52" spans="1:22">
      <c r="A52" t="s">
        <v>5214</v>
      </c>
      <c r="F52">
        <v>30</v>
      </c>
      <c r="H52">
        <v>-2</v>
      </c>
      <c r="M52" t="s">
        <v>2246</v>
      </c>
      <c r="O52" t="str">
        <f t="shared" si="10"/>
        <v>condorProc.py --series 07180323_2346 --donoise --dumps a --procenv environments/pymidas_USD1.env &amp;</v>
      </c>
      <c r="P52" t="str">
        <f t="shared" si="11"/>
        <v>| {{:cdms:k100:run_summary:run_67:r67_timedep_07180323_1314.png?500|}} | 5 V | 5 min after flash |, "07180323_1740", "07180323_1841", "07180323_1942", "07180323_2043", "07180323_2144", "07180323_2245", "07180323_2346"</v>
      </c>
      <c r="Q52" t="str">
        <f t="shared" si="12"/>
        <v>, "p2", "p4", "p6", "p8", "p10", "p12", "n2"</v>
      </c>
      <c r="R52" t="str">
        <f t="shared" si="13"/>
        <v>, 1, 1, 1, 1, 1, 1, -1</v>
      </c>
      <c r="S52">
        <v>55</v>
      </c>
      <c r="T52" t="str">
        <f t="shared" si="14"/>
        <v>, "Am", "Am", "Am", "Am", "Am", "Am", "Am"</v>
      </c>
      <c r="U52">
        <f t="shared" si="15"/>
        <v>0</v>
      </c>
      <c r="V52" t="str">
        <f t="shared" si="16"/>
        <v>, 0, 0, 0, 0, 0, 0, 0</v>
      </c>
    </row>
    <row r="53" spans="1:22">
      <c r="A53" t="s">
        <v>5215</v>
      </c>
      <c r="F53">
        <v>30</v>
      </c>
      <c r="H53">
        <v>-4</v>
      </c>
      <c r="M53" t="s">
        <v>2246</v>
      </c>
      <c r="O53" t="str">
        <f t="shared" si="10"/>
        <v>condorProc.py --series 07180324_0047 --donoise --dumps a --procenv environments/pymidas_USD1.env &amp;</v>
      </c>
      <c r="P53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</v>
      </c>
      <c r="Q53" t="str">
        <f t="shared" si="12"/>
        <v>, "p2", "p4", "p6", "p8", "p10", "p12", "n2", "n4"</v>
      </c>
      <c r="R53" t="str">
        <f t="shared" si="13"/>
        <v>, 1, 1, 1, 1, 1, 1, -1, -1</v>
      </c>
      <c r="S53">
        <v>50</v>
      </c>
      <c r="T53" t="str">
        <f t="shared" si="14"/>
        <v>, "Am", "Am", "Am", "Am", "Am", "Am", "Am", "Am"</v>
      </c>
      <c r="U53">
        <f t="shared" si="15"/>
        <v>0</v>
      </c>
      <c r="V53" t="str">
        <f t="shared" si="16"/>
        <v>, 0, 0, 0, 0, 0, 0, 0, 0</v>
      </c>
    </row>
    <row r="54" spans="1:22">
      <c r="A54" t="s">
        <v>5216</v>
      </c>
      <c r="F54">
        <v>30</v>
      </c>
      <c r="H54">
        <v>-6</v>
      </c>
      <c r="M54" t="s">
        <v>2246</v>
      </c>
      <c r="O54" t="str">
        <f t="shared" si="10"/>
        <v>condorProc.py --series 07180324_0148 --donoise --dumps a --procenv environments/pymidas_USD1.env &amp;</v>
      </c>
      <c r="P54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</v>
      </c>
      <c r="Q54" t="str">
        <f t="shared" si="12"/>
        <v>, "p2", "p4", "p6", "p8", "p10", "p12", "n2", "n4", "n6"</v>
      </c>
      <c r="R54" t="str">
        <f t="shared" si="13"/>
        <v>, 1, 1, 1, 1, 1, 1, -1, -1, -1</v>
      </c>
      <c r="S54">
        <v>46</v>
      </c>
      <c r="T54" t="str">
        <f t="shared" si="14"/>
        <v>, "Am", "Am", "Am", "Am", "Am", "Am", "Am", "Am", "Am"</v>
      </c>
      <c r="U54">
        <f t="shared" si="15"/>
        <v>0</v>
      </c>
      <c r="V54" t="str">
        <f t="shared" si="16"/>
        <v>, 0, 0, 0, 0, 0, 0, 0, 0, 0</v>
      </c>
    </row>
    <row r="55" spans="1:22">
      <c r="A55" t="s">
        <v>5217</v>
      </c>
      <c r="F55">
        <v>30</v>
      </c>
      <c r="H55">
        <v>-8</v>
      </c>
      <c r="M55" t="s">
        <v>2246</v>
      </c>
      <c r="O55" t="str">
        <f t="shared" si="10"/>
        <v>condorProc.py --series 07180324_0249 --donoise --dumps a --procenv environments/pymidas_USD1.env &amp;</v>
      </c>
      <c r="P55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</v>
      </c>
      <c r="Q55" t="str">
        <f t="shared" si="12"/>
        <v>, "p2", "p4", "p6", "p8", "p10", "p12", "n2", "n4", "n6", "n8"</v>
      </c>
      <c r="R55" t="str">
        <f t="shared" si="13"/>
        <v>, 1, 1, 1, 1, 1, 1, -1, -1, -1, -1</v>
      </c>
      <c r="S55">
        <v>44</v>
      </c>
      <c r="T55" t="str">
        <f t="shared" si="14"/>
        <v>, "Am", "Am", "Am", "Am", "Am", "Am", "Am", "Am", "Am", "Am"</v>
      </c>
      <c r="U55">
        <f t="shared" si="15"/>
        <v>0</v>
      </c>
      <c r="V55" t="str">
        <f t="shared" si="16"/>
        <v>, 0, 0, 0, 0, 0, 0, 0, 0, 0, 0</v>
      </c>
    </row>
    <row r="56" spans="1:22">
      <c r="A56" t="s">
        <v>5218</v>
      </c>
      <c r="F56">
        <v>30</v>
      </c>
      <c r="H56">
        <v>-10</v>
      </c>
      <c r="M56" t="s">
        <v>2246</v>
      </c>
      <c r="O56" t="str">
        <f t="shared" si="10"/>
        <v>condorProc.py --series 07180324_0350 --donoise --dumps a --procenv environments/pymidas_USD1.env &amp;</v>
      </c>
      <c r="P56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</v>
      </c>
      <c r="Q56" t="str">
        <f t="shared" si="12"/>
        <v>, "p2", "p4", "p6", "p8", "p10", "p12", "n2", "n4", "n6", "n8", "n10"</v>
      </c>
      <c r="R56" t="str">
        <f t="shared" si="13"/>
        <v>, 1, 1, 1, 1, 1, 1, -1, -1, -1, -1, -1</v>
      </c>
      <c r="S56">
        <v>41</v>
      </c>
      <c r="T56" t="str">
        <f t="shared" si="14"/>
        <v>, "Am", "Am", "Am", "Am", "Am", "Am", "Am", "Am", "Am", "Am", "Am"</v>
      </c>
      <c r="U56">
        <f t="shared" si="15"/>
        <v>0</v>
      </c>
      <c r="V56" t="str">
        <f t="shared" si="16"/>
        <v>, 0, 0, 0, 0, 0, 0, 0, 0, 0, 0, 0</v>
      </c>
    </row>
    <row r="57" spans="1:22">
      <c r="A57" t="s">
        <v>5219</v>
      </c>
      <c r="F57">
        <v>30</v>
      </c>
      <c r="H57">
        <v>-12</v>
      </c>
      <c r="M57" t="s">
        <v>2246</v>
      </c>
      <c r="O57" t="str">
        <f t="shared" si="10"/>
        <v>condorProc.py --series 07180324_0451 --donoise --dumps a --procenv environments/pymidas_USD1.env &amp;</v>
      </c>
      <c r="P57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</v>
      </c>
      <c r="Q57" t="str">
        <f t="shared" si="12"/>
        <v>, "p2", "p4", "p6", "p8", "p10", "p12", "n2", "n4", "n6", "n8", "n10", "n12"</v>
      </c>
      <c r="R57" t="str">
        <f t="shared" si="13"/>
        <v>, 1, 1, 1, 1, 1, 1, -1, -1, -1, -1, -1, -1</v>
      </c>
      <c r="S57">
        <v>39</v>
      </c>
      <c r="T57" t="str">
        <f t="shared" si="14"/>
        <v>, "Am", "Am", "Am", "Am", "Am", "Am", "Am", "Am", "Am", "Am", "Am", "Am"</v>
      </c>
      <c r="U57">
        <f t="shared" si="15"/>
        <v>0</v>
      </c>
      <c r="V57" t="str">
        <f t="shared" si="16"/>
        <v>, 0, 0, 0, 0, 0, 0, 0, 0, 0, 0, 0, 0</v>
      </c>
    </row>
    <row r="58" spans="1:22">
      <c r="A58" t="s">
        <v>5220</v>
      </c>
      <c r="F58">
        <v>30</v>
      </c>
      <c r="H58">
        <v>6</v>
      </c>
      <c r="M58" t="s">
        <v>2246</v>
      </c>
      <c r="O58" t="str">
        <f t="shared" si="10"/>
        <v>condorProc.py --series 07180324_1036 --donoise --dumps a --procenv environments/pymidas_USD1.env &amp;</v>
      </c>
      <c r="P58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</v>
      </c>
      <c r="Q58" t="str">
        <f t="shared" si="12"/>
        <v>, "p2", "p4", "p6", "p8", "p10", "p12", "n2", "n4", "n6", "n8", "n10", "n12", "p6"</v>
      </c>
      <c r="R58" t="str">
        <f t="shared" si="13"/>
        <v>, 1, 1, 1, 1, 1, 1, -1, -1, -1, -1, -1, -1, 1</v>
      </c>
      <c r="S58">
        <v>73</v>
      </c>
      <c r="T58" t="str">
        <f t="shared" si="14"/>
        <v>, "Am", "Am", "Am", "Am", "Am", "Am", "Am", "Am", "Am", "Am", "Am", "Am", "Am"</v>
      </c>
      <c r="U58">
        <f t="shared" si="15"/>
        <v>0</v>
      </c>
      <c r="V58" t="str">
        <f t="shared" si="16"/>
        <v>, 0, 0, 0, 0, 0, 0, 0, 0, 0, 0, 0, 0, 0</v>
      </c>
    </row>
    <row r="59" spans="1:22">
      <c r="A59" t="s">
        <v>5221</v>
      </c>
      <c r="F59">
        <v>30</v>
      </c>
      <c r="H59">
        <v>6</v>
      </c>
      <c r="M59" t="s">
        <v>2246</v>
      </c>
      <c r="O59" t="str">
        <f t="shared" si="10"/>
        <v>condorProc.py --series 07180324_1137 --donoise --dumps a --procenv environments/pymidas_USD1.env &amp;</v>
      </c>
      <c r="P59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</v>
      </c>
      <c r="Q59" t="str">
        <f t="shared" si="12"/>
        <v>, "p2", "p4", "p6", "p8", "p10", "p12", "n2", "n4", "n6", "n8", "n10", "n12", "p6", "p6"</v>
      </c>
      <c r="R59" t="str">
        <f t="shared" si="13"/>
        <v>, 1, 1, 1, 1, 1, 1, -1, -1, -1, -1, -1, -1, 1, 1</v>
      </c>
      <c r="S59">
        <v>74</v>
      </c>
      <c r="T59" t="str">
        <f t="shared" si="14"/>
        <v>, "Am", "Am", "Am", "Am", "Am", "Am", "Am", "Am", "Am", "Am", "Am", "Am", "Am", "Am"</v>
      </c>
      <c r="U59">
        <f t="shared" si="15"/>
        <v>1</v>
      </c>
      <c r="V59" t="str">
        <f t="shared" si="16"/>
        <v>, 0, 0, 0, 0, 0, 0, 0, 0, 0, 0, 0, 0, 0, 1</v>
      </c>
    </row>
    <row r="60" spans="1:22">
      <c r="A60" t="s">
        <v>5222</v>
      </c>
      <c r="F60">
        <v>30</v>
      </c>
      <c r="H60">
        <v>6</v>
      </c>
      <c r="M60" t="s">
        <v>2246</v>
      </c>
      <c r="N60" t="s">
        <v>5198</v>
      </c>
      <c r="O60" t="str">
        <f t="shared" si="10"/>
        <v>condorProc.py --series 07180324_1238 --donoise --dumps a --procenv environments/pymidas_USD1.env &amp;</v>
      </c>
      <c r="P60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</v>
      </c>
      <c r="Q60" t="str">
        <f t="shared" si="12"/>
        <v>, "p2", "p4", "p6", "p8", "p10", "p12", "n2", "n4", "n6", "n8", "n10", "n12", "p6", "p6", "p6"</v>
      </c>
      <c r="R60" t="str">
        <f t="shared" si="13"/>
        <v>, 1, 1, 1, 1, 1, 1, -1, -1, -1, -1, -1, -1, 1, 1, 1</v>
      </c>
      <c r="S60">
        <v>75</v>
      </c>
      <c r="T60" t="str">
        <f t="shared" si="14"/>
        <v>, "Am", "Am", "Am", "Am", "Am", "Am", "Am", "Am", "Am", "Am", "Am", "Am", "Am", "Am", "Am"</v>
      </c>
      <c r="U60">
        <f t="shared" si="15"/>
        <v>2</v>
      </c>
      <c r="V60" t="str">
        <f t="shared" si="16"/>
        <v>, 0, 0, 0, 0, 0, 0, 0, 0, 0, 0, 0, 0, 0, 1, 2</v>
      </c>
    </row>
    <row r="61" spans="1:22">
      <c r="A61" t="s">
        <v>5223</v>
      </c>
      <c r="F61">
        <v>30</v>
      </c>
      <c r="H61">
        <v>6</v>
      </c>
      <c r="M61" t="s">
        <v>2246</v>
      </c>
      <c r="O61" t="str">
        <f t="shared" si="10"/>
        <v>condorProc.py --series 07180324_1339 --donoise --dumps a --procenv environments/pymidas_USD1.env &amp;</v>
      </c>
      <c r="P61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</v>
      </c>
      <c r="Q61" t="str">
        <f t="shared" si="12"/>
        <v>, "p2", "p4", "p6", "p8", "p10", "p12", "n2", "n4", "n6", "n8", "n10", "n12", "p6", "p6", "p6", "p6"</v>
      </c>
      <c r="R61" t="str">
        <f t="shared" si="13"/>
        <v>, 1, 1, 1, 1, 1, 1, -1, -1, -1, -1, -1, -1, 1, 1, 1, 1</v>
      </c>
      <c r="S61">
        <v>76</v>
      </c>
      <c r="T61" t="str">
        <f t="shared" si="14"/>
        <v>, "Am", "Am", "Am", "Am", "Am", "Am", "Am", "Am", "Am", "Am", "Am", "Am", "Am", "Am", "Am", "Am"</v>
      </c>
      <c r="U61">
        <f t="shared" si="15"/>
        <v>3</v>
      </c>
      <c r="V61" t="str">
        <f t="shared" si="16"/>
        <v>, 0, 0, 0, 0, 0, 0, 0, 0, 0, 0, 0, 0, 0, 1, 2, 3</v>
      </c>
    </row>
    <row r="62" spans="1:22">
      <c r="A62" t="s">
        <v>5224</v>
      </c>
      <c r="F62">
        <v>30</v>
      </c>
      <c r="H62">
        <v>0.5</v>
      </c>
      <c r="M62" t="s">
        <v>2246</v>
      </c>
      <c r="O62" t="str">
        <f t="shared" si="10"/>
        <v>condorProc.py --series 07180325_1230 --donoise --dumps a --procenv environments/pymidas_USD1.env &amp;</v>
      </c>
      <c r="P62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</v>
      </c>
      <c r="Q62" t="str">
        <f t="shared" si="12"/>
        <v>, "p2", "p4", "p6", "p8", "p10", "p12", "n2", "n4", "n6", "n8", "n10", "n12", "p6", "p6", "p6", "p6", "p0o5"</v>
      </c>
      <c r="R62" t="str">
        <f t="shared" si="13"/>
        <v>, 1, 1, 1, 1, 1, 1, -1, -1, -1, -1, -1, -1, 1, 1, 1, 1, 1</v>
      </c>
      <c r="S62">
        <v>59</v>
      </c>
      <c r="T62" t="str">
        <f t="shared" si="14"/>
        <v>, "Am", "Am", "Am", "Am", "Am", "Am", "Am", "Am", "Am", "Am", "Am", "Am", "Am", "Am", "Am", "Am", "Am"</v>
      </c>
      <c r="U62">
        <f t="shared" si="15"/>
        <v>0</v>
      </c>
      <c r="V62" t="str">
        <f t="shared" si="16"/>
        <v>, 0, 0, 0, 0, 0, 0, 0, 0, 0, 0, 0, 0, 0, 1, 2, 3, 0</v>
      </c>
    </row>
    <row r="63" spans="1:22">
      <c r="A63" t="s">
        <v>5225</v>
      </c>
      <c r="F63">
        <v>30</v>
      </c>
      <c r="H63">
        <v>1.5</v>
      </c>
      <c r="M63" t="s">
        <v>2246</v>
      </c>
      <c r="O63" t="str">
        <f t="shared" si="10"/>
        <v>condorProc.py --series 07180325_1331 --donoise --dumps a --procenv environments/pymidas_USD1.env &amp;</v>
      </c>
      <c r="P63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</v>
      </c>
      <c r="Q63" t="str">
        <f t="shared" si="12"/>
        <v>, "p2", "p4", "p6", "p8", "p10", "p12", "n2", "n4", "n6", "n8", "n10", "n12", "p6", "p6", "p6", "p6", "p0o5", "p1o5"</v>
      </c>
      <c r="R63" t="str">
        <f t="shared" si="13"/>
        <v>, 1, 1, 1, 1, 1, 1, -1, -1, -1, -1, -1, -1, 1, 1, 1, 1, 1, 1</v>
      </c>
      <c r="S63">
        <v>61</v>
      </c>
      <c r="T63" t="str">
        <f t="shared" si="14"/>
        <v>, "Am", "Am", "Am", "Am", "Am", "Am", "Am", "Am", "Am", "Am", "Am", "Am", "Am", "Am", "Am", "Am", "Am", "Am"</v>
      </c>
      <c r="U63">
        <f t="shared" si="15"/>
        <v>0</v>
      </c>
      <c r="V63" t="str">
        <f t="shared" si="16"/>
        <v>, 0, 0, 0, 0, 0, 0, 0, 0, 0, 0, 0, 0, 0, 1, 2, 3, 0, 0</v>
      </c>
    </row>
    <row r="64" spans="1:22">
      <c r="A64" t="s">
        <v>5226</v>
      </c>
      <c r="F64">
        <v>30</v>
      </c>
      <c r="H64">
        <v>2.5</v>
      </c>
      <c r="M64" t="s">
        <v>2246</v>
      </c>
      <c r="O64" t="str">
        <f t="shared" si="10"/>
        <v>condorProc.py --series 07180325_1432 --donoise --dumps a --procenv environments/pymidas_USD1.env &amp;</v>
      </c>
      <c r="P64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</v>
      </c>
      <c r="Q64" t="str">
        <f t="shared" si="12"/>
        <v>, "p2", "p4", "p6", "p8", "p10", "p12", "n2", "n4", "n6", "n8", "n10", "n12", "p6", "p6", "p6", "p6", "p0o5", "p1o5", "p2o5"</v>
      </c>
      <c r="R64" t="str">
        <f t="shared" si="13"/>
        <v>, 1, 1, 1, 1, 1, 1, -1, -1, -1, -1, -1, -1, 1, 1, 1, 1, 1, 1, 1</v>
      </c>
      <c r="S64">
        <v>63</v>
      </c>
      <c r="T64" t="str">
        <f t="shared" si="14"/>
        <v>, "Am", "Am", "Am", "Am", "Am", "Am", "Am", "Am", "Am", "Am", "Am", "Am", "Am", "Am", "Am", "Am", "Am", "Am", "Am"</v>
      </c>
      <c r="U64">
        <f t="shared" si="15"/>
        <v>0</v>
      </c>
      <c r="V64" t="str">
        <f t="shared" si="16"/>
        <v>, 0, 0, 0, 0, 0, 0, 0, 0, 0, 0, 0, 0, 0, 1, 2, 3, 0, 0, 0</v>
      </c>
    </row>
    <row r="65" spans="1:22">
      <c r="A65" t="s">
        <v>5227</v>
      </c>
      <c r="F65">
        <v>30</v>
      </c>
      <c r="H65">
        <v>3.5</v>
      </c>
      <c r="K65" t="s">
        <v>2441</v>
      </c>
      <c r="M65" t="s">
        <v>2246</v>
      </c>
      <c r="O65" t="str">
        <f t="shared" si="10"/>
        <v>condorProc.py --series 07180325_1533 --donoise --dumps a --procenv environments/pymidas_USD1.env &amp;</v>
      </c>
      <c r="P65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</v>
      </c>
      <c r="Q65" t="str">
        <f t="shared" si="12"/>
        <v>, "p2", "p4", "p6", "p8", "p10", "p12", "n2", "n4", "n6", "n8", "n10", "n12", "p6", "p6", "p6", "p6", "p0o5", "p1o5", "p2o5", "p3o5"</v>
      </c>
      <c r="R65" t="str">
        <f t="shared" si="13"/>
        <v>, 1, 1, 1, 1, 1, 1, -1, -1, -1, -1, -1, -1, 1, 1, 1, 1, 1, 1, 1, 1</v>
      </c>
      <c r="S65">
        <v>65</v>
      </c>
      <c r="T65" t="str">
        <f t="shared" si="14"/>
        <v>, "Am", "Am", "Am", "Am", "Am", "Am", "Am", "Am", "Am", "Am", "Am", "Am", "Am", "Am", "Am", "Am", "Am", "Am", "Am", "Am"</v>
      </c>
      <c r="U65">
        <f t="shared" si="15"/>
        <v>0</v>
      </c>
      <c r="V65" t="str">
        <f t="shared" si="16"/>
        <v>, 0, 0, 0, 0, 0, 0, 0, 0, 0, 0, 0, 0, 0, 1, 2, 3, 0, 0, 0, 0</v>
      </c>
    </row>
    <row r="66" spans="1:22">
      <c r="A66" t="s">
        <v>5228</v>
      </c>
      <c r="F66">
        <v>30</v>
      </c>
      <c r="H66">
        <v>4.5</v>
      </c>
      <c r="M66" t="s">
        <v>2246</v>
      </c>
      <c r="O66" t="str">
        <f t="shared" si="10"/>
        <v>condorProc.py --series 07180325_1634 --donoise --dumps a --procenv environments/pymidas_USD1.env &amp;</v>
      </c>
      <c r="P66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"07180325_1533", "07180325_1634"</v>
      </c>
      <c r="Q66" t="str">
        <f t="shared" si="12"/>
        <v>, "p2", "p4", "p6", "p8", "p10", "p12", "n2", "n4", "n6", "n8", "n10", "n12", "p6", "p6", "p6", "p6", "p0o5", "p1o5", "p2o5", "p3o5", "p4o5"</v>
      </c>
      <c r="R66" t="str">
        <f t="shared" si="13"/>
        <v>, 1, 1, 1, 1, 1, 1, -1, -1, -1, -1, -1, -1, 1, 1, 1, 1, 1, 1, 1, 1, 1</v>
      </c>
      <c r="S66">
        <v>68</v>
      </c>
      <c r="T66" t="str">
        <f t="shared" si="14"/>
        <v>, "Am", "Am", "Am", "Am", "Am", "Am", "Am", "Am", "Am", "Am", "Am", "Am", "Am", "Am", "Am", "Am", "Am", "Am", "Am", "Am", "Am"</v>
      </c>
      <c r="U66">
        <f t="shared" si="15"/>
        <v>0</v>
      </c>
      <c r="V66" t="str">
        <f t="shared" si="16"/>
        <v>, 0, 0, 0, 0, 0, 0, 0, 0, 0, 0, 0, 0, 0, 1, 2, 3, 0, 0, 0, 0, 0</v>
      </c>
    </row>
    <row r="67" spans="1:22">
      <c r="A67" t="s">
        <v>5229</v>
      </c>
      <c r="F67">
        <v>30</v>
      </c>
      <c r="H67">
        <v>5.5</v>
      </c>
      <c r="M67" t="s">
        <v>2246</v>
      </c>
      <c r="O67" t="str">
        <f t="shared" si="10"/>
        <v>condorProc.py --series 07180325_1734 --donoise --dumps a --procenv environments/pymidas_USD1.env &amp;</v>
      </c>
      <c r="P67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"07180325_1533", "07180325_1634", "07180325_1734"</v>
      </c>
      <c r="Q67" t="str">
        <f t="shared" si="12"/>
        <v>, "p2", "p4", "p6", "p8", "p10", "p12", "n2", "n4", "n6", "n8", "n10", "n12", "p6", "p6", "p6", "p6", "p0o5", "p1o5", "p2o5", "p3o5", "p4o5", "p5o5"</v>
      </c>
      <c r="R67" t="str">
        <f t="shared" si="13"/>
        <v>, 1, 1, 1, 1, 1, 1, -1, -1, -1, -1, -1, -1, 1, 1, 1, 1, 1, 1, 1, 1, 1, 1</v>
      </c>
      <c r="S67">
        <v>71</v>
      </c>
      <c r="T67" t="str">
        <f t="shared" si="14"/>
        <v>, "Am", "Am", "Am", "Am", "Am", "Am", "Am", "Am", "Am", "Am", "Am", "Am", "Am", "Am", "Am", "Am", "Am", "Am", "Am", "Am", "Am", "Am"</v>
      </c>
      <c r="U67">
        <f t="shared" si="15"/>
        <v>0</v>
      </c>
      <c r="V67" t="str">
        <f t="shared" si="16"/>
        <v>, 0, 0, 0, 0, 0, 0, 0, 0, 0, 0, 0, 0, 0, 1, 2, 3, 0, 0, 0, 0, 0, 0</v>
      </c>
    </row>
    <row r="68" spans="1:22">
      <c r="A68" t="s">
        <v>5230</v>
      </c>
      <c r="F68">
        <v>30</v>
      </c>
      <c r="H68">
        <v>-0.5</v>
      </c>
      <c r="M68" t="s">
        <v>2246</v>
      </c>
      <c r="O68" t="str">
        <f t="shared" si="10"/>
        <v>condorProc.py --series 07180325_1835 --donoise --dumps a --procenv environments/pymidas_USD1.env &amp;</v>
      </c>
      <c r="P68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"07180325_1533", "07180325_1634", "07180325_1734", "07180325_1835"</v>
      </c>
      <c r="Q68" t="str">
        <f t="shared" si="12"/>
        <v>, "p2", "p4", "p6", "p8", "p10", "p12", "n2", "n4", "n6", "n8", "n10", "n12", "p6", "p6", "p6", "p6", "p0o5", "p1o5", "p2o5", "p3o5", "p4o5", "p5o5", "n0o5"</v>
      </c>
      <c r="R68" t="str">
        <f t="shared" si="13"/>
        <v>, 1, 1, 1, 1, 1, 1, -1, -1, -1, -1, -1, -1, 1, 1, 1, 1, 1, 1, 1, 1, 1, 1, -1</v>
      </c>
      <c r="S68">
        <v>58</v>
      </c>
      <c r="T68" t="str">
        <f t="shared" si="14"/>
        <v>, "Am", "Am", "Am", "Am", "Am", "Am", "Am", "Am", "Am", "Am", "Am", "Am", "Am", "Am", "Am", "Am", "Am", "Am", "Am", "Am", "Am", "Am", "Am"</v>
      </c>
      <c r="U68">
        <f t="shared" si="15"/>
        <v>0</v>
      </c>
      <c r="V68" t="str">
        <f t="shared" si="16"/>
        <v>, 0, 0, 0, 0, 0, 0, 0, 0, 0, 0, 0, 0, 0, 1, 2, 3, 0, 0, 0, 0, 0, 0, 0</v>
      </c>
    </row>
    <row r="69" spans="1:22">
      <c r="A69" t="s">
        <v>5231</v>
      </c>
      <c r="F69">
        <v>30</v>
      </c>
      <c r="H69">
        <v>-1.5</v>
      </c>
      <c r="M69" t="s">
        <v>2246</v>
      </c>
      <c r="O69" t="str">
        <f t="shared" si="10"/>
        <v>condorProc.py --series 07180325_1936 --donoise --dumps a --procenv environments/pymidas_USD1.env &amp;</v>
      </c>
      <c r="P69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"07180325_1533", "07180325_1634", "07180325_1734", "07180325_1835", "07180325_1936"</v>
      </c>
      <c r="Q69" t="str">
        <f t="shared" si="12"/>
        <v>, "p2", "p4", "p6", "p8", "p10", "p12", "n2", "n4", "n6", "n8", "n10", "n12", "p6", "p6", "p6", "p6", "p0o5", "p1o5", "p2o5", "p3o5", "p4o5", "p5o5", "n0o5", "n1o5"</v>
      </c>
      <c r="R69" t="str">
        <f t="shared" si="13"/>
        <v>, 1, 1, 1, 1, 1, 1, -1, -1, -1, -1, -1, -1, 1, 1, 1, 1, 1, 1, 1, 1, 1, 1, -1, -1</v>
      </c>
      <c r="S69">
        <v>56</v>
      </c>
      <c r="T69" t="str">
        <f t="shared" si="14"/>
        <v>, "Am", "Am", "Am", "Am", "Am", "Am", "Am", "Am", "Am", "Am", "Am", "Am", "Am", "Am", "Am", "Am", "Am", "Am", "Am", "Am", "Am", "Am", "Am", "Am"</v>
      </c>
      <c r="U69">
        <f t="shared" si="15"/>
        <v>0</v>
      </c>
      <c r="V69" t="str">
        <f t="shared" si="16"/>
        <v>, 0, 0, 0, 0, 0, 0, 0, 0, 0, 0, 0, 0, 0, 1, 2, 3, 0, 0, 0, 0, 0, 0, 0, 0</v>
      </c>
    </row>
    <row r="70" spans="1:22">
      <c r="A70" t="s">
        <v>5232</v>
      </c>
      <c r="F70">
        <v>30</v>
      </c>
      <c r="H70">
        <v>-2.5</v>
      </c>
      <c r="M70" t="s">
        <v>2246</v>
      </c>
      <c r="O70" t="str">
        <f t="shared" si="10"/>
        <v>condorProc.py --series 07180325_2037 --donoise --dumps a --procenv environments/pymidas_USD1.env &amp;</v>
      </c>
      <c r="P70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"07180325_1533", "07180325_1634", "07180325_1734", "07180325_1835", "07180325_1936", "07180325_2037"</v>
      </c>
      <c r="Q70" t="str">
        <f t="shared" si="12"/>
        <v>, "p2", "p4", "p6", "p8", "p10", "p12", "n2", "n4", "n6", "n8", "n10", "n12", "p6", "p6", "p6", "p6", "p0o5", "p1o5", "p2o5", "p3o5", "p4o5", "p5o5", "n0o5", "n1o5", "n2o5"</v>
      </c>
      <c r="R70" t="str">
        <f t="shared" si="13"/>
        <v>, 1, 1, 1, 1, 1, 1, -1, -1, -1, -1, -1, -1, 1, 1, 1, 1, 1, 1, 1, 1, 1, 1, -1, -1, -1</v>
      </c>
      <c r="S70">
        <v>54</v>
      </c>
      <c r="T70" t="str">
        <f t="shared" si="14"/>
        <v>, "Am", "Am", "Am", "Am", "Am", "Am", "Am", "Am", "Am", "Am", "Am", "Am", "Am", "Am", "Am", "Am", "Am", "Am", "Am", "Am", "Am", "Am", "Am", "Am", "Am"</v>
      </c>
      <c r="U70">
        <f t="shared" si="15"/>
        <v>0</v>
      </c>
      <c r="V70" t="str">
        <f t="shared" si="16"/>
        <v>, 0, 0, 0, 0, 0, 0, 0, 0, 0, 0, 0, 0, 0, 1, 2, 3, 0, 0, 0, 0, 0, 0, 0, 0, 0</v>
      </c>
    </row>
    <row r="71" spans="1:22">
      <c r="A71" t="s">
        <v>5233</v>
      </c>
      <c r="F71">
        <v>30</v>
      </c>
      <c r="H71">
        <v>-3.5</v>
      </c>
      <c r="M71" t="s">
        <v>2246</v>
      </c>
      <c r="O71" t="str">
        <f t="shared" si="10"/>
        <v>condorProc.py --series 07180325_2138 --donoise --dumps a --procenv environments/pymidas_USD1.env &amp;</v>
      </c>
      <c r="P71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"07180325_1533", "07180325_1634", "07180325_1734", "07180325_1835", "07180325_1936", "07180325_2037", "07180325_2138"</v>
      </c>
      <c r="Q71" t="str">
        <f t="shared" si="12"/>
        <v>, "p2", "p4", "p6", "p8", "p10", "p12", "n2", "n4", "n6", "n8", "n10", "n12", "p6", "p6", "p6", "p6", "p0o5", "p1o5", "p2o5", "p3o5", "p4o5", "p5o5", "n0o5", "n1o5", "n2o5", "n3o5"</v>
      </c>
      <c r="R71" t="str">
        <f t="shared" si="13"/>
        <v>, 1, 1, 1, 1, 1, 1, -1, -1, -1, -1, -1, -1, 1, 1, 1, 1, 1, 1, 1, 1, 1, 1, -1, -1, -1, -1</v>
      </c>
      <c r="S71">
        <v>51</v>
      </c>
      <c r="T71" t="str">
        <f t="shared" si="14"/>
        <v>, "Am", "Am", "Am", "Am", "Am", "Am", "Am", "Am", "Am", "Am", "Am", "Am", "Am", "Am", "Am", "Am", "Am", "Am", "Am", "Am", "Am", "Am", "Am", "Am", "Am", "Am"</v>
      </c>
      <c r="U71">
        <f t="shared" si="15"/>
        <v>0</v>
      </c>
      <c r="V71" t="str">
        <f t="shared" si="16"/>
        <v>, 0, 0, 0, 0, 0, 0, 0, 0, 0, 0, 0, 0, 0, 1, 2, 3, 0, 0, 0, 0, 0, 0, 0, 0, 0, 0</v>
      </c>
    </row>
    <row r="72" spans="1:22">
      <c r="A72" t="s">
        <v>5234</v>
      </c>
      <c r="F72">
        <v>30</v>
      </c>
      <c r="H72">
        <v>-4.5</v>
      </c>
      <c r="M72" t="s">
        <v>2246</v>
      </c>
      <c r="O72" t="str">
        <f t="shared" si="10"/>
        <v>condorProc.py --series 07180325_2239 --donoise --dumps a --procenv environments/pymidas_USD1.env &amp;</v>
      </c>
      <c r="P72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"07180325_1533", "07180325_1634", "07180325_1734", "07180325_1835", "07180325_1936", "07180325_2037", "07180325_2138", "07180325_2239"</v>
      </c>
      <c r="Q72" t="str">
        <f t="shared" si="12"/>
        <v>, "p2", "p4", "p6", "p8", "p10", "p12", "n2", "n4", "n6", "n8", "n10", "n12", "p6", "p6", "p6", "p6", "p0o5", "p1o5", "p2o5", "p3o5", "p4o5", "p5o5", "n0o5", "n1o5", "n2o5", "n3o5", "n4o5"</v>
      </c>
      <c r="R72" t="str">
        <f t="shared" si="13"/>
        <v>, 1, 1, 1, 1, 1, 1, -1, -1, -1, -1, -1, -1, 1, 1, 1, 1, 1, 1, 1, 1, 1, 1, -1, -1, -1, -1, -1</v>
      </c>
      <c r="S72">
        <v>49</v>
      </c>
      <c r="T72" t="str">
        <f t="shared" si="14"/>
        <v>, "Am", "Am", "Am", "Am", "Am", "Am", "Am", "Am", "Am", "Am", "Am", "Am", "Am", "Am", "Am", "Am", "Am", "Am", "Am", "Am", "Am", "Am", "Am", "Am", "Am", "Am", "Am"</v>
      </c>
      <c r="U72">
        <f t="shared" si="15"/>
        <v>0</v>
      </c>
      <c r="V72" t="str">
        <f t="shared" si="16"/>
        <v>, 0, 0, 0, 0, 0, 0, 0, 0, 0, 0, 0, 0, 0, 1, 2, 3, 0, 0, 0, 0, 0, 0, 0, 0, 0, 0, 0</v>
      </c>
    </row>
    <row r="73" spans="1:22">
      <c r="A73" t="s">
        <v>5235</v>
      </c>
      <c r="F73">
        <v>30</v>
      </c>
      <c r="H73">
        <v>-5.5</v>
      </c>
      <c r="M73" t="s">
        <v>2246</v>
      </c>
      <c r="O73" t="str">
        <f t="shared" si="10"/>
        <v>condorProc.py --series 07180325_2340 --donoise --dumps a --procenv environments/pymidas_USD1.env &amp;</v>
      </c>
      <c r="P73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"07180325_1533", "07180325_1634", "07180325_1734", "07180325_1835", "07180325_1936", "07180325_2037", "07180325_2138", "07180325_2239", "07180325_2340"</v>
      </c>
      <c r="Q73" t="str">
        <f t="shared" si="12"/>
        <v>, "p2", "p4", "p6", "p8", "p10", "p12", "n2", "n4", "n6", "n8", "n10", "n12", "p6", "p6", "p6", "p6", "p0o5", "p1o5", "p2o5", "p3o5", "p4o5", "p5o5", "n0o5", "n1o5", "n2o5", "n3o5", "n4o5", "n5o5"</v>
      </c>
      <c r="R73" t="str">
        <f t="shared" si="13"/>
        <v>, 1, 1, 1, 1, 1, 1, -1, -1, -1, -1, -1, -1, 1, 1, 1, 1, 1, 1, 1, 1, 1, 1, -1, -1, -1, -1, -1, -1</v>
      </c>
      <c r="S73">
        <v>47</v>
      </c>
      <c r="T73" t="str">
        <f t="shared" si="14"/>
        <v>, "Am", "Am", "Am", "Am", "Am", "Am", "Am", "Am", "Am", "Am", "Am", "Am", "Am", "Am", "Am", "Am", "Am", "Am", "Am", "Am", "Am", "Am", "Am", "Am", "Am", "Am", "Am", "Am"</v>
      </c>
      <c r="U73">
        <f t="shared" si="15"/>
        <v>0</v>
      </c>
      <c r="V73" t="str">
        <f t="shared" si="16"/>
        <v>, 0, 0, 0, 0, 0, 0, 0, 0, 0, 0, 0, 0, 0, 1, 2, 3, 0, 0, 0, 0, 0, 0, 0, 0, 0, 0, 0, 0</v>
      </c>
    </row>
    <row r="74" spans="1:22">
      <c r="A74" t="s">
        <v>5236</v>
      </c>
      <c r="F74">
        <v>30</v>
      </c>
      <c r="H74">
        <v>6</v>
      </c>
      <c r="M74" t="s">
        <v>2246</v>
      </c>
      <c r="O74" t="str">
        <f t="shared" si="10"/>
        <v>condorProc.py --series 07180326_1004 --donoise --dumps a --procenv environments/pymidas_USD1.env &amp;</v>
      </c>
      <c r="P74" t="str">
        <f t="shared" si="11"/>
        <v>| {{:cdms:k100:run_summary:run_67:r67_timedep_07180323_1314.png?500|}} | 5 V | 5 min after flash |, "07180323_1740", "07180323_1841", "07180323_1942", "07180323_2043", "07180323_2144", "07180323_2245", "07180323_2346", "07180324_0047", "07180324_0148", "07180324_0249", "07180324_0350", "07180324_0451", "07180324_1036", "07180324_1137", "07180324_1238", "07180324_1339", "07180325_1230", "07180325_1331", "07180325_1432", "07180325_1533", "07180325_1634", "07180325_1734", "07180325_1835", "07180325_1936", "07180325_2037", "07180325_2138", "07180325_2239", "07180325_2340", "07180326_1004"</v>
      </c>
      <c r="Q74" t="str">
        <f t="shared" si="12"/>
        <v>, "p2", "p4", "p6", "p8", "p10", "p12", "n2", "n4", "n6", "n8", "n10", "n12", "p6", "p6", "p6", "p6", "p0o5", "p1o5", "p2o5", "p3o5", "p4o5", "p5o5", "n0o5", "n1o5", "n2o5", "n3o5", "n4o5", "n5o5", "p6"</v>
      </c>
      <c r="R74" t="str">
        <f t="shared" si="13"/>
        <v>, 1, 1, 1, 1, 1, 1, -1, -1, -1, -1, -1, -1, 1, 1, 1, 1, 1, 1, 1, 1, 1, 1, -1, -1, -1, -1, -1, -1, 1</v>
      </c>
      <c r="S74">
        <v>77</v>
      </c>
      <c r="T74" t="str">
        <f t="shared" si="14"/>
        <v>, "Am", "Am", "Am", "Am", "Am", "Am", "Am", "Am", "Am", "Am", "Am", "Am", "Am", "Am", "Am", "Am", "Am", "Am", "Am", "Am", "Am", "Am", "Am", "Am", "Am", "Am", "Am", "Am", "Am"</v>
      </c>
      <c r="U74">
        <f t="shared" si="15"/>
        <v>0</v>
      </c>
      <c r="V74" t="str">
        <f t="shared" si="16"/>
        <v>, 0, 0, 0, 0, 0, 0, 0, 0, 0, 0, 0, 0, 0, 1, 2, 3, 0, 0, 0, 0, 0, 0, 0, 0, 0, 0, 0, 0, 0</v>
      </c>
    </row>
    <row r="75" spans="1:22">
      <c r="A75" t="s">
        <v>5237</v>
      </c>
      <c r="F75">
        <v>30</v>
      </c>
      <c r="H75">
        <v>6</v>
      </c>
      <c r="K75" t="s">
        <v>5238</v>
      </c>
      <c r="M75" t="s">
        <v>2246</v>
      </c>
      <c r="O75" t="str">
        <f t="shared" si="10"/>
        <v>condorProc.py --series 07180326_1104 --donoise --dumps a --procenv environments/pymidas_USD1.env &amp;</v>
      </c>
    </row>
    <row r="76" spans="1:22">
      <c r="A76" t="s">
        <v>5239</v>
      </c>
      <c r="F76">
        <v>30</v>
      </c>
      <c r="H76">
        <v>6</v>
      </c>
      <c r="K76" t="s">
        <v>5238</v>
      </c>
      <c r="M76" t="s">
        <v>2246</v>
      </c>
      <c r="O76" t="str">
        <f t="shared" si="10"/>
        <v>condorProc.py --series 07180326_1204 --donoise --dumps a --procenv environments/pymidas_USD1.env &amp;</v>
      </c>
      <c r="U76" s="8"/>
      <c r="V76" s="8"/>
    </row>
    <row r="77" spans="1:22">
      <c r="A77" t="s">
        <v>5240</v>
      </c>
      <c r="F77">
        <v>30</v>
      </c>
      <c r="H77">
        <v>6</v>
      </c>
      <c r="K77" t="s">
        <v>5238</v>
      </c>
      <c r="M77" t="s">
        <v>2246</v>
      </c>
      <c r="O77" t="str">
        <f t="shared" ref="O77:O100" si="17">"condorProc.py --series "&amp;A77&amp;" --donoise --dumps a --procenv environments/pymidas_USD1.env &amp;"</f>
        <v>condorProc.py --series 07180326_1305 --donoise --dumps a --procenv environments/pymidas_USD1.env &amp;</v>
      </c>
    </row>
    <row r="78" spans="1:22" s="8" customFormat="1">
      <c r="A78" s="8" t="s">
        <v>5241</v>
      </c>
      <c r="F78" s="8" t="s">
        <v>5242</v>
      </c>
      <c r="H78" s="8" t="s">
        <v>5243</v>
      </c>
      <c r="K78" s="8" t="s">
        <v>2819</v>
      </c>
      <c r="M78" s="8" t="s">
        <v>2246</v>
      </c>
      <c r="O78" s="8" t="str">
        <f t="shared" si="17"/>
        <v>condorProc.py --series 07180326_1512 --donoise --dumps a --procenv environments/pymidas_USD1.env &amp;</v>
      </c>
      <c r="U78"/>
      <c r="V78"/>
    </row>
    <row r="79" spans="1:22">
      <c r="A79" t="s">
        <v>5244</v>
      </c>
      <c r="F79">
        <v>60</v>
      </c>
      <c r="H79">
        <v>5</v>
      </c>
      <c r="M79" t="s">
        <v>2246</v>
      </c>
      <c r="O79" t="str">
        <f t="shared" si="17"/>
        <v>condorProc.py --series 07180326_1709 --donoise --dumps a --procenv environments/pymidas_USD1.env &amp;</v>
      </c>
      <c r="P79" t="str">
        <f>P78&amp;", """&amp;A79&amp;""""</f>
        <v>, "07180326_1709"</v>
      </c>
      <c r="Q79" t="str">
        <f>Q78&amp;", """&amp;SUBSTITUTE(IF(LEFT(H79,1)="-","n"&amp;RIGHT(H79,LEN(H79)-1),"p"&amp;H79),".","o")&amp;""""</f>
        <v>, "p5"</v>
      </c>
      <c r="R79" t="str">
        <f>R78&amp;", "&amp;IF(H79&gt;0,1,-1)</f>
        <v>, 1</v>
      </c>
      <c r="S79">
        <v>70</v>
      </c>
      <c r="T79" t="str">
        <f>T78&amp;", """&amp;IF(J79="Ba","Ba","Am")&amp;""""</f>
        <v>, "Am"</v>
      </c>
      <c r="U79">
        <f>IF(AND(H79=H78,J79=J78),U78+1,0)</f>
        <v>0</v>
      </c>
      <c r="V79" t="str">
        <f>V78&amp;", "&amp;U79</f>
        <v>, 0</v>
      </c>
    </row>
    <row r="80" spans="1:22">
      <c r="A80" t="s">
        <v>5245</v>
      </c>
      <c r="F80">
        <v>60</v>
      </c>
      <c r="H80">
        <v>6</v>
      </c>
      <c r="M80" t="s">
        <v>2246</v>
      </c>
      <c r="O80" t="str">
        <f t="shared" si="17"/>
        <v>condorProc.py --series 07180326_1840 --donoise --dumps a --procenv environments/pymidas_USD1.env &amp;</v>
      </c>
      <c r="P80" t="str">
        <f>P79&amp;", """&amp;A80&amp;""""</f>
        <v>, "07180326_1709", "07180326_1840"</v>
      </c>
      <c r="Q80" t="str">
        <f>Q79&amp;", """&amp;SUBSTITUTE(IF(LEFT(H80,1)="-","n"&amp;RIGHT(H80,LEN(H80)-1),"p"&amp;H80),".","o")&amp;""""</f>
        <v>, "p5", "p6"</v>
      </c>
      <c r="R80" t="str">
        <f>R79&amp;", "&amp;IF(H80&gt;0,1,-1)</f>
        <v>, 1, 1</v>
      </c>
      <c r="S80">
        <v>79</v>
      </c>
      <c r="T80" t="str">
        <f>T79&amp;", """&amp;IF(J80="Ba","Ba","Am")&amp;""""</f>
        <v>, "Am", "Am"</v>
      </c>
      <c r="U80">
        <f>IF(AND(H80=H79,J80=J79),U79+1,0)</f>
        <v>0</v>
      </c>
      <c r="V80" t="str">
        <f>V79&amp;", "&amp;U80</f>
        <v>, 0, 0</v>
      </c>
    </row>
    <row r="81" spans="1:22">
      <c r="A81" t="s">
        <v>5246</v>
      </c>
      <c r="F81">
        <v>60</v>
      </c>
      <c r="H81">
        <v>7</v>
      </c>
      <c r="M81" t="s">
        <v>2246</v>
      </c>
      <c r="O81" t="str">
        <f t="shared" si="17"/>
        <v>condorProc.py --series 07180326_2011 --donoise --dumps a --procenv environments/pymidas_USD1.env &amp;</v>
      </c>
      <c r="P81" t="str">
        <f>P80&amp;", """&amp;A81&amp;""""</f>
        <v>, "07180326_1709", "07180326_1840", "07180326_2011"</v>
      </c>
      <c r="Q81" t="str">
        <f>Q80&amp;", """&amp;SUBSTITUTE(IF(LEFT(H81,1)="-","n"&amp;RIGHT(H81,LEN(H81)-1),"p"&amp;H81),".","o")&amp;""""</f>
        <v>, "p5", "p6", "p7"</v>
      </c>
      <c r="R81" t="str">
        <f>R80&amp;", "&amp;IF(H81&gt;0,1,-1)</f>
        <v>, 1, 1, 1</v>
      </c>
      <c r="S81">
        <v>81</v>
      </c>
      <c r="T81" t="str">
        <f>T80&amp;", """&amp;IF(J81="Ba","Ba","Am")&amp;""""</f>
        <v>, "Am", "Am", "Am"</v>
      </c>
      <c r="U81">
        <f>IF(AND(H81=H80,J81=J80),U80+1,0)</f>
        <v>0</v>
      </c>
      <c r="V81" t="str">
        <f>V80&amp;", "&amp;U81</f>
        <v>, 0, 0, 0</v>
      </c>
    </row>
    <row r="82" spans="1:22" s="8" customFormat="1">
      <c r="A82" s="8" t="s">
        <v>5247</v>
      </c>
      <c r="F82" s="8">
        <v>60</v>
      </c>
      <c r="H82" s="8">
        <v>8</v>
      </c>
      <c r="K82" s="8" t="s">
        <v>5248</v>
      </c>
      <c r="M82" s="8" t="s">
        <v>2246</v>
      </c>
      <c r="O82" s="8" t="str">
        <f t="shared" si="17"/>
        <v>condorProc.py --series 07180326_2142 --donoise --dumps a --procenv environments/pymidas_USD1.env &amp;</v>
      </c>
      <c r="U82"/>
      <c r="V82"/>
    </row>
    <row r="83" spans="1:22">
      <c r="A83" t="s">
        <v>5249</v>
      </c>
      <c r="F83">
        <v>60</v>
      </c>
      <c r="H83">
        <v>9</v>
      </c>
      <c r="M83" t="s">
        <v>2246</v>
      </c>
      <c r="O83" t="str">
        <f t="shared" si="17"/>
        <v>condorProc.py --series 07180326_2313 --donoise --dumps a --procenv environments/pymidas_USD1.env &amp;</v>
      </c>
      <c r="P83" t="str">
        <f t="shared" ref="P83:P88" si="18">P82&amp;", """&amp;A83&amp;""""</f>
        <v>, "07180326_2313"</v>
      </c>
      <c r="Q83" t="str">
        <f t="shared" ref="Q83:Q88" si="19">Q82&amp;", """&amp;SUBSTITUTE(IF(LEFT(H83,1)="-","n"&amp;RIGHT(H83,LEN(H83)-1),"p"&amp;H83),".","o")&amp;""""</f>
        <v>, "p9"</v>
      </c>
      <c r="R83" t="str">
        <f t="shared" ref="R83:R88" si="20">R82&amp;", "&amp;IF(H83&gt;0,1,-1)</f>
        <v>, 1</v>
      </c>
      <c r="S83">
        <v>84</v>
      </c>
      <c r="T83" t="str">
        <f t="shared" ref="T83:T88" si="21">T82&amp;", """&amp;IF(J83="Ba","Ba","Am")&amp;""""</f>
        <v>, "Am"</v>
      </c>
      <c r="U83">
        <f t="shared" ref="U83:U88" si="22">IF(AND(H83=H82,J83=J82),U82+1,0)</f>
        <v>0</v>
      </c>
      <c r="V83" t="str">
        <f t="shared" ref="V83:V88" si="23">V82&amp;", "&amp;U83</f>
        <v>, 0</v>
      </c>
    </row>
    <row r="84" spans="1:22">
      <c r="A84" t="s">
        <v>5250</v>
      </c>
      <c r="F84">
        <v>60</v>
      </c>
      <c r="H84">
        <v>10</v>
      </c>
      <c r="M84" t="s">
        <v>2246</v>
      </c>
      <c r="O84" t="str">
        <f t="shared" si="17"/>
        <v>condorProc.py --series 07180327_0044 --donoise --dumps a --procenv environments/pymidas_USD1.env &amp;</v>
      </c>
      <c r="P84" t="str">
        <f t="shared" si="18"/>
        <v>, "07180326_2313", "07180327_0044"</v>
      </c>
      <c r="Q84" t="str">
        <f t="shared" si="19"/>
        <v>, "p9", "p10"</v>
      </c>
      <c r="R84" t="str">
        <f t="shared" si="20"/>
        <v>, 1, 1</v>
      </c>
      <c r="S84">
        <v>87</v>
      </c>
      <c r="T84" t="str">
        <f t="shared" si="21"/>
        <v>, "Am", "Am"</v>
      </c>
      <c r="U84">
        <f t="shared" si="22"/>
        <v>0</v>
      </c>
      <c r="V84" t="str">
        <f t="shared" si="23"/>
        <v>, 0, 0</v>
      </c>
    </row>
    <row r="85" spans="1:22">
      <c r="A85" t="s">
        <v>5251</v>
      </c>
      <c r="F85">
        <v>60</v>
      </c>
      <c r="H85">
        <v>11</v>
      </c>
      <c r="M85" t="s">
        <v>2246</v>
      </c>
      <c r="O85" t="str">
        <f t="shared" si="17"/>
        <v>condorProc.py --series 07180327_0215 --donoise --dumps a --procenv environments/pymidas_USD1.env &amp;</v>
      </c>
      <c r="P85" t="str">
        <f t="shared" si="18"/>
        <v>, "07180326_2313", "07180327_0044", "07180327_0215"</v>
      </c>
      <c r="Q85" t="str">
        <f t="shared" si="19"/>
        <v>, "p9", "p10", "p11"</v>
      </c>
      <c r="R85" t="str">
        <f t="shared" si="20"/>
        <v>, 1, 1, 1</v>
      </c>
      <c r="S85">
        <v>89</v>
      </c>
      <c r="T85" t="str">
        <f t="shared" si="21"/>
        <v>, "Am", "Am", "Am"</v>
      </c>
      <c r="U85">
        <f t="shared" si="22"/>
        <v>0</v>
      </c>
      <c r="V85" t="str">
        <f t="shared" si="23"/>
        <v>, 0, 0, 0</v>
      </c>
    </row>
    <row r="86" spans="1:22">
      <c r="A86" t="s">
        <v>5252</v>
      </c>
      <c r="F86">
        <v>60</v>
      </c>
      <c r="H86">
        <v>12</v>
      </c>
      <c r="M86" t="s">
        <v>2246</v>
      </c>
      <c r="O86" t="str">
        <f t="shared" si="17"/>
        <v>condorProc.py --series 07180327_0346 --donoise --dumps a --procenv environments/pymidas_USD1.env &amp;</v>
      </c>
      <c r="P86" t="str">
        <f t="shared" si="18"/>
        <v>, "07180326_2313", "07180327_0044", "07180327_0215", "07180327_0346"</v>
      </c>
      <c r="Q86" t="str">
        <f t="shared" si="19"/>
        <v>, "p9", "p10", "p11", "p12"</v>
      </c>
      <c r="R86" t="str">
        <f t="shared" si="20"/>
        <v>, 1, 1, 1, 1</v>
      </c>
      <c r="S86">
        <v>92</v>
      </c>
      <c r="T86" t="str">
        <f t="shared" si="21"/>
        <v>, "Am", "Am", "Am", "Am"</v>
      </c>
      <c r="U86">
        <f t="shared" si="22"/>
        <v>0</v>
      </c>
      <c r="V86" t="str">
        <f t="shared" si="23"/>
        <v>, 0, 0, 0, 0</v>
      </c>
    </row>
    <row r="87" spans="1:22">
      <c r="A87" t="s">
        <v>5253</v>
      </c>
      <c r="F87" t="s">
        <v>5254</v>
      </c>
      <c r="H87" t="s">
        <v>5255</v>
      </c>
      <c r="M87" t="s">
        <v>2246</v>
      </c>
      <c r="O87" t="str">
        <f t="shared" si="17"/>
        <v>condorProc.py --series 07180327_1013 --donoise --dumps a --procenv environments/pymidas_USD1.env &amp;</v>
      </c>
      <c r="P87" t="str">
        <f t="shared" si="18"/>
        <v>, "07180326_2313", "07180327_0044", "07180327_0215", "07180327_0346", "07180327_1013"</v>
      </c>
      <c r="Q87" t="str">
        <f t="shared" si="19"/>
        <v>, "p9", "p10", "p11", "p12", "p11 then 6"</v>
      </c>
      <c r="R87" t="str">
        <f t="shared" si="20"/>
        <v>, 1, 1, 1, 1, 1</v>
      </c>
      <c r="T87" t="str">
        <f t="shared" si="21"/>
        <v>, "Am", "Am", "Am", "Am", "Am"</v>
      </c>
      <c r="U87">
        <f t="shared" si="22"/>
        <v>0</v>
      </c>
      <c r="V87" t="str">
        <f t="shared" si="23"/>
        <v>, 0, 0, 0, 0, 0</v>
      </c>
    </row>
    <row r="88" spans="1:22">
      <c r="A88" t="s">
        <v>5256</v>
      </c>
      <c r="F88">
        <v>30</v>
      </c>
      <c r="H88">
        <v>6</v>
      </c>
      <c r="M88" t="s">
        <v>2246</v>
      </c>
      <c r="O88" t="str">
        <f t="shared" si="17"/>
        <v>condorProc.py --series 07180327_1159 --donoise --dumps a --procenv environments/pymidas_USD1.env &amp;</v>
      </c>
      <c r="P88" t="str">
        <f t="shared" si="18"/>
        <v>, "07180326_2313", "07180327_0044", "07180327_0215", "07180327_0346", "07180327_1013", "07180327_1159"</v>
      </c>
      <c r="Q88" t="str">
        <f t="shared" si="19"/>
        <v>, "p9", "p10", "p11", "p12", "p11 then 6", "p6"</v>
      </c>
      <c r="R88" t="str">
        <f t="shared" si="20"/>
        <v>, 1, 1, 1, 1, 1, 1</v>
      </c>
      <c r="S88">
        <v>78</v>
      </c>
      <c r="T88" t="str">
        <f t="shared" si="21"/>
        <v>, "Am", "Am", "Am", "Am", "Am", "Am"</v>
      </c>
      <c r="U88">
        <f t="shared" si="22"/>
        <v>0</v>
      </c>
      <c r="V88" t="str">
        <f t="shared" si="23"/>
        <v>, 0, 0, 0, 0, 0, 0</v>
      </c>
    </row>
    <row r="89" spans="1:22">
      <c r="A89" t="s">
        <v>5257</v>
      </c>
      <c r="F89">
        <v>30</v>
      </c>
      <c r="H89">
        <v>6</v>
      </c>
      <c r="K89" t="s">
        <v>5258</v>
      </c>
      <c r="M89" t="s">
        <v>2246</v>
      </c>
      <c r="O89" t="str">
        <f t="shared" si="17"/>
        <v>condorProc.py --series 07180327_1239 --donoise --dumps a --procenv environments/pymidas_USD1.env &amp;</v>
      </c>
    </row>
    <row r="90" spans="1:22">
      <c r="A90" t="s">
        <v>5259</v>
      </c>
      <c r="F90">
        <v>30</v>
      </c>
      <c r="H90">
        <v>6</v>
      </c>
      <c r="K90" t="s">
        <v>5258</v>
      </c>
      <c r="M90" t="s">
        <v>2246</v>
      </c>
      <c r="O90" t="str">
        <f t="shared" si="17"/>
        <v>condorProc.py --series 07180327_1319 --donoise --dumps a --procenv environments/pymidas_USD1.env &amp;</v>
      </c>
    </row>
    <row r="91" spans="1:22">
      <c r="A91" t="s">
        <v>5260</v>
      </c>
      <c r="F91">
        <v>30</v>
      </c>
      <c r="H91">
        <v>6</v>
      </c>
      <c r="K91" t="s">
        <v>5258</v>
      </c>
      <c r="M91" t="s">
        <v>2246</v>
      </c>
      <c r="O91" t="str">
        <f t="shared" si="17"/>
        <v>condorProc.py --series 07180327_1400 --donoise --dumps a --procenv environments/pymidas_USD1.env &amp;</v>
      </c>
    </row>
    <row r="92" spans="1:22" s="8" customFormat="1">
      <c r="A92" s="8" t="s">
        <v>5261</v>
      </c>
      <c r="F92" s="8">
        <v>120</v>
      </c>
      <c r="H92" s="8">
        <v>3.5</v>
      </c>
      <c r="K92" s="8" t="s">
        <v>2819</v>
      </c>
      <c r="M92" s="8" t="s">
        <v>2246</v>
      </c>
      <c r="O92" s="8" t="str">
        <f t="shared" si="17"/>
        <v>condorProc.py --series 07180327_1709 --donoise --dumps a --procenv environments/pymidas_USD1.env &amp;</v>
      </c>
      <c r="U92"/>
      <c r="V92"/>
    </row>
    <row r="93" spans="1:22" s="8" customFormat="1">
      <c r="A93" s="8" t="s">
        <v>5262</v>
      </c>
      <c r="F93" s="8">
        <v>5</v>
      </c>
      <c r="H93" s="8">
        <v>0</v>
      </c>
      <c r="K93" s="8" t="s">
        <v>191</v>
      </c>
      <c r="M93" s="8" t="s">
        <v>2246</v>
      </c>
      <c r="O93" s="8" t="str">
        <f t="shared" si="17"/>
        <v>condorProc.py --series 07180327_1924 --donoise --dumps a --procenv environments/pymidas_USD1.env &amp;</v>
      </c>
      <c r="U93"/>
      <c r="V93"/>
    </row>
    <row r="94" spans="1:22" s="8" customFormat="1">
      <c r="A94" s="8" t="s">
        <v>5263</v>
      </c>
      <c r="F94" s="8">
        <v>40</v>
      </c>
      <c r="H94" s="8">
        <v>3.5</v>
      </c>
      <c r="K94" s="8" t="s">
        <v>191</v>
      </c>
      <c r="M94" s="8" t="s">
        <v>2246</v>
      </c>
      <c r="O94" s="8" t="str">
        <f t="shared" si="17"/>
        <v>condorProc.py --series 07180327_1929 --donoise --dumps a --procenv environments/pymidas_USD1.env &amp;</v>
      </c>
      <c r="U94"/>
      <c r="V94"/>
    </row>
    <row r="95" spans="1:22" s="8" customFormat="1">
      <c r="A95" s="8" t="s">
        <v>5264</v>
      </c>
      <c r="F95" s="8">
        <v>4</v>
      </c>
      <c r="H95" s="8">
        <v>0</v>
      </c>
      <c r="K95" s="8" t="s">
        <v>191</v>
      </c>
      <c r="M95" s="8" t="s">
        <v>2246</v>
      </c>
      <c r="O95" s="8" t="str">
        <f t="shared" si="17"/>
        <v>condorProc.py --series 07180327_2021 --donoise --dumps a --procenv environments/pymidas_USD1.env &amp;</v>
      </c>
    </row>
    <row r="96" spans="1:22" s="8" customFormat="1">
      <c r="A96" s="8" t="s">
        <v>5265</v>
      </c>
      <c r="F96" s="8">
        <v>15</v>
      </c>
      <c r="H96" s="8">
        <v>3.5</v>
      </c>
      <c r="J96" s="8" t="s">
        <v>191</v>
      </c>
      <c r="K96" s="8" t="s">
        <v>191</v>
      </c>
      <c r="M96" s="8" t="s">
        <v>2246</v>
      </c>
      <c r="O96" s="8" t="str">
        <f t="shared" si="17"/>
        <v>condorProc.py --series 07180327_2025 --donoise --dumps a --procenv environments/pymidas_USD1.env &amp;</v>
      </c>
      <c r="U96"/>
      <c r="V96"/>
    </row>
    <row r="97" spans="1:22" s="8" customFormat="1">
      <c r="A97" s="8" t="s">
        <v>5266</v>
      </c>
      <c r="F97" s="8">
        <v>120</v>
      </c>
      <c r="H97" s="8">
        <v>3.5</v>
      </c>
      <c r="K97" s="8" t="s">
        <v>2819</v>
      </c>
      <c r="M97" s="8" t="s">
        <v>2246</v>
      </c>
      <c r="O97" s="8" t="str">
        <f t="shared" si="17"/>
        <v>condorProc.py --series 07180327_2112 --donoise --dumps a --procenv environments/pymidas_USD1.env &amp;</v>
      </c>
      <c r="U97"/>
      <c r="V97"/>
    </row>
    <row r="98" spans="1:22" s="8" customFormat="1">
      <c r="A98" s="8" t="s">
        <v>5267</v>
      </c>
      <c r="F98" s="8">
        <v>120</v>
      </c>
      <c r="H98" s="8">
        <v>9</v>
      </c>
      <c r="K98" s="8" t="s">
        <v>2819</v>
      </c>
      <c r="M98" s="8" t="s">
        <v>2246</v>
      </c>
      <c r="O98" s="8" t="str">
        <f t="shared" si="17"/>
        <v>condorProc.py --series 07180327_2343 --donoise --dumps a --procenv environments/pymidas_USD1.env &amp;</v>
      </c>
      <c r="U98"/>
      <c r="V98"/>
    </row>
    <row r="99" spans="1:22" s="8" customFormat="1">
      <c r="A99" s="8" t="s">
        <v>5268</v>
      </c>
      <c r="F99" s="8">
        <v>120</v>
      </c>
      <c r="H99" s="8">
        <v>-3.5</v>
      </c>
      <c r="K99" s="8" t="s">
        <v>2819</v>
      </c>
      <c r="M99" s="8" t="s">
        <v>2246</v>
      </c>
      <c r="O99" s="8" t="str">
        <f t="shared" si="17"/>
        <v>condorProc.py --series 07180328_0213 --donoise --dumps a --procenv environments/pymidas_USD1.env &amp;</v>
      </c>
      <c r="U99"/>
      <c r="V99"/>
    </row>
    <row r="100" spans="1:22" s="8" customFormat="1">
      <c r="A100" s="8" t="s">
        <v>5269</v>
      </c>
      <c r="F100" s="8">
        <v>120</v>
      </c>
      <c r="H100" s="8">
        <v>-9</v>
      </c>
      <c r="K100" s="8" t="s">
        <v>2819</v>
      </c>
      <c r="M100" s="8" t="s">
        <v>2246</v>
      </c>
      <c r="O100" s="8" t="str">
        <f t="shared" si="17"/>
        <v>condorProc.py --series 07180328_0444 --donoise --dumps a --procenv environments/pymidas_USD1.env &amp;</v>
      </c>
      <c r="U100"/>
      <c r="V100"/>
    </row>
    <row r="101" spans="1:22" s="8" customFormat="1">
      <c r="A101" s="8" t="s">
        <v>5270</v>
      </c>
      <c r="F101" s="8">
        <v>5</v>
      </c>
      <c r="H101" s="8">
        <v>3.5</v>
      </c>
      <c r="J101" s="8" t="s">
        <v>191</v>
      </c>
      <c r="K101" s="8" t="s">
        <v>2819</v>
      </c>
      <c r="U101"/>
      <c r="V101"/>
    </row>
    <row r="102" spans="1:22">
      <c r="A102" t="s">
        <v>5271</v>
      </c>
      <c r="F102">
        <v>5</v>
      </c>
      <c r="H102">
        <v>3.5</v>
      </c>
      <c r="J102" t="s">
        <v>191</v>
      </c>
      <c r="K102" t="s">
        <v>191</v>
      </c>
    </row>
    <row r="103" spans="1:22">
      <c r="A103" t="s">
        <v>5272</v>
      </c>
      <c r="F103">
        <v>5</v>
      </c>
      <c r="H103">
        <v>3.5</v>
      </c>
      <c r="J103" t="s">
        <v>191</v>
      </c>
      <c r="K103" t="s">
        <v>191</v>
      </c>
    </row>
    <row r="104" spans="1:22">
      <c r="A104" t="s">
        <v>5273</v>
      </c>
      <c r="F104">
        <v>5</v>
      </c>
      <c r="H104">
        <v>3.5</v>
      </c>
      <c r="J104" t="s">
        <v>191</v>
      </c>
      <c r="K104" t="s">
        <v>191</v>
      </c>
    </row>
    <row r="105" spans="1:22" s="8" customFormat="1">
      <c r="A105" s="8" t="s">
        <v>5274</v>
      </c>
      <c r="F105" s="8">
        <v>5</v>
      </c>
      <c r="H105" s="8">
        <v>3.5</v>
      </c>
      <c r="J105" s="8" t="s">
        <v>191</v>
      </c>
      <c r="K105" s="8" t="s">
        <v>2819</v>
      </c>
      <c r="U105"/>
      <c r="V105"/>
    </row>
    <row r="106" spans="1:22">
      <c r="A106" t="s">
        <v>5275</v>
      </c>
      <c r="F106">
        <v>5</v>
      </c>
      <c r="H106">
        <v>3.5</v>
      </c>
      <c r="J106" t="s">
        <v>191</v>
      </c>
      <c r="K106" t="s">
        <v>191</v>
      </c>
    </row>
    <row r="107" spans="1:22" s="8" customFormat="1">
      <c r="A107" s="8" t="s">
        <v>5276</v>
      </c>
      <c r="F107" s="8">
        <v>5</v>
      </c>
      <c r="H107" s="8">
        <v>3.5</v>
      </c>
      <c r="J107" s="8" t="s">
        <v>191</v>
      </c>
      <c r="K107" s="8" t="s">
        <v>2819</v>
      </c>
      <c r="U107"/>
      <c r="V107"/>
    </row>
    <row r="108" spans="1:22">
      <c r="A108" t="s">
        <v>5277</v>
      </c>
      <c r="F108">
        <v>5</v>
      </c>
      <c r="H108">
        <v>3.5</v>
      </c>
      <c r="J108" t="s">
        <v>191</v>
      </c>
      <c r="K108" t="s">
        <v>191</v>
      </c>
    </row>
    <row r="109" spans="1:22" s="8" customFormat="1">
      <c r="A109" s="8" t="s">
        <v>5278</v>
      </c>
      <c r="F109" s="8">
        <v>10</v>
      </c>
      <c r="H109" s="8">
        <v>3.5</v>
      </c>
      <c r="J109" s="8" t="s">
        <v>191</v>
      </c>
      <c r="K109" s="8" t="s">
        <v>2819</v>
      </c>
      <c r="U109"/>
      <c r="V109"/>
    </row>
    <row r="110" spans="1:22">
      <c r="A110" t="s">
        <v>5279</v>
      </c>
      <c r="F110">
        <v>10</v>
      </c>
      <c r="H110">
        <v>3.5</v>
      </c>
      <c r="J110" t="s">
        <v>191</v>
      </c>
      <c r="K110" t="s">
        <v>191</v>
      </c>
    </row>
    <row r="111" spans="1:22" s="8" customFormat="1">
      <c r="A111" s="8" t="s">
        <v>5280</v>
      </c>
      <c r="F111" s="8">
        <v>5</v>
      </c>
      <c r="H111" s="8">
        <v>3.5</v>
      </c>
      <c r="J111" s="8" t="s">
        <v>191</v>
      </c>
      <c r="K111" s="8" t="s">
        <v>2819</v>
      </c>
      <c r="U111"/>
      <c r="V111"/>
    </row>
    <row r="112" spans="1:22" s="8" customFormat="1">
      <c r="A112" s="8" t="s">
        <v>5281</v>
      </c>
      <c r="F112" s="8">
        <v>2</v>
      </c>
      <c r="H112" s="8">
        <v>3.5</v>
      </c>
      <c r="J112" s="8" t="s">
        <v>191</v>
      </c>
      <c r="K112" s="8" t="s">
        <v>2819</v>
      </c>
      <c r="U112"/>
      <c r="V112"/>
    </row>
    <row r="113" spans="1:22">
      <c r="A113" t="s">
        <v>5282</v>
      </c>
      <c r="F113">
        <v>5</v>
      </c>
      <c r="H113">
        <v>3.5</v>
      </c>
      <c r="J113" t="s">
        <v>191</v>
      </c>
      <c r="K113" t="s">
        <v>191</v>
      </c>
    </row>
    <row r="114" spans="1:22">
      <c r="A114" t="s">
        <v>5283</v>
      </c>
      <c r="J114" t="s">
        <v>191</v>
      </c>
      <c r="K114" t="s">
        <v>191</v>
      </c>
    </row>
    <row r="115" spans="1:22">
      <c r="A115" t="s">
        <v>5284</v>
      </c>
      <c r="F115">
        <v>63</v>
      </c>
      <c r="H115">
        <v>3.5</v>
      </c>
      <c r="M115" t="s">
        <v>2246</v>
      </c>
      <c r="O115" t="str">
        <f>"condorProc.py --series "&amp;A115&amp;" --donoise --dumps a --procenv environments/pymidas_USD1.env &amp;"</f>
        <v>condorProc.py --series 07180328_1301 --donoise --dumps a --procenv environments/pymidas_USD1.env &amp;</v>
      </c>
      <c r="P115" t="str">
        <f>P114&amp;", """&amp;A115&amp;""""</f>
        <v>, "07180328_1301"</v>
      </c>
      <c r="Q115" t="str">
        <f>Q114&amp;", """&amp;SUBSTITUTE(IF(LEFT(H115,1)="-","n"&amp;RIGHT(H115,LEN(H115)-1),"p"&amp;H115),".","o")&amp;""""</f>
        <v>, "p3o5"</v>
      </c>
      <c r="R115" t="str">
        <f>R114&amp;", "&amp;IF(H115&gt;0,1,-1)</f>
        <v>, 1</v>
      </c>
      <c r="S115">
        <v>66</v>
      </c>
      <c r="T115" t="str">
        <f>T114&amp;", """&amp;IF(J115="Ba","Ba","Am")&amp;""""</f>
        <v>, "Am"</v>
      </c>
      <c r="U115">
        <f>IF(AND(H115=H114,J115=J114),U114+1,0)</f>
        <v>0</v>
      </c>
      <c r="V115" t="str">
        <f>V114&amp;", "&amp;U115</f>
        <v>, 0</v>
      </c>
    </row>
    <row r="116" spans="1:22" s="8" customFormat="1">
      <c r="A116" s="8" t="s">
        <v>5285</v>
      </c>
      <c r="F116" s="8">
        <v>67</v>
      </c>
      <c r="H116" s="8">
        <v>9</v>
      </c>
      <c r="K116" s="8" t="s">
        <v>2819</v>
      </c>
      <c r="U116"/>
      <c r="V116"/>
    </row>
    <row r="117" spans="1:22">
      <c r="A117" t="s">
        <v>5286</v>
      </c>
      <c r="J117" t="s">
        <v>5287</v>
      </c>
      <c r="K117" t="s">
        <v>5287</v>
      </c>
    </row>
    <row r="118" spans="1:22">
      <c r="A118" t="s">
        <v>5288</v>
      </c>
      <c r="F118">
        <v>131</v>
      </c>
      <c r="H118">
        <v>9</v>
      </c>
      <c r="K118" t="s">
        <v>5289</v>
      </c>
      <c r="M118" t="s">
        <v>2246</v>
      </c>
      <c r="O118" t="str">
        <f t="shared" ref="O118:O128" si="24">"condorProc.py --series "&amp;A118&amp;" --donoise --dumps a --procenv environments/pymidas_USD1.env &amp;"</f>
        <v>condorProc.py --series 07180328_1612 --donoise --dumps a --procenv environments/pymidas_USD1.env &amp;</v>
      </c>
      <c r="P118" t="str">
        <f>P117&amp;", """&amp;A118&amp;""""</f>
        <v>, "07180328_1612"</v>
      </c>
      <c r="Q118" t="str">
        <f>Q117&amp;", """&amp;SUBSTITUTE(IF(LEFT(H118,1)="-","n"&amp;RIGHT(H118,LEN(H118)-1),"p"&amp;H118),".","o")&amp;""""</f>
        <v>, "p9"</v>
      </c>
      <c r="R118" t="str">
        <f>R117&amp;", "&amp;IF(H118&gt;0,1,-1)</f>
        <v>, 1</v>
      </c>
      <c r="S118">
        <v>85</v>
      </c>
      <c r="T118" t="str">
        <f>T117&amp;", """&amp;IF(J118="Ba","Ba","Am")&amp;""""</f>
        <v>, "Am"</v>
      </c>
      <c r="U118">
        <f>IF(AND(H118=H117,J118=J117),U117+1,0)</f>
        <v>0</v>
      </c>
      <c r="V118" t="str">
        <f>V117&amp;", "&amp;U118</f>
        <v>, 0</v>
      </c>
    </row>
    <row r="119" spans="1:22">
      <c r="A119" t="s">
        <v>5290</v>
      </c>
      <c r="F119">
        <v>179</v>
      </c>
      <c r="H119">
        <v>-3.5</v>
      </c>
      <c r="M119" t="s">
        <v>2246</v>
      </c>
      <c r="O119" t="str">
        <f t="shared" si="24"/>
        <v>condorProc.py --series 07180328_1901 --donoise --dumps a --procenv environments/pymidas_USD1.env &amp;</v>
      </c>
      <c r="P119" t="str">
        <f>P118&amp;", """&amp;A119&amp;""""</f>
        <v>, "07180328_1612", "07180328_1901"</v>
      </c>
      <c r="Q119" t="str">
        <f>Q118&amp;", """&amp;SUBSTITUTE(IF(LEFT(H119,1)="-","n"&amp;RIGHT(H119,LEN(H119)-1),"p"&amp;H119),".","o")&amp;""""</f>
        <v>, "p9", "n3o5"</v>
      </c>
      <c r="R119" t="str">
        <f>R118&amp;", "&amp;IF(H119&gt;0,1,-1)</f>
        <v>, 1, -1</v>
      </c>
      <c r="S119">
        <v>52</v>
      </c>
      <c r="T119" t="str">
        <f>T118&amp;", """&amp;IF(J119="Ba","Ba","Am")&amp;""""</f>
        <v>, "Am", "Am"</v>
      </c>
      <c r="U119">
        <f>IF(AND(H119=H118,J119=J118),U118+1,0)</f>
        <v>0</v>
      </c>
      <c r="V119" t="str">
        <f>V118&amp;", "&amp;U119</f>
        <v>, 0, 0</v>
      </c>
    </row>
    <row r="120" spans="1:22">
      <c r="A120" t="s">
        <v>5291</v>
      </c>
      <c r="F120">
        <f>5*60+35</f>
        <v>335</v>
      </c>
      <c r="H120">
        <v>-9</v>
      </c>
      <c r="M120" t="s">
        <v>2246</v>
      </c>
      <c r="O120" t="str">
        <f t="shared" si="24"/>
        <v>condorProc.py --series 07180328_2217 --donoise --dumps a --procenv environments/pymidas_USD1.env &amp;</v>
      </c>
      <c r="P120" t="str">
        <f>P119&amp;", """&amp;A120&amp;""""</f>
        <v>, "07180328_1612", "07180328_1901", "07180328_2217"</v>
      </c>
      <c r="Q120" t="str">
        <f>Q119&amp;", """&amp;SUBSTITUTE(IF(LEFT(H120,1)="-","n"&amp;RIGHT(H120,LEN(H120)-1),"p"&amp;H120),".","o")&amp;""""</f>
        <v>, "p9", "n3o5", "n9"</v>
      </c>
      <c r="R120" t="str">
        <f>R119&amp;", "&amp;IF(H120&gt;0,1,-1)</f>
        <v>, 1, -1, -1</v>
      </c>
      <c r="S120">
        <v>43</v>
      </c>
      <c r="T120" t="str">
        <f>T119&amp;", """&amp;IF(J120="Ba","Ba","Am")&amp;""""</f>
        <v>, "Am", "Am", "Am"</v>
      </c>
      <c r="U120">
        <f>IF(AND(H120=H119,J120=J119),U119+1,0)</f>
        <v>0</v>
      </c>
      <c r="V120" t="str">
        <f>V119&amp;", "&amp;U120</f>
        <v>, 0, 0, 0</v>
      </c>
    </row>
    <row r="121" spans="1:22">
      <c r="A121" t="s">
        <v>5292</v>
      </c>
      <c r="F121">
        <v>63</v>
      </c>
      <c r="H121">
        <v>8</v>
      </c>
      <c r="K121" t="s">
        <v>5293</v>
      </c>
      <c r="M121" t="s">
        <v>2246</v>
      </c>
      <c r="O121" t="str">
        <f t="shared" si="24"/>
        <v>condorProc.py --series 07180329_0917 --donoise --dumps a --procenv environments/pymidas_USD1.env &amp;</v>
      </c>
    </row>
    <row r="122" spans="1:22">
      <c r="A122" t="s">
        <v>5294</v>
      </c>
      <c r="F122">
        <v>120</v>
      </c>
      <c r="H122">
        <v>8</v>
      </c>
      <c r="K122" t="s">
        <v>5295</v>
      </c>
      <c r="M122" t="s">
        <v>2246</v>
      </c>
      <c r="O122" t="str">
        <f t="shared" si="24"/>
        <v>condorProc.py --series 07180329_1056 --donoise --dumps a --procenv environments/pymidas_USD1.env &amp;</v>
      </c>
    </row>
    <row r="123" spans="1:22">
      <c r="A123" t="s">
        <v>5296</v>
      </c>
      <c r="F123">
        <v>45</v>
      </c>
      <c r="H123">
        <v>8</v>
      </c>
      <c r="J123" t="s">
        <v>5297</v>
      </c>
      <c r="M123" t="s">
        <v>2246</v>
      </c>
      <c r="O123" t="str">
        <f t="shared" si="24"/>
        <v>condorProc.py --series 07180329_1507 --donoise --dumps a --procenv environments/pymidas_USD1.env &amp;</v>
      </c>
      <c r="P123" t="str">
        <f t="shared" ref="P123:P128" si="25">P122&amp;", """&amp;A123&amp;""""</f>
        <v>, "07180329_1507"</v>
      </c>
      <c r="Q123" t="str">
        <f t="shared" ref="Q123:Q128" si="26">Q122&amp;", """&amp;SUBSTITUTE(IF(LEFT(H123,1)="-","n"&amp;RIGHT(H123,LEN(H123)-1),"p"&amp;H123),".","o")&amp;""""</f>
        <v>, "p8"</v>
      </c>
      <c r="R123" t="str">
        <f t="shared" ref="R123:R128" si="27">R122&amp;", "&amp;IF(H123&gt;0,1,-1)</f>
        <v>, 1</v>
      </c>
      <c r="S123">
        <v>25</v>
      </c>
      <c r="T123" t="str">
        <f t="shared" ref="T123:T128" si="28">T122&amp;", """&amp;IF(J123="Ba","Ba","Am")&amp;""""</f>
        <v>, "Ba"</v>
      </c>
      <c r="U123">
        <f t="shared" ref="U123:U128" si="29">IF(AND(H123=H122,J123=J122),U122+1,0)</f>
        <v>0</v>
      </c>
      <c r="V123" t="str">
        <f t="shared" ref="V123:V128" si="30">V122&amp;", "&amp;U123</f>
        <v>, 0</v>
      </c>
    </row>
    <row r="124" spans="1:22">
      <c r="A124" t="s">
        <v>5298</v>
      </c>
      <c r="F124">
        <v>45</v>
      </c>
      <c r="H124">
        <v>8</v>
      </c>
      <c r="J124" t="s">
        <v>5297</v>
      </c>
      <c r="M124" t="s">
        <v>2246</v>
      </c>
      <c r="O124" t="str">
        <f t="shared" si="24"/>
        <v>condorProc.py --series 07180329_1632 --donoise --dumps a --procenv environments/pymidas_USD1.env &amp;</v>
      </c>
      <c r="P124" t="str">
        <f t="shared" si="25"/>
        <v>, "07180329_1507", "07180329_1632"</v>
      </c>
      <c r="Q124" t="str">
        <f t="shared" si="26"/>
        <v>, "p8", "p8"</v>
      </c>
      <c r="R124" t="str">
        <f t="shared" si="27"/>
        <v>, 1, 1</v>
      </c>
      <c r="S124">
        <v>26</v>
      </c>
      <c r="T124" t="str">
        <f t="shared" si="28"/>
        <v>, "Ba", "Ba"</v>
      </c>
      <c r="U124">
        <f t="shared" si="29"/>
        <v>1</v>
      </c>
      <c r="V124" t="str">
        <f t="shared" si="30"/>
        <v>, 0, 1</v>
      </c>
    </row>
    <row r="125" spans="1:22">
      <c r="A125" t="s">
        <v>5299</v>
      </c>
      <c r="F125">
        <v>45</v>
      </c>
      <c r="H125">
        <v>8</v>
      </c>
      <c r="J125" t="s">
        <v>5297</v>
      </c>
      <c r="M125" t="s">
        <v>2246</v>
      </c>
      <c r="O125" t="str">
        <f t="shared" si="24"/>
        <v>condorProc.py --series 07180329_1733 --donoise --dumps a --procenv environments/pymidas_USD1.env &amp;</v>
      </c>
      <c r="P125" t="str">
        <f t="shared" si="25"/>
        <v>, "07180329_1507", "07180329_1632", "07180329_1733"</v>
      </c>
      <c r="Q125" t="str">
        <f t="shared" si="26"/>
        <v>, "p8", "p8", "p8"</v>
      </c>
      <c r="R125" t="str">
        <f t="shared" si="27"/>
        <v>, 1, 1, 1</v>
      </c>
      <c r="S125">
        <v>27</v>
      </c>
      <c r="T125" t="str">
        <f t="shared" si="28"/>
        <v>, "Ba", "Ba", "Ba"</v>
      </c>
      <c r="U125">
        <f t="shared" si="29"/>
        <v>2</v>
      </c>
      <c r="V125" t="str">
        <f t="shared" si="30"/>
        <v>, 0, 1, 2</v>
      </c>
    </row>
    <row r="126" spans="1:22">
      <c r="A126" t="s">
        <v>5300</v>
      </c>
      <c r="F126">
        <v>45</v>
      </c>
      <c r="H126">
        <v>8</v>
      </c>
      <c r="J126" t="s">
        <v>5297</v>
      </c>
      <c r="M126" t="s">
        <v>2246</v>
      </c>
      <c r="O126" t="str">
        <f t="shared" si="24"/>
        <v>condorProc.py --series 07180329_1834 --donoise --dumps a --procenv environments/pymidas_USD1.env &amp;</v>
      </c>
      <c r="P126" t="str">
        <f t="shared" si="25"/>
        <v>, "07180329_1507", "07180329_1632", "07180329_1733", "07180329_1834"</v>
      </c>
      <c r="Q126" t="str">
        <f t="shared" si="26"/>
        <v>, "p8", "p8", "p8", "p8"</v>
      </c>
      <c r="R126" t="str">
        <f t="shared" si="27"/>
        <v>, 1, 1, 1, 1</v>
      </c>
      <c r="S126">
        <v>28</v>
      </c>
      <c r="T126" t="str">
        <f t="shared" si="28"/>
        <v>, "Ba", "Ba", "Ba", "Ba"</v>
      </c>
      <c r="U126">
        <f t="shared" si="29"/>
        <v>3</v>
      </c>
      <c r="V126" t="str">
        <f t="shared" si="30"/>
        <v>, 0, 1, 2, 3</v>
      </c>
    </row>
    <row r="127" spans="1:22">
      <c r="A127" t="s">
        <v>5301</v>
      </c>
      <c r="F127">
        <v>45</v>
      </c>
      <c r="H127">
        <v>8</v>
      </c>
      <c r="J127" t="s">
        <v>5297</v>
      </c>
      <c r="K127" t="s">
        <v>2441</v>
      </c>
      <c r="M127" t="s">
        <v>2246</v>
      </c>
      <c r="O127" t="str">
        <f t="shared" si="24"/>
        <v>condorProc.py --series 07180329_1935 --donoise --dumps a --procenv environments/pymidas_USD1.env &amp;</v>
      </c>
      <c r="P127" t="str">
        <f t="shared" si="25"/>
        <v>, "07180329_1507", "07180329_1632", "07180329_1733", "07180329_1834", "07180329_1935"</v>
      </c>
      <c r="Q127" t="str">
        <f t="shared" si="26"/>
        <v>, "p8", "p8", "p8", "p8", "p8"</v>
      </c>
      <c r="R127" t="str">
        <f t="shared" si="27"/>
        <v>, 1, 1, 1, 1, 1</v>
      </c>
      <c r="S127">
        <v>29</v>
      </c>
      <c r="T127" t="str">
        <f t="shared" si="28"/>
        <v>, "Ba", "Ba", "Ba", "Ba", "Ba"</v>
      </c>
      <c r="U127">
        <f t="shared" si="29"/>
        <v>4</v>
      </c>
      <c r="V127" t="str">
        <f t="shared" si="30"/>
        <v>, 0, 1, 2, 3, 4</v>
      </c>
    </row>
    <row r="128" spans="1:22">
      <c r="A128" t="s">
        <v>5302</v>
      </c>
      <c r="F128">
        <v>45</v>
      </c>
      <c r="H128">
        <v>8</v>
      </c>
      <c r="J128" t="s">
        <v>5297</v>
      </c>
      <c r="M128" t="s">
        <v>2246</v>
      </c>
      <c r="O128" t="str">
        <f t="shared" si="24"/>
        <v>condorProc.py --series 07180329_2036 --donoise --dumps a --procenv environments/pymidas_USD1.env &amp;</v>
      </c>
      <c r="P128" t="str">
        <f t="shared" si="25"/>
        <v>, "07180329_1507", "07180329_1632", "07180329_1733", "07180329_1834", "07180329_1935", "07180329_2036"</v>
      </c>
      <c r="Q128" t="str">
        <f t="shared" si="26"/>
        <v>, "p8", "p8", "p8", "p8", "p8", "p8"</v>
      </c>
      <c r="R128" t="str">
        <f t="shared" si="27"/>
        <v>, 1, 1, 1, 1, 1, 1</v>
      </c>
      <c r="S128">
        <v>30</v>
      </c>
      <c r="T128" t="str">
        <f t="shared" si="28"/>
        <v>, "Ba", "Ba", "Ba", "Ba", "Ba", "Ba"</v>
      </c>
      <c r="U128">
        <f t="shared" si="29"/>
        <v>5</v>
      </c>
      <c r="V128" t="str">
        <f t="shared" si="30"/>
        <v>, 0, 1, 2, 3, 4, 5</v>
      </c>
    </row>
    <row r="129" spans="1:22">
      <c r="A129" t="s">
        <v>5303</v>
      </c>
      <c r="F129">
        <v>45</v>
      </c>
      <c r="H129">
        <v>8</v>
      </c>
      <c r="J129" t="s">
        <v>5297</v>
      </c>
      <c r="K129" t="s">
        <v>5304</v>
      </c>
    </row>
    <row r="130" spans="1:22" s="8" customFormat="1">
      <c r="A130" s="8" t="s">
        <v>5305</v>
      </c>
      <c r="F130" s="8">
        <v>45</v>
      </c>
      <c r="H130" s="8">
        <v>8</v>
      </c>
      <c r="J130" s="8" t="s">
        <v>5297</v>
      </c>
      <c r="K130" s="8" t="s">
        <v>5306</v>
      </c>
      <c r="U130"/>
      <c r="V130"/>
    </row>
    <row r="131" spans="1:22" s="8" customFormat="1">
      <c r="A131" s="8" t="s">
        <v>5307</v>
      </c>
      <c r="F131" s="8">
        <v>45</v>
      </c>
      <c r="H131" s="8">
        <v>8</v>
      </c>
      <c r="J131" s="8" t="s">
        <v>5297</v>
      </c>
      <c r="K131" s="8" t="s">
        <v>5306</v>
      </c>
      <c r="U131"/>
      <c r="V131"/>
    </row>
    <row r="132" spans="1:22">
      <c r="A132" t="s">
        <v>5308</v>
      </c>
      <c r="F132" t="s">
        <v>5309</v>
      </c>
      <c r="H132" t="s">
        <v>5310</v>
      </c>
      <c r="M132" t="s">
        <v>2246</v>
      </c>
      <c r="O132" t="str">
        <f t="shared" ref="O132:O143" si="31">"condorProc.py --series "&amp;A132&amp;" --donoise --dumps a --procenv environments/pymidas_USD1.env &amp;"</f>
        <v>condorProc.py --series 07180330_1031 --donoise --dumps a --procenv environments/pymidas_USD1.env &amp;</v>
      </c>
      <c r="P132" t="str">
        <f>P131&amp;", """&amp;A132&amp;""""</f>
        <v>, "07180330_1031"</v>
      </c>
      <c r="Q132" t="str">
        <f>Q131&amp;", """&amp;SUBSTITUTE(IF(LEFT(H132,1)="-","n"&amp;RIGHT(H132,LEN(H132)-1),"p"&amp;H132),".","o")&amp;""""</f>
        <v>, "p0 then 8"</v>
      </c>
      <c r="R132" t="str">
        <f>R131&amp;", "&amp;IF(H132&gt;0,1,-1)</f>
        <v>, 1</v>
      </c>
      <c r="T132" t="str">
        <f>T131&amp;", """&amp;IF(J132="Ba","Ba","Am")&amp;""""</f>
        <v>, "Am"</v>
      </c>
      <c r="U132">
        <f>IF(AND(H132=H131,J132=J131),U131+1,0)</f>
        <v>0</v>
      </c>
      <c r="V132" t="str">
        <f>V131&amp;", "&amp;U132</f>
        <v>, 0</v>
      </c>
    </row>
    <row r="133" spans="1:22">
      <c r="A133" t="s">
        <v>5311</v>
      </c>
      <c r="F133" t="s">
        <v>5312</v>
      </c>
      <c r="H133" t="s">
        <v>5313</v>
      </c>
      <c r="M133" t="s">
        <v>2246</v>
      </c>
      <c r="O133" t="str">
        <f t="shared" si="31"/>
        <v>condorProc.py --series 07180330_1140 --donoise --dumps a --procenv environments/pymidas_USD1.env &amp;</v>
      </c>
      <c r="P133" t="str">
        <f>P132&amp;", """&amp;A133&amp;""""</f>
        <v>, "07180330_1031", "07180330_1140"</v>
      </c>
      <c r="Q133" t="str">
        <f>Q132&amp;", """&amp;SUBSTITUTE(IF(LEFT(H133,1)="-","n"&amp;RIGHT(H133,LEN(H133)-1),"p"&amp;H133),".","o")&amp;""""</f>
        <v>, "p0 then 8", "p8 then 0"</v>
      </c>
      <c r="R133" t="str">
        <f>R132&amp;", "&amp;IF(H133&gt;0,1,-1)</f>
        <v>, 1, 1</v>
      </c>
      <c r="T133" t="str">
        <f>T132&amp;", """&amp;IF(J133="Ba","Ba","Am")&amp;""""</f>
        <v>, "Am", "Am"</v>
      </c>
      <c r="U133">
        <f>IF(AND(H133=H132,J133=J132),U132+1,0)</f>
        <v>0</v>
      </c>
      <c r="V133" t="str">
        <f>V132&amp;", "&amp;U133</f>
        <v>, 0, 0</v>
      </c>
    </row>
    <row r="134" spans="1:22">
      <c r="A134" t="s">
        <v>5314</v>
      </c>
      <c r="F134">
        <v>35</v>
      </c>
      <c r="H134">
        <v>8</v>
      </c>
      <c r="K134" t="s">
        <v>5315</v>
      </c>
      <c r="M134" t="s">
        <v>2246</v>
      </c>
      <c r="O134" t="str">
        <f t="shared" si="31"/>
        <v>condorProc.py --series 07180330_1352 --donoise --dumps a --procenv environments/pymidas_USD1.env &amp;</v>
      </c>
    </row>
    <row r="135" spans="1:22">
      <c r="A135" t="s">
        <v>5316</v>
      </c>
      <c r="F135">
        <v>48</v>
      </c>
      <c r="H135">
        <v>8</v>
      </c>
      <c r="K135" t="s">
        <v>5315</v>
      </c>
      <c r="M135" t="s">
        <v>2246</v>
      </c>
      <c r="O135" t="str">
        <f t="shared" si="31"/>
        <v>condorProc.py --series 07180330_1514 --donoise --dumps a --procenv environments/pymidas_USD1.env &amp;</v>
      </c>
    </row>
    <row r="136" spans="1:22">
      <c r="A136" t="s">
        <v>5317</v>
      </c>
      <c r="F136">
        <v>45</v>
      </c>
      <c r="H136">
        <v>-8</v>
      </c>
      <c r="J136" t="s">
        <v>5297</v>
      </c>
      <c r="M136" t="s">
        <v>2246</v>
      </c>
      <c r="N136">
        <v>1</v>
      </c>
      <c r="O136" t="str">
        <f t="shared" si="31"/>
        <v>condorProc.py --series 07180330_1730 --donoise --dumps a --procenv environments/pymidas_USD1.env &amp;</v>
      </c>
      <c r="P136" t="str">
        <f>""""&amp;A136&amp;""""</f>
        <v>"07180330_1730"</v>
      </c>
      <c r="Q136" t="str">
        <f>""""&amp;SUBSTITUTE(IF(LEFT(H136,1)="-","n"&amp;RIGHT(H136,LEN(H136)-1),"p"&amp;H136),".","o")&amp;""""</f>
        <v>"n8"</v>
      </c>
      <c r="R136">
        <f>IF(H136&gt;0,1,-1)</f>
        <v>-1</v>
      </c>
      <c r="S136">
        <v>1</v>
      </c>
      <c r="T136" t="str">
        <f>""""&amp;IF(J136="Ba","Ba","Am")&amp;""""</f>
        <v>"Ba"</v>
      </c>
      <c r="U136">
        <f t="shared" ref="U136:U143" si="32">IF(AND(H136=H135,J136=J135),U135+1,0)</f>
        <v>0</v>
      </c>
      <c r="V136">
        <f>U136</f>
        <v>0</v>
      </c>
    </row>
    <row r="137" spans="1:22">
      <c r="A137" t="s">
        <v>5318</v>
      </c>
      <c r="F137">
        <v>45</v>
      </c>
      <c r="H137">
        <v>-8</v>
      </c>
      <c r="J137" t="s">
        <v>5297</v>
      </c>
      <c r="M137" t="s">
        <v>2246</v>
      </c>
      <c r="N137">
        <v>2</v>
      </c>
      <c r="O137" t="str">
        <f t="shared" si="31"/>
        <v>condorProc.py --series 07180330_1830 --donoise --dumps a --procenv environments/pymidas_USD1.env &amp;</v>
      </c>
      <c r="P137" t="str">
        <f t="shared" ref="P137:P143" si="33">P136&amp;", """&amp;A137&amp;""""</f>
        <v>"07180330_1730", "07180330_1830"</v>
      </c>
      <c r="Q137" t="str">
        <f t="shared" ref="Q137:Q143" si="34">Q136&amp;", """&amp;SUBSTITUTE(IF(LEFT(H137,1)="-","n"&amp;RIGHT(H137,LEN(H137)-1),"p"&amp;H137),".","o")&amp;""""</f>
        <v>"n8", "n8"</v>
      </c>
      <c r="R137" t="str">
        <f t="shared" ref="R137:R143" si="35">R136&amp;", "&amp;IF(H137&gt;0,1,-1)</f>
        <v>-1, -1</v>
      </c>
      <c r="S137">
        <v>2</v>
      </c>
      <c r="T137" t="str">
        <f t="shared" ref="T137:T143" si="36">T136&amp;", """&amp;IF(J137="Ba","Ba","Am")&amp;""""</f>
        <v>"Ba", "Ba"</v>
      </c>
      <c r="U137">
        <f t="shared" si="32"/>
        <v>1</v>
      </c>
      <c r="V137" t="str">
        <f t="shared" ref="V137:V143" si="37">V136&amp;", "&amp;U137</f>
        <v>0, 1</v>
      </c>
    </row>
    <row r="138" spans="1:22">
      <c r="A138" t="s">
        <v>5319</v>
      </c>
      <c r="F138">
        <v>45</v>
      </c>
      <c r="H138">
        <v>-8</v>
      </c>
      <c r="J138" t="s">
        <v>5297</v>
      </c>
      <c r="M138" t="s">
        <v>2246</v>
      </c>
      <c r="O138" t="str">
        <f t="shared" si="31"/>
        <v>condorProc.py --series 07180330_1931 --donoise --dumps a --procenv environments/pymidas_USD1.env &amp;</v>
      </c>
      <c r="P138" t="str">
        <f t="shared" si="33"/>
        <v>"07180330_1730", "07180330_1830", "07180330_1931"</v>
      </c>
      <c r="Q138" t="str">
        <f t="shared" si="34"/>
        <v>"n8", "n8", "n8"</v>
      </c>
      <c r="R138" t="str">
        <f t="shared" si="35"/>
        <v>-1, -1, -1</v>
      </c>
      <c r="S138">
        <v>3</v>
      </c>
      <c r="T138" t="str">
        <f t="shared" si="36"/>
        <v>"Ba", "Ba", "Ba"</v>
      </c>
      <c r="U138">
        <f t="shared" si="32"/>
        <v>2</v>
      </c>
      <c r="V138" t="str">
        <f t="shared" si="37"/>
        <v>0, 1, 2</v>
      </c>
    </row>
    <row r="139" spans="1:22">
      <c r="A139" t="s">
        <v>5320</v>
      </c>
      <c r="F139">
        <v>45</v>
      </c>
      <c r="H139">
        <v>-8</v>
      </c>
      <c r="J139" t="s">
        <v>5297</v>
      </c>
      <c r="M139" t="s">
        <v>2246</v>
      </c>
      <c r="O139" t="str">
        <f t="shared" si="31"/>
        <v>condorProc.py --series 07180330_2032 --donoise --dumps a --procenv environments/pymidas_USD1.env &amp;</v>
      </c>
      <c r="P139" t="str">
        <f t="shared" si="33"/>
        <v>"07180330_1730", "07180330_1830", "07180330_1931", "07180330_2032"</v>
      </c>
      <c r="Q139" t="str">
        <f t="shared" si="34"/>
        <v>"n8", "n8", "n8", "n8"</v>
      </c>
      <c r="R139" t="str">
        <f t="shared" si="35"/>
        <v>-1, -1, -1, -1</v>
      </c>
      <c r="S139">
        <v>4</v>
      </c>
      <c r="T139" t="str">
        <f t="shared" si="36"/>
        <v>"Ba", "Ba", "Ba", "Ba"</v>
      </c>
      <c r="U139">
        <f t="shared" si="32"/>
        <v>3</v>
      </c>
      <c r="V139" t="str">
        <f t="shared" si="37"/>
        <v>0, 1, 2, 3</v>
      </c>
    </row>
    <row r="140" spans="1:22">
      <c r="A140" t="s">
        <v>5321</v>
      </c>
      <c r="F140">
        <v>45</v>
      </c>
      <c r="H140">
        <v>-8</v>
      </c>
      <c r="J140" t="s">
        <v>5297</v>
      </c>
      <c r="M140" t="s">
        <v>2246</v>
      </c>
      <c r="O140" t="str">
        <f t="shared" si="31"/>
        <v>condorProc.py --series 07180330_2133 --donoise --dumps a --procenv environments/pymidas_USD1.env &amp;</v>
      </c>
      <c r="P140" t="str">
        <f t="shared" si="33"/>
        <v>"07180330_1730", "07180330_1830", "07180330_1931", "07180330_2032", "07180330_2133"</v>
      </c>
      <c r="Q140" t="str">
        <f t="shared" si="34"/>
        <v>"n8", "n8", "n8", "n8", "n8"</v>
      </c>
      <c r="R140" t="str">
        <f t="shared" si="35"/>
        <v>-1, -1, -1, -1, -1</v>
      </c>
      <c r="S140">
        <v>5</v>
      </c>
      <c r="T140" t="str">
        <f t="shared" si="36"/>
        <v>"Ba", "Ba", "Ba", "Ba", "Ba"</v>
      </c>
      <c r="U140">
        <f t="shared" si="32"/>
        <v>4</v>
      </c>
      <c r="V140" t="str">
        <f t="shared" si="37"/>
        <v>0, 1, 2, 3, 4</v>
      </c>
    </row>
    <row r="141" spans="1:22">
      <c r="A141" t="s">
        <v>5322</v>
      </c>
      <c r="F141">
        <v>45</v>
      </c>
      <c r="H141">
        <v>-8</v>
      </c>
      <c r="J141" t="s">
        <v>5297</v>
      </c>
      <c r="M141" t="s">
        <v>2246</v>
      </c>
      <c r="O141" t="str">
        <f t="shared" si="31"/>
        <v>condorProc.py --series 07180330_2234 --donoise --dumps a --procenv environments/pymidas_USD1.env &amp;</v>
      </c>
      <c r="P141" t="str">
        <f t="shared" si="33"/>
        <v>"07180330_1730", "07180330_1830", "07180330_1931", "07180330_2032", "07180330_2133", "07180330_2234"</v>
      </c>
      <c r="Q141" t="str">
        <f t="shared" si="34"/>
        <v>"n8", "n8", "n8", "n8", "n8", "n8"</v>
      </c>
      <c r="R141" t="str">
        <f t="shared" si="35"/>
        <v>-1, -1, -1, -1, -1, -1</v>
      </c>
      <c r="S141">
        <v>6</v>
      </c>
      <c r="T141" t="str">
        <f t="shared" si="36"/>
        <v>"Ba", "Ba", "Ba", "Ba", "Ba", "Ba"</v>
      </c>
      <c r="U141">
        <f t="shared" si="32"/>
        <v>5</v>
      </c>
      <c r="V141" t="str">
        <f t="shared" si="37"/>
        <v>0, 1, 2, 3, 4, 5</v>
      </c>
    </row>
    <row r="142" spans="1:22">
      <c r="A142" t="s">
        <v>5323</v>
      </c>
      <c r="F142">
        <v>45</v>
      </c>
      <c r="H142">
        <v>-8</v>
      </c>
      <c r="J142" t="s">
        <v>5297</v>
      </c>
      <c r="M142" t="s">
        <v>2246</v>
      </c>
      <c r="O142" t="str">
        <f t="shared" si="31"/>
        <v>condorProc.py --series 07180330_2335 --donoise --dumps a --procenv environments/pymidas_USD1.env &amp;</v>
      </c>
      <c r="P142" t="str">
        <f t="shared" si="33"/>
        <v>"07180330_1730", "07180330_1830", "07180330_1931", "07180330_2032", "07180330_2133", "07180330_2234", "07180330_2335"</v>
      </c>
      <c r="Q142" t="str">
        <f t="shared" si="34"/>
        <v>"n8", "n8", "n8", "n8", "n8", "n8", "n8"</v>
      </c>
      <c r="R142" t="str">
        <f t="shared" si="35"/>
        <v>-1, -1, -1, -1, -1, -1, -1</v>
      </c>
      <c r="S142">
        <v>7</v>
      </c>
      <c r="T142" t="str">
        <f t="shared" si="36"/>
        <v>"Ba", "Ba", "Ba", "Ba", "Ba", "Ba", "Ba"</v>
      </c>
      <c r="U142">
        <f t="shared" si="32"/>
        <v>6</v>
      </c>
      <c r="V142" t="str">
        <f t="shared" si="37"/>
        <v>0, 1, 2, 3, 4, 5, 6</v>
      </c>
    </row>
    <row r="143" spans="1:22">
      <c r="A143" t="s">
        <v>5324</v>
      </c>
      <c r="F143">
        <v>45</v>
      </c>
      <c r="H143">
        <v>-8</v>
      </c>
      <c r="J143" t="s">
        <v>5297</v>
      </c>
      <c r="M143" t="s">
        <v>2246</v>
      </c>
      <c r="O143" t="str">
        <f t="shared" si="31"/>
        <v>condorProc.py --series 07180331_0036 --donoise --dumps a --procenv environments/pymidas_USD1.env &amp;</v>
      </c>
      <c r="P143" t="str">
        <f t="shared" si="33"/>
        <v>"07180330_1730", "07180330_1830", "07180330_1931", "07180330_2032", "07180330_2133", "07180330_2234", "07180330_2335", "07180331_0036"</v>
      </c>
      <c r="Q143" t="str">
        <f t="shared" si="34"/>
        <v>"n8", "n8", "n8", "n8", "n8", "n8", "n8", "n8"</v>
      </c>
      <c r="R143" t="str">
        <f t="shared" si="35"/>
        <v>-1, -1, -1, -1, -1, -1, -1, -1</v>
      </c>
      <c r="S143">
        <v>8</v>
      </c>
      <c r="T143" t="str">
        <f t="shared" si="36"/>
        <v>"Ba", "Ba", "Ba", "Ba", "Ba", "Ba", "Ba", "Ba"</v>
      </c>
      <c r="U143">
        <f t="shared" si="32"/>
        <v>7</v>
      </c>
      <c r="V143" t="str">
        <f t="shared" si="37"/>
        <v>0, 1, 2, 3, 4, 5, 6, 7</v>
      </c>
    </row>
    <row r="144" spans="1:22">
      <c r="A144" t="s">
        <v>5325</v>
      </c>
      <c r="F144">
        <v>45</v>
      </c>
      <c r="H144">
        <v>6</v>
      </c>
      <c r="J144" t="s">
        <v>5297</v>
      </c>
      <c r="K144" t="s">
        <v>5326</v>
      </c>
    </row>
    <row r="145" spans="1:22">
      <c r="A145" t="s">
        <v>5327</v>
      </c>
      <c r="F145">
        <v>45</v>
      </c>
      <c r="H145">
        <v>6</v>
      </c>
      <c r="J145" t="s">
        <v>5297</v>
      </c>
      <c r="K145" t="s">
        <v>5326</v>
      </c>
    </row>
    <row r="146" spans="1:22">
      <c r="A146" t="s">
        <v>5328</v>
      </c>
      <c r="F146">
        <v>45</v>
      </c>
      <c r="H146">
        <v>6</v>
      </c>
      <c r="J146" t="s">
        <v>5297</v>
      </c>
      <c r="K146" t="s">
        <v>5326</v>
      </c>
    </row>
    <row r="147" spans="1:22">
      <c r="A147" t="s">
        <v>5329</v>
      </c>
      <c r="F147">
        <v>45</v>
      </c>
      <c r="H147">
        <v>6</v>
      </c>
      <c r="J147" t="s">
        <v>5297</v>
      </c>
      <c r="K147" t="s">
        <v>5326</v>
      </c>
    </row>
    <row r="148" spans="1:22">
      <c r="A148" t="s">
        <v>5330</v>
      </c>
      <c r="F148">
        <v>32</v>
      </c>
      <c r="H148">
        <v>6</v>
      </c>
      <c r="J148" t="s">
        <v>5297</v>
      </c>
      <c r="K148" t="s">
        <v>5331</v>
      </c>
    </row>
    <row r="149" spans="1:22">
      <c r="A149" t="s">
        <v>5332</v>
      </c>
      <c r="F149">
        <v>45</v>
      </c>
      <c r="H149">
        <v>6</v>
      </c>
      <c r="J149" t="s">
        <v>5297</v>
      </c>
      <c r="M149" t="s">
        <v>2246</v>
      </c>
      <c r="O149" t="str">
        <f t="shared" ref="O149:O164" si="38">"condorProc.py --series "&amp;A149&amp;" --donoise --dumps a --procenv environments/pymidas_USD1.env &amp;"</f>
        <v>condorProc.py --series 07180331_1934 --donoise --dumps a --procenv environments/pymidas_USD1.env &amp;</v>
      </c>
      <c r="P149" t="str">
        <f t="shared" ref="P149:P164" si="39">P148&amp;", """&amp;A149&amp;""""</f>
        <v>, "07180331_1934"</v>
      </c>
      <c r="Q149" t="str">
        <f t="shared" ref="Q149:Q164" si="40">Q148&amp;", """&amp;SUBSTITUTE(IF(LEFT(H149,1)="-","n"&amp;RIGHT(H149,LEN(H149)-1),"p"&amp;H149),".","o")&amp;""""</f>
        <v>, "p6"</v>
      </c>
      <c r="R149" t="str">
        <f t="shared" ref="R149:R164" si="41">R148&amp;", "&amp;IF(H149&gt;0,1,-1)</f>
        <v>, 1</v>
      </c>
      <c r="S149">
        <v>17</v>
      </c>
      <c r="T149" t="str">
        <f t="shared" ref="T149:T164" si="42">T148&amp;", """&amp;IF(J149="Ba","Ba","Am")&amp;""""</f>
        <v>, "Ba"</v>
      </c>
      <c r="U149">
        <f t="shared" ref="U149:U164" si="43">IF(AND(H149=H148,J149=J148),U148+1,0)</f>
        <v>1</v>
      </c>
      <c r="V149" t="str">
        <f t="shared" ref="V149:V164" si="44">V148&amp;", "&amp;U149</f>
        <v>, 1</v>
      </c>
    </row>
    <row r="150" spans="1:22">
      <c r="A150" t="s">
        <v>5333</v>
      </c>
      <c r="F150">
        <v>45</v>
      </c>
      <c r="H150">
        <v>6</v>
      </c>
      <c r="J150" t="s">
        <v>5297</v>
      </c>
      <c r="M150" t="s">
        <v>2246</v>
      </c>
      <c r="O150" t="str">
        <f t="shared" si="38"/>
        <v>condorProc.py --series 07180331_2035 --donoise --dumps a --procenv environments/pymidas_USD1.env &amp;</v>
      </c>
      <c r="P150" t="str">
        <f t="shared" si="39"/>
        <v>, "07180331_1934", "07180331_2035"</v>
      </c>
      <c r="Q150" t="str">
        <f t="shared" si="40"/>
        <v>, "p6", "p6"</v>
      </c>
      <c r="R150" t="str">
        <f t="shared" si="41"/>
        <v>, 1, 1</v>
      </c>
      <c r="S150">
        <v>18</v>
      </c>
      <c r="T150" t="str">
        <f t="shared" si="42"/>
        <v>, "Ba", "Ba"</v>
      </c>
      <c r="U150">
        <f t="shared" si="43"/>
        <v>2</v>
      </c>
      <c r="V150" t="str">
        <f t="shared" si="44"/>
        <v>, 1, 2</v>
      </c>
    </row>
    <row r="151" spans="1:22">
      <c r="A151" t="s">
        <v>5334</v>
      </c>
      <c r="F151">
        <v>45</v>
      </c>
      <c r="H151">
        <v>6</v>
      </c>
      <c r="J151" t="s">
        <v>5297</v>
      </c>
      <c r="M151" t="s">
        <v>2246</v>
      </c>
      <c r="O151" t="str">
        <f t="shared" si="38"/>
        <v>condorProc.py --series 07180331_2135 --donoise --dumps a --procenv environments/pymidas_USD1.env &amp;</v>
      </c>
      <c r="P151" t="str">
        <f t="shared" si="39"/>
        <v>, "07180331_1934", "07180331_2035", "07180331_2135"</v>
      </c>
      <c r="Q151" t="str">
        <f t="shared" si="40"/>
        <v>, "p6", "p6", "p6"</v>
      </c>
      <c r="R151" t="str">
        <f t="shared" si="41"/>
        <v>, 1, 1, 1</v>
      </c>
      <c r="S151">
        <v>19</v>
      </c>
      <c r="T151" t="str">
        <f t="shared" si="42"/>
        <v>, "Ba", "Ba", "Ba"</v>
      </c>
      <c r="U151">
        <f t="shared" si="43"/>
        <v>3</v>
      </c>
      <c r="V151" t="str">
        <f t="shared" si="44"/>
        <v>, 1, 2, 3</v>
      </c>
    </row>
    <row r="152" spans="1:22">
      <c r="A152" t="s">
        <v>5335</v>
      </c>
      <c r="F152">
        <v>45</v>
      </c>
      <c r="H152">
        <v>6</v>
      </c>
      <c r="J152" t="s">
        <v>5297</v>
      </c>
      <c r="M152" t="s">
        <v>2246</v>
      </c>
      <c r="O152" t="str">
        <f t="shared" si="38"/>
        <v>condorProc.py --series 07180331_2236 --donoise --dumps a --procenv environments/pymidas_USD1.env &amp;</v>
      </c>
      <c r="P152" t="str">
        <f t="shared" si="39"/>
        <v>, "07180331_1934", "07180331_2035", "07180331_2135", "07180331_2236"</v>
      </c>
      <c r="Q152" t="str">
        <f t="shared" si="40"/>
        <v>, "p6", "p6", "p6", "p6"</v>
      </c>
      <c r="R152" t="str">
        <f t="shared" si="41"/>
        <v>, 1, 1, 1, 1</v>
      </c>
      <c r="S152">
        <v>20</v>
      </c>
      <c r="T152" t="str">
        <f t="shared" si="42"/>
        <v>, "Ba", "Ba", "Ba", "Ba"</v>
      </c>
      <c r="U152">
        <f t="shared" si="43"/>
        <v>4</v>
      </c>
      <c r="V152" t="str">
        <f t="shared" si="44"/>
        <v>, 1, 2, 3, 4</v>
      </c>
    </row>
    <row r="153" spans="1:22">
      <c r="A153" t="s">
        <v>5336</v>
      </c>
      <c r="F153">
        <v>45</v>
      </c>
      <c r="H153">
        <v>6</v>
      </c>
      <c r="J153" t="s">
        <v>5297</v>
      </c>
      <c r="M153" t="s">
        <v>2246</v>
      </c>
      <c r="O153" t="str">
        <f t="shared" si="38"/>
        <v>condorProc.py --series 07180331_2337 --donoise --dumps a --procenv environments/pymidas_USD1.env &amp;</v>
      </c>
      <c r="P153" t="str">
        <f t="shared" si="39"/>
        <v>, "07180331_1934", "07180331_2035", "07180331_2135", "07180331_2236", "07180331_2337"</v>
      </c>
      <c r="Q153" t="str">
        <f t="shared" si="40"/>
        <v>, "p6", "p6", "p6", "p6", "p6"</v>
      </c>
      <c r="R153" t="str">
        <f t="shared" si="41"/>
        <v>, 1, 1, 1, 1, 1</v>
      </c>
      <c r="S153">
        <v>21</v>
      </c>
      <c r="T153" t="str">
        <f t="shared" si="42"/>
        <v>, "Ba", "Ba", "Ba", "Ba", "Ba"</v>
      </c>
      <c r="U153">
        <f t="shared" si="43"/>
        <v>5</v>
      </c>
      <c r="V153" t="str">
        <f t="shared" si="44"/>
        <v>, 1, 2, 3, 4, 5</v>
      </c>
    </row>
    <row r="154" spans="1:22">
      <c r="A154" t="s">
        <v>5337</v>
      </c>
      <c r="F154">
        <v>45</v>
      </c>
      <c r="H154">
        <v>6</v>
      </c>
      <c r="J154" t="s">
        <v>5297</v>
      </c>
      <c r="M154" t="s">
        <v>2246</v>
      </c>
      <c r="O154" t="str">
        <f t="shared" si="38"/>
        <v>condorProc.py --series 07180401_0038 --donoise --dumps a --procenv environments/pymidas_USD1.env &amp;</v>
      </c>
      <c r="P154" t="str">
        <f t="shared" si="39"/>
        <v>, "07180331_1934", "07180331_2035", "07180331_2135", "07180331_2236", "07180331_2337", "07180401_0038"</v>
      </c>
      <c r="Q154" t="str">
        <f t="shared" si="40"/>
        <v>, "p6", "p6", "p6", "p6", "p6", "p6"</v>
      </c>
      <c r="R154" t="str">
        <f t="shared" si="41"/>
        <v>, 1, 1, 1, 1, 1, 1</v>
      </c>
      <c r="S154">
        <v>22</v>
      </c>
      <c r="T154" t="str">
        <f t="shared" si="42"/>
        <v>, "Ba", "Ba", "Ba", "Ba", "Ba", "Ba"</v>
      </c>
      <c r="U154">
        <f t="shared" si="43"/>
        <v>6</v>
      </c>
      <c r="V154" t="str">
        <f t="shared" si="44"/>
        <v>, 1, 2, 3, 4, 5, 6</v>
      </c>
    </row>
    <row r="155" spans="1:22">
      <c r="A155" t="s">
        <v>5338</v>
      </c>
      <c r="F155">
        <v>45</v>
      </c>
      <c r="H155">
        <v>6</v>
      </c>
      <c r="J155" t="s">
        <v>5297</v>
      </c>
      <c r="M155" t="s">
        <v>2246</v>
      </c>
      <c r="O155" t="str">
        <f t="shared" si="38"/>
        <v>condorProc.py --series 07180401_0139 --donoise --dumps a --procenv environments/pymidas_USD1.env &amp;</v>
      </c>
      <c r="P155" t="str">
        <f t="shared" si="39"/>
        <v>, "07180331_1934", "07180331_2035", "07180331_2135", "07180331_2236", "07180331_2337", "07180401_0038", "07180401_0139"</v>
      </c>
      <c r="Q155" t="str">
        <f t="shared" si="40"/>
        <v>, "p6", "p6", "p6", "p6", "p6", "p6", "p6"</v>
      </c>
      <c r="R155" t="str">
        <f t="shared" si="41"/>
        <v>, 1, 1, 1, 1, 1, 1, 1</v>
      </c>
      <c r="S155">
        <v>23</v>
      </c>
      <c r="T155" t="str">
        <f t="shared" si="42"/>
        <v>, "Ba", "Ba", "Ba", "Ba", "Ba", "Ba", "Ba"</v>
      </c>
      <c r="U155">
        <f t="shared" si="43"/>
        <v>7</v>
      </c>
      <c r="V155" t="str">
        <f t="shared" si="44"/>
        <v>, 1, 2, 3, 4, 5, 6, 7</v>
      </c>
    </row>
    <row r="156" spans="1:22">
      <c r="A156" t="s">
        <v>5339</v>
      </c>
      <c r="F156">
        <v>45</v>
      </c>
      <c r="H156">
        <v>6</v>
      </c>
      <c r="J156" t="s">
        <v>5297</v>
      </c>
      <c r="M156" t="s">
        <v>2246</v>
      </c>
      <c r="O156" t="str">
        <f t="shared" si="38"/>
        <v>condorProc.py --series 07180401_0240 --donoise --dumps a --procenv environments/pymidas_USD1.env &amp;</v>
      </c>
      <c r="P156" t="str">
        <f t="shared" si="39"/>
        <v>, "07180331_1934", "07180331_2035", "07180331_2135", "07180331_2236", "07180331_2337", "07180401_0038", "07180401_0139", "07180401_0240"</v>
      </c>
      <c r="Q156" t="str">
        <f t="shared" si="40"/>
        <v>, "p6", "p6", "p6", "p6", "p6", "p6", "p6", "p6"</v>
      </c>
      <c r="R156" t="str">
        <f t="shared" si="41"/>
        <v>, 1, 1, 1, 1, 1, 1, 1, 1</v>
      </c>
      <c r="S156">
        <v>24</v>
      </c>
      <c r="T156" t="str">
        <f t="shared" si="42"/>
        <v>, "Ba", "Ba", "Ba", "Ba", "Ba", "Ba", "Ba", "Ba"</v>
      </c>
      <c r="U156">
        <f t="shared" si="43"/>
        <v>8</v>
      </c>
      <c r="V156" t="str">
        <f t="shared" si="44"/>
        <v>, 1, 2, 3, 4, 5, 6, 7, 8</v>
      </c>
    </row>
    <row r="157" spans="1:22">
      <c r="A157" t="s">
        <v>5340</v>
      </c>
      <c r="F157">
        <v>45</v>
      </c>
      <c r="H157">
        <v>-6</v>
      </c>
      <c r="J157" t="s">
        <v>5297</v>
      </c>
      <c r="M157" t="s">
        <v>2246</v>
      </c>
      <c r="O157" t="str">
        <f t="shared" si="38"/>
        <v>condorProc.py --series 07180401_1031 --donoise --dumps a --procenv environments/pymidas_USD1.env &amp;</v>
      </c>
      <c r="P157" t="str">
        <f t="shared" si="39"/>
        <v>, "07180331_1934", "07180331_2035", "07180331_2135", "07180331_2236", "07180331_2337", "07180401_0038", "07180401_0139", "07180401_0240", "07180401_1031"</v>
      </c>
      <c r="Q157" t="str">
        <f t="shared" si="40"/>
        <v>, "p6", "p6", "p6", "p6", "p6", "p6", "p6", "p6", "n6"</v>
      </c>
      <c r="R157" t="str">
        <f t="shared" si="41"/>
        <v>, 1, 1, 1, 1, 1, 1, 1, 1, -1</v>
      </c>
      <c r="S157">
        <v>9</v>
      </c>
      <c r="T157" t="str">
        <f t="shared" si="42"/>
        <v>, "Ba", "Ba", "Ba", "Ba", "Ba", "Ba", "Ba", "Ba", "Ba"</v>
      </c>
      <c r="U157">
        <f t="shared" si="43"/>
        <v>0</v>
      </c>
      <c r="V157" t="str">
        <f t="shared" si="44"/>
        <v>, 1, 2, 3, 4, 5, 6, 7, 8, 0</v>
      </c>
    </row>
    <row r="158" spans="1:22">
      <c r="A158" t="s">
        <v>5341</v>
      </c>
      <c r="F158">
        <v>45</v>
      </c>
      <c r="H158">
        <v>-6</v>
      </c>
      <c r="J158" t="s">
        <v>5297</v>
      </c>
      <c r="M158" t="s">
        <v>2246</v>
      </c>
      <c r="O158" t="str">
        <f t="shared" si="38"/>
        <v>condorProc.py --series 07180401_1132 --donoise --dumps a --procenv environments/pymidas_USD1.env &amp;</v>
      </c>
      <c r="P158" t="str">
        <f t="shared" si="39"/>
        <v>, "07180331_1934", "07180331_2035", "07180331_2135", "07180331_2236", "07180331_2337", "07180401_0038", "07180401_0139", "07180401_0240", "07180401_1031", "07180401_1132"</v>
      </c>
      <c r="Q158" t="str">
        <f t="shared" si="40"/>
        <v>, "p6", "p6", "p6", "p6", "p6", "p6", "p6", "p6", "n6", "n6"</v>
      </c>
      <c r="R158" t="str">
        <f t="shared" si="41"/>
        <v>, 1, 1, 1, 1, 1, 1, 1, 1, -1, -1</v>
      </c>
      <c r="S158">
        <v>10</v>
      </c>
      <c r="T158" t="str">
        <f t="shared" si="42"/>
        <v>, "Ba", "Ba", "Ba", "Ba", "Ba", "Ba", "Ba", "Ba", "Ba", "Ba"</v>
      </c>
      <c r="U158">
        <f t="shared" si="43"/>
        <v>1</v>
      </c>
      <c r="V158" t="str">
        <f t="shared" si="44"/>
        <v>, 1, 2, 3, 4, 5, 6, 7, 8, 0, 1</v>
      </c>
    </row>
    <row r="159" spans="1:22">
      <c r="A159" t="s">
        <v>5342</v>
      </c>
      <c r="F159">
        <v>45</v>
      </c>
      <c r="H159">
        <v>-6</v>
      </c>
      <c r="J159" t="s">
        <v>5297</v>
      </c>
      <c r="M159" t="s">
        <v>2246</v>
      </c>
      <c r="O159" t="str">
        <f t="shared" si="38"/>
        <v>condorProc.py --series 07180401_1233 --donoise --dumps a --procenv environments/pymidas_USD1.env &amp;</v>
      </c>
      <c r="P159" t="str">
        <f t="shared" si="39"/>
        <v>, "07180331_1934", "07180331_2035", "07180331_2135", "07180331_2236", "07180331_2337", "07180401_0038", "07180401_0139", "07180401_0240", "07180401_1031", "07180401_1132", "07180401_1233"</v>
      </c>
      <c r="Q159" t="str">
        <f t="shared" si="40"/>
        <v>, "p6", "p6", "p6", "p6", "p6", "p6", "p6", "p6", "n6", "n6", "n6"</v>
      </c>
      <c r="R159" t="str">
        <f t="shared" si="41"/>
        <v>, 1, 1, 1, 1, 1, 1, 1, 1, -1, -1, -1</v>
      </c>
      <c r="S159">
        <v>11</v>
      </c>
      <c r="T159" t="str">
        <f t="shared" si="42"/>
        <v>, "Ba", "Ba", "Ba", "Ba", "Ba", "Ba", "Ba", "Ba", "Ba", "Ba", "Ba"</v>
      </c>
      <c r="U159">
        <f t="shared" si="43"/>
        <v>2</v>
      </c>
      <c r="V159" t="str">
        <f t="shared" si="44"/>
        <v>, 1, 2, 3, 4, 5, 6, 7, 8, 0, 1, 2</v>
      </c>
    </row>
    <row r="160" spans="1:22">
      <c r="A160" t="s">
        <v>5343</v>
      </c>
      <c r="F160">
        <v>45</v>
      </c>
      <c r="H160">
        <v>-6</v>
      </c>
      <c r="J160" t="s">
        <v>5297</v>
      </c>
      <c r="M160" t="s">
        <v>2246</v>
      </c>
      <c r="O160" t="str">
        <f t="shared" si="38"/>
        <v>condorProc.py --series 07180401_1333 --donoise --dumps a --procenv environments/pymidas_USD1.env &amp;</v>
      </c>
      <c r="P160" t="str">
        <f t="shared" si="39"/>
        <v>, "07180331_1934", "07180331_2035", "07180331_2135", "07180331_2236", "07180331_2337", "07180401_0038", "07180401_0139", "07180401_0240", "07180401_1031", "07180401_1132", "07180401_1233", "07180401_1333"</v>
      </c>
      <c r="Q160" t="str">
        <f t="shared" si="40"/>
        <v>, "p6", "p6", "p6", "p6", "p6", "p6", "p6", "p6", "n6", "n6", "n6", "n6"</v>
      </c>
      <c r="R160" t="str">
        <f t="shared" si="41"/>
        <v>, 1, 1, 1, 1, 1, 1, 1, 1, -1, -1, -1, -1</v>
      </c>
      <c r="S160">
        <v>12</v>
      </c>
      <c r="T160" t="str">
        <f t="shared" si="42"/>
        <v>, "Ba", "Ba", "Ba", "Ba", "Ba", "Ba", "Ba", "Ba", "Ba", "Ba", "Ba", "Ba"</v>
      </c>
      <c r="U160">
        <f t="shared" si="43"/>
        <v>3</v>
      </c>
      <c r="V160" t="str">
        <f t="shared" si="44"/>
        <v>, 1, 2, 3, 4, 5, 6, 7, 8, 0, 1, 2, 3</v>
      </c>
    </row>
    <row r="161" spans="1:22">
      <c r="A161" t="s">
        <v>5344</v>
      </c>
      <c r="F161">
        <v>45</v>
      </c>
      <c r="H161">
        <v>-6</v>
      </c>
      <c r="J161" t="s">
        <v>5297</v>
      </c>
      <c r="M161" t="s">
        <v>2246</v>
      </c>
      <c r="O161" t="str">
        <f t="shared" si="38"/>
        <v>condorProc.py --series 07180401_1434 --donoise --dumps a --procenv environments/pymidas_USD1.env &amp;</v>
      </c>
      <c r="P161" t="str">
        <f t="shared" si="39"/>
        <v>, "07180331_1934", "07180331_2035", "07180331_2135", "07180331_2236", "07180331_2337", "07180401_0038", "07180401_0139", "07180401_0240", "07180401_1031", "07180401_1132", "07180401_1233", "07180401_1333", "07180401_1434"</v>
      </c>
      <c r="Q161" t="str">
        <f t="shared" si="40"/>
        <v>, "p6", "p6", "p6", "p6", "p6", "p6", "p6", "p6", "n6", "n6", "n6", "n6", "n6"</v>
      </c>
      <c r="R161" t="str">
        <f t="shared" si="41"/>
        <v>, 1, 1, 1, 1, 1, 1, 1, 1, -1, -1, -1, -1, -1</v>
      </c>
      <c r="S161">
        <v>13</v>
      </c>
      <c r="T161" t="str">
        <f t="shared" si="42"/>
        <v>, "Ba", "Ba", "Ba", "Ba", "Ba", "Ba", "Ba", "Ba", "Ba", "Ba", "Ba", "Ba", "Ba"</v>
      </c>
      <c r="U161">
        <f t="shared" si="43"/>
        <v>4</v>
      </c>
      <c r="V161" t="str">
        <f t="shared" si="44"/>
        <v>, 1, 2, 3, 4, 5, 6, 7, 8, 0, 1, 2, 3, 4</v>
      </c>
    </row>
    <row r="162" spans="1:22" ht="14.25" customHeight="1">
      <c r="A162" t="s">
        <v>5345</v>
      </c>
      <c r="F162">
        <v>45</v>
      </c>
      <c r="H162">
        <v>-6</v>
      </c>
      <c r="J162" t="s">
        <v>5297</v>
      </c>
      <c r="M162" t="s">
        <v>2246</v>
      </c>
      <c r="O162" t="str">
        <f t="shared" si="38"/>
        <v>condorProc.py --series 07180401_1535 --donoise --dumps a --procenv environments/pymidas_USD1.env &amp;</v>
      </c>
      <c r="P162" t="str">
        <f t="shared" si="39"/>
        <v>, "07180331_1934", "07180331_2035", "07180331_2135", "07180331_2236", "07180331_2337", "07180401_0038", "07180401_0139", "07180401_0240", "07180401_1031", "07180401_1132", "07180401_1233", "07180401_1333", "07180401_1434", "07180401_1535"</v>
      </c>
      <c r="Q162" t="str">
        <f t="shared" si="40"/>
        <v>, "p6", "p6", "p6", "p6", "p6", "p6", "p6", "p6", "n6", "n6", "n6", "n6", "n6", "n6"</v>
      </c>
      <c r="R162" t="str">
        <f t="shared" si="41"/>
        <v>, 1, 1, 1, 1, 1, 1, 1, 1, -1, -1, -1, -1, -1, -1</v>
      </c>
      <c r="S162">
        <v>14</v>
      </c>
      <c r="T162" t="str">
        <f t="shared" si="42"/>
        <v>, "Ba", "Ba", "Ba", "Ba", "Ba", "Ba", "Ba", "Ba", "Ba", "Ba", "Ba", "Ba", "Ba", "Ba"</v>
      </c>
      <c r="U162">
        <f t="shared" si="43"/>
        <v>5</v>
      </c>
      <c r="V162" t="str">
        <f t="shared" si="44"/>
        <v>, 1, 2, 3, 4, 5, 6, 7, 8, 0, 1, 2, 3, 4, 5</v>
      </c>
    </row>
    <row r="163" spans="1:22">
      <c r="A163" t="s">
        <v>5346</v>
      </c>
      <c r="F163">
        <v>45</v>
      </c>
      <c r="H163">
        <v>-6</v>
      </c>
      <c r="J163" t="s">
        <v>5297</v>
      </c>
      <c r="M163" t="s">
        <v>2246</v>
      </c>
      <c r="O163" t="str">
        <f t="shared" si="38"/>
        <v>condorProc.py --series 07180401_1636 --donoise --dumps a --procenv environments/pymidas_USD1.env &amp;</v>
      </c>
      <c r="P163" t="str">
        <f t="shared" si="39"/>
        <v>, "07180331_1934", "07180331_2035", "07180331_2135", "07180331_2236", "07180331_2337", "07180401_0038", "07180401_0139", "07180401_0240", "07180401_1031", "07180401_1132", "07180401_1233", "07180401_1333", "07180401_1434", "07180401_1535", "07180401_1636"</v>
      </c>
      <c r="Q163" t="str">
        <f t="shared" si="40"/>
        <v>, "p6", "p6", "p6", "p6", "p6", "p6", "p6", "p6", "n6", "n6", "n6", "n6", "n6", "n6", "n6"</v>
      </c>
      <c r="R163" t="str">
        <f t="shared" si="41"/>
        <v>, 1, 1, 1, 1, 1, 1, 1, 1, -1, -1, -1, -1, -1, -1, -1</v>
      </c>
      <c r="S163">
        <v>15</v>
      </c>
      <c r="T163" t="str">
        <f t="shared" si="42"/>
        <v>, "Ba", "Ba", "Ba", "Ba", "Ba", "Ba", "Ba", "Ba", "Ba", "Ba", "Ba", "Ba", "Ba", "Ba", "Ba"</v>
      </c>
      <c r="U163">
        <f t="shared" si="43"/>
        <v>6</v>
      </c>
      <c r="V163" t="str">
        <f t="shared" si="44"/>
        <v>, 1, 2, 3, 4, 5, 6, 7, 8, 0, 1, 2, 3, 4, 5, 6</v>
      </c>
    </row>
    <row r="164" spans="1:22">
      <c r="A164" t="s">
        <v>5347</v>
      </c>
      <c r="F164">
        <v>45</v>
      </c>
      <c r="H164">
        <v>-6</v>
      </c>
      <c r="J164" t="s">
        <v>5297</v>
      </c>
      <c r="M164" t="s">
        <v>2246</v>
      </c>
      <c r="O164" t="str">
        <f t="shared" si="38"/>
        <v>condorProc.py --series 07180401_1737 --donoise --dumps a --procenv environments/pymidas_USD1.env &amp;</v>
      </c>
      <c r="P164" t="str">
        <f t="shared" si="39"/>
        <v>, "07180331_1934", "07180331_2035", "07180331_2135", "07180331_2236", "07180331_2337", "07180401_0038", "07180401_0139", "07180401_0240", "07180401_1031", "07180401_1132", "07180401_1233", "07180401_1333", "07180401_1434", "07180401_1535", "07180401_1636", "07180401_1737"</v>
      </c>
      <c r="Q164" t="str">
        <f t="shared" si="40"/>
        <v>, "p6", "p6", "p6", "p6", "p6", "p6", "p6", "p6", "n6", "n6", "n6", "n6", "n6", "n6", "n6", "n6"</v>
      </c>
      <c r="R164" t="str">
        <f t="shared" si="41"/>
        <v>, 1, 1, 1, 1, 1, 1, 1, 1, -1, -1, -1, -1, -1, -1, -1, -1</v>
      </c>
      <c r="S164">
        <v>16</v>
      </c>
      <c r="T164" t="str">
        <f t="shared" si="42"/>
        <v>, "Ba", "Ba", "Ba", "Ba", "Ba", "Ba", "Ba", "Ba", "Ba", "Ba", "Ba", "Ba", "Ba", "Ba", "Ba", "Ba"</v>
      </c>
      <c r="U164">
        <f t="shared" si="43"/>
        <v>7</v>
      </c>
      <c r="V164" t="str">
        <f t="shared" si="44"/>
        <v>, 1, 2, 3, 4, 5, 6, 7, 8, 0, 1, 2, 3, 4, 5, 6, 7</v>
      </c>
    </row>
    <row r="165" spans="1:22" s="8" customFormat="1">
      <c r="A165" s="8" t="s">
        <v>5348</v>
      </c>
      <c r="F165" s="8">
        <v>36</v>
      </c>
      <c r="H165" s="8">
        <v>8</v>
      </c>
      <c r="J165" s="8" t="s">
        <v>5297</v>
      </c>
      <c r="K165" s="8" t="s">
        <v>2819</v>
      </c>
      <c r="U165"/>
      <c r="V165"/>
    </row>
    <row r="166" spans="1:22">
      <c r="A166" t="s">
        <v>5349</v>
      </c>
      <c r="F166">
        <v>110</v>
      </c>
      <c r="H166">
        <v>8</v>
      </c>
      <c r="J166" t="s">
        <v>5297</v>
      </c>
      <c r="K166" t="s">
        <v>5350</v>
      </c>
      <c r="M166" t="s">
        <v>2246</v>
      </c>
      <c r="O166" t="str">
        <f t="shared" ref="O166:O174" si="45">"condorProc.py --series "&amp;A166&amp;" --donoise --dumps a --procenv environments/pymidas_USD1.env &amp;"</f>
        <v>condorProc.py --series 07180401_2020 --donoise --dumps a --procenv environments/pymidas_USD1.env &amp;</v>
      </c>
    </row>
    <row r="167" spans="1:22">
      <c r="A167" t="s">
        <v>5351</v>
      </c>
      <c r="F167">
        <v>45</v>
      </c>
      <c r="H167">
        <v>8</v>
      </c>
      <c r="J167" t="s">
        <v>5297</v>
      </c>
      <c r="K167" t="s">
        <v>2441</v>
      </c>
      <c r="M167" t="s">
        <v>2246</v>
      </c>
      <c r="O167" t="str">
        <f t="shared" si="45"/>
        <v>condorProc.py --series 07180401_2231 --donoise --dumps a --procenv environments/pymidas_USD1.env &amp;</v>
      </c>
      <c r="P167" t="str">
        <f t="shared" ref="P167:P174" si="46">P166&amp;", """&amp;A167&amp;""""</f>
        <v>, "07180401_2231"</v>
      </c>
      <c r="Q167" t="str">
        <f t="shared" ref="Q167:Q174" si="47">Q166&amp;", """&amp;SUBSTITUTE(IF(LEFT(H167,1)="-","n"&amp;RIGHT(H167,LEN(H167)-1),"p"&amp;H167),".","o")&amp;""""</f>
        <v>, "p8"</v>
      </c>
      <c r="R167" t="str">
        <f t="shared" ref="R167:R174" si="48">R166&amp;", "&amp;IF(H167&gt;0,1,-1)</f>
        <v>, 1</v>
      </c>
      <c r="S167">
        <v>31</v>
      </c>
      <c r="T167" t="str">
        <f t="shared" ref="T167:T174" si="49">T166&amp;", """&amp;IF(J167="Ba","Ba","Am")&amp;""""</f>
        <v>, "Ba"</v>
      </c>
      <c r="U167">
        <f t="shared" ref="U167:U174" si="50">IF(AND(H167=H166,J167=J166),U166+1,0)</f>
        <v>1</v>
      </c>
      <c r="V167" t="str">
        <f t="shared" ref="V167:V174" si="51">V166&amp;", "&amp;U167</f>
        <v>, 1</v>
      </c>
    </row>
    <row r="168" spans="1:22">
      <c r="A168" t="s">
        <v>5352</v>
      </c>
      <c r="F168">
        <v>45</v>
      </c>
      <c r="H168">
        <v>8</v>
      </c>
      <c r="J168" t="s">
        <v>5297</v>
      </c>
      <c r="M168" t="s">
        <v>2246</v>
      </c>
      <c r="O168" t="str">
        <f t="shared" si="45"/>
        <v>condorProc.py --series 07180401_2332 --donoise --dumps a --procenv environments/pymidas_USD1.env &amp;</v>
      </c>
      <c r="P168" t="str">
        <f t="shared" si="46"/>
        <v>, "07180401_2231", "07180401_2332"</v>
      </c>
      <c r="Q168" t="str">
        <f t="shared" si="47"/>
        <v>, "p8", "p8"</v>
      </c>
      <c r="R168" t="str">
        <f t="shared" si="48"/>
        <v>, 1, 1</v>
      </c>
      <c r="S168">
        <v>32</v>
      </c>
      <c r="T168" t="str">
        <f t="shared" si="49"/>
        <v>, "Ba", "Ba"</v>
      </c>
      <c r="U168">
        <f t="shared" si="50"/>
        <v>2</v>
      </c>
      <c r="V168" t="str">
        <f t="shared" si="51"/>
        <v>, 1, 2</v>
      </c>
    </row>
    <row r="169" spans="1:22">
      <c r="A169" t="s">
        <v>5353</v>
      </c>
      <c r="F169">
        <v>45</v>
      </c>
      <c r="H169">
        <v>8</v>
      </c>
      <c r="J169" t="s">
        <v>5297</v>
      </c>
      <c r="M169" t="s">
        <v>2246</v>
      </c>
      <c r="O169" t="str">
        <f t="shared" si="45"/>
        <v>condorProc.py --series 07180402_0032 --donoise --dumps a --procenv environments/pymidas_USD1.env &amp;</v>
      </c>
      <c r="P169" t="str">
        <f t="shared" si="46"/>
        <v>, "07180401_2231", "07180401_2332", "07180402_0032"</v>
      </c>
      <c r="Q169" t="str">
        <f t="shared" si="47"/>
        <v>, "p8", "p8", "p8"</v>
      </c>
      <c r="R169" t="str">
        <f t="shared" si="48"/>
        <v>, 1, 1, 1</v>
      </c>
      <c r="S169">
        <v>33</v>
      </c>
      <c r="T169" t="str">
        <f t="shared" si="49"/>
        <v>, "Ba", "Ba", "Ba"</v>
      </c>
      <c r="U169">
        <f t="shared" si="50"/>
        <v>3</v>
      </c>
      <c r="V169" t="str">
        <f t="shared" si="51"/>
        <v>, 1, 2, 3</v>
      </c>
    </row>
    <row r="170" spans="1:22">
      <c r="A170" t="s">
        <v>5354</v>
      </c>
      <c r="F170">
        <v>45</v>
      </c>
      <c r="H170">
        <v>8</v>
      </c>
      <c r="J170" t="s">
        <v>5297</v>
      </c>
      <c r="M170" t="s">
        <v>2246</v>
      </c>
      <c r="O170" t="str">
        <f t="shared" si="45"/>
        <v>condorProc.py --series 07180402_0133 --donoise --dumps a --procenv environments/pymidas_USD1.env &amp;</v>
      </c>
      <c r="P170" t="str">
        <f t="shared" si="46"/>
        <v>, "07180401_2231", "07180401_2332", "07180402_0032", "07180402_0133"</v>
      </c>
      <c r="Q170" t="str">
        <f t="shared" si="47"/>
        <v>, "p8", "p8", "p8", "p8"</v>
      </c>
      <c r="R170" t="str">
        <f t="shared" si="48"/>
        <v>, 1, 1, 1, 1</v>
      </c>
      <c r="S170">
        <v>34</v>
      </c>
      <c r="T170" t="str">
        <f t="shared" si="49"/>
        <v>, "Ba", "Ba", "Ba", "Ba"</v>
      </c>
      <c r="U170">
        <f t="shared" si="50"/>
        <v>4</v>
      </c>
      <c r="V170" t="str">
        <f t="shared" si="51"/>
        <v>, 1, 2, 3, 4</v>
      </c>
    </row>
    <row r="171" spans="1:22">
      <c r="A171" t="s">
        <v>5355</v>
      </c>
      <c r="F171">
        <v>45</v>
      </c>
      <c r="H171">
        <v>8</v>
      </c>
      <c r="J171" t="s">
        <v>5297</v>
      </c>
      <c r="M171" t="s">
        <v>2246</v>
      </c>
      <c r="O171" t="str">
        <f t="shared" si="45"/>
        <v>condorProc.py --series 07180402_0234 --donoise --dumps a --procenv environments/pymidas_USD1.env &amp;</v>
      </c>
      <c r="P171" t="str">
        <f t="shared" si="46"/>
        <v>, "07180401_2231", "07180401_2332", "07180402_0032", "07180402_0133", "07180402_0234"</v>
      </c>
      <c r="Q171" t="str">
        <f t="shared" si="47"/>
        <v>, "p8", "p8", "p8", "p8", "p8"</v>
      </c>
      <c r="R171" t="str">
        <f t="shared" si="48"/>
        <v>, 1, 1, 1, 1, 1</v>
      </c>
      <c r="S171">
        <v>35</v>
      </c>
      <c r="T171" t="str">
        <f t="shared" si="49"/>
        <v>, "Ba", "Ba", "Ba", "Ba", "Ba"</v>
      </c>
      <c r="U171">
        <f t="shared" si="50"/>
        <v>5</v>
      </c>
      <c r="V171" t="str">
        <f t="shared" si="51"/>
        <v>, 1, 2, 3, 4, 5</v>
      </c>
    </row>
    <row r="172" spans="1:22">
      <c r="A172" t="s">
        <v>5356</v>
      </c>
      <c r="F172">
        <v>45</v>
      </c>
      <c r="H172">
        <v>8</v>
      </c>
      <c r="J172" t="s">
        <v>5297</v>
      </c>
      <c r="M172" t="s">
        <v>2246</v>
      </c>
      <c r="O172" t="str">
        <f t="shared" si="45"/>
        <v>condorProc.py --series 07180402_0335 --donoise --dumps a --procenv environments/pymidas_USD1.env &amp;</v>
      </c>
      <c r="P172" t="str">
        <f t="shared" si="46"/>
        <v>, "07180401_2231", "07180401_2332", "07180402_0032", "07180402_0133", "07180402_0234", "07180402_0335"</v>
      </c>
      <c r="Q172" t="str">
        <f t="shared" si="47"/>
        <v>, "p8", "p8", "p8", "p8", "p8", "p8"</v>
      </c>
      <c r="R172" t="str">
        <f t="shared" si="48"/>
        <v>, 1, 1, 1, 1, 1, 1</v>
      </c>
      <c r="S172">
        <v>36</v>
      </c>
      <c r="T172" t="str">
        <f t="shared" si="49"/>
        <v>, "Ba", "Ba", "Ba", "Ba", "Ba", "Ba"</v>
      </c>
      <c r="U172">
        <f t="shared" si="50"/>
        <v>6</v>
      </c>
      <c r="V172" t="str">
        <f t="shared" si="51"/>
        <v>, 1, 2, 3, 4, 5, 6</v>
      </c>
    </row>
    <row r="173" spans="1:22">
      <c r="A173" t="s">
        <v>5357</v>
      </c>
      <c r="F173">
        <v>45</v>
      </c>
      <c r="H173">
        <v>8</v>
      </c>
      <c r="J173" t="s">
        <v>5297</v>
      </c>
      <c r="M173" t="s">
        <v>2246</v>
      </c>
      <c r="O173" t="str">
        <f t="shared" si="45"/>
        <v>condorProc.py --series 07180402_0436 --donoise --dumps a --procenv environments/pymidas_USD1.env &amp;</v>
      </c>
      <c r="P173" t="str">
        <f t="shared" si="46"/>
        <v>, "07180401_2231", "07180401_2332", "07180402_0032", "07180402_0133", "07180402_0234", "07180402_0335", "07180402_0436"</v>
      </c>
      <c r="Q173" t="str">
        <f t="shared" si="47"/>
        <v>, "p8", "p8", "p8", "p8", "p8", "p8", "p8"</v>
      </c>
      <c r="R173" t="str">
        <f t="shared" si="48"/>
        <v>, 1, 1, 1, 1, 1, 1, 1</v>
      </c>
      <c r="S173">
        <v>37</v>
      </c>
      <c r="T173" t="str">
        <f t="shared" si="49"/>
        <v>, "Ba", "Ba", "Ba", "Ba", "Ba", "Ba", "Ba"</v>
      </c>
      <c r="U173">
        <f t="shared" si="50"/>
        <v>7</v>
      </c>
      <c r="V173" t="str">
        <f t="shared" si="51"/>
        <v>, 1, 2, 3, 4, 5, 6, 7</v>
      </c>
    </row>
    <row r="174" spans="1:22">
      <c r="A174" t="s">
        <v>5358</v>
      </c>
      <c r="F174">
        <v>45</v>
      </c>
      <c r="H174">
        <v>8</v>
      </c>
      <c r="J174" t="s">
        <v>5297</v>
      </c>
      <c r="M174" t="s">
        <v>2246</v>
      </c>
      <c r="O174" t="str">
        <f t="shared" si="45"/>
        <v>condorProc.py --series 07180402_0537 --donoise --dumps a --procenv environments/pymidas_USD1.env &amp;</v>
      </c>
      <c r="P174" t="str">
        <f t="shared" si="46"/>
        <v>, "07180401_2231", "07180401_2332", "07180402_0032", "07180402_0133", "07180402_0234", "07180402_0335", "07180402_0436", "07180402_0537"</v>
      </c>
      <c r="Q174" t="str">
        <f t="shared" si="47"/>
        <v>, "p8", "p8", "p8", "p8", "p8", "p8", "p8", "p8"</v>
      </c>
      <c r="R174" t="str">
        <f t="shared" si="48"/>
        <v>, 1, 1, 1, 1, 1, 1, 1, 1</v>
      </c>
      <c r="S174">
        <v>38</v>
      </c>
      <c r="T174" t="str">
        <f t="shared" si="49"/>
        <v>, "Ba", "Ba", "Ba", "Ba", "Ba", "Ba", "Ba", "Ba"</v>
      </c>
      <c r="U174">
        <f t="shared" si="50"/>
        <v>8</v>
      </c>
      <c r="V174" t="str">
        <f t="shared" si="51"/>
        <v>, 1, 2, 3, 4, 5, 6, 7, 8</v>
      </c>
    </row>
    <row r="175" spans="1:22" s="8" customFormat="1">
      <c r="A175" s="8" t="s">
        <v>5359</v>
      </c>
      <c r="J175" s="8" t="s">
        <v>5360</v>
      </c>
      <c r="K175" s="8" t="s">
        <v>5360</v>
      </c>
      <c r="U175"/>
      <c r="V175"/>
    </row>
    <row r="176" spans="1:22" s="8" customFormat="1">
      <c r="A176" s="8" t="s">
        <v>5361</v>
      </c>
      <c r="J176" s="8" t="s">
        <v>5360</v>
      </c>
      <c r="K176" s="8" t="s">
        <v>5360</v>
      </c>
    </row>
    <row r="177" spans="1:22" s="8" customFormat="1">
      <c r="A177" s="8" t="s">
        <v>5362</v>
      </c>
      <c r="J177" s="8" t="s">
        <v>5360</v>
      </c>
      <c r="K177" s="8" t="s">
        <v>5360</v>
      </c>
      <c r="U177"/>
      <c r="V177"/>
    </row>
    <row r="178" spans="1:22" s="8" customFormat="1">
      <c r="A178" s="8" t="s">
        <v>5363</v>
      </c>
      <c r="F178" s="8">
        <v>1</v>
      </c>
      <c r="H178" s="8">
        <v>0</v>
      </c>
      <c r="K178" s="8" t="s">
        <v>191</v>
      </c>
      <c r="U178"/>
      <c r="V178"/>
    </row>
    <row r="179" spans="1:22" s="8" customFormat="1">
      <c r="A179" s="8" t="s">
        <v>5364</v>
      </c>
      <c r="F179" s="8">
        <v>5</v>
      </c>
      <c r="H179" s="8">
        <v>0</v>
      </c>
      <c r="K179" s="8" t="s">
        <v>2819</v>
      </c>
      <c r="U179"/>
      <c r="V179"/>
    </row>
    <row r="180" spans="1:22">
      <c r="A180" t="s">
        <v>5365</v>
      </c>
      <c r="F180" t="s">
        <v>5366</v>
      </c>
      <c r="H180" t="s">
        <v>5367</v>
      </c>
      <c r="M180" t="s">
        <v>2158</v>
      </c>
      <c r="O180" t="str">
        <f>"condorProc.py --series "&amp;A180&amp;" --donoise --dumps a --procenv environments/pymidas_USD1.env &amp;"</f>
        <v>condorProc.py --series 07180402_1315 --donoise --dumps a --procenv environments/pymidas_USD1.env &amp;</v>
      </c>
      <c r="P180" t="str">
        <f>P179&amp;", """&amp;A180&amp;""""</f>
        <v>, "07180402_1315"</v>
      </c>
      <c r="Q180" t="str">
        <f>Q179&amp;", """&amp;SUBSTITUTE(IF(LEFT(H180,1)="-","n"&amp;RIGHT(H180,LEN(H180)-1),"p"&amp;H180),".","o")&amp;""""</f>
        <v>, "p0 then 8 then 0"</v>
      </c>
      <c r="R180" t="str">
        <f>R179&amp;", "&amp;IF(H180&gt;0,1,-1)</f>
        <v>, 1</v>
      </c>
      <c r="T180" t="str">
        <f>T179&amp;", """&amp;IF(J180="Ba","Ba","Am")&amp;""""</f>
        <v>, "Am"</v>
      </c>
      <c r="U180">
        <f>IF(AND(H180=H179,J180=J179),U179+1,0)</f>
        <v>0</v>
      </c>
      <c r="V180" t="str">
        <f>V179&amp;", "&amp;U180</f>
        <v>, 0</v>
      </c>
    </row>
    <row r="181" spans="1:22">
      <c r="A181" t="s">
        <v>5368</v>
      </c>
      <c r="F181" t="s">
        <v>5369</v>
      </c>
      <c r="H181" t="s">
        <v>5370</v>
      </c>
      <c r="M181" t="s">
        <v>2158</v>
      </c>
      <c r="O181" t="str">
        <f>"condorProc.py --series "&amp;A181&amp;" --donoise --dumps a --procenv environments/pymidas_USD1.env &amp;"</f>
        <v>condorProc.py --series 07180402_1457 --donoise --dumps a --procenv environments/pymidas_USD1.env &amp;</v>
      </c>
      <c r="P181" t="str">
        <f>P180&amp;", """&amp;A181&amp;""""</f>
        <v>, "07180402_1315", "07180402_1457"</v>
      </c>
      <c r="Q181" t="str">
        <f>Q180&amp;", """&amp;SUBSTITUTE(IF(LEFT(H181,1)="-","n"&amp;RIGHT(H181,LEN(H181)-1),"p"&amp;H181),".","o")&amp;""""</f>
        <v>, "p0 then 8 then 0", "p0 then -8 then 0"</v>
      </c>
      <c r="R181" t="str">
        <f>R180&amp;", "&amp;IF(H181&gt;0,1,-1)</f>
        <v>, 1, 1</v>
      </c>
      <c r="T181" t="str">
        <f>T180&amp;", """&amp;IF(J181="Ba","Ba","Am")&amp;""""</f>
        <v>, "Am", "Am"</v>
      </c>
      <c r="U181">
        <f>IF(AND(H181=H180,J181=J180),U180+1,0)</f>
        <v>0</v>
      </c>
      <c r="V181" t="str">
        <f>V180&amp;", "&amp;U181</f>
        <v>, 0, 0</v>
      </c>
    </row>
  </sheetData>
  <sortState xmlns:xlrd2="http://schemas.microsoft.com/office/spreadsheetml/2017/richdata2" ref="A30:V181">
    <sortCondition ref="A30"/>
  </sortState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5404"/>
  <sheetViews>
    <sheetView tabSelected="1" zoomScaleNormal="100" workbookViewId="0">
      <pane ySplit="1" topLeftCell="A158" activePane="bottomLeft" state="frozen"/>
      <selection pane="bottomLeft" activeCell="A175" sqref="A175:XFD175"/>
    </sheetView>
  </sheetViews>
  <sheetFormatPr defaultRowHeight="14.45"/>
  <cols>
    <col min="1" max="1" width="15.85546875" customWidth="1"/>
    <col min="2" max="5" width="0" hidden="1" customWidth="1"/>
    <col min="7" max="7" width="10.7109375" bestFit="1" customWidth="1"/>
    <col min="8" max="8" width="5.85546875" bestFit="1" customWidth="1"/>
    <col min="9" max="9" width="10.5703125" customWidth="1"/>
    <col min="10" max="10" width="11.7109375" bestFit="1" customWidth="1"/>
    <col min="11" max="11" width="13" bestFit="1" customWidth="1"/>
    <col min="12" max="12" width="15.42578125" customWidth="1"/>
    <col min="15" max="15" width="14.5703125" bestFit="1" customWidth="1"/>
    <col min="17" max="17" width="43" customWidth="1"/>
    <col min="26" max="26" width="9.85546875" bestFit="1" customWidth="1"/>
  </cols>
  <sheetData>
    <row r="1" spans="1:20" ht="27.6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1616</v>
      </c>
      <c r="J1" s="60" t="s">
        <v>2190</v>
      </c>
      <c r="K1" s="60" t="s">
        <v>13</v>
      </c>
      <c r="L1" s="60" t="s">
        <v>2191</v>
      </c>
      <c r="M1" s="60" t="s">
        <v>1444</v>
      </c>
      <c r="N1" s="60" t="s">
        <v>4837</v>
      </c>
      <c r="O1" s="60" t="s">
        <v>4838</v>
      </c>
      <c r="P1" s="60" t="s">
        <v>2192</v>
      </c>
    </row>
    <row r="2" spans="1:20">
      <c r="A2" t="s">
        <v>5371</v>
      </c>
      <c r="I2" t="s">
        <v>1853</v>
      </c>
    </row>
    <row r="3" spans="1:20">
      <c r="A3" t="s">
        <v>5372</v>
      </c>
      <c r="H3">
        <v>0</v>
      </c>
      <c r="J3" t="s">
        <v>5373</v>
      </c>
      <c r="K3" t="s">
        <v>5374</v>
      </c>
    </row>
    <row r="4" spans="1:20">
      <c r="A4" t="s">
        <v>5375</v>
      </c>
      <c r="H4">
        <v>0</v>
      </c>
      <c r="J4" t="s">
        <v>5373</v>
      </c>
      <c r="K4" t="s">
        <v>5376</v>
      </c>
      <c r="N4" t="s">
        <v>5377</v>
      </c>
    </row>
    <row r="5" spans="1:20">
      <c r="A5" t="s">
        <v>5378</v>
      </c>
      <c r="H5">
        <v>0</v>
      </c>
      <c r="J5" t="s">
        <v>5373</v>
      </c>
      <c r="K5" t="s">
        <v>5376</v>
      </c>
    </row>
    <row r="6" spans="1:20">
      <c r="A6" t="s">
        <v>5379</v>
      </c>
      <c r="H6">
        <v>100</v>
      </c>
      <c r="J6" t="s">
        <v>5373</v>
      </c>
      <c r="K6" t="s">
        <v>5376</v>
      </c>
    </row>
    <row r="7" spans="1:20">
      <c r="A7" t="s">
        <v>5380</v>
      </c>
      <c r="H7">
        <v>100</v>
      </c>
      <c r="J7" t="s">
        <v>5373</v>
      </c>
      <c r="K7" t="s">
        <v>5376</v>
      </c>
    </row>
    <row r="8" spans="1:20">
      <c r="A8" t="s">
        <v>5381</v>
      </c>
      <c r="F8">
        <v>60</v>
      </c>
      <c r="H8">
        <v>100</v>
      </c>
      <c r="K8" s="62"/>
      <c r="M8" t="s">
        <v>5382</v>
      </c>
      <c r="Q8" t="str">
        <f>"condorProc.py --series "&amp;A8&amp;" --donoise  --dumps a --procenv environments/pymidas_HVHVmf.env"</f>
        <v>condorProc.py --series 07180601_1712 --donoise  --dumps a --procenv environments/pymidas_HVHVmf.env</v>
      </c>
      <c r="R8" t="str">
        <f>""""&amp;A8&amp;""""</f>
        <v>"07180601_1712"</v>
      </c>
      <c r="S8" t="str">
        <f>"mv "&amp;A8&amp;" p1_"&amp;A8</f>
        <v>mv 07180601_1712 p1_07180601_1712</v>
      </c>
      <c r="T8" t="str">
        <f>"mv umn_Filter_"&amp;A8&amp;".root p1_umn_Filter_"&amp;A8&amp;".root"</f>
        <v>mv umn_Filter_07180601_1712.root p1_umn_Filter_07180601_1712.root</v>
      </c>
    </row>
    <row r="9" spans="1:20">
      <c r="A9" t="s">
        <v>5383</v>
      </c>
      <c r="F9">
        <v>60</v>
      </c>
      <c r="H9">
        <v>100</v>
      </c>
      <c r="K9" s="63" t="s">
        <v>5384</v>
      </c>
      <c r="M9" t="s">
        <v>5382</v>
      </c>
      <c r="Q9" t="str">
        <f t="shared" ref="Q9:Q44" si="0">"condorProc.py --series "&amp;A9&amp;" --donoise  --dumps a --procenv environments/pymidas_HVHVmf.env"</f>
        <v>condorProc.py --series 07180601_1813 --donoise  --dumps a --procenv environments/pymidas_HVHVmf.env</v>
      </c>
      <c r="R9" t="str">
        <f>R8&amp;", """&amp;A9&amp;""""</f>
        <v>"07180601_1712", "07180601_1813"</v>
      </c>
      <c r="S9" t="str">
        <f t="shared" ref="S9:S43" si="1">"mv "&amp;A9&amp;" p1_"&amp;A9</f>
        <v>mv 07180601_1813 p1_07180601_1813</v>
      </c>
      <c r="T9" t="str">
        <f t="shared" ref="T9:T43" si="2">"mv umn_Filter_"&amp;A9&amp;".root p1_umn_Filter_"&amp;A9&amp;".root"</f>
        <v>mv umn_Filter_07180601_1813.root p1_umn_Filter_07180601_1813.root</v>
      </c>
    </row>
    <row r="10" spans="1:20">
      <c r="A10" t="s">
        <v>5385</v>
      </c>
      <c r="F10">
        <v>60</v>
      </c>
      <c r="H10">
        <v>100</v>
      </c>
      <c r="K10" s="63" t="s">
        <v>5386</v>
      </c>
      <c r="M10" t="s">
        <v>5382</v>
      </c>
      <c r="Q10" t="str">
        <f t="shared" si="0"/>
        <v>condorProc.py --series 07180601_1913 --donoise  --dumps a --procenv environments/pymidas_HVHVmf.env</v>
      </c>
      <c r="R10" t="str">
        <f t="shared" ref="R10:R19" si="3">R9&amp;", """&amp;A10&amp;""""</f>
        <v>"07180601_1712", "07180601_1813", "07180601_1913"</v>
      </c>
      <c r="S10" t="str">
        <f t="shared" si="1"/>
        <v>mv 07180601_1913 p1_07180601_1913</v>
      </c>
      <c r="T10" t="str">
        <f t="shared" si="2"/>
        <v>mv umn_Filter_07180601_1913.root p1_umn_Filter_07180601_1913.root</v>
      </c>
    </row>
    <row r="11" spans="1:20">
      <c r="A11" t="s">
        <v>5387</v>
      </c>
      <c r="F11">
        <v>60</v>
      </c>
      <c r="H11">
        <v>100</v>
      </c>
      <c r="K11" s="63" t="s">
        <v>5388</v>
      </c>
      <c r="M11" t="s">
        <v>5382</v>
      </c>
      <c r="Q11" t="str">
        <f t="shared" si="0"/>
        <v>condorProc.py --series 07180601_2013 --donoise  --dumps a --procenv environments/pymidas_HVHVmf.env</v>
      </c>
      <c r="R11" t="str">
        <f t="shared" si="3"/>
        <v>"07180601_1712", "07180601_1813", "07180601_1913", "07180601_2013"</v>
      </c>
      <c r="S11" t="str">
        <f t="shared" si="1"/>
        <v>mv 07180601_2013 p1_07180601_2013</v>
      </c>
      <c r="T11" t="str">
        <f t="shared" si="2"/>
        <v>mv umn_Filter_07180601_2013.root p1_umn_Filter_07180601_2013.root</v>
      </c>
    </row>
    <row r="12" spans="1:20">
      <c r="A12" t="s">
        <v>5389</v>
      </c>
      <c r="F12">
        <v>60</v>
      </c>
      <c r="H12">
        <v>100</v>
      </c>
      <c r="K12" s="63"/>
      <c r="M12" t="s">
        <v>5382</v>
      </c>
      <c r="Q12" t="str">
        <f t="shared" si="0"/>
        <v>condorProc.py --series 07180601_2113 --donoise  --dumps a --procenv environments/pymidas_HVHVmf.env</v>
      </c>
      <c r="R12" t="str">
        <f t="shared" si="3"/>
        <v>"07180601_1712", "07180601_1813", "07180601_1913", "07180601_2013", "07180601_2113"</v>
      </c>
      <c r="S12" t="str">
        <f t="shared" si="1"/>
        <v>mv 07180601_2113 p1_07180601_2113</v>
      </c>
      <c r="T12" t="str">
        <f t="shared" si="2"/>
        <v>mv umn_Filter_07180601_2113.root p1_umn_Filter_07180601_2113.root</v>
      </c>
    </row>
    <row r="13" spans="1:20">
      <c r="A13" t="s">
        <v>5390</v>
      </c>
      <c r="F13">
        <v>60</v>
      </c>
      <c r="H13">
        <v>100</v>
      </c>
      <c r="K13" s="63"/>
      <c r="M13" t="s">
        <v>5382</v>
      </c>
      <c r="Q13" t="str">
        <f t="shared" si="0"/>
        <v>condorProc.py --series 07180601_2213 --donoise  --dumps a --procenv environments/pymidas_HVHVmf.env</v>
      </c>
      <c r="R13" t="str">
        <f t="shared" si="3"/>
        <v>"07180601_1712", "07180601_1813", "07180601_1913", "07180601_2013", "07180601_2113", "07180601_2213"</v>
      </c>
      <c r="S13" t="str">
        <f t="shared" si="1"/>
        <v>mv 07180601_2213 p1_07180601_2213</v>
      </c>
      <c r="T13" t="str">
        <f t="shared" si="2"/>
        <v>mv umn_Filter_07180601_2213.root p1_umn_Filter_07180601_2213.root</v>
      </c>
    </row>
    <row r="14" spans="1:20">
      <c r="A14" t="s">
        <v>5391</v>
      </c>
      <c r="F14">
        <v>60</v>
      </c>
      <c r="H14">
        <v>100</v>
      </c>
      <c r="K14" s="63"/>
      <c r="M14" t="s">
        <v>5382</v>
      </c>
      <c r="Q14" t="str">
        <f t="shared" si="0"/>
        <v>condorProc.py --series 07180601_2313 --donoise  --dumps a --procenv environments/pymidas_HVHVmf.env</v>
      </c>
      <c r="R14" t="str">
        <f t="shared" si="3"/>
        <v>"07180601_1712", "07180601_1813", "07180601_1913", "07180601_2013", "07180601_2113", "07180601_2213", "07180601_2313"</v>
      </c>
      <c r="S14" t="str">
        <f t="shared" si="1"/>
        <v>mv 07180601_2313 p1_07180601_2313</v>
      </c>
      <c r="T14" t="str">
        <f t="shared" si="2"/>
        <v>mv umn_Filter_07180601_2313.root p1_umn_Filter_07180601_2313.root</v>
      </c>
    </row>
    <row r="15" spans="1:20">
      <c r="A15" t="s">
        <v>5392</v>
      </c>
      <c r="F15">
        <v>60</v>
      </c>
      <c r="H15">
        <v>100</v>
      </c>
      <c r="K15" s="63"/>
      <c r="M15" t="s">
        <v>5382</v>
      </c>
      <c r="Q15" t="str">
        <f t="shared" si="0"/>
        <v>condorProc.py --series 07180602_0013 --donoise  --dumps a --procenv environments/pymidas_HVHVmf.env</v>
      </c>
      <c r="R15" t="str">
        <f t="shared" si="3"/>
        <v>"07180601_1712", "07180601_1813", "07180601_1913", "07180601_2013", "07180601_2113", "07180601_2213", "07180601_2313", "07180602_0013"</v>
      </c>
      <c r="S15" t="str">
        <f t="shared" si="1"/>
        <v>mv 07180602_0013 p1_07180602_0013</v>
      </c>
      <c r="T15" t="str">
        <f t="shared" si="2"/>
        <v>mv umn_Filter_07180602_0013.root p1_umn_Filter_07180602_0013.root</v>
      </c>
    </row>
    <row r="16" spans="1:20">
      <c r="A16" t="s">
        <v>5393</v>
      </c>
      <c r="F16">
        <v>60</v>
      </c>
      <c r="H16">
        <v>100</v>
      </c>
      <c r="K16" s="63"/>
      <c r="M16" t="s">
        <v>5382</v>
      </c>
      <c r="Q16" t="str">
        <f t="shared" si="0"/>
        <v>condorProc.py --series 07180602_0113 --donoise  --dumps a --procenv environments/pymidas_HVHVmf.env</v>
      </c>
      <c r="R16" t="str">
        <f t="shared" si="3"/>
        <v>"07180601_1712", "07180601_1813", "07180601_1913", "07180601_2013", "07180601_2113", "07180601_2213", "07180601_2313", "07180602_0013", "07180602_0113"</v>
      </c>
      <c r="S16" t="str">
        <f t="shared" si="1"/>
        <v>mv 07180602_0113 p1_07180602_0113</v>
      </c>
      <c r="T16" t="str">
        <f t="shared" si="2"/>
        <v>mv umn_Filter_07180602_0113.root p1_umn_Filter_07180602_0113.root</v>
      </c>
    </row>
    <row r="17" spans="1:20">
      <c r="A17" t="s">
        <v>5394</v>
      </c>
      <c r="F17">
        <v>60</v>
      </c>
      <c r="H17">
        <v>100</v>
      </c>
      <c r="K17" s="63"/>
      <c r="M17" t="s">
        <v>5382</v>
      </c>
      <c r="Q17" t="str">
        <f t="shared" si="0"/>
        <v>condorProc.py --series 07180602_0213 --donoise  --dumps a --procenv environments/pymidas_HVHVmf.env</v>
      </c>
      <c r="R17" t="str">
        <f t="shared" si="3"/>
        <v>"07180601_1712", "07180601_1813", "07180601_1913", "07180601_2013", "07180601_2113", "07180601_2213", "07180601_2313", "07180602_0013", "07180602_0113", "07180602_0213"</v>
      </c>
      <c r="S17" t="str">
        <f t="shared" si="1"/>
        <v>mv 07180602_0213 p1_07180602_0213</v>
      </c>
      <c r="T17" t="str">
        <f t="shared" si="2"/>
        <v>mv umn_Filter_07180602_0213.root p1_umn_Filter_07180602_0213.root</v>
      </c>
    </row>
    <row r="18" spans="1:20">
      <c r="A18" t="s">
        <v>5395</v>
      </c>
      <c r="F18">
        <v>60</v>
      </c>
      <c r="H18">
        <v>100</v>
      </c>
      <c r="K18" s="63"/>
      <c r="M18" t="s">
        <v>5382</v>
      </c>
      <c r="Q18" t="str">
        <f t="shared" si="0"/>
        <v>condorProc.py --series 07180602_0313 --donoise  --dumps a --procenv environments/pymidas_HVHVmf.env</v>
      </c>
      <c r="R18" t="str">
        <f t="shared" si="3"/>
        <v>"07180601_1712", "07180601_1813", "07180601_1913", "07180601_2013", "07180601_2113", "07180601_2213", "07180601_2313", "07180602_0013", "07180602_0113", "07180602_0213", "07180602_0313"</v>
      </c>
      <c r="S18" t="str">
        <f t="shared" si="1"/>
        <v>mv 07180602_0313 p1_07180602_0313</v>
      </c>
      <c r="T18" t="str">
        <f t="shared" si="2"/>
        <v>mv umn_Filter_07180602_0313.root p1_umn_Filter_07180602_0313.root</v>
      </c>
    </row>
    <row r="19" spans="1:20">
      <c r="A19" t="s">
        <v>5396</v>
      </c>
      <c r="F19">
        <v>60</v>
      </c>
      <c r="H19">
        <v>100</v>
      </c>
      <c r="K19" s="64"/>
      <c r="M19" t="s">
        <v>5382</v>
      </c>
      <c r="Q19" t="str">
        <f t="shared" si="0"/>
        <v>condorProc.py --series 07180602_0414 --donoise  --dumps a --procenv environments/pymidas_HVHVmf.env</v>
      </c>
      <c r="R19" t="str">
        <f t="shared" si="3"/>
        <v>"07180601_1712", "07180601_1813", "07180601_1913", "07180601_2013", "07180601_2113", "07180601_2213", "07180601_2313", "07180602_0013", "07180602_0113", "07180602_0213", "07180602_0313", "07180602_0414"</v>
      </c>
      <c r="S19" t="str">
        <f t="shared" si="1"/>
        <v>mv 07180602_0414 p1_07180602_0414</v>
      </c>
      <c r="T19" t="str">
        <f t="shared" si="2"/>
        <v>mv umn_Filter_07180602_0414.root p1_umn_Filter_07180602_0414.root</v>
      </c>
    </row>
    <row r="20" spans="1:20">
      <c r="A20" t="s">
        <v>5397</v>
      </c>
      <c r="F20">
        <v>60</v>
      </c>
      <c r="H20">
        <v>80</v>
      </c>
      <c r="K20" s="62"/>
      <c r="M20" t="s">
        <v>5382</v>
      </c>
      <c r="Q20" t="str">
        <f t="shared" si="0"/>
        <v>condorProc.py --series 07180602_1638 --donoise  --dumps a --procenv environments/pymidas_HVHVmf.env</v>
      </c>
      <c r="S20" t="str">
        <f t="shared" si="1"/>
        <v>mv 07180602_1638 p1_07180602_1638</v>
      </c>
      <c r="T20" t="str">
        <f t="shared" si="2"/>
        <v>mv umn_Filter_07180602_1638.root p1_umn_Filter_07180602_1638.root</v>
      </c>
    </row>
    <row r="21" spans="1:20">
      <c r="A21" t="s">
        <v>5398</v>
      </c>
      <c r="F21">
        <v>60</v>
      </c>
      <c r="H21">
        <v>80</v>
      </c>
      <c r="K21" s="63" t="s">
        <v>5399</v>
      </c>
      <c r="M21" t="s">
        <v>5382</v>
      </c>
      <c r="Q21" t="str">
        <f t="shared" si="0"/>
        <v>condorProc.py --series 07180602_1738 --donoise  --dumps a --procenv environments/pymidas_HVHVmf.env</v>
      </c>
      <c r="S21" t="str">
        <f t="shared" si="1"/>
        <v>mv 07180602_1738 p1_07180602_1738</v>
      </c>
      <c r="T21" t="str">
        <f t="shared" si="2"/>
        <v>mv umn_Filter_07180602_1738.root p1_umn_Filter_07180602_1738.root</v>
      </c>
    </row>
    <row r="22" spans="1:20">
      <c r="A22" t="s">
        <v>5400</v>
      </c>
      <c r="F22">
        <v>60</v>
      </c>
      <c r="H22">
        <v>80</v>
      </c>
      <c r="K22" s="63" t="s">
        <v>5401</v>
      </c>
      <c r="M22" t="s">
        <v>5382</v>
      </c>
      <c r="Q22" t="str">
        <f t="shared" si="0"/>
        <v>condorProc.py --series 07180602_1838 --donoise  --dumps a --procenv environments/pymidas_HVHVmf.env</v>
      </c>
      <c r="S22" t="str">
        <f t="shared" si="1"/>
        <v>mv 07180602_1838 p1_07180602_1838</v>
      </c>
      <c r="T22" t="str">
        <f t="shared" si="2"/>
        <v>mv umn_Filter_07180602_1838.root p1_umn_Filter_07180602_1838.root</v>
      </c>
    </row>
    <row r="23" spans="1:20">
      <c r="A23" t="s">
        <v>5402</v>
      </c>
      <c r="F23">
        <v>60</v>
      </c>
      <c r="H23">
        <v>80</v>
      </c>
      <c r="K23" s="63" t="s">
        <v>5388</v>
      </c>
      <c r="M23" t="s">
        <v>5382</v>
      </c>
      <c r="Q23" t="str">
        <f t="shared" si="0"/>
        <v>condorProc.py --series 07180602_1938 --donoise  --dumps a --procenv environments/pymidas_HVHVmf.env</v>
      </c>
      <c r="S23" t="str">
        <f t="shared" si="1"/>
        <v>mv 07180602_1938 p1_07180602_1938</v>
      </c>
      <c r="T23" t="str">
        <f t="shared" si="2"/>
        <v>mv umn_Filter_07180602_1938.root p1_umn_Filter_07180602_1938.root</v>
      </c>
    </row>
    <row r="24" spans="1:20">
      <c r="A24" t="s">
        <v>5403</v>
      </c>
      <c r="F24">
        <v>60</v>
      </c>
      <c r="H24">
        <v>80</v>
      </c>
      <c r="K24" s="63"/>
      <c r="M24" t="s">
        <v>5382</v>
      </c>
      <c r="Q24" t="str">
        <f t="shared" si="0"/>
        <v>condorProc.py --series 07180602_2039 --donoise  --dumps a --procenv environments/pymidas_HVHVmf.env</v>
      </c>
      <c r="S24" t="str">
        <f t="shared" si="1"/>
        <v>mv 07180602_2039 p1_07180602_2039</v>
      </c>
      <c r="T24" t="str">
        <f t="shared" si="2"/>
        <v>mv umn_Filter_07180602_2039.root p1_umn_Filter_07180602_2039.root</v>
      </c>
    </row>
    <row r="25" spans="1:20">
      <c r="A25" t="s">
        <v>5404</v>
      </c>
      <c r="F25">
        <v>60</v>
      </c>
      <c r="H25">
        <v>80</v>
      </c>
      <c r="K25" s="63"/>
      <c r="M25" t="s">
        <v>5382</v>
      </c>
      <c r="Q25" t="str">
        <f t="shared" si="0"/>
        <v>condorProc.py --series 07180602_2139 --donoise  --dumps a --procenv environments/pymidas_HVHVmf.env</v>
      </c>
      <c r="S25" t="str">
        <f t="shared" si="1"/>
        <v>mv 07180602_2139 p1_07180602_2139</v>
      </c>
      <c r="T25" t="str">
        <f t="shared" si="2"/>
        <v>mv umn_Filter_07180602_2139.root p1_umn_Filter_07180602_2139.root</v>
      </c>
    </row>
    <row r="26" spans="1:20">
      <c r="A26" t="s">
        <v>5405</v>
      </c>
      <c r="F26">
        <v>60</v>
      </c>
      <c r="H26">
        <v>80</v>
      </c>
      <c r="K26" s="63"/>
      <c r="M26" t="s">
        <v>5382</v>
      </c>
      <c r="Q26" t="str">
        <f t="shared" si="0"/>
        <v>condorProc.py --series 07180602_2239 --donoise  --dumps a --procenv environments/pymidas_HVHVmf.env</v>
      </c>
      <c r="S26" t="str">
        <f t="shared" si="1"/>
        <v>mv 07180602_2239 p1_07180602_2239</v>
      </c>
      <c r="T26" t="str">
        <f t="shared" si="2"/>
        <v>mv umn_Filter_07180602_2239.root p1_umn_Filter_07180602_2239.root</v>
      </c>
    </row>
    <row r="27" spans="1:20">
      <c r="A27" t="s">
        <v>5406</v>
      </c>
      <c r="F27">
        <v>60</v>
      </c>
      <c r="H27">
        <v>80</v>
      </c>
      <c r="K27" s="63"/>
      <c r="M27" t="s">
        <v>5382</v>
      </c>
      <c r="Q27" t="str">
        <f t="shared" si="0"/>
        <v>condorProc.py --series 07180602_2339 --donoise  --dumps a --procenv environments/pymidas_HVHVmf.env</v>
      </c>
      <c r="S27" t="str">
        <f t="shared" si="1"/>
        <v>mv 07180602_2339 p1_07180602_2339</v>
      </c>
      <c r="T27" t="str">
        <f t="shared" si="2"/>
        <v>mv umn_Filter_07180602_2339.root p1_umn_Filter_07180602_2339.root</v>
      </c>
    </row>
    <row r="28" spans="1:20">
      <c r="A28" t="s">
        <v>5407</v>
      </c>
      <c r="F28">
        <v>60</v>
      </c>
      <c r="H28">
        <v>80</v>
      </c>
      <c r="K28" s="63"/>
      <c r="M28" t="s">
        <v>5382</v>
      </c>
      <c r="Q28" t="str">
        <f t="shared" si="0"/>
        <v>condorProc.py --series 07180603_0039 --donoise  --dumps a --procenv environments/pymidas_HVHVmf.env</v>
      </c>
      <c r="S28" t="str">
        <f t="shared" si="1"/>
        <v>mv 07180603_0039 p1_07180603_0039</v>
      </c>
      <c r="T28" t="str">
        <f t="shared" si="2"/>
        <v>mv umn_Filter_07180603_0039.root p1_umn_Filter_07180603_0039.root</v>
      </c>
    </row>
    <row r="29" spans="1:20">
      <c r="A29" t="s">
        <v>5408</v>
      </c>
      <c r="F29">
        <v>60</v>
      </c>
      <c r="H29">
        <v>80</v>
      </c>
      <c r="K29" s="63"/>
      <c r="M29" t="s">
        <v>5382</v>
      </c>
      <c r="Q29" t="str">
        <f t="shared" si="0"/>
        <v>condorProc.py --series 07180603_0139 --donoise  --dumps a --procenv environments/pymidas_HVHVmf.env</v>
      </c>
      <c r="S29" t="str">
        <f t="shared" si="1"/>
        <v>mv 07180603_0139 p1_07180603_0139</v>
      </c>
      <c r="T29" t="str">
        <f t="shared" si="2"/>
        <v>mv umn_Filter_07180603_0139.root p1_umn_Filter_07180603_0139.root</v>
      </c>
    </row>
    <row r="30" spans="1:20">
      <c r="A30" t="s">
        <v>5409</v>
      </c>
      <c r="F30">
        <v>60</v>
      </c>
      <c r="H30">
        <v>80</v>
      </c>
      <c r="K30" s="63"/>
      <c r="M30" t="s">
        <v>5382</v>
      </c>
      <c r="Q30" t="str">
        <f t="shared" si="0"/>
        <v>condorProc.py --series 07180603_0239 --donoise  --dumps a --procenv environments/pymidas_HVHVmf.env</v>
      </c>
      <c r="S30" t="str">
        <f t="shared" si="1"/>
        <v>mv 07180603_0239 p1_07180603_0239</v>
      </c>
      <c r="T30" t="str">
        <f t="shared" si="2"/>
        <v>mv umn_Filter_07180603_0239.root p1_umn_Filter_07180603_0239.root</v>
      </c>
    </row>
    <row r="31" spans="1:20">
      <c r="A31" t="s">
        <v>5410</v>
      </c>
      <c r="F31">
        <v>60</v>
      </c>
      <c r="H31">
        <v>80</v>
      </c>
      <c r="K31" s="64"/>
      <c r="M31" t="s">
        <v>5382</v>
      </c>
      <c r="Q31" t="str">
        <f t="shared" si="0"/>
        <v>condorProc.py --series 07180603_0339 --donoise  --dumps a --procenv environments/pymidas_HVHVmf.env</v>
      </c>
      <c r="S31" t="str">
        <f t="shared" si="1"/>
        <v>mv 07180603_0339 p1_07180603_0339</v>
      </c>
      <c r="T31" t="str">
        <f t="shared" si="2"/>
        <v>mv umn_Filter_07180603_0339.root p1_umn_Filter_07180603_0339.root</v>
      </c>
    </row>
    <row r="32" spans="1:20">
      <c r="A32" t="s">
        <v>5411</v>
      </c>
      <c r="F32">
        <v>60</v>
      </c>
      <c r="H32">
        <v>60</v>
      </c>
      <c r="K32" s="62"/>
      <c r="M32" t="s">
        <v>5382</v>
      </c>
      <c r="Q32" t="str">
        <f t="shared" si="0"/>
        <v>condorProc.py --series 07180603_1702 --donoise  --dumps a --procenv environments/pymidas_HVHVmf.env</v>
      </c>
      <c r="S32" t="str">
        <f t="shared" si="1"/>
        <v>mv 07180603_1702 p1_07180603_1702</v>
      </c>
      <c r="T32" t="str">
        <f t="shared" si="2"/>
        <v>mv umn_Filter_07180603_1702.root p1_umn_Filter_07180603_1702.root</v>
      </c>
    </row>
    <row r="33" spans="1:20">
      <c r="A33" t="s">
        <v>5412</v>
      </c>
      <c r="F33">
        <v>60</v>
      </c>
      <c r="H33">
        <v>60</v>
      </c>
      <c r="K33" s="63" t="s">
        <v>5413</v>
      </c>
      <c r="M33" t="s">
        <v>5382</v>
      </c>
      <c r="Q33" t="str">
        <f t="shared" si="0"/>
        <v>condorProc.py --series 07180603_1802 --donoise  --dumps a --procenv environments/pymidas_HVHVmf.env</v>
      </c>
      <c r="S33" t="str">
        <f t="shared" si="1"/>
        <v>mv 07180603_1802 p1_07180603_1802</v>
      </c>
      <c r="T33" t="str">
        <f t="shared" si="2"/>
        <v>mv umn_Filter_07180603_1802.root p1_umn_Filter_07180603_1802.root</v>
      </c>
    </row>
    <row r="34" spans="1:20">
      <c r="A34" t="s">
        <v>5414</v>
      </c>
      <c r="F34">
        <v>60</v>
      </c>
      <c r="H34">
        <v>60</v>
      </c>
      <c r="K34" s="63" t="s">
        <v>5415</v>
      </c>
      <c r="M34" t="s">
        <v>5382</v>
      </c>
      <c r="Q34" t="str">
        <f t="shared" si="0"/>
        <v>condorProc.py --series 07180603_1902 --donoise  --dumps a --procenv environments/pymidas_HVHVmf.env</v>
      </c>
      <c r="S34" t="str">
        <f t="shared" si="1"/>
        <v>mv 07180603_1902 p1_07180603_1902</v>
      </c>
      <c r="T34" t="str">
        <f t="shared" si="2"/>
        <v>mv umn_Filter_07180603_1902.root p1_umn_Filter_07180603_1902.root</v>
      </c>
    </row>
    <row r="35" spans="1:20">
      <c r="A35" t="s">
        <v>5416</v>
      </c>
      <c r="F35">
        <v>60</v>
      </c>
      <c r="H35">
        <v>60</v>
      </c>
      <c r="K35" s="63" t="s">
        <v>5388</v>
      </c>
      <c r="M35" t="s">
        <v>5382</v>
      </c>
      <c r="Q35" t="str">
        <f t="shared" si="0"/>
        <v>condorProc.py --series 07180603_2002 --donoise  --dumps a --procenv environments/pymidas_HVHVmf.env</v>
      </c>
      <c r="S35" t="str">
        <f t="shared" si="1"/>
        <v>mv 07180603_2002 p1_07180603_2002</v>
      </c>
      <c r="T35" t="str">
        <f t="shared" si="2"/>
        <v>mv umn_Filter_07180603_2002.root p1_umn_Filter_07180603_2002.root</v>
      </c>
    </row>
    <row r="36" spans="1:20">
      <c r="A36" t="s">
        <v>5417</v>
      </c>
      <c r="F36">
        <v>60</v>
      </c>
      <c r="H36">
        <v>60</v>
      </c>
      <c r="K36" s="63"/>
      <c r="M36" t="s">
        <v>5382</v>
      </c>
      <c r="Q36" t="str">
        <f t="shared" si="0"/>
        <v>condorProc.py --series 07180603_2103 --donoise  --dumps a --procenv environments/pymidas_HVHVmf.env</v>
      </c>
      <c r="S36" t="str">
        <f t="shared" si="1"/>
        <v>mv 07180603_2103 p1_07180603_2103</v>
      </c>
      <c r="T36" t="str">
        <f t="shared" si="2"/>
        <v>mv umn_Filter_07180603_2103.root p1_umn_Filter_07180603_2103.root</v>
      </c>
    </row>
    <row r="37" spans="1:20">
      <c r="A37" t="s">
        <v>5418</v>
      </c>
      <c r="F37">
        <v>60</v>
      </c>
      <c r="H37">
        <v>60</v>
      </c>
      <c r="K37" s="63"/>
      <c r="M37" t="s">
        <v>5382</v>
      </c>
      <c r="Q37" t="str">
        <f t="shared" si="0"/>
        <v>condorProc.py --series 07180603_2203 --donoise  --dumps a --procenv environments/pymidas_HVHVmf.env</v>
      </c>
      <c r="S37" t="str">
        <f t="shared" si="1"/>
        <v>mv 07180603_2203 p1_07180603_2203</v>
      </c>
      <c r="T37" t="str">
        <f t="shared" si="2"/>
        <v>mv umn_Filter_07180603_2203.root p1_umn_Filter_07180603_2203.root</v>
      </c>
    </row>
    <row r="38" spans="1:20">
      <c r="A38" t="s">
        <v>5419</v>
      </c>
      <c r="F38">
        <v>60</v>
      </c>
      <c r="H38">
        <v>60</v>
      </c>
      <c r="K38" s="63"/>
      <c r="M38" t="s">
        <v>5382</v>
      </c>
      <c r="Q38" t="str">
        <f t="shared" si="0"/>
        <v>condorProc.py --series 07180603_2303 --donoise  --dumps a --procenv environments/pymidas_HVHVmf.env</v>
      </c>
      <c r="S38" t="str">
        <f t="shared" si="1"/>
        <v>mv 07180603_2303 p1_07180603_2303</v>
      </c>
      <c r="T38" t="str">
        <f t="shared" si="2"/>
        <v>mv umn_Filter_07180603_2303.root p1_umn_Filter_07180603_2303.root</v>
      </c>
    </row>
    <row r="39" spans="1:20">
      <c r="A39" t="s">
        <v>5420</v>
      </c>
      <c r="F39">
        <v>60</v>
      </c>
      <c r="H39">
        <v>60</v>
      </c>
      <c r="K39" s="63"/>
      <c r="M39" t="s">
        <v>5382</v>
      </c>
      <c r="Q39" t="str">
        <f t="shared" si="0"/>
        <v>condorProc.py --series 07180604_0003 --donoise  --dumps a --procenv environments/pymidas_HVHVmf.env</v>
      </c>
      <c r="S39" t="str">
        <f t="shared" si="1"/>
        <v>mv 07180604_0003 p1_07180604_0003</v>
      </c>
      <c r="T39" t="str">
        <f t="shared" si="2"/>
        <v>mv umn_Filter_07180604_0003.root p1_umn_Filter_07180604_0003.root</v>
      </c>
    </row>
    <row r="40" spans="1:20">
      <c r="A40" t="s">
        <v>5421</v>
      </c>
      <c r="F40">
        <v>60</v>
      </c>
      <c r="H40">
        <v>60</v>
      </c>
      <c r="K40" s="63"/>
      <c r="M40" t="s">
        <v>5382</v>
      </c>
      <c r="Q40" t="str">
        <f t="shared" si="0"/>
        <v>condorProc.py --series 07180604_0103 --donoise  --dumps a --procenv environments/pymidas_HVHVmf.env</v>
      </c>
      <c r="S40" t="str">
        <f t="shared" si="1"/>
        <v>mv 07180604_0103 p1_07180604_0103</v>
      </c>
      <c r="T40" t="str">
        <f t="shared" si="2"/>
        <v>mv umn_Filter_07180604_0103.root p1_umn_Filter_07180604_0103.root</v>
      </c>
    </row>
    <row r="41" spans="1:20">
      <c r="A41" t="s">
        <v>5422</v>
      </c>
      <c r="F41">
        <v>60</v>
      </c>
      <c r="H41">
        <v>60</v>
      </c>
      <c r="K41" s="63"/>
      <c r="M41" t="s">
        <v>5382</v>
      </c>
      <c r="Q41" t="str">
        <f t="shared" si="0"/>
        <v>condorProc.py --series 07180604_0203 --donoise  --dumps a --procenv environments/pymidas_HVHVmf.env</v>
      </c>
      <c r="S41" t="str">
        <f t="shared" si="1"/>
        <v>mv 07180604_0203 p1_07180604_0203</v>
      </c>
      <c r="T41" t="str">
        <f t="shared" si="2"/>
        <v>mv umn_Filter_07180604_0203.root p1_umn_Filter_07180604_0203.root</v>
      </c>
    </row>
    <row r="42" spans="1:20">
      <c r="A42" t="s">
        <v>5423</v>
      </c>
      <c r="F42">
        <v>60</v>
      </c>
      <c r="H42">
        <v>60</v>
      </c>
      <c r="K42" s="63"/>
      <c r="M42" t="s">
        <v>5382</v>
      </c>
      <c r="Q42" t="str">
        <f t="shared" si="0"/>
        <v>condorProc.py --series 07180604_0303 --donoise  --dumps a --procenv environments/pymidas_HVHVmf.env</v>
      </c>
      <c r="S42" t="str">
        <f t="shared" si="1"/>
        <v>mv 07180604_0303 p1_07180604_0303</v>
      </c>
      <c r="T42" t="str">
        <f t="shared" si="2"/>
        <v>mv umn_Filter_07180604_0303.root p1_umn_Filter_07180604_0303.root</v>
      </c>
    </row>
    <row r="43" spans="1:20">
      <c r="A43" t="s">
        <v>5424</v>
      </c>
      <c r="F43">
        <v>60</v>
      </c>
      <c r="H43">
        <v>60</v>
      </c>
      <c r="K43" s="64"/>
      <c r="M43" t="s">
        <v>5382</v>
      </c>
      <c r="Q43" t="str">
        <f t="shared" si="0"/>
        <v>condorProc.py --series 07180604_0403 --donoise  --dumps a --procenv environments/pymidas_HVHVmf.env</v>
      </c>
      <c r="S43" t="str">
        <f t="shared" si="1"/>
        <v>mv 07180604_0403 p1_07180604_0403</v>
      </c>
      <c r="T43" t="str">
        <f t="shared" si="2"/>
        <v>mv umn_Filter_07180604_0403.root p1_umn_Filter_07180604_0403.root</v>
      </c>
    </row>
    <row r="44" spans="1:20">
      <c r="A44" t="s">
        <v>5425</v>
      </c>
      <c r="F44">
        <v>60</v>
      </c>
      <c r="H44">
        <v>40</v>
      </c>
      <c r="K44" t="s">
        <v>5426</v>
      </c>
      <c r="M44" t="s">
        <v>5427</v>
      </c>
      <c r="Q44" t="str">
        <f t="shared" si="0"/>
        <v>condorProc.py --series 07180604_1332 --donoise  --dumps a --procenv environments/pymidas_HVHVmf.env</v>
      </c>
    </row>
    <row r="45" spans="1:20">
      <c r="A45" t="s">
        <v>5428</v>
      </c>
      <c r="F45">
        <v>60</v>
      </c>
      <c r="H45">
        <v>0</v>
      </c>
      <c r="K45" s="62" t="s">
        <v>5429</v>
      </c>
    </row>
    <row r="46" spans="1:20">
      <c r="A46" t="s">
        <v>5430</v>
      </c>
      <c r="F46">
        <v>60</v>
      </c>
      <c r="H46">
        <v>10</v>
      </c>
      <c r="K46" s="63"/>
    </row>
    <row r="47" spans="1:20">
      <c r="A47" t="s">
        <v>5431</v>
      </c>
      <c r="F47">
        <v>60</v>
      </c>
      <c r="H47">
        <v>20</v>
      </c>
      <c r="K47" s="63"/>
    </row>
    <row r="48" spans="1:20">
      <c r="A48" t="s">
        <v>5432</v>
      </c>
      <c r="F48">
        <v>60</v>
      </c>
      <c r="H48">
        <v>30</v>
      </c>
      <c r="K48" s="63"/>
    </row>
    <row r="49" spans="1:11">
      <c r="A49" t="s">
        <v>5433</v>
      </c>
      <c r="F49">
        <v>60</v>
      </c>
      <c r="H49">
        <v>40</v>
      </c>
      <c r="I49" t="s">
        <v>5434</v>
      </c>
      <c r="K49" s="64"/>
    </row>
    <row r="50" spans="1:11">
      <c r="A50" t="s">
        <v>5435</v>
      </c>
      <c r="F50">
        <v>30</v>
      </c>
      <c r="H50">
        <v>100</v>
      </c>
      <c r="I50" s="62" t="s">
        <v>5434</v>
      </c>
      <c r="K50" s="62" t="s">
        <v>5429</v>
      </c>
    </row>
    <row r="51" spans="1:11">
      <c r="A51" t="s">
        <v>5436</v>
      </c>
      <c r="F51">
        <v>30</v>
      </c>
      <c r="H51">
        <v>100</v>
      </c>
      <c r="I51" s="63" t="s">
        <v>5437</v>
      </c>
      <c r="K51" s="63"/>
    </row>
    <row r="52" spans="1:11">
      <c r="A52" t="s">
        <v>5438</v>
      </c>
      <c r="F52">
        <v>30</v>
      </c>
      <c r="H52">
        <v>100</v>
      </c>
      <c r="I52" s="63"/>
      <c r="K52" s="63"/>
    </row>
    <row r="53" spans="1:11">
      <c r="A53" t="s">
        <v>5439</v>
      </c>
      <c r="F53">
        <v>30</v>
      </c>
      <c r="H53">
        <v>100</v>
      </c>
      <c r="I53" s="63"/>
      <c r="K53" s="63"/>
    </row>
    <row r="54" spans="1:11">
      <c r="A54" t="s">
        <v>5440</v>
      </c>
      <c r="F54">
        <v>30</v>
      </c>
      <c r="H54">
        <v>100</v>
      </c>
      <c r="I54" s="63"/>
      <c r="K54" s="63"/>
    </row>
    <row r="55" spans="1:11">
      <c r="A55" t="s">
        <v>5441</v>
      </c>
      <c r="F55">
        <v>30</v>
      </c>
      <c r="H55">
        <v>100</v>
      </c>
      <c r="I55" s="63"/>
      <c r="K55" s="63"/>
    </row>
    <row r="56" spans="1:11">
      <c r="A56" t="s">
        <v>5442</v>
      </c>
      <c r="F56">
        <v>30</v>
      </c>
      <c r="H56">
        <v>100</v>
      </c>
      <c r="I56" s="63"/>
      <c r="K56" s="63"/>
    </row>
    <row r="57" spans="1:11">
      <c r="A57" t="s">
        <v>5443</v>
      </c>
      <c r="F57">
        <v>30</v>
      </c>
      <c r="H57">
        <v>100</v>
      </c>
      <c r="I57" s="64"/>
      <c r="K57" s="64"/>
    </row>
    <row r="58" spans="1:11">
      <c r="A58" t="s">
        <v>5444</v>
      </c>
      <c r="F58">
        <v>30</v>
      </c>
      <c r="H58">
        <v>100</v>
      </c>
      <c r="K58" t="s">
        <v>4695</v>
      </c>
    </row>
    <row r="59" spans="1:11">
      <c r="A59" t="s">
        <v>5445</v>
      </c>
      <c r="F59">
        <v>30</v>
      </c>
      <c r="H59">
        <v>100</v>
      </c>
      <c r="K59" t="s">
        <v>5446</v>
      </c>
    </row>
    <row r="60" spans="1:11">
      <c r="A60" t="s">
        <v>5447</v>
      </c>
      <c r="F60">
        <v>30</v>
      </c>
      <c r="H60">
        <v>100</v>
      </c>
      <c r="K60" t="s">
        <v>5448</v>
      </c>
    </row>
    <row r="61" spans="1:11">
      <c r="A61" t="s">
        <v>5449</v>
      </c>
      <c r="F61">
        <v>30</v>
      </c>
      <c r="H61">
        <v>100</v>
      </c>
      <c r="K61" t="s">
        <v>4695</v>
      </c>
    </row>
    <row r="62" spans="1:11">
      <c r="A62" t="s">
        <v>5450</v>
      </c>
      <c r="F62">
        <v>119</v>
      </c>
      <c r="H62">
        <v>0</v>
      </c>
      <c r="K62" t="s">
        <v>5451</v>
      </c>
    </row>
    <row r="63" spans="1:11">
      <c r="A63" t="s">
        <v>5452</v>
      </c>
      <c r="F63">
        <v>7</v>
      </c>
      <c r="H63">
        <v>0</v>
      </c>
      <c r="J63" t="s">
        <v>5453</v>
      </c>
    </row>
    <row r="64" spans="1:11">
      <c r="A64" t="s">
        <v>5454</v>
      </c>
      <c r="F64">
        <v>5</v>
      </c>
      <c r="H64">
        <v>0</v>
      </c>
      <c r="J64" t="s">
        <v>191</v>
      </c>
    </row>
    <row r="65" spans="1:17">
      <c r="A65" t="s">
        <v>5455</v>
      </c>
      <c r="F65">
        <v>5</v>
      </c>
      <c r="H65">
        <v>0</v>
      </c>
      <c r="J65" t="s">
        <v>5453</v>
      </c>
    </row>
    <row r="66" spans="1:17">
      <c r="A66" t="s">
        <v>5456</v>
      </c>
      <c r="F66">
        <v>5</v>
      </c>
      <c r="H66">
        <v>0</v>
      </c>
      <c r="J66" t="s">
        <v>5457</v>
      </c>
    </row>
    <row r="67" spans="1:17">
      <c r="A67" t="s">
        <v>5458</v>
      </c>
      <c r="F67">
        <v>60</v>
      </c>
      <c r="G67" s="74" t="s">
        <v>5459</v>
      </c>
      <c r="H67">
        <v>0</v>
      </c>
      <c r="K67" t="s">
        <v>5460</v>
      </c>
    </row>
    <row r="68" spans="1:17">
      <c r="A68" t="s">
        <v>5461</v>
      </c>
      <c r="F68">
        <v>142</v>
      </c>
      <c r="G68" s="74" t="s">
        <v>2248</v>
      </c>
      <c r="H68">
        <v>70</v>
      </c>
      <c r="M68" t="s">
        <v>2246</v>
      </c>
      <c r="Q68" t="str">
        <f>"condorProc.py --series "&amp;A68&amp;" --donoise  --dumps a --procenv environments/pymidas_HVHVmf.env"</f>
        <v>condorProc.py --series 07180629_1358 --donoise  --dumps a --procenv environments/pymidas_HVHVmf.env</v>
      </c>
    </row>
    <row r="69" spans="1:17">
      <c r="A69" t="s">
        <v>5462</v>
      </c>
      <c r="F69" s="176">
        <v>30</v>
      </c>
      <c r="G69" s="188" t="s">
        <v>2248</v>
      </c>
      <c r="H69" s="178">
        <v>70</v>
      </c>
      <c r="K69" t="s">
        <v>5463</v>
      </c>
      <c r="M69" t="s">
        <v>2246</v>
      </c>
      <c r="Q69" t="str">
        <f t="shared" ref="Q69:Q132" si="4">"condorProc.py --series "&amp;A69&amp;" --donoise  --dumps a --procenv environments/pymidas_HVHVmf.env"</f>
        <v>condorProc.py --series 07180630_0701 --donoise  --dumps a --procenv environments/pymidas_HVHVmf.env</v>
      </c>
    </row>
    <row r="70" spans="1:17">
      <c r="A70" t="s">
        <v>5464</v>
      </c>
      <c r="F70" s="179">
        <v>30</v>
      </c>
      <c r="G70" s="74" t="s">
        <v>2248</v>
      </c>
      <c r="H70" s="180">
        <v>70</v>
      </c>
      <c r="K70" t="s">
        <v>5465</v>
      </c>
      <c r="M70" t="s">
        <v>2246</v>
      </c>
      <c r="Q70" t="str">
        <f t="shared" si="4"/>
        <v>condorProc.py --series 07180630_0816 --donoise  --dumps a --procenv environments/pymidas_HVHVmf.env</v>
      </c>
    </row>
    <row r="71" spans="1:17">
      <c r="A71" t="s">
        <v>5466</v>
      </c>
      <c r="F71" s="179">
        <v>30</v>
      </c>
      <c r="G71" s="74" t="s">
        <v>2248</v>
      </c>
      <c r="H71" s="180">
        <v>70</v>
      </c>
      <c r="K71" t="s">
        <v>5467</v>
      </c>
      <c r="M71" t="s">
        <v>2246</v>
      </c>
      <c r="Q71" t="str">
        <f t="shared" si="4"/>
        <v>condorProc.py --series 07180630_0932 --donoise  --dumps a --procenv environments/pymidas_HVHVmf.env</v>
      </c>
    </row>
    <row r="72" spans="1:17">
      <c r="A72" t="s">
        <v>5468</v>
      </c>
      <c r="F72" s="179">
        <v>30</v>
      </c>
      <c r="G72" s="74" t="s">
        <v>2248</v>
      </c>
      <c r="H72" s="180">
        <v>70</v>
      </c>
      <c r="K72" t="s">
        <v>5467</v>
      </c>
      <c r="M72" t="s">
        <v>2246</v>
      </c>
      <c r="Q72" t="str">
        <f t="shared" si="4"/>
        <v>condorProc.py --series 07180630_1048 --donoise  --dumps a --procenv environments/pymidas_HVHVmf.env</v>
      </c>
    </row>
    <row r="73" spans="1:17">
      <c r="A73" t="s">
        <v>5469</v>
      </c>
      <c r="F73" s="179">
        <v>30</v>
      </c>
      <c r="G73" s="74" t="s">
        <v>2248</v>
      </c>
      <c r="H73" s="180">
        <v>70</v>
      </c>
      <c r="K73" t="s">
        <v>5467</v>
      </c>
      <c r="M73" t="s">
        <v>2246</v>
      </c>
      <c r="Q73" t="str">
        <f t="shared" si="4"/>
        <v>condorProc.py --series 07180630_1204 --donoise  --dumps a --procenv environments/pymidas_HVHVmf.env</v>
      </c>
    </row>
    <row r="74" spans="1:17">
      <c r="A74" t="s">
        <v>5470</v>
      </c>
      <c r="F74" s="179">
        <v>30</v>
      </c>
      <c r="G74" s="74" t="s">
        <v>2248</v>
      </c>
      <c r="H74" s="180">
        <v>70</v>
      </c>
      <c r="K74" t="s">
        <v>5467</v>
      </c>
      <c r="M74" t="s">
        <v>2246</v>
      </c>
      <c r="Q74" t="str">
        <f t="shared" si="4"/>
        <v>condorProc.py --series 07180630_1320 --donoise  --dumps a --procenv environments/pymidas_HVHVmf.env</v>
      </c>
    </row>
    <row r="75" spans="1:17">
      <c r="A75" t="s">
        <v>5471</v>
      </c>
      <c r="F75" s="179">
        <v>30</v>
      </c>
      <c r="G75" s="74" t="s">
        <v>2248</v>
      </c>
      <c r="H75" s="180">
        <v>70</v>
      </c>
      <c r="K75" t="s">
        <v>5467</v>
      </c>
      <c r="M75" t="s">
        <v>2246</v>
      </c>
      <c r="Q75" t="str">
        <f t="shared" si="4"/>
        <v>condorProc.py --series 07180630_1436 --donoise  --dumps a --procenv environments/pymidas_HVHVmf.env</v>
      </c>
    </row>
    <row r="76" spans="1:17">
      <c r="A76" t="s">
        <v>5472</v>
      </c>
      <c r="F76" s="179">
        <v>30</v>
      </c>
      <c r="G76" s="74" t="s">
        <v>2248</v>
      </c>
      <c r="H76" s="180">
        <v>70</v>
      </c>
      <c r="K76" t="s">
        <v>5467</v>
      </c>
      <c r="M76" t="s">
        <v>2246</v>
      </c>
      <c r="Q76" t="str">
        <f t="shared" si="4"/>
        <v>condorProc.py --series 07180630_1552 --donoise  --dumps a --procenv environments/pymidas_HVHVmf.env</v>
      </c>
    </row>
    <row r="77" spans="1:17">
      <c r="A77" t="s">
        <v>5473</v>
      </c>
      <c r="F77" s="179">
        <v>30</v>
      </c>
      <c r="G77" s="74" t="s">
        <v>2248</v>
      </c>
      <c r="H77" s="180">
        <v>70</v>
      </c>
      <c r="K77" t="s">
        <v>5467</v>
      </c>
      <c r="M77" t="s">
        <v>2246</v>
      </c>
      <c r="Q77" t="str">
        <f t="shared" si="4"/>
        <v>condorProc.py --series 07180630_1708 --donoise  --dumps a --procenv environments/pymidas_HVHVmf.env</v>
      </c>
    </row>
    <row r="78" spans="1:17">
      <c r="A78" t="s">
        <v>5474</v>
      </c>
      <c r="F78" s="179">
        <v>30</v>
      </c>
      <c r="G78" s="74" t="s">
        <v>2248</v>
      </c>
      <c r="H78" s="180">
        <v>70</v>
      </c>
      <c r="K78" t="s">
        <v>5467</v>
      </c>
      <c r="M78" t="s">
        <v>2246</v>
      </c>
      <c r="Q78" t="str">
        <f t="shared" si="4"/>
        <v>condorProc.py --series 07180630_1823 --donoise  --dumps a --procenv environments/pymidas_HVHVmf.env</v>
      </c>
    </row>
    <row r="79" spans="1:17">
      <c r="A79" t="s">
        <v>5475</v>
      </c>
      <c r="F79" s="179">
        <v>30</v>
      </c>
      <c r="G79" s="74" t="s">
        <v>2248</v>
      </c>
      <c r="H79" s="180">
        <v>70</v>
      </c>
      <c r="K79" t="s">
        <v>5467</v>
      </c>
      <c r="M79" t="s">
        <v>2246</v>
      </c>
      <c r="Q79" t="str">
        <f t="shared" si="4"/>
        <v>condorProc.py --series 07180630_1939 --donoise  --dumps a --procenv environments/pymidas_HVHVmf.env</v>
      </c>
    </row>
    <row r="80" spans="1:17">
      <c r="A80" t="s">
        <v>5476</v>
      </c>
      <c r="F80" s="181">
        <v>30</v>
      </c>
      <c r="G80" s="189" t="s">
        <v>2248</v>
      </c>
      <c r="H80" s="182">
        <v>70</v>
      </c>
      <c r="K80" t="s">
        <v>5467</v>
      </c>
      <c r="M80" t="s">
        <v>2246</v>
      </c>
      <c r="Q80" t="str">
        <f t="shared" si="4"/>
        <v>condorProc.py --series 07180630_2055 --donoise  --dumps a --procenv environments/pymidas_HVHVmf.env</v>
      </c>
    </row>
    <row r="81" spans="1:21">
      <c r="A81" t="s">
        <v>5477</v>
      </c>
      <c r="F81" s="176">
        <v>30</v>
      </c>
      <c r="G81" s="188" t="s">
        <v>2248</v>
      </c>
      <c r="H81" s="178">
        <v>10</v>
      </c>
      <c r="M81" t="s">
        <v>2246</v>
      </c>
      <c r="Q81" t="str">
        <f t="shared" si="4"/>
        <v>condorProc.py --series 07180701_1321 --donoise  --dumps a --procenv environments/pymidas_HVHVmf.env</v>
      </c>
    </row>
    <row r="82" spans="1:21">
      <c r="A82" t="s">
        <v>5478</v>
      </c>
      <c r="F82" s="179">
        <v>30</v>
      </c>
      <c r="G82" s="74" t="s">
        <v>2248</v>
      </c>
      <c r="H82" s="180">
        <v>20</v>
      </c>
      <c r="M82" t="s">
        <v>2246</v>
      </c>
      <c r="Q82" t="str">
        <f t="shared" si="4"/>
        <v>condorProc.py --series 07180701_1429 --donoise  --dumps a --procenv environments/pymidas_HVHVmf.env</v>
      </c>
    </row>
    <row r="83" spans="1:21">
      <c r="A83" t="s">
        <v>5479</v>
      </c>
      <c r="F83" s="179">
        <v>30</v>
      </c>
      <c r="G83" s="74" t="s">
        <v>2248</v>
      </c>
      <c r="H83" s="180">
        <v>30</v>
      </c>
      <c r="M83" t="s">
        <v>2246</v>
      </c>
      <c r="Q83" t="str">
        <f t="shared" si="4"/>
        <v>condorProc.py --series 07180701_1537 --donoise  --dumps a --procenv environments/pymidas_HVHVmf.env</v>
      </c>
    </row>
    <row r="84" spans="1:21">
      <c r="A84" t="s">
        <v>5480</v>
      </c>
      <c r="F84" s="179">
        <v>30</v>
      </c>
      <c r="G84" s="74" t="s">
        <v>2248</v>
      </c>
      <c r="H84" s="180">
        <v>40</v>
      </c>
      <c r="M84" t="s">
        <v>2246</v>
      </c>
      <c r="Q84" t="str">
        <f t="shared" si="4"/>
        <v>condorProc.py --series 07180701_1646 --donoise  --dumps a --procenv environments/pymidas_HVHVmf.env</v>
      </c>
    </row>
    <row r="85" spans="1:21">
      <c r="A85" t="s">
        <v>5481</v>
      </c>
      <c r="F85" s="179">
        <v>30</v>
      </c>
      <c r="G85" s="74" t="s">
        <v>2248</v>
      </c>
      <c r="H85" s="180">
        <v>50</v>
      </c>
      <c r="M85" t="s">
        <v>2246</v>
      </c>
      <c r="Q85" t="str">
        <f t="shared" si="4"/>
        <v>condorProc.py --series 07180701_1756 --donoise  --dumps a --procenv environments/pymidas_HVHVmf.env</v>
      </c>
    </row>
    <row r="86" spans="1:21">
      <c r="A86" t="s">
        <v>5482</v>
      </c>
      <c r="F86" s="179">
        <v>30</v>
      </c>
      <c r="G86" s="74" t="s">
        <v>2248</v>
      </c>
      <c r="H86" s="180">
        <v>60</v>
      </c>
      <c r="M86" t="s">
        <v>2246</v>
      </c>
      <c r="Q86" t="str">
        <f t="shared" si="4"/>
        <v>condorProc.py --series 07180701_1908 --donoise  --dumps a --procenv environments/pymidas_HVHVmf.env</v>
      </c>
    </row>
    <row r="87" spans="1:21">
      <c r="A87" t="s">
        <v>5483</v>
      </c>
      <c r="F87" s="179">
        <v>30</v>
      </c>
      <c r="G87" s="74" t="s">
        <v>2248</v>
      </c>
      <c r="H87" s="180">
        <v>70</v>
      </c>
      <c r="M87" t="s">
        <v>2246</v>
      </c>
      <c r="Q87" t="str">
        <f t="shared" si="4"/>
        <v>condorProc.py --series 07180701_2020 --donoise  --dumps a --procenv environments/pymidas_HVHVmf.env</v>
      </c>
    </row>
    <row r="88" spans="1:21">
      <c r="A88" t="s">
        <v>5484</v>
      </c>
      <c r="F88" s="179">
        <v>30</v>
      </c>
      <c r="G88" s="74" t="s">
        <v>2248</v>
      </c>
      <c r="H88" s="180">
        <v>80</v>
      </c>
      <c r="M88" t="s">
        <v>2246</v>
      </c>
      <c r="Q88" t="str">
        <f t="shared" si="4"/>
        <v>condorProc.py --series 07180701_2133 --donoise  --dumps a --procenv environments/pymidas_HVHVmf.env</v>
      </c>
    </row>
    <row r="89" spans="1:21">
      <c r="A89" t="s">
        <v>5485</v>
      </c>
      <c r="F89" s="176">
        <v>10</v>
      </c>
      <c r="G89" s="188" t="s">
        <v>2248</v>
      </c>
      <c r="H89" s="178">
        <v>50</v>
      </c>
      <c r="I89" s="177"/>
      <c r="J89" s="177"/>
      <c r="K89" s="178" t="s">
        <v>5486</v>
      </c>
      <c r="M89" t="s">
        <v>2246</v>
      </c>
      <c r="Q89" t="str">
        <f t="shared" si="4"/>
        <v>condorProc.py --series 07180702_1526 --donoise  --dumps a --procenv environments/pymidas_HVHVmf.env</v>
      </c>
      <c r="R89" t="str">
        <f>""""&amp;A89&amp;""""</f>
        <v>"07180702_1526"</v>
      </c>
    </row>
    <row r="90" spans="1:21">
      <c r="A90" t="s">
        <v>5487</v>
      </c>
      <c r="F90" s="179">
        <v>10</v>
      </c>
      <c r="G90" s="74" t="s">
        <v>2248</v>
      </c>
      <c r="H90" s="180">
        <v>50</v>
      </c>
      <c r="K90" s="180" t="s">
        <v>5488</v>
      </c>
      <c r="M90" t="s">
        <v>2246</v>
      </c>
      <c r="Q90" t="str">
        <f t="shared" si="4"/>
        <v>condorProc.py --series 07180702_1536 --donoise  --dumps a --procenv environments/pymidas_HVHVmf.env</v>
      </c>
      <c r="R90" t="str">
        <f>R89&amp;", """&amp;A90&amp;""""</f>
        <v>"07180702_1526", "07180702_1536"</v>
      </c>
    </row>
    <row r="91" spans="1:21">
      <c r="A91" t="s">
        <v>5489</v>
      </c>
      <c r="F91" s="179">
        <v>10</v>
      </c>
      <c r="G91" s="74" t="s">
        <v>2248</v>
      </c>
      <c r="H91" s="180">
        <v>50</v>
      </c>
      <c r="K91" s="180"/>
      <c r="M91" t="s">
        <v>2246</v>
      </c>
      <c r="Q91" t="str">
        <f t="shared" si="4"/>
        <v>condorProc.py --series 07180702_1546 --donoise  --dumps a --procenv environments/pymidas_HVHVmf.env</v>
      </c>
      <c r="R91" t="str">
        <f>R90&amp;", """&amp;A91&amp;""""</f>
        <v>"07180702_1526", "07180702_1536", "07180702_1546"</v>
      </c>
    </row>
    <row r="92" spans="1:21">
      <c r="A92" t="s">
        <v>5490</v>
      </c>
      <c r="F92" s="179">
        <v>10</v>
      </c>
      <c r="G92" s="74" t="s">
        <v>2248</v>
      </c>
      <c r="H92" s="180">
        <v>50</v>
      </c>
      <c r="K92" s="180"/>
      <c r="M92" t="s">
        <v>2246</v>
      </c>
      <c r="Q92" t="str">
        <f t="shared" si="4"/>
        <v>condorProc.py --series 07180702_1556 --donoise  --dumps a --procenv environments/pymidas_HVHVmf.env</v>
      </c>
      <c r="R92" t="str">
        <f>R91&amp;", """&amp;A92&amp;""""</f>
        <v>"07180702_1526", "07180702_1536", "07180702_1546", "07180702_1556"</v>
      </c>
    </row>
    <row r="93" spans="1:21">
      <c r="A93" t="s">
        <v>5491</v>
      </c>
      <c r="F93" s="179">
        <v>10</v>
      </c>
      <c r="G93" s="74" t="s">
        <v>2248</v>
      </c>
      <c r="H93" s="180">
        <v>50</v>
      </c>
      <c r="K93" s="180"/>
      <c r="M93" t="s">
        <v>2246</v>
      </c>
      <c r="Q93" t="str">
        <f t="shared" si="4"/>
        <v>condorProc.py --series 07180702_1606 --donoise  --dumps a --procenv environments/pymidas_HVHVmf.env</v>
      </c>
      <c r="R93" t="str">
        <f>R92&amp;", """&amp;A93&amp;""""</f>
        <v>"07180702_1526", "07180702_1536", "07180702_1546", "07180702_1556", "07180702_1606"</v>
      </c>
    </row>
    <row r="94" spans="1:21">
      <c r="A94" t="s">
        <v>5492</v>
      </c>
      <c r="F94" s="181">
        <v>10</v>
      </c>
      <c r="G94" s="189" t="s">
        <v>2248</v>
      </c>
      <c r="H94" s="182">
        <v>50</v>
      </c>
      <c r="I94" s="65"/>
      <c r="J94" s="65"/>
      <c r="K94" s="182"/>
      <c r="M94" t="s">
        <v>2246</v>
      </c>
      <c r="Q94" t="str">
        <f t="shared" si="4"/>
        <v>condorProc.py --series 07180702_1616 --donoise  --dumps a --procenv environments/pymidas_HVHVmf.env</v>
      </c>
      <c r="R94" t="str">
        <f>R93&amp;", """&amp;A94&amp;""""</f>
        <v>"07180702_1526", "07180702_1536", "07180702_1546", "07180702_1556", "07180702_1606", "07180702_1616"</v>
      </c>
    </row>
    <row r="95" spans="1:21">
      <c r="A95" t="s">
        <v>5493</v>
      </c>
      <c r="F95" s="176">
        <v>15</v>
      </c>
      <c r="G95" s="188" t="s">
        <v>2248</v>
      </c>
      <c r="H95" s="178">
        <v>50</v>
      </c>
      <c r="I95" s="184"/>
      <c r="J95" s="177"/>
      <c r="K95" s="178" t="s">
        <v>5494</v>
      </c>
      <c r="M95" t="s">
        <v>2246</v>
      </c>
      <c r="Q95" t="str">
        <f t="shared" si="4"/>
        <v>condorProc.py --series 07180702_1712 --donoise  --dumps a --procenv environments/pymidas_HVHVmf.env</v>
      </c>
      <c r="R95" t="str">
        <f>""""&amp;A95&amp;""""</f>
        <v>"07180702_1712"</v>
      </c>
      <c r="T95" t="s">
        <v>5495</v>
      </c>
      <c r="U95" t="s">
        <v>5496</v>
      </c>
    </row>
    <row r="96" spans="1:21">
      <c r="A96" t="s">
        <v>5497</v>
      </c>
      <c r="F96" s="179">
        <v>15</v>
      </c>
      <c r="G96" s="74" t="s">
        <v>2248</v>
      </c>
      <c r="H96" s="180">
        <v>50</v>
      </c>
      <c r="K96" s="180"/>
      <c r="M96" t="s">
        <v>2246</v>
      </c>
      <c r="Q96" t="str">
        <f t="shared" si="4"/>
        <v>condorProc.py --series 07180702_1727 --donoise  --dumps a --procenv environments/pymidas_HVHVmf.env</v>
      </c>
      <c r="R96" t="str">
        <f>R95&amp;", """&amp;A96&amp;""""</f>
        <v>"07180702_1712", "07180702_1727"</v>
      </c>
      <c r="T96">
        <f>100/60</f>
        <v>1.6666666666666667</v>
      </c>
      <c r="U96" s="11">
        <v>1.9746099999999999E-2</v>
      </c>
    </row>
    <row r="97" spans="1:21">
      <c r="A97" t="s">
        <v>5498</v>
      </c>
      <c r="F97" s="179">
        <v>15</v>
      </c>
      <c r="G97" s="74" t="s">
        <v>2248</v>
      </c>
      <c r="H97" s="180">
        <v>50</v>
      </c>
      <c r="K97" s="180"/>
      <c r="M97" t="s">
        <v>2246</v>
      </c>
      <c r="Q97" t="str">
        <f t="shared" si="4"/>
        <v>condorProc.py --series 07180702_1742 --donoise  --dumps a --procenv environments/pymidas_HVHVmf.env</v>
      </c>
      <c r="R97" t="str">
        <f t="shared" ref="R97:R134" si="5">R96&amp;", """&amp;A97&amp;""""</f>
        <v>"07180702_1712", "07180702_1727", "07180702_1742"</v>
      </c>
      <c r="T97">
        <f>200/60</f>
        <v>3.3333333333333335</v>
      </c>
      <c r="U97" s="11">
        <v>2.0974900000000001E-2</v>
      </c>
    </row>
    <row r="98" spans="1:21">
      <c r="A98" t="s">
        <v>5499</v>
      </c>
      <c r="F98" s="179">
        <v>15</v>
      </c>
      <c r="G98" s="74" t="s">
        <v>2248</v>
      </c>
      <c r="H98" s="180">
        <v>50</v>
      </c>
      <c r="K98" s="180"/>
      <c r="M98" t="s">
        <v>2246</v>
      </c>
      <c r="Q98" t="str">
        <f t="shared" si="4"/>
        <v>condorProc.py --series 07180702_1758 --donoise  --dumps a --procenv environments/pymidas_HVHVmf.env</v>
      </c>
      <c r="R98" t="str">
        <f t="shared" si="5"/>
        <v>"07180702_1712", "07180702_1727", "07180702_1742", "07180702_1758"</v>
      </c>
      <c r="T98">
        <f>300/60</f>
        <v>5</v>
      </c>
      <c r="U98" s="11">
        <v>2.6074E-2</v>
      </c>
    </row>
    <row r="99" spans="1:21">
      <c r="A99" t="s">
        <v>5500</v>
      </c>
      <c r="F99" s="179">
        <v>15</v>
      </c>
      <c r="G99" s="74" t="s">
        <v>2248</v>
      </c>
      <c r="H99" s="180">
        <v>50</v>
      </c>
      <c r="K99" s="180"/>
      <c r="M99" t="s">
        <v>2246</v>
      </c>
      <c r="Q99" t="str">
        <f t="shared" si="4"/>
        <v>condorProc.py --series 07180702_1813 --donoise  --dumps a --procenv environments/pymidas_HVHVmf.env</v>
      </c>
      <c r="R99" t="str">
        <f t="shared" si="5"/>
        <v>"07180702_1712", "07180702_1727", "07180702_1742", "07180702_1758", "07180702_1813"</v>
      </c>
      <c r="T99">
        <f>400/60</f>
        <v>6.666666666666667</v>
      </c>
      <c r="U99" s="11">
        <v>3.0688699999999999E-2</v>
      </c>
    </row>
    <row r="100" spans="1:21">
      <c r="A100" t="s">
        <v>5501</v>
      </c>
      <c r="F100" s="179">
        <v>15</v>
      </c>
      <c r="G100" s="74" t="s">
        <v>2248</v>
      </c>
      <c r="H100" s="180">
        <v>50</v>
      </c>
      <c r="K100" s="180"/>
      <c r="M100" t="s">
        <v>2246</v>
      </c>
      <c r="Q100" t="str">
        <f t="shared" si="4"/>
        <v>condorProc.py --series 07180702_1828 --donoise  --dumps a --procenv environments/pymidas_HVHVmf.env</v>
      </c>
      <c r="R100" t="str">
        <f t="shared" si="5"/>
        <v>"07180702_1712", "07180702_1727", "07180702_1742", "07180702_1758", "07180702_1813", "07180702_1828"</v>
      </c>
      <c r="T100">
        <f>500/60</f>
        <v>8.3333333333333339</v>
      </c>
      <c r="U100" s="11">
        <v>2.9465600000000002E-2</v>
      </c>
    </row>
    <row r="101" spans="1:21">
      <c r="A101" t="s">
        <v>5502</v>
      </c>
      <c r="F101" s="179">
        <v>15</v>
      </c>
      <c r="G101" s="74" t="s">
        <v>2248</v>
      </c>
      <c r="H101" s="180">
        <v>50</v>
      </c>
      <c r="K101" s="180"/>
      <c r="M101" t="s">
        <v>2246</v>
      </c>
      <c r="Q101" t="str">
        <f t="shared" si="4"/>
        <v>condorProc.py --series 07180702_1843 --donoise  --dumps a --procenv environments/pymidas_HVHVmf.env</v>
      </c>
      <c r="R101" t="str">
        <f t="shared" si="5"/>
        <v>"07180702_1712", "07180702_1727", "07180702_1742", "07180702_1758", "07180702_1813", "07180702_1828", "07180702_1843"</v>
      </c>
      <c r="T101">
        <f>600/60</f>
        <v>10</v>
      </c>
      <c r="U101" s="11">
        <v>2.85305E-2</v>
      </c>
    </row>
    <row r="102" spans="1:21">
      <c r="A102" t="s">
        <v>5503</v>
      </c>
      <c r="F102" s="179">
        <v>15</v>
      </c>
      <c r="G102" s="74" t="s">
        <v>2248</v>
      </c>
      <c r="H102" s="180">
        <v>50</v>
      </c>
      <c r="K102" s="180"/>
      <c r="M102" t="s">
        <v>2246</v>
      </c>
      <c r="Q102" t="str">
        <f t="shared" si="4"/>
        <v>condorProc.py --series 07180702_1858 --donoise  --dumps a --procenv environments/pymidas_HVHVmf.env</v>
      </c>
      <c r="R102" t="str">
        <f t="shared" si="5"/>
        <v>"07180702_1712", "07180702_1727", "07180702_1742", "07180702_1758", "07180702_1813", "07180702_1828", "07180702_1843", "07180702_1858"</v>
      </c>
    </row>
    <row r="103" spans="1:21">
      <c r="A103" t="s">
        <v>5504</v>
      </c>
      <c r="F103" s="179">
        <v>15</v>
      </c>
      <c r="G103" s="74" t="s">
        <v>2248</v>
      </c>
      <c r="H103" s="180">
        <v>50</v>
      </c>
      <c r="K103" s="180"/>
      <c r="M103" t="s">
        <v>2246</v>
      </c>
      <c r="Q103" t="str">
        <f t="shared" si="4"/>
        <v>condorProc.py --series 07180702_1913 --donoise  --dumps a --procenv environments/pymidas_HVHVmf.env</v>
      </c>
      <c r="R103" t="str">
        <f t="shared" si="5"/>
        <v>"07180702_1712", "07180702_1727", "07180702_1742", "07180702_1758", "07180702_1813", "07180702_1828", "07180702_1843", "07180702_1858", "07180702_1913"</v>
      </c>
    </row>
    <row r="104" spans="1:21">
      <c r="A104" t="s">
        <v>5505</v>
      </c>
      <c r="F104" s="179">
        <v>15</v>
      </c>
      <c r="G104" s="74" t="s">
        <v>2248</v>
      </c>
      <c r="H104" s="180">
        <v>50</v>
      </c>
      <c r="K104" s="180"/>
      <c r="M104" t="s">
        <v>2246</v>
      </c>
      <c r="Q104" t="str">
        <f t="shared" si="4"/>
        <v>condorProc.py --series 07180702_1928 --donoise  --dumps a --procenv environments/pymidas_HVHVmf.env</v>
      </c>
      <c r="R104" t="str">
        <f t="shared" si="5"/>
        <v>"07180702_1712", "07180702_1727", "07180702_1742", "07180702_1758", "07180702_1813", "07180702_1828", "07180702_1843", "07180702_1858", "07180702_1913", "07180702_1928"</v>
      </c>
    </row>
    <row r="105" spans="1:21">
      <c r="A105" t="s">
        <v>5506</v>
      </c>
      <c r="F105" s="179">
        <v>15</v>
      </c>
      <c r="G105" s="74" t="s">
        <v>2248</v>
      </c>
      <c r="H105" s="180">
        <v>50</v>
      </c>
      <c r="K105" s="180"/>
      <c r="M105" t="s">
        <v>2246</v>
      </c>
      <c r="Q105" t="str">
        <f t="shared" si="4"/>
        <v>condorProc.py --series 07180702_1943 --donoise  --dumps a --procenv environments/pymidas_HVHVmf.env</v>
      </c>
      <c r="R105" t="str">
        <f t="shared" si="5"/>
        <v>"07180702_1712", "07180702_1727", "07180702_1742", "07180702_1758", "07180702_1813", "07180702_1828", "07180702_1843", "07180702_1858", "07180702_1913", "07180702_1928", "07180702_1943"</v>
      </c>
    </row>
    <row r="106" spans="1:21">
      <c r="A106" t="s">
        <v>5507</v>
      </c>
      <c r="F106" s="179">
        <v>15</v>
      </c>
      <c r="G106" s="74" t="s">
        <v>2248</v>
      </c>
      <c r="H106" s="180">
        <v>50</v>
      </c>
      <c r="K106" s="180"/>
      <c r="M106" t="s">
        <v>2246</v>
      </c>
      <c r="Q106" t="str">
        <f t="shared" si="4"/>
        <v>condorProc.py --series 07180702_1958 --donoise  --dumps a --procenv environments/pymidas_HVHVmf.env</v>
      </c>
      <c r="R106" t="str">
        <f t="shared" si="5"/>
        <v>"07180702_1712", "07180702_1727", "07180702_1742", "07180702_1758", "07180702_1813", "07180702_1828", "07180702_1843", "07180702_1858", "07180702_1913", "07180702_1928", "07180702_1943", "07180702_1958"</v>
      </c>
    </row>
    <row r="107" spans="1:21">
      <c r="A107" t="s">
        <v>5508</v>
      </c>
      <c r="F107" s="179">
        <v>15</v>
      </c>
      <c r="G107" s="74" t="s">
        <v>2248</v>
      </c>
      <c r="H107" s="180">
        <v>50</v>
      </c>
      <c r="K107" s="180"/>
      <c r="M107" t="s">
        <v>2246</v>
      </c>
      <c r="Q107" t="str">
        <f t="shared" si="4"/>
        <v>condorProc.py --series 07180702_2014 --donoise  --dumps a --procenv environments/pymidas_HVHVmf.env</v>
      </c>
      <c r="R107" t="str">
        <f t="shared" si="5"/>
        <v>"07180702_1712", "07180702_1727", "07180702_1742", "07180702_1758", "07180702_1813", "07180702_1828", "07180702_1843", "07180702_1858", "07180702_1913", "07180702_1928", "07180702_1943", "07180702_1958", "07180702_2014"</v>
      </c>
    </row>
    <row r="108" spans="1:21">
      <c r="A108" t="s">
        <v>5509</v>
      </c>
      <c r="F108" s="179">
        <v>15</v>
      </c>
      <c r="G108" s="74" t="s">
        <v>2248</v>
      </c>
      <c r="H108" s="180">
        <v>50</v>
      </c>
      <c r="K108" s="180"/>
      <c r="M108" t="s">
        <v>2246</v>
      </c>
      <c r="Q108" t="str">
        <f t="shared" si="4"/>
        <v>condorProc.py --series 07180702_2029 --donoise  --dumps a --procenv environments/pymidas_HVHVmf.env</v>
      </c>
      <c r="R108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</v>
      </c>
    </row>
    <row r="109" spans="1:21">
      <c r="A109" t="s">
        <v>5510</v>
      </c>
      <c r="F109" s="179">
        <v>15</v>
      </c>
      <c r="G109" s="74" t="s">
        <v>2248</v>
      </c>
      <c r="H109" s="180">
        <v>50</v>
      </c>
      <c r="K109" s="180"/>
      <c r="M109" t="s">
        <v>2246</v>
      </c>
      <c r="Q109" t="str">
        <f t="shared" si="4"/>
        <v>condorProc.py --series 07180702_2044 --donoise  --dumps a --procenv environments/pymidas_HVHVmf.env</v>
      </c>
      <c r="R109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</v>
      </c>
    </row>
    <row r="110" spans="1:21">
      <c r="A110" t="s">
        <v>5511</v>
      </c>
      <c r="F110" s="179">
        <v>15</v>
      </c>
      <c r="G110" s="74" t="s">
        <v>2248</v>
      </c>
      <c r="H110" s="180">
        <v>50</v>
      </c>
      <c r="K110" s="180"/>
      <c r="M110" t="s">
        <v>2246</v>
      </c>
      <c r="Q110" t="str">
        <f t="shared" si="4"/>
        <v>condorProc.py --series 07180702_2059 --donoise  --dumps a --procenv environments/pymidas_HVHVmf.env</v>
      </c>
      <c r="R110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</v>
      </c>
    </row>
    <row r="111" spans="1:21">
      <c r="A111" t="s">
        <v>5512</v>
      </c>
      <c r="F111" s="179">
        <v>15</v>
      </c>
      <c r="G111" s="74" t="s">
        <v>2248</v>
      </c>
      <c r="H111" s="180">
        <v>50</v>
      </c>
      <c r="K111" s="180"/>
      <c r="M111" t="s">
        <v>2246</v>
      </c>
      <c r="Q111" t="str">
        <f t="shared" si="4"/>
        <v>condorProc.py --series 07180702_2114 --donoise  --dumps a --procenv environments/pymidas_HVHVmf.env</v>
      </c>
      <c r="R111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</v>
      </c>
    </row>
    <row r="112" spans="1:21">
      <c r="A112" t="s">
        <v>5513</v>
      </c>
      <c r="F112" s="179">
        <v>15</v>
      </c>
      <c r="G112" s="74" t="s">
        <v>2248</v>
      </c>
      <c r="H112" s="180">
        <v>50</v>
      </c>
      <c r="K112" s="180"/>
      <c r="M112" t="s">
        <v>2246</v>
      </c>
      <c r="Q112" t="str">
        <f t="shared" si="4"/>
        <v>condorProc.py --series 07180702_2129 --donoise  --dumps a --procenv environments/pymidas_HVHVmf.env</v>
      </c>
      <c r="R112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</v>
      </c>
    </row>
    <row r="113" spans="1:18">
      <c r="A113" t="s">
        <v>5514</v>
      </c>
      <c r="F113" s="179">
        <v>15</v>
      </c>
      <c r="G113" s="74" t="s">
        <v>2248</v>
      </c>
      <c r="H113" s="180">
        <v>50</v>
      </c>
      <c r="K113" s="180"/>
      <c r="M113" t="s">
        <v>2246</v>
      </c>
      <c r="Q113" t="str">
        <f t="shared" si="4"/>
        <v>condorProc.py --series 07180702_2144 --donoise  --dumps a --procenv environments/pymidas_HVHVmf.env</v>
      </c>
      <c r="R113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</v>
      </c>
    </row>
    <row r="114" spans="1:18">
      <c r="A114" t="s">
        <v>5515</v>
      </c>
      <c r="F114" s="179">
        <v>15</v>
      </c>
      <c r="G114" s="74" t="s">
        <v>2248</v>
      </c>
      <c r="H114" s="180">
        <v>50</v>
      </c>
      <c r="K114" s="180"/>
      <c r="M114" t="s">
        <v>2246</v>
      </c>
      <c r="Q114" t="str">
        <f t="shared" si="4"/>
        <v>condorProc.py --series 07180702_2159 --donoise  --dumps a --procenv environments/pymidas_HVHVmf.env</v>
      </c>
      <c r="R114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</v>
      </c>
    </row>
    <row r="115" spans="1:18">
      <c r="A115" t="s">
        <v>5516</v>
      </c>
      <c r="F115" s="179">
        <v>15</v>
      </c>
      <c r="G115" s="74" t="s">
        <v>2248</v>
      </c>
      <c r="H115" s="180">
        <v>50</v>
      </c>
      <c r="K115" s="180"/>
      <c r="M115" t="s">
        <v>2246</v>
      </c>
      <c r="Q115" t="str">
        <f t="shared" si="4"/>
        <v>condorProc.py --series 07180702_2215 --donoise  --dumps a --procenv environments/pymidas_HVHVmf.env</v>
      </c>
      <c r="R115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</v>
      </c>
    </row>
    <row r="116" spans="1:18">
      <c r="A116" t="s">
        <v>5517</v>
      </c>
      <c r="F116" s="179">
        <v>15</v>
      </c>
      <c r="G116" s="74" t="s">
        <v>2248</v>
      </c>
      <c r="H116" s="180">
        <v>50</v>
      </c>
      <c r="K116" s="180"/>
      <c r="M116" t="s">
        <v>2246</v>
      </c>
      <c r="Q116" t="str">
        <f t="shared" si="4"/>
        <v>condorProc.py --series 07180702_2230 --donoise  --dumps a --procenv environments/pymidas_HVHVmf.env</v>
      </c>
      <c r="R116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</v>
      </c>
    </row>
    <row r="117" spans="1:18">
      <c r="A117" t="s">
        <v>5518</v>
      </c>
      <c r="F117" s="179">
        <v>15</v>
      </c>
      <c r="G117" s="74" t="s">
        <v>2248</v>
      </c>
      <c r="H117" s="180">
        <v>50</v>
      </c>
      <c r="K117" s="180"/>
      <c r="M117" t="s">
        <v>2246</v>
      </c>
      <c r="Q117" t="str">
        <f t="shared" si="4"/>
        <v>condorProc.py --series 07180702_2245 --donoise  --dumps a --procenv environments/pymidas_HVHVmf.env</v>
      </c>
      <c r="R117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</v>
      </c>
    </row>
    <row r="118" spans="1:18">
      <c r="A118" t="s">
        <v>5519</v>
      </c>
      <c r="F118" s="179">
        <v>15</v>
      </c>
      <c r="G118" s="74" t="s">
        <v>2248</v>
      </c>
      <c r="H118" s="180">
        <v>50</v>
      </c>
      <c r="K118" s="180"/>
      <c r="M118" t="s">
        <v>2246</v>
      </c>
      <c r="Q118" t="str">
        <f t="shared" si="4"/>
        <v>condorProc.py --series 07180702_2300 --donoise  --dumps a --procenv environments/pymidas_HVHVmf.env</v>
      </c>
      <c r="R118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</v>
      </c>
    </row>
    <row r="119" spans="1:18">
      <c r="A119" t="s">
        <v>5520</v>
      </c>
      <c r="F119" s="179">
        <v>15</v>
      </c>
      <c r="G119" s="74" t="s">
        <v>2248</v>
      </c>
      <c r="H119" s="180">
        <v>50</v>
      </c>
      <c r="K119" s="180"/>
      <c r="M119" t="s">
        <v>2246</v>
      </c>
      <c r="Q119" t="str">
        <f t="shared" si="4"/>
        <v>condorProc.py --series 07180702_2315 --donoise  --dumps a --procenv environments/pymidas_HVHVmf.env</v>
      </c>
      <c r="R119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</v>
      </c>
    </row>
    <row r="120" spans="1:18">
      <c r="A120" t="s">
        <v>5521</v>
      </c>
      <c r="F120" s="179">
        <v>15</v>
      </c>
      <c r="G120" s="74" t="s">
        <v>2248</v>
      </c>
      <c r="H120" s="180">
        <v>50</v>
      </c>
      <c r="K120" s="180"/>
      <c r="M120" t="s">
        <v>2246</v>
      </c>
      <c r="Q120" t="str">
        <f t="shared" si="4"/>
        <v>condorProc.py --series 07180702_2330 --donoise  --dumps a --procenv environments/pymidas_HVHVmf.env</v>
      </c>
      <c r="R120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</v>
      </c>
    </row>
    <row r="121" spans="1:18">
      <c r="A121" t="s">
        <v>5522</v>
      </c>
      <c r="F121" s="179">
        <v>15</v>
      </c>
      <c r="G121" s="74" t="s">
        <v>2248</v>
      </c>
      <c r="H121" s="180">
        <v>50</v>
      </c>
      <c r="K121" s="180"/>
      <c r="M121" t="s">
        <v>2246</v>
      </c>
      <c r="Q121" t="str">
        <f t="shared" si="4"/>
        <v>condorProc.py --series 07180702_2345 --donoise  --dumps a --procenv environments/pymidas_HVHVmf.env</v>
      </c>
      <c r="R121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</v>
      </c>
    </row>
    <row r="122" spans="1:18">
      <c r="A122" t="s">
        <v>5523</v>
      </c>
      <c r="F122" s="179">
        <v>15</v>
      </c>
      <c r="G122" s="74" t="s">
        <v>2248</v>
      </c>
      <c r="H122" s="180">
        <v>50</v>
      </c>
      <c r="K122" s="180"/>
      <c r="M122" t="s">
        <v>2246</v>
      </c>
      <c r="Q122" t="str">
        <f t="shared" si="4"/>
        <v>condorProc.py --series 07180703_0000 --donoise  --dumps a --procenv environments/pymidas_HVHVmf.env</v>
      </c>
      <c r="R122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</v>
      </c>
    </row>
    <row r="123" spans="1:18">
      <c r="A123" t="s">
        <v>5524</v>
      </c>
      <c r="F123" s="179">
        <v>15</v>
      </c>
      <c r="G123" s="74" t="s">
        <v>2248</v>
      </c>
      <c r="H123" s="180">
        <v>50</v>
      </c>
      <c r="K123" s="180"/>
      <c r="M123" t="s">
        <v>2246</v>
      </c>
      <c r="Q123" t="str">
        <f t="shared" si="4"/>
        <v>condorProc.py --series 07180703_0015 --donoise  --dumps a --procenv environments/pymidas_HVHVmf.env</v>
      </c>
      <c r="R123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</v>
      </c>
    </row>
    <row r="124" spans="1:18">
      <c r="A124" t="s">
        <v>5525</v>
      </c>
      <c r="F124" s="179">
        <v>15</v>
      </c>
      <c r="G124" s="74" t="s">
        <v>2248</v>
      </c>
      <c r="H124" s="180">
        <v>50</v>
      </c>
      <c r="K124" s="180"/>
      <c r="M124" t="s">
        <v>2246</v>
      </c>
      <c r="Q124" t="str">
        <f t="shared" si="4"/>
        <v>condorProc.py --series 07180703_0031 --donoise  --dumps a --procenv environments/pymidas_HVHVmf.env</v>
      </c>
      <c r="R124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</v>
      </c>
    </row>
    <row r="125" spans="1:18">
      <c r="A125" t="s">
        <v>5526</v>
      </c>
      <c r="F125" s="179">
        <v>15</v>
      </c>
      <c r="G125" s="74" t="s">
        <v>2248</v>
      </c>
      <c r="H125" s="180">
        <v>50</v>
      </c>
      <c r="K125" s="180"/>
      <c r="M125" t="s">
        <v>2246</v>
      </c>
      <c r="Q125" t="str">
        <f t="shared" si="4"/>
        <v>condorProc.py --series 07180703_0046 --donoise  --dumps a --procenv environments/pymidas_HVHVmf.env</v>
      </c>
      <c r="R125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</v>
      </c>
    </row>
    <row r="126" spans="1:18">
      <c r="A126" t="s">
        <v>5527</v>
      </c>
      <c r="F126" s="179">
        <v>15</v>
      </c>
      <c r="G126" s="74" t="s">
        <v>2248</v>
      </c>
      <c r="H126" s="180">
        <v>50</v>
      </c>
      <c r="K126" s="180"/>
      <c r="M126" t="s">
        <v>2246</v>
      </c>
      <c r="Q126" t="str">
        <f t="shared" si="4"/>
        <v>condorProc.py --series 07180703_0101 --donoise  --dumps a --procenv environments/pymidas_HVHVmf.env</v>
      </c>
      <c r="R126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"07180703_0046", "07180703_0101"</v>
      </c>
    </row>
    <row r="127" spans="1:18">
      <c r="A127" t="s">
        <v>5528</v>
      </c>
      <c r="F127" s="179">
        <v>15</v>
      </c>
      <c r="G127" s="74" t="s">
        <v>2248</v>
      </c>
      <c r="H127" s="180">
        <v>50</v>
      </c>
      <c r="K127" s="180"/>
      <c r="M127" t="s">
        <v>2246</v>
      </c>
      <c r="Q127" t="str">
        <f t="shared" si="4"/>
        <v>condorProc.py --series 07180703_0116 --donoise  --dumps a --procenv environments/pymidas_HVHVmf.env</v>
      </c>
      <c r="R127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"07180703_0046", "07180703_0101", "07180703_0116"</v>
      </c>
    </row>
    <row r="128" spans="1:18">
      <c r="A128" t="s">
        <v>5529</v>
      </c>
      <c r="F128" s="179">
        <v>15</v>
      </c>
      <c r="G128" s="74" t="s">
        <v>2248</v>
      </c>
      <c r="H128" s="180">
        <v>50</v>
      </c>
      <c r="K128" s="180"/>
      <c r="M128" t="s">
        <v>2246</v>
      </c>
      <c r="Q128" t="str">
        <f t="shared" si="4"/>
        <v>condorProc.py --series 07180703_0131 --donoise  --dumps a --procenv environments/pymidas_HVHVmf.env</v>
      </c>
      <c r="R128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"07180703_0046", "07180703_0101", "07180703_0116", "07180703_0131"</v>
      </c>
    </row>
    <row r="129" spans="1:18">
      <c r="A129" t="s">
        <v>5530</v>
      </c>
      <c r="F129" s="179">
        <v>15</v>
      </c>
      <c r="G129" s="74" t="s">
        <v>2248</v>
      </c>
      <c r="H129" s="180">
        <v>50</v>
      </c>
      <c r="K129" s="180"/>
      <c r="M129" t="s">
        <v>2246</v>
      </c>
      <c r="Q129" t="str">
        <f t="shared" si="4"/>
        <v>condorProc.py --series 07180703_0146 --donoise  --dumps a --procenv environments/pymidas_HVHVmf.env</v>
      </c>
      <c r="R129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"07180703_0046", "07180703_0101", "07180703_0116", "07180703_0131", "07180703_0146"</v>
      </c>
    </row>
    <row r="130" spans="1:18">
      <c r="A130" t="s">
        <v>5531</v>
      </c>
      <c r="F130" s="179">
        <v>15</v>
      </c>
      <c r="G130" s="74" t="s">
        <v>2248</v>
      </c>
      <c r="H130" s="180">
        <v>50</v>
      </c>
      <c r="K130" s="180"/>
      <c r="M130" t="s">
        <v>2246</v>
      </c>
      <c r="Q130" t="str">
        <f t="shared" si="4"/>
        <v>condorProc.py --series 07180703_0201 --donoise  --dumps a --procenv environments/pymidas_HVHVmf.env</v>
      </c>
      <c r="R130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"07180703_0046", "07180703_0101", "07180703_0116", "07180703_0131", "07180703_0146", "07180703_0201"</v>
      </c>
    </row>
    <row r="131" spans="1:18">
      <c r="A131" t="s">
        <v>5532</v>
      </c>
      <c r="F131" s="179">
        <v>15</v>
      </c>
      <c r="G131" s="74" t="s">
        <v>2248</v>
      </c>
      <c r="H131" s="180">
        <v>50</v>
      </c>
      <c r="K131" s="180"/>
      <c r="M131" t="s">
        <v>2246</v>
      </c>
      <c r="Q131" t="str">
        <f t="shared" si="4"/>
        <v>condorProc.py --series 07180703_0216 --donoise  --dumps a --procenv environments/pymidas_HVHVmf.env</v>
      </c>
      <c r="R131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"07180703_0046", "07180703_0101", "07180703_0116", "07180703_0131", "07180703_0146", "07180703_0201", "07180703_0216"</v>
      </c>
    </row>
    <row r="132" spans="1:18">
      <c r="A132" t="s">
        <v>5533</v>
      </c>
      <c r="F132" s="179">
        <v>15</v>
      </c>
      <c r="G132" s="74" t="s">
        <v>2248</v>
      </c>
      <c r="H132" s="180">
        <v>50</v>
      </c>
      <c r="K132" s="180"/>
      <c r="M132" t="s">
        <v>2246</v>
      </c>
      <c r="Q132" t="str">
        <f t="shared" si="4"/>
        <v>condorProc.py --series 07180703_0231 --donoise  --dumps a --procenv environments/pymidas_HVHVmf.env</v>
      </c>
      <c r="R132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"07180703_0046", "07180703_0101", "07180703_0116", "07180703_0131", "07180703_0146", "07180703_0201", "07180703_0216", "07180703_0231"</v>
      </c>
    </row>
    <row r="133" spans="1:18">
      <c r="A133" t="s">
        <v>5534</v>
      </c>
      <c r="F133" s="179">
        <v>15</v>
      </c>
      <c r="G133" s="74" t="s">
        <v>2248</v>
      </c>
      <c r="H133" s="180">
        <v>50</v>
      </c>
      <c r="K133" s="180"/>
      <c r="M133" t="s">
        <v>2246</v>
      </c>
      <c r="Q133" t="str">
        <f>"condorProc.py --series "&amp;A133&amp;" --donoise  --dumps a --procenv environments/pymidas_HVHVmf.env"</f>
        <v>condorProc.py --series 07180703_0247 --donoise  --dumps a --procenv environments/pymidas_HVHVmf.env</v>
      </c>
      <c r="R133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"07180703_0046", "07180703_0101", "07180703_0116", "07180703_0131", "07180703_0146", "07180703_0201", "07180703_0216", "07180703_0231", "07180703_0247"</v>
      </c>
    </row>
    <row r="134" spans="1:18">
      <c r="A134" t="s">
        <v>5535</v>
      </c>
      <c r="F134" s="181">
        <v>15</v>
      </c>
      <c r="G134" s="189" t="s">
        <v>2248</v>
      </c>
      <c r="H134" s="182">
        <v>50</v>
      </c>
      <c r="I134" s="185"/>
      <c r="J134" s="65"/>
      <c r="K134" s="182"/>
      <c r="M134" t="s">
        <v>2246</v>
      </c>
      <c r="Q134" t="str">
        <f>"condorProc.py --series "&amp;A134&amp;" --donoise  --dumps a --procenv environments/pymidas_HVHVmf.env"</f>
        <v>condorProc.py --series 07180703_0302 --donoise  --dumps a --procenv environments/pymidas_HVHVmf.env</v>
      </c>
      <c r="R134" t="str">
        <f t="shared" si="5"/>
        <v>"07180702_1712", "07180702_1727", "07180702_1742", "07180702_1758", "07180702_1813", "07180702_1828", "07180702_1843", "07180702_1858", "07180702_1913", "07180702_1928", "07180702_1943", "07180702_1958", "07180702_2014", "07180702_2029", "07180702_2044", "07180702_2059", "07180702_2114", "07180702_2129", "07180702_2144", "07180702_2159", "07180702_2215", "07180702_2230", "07180702_2245", "07180702_2300", "07180702_2315", "07180702_2330", "07180702_2345", "07180703_0000", "07180703_0015", "07180703_0031", "07180703_0046", "07180703_0101", "07180703_0116", "07180703_0131", "07180703_0146", "07180703_0201", "07180703_0216", "07180703_0231", "07180703_0247", "07180703_0302"</v>
      </c>
    </row>
    <row r="135" spans="1:18">
      <c r="A135" t="s">
        <v>5536</v>
      </c>
      <c r="K135" t="s">
        <v>191</v>
      </c>
    </row>
    <row r="136" spans="1:18">
      <c r="A136" t="s">
        <v>5537</v>
      </c>
      <c r="H136">
        <v>40</v>
      </c>
      <c r="J136" t="s">
        <v>5373</v>
      </c>
    </row>
    <row r="137" spans="1:18">
      <c r="A137" t="s">
        <v>5538</v>
      </c>
      <c r="F137" s="176">
        <v>30</v>
      </c>
      <c r="G137" s="177"/>
      <c r="H137" s="178">
        <v>0</v>
      </c>
      <c r="I137" s="176"/>
      <c r="J137" s="177"/>
      <c r="K137" s="178" t="s">
        <v>5539</v>
      </c>
    </row>
    <row r="138" spans="1:18">
      <c r="A138" t="s">
        <v>5540</v>
      </c>
      <c r="F138" s="181">
        <v>30</v>
      </c>
      <c r="G138" s="65"/>
      <c r="H138" s="182">
        <v>40</v>
      </c>
      <c r="I138" s="181"/>
      <c r="J138" s="65"/>
      <c r="K138" s="182"/>
    </row>
    <row r="139" spans="1:18">
      <c r="A139" t="s">
        <v>5541</v>
      </c>
      <c r="F139" s="176">
        <v>30</v>
      </c>
      <c r="G139" s="177"/>
      <c r="H139" s="178">
        <v>0</v>
      </c>
      <c r="I139" s="176"/>
      <c r="J139" s="177"/>
      <c r="K139" s="178" t="s">
        <v>5542</v>
      </c>
    </row>
    <row r="140" spans="1:18">
      <c r="A140" t="s">
        <v>5543</v>
      </c>
      <c r="F140" s="181">
        <v>30</v>
      </c>
      <c r="G140" s="65"/>
      <c r="H140" s="182">
        <v>40</v>
      </c>
      <c r="I140" s="181"/>
      <c r="J140" s="65"/>
      <c r="K140" s="182" t="s">
        <v>5544</v>
      </c>
    </row>
    <row r="141" spans="1:18">
      <c r="A141" t="s">
        <v>5545</v>
      </c>
      <c r="F141" s="176">
        <v>60</v>
      </c>
      <c r="G141" s="177"/>
      <c r="H141" s="178">
        <v>0</v>
      </c>
      <c r="M141" t="s">
        <v>2246</v>
      </c>
      <c r="Q141" t="str">
        <f t="shared" ref="Q141:Q152" si="6">"condorProc.py --series "&amp;A141&amp;" --donoise  --dumps a --procenv environments/pymidas_HVHVmf.env"</f>
        <v>condorProc.py --series 07180806_1630 --donoise  --dumps a --procenv environments/pymidas_HVHVmf.env</v>
      </c>
    </row>
    <row r="142" spans="1:18">
      <c r="A142" t="s">
        <v>5546</v>
      </c>
      <c r="F142" s="179">
        <v>60</v>
      </c>
      <c r="H142" s="180">
        <v>20</v>
      </c>
      <c r="M142" t="s">
        <v>2246</v>
      </c>
      <c r="Q142" t="str">
        <f t="shared" si="6"/>
        <v>condorProc.py --series 07180806_1756 --donoise  --dumps a --procenv environments/pymidas_HVHVmf.env</v>
      </c>
    </row>
    <row r="143" spans="1:18">
      <c r="A143" t="s">
        <v>5547</v>
      </c>
      <c r="F143" s="179">
        <v>60</v>
      </c>
      <c r="H143" s="180">
        <v>40</v>
      </c>
      <c r="M143" t="s">
        <v>2246</v>
      </c>
      <c r="Q143" t="str">
        <f t="shared" si="6"/>
        <v>condorProc.py --series 07180806_1925 --donoise  --dumps a --procenv environments/pymidas_HVHVmf.env</v>
      </c>
    </row>
    <row r="144" spans="1:18">
      <c r="A144" t="s">
        <v>5548</v>
      </c>
      <c r="F144" s="181">
        <v>60</v>
      </c>
      <c r="G144" s="65"/>
      <c r="H144" s="182">
        <v>60</v>
      </c>
      <c r="M144" t="s">
        <v>2246</v>
      </c>
      <c r="Q144" t="str">
        <f t="shared" si="6"/>
        <v>condorProc.py --series 07180806_2054 --donoise  --dumps a --procenv environments/pymidas_HVHVmf.env</v>
      </c>
    </row>
    <row r="145" spans="1:17">
      <c r="A145" t="s">
        <v>5549</v>
      </c>
      <c r="F145" s="176">
        <v>60</v>
      </c>
      <c r="G145" s="177"/>
      <c r="H145" s="178">
        <v>0</v>
      </c>
      <c r="M145" t="s">
        <v>2246</v>
      </c>
      <c r="Q145" t="str">
        <f t="shared" si="6"/>
        <v>condorProc.py --series 07180806_2303 --donoise  --dumps a --procenv environments/pymidas_HVHVmf.env</v>
      </c>
    </row>
    <row r="146" spans="1:17">
      <c r="A146" t="s">
        <v>5550</v>
      </c>
      <c r="F146" s="179">
        <v>60</v>
      </c>
      <c r="H146" s="180">
        <v>20</v>
      </c>
      <c r="M146" t="s">
        <v>2246</v>
      </c>
      <c r="Q146" t="str">
        <f t="shared" si="6"/>
        <v>condorProc.py --series 07180807_0029 --donoise  --dumps a --procenv environments/pymidas_HVHVmf.env</v>
      </c>
    </row>
    <row r="147" spans="1:17">
      <c r="A147" t="s">
        <v>5551</v>
      </c>
      <c r="F147" s="179">
        <v>60</v>
      </c>
      <c r="H147" s="180">
        <v>40</v>
      </c>
      <c r="M147" t="s">
        <v>2246</v>
      </c>
      <c r="Q147" t="str">
        <f t="shared" si="6"/>
        <v>condorProc.py --series 07180807_0158 --donoise  --dumps a --procenv environments/pymidas_HVHVmf.env</v>
      </c>
    </row>
    <row r="148" spans="1:17">
      <c r="A148" t="s">
        <v>5552</v>
      </c>
      <c r="F148" s="181">
        <v>60</v>
      </c>
      <c r="G148" s="65"/>
      <c r="H148" s="182">
        <v>60</v>
      </c>
      <c r="M148" t="s">
        <v>2246</v>
      </c>
      <c r="Q148" t="str">
        <f t="shared" si="6"/>
        <v>condorProc.py --series 07180807_0328 --donoise  --dumps a --procenv environments/pymidas_HVHVmf.env</v>
      </c>
    </row>
    <row r="149" spans="1:17">
      <c r="A149" t="s">
        <v>5553</v>
      </c>
      <c r="F149">
        <v>5</v>
      </c>
      <c r="H149">
        <v>40</v>
      </c>
      <c r="I149" t="s">
        <v>5554</v>
      </c>
      <c r="K149" s="62" t="s">
        <v>5555</v>
      </c>
    </row>
    <row r="150" spans="1:17">
      <c r="A150" t="s">
        <v>5556</v>
      </c>
      <c r="F150">
        <v>15</v>
      </c>
      <c r="H150">
        <v>40</v>
      </c>
      <c r="K150" s="63" t="s">
        <v>5557</v>
      </c>
      <c r="M150" t="s">
        <v>2246</v>
      </c>
      <c r="Q150" t="str">
        <f t="shared" si="6"/>
        <v>condorProc.py --series 07180807_1034 --donoise  --dumps a --procenv environments/pymidas_HVHVmf.env</v>
      </c>
    </row>
    <row r="151" spans="1:17">
      <c r="A151" t="s">
        <v>5558</v>
      </c>
      <c r="F151">
        <v>18</v>
      </c>
      <c r="H151">
        <v>40</v>
      </c>
      <c r="K151" s="186" t="s">
        <v>5559</v>
      </c>
      <c r="M151" t="s">
        <v>2246</v>
      </c>
      <c r="Q151" t="str">
        <f t="shared" si="6"/>
        <v>condorProc.py --series 07180807_1051 --donoise  --dumps a --procenv environments/pymidas_HVHVmf.env</v>
      </c>
    </row>
    <row r="152" spans="1:17">
      <c r="A152" t="s">
        <v>5560</v>
      </c>
      <c r="F152">
        <v>18</v>
      </c>
      <c r="H152">
        <v>40</v>
      </c>
      <c r="K152" s="64"/>
      <c r="L152" t="s">
        <v>5561</v>
      </c>
      <c r="M152" t="s">
        <v>2246</v>
      </c>
      <c r="Q152" t="str">
        <f t="shared" si="6"/>
        <v>condorProc.py --series 07180807_1152 --donoise  --dumps a --procenv environments/pymidas_HVHVmf.env</v>
      </c>
    </row>
    <row r="153" spans="1:17">
      <c r="A153" s="176" t="s">
        <v>5562</v>
      </c>
      <c r="B153" s="177"/>
      <c r="C153" s="177"/>
      <c r="D153" s="177"/>
      <c r="E153" s="177"/>
      <c r="F153" s="177"/>
      <c r="G153" s="177"/>
      <c r="H153" s="177"/>
      <c r="I153" s="177"/>
      <c r="J153" s="178" t="s">
        <v>5563</v>
      </c>
    </row>
    <row r="154" spans="1:17">
      <c r="A154" s="179" t="s">
        <v>5564</v>
      </c>
      <c r="J154" s="180"/>
    </row>
    <row r="155" spans="1:17">
      <c r="A155" s="179" t="s">
        <v>5565</v>
      </c>
      <c r="J155" s="180"/>
    </row>
    <row r="156" spans="1:17">
      <c r="A156" s="179" t="s">
        <v>5566</v>
      </c>
      <c r="J156" s="180"/>
    </row>
    <row r="157" spans="1:17">
      <c r="A157" s="179" t="s">
        <v>5567</v>
      </c>
      <c r="J157" s="180"/>
    </row>
    <row r="158" spans="1:17">
      <c r="A158" s="179" t="s">
        <v>5568</v>
      </c>
      <c r="J158" s="180"/>
    </row>
    <row r="159" spans="1:17">
      <c r="A159" s="179" t="s">
        <v>5569</v>
      </c>
      <c r="J159" s="180"/>
    </row>
    <row r="160" spans="1:17">
      <c r="A160" s="179" t="s">
        <v>5570</v>
      </c>
      <c r="J160" s="180"/>
      <c r="N160" t="s">
        <v>5571</v>
      </c>
    </row>
    <row r="161" spans="1:21">
      <c r="A161" s="179" t="s">
        <v>5572</v>
      </c>
      <c r="J161" s="180"/>
      <c r="N161" t="s">
        <v>5571</v>
      </c>
    </row>
    <row r="162" spans="1:21">
      <c r="A162" s="179" t="s">
        <v>5573</v>
      </c>
      <c r="J162" s="180"/>
      <c r="N162" t="s">
        <v>5571</v>
      </c>
    </row>
    <row r="163" spans="1:21">
      <c r="A163" s="179" t="s">
        <v>5574</v>
      </c>
      <c r="J163" s="180"/>
      <c r="N163" t="s">
        <v>5571</v>
      </c>
    </row>
    <row r="164" spans="1:21">
      <c r="A164" s="181" t="s">
        <v>5575</v>
      </c>
      <c r="B164" s="65"/>
      <c r="C164" s="65"/>
      <c r="D164" s="65"/>
      <c r="E164" s="65"/>
      <c r="F164" s="65"/>
      <c r="G164" s="65"/>
      <c r="H164" s="65"/>
      <c r="I164" s="65"/>
      <c r="J164" s="182"/>
      <c r="N164" t="s">
        <v>5571</v>
      </c>
    </row>
    <row r="165" spans="1:21">
      <c r="A165" t="s">
        <v>5576</v>
      </c>
      <c r="F165">
        <v>10</v>
      </c>
      <c r="H165">
        <v>0</v>
      </c>
      <c r="J165" t="s">
        <v>5577</v>
      </c>
      <c r="M165" t="s">
        <v>5578</v>
      </c>
      <c r="N165" t="s">
        <v>5571</v>
      </c>
      <c r="Q165" t="str">
        <f>"condorProc.py --series "&amp;A165&amp;" --donoise  --dumps a --procenv environments/pymidas_HVHV_NaI_mf.env"</f>
        <v>condorProc.py --series 07180808_1158 --donoise  --dumps a --procenv environments/pymidas_HVHV_NaI_mf.env</v>
      </c>
      <c r="T165" t="str">
        <f>"ls -l "&amp;A165&amp;"/ | grep grad\ \ \ &gt;&gt; ~/K100/condorfail.txt"</f>
        <v>ls -l 07180808_1158/ | grep grad\ \ \ &gt;&gt; ~/K100/condorfail.txt</v>
      </c>
    </row>
    <row r="166" spans="1:21">
      <c r="A166" t="s">
        <v>5579</v>
      </c>
      <c r="F166">
        <v>10</v>
      </c>
      <c r="H166">
        <v>0</v>
      </c>
      <c r="J166" t="s">
        <v>5577</v>
      </c>
      <c r="M166" t="s">
        <v>5578</v>
      </c>
      <c r="N166" t="s">
        <v>5571</v>
      </c>
      <c r="Q166" t="str">
        <f>"condorProc.py --series "&amp;A166&amp;" --donoise  --dumps a --procenv environments/pymidas_HVHV_NaI_mf.env"</f>
        <v>condorProc.py --series 07180808_1224 --donoise  --dumps a --procenv environments/pymidas_HVHV_NaI_mf.env</v>
      </c>
      <c r="T166" t="str">
        <f>"ls -l "&amp;A166&amp;"/ | grep grad\ \ \ &gt;&gt; ~/K100/condorfail.txt"</f>
        <v>ls -l 07180808_1224/ | grep grad\ \ \ &gt;&gt; ~/K100/condorfail.txt</v>
      </c>
    </row>
    <row r="167" spans="1:21">
      <c r="A167" t="s">
        <v>5580</v>
      </c>
      <c r="F167">
        <v>60</v>
      </c>
      <c r="H167">
        <v>40</v>
      </c>
      <c r="J167" t="s">
        <v>5577</v>
      </c>
      <c r="M167" t="s">
        <v>5578</v>
      </c>
      <c r="N167" t="s">
        <v>5571</v>
      </c>
      <c r="Q167" t="str">
        <f>"condorProc.py --series "&amp;A167&amp;" --donoise  --dumps a --procenv environments/pymidas_HVHV_NaI_mf.env"</f>
        <v>condorProc.py --series 07180808_1310 --donoise  --dumps a --procenv environments/pymidas_HVHV_NaI_mf.env</v>
      </c>
      <c r="T167" t="str">
        <f>"ls -l "&amp;A167&amp;"/ | grep grad\ \ \ &gt;&gt; ~/K100/condorfail.txt"</f>
        <v>ls -l 07180808_1310/ | grep grad\ \ \ &gt;&gt; ~/K100/condorfail.txt</v>
      </c>
    </row>
    <row r="168" spans="1:21">
      <c r="A168" t="s">
        <v>5581</v>
      </c>
      <c r="B168" s="177"/>
      <c r="C168" s="177"/>
      <c r="D168" s="177"/>
      <c r="E168" s="177"/>
      <c r="H168">
        <v>40</v>
      </c>
      <c r="K168" t="s">
        <v>191</v>
      </c>
      <c r="M168" s="16"/>
      <c r="N168" t="s">
        <v>5571</v>
      </c>
    </row>
    <row r="169" spans="1:21">
      <c r="A169" s="176" t="s">
        <v>5582</v>
      </c>
      <c r="B169" s="177"/>
      <c r="C169" s="177"/>
      <c r="D169" s="177"/>
      <c r="E169" s="177"/>
      <c r="F169" s="177">
        <v>10</v>
      </c>
      <c r="G169" s="177"/>
      <c r="H169" s="177">
        <v>40</v>
      </c>
      <c r="I169" s="177"/>
      <c r="J169" s="178" t="s">
        <v>5577</v>
      </c>
      <c r="K169" s="62" t="s">
        <v>5583</v>
      </c>
      <c r="M169" t="s">
        <v>5578</v>
      </c>
      <c r="N169" t="s">
        <v>5571</v>
      </c>
      <c r="Q169" t="str">
        <f t="shared" ref="Q169:Q175" si="7">"condorProc.py --series "&amp;A169&amp;" --donoise  --dumps a --procenv environments/pymidas_HVHV_NaI_mf.env"</f>
        <v>condorProc.py --series 07180808_1442 --donoise  --dumps a --procenv environments/pymidas_HVHV_NaI_mf.env</v>
      </c>
      <c r="T169" t="str">
        <f t="shared" ref="T169:T232" si="8">"ls -l "&amp;A169&amp;"/ | grep grad\ \ \ &gt;&gt; ~/K100/condorfail.txt"</f>
        <v>ls -l 07180808_1442/ | grep grad\ \ \ &gt;&gt; ~/K100/condorfail.txt</v>
      </c>
    </row>
    <row r="170" spans="1:21">
      <c r="A170" s="179" t="s">
        <v>5584</v>
      </c>
      <c r="J170" s="180" t="s">
        <v>5585</v>
      </c>
      <c r="K170" s="63" t="s">
        <v>5586</v>
      </c>
      <c r="M170" t="s">
        <v>5578</v>
      </c>
      <c r="N170" t="s">
        <v>5571</v>
      </c>
      <c r="Q170" t="str">
        <f t="shared" si="7"/>
        <v>condorProc.py --series 07180808_1452 --donoise  --dumps a --procenv environments/pymidas_HVHV_NaI_mf.env</v>
      </c>
      <c r="T170" t="str">
        <f t="shared" si="8"/>
        <v>ls -l 07180808_1452/ | grep grad\ \ \ &gt;&gt; ~/K100/condorfail.txt</v>
      </c>
    </row>
    <row r="171" spans="1:21">
      <c r="A171" s="179" t="s">
        <v>5587</v>
      </c>
      <c r="J171" s="180"/>
      <c r="K171" s="186" t="s">
        <v>5559</v>
      </c>
      <c r="M171" t="s">
        <v>5578</v>
      </c>
      <c r="N171" t="s">
        <v>5571</v>
      </c>
      <c r="Q171" t="str">
        <f t="shared" si="7"/>
        <v>condorProc.py --series 07180808_1502 --donoise  --dumps a --procenv environments/pymidas_HVHV_NaI_mf.env</v>
      </c>
      <c r="T171" t="str">
        <f t="shared" si="8"/>
        <v>ls -l 07180808_1502/ | grep grad\ \ \ &gt;&gt; ~/K100/condorfail.txt</v>
      </c>
    </row>
    <row r="172" spans="1:21">
      <c r="A172" s="179" t="s">
        <v>5588</v>
      </c>
      <c r="J172" s="180"/>
      <c r="K172" s="63" t="s">
        <v>5589</v>
      </c>
      <c r="M172" t="s">
        <v>5578</v>
      </c>
      <c r="N172" t="s">
        <v>5571</v>
      </c>
      <c r="Q172" t="str">
        <f t="shared" si="7"/>
        <v>condorProc.py --series 07180808_1512 --donoise  --dumps a --procenv environments/pymidas_HVHV_NaI_mf.env</v>
      </c>
      <c r="T172" t="str">
        <f t="shared" si="8"/>
        <v>ls -l 07180808_1512/ | grep grad\ \ \ &gt;&gt; ~/K100/condorfail.txt</v>
      </c>
    </row>
    <row r="173" spans="1:21">
      <c r="A173" s="179" t="s">
        <v>5590</v>
      </c>
      <c r="J173" s="180"/>
      <c r="K173" s="63"/>
      <c r="M173" t="s">
        <v>5578</v>
      </c>
      <c r="N173" t="s">
        <v>5571</v>
      </c>
      <c r="Q173" t="str">
        <f t="shared" si="7"/>
        <v>condorProc.py --series 07180808_1522 --donoise  --dumps a --procenv environments/pymidas_HVHV_NaI_mf.env</v>
      </c>
      <c r="T173" t="str">
        <f t="shared" si="8"/>
        <v>ls -l 07180808_1522/ | grep grad\ \ \ &gt;&gt; ~/K100/condorfail.txt</v>
      </c>
    </row>
    <row r="174" spans="1:21">
      <c r="A174" s="181" t="s">
        <v>5591</v>
      </c>
      <c r="B174" s="65"/>
      <c r="C174" s="65"/>
      <c r="D174" s="65"/>
      <c r="E174" s="65"/>
      <c r="F174" s="65"/>
      <c r="G174" s="65"/>
      <c r="H174" s="65"/>
      <c r="I174" s="65"/>
      <c r="J174" s="182"/>
      <c r="K174" s="64"/>
      <c r="M174" t="s">
        <v>5578</v>
      </c>
      <c r="N174" t="s">
        <v>5571</v>
      </c>
      <c r="Q174" t="str">
        <f t="shared" si="7"/>
        <v>condorProc.py --series 07180808_1533 --donoise  --dumps a --procenv environments/pymidas_HVHV_NaI_mf.env</v>
      </c>
      <c r="T174" t="str">
        <f t="shared" si="8"/>
        <v>ls -l 07180808_1533/ | grep grad\ \ \ &gt;&gt; ~/K100/condorfail.txt</v>
      </c>
    </row>
    <row r="175" spans="1:21">
      <c r="A175" s="176" t="s">
        <v>5592</v>
      </c>
      <c r="B175" s="177"/>
      <c r="C175" s="177"/>
      <c r="D175" s="177"/>
      <c r="E175" s="177"/>
      <c r="F175" s="177">
        <v>10</v>
      </c>
      <c r="G175" s="188" t="s">
        <v>2248</v>
      </c>
      <c r="H175" s="177">
        <v>40</v>
      </c>
      <c r="I175" s="177"/>
      <c r="J175" s="178" t="s">
        <v>5577</v>
      </c>
      <c r="K175" s="62" t="s">
        <v>5583</v>
      </c>
      <c r="M175" t="s">
        <v>5593</v>
      </c>
      <c r="N175" t="s">
        <v>5571</v>
      </c>
      <c r="O175" t="s">
        <v>4927</v>
      </c>
      <c r="Q175" t="str">
        <f t="shared" si="7"/>
        <v>condorProc.py --series 07180808_1558 --donoise  --dumps a --procenv environments/pymidas_HVHV_NaI_mf.env</v>
      </c>
      <c r="T175" t="str">
        <f t="shared" si="8"/>
        <v>ls -l 07180808_1558/ | grep grad\ \ \ &gt;&gt; ~/K100/condorfail.txt</v>
      </c>
      <c r="U175" t="str">
        <f>"ls -l "&amp;A175&amp;"/ | grep grad &gt;&gt; ~/K100/condorfail.txt"</f>
        <v>ls -l 07180808_1558/ | grep grad &gt;&gt; ~/K100/condorfail.txt</v>
      </c>
    </row>
    <row r="176" spans="1:21">
      <c r="A176" s="179" t="s">
        <v>5594</v>
      </c>
      <c r="G176" s="74"/>
      <c r="J176" s="180" t="s">
        <v>5585</v>
      </c>
      <c r="K176" s="63" t="s">
        <v>5586</v>
      </c>
      <c r="M176" t="s">
        <v>5593</v>
      </c>
      <c r="N176" t="s">
        <v>5571</v>
      </c>
      <c r="O176" t="s">
        <v>4927</v>
      </c>
      <c r="Q176" t="str">
        <f t="shared" ref="Q176:Q181" si="9">"condorProc.py --series "&amp;A176&amp;" --donoise  --dumps a --procenv environments/pymidas_HVHV_NaI_mf.env"</f>
        <v>condorProc.py --series 07180808_1608 --donoise  --dumps a --procenv environments/pymidas_HVHV_NaI_mf.env</v>
      </c>
      <c r="T176" t="str">
        <f t="shared" si="8"/>
        <v>ls -l 07180808_1608/ | grep grad\ \ \ &gt;&gt; ~/K100/condorfail.txt</v>
      </c>
      <c r="U176" t="str">
        <f t="shared" ref="U176:U239" si="10">"ls -l "&amp;A176&amp;"/ | grep grad &gt;&gt; ~/K100/condorfail.txt"</f>
        <v>ls -l 07180808_1608/ | grep grad &gt;&gt; ~/K100/condorfail.txt</v>
      </c>
    </row>
    <row r="177" spans="1:21">
      <c r="A177" s="179" t="s">
        <v>5595</v>
      </c>
      <c r="G177" s="74"/>
      <c r="J177" s="180"/>
      <c r="K177" s="186" t="s">
        <v>5559</v>
      </c>
      <c r="M177" t="s">
        <v>5593</v>
      </c>
      <c r="N177" t="s">
        <v>5571</v>
      </c>
      <c r="O177" t="s">
        <v>4927</v>
      </c>
      <c r="Q177" t="str">
        <f t="shared" si="9"/>
        <v>condorProc.py --series 07180808_1618 --donoise  --dumps a --procenv environments/pymidas_HVHV_NaI_mf.env</v>
      </c>
      <c r="T177" t="str">
        <f t="shared" si="8"/>
        <v>ls -l 07180808_1618/ | grep grad\ \ \ &gt;&gt; ~/K100/condorfail.txt</v>
      </c>
      <c r="U177" t="str">
        <f t="shared" si="10"/>
        <v>ls -l 07180808_1618/ | grep grad &gt;&gt; ~/K100/condorfail.txt</v>
      </c>
    </row>
    <row r="178" spans="1:21">
      <c r="A178" s="179" t="s">
        <v>5596</v>
      </c>
      <c r="G178" s="74"/>
      <c r="J178" s="180"/>
      <c r="K178" s="63"/>
      <c r="M178" t="s">
        <v>5593</v>
      </c>
      <c r="N178" t="s">
        <v>5571</v>
      </c>
      <c r="O178" t="s">
        <v>4927</v>
      </c>
      <c r="Q178" t="str">
        <f t="shared" si="9"/>
        <v>condorProc.py --series 07180808_1628 --donoise  --dumps a --procenv environments/pymidas_HVHV_NaI_mf.env</v>
      </c>
      <c r="T178" t="str">
        <f t="shared" si="8"/>
        <v>ls -l 07180808_1628/ | grep grad\ \ \ &gt;&gt; ~/K100/condorfail.txt</v>
      </c>
      <c r="U178" t="str">
        <f t="shared" si="10"/>
        <v>ls -l 07180808_1628/ | grep grad &gt;&gt; ~/K100/condorfail.txt</v>
      </c>
    </row>
    <row r="179" spans="1:21">
      <c r="A179" s="179" t="s">
        <v>5597</v>
      </c>
      <c r="G179" s="74"/>
      <c r="J179" s="180"/>
      <c r="K179" s="63"/>
      <c r="M179" t="s">
        <v>5593</v>
      </c>
      <c r="N179" t="s">
        <v>5571</v>
      </c>
      <c r="O179" t="s">
        <v>4927</v>
      </c>
      <c r="Q179" t="str">
        <f t="shared" si="9"/>
        <v>condorProc.py --series 07180808_1638 --donoise  --dumps a --procenv environments/pymidas_HVHV_NaI_mf.env</v>
      </c>
      <c r="T179" t="str">
        <f t="shared" si="8"/>
        <v>ls -l 07180808_1638/ | grep grad\ \ \ &gt;&gt; ~/K100/condorfail.txt</v>
      </c>
      <c r="U179" t="str">
        <f t="shared" si="10"/>
        <v>ls -l 07180808_1638/ | grep grad &gt;&gt; ~/K100/condorfail.txt</v>
      </c>
    </row>
    <row r="180" spans="1:21">
      <c r="A180" s="181" t="s">
        <v>5598</v>
      </c>
      <c r="B180" s="65"/>
      <c r="C180" s="65"/>
      <c r="D180" s="65"/>
      <c r="E180" s="65"/>
      <c r="F180" s="65"/>
      <c r="G180" s="189"/>
      <c r="H180" s="65"/>
      <c r="I180" s="65"/>
      <c r="J180" s="182"/>
      <c r="K180" s="64"/>
      <c r="M180" t="s">
        <v>5593</v>
      </c>
      <c r="N180" t="s">
        <v>5571</v>
      </c>
      <c r="O180" t="s">
        <v>4927</v>
      </c>
      <c r="Q180" t="str">
        <f t="shared" si="9"/>
        <v>condorProc.py --series 07180808_1648 --donoise  --dumps a --procenv environments/pymidas_HVHV_NaI_mf.env</v>
      </c>
      <c r="T180" t="str">
        <f t="shared" si="8"/>
        <v>ls -l 07180808_1648/ | grep grad\ \ \ &gt;&gt; ~/K100/condorfail.txt</v>
      </c>
      <c r="U180" t="str">
        <f t="shared" si="10"/>
        <v>ls -l 07180808_1648/ | grep grad &gt;&gt; ~/K100/condorfail.txt</v>
      </c>
    </row>
    <row r="181" spans="1:21">
      <c r="A181" s="176" t="s">
        <v>5599</v>
      </c>
      <c r="B181" s="177"/>
      <c r="C181" s="177"/>
      <c r="D181" s="177"/>
      <c r="E181" s="177"/>
      <c r="F181" s="177">
        <v>10</v>
      </c>
      <c r="G181" s="188" t="s">
        <v>2248</v>
      </c>
      <c r="H181" s="177">
        <v>40</v>
      </c>
      <c r="I181" s="177"/>
      <c r="J181" s="178" t="s">
        <v>5577</v>
      </c>
      <c r="K181" s="62" t="s">
        <v>5583</v>
      </c>
      <c r="M181" t="s">
        <v>5593</v>
      </c>
      <c r="N181" t="s">
        <v>5571</v>
      </c>
      <c r="O181" t="s">
        <v>4927</v>
      </c>
      <c r="Q181" t="str">
        <f t="shared" si="9"/>
        <v>condorProc.py --series 07180808_1715 --donoise  --dumps a --procenv environments/pymidas_HVHV_NaI_mf.env</v>
      </c>
      <c r="T181" t="str">
        <f t="shared" si="8"/>
        <v>ls -l 07180808_1715/ | grep grad\ \ \ &gt;&gt; ~/K100/condorfail.txt</v>
      </c>
      <c r="U181" t="str">
        <f t="shared" si="10"/>
        <v>ls -l 07180808_1715/ | grep grad &gt;&gt; ~/K100/condorfail.txt</v>
      </c>
    </row>
    <row r="182" spans="1:21">
      <c r="A182" s="179" t="s">
        <v>5600</v>
      </c>
      <c r="G182" s="74"/>
      <c r="J182" s="180" t="s">
        <v>5585</v>
      </c>
      <c r="K182" s="63" t="s">
        <v>5586</v>
      </c>
      <c r="M182" t="s">
        <v>5593</v>
      </c>
      <c r="N182" t="s">
        <v>5571</v>
      </c>
      <c r="O182" t="s">
        <v>4927</v>
      </c>
      <c r="Q182" t="str">
        <f t="shared" ref="Q182:Q193" si="11">"condorProc.py --series "&amp;A182&amp;" --donoise  --dumps a --procenv environments/pymidas_HVHV_NaI_mf.env"</f>
        <v>condorProc.py --series 07180808_1725 --donoise  --dumps a --procenv environments/pymidas_HVHV_NaI_mf.env</v>
      </c>
      <c r="T182" t="str">
        <f t="shared" si="8"/>
        <v>ls -l 07180808_1725/ | grep grad\ \ \ &gt;&gt; ~/K100/condorfail.txt</v>
      </c>
      <c r="U182" t="str">
        <f t="shared" si="10"/>
        <v>ls -l 07180808_1725/ | grep grad &gt;&gt; ~/K100/condorfail.txt</v>
      </c>
    </row>
    <row r="183" spans="1:21">
      <c r="A183" s="179" t="s">
        <v>5601</v>
      </c>
      <c r="G183" s="74"/>
      <c r="J183" s="180"/>
      <c r="K183" s="186" t="s">
        <v>5602</v>
      </c>
      <c r="M183" t="s">
        <v>5593</v>
      </c>
      <c r="N183" t="s">
        <v>5571</v>
      </c>
      <c r="O183" t="s">
        <v>4927</v>
      </c>
      <c r="Q183" t="str">
        <f t="shared" si="11"/>
        <v>condorProc.py --series 07180808_1735 --donoise  --dumps a --procenv environments/pymidas_HVHV_NaI_mf.env</v>
      </c>
      <c r="T183" t="str">
        <f t="shared" si="8"/>
        <v>ls -l 07180808_1735/ | grep grad\ \ \ &gt;&gt; ~/K100/condorfail.txt</v>
      </c>
      <c r="U183" t="str">
        <f t="shared" si="10"/>
        <v>ls -l 07180808_1735/ | grep grad &gt;&gt; ~/K100/condorfail.txt</v>
      </c>
    </row>
    <row r="184" spans="1:21">
      <c r="A184" s="179" t="s">
        <v>5603</v>
      </c>
      <c r="G184" s="74"/>
      <c r="J184" s="180"/>
      <c r="K184" s="63" t="s">
        <v>5604</v>
      </c>
      <c r="M184" t="s">
        <v>5593</v>
      </c>
      <c r="N184" t="s">
        <v>5571</v>
      </c>
      <c r="O184" t="s">
        <v>4927</v>
      </c>
      <c r="Q184" t="str">
        <f t="shared" si="11"/>
        <v>condorProc.py --series 07180808_1745 --donoise  --dumps a --procenv environments/pymidas_HVHV_NaI_mf.env</v>
      </c>
      <c r="T184" t="str">
        <f t="shared" si="8"/>
        <v>ls -l 07180808_1745/ | grep grad\ \ \ &gt;&gt; ~/K100/condorfail.txt</v>
      </c>
      <c r="U184" t="str">
        <f t="shared" si="10"/>
        <v>ls -l 07180808_1745/ | grep grad &gt;&gt; ~/K100/condorfail.txt</v>
      </c>
    </row>
    <row r="185" spans="1:21">
      <c r="A185" s="179" t="s">
        <v>5605</v>
      </c>
      <c r="G185" s="74"/>
      <c r="J185" s="180"/>
      <c r="K185" s="186" t="s">
        <v>5606</v>
      </c>
      <c r="M185" t="s">
        <v>5593</v>
      </c>
      <c r="N185" t="s">
        <v>5571</v>
      </c>
      <c r="O185" t="s">
        <v>4927</v>
      </c>
      <c r="Q185" t="str">
        <f t="shared" si="11"/>
        <v>condorProc.py --series 07180808_1755 --donoise  --dumps a --procenv environments/pymidas_HVHV_NaI_mf.env</v>
      </c>
      <c r="T185" t="str">
        <f t="shared" si="8"/>
        <v>ls -l 07180808_1755/ | grep grad\ \ \ &gt;&gt; ~/K100/condorfail.txt</v>
      </c>
      <c r="U185" t="str">
        <f t="shared" si="10"/>
        <v>ls -l 07180808_1755/ | grep grad &gt;&gt; ~/K100/condorfail.txt</v>
      </c>
    </row>
    <row r="186" spans="1:21">
      <c r="A186" s="179" t="s">
        <v>5607</v>
      </c>
      <c r="G186" s="74"/>
      <c r="J186" s="180"/>
      <c r="K186" s="63"/>
      <c r="M186" t="s">
        <v>5593</v>
      </c>
      <c r="N186" t="s">
        <v>5571</v>
      </c>
      <c r="O186" t="s">
        <v>4927</v>
      </c>
      <c r="Q186" t="str">
        <f t="shared" si="11"/>
        <v>condorProc.py --series 07180808_1805 --donoise  --dumps a --procenv environments/pymidas_HVHV_NaI_mf.env</v>
      </c>
      <c r="T186" t="str">
        <f t="shared" si="8"/>
        <v>ls -l 07180808_1805/ | grep grad\ \ \ &gt;&gt; ~/K100/condorfail.txt</v>
      </c>
      <c r="U186" t="str">
        <f t="shared" si="10"/>
        <v>ls -l 07180808_1805/ | grep grad &gt;&gt; ~/K100/condorfail.txt</v>
      </c>
    </row>
    <row r="187" spans="1:21">
      <c r="A187" s="179" t="s">
        <v>5608</v>
      </c>
      <c r="G187" s="74"/>
      <c r="J187" s="180"/>
      <c r="K187" s="63"/>
      <c r="M187" t="s">
        <v>5593</v>
      </c>
      <c r="N187" t="s">
        <v>5571</v>
      </c>
      <c r="O187" t="s">
        <v>4927</v>
      </c>
      <c r="Q187" t="str">
        <f t="shared" si="11"/>
        <v>condorProc.py --series 07180808_1815 --donoise  --dumps a --procenv environments/pymidas_HVHV_NaI_mf.env</v>
      </c>
      <c r="T187" t="str">
        <f t="shared" si="8"/>
        <v>ls -l 07180808_1815/ | grep grad\ \ \ &gt;&gt; ~/K100/condorfail.txt</v>
      </c>
      <c r="U187" t="str">
        <f t="shared" si="10"/>
        <v>ls -l 07180808_1815/ | grep grad &gt;&gt; ~/K100/condorfail.txt</v>
      </c>
    </row>
    <row r="188" spans="1:21">
      <c r="A188" s="179" t="s">
        <v>5609</v>
      </c>
      <c r="G188" s="74"/>
      <c r="J188" s="180"/>
      <c r="K188" s="63"/>
      <c r="M188" t="s">
        <v>5593</v>
      </c>
      <c r="N188" t="s">
        <v>5571</v>
      </c>
      <c r="O188" t="s">
        <v>4927</v>
      </c>
      <c r="Q188" t="str">
        <f t="shared" si="11"/>
        <v>condorProc.py --series 07180808_1825 --donoise  --dumps a --procenv environments/pymidas_HVHV_NaI_mf.env</v>
      </c>
      <c r="T188" t="str">
        <f t="shared" si="8"/>
        <v>ls -l 07180808_1825/ | grep grad\ \ \ &gt;&gt; ~/K100/condorfail.txt</v>
      </c>
      <c r="U188" t="str">
        <f t="shared" si="10"/>
        <v>ls -l 07180808_1825/ | grep grad &gt;&gt; ~/K100/condorfail.txt</v>
      </c>
    </row>
    <row r="189" spans="1:21">
      <c r="A189" s="179" t="s">
        <v>5610</v>
      </c>
      <c r="G189" s="74"/>
      <c r="J189" s="180"/>
      <c r="K189" s="63"/>
      <c r="M189" t="s">
        <v>5593</v>
      </c>
      <c r="N189" t="s">
        <v>5571</v>
      </c>
      <c r="O189" t="s">
        <v>4927</v>
      </c>
      <c r="Q189" t="str">
        <f t="shared" si="11"/>
        <v>condorProc.py --series 07180808_1836 --donoise  --dumps a --procenv environments/pymidas_HVHV_NaI_mf.env</v>
      </c>
      <c r="T189" t="str">
        <f t="shared" si="8"/>
        <v>ls -l 07180808_1836/ | grep grad\ \ \ &gt;&gt; ~/K100/condorfail.txt</v>
      </c>
      <c r="U189" t="str">
        <f t="shared" si="10"/>
        <v>ls -l 07180808_1836/ | grep grad &gt;&gt; ~/K100/condorfail.txt</v>
      </c>
    </row>
    <row r="190" spans="1:21">
      <c r="A190" s="179" t="s">
        <v>5611</v>
      </c>
      <c r="G190" s="74"/>
      <c r="J190" s="180"/>
      <c r="K190" s="63"/>
      <c r="M190" t="s">
        <v>5593</v>
      </c>
      <c r="N190" t="s">
        <v>5571</v>
      </c>
      <c r="O190" t="s">
        <v>4927</v>
      </c>
      <c r="Q190" t="str">
        <f t="shared" si="11"/>
        <v>condorProc.py --series 07180808_1846 --donoise  --dumps a --procenv environments/pymidas_HVHV_NaI_mf.env</v>
      </c>
      <c r="T190" t="str">
        <f t="shared" si="8"/>
        <v>ls -l 07180808_1846/ | grep grad\ \ \ &gt;&gt; ~/K100/condorfail.txt</v>
      </c>
      <c r="U190" t="str">
        <f t="shared" si="10"/>
        <v>ls -l 07180808_1846/ | grep grad &gt;&gt; ~/K100/condorfail.txt</v>
      </c>
    </row>
    <row r="191" spans="1:21">
      <c r="A191" s="179" t="s">
        <v>5612</v>
      </c>
      <c r="G191" s="74"/>
      <c r="J191" s="180"/>
      <c r="K191" s="63"/>
      <c r="M191" t="s">
        <v>5593</v>
      </c>
      <c r="N191" t="s">
        <v>5571</v>
      </c>
      <c r="O191" t="s">
        <v>4927</v>
      </c>
      <c r="Q191" t="str">
        <f t="shared" si="11"/>
        <v>condorProc.py --series 07180808_1856 --donoise  --dumps a --procenv environments/pymidas_HVHV_NaI_mf.env</v>
      </c>
      <c r="T191" t="str">
        <f t="shared" si="8"/>
        <v>ls -l 07180808_1856/ | grep grad\ \ \ &gt;&gt; ~/K100/condorfail.txt</v>
      </c>
      <c r="U191" t="str">
        <f t="shared" si="10"/>
        <v>ls -l 07180808_1856/ | grep grad &gt;&gt; ~/K100/condorfail.txt</v>
      </c>
    </row>
    <row r="192" spans="1:21">
      <c r="A192" s="181" t="s">
        <v>5613</v>
      </c>
      <c r="B192" s="65"/>
      <c r="C192" s="65"/>
      <c r="D192" s="65"/>
      <c r="E192" s="65"/>
      <c r="F192" s="65"/>
      <c r="G192" s="189"/>
      <c r="H192" s="65"/>
      <c r="I192" s="65"/>
      <c r="J192" s="182"/>
      <c r="K192" s="64"/>
      <c r="M192" t="s">
        <v>5593</v>
      </c>
      <c r="N192" t="s">
        <v>5571</v>
      </c>
      <c r="O192" t="s">
        <v>4927</v>
      </c>
      <c r="Q192" t="str">
        <f t="shared" si="11"/>
        <v>condorProc.py --series 07180808_1906 --donoise  --dumps a --procenv environments/pymidas_HVHV_NaI_mf.env</v>
      </c>
      <c r="T192" t="str">
        <f t="shared" si="8"/>
        <v>ls -l 07180808_1906/ | grep grad\ \ \ &gt;&gt; ~/K100/condorfail.txt</v>
      </c>
      <c r="U192" t="str">
        <f t="shared" si="10"/>
        <v>ls -l 07180808_1906/ | grep grad &gt;&gt; ~/K100/condorfail.txt</v>
      </c>
    </row>
    <row r="193" spans="1:21">
      <c r="A193" s="176" t="s">
        <v>5614</v>
      </c>
      <c r="B193" s="177"/>
      <c r="C193" s="177"/>
      <c r="D193" s="177"/>
      <c r="E193" s="177"/>
      <c r="F193" s="177">
        <v>10</v>
      </c>
      <c r="G193" s="188" t="s">
        <v>2248</v>
      </c>
      <c r="H193" s="177">
        <v>40</v>
      </c>
      <c r="I193" s="177"/>
      <c r="J193" s="178" t="s">
        <v>5577</v>
      </c>
      <c r="K193" s="62" t="s">
        <v>5583</v>
      </c>
      <c r="M193" t="s">
        <v>5593</v>
      </c>
      <c r="N193" t="s">
        <v>5571</v>
      </c>
      <c r="O193" t="s">
        <v>4927</v>
      </c>
      <c r="Q193" t="str">
        <f t="shared" si="11"/>
        <v>condorProc.py --series 07180808_1955 --donoise  --dumps a --procenv environments/pymidas_HVHV_NaI_mf.env</v>
      </c>
      <c r="T193" t="str">
        <f t="shared" si="8"/>
        <v>ls -l 07180808_1955/ | grep grad\ \ \ &gt;&gt; ~/K100/condorfail.txt</v>
      </c>
      <c r="U193" t="str">
        <f t="shared" si="10"/>
        <v>ls -l 07180808_1955/ | grep grad &gt;&gt; ~/K100/condorfail.txt</v>
      </c>
    </row>
    <row r="194" spans="1:21">
      <c r="A194" s="179" t="s">
        <v>5615</v>
      </c>
      <c r="G194" s="74"/>
      <c r="J194" s="180" t="s">
        <v>5585</v>
      </c>
      <c r="K194" s="63" t="s">
        <v>5586</v>
      </c>
      <c r="M194" t="s">
        <v>5593</v>
      </c>
      <c r="N194" t="s">
        <v>5571</v>
      </c>
      <c r="O194" t="s">
        <v>4927</v>
      </c>
      <c r="Q194" t="str">
        <f t="shared" ref="Q194:Q205" si="12">"condorProc.py --series "&amp;A194&amp;" --donoise  --dumps a --procenv environments/pymidas_HVHV_NaI_mf.env"</f>
        <v>condorProc.py --series 07180808_2005 --donoise  --dumps a --procenv environments/pymidas_HVHV_NaI_mf.env</v>
      </c>
      <c r="T194" t="str">
        <f t="shared" si="8"/>
        <v>ls -l 07180808_2005/ | grep grad\ \ \ &gt;&gt; ~/K100/condorfail.txt</v>
      </c>
      <c r="U194" t="str">
        <f t="shared" si="10"/>
        <v>ls -l 07180808_2005/ | grep grad &gt;&gt; ~/K100/condorfail.txt</v>
      </c>
    </row>
    <row r="195" spans="1:21">
      <c r="A195" s="179" t="s">
        <v>5616</v>
      </c>
      <c r="G195" s="74"/>
      <c r="J195" s="180"/>
      <c r="K195" s="186" t="s">
        <v>5606</v>
      </c>
      <c r="M195" t="s">
        <v>5593</v>
      </c>
      <c r="N195" t="s">
        <v>5571</v>
      </c>
      <c r="O195" t="s">
        <v>4927</v>
      </c>
      <c r="Q195" t="str">
        <f t="shared" si="12"/>
        <v>condorProc.py --series 07180808_2016 --donoise  --dumps a --procenv environments/pymidas_HVHV_NaI_mf.env</v>
      </c>
      <c r="T195" t="str">
        <f t="shared" si="8"/>
        <v>ls -l 07180808_2016/ | grep grad\ \ \ &gt;&gt; ~/K100/condorfail.txt</v>
      </c>
      <c r="U195" t="str">
        <f t="shared" si="10"/>
        <v>ls -l 07180808_2016/ | grep grad &gt;&gt; ~/K100/condorfail.txt</v>
      </c>
    </row>
    <row r="196" spans="1:21">
      <c r="A196" s="179" t="s">
        <v>5617</v>
      </c>
      <c r="G196" s="74"/>
      <c r="J196" s="180"/>
      <c r="K196" s="63"/>
      <c r="M196" t="s">
        <v>5593</v>
      </c>
      <c r="N196" t="s">
        <v>5571</v>
      </c>
      <c r="O196" t="s">
        <v>4927</v>
      </c>
      <c r="Q196" t="str">
        <f t="shared" si="12"/>
        <v>condorProc.py --series 07180808_2026 --donoise  --dumps a --procenv environments/pymidas_HVHV_NaI_mf.env</v>
      </c>
      <c r="T196" t="str">
        <f t="shared" si="8"/>
        <v>ls -l 07180808_2026/ | grep grad\ \ \ &gt;&gt; ~/K100/condorfail.txt</v>
      </c>
      <c r="U196" t="str">
        <f t="shared" si="10"/>
        <v>ls -l 07180808_2026/ | grep grad &gt;&gt; ~/K100/condorfail.txt</v>
      </c>
    </row>
    <row r="197" spans="1:21">
      <c r="A197" s="179" t="s">
        <v>5618</v>
      </c>
      <c r="G197" s="74"/>
      <c r="J197" s="180"/>
      <c r="K197" s="186"/>
      <c r="M197" t="s">
        <v>5593</v>
      </c>
      <c r="N197" t="s">
        <v>5571</v>
      </c>
      <c r="O197" t="s">
        <v>4927</v>
      </c>
      <c r="Q197" t="str">
        <f t="shared" si="12"/>
        <v>condorProc.py --series 07180808_2036 --donoise  --dumps a --procenv environments/pymidas_HVHV_NaI_mf.env</v>
      </c>
      <c r="T197" t="str">
        <f t="shared" si="8"/>
        <v>ls -l 07180808_2036/ | grep grad\ \ \ &gt;&gt; ~/K100/condorfail.txt</v>
      </c>
      <c r="U197" t="str">
        <f t="shared" si="10"/>
        <v>ls -l 07180808_2036/ | grep grad &gt;&gt; ~/K100/condorfail.txt</v>
      </c>
    </row>
    <row r="198" spans="1:21">
      <c r="A198" s="179" t="s">
        <v>5619</v>
      </c>
      <c r="G198" s="74"/>
      <c r="J198" s="180"/>
      <c r="K198" s="63"/>
      <c r="M198" t="s">
        <v>5593</v>
      </c>
      <c r="N198" t="s">
        <v>5571</v>
      </c>
      <c r="O198" t="s">
        <v>4927</v>
      </c>
      <c r="Q198" t="str">
        <f t="shared" si="12"/>
        <v>condorProc.py --series 07180808_2046 --donoise  --dumps a --procenv environments/pymidas_HVHV_NaI_mf.env</v>
      </c>
      <c r="T198" t="str">
        <f t="shared" si="8"/>
        <v>ls -l 07180808_2046/ | grep grad\ \ \ &gt;&gt; ~/K100/condorfail.txt</v>
      </c>
      <c r="U198" t="str">
        <f t="shared" si="10"/>
        <v>ls -l 07180808_2046/ | grep grad &gt;&gt; ~/K100/condorfail.txt</v>
      </c>
    </row>
    <row r="199" spans="1:21">
      <c r="A199" s="179" t="s">
        <v>5620</v>
      </c>
      <c r="G199" s="74"/>
      <c r="J199" s="180"/>
      <c r="K199" s="63"/>
      <c r="M199" t="s">
        <v>5593</v>
      </c>
      <c r="N199" t="s">
        <v>5571</v>
      </c>
      <c r="O199" t="s">
        <v>4927</v>
      </c>
      <c r="Q199" t="str">
        <f t="shared" si="12"/>
        <v>condorProc.py --series 07180808_2056 --donoise  --dumps a --procenv environments/pymidas_HVHV_NaI_mf.env</v>
      </c>
      <c r="T199" t="str">
        <f t="shared" si="8"/>
        <v>ls -l 07180808_2056/ | grep grad\ \ \ &gt;&gt; ~/K100/condorfail.txt</v>
      </c>
      <c r="U199" t="str">
        <f t="shared" si="10"/>
        <v>ls -l 07180808_2056/ | grep grad &gt;&gt; ~/K100/condorfail.txt</v>
      </c>
    </row>
    <row r="200" spans="1:21">
      <c r="A200" s="179" t="s">
        <v>5621</v>
      </c>
      <c r="G200" s="74"/>
      <c r="J200" s="180"/>
      <c r="K200" s="63"/>
      <c r="M200" t="s">
        <v>5593</v>
      </c>
      <c r="N200" t="s">
        <v>5571</v>
      </c>
      <c r="O200" t="s">
        <v>4927</v>
      </c>
      <c r="Q200" t="str">
        <f t="shared" si="12"/>
        <v>condorProc.py --series 07180808_2106 --donoise  --dumps a --procenv environments/pymidas_HVHV_NaI_mf.env</v>
      </c>
      <c r="T200" t="str">
        <f t="shared" si="8"/>
        <v>ls -l 07180808_2106/ | grep grad\ \ \ &gt;&gt; ~/K100/condorfail.txt</v>
      </c>
      <c r="U200" t="str">
        <f t="shared" si="10"/>
        <v>ls -l 07180808_2106/ | grep grad &gt;&gt; ~/K100/condorfail.txt</v>
      </c>
    </row>
    <row r="201" spans="1:21">
      <c r="A201" s="179" t="s">
        <v>5622</v>
      </c>
      <c r="G201" s="74"/>
      <c r="J201" s="180"/>
      <c r="K201" s="63"/>
      <c r="M201" t="s">
        <v>5593</v>
      </c>
      <c r="N201" t="s">
        <v>5571</v>
      </c>
      <c r="O201" t="s">
        <v>4927</v>
      </c>
      <c r="Q201" t="str">
        <f t="shared" si="12"/>
        <v>condorProc.py --series 07180808_2116 --donoise  --dumps a --procenv environments/pymidas_HVHV_NaI_mf.env</v>
      </c>
      <c r="T201" t="str">
        <f t="shared" si="8"/>
        <v>ls -l 07180808_2116/ | grep grad\ \ \ &gt;&gt; ~/K100/condorfail.txt</v>
      </c>
      <c r="U201" t="str">
        <f t="shared" si="10"/>
        <v>ls -l 07180808_2116/ | grep grad &gt;&gt; ~/K100/condorfail.txt</v>
      </c>
    </row>
    <row r="202" spans="1:21">
      <c r="A202" s="179" t="s">
        <v>5623</v>
      </c>
      <c r="G202" s="74"/>
      <c r="J202" s="180"/>
      <c r="K202" s="63"/>
      <c r="M202" t="s">
        <v>5593</v>
      </c>
      <c r="N202" t="s">
        <v>5571</v>
      </c>
      <c r="O202" t="s">
        <v>4927</v>
      </c>
      <c r="Q202" t="str">
        <f t="shared" si="12"/>
        <v>condorProc.py --series 07180808_2126 --donoise  --dumps a --procenv environments/pymidas_HVHV_NaI_mf.env</v>
      </c>
      <c r="T202" t="str">
        <f t="shared" si="8"/>
        <v>ls -l 07180808_2126/ | grep grad\ \ \ &gt;&gt; ~/K100/condorfail.txt</v>
      </c>
      <c r="U202" t="str">
        <f t="shared" si="10"/>
        <v>ls -l 07180808_2126/ | grep grad &gt;&gt; ~/K100/condorfail.txt</v>
      </c>
    </row>
    <row r="203" spans="1:21">
      <c r="A203" s="179" t="s">
        <v>5624</v>
      </c>
      <c r="G203" s="74"/>
      <c r="J203" s="180"/>
      <c r="K203" s="63"/>
      <c r="M203" t="s">
        <v>5593</v>
      </c>
      <c r="N203" t="s">
        <v>5571</v>
      </c>
      <c r="O203" t="s">
        <v>4927</v>
      </c>
      <c r="Q203" t="str">
        <f t="shared" si="12"/>
        <v>condorProc.py --series 07180808_2136 --donoise  --dumps a --procenv environments/pymidas_HVHV_NaI_mf.env</v>
      </c>
      <c r="T203" t="str">
        <f t="shared" si="8"/>
        <v>ls -l 07180808_2136/ | grep grad\ \ \ &gt;&gt; ~/K100/condorfail.txt</v>
      </c>
      <c r="U203" t="str">
        <f t="shared" si="10"/>
        <v>ls -l 07180808_2136/ | grep grad &gt;&gt; ~/K100/condorfail.txt</v>
      </c>
    </row>
    <row r="204" spans="1:21">
      <c r="A204" s="179" t="s">
        <v>5625</v>
      </c>
      <c r="G204" s="74"/>
      <c r="J204" s="180"/>
      <c r="K204" s="63"/>
      <c r="M204" t="s">
        <v>5593</v>
      </c>
      <c r="N204" t="s">
        <v>5571</v>
      </c>
      <c r="O204" t="s">
        <v>4927</v>
      </c>
      <c r="Q204" t="str">
        <f t="shared" si="12"/>
        <v>condorProc.py --series 07180808_2147 --donoise  --dumps a --procenv environments/pymidas_HVHV_NaI_mf.env</v>
      </c>
      <c r="T204" t="str">
        <f t="shared" si="8"/>
        <v>ls -l 07180808_2147/ | grep grad\ \ \ &gt;&gt; ~/K100/condorfail.txt</v>
      </c>
      <c r="U204" t="str">
        <f t="shared" si="10"/>
        <v>ls -l 07180808_2147/ | grep grad &gt;&gt; ~/K100/condorfail.txt</v>
      </c>
    </row>
    <row r="205" spans="1:21">
      <c r="A205" s="176" t="s">
        <v>5626</v>
      </c>
      <c r="B205" s="177"/>
      <c r="C205" s="177"/>
      <c r="D205" s="177"/>
      <c r="E205" s="177"/>
      <c r="F205" s="177">
        <v>10</v>
      </c>
      <c r="G205" s="188" t="s">
        <v>2248</v>
      </c>
      <c r="H205" s="177">
        <v>40</v>
      </c>
      <c r="I205" s="177"/>
      <c r="J205" s="177" t="s">
        <v>5577</v>
      </c>
      <c r="K205" s="178" t="s">
        <v>5583</v>
      </c>
      <c r="M205" t="s">
        <v>5593</v>
      </c>
      <c r="N205" t="s">
        <v>5571</v>
      </c>
      <c r="O205" t="s">
        <v>4927</v>
      </c>
      <c r="Q205" t="str">
        <f t="shared" si="12"/>
        <v>condorProc.py --series 07180808_2236 --donoise  --dumps a --procenv environments/pymidas_HVHV_NaI_mf.env</v>
      </c>
      <c r="T205" t="str">
        <f t="shared" si="8"/>
        <v>ls -l 07180808_2236/ | grep grad\ \ \ &gt;&gt; ~/K100/condorfail.txt</v>
      </c>
      <c r="U205" t="str">
        <f t="shared" si="10"/>
        <v>ls -l 07180808_2236/ | grep grad &gt;&gt; ~/K100/condorfail.txt</v>
      </c>
    </row>
    <row r="206" spans="1:21">
      <c r="A206" s="179" t="s">
        <v>5627</v>
      </c>
      <c r="G206" s="74"/>
      <c r="J206" t="s">
        <v>5585</v>
      </c>
      <c r="K206" s="180" t="s">
        <v>5586</v>
      </c>
      <c r="M206" t="s">
        <v>5593</v>
      </c>
      <c r="N206" t="s">
        <v>5571</v>
      </c>
      <c r="O206" t="s">
        <v>4927</v>
      </c>
      <c r="Q206" t="str">
        <f t="shared" ref="Q206:Q217" si="13">"condorProc.py --series "&amp;A206&amp;" --donoise  --dumps a --procenv environments/pymidas_HVHV_NaI_mf.env"</f>
        <v>condorProc.py --series 07180808_2246 --donoise  --dumps a --procenv environments/pymidas_HVHV_NaI_mf.env</v>
      </c>
      <c r="T206" t="str">
        <f t="shared" si="8"/>
        <v>ls -l 07180808_2246/ | grep grad\ \ \ &gt;&gt; ~/K100/condorfail.txt</v>
      </c>
      <c r="U206" t="str">
        <f t="shared" si="10"/>
        <v>ls -l 07180808_2246/ | grep grad &gt;&gt; ~/K100/condorfail.txt</v>
      </c>
    </row>
    <row r="207" spans="1:21">
      <c r="A207" s="179" t="s">
        <v>5628</v>
      </c>
      <c r="G207" s="74"/>
      <c r="K207" s="187" t="s">
        <v>5606</v>
      </c>
      <c r="M207" t="s">
        <v>5593</v>
      </c>
      <c r="N207" t="s">
        <v>5571</v>
      </c>
      <c r="O207" t="s">
        <v>4927</v>
      </c>
      <c r="Q207" t="str">
        <f t="shared" si="13"/>
        <v>condorProc.py --series 07180808_2256 --donoise  --dumps a --procenv environments/pymidas_HVHV_NaI_mf.env</v>
      </c>
      <c r="T207" t="str">
        <f t="shared" si="8"/>
        <v>ls -l 07180808_2256/ | grep grad\ \ \ &gt;&gt; ~/K100/condorfail.txt</v>
      </c>
      <c r="U207" t="str">
        <f t="shared" si="10"/>
        <v>ls -l 07180808_2256/ | grep grad &gt;&gt; ~/K100/condorfail.txt</v>
      </c>
    </row>
    <row r="208" spans="1:21">
      <c r="A208" s="179" t="s">
        <v>5629</v>
      </c>
      <c r="G208" s="74"/>
      <c r="K208" s="180"/>
      <c r="M208" t="s">
        <v>5593</v>
      </c>
      <c r="N208" t="s">
        <v>5571</v>
      </c>
      <c r="O208" t="s">
        <v>4927</v>
      </c>
      <c r="Q208" t="str">
        <f t="shared" si="13"/>
        <v>condorProc.py --series 07180808_2307 --donoise  --dumps a --procenv environments/pymidas_HVHV_NaI_mf.env</v>
      </c>
      <c r="T208" t="str">
        <f t="shared" si="8"/>
        <v>ls -l 07180808_2307/ | grep grad\ \ \ &gt;&gt; ~/K100/condorfail.txt</v>
      </c>
      <c r="U208" t="str">
        <f t="shared" si="10"/>
        <v>ls -l 07180808_2307/ | grep grad &gt;&gt; ~/K100/condorfail.txt</v>
      </c>
    </row>
    <row r="209" spans="1:21">
      <c r="A209" s="179" t="s">
        <v>5630</v>
      </c>
      <c r="G209" s="74"/>
      <c r="K209" s="187"/>
      <c r="M209" t="s">
        <v>5593</v>
      </c>
      <c r="N209" t="s">
        <v>5571</v>
      </c>
      <c r="O209" t="s">
        <v>4927</v>
      </c>
      <c r="Q209" t="str">
        <f t="shared" si="13"/>
        <v>condorProc.py --series 07180808_2317 --donoise  --dumps a --procenv environments/pymidas_HVHV_NaI_mf.env</v>
      </c>
      <c r="T209" t="str">
        <f t="shared" si="8"/>
        <v>ls -l 07180808_2317/ | grep grad\ \ \ &gt;&gt; ~/K100/condorfail.txt</v>
      </c>
      <c r="U209" t="str">
        <f t="shared" si="10"/>
        <v>ls -l 07180808_2317/ | grep grad &gt;&gt; ~/K100/condorfail.txt</v>
      </c>
    </row>
    <row r="210" spans="1:21">
      <c r="A210" s="179" t="s">
        <v>5631</v>
      </c>
      <c r="G210" s="74"/>
      <c r="K210" s="180"/>
      <c r="M210" t="s">
        <v>5593</v>
      </c>
      <c r="N210" t="s">
        <v>5571</v>
      </c>
      <c r="O210" t="s">
        <v>4927</v>
      </c>
      <c r="Q210" t="str">
        <f t="shared" si="13"/>
        <v>condorProc.py --series 07180808_2327 --donoise  --dumps a --procenv environments/pymidas_HVHV_NaI_mf.env</v>
      </c>
      <c r="T210" t="str">
        <f t="shared" si="8"/>
        <v>ls -l 07180808_2327/ | grep grad\ \ \ &gt;&gt; ~/K100/condorfail.txt</v>
      </c>
      <c r="U210" t="str">
        <f t="shared" si="10"/>
        <v>ls -l 07180808_2327/ | grep grad &gt;&gt; ~/K100/condorfail.txt</v>
      </c>
    </row>
    <row r="211" spans="1:21">
      <c r="A211" s="179" t="s">
        <v>5632</v>
      </c>
      <c r="G211" s="74"/>
      <c r="K211" s="180"/>
      <c r="M211" t="s">
        <v>5593</v>
      </c>
      <c r="N211" t="s">
        <v>5571</v>
      </c>
      <c r="O211" t="s">
        <v>4927</v>
      </c>
      <c r="Q211" t="str">
        <f t="shared" si="13"/>
        <v>condorProc.py --series 07180808_2337 --donoise  --dumps a --procenv environments/pymidas_HVHV_NaI_mf.env</v>
      </c>
      <c r="T211" t="str">
        <f t="shared" si="8"/>
        <v>ls -l 07180808_2337/ | grep grad\ \ \ &gt;&gt; ~/K100/condorfail.txt</v>
      </c>
      <c r="U211" t="str">
        <f t="shared" si="10"/>
        <v>ls -l 07180808_2337/ | grep grad &gt;&gt; ~/K100/condorfail.txt</v>
      </c>
    </row>
    <row r="212" spans="1:21">
      <c r="A212" s="179" t="s">
        <v>5633</v>
      </c>
      <c r="G212" s="74"/>
      <c r="K212" s="180"/>
      <c r="M212" t="s">
        <v>5593</v>
      </c>
      <c r="N212" t="s">
        <v>5571</v>
      </c>
      <c r="O212" t="s">
        <v>4927</v>
      </c>
      <c r="Q212" t="str">
        <f t="shared" si="13"/>
        <v>condorProc.py --series 07180808_2347 --donoise  --dumps a --procenv environments/pymidas_HVHV_NaI_mf.env</v>
      </c>
      <c r="T212" t="str">
        <f t="shared" si="8"/>
        <v>ls -l 07180808_2347/ | grep grad\ \ \ &gt;&gt; ~/K100/condorfail.txt</v>
      </c>
      <c r="U212" t="str">
        <f t="shared" si="10"/>
        <v>ls -l 07180808_2347/ | grep grad &gt;&gt; ~/K100/condorfail.txt</v>
      </c>
    </row>
    <row r="213" spans="1:21">
      <c r="A213" s="179" t="s">
        <v>5634</v>
      </c>
      <c r="G213" s="74"/>
      <c r="K213" s="180"/>
      <c r="M213" t="s">
        <v>5593</v>
      </c>
      <c r="N213" t="s">
        <v>5571</v>
      </c>
      <c r="O213" t="s">
        <v>4927</v>
      </c>
      <c r="Q213" t="str">
        <f t="shared" si="13"/>
        <v>condorProc.py --series 07180808_2357 --donoise  --dumps a --procenv environments/pymidas_HVHV_NaI_mf.env</v>
      </c>
      <c r="T213" t="str">
        <f t="shared" si="8"/>
        <v>ls -l 07180808_2357/ | grep grad\ \ \ &gt;&gt; ~/K100/condorfail.txt</v>
      </c>
      <c r="U213" t="str">
        <f t="shared" si="10"/>
        <v>ls -l 07180808_2357/ | grep grad &gt;&gt; ~/K100/condorfail.txt</v>
      </c>
    </row>
    <row r="214" spans="1:21">
      <c r="A214" s="179" t="s">
        <v>5635</v>
      </c>
      <c r="G214" s="74"/>
      <c r="K214" s="180"/>
      <c r="M214" t="s">
        <v>5593</v>
      </c>
      <c r="N214" t="s">
        <v>5571</v>
      </c>
      <c r="O214" t="s">
        <v>4927</v>
      </c>
      <c r="Q214" t="str">
        <f t="shared" si="13"/>
        <v>condorProc.py --series 07180809_0007 --donoise  --dumps a --procenv environments/pymidas_HVHV_NaI_mf.env</v>
      </c>
      <c r="T214" t="str">
        <f t="shared" si="8"/>
        <v>ls -l 07180809_0007/ | grep grad\ \ \ &gt;&gt; ~/K100/condorfail.txt</v>
      </c>
      <c r="U214" t="str">
        <f t="shared" si="10"/>
        <v>ls -l 07180809_0007/ | grep grad &gt;&gt; ~/K100/condorfail.txt</v>
      </c>
    </row>
    <row r="215" spans="1:21">
      <c r="A215" s="179" t="s">
        <v>5636</v>
      </c>
      <c r="G215" s="74"/>
      <c r="K215" s="180"/>
      <c r="M215" t="s">
        <v>5593</v>
      </c>
      <c r="N215" t="s">
        <v>5571</v>
      </c>
      <c r="O215" t="s">
        <v>4927</v>
      </c>
      <c r="Q215" t="str">
        <f t="shared" si="13"/>
        <v>condorProc.py --series 07180809_0017 --donoise  --dumps a --procenv environments/pymidas_HVHV_NaI_mf.env</v>
      </c>
      <c r="T215" t="str">
        <f t="shared" si="8"/>
        <v>ls -l 07180809_0017/ | grep grad\ \ \ &gt;&gt; ~/K100/condorfail.txt</v>
      </c>
      <c r="U215" t="str">
        <f t="shared" si="10"/>
        <v>ls -l 07180809_0017/ | grep grad &gt;&gt; ~/K100/condorfail.txt</v>
      </c>
    </row>
    <row r="216" spans="1:21">
      <c r="A216" s="181" t="s">
        <v>5637</v>
      </c>
      <c r="B216" s="65"/>
      <c r="C216" s="65"/>
      <c r="D216" s="65"/>
      <c r="E216" s="65"/>
      <c r="F216" s="65"/>
      <c r="G216" s="189"/>
      <c r="H216" s="65"/>
      <c r="I216" s="65"/>
      <c r="J216" s="65"/>
      <c r="K216" s="182"/>
      <c r="M216" t="s">
        <v>5593</v>
      </c>
      <c r="N216" t="s">
        <v>5571</v>
      </c>
      <c r="O216" t="s">
        <v>4927</v>
      </c>
      <c r="Q216" t="str">
        <f t="shared" si="13"/>
        <v>condorProc.py --series 07180809_0027 --donoise  --dumps a --procenv environments/pymidas_HVHV_NaI_mf.env</v>
      </c>
      <c r="T216" t="str">
        <f t="shared" si="8"/>
        <v>ls -l 07180809_0027/ | grep grad\ \ \ &gt;&gt; ~/K100/condorfail.txt</v>
      </c>
      <c r="U216" t="str">
        <f t="shared" si="10"/>
        <v>ls -l 07180809_0027/ | grep grad &gt;&gt; ~/K100/condorfail.txt</v>
      </c>
    </row>
    <row r="217" spans="1:21">
      <c r="A217" s="176" t="s">
        <v>5638</v>
      </c>
      <c r="B217" s="177"/>
      <c r="C217" s="177"/>
      <c r="D217" s="177"/>
      <c r="E217" s="177"/>
      <c r="F217" s="177">
        <v>10</v>
      </c>
      <c r="G217" s="188" t="s">
        <v>2248</v>
      </c>
      <c r="H217" s="177">
        <v>40</v>
      </c>
      <c r="I217" s="177"/>
      <c r="J217" s="177" t="s">
        <v>5577</v>
      </c>
      <c r="K217" s="178" t="s">
        <v>5583</v>
      </c>
      <c r="M217" t="s">
        <v>5593</v>
      </c>
      <c r="N217" t="s">
        <v>5571</v>
      </c>
      <c r="O217" t="s">
        <v>4927</v>
      </c>
      <c r="Q217" t="str">
        <f t="shared" si="13"/>
        <v>condorProc.py --series 07180809_0117 --donoise  --dumps a --procenv environments/pymidas_HVHV_NaI_mf.env</v>
      </c>
      <c r="T217" t="str">
        <f t="shared" si="8"/>
        <v>ls -l 07180809_0117/ | grep grad\ \ \ &gt;&gt; ~/K100/condorfail.txt</v>
      </c>
      <c r="U217" t="str">
        <f t="shared" si="10"/>
        <v>ls -l 07180809_0117/ | grep grad &gt;&gt; ~/K100/condorfail.txt</v>
      </c>
    </row>
    <row r="218" spans="1:21">
      <c r="A218" s="179" t="s">
        <v>5639</v>
      </c>
      <c r="G218" s="74"/>
      <c r="J218" t="s">
        <v>5585</v>
      </c>
      <c r="K218" s="180" t="s">
        <v>5586</v>
      </c>
      <c r="M218" t="s">
        <v>5593</v>
      </c>
      <c r="N218" t="s">
        <v>5571</v>
      </c>
      <c r="O218" t="s">
        <v>4927</v>
      </c>
      <c r="Q218" t="str">
        <f t="shared" ref="Q218:Q229" si="14">"condorProc.py --series "&amp;A218&amp;" --donoise  --dumps a --procenv environments/pymidas_HVHV_NaI_mf.env"</f>
        <v>condorProc.py --series 07180809_0127 --donoise  --dumps a --procenv environments/pymidas_HVHV_NaI_mf.env</v>
      </c>
      <c r="T218" t="str">
        <f t="shared" si="8"/>
        <v>ls -l 07180809_0127/ | grep grad\ \ \ &gt;&gt; ~/K100/condorfail.txt</v>
      </c>
      <c r="U218" t="str">
        <f t="shared" si="10"/>
        <v>ls -l 07180809_0127/ | grep grad &gt;&gt; ~/K100/condorfail.txt</v>
      </c>
    </row>
    <row r="219" spans="1:21">
      <c r="A219" s="179" t="s">
        <v>5640</v>
      </c>
      <c r="G219" s="74"/>
      <c r="K219" s="187" t="s">
        <v>5606</v>
      </c>
      <c r="M219" t="s">
        <v>5593</v>
      </c>
      <c r="N219" t="s">
        <v>5571</v>
      </c>
      <c r="O219" t="s">
        <v>4927</v>
      </c>
      <c r="Q219" t="str">
        <f t="shared" si="14"/>
        <v>condorProc.py --series 07180809_0137 --donoise  --dumps a --procenv environments/pymidas_HVHV_NaI_mf.env</v>
      </c>
      <c r="T219" t="str">
        <f t="shared" si="8"/>
        <v>ls -l 07180809_0137/ | grep grad\ \ \ &gt;&gt; ~/K100/condorfail.txt</v>
      </c>
      <c r="U219" t="str">
        <f t="shared" si="10"/>
        <v>ls -l 07180809_0137/ | grep grad &gt;&gt; ~/K100/condorfail.txt</v>
      </c>
    </row>
    <row r="220" spans="1:21">
      <c r="A220" s="179" t="s">
        <v>5641</v>
      </c>
      <c r="G220" s="74"/>
      <c r="K220" s="180"/>
      <c r="M220" t="s">
        <v>5593</v>
      </c>
      <c r="N220" t="s">
        <v>5571</v>
      </c>
      <c r="O220" t="s">
        <v>4927</v>
      </c>
      <c r="Q220" t="str">
        <f t="shared" si="14"/>
        <v>condorProc.py --series 07180809_0147 --donoise  --dumps a --procenv environments/pymidas_HVHV_NaI_mf.env</v>
      </c>
      <c r="T220" t="str">
        <f t="shared" si="8"/>
        <v>ls -l 07180809_0147/ | grep grad\ \ \ &gt;&gt; ~/K100/condorfail.txt</v>
      </c>
      <c r="U220" t="str">
        <f t="shared" si="10"/>
        <v>ls -l 07180809_0147/ | grep grad &gt;&gt; ~/K100/condorfail.txt</v>
      </c>
    </row>
    <row r="221" spans="1:21">
      <c r="A221" s="179" t="s">
        <v>5642</v>
      </c>
      <c r="G221" s="74"/>
      <c r="K221" s="180"/>
      <c r="M221" t="s">
        <v>5593</v>
      </c>
      <c r="N221" t="s">
        <v>5571</v>
      </c>
      <c r="O221" t="s">
        <v>4927</v>
      </c>
      <c r="Q221" t="str">
        <f t="shared" si="14"/>
        <v>condorProc.py --series 07180809_0157 --donoise  --dumps a --procenv environments/pymidas_HVHV_NaI_mf.env</v>
      </c>
      <c r="T221" t="str">
        <f t="shared" si="8"/>
        <v>ls -l 07180809_0157/ | grep grad\ \ \ &gt;&gt; ~/K100/condorfail.txt</v>
      </c>
      <c r="U221" t="str">
        <f t="shared" si="10"/>
        <v>ls -l 07180809_0157/ | grep grad &gt;&gt; ~/K100/condorfail.txt</v>
      </c>
    </row>
    <row r="222" spans="1:21">
      <c r="A222" s="179" t="s">
        <v>5643</v>
      </c>
      <c r="G222" s="74"/>
      <c r="K222" s="180"/>
      <c r="L222">
        <v>48</v>
      </c>
      <c r="M222" t="s">
        <v>5593</v>
      </c>
      <c r="N222" t="s">
        <v>5571</v>
      </c>
      <c r="O222" t="s">
        <v>4927</v>
      </c>
      <c r="Q222" t="str">
        <f t="shared" si="14"/>
        <v>condorProc.py --series 07180809_0207 --donoise  --dumps a --procenv environments/pymidas_HVHV_NaI_mf.env</v>
      </c>
      <c r="T222" t="str">
        <f t="shared" si="8"/>
        <v>ls -l 07180809_0207/ | grep grad\ \ \ &gt;&gt; ~/K100/condorfail.txt</v>
      </c>
      <c r="U222" t="str">
        <f t="shared" si="10"/>
        <v>ls -l 07180809_0207/ | grep grad &gt;&gt; ~/K100/condorfail.txt</v>
      </c>
    </row>
    <row r="223" spans="1:21">
      <c r="A223" s="179" t="s">
        <v>5644</v>
      </c>
      <c r="G223" s="74"/>
      <c r="I223" t="s">
        <v>5645</v>
      </c>
      <c r="K223" s="180"/>
      <c r="M223" s="16" t="s">
        <v>5578</v>
      </c>
      <c r="N223" s="16" t="s">
        <v>2037</v>
      </c>
      <c r="O223" s="16"/>
      <c r="Q223" t="str">
        <f t="shared" si="14"/>
        <v>condorProc.py --series 07180809_0217 --donoise  --dumps a --procenv environments/pymidas_HVHV_NaI_mf.env</v>
      </c>
      <c r="T223" t="str">
        <f t="shared" si="8"/>
        <v>ls -l 07180809_0217/ | grep grad\ \ \ &gt;&gt; ~/K100/condorfail.txt</v>
      </c>
      <c r="U223" t="str">
        <f t="shared" si="10"/>
        <v>ls -l 07180809_0217/ | grep grad &gt;&gt; ~/K100/condorfail.txt</v>
      </c>
    </row>
    <row r="224" spans="1:21">
      <c r="A224" s="179" t="s">
        <v>5646</v>
      </c>
      <c r="G224" s="74"/>
      <c r="K224" s="180"/>
      <c r="M224" t="s">
        <v>5593</v>
      </c>
      <c r="N224" t="s">
        <v>5571</v>
      </c>
      <c r="O224" t="s">
        <v>4927</v>
      </c>
      <c r="Q224" t="str">
        <f t="shared" si="14"/>
        <v>condorProc.py --series 07180809_0227 --donoise  --dumps a --procenv environments/pymidas_HVHV_NaI_mf.env</v>
      </c>
      <c r="T224" t="str">
        <f t="shared" si="8"/>
        <v>ls -l 07180809_0227/ | grep grad\ \ \ &gt;&gt; ~/K100/condorfail.txt</v>
      </c>
      <c r="U224" t="str">
        <f t="shared" si="10"/>
        <v>ls -l 07180809_0227/ | grep grad &gt;&gt; ~/K100/condorfail.txt</v>
      </c>
    </row>
    <row r="225" spans="1:21">
      <c r="A225" s="179" t="s">
        <v>5647</v>
      </c>
      <c r="G225" s="74"/>
      <c r="K225" s="180"/>
      <c r="M225" t="s">
        <v>5593</v>
      </c>
      <c r="N225" t="s">
        <v>5571</v>
      </c>
      <c r="O225" t="s">
        <v>4927</v>
      </c>
      <c r="Q225" t="str">
        <f t="shared" si="14"/>
        <v>condorProc.py --series 07180809_0238 --donoise  --dumps a --procenv environments/pymidas_HVHV_NaI_mf.env</v>
      </c>
      <c r="T225" t="str">
        <f t="shared" si="8"/>
        <v>ls -l 07180809_0238/ | grep grad\ \ \ &gt;&gt; ~/K100/condorfail.txt</v>
      </c>
      <c r="U225" t="str">
        <f t="shared" si="10"/>
        <v>ls -l 07180809_0238/ | grep grad &gt;&gt; ~/K100/condorfail.txt</v>
      </c>
    </row>
    <row r="226" spans="1:21">
      <c r="A226" s="179" t="s">
        <v>5648</v>
      </c>
      <c r="G226" s="74"/>
      <c r="K226" s="180"/>
      <c r="M226" t="s">
        <v>5593</v>
      </c>
      <c r="N226" t="s">
        <v>5571</v>
      </c>
      <c r="O226" t="s">
        <v>4927</v>
      </c>
      <c r="Q226" t="str">
        <f t="shared" si="14"/>
        <v>condorProc.py --series 07180809_0248 --donoise  --dumps a --procenv environments/pymidas_HVHV_NaI_mf.env</v>
      </c>
      <c r="T226" t="str">
        <f t="shared" si="8"/>
        <v>ls -l 07180809_0248/ | grep grad\ \ \ &gt;&gt; ~/K100/condorfail.txt</v>
      </c>
      <c r="U226" t="str">
        <f t="shared" si="10"/>
        <v>ls -l 07180809_0248/ | grep grad &gt;&gt; ~/K100/condorfail.txt</v>
      </c>
    </row>
    <row r="227" spans="1:21">
      <c r="A227" s="179" t="s">
        <v>5649</v>
      </c>
      <c r="G227" s="74"/>
      <c r="K227" s="180"/>
      <c r="M227" t="s">
        <v>5593</v>
      </c>
      <c r="N227" t="s">
        <v>5571</v>
      </c>
      <c r="O227" t="s">
        <v>4927</v>
      </c>
      <c r="Q227" t="str">
        <f t="shared" si="14"/>
        <v>condorProc.py --series 07180809_0258 --donoise  --dumps a --procenv environments/pymidas_HVHV_NaI_mf.env</v>
      </c>
      <c r="T227" t="str">
        <f t="shared" si="8"/>
        <v>ls -l 07180809_0258/ | grep grad\ \ \ &gt;&gt; ~/K100/condorfail.txt</v>
      </c>
      <c r="U227" t="str">
        <f t="shared" si="10"/>
        <v>ls -l 07180809_0258/ | grep grad &gt;&gt; ~/K100/condorfail.txt</v>
      </c>
    </row>
    <row r="228" spans="1:21">
      <c r="A228" s="181" t="s">
        <v>5650</v>
      </c>
      <c r="B228" s="65"/>
      <c r="C228" s="65"/>
      <c r="D228" s="65"/>
      <c r="E228" s="65"/>
      <c r="F228" s="65"/>
      <c r="G228" s="189"/>
      <c r="H228" s="65"/>
      <c r="I228" s="65"/>
      <c r="J228" s="65"/>
      <c r="K228" s="182"/>
      <c r="M228" t="s">
        <v>5593</v>
      </c>
      <c r="N228" t="s">
        <v>5571</v>
      </c>
      <c r="O228" t="s">
        <v>4927</v>
      </c>
      <c r="Q228" t="str">
        <f t="shared" si="14"/>
        <v>condorProc.py --series 07180809_0308 --donoise  --dumps a --procenv environments/pymidas_HVHV_NaI_mf.env</v>
      </c>
      <c r="T228" t="str">
        <f t="shared" si="8"/>
        <v>ls -l 07180809_0308/ | grep grad\ \ \ &gt;&gt; ~/K100/condorfail.txt</v>
      </c>
      <c r="U228" t="str">
        <f t="shared" si="10"/>
        <v>ls -l 07180809_0308/ | grep grad &gt;&gt; ~/K100/condorfail.txt</v>
      </c>
    </row>
    <row r="229" spans="1:21">
      <c r="A229" s="176" t="s">
        <v>5651</v>
      </c>
      <c r="B229" s="177"/>
      <c r="C229" s="177"/>
      <c r="D229" s="177"/>
      <c r="E229" s="177"/>
      <c r="F229" s="177">
        <v>10</v>
      </c>
      <c r="G229" s="188" t="s">
        <v>2248</v>
      </c>
      <c r="H229" s="177">
        <v>40</v>
      </c>
      <c r="I229" s="177"/>
      <c r="J229" s="177" t="s">
        <v>5577</v>
      </c>
      <c r="K229" s="178" t="s">
        <v>5583</v>
      </c>
      <c r="M229" t="s">
        <v>5593</v>
      </c>
      <c r="N229" t="s">
        <v>5571</v>
      </c>
      <c r="O229" t="s">
        <v>4927</v>
      </c>
      <c r="Q229" t="str">
        <f t="shared" si="14"/>
        <v>condorProc.py --series 07180809_0357 --donoise  --dumps a --procenv environments/pymidas_HVHV_NaI_mf.env</v>
      </c>
      <c r="T229" t="str">
        <f t="shared" si="8"/>
        <v>ls -l 07180809_0357/ | grep grad\ \ \ &gt;&gt; ~/K100/condorfail.txt</v>
      </c>
      <c r="U229" t="str">
        <f t="shared" si="10"/>
        <v>ls -l 07180809_0357/ | grep grad &gt;&gt; ~/K100/condorfail.txt</v>
      </c>
    </row>
    <row r="230" spans="1:21">
      <c r="A230" s="179" t="s">
        <v>5652</v>
      </c>
      <c r="G230" s="74"/>
      <c r="J230" t="s">
        <v>5585</v>
      </c>
      <c r="K230" s="180" t="s">
        <v>5586</v>
      </c>
      <c r="M230" t="s">
        <v>5593</v>
      </c>
      <c r="N230" t="s">
        <v>5571</v>
      </c>
      <c r="O230" t="s">
        <v>4927</v>
      </c>
      <c r="Q230" t="str">
        <f t="shared" ref="Q230:Q241" si="15">"condorProc.py --series "&amp;A230&amp;" --donoise  --dumps a --procenv environments/pymidas_HVHV_NaI_mf.env"</f>
        <v>condorProc.py --series 07180809_0407 --donoise  --dumps a --procenv environments/pymidas_HVHV_NaI_mf.env</v>
      </c>
      <c r="T230" t="str">
        <f t="shared" si="8"/>
        <v>ls -l 07180809_0407/ | grep grad\ \ \ &gt;&gt; ~/K100/condorfail.txt</v>
      </c>
      <c r="U230" t="str">
        <f t="shared" si="10"/>
        <v>ls -l 07180809_0407/ | grep grad &gt;&gt; ~/K100/condorfail.txt</v>
      </c>
    </row>
    <row r="231" spans="1:21">
      <c r="A231" s="179" t="s">
        <v>5653</v>
      </c>
      <c r="G231" s="74"/>
      <c r="K231" s="187" t="s">
        <v>5606</v>
      </c>
      <c r="M231" t="s">
        <v>5593</v>
      </c>
      <c r="N231" t="s">
        <v>5571</v>
      </c>
      <c r="O231" t="s">
        <v>4927</v>
      </c>
      <c r="Q231" t="str">
        <f t="shared" si="15"/>
        <v>condorProc.py --series 07180809_0418 --donoise  --dumps a --procenv environments/pymidas_HVHV_NaI_mf.env</v>
      </c>
      <c r="T231" t="str">
        <f t="shared" si="8"/>
        <v>ls -l 07180809_0418/ | grep grad\ \ \ &gt;&gt; ~/K100/condorfail.txt</v>
      </c>
      <c r="U231" t="str">
        <f t="shared" si="10"/>
        <v>ls -l 07180809_0418/ | grep grad &gt;&gt; ~/K100/condorfail.txt</v>
      </c>
    </row>
    <row r="232" spans="1:21">
      <c r="A232" s="179" t="s">
        <v>5654</v>
      </c>
      <c r="G232" s="74"/>
      <c r="K232" s="180"/>
      <c r="M232" t="s">
        <v>5593</v>
      </c>
      <c r="N232" t="s">
        <v>5571</v>
      </c>
      <c r="O232" t="s">
        <v>4927</v>
      </c>
      <c r="Q232" t="str">
        <f t="shared" si="15"/>
        <v>condorProc.py --series 07180809_0428 --donoise  --dumps a --procenv environments/pymidas_HVHV_NaI_mf.env</v>
      </c>
      <c r="T232" t="str">
        <f t="shared" si="8"/>
        <v>ls -l 07180809_0428/ | grep grad\ \ \ &gt;&gt; ~/K100/condorfail.txt</v>
      </c>
      <c r="U232" t="str">
        <f t="shared" si="10"/>
        <v>ls -l 07180809_0428/ | grep grad &gt;&gt; ~/K100/condorfail.txt</v>
      </c>
    </row>
    <row r="233" spans="1:21">
      <c r="A233" s="179" t="s">
        <v>5655</v>
      </c>
      <c r="G233" s="74"/>
      <c r="K233" s="180"/>
      <c r="M233" t="s">
        <v>5593</v>
      </c>
      <c r="N233" t="s">
        <v>5571</v>
      </c>
      <c r="O233" t="s">
        <v>4927</v>
      </c>
      <c r="Q233" t="str">
        <f t="shared" si="15"/>
        <v>condorProc.py --series 07180809_0438 --donoise  --dumps a --procenv environments/pymidas_HVHV_NaI_mf.env</v>
      </c>
      <c r="T233" t="str">
        <f t="shared" ref="T233:T296" si="16">"ls -l "&amp;A233&amp;"/ | grep grad\ \ \ &gt;&gt; ~/K100/condorfail.txt"</f>
        <v>ls -l 07180809_0438/ | grep grad\ \ \ &gt;&gt; ~/K100/condorfail.txt</v>
      </c>
      <c r="U233" t="str">
        <f t="shared" si="10"/>
        <v>ls -l 07180809_0438/ | grep grad &gt;&gt; ~/K100/condorfail.txt</v>
      </c>
    </row>
    <row r="234" spans="1:21">
      <c r="A234" s="179" t="s">
        <v>5656</v>
      </c>
      <c r="G234" s="74"/>
      <c r="K234" s="180"/>
      <c r="M234" t="s">
        <v>5593</v>
      </c>
      <c r="N234" t="s">
        <v>5571</v>
      </c>
      <c r="O234" t="s">
        <v>4927</v>
      </c>
      <c r="Q234" t="str">
        <f t="shared" si="15"/>
        <v>condorProc.py --series 07180809_0448 --donoise  --dumps a --procenv environments/pymidas_HVHV_NaI_mf.env</v>
      </c>
      <c r="T234" t="str">
        <f t="shared" si="16"/>
        <v>ls -l 07180809_0448/ | grep grad\ \ \ &gt;&gt; ~/K100/condorfail.txt</v>
      </c>
      <c r="U234" t="str">
        <f t="shared" si="10"/>
        <v>ls -l 07180809_0448/ | grep grad &gt;&gt; ~/K100/condorfail.txt</v>
      </c>
    </row>
    <row r="235" spans="1:21">
      <c r="A235" s="179" t="s">
        <v>5657</v>
      </c>
      <c r="G235" s="74"/>
      <c r="K235" s="180"/>
      <c r="M235" t="s">
        <v>5593</v>
      </c>
      <c r="N235" t="s">
        <v>5571</v>
      </c>
      <c r="O235" t="s">
        <v>4927</v>
      </c>
      <c r="Q235" t="str">
        <f t="shared" si="15"/>
        <v>condorProc.py --series 07180809_0458 --donoise  --dumps a --procenv environments/pymidas_HVHV_NaI_mf.env</v>
      </c>
      <c r="T235" t="str">
        <f t="shared" si="16"/>
        <v>ls -l 07180809_0458/ | grep grad\ \ \ &gt;&gt; ~/K100/condorfail.txt</v>
      </c>
      <c r="U235" t="str">
        <f t="shared" si="10"/>
        <v>ls -l 07180809_0458/ | grep grad &gt;&gt; ~/K100/condorfail.txt</v>
      </c>
    </row>
    <row r="236" spans="1:21">
      <c r="A236" s="179" t="s">
        <v>5658</v>
      </c>
      <c r="G236" s="74"/>
      <c r="K236" s="180"/>
      <c r="M236" t="s">
        <v>5593</v>
      </c>
      <c r="N236" t="s">
        <v>5571</v>
      </c>
      <c r="O236" t="s">
        <v>4927</v>
      </c>
      <c r="Q236" t="str">
        <f t="shared" si="15"/>
        <v>condorProc.py --series 07180809_0508 --donoise  --dumps a --procenv environments/pymidas_HVHV_NaI_mf.env</v>
      </c>
      <c r="T236" t="str">
        <f t="shared" si="16"/>
        <v>ls -l 07180809_0508/ | grep grad\ \ \ &gt;&gt; ~/K100/condorfail.txt</v>
      </c>
      <c r="U236" t="str">
        <f t="shared" si="10"/>
        <v>ls -l 07180809_0508/ | grep grad &gt;&gt; ~/K100/condorfail.txt</v>
      </c>
    </row>
    <row r="237" spans="1:21">
      <c r="A237" s="179" t="s">
        <v>5659</v>
      </c>
      <c r="G237" s="74"/>
      <c r="K237" s="180"/>
      <c r="M237" t="s">
        <v>5593</v>
      </c>
      <c r="N237" t="s">
        <v>5571</v>
      </c>
      <c r="O237" t="s">
        <v>4927</v>
      </c>
      <c r="Q237" t="str">
        <f t="shared" si="15"/>
        <v>condorProc.py --series 07180809_0518 --donoise  --dumps a --procenv environments/pymidas_HVHV_NaI_mf.env</v>
      </c>
      <c r="T237" t="str">
        <f t="shared" si="16"/>
        <v>ls -l 07180809_0518/ | grep grad\ \ \ &gt;&gt; ~/K100/condorfail.txt</v>
      </c>
      <c r="U237" t="str">
        <f t="shared" si="10"/>
        <v>ls -l 07180809_0518/ | grep grad &gt;&gt; ~/K100/condorfail.txt</v>
      </c>
    </row>
    <row r="238" spans="1:21">
      <c r="A238" s="179" t="s">
        <v>5660</v>
      </c>
      <c r="G238" s="74"/>
      <c r="K238" s="180"/>
      <c r="M238" t="s">
        <v>5593</v>
      </c>
      <c r="N238" t="s">
        <v>5571</v>
      </c>
      <c r="O238" t="s">
        <v>4927</v>
      </c>
      <c r="Q238" t="str">
        <f t="shared" si="15"/>
        <v>condorProc.py --series 07180809_0528 --donoise  --dumps a --procenv environments/pymidas_HVHV_NaI_mf.env</v>
      </c>
      <c r="T238" t="str">
        <f t="shared" si="16"/>
        <v>ls -l 07180809_0528/ | grep grad\ \ \ &gt;&gt; ~/K100/condorfail.txt</v>
      </c>
      <c r="U238" t="str">
        <f t="shared" si="10"/>
        <v>ls -l 07180809_0528/ | grep grad &gt;&gt; ~/K100/condorfail.txt</v>
      </c>
    </row>
    <row r="239" spans="1:21">
      <c r="A239" s="179" t="s">
        <v>5661</v>
      </c>
      <c r="G239" s="74"/>
      <c r="K239" s="180"/>
      <c r="M239" t="s">
        <v>5593</v>
      </c>
      <c r="N239" t="s">
        <v>5571</v>
      </c>
      <c r="O239" t="s">
        <v>4927</v>
      </c>
      <c r="Q239" t="str">
        <f t="shared" si="15"/>
        <v>condorProc.py --series 07180809_0538 --donoise  --dumps a --procenv environments/pymidas_HVHV_NaI_mf.env</v>
      </c>
      <c r="T239" t="str">
        <f t="shared" si="16"/>
        <v>ls -l 07180809_0538/ | grep grad\ \ \ &gt;&gt; ~/K100/condorfail.txt</v>
      </c>
      <c r="U239" t="str">
        <f t="shared" si="10"/>
        <v>ls -l 07180809_0538/ | grep grad &gt;&gt; ~/K100/condorfail.txt</v>
      </c>
    </row>
    <row r="240" spans="1:21">
      <c r="A240" s="181" t="s">
        <v>5662</v>
      </c>
      <c r="B240" s="65"/>
      <c r="C240" s="65"/>
      <c r="D240" s="65"/>
      <c r="E240" s="65"/>
      <c r="F240" s="65"/>
      <c r="G240" s="189"/>
      <c r="H240" s="65"/>
      <c r="I240" s="65"/>
      <c r="J240" s="65"/>
      <c r="K240" s="182"/>
      <c r="M240" t="s">
        <v>5593</v>
      </c>
      <c r="N240" t="s">
        <v>5571</v>
      </c>
      <c r="O240" t="s">
        <v>4927</v>
      </c>
      <c r="Q240" t="str">
        <f t="shared" si="15"/>
        <v>condorProc.py --series 07180809_0548 --donoise  --dumps a --procenv environments/pymidas_HVHV_NaI_mf.env</v>
      </c>
      <c r="T240" t="str">
        <f t="shared" si="16"/>
        <v>ls -l 07180809_0548/ | grep grad\ \ \ &gt;&gt; ~/K100/condorfail.txt</v>
      </c>
      <c r="U240" t="str">
        <f t="shared" ref="U240:U303" si="17">"ls -l "&amp;A240&amp;"/ | grep grad &gt;&gt; ~/K100/condorfail.txt"</f>
        <v>ls -l 07180809_0548/ | grep grad &gt;&gt; ~/K100/condorfail.txt</v>
      </c>
    </row>
    <row r="241" spans="1:21">
      <c r="A241" s="176" t="s">
        <v>5663</v>
      </c>
      <c r="B241" s="177"/>
      <c r="C241" s="177"/>
      <c r="D241" s="177"/>
      <c r="E241" s="177"/>
      <c r="F241" s="177">
        <v>10</v>
      </c>
      <c r="G241" s="188" t="s">
        <v>2248</v>
      </c>
      <c r="H241" s="177">
        <v>40</v>
      </c>
      <c r="I241" s="177"/>
      <c r="J241" s="177" t="s">
        <v>5577</v>
      </c>
      <c r="K241" s="178" t="s">
        <v>5583</v>
      </c>
      <c r="M241" t="s">
        <v>5593</v>
      </c>
      <c r="N241" t="s">
        <v>5571</v>
      </c>
      <c r="O241" t="s">
        <v>4927</v>
      </c>
      <c r="Q241" t="str">
        <f t="shared" si="15"/>
        <v>condorProc.py --series 07180809_1549 --donoise  --dumps a --procenv environments/pymidas_HVHV_NaI_mf.env</v>
      </c>
      <c r="T241" t="str">
        <f t="shared" si="16"/>
        <v>ls -l 07180809_1549/ | grep grad\ \ \ &gt;&gt; ~/K100/condorfail.txt</v>
      </c>
      <c r="U241" t="str">
        <f t="shared" si="17"/>
        <v>ls -l 07180809_1549/ | grep grad &gt;&gt; ~/K100/condorfail.txt</v>
      </c>
    </row>
    <row r="242" spans="1:21">
      <c r="A242" s="179" t="s">
        <v>5664</v>
      </c>
      <c r="G242" s="74"/>
      <c r="J242" t="s">
        <v>5585</v>
      </c>
      <c r="K242" s="180" t="s">
        <v>5586</v>
      </c>
      <c r="M242" t="s">
        <v>5593</v>
      </c>
      <c r="N242" t="s">
        <v>5571</v>
      </c>
      <c r="O242" t="s">
        <v>4927</v>
      </c>
      <c r="Q242" t="str">
        <f t="shared" ref="Q242:Q253" si="18">"condorProc.py --series "&amp;A242&amp;" --donoise  --dumps a --procenv environments/pymidas_HVHV_NaI_mf.env"</f>
        <v>condorProc.py --series 07180809_1600 --donoise  --dumps a --procenv environments/pymidas_HVHV_NaI_mf.env</v>
      </c>
      <c r="T242" t="str">
        <f t="shared" si="16"/>
        <v>ls -l 07180809_1600/ | grep grad\ \ \ &gt;&gt; ~/K100/condorfail.txt</v>
      </c>
      <c r="U242" t="str">
        <f t="shared" si="17"/>
        <v>ls -l 07180809_1600/ | grep grad &gt;&gt; ~/K100/condorfail.txt</v>
      </c>
    </row>
    <row r="243" spans="1:21">
      <c r="A243" s="179" t="s">
        <v>5665</v>
      </c>
      <c r="G243" s="74"/>
      <c r="K243" s="187" t="s">
        <v>5559</v>
      </c>
      <c r="M243" t="s">
        <v>5593</v>
      </c>
      <c r="N243" t="s">
        <v>5571</v>
      </c>
      <c r="O243" t="s">
        <v>4927</v>
      </c>
      <c r="Q243" t="str">
        <f t="shared" si="18"/>
        <v>condorProc.py --series 07180809_1610 --donoise  --dumps a --procenv environments/pymidas_HVHV_NaI_mf.env</v>
      </c>
      <c r="T243" t="str">
        <f t="shared" si="16"/>
        <v>ls -l 07180809_1610/ | grep grad\ \ \ &gt;&gt; ~/K100/condorfail.txt</v>
      </c>
      <c r="U243" t="str">
        <f t="shared" si="17"/>
        <v>ls -l 07180809_1610/ | grep grad &gt;&gt; ~/K100/condorfail.txt</v>
      </c>
    </row>
    <row r="244" spans="1:21">
      <c r="A244" s="179" t="s">
        <v>5666</v>
      </c>
      <c r="G244" s="74"/>
      <c r="K244" s="180"/>
      <c r="M244" t="s">
        <v>5593</v>
      </c>
      <c r="N244" t="s">
        <v>5571</v>
      </c>
      <c r="O244" t="s">
        <v>4927</v>
      </c>
      <c r="Q244" t="str">
        <f t="shared" si="18"/>
        <v>condorProc.py --series 07180809_1620 --donoise  --dumps a --procenv environments/pymidas_HVHV_NaI_mf.env</v>
      </c>
      <c r="T244" t="str">
        <f t="shared" si="16"/>
        <v>ls -l 07180809_1620/ | grep grad\ \ \ &gt;&gt; ~/K100/condorfail.txt</v>
      </c>
      <c r="U244" t="str">
        <f t="shared" si="17"/>
        <v>ls -l 07180809_1620/ | grep grad &gt;&gt; ~/K100/condorfail.txt</v>
      </c>
    </row>
    <row r="245" spans="1:21">
      <c r="A245" s="179" t="s">
        <v>5667</v>
      </c>
      <c r="G245" s="74"/>
      <c r="K245" s="180"/>
      <c r="M245" t="s">
        <v>5593</v>
      </c>
      <c r="N245" t="s">
        <v>5571</v>
      </c>
      <c r="O245" t="s">
        <v>4927</v>
      </c>
      <c r="Q245" t="str">
        <f t="shared" si="18"/>
        <v>condorProc.py --series 07180809_1630 --donoise  --dumps a --procenv environments/pymidas_HVHV_NaI_mf.env</v>
      </c>
      <c r="T245" t="str">
        <f t="shared" si="16"/>
        <v>ls -l 07180809_1630/ | grep grad\ \ \ &gt;&gt; ~/K100/condorfail.txt</v>
      </c>
      <c r="U245" t="str">
        <f t="shared" si="17"/>
        <v>ls -l 07180809_1630/ | grep grad &gt;&gt; ~/K100/condorfail.txt</v>
      </c>
    </row>
    <row r="246" spans="1:21">
      <c r="A246" s="179" t="s">
        <v>5668</v>
      </c>
      <c r="G246" s="74"/>
      <c r="K246" s="180" t="s">
        <v>5669</v>
      </c>
      <c r="M246" t="s">
        <v>5593</v>
      </c>
      <c r="N246" t="s">
        <v>5571</v>
      </c>
      <c r="O246" t="s">
        <v>4927</v>
      </c>
      <c r="Q246" t="str">
        <f t="shared" si="18"/>
        <v>condorProc.py --series 07180809_1640 --donoise  --dumps a --procenv environments/pymidas_HVHV_NaI_mf.env</v>
      </c>
      <c r="T246" t="str">
        <f t="shared" si="16"/>
        <v>ls -l 07180809_1640/ | grep grad\ \ \ &gt;&gt; ~/K100/condorfail.txt</v>
      </c>
      <c r="U246" t="str">
        <f t="shared" si="17"/>
        <v>ls -l 07180809_1640/ | grep grad &gt;&gt; ~/K100/condorfail.txt</v>
      </c>
    </row>
    <row r="247" spans="1:21">
      <c r="A247" s="179" t="s">
        <v>5670</v>
      </c>
      <c r="G247" s="74"/>
      <c r="K247" s="180" t="s">
        <v>5671</v>
      </c>
      <c r="M247" t="s">
        <v>5593</v>
      </c>
      <c r="N247" t="s">
        <v>5571</v>
      </c>
      <c r="O247" t="s">
        <v>4927</v>
      </c>
      <c r="Q247" t="str">
        <f t="shared" si="18"/>
        <v>condorProc.py --series 07180809_1650 --donoise  --dumps a --procenv environments/pymidas_HVHV_NaI_mf.env</v>
      </c>
      <c r="T247" t="str">
        <f t="shared" si="16"/>
        <v>ls -l 07180809_1650/ | grep grad\ \ \ &gt;&gt; ~/K100/condorfail.txt</v>
      </c>
      <c r="U247" t="str">
        <f t="shared" si="17"/>
        <v>ls -l 07180809_1650/ | grep grad &gt;&gt; ~/K100/condorfail.txt</v>
      </c>
    </row>
    <row r="248" spans="1:21">
      <c r="A248" s="179" t="s">
        <v>5672</v>
      </c>
      <c r="G248" s="74"/>
      <c r="K248" s="187" t="s">
        <v>5673</v>
      </c>
      <c r="M248" t="s">
        <v>5593</v>
      </c>
      <c r="N248" t="s">
        <v>5571</v>
      </c>
      <c r="O248" t="s">
        <v>4927</v>
      </c>
      <c r="Q248" t="str">
        <f t="shared" si="18"/>
        <v>condorProc.py --series 07180809_1700 --donoise  --dumps a --procenv environments/pymidas_HVHV_NaI_mf.env</v>
      </c>
      <c r="T248" t="str">
        <f t="shared" si="16"/>
        <v>ls -l 07180809_1700/ | grep grad\ \ \ &gt;&gt; ~/K100/condorfail.txt</v>
      </c>
      <c r="U248" t="str">
        <f t="shared" si="17"/>
        <v>ls -l 07180809_1700/ | grep grad &gt;&gt; ~/K100/condorfail.txt</v>
      </c>
    </row>
    <row r="249" spans="1:21">
      <c r="A249" s="179" t="s">
        <v>5674</v>
      </c>
      <c r="G249" s="74"/>
      <c r="K249" s="180"/>
      <c r="M249" t="s">
        <v>5593</v>
      </c>
      <c r="N249" t="s">
        <v>5571</v>
      </c>
      <c r="O249" t="s">
        <v>4927</v>
      </c>
      <c r="Q249" t="str">
        <f t="shared" si="18"/>
        <v>condorProc.py --series 07180809_1710 --donoise  --dumps a --procenv environments/pymidas_HVHV_NaI_mf.env</v>
      </c>
      <c r="T249" t="str">
        <f t="shared" si="16"/>
        <v>ls -l 07180809_1710/ | grep grad\ \ \ &gt;&gt; ~/K100/condorfail.txt</v>
      </c>
      <c r="U249" t="str">
        <f t="shared" si="17"/>
        <v>ls -l 07180809_1710/ | grep grad &gt;&gt; ~/K100/condorfail.txt</v>
      </c>
    </row>
    <row r="250" spans="1:21">
      <c r="A250" s="179" t="s">
        <v>5675</v>
      </c>
      <c r="G250" s="74"/>
      <c r="K250" s="180"/>
      <c r="M250" t="s">
        <v>5593</v>
      </c>
      <c r="N250" t="s">
        <v>5571</v>
      </c>
      <c r="O250" t="s">
        <v>4927</v>
      </c>
      <c r="Q250" t="str">
        <f t="shared" si="18"/>
        <v>condorProc.py --series 07180809_1720 --donoise  --dumps a --procenv environments/pymidas_HVHV_NaI_mf.env</v>
      </c>
      <c r="T250" t="str">
        <f t="shared" si="16"/>
        <v>ls -l 07180809_1720/ | grep grad\ \ \ &gt;&gt; ~/K100/condorfail.txt</v>
      </c>
      <c r="U250" t="str">
        <f t="shared" si="17"/>
        <v>ls -l 07180809_1720/ | grep grad &gt;&gt; ~/K100/condorfail.txt</v>
      </c>
    </row>
    <row r="251" spans="1:21">
      <c r="A251" s="179" t="s">
        <v>5676</v>
      </c>
      <c r="G251" s="74"/>
      <c r="K251" s="180"/>
      <c r="M251" t="s">
        <v>5593</v>
      </c>
      <c r="N251" t="s">
        <v>5571</v>
      </c>
      <c r="O251" t="s">
        <v>4927</v>
      </c>
      <c r="Q251" t="str">
        <f t="shared" si="18"/>
        <v>condorProc.py --series 07180809_1731 --donoise  --dumps a --procenv environments/pymidas_HVHV_NaI_mf.env</v>
      </c>
      <c r="T251" t="str">
        <f t="shared" si="16"/>
        <v>ls -l 07180809_1731/ | grep grad\ \ \ &gt;&gt; ~/K100/condorfail.txt</v>
      </c>
      <c r="U251" t="str">
        <f t="shared" si="17"/>
        <v>ls -l 07180809_1731/ | grep grad &gt;&gt; ~/K100/condorfail.txt</v>
      </c>
    </row>
    <row r="252" spans="1:21">
      <c r="A252" s="181" t="s">
        <v>5677</v>
      </c>
      <c r="B252" s="65"/>
      <c r="C252" s="65"/>
      <c r="D252" s="65"/>
      <c r="E252" s="65"/>
      <c r="F252" s="65"/>
      <c r="G252" s="189"/>
      <c r="H252" s="65"/>
      <c r="I252" s="65"/>
      <c r="J252" s="65"/>
      <c r="K252" s="182"/>
      <c r="M252" t="s">
        <v>5593</v>
      </c>
      <c r="N252" t="s">
        <v>5571</v>
      </c>
      <c r="O252" t="s">
        <v>4927</v>
      </c>
      <c r="Q252" t="str">
        <f t="shared" si="18"/>
        <v>condorProc.py --series 07180809_1741 --donoise  --dumps a --procenv environments/pymidas_HVHV_NaI_mf.env</v>
      </c>
      <c r="T252" t="str">
        <f t="shared" si="16"/>
        <v>ls -l 07180809_1741/ | grep grad\ \ \ &gt;&gt; ~/K100/condorfail.txt</v>
      </c>
      <c r="U252" t="str">
        <f t="shared" si="17"/>
        <v>ls -l 07180809_1741/ | grep grad &gt;&gt; ~/K100/condorfail.txt</v>
      </c>
    </row>
    <row r="253" spans="1:21">
      <c r="A253" s="176" t="s">
        <v>5678</v>
      </c>
      <c r="B253" s="177"/>
      <c r="C253" s="177"/>
      <c r="D253" s="177"/>
      <c r="E253" s="177"/>
      <c r="F253" s="177">
        <v>10</v>
      </c>
      <c r="G253" s="188" t="s">
        <v>2248</v>
      </c>
      <c r="H253" s="177">
        <v>40</v>
      </c>
      <c r="I253" s="177"/>
      <c r="J253" s="177" t="s">
        <v>5577</v>
      </c>
      <c r="K253" s="178" t="s">
        <v>5583</v>
      </c>
      <c r="M253" t="s">
        <v>5593</v>
      </c>
      <c r="N253" t="s">
        <v>5571</v>
      </c>
      <c r="O253" t="s">
        <v>4927</v>
      </c>
      <c r="Q253" t="str">
        <f t="shared" si="18"/>
        <v>condorProc.py --series 07180809_1830 --donoise  --dumps a --procenv environments/pymidas_HVHV_NaI_mf.env</v>
      </c>
      <c r="R253" t="str">
        <f>""""&amp;A253&amp;""""</f>
        <v>"07180809_1830"</v>
      </c>
      <c r="T253" t="str">
        <f t="shared" si="16"/>
        <v>ls -l 07180809_1830/ | grep grad\ \ \ &gt;&gt; ~/K100/condorfail.txt</v>
      </c>
      <c r="U253" t="str">
        <f t="shared" si="17"/>
        <v>ls -l 07180809_1830/ | grep grad &gt;&gt; ~/K100/condorfail.txt</v>
      </c>
    </row>
    <row r="254" spans="1:21">
      <c r="A254" s="179" t="s">
        <v>5679</v>
      </c>
      <c r="G254" s="74"/>
      <c r="J254" t="s">
        <v>5585</v>
      </c>
      <c r="K254" s="180" t="s">
        <v>5671</v>
      </c>
      <c r="M254" t="s">
        <v>5593</v>
      </c>
      <c r="N254" t="s">
        <v>5571</v>
      </c>
      <c r="O254" t="s">
        <v>4927</v>
      </c>
      <c r="Q254" t="str">
        <f t="shared" ref="Q254:Q265" si="19">"condorProc.py --series "&amp;A254&amp;" --donoise  --dumps a --procenv environments/pymidas_HVHV_NaI_mf.env"</f>
        <v>condorProc.py --series 07180809_1840 --donoise  --dumps a --procenv environments/pymidas_HVHV_NaI_mf.env</v>
      </c>
      <c r="R254" t="str">
        <f>R253&amp;", """&amp;A254&amp;""""</f>
        <v>"07180809_1830", "07180809_1840"</v>
      </c>
      <c r="T254" t="str">
        <f t="shared" si="16"/>
        <v>ls -l 07180809_1840/ | grep grad\ \ \ &gt;&gt; ~/K100/condorfail.txt</v>
      </c>
      <c r="U254" t="str">
        <f t="shared" si="17"/>
        <v>ls -l 07180809_1840/ | grep grad &gt;&gt; ~/K100/condorfail.txt</v>
      </c>
    </row>
    <row r="255" spans="1:21">
      <c r="A255" s="179" t="s">
        <v>5680</v>
      </c>
      <c r="G255" s="74"/>
      <c r="K255" s="187" t="s">
        <v>5673</v>
      </c>
      <c r="M255" t="s">
        <v>5593</v>
      </c>
      <c r="N255" t="s">
        <v>5571</v>
      </c>
      <c r="O255" t="s">
        <v>4927</v>
      </c>
      <c r="Q255" t="str">
        <f t="shared" si="19"/>
        <v>condorProc.py --series 07180809_1850 --donoise  --dumps a --procenv environments/pymidas_HVHV_NaI_mf.env</v>
      </c>
      <c r="R255" t="str">
        <f t="shared" ref="R255:R312" si="20">R254&amp;", """&amp;A255&amp;""""</f>
        <v>"07180809_1830", "07180809_1840", "07180809_1850"</v>
      </c>
      <c r="T255" t="str">
        <f t="shared" si="16"/>
        <v>ls -l 07180809_1850/ | grep grad\ \ \ &gt;&gt; ~/K100/condorfail.txt</v>
      </c>
      <c r="U255" t="str">
        <f t="shared" si="17"/>
        <v>ls -l 07180809_1850/ | grep grad &gt;&gt; ~/K100/condorfail.txt</v>
      </c>
    </row>
    <row r="256" spans="1:21">
      <c r="A256" s="179" t="s">
        <v>5681</v>
      </c>
      <c r="G256" s="74"/>
      <c r="K256" s="180"/>
      <c r="M256" t="s">
        <v>5593</v>
      </c>
      <c r="N256" t="s">
        <v>5571</v>
      </c>
      <c r="O256" t="s">
        <v>4927</v>
      </c>
      <c r="Q256" t="str">
        <f t="shared" si="19"/>
        <v>condorProc.py --series 07180809_1900 --donoise  --dumps a --procenv environments/pymidas_HVHV_NaI_mf.env</v>
      </c>
      <c r="R256" t="str">
        <f t="shared" si="20"/>
        <v>"07180809_1830", "07180809_1840", "07180809_1850", "07180809_1900"</v>
      </c>
      <c r="T256" t="str">
        <f t="shared" si="16"/>
        <v>ls -l 07180809_1900/ | grep grad\ \ \ &gt;&gt; ~/K100/condorfail.txt</v>
      </c>
      <c r="U256" t="str">
        <f t="shared" si="17"/>
        <v>ls -l 07180809_1900/ | grep grad &gt;&gt; ~/K100/condorfail.txt</v>
      </c>
    </row>
    <row r="257" spans="1:21">
      <c r="A257" s="179" t="s">
        <v>5682</v>
      </c>
      <c r="G257" s="74"/>
      <c r="K257" s="180"/>
      <c r="M257" t="s">
        <v>5593</v>
      </c>
      <c r="N257" t="s">
        <v>5571</v>
      </c>
      <c r="O257" t="s">
        <v>4927</v>
      </c>
      <c r="Q257" t="str">
        <f t="shared" si="19"/>
        <v>condorProc.py --series 07180809_1910 --donoise  --dumps a --procenv environments/pymidas_HVHV_NaI_mf.env</v>
      </c>
      <c r="R257" t="str">
        <f t="shared" si="20"/>
        <v>"07180809_1830", "07180809_1840", "07180809_1850", "07180809_1900", "07180809_1910"</v>
      </c>
      <c r="T257" t="str">
        <f t="shared" si="16"/>
        <v>ls -l 07180809_1910/ | grep grad\ \ \ &gt;&gt; ~/K100/condorfail.txt</v>
      </c>
      <c r="U257" t="str">
        <f t="shared" si="17"/>
        <v>ls -l 07180809_1910/ | grep grad &gt;&gt; ~/K100/condorfail.txt</v>
      </c>
    </row>
    <row r="258" spans="1:21">
      <c r="A258" s="179" t="s">
        <v>5683</v>
      </c>
      <c r="G258" s="74"/>
      <c r="K258" s="180"/>
      <c r="M258" t="s">
        <v>5593</v>
      </c>
      <c r="N258" t="s">
        <v>5571</v>
      </c>
      <c r="O258" t="s">
        <v>4927</v>
      </c>
      <c r="Q258" t="str">
        <f t="shared" si="19"/>
        <v>condorProc.py --series 07180809_1920 --donoise  --dumps a --procenv environments/pymidas_HVHV_NaI_mf.env</v>
      </c>
      <c r="R258" t="str">
        <f t="shared" si="20"/>
        <v>"07180809_1830", "07180809_1840", "07180809_1850", "07180809_1900", "07180809_1910", "07180809_1920"</v>
      </c>
      <c r="T258" t="str">
        <f t="shared" si="16"/>
        <v>ls -l 07180809_1920/ | grep grad\ \ \ &gt;&gt; ~/K100/condorfail.txt</v>
      </c>
      <c r="U258" t="str">
        <f t="shared" si="17"/>
        <v>ls -l 07180809_1920/ | grep grad &gt;&gt; ~/K100/condorfail.txt</v>
      </c>
    </row>
    <row r="259" spans="1:21">
      <c r="A259" s="179" t="s">
        <v>5684</v>
      </c>
      <c r="G259" s="74"/>
      <c r="K259" s="180"/>
      <c r="M259" t="s">
        <v>5593</v>
      </c>
      <c r="N259" t="s">
        <v>5571</v>
      </c>
      <c r="O259" t="s">
        <v>4927</v>
      </c>
      <c r="Q259" t="str">
        <f t="shared" si="19"/>
        <v>condorProc.py --series 07180809_1930 --donoise  --dumps a --procenv environments/pymidas_HVHV_NaI_mf.env</v>
      </c>
      <c r="R259" t="str">
        <f t="shared" si="20"/>
        <v>"07180809_1830", "07180809_1840", "07180809_1850", "07180809_1900", "07180809_1910", "07180809_1920", "07180809_1930"</v>
      </c>
      <c r="T259" t="str">
        <f t="shared" si="16"/>
        <v>ls -l 07180809_1930/ | grep grad\ \ \ &gt;&gt; ~/K100/condorfail.txt</v>
      </c>
      <c r="U259" t="str">
        <f t="shared" si="17"/>
        <v>ls -l 07180809_1930/ | grep grad &gt;&gt; ~/K100/condorfail.txt</v>
      </c>
    </row>
    <row r="260" spans="1:21">
      <c r="A260" s="179" t="s">
        <v>5685</v>
      </c>
      <c r="G260" s="74"/>
      <c r="K260" s="180"/>
      <c r="M260" t="s">
        <v>5593</v>
      </c>
      <c r="N260" t="s">
        <v>5571</v>
      </c>
      <c r="O260" t="s">
        <v>4927</v>
      </c>
      <c r="Q260" t="str">
        <f t="shared" si="19"/>
        <v>condorProc.py --series 07180809_1941 --donoise  --dumps a --procenv environments/pymidas_HVHV_NaI_mf.env</v>
      </c>
      <c r="R260" t="str">
        <f t="shared" si="20"/>
        <v>"07180809_1830", "07180809_1840", "07180809_1850", "07180809_1900", "07180809_1910", "07180809_1920", "07180809_1930", "07180809_1941"</v>
      </c>
      <c r="T260" t="str">
        <f t="shared" si="16"/>
        <v>ls -l 07180809_1941/ | grep grad\ \ \ &gt;&gt; ~/K100/condorfail.txt</v>
      </c>
      <c r="U260" t="str">
        <f t="shared" si="17"/>
        <v>ls -l 07180809_1941/ | grep grad &gt;&gt; ~/K100/condorfail.txt</v>
      </c>
    </row>
    <row r="261" spans="1:21">
      <c r="A261" s="179" t="s">
        <v>5686</v>
      </c>
      <c r="G261" s="74"/>
      <c r="K261" s="180"/>
      <c r="M261" t="s">
        <v>5593</v>
      </c>
      <c r="N261" t="s">
        <v>5571</v>
      </c>
      <c r="O261" t="s">
        <v>4927</v>
      </c>
      <c r="Q261" t="str">
        <f t="shared" si="19"/>
        <v>condorProc.py --series 07180809_1951 --donoise  --dumps a --procenv environments/pymidas_HVHV_NaI_mf.env</v>
      </c>
      <c r="R261" t="str">
        <f t="shared" si="20"/>
        <v>"07180809_1830", "07180809_1840", "07180809_1850", "07180809_1900", "07180809_1910", "07180809_1920", "07180809_1930", "07180809_1941", "07180809_1951"</v>
      </c>
      <c r="T261" t="str">
        <f t="shared" si="16"/>
        <v>ls -l 07180809_1951/ | grep grad\ \ \ &gt;&gt; ~/K100/condorfail.txt</v>
      </c>
      <c r="U261" t="str">
        <f t="shared" si="17"/>
        <v>ls -l 07180809_1951/ | grep grad &gt;&gt; ~/K100/condorfail.txt</v>
      </c>
    </row>
    <row r="262" spans="1:21">
      <c r="A262" s="179" t="s">
        <v>5687</v>
      </c>
      <c r="G262" s="74"/>
      <c r="K262" s="180"/>
      <c r="M262" t="s">
        <v>5593</v>
      </c>
      <c r="N262" t="s">
        <v>5571</v>
      </c>
      <c r="O262" t="s">
        <v>4927</v>
      </c>
      <c r="Q262" t="str">
        <f t="shared" si="19"/>
        <v>condorProc.py --series 07180809_2001 --donoise  --dumps a --procenv environments/pymidas_HVHV_NaI_mf.env</v>
      </c>
      <c r="R262" t="str">
        <f t="shared" si="20"/>
        <v>"07180809_1830", "07180809_1840", "07180809_1850", "07180809_1900", "07180809_1910", "07180809_1920", "07180809_1930", "07180809_1941", "07180809_1951", "07180809_2001"</v>
      </c>
      <c r="T262" t="str">
        <f t="shared" si="16"/>
        <v>ls -l 07180809_2001/ | grep grad\ \ \ &gt;&gt; ~/K100/condorfail.txt</v>
      </c>
      <c r="U262" t="str">
        <f t="shared" si="17"/>
        <v>ls -l 07180809_2001/ | grep grad &gt;&gt; ~/K100/condorfail.txt</v>
      </c>
    </row>
    <row r="263" spans="1:21">
      <c r="A263" s="179" t="s">
        <v>5688</v>
      </c>
      <c r="G263" s="74"/>
      <c r="K263" s="180"/>
      <c r="M263" t="s">
        <v>5593</v>
      </c>
      <c r="N263" t="s">
        <v>5571</v>
      </c>
      <c r="O263" t="s">
        <v>4927</v>
      </c>
      <c r="Q263" t="str">
        <f t="shared" si="19"/>
        <v>condorProc.py --series 07180809_2011 --donoise  --dumps a --procenv environments/pymidas_HVHV_NaI_mf.env</v>
      </c>
      <c r="R263" t="str">
        <f t="shared" si="20"/>
        <v>"07180809_1830", "07180809_1840", "07180809_1850", "07180809_1900", "07180809_1910", "07180809_1920", "07180809_1930", "07180809_1941", "07180809_1951", "07180809_2001", "07180809_2011"</v>
      </c>
      <c r="T263" t="str">
        <f t="shared" si="16"/>
        <v>ls -l 07180809_2011/ | grep grad\ \ \ &gt;&gt; ~/K100/condorfail.txt</v>
      </c>
      <c r="U263" t="str">
        <f t="shared" si="17"/>
        <v>ls -l 07180809_2011/ | grep grad &gt;&gt; ~/K100/condorfail.txt</v>
      </c>
    </row>
    <row r="264" spans="1:21">
      <c r="A264" s="181" t="s">
        <v>5689</v>
      </c>
      <c r="B264" s="65"/>
      <c r="C264" s="65"/>
      <c r="D264" s="65"/>
      <c r="E264" s="65"/>
      <c r="F264" s="65"/>
      <c r="G264" s="189"/>
      <c r="H264" s="65"/>
      <c r="I264" s="65"/>
      <c r="J264" s="65"/>
      <c r="K264" s="182"/>
      <c r="M264" t="s">
        <v>5593</v>
      </c>
      <c r="N264" t="s">
        <v>5571</v>
      </c>
      <c r="O264" t="s">
        <v>4927</v>
      </c>
      <c r="Q264" t="str">
        <f t="shared" si="19"/>
        <v>condorProc.py --series 07180809_2021 --donoise  --dumps a --procenv environments/pymidas_HVHV_NaI_mf.env</v>
      </c>
      <c r="R264" t="str">
        <f t="shared" si="20"/>
        <v>"07180809_1830", "07180809_1840", "07180809_1850", "07180809_1900", "07180809_1910", "07180809_1920", "07180809_1930", "07180809_1941", "07180809_1951", "07180809_2001", "07180809_2011", "07180809_2021"</v>
      </c>
      <c r="T264" t="str">
        <f t="shared" si="16"/>
        <v>ls -l 07180809_2021/ | grep grad\ \ \ &gt;&gt; ~/K100/condorfail.txt</v>
      </c>
      <c r="U264" t="str">
        <f t="shared" si="17"/>
        <v>ls -l 07180809_2021/ | grep grad &gt;&gt; ~/K100/condorfail.txt</v>
      </c>
    </row>
    <row r="265" spans="1:21">
      <c r="A265" s="176" t="s">
        <v>5690</v>
      </c>
      <c r="B265" s="177"/>
      <c r="C265" s="177"/>
      <c r="D265" s="177"/>
      <c r="E265" s="177"/>
      <c r="F265" s="177">
        <v>10</v>
      </c>
      <c r="G265" s="188" t="s">
        <v>2248</v>
      </c>
      <c r="H265" s="177">
        <v>40</v>
      </c>
      <c r="I265" s="177"/>
      <c r="J265" s="177" t="s">
        <v>5577</v>
      </c>
      <c r="K265" s="178" t="s">
        <v>5583</v>
      </c>
      <c r="M265" t="s">
        <v>5593</v>
      </c>
      <c r="N265" t="s">
        <v>5571</v>
      </c>
      <c r="O265" t="s">
        <v>4927</v>
      </c>
      <c r="Q265" t="str">
        <f t="shared" si="19"/>
        <v>condorProc.py --series 07180809_2110 --donoise  --dumps a --procenv environments/pymidas_HVHV_NaI_mf.env</v>
      </c>
      <c r="R265" t="str">
        <f t="shared" si="20"/>
        <v>"07180809_1830", "07180809_1840", "07180809_1850", "07180809_1900", "07180809_1910", "07180809_1920", "07180809_1930", "07180809_1941", "07180809_1951", "07180809_2001", "07180809_2011", "07180809_2021", "07180809_2110"</v>
      </c>
      <c r="T265" t="str">
        <f t="shared" si="16"/>
        <v>ls -l 07180809_2110/ | grep grad\ \ \ &gt;&gt; ~/K100/condorfail.txt</v>
      </c>
      <c r="U265" t="str">
        <f t="shared" si="17"/>
        <v>ls -l 07180809_2110/ | grep grad &gt;&gt; ~/K100/condorfail.txt</v>
      </c>
    </row>
    <row r="266" spans="1:21">
      <c r="A266" s="179" t="s">
        <v>5691</v>
      </c>
      <c r="G266" s="74"/>
      <c r="J266" t="s">
        <v>5585</v>
      </c>
      <c r="K266" s="180" t="s">
        <v>5671</v>
      </c>
      <c r="M266" t="s">
        <v>5593</v>
      </c>
      <c r="N266" t="s">
        <v>5571</v>
      </c>
      <c r="O266" t="s">
        <v>4927</v>
      </c>
      <c r="Q266" t="str">
        <f t="shared" ref="Q266:Q277" si="21">"condorProc.py --series "&amp;A266&amp;" --donoise  --dumps a --procenv environments/pymidas_HVHV_NaI_mf.env"</f>
        <v>condorProc.py --series 07180809_2120 --donoise  --dumps a --procenv environments/pymidas_HVHV_NaI_mf.env</v>
      </c>
      <c r="R266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</v>
      </c>
      <c r="T266" t="str">
        <f t="shared" si="16"/>
        <v>ls -l 07180809_2120/ | grep grad\ \ \ &gt;&gt; ~/K100/condorfail.txt</v>
      </c>
      <c r="U266" t="str">
        <f t="shared" si="17"/>
        <v>ls -l 07180809_2120/ | grep grad &gt;&gt; ~/K100/condorfail.txt</v>
      </c>
    </row>
    <row r="267" spans="1:21">
      <c r="A267" s="179" t="s">
        <v>5692</v>
      </c>
      <c r="G267" s="74"/>
      <c r="K267" s="187" t="s">
        <v>5673</v>
      </c>
      <c r="M267" t="s">
        <v>5593</v>
      </c>
      <c r="N267" t="s">
        <v>5571</v>
      </c>
      <c r="O267" t="s">
        <v>4927</v>
      </c>
      <c r="Q267" t="str">
        <f t="shared" si="21"/>
        <v>condorProc.py --series 07180809_2130 --donoise  --dumps a --procenv environments/pymidas_HVHV_NaI_mf.env</v>
      </c>
      <c r="R267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</v>
      </c>
      <c r="T267" t="str">
        <f t="shared" si="16"/>
        <v>ls -l 07180809_2130/ | grep grad\ \ \ &gt;&gt; ~/K100/condorfail.txt</v>
      </c>
      <c r="U267" t="str">
        <f t="shared" si="17"/>
        <v>ls -l 07180809_2130/ | grep grad &gt;&gt; ~/K100/condorfail.txt</v>
      </c>
    </row>
    <row r="268" spans="1:21">
      <c r="A268" s="179" t="s">
        <v>5693</v>
      </c>
      <c r="G268" s="74"/>
      <c r="K268" s="180"/>
      <c r="M268" t="s">
        <v>5593</v>
      </c>
      <c r="N268" t="s">
        <v>5571</v>
      </c>
      <c r="O268" t="s">
        <v>4927</v>
      </c>
      <c r="Q268" t="str">
        <f t="shared" si="21"/>
        <v>condorProc.py --series 07180809_2141 --donoise  --dumps a --procenv environments/pymidas_HVHV_NaI_mf.env</v>
      </c>
      <c r="R268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</v>
      </c>
      <c r="T268" t="str">
        <f t="shared" si="16"/>
        <v>ls -l 07180809_2141/ | grep grad\ \ \ &gt;&gt; ~/K100/condorfail.txt</v>
      </c>
      <c r="U268" t="str">
        <f t="shared" si="17"/>
        <v>ls -l 07180809_2141/ | grep grad &gt;&gt; ~/K100/condorfail.txt</v>
      </c>
    </row>
    <row r="269" spans="1:21">
      <c r="A269" s="179" t="s">
        <v>5694</v>
      </c>
      <c r="G269" s="74"/>
      <c r="K269" s="180"/>
      <c r="M269" t="s">
        <v>5593</v>
      </c>
      <c r="N269" t="s">
        <v>5571</v>
      </c>
      <c r="O269" t="s">
        <v>4927</v>
      </c>
      <c r="Q269" t="str">
        <f t="shared" si="21"/>
        <v>condorProc.py --series 07180809_2151 --donoise  --dumps a --procenv environments/pymidas_HVHV_NaI_mf.env</v>
      </c>
      <c r="R269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</v>
      </c>
      <c r="T269" t="str">
        <f t="shared" si="16"/>
        <v>ls -l 07180809_2151/ | grep grad\ \ \ &gt;&gt; ~/K100/condorfail.txt</v>
      </c>
      <c r="U269" t="str">
        <f t="shared" si="17"/>
        <v>ls -l 07180809_2151/ | grep grad &gt;&gt; ~/K100/condorfail.txt</v>
      </c>
    </row>
    <row r="270" spans="1:21">
      <c r="A270" s="179" t="s">
        <v>5695</v>
      </c>
      <c r="G270" s="74"/>
      <c r="K270" s="180"/>
      <c r="M270" t="s">
        <v>5593</v>
      </c>
      <c r="N270" t="s">
        <v>5571</v>
      </c>
      <c r="O270" t="s">
        <v>4927</v>
      </c>
      <c r="Q270" t="str">
        <f t="shared" si="21"/>
        <v>condorProc.py --series 07180809_2201 --donoise  --dumps a --procenv environments/pymidas_HVHV_NaI_mf.env</v>
      </c>
      <c r="R270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</v>
      </c>
      <c r="T270" t="str">
        <f t="shared" si="16"/>
        <v>ls -l 07180809_2201/ | grep grad\ \ \ &gt;&gt; ~/K100/condorfail.txt</v>
      </c>
      <c r="U270" t="str">
        <f t="shared" si="17"/>
        <v>ls -l 07180809_2201/ | grep grad &gt;&gt; ~/K100/condorfail.txt</v>
      </c>
    </row>
    <row r="271" spans="1:21">
      <c r="A271" s="179" t="s">
        <v>5696</v>
      </c>
      <c r="G271" s="74"/>
      <c r="K271" s="180"/>
      <c r="M271" t="s">
        <v>5593</v>
      </c>
      <c r="N271" t="s">
        <v>5571</v>
      </c>
      <c r="O271" t="s">
        <v>4927</v>
      </c>
      <c r="Q271" t="str">
        <f t="shared" si="21"/>
        <v>condorProc.py --series 07180809_2211 --donoise  --dumps a --procenv environments/pymidas_HVHV_NaI_mf.env</v>
      </c>
      <c r="R271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</v>
      </c>
      <c r="T271" t="str">
        <f t="shared" si="16"/>
        <v>ls -l 07180809_2211/ | grep grad\ \ \ &gt;&gt; ~/K100/condorfail.txt</v>
      </c>
      <c r="U271" t="str">
        <f t="shared" si="17"/>
        <v>ls -l 07180809_2211/ | grep grad &gt;&gt; ~/K100/condorfail.txt</v>
      </c>
    </row>
    <row r="272" spans="1:21">
      <c r="A272" s="179" t="s">
        <v>5697</v>
      </c>
      <c r="G272" s="74"/>
      <c r="K272" s="180"/>
      <c r="M272" t="s">
        <v>5593</v>
      </c>
      <c r="N272" t="s">
        <v>5571</v>
      </c>
      <c r="O272" t="s">
        <v>4927</v>
      </c>
      <c r="Q272" t="str">
        <f t="shared" si="21"/>
        <v>condorProc.py --series 07180809_2221 --donoise  --dumps a --procenv environments/pymidas_HVHV_NaI_mf.env</v>
      </c>
      <c r="R272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</v>
      </c>
      <c r="T272" t="str">
        <f t="shared" si="16"/>
        <v>ls -l 07180809_2221/ | grep grad\ \ \ &gt;&gt; ~/K100/condorfail.txt</v>
      </c>
      <c r="U272" t="str">
        <f t="shared" si="17"/>
        <v>ls -l 07180809_2221/ | grep grad &gt;&gt; ~/K100/condorfail.txt</v>
      </c>
    </row>
    <row r="273" spans="1:21">
      <c r="A273" s="179" t="s">
        <v>5698</v>
      </c>
      <c r="G273" s="74"/>
      <c r="K273" s="180"/>
      <c r="M273" t="s">
        <v>5593</v>
      </c>
      <c r="N273" t="s">
        <v>5571</v>
      </c>
      <c r="O273" t="s">
        <v>4927</v>
      </c>
      <c r="Q273" t="str">
        <f t="shared" si="21"/>
        <v>condorProc.py --series 07180809_2231 --donoise  --dumps a --procenv environments/pymidas_HVHV_NaI_mf.env</v>
      </c>
      <c r="R273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</v>
      </c>
      <c r="T273" t="str">
        <f t="shared" si="16"/>
        <v>ls -l 07180809_2231/ | grep grad\ \ \ &gt;&gt; ~/K100/condorfail.txt</v>
      </c>
      <c r="U273" t="str">
        <f t="shared" si="17"/>
        <v>ls -l 07180809_2231/ | grep grad &gt;&gt; ~/K100/condorfail.txt</v>
      </c>
    </row>
    <row r="274" spans="1:21">
      <c r="A274" s="179" t="s">
        <v>5699</v>
      </c>
      <c r="G274" s="74"/>
      <c r="K274" s="180"/>
      <c r="M274" t="s">
        <v>5593</v>
      </c>
      <c r="N274" t="s">
        <v>5571</v>
      </c>
      <c r="O274" t="s">
        <v>4927</v>
      </c>
      <c r="Q274" t="str">
        <f t="shared" si="21"/>
        <v>condorProc.py --series 07180809_2241 --donoise  --dumps a --procenv environments/pymidas_HVHV_NaI_mf.env</v>
      </c>
      <c r="R274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</v>
      </c>
      <c r="T274" t="str">
        <f t="shared" si="16"/>
        <v>ls -l 07180809_2241/ | grep grad\ \ \ &gt;&gt; ~/K100/condorfail.txt</v>
      </c>
      <c r="U274" t="str">
        <f t="shared" si="17"/>
        <v>ls -l 07180809_2241/ | grep grad &gt;&gt; ~/K100/condorfail.txt</v>
      </c>
    </row>
    <row r="275" spans="1:21">
      <c r="A275" s="179" t="s">
        <v>5700</v>
      </c>
      <c r="G275" s="74"/>
      <c r="K275" s="180"/>
      <c r="M275" t="s">
        <v>5593</v>
      </c>
      <c r="N275" t="s">
        <v>5571</v>
      </c>
      <c r="O275" t="s">
        <v>4927</v>
      </c>
      <c r="Q275" t="str">
        <f t="shared" si="21"/>
        <v>condorProc.py --series 07180809_2251 --donoise  --dumps a --procenv environments/pymidas_HVHV_NaI_mf.env</v>
      </c>
      <c r="R275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</v>
      </c>
      <c r="T275" t="str">
        <f t="shared" si="16"/>
        <v>ls -l 07180809_2251/ | grep grad\ \ \ &gt;&gt; ~/K100/condorfail.txt</v>
      </c>
      <c r="U275" t="str">
        <f t="shared" si="17"/>
        <v>ls -l 07180809_2251/ | grep grad &gt;&gt; ~/K100/condorfail.txt</v>
      </c>
    </row>
    <row r="276" spans="1:21">
      <c r="A276" s="181" t="s">
        <v>5701</v>
      </c>
      <c r="B276" s="65"/>
      <c r="C276" s="65"/>
      <c r="D276" s="65"/>
      <c r="E276" s="65"/>
      <c r="F276" s="65"/>
      <c r="G276" s="189"/>
      <c r="H276" s="65"/>
      <c r="I276" s="65"/>
      <c r="J276" s="65"/>
      <c r="K276" s="182"/>
      <c r="M276" t="s">
        <v>5593</v>
      </c>
      <c r="N276" t="s">
        <v>5571</v>
      </c>
      <c r="O276" t="s">
        <v>4927</v>
      </c>
      <c r="Q276" t="str">
        <f t="shared" si="21"/>
        <v>condorProc.py --series 07180809_2301 --donoise  --dumps a --procenv environments/pymidas_HVHV_NaI_mf.env</v>
      </c>
      <c r="R276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</v>
      </c>
      <c r="T276" t="str">
        <f t="shared" si="16"/>
        <v>ls -l 07180809_2301/ | grep grad\ \ \ &gt;&gt; ~/K100/condorfail.txt</v>
      </c>
      <c r="U276" t="str">
        <f t="shared" si="17"/>
        <v>ls -l 07180809_2301/ | grep grad &gt;&gt; ~/K100/condorfail.txt</v>
      </c>
    </row>
    <row r="277" spans="1:21">
      <c r="A277" s="176" t="s">
        <v>5702</v>
      </c>
      <c r="B277" s="177"/>
      <c r="C277" s="177"/>
      <c r="D277" s="177"/>
      <c r="E277" s="177"/>
      <c r="F277" s="177">
        <v>10</v>
      </c>
      <c r="G277" s="188" t="s">
        <v>2248</v>
      </c>
      <c r="H277" s="177">
        <v>40</v>
      </c>
      <c r="I277" s="177"/>
      <c r="J277" s="177" t="s">
        <v>5577</v>
      </c>
      <c r="K277" s="178" t="s">
        <v>5583</v>
      </c>
      <c r="M277" t="s">
        <v>5593</v>
      </c>
      <c r="N277" t="s">
        <v>5571</v>
      </c>
      <c r="O277" t="s">
        <v>4927</v>
      </c>
      <c r="Q277" t="str">
        <f t="shared" si="21"/>
        <v>condorProc.py --series 07180809_2351 --donoise  --dumps a --procenv environments/pymidas_HVHV_NaI_mf.env</v>
      </c>
      <c r="R277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</v>
      </c>
      <c r="T277" t="str">
        <f t="shared" si="16"/>
        <v>ls -l 07180809_2351/ | grep grad\ \ \ &gt;&gt; ~/K100/condorfail.txt</v>
      </c>
      <c r="U277" t="str">
        <f t="shared" si="17"/>
        <v>ls -l 07180809_2351/ | grep grad &gt;&gt; ~/K100/condorfail.txt</v>
      </c>
    </row>
    <row r="278" spans="1:21">
      <c r="A278" s="179" t="s">
        <v>5703</v>
      </c>
      <c r="G278" s="74"/>
      <c r="J278" t="s">
        <v>5585</v>
      </c>
      <c r="K278" s="180" t="s">
        <v>5671</v>
      </c>
      <c r="M278" t="s">
        <v>5593</v>
      </c>
      <c r="N278" t="s">
        <v>5571</v>
      </c>
      <c r="O278" t="s">
        <v>4927</v>
      </c>
      <c r="Q278" t="str">
        <f t="shared" ref="Q278:Q289" si="22">"condorProc.py --series "&amp;A278&amp;" --donoise  --dumps a --procenv environments/pymidas_HVHV_NaI_mf.env"</f>
        <v>condorProc.py --series 07180810_0001 --donoise  --dumps a --procenv environments/pymidas_HVHV_NaI_mf.env</v>
      </c>
      <c r="R278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</v>
      </c>
      <c r="T278" t="str">
        <f t="shared" si="16"/>
        <v>ls -l 07180810_0001/ | grep grad\ \ \ &gt;&gt; ~/K100/condorfail.txt</v>
      </c>
      <c r="U278" t="str">
        <f t="shared" si="17"/>
        <v>ls -l 07180810_0001/ | grep grad &gt;&gt; ~/K100/condorfail.txt</v>
      </c>
    </row>
    <row r="279" spans="1:21">
      <c r="A279" s="179" t="s">
        <v>5704</v>
      </c>
      <c r="G279" s="74"/>
      <c r="K279" s="187" t="s">
        <v>5673</v>
      </c>
      <c r="M279" t="s">
        <v>5593</v>
      </c>
      <c r="N279" t="s">
        <v>5571</v>
      </c>
      <c r="O279" t="s">
        <v>4927</v>
      </c>
      <c r="Q279" t="str">
        <f t="shared" si="22"/>
        <v>condorProc.py --series 07180810_0011 --donoise  --dumps a --procenv environments/pymidas_HVHV_NaI_mf.env</v>
      </c>
      <c r="R279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</v>
      </c>
      <c r="T279" t="str">
        <f t="shared" si="16"/>
        <v>ls -l 07180810_0011/ | grep grad\ \ \ &gt;&gt; ~/K100/condorfail.txt</v>
      </c>
      <c r="U279" t="str">
        <f t="shared" si="17"/>
        <v>ls -l 07180810_0011/ | grep grad &gt;&gt; ~/K100/condorfail.txt</v>
      </c>
    </row>
    <row r="280" spans="1:21">
      <c r="A280" s="179" t="s">
        <v>5705</v>
      </c>
      <c r="G280" s="74"/>
      <c r="K280" s="180"/>
      <c r="M280" t="s">
        <v>5593</v>
      </c>
      <c r="N280" t="s">
        <v>5571</v>
      </c>
      <c r="O280" t="s">
        <v>4927</v>
      </c>
      <c r="Q280" t="str">
        <f t="shared" si="22"/>
        <v>condorProc.py --series 07180810_0021 --donoise  --dumps a --procenv environments/pymidas_HVHV_NaI_mf.env</v>
      </c>
      <c r="R280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</v>
      </c>
      <c r="T280" t="str">
        <f t="shared" si="16"/>
        <v>ls -l 07180810_0021/ | grep grad\ \ \ &gt;&gt; ~/K100/condorfail.txt</v>
      </c>
      <c r="U280" t="str">
        <f t="shared" si="17"/>
        <v>ls -l 07180810_0021/ | grep grad &gt;&gt; ~/K100/condorfail.txt</v>
      </c>
    </row>
    <row r="281" spans="1:21">
      <c r="A281" s="179" t="s">
        <v>5706</v>
      </c>
      <c r="G281" s="74"/>
      <c r="K281" s="180"/>
      <c r="M281" t="s">
        <v>5593</v>
      </c>
      <c r="N281" t="s">
        <v>5571</v>
      </c>
      <c r="O281" t="s">
        <v>4927</v>
      </c>
      <c r="Q281" t="str">
        <f t="shared" si="22"/>
        <v>condorProc.py --series 07180810_0031 --donoise  --dumps a --procenv environments/pymidas_HVHV_NaI_mf.env</v>
      </c>
      <c r="R281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</v>
      </c>
      <c r="T281" t="str">
        <f t="shared" si="16"/>
        <v>ls -l 07180810_0031/ | grep grad\ \ \ &gt;&gt; ~/K100/condorfail.txt</v>
      </c>
      <c r="U281" t="str">
        <f t="shared" si="17"/>
        <v>ls -l 07180810_0031/ | grep grad &gt;&gt; ~/K100/condorfail.txt</v>
      </c>
    </row>
    <row r="282" spans="1:21">
      <c r="A282" s="179" t="s">
        <v>5707</v>
      </c>
      <c r="G282" s="74"/>
      <c r="K282" s="180"/>
      <c r="M282" t="s">
        <v>5593</v>
      </c>
      <c r="N282" t="s">
        <v>5571</v>
      </c>
      <c r="O282" t="s">
        <v>4927</v>
      </c>
      <c r="Q282" t="str">
        <f t="shared" si="22"/>
        <v>condorProc.py --series 07180810_0041 --donoise  --dumps a --procenv environments/pymidas_HVHV_NaI_mf.env</v>
      </c>
      <c r="R282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</v>
      </c>
      <c r="T282" t="str">
        <f t="shared" si="16"/>
        <v>ls -l 07180810_0041/ | grep grad\ \ \ &gt;&gt; ~/K100/condorfail.txt</v>
      </c>
      <c r="U282" t="str">
        <f t="shared" si="17"/>
        <v>ls -l 07180810_0041/ | grep grad &gt;&gt; ~/K100/condorfail.txt</v>
      </c>
    </row>
    <row r="283" spans="1:21">
      <c r="A283" s="179" t="s">
        <v>5708</v>
      </c>
      <c r="G283" s="74"/>
      <c r="K283" s="180"/>
      <c r="M283" t="s">
        <v>5593</v>
      </c>
      <c r="N283" t="s">
        <v>5571</v>
      </c>
      <c r="O283" t="s">
        <v>4927</v>
      </c>
      <c r="Q283" t="str">
        <f t="shared" si="22"/>
        <v>condorProc.py --series 07180810_0051 --donoise  --dumps a --procenv environments/pymidas_HVHV_NaI_mf.env</v>
      </c>
      <c r="R283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</v>
      </c>
      <c r="T283" t="str">
        <f t="shared" si="16"/>
        <v>ls -l 07180810_0051/ | grep grad\ \ \ &gt;&gt; ~/K100/condorfail.txt</v>
      </c>
      <c r="U283" t="str">
        <f t="shared" si="17"/>
        <v>ls -l 07180810_0051/ | grep grad &gt;&gt; ~/K100/condorfail.txt</v>
      </c>
    </row>
    <row r="284" spans="1:21">
      <c r="A284" s="179" t="s">
        <v>5709</v>
      </c>
      <c r="G284" s="74"/>
      <c r="K284" s="180"/>
      <c r="M284" t="s">
        <v>5593</v>
      </c>
      <c r="N284" t="s">
        <v>5571</v>
      </c>
      <c r="O284" t="s">
        <v>4927</v>
      </c>
      <c r="Q284" t="str">
        <f t="shared" si="22"/>
        <v>condorProc.py --series 07180810_0102 --donoise  --dumps a --procenv environments/pymidas_HVHV_NaI_mf.env</v>
      </c>
      <c r="R284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</v>
      </c>
      <c r="T284" t="str">
        <f t="shared" si="16"/>
        <v>ls -l 07180810_0102/ | grep grad\ \ \ &gt;&gt; ~/K100/condorfail.txt</v>
      </c>
      <c r="U284" t="str">
        <f t="shared" si="17"/>
        <v>ls -l 07180810_0102/ | grep grad &gt;&gt; ~/K100/condorfail.txt</v>
      </c>
    </row>
    <row r="285" spans="1:21">
      <c r="A285" s="179" t="s">
        <v>5710</v>
      </c>
      <c r="G285" s="74"/>
      <c r="K285" s="180"/>
      <c r="M285" t="s">
        <v>5593</v>
      </c>
      <c r="N285" t="s">
        <v>5571</v>
      </c>
      <c r="O285" t="s">
        <v>4927</v>
      </c>
      <c r="Q285" t="str">
        <f t="shared" si="22"/>
        <v>condorProc.py --series 07180810_0112 --donoise  --dumps a --procenv environments/pymidas_HVHV_NaI_mf.env</v>
      </c>
      <c r="R285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</v>
      </c>
      <c r="T285" t="str">
        <f t="shared" si="16"/>
        <v>ls -l 07180810_0112/ | grep grad\ \ \ &gt;&gt; ~/K100/condorfail.txt</v>
      </c>
      <c r="U285" t="str">
        <f t="shared" si="17"/>
        <v>ls -l 07180810_0112/ | grep grad &gt;&gt; ~/K100/condorfail.txt</v>
      </c>
    </row>
    <row r="286" spans="1:21">
      <c r="A286" s="179" t="s">
        <v>5711</v>
      </c>
      <c r="G286" s="74"/>
      <c r="K286" s="180"/>
      <c r="M286" t="s">
        <v>5593</v>
      </c>
      <c r="N286" t="s">
        <v>5571</v>
      </c>
      <c r="O286" t="s">
        <v>4927</v>
      </c>
      <c r="Q286" t="str">
        <f t="shared" si="22"/>
        <v>condorProc.py --series 07180810_0122 --donoise  --dumps a --procenv environments/pymidas_HVHV_NaI_mf.env</v>
      </c>
      <c r="R286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</v>
      </c>
      <c r="T286" t="str">
        <f t="shared" si="16"/>
        <v>ls -l 07180810_0122/ | grep grad\ \ \ &gt;&gt; ~/K100/condorfail.txt</v>
      </c>
      <c r="U286" t="str">
        <f t="shared" si="17"/>
        <v>ls -l 07180810_0122/ | grep grad &gt;&gt; ~/K100/condorfail.txt</v>
      </c>
    </row>
    <row r="287" spans="1:21">
      <c r="A287" s="179" t="s">
        <v>5712</v>
      </c>
      <c r="G287" s="74"/>
      <c r="K287" s="180"/>
      <c r="M287" t="s">
        <v>5593</v>
      </c>
      <c r="N287" t="s">
        <v>5571</v>
      </c>
      <c r="O287" t="s">
        <v>4927</v>
      </c>
      <c r="Q287" t="str">
        <f t="shared" si="22"/>
        <v>condorProc.py --series 07180810_0132 --donoise  --dumps a --procenv environments/pymidas_HVHV_NaI_mf.env</v>
      </c>
      <c r="R287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</v>
      </c>
      <c r="T287" t="str">
        <f t="shared" si="16"/>
        <v>ls -l 07180810_0132/ | grep grad\ \ \ &gt;&gt; ~/K100/condorfail.txt</v>
      </c>
      <c r="U287" t="str">
        <f t="shared" si="17"/>
        <v>ls -l 07180810_0132/ | grep grad &gt;&gt; ~/K100/condorfail.txt</v>
      </c>
    </row>
    <row r="288" spans="1:21">
      <c r="A288" s="181" t="s">
        <v>5713</v>
      </c>
      <c r="B288" s="65"/>
      <c r="C288" s="65"/>
      <c r="D288" s="65"/>
      <c r="E288" s="65"/>
      <c r="F288" s="65"/>
      <c r="G288" s="189"/>
      <c r="H288" s="65"/>
      <c r="I288" s="65"/>
      <c r="J288" s="65"/>
      <c r="K288" s="182"/>
      <c r="M288" t="s">
        <v>5593</v>
      </c>
      <c r="N288" t="s">
        <v>5571</v>
      </c>
      <c r="O288" t="s">
        <v>4927</v>
      </c>
      <c r="Q288" t="str">
        <f t="shared" si="22"/>
        <v>condorProc.py --series 07180810_0142 --donoise  --dumps a --procenv environments/pymidas_HVHV_NaI_mf.env</v>
      </c>
      <c r="R288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</v>
      </c>
      <c r="T288" t="str">
        <f t="shared" si="16"/>
        <v>ls -l 07180810_0142/ | grep grad\ \ \ &gt;&gt; ~/K100/condorfail.txt</v>
      </c>
      <c r="U288" t="str">
        <f t="shared" si="17"/>
        <v>ls -l 07180810_0142/ | grep grad &gt;&gt; ~/K100/condorfail.txt</v>
      </c>
    </row>
    <row r="289" spans="1:21">
      <c r="A289" s="176" t="s">
        <v>5714</v>
      </c>
      <c r="B289" s="177"/>
      <c r="C289" s="177"/>
      <c r="D289" s="177"/>
      <c r="E289" s="177"/>
      <c r="F289" s="177">
        <v>10</v>
      </c>
      <c r="G289" s="188" t="s">
        <v>2248</v>
      </c>
      <c r="H289" s="177">
        <v>40</v>
      </c>
      <c r="I289" s="177"/>
      <c r="J289" s="177" t="s">
        <v>5577</v>
      </c>
      <c r="K289" s="178" t="s">
        <v>5583</v>
      </c>
      <c r="M289" t="s">
        <v>5593</v>
      </c>
      <c r="N289" t="s">
        <v>5571</v>
      </c>
      <c r="O289" t="s">
        <v>4927</v>
      </c>
      <c r="Q289" t="str">
        <f t="shared" si="22"/>
        <v>condorProc.py --series 07180810_0231 --donoise  --dumps a --procenv environments/pymidas_HVHV_NaI_mf.env</v>
      </c>
      <c r="R289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</v>
      </c>
      <c r="T289" t="str">
        <f t="shared" si="16"/>
        <v>ls -l 07180810_0231/ | grep grad\ \ \ &gt;&gt; ~/K100/condorfail.txt</v>
      </c>
      <c r="U289" t="str">
        <f t="shared" si="17"/>
        <v>ls -l 07180810_0231/ | grep grad &gt;&gt; ~/K100/condorfail.txt</v>
      </c>
    </row>
    <row r="290" spans="1:21">
      <c r="A290" s="179" t="s">
        <v>5715</v>
      </c>
      <c r="G290" s="74"/>
      <c r="J290" t="s">
        <v>5585</v>
      </c>
      <c r="K290" s="180" t="s">
        <v>5671</v>
      </c>
      <c r="M290" t="s">
        <v>5593</v>
      </c>
      <c r="N290" t="s">
        <v>5571</v>
      </c>
      <c r="O290" t="s">
        <v>4927</v>
      </c>
      <c r="Q290" t="str">
        <f t="shared" ref="Q290:Q300" si="23">"condorProc.py --series "&amp;A290&amp;" --donoise  --dumps a --procenv environments/pymidas_HVHV_NaI_mf.env"</f>
        <v>condorProc.py --series 07180810_0241 --donoise  --dumps a --procenv environments/pymidas_HVHV_NaI_mf.env</v>
      </c>
      <c r="R290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</v>
      </c>
      <c r="T290" t="str">
        <f t="shared" si="16"/>
        <v>ls -l 07180810_0241/ | grep grad\ \ \ &gt;&gt; ~/K100/condorfail.txt</v>
      </c>
      <c r="U290" t="str">
        <f t="shared" si="17"/>
        <v>ls -l 07180810_0241/ | grep grad &gt;&gt; ~/K100/condorfail.txt</v>
      </c>
    </row>
    <row r="291" spans="1:21">
      <c r="A291" s="179" t="s">
        <v>5716</v>
      </c>
      <c r="G291" s="74"/>
      <c r="K291" s="187" t="s">
        <v>5673</v>
      </c>
      <c r="M291" t="s">
        <v>5593</v>
      </c>
      <c r="N291" t="s">
        <v>5571</v>
      </c>
      <c r="O291" t="s">
        <v>4927</v>
      </c>
      <c r="Q291" t="str">
        <f t="shared" si="23"/>
        <v>condorProc.py --series 07180810_0251 --donoise  --dumps a --procenv environments/pymidas_HVHV_NaI_mf.env</v>
      </c>
      <c r="R291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</v>
      </c>
      <c r="T291" t="str">
        <f t="shared" si="16"/>
        <v>ls -l 07180810_0251/ | grep grad\ \ \ &gt;&gt; ~/K100/condorfail.txt</v>
      </c>
      <c r="U291" t="str">
        <f t="shared" si="17"/>
        <v>ls -l 07180810_0251/ | grep grad &gt;&gt; ~/K100/condorfail.txt</v>
      </c>
    </row>
    <row r="292" spans="1:21">
      <c r="A292" s="179" t="s">
        <v>5717</v>
      </c>
      <c r="G292" s="74"/>
      <c r="K292" s="180"/>
      <c r="M292" t="s">
        <v>5593</v>
      </c>
      <c r="N292" t="s">
        <v>5571</v>
      </c>
      <c r="O292" t="s">
        <v>4927</v>
      </c>
      <c r="Q292" t="str">
        <f t="shared" si="23"/>
        <v>condorProc.py --series 07180810_0301 --donoise  --dumps a --procenv environments/pymidas_HVHV_NaI_mf.env</v>
      </c>
      <c r="R292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</v>
      </c>
      <c r="T292" t="str">
        <f t="shared" si="16"/>
        <v>ls -l 07180810_0301/ | grep grad\ \ \ &gt;&gt; ~/K100/condorfail.txt</v>
      </c>
      <c r="U292" t="str">
        <f t="shared" si="17"/>
        <v>ls -l 07180810_0301/ | grep grad &gt;&gt; ~/K100/condorfail.txt</v>
      </c>
    </row>
    <row r="293" spans="1:21">
      <c r="A293" s="179" t="s">
        <v>5718</v>
      </c>
      <c r="G293" s="74"/>
      <c r="K293" s="180"/>
      <c r="M293" t="s">
        <v>5593</v>
      </c>
      <c r="N293" t="s">
        <v>5571</v>
      </c>
      <c r="O293" t="s">
        <v>4927</v>
      </c>
      <c r="Q293" t="str">
        <f t="shared" si="23"/>
        <v>condorProc.py --series 07180810_0312 --donoise  --dumps a --procenv environments/pymidas_HVHV_NaI_mf.env</v>
      </c>
      <c r="R293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</v>
      </c>
      <c r="T293" t="str">
        <f t="shared" si="16"/>
        <v>ls -l 07180810_0312/ | grep grad\ \ \ &gt;&gt; ~/K100/condorfail.txt</v>
      </c>
      <c r="U293" t="str">
        <f t="shared" si="17"/>
        <v>ls -l 07180810_0312/ | grep grad &gt;&gt; ~/K100/condorfail.txt</v>
      </c>
    </row>
    <row r="294" spans="1:21">
      <c r="A294" s="179" t="s">
        <v>5719</v>
      </c>
      <c r="G294" s="74"/>
      <c r="K294" s="180"/>
      <c r="M294" t="s">
        <v>5593</v>
      </c>
      <c r="N294" t="s">
        <v>5571</v>
      </c>
      <c r="O294" t="s">
        <v>4927</v>
      </c>
      <c r="Q294" t="str">
        <f t="shared" si="23"/>
        <v>condorProc.py --series 07180810_0322 --donoise  --dumps a --procenv environments/pymidas_HVHV_NaI_mf.env</v>
      </c>
      <c r="R294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</v>
      </c>
      <c r="T294" t="str">
        <f t="shared" si="16"/>
        <v>ls -l 07180810_0322/ | grep grad\ \ \ &gt;&gt; ~/K100/condorfail.txt</v>
      </c>
      <c r="U294" t="str">
        <f t="shared" si="17"/>
        <v>ls -l 07180810_0322/ | grep grad &gt;&gt; ~/K100/condorfail.txt</v>
      </c>
    </row>
    <row r="295" spans="1:21">
      <c r="A295" s="179" t="s">
        <v>5720</v>
      </c>
      <c r="G295" s="74"/>
      <c r="K295" s="180"/>
      <c r="M295" t="s">
        <v>5593</v>
      </c>
      <c r="N295" t="s">
        <v>5571</v>
      </c>
      <c r="O295" t="s">
        <v>4927</v>
      </c>
      <c r="Q295" t="str">
        <f t="shared" si="23"/>
        <v>condorProc.py --series 07180810_0332 --donoise  --dumps a --procenv environments/pymidas_HVHV_NaI_mf.env</v>
      </c>
      <c r="R295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</v>
      </c>
      <c r="T295" t="str">
        <f t="shared" si="16"/>
        <v>ls -l 07180810_0332/ | grep grad\ \ \ &gt;&gt; ~/K100/condorfail.txt</v>
      </c>
      <c r="U295" t="str">
        <f t="shared" si="17"/>
        <v>ls -l 07180810_0332/ | grep grad &gt;&gt; ~/K100/condorfail.txt</v>
      </c>
    </row>
    <row r="296" spans="1:21">
      <c r="A296" s="179" t="s">
        <v>5721</v>
      </c>
      <c r="G296" s="74"/>
      <c r="K296" s="180"/>
      <c r="M296" t="s">
        <v>5593</v>
      </c>
      <c r="N296" t="s">
        <v>5571</v>
      </c>
      <c r="O296" t="s">
        <v>4927</v>
      </c>
      <c r="Q296" t="str">
        <f t="shared" si="23"/>
        <v>condorProc.py --series 07180810_0342 --donoise  --dumps a --procenv environments/pymidas_HVHV_NaI_mf.env</v>
      </c>
      <c r="R296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</v>
      </c>
      <c r="T296" t="str">
        <f t="shared" si="16"/>
        <v>ls -l 07180810_0342/ | grep grad\ \ \ &gt;&gt; ~/K100/condorfail.txt</v>
      </c>
      <c r="U296" t="str">
        <f t="shared" si="17"/>
        <v>ls -l 07180810_0342/ | grep grad &gt;&gt; ~/K100/condorfail.txt</v>
      </c>
    </row>
    <row r="297" spans="1:21">
      <c r="A297" s="179" t="s">
        <v>5722</v>
      </c>
      <c r="G297" s="74"/>
      <c r="K297" s="180"/>
      <c r="M297" t="s">
        <v>5593</v>
      </c>
      <c r="N297" t="s">
        <v>5571</v>
      </c>
      <c r="O297" t="s">
        <v>4927</v>
      </c>
      <c r="Q297" t="str">
        <f t="shared" si="23"/>
        <v>condorProc.py --series 07180810_0352 --donoise  --dumps a --procenv environments/pymidas_HVHV_NaI_mf.env</v>
      </c>
      <c r="R297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</v>
      </c>
      <c r="T297" t="str">
        <f t="shared" ref="T297:T332" si="24">"ls -l "&amp;A297&amp;"/ | grep grad\ \ \ &gt;&gt; ~/K100/condorfail.txt"</f>
        <v>ls -l 07180810_0352/ | grep grad\ \ \ &gt;&gt; ~/K100/condorfail.txt</v>
      </c>
      <c r="U297" t="str">
        <f t="shared" si="17"/>
        <v>ls -l 07180810_0352/ | grep grad &gt;&gt; ~/K100/condorfail.txt</v>
      </c>
    </row>
    <row r="298" spans="1:21">
      <c r="A298" s="179" t="s">
        <v>5723</v>
      </c>
      <c r="G298" s="74"/>
      <c r="K298" s="180"/>
      <c r="M298" t="s">
        <v>5593</v>
      </c>
      <c r="N298" t="s">
        <v>5571</v>
      </c>
      <c r="O298" t="s">
        <v>4927</v>
      </c>
      <c r="Q298" t="str">
        <f t="shared" si="23"/>
        <v>condorProc.py --series 07180810_0402 --donoise  --dumps a --procenv environments/pymidas_HVHV_NaI_mf.env</v>
      </c>
      <c r="R298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</v>
      </c>
      <c r="T298" t="str">
        <f t="shared" si="24"/>
        <v>ls -l 07180810_0402/ | grep grad\ \ \ &gt;&gt; ~/K100/condorfail.txt</v>
      </c>
      <c r="U298" t="str">
        <f t="shared" si="17"/>
        <v>ls -l 07180810_0402/ | grep grad &gt;&gt; ~/K100/condorfail.txt</v>
      </c>
    </row>
    <row r="299" spans="1:21">
      <c r="A299" s="179" t="s">
        <v>5724</v>
      </c>
      <c r="G299" s="74"/>
      <c r="K299" s="180"/>
      <c r="M299" t="s">
        <v>5593</v>
      </c>
      <c r="N299" t="s">
        <v>5571</v>
      </c>
      <c r="O299" t="s">
        <v>4927</v>
      </c>
      <c r="Q299" t="str">
        <f t="shared" si="23"/>
        <v>condorProc.py --series 07180810_0412 --donoise  --dumps a --procenv environments/pymidas_HVHV_NaI_mf.env</v>
      </c>
      <c r="R299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</v>
      </c>
      <c r="T299" t="str">
        <f t="shared" si="24"/>
        <v>ls -l 07180810_0412/ | grep grad\ \ \ &gt;&gt; ~/K100/condorfail.txt</v>
      </c>
      <c r="U299" t="str">
        <f t="shared" si="17"/>
        <v>ls -l 07180810_0412/ | grep grad &gt;&gt; ~/K100/condorfail.txt</v>
      </c>
    </row>
    <row r="300" spans="1:21">
      <c r="A300" s="181" t="s">
        <v>5725</v>
      </c>
      <c r="B300" s="65"/>
      <c r="C300" s="65"/>
      <c r="D300" s="65"/>
      <c r="E300" s="65"/>
      <c r="F300" s="65"/>
      <c r="G300" s="189"/>
      <c r="H300" s="65"/>
      <c r="I300" s="65"/>
      <c r="J300" s="65"/>
      <c r="K300" s="182"/>
      <c r="M300" t="s">
        <v>5593</v>
      </c>
      <c r="N300" t="s">
        <v>5571</v>
      </c>
      <c r="O300" t="s">
        <v>4927</v>
      </c>
      <c r="Q300" t="str">
        <f t="shared" si="23"/>
        <v>condorProc.py --series 07180810_0422 --donoise  --dumps a --procenv environments/pymidas_HVHV_NaI_mf.env</v>
      </c>
      <c r="R300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</v>
      </c>
      <c r="T300" t="str">
        <f t="shared" si="24"/>
        <v>ls -l 07180810_0422/ | grep grad\ \ \ &gt;&gt; ~/K100/condorfail.txt</v>
      </c>
      <c r="U300" t="str">
        <f t="shared" si="17"/>
        <v>ls -l 07180810_0422/ | grep grad &gt;&gt; ~/K100/condorfail.txt</v>
      </c>
    </row>
    <row r="301" spans="1:21">
      <c r="A301" s="176" t="s">
        <v>5726</v>
      </c>
      <c r="B301" s="177"/>
      <c r="C301" s="177"/>
      <c r="D301" s="177"/>
      <c r="E301" s="177"/>
      <c r="F301" s="177">
        <v>10</v>
      </c>
      <c r="G301" s="188" t="s">
        <v>2248</v>
      </c>
      <c r="H301" s="177">
        <v>40</v>
      </c>
      <c r="I301" s="177"/>
      <c r="J301" s="177" t="s">
        <v>5577</v>
      </c>
      <c r="K301" s="178" t="s">
        <v>5583</v>
      </c>
      <c r="M301" t="s">
        <v>5593</v>
      </c>
      <c r="N301" t="s">
        <v>5571</v>
      </c>
      <c r="O301" t="s">
        <v>4927</v>
      </c>
      <c r="Q301" t="str">
        <f t="shared" ref="Q301:Q312" si="25">"condorProc.py --series "&amp;A301&amp;" --donoise  --dumps a --procenv environments/pymidas_HVHV_NaI_mf.env"</f>
        <v>condorProc.py --series 07180810_1505 --donoise  --dumps a --procenv environments/pymidas_HVHV_NaI_mf.env</v>
      </c>
      <c r="R301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</v>
      </c>
      <c r="T301" t="str">
        <f t="shared" si="24"/>
        <v>ls -l 07180810_1505/ | grep grad\ \ \ &gt;&gt; ~/K100/condorfail.txt</v>
      </c>
      <c r="U301" t="str">
        <f t="shared" si="17"/>
        <v>ls -l 07180810_1505/ | grep grad &gt;&gt; ~/K100/condorfail.txt</v>
      </c>
    </row>
    <row r="302" spans="1:21">
      <c r="A302" s="179" t="s">
        <v>5727</v>
      </c>
      <c r="G302" s="74"/>
      <c r="J302" t="s">
        <v>5585</v>
      </c>
      <c r="K302" s="180" t="s">
        <v>5671</v>
      </c>
      <c r="M302" t="s">
        <v>5593</v>
      </c>
      <c r="N302" t="s">
        <v>5571</v>
      </c>
      <c r="O302" t="s">
        <v>4927</v>
      </c>
      <c r="Q302" t="str">
        <f t="shared" si="25"/>
        <v>condorProc.py --series 07180810_1515 --donoise  --dumps a --procenv environments/pymidas_HVHV_NaI_mf.env</v>
      </c>
      <c r="R302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</v>
      </c>
      <c r="T302" t="str">
        <f t="shared" si="24"/>
        <v>ls -l 07180810_1515/ | grep grad\ \ \ &gt;&gt; ~/K100/condorfail.txt</v>
      </c>
      <c r="U302" t="str">
        <f t="shared" si="17"/>
        <v>ls -l 07180810_1515/ | grep grad &gt;&gt; ~/K100/condorfail.txt</v>
      </c>
    </row>
    <row r="303" spans="1:21">
      <c r="A303" s="179" t="s">
        <v>5728</v>
      </c>
      <c r="G303" s="74"/>
      <c r="K303" s="187" t="s">
        <v>5673</v>
      </c>
      <c r="M303" t="s">
        <v>5593</v>
      </c>
      <c r="N303" t="s">
        <v>5571</v>
      </c>
      <c r="O303" t="s">
        <v>4927</v>
      </c>
      <c r="Q303" t="str">
        <f t="shared" si="25"/>
        <v>condorProc.py --series 07180810_1525 --donoise  --dumps a --procenv environments/pymidas_HVHV_NaI_mf.env</v>
      </c>
      <c r="R303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</v>
      </c>
      <c r="T303" t="str">
        <f t="shared" si="24"/>
        <v>ls -l 07180810_1525/ | grep grad\ \ \ &gt;&gt; ~/K100/condorfail.txt</v>
      </c>
      <c r="U303" t="str">
        <f t="shared" si="17"/>
        <v>ls -l 07180810_1525/ | grep grad &gt;&gt; ~/K100/condorfail.txt</v>
      </c>
    </row>
    <row r="304" spans="1:21">
      <c r="A304" s="179" t="s">
        <v>5729</v>
      </c>
      <c r="G304" s="74"/>
      <c r="K304" s="180"/>
      <c r="M304" t="s">
        <v>5593</v>
      </c>
      <c r="N304" t="s">
        <v>5571</v>
      </c>
      <c r="O304" t="s">
        <v>4927</v>
      </c>
      <c r="Q304" t="str">
        <f t="shared" si="25"/>
        <v>condorProc.py --series 07180810_1535 --donoise  --dumps a --procenv environments/pymidas_HVHV_NaI_mf.env</v>
      </c>
      <c r="R304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"07180810_1525", "07180810_1535"</v>
      </c>
      <c r="T304" t="str">
        <f t="shared" si="24"/>
        <v>ls -l 07180810_1535/ | grep grad\ \ \ &gt;&gt; ~/K100/condorfail.txt</v>
      </c>
      <c r="U304" t="str">
        <f t="shared" ref="U304:U332" si="26">"ls -l "&amp;A304&amp;"/ | grep grad &gt;&gt; ~/K100/condorfail.txt"</f>
        <v>ls -l 07180810_1535/ | grep grad &gt;&gt; ~/K100/condorfail.txt</v>
      </c>
    </row>
    <row r="305" spans="1:21">
      <c r="A305" s="179" t="s">
        <v>5730</v>
      </c>
      <c r="G305" s="74"/>
      <c r="K305" s="180"/>
      <c r="M305" t="s">
        <v>5593</v>
      </c>
      <c r="N305" t="s">
        <v>5571</v>
      </c>
      <c r="O305" t="s">
        <v>4927</v>
      </c>
      <c r="Q305" t="str">
        <f t="shared" si="25"/>
        <v>condorProc.py --series 07180810_1545 --donoise  --dumps a --procenv environments/pymidas_HVHV_NaI_mf.env</v>
      </c>
      <c r="R305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"07180810_1525", "07180810_1535", "07180810_1545"</v>
      </c>
      <c r="T305" t="str">
        <f t="shared" si="24"/>
        <v>ls -l 07180810_1545/ | grep grad\ \ \ &gt;&gt; ~/K100/condorfail.txt</v>
      </c>
      <c r="U305" t="str">
        <f t="shared" si="26"/>
        <v>ls -l 07180810_1545/ | grep grad &gt;&gt; ~/K100/condorfail.txt</v>
      </c>
    </row>
    <row r="306" spans="1:21">
      <c r="A306" s="179" t="s">
        <v>5731</v>
      </c>
      <c r="G306" s="74"/>
      <c r="K306" s="180"/>
      <c r="M306" t="s">
        <v>5593</v>
      </c>
      <c r="N306" t="s">
        <v>5571</v>
      </c>
      <c r="O306" t="s">
        <v>4927</v>
      </c>
      <c r="Q306" t="str">
        <f t="shared" si="25"/>
        <v>condorProc.py --series 07180810_1555 --donoise  --dumps a --procenv environments/pymidas_HVHV_NaI_mf.env</v>
      </c>
      <c r="R306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"07180810_1525", "07180810_1535", "07180810_1545", "07180810_1555"</v>
      </c>
      <c r="T306" t="str">
        <f t="shared" si="24"/>
        <v>ls -l 07180810_1555/ | grep grad\ \ \ &gt;&gt; ~/K100/condorfail.txt</v>
      </c>
      <c r="U306" t="str">
        <f t="shared" si="26"/>
        <v>ls -l 07180810_1555/ | grep grad &gt;&gt; ~/K100/condorfail.txt</v>
      </c>
    </row>
    <row r="307" spans="1:21">
      <c r="A307" s="179" t="s">
        <v>5732</v>
      </c>
      <c r="G307" s="74"/>
      <c r="K307" s="180"/>
      <c r="M307" t="s">
        <v>5593</v>
      </c>
      <c r="N307" t="s">
        <v>5571</v>
      </c>
      <c r="O307" t="s">
        <v>4927</v>
      </c>
      <c r="Q307" t="str">
        <f t="shared" si="25"/>
        <v>condorProc.py --series 07180810_1605 --donoise  --dumps a --procenv environments/pymidas_HVHV_NaI_mf.env</v>
      </c>
      <c r="R307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"07180810_1525", "07180810_1535", "07180810_1545", "07180810_1555", "07180810_1605"</v>
      </c>
      <c r="T307" t="str">
        <f t="shared" si="24"/>
        <v>ls -l 07180810_1605/ | grep grad\ \ \ &gt;&gt; ~/K100/condorfail.txt</v>
      </c>
      <c r="U307" t="str">
        <f t="shared" si="26"/>
        <v>ls -l 07180810_1605/ | grep grad &gt;&gt; ~/K100/condorfail.txt</v>
      </c>
    </row>
    <row r="308" spans="1:21">
      <c r="A308" s="179" t="s">
        <v>5733</v>
      </c>
      <c r="G308" s="74"/>
      <c r="K308" s="180"/>
      <c r="M308" t="s">
        <v>5593</v>
      </c>
      <c r="N308" t="s">
        <v>5571</v>
      </c>
      <c r="O308" t="s">
        <v>4927</v>
      </c>
      <c r="Q308" t="str">
        <f t="shared" si="25"/>
        <v>condorProc.py --series 07180810_1616 --donoise  --dumps a --procenv environments/pymidas_HVHV_NaI_mf.env</v>
      </c>
      <c r="R308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"07180810_1525", "07180810_1535", "07180810_1545", "07180810_1555", "07180810_1605", "07180810_1616"</v>
      </c>
      <c r="T308" t="str">
        <f t="shared" si="24"/>
        <v>ls -l 07180810_1616/ | grep grad\ \ \ &gt;&gt; ~/K100/condorfail.txt</v>
      </c>
      <c r="U308" t="str">
        <f t="shared" si="26"/>
        <v>ls -l 07180810_1616/ | grep grad &gt;&gt; ~/K100/condorfail.txt</v>
      </c>
    </row>
    <row r="309" spans="1:21">
      <c r="A309" s="179" t="s">
        <v>5734</v>
      </c>
      <c r="G309" s="74"/>
      <c r="K309" s="180"/>
      <c r="M309" t="s">
        <v>5593</v>
      </c>
      <c r="N309" t="s">
        <v>5571</v>
      </c>
      <c r="O309" t="s">
        <v>4927</v>
      </c>
      <c r="Q309" t="str">
        <f t="shared" si="25"/>
        <v>condorProc.py --series 07180810_1626 --donoise  --dumps a --procenv environments/pymidas_HVHV_NaI_mf.env</v>
      </c>
      <c r="R309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"07180810_1525", "07180810_1535", "07180810_1545", "07180810_1555", "07180810_1605", "07180810_1616", "07180810_1626"</v>
      </c>
      <c r="T309" t="str">
        <f t="shared" si="24"/>
        <v>ls -l 07180810_1626/ | grep grad\ \ \ &gt;&gt; ~/K100/condorfail.txt</v>
      </c>
      <c r="U309" t="str">
        <f t="shared" si="26"/>
        <v>ls -l 07180810_1626/ | grep grad &gt;&gt; ~/K100/condorfail.txt</v>
      </c>
    </row>
    <row r="310" spans="1:21">
      <c r="A310" s="179" t="s">
        <v>5735</v>
      </c>
      <c r="G310" s="74"/>
      <c r="K310" s="180"/>
      <c r="M310" t="s">
        <v>5593</v>
      </c>
      <c r="N310" t="s">
        <v>5571</v>
      </c>
      <c r="O310" t="s">
        <v>4927</v>
      </c>
      <c r="Q310" t="str">
        <f t="shared" si="25"/>
        <v>condorProc.py --series 07180810_1636 --donoise  --dumps a --procenv environments/pymidas_HVHV_NaI_mf.env</v>
      </c>
      <c r="R310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"07180810_1525", "07180810_1535", "07180810_1545", "07180810_1555", "07180810_1605", "07180810_1616", "07180810_1626", "07180810_1636"</v>
      </c>
      <c r="T310" t="str">
        <f t="shared" si="24"/>
        <v>ls -l 07180810_1636/ | grep grad\ \ \ &gt;&gt; ~/K100/condorfail.txt</v>
      </c>
      <c r="U310" t="str">
        <f t="shared" si="26"/>
        <v>ls -l 07180810_1636/ | grep grad &gt;&gt; ~/K100/condorfail.txt</v>
      </c>
    </row>
    <row r="311" spans="1:21">
      <c r="A311" s="179" t="s">
        <v>5736</v>
      </c>
      <c r="G311" s="74"/>
      <c r="K311" s="180"/>
      <c r="M311" t="s">
        <v>5593</v>
      </c>
      <c r="N311" t="s">
        <v>5571</v>
      </c>
      <c r="O311" t="s">
        <v>4927</v>
      </c>
      <c r="Q311" t="str">
        <f t="shared" si="25"/>
        <v>condorProc.py --series 07180810_1646 --donoise  --dumps a --procenv environments/pymidas_HVHV_NaI_mf.env</v>
      </c>
      <c r="R311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"07180810_1525", "07180810_1535", "07180810_1545", "07180810_1555", "07180810_1605", "07180810_1616", "07180810_1626", "07180810_1636", "07180810_1646"</v>
      </c>
      <c r="T311" t="str">
        <f t="shared" si="24"/>
        <v>ls -l 07180810_1646/ | grep grad\ \ \ &gt;&gt; ~/K100/condorfail.txt</v>
      </c>
      <c r="U311" t="str">
        <f t="shared" si="26"/>
        <v>ls -l 07180810_1646/ | grep grad &gt;&gt; ~/K100/condorfail.txt</v>
      </c>
    </row>
    <row r="312" spans="1:21">
      <c r="A312" s="181" t="s">
        <v>5737</v>
      </c>
      <c r="B312" s="65"/>
      <c r="C312" s="65"/>
      <c r="D312" s="65"/>
      <c r="E312" s="65"/>
      <c r="F312" s="65"/>
      <c r="G312" s="189"/>
      <c r="H312" s="65"/>
      <c r="I312" s="65"/>
      <c r="J312" s="65"/>
      <c r="K312" s="182"/>
      <c r="M312" t="s">
        <v>5593</v>
      </c>
      <c r="N312" t="s">
        <v>5571</v>
      </c>
      <c r="O312" t="s">
        <v>4927</v>
      </c>
      <c r="Q312" t="str">
        <f t="shared" si="25"/>
        <v>condorProc.py --series 07180810_1656 --donoise  --dumps a --procenv environments/pymidas_HVHV_NaI_mf.env</v>
      </c>
      <c r="R312" t="str">
        <f t="shared" si="20"/>
        <v>"07180809_1830", "07180809_1840", "07180809_1850", "07180809_1900", "07180809_1910", "07180809_1920", "07180809_1930", "07180809_1941", "07180809_1951", "07180809_2001", "07180809_2011", "07180809_2021", "07180809_2110", "07180809_2120", "07180809_2130", "07180809_2141", "07180809_2151", "07180809_2201", "07180809_2211", "07180809_2221", "07180809_2231", "07180809_2241", "07180809_2251", "07180809_2301", "07180809_2351", "07180810_0001", "07180810_0011", "07180810_0021", "07180810_0031", "07180810_0041", "07180810_0051", "07180810_0102", "07180810_0112", "07180810_0122", "07180810_0132", "07180810_0142", "07180810_0231", "07180810_0241", "07180810_0251", "07180810_0301", "07180810_0312", "07180810_0322", "07180810_0332", "07180810_0342", "07180810_0352", "07180810_0402", "07180810_0412", "07180810_0422", "07180810_1505", "07180810_1515", "07180810_1525", "07180810_1535", "07180810_1545", "07180810_1555", "07180810_1605", "07180810_1616", "07180810_1626", "07180810_1636", "07180810_1646", "07180810_1656"</v>
      </c>
      <c r="T312" t="str">
        <f t="shared" si="24"/>
        <v>ls -l 07180810_1656/ | grep grad\ \ \ &gt;&gt; ~/K100/condorfail.txt</v>
      </c>
      <c r="U312" t="str">
        <f t="shared" si="26"/>
        <v>ls -l 07180810_1656/ | grep grad &gt;&gt; ~/K100/condorfail.txt</v>
      </c>
    </row>
    <row r="313" spans="1:21">
      <c r="A313" s="176" t="s">
        <v>5738</v>
      </c>
      <c r="B313" s="177"/>
      <c r="C313" s="177"/>
      <c r="D313" s="177"/>
      <c r="E313" s="177"/>
      <c r="F313" s="177">
        <v>10</v>
      </c>
      <c r="G313" s="188" t="s">
        <v>2248</v>
      </c>
      <c r="H313" s="177">
        <v>40</v>
      </c>
      <c r="I313" s="177"/>
      <c r="J313" s="177" t="s">
        <v>5577</v>
      </c>
      <c r="K313" s="178" t="s">
        <v>5583</v>
      </c>
      <c r="M313" t="s">
        <v>5593</v>
      </c>
      <c r="N313" t="s">
        <v>5571</v>
      </c>
      <c r="O313" t="s">
        <v>4927</v>
      </c>
      <c r="Q313" t="str">
        <f t="shared" ref="Q313:Q324" si="27">"condorProc.py --series "&amp;A313&amp;" --donoise  --dumps a --procenv environments/pymidas_HVHV_NaI_mf.env"</f>
        <v>condorProc.py --series 07180810_1745 --donoise  --dumps a --procenv environments/pymidas_HVHV_NaI_mf.env</v>
      </c>
      <c r="T313" t="str">
        <f t="shared" si="24"/>
        <v>ls -l 07180810_1745/ | grep grad\ \ \ &gt;&gt; ~/K100/condorfail.txt</v>
      </c>
      <c r="U313" t="str">
        <f t="shared" si="26"/>
        <v>ls -l 07180810_1745/ | grep grad &gt;&gt; ~/K100/condorfail.txt</v>
      </c>
    </row>
    <row r="314" spans="1:21">
      <c r="A314" s="179" t="s">
        <v>5739</v>
      </c>
      <c r="G314" s="74"/>
      <c r="J314" t="s">
        <v>5585</v>
      </c>
      <c r="K314" s="180" t="s">
        <v>5671</v>
      </c>
      <c r="M314" t="s">
        <v>5593</v>
      </c>
      <c r="N314" t="s">
        <v>5571</v>
      </c>
      <c r="O314" t="s">
        <v>4927</v>
      </c>
      <c r="Q314" t="str">
        <f t="shared" si="27"/>
        <v>condorProc.py --series 07180810_1756 --donoise  --dumps a --procenv environments/pymidas_HVHV_NaI_mf.env</v>
      </c>
      <c r="T314" t="str">
        <f t="shared" si="24"/>
        <v>ls -l 07180810_1756/ | grep grad\ \ \ &gt;&gt; ~/K100/condorfail.txt</v>
      </c>
      <c r="U314" t="str">
        <f t="shared" si="26"/>
        <v>ls -l 07180810_1756/ | grep grad &gt;&gt; ~/K100/condorfail.txt</v>
      </c>
    </row>
    <row r="315" spans="1:21">
      <c r="A315" s="179" t="s">
        <v>5740</v>
      </c>
      <c r="G315" s="74"/>
      <c r="K315" s="187" t="s">
        <v>5673</v>
      </c>
      <c r="M315" t="s">
        <v>5593</v>
      </c>
      <c r="N315" t="s">
        <v>5571</v>
      </c>
      <c r="O315" t="s">
        <v>4927</v>
      </c>
      <c r="Q315" t="str">
        <f t="shared" si="27"/>
        <v>condorProc.py --series 07180810_1806 --donoise  --dumps a --procenv environments/pymidas_HVHV_NaI_mf.env</v>
      </c>
      <c r="T315" t="str">
        <f t="shared" si="24"/>
        <v>ls -l 07180810_1806/ | grep grad\ \ \ &gt;&gt; ~/K100/condorfail.txt</v>
      </c>
      <c r="U315" t="str">
        <f t="shared" si="26"/>
        <v>ls -l 07180810_1806/ | grep grad &gt;&gt; ~/K100/condorfail.txt</v>
      </c>
    </row>
    <row r="316" spans="1:21">
      <c r="A316" s="179" t="s">
        <v>5741</v>
      </c>
      <c r="G316" s="74"/>
      <c r="K316" s="180"/>
      <c r="M316" t="s">
        <v>5593</v>
      </c>
      <c r="N316" t="s">
        <v>5571</v>
      </c>
      <c r="O316" t="s">
        <v>4927</v>
      </c>
      <c r="Q316" t="str">
        <f t="shared" si="27"/>
        <v>condorProc.py --series 07180810_1816 --donoise  --dumps a --procenv environments/pymidas_HVHV_NaI_mf.env</v>
      </c>
      <c r="T316" t="str">
        <f t="shared" si="24"/>
        <v>ls -l 07180810_1816/ | grep grad\ \ \ &gt;&gt; ~/K100/condorfail.txt</v>
      </c>
      <c r="U316" t="str">
        <f t="shared" si="26"/>
        <v>ls -l 07180810_1816/ | grep grad &gt;&gt; ~/K100/condorfail.txt</v>
      </c>
    </row>
    <row r="317" spans="1:21">
      <c r="A317" s="179" t="s">
        <v>5742</v>
      </c>
      <c r="G317" s="74"/>
      <c r="K317" s="180"/>
      <c r="M317" t="s">
        <v>5593</v>
      </c>
      <c r="N317" t="s">
        <v>5571</v>
      </c>
      <c r="O317" t="s">
        <v>4927</v>
      </c>
      <c r="Q317" t="str">
        <f t="shared" si="27"/>
        <v>condorProc.py --series 07180810_1826 --donoise  --dumps a --procenv environments/pymidas_HVHV_NaI_mf.env</v>
      </c>
      <c r="T317" t="str">
        <f t="shared" si="24"/>
        <v>ls -l 07180810_1826/ | grep grad\ \ \ &gt;&gt; ~/K100/condorfail.txt</v>
      </c>
      <c r="U317" t="str">
        <f t="shared" si="26"/>
        <v>ls -l 07180810_1826/ | grep grad &gt;&gt; ~/K100/condorfail.txt</v>
      </c>
    </row>
    <row r="318" spans="1:21">
      <c r="A318" s="179" t="s">
        <v>5743</v>
      </c>
      <c r="G318" s="74"/>
      <c r="K318" s="180"/>
      <c r="M318" t="s">
        <v>5593</v>
      </c>
      <c r="N318" t="s">
        <v>5571</v>
      </c>
      <c r="O318" t="s">
        <v>4927</v>
      </c>
      <c r="Q318" t="str">
        <f t="shared" si="27"/>
        <v>condorProc.py --series 07180810_1836 --donoise  --dumps a --procenv environments/pymidas_HVHV_NaI_mf.env</v>
      </c>
      <c r="T318" t="str">
        <f t="shared" si="24"/>
        <v>ls -l 07180810_1836/ | grep grad\ \ \ &gt;&gt; ~/K100/condorfail.txt</v>
      </c>
      <c r="U318" t="str">
        <f t="shared" si="26"/>
        <v>ls -l 07180810_1836/ | grep grad &gt;&gt; ~/K100/condorfail.txt</v>
      </c>
    </row>
    <row r="319" spans="1:21">
      <c r="A319" s="179" t="s">
        <v>5744</v>
      </c>
      <c r="G319" s="74"/>
      <c r="K319" s="180"/>
      <c r="M319" t="s">
        <v>5593</v>
      </c>
      <c r="N319" t="s">
        <v>5571</v>
      </c>
      <c r="O319" t="s">
        <v>4927</v>
      </c>
      <c r="Q319" t="str">
        <f t="shared" si="27"/>
        <v>condorProc.py --series 07180810_1846 --donoise  --dumps a --procenv environments/pymidas_HVHV_NaI_mf.env</v>
      </c>
      <c r="T319" t="str">
        <f t="shared" si="24"/>
        <v>ls -l 07180810_1846/ | grep grad\ \ \ &gt;&gt; ~/K100/condorfail.txt</v>
      </c>
      <c r="U319" t="str">
        <f t="shared" si="26"/>
        <v>ls -l 07180810_1846/ | grep grad &gt;&gt; ~/K100/condorfail.txt</v>
      </c>
    </row>
    <row r="320" spans="1:21">
      <c r="A320" s="179" t="s">
        <v>5745</v>
      </c>
      <c r="G320" s="74"/>
      <c r="K320" s="180"/>
      <c r="M320" t="s">
        <v>5593</v>
      </c>
      <c r="N320" t="s">
        <v>5571</v>
      </c>
      <c r="O320" t="s">
        <v>4927</v>
      </c>
      <c r="Q320" t="str">
        <f t="shared" si="27"/>
        <v>condorProc.py --series 07180810_1856 --donoise  --dumps a --procenv environments/pymidas_HVHV_NaI_mf.env</v>
      </c>
      <c r="T320" t="str">
        <f t="shared" si="24"/>
        <v>ls -l 07180810_1856/ | grep grad\ \ \ &gt;&gt; ~/K100/condorfail.txt</v>
      </c>
      <c r="U320" t="str">
        <f t="shared" si="26"/>
        <v>ls -l 07180810_1856/ | grep grad &gt;&gt; ~/K100/condorfail.txt</v>
      </c>
    </row>
    <row r="321" spans="1:21">
      <c r="A321" s="179" t="s">
        <v>5746</v>
      </c>
      <c r="G321" s="74"/>
      <c r="K321" s="180"/>
      <c r="M321" t="s">
        <v>5593</v>
      </c>
      <c r="N321" t="s">
        <v>5571</v>
      </c>
      <c r="O321" t="s">
        <v>4927</v>
      </c>
      <c r="Q321" t="str">
        <f t="shared" si="27"/>
        <v>condorProc.py --series 07180810_1906 --donoise  --dumps a --procenv environments/pymidas_HVHV_NaI_mf.env</v>
      </c>
      <c r="T321" t="str">
        <f t="shared" si="24"/>
        <v>ls -l 07180810_1906/ | grep grad\ \ \ &gt;&gt; ~/K100/condorfail.txt</v>
      </c>
      <c r="U321" t="str">
        <f t="shared" si="26"/>
        <v>ls -l 07180810_1906/ | grep grad &gt;&gt; ~/K100/condorfail.txt</v>
      </c>
    </row>
    <row r="322" spans="1:21">
      <c r="A322" s="179" t="s">
        <v>5747</v>
      </c>
      <c r="G322" s="74"/>
      <c r="K322" s="180"/>
      <c r="M322" t="s">
        <v>5593</v>
      </c>
      <c r="N322" t="s">
        <v>5571</v>
      </c>
      <c r="O322" t="s">
        <v>4927</v>
      </c>
      <c r="Q322" t="str">
        <f t="shared" si="27"/>
        <v>condorProc.py --series 07180810_1916 --donoise  --dumps a --procenv environments/pymidas_HVHV_NaI_mf.env</v>
      </c>
      <c r="T322" t="str">
        <f t="shared" si="24"/>
        <v>ls -l 07180810_1916/ | grep grad\ \ \ &gt;&gt; ~/K100/condorfail.txt</v>
      </c>
      <c r="U322" t="str">
        <f t="shared" si="26"/>
        <v>ls -l 07180810_1916/ | grep grad &gt;&gt; ~/K100/condorfail.txt</v>
      </c>
    </row>
    <row r="323" spans="1:21">
      <c r="A323" s="179" t="s">
        <v>5748</v>
      </c>
      <c r="G323" s="74"/>
      <c r="K323" s="180"/>
      <c r="M323" t="s">
        <v>5593</v>
      </c>
      <c r="N323" t="s">
        <v>5571</v>
      </c>
      <c r="O323" t="s">
        <v>4927</v>
      </c>
      <c r="Q323" t="str">
        <f t="shared" si="27"/>
        <v>condorProc.py --series 07180810_1927 --donoise  --dumps a --procenv environments/pymidas_HVHV_NaI_mf.env</v>
      </c>
      <c r="T323" t="str">
        <f t="shared" si="24"/>
        <v>ls -l 07180810_1927/ | grep grad\ \ \ &gt;&gt; ~/K100/condorfail.txt</v>
      </c>
      <c r="U323" t="str">
        <f t="shared" si="26"/>
        <v>ls -l 07180810_1927/ | grep grad &gt;&gt; ~/K100/condorfail.txt</v>
      </c>
    </row>
    <row r="324" spans="1:21">
      <c r="A324" s="181" t="s">
        <v>5749</v>
      </c>
      <c r="B324" s="65"/>
      <c r="C324" s="65"/>
      <c r="D324" s="65"/>
      <c r="E324" s="65"/>
      <c r="F324" s="65"/>
      <c r="G324" s="189"/>
      <c r="H324" s="65"/>
      <c r="I324" s="65"/>
      <c r="J324" s="65"/>
      <c r="K324" s="182"/>
      <c r="M324" t="s">
        <v>5593</v>
      </c>
      <c r="N324" t="s">
        <v>5571</v>
      </c>
      <c r="O324" t="s">
        <v>4927</v>
      </c>
      <c r="Q324" t="str">
        <f t="shared" si="27"/>
        <v>condorProc.py --series 07180810_1937 --donoise  --dumps a --procenv environments/pymidas_HVHV_NaI_mf.env</v>
      </c>
      <c r="T324" t="str">
        <f t="shared" si="24"/>
        <v>ls -l 07180810_1937/ | grep grad\ \ \ &gt;&gt; ~/K100/condorfail.txt</v>
      </c>
      <c r="U324" t="str">
        <f t="shared" si="26"/>
        <v>ls -l 07180810_1937/ | grep grad &gt;&gt; ~/K100/condorfail.txt</v>
      </c>
    </row>
    <row r="325" spans="1:21">
      <c r="A325" s="176" t="s">
        <v>5750</v>
      </c>
      <c r="B325" s="177"/>
      <c r="C325" s="177"/>
      <c r="D325" s="177"/>
      <c r="E325" s="177"/>
      <c r="F325" s="177">
        <v>10</v>
      </c>
      <c r="G325" s="188" t="s">
        <v>2248</v>
      </c>
      <c r="H325" s="177">
        <v>40</v>
      </c>
      <c r="I325" s="177"/>
      <c r="J325" s="177" t="s">
        <v>5577</v>
      </c>
      <c r="K325" s="178" t="s">
        <v>5583</v>
      </c>
      <c r="M325" t="s">
        <v>5593</v>
      </c>
      <c r="N325" t="s">
        <v>5571</v>
      </c>
      <c r="O325" t="s">
        <v>4927</v>
      </c>
      <c r="Q325" t="str">
        <f t="shared" ref="Q325:Q332" si="28">"condorProc.py --series "&amp;A325&amp;" --donoise  --dumps a --procenv environments/pymidas_HVHV_NaI_mf.env"</f>
        <v>condorProc.py --series 07180810_2026 --donoise  --dumps a --procenv environments/pymidas_HVHV_NaI_mf.env</v>
      </c>
      <c r="T325" t="str">
        <f t="shared" si="24"/>
        <v>ls -l 07180810_2026/ | grep grad\ \ \ &gt;&gt; ~/K100/condorfail.txt</v>
      </c>
      <c r="U325" t="str">
        <f t="shared" si="26"/>
        <v>ls -l 07180810_2026/ | grep grad &gt;&gt; ~/K100/condorfail.txt</v>
      </c>
    </row>
    <row r="326" spans="1:21">
      <c r="A326" s="179" t="s">
        <v>5751</v>
      </c>
      <c r="G326" s="74"/>
      <c r="J326" t="s">
        <v>5585</v>
      </c>
      <c r="K326" s="180" t="s">
        <v>5671</v>
      </c>
      <c r="M326" t="s">
        <v>5593</v>
      </c>
      <c r="N326" t="s">
        <v>5571</v>
      </c>
      <c r="O326" t="s">
        <v>4927</v>
      </c>
      <c r="Q326" t="str">
        <f t="shared" si="28"/>
        <v>condorProc.py --series 07180810_2036 --donoise  --dumps a --procenv environments/pymidas_HVHV_NaI_mf.env</v>
      </c>
      <c r="T326" t="str">
        <f t="shared" si="24"/>
        <v>ls -l 07180810_2036/ | grep grad\ \ \ &gt;&gt; ~/K100/condorfail.txt</v>
      </c>
      <c r="U326" t="str">
        <f t="shared" si="26"/>
        <v>ls -l 07180810_2036/ | grep grad &gt;&gt; ~/K100/condorfail.txt</v>
      </c>
    </row>
    <row r="327" spans="1:21">
      <c r="A327" s="179" t="s">
        <v>5752</v>
      </c>
      <c r="G327" s="74"/>
      <c r="K327" s="187" t="s">
        <v>5673</v>
      </c>
      <c r="M327" t="s">
        <v>5593</v>
      </c>
      <c r="N327" t="s">
        <v>5571</v>
      </c>
      <c r="O327" t="s">
        <v>4927</v>
      </c>
      <c r="Q327" t="str">
        <f t="shared" si="28"/>
        <v>condorProc.py --series 07180810_2046 --donoise  --dumps a --procenv environments/pymidas_HVHV_NaI_mf.env</v>
      </c>
      <c r="T327" t="str">
        <f t="shared" si="24"/>
        <v>ls -l 07180810_2046/ | grep grad\ \ \ &gt;&gt; ~/K100/condorfail.txt</v>
      </c>
      <c r="U327" t="str">
        <f t="shared" si="26"/>
        <v>ls -l 07180810_2046/ | grep grad &gt;&gt; ~/K100/condorfail.txt</v>
      </c>
    </row>
    <row r="328" spans="1:21">
      <c r="A328" s="179" t="s">
        <v>5753</v>
      </c>
      <c r="G328" s="74"/>
      <c r="K328" s="180"/>
      <c r="M328" t="s">
        <v>5593</v>
      </c>
      <c r="N328" t="s">
        <v>5571</v>
      </c>
      <c r="O328" t="s">
        <v>4927</v>
      </c>
      <c r="Q328" t="str">
        <f t="shared" si="28"/>
        <v>condorProc.py --series 07180810_2056 --donoise  --dumps a --procenv environments/pymidas_HVHV_NaI_mf.env</v>
      </c>
      <c r="T328" t="str">
        <f t="shared" si="24"/>
        <v>ls -l 07180810_2056/ | grep grad\ \ \ &gt;&gt; ~/K100/condorfail.txt</v>
      </c>
      <c r="U328" t="str">
        <f t="shared" si="26"/>
        <v>ls -l 07180810_2056/ | grep grad &gt;&gt; ~/K100/condorfail.txt</v>
      </c>
    </row>
    <row r="329" spans="1:21">
      <c r="A329" s="179" t="s">
        <v>5754</v>
      </c>
      <c r="G329" s="74"/>
      <c r="K329" s="180"/>
      <c r="M329" t="s">
        <v>5593</v>
      </c>
      <c r="N329" t="s">
        <v>5571</v>
      </c>
      <c r="O329" t="s">
        <v>4927</v>
      </c>
      <c r="Q329" t="str">
        <f t="shared" si="28"/>
        <v>condorProc.py --series 07180810_2107 --donoise  --dumps a --procenv environments/pymidas_HVHV_NaI_mf.env</v>
      </c>
      <c r="T329" t="str">
        <f t="shared" si="24"/>
        <v>ls -l 07180810_2107/ | grep grad\ \ \ &gt;&gt; ~/K100/condorfail.txt</v>
      </c>
      <c r="U329" t="str">
        <f t="shared" si="26"/>
        <v>ls -l 07180810_2107/ | grep grad &gt;&gt; ~/K100/condorfail.txt</v>
      </c>
    </row>
    <row r="330" spans="1:21">
      <c r="A330" s="179" t="s">
        <v>5755</v>
      </c>
      <c r="G330" s="74"/>
      <c r="K330" s="180"/>
      <c r="M330" t="s">
        <v>5593</v>
      </c>
      <c r="N330" t="s">
        <v>5571</v>
      </c>
      <c r="O330" t="s">
        <v>4927</v>
      </c>
      <c r="Q330" t="str">
        <f t="shared" si="28"/>
        <v>condorProc.py --series 07180810_2117 --donoise  --dumps a --procenv environments/pymidas_HVHV_NaI_mf.env</v>
      </c>
      <c r="T330" t="str">
        <f t="shared" si="24"/>
        <v>ls -l 07180810_2117/ | grep grad\ \ \ &gt;&gt; ~/K100/condorfail.txt</v>
      </c>
      <c r="U330" t="str">
        <f t="shared" si="26"/>
        <v>ls -l 07180810_2117/ | grep grad &gt;&gt; ~/K100/condorfail.txt</v>
      </c>
    </row>
    <row r="331" spans="1:21">
      <c r="A331" s="179" t="s">
        <v>5756</v>
      </c>
      <c r="G331" s="74"/>
      <c r="K331" s="180"/>
      <c r="M331" t="s">
        <v>5593</v>
      </c>
      <c r="N331" t="s">
        <v>5571</v>
      </c>
      <c r="O331" t="s">
        <v>4927</v>
      </c>
      <c r="Q331" t="str">
        <f t="shared" si="28"/>
        <v>condorProc.py --series 07180810_2127 --donoise  --dumps a --procenv environments/pymidas_HVHV_NaI_mf.env</v>
      </c>
      <c r="T331" t="str">
        <f t="shared" si="24"/>
        <v>ls -l 07180810_2127/ | grep grad\ \ \ &gt;&gt; ~/K100/condorfail.txt</v>
      </c>
      <c r="U331" t="str">
        <f t="shared" si="26"/>
        <v>ls -l 07180810_2127/ | grep grad &gt;&gt; ~/K100/condorfail.txt</v>
      </c>
    </row>
    <row r="332" spans="1:21">
      <c r="A332" s="179" t="s">
        <v>5757</v>
      </c>
      <c r="G332" s="74"/>
      <c r="K332" s="180"/>
      <c r="L332">
        <f>109+L222</f>
        <v>157</v>
      </c>
      <c r="M332" t="s">
        <v>5593</v>
      </c>
      <c r="N332" t="s">
        <v>5571</v>
      </c>
      <c r="O332" t="s">
        <v>4927</v>
      </c>
      <c r="Q332" t="str">
        <f t="shared" si="28"/>
        <v>condorProc.py --series 07180810_2137 --donoise  --dumps a --procenv environments/pymidas_HVHV_NaI_mf.env</v>
      </c>
      <c r="T332" t="str">
        <f t="shared" si="24"/>
        <v>ls -l 07180810_2137/ | grep grad\ \ \ &gt;&gt; ~/K100/condorfail.txt</v>
      </c>
      <c r="U332" t="str">
        <f t="shared" si="26"/>
        <v>ls -l 07180810_2137/ | grep grad &gt;&gt; ~/K100/condorfail.txt</v>
      </c>
    </row>
    <row r="333" spans="1:21">
      <c r="A333" s="179" t="s">
        <v>5758</v>
      </c>
      <c r="G333" s="74"/>
      <c r="I333" s="197" t="s">
        <v>5434</v>
      </c>
      <c r="K333" s="180" t="s">
        <v>5759</v>
      </c>
    </row>
    <row r="334" spans="1:21">
      <c r="A334" s="179" t="s">
        <v>5760</v>
      </c>
      <c r="G334" s="74"/>
      <c r="I334" s="197" t="s">
        <v>5434</v>
      </c>
      <c r="K334" s="180" t="s">
        <v>5761</v>
      </c>
    </row>
    <row r="335" spans="1:21">
      <c r="A335" s="179" t="s">
        <v>5762</v>
      </c>
      <c r="G335" s="74"/>
      <c r="I335" s="197" t="s">
        <v>5434</v>
      </c>
      <c r="K335" s="180"/>
    </row>
    <row r="336" spans="1:21">
      <c r="A336" s="181" t="s">
        <v>5763</v>
      </c>
      <c r="B336" s="65"/>
      <c r="C336" s="65"/>
      <c r="D336" s="65"/>
      <c r="E336" s="65"/>
      <c r="F336" s="65"/>
      <c r="G336" s="189"/>
      <c r="H336" s="65"/>
      <c r="I336" s="198" t="s">
        <v>5434</v>
      </c>
      <c r="J336" s="65"/>
      <c r="K336" s="182"/>
    </row>
    <row r="337" spans="1:11">
      <c r="A337" s="176" t="s">
        <v>5764</v>
      </c>
      <c r="B337" s="177"/>
      <c r="C337" s="177"/>
      <c r="D337" s="177"/>
      <c r="E337" s="177"/>
      <c r="F337" s="177">
        <v>10</v>
      </c>
      <c r="G337" s="188" t="s">
        <v>2248</v>
      </c>
      <c r="H337" s="177">
        <v>40</v>
      </c>
      <c r="I337" s="199" t="s">
        <v>5434</v>
      </c>
      <c r="J337" s="177" t="s">
        <v>5577</v>
      </c>
      <c r="K337" s="178" t="s">
        <v>5583</v>
      </c>
    </row>
    <row r="338" spans="1:11">
      <c r="A338" s="179" t="s">
        <v>5765</v>
      </c>
      <c r="G338" s="74"/>
      <c r="I338" s="197" t="s">
        <v>5434</v>
      </c>
      <c r="J338" t="s">
        <v>5585</v>
      </c>
      <c r="K338" s="180" t="s">
        <v>5671</v>
      </c>
    </row>
    <row r="339" spans="1:11">
      <c r="A339" s="179" t="s">
        <v>5766</v>
      </c>
      <c r="G339" s="74"/>
      <c r="I339" s="197" t="s">
        <v>5434</v>
      </c>
      <c r="K339" s="187" t="s">
        <v>5673</v>
      </c>
    </row>
    <row r="340" spans="1:11">
      <c r="A340" s="179" t="s">
        <v>5767</v>
      </c>
      <c r="G340" s="74"/>
      <c r="I340" s="197" t="s">
        <v>5434</v>
      </c>
      <c r="K340" s="180"/>
    </row>
    <row r="341" spans="1:11">
      <c r="A341" s="179" t="s">
        <v>5768</v>
      </c>
      <c r="G341" s="74"/>
      <c r="I341" s="197" t="s">
        <v>5434</v>
      </c>
      <c r="K341" s="180"/>
    </row>
    <row r="342" spans="1:11">
      <c r="A342" s="179" t="s">
        <v>5769</v>
      </c>
      <c r="G342" s="74"/>
      <c r="I342" s="197" t="s">
        <v>5434</v>
      </c>
      <c r="K342" s="180"/>
    </row>
    <row r="343" spans="1:11">
      <c r="A343" s="179" t="s">
        <v>5770</v>
      </c>
      <c r="G343" s="74"/>
      <c r="I343" s="197" t="s">
        <v>5434</v>
      </c>
      <c r="K343" s="180"/>
    </row>
    <row r="344" spans="1:11">
      <c r="A344" s="179" t="s">
        <v>5771</v>
      </c>
      <c r="G344" s="74"/>
      <c r="I344" s="197" t="s">
        <v>5434</v>
      </c>
      <c r="K344" s="180"/>
    </row>
    <row r="345" spans="1:11">
      <c r="A345" s="179" t="s">
        <v>5772</v>
      </c>
      <c r="G345" s="74"/>
      <c r="I345" s="197" t="s">
        <v>5434</v>
      </c>
      <c r="K345" s="180"/>
    </row>
    <row r="346" spans="1:11">
      <c r="A346" s="179" t="s">
        <v>5773</v>
      </c>
      <c r="G346" s="74"/>
      <c r="I346" s="197" t="s">
        <v>5434</v>
      </c>
      <c r="K346" s="180"/>
    </row>
    <row r="347" spans="1:11">
      <c r="A347" s="179" t="s">
        <v>5774</v>
      </c>
      <c r="G347" s="74"/>
      <c r="I347" s="197" t="s">
        <v>5434</v>
      </c>
      <c r="K347" s="180"/>
    </row>
    <row r="348" spans="1:11">
      <c r="A348" s="181" t="s">
        <v>5775</v>
      </c>
      <c r="B348" s="65"/>
      <c r="C348" s="65"/>
      <c r="D348" s="65"/>
      <c r="E348" s="65"/>
      <c r="F348" s="65"/>
      <c r="G348" s="189"/>
      <c r="H348" s="65"/>
      <c r="I348" s="198" t="s">
        <v>5434</v>
      </c>
      <c r="J348" s="65"/>
      <c r="K348" s="182"/>
    </row>
    <row r="349" spans="1:11">
      <c r="A349" s="176" t="s">
        <v>5776</v>
      </c>
      <c r="B349" s="177"/>
      <c r="C349" s="177"/>
      <c r="D349" s="177"/>
      <c r="E349" s="177"/>
      <c r="F349" s="177">
        <v>10</v>
      </c>
      <c r="G349" s="188" t="s">
        <v>2248</v>
      </c>
      <c r="H349" s="177">
        <v>40</v>
      </c>
      <c r="I349" s="199" t="s">
        <v>5434</v>
      </c>
      <c r="J349" s="177" t="s">
        <v>5577</v>
      </c>
      <c r="K349" s="178" t="s">
        <v>5583</v>
      </c>
    </row>
    <row r="350" spans="1:11">
      <c r="A350" s="179" t="s">
        <v>5777</v>
      </c>
      <c r="G350" s="74"/>
      <c r="I350" s="197" t="s">
        <v>5434</v>
      </c>
      <c r="J350" t="s">
        <v>5585</v>
      </c>
      <c r="K350" s="180" t="s">
        <v>5671</v>
      </c>
    </row>
    <row r="351" spans="1:11">
      <c r="A351" s="179" t="s">
        <v>5778</v>
      </c>
      <c r="G351" s="74"/>
      <c r="I351" s="197" t="s">
        <v>5434</v>
      </c>
      <c r="K351" s="187" t="s">
        <v>5673</v>
      </c>
    </row>
    <row r="352" spans="1:11">
      <c r="A352" s="179" t="s">
        <v>5779</v>
      </c>
      <c r="G352" s="74"/>
      <c r="I352" s="197" t="s">
        <v>5434</v>
      </c>
      <c r="K352" s="180"/>
    </row>
    <row r="353" spans="1:21">
      <c r="A353" s="179" t="s">
        <v>5780</v>
      </c>
      <c r="G353" s="74"/>
      <c r="I353" s="197" t="s">
        <v>5434</v>
      </c>
      <c r="K353" s="180"/>
    </row>
    <row r="354" spans="1:21">
      <c r="A354" s="179" t="s">
        <v>5781</v>
      </c>
      <c r="G354" s="74"/>
      <c r="I354" s="197" t="s">
        <v>5434</v>
      </c>
      <c r="K354" s="180"/>
    </row>
    <row r="355" spans="1:21">
      <c r="A355" s="179" t="s">
        <v>5782</v>
      </c>
      <c r="G355" s="74"/>
      <c r="I355" s="197" t="s">
        <v>5434</v>
      </c>
      <c r="K355" s="180"/>
    </row>
    <row r="356" spans="1:21">
      <c r="A356" s="179" t="s">
        <v>5783</v>
      </c>
      <c r="G356" s="74"/>
      <c r="I356" s="197" t="s">
        <v>5434</v>
      </c>
      <c r="K356" s="180"/>
    </row>
    <row r="357" spans="1:21">
      <c r="A357" s="179" t="s">
        <v>5784</v>
      </c>
      <c r="G357" s="74"/>
      <c r="I357" s="197" t="s">
        <v>5434</v>
      </c>
      <c r="K357" s="180"/>
    </row>
    <row r="358" spans="1:21">
      <c r="A358" s="179" t="s">
        <v>5785</v>
      </c>
      <c r="G358" s="74"/>
      <c r="I358" s="197" t="s">
        <v>5434</v>
      </c>
      <c r="K358" s="180"/>
    </row>
    <row r="359" spans="1:21">
      <c r="A359" s="179" t="s">
        <v>5786</v>
      </c>
      <c r="G359" s="74"/>
      <c r="I359" s="197" t="s">
        <v>5434</v>
      </c>
      <c r="K359" s="180"/>
    </row>
    <row r="360" spans="1:21">
      <c r="A360" s="181" t="s">
        <v>5787</v>
      </c>
      <c r="B360" s="65"/>
      <c r="C360" s="65"/>
      <c r="D360" s="65"/>
      <c r="E360" s="65"/>
      <c r="F360" s="65"/>
      <c r="G360" s="189"/>
      <c r="H360" s="65"/>
      <c r="I360" s="198" t="s">
        <v>5434</v>
      </c>
      <c r="J360" s="65"/>
      <c r="K360" s="182"/>
    </row>
    <row r="361" spans="1:21">
      <c r="A361" t="s">
        <v>5788</v>
      </c>
      <c r="G361" s="74"/>
      <c r="J361" t="s">
        <v>191</v>
      </c>
    </row>
    <row r="362" spans="1:21">
      <c r="A362" s="176" t="s">
        <v>5789</v>
      </c>
      <c r="B362" s="177"/>
      <c r="C362" s="177"/>
      <c r="D362" s="177"/>
      <c r="E362" s="177"/>
      <c r="F362" s="177">
        <v>10</v>
      </c>
      <c r="G362" s="188" t="s">
        <v>2248</v>
      </c>
      <c r="H362" s="177">
        <v>40</v>
      </c>
      <c r="I362" s="177"/>
      <c r="J362" s="177" t="s">
        <v>5577</v>
      </c>
      <c r="K362" s="178" t="s">
        <v>5583</v>
      </c>
      <c r="M362" t="s">
        <v>5593</v>
      </c>
      <c r="N362" t="s">
        <v>5571</v>
      </c>
      <c r="O362" t="s">
        <v>4927</v>
      </c>
      <c r="Q362" t="str">
        <f>"condorProc.py --series "&amp;A362&amp;" --donoise  --dumps a --procenv environments/pymidas_HVHV_NaI_mf.env"</f>
        <v>condorProc.py --series 07180811_1437 --donoise  --dumps a --procenv environments/pymidas_HVHV_NaI_mf.env</v>
      </c>
      <c r="T362" t="str">
        <f t="shared" ref="T362:T425" si="29">"ls -l "&amp;A362&amp;"/ | grep grad\ \ \ &gt;&gt; ~/K100/condorfail.txt"</f>
        <v>ls -l 07180811_1437/ | grep grad\ \ \ &gt;&gt; ~/K100/condorfail.txt</v>
      </c>
      <c r="U362" t="str">
        <f t="shared" ref="U362:U425" si="30">"ls -l "&amp;A362&amp;"/ | grep grad &gt;&gt; ~/K100/condorfail.txt"</f>
        <v>ls -l 07180811_1437/ | grep grad &gt;&gt; ~/K100/condorfail.txt</v>
      </c>
    </row>
    <row r="363" spans="1:21">
      <c r="A363" s="179" t="s">
        <v>5790</v>
      </c>
      <c r="G363" s="74"/>
      <c r="J363" t="s">
        <v>5585</v>
      </c>
      <c r="K363" s="180" t="s">
        <v>5671</v>
      </c>
      <c r="M363" t="s">
        <v>5593</v>
      </c>
      <c r="N363" t="s">
        <v>5571</v>
      </c>
      <c r="O363" t="s">
        <v>4927</v>
      </c>
      <c r="Q363" t="str">
        <f t="shared" ref="Q363:Q373" si="31">"condorProc.py --series "&amp;A363&amp;" --donoise  --dumps a --procenv environments/pymidas_HVHV_NaI_mf.env"</f>
        <v>condorProc.py --series 07180811_1447 --donoise  --dumps a --procenv environments/pymidas_HVHV_NaI_mf.env</v>
      </c>
      <c r="T363" t="str">
        <f t="shared" si="29"/>
        <v>ls -l 07180811_1447/ | grep grad\ \ \ &gt;&gt; ~/K100/condorfail.txt</v>
      </c>
      <c r="U363" t="str">
        <f t="shared" si="30"/>
        <v>ls -l 07180811_1447/ | grep grad &gt;&gt; ~/K100/condorfail.txt</v>
      </c>
    </row>
    <row r="364" spans="1:21">
      <c r="A364" s="179" t="s">
        <v>5791</v>
      </c>
      <c r="G364" s="74"/>
      <c r="K364" s="187" t="s">
        <v>5673</v>
      </c>
      <c r="M364" t="s">
        <v>5593</v>
      </c>
      <c r="N364" t="s">
        <v>5571</v>
      </c>
      <c r="O364" t="s">
        <v>4927</v>
      </c>
      <c r="Q364" t="str">
        <f t="shared" si="31"/>
        <v>condorProc.py --series 07180811_1457 --donoise  --dumps a --procenv environments/pymidas_HVHV_NaI_mf.env</v>
      </c>
      <c r="T364" t="str">
        <f t="shared" si="29"/>
        <v>ls -l 07180811_1457/ | grep grad\ \ \ &gt;&gt; ~/K100/condorfail.txt</v>
      </c>
      <c r="U364" t="str">
        <f t="shared" si="30"/>
        <v>ls -l 07180811_1457/ | grep grad &gt;&gt; ~/K100/condorfail.txt</v>
      </c>
    </row>
    <row r="365" spans="1:21">
      <c r="A365" s="179" t="s">
        <v>5792</v>
      </c>
      <c r="G365" s="74"/>
      <c r="K365" s="180"/>
      <c r="M365" t="s">
        <v>5593</v>
      </c>
      <c r="N365" t="s">
        <v>5571</v>
      </c>
      <c r="O365" t="s">
        <v>4927</v>
      </c>
      <c r="Q365" t="str">
        <f t="shared" si="31"/>
        <v>condorProc.py --series 07180811_1507 --donoise  --dumps a --procenv environments/pymidas_HVHV_NaI_mf.env</v>
      </c>
      <c r="T365" t="str">
        <f t="shared" si="29"/>
        <v>ls -l 07180811_1507/ | grep grad\ \ \ &gt;&gt; ~/K100/condorfail.txt</v>
      </c>
      <c r="U365" t="str">
        <f t="shared" si="30"/>
        <v>ls -l 07180811_1507/ | grep grad &gt;&gt; ~/K100/condorfail.txt</v>
      </c>
    </row>
    <row r="366" spans="1:21">
      <c r="A366" s="179" t="s">
        <v>5793</v>
      </c>
      <c r="G366" s="74"/>
      <c r="K366" s="180"/>
      <c r="M366" t="s">
        <v>5593</v>
      </c>
      <c r="N366" t="s">
        <v>5571</v>
      </c>
      <c r="O366" t="s">
        <v>4927</v>
      </c>
      <c r="Q366" t="str">
        <f t="shared" si="31"/>
        <v>condorProc.py --series 07180811_1518 --donoise  --dumps a --procenv environments/pymidas_HVHV_NaI_mf.env</v>
      </c>
      <c r="T366" t="str">
        <f t="shared" si="29"/>
        <v>ls -l 07180811_1518/ | grep grad\ \ \ &gt;&gt; ~/K100/condorfail.txt</v>
      </c>
      <c r="U366" t="str">
        <f t="shared" si="30"/>
        <v>ls -l 07180811_1518/ | grep grad &gt;&gt; ~/K100/condorfail.txt</v>
      </c>
    </row>
    <row r="367" spans="1:21">
      <c r="A367" s="179" t="s">
        <v>5794</v>
      </c>
      <c r="G367" s="74"/>
      <c r="K367" s="180"/>
      <c r="M367" t="s">
        <v>5593</v>
      </c>
      <c r="N367" t="s">
        <v>5571</v>
      </c>
      <c r="O367" t="s">
        <v>4927</v>
      </c>
      <c r="Q367" t="str">
        <f t="shared" si="31"/>
        <v>condorProc.py --series 07180811_1528 --donoise  --dumps a --procenv environments/pymidas_HVHV_NaI_mf.env</v>
      </c>
      <c r="T367" t="str">
        <f t="shared" si="29"/>
        <v>ls -l 07180811_1528/ | grep grad\ \ \ &gt;&gt; ~/K100/condorfail.txt</v>
      </c>
      <c r="U367" t="str">
        <f t="shared" si="30"/>
        <v>ls -l 07180811_1528/ | grep grad &gt;&gt; ~/K100/condorfail.txt</v>
      </c>
    </row>
    <row r="368" spans="1:21">
      <c r="A368" s="179" t="s">
        <v>5795</v>
      </c>
      <c r="G368" s="74"/>
      <c r="K368" s="180"/>
      <c r="M368" t="s">
        <v>5593</v>
      </c>
      <c r="N368" t="s">
        <v>5571</v>
      </c>
      <c r="O368" t="s">
        <v>4927</v>
      </c>
      <c r="Q368" t="str">
        <f t="shared" si="31"/>
        <v>condorProc.py --series 07180811_1538 --donoise  --dumps a --procenv environments/pymidas_HVHV_NaI_mf.env</v>
      </c>
      <c r="T368" t="str">
        <f t="shared" si="29"/>
        <v>ls -l 07180811_1538/ | grep grad\ \ \ &gt;&gt; ~/K100/condorfail.txt</v>
      </c>
      <c r="U368" t="str">
        <f t="shared" si="30"/>
        <v>ls -l 07180811_1538/ | grep grad &gt;&gt; ~/K100/condorfail.txt</v>
      </c>
    </row>
    <row r="369" spans="1:21">
      <c r="A369" s="179" t="s">
        <v>5796</v>
      </c>
      <c r="G369" s="74"/>
      <c r="K369" s="180"/>
      <c r="M369" t="s">
        <v>5593</v>
      </c>
      <c r="N369" t="s">
        <v>5571</v>
      </c>
      <c r="O369" t="s">
        <v>4927</v>
      </c>
      <c r="Q369" t="str">
        <f t="shared" si="31"/>
        <v>condorProc.py --series 07180811_1548 --donoise  --dumps a --procenv environments/pymidas_HVHV_NaI_mf.env</v>
      </c>
      <c r="T369" t="str">
        <f t="shared" si="29"/>
        <v>ls -l 07180811_1548/ | grep grad\ \ \ &gt;&gt; ~/K100/condorfail.txt</v>
      </c>
      <c r="U369" t="str">
        <f t="shared" si="30"/>
        <v>ls -l 07180811_1548/ | grep grad &gt;&gt; ~/K100/condorfail.txt</v>
      </c>
    </row>
    <row r="370" spans="1:21">
      <c r="A370" s="179" t="s">
        <v>5797</v>
      </c>
      <c r="G370" s="74"/>
      <c r="K370" s="180"/>
      <c r="M370" t="s">
        <v>5593</v>
      </c>
      <c r="N370" t="s">
        <v>5571</v>
      </c>
      <c r="O370" t="s">
        <v>4927</v>
      </c>
      <c r="Q370" t="str">
        <f t="shared" si="31"/>
        <v>condorProc.py --series 07180811_1558 --donoise  --dumps a --procenv environments/pymidas_HVHV_NaI_mf.env</v>
      </c>
      <c r="T370" t="str">
        <f t="shared" si="29"/>
        <v>ls -l 07180811_1558/ | grep grad\ \ \ &gt;&gt; ~/K100/condorfail.txt</v>
      </c>
      <c r="U370" t="str">
        <f t="shared" si="30"/>
        <v>ls -l 07180811_1558/ | grep grad &gt;&gt; ~/K100/condorfail.txt</v>
      </c>
    </row>
    <row r="371" spans="1:21">
      <c r="A371" s="179" t="s">
        <v>5798</v>
      </c>
      <c r="G371" s="74"/>
      <c r="K371" s="180"/>
      <c r="M371" t="s">
        <v>5593</v>
      </c>
      <c r="N371" t="s">
        <v>5571</v>
      </c>
      <c r="O371" t="s">
        <v>4927</v>
      </c>
      <c r="Q371" t="str">
        <f t="shared" si="31"/>
        <v>condorProc.py --series 07180811_1608 --donoise  --dumps a --procenv environments/pymidas_HVHV_NaI_mf.env</v>
      </c>
      <c r="T371" t="str">
        <f t="shared" si="29"/>
        <v>ls -l 07180811_1608/ | grep grad\ \ \ &gt;&gt; ~/K100/condorfail.txt</v>
      </c>
      <c r="U371" t="str">
        <f t="shared" si="30"/>
        <v>ls -l 07180811_1608/ | grep grad &gt;&gt; ~/K100/condorfail.txt</v>
      </c>
    </row>
    <row r="372" spans="1:21">
      <c r="A372" s="179" t="s">
        <v>5799</v>
      </c>
      <c r="G372" s="74"/>
      <c r="K372" s="180"/>
      <c r="M372" t="s">
        <v>5593</v>
      </c>
      <c r="N372" t="s">
        <v>5571</v>
      </c>
      <c r="O372" t="s">
        <v>4927</v>
      </c>
      <c r="Q372" t="str">
        <f t="shared" si="31"/>
        <v>condorProc.py --series 07180811_1618 --donoise  --dumps a --procenv environments/pymidas_HVHV_NaI_mf.env</v>
      </c>
      <c r="T372" t="str">
        <f t="shared" si="29"/>
        <v>ls -l 07180811_1618/ | grep grad\ \ \ &gt;&gt; ~/K100/condorfail.txt</v>
      </c>
      <c r="U372" t="str">
        <f t="shared" si="30"/>
        <v>ls -l 07180811_1618/ | grep grad &gt;&gt; ~/K100/condorfail.txt</v>
      </c>
    </row>
    <row r="373" spans="1:21">
      <c r="A373" s="181" t="s">
        <v>5800</v>
      </c>
      <c r="B373" s="65"/>
      <c r="C373" s="65"/>
      <c r="D373" s="65"/>
      <c r="E373" s="65"/>
      <c r="F373" s="65"/>
      <c r="G373" s="189"/>
      <c r="H373" s="65"/>
      <c r="I373" s="65"/>
      <c r="J373" s="65"/>
      <c r="K373" s="182"/>
      <c r="M373" t="s">
        <v>5593</v>
      </c>
      <c r="N373" t="s">
        <v>5571</v>
      </c>
      <c r="O373" t="s">
        <v>4927</v>
      </c>
      <c r="Q373" t="str">
        <f t="shared" si="31"/>
        <v>condorProc.py --series 07180811_1628 --donoise  --dumps a --procenv environments/pymidas_HVHV_NaI_mf.env</v>
      </c>
      <c r="T373" t="str">
        <f t="shared" si="29"/>
        <v>ls -l 07180811_1628/ | grep grad\ \ \ &gt;&gt; ~/K100/condorfail.txt</v>
      </c>
      <c r="U373" t="str">
        <f t="shared" si="30"/>
        <v>ls -l 07180811_1628/ | grep grad &gt;&gt; ~/K100/condorfail.txt</v>
      </c>
    </row>
    <row r="374" spans="1:21">
      <c r="A374" s="176" t="s">
        <v>5801</v>
      </c>
      <c r="B374" s="177"/>
      <c r="C374" s="177"/>
      <c r="D374" s="177"/>
      <c r="E374" s="177"/>
      <c r="F374" s="177">
        <v>10</v>
      </c>
      <c r="G374" s="188" t="s">
        <v>2248</v>
      </c>
      <c r="H374" s="177">
        <v>40</v>
      </c>
      <c r="I374" s="177"/>
      <c r="J374" s="177" t="s">
        <v>5577</v>
      </c>
      <c r="K374" s="178" t="s">
        <v>5583</v>
      </c>
      <c r="M374" t="s">
        <v>5593</v>
      </c>
      <c r="N374" t="s">
        <v>5571</v>
      </c>
      <c r="O374" t="s">
        <v>4927</v>
      </c>
      <c r="Q374" t="str">
        <f>"condorProc.py --series "&amp;A374&amp;" --donoise  --dumps a --procenv environments/pymidas_HVHV_NaI_mf.env"</f>
        <v>condorProc.py --series 07180811_1718 --donoise  --dumps a --procenv environments/pymidas_HVHV_NaI_mf.env</v>
      </c>
      <c r="R374" t="str">
        <f>""""&amp;A374&amp;""""</f>
        <v>"07180811_1718"</v>
      </c>
      <c r="T374" t="str">
        <f t="shared" si="29"/>
        <v>ls -l 07180811_1718/ | grep grad\ \ \ &gt;&gt; ~/K100/condorfail.txt</v>
      </c>
      <c r="U374" t="str">
        <f t="shared" si="30"/>
        <v>ls -l 07180811_1718/ | grep grad &gt;&gt; ~/K100/condorfail.txt</v>
      </c>
    </row>
    <row r="375" spans="1:21">
      <c r="A375" s="179" t="s">
        <v>5802</v>
      </c>
      <c r="G375" s="74"/>
      <c r="J375" t="s">
        <v>5585</v>
      </c>
      <c r="K375" s="180" t="s">
        <v>5671</v>
      </c>
      <c r="M375" t="s">
        <v>5593</v>
      </c>
      <c r="N375" t="s">
        <v>5571</v>
      </c>
      <c r="O375" t="s">
        <v>4927</v>
      </c>
      <c r="Q375" t="str">
        <f t="shared" ref="Q375:Q386" si="32">"condorProc.py --series "&amp;A375&amp;" --donoise  --dumps a --procenv environments/pymidas_HVHV_NaI_mf.env"</f>
        <v>condorProc.py --series 07180811_1728 --donoise  --dumps a --procenv environments/pymidas_HVHV_NaI_mf.env</v>
      </c>
      <c r="R375" t="str">
        <f>R374&amp;", """&amp;A375&amp;""""</f>
        <v>"07180811_1718", "07180811_1728"</v>
      </c>
      <c r="T375" t="str">
        <f t="shared" si="29"/>
        <v>ls -l 07180811_1728/ | grep grad\ \ \ &gt;&gt; ~/K100/condorfail.txt</v>
      </c>
      <c r="U375" t="str">
        <f t="shared" si="30"/>
        <v>ls -l 07180811_1728/ | grep grad &gt;&gt; ~/K100/condorfail.txt</v>
      </c>
    </row>
    <row r="376" spans="1:21">
      <c r="A376" s="179" t="s">
        <v>5803</v>
      </c>
      <c r="G376" s="74"/>
      <c r="K376" s="187" t="s">
        <v>5673</v>
      </c>
      <c r="M376" t="s">
        <v>5593</v>
      </c>
      <c r="N376" t="s">
        <v>5571</v>
      </c>
      <c r="O376" t="s">
        <v>4927</v>
      </c>
      <c r="Q376" t="str">
        <f t="shared" si="32"/>
        <v>condorProc.py --series 07180811_1738 --donoise  --dumps a --procenv environments/pymidas_HVHV_NaI_mf.env</v>
      </c>
      <c r="R376" t="str">
        <f t="shared" ref="R376:R385" si="33">R375&amp;", """&amp;A376&amp;""""</f>
        <v>"07180811_1718", "07180811_1728", "07180811_1738"</v>
      </c>
      <c r="T376" t="str">
        <f t="shared" si="29"/>
        <v>ls -l 07180811_1738/ | grep grad\ \ \ &gt;&gt; ~/K100/condorfail.txt</v>
      </c>
      <c r="U376" t="str">
        <f t="shared" si="30"/>
        <v>ls -l 07180811_1738/ | grep grad &gt;&gt; ~/K100/condorfail.txt</v>
      </c>
    </row>
    <row r="377" spans="1:21">
      <c r="A377" s="179" t="s">
        <v>5804</v>
      </c>
      <c r="G377" s="74"/>
      <c r="K377" s="180"/>
      <c r="M377" t="s">
        <v>5593</v>
      </c>
      <c r="N377" t="s">
        <v>5571</v>
      </c>
      <c r="O377" t="s">
        <v>4927</v>
      </c>
      <c r="Q377" t="str">
        <f t="shared" si="32"/>
        <v>condorProc.py --series 07180811_1748 --donoise  --dumps a --procenv environments/pymidas_HVHV_NaI_mf.env</v>
      </c>
      <c r="R377" t="str">
        <f t="shared" si="33"/>
        <v>"07180811_1718", "07180811_1728", "07180811_1738", "07180811_1748"</v>
      </c>
      <c r="T377" t="str">
        <f t="shared" si="29"/>
        <v>ls -l 07180811_1748/ | grep grad\ \ \ &gt;&gt; ~/K100/condorfail.txt</v>
      </c>
      <c r="U377" t="str">
        <f t="shared" si="30"/>
        <v>ls -l 07180811_1748/ | grep grad &gt;&gt; ~/K100/condorfail.txt</v>
      </c>
    </row>
    <row r="378" spans="1:21">
      <c r="A378" s="179" t="s">
        <v>5805</v>
      </c>
      <c r="G378" s="74"/>
      <c r="K378" s="180"/>
      <c r="M378" t="s">
        <v>5593</v>
      </c>
      <c r="N378" t="s">
        <v>5571</v>
      </c>
      <c r="O378" t="s">
        <v>4927</v>
      </c>
      <c r="Q378" t="str">
        <f t="shared" si="32"/>
        <v>condorProc.py --series 07180811_1758 --donoise  --dumps a --procenv environments/pymidas_HVHV_NaI_mf.env</v>
      </c>
      <c r="R378" t="str">
        <f t="shared" si="33"/>
        <v>"07180811_1718", "07180811_1728", "07180811_1738", "07180811_1748", "07180811_1758"</v>
      </c>
      <c r="T378" t="str">
        <f t="shared" si="29"/>
        <v>ls -l 07180811_1758/ | grep grad\ \ \ &gt;&gt; ~/K100/condorfail.txt</v>
      </c>
      <c r="U378" t="str">
        <f t="shared" si="30"/>
        <v>ls -l 07180811_1758/ | grep grad &gt;&gt; ~/K100/condorfail.txt</v>
      </c>
    </row>
    <row r="379" spans="1:21">
      <c r="A379" s="179" t="s">
        <v>5806</v>
      </c>
      <c r="G379" s="74"/>
      <c r="K379" s="180"/>
      <c r="M379" t="s">
        <v>5593</v>
      </c>
      <c r="N379" t="s">
        <v>5571</v>
      </c>
      <c r="O379" t="s">
        <v>4927</v>
      </c>
      <c r="Q379" t="str">
        <f t="shared" si="32"/>
        <v>condorProc.py --series 07180811_1808 --donoise  --dumps a --procenv environments/pymidas_HVHV_NaI_mf.env</v>
      </c>
      <c r="R379" t="str">
        <f t="shared" si="33"/>
        <v>"07180811_1718", "07180811_1728", "07180811_1738", "07180811_1748", "07180811_1758", "07180811_1808"</v>
      </c>
      <c r="T379" t="str">
        <f t="shared" si="29"/>
        <v>ls -l 07180811_1808/ | grep grad\ \ \ &gt;&gt; ~/K100/condorfail.txt</v>
      </c>
      <c r="U379" t="str">
        <f t="shared" si="30"/>
        <v>ls -l 07180811_1808/ | grep grad &gt;&gt; ~/K100/condorfail.txt</v>
      </c>
    </row>
    <row r="380" spans="1:21">
      <c r="A380" s="179" t="s">
        <v>5807</v>
      </c>
      <c r="G380" s="74"/>
      <c r="K380" s="180"/>
      <c r="M380" t="s">
        <v>5593</v>
      </c>
      <c r="N380" t="s">
        <v>5571</v>
      </c>
      <c r="O380" t="s">
        <v>4927</v>
      </c>
      <c r="Q380" t="str">
        <f t="shared" si="32"/>
        <v>condorProc.py --series 07180811_1818 --donoise  --dumps a --procenv environments/pymidas_HVHV_NaI_mf.env</v>
      </c>
      <c r="R380" t="str">
        <f t="shared" si="33"/>
        <v>"07180811_1718", "07180811_1728", "07180811_1738", "07180811_1748", "07180811_1758", "07180811_1808", "07180811_1818"</v>
      </c>
      <c r="T380" t="str">
        <f t="shared" si="29"/>
        <v>ls -l 07180811_1818/ | grep grad\ \ \ &gt;&gt; ~/K100/condorfail.txt</v>
      </c>
      <c r="U380" t="str">
        <f t="shared" si="30"/>
        <v>ls -l 07180811_1818/ | grep grad &gt;&gt; ~/K100/condorfail.txt</v>
      </c>
    </row>
    <row r="381" spans="1:21">
      <c r="A381" s="179" t="s">
        <v>5808</v>
      </c>
      <c r="G381" s="74"/>
      <c r="K381" s="180"/>
      <c r="M381" t="s">
        <v>5593</v>
      </c>
      <c r="N381" t="s">
        <v>5571</v>
      </c>
      <c r="O381" t="s">
        <v>4927</v>
      </c>
      <c r="Q381" t="str">
        <f t="shared" si="32"/>
        <v>condorProc.py --series 07180811_1829 --donoise  --dumps a --procenv environments/pymidas_HVHV_NaI_mf.env</v>
      </c>
      <c r="R381" t="str">
        <f t="shared" si="33"/>
        <v>"07180811_1718", "07180811_1728", "07180811_1738", "07180811_1748", "07180811_1758", "07180811_1808", "07180811_1818", "07180811_1829"</v>
      </c>
      <c r="T381" t="str">
        <f t="shared" si="29"/>
        <v>ls -l 07180811_1829/ | grep grad\ \ \ &gt;&gt; ~/K100/condorfail.txt</v>
      </c>
      <c r="U381" t="str">
        <f t="shared" si="30"/>
        <v>ls -l 07180811_1829/ | grep grad &gt;&gt; ~/K100/condorfail.txt</v>
      </c>
    </row>
    <row r="382" spans="1:21">
      <c r="A382" s="179" t="s">
        <v>5809</v>
      </c>
      <c r="G382" s="74"/>
      <c r="K382" s="180"/>
      <c r="M382" t="s">
        <v>5593</v>
      </c>
      <c r="N382" t="s">
        <v>5571</v>
      </c>
      <c r="O382" t="s">
        <v>4927</v>
      </c>
      <c r="Q382" t="str">
        <f t="shared" si="32"/>
        <v>condorProc.py --series 07180811_1839 --donoise  --dumps a --procenv environments/pymidas_HVHV_NaI_mf.env</v>
      </c>
      <c r="R382" t="str">
        <f t="shared" si="33"/>
        <v>"07180811_1718", "07180811_1728", "07180811_1738", "07180811_1748", "07180811_1758", "07180811_1808", "07180811_1818", "07180811_1829", "07180811_1839"</v>
      </c>
      <c r="T382" t="str">
        <f t="shared" si="29"/>
        <v>ls -l 07180811_1839/ | grep grad\ \ \ &gt;&gt; ~/K100/condorfail.txt</v>
      </c>
      <c r="U382" t="str">
        <f t="shared" si="30"/>
        <v>ls -l 07180811_1839/ | grep grad &gt;&gt; ~/K100/condorfail.txt</v>
      </c>
    </row>
    <row r="383" spans="1:21">
      <c r="A383" s="179" t="s">
        <v>5810</v>
      </c>
      <c r="G383" s="74"/>
      <c r="K383" s="180"/>
      <c r="M383" t="s">
        <v>5593</v>
      </c>
      <c r="N383" t="s">
        <v>5571</v>
      </c>
      <c r="O383" t="s">
        <v>4927</v>
      </c>
      <c r="Q383" t="str">
        <f t="shared" si="32"/>
        <v>condorProc.py --series 07180811_1849 --donoise  --dumps a --procenv environments/pymidas_HVHV_NaI_mf.env</v>
      </c>
      <c r="R383" t="str">
        <f t="shared" si="33"/>
        <v>"07180811_1718", "07180811_1728", "07180811_1738", "07180811_1748", "07180811_1758", "07180811_1808", "07180811_1818", "07180811_1829", "07180811_1839", "07180811_1849"</v>
      </c>
      <c r="T383" t="str">
        <f t="shared" si="29"/>
        <v>ls -l 07180811_1849/ | grep grad\ \ \ &gt;&gt; ~/K100/condorfail.txt</v>
      </c>
      <c r="U383" t="str">
        <f t="shared" si="30"/>
        <v>ls -l 07180811_1849/ | grep grad &gt;&gt; ~/K100/condorfail.txt</v>
      </c>
    </row>
    <row r="384" spans="1:21">
      <c r="A384" s="179" t="s">
        <v>5811</v>
      </c>
      <c r="G384" s="74"/>
      <c r="K384" s="180"/>
      <c r="M384" t="s">
        <v>5593</v>
      </c>
      <c r="N384" t="s">
        <v>5571</v>
      </c>
      <c r="O384" t="s">
        <v>4927</v>
      </c>
      <c r="Q384" t="str">
        <f t="shared" si="32"/>
        <v>condorProc.py --series 07180811_1859 --donoise  --dumps a --procenv environments/pymidas_HVHV_NaI_mf.env</v>
      </c>
      <c r="R384" t="str">
        <f t="shared" si="33"/>
        <v>"07180811_1718", "07180811_1728", "07180811_1738", "07180811_1748", "07180811_1758", "07180811_1808", "07180811_1818", "07180811_1829", "07180811_1839", "07180811_1849", "07180811_1859"</v>
      </c>
      <c r="T384" t="str">
        <f t="shared" si="29"/>
        <v>ls -l 07180811_1859/ | grep grad\ \ \ &gt;&gt; ~/K100/condorfail.txt</v>
      </c>
      <c r="U384" t="str">
        <f t="shared" si="30"/>
        <v>ls -l 07180811_1859/ | grep grad &gt;&gt; ~/K100/condorfail.txt</v>
      </c>
    </row>
    <row r="385" spans="1:21">
      <c r="A385" s="181" t="s">
        <v>5812</v>
      </c>
      <c r="B385" s="65"/>
      <c r="C385" s="65"/>
      <c r="D385" s="65"/>
      <c r="E385" s="65"/>
      <c r="F385" s="65"/>
      <c r="G385" s="189"/>
      <c r="H385" s="65"/>
      <c r="I385" s="65"/>
      <c r="J385" s="65"/>
      <c r="K385" s="182"/>
      <c r="M385" t="s">
        <v>5593</v>
      </c>
      <c r="N385" t="s">
        <v>5571</v>
      </c>
      <c r="O385" t="s">
        <v>4927</v>
      </c>
      <c r="Q385" t="str">
        <f t="shared" si="32"/>
        <v>condorProc.py --series 07180811_1909 --donoise  --dumps a --procenv environments/pymidas_HVHV_NaI_mf.env</v>
      </c>
      <c r="R385" t="str">
        <f t="shared" si="33"/>
        <v>"07180811_1718", "07180811_1728", "07180811_1738", "07180811_1748", "07180811_1758", "07180811_1808", "07180811_1818", "07180811_1829", "07180811_1839", "07180811_1849", "07180811_1859", "07180811_1909"</v>
      </c>
      <c r="T385" t="str">
        <f t="shared" si="29"/>
        <v>ls -l 07180811_1909/ | grep grad\ \ \ &gt;&gt; ~/K100/condorfail.txt</v>
      </c>
      <c r="U385" t="str">
        <f t="shared" si="30"/>
        <v>ls -l 07180811_1909/ | grep grad &gt;&gt; ~/K100/condorfail.txt</v>
      </c>
    </row>
    <row r="386" spans="1:21">
      <c r="A386" s="176" t="s">
        <v>5813</v>
      </c>
      <c r="B386" s="177"/>
      <c r="C386" s="177"/>
      <c r="D386" s="177"/>
      <c r="E386" s="177"/>
      <c r="F386" s="177">
        <v>10</v>
      </c>
      <c r="G386" s="188" t="s">
        <v>2248</v>
      </c>
      <c r="H386" s="177">
        <v>40</v>
      </c>
      <c r="I386" s="177"/>
      <c r="J386" s="177" t="s">
        <v>5577</v>
      </c>
      <c r="K386" s="178" t="s">
        <v>5583</v>
      </c>
      <c r="M386" t="s">
        <v>5593</v>
      </c>
      <c r="N386" t="s">
        <v>5571</v>
      </c>
      <c r="O386" t="s">
        <v>4927</v>
      </c>
      <c r="Q386" t="str">
        <f t="shared" si="32"/>
        <v>condorProc.py --series 07180811_1959 --donoise  --dumps a --procenv environments/pymidas_HVHV_NaI_mf.env</v>
      </c>
      <c r="T386" t="str">
        <f t="shared" si="29"/>
        <v>ls -l 07180811_1959/ | grep grad\ \ \ &gt;&gt; ~/K100/condorfail.txt</v>
      </c>
      <c r="U386" t="str">
        <f t="shared" si="30"/>
        <v>ls -l 07180811_1959/ | grep grad &gt;&gt; ~/K100/condorfail.txt</v>
      </c>
    </row>
    <row r="387" spans="1:21">
      <c r="A387" s="179" t="s">
        <v>5814</v>
      </c>
      <c r="G387" s="74"/>
      <c r="J387" t="s">
        <v>5585</v>
      </c>
      <c r="K387" s="180" t="s">
        <v>5671</v>
      </c>
      <c r="M387" t="s">
        <v>5593</v>
      </c>
      <c r="N387" t="s">
        <v>5571</v>
      </c>
      <c r="O387" t="s">
        <v>4927</v>
      </c>
      <c r="Q387" t="str">
        <f t="shared" ref="Q387:Q397" si="34">"condorProc.py --series "&amp;A387&amp;" --donoise  --dumps a --procenv environments/pymidas_HVHV_NaI_mf.env"</f>
        <v>condorProc.py --series 07180811_2009 --donoise  --dumps a --procenv environments/pymidas_HVHV_NaI_mf.env</v>
      </c>
      <c r="T387" t="str">
        <f t="shared" si="29"/>
        <v>ls -l 07180811_2009/ | grep grad\ \ \ &gt;&gt; ~/K100/condorfail.txt</v>
      </c>
      <c r="U387" t="str">
        <f t="shared" si="30"/>
        <v>ls -l 07180811_2009/ | grep grad &gt;&gt; ~/K100/condorfail.txt</v>
      </c>
    </row>
    <row r="388" spans="1:21">
      <c r="A388" s="179" t="s">
        <v>5815</v>
      </c>
      <c r="G388" s="74"/>
      <c r="K388" s="187" t="s">
        <v>5673</v>
      </c>
      <c r="M388" t="s">
        <v>5593</v>
      </c>
      <c r="N388" t="s">
        <v>5571</v>
      </c>
      <c r="O388" t="s">
        <v>4927</v>
      </c>
      <c r="Q388" t="str">
        <f t="shared" si="34"/>
        <v>condorProc.py --series 07180811_2019 --donoise  --dumps a --procenv environments/pymidas_HVHV_NaI_mf.env</v>
      </c>
      <c r="T388" t="str">
        <f t="shared" si="29"/>
        <v>ls -l 07180811_2019/ | grep grad\ \ \ &gt;&gt; ~/K100/condorfail.txt</v>
      </c>
      <c r="U388" t="str">
        <f t="shared" si="30"/>
        <v>ls -l 07180811_2019/ | grep grad &gt;&gt; ~/K100/condorfail.txt</v>
      </c>
    </row>
    <row r="389" spans="1:21">
      <c r="A389" s="179" t="s">
        <v>5816</v>
      </c>
      <c r="G389" s="74"/>
      <c r="K389" s="180"/>
      <c r="M389" t="s">
        <v>5593</v>
      </c>
      <c r="N389" t="s">
        <v>5571</v>
      </c>
      <c r="O389" t="s">
        <v>4927</v>
      </c>
      <c r="Q389" t="str">
        <f t="shared" si="34"/>
        <v>condorProc.py --series 07180811_2029 --donoise  --dumps a --procenv environments/pymidas_HVHV_NaI_mf.env</v>
      </c>
      <c r="T389" t="str">
        <f t="shared" si="29"/>
        <v>ls -l 07180811_2029/ | grep grad\ \ \ &gt;&gt; ~/K100/condorfail.txt</v>
      </c>
      <c r="U389" t="str">
        <f t="shared" si="30"/>
        <v>ls -l 07180811_2029/ | grep grad &gt;&gt; ~/K100/condorfail.txt</v>
      </c>
    </row>
    <row r="390" spans="1:21">
      <c r="A390" s="179" t="s">
        <v>5817</v>
      </c>
      <c r="G390" s="74"/>
      <c r="K390" s="180"/>
      <c r="M390" t="s">
        <v>5593</v>
      </c>
      <c r="N390" t="s">
        <v>5571</v>
      </c>
      <c r="O390" t="s">
        <v>4927</v>
      </c>
      <c r="Q390" t="str">
        <f t="shared" si="34"/>
        <v>condorProc.py --series 07180811_2039 --donoise  --dumps a --procenv environments/pymidas_HVHV_NaI_mf.env</v>
      </c>
      <c r="T390" t="str">
        <f t="shared" si="29"/>
        <v>ls -l 07180811_2039/ | grep grad\ \ \ &gt;&gt; ~/K100/condorfail.txt</v>
      </c>
      <c r="U390" t="str">
        <f t="shared" si="30"/>
        <v>ls -l 07180811_2039/ | grep grad &gt;&gt; ~/K100/condorfail.txt</v>
      </c>
    </row>
    <row r="391" spans="1:21">
      <c r="A391" s="179" t="s">
        <v>5818</v>
      </c>
      <c r="G391" s="74"/>
      <c r="K391" s="180"/>
      <c r="M391" t="s">
        <v>5593</v>
      </c>
      <c r="N391" t="s">
        <v>5571</v>
      </c>
      <c r="O391" t="s">
        <v>4927</v>
      </c>
      <c r="Q391" t="str">
        <f t="shared" si="34"/>
        <v>condorProc.py --series 07180811_2050 --donoise  --dumps a --procenv environments/pymidas_HVHV_NaI_mf.env</v>
      </c>
      <c r="T391" t="str">
        <f t="shared" si="29"/>
        <v>ls -l 07180811_2050/ | grep grad\ \ \ &gt;&gt; ~/K100/condorfail.txt</v>
      </c>
      <c r="U391" t="str">
        <f t="shared" si="30"/>
        <v>ls -l 07180811_2050/ | grep grad &gt;&gt; ~/K100/condorfail.txt</v>
      </c>
    </row>
    <row r="392" spans="1:21">
      <c r="A392" s="179" t="s">
        <v>5819</v>
      </c>
      <c r="G392" s="74"/>
      <c r="K392" s="180"/>
      <c r="M392" t="s">
        <v>5593</v>
      </c>
      <c r="N392" t="s">
        <v>5571</v>
      </c>
      <c r="O392" t="s">
        <v>4927</v>
      </c>
      <c r="Q392" t="str">
        <f t="shared" si="34"/>
        <v>condorProc.py --series 07180811_2100 --donoise  --dumps a --procenv environments/pymidas_HVHV_NaI_mf.env</v>
      </c>
      <c r="T392" t="str">
        <f t="shared" si="29"/>
        <v>ls -l 07180811_2100/ | grep grad\ \ \ &gt;&gt; ~/K100/condorfail.txt</v>
      </c>
      <c r="U392" t="str">
        <f t="shared" si="30"/>
        <v>ls -l 07180811_2100/ | grep grad &gt;&gt; ~/K100/condorfail.txt</v>
      </c>
    </row>
    <row r="393" spans="1:21">
      <c r="A393" s="179" t="s">
        <v>5820</v>
      </c>
      <c r="G393" s="74"/>
      <c r="K393" s="180"/>
      <c r="M393" t="s">
        <v>5593</v>
      </c>
      <c r="N393" t="s">
        <v>5571</v>
      </c>
      <c r="O393" t="s">
        <v>4927</v>
      </c>
      <c r="Q393" t="str">
        <f t="shared" si="34"/>
        <v>condorProc.py --series 07180811_2110 --donoise  --dumps a --procenv environments/pymidas_HVHV_NaI_mf.env</v>
      </c>
      <c r="T393" t="str">
        <f t="shared" si="29"/>
        <v>ls -l 07180811_2110/ | grep grad\ \ \ &gt;&gt; ~/K100/condorfail.txt</v>
      </c>
      <c r="U393" t="str">
        <f t="shared" si="30"/>
        <v>ls -l 07180811_2110/ | grep grad &gt;&gt; ~/K100/condorfail.txt</v>
      </c>
    </row>
    <row r="394" spans="1:21">
      <c r="A394" s="179" t="s">
        <v>5821</v>
      </c>
      <c r="G394" s="74"/>
      <c r="K394" s="180"/>
      <c r="M394" t="s">
        <v>5593</v>
      </c>
      <c r="N394" t="s">
        <v>5571</v>
      </c>
      <c r="O394" t="s">
        <v>4927</v>
      </c>
      <c r="Q394" t="str">
        <f t="shared" si="34"/>
        <v>condorProc.py --series 07180811_2120 --donoise  --dumps a --procenv environments/pymidas_HVHV_NaI_mf.env</v>
      </c>
      <c r="T394" t="str">
        <f t="shared" si="29"/>
        <v>ls -l 07180811_2120/ | grep grad\ \ \ &gt;&gt; ~/K100/condorfail.txt</v>
      </c>
      <c r="U394" t="str">
        <f t="shared" si="30"/>
        <v>ls -l 07180811_2120/ | grep grad &gt;&gt; ~/K100/condorfail.txt</v>
      </c>
    </row>
    <row r="395" spans="1:21">
      <c r="A395" s="179" t="s">
        <v>5822</v>
      </c>
      <c r="G395" s="74"/>
      <c r="K395" s="180"/>
      <c r="M395" t="s">
        <v>5593</v>
      </c>
      <c r="N395" t="s">
        <v>5571</v>
      </c>
      <c r="O395" t="s">
        <v>4927</v>
      </c>
      <c r="Q395" t="str">
        <f t="shared" si="34"/>
        <v>condorProc.py --series 07180811_2130 --donoise  --dumps a --procenv environments/pymidas_HVHV_NaI_mf.env</v>
      </c>
      <c r="T395" t="str">
        <f t="shared" si="29"/>
        <v>ls -l 07180811_2130/ | grep grad\ \ \ &gt;&gt; ~/K100/condorfail.txt</v>
      </c>
      <c r="U395" t="str">
        <f t="shared" si="30"/>
        <v>ls -l 07180811_2130/ | grep grad &gt;&gt; ~/K100/condorfail.txt</v>
      </c>
    </row>
    <row r="396" spans="1:21">
      <c r="A396" s="179" t="s">
        <v>5823</v>
      </c>
      <c r="G396" s="74"/>
      <c r="K396" s="180"/>
      <c r="M396" t="s">
        <v>5593</v>
      </c>
      <c r="N396" t="s">
        <v>5571</v>
      </c>
      <c r="O396" t="s">
        <v>4927</v>
      </c>
      <c r="Q396" t="str">
        <f t="shared" si="34"/>
        <v>condorProc.py --series 07180811_2140 --donoise  --dumps a --procenv environments/pymidas_HVHV_NaI_mf.env</v>
      </c>
      <c r="T396" t="str">
        <f t="shared" si="29"/>
        <v>ls -l 07180811_2140/ | grep grad\ \ \ &gt;&gt; ~/K100/condorfail.txt</v>
      </c>
      <c r="U396" t="str">
        <f t="shared" si="30"/>
        <v>ls -l 07180811_2140/ | grep grad &gt;&gt; ~/K100/condorfail.txt</v>
      </c>
    </row>
    <row r="397" spans="1:21">
      <c r="A397" s="181" t="s">
        <v>5824</v>
      </c>
      <c r="B397" s="65"/>
      <c r="C397" s="65"/>
      <c r="D397" s="65"/>
      <c r="E397" s="65"/>
      <c r="F397" s="65"/>
      <c r="G397" s="189"/>
      <c r="H397" s="65"/>
      <c r="I397" s="65"/>
      <c r="J397" s="65"/>
      <c r="K397" s="182"/>
      <c r="M397" t="s">
        <v>5593</v>
      </c>
      <c r="N397" t="s">
        <v>5571</v>
      </c>
      <c r="O397" t="s">
        <v>4927</v>
      </c>
      <c r="Q397" t="str">
        <f t="shared" si="34"/>
        <v>condorProc.py --series 07180811_2150 --donoise  --dumps a --procenv environments/pymidas_HVHV_NaI_mf.env</v>
      </c>
      <c r="T397" t="str">
        <f t="shared" si="29"/>
        <v>ls -l 07180811_2150/ | grep grad\ \ \ &gt;&gt; ~/K100/condorfail.txt</v>
      </c>
      <c r="U397" t="str">
        <f t="shared" si="30"/>
        <v>ls -l 07180811_2150/ | grep grad &gt;&gt; ~/K100/condorfail.txt</v>
      </c>
    </row>
    <row r="398" spans="1:21">
      <c r="A398" s="176" t="s">
        <v>5825</v>
      </c>
      <c r="B398" s="177"/>
      <c r="C398" s="177"/>
      <c r="D398" s="177"/>
      <c r="E398" s="177"/>
      <c r="F398" s="177">
        <v>10</v>
      </c>
      <c r="G398" s="188" t="s">
        <v>2248</v>
      </c>
      <c r="H398" s="177">
        <v>40</v>
      </c>
      <c r="I398" s="177"/>
      <c r="J398" s="177" t="s">
        <v>5577</v>
      </c>
      <c r="K398" s="178" t="s">
        <v>5583</v>
      </c>
      <c r="M398" t="s">
        <v>5593</v>
      </c>
      <c r="N398" t="s">
        <v>5571</v>
      </c>
      <c r="O398" t="s">
        <v>4927</v>
      </c>
      <c r="Q398" t="str">
        <f>"condorProc.py --series "&amp;A398&amp;" --donoise  --dumps a --procenv environments/pymidas_HVHV_NaI_mf.env"</f>
        <v>condorProc.py --series 07180811_2240 --donoise  --dumps a --procenv environments/pymidas_HVHV_NaI_mf.env</v>
      </c>
      <c r="T398" t="str">
        <f t="shared" si="29"/>
        <v>ls -l 07180811_2240/ | grep grad\ \ \ &gt;&gt; ~/K100/condorfail.txt</v>
      </c>
      <c r="U398" t="str">
        <f t="shared" si="30"/>
        <v>ls -l 07180811_2240/ | grep grad &gt;&gt; ~/K100/condorfail.txt</v>
      </c>
    </row>
    <row r="399" spans="1:21">
      <c r="A399" s="179" t="s">
        <v>5826</v>
      </c>
      <c r="G399" s="74"/>
      <c r="J399" t="s">
        <v>5585</v>
      </c>
      <c r="K399" s="180" t="s">
        <v>5671</v>
      </c>
      <c r="M399" t="s">
        <v>5593</v>
      </c>
      <c r="N399" t="s">
        <v>5571</v>
      </c>
      <c r="O399" t="s">
        <v>4927</v>
      </c>
      <c r="Q399" t="str">
        <f t="shared" ref="Q399:Q410" si="35">"condorProc.py --series "&amp;A399&amp;" --donoise  --dumps a --procenv environments/pymidas_HVHV_NaI_mf.env"</f>
        <v>condorProc.py --series 07180811_2250 --donoise  --dumps a --procenv environments/pymidas_HVHV_NaI_mf.env</v>
      </c>
      <c r="T399" t="str">
        <f t="shared" si="29"/>
        <v>ls -l 07180811_2250/ | grep grad\ \ \ &gt;&gt; ~/K100/condorfail.txt</v>
      </c>
      <c r="U399" t="str">
        <f t="shared" si="30"/>
        <v>ls -l 07180811_2250/ | grep grad &gt;&gt; ~/K100/condorfail.txt</v>
      </c>
    </row>
    <row r="400" spans="1:21">
      <c r="A400" s="179" t="s">
        <v>5827</v>
      </c>
      <c r="G400" s="74"/>
      <c r="K400" s="187" t="s">
        <v>5673</v>
      </c>
      <c r="M400" t="s">
        <v>5593</v>
      </c>
      <c r="N400" t="s">
        <v>5571</v>
      </c>
      <c r="O400" t="s">
        <v>4927</v>
      </c>
      <c r="Q400" t="str">
        <f t="shared" si="35"/>
        <v>condorProc.py --series 07180811_2300 --donoise  --dumps a --procenv environments/pymidas_HVHV_NaI_mf.env</v>
      </c>
      <c r="T400" t="str">
        <f t="shared" si="29"/>
        <v>ls -l 07180811_2300/ | grep grad\ \ \ &gt;&gt; ~/K100/condorfail.txt</v>
      </c>
      <c r="U400" t="str">
        <f t="shared" si="30"/>
        <v>ls -l 07180811_2300/ | grep grad &gt;&gt; ~/K100/condorfail.txt</v>
      </c>
    </row>
    <row r="401" spans="1:21">
      <c r="A401" s="179" t="s">
        <v>5828</v>
      </c>
      <c r="G401" s="74"/>
      <c r="K401" s="180"/>
      <c r="M401" t="s">
        <v>5593</v>
      </c>
      <c r="N401" t="s">
        <v>5571</v>
      </c>
      <c r="O401" t="s">
        <v>4927</v>
      </c>
      <c r="Q401" t="str">
        <f t="shared" si="35"/>
        <v>condorProc.py --series 07180811_2310 --donoise  --dumps a --procenv environments/pymidas_HVHV_NaI_mf.env</v>
      </c>
      <c r="T401" t="str">
        <f t="shared" si="29"/>
        <v>ls -l 07180811_2310/ | grep grad\ \ \ &gt;&gt; ~/K100/condorfail.txt</v>
      </c>
      <c r="U401" t="str">
        <f t="shared" si="30"/>
        <v>ls -l 07180811_2310/ | grep grad &gt;&gt; ~/K100/condorfail.txt</v>
      </c>
    </row>
    <row r="402" spans="1:21">
      <c r="A402" s="179" t="s">
        <v>5829</v>
      </c>
      <c r="G402" s="74"/>
      <c r="K402" s="180"/>
      <c r="M402" t="s">
        <v>5593</v>
      </c>
      <c r="N402" t="s">
        <v>5571</v>
      </c>
      <c r="O402" t="s">
        <v>4927</v>
      </c>
      <c r="Q402" t="str">
        <f t="shared" si="35"/>
        <v>condorProc.py --series 07180811_2320 --donoise  --dumps a --procenv environments/pymidas_HVHV_NaI_mf.env</v>
      </c>
      <c r="T402" t="str">
        <f t="shared" si="29"/>
        <v>ls -l 07180811_2320/ | grep grad\ \ \ &gt;&gt; ~/K100/condorfail.txt</v>
      </c>
      <c r="U402" t="str">
        <f t="shared" si="30"/>
        <v>ls -l 07180811_2320/ | grep grad &gt;&gt; ~/K100/condorfail.txt</v>
      </c>
    </row>
    <row r="403" spans="1:21">
      <c r="A403" s="179" t="s">
        <v>5830</v>
      </c>
      <c r="G403" s="74"/>
      <c r="K403" s="180"/>
      <c r="M403" t="s">
        <v>5593</v>
      </c>
      <c r="N403" t="s">
        <v>5571</v>
      </c>
      <c r="O403" t="s">
        <v>4927</v>
      </c>
      <c r="Q403" t="str">
        <f t="shared" si="35"/>
        <v>condorProc.py --series 07180811_2331 --donoise  --dumps a --procenv environments/pymidas_HVHV_NaI_mf.env</v>
      </c>
      <c r="T403" t="str">
        <f t="shared" si="29"/>
        <v>ls -l 07180811_2331/ | grep grad\ \ \ &gt;&gt; ~/K100/condorfail.txt</v>
      </c>
      <c r="U403" t="str">
        <f t="shared" si="30"/>
        <v>ls -l 07180811_2331/ | grep grad &gt;&gt; ~/K100/condorfail.txt</v>
      </c>
    </row>
    <row r="404" spans="1:21">
      <c r="A404" s="179" t="s">
        <v>5831</v>
      </c>
      <c r="G404" s="74"/>
      <c r="K404" s="180"/>
      <c r="M404" t="s">
        <v>5593</v>
      </c>
      <c r="N404" t="s">
        <v>5571</v>
      </c>
      <c r="O404" t="s">
        <v>4927</v>
      </c>
      <c r="Q404" t="str">
        <f t="shared" si="35"/>
        <v>condorProc.py --series 07180811_2341 --donoise  --dumps a --procenv environments/pymidas_HVHV_NaI_mf.env</v>
      </c>
      <c r="T404" t="str">
        <f t="shared" si="29"/>
        <v>ls -l 07180811_2341/ | grep grad\ \ \ &gt;&gt; ~/K100/condorfail.txt</v>
      </c>
      <c r="U404" t="str">
        <f t="shared" si="30"/>
        <v>ls -l 07180811_2341/ | grep grad &gt;&gt; ~/K100/condorfail.txt</v>
      </c>
    </row>
    <row r="405" spans="1:21">
      <c r="A405" s="179" t="s">
        <v>5832</v>
      </c>
      <c r="G405" s="74"/>
      <c r="K405" s="180"/>
      <c r="M405" t="s">
        <v>5593</v>
      </c>
      <c r="N405" t="s">
        <v>5571</v>
      </c>
      <c r="O405" t="s">
        <v>4927</v>
      </c>
      <c r="Q405" t="str">
        <f t="shared" si="35"/>
        <v>condorProc.py --series 07180811_2351 --donoise  --dumps a --procenv environments/pymidas_HVHV_NaI_mf.env</v>
      </c>
      <c r="T405" t="str">
        <f t="shared" si="29"/>
        <v>ls -l 07180811_2351/ | grep grad\ \ \ &gt;&gt; ~/K100/condorfail.txt</v>
      </c>
      <c r="U405" t="str">
        <f t="shared" si="30"/>
        <v>ls -l 07180811_2351/ | grep grad &gt;&gt; ~/K100/condorfail.txt</v>
      </c>
    </row>
    <row r="406" spans="1:21">
      <c r="A406" s="179" t="s">
        <v>5833</v>
      </c>
      <c r="G406" s="74"/>
      <c r="K406" s="180"/>
      <c r="M406" t="s">
        <v>5593</v>
      </c>
      <c r="N406" t="s">
        <v>5571</v>
      </c>
      <c r="O406" t="s">
        <v>4927</v>
      </c>
      <c r="Q406" t="str">
        <f t="shared" si="35"/>
        <v>condorProc.py --series 07180812_0001 --donoise  --dumps a --procenv environments/pymidas_HVHV_NaI_mf.env</v>
      </c>
      <c r="T406" t="str">
        <f t="shared" si="29"/>
        <v>ls -l 07180812_0001/ | grep grad\ \ \ &gt;&gt; ~/K100/condorfail.txt</v>
      </c>
      <c r="U406" t="str">
        <f t="shared" si="30"/>
        <v>ls -l 07180812_0001/ | grep grad &gt;&gt; ~/K100/condorfail.txt</v>
      </c>
    </row>
    <row r="407" spans="1:21">
      <c r="A407" s="179" t="s">
        <v>5834</v>
      </c>
      <c r="G407" s="74"/>
      <c r="K407" s="180"/>
      <c r="M407" t="s">
        <v>5593</v>
      </c>
      <c r="N407" t="s">
        <v>5571</v>
      </c>
      <c r="O407" t="s">
        <v>4927</v>
      </c>
      <c r="Q407" t="str">
        <f t="shared" si="35"/>
        <v>condorProc.py --series 07180812_0011 --donoise  --dumps a --procenv environments/pymidas_HVHV_NaI_mf.env</v>
      </c>
      <c r="T407" t="str">
        <f t="shared" si="29"/>
        <v>ls -l 07180812_0011/ | grep grad\ \ \ &gt;&gt; ~/K100/condorfail.txt</v>
      </c>
      <c r="U407" t="str">
        <f t="shared" si="30"/>
        <v>ls -l 07180812_0011/ | grep grad &gt;&gt; ~/K100/condorfail.txt</v>
      </c>
    </row>
    <row r="408" spans="1:21">
      <c r="A408" s="179" t="s">
        <v>5835</v>
      </c>
      <c r="G408" s="74"/>
      <c r="K408" s="180"/>
      <c r="M408" t="s">
        <v>5593</v>
      </c>
      <c r="N408" t="s">
        <v>5571</v>
      </c>
      <c r="O408" t="s">
        <v>4927</v>
      </c>
      <c r="Q408" t="str">
        <f t="shared" si="35"/>
        <v>condorProc.py --series 07180812_0021 --donoise  --dumps a --procenv environments/pymidas_HVHV_NaI_mf.env</v>
      </c>
      <c r="T408" t="str">
        <f t="shared" si="29"/>
        <v>ls -l 07180812_0021/ | grep grad\ \ \ &gt;&gt; ~/K100/condorfail.txt</v>
      </c>
      <c r="U408" t="str">
        <f t="shared" si="30"/>
        <v>ls -l 07180812_0021/ | grep grad &gt;&gt; ~/K100/condorfail.txt</v>
      </c>
    </row>
    <row r="409" spans="1:21">
      <c r="A409" s="181" t="s">
        <v>5836</v>
      </c>
      <c r="B409" s="65"/>
      <c r="C409" s="65"/>
      <c r="D409" s="65"/>
      <c r="E409" s="65"/>
      <c r="F409" s="65"/>
      <c r="G409" s="189"/>
      <c r="H409" s="65"/>
      <c r="I409" s="65"/>
      <c r="J409" s="65"/>
      <c r="K409" s="182"/>
      <c r="M409" t="s">
        <v>5593</v>
      </c>
      <c r="N409" t="s">
        <v>5571</v>
      </c>
      <c r="O409" t="s">
        <v>4927</v>
      </c>
      <c r="Q409" t="str">
        <f t="shared" si="35"/>
        <v>condorProc.py --series 07180812_0031 --donoise  --dumps a --procenv environments/pymidas_HVHV_NaI_mf.env</v>
      </c>
      <c r="T409" t="str">
        <f t="shared" si="29"/>
        <v>ls -l 07180812_0031/ | grep grad\ \ \ &gt;&gt; ~/K100/condorfail.txt</v>
      </c>
      <c r="U409" t="str">
        <f t="shared" si="30"/>
        <v>ls -l 07180812_0031/ | grep grad &gt;&gt; ~/K100/condorfail.txt</v>
      </c>
    </row>
    <row r="410" spans="1:21">
      <c r="A410" s="176" t="s">
        <v>5837</v>
      </c>
      <c r="B410" s="177"/>
      <c r="C410" s="177"/>
      <c r="D410" s="177"/>
      <c r="E410" s="177"/>
      <c r="F410" s="177">
        <v>10</v>
      </c>
      <c r="G410" s="188" t="s">
        <v>2248</v>
      </c>
      <c r="H410" s="177">
        <v>40</v>
      </c>
      <c r="I410" s="177"/>
      <c r="J410" s="177" t="s">
        <v>5577</v>
      </c>
      <c r="K410" s="178" t="s">
        <v>5583</v>
      </c>
      <c r="M410" t="s">
        <v>5593</v>
      </c>
      <c r="N410" t="s">
        <v>5571</v>
      </c>
      <c r="O410" t="s">
        <v>4927</v>
      </c>
      <c r="Q410" t="str">
        <f t="shared" si="35"/>
        <v>condorProc.py --series 07180812_0121 --donoise  --dumps a --procenv environments/pymidas_HVHV_NaI_mf.env</v>
      </c>
      <c r="T410" t="str">
        <f t="shared" si="29"/>
        <v>ls -l 07180812_0121/ | grep grad\ \ \ &gt;&gt; ~/K100/condorfail.txt</v>
      </c>
      <c r="U410" t="str">
        <f t="shared" si="30"/>
        <v>ls -l 07180812_0121/ | grep grad &gt;&gt; ~/K100/condorfail.txt</v>
      </c>
    </row>
    <row r="411" spans="1:21">
      <c r="A411" s="179" t="s">
        <v>5838</v>
      </c>
      <c r="G411" s="74"/>
      <c r="J411" t="s">
        <v>5585</v>
      </c>
      <c r="K411" s="180" t="s">
        <v>5671</v>
      </c>
      <c r="M411" t="s">
        <v>5593</v>
      </c>
      <c r="N411" t="s">
        <v>5571</v>
      </c>
      <c r="O411" t="s">
        <v>4927</v>
      </c>
      <c r="Q411" t="str">
        <f t="shared" ref="Q411:Q422" si="36">"condorProc.py --series "&amp;A411&amp;" --donoise  --dumps a --procenv environments/pymidas_HVHV_NaI_mf.env"</f>
        <v>condorProc.py --series 07180812_0131 --donoise  --dumps a --procenv environments/pymidas_HVHV_NaI_mf.env</v>
      </c>
      <c r="T411" t="str">
        <f t="shared" si="29"/>
        <v>ls -l 07180812_0131/ | grep grad\ \ \ &gt;&gt; ~/K100/condorfail.txt</v>
      </c>
      <c r="U411" t="str">
        <f t="shared" si="30"/>
        <v>ls -l 07180812_0131/ | grep grad &gt;&gt; ~/K100/condorfail.txt</v>
      </c>
    </row>
    <row r="412" spans="1:21">
      <c r="A412" s="179" t="s">
        <v>5839</v>
      </c>
      <c r="G412" s="74"/>
      <c r="K412" s="187" t="s">
        <v>5673</v>
      </c>
      <c r="M412" t="s">
        <v>5593</v>
      </c>
      <c r="N412" t="s">
        <v>5571</v>
      </c>
      <c r="O412" t="s">
        <v>4927</v>
      </c>
      <c r="Q412" t="str">
        <f t="shared" si="36"/>
        <v>condorProc.py --series 07180812_0141 --donoise  --dumps a --procenv environments/pymidas_HVHV_NaI_mf.env</v>
      </c>
      <c r="T412" t="str">
        <f t="shared" si="29"/>
        <v>ls -l 07180812_0141/ | grep grad\ \ \ &gt;&gt; ~/K100/condorfail.txt</v>
      </c>
      <c r="U412" t="str">
        <f t="shared" si="30"/>
        <v>ls -l 07180812_0141/ | grep grad &gt;&gt; ~/K100/condorfail.txt</v>
      </c>
    </row>
    <row r="413" spans="1:21">
      <c r="A413" s="179" t="s">
        <v>5840</v>
      </c>
      <c r="G413" s="74"/>
      <c r="K413" s="180"/>
      <c r="M413" t="s">
        <v>5593</v>
      </c>
      <c r="N413" t="s">
        <v>5571</v>
      </c>
      <c r="O413" t="s">
        <v>4927</v>
      </c>
      <c r="Q413" t="str">
        <f t="shared" si="36"/>
        <v>condorProc.py --series 07180812_0151 --donoise  --dumps a --procenv environments/pymidas_HVHV_NaI_mf.env</v>
      </c>
      <c r="T413" t="str">
        <f t="shared" si="29"/>
        <v>ls -l 07180812_0151/ | grep grad\ \ \ &gt;&gt; ~/K100/condorfail.txt</v>
      </c>
      <c r="U413" t="str">
        <f t="shared" si="30"/>
        <v>ls -l 07180812_0151/ | grep grad &gt;&gt; ~/K100/condorfail.txt</v>
      </c>
    </row>
    <row r="414" spans="1:21">
      <c r="A414" s="179" t="s">
        <v>5841</v>
      </c>
      <c r="G414" s="74"/>
      <c r="K414" s="180"/>
      <c r="M414" t="s">
        <v>5593</v>
      </c>
      <c r="N414" t="s">
        <v>5571</v>
      </c>
      <c r="O414" t="s">
        <v>4927</v>
      </c>
      <c r="Q414" t="str">
        <f t="shared" si="36"/>
        <v>condorProc.py --series 07180812_0201 --donoise  --dumps a --procenv environments/pymidas_HVHV_NaI_mf.env</v>
      </c>
      <c r="T414" t="str">
        <f t="shared" si="29"/>
        <v>ls -l 07180812_0201/ | grep grad\ \ \ &gt;&gt; ~/K100/condorfail.txt</v>
      </c>
      <c r="U414" t="str">
        <f t="shared" si="30"/>
        <v>ls -l 07180812_0201/ | grep grad &gt;&gt; ~/K100/condorfail.txt</v>
      </c>
    </row>
    <row r="415" spans="1:21">
      <c r="A415" s="179" t="s">
        <v>5842</v>
      </c>
      <c r="G415" s="74"/>
      <c r="K415" s="180"/>
      <c r="M415" t="s">
        <v>5593</v>
      </c>
      <c r="N415" t="s">
        <v>5571</v>
      </c>
      <c r="O415" t="s">
        <v>4927</v>
      </c>
      <c r="Q415" t="str">
        <f t="shared" si="36"/>
        <v>condorProc.py --series 07180812_0211 --donoise  --dumps a --procenv environments/pymidas_HVHV_NaI_mf.env</v>
      </c>
      <c r="T415" t="str">
        <f t="shared" si="29"/>
        <v>ls -l 07180812_0211/ | grep grad\ \ \ &gt;&gt; ~/K100/condorfail.txt</v>
      </c>
      <c r="U415" t="str">
        <f t="shared" si="30"/>
        <v>ls -l 07180812_0211/ | grep grad &gt;&gt; ~/K100/condorfail.txt</v>
      </c>
    </row>
    <row r="416" spans="1:21">
      <c r="A416" s="179" t="s">
        <v>5843</v>
      </c>
      <c r="G416" s="74"/>
      <c r="K416" s="180"/>
      <c r="M416" t="s">
        <v>5593</v>
      </c>
      <c r="N416" t="s">
        <v>5571</v>
      </c>
      <c r="O416" t="s">
        <v>4927</v>
      </c>
      <c r="Q416" t="str">
        <f t="shared" si="36"/>
        <v>condorProc.py --series 07180812_0221 --donoise  --dumps a --procenv environments/pymidas_HVHV_NaI_mf.env</v>
      </c>
      <c r="T416" t="str">
        <f t="shared" si="29"/>
        <v>ls -l 07180812_0221/ | grep grad\ \ \ &gt;&gt; ~/K100/condorfail.txt</v>
      </c>
      <c r="U416" t="str">
        <f t="shared" si="30"/>
        <v>ls -l 07180812_0221/ | grep grad &gt;&gt; ~/K100/condorfail.txt</v>
      </c>
    </row>
    <row r="417" spans="1:21">
      <c r="A417" s="179" t="s">
        <v>5844</v>
      </c>
      <c r="G417" s="74"/>
      <c r="K417" s="180"/>
      <c r="M417" t="s">
        <v>5593</v>
      </c>
      <c r="N417" t="s">
        <v>5571</v>
      </c>
      <c r="O417" t="s">
        <v>4927</v>
      </c>
      <c r="Q417" t="str">
        <f t="shared" si="36"/>
        <v>condorProc.py --series 07180812_0231 --donoise  --dumps a --procenv environments/pymidas_HVHV_NaI_mf.env</v>
      </c>
      <c r="T417" t="str">
        <f t="shared" si="29"/>
        <v>ls -l 07180812_0231/ | grep grad\ \ \ &gt;&gt; ~/K100/condorfail.txt</v>
      </c>
      <c r="U417" t="str">
        <f t="shared" si="30"/>
        <v>ls -l 07180812_0231/ | grep grad &gt;&gt; ~/K100/condorfail.txt</v>
      </c>
    </row>
    <row r="418" spans="1:21">
      <c r="A418" s="179" t="s">
        <v>5845</v>
      </c>
      <c r="G418" s="74"/>
      <c r="K418" s="180"/>
      <c r="M418" t="s">
        <v>5593</v>
      </c>
      <c r="N418" t="s">
        <v>5571</v>
      </c>
      <c r="O418" t="s">
        <v>4927</v>
      </c>
      <c r="Q418" t="str">
        <f t="shared" si="36"/>
        <v>condorProc.py --series 07180812_0241 --donoise  --dumps a --procenv environments/pymidas_HVHV_NaI_mf.env</v>
      </c>
      <c r="T418" t="str">
        <f t="shared" si="29"/>
        <v>ls -l 07180812_0241/ | grep grad\ \ \ &gt;&gt; ~/K100/condorfail.txt</v>
      </c>
      <c r="U418" t="str">
        <f t="shared" si="30"/>
        <v>ls -l 07180812_0241/ | grep grad &gt;&gt; ~/K100/condorfail.txt</v>
      </c>
    </row>
    <row r="419" spans="1:21">
      <c r="A419" s="179" t="s">
        <v>5846</v>
      </c>
      <c r="G419" s="74"/>
      <c r="K419" s="180"/>
      <c r="M419" t="s">
        <v>5593</v>
      </c>
      <c r="N419" t="s">
        <v>5571</v>
      </c>
      <c r="O419" t="s">
        <v>4927</v>
      </c>
      <c r="Q419" t="str">
        <f t="shared" si="36"/>
        <v>condorProc.py --series 07180812_0252 --donoise  --dumps a --procenv environments/pymidas_HVHV_NaI_mf.env</v>
      </c>
      <c r="T419" t="str">
        <f t="shared" si="29"/>
        <v>ls -l 07180812_0252/ | grep grad\ \ \ &gt;&gt; ~/K100/condorfail.txt</v>
      </c>
      <c r="U419" t="str">
        <f t="shared" si="30"/>
        <v>ls -l 07180812_0252/ | grep grad &gt;&gt; ~/K100/condorfail.txt</v>
      </c>
    </row>
    <row r="420" spans="1:21">
      <c r="A420" s="179" t="s">
        <v>5847</v>
      </c>
      <c r="G420" s="74"/>
      <c r="K420" s="180"/>
      <c r="M420" t="s">
        <v>5593</v>
      </c>
      <c r="N420" t="s">
        <v>5571</v>
      </c>
      <c r="O420" t="s">
        <v>4927</v>
      </c>
      <c r="Q420" t="str">
        <f t="shared" si="36"/>
        <v>condorProc.py --series 07180812_0302 --donoise  --dumps a --procenv environments/pymidas_HVHV_NaI_mf.env</v>
      </c>
      <c r="T420" t="str">
        <f t="shared" si="29"/>
        <v>ls -l 07180812_0302/ | grep grad\ \ \ &gt;&gt; ~/K100/condorfail.txt</v>
      </c>
      <c r="U420" t="str">
        <f t="shared" si="30"/>
        <v>ls -l 07180812_0302/ | grep grad &gt;&gt; ~/K100/condorfail.txt</v>
      </c>
    </row>
    <row r="421" spans="1:21">
      <c r="A421" s="181" t="s">
        <v>5848</v>
      </c>
      <c r="B421" s="65"/>
      <c r="C421" s="65"/>
      <c r="D421" s="65"/>
      <c r="E421" s="65"/>
      <c r="F421" s="65"/>
      <c r="G421" s="189"/>
      <c r="H421" s="65"/>
      <c r="I421" s="65"/>
      <c r="J421" s="65"/>
      <c r="K421" s="182"/>
      <c r="M421" t="s">
        <v>5593</v>
      </c>
      <c r="N421" t="s">
        <v>5571</v>
      </c>
      <c r="O421" t="s">
        <v>4927</v>
      </c>
      <c r="Q421" t="str">
        <f t="shared" si="36"/>
        <v>condorProc.py --series 07180812_0312 --donoise  --dumps a --procenv environments/pymidas_HVHV_NaI_mf.env</v>
      </c>
      <c r="T421" t="str">
        <f t="shared" si="29"/>
        <v>ls -l 07180812_0312/ | grep grad\ \ \ &gt;&gt; ~/K100/condorfail.txt</v>
      </c>
      <c r="U421" t="str">
        <f t="shared" si="30"/>
        <v>ls -l 07180812_0312/ | grep grad &gt;&gt; ~/K100/condorfail.txt</v>
      </c>
    </row>
    <row r="422" spans="1:21">
      <c r="A422" s="176" t="s">
        <v>5849</v>
      </c>
      <c r="B422" s="177"/>
      <c r="C422" s="177"/>
      <c r="D422" s="177"/>
      <c r="E422" s="177"/>
      <c r="F422" s="177">
        <v>10</v>
      </c>
      <c r="G422" s="188" t="s">
        <v>2248</v>
      </c>
      <c r="H422" s="177">
        <v>40</v>
      </c>
      <c r="I422" s="177"/>
      <c r="J422" s="177" t="s">
        <v>5577</v>
      </c>
      <c r="K422" s="178" t="s">
        <v>5583</v>
      </c>
      <c r="M422" t="s">
        <v>5593</v>
      </c>
      <c r="N422" t="s">
        <v>5571</v>
      </c>
      <c r="O422" t="s">
        <v>4927</v>
      </c>
      <c r="Q422" t="str">
        <f t="shared" si="36"/>
        <v>condorProc.py --series 07180812_1024 --donoise  --dumps a --procenv environments/pymidas_HVHV_NaI_mf.env</v>
      </c>
      <c r="T422" t="str">
        <f t="shared" si="29"/>
        <v>ls -l 07180812_1024/ | grep grad\ \ \ &gt;&gt; ~/K100/condorfail.txt</v>
      </c>
      <c r="U422" t="str">
        <f t="shared" si="30"/>
        <v>ls -l 07180812_1024/ | grep grad &gt;&gt; ~/K100/condorfail.txt</v>
      </c>
    </row>
    <row r="423" spans="1:21">
      <c r="A423" s="179" t="s">
        <v>5850</v>
      </c>
      <c r="G423" s="74"/>
      <c r="J423" t="s">
        <v>5585</v>
      </c>
      <c r="K423" s="180" t="s">
        <v>5671</v>
      </c>
      <c r="M423" t="s">
        <v>5593</v>
      </c>
      <c r="N423" t="s">
        <v>5571</v>
      </c>
      <c r="O423" t="s">
        <v>4927</v>
      </c>
      <c r="Q423" t="str">
        <f t="shared" ref="Q423:Q434" si="37">"condorProc.py --series "&amp;A423&amp;" --donoise  --dumps a --procenv environments/pymidas_HVHV_NaI_mf.env"</f>
        <v>condorProc.py --series 07180812_1034 --donoise  --dumps a --procenv environments/pymidas_HVHV_NaI_mf.env</v>
      </c>
      <c r="T423" t="str">
        <f t="shared" si="29"/>
        <v>ls -l 07180812_1034/ | grep grad\ \ \ &gt;&gt; ~/K100/condorfail.txt</v>
      </c>
      <c r="U423" t="str">
        <f t="shared" si="30"/>
        <v>ls -l 07180812_1034/ | grep grad &gt;&gt; ~/K100/condorfail.txt</v>
      </c>
    </row>
    <row r="424" spans="1:21">
      <c r="A424" s="179" t="s">
        <v>5851</v>
      </c>
      <c r="G424" s="74"/>
      <c r="K424" s="187" t="s">
        <v>5673</v>
      </c>
      <c r="M424" t="s">
        <v>5593</v>
      </c>
      <c r="N424" t="s">
        <v>5571</v>
      </c>
      <c r="O424" t="s">
        <v>4927</v>
      </c>
      <c r="Q424" t="str">
        <f t="shared" si="37"/>
        <v>condorProc.py --series 07180812_1044 --donoise  --dumps a --procenv environments/pymidas_HVHV_NaI_mf.env</v>
      </c>
      <c r="T424" t="str">
        <f t="shared" si="29"/>
        <v>ls -l 07180812_1044/ | grep grad\ \ \ &gt;&gt; ~/K100/condorfail.txt</v>
      </c>
      <c r="U424" t="str">
        <f t="shared" si="30"/>
        <v>ls -l 07180812_1044/ | grep grad &gt;&gt; ~/K100/condorfail.txt</v>
      </c>
    </row>
    <row r="425" spans="1:21">
      <c r="A425" s="179" t="s">
        <v>5852</v>
      </c>
      <c r="G425" s="74"/>
      <c r="K425" s="180"/>
      <c r="M425" t="s">
        <v>5593</v>
      </c>
      <c r="N425" t="s">
        <v>5571</v>
      </c>
      <c r="O425" t="s">
        <v>4927</v>
      </c>
      <c r="Q425" t="str">
        <f t="shared" si="37"/>
        <v>condorProc.py --series 07180812_1054 --donoise  --dumps a --procenv environments/pymidas_HVHV_NaI_mf.env</v>
      </c>
      <c r="T425" t="str">
        <f t="shared" si="29"/>
        <v>ls -l 07180812_1054/ | grep grad\ \ \ &gt;&gt; ~/K100/condorfail.txt</v>
      </c>
      <c r="U425" t="str">
        <f t="shared" si="30"/>
        <v>ls -l 07180812_1054/ | grep grad &gt;&gt; ~/K100/condorfail.txt</v>
      </c>
    </row>
    <row r="426" spans="1:21">
      <c r="A426" s="179" t="s">
        <v>5853</v>
      </c>
      <c r="G426" s="74"/>
      <c r="K426" s="180"/>
      <c r="M426" t="s">
        <v>5593</v>
      </c>
      <c r="N426" t="s">
        <v>5571</v>
      </c>
      <c r="O426" t="s">
        <v>4927</v>
      </c>
      <c r="Q426" t="str">
        <f t="shared" si="37"/>
        <v>condorProc.py --series 07180812_1105 --donoise  --dumps a --procenv environments/pymidas_HVHV_NaI_mf.env</v>
      </c>
      <c r="T426" t="str">
        <f t="shared" ref="T426:T433" si="38">"ls -l "&amp;A426&amp;"/ | grep grad\ \ \ &gt;&gt; ~/K100/condorfail.txt"</f>
        <v>ls -l 07180812_1105/ | grep grad\ \ \ &gt;&gt; ~/K100/condorfail.txt</v>
      </c>
      <c r="U426" t="str">
        <f t="shared" ref="U426:U489" si="39">"ls -l "&amp;A426&amp;"/ | grep grad &gt;&gt; ~/K100/condorfail.txt"</f>
        <v>ls -l 07180812_1105/ | grep grad &gt;&gt; ~/K100/condorfail.txt</v>
      </c>
    </row>
    <row r="427" spans="1:21">
      <c r="A427" s="179" t="s">
        <v>5854</v>
      </c>
      <c r="G427" s="74"/>
      <c r="K427" s="180"/>
      <c r="M427" t="s">
        <v>5593</v>
      </c>
      <c r="N427" t="s">
        <v>5571</v>
      </c>
      <c r="O427" t="s">
        <v>4927</v>
      </c>
      <c r="Q427" t="str">
        <f t="shared" si="37"/>
        <v>condorProc.py --series 07180812_1115 --donoise  --dumps a --procenv environments/pymidas_HVHV_NaI_mf.env</v>
      </c>
      <c r="T427" t="str">
        <f t="shared" si="38"/>
        <v>ls -l 07180812_1115/ | grep grad\ \ \ &gt;&gt; ~/K100/condorfail.txt</v>
      </c>
      <c r="U427" t="str">
        <f t="shared" si="39"/>
        <v>ls -l 07180812_1115/ | grep grad &gt;&gt; ~/K100/condorfail.txt</v>
      </c>
    </row>
    <row r="428" spans="1:21">
      <c r="A428" s="179" t="s">
        <v>5855</v>
      </c>
      <c r="G428" s="74"/>
      <c r="K428" s="180"/>
      <c r="M428" t="s">
        <v>5593</v>
      </c>
      <c r="N428" t="s">
        <v>5571</v>
      </c>
      <c r="O428" t="s">
        <v>4927</v>
      </c>
      <c r="Q428" t="str">
        <f t="shared" si="37"/>
        <v>condorProc.py --series 07180812_1125 --donoise  --dumps a --procenv environments/pymidas_HVHV_NaI_mf.env</v>
      </c>
      <c r="T428" t="str">
        <f t="shared" si="38"/>
        <v>ls -l 07180812_1125/ | grep grad\ \ \ &gt;&gt; ~/K100/condorfail.txt</v>
      </c>
      <c r="U428" t="str">
        <f t="shared" si="39"/>
        <v>ls -l 07180812_1125/ | grep grad &gt;&gt; ~/K100/condorfail.txt</v>
      </c>
    </row>
    <row r="429" spans="1:21">
      <c r="A429" s="179" t="s">
        <v>5856</v>
      </c>
      <c r="G429" s="74"/>
      <c r="K429" s="180"/>
      <c r="M429" t="s">
        <v>5593</v>
      </c>
      <c r="N429" t="s">
        <v>5571</v>
      </c>
      <c r="O429" t="s">
        <v>4927</v>
      </c>
      <c r="Q429" t="str">
        <f t="shared" si="37"/>
        <v>condorProc.py --series 07180812_1135 --donoise  --dumps a --procenv environments/pymidas_HVHV_NaI_mf.env</v>
      </c>
      <c r="T429" t="str">
        <f t="shared" si="38"/>
        <v>ls -l 07180812_1135/ | grep grad\ \ \ &gt;&gt; ~/K100/condorfail.txt</v>
      </c>
      <c r="U429" t="str">
        <f t="shared" si="39"/>
        <v>ls -l 07180812_1135/ | grep grad &gt;&gt; ~/K100/condorfail.txt</v>
      </c>
    </row>
    <row r="430" spans="1:21">
      <c r="A430" s="179" t="s">
        <v>5857</v>
      </c>
      <c r="G430" s="74"/>
      <c r="K430" s="180"/>
      <c r="M430" t="s">
        <v>5593</v>
      </c>
      <c r="N430" t="s">
        <v>5571</v>
      </c>
      <c r="O430" t="s">
        <v>4927</v>
      </c>
      <c r="Q430" t="str">
        <f t="shared" si="37"/>
        <v>condorProc.py --series 07180812_1145 --donoise  --dumps a --procenv environments/pymidas_HVHV_NaI_mf.env</v>
      </c>
      <c r="T430" t="str">
        <f t="shared" si="38"/>
        <v>ls -l 07180812_1145/ | grep grad\ \ \ &gt;&gt; ~/K100/condorfail.txt</v>
      </c>
      <c r="U430" t="str">
        <f t="shared" si="39"/>
        <v>ls -l 07180812_1145/ | grep grad &gt;&gt; ~/K100/condorfail.txt</v>
      </c>
    </row>
    <row r="431" spans="1:21">
      <c r="A431" s="179" t="s">
        <v>5858</v>
      </c>
      <c r="G431" s="74"/>
      <c r="K431" s="180"/>
      <c r="M431" t="s">
        <v>5593</v>
      </c>
      <c r="N431" t="s">
        <v>5571</v>
      </c>
      <c r="O431" t="s">
        <v>4927</v>
      </c>
      <c r="Q431" t="str">
        <f t="shared" si="37"/>
        <v>condorProc.py --series 07180812_1155 --donoise  --dumps a --procenv environments/pymidas_HVHV_NaI_mf.env</v>
      </c>
      <c r="T431" t="str">
        <f t="shared" si="38"/>
        <v>ls -l 07180812_1155/ | grep grad\ \ \ &gt;&gt; ~/K100/condorfail.txt</v>
      </c>
      <c r="U431" t="str">
        <f t="shared" si="39"/>
        <v>ls -l 07180812_1155/ | grep grad &gt;&gt; ~/K100/condorfail.txt</v>
      </c>
    </row>
    <row r="432" spans="1:21">
      <c r="A432" s="179" t="s">
        <v>5859</v>
      </c>
      <c r="G432" s="74"/>
      <c r="K432" s="180"/>
      <c r="M432" t="s">
        <v>5593</v>
      </c>
      <c r="N432" t="s">
        <v>5571</v>
      </c>
      <c r="O432" t="s">
        <v>4927</v>
      </c>
      <c r="Q432" t="str">
        <f t="shared" si="37"/>
        <v>condorProc.py --series 07180812_1205 --donoise  --dumps a --procenv environments/pymidas_HVHV_NaI_mf.env</v>
      </c>
      <c r="T432" t="str">
        <f t="shared" si="38"/>
        <v>ls -l 07180812_1205/ | grep grad\ \ \ &gt;&gt; ~/K100/condorfail.txt</v>
      </c>
      <c r="U432" t="str">
        <f t="shared" si="39"/>
        <v>ls -l 07180812_1205/ | grep grad &gt;&gt; ~/K100/condorfail.txt</v>
      </c>
    </row>
    <row r="433" spans="1:21">
      <c r="A433" s="181" t="s">
        <v>5860</v>
      </c>
      <c r="B433" s="65"/>
      <c r="C433" s="65"/>
      <c r="D433" s="65"/>
      <c r="E433" s="65"/>
      <c r="F433" s="65"/>
      <c r="G433" s="189"/>
      <c r="H433" s="65"/>
      <c r="I433" s="65" t="s">
        <v>75</v>
      </c>
      <c r="J433" s="65"/>
      <c r="K433" s="182"/>
      <c r="M433" t="s">
        <v>5593</v>
      </c>
      <c r="N433" t="s">
        <v>5571</v>
      </c>
      <c r="O433" t="s">
        <v>4927</v>
      </c>
      <c r="Q433" t="str">
        <f t="shared" si="37"/>
        <v>condorProc.py --series 07180812_1215 --donoise  --dumps a --procenv environments/pymidas_HVHV_NaI_mf.env</v>
      </c>
      <c r="T433" t="str">
        <f t="shared" si="38"/>
        <v>ls -l 07180812_1215/ | grep grad\ \ \ &gt;&gt; ~/K100/condorfail.txt</v>
      </c>
      <c r="U433" t="str">
        <f t="shared" si="39"/>
        <v>ls -l 07180812_1215/ | grep grad &gt;&gt; ~/K100/condorfail.txt</v>
      </c>
    </row>
    <row r="434" spans="1:21">
      <c r="A434" s="176" t="s">
        <v>5861</v>
      </c>
      <c r="B434" s="177"/>
      <c r="C434" s="177"/>
      <c r="D434" s="177"/>
      <c r="E434" s="177"/>
      <c r="F434" s="177">
        <v>10</v>
      </c>
      <c r="G434" s="188" t="s">
        <v>2248</v>
      </c>
      <c r="H434" s="177">
        <v>40</v>
      </c>
      <c r="I434" s="177"/>
      <c r="J434" s="177" t="s">
        <v>5577</v>
      </c>
      <c r="K434" s="178" t="s">
        <v>5583</v>
      </c>
      <c r="M434" t="s">
        <v>5593</v>
      </c>
      <c r="N434" t="s">
        <v>5571</v>
      </c>
      <c r="O434" t="s">
        <v>4927</v>
      </c>
      <c r="Q434" t="str">
        <f t="shared" si="37"/>
        <v>condorProc.py --series 07180812_1304 --donoise  --dumps a --procenv environments/pymidas_HVHV_NaI_mf.env</v>
      </c>
      <c r="U434" t="str">
        <f t="shared" si="39"/>
        <v>ls -l 07180812_1304/ | grep grad &gt;&gt; ~/K100/condorfail.txt</v>
      </c>
    </row>
    <row r="435" spans="1:21">
      <c r="A435" s="179" t="s">
        <v>5862</v>
      </c>
      <c r="G435" s="74"/>
      <c r="J435" t="s">
        <v>5585</v>
      </c>
      <c r="K435" s="180" t="s">
        <v>5671</v>
      </c>
      <c r="M435" t="s">
        <v>5593</v>
      </c>
      <c r="N435" t="s">
        <v>5571</v>
      </c>
      <c r="O435" t="s">
        <v>4927</v>
      </c>
      <c r="Q435" t="str">
        <f t="shared" ref="Q435:Q446" si="40">"condorProc.py --series "&amp;A435&amp;" --donoise  --dumps a --procenv environments/pymidas_HVHV_NaI_mf.env"</f>
        <v>condorProc.py --series 07180812_1315 --donoise  --dumps a --procenv environments/pymidas_HVHV_NaI_mf.env</v>
      </c>
      <c r="U435" t="str">
        <f t="shared" si="39"/>
        <v>ls -l 07180812_1315/ | grep grad &gt;&gt; ~/K100/condorfail.txt</v>
      </c>
    </row>
    <row r="436" spans="1:21">
      <c r="A436" s="179" t="s">
        <v>5863</v>
      </c>
      <c r="G436" s="74"/>
      <c r="K436" s="187" t="s">
        <v>5673</v>
      </c>
      <c r="M436" t="s">
        <v>5593</v>
      </c>
      <c r="N436" t="s">
        <v>5571</v>
      </c>
      <c r="O436" t="s">
        <v>4927</v>
      </c>
      <c r="Q436" t="str">
        <f t="shared" si="40"/>
        <v>condorProc.py --series 07180812_1325 --donoise  --dumps a --procenv environments/pymidas_HVHV_NaI_mf.env</v>
      </c>
      <c r="U436" t="str">
        <f t="shared" si="39"/>
        <v>ls -l 07180812_1325/ | grep grad &gt;&gt; ~/K100/condorfail.txt</v>
      </c>
    </row>
    <row r="437" spans="1:21">
      <c r="A437" s="179" t="s">
        <v>5864</v>
      </c>
      <c r="G437" s="74"/>
      <c r="K437" s="180"/>
      <c r="M437" t="s">
        <v>5593</v>
      </c>
      <c r="N437" t="s">
        <v>5571</v>
      </c>
      <c r="O437" t="s">
        <v>4927</v>
      </c>
      <c r="Q437" t="str">
        <f t="shared" si="40"/>
        <v>condorProc.py --series 07180812_1335 --donoise  --dumps a --procenv environments/pymidas_HVHV_NaI_mf.env</v>
      </c>
      <c r="U437" t="str">
        <f t="shared" si="39"/>
        <v>ls -l 07180812_1335/ | grep grad &gt;&gt; ~/K100/condorfail.txt</v>
      </c>
    </row>
    <row r="438" spans="1:21">
      <c r="A438" s="179" t="s">
        <v>5865</v>
      </c>
      <c r="G438" s="74"/>
      <c r="K438" s="180"/>
      <c r="M438" t="s">
        <v>5593</v>
      </c>
      <c r="N438" t="s">
        <v>5571</v>
      </c>
      <c r="O438" t="s">
        <v>4927</v>
      </c>
      <c r="Q438" t="str">
        <f t="shared" si="40"/>
        <v>condorProc.py --series 07180812_1345 --donoise  --dumps a --procenv environments/pymidas_HVHV_NaI_mf.env</v>
      </c>
      <c r="U438" t="str">
        <f t="shared" si="39"/>
        <v>ls -l 07180812_1345/ | grep grad &gt;&gt; ~/K100/condorfail.txt</v>
      </c>
    </row>
    <row r="439" spans="1:21">
      <c r="A439" s="179" t="s">
        <v>5866</v>
      </c>
      <c r="G439" s="74"/>
      <c r="K439" s="180"/>
      <c r="M439" t="s">
        <v>5593</v>
      </c>
      <c r="N439" t="s">
        <v>5571</v>
      </c>
      <c r="O439" t="s">
        <v>4927</v>
      </c>
      <c r="Q439" t="str">
        <f t="shared" si="40"/>
        <v>condorProc.py --series 07180812_1355 --donoise  --dumps a --procenv environments/pymidas_HVHV_NaI_mf.env</v>
      </c>
      <c r="U439" t="str">
        <f t="shared" si="39"/>
        <v>ls -l 07180812_1355/ | grep grad &gt;&gt; ~/K100/condorfail.txt</v>
      </c>
    </row>
    <row r="440" spans="1:21">
      <c r="A440" s="179" t="s">
        <v>5867</v>
      </c>
      <c r="G440" s="74"/>
      <c r="K440" s="180"/>
      <c r="M440" t="s">
        <v>5593</v>
      </c>
      <c r="N440" t="s">
        <v>5571</v>
      </c>
      <c r="O440" t="s">
        <v>4927</v>
      </c>
      <c r="Q440" t="str">
        <f t="shared" si="40"/>
        <v>condorProc.py --series 07180812_1405 --donoise  --dumps a --procenv environments/pymidas_HVHV_NaI_mf.env</v>
      </c>
      <c r="U440" t="str">
        <f t="shared" si="39"/>
        <v>ls -l 07180812_1405/ | grep grad &gt;&gt; ~/K100/condorfail.txt</v>
      </c>
    </row>
    <row r="441" spans="1:21">
      <c r="A441" s="179" t="s">
        <v>5868</v>
      </c>
      <c r="G441" s="74"/>
      <c r="K441" s="180"/>
      <c r="M441" t="s">
        <v>5593</v>
      </c>
      <c r="N441" t="s">
        <v>5571</v>
      </c>
      <c r="O441" t="s">
        <v>4927</v>
      </c>
      <c r="Q441" t="str">
        <f t="shared" si="40"/>
        <v>condorProc.py --series 07180812_1415 --donoise  --dumps a --procenv environments/pymidas_HVHV_NaI_mf.env</v>
      </c>
      <c r="U441" t="str">
        <f t="shared" si="39"/>
        <v>ls -l 07180812_1415/ | grep grad &gt;&gt; ~/K100/condorfail.txt</v>
      </c>
    </row>
    <row r="442" spans="1:21">
      <c r="A442" s="179" t="s">
        <v>5869</v>
      </c>
      <c r="G442" s="74"/>
      <c r="K442" s="180"/>
      <c r="M442" t="s">
        <v>5593</v>
      </c>
      <c r="N442" t="s">
        <v>5571</v>
      </c>
      <c r="O442" t="s">
        <v>4927</v>
      </c>
      <c r="Q442" t="str">
        <f t="shared" si="40"/>
        <v>condorProc.py --series 07180812_1425 --donoise  --dumps a --procenv environments/pymidas_HVHV_NaI_mf.env</v>
      </c>
      <c r="U442" t="str">
        <f t="shared" si="39"/>
        <v>ls -l 07180812_1425/ | grep grad &gt;&gt; ~/K100/condorfail.txt</v>
      </c>
    </row>
    <row r="443" spans="1:21">
      <c r="A443" s="179" t="s">
        <v>5870</v>
      </c>
      <c r="G443" s="74"/>
      <c r="K443" s="180"/>
      <c r="M443" t="s">
        <v>5593</v>
      </c>
      <c r="N443" t="s">
        <v>5571</v>
      </c>
      <c r="O443" t="s">
        <v>4927</v>
      </c>
      <c r="Q443" t="str">
        <f t="shared" si="40"/>
        <v>condorProc.py --series 07180812_1435 --donoise  --dumps a --procenv environments/pymidas_HVHV_NaI_mf.env</v>
      </c>
      <c r="U443" t="str">
        <f t="shared" si="39"/>
        <v>ls -l 07180812_1435/ | grep grad &gt;&gt; ~/K100/condorfail.txt</v>
      </c>
    </row>
    <row r="444" spans="1:21">
      <c r="A444" s="179" t="s">
        <v>5871</v>
      </c>
      <c r="G444" s="74"/>
      <c r="K444" s="180"/>
      <c r="M444" t="s">
        <v>5593</v>
      </c>
      <c r="N444" t="s">
        <v>5571</v>
      </c>
      <c r="O444" t="s">
        <v>4927</v>
      </c>
      <c r="Q444" t="str">
        <f t="shared" si="40"/>
        <v>condorProc.py --series 07180812_1446 --donoise  --dumps a --procenv environments/pymidas_HVHV_NaI_mf.env</v>
      </c>
      <c r="U444" t="str">
        <f t="shared" si="39"/>
        <v>ls -l 07180812_1446/ | grep grad &gt;&gt; ~/K100/condorfail.txt</v>
      </c>
    </row>
    <row r="445" spans="1:21">
      <c r="A445" s="181" t="s">
        <v>5872</v>
      </c>
      <c r="B445" s="65"/>
      <c r="C445" s="65"/>
      <c r="D445" s="65"/>
      <c r="E445" s="65"/>
      <c r="F445" s="65"/>
      <c r="G445" s="189"/>
      <c r="H445" s="65"/>
      <c r="I445" s="65" t="s">
        <v>75</v>
      </c>
      <c r="J445" s="65"/>
      <c r="K445" s="182"/>
      <c r="M445" t="s">
        <v>5593</v>
      </c>
      <c r="N445" t="s">
        <v>5571</v>
      </c>
      <c r="O445" t="s">
        <v>4927</v>
      </c>
      <c r="Q445" t="str">
        <f t="shared" si="40"/>
        <v>condorProc.py --series 07180812_1456 --donoise  --dumps a --procenv environments/pymidas_HVHV_NaI_mf.env</v>
      </c>
      <c r="U445" t="str">
        <f t="shared" si="39"/>
        <v>ls -l 07180812_1456/ | grep grad &gt;&gt; ~/K100/condorfail.txt</v>
      </c>
    </row>
    <row r="446" spans="1:21">
      <c r="A446" s="176" t="s">
        <v>5873</v>
      </c>
      <c r="B446" s="177"/>
      <c r="C446" s="177"/>
      <c r="D446" s="177"/>
      <c r="E446" s="177"/>
      <c r="F446" s="177">
        <v>10</v>
      </c>
      <c r="G446" s="188" t="s">
        <v>2248</v>
      </c>
      <c r="H446" s="177">
        <v>40</v>
      </c>
      <c r="I446" s="177"/>
      <c r="J446" s="177" t="s">
        <v>5577</v>
      </c>
      <c r="K446" s="178" t="s">
        <v>5583</v>
      </c>
      <c r="M446" t="s">
        <v>5593</v>
      </c>
      <c r="N446" t="s">
        <v>5571</v>
      </c>
      <c r="O446" t="s">
        <v>4927</v>
      </c>
      <c r="Q446" t="str">
        <f t="shared" si="40"/>
        <v>condorProc.py --series 07180812_1545 --donoise  --dumps a --procenv environments/pymidas_HVHV_NaI_mf.env</v>
      </c>
      <c r="U446" t="str">
        <f t="shared" si="39"/>
        <v>ls -l 07180812_1545/ | grep grad &gt;&gt; ~/K100/condorfail.txt</v>
      </c>
    </row>
    <row r="447" spans="1:21">
      <c r="A447" s="179" t="s">
        <v>5874</v>
      </c>
      <c r="G447" s="74"/>
      <c r="J447" t="s">
        <v>5585</v>
      </c>
      <c r="K447" s="180" t="s">
        <v>5671</v>
      </c>
      <c r="M447" t="s">
        <v>5593</v>
      </c>
      <c r="N447" t="s">
        <v>5571</v>
      </c>
      <c r="O447" t="s">
        <v>4927</v>
      </c>
      <c r="Q447" t="str">
        <f t="shared" ref="Q447:Q458" si="41">"condorProc.py --series "&amp;A447&amp;" --donoise  --dumps a --procenv environments/pymidas_HVHV_NaI_mf.env"</f>
        <v>condorProc.py --series 07180812_1555 --donoise  --dumps a --procenv environments/pymidas_HVHV_NaI_mf.env</v>
      </c>
      <c r="U447" t="str">
        <f t="shared" si="39"/>
        <v>ls -l 07180812_1555/ | grep grad &gt;&gt; ~/K100/condorfail.txt</v>
      </c>
    </row>
    <row r="448" spans="1:21">
      <c r="A448" s="179" t="s">
        <v>5875</v>
      </c>
      <c r="G448" s="74"/>
      <c r="K448" s="187" t="s">
        <v>5673</v>
      </c>
      <c r="M448" t="s">
        <v>5593</v>
      </c>
      <c r="N448" t="s">
        <v>5571</v>
      </c>
      <c r="O448" t="s">
        <v>4927</v>
      </c>
      <c r="Q448" t="str">
        <f t="shared" si="41"/>
        <v>condorProc.py --series 07180812_1605 --donoise  --dumps a --procenv environments/pymidas_HVHV_NaI_mf.env</v>
      </c>
      <c r="U448" t="str">
        <f t="shared" si="39"/>
        <v>ls -l 07180812_1605/ | grep grad &gt;&gt; ~/K100/condorfail.txt</v>
      </c>
    </row>
    <row r="449" spans="1:21">
      <c r="A449" s="179" t="s">
        <v>5876</v>
      </c>
      <c r="G449" s="74"/>
      <c r="K449" s="180"/>
      <c r="M449" t="s">
        <v>5593</v>
      </c>
      <c r="N449" t="s">
        <v>5571</v>
      </c>
      <c r="O449" t="s">
        <v>4927</v>
      </c>
      <c r="Q449" t="str">
        <f t="shared" si="41"/>
        <v>condorProc.py --series 07180812_1615 --donoise  --dumps a --procenv environments/pymidas_HVHV_NaI_mf.env</v>
      </c>
      <c r="U449" t="str">
        <f t="shared" si="39"/>
        <v>ls -l 07180812_1615/ | grep grad &gt;&gt; ~/K100/condorfail.txt</v>
      </c>
    </row>
    <row r="450" spans="1:21">
      <c r="A450" s="179" t="s">
        <v>5877</v>
      </c>
      <c r="G450" s="74"/>
      <c r="K450" s="180"/>
      <c r="M450" t="s">
        <v>5593</v>
      </c>
      <c r="N450" t="s">
        <v>5571</v>
      </c>
      <c r="O450" t="s">
        <v>4927</v>
      </c>
      <c r="Q450" t="str">
        <f t="shared" si="41"/>
        <v>condorProc.py --series 07180812_1625 --donoise  --dumps a --procenv environments/pymidas_HVHV_NaI_mf.env</v>
      </c>
      <c r="U450" t="str">
        <f t="shared" si="39"/>
        <v>ls -l 07180812_1625/ | grep grad &gt;&gt; ~/K100/condorfail.txt</v>
      </c>
    </row>
    <row r="451" spans="1:21">
      <c r="A451" s="179" t="s">
        <v>5878</v>
      </c>
      <c r="G451" s="74"/>
      <c r="K451" s="180"/>
      <c r="M451" t="s">
        <v>5593</v>
      </c>
      <c r="N451" t="s">
        <v>5571</v>
      </c>
      <c r="O451" t="s">
        <v>4927</v>
      </c>
      <c r="Q451" t="str">
        <f t="shared" si="41"/>
        <v>condorProc.py --series 07180812_1635 --donoise  --dumps a --procenv environments/pymidas_HVHV_NaI_mf.env</v>
      </c>
      <c r="U451" t="str">
        <f t="shared" si="39"/>
        <v>ls -l 07180812_1635/ | grep grad &gt;&gt; ~/K100/condorfail.txt</v>
      </c>
    </row>
    <row r="452" spans="1:21">
      <c r="A452" s="179" t="s">
        <v>5879</v>
      </c>
      <c r="G452" s="74"/>
      <c r="K452" s="180"/>
      <c r="M452" t="s">
        <v>5593</v>
      </c>
      <c r="N452" t="s">
        <v>5571</v>
      </c>
      <c r="O452" t="s">
        <v>4927</v>
      </c>
      <c r="Q452" t="str">
        <f t="shared" si="41"/>
        <v>condorProc.py --series 07180812_1645 --donoise  --dumps a --procenv environments/pymidas_HVHV_NaI_mf.env</v>
      </c>
      <c r="U452" t="str">
        <f t="shared" si="39"/>
        <v>ls -l 07180812_1645/ | grep grad &gt;&gt; ~/K100/condorfail.txt</v>
      </c>
    </row>
    <row r="453" spans="1:21">
      <c r="A453" s="179" t="s">
        <v>5880</v>
      </c>
      <c r="G453" s="74"/>
      <c r="K453" s="180"/>
      <c r="M453" t="s">
        <v>5593</v>
      </c>
      <c r="N453" t="s">
        <v>5571</v>
      </c>
      <c r="O453" t="s">
        <v>4927</v>
      </c>
      <c r="Q453" t="str">
        <f t="shared" si="41"/>
        <v>condorProc.py --series 07180812_1656 --donoise  --dumps a --procenv environments/pymidas_HVHV_NaI_mf.env</v>
      </c>
      <c r="U453" t="str">
        <f t="shared" si="39"/>
        <v>ls -l 07180812_1656/ | grep grad &gt;&gt; ~/K100/condorfail.txt</v>
      </c>
    </row>
    <row r="454" spans="1:21">
      <c r="A454" s="179" t="s">
        <v>5881</v>
      </c>
      <c r="G454" s="74"/>
      <c r="K454" s="180"/>
      <c r="M454" t="s">
        <v>5593</v>
      </c>
      <c r="N454" t="s">
        <v>5571</v>
      </c>
      <c r="O454" t="s">
        <v>4927</v>
      </c>
      <c r="Q454" t="str">
        <f t="shared" si="41"/>
        <v>condorProc.py --series 07180812_1706 --donoise  --dumps a --procenv environments/pymidas_HVHV_NaI_mf.env</v>
      </c>
      <c r="U454" t="str">
        <f t="shared" si="39"/>
        <v>ls -l 07180812_1706/ | grep grad &gt;&gt; ~/K100/condorfail.txt</v>
      </c>
    </row>
    <row r="455" spans="1:21">
      <c r="A455" s="179" t="s">
        <v>5882</v>
      </c>
      <c r="G455" s="74"/>
      <c r="K455" s="180"/>
      <c r="M455" t="s">
        <v>5593</v>
      </c>
      <c r="N455" t="s">
        <v>5571</v>
      </c>
      <c r="O455" t="s">
        <v>4927</v>
      </c>
      <c r="Q455" t="str">
        <f t="shared" si="41"/>
        <v>condorProc.py --series 07180812_1716 --donoise  --dumps a --procenv environments/pymidas_HVHV_NaI_mf.env</v>
      </c>
      <c r="U455" t="str">
        <f t="shared" si="39"/>
        <v>ls -l 07180812_1716/ | grep grad &gt;&gt; ~/K100/condorfail.txt</v>
      </c>
    </row>
    <row r="456" spans="1:21">
      <c r="A456" s="179" t="s">
        <v>5883</v>
      </c>
      <c r="G456" s="74"/>
      <c r="K456" s="180"/>
      <c r="M456" t="s">
        <v>5593</v>
      </c>
      <c r="N456" t="s">
        <v>5571</v>
      </c>
      <c r="O456" t="s">
        <v>4927</v>
      </c>
      <c r="Q456" t="str">
        <f t="shared" si="41"/>
        <v>condorProc.py --series 07180812_1726 --donoise  --dumps a --procenv environments/pymidas_HVHV_NaI_mf.env</v>
      </c>
      <c r="U456" t="str">
        <f t="shared" si="39"/>
        <v>ls -l 07180812_1726/ | grep grad &gt;&gt; ~/K100/condorfail.txt</v>
      </c>
    </row>
    <row r="457" spans="1:21">
      <c r="A457" s="181" t="s">
        <v>5884</v>
      </c>
      <c r="B457" s="65"/>
      <c r="C457" s="65"/>
      <c r="D457" s="65"/>
      <c r="E457" s="65"/>
      <c r="F457" s="65"/>
      <c r="G457" s="189"/>
      <c r="H457" s="65"/>
      <c r="I457" s="65" t="s">
        <v>75</v>
      </c>
      <c r="J457" s="65"/>
      <c r="K457" s="182"/>
      <c r="M457" t="s">
        <v>5593</v>
      </c>
      <c r="N457" t="s">
        <v>5571</v>
      </c>
      <c r="O457" t="s">
        <v>4927</v>
      </c>
      <c r="Q457" t="str">
        <f t="shared" si="41"/>
        <v>condorProc.py --series 07180812_1736 --donoise  --dumps a --procenv environments/pymidas_HVHV_NaI_mf.env</v>
      </c>
      <c r="U457" t="str">
        <f t="shared" si="39"/>
        <v>ls -l 07180812_1736/ | grep grad &gt;&gt; ~/K100/condorfail.txt</v>
      </c>
    </row>
    <row r="458" spans="1:21">
      <c r="A458" s="176" t="s">
        <v>5885</v>
      </c>
      <c r="B458" s="177"/>
      <c r="C458" s="177"/>
      <c r="D458" s="177"/>
      <c r="E458" s="177"/>
      <c r="F458" s="177">
        <v>10</v>
      </c>
      <c r="G458" s="188" t="s">
        <v>2248</v>
      </c>
      <c r="H458" s="177">
        <v>40</v>
      </c>
      <c r="I458" s="177"/>
      <c r="J458" s="177" t="s">
        <v>5577</v>
      </c>
      <c r="K458" s="178" t="s">
        <v>5583</v>
      </c>
      <c r="M458" t="s">
        <v>5593</v>
      </c>
      <c r="N458" t="s">
        <v>5571</v>
      </c>
      <c r="O458" t="s">
        <v>4927</v>
      </c>
      <c r="Q458" t="str">
        <f t="shared" si="41"/>
        <v>condorProc.py --series 07180812_1825 --donoise  --dumps a --procenv environments/pymidas_HVHV_NaI_mf.env</v>
      </c>
      <c r="U458" t="str">
        <f t="shared" si="39"/>
        <v>ls -l 07180812_1825/ | grep grad &gt;&gt; ~/K100/condorfail.txt</v>
      </c>
    </row>
    <row r="459" spans="1:21">
      <c r="A459" s="179" t="s">
        <v>5886</v>
      </c>
      <c r="G459" s="74"/>
      <c r="J459" t="s">
        <v>5585</v>
      </c>
      <c r="K459" s="180" t="s">
        <v>5671</v>
      </c>
      <c r="M459" t="s">
        <v>5593</v>
      </c>
      <c r="N459" t="s">
        <v>5571</v>
      </c>
      <c r="O459" t="s">
        <v>4927</v>
      </c>
      <c r="Q459" t="str">
        <f t="shared" ref="Q459:Q470" si="42">"condorProc.py --series "&amp;A459&amp;" --donoise  --dumps a --procenv environments/pymidas_HVHV_NaI_mf.env"</f>
        <v>condorProc.py --series 07180812_1835 --donoise  --dumps a --procenv environments/pymidas_HVHV_NaI_mf.env</v>
      </c>
      <c r="U459" t="str">
        <f t="shared" si="39"/>
        <v>ls -l 07180812_1835/ | grep grad &gt;&gt; ~/K100/condorfail.txt</v>
      </c>
    </row>
    <row r="460" spans="1:21">
      <c r="A460" s="179" t="s">
        <v>5887</v>
      </c>
      <c r="G460" s="74"/>
      <c r="K460" s="187" t="s">
        <v>5673</v>
      </c>
      <c r="M460" t="s">
        <v>5593</v>
      </c>
      <c r="N460" t="s">
        <v>5571</v>
      </c>
      <c r="O460" t="s">
        <v>4927</v>
      </c>
      <c r="Q460" t="str">
        <f t="shared" si="42"/>
        <v>condorProc.py --series 07180812_1846 --donoise  --dumps a --procenv environments/pymidas_HVHV_NaI_mf.env</v>
      </c>
      <c r="U460" t="str">
        <f t="shared" si="39"/>
        <v>ls -l 07180812_1846/ | grep grad &gt;&gt; ~/K100/condorfail.txt</v>
      </c>
    </row>
    <row r="461" spans="1:21">
      <c r="A461" s="179" t="s">
        <v>5888</v>
      </c>
      <c r="G461" s="74"/>
      <c r="K461" s="180"/>
      <c r="M461" t="s">
        <v>5593</v>
      </c>
      <c r="N461" t="s">
        <v>5571</v>
      </c>
      <c r="O461" t="s">
        <v>4927</v>
      </c>
      <c r="Q461" t="str">
        <f t="shared" si="42"/>
        <v>condorProc.py --series 07180812_1856 --donoise  --dumps a --procenv environments/pymidas_HVHV_NaI_mf.env</v>
      </c>
      <c r="U461" t="str">
        <f t="shared" si="39"/>
        <v>ls -l 07180812_1856/ | grep grad &gt;&gt; ~/K100/condorfail.txt</v>
      </c>
    </row>
    <row r="462" spans="1:21">
      <c r="A462" s="179" t="s">
        <v>5889</v>
      </c>
      <c r="G462" s="74"/>
      <c r="K462" s="180"/>
      <c r="M462" t="s">
        <v>5593</v>
      </c>
      <c r="N462" t="s">
        <v>5571</v>
      </c>
      <c r="O462" t="s">
        <v>4927</v>
      </c>
      <c r="Q462" t="str">
        <f t="shared" si="42"/>
        <v>condorProc.py --series 07180812_1906 --donoise  --dumps a --procenv environments/pymidas_HVHV_NaI_mf.env</v>
      </c>
      <c r="U462" t="str">
        <f t="shared" si="39"/>
        <v>ls -l 07180812_1906/ | grep grad &gt;&gt; ~/K100/condorfail.txt</v>
      </c>
    </row>
    <row r="463" spans="1:21">
      <c r="A463" s="179" t="s">
        <v>5890</v>
      </c>
      <c r="G463" s="74"/>
      <c r="K463" s="180"/>
      <c r="M463" t="s">
        <v>5593</v>
      </c>
      <c r="N463" t="s">
        <v>5571</v>
      </c>
      <c r="O463" t="s">
        <v>4927</v>
      </c>
      <c r="Q463" t="str">
        <f t="shared" si="42"/>
        <v>condorProc.py --series 07180812_1916 --donoise  --dumps a --procenv environments/pymidas_HVHV_NaI_mf.env</v>
      </c>
      <c r="U463" t="str">
        <f t="shared" si="39"/>
        <v>ls -l 07180812_1916/ | grep grad &gt;&gt; ~/K100/condorfail.txt</v>
      </c>
    </row>
    <row r="464" spans="1:21">
      <c r="A464" s="179" t="s">
        <v>5891</v>
      </c>
      <c r="G464" s="74"/>
      <c r="K464" s="180"/>
      <c r="M464" t="s">
        <v>5593</v>
      </c>
      <c r="N464" t="s">
        <v>5571</v>
      </c>
      <c r="O464" t="s">
        <v>4927</v>
      </c>
      <c r="Q464" t="str">
        <f t="shared" si="42"/>
        <v>condorProc.py --series 07180812_1926 --donoise  --dumps a --procenv environments/pymidas_HVHV_NaI_mf.env</v>
      </c>
      <c r="U464" t="str">
        <f t="shared" si="39"/>
        <v>ls -l 07180812_1926/ | grep grad &gt;&gt; ~/K100/condorfail.txt</v>
      </c>
    </row>
    <row r="465" spans="1:21">
      <c r="A465" s="179" t="s">
        <v>5892</v>
      </c>
      <c r="G465" s="74"/>
      <c r="K465" s="180"/>
      <c r="M465" t="s">
        <v>5593</v>
      </c>
      <c r="N465" t="s">
        <v>5571</v>
      </c>
      <c r="O465" t="s">
        <v>4927</v>
      </c>
      <c r="Q465" t="str">
        <f t="shared" si="42"/>
        <v>condorProc.py --series 07180812_1936 --donoise  --dumps a --procenv environments/pymidas_HVHV_NaI_mf.env</v>
      </c>
      <c r="U465" t="str">
        <f t="shared" si="39"/>
        <v>ls -l 07180812_1936/ | grep grad &gt;&gt; ~/K100/condorfail.txt</v>
      </c>
    </row>
    <row r="466" spans="1:21">
      <c r="A466" s="179" t="s">
        <v>5893</v>
      </c>
      <c r="G466" s="74"/>
      <c r="K466" s="180"/>
      <c r="M466" t="s">
        <v>5593</v>
      </c>
      <c r="N466" t="s">
        <v>5571</v>
      </c>
      <c r="O466" t="s">
        <v>4927</v>
      </c>
      <c r="Q466" t="str">
        <f t="shared" si="42"/>
        <v>condorProc.py --series 07180812_1946 --donoise  --dumps a --procenv environments/pymidas_HVHV_NaI_mf.env</v>
      </c>
      <c r="U466" t="str">
        <f t="shared" si="39"/>
        <v>ls -l 07180812_1946/ | grep grad &gt;&gt; ~/K100/condorfail.txt</v>
      </c>
    </row>
    <row r="467" spans="1:21">
      <c r="A467" s="179" t="s">
        <v>5894</v>
      </c>
      <c r="G467" s="74"/>
      <c r="K467" s="180"/>
      <c r="M467" t="s">
        <v>5593</v>
      </c>
      <c r="N467" t="s">
        <v>5571</v>
      </c>
      <c r="O467" t="s">
        <v>4927</v>
      </c>
      <c r="Q467" t="str">
        <f t="shared" si="42"/>
        <v>condorProc.py --series 07180812_1956 --donoise  --dumps a --procenv environments/pymidas_HVHV_NaI_mf.env</v>
      </c>
      <c r="U467" t="str">
        <f t="shared" si="39"/>
        <v>ls -l 07180812_1956/ | grep grad &gt;&gt; ~/K100/condorfail.txt</v>
      </c>
    </row>
    <row r="468" spans="1:21">
      <c r="A468" s="179" t="s">
        <v>5895</v>
      </c>
      <c r="G468" s="74"/>
      <c r="K468" s="180"/>
      <c r="M468" t="s">
        <v>5593</v>
      </c>
      <c r="N468" t="s">
        <v>5571</v>
      </c>
      <c r="O468" t="s">
        <v>4927</v>
      </c>
      <c r="Q468" t="str">
        <f t="shared" si="42"/>
        <v>condorProc.py --series 07180812_2006 --donoise  --dumps a --procenv environments/pymidas_HVHV_NaI_mf.env</v>
      </c>
      <c r="U468" t="str">
        <f t="shared" si="39"/>
        <v>ls -l 07180812_2006/ | grep grad &gt;&gt; ~/K100/condorfail.txt</v>
      </c>
    </row>
    <row r="469" spans="1:21">
      <c r="A469" s="181" t="s">
        <v>5896</v>
      </c>
      <c r="B469" s="65"/>
      <c r="C469" s="65"/>
      <c r="D469" s="65"/>
      <c r="E469" s="65"/>
      <c r="F469" s="65"/>
      <c r="G469" s="189"/>
      <c r="H469" s="65"/>
      <c r="I469" s="65" t="s">
        <v>75</v>
      </c>
      <c r="J469" s="65"/>
      <c r="K469" s="182"/>
      <c r="M469" t="s">
        <v>5593</v>
      </c>
      <c r="N469" t="s">
        <v>5571</v>
      </c>
      <c r="O469" t="s">
        <v>4927</v>
      </c>
      <c r="Q469" t="str">
        <f t="shared" si="42"/>
        <v>condorProc.py --series 07180812_2017 --donoise  --dumps a --procenv environments/pymidas_HVHV_NaI_mf.env</v>
      </c>
      <c r="U469" t="str">
        <f t="shared" si="39"/>
        <v>ls -l 07180812_2017/ | grep grad &gt;&gt; ~/K100/condorfail.txt</v>
      </c>
    </row>
    <row r="470" spans="1:21">
      <c r="A470" s="176" t="s">
        <v>5897</v>
      </c>
      <c r="B470" s="177"/>
      <c r="C470" s="177"/>
      <c r="D470" s="177"/>
      <c r="E470" s="177"/>
      <c r="F470" s="177">
        <v>10</v>
      </c>
      <c r="G470" s="188" t="s">
        <v>2248</v>
      </c>
      <c r="H470" s="177">
        <v>40</v>
      </c>
      <c r="I470" s="177"/>
      <c r="J470" s="177" t="s">
        <v>5577</v>
      </c>
      <c r="K470" s="178" t="s">
        <v>5583</v>
      </c>
      <c r="M470" t="s">
        <v>5593</v>
      </c>
      <c r="N470" t="s">
        <v>5571</v>
      </c>
      <c r="O470" t="s">
        <v>4927</v>
      </c>
      <c r="Q470" t="str">
        <f t="shared" si="42"/>
        <v>condorProc.py --series 07180812_2106 --donoise  --dumps a --procenv environments/pymidas_HVHV_NaI_mf.env</v>
      </c>
      <c r="U470" t="str">
        <f t="shared" si="39"/>
        <v>ls -l 07180812_2106/ | grep grad &gt;&gt; ~/K100/condorfail.txt</v>
      </c>
    </row>
    <row r="471" spans="1:21">
      <c r="A471" s="179" t="s">
        <v>5898</v>
      </c>
      <c r="G471" s="74"/>
      <c r="J471" t="s">
        <v>5585</v>
      </c>
      <c r="K471" s="180" t="s">
        <v>5671</v>
      </c>
      <c r="M471" t="s">
        <v>5593</v>
      </c>
      <c r="N471" t="s">
        <v>5571</v>
      </c>
      <c r="O471" t="s">
        <v>4927</v>
      </c>
      <c r="Q471" t="str">
        <f t="shared" ref="Q471:Q482" si="43">"condorProc.py --series "&amp;A471&amp;" --donoise  --dumps a --procenv environments/pymidas_HVHV_NaI_mf.env"</f>
        <v>condorProc.py --series 07180812_2116 --donoise  --dumps a --procenv environments/pymidas_HVHV_NaI_mf.env</v>
      </c>
      <c r="U471" t="str">
        <f t="shared" si="39"/>
        <v>ls -l 07180812_2116/ | grep grad &gt;&gt; ~/K100/condorfail.txt</v>
      </c>
    </row>
    <row r="472" spans="1:21">
      <c r="A472" s="179" t="s">
        <v>5899</v>
      </c>
      <c r="G472" s="74"/>
      <c r="K472" s="187" t="s">
        <v>5673</v>
      </c>
      <c r="M472" t="s">
        <v>5593</v>
      </c>
      <c r="N472" t="s">
        <v>5571</v>
      </c>
      <c r="O472" t="s">
        <v>4927</v>
      </c>
      <c r="Q472" t="str">
        <f t="shared" si="43"/>
        <v>condorProc.py --series 07180812_2126 --donoise  --dumps a --procenv environments/pymidas_HVHV_NaI_mf.env</v>
      </c>
      <c r="U472" t="str">
        <f t="shared" si="39"/>
        <v>ls -l 07180812_2126/ | grep grad &gt;&gt; ~/K100/condorfail.txt</v>
      </c>
    </row>
    <row r="473" spans="1:21">
      <c r="A473" s="179" t="s">
        <v>5900</v>
      </c>
      <c r="G473" s="74"/>
      <c r="K473" s="180"/>
      <c r="M473" t="s">
        <v>5593</v>
      </c>
      <c r="N473" t="s">
        <v>5571</v>
      </c>
      <c r="O473" t="s">
        <v>4927</v>
      </c>
      <c r="Q473" t="str">
        <f t="shared" si="43"/>
        <v>condorProc.py --series 07180812_2136 --donoise  --dumps a --procenv environments/pymidas_HVHV_NaI_mf.env</v>
      </c>
      <c r="U473" t="str">
        <f t="shared" si="39"/>
        <v>ls -l 07180812_2136/ | grep grad &gt;&gt; ~/K100/condorfail.txt</v>
      </c>
    </row>
    <row r="474" spans="1:21">
      <c r="A474" s="179" t="s">
        <v>5901</v>
      </c>
      <c r="G474" s="74"/>
      <c r="K474" s="180"/>
      <c r="M474" t="s">
        <v>5593</v>
      </c>
      <c r="N474" t="s">
        <v>5571</v>
      </c>
      <c r="O474" t="s">
        <v>4927</v>
      </c>
      <c r="Q474" t="str">
        <f t="shared" si="43"/>
        <v>condorProc.py --series 07180812_2146 --donoise  --dumps a --procenv environments/pymidas_HVHV_NaI_mf.env</v>
      </c>
      <c r="U474" t="str">
        <f t="shared" si="39"/>
        <v>ls -l 07180812_2146/ | grep grad &gt;&gt; ~/K100/condorfail.txt</v>
      </c>
    </row>
    <row r="475" spans="1:21">
      <c r="A475" s="179" t="s">
        <v>5902</v>
      </c>
      <c r="G475" s="74"/>
      <c r="K475" s="180"/>
      <c r="M475" t="s">
        <v>5593</v>
      </c>
      <c r="N475" t="s">
        <v>5571</v>
      </c>
      <c r="O475" t="s">
        <v>4927</v>
      </c>
      <c r="Q475" t="str">
        <f t="shared" si="43"/>
        <v>condorProc.py --series 07180812_2156 --donoise  --dumps a --procenv environments/pymidas_HVHV_NaI_mf.env</v>
      </c>
      <c r="U475" t="str">
        <f t="shared" si="39"/>
        <v>ls -l 07180812_2156/ | grep grad &gt;&gt; ~/K100/condorfail.txt</v>
      </c>
    </row>
    <row r="476" spans="1:21">
      <c r="A476" s="179" t="s">
        <v>5903</v>
      </c>
      <c r="G476" s="74"/>
      <c r="K476" s="180"/>
      <c r="M476" t="s">
        <v>5593</v>
      </c>
      <c r="N476" t="s">
        <v>5571</v>
      </c>
      <c r="O476" t="s">
        <v>4927</v>
      </c>
      <c r="Q476" t="str">
        <f t="shared" si="43"/>
        <v>condorProc.py --series 07180812_2206 --donoise  --dumps a --procenv environments/pymidas_HVHV_NaI_mf.env</v>
      </c>
      <c r="U476" t="str">
        <f t="shared" si="39"/>
        <v>ls -l 07180812_2206/ | grep grad &gt;&gt; ~/K100/condorfail.txt</v>
      </c>
    </row>
    <row r="477" spans="1:21">
      <c r="A477" s="179" t="s">
        <v>5904</v>
      </c>
      <c r="G477" s="74"/>
      <c r="K477" s="180"/>
      <c r="M477" t="s">
        <v>5593</v>
      </c>
      <c r="N477" t="s">
        <v>5571</v>
      </c>
      <c r="O477" t="s">
        <v>4927</v>
      </c>
      <c r="Q477" t="str">
        <f t="shared" si="43"/>
        <v>condorProc.py --series 07180812_2217 --donoise  --dumps a --procenv environments/pymidas_HVHV_NaI_mf.env</v>
      </c>
      <c r="U477" t="str">
        <f t="shared" si="39"/>
        <v>ls -l 07180812_2217/ | grep grad &gt;&gt; ~/K100/condorfail.txt</v>
      </c>
    </row>
    <row r="478" spans="1:21">
      <c r="A478" s="179" t="s">
        <v>5905</v>
      </c>
      <c r="G478" s="74"/>
      <c r="K478" s="180"/>
      <c r="M478" t="s">
        <v>5593</v>
      </c>
      <c r="N478" t="s">
        <v>5571</v>
      </c>
      <c r="O478" t="s">
        <v>4927</v>
      </c>
      <c r="Q478" t="str">
        <f t="shared" si="43"/>
        <v>condorProc.py --series 07180812_2227 --donoise  --dumps a --procenv environments/pymidas_HVHV_NaI_mf.env</v>
      </c>
      <c r="U478" t="str">
        <f t="shared" si="39"/>
        <v>ls -l 07180812_2227/ | grep grad &gt;&gt; ~/K100/condorfail.txt</v>
      </c>
    </row>
    <row r="479" spans="1:21">
      <c r="A479" s="179" t="s">
        <v>5906</v>
      </c>
      <c r="G479" s="74"/>
      <c r="K479" s="180"/>
      <c r="M479" t="s">
        <v>5593</v>
      </c>
      <c r="N479" t="s">
        <v>5571</v>
      </c>
      <c r="O479" t="s">
        <v>4927</v>
      </c>
      <c r="Q479" t="str">
        <f t="shared" si="43"/>
        <v>condorProc.py --series 07180812_2237 --donoise  --dumps a --procenv environments/pymidas_HVHV_NaI_mf.env</v>
      </c>
      <c r="U479" t="str">
        <f t="shared" si="39"/>
        <v>ls -l 07180812_2237/ | grep grad &gt;&gt; ~/K100/condorfail.txt</v>
      </c>
    </row>
    <row r="480" spans="1:21">
      <c r="A480" s="179" t="s">
        <v>5907</v>
      </c>
      <c r="G480" s="74"/>
      <c r="K480" s="180"/>
      <c r="M480" t="s">
        <v>5593</v>
      </c>
      <c r="N480" t="s">
        <v>5571</v>
      </c>
      <c r="O480" t="s">
        <v>4927</v>
      </c>
      <c r="Q480" t="str">
        <f t="shared" si="43"/>
        <v>condorProc.py --series 07180812_2247 --donoise  --dumps a --procenv environments/pymidas_HVHV_NaI_mf.env</v>
      </c>
      <c r="U480" t="str">
        <f t="shared" si="39"/>
        <v>ls -l 07180812_2247/ | grep grad &gt;&gt; ~/K100/condorfail.txt</v>
      </c>
    </row>
    <row r="481" spans="1:21">
      <c r="A481" s="181" t="s">
        <v>5908</v>
      </c>
      <c r="B481" s="65"/>
      <c r="C481" s="65"/>
      <c r="D481" s="65"/>
      <c r="E481" s="65"/>
      <c r="F481" s="65"/>
      <c r="G481" s="189"/>
      <c r="H481" s="65"/>
      <c r="I481" s="65" t="s">
        <v>75</v>
      </c>
      <c r="J481" s="65"/>
      <c r="K481" s="182"/>
      <c r="M481" t="s">
        <v>5593</v>
      </c>
      <c r="N481" t="s">
        <v>5571</v>
      </c>
      <c r="O481" t="s">
        <v>4927</v>
      </c>
      <c r="Q481" t="str">
        <f t="shared" si="43"/>
        <v>condorProc.py --series 07180812_2257 --donoise  --dumps a --procenv environments/pymidas_HVHV_NaI_mf.env</v>
      </c>
      <c r="U481" t="str">
        <f t="shared" si="39"/>
        <v>ls -l 07180812_2257/ | grep grad &gt;&gt; ~/K100/condorfail.txt</v>
      </c>
    </row>
    <row r="482" spans="1:21">
      <c r="A482" s="176" t="s">
        <v>5909</v>
      </c>
      <c r="B482" s="177"/>
      <c r="C482" s="177"/>
      <c r="D482" s="177"/>
      <c r="E482" s="177"/>
      <c r="F482" s="177">
        <v>10</v>
      </c>
      <c r="G482" s="188" t="s">
        <v>2248</v>
      </c>
      <c r="H482" s="177">
        <v>40</v>
      </c>
      <c r="I482" s="177"/>
      <c r="J482" s="177" t="s">
        <v>5577</v>
      </c>
      <c r="K482" s="178" t="s">
        <v>5583</v>
      </c>
      <c r="M482" t="s">
        <v>5593</v>
      </c>
      <c r="N482" t="s">
        <v>5571</v>
      </c>
      <c r="O482" t="s">
        <v>4927</v>
      </c>
      <c r="Q482" t="str">
        <f t="shared" si="43"/>
        <v>condorProc.py --series 07180813_0958 --donoise  --dumps a --procenv environments/pymidas_HVHV_NaI_mf.env</v>
      </c>
      <c r="U482" t="str">
        <f t="shared" si="39"/>
        <v>ls -l 07180813_0958/ | grep grad &gt;&gt; ~/K100/condorfail.txt</v>
      </c>
    </row>
    <row r="483" spans="1:21">
      <c r="A483" s="179" t="s">
        <v>5910</v>
      </c>
      <c r="G483" s="74"/>
      <c r="J483" t="s">
        <v>5585</v>
      </c>
      <c r="K483" s="180" t="s">
        <v>5671</v>
      </c>
      <c r="M483" t="s">
        <v>5593</v>
      </c>
      <c r="N483" t="s">
        <v>5571</v>
      </c>
      <c r="O483" t="s">
        <v>4927</v>
      </c>
      <c r="Q483" t="str">
        <f t="shared" ref="Q483:Q494" si="44">"condorProc.py --series "&amp;A483&amp;" --donoise  --dumps a --procenv environments/pymidas_HVHV_NaI_mf.env"</f>
        <v>condorProc.py --series 07180813_1008 --donoise  --dumps a --procenv environments/pymidas_HVHV_NaI_mf.env</v>
      </c>
      <c r="U483" t="str">
        <f t="shared" si="39"/>
        <v>ls -l 07180813_1008/ | grep grad &gt;&gt; ~/K100/condorfail.txt</v>
      </c>
    </row>
    <row r="484" spans="1:21">
      <c r="A484" s="179" t="s">
        <v>5911</v>
      </c>
      <c r="G484" s="74"/>
      <c r="K484" s="187" t="s">
        <v>5673</v>
      </c>
      <c r="M484" t="s">
        <v>5593</v>
      </c>
      <c r="N484" t="s">
        <v>5571</v>
      </c>
      <c r="O484" t="s">
        <v>4927</v>
      </c>
      <c r="Q484" t="str">
        <f t="shared" si="44"/>
        <v>condorProc.py --series 07180813_1018 --donoise  --dumps a --procenv environments/pymidas_HVHV_NaI_mf.env</v>
      </c>
      <c r="U484" t="str">
        <f t="shared" si="39"/>
        <v>ls -l 07180813_1018/ | grep grad &gt;&gt; ~/K100/condorfail.txt</v>
      </c>
    </row>
    <row r="485" spans="1:21">
      <c r="A485" s="179" t="s">
        <v>5912</v>
      </c>
      <c r="G485" s="74"/>
      <c r="K485" s="180"/>
      <c r="M485" t="s">
        <v>5593</v>
      </c>
      <c r="N485" t="s">
        <v>5571</v>
      </c>
      <c r="O485" t="s">
        <v>4927</v>
      </c>
      <c r="Q485" t="str">
        <f t="shared" si="44"/>
        <v>condorProc.py --series 07180813_1028 --donoise  --dumps a --procenv environments/pymidas_HVHV_NaI_mf.env</v>
      </c>
      <c r="U485" t="str">
        <f t="shared" si="39"/>
        <v>ls -l 07180813_1028/ | grep grad &gt;&gt; ~/K100/condorfail.txt</v>
      </c>
    </row>
    <row r="486" spans="1:21">
      <c r="A486" s="179" t="s">
        <v>5913</v>
      </c>
      <c r="G486" s="74"/>
      <c r="K486" s="180"/>
      <c r="M486" t="s">
        <v>5593</v>
      </c>
      <c r="N486" t="s">
        <v>5571</v>
      </c>
      <c r="O486" t="s">
        <v>4927</v>
      </c>
      <c r="Q486" t="str">
        <f t="shared" si="44"/>
        <v>condorProc.py --series 07180813_1038 --donoise  --dumps a --procenv environments/pymidas_HVHV_NaI_mf.env</v>
      </c>
      <c r="U486" t="str">
        <f t="shared" si="39"/>
        <v>ls -l 07180813_1038/ | grep grad &gt;&gt; ~/K100/condorfail.txt</v>
      </c>
    </row>
    <row r="487" spans="1:21">
      <c r="A487" s="179" t="s">
        <v>5914</v>
      </c>
      <c r="G487" s="74"/>
      <c r="K487" s="180"/>
      <c r="M487" t="s">
        <v>5593</v>
      </c>
      <c r="N487" t="s">
        <v>5571</v>
      </c>
      <c r="O487" t="s">
        <v>4927</v>
      </c>
      <c r="Q487" t="str">
        <f t="shared" si="44"/>
        <v>condorProc.py --series 07180813_1048 --donoise  --dumps a --procenv environments/pymidas_HVHV_NaI_mf.env</v>
      </c>
      <c r="U487" t="str">
        <f t="shared" si="39"/>
        <v>ls -l 07180813_1048/ | grep grad &gt;&gt; ~/K100/condorfail.txt</v>
      </c>
    </row>
    <row r="488" spans="1:21">
      <c r="A488" s="179" t="s">
        <v>5915</v>
      </c>
      <c r="G488" s="74"/>
      <c r="K488" s="180"/>
      <c r="M488" t="s">
        <v>5593</v>
      </c>
      <c r="N488" t="s">
        <v>5571</v>
      </c>
      <c r="O488" t="s">
        <v>4927</v>
      </c>
      <c r="Q488" t="str">
        <f t="shared" si="44"/>
        <v>condorProc.py --series 07180813_1058 --donoise  --dumps a --procenv environments/pymidas_HVHV_NaI_mf.env</v>
      </c>
      <c r="U488" t="str">
        <f t="shared" si="39"/>
        <v>ls -l 07180813_1058/ | grep grad &gt;&gt; ~/K100/condorfail.txt</v>
      </c>
    </row>
    <row r="489" spans="1:21">
      <c r="A489" s="179" t="s">
        <v>5916</v>
      </c>
      <c r="G489" s="74"/>
      <c r="K489" s="180"/>
      <c r="M489" t="s">
        <v>5593</v>
      </c>
      <c r="N489" t="s">
        <v>5571</v>
      </c>
      <c r="O489" t="s">
        <v>4927</v>
      </c>
      <c r="Q489" t="str">
        <f t="shared" si="44"/>
        <v>condorProc.py --series 07180813_1108 --donoise  --dumps a --procenv environments/pymidas_HVHV_NaI_mf.env</v>
      </c>
      <c r="U489" t="str">
        <f t="shared" si="39"/>
        <v>ls -l 07180813_1108/ | grep grad &gt;&gt; ~/K100/condorfail.txt</v>
      </c>
    </row>
    <row r="490" spans="1:21">
      <c r="A490" s="179" t="s">
        <v>5917</v>
      </c>
      <c r="G490" s="74"/>
      <c r="K490" s="180"/>
      <c r="M490" t="s">
        <v>5593</v>
      </c>
      <c r="N490" t="s">
        <v>5571</v>
      </c>
      <c r="O490" t="s">
        <v>4927</v>
      </c>
      <c r="Q490" t="str">
        <f t="shared" si="44"/>
        <v>condorProc.py --series 07180813_1118 --donoise  --dumps a --procenv environments/pymidas_HVHV_NaI_mf.env</v>
      </c>
      <c r="U490" t="str">
        <f t="shared" ref="U490:U523" si="45">"ls -l "&amp;A490&amp;"/ | grep grad &gt;&gt; ~/K100/condorfail.txt"</f>
        <v>ls -l 07180813_1118/ | grep grad &gt;&gt; ~/K100/condorfail.txt</v>
      </c>
    </row>
    <row r="491" spans="1:21">
      <c r="A491" s="179" t="s">
        <v>5918</v>
      </c>
      <c r="G491" s="74"/>
      <c r="K491" s="180"/>
      <c r="M491" t="s">
        <v>5593</v>
      </c>
      <c r="N491" t="s">
        <v>5571</v>
      </c>
      <c r="O491" t="s">
        <v>4927</v>
      </c>
      <c r="Q491" t="str">
        <f t="shared" si="44"/>
        <v>condorProc.py --series 07180813_1129 --donoise  --dumps a --procenv environments/pymidas_HVHV_NaI_mf.env</v>
      </c>
      <c r="U491" t="str">
        <f t="shared" si="45"/>
        <v>ls -l 07180813_1129/ | grep grad &gt;&gt; ~/K100/condorfail.txt</v>
      </c>
    </row>
    <row r="492" spans="1:21">
      <c r="A492" s="179" t="s">
        <v>5919</v>
      </c>
      <c r="G492" s="74"/>
      <c r="K492" s="180"/>
      <c r="M492" t="s">
        <v>5593</v>
      </c>
      <c r="N492" t="s">
        <v>5571</v>
      </c>
      <c r="O492" t="s">
        <v>4927</v>
      </c>
      <c r="Q492" t="str">
        <f t="shared" si="44"/>
        <v>condorProc.py --series 07180813_1139 --donoise  --dumps a --procenv environments/pymidas_HVHV_NaI_mf.env</v>
      </c>
      <c r="U492" t="str">
        <f t="shared" si="45"/>
        <v>ls -l 07180813_1139/ | grep grad &gt;&gt; ~/K100/condorfail.txt</v>
      </c>
    </row>
    <row r="493" spans="1:21">
      <c r="A493" s="181" t="s">
        <v>5920</v>
      </c>
      <c r="B493" s="65"/>
      <c r="C493" s="65"/>
      <c r="D493" s="65"/>
      <c r="E493" s="65"/>
      <c r="F493" s="65"/>
      <c r="G493" s="189"/>
      <c r="H493" s="65"/>
      <c r="I493" s="65" t="s">
        <v>75</v>
      </c>
      <c r="J493" s="65"/>
      <c r="K493" s="182"/>
      <c r="M493" t="s">
        <v>5593</v>
      </c>
      <c r="N493" t="s">
        <v>5571</v>
      </c>
      <c r="O493" t="s">
        <v>4927</v>
      </c>
      <c r="Q493" t="str">
        <f t="shared" si="44"/>
        <v>condorProc.py --series 07180813_1149 --donoise  --dumps a --procenv environments/pymidas_HVHV_NaI_mf.env</v>
      </c>
      <c r="U493" t="str">
        <f t="shared" si="45"/>
        <v>ls -l 07180813_1149/ | grep grad &gt;&gt; ~/K100/condorfail.txt</v>
      </c>
    </row>
    <row r="494" spans="1:21">
      <c r="A494" s="176" t="s">
        <v>5921</v>
      </c>
      <c r="B494" s="177"/>
      <c r="C494" s="177"/>
      <c r="D494" s="177"/>
      <c r="E494" s="177"/>
      <c r="F494" s="177">
        <v>10</v>
      </c>
      <c r="G494" s="188" t="s">
        <v>2248</v>
      </c>
      <c r="H494" s="177">
        <v>40</v>
      </c>
      <c r="I494" s="177"/>
      <c r="J494" s="177" t="s">
        <v>5577</v>
      </c>
      <c r="K494" s="178" t="s">
        <v>5583</v>
      </c>
      <c r="M494" t="s">
        <v>5593</v>
      </c>
      <c r="N494" t="s">
        <v>5571</v>
      </c>
      <c r="O494" t="s">
        <v>4927</v>
      </c>
      <c r="Q494" t="str">
        <f t="shared" si="44"/>
        <v>condorProc.py --series 07180813_1238 --donoise  --dumps a --procenv environments/pymidas_HVHV_NaI_mf.env</v>
      </c>
      <c r="U494" t="str">
        <f t="shared" si="45"/>
        <v>ls -l 07180813_1238/ | grep grad &gt;&gt; ~/K100/condorfail.txt</v>
      </c>
    </row>
    <row r="495" spans="1:21">
      <c r="A495" s="179" t="s">
        <v>5922</v>
      </c>
      <c r="G495" s="74"/>
      <c r="J495" t="s">
        <v>5585</v>
      </c>
      <c r="K495" s="180" t="s">
        <v>5671</v>
      </c>
      <c r="M495" t="s">
        <v>5593</v>
      </c>
      <c r="N495" t="s">
        <v>5571</v>
      </c>
      <c r="O495" t="s">
        <v>4927</v>
      </c>
      <c r="Q495" t="str">
        <f t="shared" ref="Q495:Q506" si="46">"condorProc.py --series "&amp;A495&amp;" --donoise  --dumps a --procenv environments/pymidas_HVHV_NaI_mf.env"</f>
        <v>condorProc.py --series 07180813_1248 --donoise  --dumps a --procenv environments/pymidas_HVHV_NaI_mf.env</v>
      </c>
      <c r="U495" t="str">
        <f t="shared" si="45"/>
        <v>ls -l 07180813_1248/ | grep grad &gt;&gt; ~/K100/condorfail.txt</v>
      </c>
    </row>
    <row r="496" spans="1:21">
      <c r="A496" s="179" t="s">
        <v>5923</v>
      </c>
      <c r="G496" s="74"/>
      <c r="K496" s="187" t="s">
        <v>5673</v>
      </c>
      <c r="M496" t="s">
        <v>5593</v>
      </c>
      <c r="N496" t="s">
        <v>5571</v>
      </c>
      <c r="O496" t="s">
        <v>4927</v>
      </c>
      <c r="Q496" t="str">
        <f t="shared" si="46"/>
        <v>condorProc.py --series 07180813_1259 --donoise  --dumps a --procenv environments/pymidas_HVHV_NaI_mf.env</v>
      </c>
      <c r="U496" t="str">
        <f t="shared" si="45"/>
        <v>ls -l 07180813_1259/ | grep grad &gt;&gt; ~/K100/condorfail.txt</v>
      </c>
    </row>
    <row r="497" spans="1:21">
      <c r="A497" s="179" t="s">
        <v>5924</v>
      </c>
      <c r="G497" s="74"/>
      <c r="K497" s="180"/>
      <c r="M497" t="s">
        <v>5593</v>
      </c>
      <c r="N497" t="s">
        <v>5571</v>
      </c>
      <c r="O497" t="s">
        <v>4927</v>
      </c>
      <c r="Q497" t="str">
        <f t="shared" si="46"/>
        <v>condorProc.py --series 07180813_1309 --donoise  --dumps a --procenv environments/pymidas_HVHV_NaI_mf.env</v>
      </c>
      <c r="U497" t="str">
        <f t="shared" si="45"/>
        <v>ls -l 07180813_1309/ | grep grad &gt;&gt; ~/K100/condorfail.txt</v>
      </c>
    </row>
    <row r="498" spans="1:21">
      <c r="A498" s="179" t="s">
        <v>5925</v>
      </c>
      <c r="G498" s="74"/>
      <c r="K498" s="180"/>
      <c r="M498" t="s">
        <v>5593</v>
      </c>
      <c r="N498" t="s">
        <v>5571</v>
      </c>
      <c r="O498" t="s">
        <v>4927</v>
      </c>
      <c r="Q498" t="str">
        <f t="shared" si="46"/>
        <v>condorProc.py --series 07180813_1319 --donoise  --dumps a --procenv environments/pymidas_HVHV_NaI_mf.env</v>
      </c>
      <c r="U498" t="str">
        <f t="shared" si="45"/>
        <v>ls -l 07180813_1319/ | grep grad &gt;&gt; ~/K100/condorfail.txt</v>
      </c>
    </row>
    <row r="499" spans="1:21">
      <c r="A499" s="179" t="s">
        <v>5926</v>
      </c>
      <c r="G499" s="74"/>
      <c r="K499" s="180"/>
      <c r="M499" t="s">
        <v>5593</v>
      </c>
      <c r="N499" t="s">
        <v>5571</v>
      </c>
      <c r="O499" t="s">
        <v>4927</v>
      </c>
      <c r="Q499" t="str">
        <f t="shared" si="46"/>
        <v>condorProc.py --series 07180813_1329 --donoise  --dumps a --procenv environments/pymidas_HVHV_NaI_mf.env</v>
      </c>
      <c r="U499" t="str">
        <f t="shared" si="45"/>
        <v>ls -l 07180813_1329/ | grep grad &gt;&gt; ~/K100/condorfail.txt</v>
      </c>
    </row>
    <row r="500" spans="1:21">
      <c r="A500" s="179" t="s">
        <v>5927</v>
      </c>
      <c r="G500" s="74"/>
      <c r="K500" s="180"/>
      <c r="M500" t="s">
        <v>5593</v>
      </c>
      <c r="N500" t="s">
        <v>5571</v>
      </c>
      <c r="O500" t="s">
        <v>4927</v>
      </c>
      <c r="Q500" t="str">
        <f t="shared" si="46"/>
        <v>condorProc.py --series 07180813_1339 --donoise  --dumps a --procenv environments/pymidas_HVHV_NaI_mf.env</v>
      </c>
      <c r="U500" t="str">
        <f t="shared" si="45"/>
        <v>ls -l 07180813_1339/ | grep grad &gt;&gt; ~/K100/condorfail.txt</v>
      </c>
    </row>
    <row r="501" spans="1:21">
      <c r="A501" s="179" t="s">
        <v>5928</v>
      </c>
      <c r="G501" s="74"/>
      <c r="K501" s="180"/>
      <c r="M501" t="s">
        <v>5593</v>
      </c>
      <c r="N501" t="s">
        <v>5571</v>
      </c>
      <c r="O501" t="s">
        <v>4927</v>
      </c>
      <c r="Q501" t="str">
        <f t="shared" si="46"/>
        <v>condorProc.py --series 07180813_1349 --donoise  --dumps a --procenv environments/pymidas_HVHV_NaI_mf.env</v>
      </c>
      <c r="U501" t="str">
        <f t="shared" si="45"/>
        <v>ls -l 07180813_1349/ | grep grad &gt;&gt; ~/K100/condorfail.txt</v>
      </c>
    </row>
    <row r="502" spans="1:21">
      <c r="A502" s="179" t="s">
        <v>5929</v>
      </c>
      <c r="G502" s="74"/>
      <c r="K502" s="180"/>
      <c r="M502" t="s">
        <v>5593</v>
      </c>
      <c r="N502" t="s">
        <v>5571</v>
      </c>
      <c r="O502" t="s">
        <v>4927</v>
      </c>
      <c r="Q502" t="str">
        <f t="shared" si="46"/>
        <v>condorProc.py --series 07180813_1359 --donoise  --dumps a --procenv environments/pymidas_HVHV_NaI_mf.env</v>
      </c>
      <c r="U502" t="str">
        <f t="shared" si="45"/>
        <v>ls -l 07180813_1359/ | grep grad &gt;&gt; ~/K100/condorfail.txt</v>
      </c>
    </row>
    <row r="503" spans="1:21">
      <c r="A503" s="179" t="s">
        <v>5930</v>
      </c>
      <c r="G503" s="74"/>
      <c r="K503" s="180"/>
      <c r="M503" t="s">
        <v>5593</v>
      </c>
      <c r="N503" t="s">
        <v>5571</v>
      </c>
      <c r="O503" t="s">
        <v>4927</v>
      </c>
      <c r="Q503" t="str">
        <f t="shared" si="46"/>
        <v>condorProc.py --series 07180813_1409 --donoise  --dumps a --procenv environments/pymidas_HVHV_NaI_mf.env</v>
      </c>
      <c r="U503" t="str">
        <f t="shared" si="45"/>
        <v>ls -l 07180813_1409/ | grep grad &gt;&gt; ~/K100/condorfail.txt</v>
      </c>
    </row>
    <row r="504" spans="1:21">
      <c r="A504" s="179" t="s">
        <v>5931</v>
      </c>
      <c r="G504" s="74"/>
      <c r="K504" s="180"/>
      <c r="M504" t="s">
        <v>5593</v>
      </c>
      <c r="N504" t="s">
        <v>5571</v>
      </c>
      <c r="O504" t="s">
        <v>4927</v>
      </c>
      <c r="Q504" t="str">
        <f t="shared" si="46"/>
        <v>condorProc.py --series 07180813_1419 --donoise  --dumps a --procenv environments/pymidas_HVHV_NaI_mf.env</v>
      </c>
      <c r="U504" t="str">
        <f t="shared" si="45"/>
        <v>ls -l 07180813_1419/ | grep grad &gt;&gt; ~/K100/condorfail.txt</v>
      </c>
    </row>
    <row r="505" spans="1:21">
      <c r="A505" s="181" t="s">
        <v>5932</v>
      </c>
      <c r="B505" s="65"/>
      <c r="C505" s="65"/>
      <c r="D505" s="65"/>
      <c r="E505" s="65"/>
      <c r="F505" s="65"/>
      <c r="G505" s="189"/>
      <c r="H505" s="65"/>
      <c r="I505" s="65" t="s">
        <v>75</v>
      </c>
      <c r="J505" s="65"/>
      <c r="K505" s="182"/>
      <c r="M505" t="s">
        <v>5593</v>
      </c>
      <c r="N505" t="s">
        <v>5571</v>
      </c>
      <c r="O505" t="s">
        <v>4927</v>
      </c>
      <c r="Q505" t="str">
        <f t="shared" si="46"/>
        <v>condorProc.py --series 07180813_1430 --donoise  --dumps a --procenv environments/pymidas_HVHV_NaI_mf.env</v>
      </c>
      <c r="U505" t="str">
        <f t="shared" si="45"/>
        <v>ls -l 07180813_1430/ | grep grad &gt;&gt; ~/K100/condorfail.txt</v>
      </c>
    </row>
    <row r="506" spans="1:21">
      <c r="A506" s="176" t="s">
        <v>5933</v>
      </c>
      <c r="B506" s="177"/>
      <c r="C506" s="177"/>
      <c r="D506" s="177"/>
      <c r="E506" s="177"/>
      <c r="F506" s="177">
        <v>10</v>
      </c>
      <c r="G506" s="188" t="s">
        <v>2248</v>
      </c>
      <c r="H506" s="177">
        <v>40</v>
      </c>
      <c r="I506" s="177"/>
      <c r="J506" s="177" t="s">
        <v>5577</v>
      </c>
      <c r="K506" s="178" t="s">
        <v>5583</v>
      </c>
      <c r="M506" t="s">
        <v>5593</v>
      </c>
      <c r="N506" t="s">
        <v>5571</v>
      </c>
      <c r="O506" t="s">
        <v>4927</v>
      </c>
      <c r="Q506" t="str">
        <f t="shared" si="46"/>
        <v>condorProc.py --series 07180813_1519 --donoise  --dumps a --procenv environments/pymidas_HVHV_NaI_mf.env</v>
      </c>
      <c r="U506" t="str">
        <f t="shared" si="45"/>
        <v>ls -l 07180813_1519/ | grep grad &gt;&gt; ~/K100/condorfail.txt</v>
      </c>
    </row>
    <row r="507" spans="1:21">
      <c r="A507" s="179" t="s">
        <v>5934</v>
      </c>
      <c r="G507" s="74"/>
      <c r="J507" t="s">
        <v>5585</v>
      </c>
      <c r="K507" s="180" t="s">
        <v>5671</v>
      </c>
      <c r="M507" t="s">
        <v>5593</v>
      </c>
      <c r="N507" t="s">
        <v>5571</v>
      </c>
      <c r="O507" t="s">
        <v>4927</v>
      </c>
      <c r="Q507" t="str">
        <f t="shared" ref="Q507:Q518" si="47">"condorProc.py --series "&amp;A507&amp;" --donoise  --dumps a --procenv environments/pymidas_HVHV_NaI_mf.env"</f>
        <v>condorProc.py --series 07180813_1529 --donoise  --dumps a --procenv environments/pymidas_HVHV_NaI_mf.env</v>
      </c>
      <c r="U507" t="str">
        <f t="shared" si="45"/>
        <v>ls -l 07180813_1529/ | grep grad &gt;&gt; ~/K100/condorfail.txt</v>
      </c>
    </row>
    <row r="508" spans="1:21">
      <c r="A508" s="179" t="s">
        <v>5935</v>
      </c>
      <c r="G508" s="74"/>
      <c r="K508" s="187" t="s">
        <v>5673</v>
      </c>
      <c r="M508" t="s">
        <v>5593</v>
      </c>
      <c r="N508" t="s">
        <v>5571</v>
      </c>
      <c r="O508" t="s">
        <v>4927</v>
      </c>
      <c r="Q508" t="str">
        <f t="shared" si="47"/>
        <v>condorProc.py --series 07180813_1539 --donoise  --dumps a --procenv environments/pymidas_HVHV_NaI_mf.env</v>
      </c>
      <c r="U508" t="str">
        <f t="shared" si="45"/>
        <v>ls -l 07180813_1539/ | grep grad &gt;&gt; ~/K100/condorfail.txt</v>
      </c>
    </row>
    <row r="509" spans="1:21">
      <c r="A509" s="179" t="s">
        <v>5936</v>
      </c>
      <c r="G509" s="74"/>
      <c r="K509" s="180"/>
      <c r="M509" t="s">
        <v>5593</v>
      </c>
      <c r="N509" t="s">
        <v>5571</v>
      </c>
      <c r="O509" t="s">
        <v>4927</v>
      </c>
      <c r="Q509" t="str">
        <f t="shared" si="47"/>
        <v>condorProc.py --series 07180813_1549 --donoise  --dumps a --procenv environments/pymidas_HVHV_NaI_mf.env</v>
      </c>
      <c r="U509" t="str">
        <f t="shared" si="45"/>
        <v>ls -l 07180813_1549/ | grep grad &gt;&gt; ~/K100/condorfail.txt</v>
      </c>
    </row>
    <row r="510" spans="1:21">
      <c r="A510" s="179" t="s">
        <v>5937</v>
      </c>
      <c r="G510" s="74"/>
      <c r="K510" s="180"/>
      <c r="M510" t="s">
        <v>5593</v>
      </c>
      <c r="N510" t="s">
        <v>5571</v>
      </c>
      <c r="O510" t="s">
        <v>4927</v>
      </c>
      <c r="Q510" t="str">
        <f t="shared" si="47"/>
        <v>condorProc.py --series 07180813_1559 --donoise  --dumps a --procenv environments/pymidas_HVHV_NaI_mf.env</v>
      </c>
      <c r="U510" t="str">
        <f t="shared" si="45"/>
        <v>ls -l 07180813_1559/ | grep grad &gt;&gt; ~/K100/condorfail.txt</v>
      </c>
    </row>
    <row r="511" spans="1:21">
      <c r="A511" s="179" t="s">
        <v>5938</v>
      </c>
      <c r="G511" s="74"/>
      <c r="K511" s="180"/>
      <c r="M511" t="s">
        <v>5593</v>
      </c>
      <c r="N511" t="s">
        <v>5571</v>
      </c>
      <c r="O511" t="s">
        <v>4927</v>
      </c>
      <c r="Q511" t="str">
        <f t="shared" si="47"/>
        <v>condorProc.py --series 07180813_1610 --donoise  --dumps a --procenv environments/pymidas_HVHV_NaI_mf.env</v>
      </c>
      <c r="U511" t="str">
        <f t="shared" si="45"/>
        <v>ls -l 07180813_1610/ | grep grad &gt;&gt; ~/K100/condorfail.txt</v>
      </c>
    </row>
    <row r="512" spans="1:21">
      <c r="A512" s="179" t="s">
        <v>5939</v>
      </c>
      <c r="G512" s="74"/>
      <c r="K512" s="180"/>
      <c r="M512" t="s">
        <v>5593</v>
      </c>
      <c r="N512" t="s">
        <v>5571</v>
      </c>
      <c r="O512" t="s">
        <v>4927</v>
      </c>
      <c r="Q512" t="str">
        <f t="shared" si="47"/>
        <v>condorProc.py --series 07180813_1620 --donoise  --dumps a --procenv environments/pymidas_HVHV_NaI_mf.env</v>
      </c>
      <c r="U512" t="str">
        <f t="shared" si="45"/>
        <v>ls -l 07180813_1620/ | grep grad &gt;&gt; ~/K100/condorfail.txt</v>
      </c>
    </row>
    <row r="513" spans="1:21">
      <c r="A513" s="179" t="s">
        <v>5940</v>
      </c>
      <c r="G513" s="74"/>
      <c r="K513" s="180"/>
      <c r="M513" t="s">
        <v>5593</v>
      </c>
      <c r="N513" t="s">
        <v>5571</v>
      </c>
      <c r="O513" t="s">
        <v>4927</v>
      </c>
      <c r="Q513" t="str">
        <f t="shared" si="47"/>
        <v>condorProc.py --series 07180813_1630 --donoise  --dumps a --procenv environments/pymidas_HVHV_NaI_mf.env</v>
      </c>
      <c r="U513" t="str">
        <f t="shared" si="45"/>
        <v>ls -l 07180813_1630/ | grep grad &gt;&gt; ~/K100/condorfail.txt</v>
      </c>
    </row>
    <row r="514" spans="1:21">
      <c r="A514" s="179" t="s">
        <v>5941</v>
      </c>
      <c r="G514" s="74"/>
      <c r="K514" s="180"/>
      <c r="M514" t="s">
        <v>5593</v>
      </c>
      <c r="N514" t="s">
        <v>5571</v>
      </c>
      <c r="O514" t="s">
        <v>4927</v>
      </c>
      <c r="Q514" t="str">
        <f t="shared" si="47"/>
        <v>condorProc.py --series 07180813_1640 --donoise  --dumps a --procenv environments/pymidas_HVHV_NaI_mf.env</v>
      </c>
      <c r="U514" t="str">
        <f t="shared" si="45"/>
        <v>ls -l 07180813_1640/ | grep grad &gt;&gt; ~/K100/condorfail.txt</v>
      </c>
    </row>
    <row r="515" spans="1:21">
      <c r="A515" s="179" t="s">
        <v>5942</v>
      </c>
      <c r="G515" s="74"/>
      <c r="K515" s="180"/>
      <c r="M515" t="s">
        <v>5593</v>
      </c>
      <c r="N515" t="s">
        <v>5571</v>
      </c>
      <c r="O515" t="s">
        <v>4927</v>
      </c>
      <c r="Q515" t="str">
        <f t="shared" si="47"/>
        <v>condorProc.py --series 07180813_1650 --donoise  --dumps a --procenv environments/pymidas_HVHV_NaI_mf.env</v>
      </c>
      <c r="U515" t="str">
        <f t="shared" si="45"/>
        <v>ls -l 07180813_1650/ | grep grad &gt;&gt; ~/K100/condorfail.txt</v>
      </c>
    </row>
    <row r="516" spans="1:21">
      <c r="A516" s="179" t="s">
        <v>5943</v>
      </c>
      <c r="G516" s="74"/>
      <c r="K516" s="180"/>
      <c r="M516" t="s">
        <v>5593</v>
      </c>
      <c r="N516" t="s">
        <v>5571</v>
      </c>
      <c r="O516" t="s">
        <v>4927</v>
      </c>
      <c r="Q516" t="str">
        <f t="shared" si="47"/>
        <v>condorProc.py --series 07180813_1700 --donoise  --dumps a --procenv environments/pymidas_HVHV_NaI_mf.env</v>
      </c>
      <c r="U516" t="str">
        <f t="shared" si="45"/>
        <v>ls -l 07180813_1700/ | grep grad &gt;&gt; ~/K100/condorfail.txt</v>
      </c>
    </row>
    <row r="517" spans="1:21">
      <c r="A517" s="181" t="s">
        <v>5944</v>
      </c>
      <c r="B517" s="65"/>
      <c r="C517" s="65"/>
      <c r="D517" s="65"/>
      <c r="E517" s="65"/>
      <c r="F517" s="65"/>
      <c r="G517" s="189"/>
      <c r="H517" s="65"/>
      <c r="I517" s="65" t="s">
        <v>75</v>
      </c>
      <c r="J517" s="65"/>
      <c r="K517" s="182"/>
      <c r="M517" t="s">
        <v>5593</v>
      </c>
      <c r="N517" t="s">
        <v>5571</v>
      </c>
      <c r="O517" t="s">
        <v>4927</v>
      </c>
      <c r="Q517" t="str">
        <f t="shared" si="47"/>
        <v>condorProc.py --series 07180813_1710 --donoise  --dumps a --procenv environments/pymidas_HVHV_NaI_mf.env</v>
      </c>
      <c r="U517" t="str">
        <f t="shared" si="45"/>
        <v>ls -l 07180813_1710/ | grep grad &gt;&gt; ~/K100/condorfail.txt</v>
      </c>
    </row>
    <row r="518" spans="1:21">
      <c r="A518" s="176" t="s">
        <v>5945</v>
      </c>
      <c r="B518" s="177"/>
      <c r="C518" s="177"/>
      <c r="D518" s="177"/>
      <c r="E518" s="177"/>
      <c r="F518" s="177">
        <v>10</v>
      </c>
      <c r="G518" s="188" t="s">
        <v>2248</v>
      </c>
      <c r="H518" s="177">
        <v>40</v>
      </c>
      <c r="I518" s="177" t="s">
        <v>75</v>
      </c>
      <c r="J518" s="177" t="s">
        <v>5577</v>
      </c>
      <c r="K518" s="178" t="s">
        <v>5583</v>
      </c>
      <c r="M518" t="s">
        <v>5593</v>
      </c>
      <c r="N518" t="s">
        <v>5571</v>
      </c>
      <c r="O518" t="s">
        <v>4927</v>
      </c>
      <c r="Q518" t="str">
        <f t="shared" si="47"/>
        <v>condorProc.py --series 07180813_1800 --donoise  --dumps a --procenv environments/pymidas_HVHV_NaI_mf.env</v>
      </c>
      <c r="U518" t="str">
        <f t="shared" si="45"/>
        <v>ls -l 07180813_1800/ | grep grad &gt;&gt; ~/K100/condorfail.txt</v>
      </c>
    </row>
    <row r="519" spans="1:21">
      <c r="A519" s="179" t="s">
        <v>5946</v>
      </c>
      <c r="G519" s="74"/>
      <c r="J519" t="s">
        <v>5585</v>
      </c>
      <c r="K519" s="180" t="s">
        <v>5671</v>
      </c>
      <c r="M519" t="s">
        <v>5593</v>
      </c>
      <c r="N519" t="s">
        <v>5571</v>
      </c>
      <c r="O519" t="s">
        <v>4927</v>
      </c>
      <c r="Q519" t="str">
        <f t="shared" ref="Q519:Q524" si="48">"condorProc.py --series "&amp;A519&amp;" --donoise  --dumps a --procenv environments/pymidas_HVHV_NaI_mf.env"</f>
        <v>condorProc.py --series 07180813_1810 --donoise  --dumps a --procenv environments/pymidas_HVHV_NaI_mf.env</v>
      </c>
      <c r="U519" t="str">
        <f t="shared" si="45"/>
        <v>ls -l 07180813_1810/ | grep grad &gt;&gt; ~/K100/condorfail.txt</v>
      </c>
    </row>
    <row r="520" spans="1:21">
      <c r="A520" s="179" t="s">
        <v>5947</v>
      </c>
      <c r="G520" s="74"/>
      <c r="K520" s="187" t="s">
        <v>5673</v>
      </c>
      <c r="M520" t="s">
        <v>5593</v>
      </c>
      <c r="N520" t="s">
        <v>5571</v>
      </c>
      <c r="O520" t="s">
        <v>4927</v>
      </c>
      <c r="Q520" t="str">
        <f t="shared" si="48"/>
        <v>condorProc.py --series 07180813_1820 --donoise  --dumps a --procenv environments/pymidas_HVHV_NaI_mf.env</v>
      </c>
      <c r="U520" t="str">
        <f t="shared" si="45"/>
        <v>ls -l 07180813_1820/ | grep grad &gt;&gt; ~/K100/condorfail.txt</v>
      </c>
    </row>
    <row r="521" spans="1:21">
      <c r="A521" s="179" t="s">
        <v>5948</v>
      </c>
      <c r="G521" s="74"/>
      <c r="K521" s="180"/>
      <c r="M521" t="s">
        <v>5593</v>
      </c>
      <c r="N521" t="s">
        <v>5571</v>
      </c>
      <c r="O521" t="s">
        <v>4927</v>
      </c>
      <c r="Q521" t="str">
        <f t="shared" si="48"/>
        <v>condorProc.py --series 07180813_1830 --donoise  --dumps a --procenv environments/pymidas_HVHV_NaI_mf.env</v>
      </c>
      <c r="U521" t="str">
        <f t="shared" si="45"/>
        <v>ls -l 07180813_1830/ | grep grad &gt;&gt; ~/K100/condorfail.txt</v>
      </c>
    </row>
    <row r="522" spans="1:21">
      <c r="A522" s="179" t="s">
        <v>5949</v>
      </c>
      <c r="G522" s="74"/>
      <c r="K522" s="180"/>
      <c r="M522" t="s">
        <v>5593</v>
      </c>
      <c r="N522" t="s">
        <v>5571</v>
      </c>
      <c r="O522" t="s">
        <v>4927</v>
      </c>
      <c r="Q522" t="str">
        <f t="shared" si="48"/>
        <v>condorProc.py --series 07180813_1840 --donoise  --dumps a --procenv environments/pymidas_HVHV_NaI_mf.env</v>
      </c>
      <c r="U522" t="str">
        <f t="shared" si="45"/>
        <v>ls -l 07180813_1840/ | grep grad &gt;&gt; ~/K100/condorfail.txt</v>
      </c>
    </row>
    <row r="523" spans="1:21">
      <c r="A523" s="179" t="s">
        <v>5950</v>
      </c>
      <c r="G523" s="74"/>
      <c r="I523" t="s">
        <v>75</v>
      </c>
      <c r="K523" s="180"/>
      <c r="L523">
        <f>162+L332</f>
        <v>319</v>
      </c>
      <c r="M523" t="s">
        <v>5593</v>
      </c>
      <c r="N523" t="s">
        <v>5571</v>
      </c>
      <c r="O523" t="s">
        <v>4927</v>
      </c>
      <c r="Q523" t="str">
        <f t="shared" si="48"/>
        <v>condorProc.py --series 07180813_1850 --donoise  --dumps a --procenv environments/pymidas_HVHV_NaI_mf.env</v>
      </c>
      <c r="U523" t="str">
        <f t="shared" si="45"/>
        <v>ls -l 07180813_1850/ | grep grad &gt;&gt; ~/K100/condorfail.txt</v>
      </c>
    </row>
    <row r="524" spans="1:21">
      <c r="A524" s="179" t="s">
        <v>5951</v>
      </c>
      <c r="G524" s="74"/>
      <c r="I524" s="55" t="s">
        <v>5434</v>
      </c>
      <c r="K524" s="180" t="s">
        <v>5952</v>
      </c>
      <c r="M524" t="s">
        <v>2158</v>
      </c>
      <c r="N524">
        <v>7</v>
      </c>
      <c r="Q524" t="str">
        <f t="shared" si="48"/>
        <v>condorProc.py --series 07180813_1901 --donoise  --dumps a --procenv environments/pymidas_HVHV_NaI_mf.env</v>
      </c>
    </row>
    <row r="525" spans="1:21">
      <c r="A525" s="179" t="s">
        <v>5953</v>
      </c>
      <c r="G525" s="74"/>
      <c r="I525" s="55" t="s">
        <v>5434</v>
      </c>
      <c r="K525" s="180" t="s">
        <v>5434</v>
      </c>
    </row>
    <row r="526" spans="1:21">
      <c r="A526" s="179" t="s">
        <v>5954</v>
      </c>
      <c r="G526" s="74"/>
      <c r="I526" s="55" t="s">
        <v>5434</v>
      </c>
      <c r="K526" s="180"/>
    </row>
    <row r="527" spans="1:21">
      <c r="A527" s="179" t="s">
        <v>5955</v>
      </c>
      <c r="G527" s="74"/>
      <c r="I527" s="55" t="s">
        <v>5434</v>
      </c>
      <c r="K527" s="180"/>
    </row>
    <row r="528" spans="1:21">
      <c r="A528" s="179" t="s">
        <v>5956</v>
      </c>
      <c r="G528" s="74"/>
      <c r="I528" s="55" t="s">
        <v>5434</v>
      </c>
      <c r="K528" s="180"/>
    </row>
    <row r="529" spans="1:11">
      <c r="A529" s="181" t="s">
        <v>5957</v>
      </c>
      <c r="B529" s="65"/>
      <c r="C529" s="65"/>
      <c r="D529" s="65"/>
      <c r="E529" s="65"/>
      <c r="F529" s="65"/>
      <c r="G529" s="189"/>
      <c r="H529" s="65"/>
      <c r="I529" s="151" t="s">
        <v>5434</v>
      </c>
      <c r="J529" s="65"/>
      <c r="K529" s="182"/>
    </row>
    <row r="530" spans="1:11">
      <c r="A530" s="176" t="s">
        <v>5958</v>
      </c>
      <c r="B530" s="177"/>
      <c r="C530" s="177"/>
      <c r="D530" s="177"/>
      <c r="E530" s="177"/>
      <c r="F530" s="177">
        <v>10</v>
      </c>
      <c r="G530" s="188" t="s">
        <v>2248</v>
      </c>
      <c r="H530" s="177">
        <v>40</v>
      </c>
      <c r="I530" s="190" t="s">
        <v>5434</v>
      </c>
      <c r="J530" s="177" t="s">
        <v>5577</v>
      </c>
      <c r="K530" s="178" t="s">
        <v>5583</v>
      </c>
    </row>
    <row r="531" spans="1:11">
      <c r="A531" s="179" t="s">
        <v>5959</v>
      </c>
      <c r="G531" s="74"/>
      <c r="I531" s="55" t="s">
        <v>5434</v>
      </c>
      <c r="J531" t="s">
        <v>5585</v>
      </c>
      <c r="K531" s="180" t="s">
        <v>5671</v>
      </c>
    </row>
    <row r="532" spans="1:11">
      <c r="A532" s="179" t="s">
        <v>5960</v>
      </c>
      <c r="G532" s="74"/>
      <c r="I532" s="55" t="s">
        <v>5434</v>
      </c>
      <c r="K532" s="187" t="s">
        <v>5673</v>
      </c>
    </row>
    <row r="533" spans="1:11">
      <c r="A533" s="179" t="s">
        <v>5961</v>
      </c>
      <c r="G533" s="74"/>
      <c r="I533" s="55" t="s">
        <v>5434</v>
      </c>
      <c r="K533" s="180"/>
    </row>
    <row r="534" spans="1:11">
      <c r="A534" s="179" t="s">
        <v>5962</v>
      </c>
      <c r="G534" s="74"/>
      <c r="I534" s="55" t="s">
        <v>5434</v>
      </c>
      <c r="K534" s="180"/>
    </row>
    <row r="535" spans="1:11">
      <c r="A535" s="179" t="s">
        <v>5963</v>
      </c>
      <c r="G535" s="74"/>
      <c r="I535" s="55" t="s">
        <v>5434</v>
      </c>
      <c r="K535" s="180"/>
    </row>
    <row r="536" spans="1:11">
      <c r="A536" s="179" t="s">
        <v>5964</v>
      </c>
      <c r="G536" s="74"/>
      <c r="I536" s="55" t="s">
        <v>5434</v>
      </c>
      <c r="K536" s="180"/>
    </row>
    <row r="537" spans="1:11">
      <c r="A537" s="179" t="s">
        <v>5965</v>
      </c>
      <c r="G537" s="74"/>
      <c r="I537" s="55" t="s">
        <v>5434</v>
      </c>
      <c r="K537" s="180"/>
    </row>
    <row r="538" spans="1:11">
      <c r="A538" s="179" t="s">
        <v>5966</v>
      </c>
      <c r="G538" s="74"/>
      <c r="I538" s="55" t="s">
        <v>5434</v>
      </c>
      <c r="K538" s="180"/>
    </row>
    <row r="539" spans="1:11">
      <c r="A539" s="179" t="s">
        <v>5967</v>
      </c>
      <c r="G539" s="74"/>
      <c r="I539" s="55" t="s">
        <v>5434</v>
      </c>
      <c r="K539" s="180"/>
    </row>
    <row r="540" spans="1:11">
      <c r="A540" s="179" t="s">
        <v>5968</v>
      </c>
      <c r="G540" s="74"/>
      <c r="I540" s="55" t="s">
        <v>5434</v>
      </c>
      <c r="K540" s="180"/>
    </row>
    <row r="541" spans="1:11">
      <c r="A541" s="181" t="s">
        <v>5969</v>
      </c>
      <c r="B541" s="65"/>
      <c r="C541" s="65"/>
      <c r="D541" s="65"/>
      <c r="E541" s="65"/>
      <c r="F541" s="65"/>
      <c r="G541" s="189"/>
      <c r="H541" s="65"/>
      <c r="I541" s="55" t="s">
        <v>5434</v>
      </c>
      <c r="J541" s="65"/>
      <c r="K541" s="182"/>
    </row>
    <row r="542" spans="1:11">
      <c r="A542" s="176" t="s">
        <v>5970</v>
      </c>
      <c r="B542" s="177"/>
      <c r="C542" s="177"/>
      <c r="D542" s="177"/>
      <c r="E542" s="177"/>
      <c r="F542" s="177">
        <v>10</v>
      </c>
      <c r="G542" s="188" t="s">
        <v>2248</v>
      </c>
      <c r="H542" s="177">
        <v>40</v>
      </c>
      <c r="I542" s="190" t="s">
        <v>5434</v>
      </c>
      <c r="J542" s="177" t="s">
        <v>5577</v>
      </c>
      <c r="K542" s="178" t="s">
        <v>5583</v>
      </c>
    </row>
    <row r="543" spans="1:11">
      <c r="A543" s="179" t="s">
        <v>5971</v>
      </c>
      <c r="G543" s="74"/>
      <c r="I543" s="55" t="s">
        <v>5434</v>
      </c>
      <c r="J543" t="s">
        <v>5585</v>
      </c>
      <c r="K543" s="180" t="s">
        <v>5671</v>
      </c>
    </row>
    <row r="544" spans="1:11">
      <c r="A544" s="179" t="s">
        <v>5972</v>
      </c>
      <c r="G544" s="74"/>
      <c r="I544" s="55" t="s">
        <v>5434</v>
      </c>
      <c r="K544" s="187" t="s">
        <v>5673</v>
      </c>
    </row>
    <row r="545" spans="1:11">
      <c r="A545" s="179" t="s">
        <v>5973</v>
      </c>
      <c r="G545" s="74"/>
      <c r="I545" s="55" t="s">
        <v>5434</v>
      </c>
      <c r="K545" s="180"/>
    </row>
    <row r="546" spans="1:11">
      <c r="A546" s="179" t="s">
        <v>5974</v>
      </c>
      <c r="G546" s="74"/>
      <c r="I546" s="55" t="s">
        <v>5434</v>
      </c>
      <c r="K546" s="180"/>
    </row>
    <row r="547" spans="1:11">
      <c r="A547" s="179" t="s">
        <v>5975</v>
      </c>
      <c r="G547" s="74"/>
      <c r="I547" s="55" t="s">
        <v>5434</v>
      </c>
      <c r="K547" s="180"/>
    </row>
    <row r="548" spans="1:11">
      <c r="A548" s="179" t="s">
        <v>5976</v>
      </c>
      <c r="G548" s="74"/>
      <c r="I548" s="55" t="s">
        <v>5434</v>
      </c>
      <c r="K548" s="180"/>
    </row>
    <row r="549" spans="1:11">
      <c r="A549" s="179" t="s">
        <v>5977</v>
      </c>
      <c r="G549" s="74"/>
      <c r="I549" s="55" t="s">
        <v>5434</v>
      </c>
      <c r="K549" s="180"/>
    </row>
    <row r="550" spans="1:11">
      <c r="A550" s="179" t="s">
        <v>5978</v>
      </c>
      <c r="G550" s="74"/>
      <c r="I550" s="55" t="s">
        <v>5434</v>
      </c>
      <c r="K550" s="180"/>
    </row>
    <row r="551" spans="1:11">
      <c r="A551" s="179" t="s">
        <v>5979</v>
      </c>
      <c r="G551" s="74"/>
      <c r="I551" s="55" t="s">
        <v>5434</v>
      </c>
      <c r="K551" s="180"/>
    </row>
    <row r="552" spans="1:11">
      <c r="A552" s="179" t="s">
        <v>5980</v>
      </c>
      <c r="G552" s="74"/>
      <c r="I552" s="55" t="s">
        <v>5434</v>
      </c>
      <c r="K552" s="180"/>
    </row>
    <row r="553" spans="1:11">
      <c r="A553" s="181" t="s">
        <v>5981</v>
      </c>
      <c r="B553" s="65"/>
      <c r="C553" s="65"/>
      <c r="D553" s="65"/>
      <c r="E553" s="65"/>
      <c r="F553" s="65"/>
      <c r="G553" s="189"/>
      <c r="H553" s="65"/>
      <c r="I553" s="55" t="s">
        <v>5434</v>
      </c>
      <c r="J553" s="65"/>
      <c r="K553" s="182"/>
    </row>
    <row r="554" spans="1:11">
      <c r="A554" s="176" t="s">
        <v>5982</v>
      </c>
      <c r="B554" s="177"/>
      <c r="C554" s="177"/>
      <c r="D554" s="177"/>
      <c r="E554" s="177"/>
      <c r="F554" s="177">
        <v>10</v>
      </c>
      <c r="G554" s="188" t="s">
        <v>2248</v>
      </c>
      <c r="H554" s="177">
        <v>40</v>
      </c>
      <c r="I554" s="190" t="s">
        <v>5434</v>
      </c>
      <c r="J554" s="177" t="s">
        <v>5577</v>
      </c>
      <c r="K554" s="178" t="s">
        <v>5583</v>
      </c>
    </row>
    <row r="555" spans="1:11">
      <c r="A555" s="179" t="s">
        <v>5983</v>
      </c>
      <c r="G555" s="74"/>
      <c r="I555" s="55" t="s">
        <v>5434</v>
      </c>
      <c r="J555" t="s">
        <v>5585</v>
      </c>
      <c r="K555" s="180" t="s">
        <v>5671</v>
      </c>
    </row>
    <row r="556" spans="1:11">
      <c r="A556" s="179" t="s">
        <v>5984</v>
      </c>
      <c r="G556" s="74"/>
      <c r="I556" s="55" t="s">
        <v>5434</v>
      </c>
      <c r="K556" s="187" t="s">
        <v>5673</v>
      </c>
    </row>
    <row r="557" spans="1:11">
      <c r="A557" s="179" t="s">
        <v>5985</v>
      </c>
      <c r="G557" s="74"/>
      <c r="I557" s="55" t="s">
        <v>5434</v>
      </c>
      <c r="K557" s="180"/>
    </row>
    <row r="558" spans="1:11">
      <c r="A558" s="179" t="s">
        <v>5986</v>
      </c>
      <c r="G558" s="74"/>
      <c r="I558" s="55" t="s">
        <v>5434</v>
      </c>
      <c r="K558" s="180"/>
    </row>
    <row r="559" spans="1:11">
      <c r="A559" s="179" t="s">
        <v>5987</v>
      </c>
      <c r="G559" s="74"/>
      <c r="I559" s="55" t="s">
        <v>5434</v>
      </c>
      <c r="K559" s="180"/>
    </row>
    <row r="560" spans="1:11">
      <c r="A560" s="179" t="s">
        <v>5988</v>
      </c>
      <c r="G560" s="74"/>
      <c r="I560" s="55" t="s">
        <v>5434</v>
      </c>
      <c r="K560" s="180"/>
    </row>
    <row r="561" spans="1:11">
      <c r="A561" s="179" t="s">
        <v>5989</v>
      </c>
      <c r="G561" s="74"/>
      <c r="I561" s="55" t="s">
        <v>5434</v>
      </c>
      <c r="K561" s="180"/>
    </row>
    <row r="562" spans="1:11">
      <c r="A562" s="179" t="s">
        <v>5990</v>
      </c>
      <c r="G562" s="74"/>
      <c r="I562" s="55" t="s">
        <v>5434</v>
      </c>
      <c r="K562" s="180"/>
    </row>
    <row r="563" spans="1:11">
      <c r="A563" s="179" t="s">
        <v>5991</v>
      </c>
      <c r="G563" s="74"/>
      <c r="I563" s="55" t="s">
        <v>5434</v>
      </c>
      <c r="K563" s="180"/>
    </row>
    <row r="564" spans="1:11">
      <c r="A564" s="179" t="s">
        <v>5992</v>
      </c>
      <c r="G564" s="74"/>
      <c r="I564" s="55" t="s">
        <v>5434</v>
      </c>
      <c r="K564" s="180"/>
    </row>
    <row r="565" spans="1:11">
      <c r="A565" s="181" t="s">
        <v>5993</v>
      </c>
      <c r="B565" s="65"/>
      <c r="C565" s="65"/>
      <c r="D565" s="65"/>
      <c r="E565" s="65"/>
      <c r="F565" s="65"/>
      <c r="G565" s="189"/>
      <c r="H565" s="65"/>
      <c r="I565" s="55" t="s">
        <v>5434</v>
      </c>
      <c r="J565" s="65"/>
      <c r="K565" s="182"/>
    </row>
    <row r="566" spans="1:11">
      <c r="A566" s="176" t="s">
        <v>5994</v>
      </c>
      <c r="B566" s="177"/>
      <c r="C566" s="177"/>
      <c r="D566" s="177"/>
      <c r="E566" s="177"/>
      <c r="F566" s="177">
        <v>10</v>
      </c>
      <c r="G566" s="188" t="s">
        <v>2248</v>
      </c>
      <c r="H566" s="177">
        <v>40</v>
      </c>
      <c r="I566" s="190" t="s">
        <v>5434</v>
      </c>
      <c r="J566" s="177" t="s">
        <v>5577</v>
      </c>
      <c r="K566" s="178" t="s">
        <v>5583</v>
      </c>
    </row>
    <row r="567" spans="1:11">
      <c r="A567" s="179" t="s">
        <v>5995</v>
      </c>
      <c r="G567" s="74"/>
      <c r="I567" s="55" t="s">
        <v>5434</v>
      </c>
      <c r="J567" t="s">
        <v>5585</v>
      </c>
      <c r="K567" s="180" t="s">
        <v>5671</v>
      </c>
    </row>
    <row r="568" spans="1:11">
      <c r="A568" s="179" t="s">
        <v>5996</v>
      </c>
      <c r="G568" s="74"/>
      <c r="I568" s="55" t="s">
        <v>5434</v>
      </c>
      <c r="K568" s="187" t="s">
        <v>5673</v>
      </c>
    </row>
    <row r="569" spans="1:11">
      <c r="A569" s="179" t="s">
        <v>5997</v>
      </c>
      <c r="G569" s="74"/>
      <c r="I569" s="55" t="s">
        <v>5434</v>
      </c>
      <c r="K569" s="180"/>
    </row>
    <row r="570" spans="1:11">
      <c r="A570" s="179" t="s">
        <v>5998</v>
      </c>
      <c r="G570" s="74"/>
      <c r="I570" s="55" t="s">
        <v>5434</v>
      </c>
      <c r="K570" s="180"/>
    </row>
    <row r="571" spans="1:11">
      <c r="A571" s="179" t="s">
        <v>5999</v>
      </c>
      <c r="G571" s="74"/>
      <c r="I571" s="55" t="s">
        <v>5434</v>
      </c>
      <c r="K571" s="180"/>
    </row>
    <row r="572" spans="1:11">
      <c r="A572" s="179" t="s">
        <v>6000</v>
      </c>
      <c r="G572" s="74"/>
      <c r="I572" s="55" t="s">
        <v>5434</v>
      </c>
      <c r="K572" s="180"/>
    </row>
    <row r="573" spans="1:11">
      <c r="A573" s="179" t="s">
        <v>6001</v>
      </c>
      <c r="G573" s="74"/>
      <c r="I573" s="55" t="s">
        <v>5434</v>
      </c>
      <c r="K573" s="180"/>
    </row>
    <row r="574" spans="1:11">
      <c r="A574" s="179" t="s">
        <v>6002</v>
      </c>
      <c r="G574" s="74"/>
      <c r="I574" s="55" t="s">
        <v>5434</v>
      </c>
      <c r="K574" s="180"/>
    </row>
    <row r="575" spans="1:11">
      <c r="A575" s="179" t="s">
        <v>6003</v>
      </c>
      <c r="G575" s="74"/>
      <c r="I575" s="55" t="s">
        <v>5434</v>
      </c>
      <c r="K575" s="180"/>
    </row>
    <row r="576" spans="1:11">
      <c r="A576" s="179" t="s">
        <v>6004</v>
      </c>
      <c r="G576" s="74"/>
      <c r="I576" s="55" t="s">
        <v>5434</v>
      </c>
      <c r="K576" s="180"/>
    </row>
    <row r="577" spans="1:21">
      <c r="A577" s="181" t="s">
        <v>6005</v>
      </c>
      <c r="B577" s="65"/>
      <c r="C577" s="65"/>
      <c r="D577" s="65"/>
      <c r="E577" s="65"/>
      <c r="F577" s="65"/>
      <c r="G577" s="189"/>
      <c r="H577" s="65"/>
      <c r="I577" s="55" t="s">
        <v>5434</v>
      </c>
      <c r="J577" s="65"/>
      <c r="K577" s="182"/>
    </row>
    <row r="578" spans="1:21">
      <c r="A578" s="176" t="s">
        <v>6006</v>
      </c>
      <c r="B578" s="177"/>
      <c r="C578" s="177"/>
      <c r="D578" s="177"/>
      <c r="E578" s="177"/>
      <c r="F578" s="177">
        <v>10</v>
      </c>
      <c r="G578" s="188" t="s">
        <v>2248</v>
      </c>
      <c r="H578" s="177">
        <v>40</v>
      </c>
      <c r="I578" s="190" t="s">
        <v>5434</v>
      </c>
      <c r="J578" s="177" t="s">
        <v>5577</v>
      </c>
      <c r="K578" s="178" t="s">
        <v>5583</v>
      </c>
    </row>
    <row r="579" spans="1:21">
      <c r="A579" s="179" t="s">
        <v>6007</v>
      </c>
      <c r="G579" s="74"/>
      <c r="I579" s="55" t="s">
        <v>5434</v>
      </c>
      <c r="J579" t="s">
        <v>5585</v>
      </c>
      <c r="K579" s="180" t="s">
        <v>5671</v>
      </c>
    </row>
    <row r="580" spans="1:21">
      <c r="A580" s="179" t="s">
        <v>6008</v>
      </c>
      <c r="G580" s="74"/>
      <c r="I580" s="55" t="s">
        <v>5434</v>
      </c>
      <c r="K580" s="187" t="s">
        <v>5673</v>
      </c>
    </row>
    <row r="581" spans="1:21">
      <c r="A581" s="179" t="s">
        <v>6009</v>
      </c>
      <c r="G581" s="74"/>
      <c r="I581" s="55" t="s">
        <v>5434</v>
      </c>
      <c r="K581" s="180"/>
    </row>
    <row r="582" spans="1:21">
      <c r="A582" s="179" t="s">
        <v>6010</v>
      </c>
      <c r="G582" s="74"/>
      <c r="I582" s="55" t="s">
        <v>5434</v>
      </c>
      <c r="K582" s="180"/>
    </row>
    <row r="583" spans="1:21">
      <c r="A583" s="179" t="s">
        <v>6011</v>
      </c>
      <c r="G583" s="74"/>
      <c r="I583" s="55" t="s">
        <v>5434</v>
      </c>
      <c r="K583" s="180"/>
    </row>
    <row r="584" spans="1:21">
      <c r="A584" s="179" t="s">
        <v>6012</v>
      </c>
      <c r="G584" s="74"/>
      <c r="I584" s="55" t="s">
        <v>5434</v>
      </c>
      <c r="K584" s="180"/>
    </row>
    <row r="585" spans="1:21">
      <c r="A585" s="179" t="s">
        <v>6013</v>
      </c>
      <c r="G585" s="74"/>
      <c r="I585" s="55" t="s">
        <v>5434</v>
      </c>
      <c r="K585" s="180"/>
    </row>
    <row r="586" spans="1:21">
      <c r="A586" s="179" t="s">
        <v>6014</v>
      </c>
      <c r="G586" s="74"/>
      <c r="I586" s="55" t="s">
        <v>5434</v>
      </c>
      <c r="K586" s="180"/>
    </row>
    <row r="587" spans="1:21">
      <c r="A587" s="179" t="s">
        <v>6015</v>
      </c>
      <c r="G587" s="74"/>
      <c r="I587" s="55" t="s">
        <v>5434</v>
      </c>
      <c r="K587" s="180"/>
    </row>
    <row r="588" spans="1:21">
      <c r="A588" s="179" t="s">
        <v>6016</v>
      </c>
      <c r="G588" s="74"/>
      <c r="I588" s="55" t="s">
        <v>5434</v>
      </c>
      <c r="K588" s="180"/>
    </row>
    <row r="589" spans="1:21">
      <c r="A589" s="181" t="s">
        <v>6017</v>
      </c>
      <c r="B589" s="65"/>
      <c r="C589" s="65"/>
      <c r="D589" s="65"/>
      <c r="E589" s="65"/>
      <c r="F589" s="65"/>
      <c r="G589" s="189"/>
      <c r="H589" s="65"/>
      <c r="I589" s="151" t="s">
        <v>5434</v>
      </c>
      <c r="J589" s="65"/>
      <c r="K589" s="182"/>
    </row>
    <row r="590" spans="1:21">
      <c r="A590" s="176" t="s">
        <v>6018</v>
      </c>
      <c r="B590" s="177"/>
      <c r="C590" s="177"/>
      <c r="D590" s="177"/>
      <c r="E590" s="177"/>
      <c r="F590" s="177">
        <v>10</v>
      </c>
      <c r="G590" s="188" t="s">
        <v>2248</v>
      </c>
      <c r="H590" s="177">
        <v>40</v>
      </c>
      <c r="I590" s="177"/>
      <c r="J590" s="177" t="s">
        <v>5577</v>
      </c>
      <c r="K590" s="178" t="s">
        <v>5583</v>
      </c>
      <c r="M590" t="s">
        <v>5593</v>
      </c>
      <c r="N590" t="s">
        <v>5571</v>
      </c>
      <c r="O590" t="s">
        <v>4927</v>
      </c>
      <c r="Q590" t="str">
        <f>"condorProc.py --series "&amp;A590&amp;" --donoise  --dumps a --procenv environments/pymidas_HVHV_NaI_mf.env"</f>
        <v>condorProc.py --series 07180814_1129 --donoise  --dumps a --procenv environments/pymidas_HVHV_NaI_mf.env</v>
      </c>
      <c r="U590" t="str">
        <f t="shared" ref="U590:U653" si="49">"ls -l "&amp;A590&amp;"/ | grep grad &gt;&gt; ~/K100/condorfail.txt"</f>
        <v>ls -l 07180814_1129/ | grep grad &gt;&gt; ~/K100/condorfail.txt</v>
      </c>
    </row>
    <row r="591" spans="1:21">
      <c r="A591" s="179" t="s">
        <v>6019</v>
      </c>
      <c r="G591" s="74"/>
      <c r="J591" t="s">
        <v>5585</v>
      </c>
      <c r="K591" s="180" t="s">
        <v>5671</v>
      </c>
      <c r="M591" t="s">
        <v>5593</v>
      </c>
      <c r="N591" t="s">
        <v>5571</v>
      </c>
      <c r="O591" t="s">
        <v>4927</v>
      </c>
      <c r="Q591" t="str">
        <f t="shared" ref="Q591:Q602" si="50">"condorProc.py --series "&amp;A591&amp;" --donoise  --dumps a --procenv environments/pymidas_HVHV_NaI_mf.env"</f>
        <v>condorProc.py --series 07180814_1139 --donoise  --dumps a --procenv environments/pymidas_HVHV_NaI_mf.env</v>
      </c>
      <c r="U591" t="str">
        <f t="shared" si="49"/>
        <v>ls -l 07180814_1139/ | grep grad &gt;&gt; ~/K100/condorfail.txt</v>
      </c>
    </row>
    <row r="592" spans="1:21">
      <c r="A592" s="179" t="s">
        <v>6020</v>
      </c>
      <c r="G592" s="74"/>
      <c r="K592" s="187" t="s">
        <v>5673</v>
      </c>
      <c r="M592" t="s">
        <v>5593</v>
      </c>
      <c r="N592" t="s">
        <v>5571</v>
      </c>
      <c r="O592" t="s">
        <v>4927</v>
      </c>
      <c r="Q592" t="str">
        <f t="shared" si="50"/>
        <v>condorProc.py --series 07180814_1149 --donoise  --dumps a --procenv environments/pymidas_HVHV_NaI_mf.env</v>
      </c>
      <c r="U592" t="str">
        <f t="shared" si="49"/>
        <v>ls -l 07180814_1149/ | grep grad &gt;&gt; ~/K100/condorfail.txt</v>
      </c>
    </row>
    <row r="593" spans="1:21">
      <c r="A593" s="179" t="s">
        <v>6021</v>
      </c>
      <c r="G593" s="74"/>
      <c r="K593" s="180"/>
      <c r="M593" t="s">
        <v>5593</v>
      </c>
      <c r="N593" t="s">
        <v>5571</v>
      </c>
      <c r="O593" t="s">
        <v>4927</v>
      </c>
      <c r="Q593" t="str">
        <f t="shared" si="50"/>
        <v>condorProc.py --series 07180814_1159 --donoise  --dumps a --procenv environments/pymidas_HVHV_NaI_mf.env</v>
      </c>
      <c r="U593" t="str">
        <f t="shared" si="49"/>
        <v>ls -l 07180814_1159/ | grep grad &gt;&gt; ~/K100/condorfail.txt</v>
      </c>
    </row>
    <row r="594" spans="1:21">
      <c r="A594" s="179" t="s">
        <v>6022</v>
      </c>
      <c r="G594" s="74"/>
      <c r="K594" s="180"/>
      <c r="M594" t="s">
        <v>5593</v>
      </c>
      <c r="N594" t="s">
        <v>5571</v>
      </c>
      <c r="O594" t="s">
        <v>4927</v>
      </c>
      <c r="Q594" t="str">
        <f t="shared" si="50"/>
        <v>condorProc.py --series 07180814_1209 --donoise  --dumps a --procenv environments/pymidas_HVHV_NaI_mf.env</v>
      </c>
      <c r="U594" t="str">
        <f t="shared" si="49"/>
        <v>ls -l 07180814_1209/ | grep grad &gt;&gt; ~/K100/condorfail.txt</v>
      </c>
    </row>
    <row r="595" spans="1:21">
      <c r="A595" s="179" t="s">
        <v>6023</v>
      </c>
      <c r="G595" s="74"/>
      <c r="K595" s="180"/>
      <c r="M595" t="s">
        <v>5593</v>
      </c>
      <c r="N595" t="s">
        <v>5571</v>
      </c>
      <c r="O595" t="s">
        <v>4927</v>
      </c>
      <c r="Q595" t="str">
        <f t="shared" si="50"/>
        <v>condorProc.py --series 07180814_1220 --donoise  --dumps a --procenv environments/pymidas_HVHV_NaI_mf.env</v>
      </c>
      <c r="U595" t="str">
        <f t="shared" si="49"/>
        <v>ls -l 07180814_1220/ | grep grad &gt;&gt; ~/K100/condorfail.txt</v>
      </c>
    </row>
    <row r="596" spans="1:21">
      <c r="A596" s="179" t="s">
        <v>6024</v>
      </c>
      <c r="G596" s="74"/>
      <c r="K596" s="180"/>
      <c r="M596" t="s">
        <v>5593</v>
      </c>
      <c r="N596" t="s">
        <v>5571</v>
      </c>
      <c r="O596" t="s">
        <v>4927</v>
      </c>
      <c r="Q596" t="str">
        <f t="shared" si="50"/>
        <v>condorProc.py --series 07180814_1230 --donoise  --dumps a --procenv environments/pymidas_HVHV_NaI_mf.env</v>
      </c>
      <c r="U596" t="str">
        <f t="shared" si="49"/>
        <v>ls -l 07180814_1230/ | grep grad &gt;&gt; ~/K100/condorfail.txt</v>
      </c>
    </row>
    <row r="597" spans="1:21">
      <c r="A597" s="179" t="s">
        <v>6025</v>
      </c>
      <c r="G597" s="74"/>
      <c r="K597" s="180"/>
      <c r="M597" t="s">
        <v>5593</v>
      </c>
      <c r="N597" t="s">
        <v>5571</v>
      </c>
      <c r="O597" t="s">
        <v>4927</v>
      </c>
      <c r="Q597" t="str">
        <f t="shared" si="50"/>
        <v>condorProc.py --series 07180814_1240 --donoise  --dumps a --procenv environments/pymidas_HVHV_NaI_mf.env</v>
      </c>
      <c r="U597" t="str">
        <f t="shared" si="49"/>
        <v>ls -l 07180814_1240/ | grep grad &gt;&gt; ~/K100/condorfail.txt</v>
      </c>
    </row>
    <row r="598" spans="1:21">
      <c r="A598" s="179" t="s">
        <v>6026</v>
      </c>
      <c r="G598" s="74"/>
      <c r="K598" s="180"/>
      <c r="M598" t="s">
        <v>5593</v>
      </c>
      <c r="N598" t="s">
        <v>5571</v>
      </c>
      <c r="O598" t="s">
        <v>4927</v>
      </c>
      <c r="Q598" t="str">
        <f t="shared" si="50"/>
        <v>condorProc.py --series 07180814_1250 --donoise  --dumps a --procenv environments/pymidas_HVHV_NaI_mf.env</v>
      </c>
      <c r="U598" t="str">
        <f t="shared" si="49"/>
        <v>ls -l 07180814_1250/ | grep grad &gt;&gt; ~/K100/condorfail.txt</v>
      </c>
    </row>
    <row r="599" spans="1:21">
      <c r="A599" s="179" t="s">
        <v>6027</v>
      </c>
      <c r="G599" s="74"/>
      <c r="K599" s="180"/>
      <c r="M599" t="s">
        <v>5593</v>
      </c>
      <c r="N599" t="s">
        <v>5571</v>
      </c>
      <c r="O599" t="s">
        <v>4927</v>
      </c>
      <c r="Q599" t="str">
        <f t="shared" si="50"/>
        <v>condorProc.py --series 07180814_1300 --donoise  --dumps a --procenv environments/pymidas_HVHV_NaI_mf.env</v>
      </c>
      <c r="U599" t="str">
        <f t="shared" si="49"/>
        <v>ls -l 07180814_1300/ | grep grad &gt;&gt; ~/K100/condorfail.txt</v>
      </c>
    </row>
    <row r="600" spans="1:21">
      <c r="A600" s="179" t="s">
        <v>6028</v>
      </c>
      <c r="G600" s="74"/>
      <c r="K600" s="180"/>
      <c r="M600" t="s">
        <v>5593</v>
      </c>
      <c r="N600" t="s">
        <v>5571</v>
      </c>
      <c r="O600" t="s">
        <v>4927</v>
      </c>
      <c r="Q600" t="str">
        <f t="shared" si="50"/>
        <v>condorProc.py --series 07180814_1310 --donoise  --dumps a --procenv environments/pymidas_HVHV_NaI_mf.env</v>
      </c>
      <c r="U600" t="str">
        <f t="shared" si="49"/>
        <v>ls -l 07180814_1310/ | grep grad &gt;&gt; ~/K100/condorfail.txt</v>
      </c>
    </row>
    <row r="601" spans="1:21">
      <c r="A601" s="181" t="s">
        <v>6029</v>
      </c>
      <c r="B601" s="65"/>
      <c r="C601" s="65"/>
      <c r="D601" s="65"/>
      <c r="E601" s="65"/>
      <c r="F601" s="65"/>
      <c r="G601" s="189"/>
      <c r="H601" s="65"/>
      <c r="I601" s="65" t="s">
        <v>75</v>
      </c>
      <c r="J601" s="65"/>
      <c r="K601" s="182"/>
      <c r="M601" t="s">
        <v>5593</v>
      </c>
      <c r="N601" t="s">
        <v>5571</v>
      </c>
      <c r="O601" t="s">
        <v>4927</v>
      </c>
      <c r="Q601" t="str">
        <f t="shared" si="50"/>
        <v>condorProc.py --series 07180814_1320 --donoise  --dumps a --procenv environments/pymidas_HVHV_NaI_mf.env</v>
      </c>
      <c r="U601" t="str">
        <f t="shared" si="49"/>
        <v>ls -l 07180814_1320/ | grep grad &gt;&gt; ~/K100/condorfail.txt</v>
      </c>
    </row>
    <row r="602" spans="1:21">
      <c r="A602" s="176" t="s">
        <v>6030</v>
      </c>
      <c r="B602" s="177"/>
      <c r="C602" s="177"/>
      <c r="D602" s="177"/>
      <c r="E602" s="177"/>
      <c r="F602" s="177">
        <v>10</v>
      </c>
      <c r="G602" s="188" t="s">
        <v>2248</v>
      </c>
      <c r="H602" s="177">
        <v>40</v>
      </c>
      <c r="I602" s="177"/>
      <c r="J602" s="177" t="s">
        <v>5577</v>
      </c>
      <c r="K602" s="178" t="s">
        <v>5583</v>
      </c>
      <c r="M602" t="s">
        <v>5593</v>
      </c>
      <c r="N602" t="s">
        <v>5571</v>
      </c>
      <c r="O602" t="s">
        <v>4927</v>
      </c>
      <c r="Q602" t="str">
        <f t="shared" si="50"/>
        <v>condorProc.py --series 07180814_1409 --donoise  --dumps a --procenv environments/pymidas_HVHV_NaI_mf.env</v>
      </c>
      <c r="U602" t="str">
        <f t="shared" si="49"/>
        <v>ls -l 07180814_1409/ | grep grad &gt;&gt; ~/K100/condorfail.txt</v>
      </c>
    </row>
    <row r="603" spans="1:21">
      <c r="A603" s="179" t="s">
        <v>6031</v>
      </c>
      <c r="G603" s="74"/>
      <c r="J603" t="s">
        <v>5585</v>
      </c>
      <c r="K603" s="180" t="s">
        <v>5671</v>
      </c>
      <c r="M603" t="s">
        <v>5593</v>
      </c>
      <c r="N603" t="s">
        <v>5571</v>
      </c>
      <c r="O603" t="s">
        <v>4927</v>
      </c>
      <c r="Q603" t="str">
        <f t="shared" ref="Q603:Q613" si="51">"condorProc.py --series "&amp;A603&amp;" --donoise  --dumps a --procenv environments/pymidas_HVHV_NaI_mf.env"</f>
        <v>condorProc.py --series 07180814_1420 --donoise  --dumps a --procenv environments/pymidas_HVHV_NaI_mf.env</v>
      </c>
      <c r="U603" t="str">
        <f t="shared" si="49"/>
        <v>ls -l 07180814_1420/ | grep grad &gt;&gt; ~/K100/condorfail.txt</v>
      </c>
    </row>
    <row r="604" spans="1:21">
      <c r="A604" s="179" t="s">
        <v>6032</v>
      </c>
      <c r="G604" s="74"/>
      <c r="K604" s="187" t="s">
        <v>5673</v>
      </c>
      <c r="M604" t="s">
        <v>5593</v>
      </c>
      <c r="N604" t="s">
        <v>5571</v>
      </c>
      <c r="O604" t="s">
        <v>4927</v>
      </c>
      <c r="Q604" t="str">
        <f t="shared" si="51"/>
        <v>condorProc.py --series 07180814_1430 --donoise  --dumps a --procenv environments/pymidas_HVHV_NaI_mf.env</v>
      </c>
      <c r="U604" t="str">
        <f t="shared" si="49"/>
        <v>ls -l 07180814_1430/ | grep grad &gt;&gt; ~/K100/condorfail.txt</v>
      </c>
    </row>
    <row r="605" spans="1:21">
      <c r="A605" s="179" t="s">
        <v>6033</v>
      </c>
      <c r="G605" s="74"/>
      <c r="K605" s="180"/>
      <c r="M605" t="s">
        <v>5593</v>
      </c>
      <c r="N605" t="s">
        <v>5571</v>
      </c>
      <c r="O605" t="s">
        <v>4927</v>
      </c>
      <c r="Q605" t="str">
        <f t="shared" si="51"/>
        <v>condorProc.py --series 07180814_1440 --donoise  --dumps a --procenv environments/pymidas_HVHV_NaI_mf.env</v>
      </c>
      <c r="U605" t="str">
        <f t="shared" si="49"/>
        <v>ls -l 07180814_1440/ | grep grad &gt;&gt; ~/K100/condorfail.txt</v>
      </c>
    </row>
    <row r="606" spans="1:21">
      <c r="A606" s="179" t="s">
        <v>6034</v>
      </c>
      <c r="G606" s="74"/>
      <c r="K606" s="180"/>
      <c r="M606" t="s">
        <v>5593</v>
      </c>
      <c r="N606" t="s">
        <v>5571</v>
      </c>
      <c r="O606" t="s">
        <v>4927</v>
      </c>
      <c r="Q606" t="str">
        <f t="shared" si="51"/>
        <v>condorProc.py --series 07180814_1450 --donoise  --dumps a --procenv environments/pymidas_HVHV_NaI_mf.env</v>
      </c>
      <c r="U606" t="str">
        <f t="shared" si="49"/>
        <v>ls -l 07180814_1450/ | grep grad &gt;&gt; ~/K100/condorfail.txt</v>
      </c>
    </row>
    <row r="607" spans="1:21">
      <c r="A607" s="179" t="s">
        <v>6035</v>
      </c>
      <c r="G607" s="74"/>
      <c r="K607" s="180"/>
      <c r="M607" t="s">
        <v>5593</v>
      </c>
      <c r="N607" t="s">
        <v>5571</v>
      </c>
      <c r="O607" t="s">
        <v>4927</v>
      </c>
      <c r="Q607" t="str">
        <f t="shared" si="51"/>
        <v>condorProc.py --series 07180814_1500 --donoise  --dumps a --procenv environments/pymidas_HVHV_NaI_mf.env</v>
      </c>
      <c r="U607" t="str">
        <f t="shared" si="49"/>
        <v>ls -l 07180814_1500/ | grep grad &gt;&gt; ~/K100/condorfail.txt</v>
      </c>
    </row>
    <row r="608" spans="1:21">
      <c r="A608" s="179" t="s">
        <v>6036</v>
      </c>
      <c r="G608" s="74"/>
      <c r="K608" s="180"/>
      <c r="M608" t="s">
        <v>5593</v>
      </c>
      <c r="N608" t="s">
        <v>5571</v>
      </c>
      <c r="O608" t="s">
        <v>4927</v>
      </c>
      <c r="Q608" t="str">
        <f t="shared" si="51"/>
        <v>condorProc.py --series 07180814_1510 --donoise  --dumps a --procenv environments/pymidas_HVHV_NaI_mf.env</v>
      </c>
      <c r="U608" t="str">
        <f t="shared" si="49"/>
        <v>ls -l 07180814_1510/ | grep grad &gt;&gt; ~/K100/condorfail.txt</v>
      </c>
    </row>
    <row r="609" spans="1:21">
      <c r="A609" s="179" t="s">
        <v>6037</v>
      </c>
      <c r="G609" s="74"/>
      <c r="K609" s="180"/>
      <c r="M609" t="s">
        <v>5593</v>
      </c>
      <c r="N609" t="s">
        <v>5571</v>
      </c>
      <c r="O609" t="s">
        <v>4927</v>
      </c>
      <c r="Q609" t="str">
        <f t="shared" si="51"/>
        <v>condorProc.py --series 07180814_1520 --donoise  --dumps a --procenv environments/pymidas_HVHV_NaI_mf.env</v>
      </c>
      <c r="U609" t="str">
        <f t="shared" si="49"/>
        <v>ls -l 07180814_1520/ | grep grad &gt;&gt; ~/K100/condorfail.txt</v>
      </c>
    </row>
    <row r="610" spans="1:21">
      <c r="A610" s="179" t="s">
        <v>6038</v>
      </c>
      <c r="G610" s="74"/>
      <c r="K610" s="180"/>
      <c r="M610" t="s">
        <v>5593</v>
      </c>
      <c r="N610" t="s">
        <v>5571</v>
      </c>
      <c r="O610" t="s">
        <v>4927</v>
      </c>
      <c r="Q610" t="str">
        <f t="shared" si="51"/>
        <v>condorProc.py --series 07180814_1530 --donoise  --dumps a --procenv environments/pymidas_HVHV_NaI_mf.env</v>
      </c>
      <c r="U610" t="str">
        <f t="shared" si="49"/>
        <v>ls -l 07180814_1530/ | grep grad &gt;&gt; ~/K100/condorfail.txt</v>
      </c>
    </row>
    <row r="611" spans="1:21">
      <c r="A611" s="179" t="s">
        <v>6039</v>
      </c>
      <c r="G611" s="74"/>
      <c r="K611" s="180"/>
      <c r="M611" t="s">
        <v>5593</v>
      </c>
      <c r="N611" t="s">
        <v>5571</v>
      </c>
      <c r="O611" t="s">
        <v>4927</v>
      </c>
      <c r="Q611" t="str">
        <f t="shared" si="51"/>
        <v>condorProc.py --series 07180814_1541 --donoise  --dumps a --procenv environments/pymidas_HVHV_NaI_mf.env</v>
      </c>
      <c r="U611" t="str">
        <f t="shared" si="49"/>
        <v>ls -l 07180814_1541/ | grep grad &gt;&gt; ~/K100/condorfail.txt</v>
      </c>
    </row>
    <row r="612" spans="1:21">
      <c r="A612" s="179" t="s">
        <v>6040</v>
      </c>
      <c r="G612" s="74"/>
      <c r="K612" s="180"/>
      <c r="M612" t="s">
        <v>5593</v>
      </c>
      <c r="N612" t="s">
        <v>5571</v>
      </c>
      <c r="O612" t="s">
        <v>4927</v>
      </c>
      <c r="Q612" t="str">
        <f t="shared" si="51"/>
        <v>condorProc.py --series 07180814_1551 --donoise  --dumps a --procenv environments/pymidas_HVHV_NaI_mf.env</v>
      </c>
      <c r="U612" t="str">
        <f t="shared" si="49"/>
        <v>ls -l 07180814_1551/ | grep grad &gt;&gt; ~/K100/condorfail.txt</v>
      </c>
    </row>
    <row r="613" spans="1:21">
      <c r="A613" s="181" t="s">
        <v>6041</v>
      </c>
      <c r="B613" s="65"/>
      <c r="C613" s="65"/>
      <c r="D613" s="65"/>
      <c r="E613" s="65"/>
      <c r="F613" s="65"/>
      <c r="G613" s="189"/>
      <c r="H613" s="65"/>
      <c r="I613" s="65" t="s">
        <v>75</v>
      </c>
      <c r="J613" s="65"/>
      <c r="K613" s="182"/>
      <c r="M613" t="s">
        <v>5593</v>
      </c>
      <c r="N613" t="s">
        <v>5571</v>
      </c>
      <c r="O613" t="s">
        <v>4927</v>
      </c>
      <c r="Q613" t="str">
        <f t="shared" si="51"/>
        <v>condorProc.py --series 07180814_1601 --donoise  --dumps a --procenv environments/pymidas_HVHV_NaI_mf.env</v>
      </c>
      <c r="U613" t="str">
        <f t="shared" si="49"/>
        <v>ls -l 07180814_1601/ | grep grad &gt;&gt; ~/K100/condorfail.txt</v>
      </c>
    </row>
    <row r="614" spans="1:21">
      <c r="A614" s="176" t="s">
        <v>6042</v>
      </c>
      <c r="B614" s="177"/>
      <c r="C614" s="177"/>
      <c r="D614" s="177"/>
      <c r="E614" s="177"/>
      <c r="F614" s="177">
        <v>10</v>
      </c>
      <c r="G614" s="188" t="s">
        <v>2248</v>
      </c>
      <c r="H614" s="177">
        <v>40</v>
      </c>
      <c r="I614" s="177"/>
      <c r="J614" s="177" t="s">
        <v>5577</v>
      </c>
      <c r="K614" s="178" t="s">
        <v>5583</v>
      </c>
      <c r="M614" t="s">
        <v>5593</v>
      </c>
      <c r="N614" t="s">
        <v>5571</v>
      </c>
      <c r="O614" t="s">
        <v>4927</v>
      </c>
      <c r="Q614" t="str">
        <f t="shared" ref="Q614:Q626" si="52">"condorProc.py --series "&amp;A614&amp;" --donoise  --dumps a --procenv environments/pymidas_HVHV_NaI_mf.env"</f>
        <v>condorProc.py --series 07180814_1651 --donoise  --dumps a --procenv environments/pymidas_HVHV_NaI_mf.env</v>
      </c>
      <c r="U614" t="str">
        <f t="shared" si="49"/>
        <v>ls -l 07180814_1651/ | grep grad &gt;&gt; ~/K100/condorfail.txt</v>
      </c>
    </row>
    <row r="615" spans="1:21">
      <c r="A615" s="179" t="s">
        <v>6043</v>
      </c>
      <c r="G615" s="74"/>
      <c r="J615" t="s">
        <v>5585</v>
      </c>
      <c r="K615" s="180" t="s">
        <v>5671</v>
      </c>
      <c r="M615" t="s">
        <v>5593</v>
      </c>
      <c r="N615" t="s">
        <v>5571</v>
      </c>
      <c r="O615" t="s">
        <v>4927</v>
      </c>
      <c r="Q615" t="str">
        <f t="shared" si="52"/>
        <v>condorProc.py --series 07180814_1701 --donoise  --dumps a --procenv environments/pymidas_HVHV_NaI_mf.env</v>
      </c>
      <c r="U615" t="str">
        <f t="shared" si="49"/>
        <v>ls -l 07180814_1701/ | grep grad &gt;&gt; ~/K100/condorfail.txt</v>
      </c>
    </row>
    <row r="616" spans="1:21">
      <c r="A616" s="179" t="s">
        <v>6044</v>
      </c>
      <c r="G616" s="74"/>
      <c r="K616" s="187" t="s">
        <v>5673</v>
      </c>
      <c r="M616" t="s">
        <v>5593</v>
      </c>
      <c r="N616" t="s">
        <v>5571</v>
      </c>
      <c r="O616" t="s">
        <v>4927</v>
      </c>
      <c r="Q616" t="str">
        <f t="shared" si="52"/>
        <v>condorProc.py --series 07180814_1711 --donoise  --dumps a --procenv environments/pymidas_HVHV_NaI_mf.env</v>
      </c>
      <c r="U616" t="str">
        <f t="shared" si="49"/>
        <v>ls -l 07180814_1711/ | grep grad &gt;&gt; ~/K100/condorfail.txt</v>
      </c>
    </row>
    <row r="617" spans="1:21">
      <c r="A617" s="179" t="s">
        <v>6045</v>
      </c>
      <c r="G617" s="74"/>
      <c r="K617" s="180"/>
      <c r="M617" t="s">
        <v>5593</v>
      </c>
      <c r="N617" t="s">
        <v>5571</v>
      </c>
      <c r="O617" t="s">
        <v>4927</v>
      </c>
      <c r="Q617" t="str">
        <f t="shared" si="52"/>
        <v>condorProc.py --series 07180814_1721 --donoise  --dumps a --procenv environments/pymidas_HVHV_NaI_mf.env</v>
      </c>
      <c r="U617" t="str">
        <f t="shared" si="49"/>
        <v>ls -l 07180814_1721/ | grep grad &gt;&gt; ~/K100/condorfail.txt</v>
      </c>
    </row>
    <row r="618" spans="1:21">
      <c r="A618" s="179" t="s">
        <v>6046</v>
      </c>
      <c r="G618" s="74"/>
      <c r="K618" s="180"/>
      <c r="M618" t="s">
        <v>5593</v>
      </c>
      <c r="N618" t="s">
        <v>5571</v>
      </c>
      <c r="O618" t="s">
        <v>4927</v>
      </c>
      <c r="Q618" t="str">
        <f t="shared" si="52"/>
        <v>condorProc.py --series 07180814_1731 --donoise  --dumps a --procenv environments/pymidas_HVHV_NaI_mf.env</v>
      </c>
      <c r="U618" t="str">
        <f t="shared" si="49"/>
        <v>ls -l 07180814_1731/ | grep grad &gt;&gt; ~/K100/condorfail.txt</v>
      </c>
    </row>
    <row r="619" spans="1:21">
      <c r="A619" s="179" t="s">
        <v>6047</v>
      </c>
      <c r="G619" s="74"/>
      <c r="K619" s="180"/>
      <c r="M619" t="s">
        <v>5593</v>
      </c>
      <c r="N619" t="s">
        <v>5571</v>
      </c>
      <c r="O619" t="s">
        <v>4927</v>
      </c>
      <c r="Q619" t="str">
        <f t="shared" si="52"/>
        <v>condorProc.py --series 07180814_1741 --donoise  --dumps a --procenv environments/pymidas_HVHV_NaI_mf.env</v>
      </c>
      <c r="U619" t="str">
        <f t="shared" si="49"/>
        <v>ls -l 07180814_1741/ | grep grad &gt;&gt; ~/K100/condorfail.txt</v>
      </c>
    </row>
    <row r="620" spans="1:21">
      <c r="A620" s="179" t="s">
        <v>6048</v>
      </c>
      <c r="G620" s="74"/>
      <c r="K620" s="180"/>
      <c r="M620" t="s">
        <v>5593</v>
      </c>
      <c r="N620" t="s">
        <v>5571</v>
      </c>
      <c r="O620" t="s">
        <v>4927</v>
      </c>
      <c r="Q620" t="str">
        <f t="shared" si="52"/>
        <v>condorProc.py --series 07180814_1751 --donoise  --dumps a --procenv environments/pymidas_HVHV_NaI_mf.env</v>
      </c>
      <c r="U620" t="str">
        <f t="shared" si="49"/>
        <v>ls -l 07180814_1751/ | grep grad &gt;&gt; ~/K100/condorfail.txt</v>
      </c>
    </row>
    <row r="621" spans="1:21">
      <c r="A621" s="179" t="s">
        <v>6049</v>
      </c>
      <c r="G621" s="74"/>
      <c r="K621" s="180"/>
      <c r="M621" t="s">
        <v>5593</v>
      </c>
      <c r="N621" t="s">
        <v>5571</v>
      </c>
      <c r="O621" t="s">
        <v>4927</v>
      </c>
      <c r="Q621" t="str">
        <f t="shared" si="52"/>
        <v>condorProc.py --series 07180814_1801 --donoise  --dumps a --procenv environments/pymidas_HVHV_NaI_mf.env</v>
      </c>
      <c r="U621" t="str">
        <f t="shared" si="49"/>
        <v>ls -l 07180814_1801/ | grep grad &gt;&gt; ~/K100/condorfail.txt</v>
      </c>
    </row>
    <row r="622" spans="1:21">
      <c r="A622" s="179" t="s">
        <v>6050</v>
      </c>
      <c r="G622" s="74"/>
      <c r="K622" s="180"/>
      <c r="M622" t="s">
        <v>5593</v>
      </c>
      <c r="N622" t="s">
        <v>5571</v>
      </c>
      <c r="O622" t="s">
        <v>4927</v>
      </c>
      <c r="Q622" t="str">
        <f t="shared" si="52"/>
        <v>condorProc.py --series 07180814_1812 --donoise  --dumps a --procenv environments/pymidas_HVHV_NaI_mf.env</v>
      </c>
      <c r="U622" t="str">
        <f t="shared" si="49"/>
        <v>ls -l 07180814_1812/ | grep grad &gt;&gt; ~/K100/condorfail.txt</v>
      </c>
    </row>
    <row r="623" spans="1:21">
      <c r="A623" s="179" t="s">
        <v>6051</v>
      </c>
      <c r="G623" s="74"/>
      <c r="K623" s="180"/>
      <c r="M623" t="s">
        <v>5593</v>
      </c>
      <c r="N623" t="s">
        <v>5571</v>
      </c>
      <c r="O623" t="s">
        <v>4927</v>
      </c>
      <c r="Q623" t="str">
        <f t="shared" si="52"/>
        <v>condorProc.py --series 07180814_1822 --donoise  --dumps a --procenv environments/pymidas_HVHV_NaI_mf.env</v>
      </c>
      <c r="U623" t="str">
        <f t="shared" si="49"/>
        <v>ls -l 07180814_1822/ | grep grad &gt;&gt; ~/K100/condorfail.txt</v>
      </c>
    </row>
    <row r="624" spans="1:21">
      <c r="A624" s="179" t="s">
        <v>6052</v>
      </c>
      <c r="G624" s="74"/>
      <c r="K624" s="180"/>
      <c r="M624" t="s">
        <v>5593</v>
      </c>
      <c r="N624" t="s">
        <v>5571</v>
      </c>
      <c r="O624" t="s">
        <v>4927</v>
      </c>
      <c r="Q624" t="str">
        <f t="shared" si="52"/>
        <v>condorProc.py --series 07180814_1832 --donoise  --dumps a --procenv environments/pymidas_HVHV_NaI_mf.env</v>
      </c>
      <c r="U624" t="str">
        <f t="shared" si="49"/>
        <v>ls -l 07180814_1832/ | grep grad &gt;&gt; ~/K100/condorfail.txt</v>
      </c>
    </row>
    <row r="625" spans="1:21">
      <c r="A625" s="181" t="s">
        <v>6053</v>
      </c>
      <c r="B625" s="65"/>
      <c r="C625" s="65"/>
      <c r="D625" s="65"/>
      <c r="E625" s="65"/>
      <c r="F625" s="65"/>
      <c r="G625" s="189"/>
      <c r="H625" s="65"/>
      <c r="I625" s="65" t="s">
        <v>75</v>
      </c>
      <c r="J625" s="65"/>
      <c r="K625" s="182"/>
      <c r="M625" t="s">
        <v>5593</v>
      </c>
      <c r="N625" t="s">
        <v>5571</v>
      </c>
      <c r="O625" t="s">
        <v>4927</v>
      </c>
      <c r="Q625" t="str">
        <f t="shared" si="52"/>
        <v>condorProc.py --series 07180814_1842 --donoise  --dumps a --procenv environments/pymidas_HVHV_NaI_mf.env</v>
      </c>
      <c r="T625" t="str">
        <f>"ls -l "&amp;A625&amp;"/ | grep grad\ \ \ &gt;&gt; ~/K100/condorfail.txt"</f>
        <v>ls -l 07180814_1842/ | grep grad\ \ \ &gt;&gt; ~/K100/condorfail.txt</v>
      </c>
      <c r="U625" t="str">
        <f t="shared" si="49"/>
        <v>ls -l 07180814_1842/ | grep grad &gt;&gt; ~/K100/condorfail.txt</v>
      </c>
    </row>
    <row r="626" spans="1:21">
      <c r="A626" s="176" t="s">
        <v>6054</v>
      </c>
      <c r="B626" s="177"/>
      <c r="C626" s="177"/>
      <c r="D626" s="177"/>
      <c r="E626" s="177"/>
      <c r="F626" s="177">
        <v>10</v>
      </c>
      <c r="G626" s="188" t="s">
        <v>2248</v>
      </c>
      <c r="H626" s="177">
        <v>40</v>
      </c>
      <c r="I626" s="177"/>
      <c r="J626" s="177" t="s">
        <v>5577</v>
      </c>
      <c r="K626" s="178" t="s">
        <v>5583</v>
      </c>
      <c r="M626" t="s">
        <v>5593</v>
      </c>
      <c r="N626" t="s">
        <v>5571</v>
      </c>
      <c r="O626" t="s">
        <v>4927</v>
      </c>
      <c r="Q626" t="str">
        <f t="shared" si="52"/>
        <v>condorProc.py --series 07180814_1932 --donoise  --dumps a --procenv environments/pymidas_HVHV_NaI_mf.env</v>
      </c>
      <c r="U626" t="str">
        <f t="shared" si="49"/>
        <v>ls -l 07180814_1932/ | grep grad &gt;&gt; ~/K100/condorfail.txt</v>
      </c>
    </row>
    <row r="627" spans="1:21">
      <c r="A627" s="179" t="s">
        <v>6055</v>
      </c>
      <c r="G627" s="74"/>
      <c r="J627" t="s">
        <v>5585</v>
      </c>
      <c r="K627" s="180" t="s">
        <v>5671</v>
      </c>
      <c r="M627" t="s">
        <v>5593</v>
      </c>
      <c r="N627" t="s">
        <v>5571</v>
      </c>
      <c r="O627" t="s">
        <v>4927</v>
      </c>
      <c r="Q627" t="str">
        <f t="shared" ref="Q627:Q637" si="53">"condorProc.py --series "&amp;A627&amp;" --donoise  --dumps a --procenv environments/pymidas_HVHV_NaI_mf.env"</f>
        <v>condorProc.py --series 07180814_1942 --donoise  --dumps a --procenv environments/pymidas_HVHV_NaI_mf.env</v>
      </c>
      <c r="U627" t="str">
        <f t="shared" si="49"/>
        <v>ls -l 07180814_1942/ | grep grad &gt;&gt; ~/K100/condorfail.txt</v>
      </c>
    </row>
    <row r="628" spans="1:21">
      <c r="A628" s="179" t="s">
        <v>6056</v>
      </c>
      <c r="G628" s="74"/>
      <c r="K628" s="187" t="s">
        <v>5673</v>
      </c>
      <c r="M628" t="s">
        <v>5593</v>
      </c>
      <c r="N628" t="s">
        <v>5571</v>
      </c>
      <c r="O628" t="s">
        <v>4927</v>
      </c>
      <c r="Q628" t="str">
        <f t="shared" si="53"/>
        <v>condorProc.py --series 07180814_1952 --donoise  --dumps a --procenv environments/pymidas_HVHV_NaI_mf.env</v>
      </c>
      <c r="U628" t="str">
        <f t="shared" si="49"/>
        <v>ls -l 07180814_1952/ | grep grad &gt;&gt; ~/K100/condorfail.txt</v>
      </c>
    </row>
    <row r="629" spans="1:21">
      <c r="A629" s="179" t="s">
        <v>6057</v>
      </c>
      <c r="G629" s="74"/>
      <c r="K629" s="180"/>
      <c r="M629" t="s">
        <v>5593</v>
      </c>
      <c r="N629" t="s">
        <v>5571</v>
      </c>
      <c r="O629" t="s">
        <v>4927</v>
      </c>
      <c r="Q629" t="str">
        <f t="shared" si="53"/>
        <v>condorProc.py --series 07180814_2002 --donoise  --dumps a --procenv environments/pymidas_HVHV_NaI_mf.env</v>
      </c>
      <c r="U629" t="str">
        <f t="shared" si="49"/>
        <v>ls -l 07180814_2002/ | grep grad &gt;&gt; ~/K100/condorfail.txt</v>
      </c>
    </row>
    <row r="630" spans="1:21">
      <c r="A630" s="179" t="s">
        <v>6058</v>
      </c>
      <c r="G630" s="74"/>
      <c r="K630" s="180"/>
      <c r="M630" t="s">
        <v>5593</v>
      </c>
      <c r="N630" t="s">
        <v>5571</v>
      </c>
      <c r="O630" t="s">
        <v>4927</v>
      </c>
      <c r="Q630" t="str">
        <f t="shared" si="53"/>
        <v>condorProc.py --series 07180814_2012 --donoise  --dumps a --procenv environments/pymidas_HVHV_NaI_mf.env</v>
      </c>
      <c r="U630" t="str">
        <f t="shared" si="49"/>
        <v>ls -l 07180814_2012/ | grep grad &gt;&gt; ~/K100/condorfail.txt</v>
      </c>
    </row>
    <row r="631" spans="1:21">
      <c r="A631" s="179" t="s">
        <v>6059</v>
      </c>
      <c r="G631" s="74"/>
      <c r="K631" s="180"/>
      <c r="M631" t="s">
        <v>5593</v>
      </c>
      <c r="N631" t="s">
        <v>5571</v>
      </c>
      <c r="O631" t="s">
        <v>4927</v>
      </c>
      <c r="Q631" t="str">
        <f t="shared" si="53"/>
        <v>condorProc.py --series 07180814_2022 --donoise  --dumps a --procenv environments/pymidas_HVHV_NaI_mf.env</v>
      </c>
      <c r="U631" t="str">
        <f t="shared" si="49"/>
        <v>ls -l 07180814_2022/ | grep grad &gt;&gt; ~/K100/condorfail.txt</v>
      </c>
    </row>
    <row r="632" spans="1:21">
      <c r="A632" s="179" t="s">
        <v>6060</v>
      </c>
      <c r="G632" s="74"/>
      <c r="K632" s="180"/>
      <c r="M632" t="s">
        <v>5593</v>
      </c>
      <c r="N632" t="s">
        <v>5571</v>
      </c>
      <c r="O632" t="s">
        <v>4927</v>
      </c>
      <c r="Q632" t="str">
        <f t="shared" si="53"/>
        <v>condorProc.py --series 07180814_2032 --donoise  --dumps a --procenv environments/pymidas_HVHV_NaI_mf.env</v>
      </c>
      <c r="U632" t="str">
        <f t="shared" si="49"/>
        <v>ls -l 07180814_2032/ | grep grad &gt;&gt; ~/K100/condorfail.txt</v>
      </c>
    </row>
    <row r="633" spans="1:21">
      <c r="A633" s="179" t="s">
        <v>6061</v>
      </c>
      <c r="G633" s="74"/>
      <c r="K633" s="180"/>
      <c r="M633" t="s">
        <v>5593</v>
      </c>
      <c r="N633" t="s">
        <v>5571</v>
      </c>
      <c r="O633" t="s">
        <v>4927</v>
      </c>
      <c r="Q633" t="str">
        <f t="shared" si="53"/>
        <v>condorProc.py --series 07180814_2043 --donoise  --dumps a --procenv environments/pymidas_HVHV_NaI_mf.env</v>
      </c>
      <c r="U633" t="str">
        <f t="shared" si="49"/>
        <v>ls -l 07180814_2043/ | grep grad &gt;&gt; ~/K100/condorfail.txt</v>
      </c>
    </row>
    <row r="634" spans="1:21">
      <c r="A634" s="179" t="s">
        <v>6062</v>
      </c>
      <c r="G634" s="74"/>
      <c r="K634" s="180"/>
      <c r="M634" t="s">
        <v>5593</v>
      </c>
      <c r="N634" t="s">
        <v>5571</v>
      </c>
      <c r="O634" t="s">
        <v>4927</v>
      </c>
      <c r="Q634" t="str">
        <f t="shared" si="53"/>
        <v>condorProc.py --series 07180814_2053 --donoise  --dumps a --procenv environments/pymidas_HVHV_NaI_mf.env</v>
      </c>
      <c r="U634" t="str">
        <f t="shared" si="49"/>
        <v>ls -l 07180814_2053/ | grep grad &gt;&gt; ~/K100/condorfail.txt</v>
      </c>
    </row>
    <row r="635" spans="1:21">
      <c r="A635" s="179" t="s">
        <v>6063</v>
      </c>
      <c r="G635" s="74"/>
      <c r="K635" s="180"/>
      <c r="M635" t="s">
        <v>5593</v>
      </c>
      <c r="N635" t="s">
        <v>5571</v>
      </c>
      <c r="O635" t="s">
        <v>4927</v>
      </c>
      <c r="Q635" t="str">
        <f t="shared" si="53"/>
        <v>condorProc.py --series 07180814_2103 --donoise  --dumps a --procenv environments/pymidas_HVHV_NaI_mf.env</v>
      </c>
      <c r="U635" t="str">
        <f t="shared" si="49"/>
        <v>ls -l 07180814_2103/ | grep grad &gt;&gt; ~/K100/condorfail.txt</v>
      </c>
    </row>
    <row r="636" spans="1:21">
      <c r="A636" s="179" t="s">
        <v>6064</v>
      </c>
      <c r="G636" s="74"/>
      <c r="K636" s="180"/>
      <c r="M636" t="s">
        <v>5593</v>
      </c>
      <c r="N636" t="s">
        <v>5571</v>
      </c>
      <c r="O636" t="s">
        <v>4927</v>
      </c>
      <c r="Q636" t="str">
        <f t="shared" si="53"/>
        <v>condorProc.py --series 07180814_2113 --donoise  --dumps a --procenv environments/pymidas_HVHV_NaI_mf.env</v>
      </c>
      <c r="U636" t="str">
        <f t="shared" si="49"/>
        <v>ls -l 07180814_2113/ | grep grad &gt;&gt; ~/K100/condorfail.txt</v>
      </c>
    </row>
    <row r="637" spans="1:21">
      <c r="A637" s="181" t="s">
        <v>6065</v>
      </c>
      <c r="B637" s="65"/>
      <c r="C637" s="65"/>
      <c r="D637" s="65"/>
      <c r="E637" s="65"/>
      <c r="F637" s="65"/>
      <c r="G637" s="189"/>
      <c r="H637" s="65"/>
      <c r="I637" s="65" t="s">
        <v>75</v>
      </c>
      <c r="J637" s="65"/>
      <c r="K637" s="182"/>
      <c r="M637" t="s">
        <v>5593</v>
      </c>
      <c r="N637" t="s">
        <v>5571</v>
      </c>
      <c r="O637" t="s">
        <v>4927</v>
      </c>
      <c r="Q637" t="str">
        <f t="shared" si="53"/>
        <v>condorProc.py --series 07180814_2123 --donoise  --dumps a --procenv environments/pymidas_HVHV_NaI_mf.env</v>
      </c>
      <c r="U637" t="str">
        <f t="shared" si="49"/>
        <v>ls -l 07180814_2123/ | grep grad &gt;&gt; ~/K100/condorfail.txt</v>
      </c>
    </row>
    <row r="638" spans="1:21">
      <c r="A638" s="176" t="s">
        <v>6066</v>
      </c>
      <c r="B638" s="177"/>
      <c r="C638" s="177"/>
      <c r="D638" s="177"/>
      <c r="E638" s="177"/>
      <c r="F638" s="177">
        <v>10</v>
      </c>
      <c r="G638" s="188" t="s">
        <v>2248</v>
      </c>
      <c r="H638" s="177">
        <v>40</v>
      </c>
      <c r="I638" s="177"/>
      <c r="J638" s="177" t="s">
        <v>5577</v>
      </c>
      <c r="K638" s="178" t="s">
        <v>5583</v>
      </c>
      <c r="M638" t="s">
        <v>5593</v>
      </c>
      <c r="N638" t="s">
        <v>5571</v>
      </c>
      <c r="O638" t="s">
        <v>4927</v>
      </c>
      <c r="Q638" t="str">
        <f>"condorProc.py --series "&amp;A638&amp;" --donoise  --dumps a --procenv environments/pymidas_HVHV_NaI_mf.env"</f>
        <v>condorProc.py --series 07180814_2214 --donoise  --dumps a --procenv environments/pymidas_HVHV_NaI_mf.env</v>
      </c>
      <c r="U638" t="str">
        <f t="shared" si="49"/>
        <v>ls -l 07180814_2214/ | grep grad &gt;&gt; ~/K100/condorfail.txt</v>
      </c>
    </row>
    <row r="639" spans="1:21">
      <c r="A639" s="179" t="s">
        <v>6067</v>
      </c>
      <c r="G639" s="74"/>
      <c r="J639" t="s">
        <v>5585</v>
      </c>
      <c r="K639" s="180" t="s">
        <v>5671</v>
      </c>
      <c r="M639" t="s">
        <v>5593</v>
      </c>
      <c r="N639" t="s">
        <v>5571</v>
      </c>
      <c r="O639" t="s">
        <v>4927</v>
      </c>
      <c r="Q639" t="str">
        <f t="shared" ref="Q639:Q650" si="54">"condorProc.py --series "&amp;A639&amp;" --donoise  --dumps a --procenv environments/pymidas_HVHV_NaI_mf.env"</f>
        <v>condorProc.py --series 07180814_2224 --donoise  --dumps a --procenv environments/pymidas_HVHV_NaI_mf.env</v>
      </c>
      <c r="U639" t="str">
        <f t="shared" si="49"/>
        <v>ls -l 07180814_2224/ | grep grad &gt;&gt; ~/K100/condorfail.txt</v>
      </c>
    </row>
    <row r="640" spans="1:21">
      <c r="A640" s="179" t="s">
        <v>6068</v>
      </c>
      <c r="G640" s="74"/>
      <c r="K640" s="187" t="s">
        <v>5673</v>
      </c>
      <c r="M640" t="s">
        <v>5593</v>
      </c>
      <c r="N640" t="s">
        <v>5571</v>
      </c>
      <c r="O640" t="s">
        <v>4927</v>
      </c>
      <c r="Q640" t="str">
        <f t="shared" si="54"/>
        <v>condorProc.py --series 07180814_2235 --donoise  --dumps a --procenv environments/pymidas_HVHV_NaI_mf.env</v>
      </c>
      <c r="U640" t="str">
        <f t="shared" si="49"/>
        <v>ls -l 07180814_2235/ | grep grad &gt;&gt; ~/K100/condorfail.txt</v>
      </c>
    </row>
    <row r="641" spans="1:21">
      <c r="A641" s="179" t="s">
        <v>6069</v>
      </c>
      <c r="G641" s="74"/>
      <c r="K641" s="180"/>
      <c r="M641" t="s">
        <v>5593</v>
      </c>
      <c r="N641" t="s">
        <v>5571</v>
      </c>
      <c r="O641" t="s">
        <v>4927</v>
      </c>
      <c r="Q641" t="str">
        <f t="shared" si="54"/>
        <v>condorProc.py --series 07180814_2245 --donoise  --dumps a --procenv environments/pymidas_HVHV_NaI_mf.env</v>
      </c>
      <c r="U641" t="str">
        <f t="shared" si="49"/>
        <v>ls -l 07180814_2245/ | grep grad &gt;&gt; ~/K100/condorfail.txt</v>
      </c>
    </row>
    <row r="642" spans="1:21">
      <c r="A642" s="179" t="s">
        <v>6070</v>
      </c>
      <c r="G642" s="74"/>
      <c r="K642" s="180"/>
      <c r="M642" t="s">
        <v>5593</v>
      </c>
      <c r="N642" t="s">
        <v>5571</v>
      </c>
      <c r="O642" t="s">
        <v>4927</v>
      </c>
      <c r="Q642" t="str">
        <f t="shared" si="54"/>
        <v>condorProc.py --series 07180814_2255 --donoise  --dumps a --procenv environments/pymidas_HVHV_NaI_mf.env</v>
      </c>
      <c r="U642" t="str">
        <f t="shared" si="49"/>
        <v>ls -l 07180814_2255/ | grep grad &gt;&gt; ~/K100/condorfail.txt</v>
      </c>
    </row>
    <row r="643" spans="1:21">
      <c r="A643" s="179" t="s">
        <v>6071</v>
      </c>
      <c r="G643" s="74"/>
      <c r="K643" s="180"/>
      <c r="M643" t="s">
        <v>5593</v>
      </c>
      <c r="N643" t="s">
        <v>5571</v>
      </c>
      <c r="O643" t="s">
        <v>4927</v>
      </c>
      <c r="Q643" t="str">
        <f t="shared" si="54"/>
        <v>condorProc.py --series 07180814_2305 --donoise  --dumps a --procenv environments/pymidas_HVHV_NaI_mf.env</v>
      </c>
      <c r="U643" t="str">
        <f t="shared" si="49"/>
        <v>ls -l 07180814_2305/ | grep grad &gt;&gt; ~/K100/condorfail.txt</v>
      </c>
    </row>
    <row r="644" spans="1:21">
      <c r="A644" s="179" t="s">
        <v>6072</v>
      </c>
      <c r="G644" s="74"/>
      <c r="K644" s="180"/>
      <c r="M644" t="s">
        <v>5593</v>
      </c>
      <c r="N644" t="s">
        <v>5571</v>
      </c>
      <c r="O644" t="s">
        <v>4927</v>
      </c>
      <c r="Q644" t="str">
        <f t="shared" si="54"/>
        <v>condorProc.py --series 07180814_2315 --donoise  --dumps a --procenv environments/pymidas_HVHV_NaI_mf.env</v>
      </c>
      <c r="U644" t="str">
        <f t="shared" si="49"/>
        <v>ls -l 07180814_2315/ | grep grad &gt;&gt; ~/K100/condorfail.txt</v>
      </c>
    </row>
    <row r="645" spans="1:21">
      <c r="A645" s="179" t="s">
        <v>6073</v>
      </c>
      <c r="G645" s="74"/>
      <c r="K645" s="180"/>
      <c r="M645" t="s">
        <v>5593</v>
      </c>
      <c r="N645" t="s">
        <v>5571</v>
      </c>
      <c r="O645" t="s">
        <v>4927</v>
      </c>
      <c r="Q645" t="str">
        <f t="shared" si="54"/>
        <v>condorProc.py --series 07180814_2325 --donoise  --dumps a --procenv environments/pymidas_HVHV_NaI_mf.env</v>
      </c>
      <c r="U645" t="str">
        <f t="shared" si="49"/>
        <v>ls -l 07180814_2325/ | grep grad &gt;&gt; ~/K100/condorfail.txt</v>
      </c>
    </row>
    <row r="646" spans="1:21">
      <c r="A646" s="179" t="s">
        <v>6074</v>
      </c>
      <c r="G646" s="74"/>
      <c r="K646" s="180"/>
      <c r="M646" t="s">
        <v>5593</v>
      </c>
      <c r="N646" t="s">
        <v>5571</v>
      </c>
      <c r="O646" t="s">
        <v>4927</v>
      </c>
      <c r="Q646" t="str">
        <f t="shared" si="54"/>
        <v>condorProc.py --series 07180814_2335 --donoise  --dumps a --procenv environments/pymidas_HVHV_NaI_mf.env</v>
      </c>
      <c r="U646" t="str">
        <f t="shared" si="49"/>
        <v>ls -l 07180814_2335/ | grep grad &gt;&gt; ~/K100/condorfail.txt</v>
      </c>
    </row>
    <row r="647" spans="1:21">
      <c r="A647" s="179" t="s">
        <v>6075</v>
      </c>
      <c r="G647" s="74"/>
      <c r="K647" s="180"/>
      <c r="M647" t="s">
        <v>5593</v>
      </c>
      <c r="N647" t="s">
        <v>5571</v>
      </c>
      <c r="O647" t="s">
        <v>4927</v>
      </c>
      <c r="Q647" t="str">
        <f t="shared" si="54"/>
        <v>condorProc.py --series 07180814_2346 --donoise  --dumps a --procenv environments/pymidas_HVHV_NaI_mf.env</v>
      </c>
      <c r="U647" t="str">
        <f t="shared" si="49"/>
        <v>ls -l 07180814_2346/ | grep grad &gt;&gt; ~/K100/condorfail.txt</v>
      </c>
    </row>
    <row r="648" spans="1:21">
      <c r="A648" s="179" t="s">
        <v>6076</v>
      </c>
      <c r="G648" s="74"/>
      <c r="K648" s="180"/>
      <c r="M648" t="s">
        <v>5593</v>
      </c>
      <c r="N648" t="s">
        <v>5571</v>
      </c>
      <c r="O648" t="s">
        <v>4927</v>
      </c>
      <c r="Q648" t="str">
        <f t="shared" si="54"/>
        <v>condorProc.py --series 07180814_2356 --donoise  --dumps a --procenv environments/pymidas_HVHV_NaI_mf.env</v>
      </c>
      <c r="U648" t="str">
        <f t="shared" si="49"/>
        <v>ls -l 07180814_2356/ | grep grad &gt;&gt; ~/K100/condorfail.txt</v>
      </c>
    </row>
    <row r="649" spans="1:21">
      <c r="A649" s="181" t="s">
        <v>6077</v>
      </c>
      <c r="B649" s="65"/>
      <c r="C649" s="65"/>
      <c r="D649" s="65"/>
      <c r="E649" s="65"/>
      <c r="F649" s="65"/>
      <c r="G649" s="189"/>
      <c r="H649" s="65"/>
      <c r="I649" s="65" t="s">
        <v>75</v>
      </c>
      <c r="J649" s="65"/>
      <c r="K649" s="182"/>
      <c r="M649" t="s">
        <v>5593</v>
      </c>
      <c r="N649" t="s">
        <v>5571</v>
      </c>
      <c r="O649" t="s">
        <v>4927</v>
      </c>
      <c r="Q649" t="str">
        <f t="shared" si="54"/>
        <v>condorProc.py --series 07180815_0006 --donoise  --dumps a --procenv environments/pymidas_HVHV_NaI_mf.env</v>
      </c>
      <c r="U649" t="str">
        <f t="shared" si="49"/>
        <v>ls -l 07180815_0006/ | grep grad &gt;&gt; ~/K100/condorfail.txt</v>
      </c>
    </row>
    <row r="650" spans="1:21">
      <c r="A650" s="176" t="s">
        <v>6078</v>
      </c>
      <c r="B650" s="177"/>
      <c r="C650" s="177"/>
      <c r="D650" s="177"/>
      <c r="E650" s="177"/>
      <c r="F650" s="177">
        <v>10</v>
      </c>
      <c r="G650" s="188" t="s">
        <v>2248</v>
      </c>
      <c r="H650" s="177">
        <v>40</v>
      </c>
      <c r="I650" s="177"/>
      <c r="J650" s="177" t="s">
        <v>5577</v>
      </c>
      <c r="K650" s="178" t="s">
        <v>5583</v>
      </c>
      <c r="M650" t="s">
        <v>5593</v>
      </c>
      <c r="N650" t="s">
        <v>5571</v>
      </c>
      <c r="O650" t="s">
        <v>4927</v>
      </c>
      <c r="Q650" t="str">
        <f t="shared" si="54"/>
        <v>condorProc.py --series 07180815_0056 --donoise  --dumps a --procenv environments/pymidas_HVHV_NaI_mf.env</v>
      </c>
      <c r="U650" t="str">
        <f t="shared" si="49"/>
        <v>ls -l 07180815_0056/ | grep grad &gt;&gt; ~/K100/condorfail.txt</v>
      </c>
    </row>
    <row r="651" spans="1:21">
      <c r="A651" s="179" t="s">
        <v>6079</v>
      </c>
      <c r="G651" s="74"/>
      <c r="J651" t="s">
        <v>5585</v>
      </c>
      <c r="K651" s="180" t="s">
        <v>5671</v>
      </c>
      <c r="M651" t="s">
        <v>5593</v>
      </c>
      <c r="N651" t="s">
        <v>5571</v>
      </c>
      <c r="O651" t="s">
        <v>4927</v>
      </c>
      <c r="Q651" t="str">
        <f t="shared" ref="Q651:Q662" si="55">"condorProc.py --series "&amp;A651&amp;" --donoise  --dumps a --procenv environments/pymidas_HVHV_NaI_mf.env"</f>
        <v>condorProc.py --series 07180815_0106 --donoise  --dumps a --procenv environments/pymidas_HVHV_NaI_mf.env</v>
      </c>
      <c r="U651" t="str">
        <f t="shared" si="49"/>
        <v>ls -l 07180815_0106/ | grep grad &gt;&gt; ~/K100/condorfail.txt</v>
      </c>
    </row>
    <row r="652" spans="1:21">
      <c r="A652" s="179" t="s">
        <v>6080</v>
      </c>
      <c r="G652" s="74"/>
      <c r="K652" s="187" t="s">
        <v>5673</v>
      </c>
      <c r="M652" t="s">
        <v>5593</v>
      </c>
      <c r="N652" t="s">
        <v>5571</v>
      </c>
      <c r="O652" t="s">
        <v>4927</v>
      </c>
      <c r="Q652" t="str">
        <f t="shared" si="55"/>
        <v>condorProc.py --series 07180815_0116 --donoise  --dumps a --procenv environments/pymidas_HVHV_NaI_mf.env</v>
      </c>
      <c r="U652" t="str">
        <f t="shared" si="49"/>
        <v>ls -l 07180815_0116/ | grep grad &gt;&gt; ~/K100/condorfail.txt</v>
      </c>
    </row>
    <row r="653" spans="1:21">
      <c r="A653" s="179" t="s">
        <v>6081</v>
      </c>
      <c r="G653" s="74"/>
      <c r="K653" s="180"/>
      <c r="M653" t="s">
        <v>5593</v>
      </c>
      <c r="N653" t="s">
        <v>5571</v>
      </c>
      <c r="O653" t="s">
        <v>4927</v>
      </c>
      <c r="Q653" t="str">
        <f t="shared" si="55"/>
        <v>condorProc.py --series 07180815_0126 --donoise  --dumps a --procenv environments/pymidas_HVHV_NaI_mf.env</v>
      </c>
      <c r="U653" t="str">
        <f t="shared" si="49"/>
        <v>ls -l 07180815_0126/ | grep grad &gt;&gt; ~/K100/condorfail.txt</v>
      </c>
    </row>
    <row r="654" spans="1:21">
      <c r="A654" s="179" t="s">
        <v>6082</v>
      </c>
      <c r="G654" s="74"/>
      <c r="K654" s="180"/>
      <c r="M654" t="s">
        <v>5593</v>
      </c>
      <c r="N654" t="s">
        <v>5571</v>
      </c>
      <c r="O654" t="s">
        <v>4927</v>
      </c>
      <c r="Q654" t="str">
        <f t="shared" si="55"/>
        <v>condorProc.py --series 07180815_0136 --donoise  --dumps a --procenv environments/pymidas_HVHV_NaI_mf.env</v>
      </c>
      <c r="U654" t="str">
        <f t="shared" ref="U654:U717" si="56">"ls -l "&amp;A654&amp;"/ | grep grad &gt;&gt; ~/K100/condorfail.txt"</f>
        <v>ls -l 07180815_0136/ | grep grad &gt;&gt; ~/K100/condorfail.txt</v>
      </c>
    </row>
    <row r="655" spans="1:21">
      <c r="A655" s="179" t="s">
        <v>6083</v>
      </c>
      <c r="G655" s="74"/>
      <c r="K655" s="180"/>
      <c r="M655" t="s">
        <v>5593</v>
      </c>
      <c r="N655" t="s">
        <v>5571</v>
      </c>
      <c r="O655" t="s">
        <v>4927</v>
      </c>
      <c r="Q655" t="str">
        <f t="shared" si="55"/>
        <v>condorProc.py --series 07180815_0146 --donoise  --dumps a --procenv environments/pymidas_HVHV_NaI_mf.env</v>
      </c>
      <c r="U655" t="str">
        <f t="shared" si="56"/>
        <v>ls -l 07180815_0146/ | grep grad &gt;&gt; ~/K100/condorfail.txt</v>
      </c>
    </row>
    <row r="656" spans="1:21">
      <c r="A656" s="179" t="s">
        <v>6084</v>
      </c>
      <c r="G656" s="74"/>
      <c r="K656" s="180"/>
      <c r="M656" t="s">
        <v>5593</v>
      </c>
      <c r="N656" t="s">
        <v>5571</v>
      </c>
      <c r="O656" t="s">
        <v>4927</v>
      </c>
      <c r="Q656" t="str">
        <f t="shared" si="55"/>
        <v>condorProc.py --series 07180815_0156 --donoise  --dumps a --procenv environments/pymidas_HVHV_NaI_mf.env</v>
      </c>
      <c r="U656" t="str">
        <f t="shared" si="56"/>
        <v>ls -l 07180815_0156/ | grep grad &gt;&gt; ~/K100/condorfail.txt</v>
      </c>
    </row>
    <row r="657" spans="1:21">
      <c r="A657" s="179" t="s">
        <v>6085</v>
      </c>
      <c r="G657" s="74"/>
      <c r="K657" s="180"/>
      <c r="M657" t="s">
        <v>5593</v>
      </c>
      <c r="N657" t="s">
        <v>5571</v>
      </c>
      <c r="O657" t="s">
        <v>4927</v>
      </c>
      <c r="Q657" t="str">
        <f t="shared" si="55"/>
        <v>condorProc.py --series 07180815_0207 --donoise  --dumps a --procenv environments/pymidas_HVHV_NaI_mf.env</v>
      </c>
      <c r="U657" t="str">
        <f t="shared" si="56"/>
        <v>ls -l 07180815_0207/ | grep grad &gt;&gt; ~/K100/condorfail.txt</v>
      </c>
    </row>
    <row r="658" spans="1:21">
      <c r="A658" s="179" t="s">
        <v>6086</v>
      </c>
      <c r="G658" s="74"/>
      <c r="K658" s="180"/>
      <c r="M658" t="s">
        <v>5593</v>
      </c>
      <c r="N658" t="s">
        <v>5571</v>
      </c>
      <c r="O658" t="s">
        <v>4927</v>
      </c>
      <c r="Q658" t="str">
        <f t="shared" si="55"/>
        <v>condorProc.py --series 07180815_0217 --donoise  --dumps a --procenv environments/pymidas_HVHV_NaI_mf.env</v>
      </c>
      <c r="U658" t="str">
        <f t="shared" si="56"/>
        <v>ls -l 07180815_0217/ | grep grad &gt;&gt; ~/K100/condorfail.txt</v>
      </c>
    </row>
    <row r="659" spans="1:21">
      <c r="A659" s="179" t="s">
        <v>6087</v>
      </c>
      <c r="G659" s="74"/>
      <c r="K659" s="180"/>
      <c r="M659" t="s">
        <v>5593</v>
      </c>
      <c r="N659" t="s">
        <v>5571</v>
      </c>
      <c r="O659" t="s">
        <v>4927</v>
      </c>
      <c r="Q659" t="str">
        <f t="shared" si="55"/>
        <v>condorProc.py --series 07180815_0227 --donoise  --dumps a --procenv environments/pymidas_HVHV_NaI_mf.env</v>
      </c>
      <c r="U659" t="str">
        <f t="shared" si="56"/>
        <v>ls -l 07180815_0227/ | grep grad &gt;&gt; ~/K100/condorfail.txt</v>
      </c>
    </row>
    <row r="660" spans="1:21">
      <c r="A660" s="179" t="s">
        <v>6088</v>
      </c>
      <c r="G660" s="74"/>
      <c r="K660" s="180"/>
      <c r="M660" t="s">
        <v>5593</v>
      </c>
      <c r="N660" t="s">
        <v>5571</v>
      </c>
      <c r="O660" t="s">
        <v>4927</v>
      </c>
      <c r="Q660" t="str">
        <f t="shared" si="55"/>
        <v>condorProc.py --series 07180815_0237 --donoise  --dumps a --procenv environments/pymidas_HVHV_NaI_mf.env</v>
      </c>
      <c r="U660" t="str">
        <f t="shared" si="56"/>
        <v>ls -l 07180815_0237/ | grep grad &gt;&gt; ~/K100/condorfail.txt</v>
      </c>
    </row>
    <row r="661" spans="1:21">
      <c r="A661" s="181" t="s">
        <v>6089</v>
      </c>
      <c r="B661" s="65"/>
      <c r="C661" s="65"/>
      <c r="D661" s="65"/>
      <c r="E661" s="65"/>
      <c r="F661" s="65"/>
      <c r="G661" s="189"/>
      <c r="H661" s="65"/>
      <c r="I661" s="65" t="s">
        <v>75</v>
      </c>
      <c r="J661" s="65"/>
      <c r="K661" s="182"/>
      <c r="M661" t="s">
        <v>5593</v>
      </c>
      <c r="N661" t="s">
        <v>5571</v>
      </c>
      <c r="O661" t="s">
        <v>4927</v>
      </c>
      <c r="Q661" t="str">
        <f t="shared" si="55"/>
        <v>condorProc.py --series 07180815_0247 --donoise  --dumps a --procenv environments/pymidas_HVHV_NaI_mf.env</v>
      </c>
      <c r="U661" t="str">
        <f t="shared" si="56"/>
        <v>ls -l 07180815_0247/ | grep grad &gt;&gt; ~/K100/condorfail.txt</v>
      </c>
    </row>
    <row r="662" spans="1:21">
      <c r="A662" s="176" t="s">
        <v>6090</v>
      </c>
      <c r="B662" s="177"/>
      <c r="C662" s="177"/>
      <c r="D662" s="177"/>
      <c r="E662" s="177"/>
      <c r="F662" s="177">
        <v>10</v>
      </c>
      <c r="G662" s="188" t="s">
        <v>2248</v>
      </c>
      <c r="H662" s="177">
        <v>40</v>
      </c>
      <c r="I662" s="177"/>
      <c r="J662" s="177" t="s">
        <v>5577</v>
      </c>
      <c r="K662" s="178" t="s">
        <v>5583</v>
      </c>
      <c r="M662" t="s">
        <v>5593</v>
      </c>
      <c r="N662" t="s">
        <v>5571</v>
      </c>
      <c r="O662" t="s">
        <v>4927</v>
      </c>
      <c r="Q662" t="str">
        <f t="shared" si="55"/>
        <v>condorProc.py --series 07180815_0337 --donoise  --dumps a --procenv environments/pymidas_HVHV_NaI_mf.env</v>
      </c>
      <c r="U662" t="str">
        <f t="shared" si="56"/>
        <v>ls -l 07180815_0337/ | grep grad &gt;&gt; ~/K100/condorfail.txt</v>
      </c>
    </row>
    <row r="663" spans="1:21">
      <c r="A663" s="179" t="s">
        <v>6091</v>
      </c>
      <c r="G663" s="74"/>
      <c r="J663" t="s">
        <v>5585</v>
      </c>
      <c r="K663" s="180" t="s">
        <v>5671</v>
      </c>
      <c r="M663" t="s">
        <v>5593</v>
      </c>
      <c r="N663" t="s">
        <v>5571</v>
      </c>
      <c r="O663" t="s">
        <v>4927</v>
      </c>
      <c r="Q663" t="str">
        <f t="shared" ref="Q663:Q674" si="57">"condorProc.py --series "&amp;A663&amp;" --donoise  --dumps a --procenv environments/pymidas_HVHV_NaI_mf.env"</f>
        <v>condorProc.py --series 07180815_0347 --donoise  --dumps a --procenv environments/pymidas_HVHV_NaI_mf.env</v>
      </c>
      <c r="U663" t="str">
        <f t="shared" si="56"/>
        <v>ls -l 07180815_0347/ | grep grad &gt;&gt; ~/K100/condorfail.txt</v>
      </c>
    </row>
    <row r="664" spans="1:21">
      <c r="A664" s="179" t="s">
        <v>6092</v>
      </c>
      <c r="G664" s="74"/>
      <c r="K664" s="187" t="s">
        <v>5673</v>
      </c>
      <c r="M664" t="s">
        <v>5593</v>
      </c>
      <c r="N664" t="s">
        <v>5571</v>
      </c>
      <c r="O664" t="s">
        <v>4927</v>
      </c>
      <c r="Q664" t="str">
        <f t="shared" si="57"/>
        <v>condorProc.py --series 07180815_0357 --donoise  --dumps a --procenv environments/pymidas_HVHV_NaI_mf.env</v>
      </c>
      <c r="U664" t="str">
        <f t="shared" si="56"/>
        <v>ls -l 07180815_0357/ | grep grad &gt;&gt; ~/K100/condorfail.txt</v>
      </c>
    </row>
    <row r="665" spans="1:21">
      <c r="A665" s="179" t="s">
        <v>6093</v>
      </c>
      <c r="G665" s="74"/>
      <c r="K665" s="180"/>
      <c r="M665" t="s">
        <v>5593</v>
      </c>
      <c r="N665" t="s">
        <v>5571</v>
      </c>
      <c r="O665" t="s">
        <v>4927</v>
      </c>
      <c r="Q665" t="str">
        <f t="shared" si="57"/>
        <v>condorProc.py --series 07180815_0407 --donoise  --dumps a --procenv environments/pymidas_HVHV_NaI_mf.env</v>
      </c>
      <c r="U665" t="str">
        <f t="shared" si="56"/>
        <v>ls -l 07180815_0407/ | grep grad &gt;&gt; ~/K100/condorfail.txt</v>
      </c>
    </row>
    <row r="666" spans="1:21">
      <c r="A666" s="179" t="s">
        <v>6094</v>
      </c>
      <c r="G666" s="74"/>
      <c r="K666" s="180"/>
      <c r="M666" t="s">
        <v>5593</v>
      </c>
      <c r="N666" t="s">
        <v>5571</v>
      </c>
      <c r="O666" t="s">
        <v>4927</v>
      </c>
      <c r="Q666" t="str">
        <f t="shared" si="57"/>
        <v>condorProc.py --series 07180815_0417 --donoise  --dumps a --procenv environments/pymidas_HVHV_NaI_mf.env</v>
      </c>
      <c r="U666" t="str">
        <f t="shared" si="56"/>
        <v>ls -l 07180815_0417/ | grep grad &gt;&gt; ~/K100/condorfail.txt</v>
      </c>
    </row>
    <row r="667" spans="1:21">
      <c r="A667" s="179" t="s">
        <v>6095</v>
      </c>
      <c r="G667" s="74"/>
      <c r="K667" s="180"/>
      <c r="M667" t="s">
        <v>5593</v>
      </c>
      <c r="N667" t="s">
        <v>5571</v>
      </c>
      <c r="O667" t="s">
        <v>4927</v>
      </c>
      <c r="Q667" t="str">
        <f t="shared" si="57"/>
        <v>condorProc.py --series 07180815_0427 --donoise  --dumps a --procenv environments/pymidas_HVHV_NaI_mf.env</v>
      </c>
      <c r="U667" t="str">
        <f t="shared" si="56"/>
        <v>ls -l 07180815_0427/ | grep grad &gt;&gt; ~/K100/condorfail.txt</v>
      </c>
    </row>
    <row r="668" spans="1:21">
      <c r="A668" s="179" t="s">
        <v>6096</v>
      </c>
      <c r="G668" s="74"/>
      <c r="K668" s="180"/>
      <c r="M668" t="s">
        <v>5593</v>
      </c>
      <c r="N668" t="s">
        <v>5571</v>
      </c>
      <c r="O668" t="s">
        <v>4927</v>
      </c>
      <c r="Q668" t="str">
        <f t="shared" si="57"/>
        <v>condorProc.py --series 07180815_0438 --donoise  --dumps a --procenv environments/pymidas_HVHV_NaI_mf.env</v>
      </c>
      <c r="U668" t="str">
        <f t="shared" si="56"/>
        <v>ls -l 07180815_0438/ | grep grad &gt;&gt; ~/K100/condorfail.txt</v>
      </c>
    </row>
    <row r="669" spans="1:21">
      <c r="A669" s="179" t="s">
        <v>6097</v>
      </c>
      <c r="G669" s="74"/>
      <c r="K669" s="180"/>
      <c r="M669" t="s">
        <v>5593</v>
      </c>
      <c r="N669" t="s">
        <v>5571</v>
      </c>
      <c r="O669" t="s">
        <v>4927</v>
      </c>
      <c r="Q669" t="str">
        <f t="shared" si="57"/>
        <v>condorProc.py --series 07180815_0448 --donoise  --dumps a --procenv environments/pymidas_HVHV_NaI_mf.env</v>
      </c>
      <c r="U669" t="str">
        <f t="shared" si="56"/>
        <v>ls -l 07180815_0448/ | grep grad &gt;&gt; ~/K100/condorfail.txt</v>
      </c>
    </row>
    <row r="670" spans="1:21">
      <c r="A670" s="179" t="s">
        <v>6098</v>
      </c>
      <c r="G670" s="74"/>
      <c r="K670" s="180"/>
      <c r="M670" t="s">
        <v>5593</v>
      </c>
      <c r="N670" t="s">
        <v>5571</v>
      </c>
      <c r="O670" t="s">
        <v>4927</v>
      </c>
      <c r="Q670" t="str">
        <f t="shared" si="57"/>
        <v>condorProc.py --series 07180815_0458 --donoise  --dumps a --procenv environments/pymidas_HVHV_NaI_mf.env</v>
      </c>
      <c r="U670" t="str">
        <f t="shared" si="56"/>
        <v>ls -l 07180815_0458/ | grep grad &gt;&gt; ~/K100/condorfail.txt</v>
      </c>
    </row>
    <row r="671" spans="1:21">
      <c r="A671" s="179" t="s">
        <v>6099</v>
      </c>
      <c r="G671" s="74"/>
      <c r="K671" s="180"/>
      <c r="M671" t="s">
        <v>5593</v>
      </c>
      <c r="N671" t="s">
        <v>5571</v>
      </c>
      <c r="O671" t="s">
        <v>4927</v>
      </c>
      <c r="Q671" t="str">
        <f t="shared" si="57"/>
        <v>condorProc.py --series 07180815_0508 --donoise  --dumps a --procenv environments/pymidas_HVHV_NaI_mf.env</v>
      </c>
      <c r="U671" t="str">
        <f t="shared" si="56"/>
        <v>ls -l 07180815_0508/ | grep grad &gt;&gt; ~/K100/condorfail.txt</v>
      </c>
    </row>
    <row r="672" spans="1:21">
      <c r="A672" s="179" t="s">
        <v>6100</v>
      </c>
      <c r="G672" s="74"/>
      <c r="K672" s="180"/>
      <c r="M672" t="s">
        <v>5593</v>
      </c>
      <c r="N672" t="s">
        <v>5571</v>
      </c>
      <c r="O672" t="s">
        <v>4927</v>
      </c>
      <c r="Q672" t="str">
        <f t="shared" si="57"/>
        <v>condorProc.py --series 07180815_0518 --donoise  --dumps a --procenv environments/pymidas_HVHV_NaI_mf.env</v>
      </c>
      <c r="U672" t="str">
        <f t="shared" si="56"/>
        <v>ls -l 07180815_0518/ | grep grad &gt;&gt; ~/K100/condorfail.txt</v>
      </c>
    </row>
    <row r="673" spans="1:21">
      <c r="A673" s="181" t="s">
        <v>6101</v>
      </c>
      <c r="B673" s="65"/>
      <c r="C673" s="65"/>
      <c r="D673" s="65"/>
      <c r="E673" s="65"/>
      <c r="F673" s="65"/>
      <c r="G673" s="189"/>
      <c r="H673" s="65"/>
      <c r="I673" s="65" t="s">
        <v>75</v>
      </c>
      <c r="J673" s="65"/>
      <c r="K673" s="182"/>
      <c r="M673" t="s">
        <v>5593</v>
      </c>
      <c r="N673" t="s">
        <v>5571</v>
      </c>
      <c r="O673" t="s">
        <v>4927</v>
      </c>
      <c r="Q673" t="str">
        <f t="shared" si="57"/>
        <v>condorProc.py --series 07180815_0528 --donoise  --dumps a --procenv environments/pymidas_HVHV_NaI_mf.env</v>
      </c>
      <c r="U673" t="str">
        <f t="shared" si="56"/>
        <v>ls -l 07180815_0528/ | grep grad &gt;&gt; ~/K100/condorfail.txt</v>
      </c>
    </row>
    <row r="674" spans="1:21">
      <c r="A674" s="176" t="s">
        <v>6102</v>
      </c>
      <c r="B674" s="177"/>
      <c r="C674" s="177"/>
      <c r="D674" s="177"/>
      <c r="E674" s="177"/>
      <c r="F674" s="177">
        <v>10</v>
      </c>
      <c r="G674" s="188" t="s">
        <v>2248</v>
      </c>
      <c r="H674" s="177">
        <v>40</v>
      </c>
      <c r="I674" s="177"/>
      <c r="J674" s="177" t="s">
        <v>5577</v>
      </c>
      <c r="K674" s="178" t="s">
        <v>5583</v>
      </c>
      <c r="M674" t="s">
        <v>5593</v>
      </c>
      <c r="N674" t="s">
        <v>5571</v>
      </c>
      <c r="O674" t="s">
        <v>4927</v>
      </c>
      <c r="Q674" t="str">
        <f t="shared" si="57"/>
        <v>condorProc.py --series 07180815_0618 --donoise  --dumps a --procenv environments/pymidas_HVHV_NaI_mf.env</v>
      </c>
      <c r="U674" t="str">
        <f t="shared" si="56"/>
        <v>ls -l 07180815_0618/ | grep grad &gt;&gt; ~/K100/condorfail.txt</v>
      </c>
    </row>
    <row r="675" spans="1:21">
      <c r="A675" s="179" t="s">
        <v>6103</v>
      </c>
      <c r="G675" s="74"/>
      <c r="J675" t="s">
        <v>5585</v>
      </c>
      <c r="K675" s="180" t="s">
        <v>5671</v>
      </c>
      <c r="M675" t="s">
        <v>5593</v>
      </c>
      <c r="N675" t="s">
        <v>5571</v>
      </c>
      <c r="O675" t="s">
        <v>4927</v>
      </c>
      <c r="Q675" t="str">
        <f t="shared" ref="Q675:Q686" si="58">"condorProc.py --series "&amp;A675&amp;" --donoise  --dumps a --procenv environments/pymidas_HVHV_NaI_mf.env"</f>
        <v>condorProc.py --series 07180815_0628 --donoise  --dumps a --procenv environments/pymidas_HVHV_NaI_mf.env</v>
      </c>
      <c r="U675" t="str">
        <f t="shared" si="56"/>
        <v>ls -l 07180815_0628/ | grep grad &gt;&gt; ~/K100/condorfail.txt</v>
      </c>
    </row>
    <row r="676" spans="1:21">
      <c r="A676" s="179" t="s">
        <v>6104</v>
      </c>
      <c r="G676" s="74"/>
      <c r="K676" s="187" t="s">
        <v>5673</v>
      </c>
      <c r="M676" t="s">
        <v>5593</v>
      </c>
      <c r="N676" t="s">
        <v>5571</v>
      </c>
      <c r="O676" t="s">
        <v>4927</v>
      </c>
      <c r="Q676" t="str">
        <f t="shared" si="58"/>
        <v>condorProc.py --series 07180815_0638 --donoise  --dumps a --procenv environments/pymidas_HVHV_NaI_mf.env</v>
      </c>
      <c r="U676" t="str">
        <f t="shared" si="56"/>
        <v>ls -l 07180815_0638/ | grep grad &gt;&gt; ~/K100/condorfail.txt</v>
      </c>
    </row>
    <row r="677" spans="1:21">
      <c r="A677" s="179" t="s">
        <v>6105</v>
      </c>
      <c r="G677" s="74"/>
      <c r="K677" s="180"/>
      <c r="M677" t="s">
        <v>5593</v>
      </c>
      <c r="N677" t="s">
        <v>5571</v>
      </c>
      <c r="O677" t="s">
        <v>4927</v>
      </c>
      <c r="Q677" t="str">
        <f t="shared" si="58"/>
        <v>condorProc.py --series 07180815_0648 --donoise  --dumps a --procenv environments/pymidas_HVHV_NaI_mf.env</v>
      </c>
      <c r="U677" t="str">
        <f t="shared" si="56"/>
        <v>ls -l 07180815_0648/ | grep grad &gt;&gt; ~/K100/condorfail.txt</v>
      </c>
    </row>
    <row r="678" spans="1:21">
      <c r="A678" s="179" t="s">
        <v>6106</v>
      </c>
      <c r="G678" s="74"/>
      <c r="K678" s="180"/>
      <c r="M678" t="s">
        <v>5593</v>
      </c>
      <c r="N678" t="s">
        <v>5571</v>
      </c>
      <c r="O678" t="s">
        <v>4927</v>
      </c>
      <c r="Q678" t="str">
        <f t="shared" si="58"/>
        <v>condorProc.py --series 07180815_0658 --donoise  --dumps a --procenv environments/pymidas_HVHV_NaI_mf.env</v>
      </c>
      <c r="U678" t="str">
        <f t="shared" si="56"/>
        <v>ls -l 07180815_0658/ | grep grad &gt;&gt; ~/K100/condorfail.txt</v>
      </c>
    </row>
    <row r="679" spans="1:21">
      <c r="A679" s="179" t="s">
        <v>6107</v>
      </c>
      <c r="G679" s="74"/>
      <c r="K679" s="180"/>
      <c r="M679" t="s">
        <v>5593</v>
      </c>
      <c r="N679" t="s">
        <v>5571</v>
      </c>
      <c r="O679" t="s">
        <v>4927</v>
      </c>
      <c r="Q679" t="str">
        <f t="shared" si="58"/>
        <v>condorProc.py --series 07180815_0708 --donoise  --dumps a --procenv environments/pymidas_HVHV_NaI_mf.env</v>
      </c>
      <c r="U679" t="str">
        <f t="shared" si="56"/>
        <v>ls -l 07180815_0708/ | grep grad &gt;&gt; ~/K100/condorfail.txt</v>
      </c>
    </row>
    <row r="680" spans="1:21">
      <c r="A680" s="179" t="s">
        <v>6108</v>
      </c>
      <c r="G680" s="74"/>
      <c r="K680" s="180"/>
      <c r="M680" t="s">
        <v>5593</v>
      </c>
      <c r="N680" t="s">
        <v>5571</v>
      </c>
      <c r="O680" t="s">
        <v>4927</v>
      </c>
      <c r="Q680" t="str">
        <f t="shared" si="58"/>
        <v>condorProc.py --series 07180815_0719 --donoise  --dumps a --procenv environments/pymidas_HVHV_NaI_mf.env</v>
      </c>
      <c r="U680" t="str">
        <f t="shared" si="56"/>
        <v>ls -l 07180815_0719/ | grep grad &gt;&gt; ~/K100/condorfail.txt</v>
      </c>
    </row>
    <row r="681" spans="1:21">
      <c r="A681" s="179" t="s">
        <v>6109</v>
      </c>
      <c r="G681" s="74"/>
      <c r="K681" s="180"/>
      <c r="M681" t="s">
        <v>5593</v>
      </c>
      <c r="N681" t="s">
        <v>5571</v>
      </c>
      <c r="O681" t="s">
        <v>4927</v>
      </c>
      <c r="Q681" t="str">
        <f t="shared" si="58"/>
        <v>condorProc.py --series 07180815_0729 --donoise  --dumps a --procenv environments/pymidas_HVHV_NaI_mf.env</v>
      </c>
      <c r="U681" t="str">
        <f t="shared" si="56"/>
        <v>ls -l 07180815_0729/ | grep grad &gt;&gt; ~/K100/condorfail.txt</v>
      </c>
    </row>
    <row r="682" spans="1:21">
      <c r="A682" s="179" t="s">
        <v>6110</v>
      </c>
      <c r="G682" s="74"/>
      <c r="K682" s="180"/>
      <c r="M682" t="s">
        <v>5593</v>
      </c>
      <c r="N682" t="s">
        <v>5571</v>
      </c>
      <c r="O682" t="s">
        <v>4927</v>
      </c>
      <c r="Q682" t="str">
        <f t="shared" si="58"/>
        <v>condorProc.py --series 07180815_0739 --donoise  --dumps a --procenv environments/pymidas_HVHV_NaI_mf.env</v>
      </c>
      <c r="U682" t="str">
        <f t="shared" si="56"/>
        <v>ls -l 07180815_0739/ | grep grad &gt;&gt; ~/K100/condorfail.txt</v>
      </c>
    </row>
    <row r="683" spans="1:21">
      <c r="A683" s="179" t="s">
        <v>6111</v>
      </c>
      <c r="G683" s="74"/>
      <c r="K683" s="180"/>
      <c r="M683" t="s">
        <v>5593</v>
      </c>
      <c r="N683" t="s">
        <v>5571</v>
      </c>
      <c r="O683" t="s">
        <v>4927</v>
      </c>
      <c r="Q683" t="str">
        <f t="shared" si="58"/>
        <v>condorProc.py --series 07180815_0749 --donoise  --dumps a --procenv environments/pymidas_HVHV_NaI_mf.env</v>
      </c>
      <c r="U683" t="str">
        <f t="shared" si="56"/>
        <v>ls -l 07180815_0749/ | grep grad &gt;&gt; ~/K100/condorfail.txt</v>
      </c>
    </row>
    <row r="684" spans="1:21">
      <c r="A684" s="179" t="s">
        <v>6112</v>
      </c>
      <c r="G684" s="74"/>
      <c r="K684" s="180"/>
      <c r="M684" t="s">
        <v>5593</v>
      </c>
      <c r="N684" t="s">
        <v>5571</v>
      </c>
      <c r="O684" t="s">
        <v>4927</v>
      </c>
      <c r="Q684" t="str">
        <f t="shared" si="58"/>
        <v>condorProc.py --series 07180815_0759 --donoise  --dumps a --procenv environments/pymidas_HVHV_NaI_mf.env</v>
      </c>
      <c r="U684" t="str">
        <f t="shared" si="56"/>
        <v>ls -l 07180815_0759/ | grep grad &gt;&gt; ~/K100/condorfail.txt</v>
      </c>
    </row>
    <row r="685" spans="1:21">
      <c r="A685" s="181" t="s">
        <v>6113</v>
      </c>
      <c r="B685" s="65"/>
      <c r="C685" s="65"/>
      <c r="D685" s="65"/>
      <c r="E685" s="65"/>
      <c r="F685" s="65"/>
      <c r="G685" s="189"/>
      <c r="H685" s="65"/>
      <c r="I685" s="65" t="s">
        <v>75</v>
      </c>
      <c r="J685" s="65"/>
      <c r="K685" s="182"/>
      <c r="M685" t="s">
        <v>5593</v>
      </c>
      <c r="N685" t="s">
        <v>5571</v>
      </c>
      <c r="O685" t="s">
        <v>4927</v>
      </c>
      <c r="Q685" t="str">
        <f t="shared" si="58"/>
        <v>condorProc.py --series 07180815_0809 --donoise  --dumps a --procenv environments/pymidas_HVHV_NaI_mf.env</v>
      </c>
      <c r="U685" t="str">
        <f t="shared" si="56"/>
        <v>ls -l 07180815_0809/ | grep grad &gt;&gt; ~/K100/condorfail.txt</v>
      </c>
    </row>
    <row r="686" spans="1:21">
      <c r="A686" s="176" t="s">
        <v>6114</v>
      </c>
      <c r="B686" s="177"/>
      <c r="C686" s="177"/>
      <c r="D686" s="177"/>
      <c r="E686" s="177"/>
      <c r="F686" s="177">
        <v>10</v>
      </c>
      <c r="G686" s="188" t="s">
        <v>2248</v>
      </c>
      <c r="H686" s="177">
        <v>40</v>
      </c>
      <c r="I686" s="177"/>
      <c r="J686" s="177" t="s">
        <v>5577</v>
      </c>
      <c r="K686" s="178" t="s">
        <v>5583</v>
      </c>
      <c r="M686" t="s">
        <v>5593</v>
      </c>
      <c r="N686" t="s">
        <v>5571</v>
      </c>
      <c r="O686" t="s">
        <v>4927</v>
      </c>
      <c r="Q686" t="str">
        <f t="shared" si="58"/>
        <v>condorProc.py --series 07180815_1022 --donoise  --dumps a --procenv environments/pymidas_HVHV_NaI_mf.env</v>
      </c>
      <c r="U686" t="str">
        <f t="shared" si="56"/>
        <v>ls -l 07180815_1022/ | grep grad &gt;&gt; ~/K100/condorfail.txt</v>
      </c>
    </row>
    <row r="687" spans="1:21">
      <c r="A687" s="179" t="s">
        <v>6115</v>
      </c>
      <c r="G687" s="74"/>
      <c r="J687" t="s">
        <v>5585</v>
      </c>
      <c r="K687" s="180" t="s">
        <v>5671</v>
      </c>
      <c r="M687" t="s">
        <v>5593</v>
      </c>
      <c r="N687" t="s">
        <v>5571</v>
      </c>
      <c r="O687" t="s">
        <v>4927</v>
      </c>
      <c r="Q687" t="str">
        <f t="shared" ref="Q687:Q698" si="59">"condorProc.py --series "&amp;A687&amp;" --donoise  --dumps a --procenv environments/pymidas_HVHV_NaI_mf.env"</f>
        <v>condorProc.py --series 07180815_1032 --donoise  --dumps a --procenv environments/pymidas_HVHV_NaI_mf.env</v>
      </c>
      <c r="U687" t="str">
        <f t="shared" si="56"/>
        <v>ls -l 07180815_1032/ | grep grad &gt;&gt; ~/K100/condorfail.txt</v>
      </c>
    </row>
    <row r="688" spans="1:21">
      <c r="A688" s="179" t="s">
        <v>6116</v>
      </c>
      <c r="G688" s="74"/>
      <c r="K688" s="187" t="s">
        <v>5673</v>
      </c>
      <c r="M688" t="s">
        <v>5593</v>
      </c>
      <c r="N688" t="s">
        <v>5571</v>
      </c>
      <c r="O688" t="s">
        <v>4927</v>
      </c>
      <c r="Q688" t="str">
        <f t="shared" si="59"/>
        <v>condorProc.py --series 07180815_1042 --donoise  --dumps a --procenv environments/pymidas_HVHV_NaI_mf.env</v>
      </c>
      <c r="U688" t="str">
        <f t="shared" si="56"/>
        <v>ls -l 07180815_1042/ | grep grad &gt;&gt; ~/K100/condorfail.txt</v>
      </c>
    </row>
    <row r="689" spans="1:21">
      <c r="A689" s="179" t="s">
        <v>6117</v>
      </c>
      <c r="G689" s="74"/>
      <c r="K689" s="180"/>
      <c r="M689" t="s">
        <v>5593</v>
      </c>
      <c r="N689" t="s">
        <v>5571</v>
      </c>
      <c r="O689" t="s">
        <v>4927</v>
      </c>
      <c r="Q689" t="str">
        <f t="shared" si="59"/>
        <v>condorProc.py --series 07180815_1052 --donoise  --dumps a --procenv environments/pymidas_HVHV_NaI_mf.env</v>
      </c>
      <c r="U689" t="str">
        <f t="shared" si="56"/>
        <v>ls -l 07180815_1052/ | grep grad &gt;&gt; ~/K100/condorfail.txt</v>
      </c>
    </row>
    <row r="690" spans="1:21">
      <c r="A690" s="179" t="s">
        <v>6118</v>
      </c>
      <c r="G690" s="74"/>
      <c r="K690" s="180"/>
      <c r="M690" t="s">
        <v>5593</v>
      </c>
      <c r="N690" t="s">
        <v>5571</v>
      </c>
      <c r="O690" t="s">
        <v>4927</v>
      </c>
      <c r="Q690" t="str">
        <f t="shared" si="59"/>
        <v>condorProc.py --series 07180815_1102 --donoise  --dumps a --procenv environments/pymidas_HVHV_NaI_mf.env</v>
      </c>
      <c r="U690" t="str">
        <f t="shared" si="56"/>
        <v>ls -l 07180815_1102/ | grep grad &gt;&gt; ~/K100/condorfail.txt</v>
      </c>
    </row>
    <row r="691" spans="1:21">
      <c r="A691" s="179" t="s">
        <v>6119</v>
      </c>
      <c r="G691" s="74"/>
      <c r="K691" s="180"/>
      <c r="M691" t="s">
        <v>5593</v>
      </c>
      <c r="N691" t="s">
        <v>5571</v>
      </c>
      <c r="O691" t="s">
        <v>4927</v>
      </c>
      <c r="Q691" t="str">
        <f t="shared" si="59"/>
        <v>condorProc.py --series 07180815_1113 --donoise  --dumps a --procenv environments/pymidas_HVHV_NaI_mf.env</v>
      </c>
      <c r="U691" t="str">
        <f t="shared" si="56"/>
        <v>ls -l 07180815_1113/ | grep grad &gt;&gt; ~/K100/condorfail.txt</v>
      </c>
    </row>
    <row r="692" spans="1:21">
      <c r="A692" s="179" t="s">
        <v>6120</v>
      </c>
      <c r="G692" s="74"/>
      <c r="K692" s="180"/>
      <c r="M692" t="s">
        <v>5593</v>
      </c>
      <c r="N692" t="s">
        <v>5571</v>
      </c>
      <c r="O692" t="s">
        <v>4927</v>
      </c>
      <c r="Q692" t="str">
        <f t="shared" si="59"/>
        <v>condorProc.py --series 07180815_1123 --donoise  --dumps a --procenv environments/pymidas_HVHV_NaI_mf.env</v>
      </c>
      <c r="U692" t="str">
        <f t="shared" si="56"/>
        <v>ls -l 07180815_1123/ | grep grad &gt;&gt; ~/K100/condorfail.txt</v>
      </c>
    </row>
    <row r="693" spans="1:21">
      <c r="A693" s="179" t="s">
        <v>6121</v>
      </c>
      <c r="G693" s="74"/>
      <c r="K693" s="180"/>
      <c r="M693" t="s">
        <v>5593</v>
      </c>
      <c r="N693" t="s">
        <v>5571</v>
      </c>
      <c r="O693" t="s">
        <v>4927</v>
      </c>
      <c r="Q693" t="str">
        <f t="shared" si="59"/>
        <v>condorProc.py --series 07180815_1133 --donoise  --dumps a --procenv environments/pymidas_HVHV_NaI_mf.env</v>
      </c>
      <c r="U693" t="str">
        <f t="shared" si="56"/>
        <v>ls -l 07180815_1133/ | grep grad &gt;&gt; ~/K100/condorfail.txt</v>
      </c>
    </row>
    <row r="694" spans="1:21">
      <c r="A694" s="179" t="s">
        <v>6122</v>
      </c>
      <c r="G694" s="74"/>
      <c r="K694" s="180"/>
      <c r="M694" t="s">
        <v>5593</v>
      </c>
      <c r="N694" t="s">
        <v>5571</v>
      </c>
      <c r="O694" t="s">
        <v>4927</v>
      </c>
      <c r="Q694" t="str">
        <f t="shared" si="59"/>
        <v>condorProc.py --series 07180815_1143 --donoise  --dumps a --procenv environments/pymidas_HVHV_NaI_mf.env</v>
      </c>
      <c r="U694" t="str">
        <f t="shared" si="56"/>
        <v>ls -l 07180815_1143/ | grep grad &gt;&gt; ~/K100/condorfail.txt</v>
      </c>
    </row>
    <row r="695" spans="1:21">
      <c r="A695" s="179" t="s">
        <v>6123</v>
      </c>
      <c r="G695" s="74"/>
      <c r="K695" s="180"/>
      <c r="M695" t="s">
        <v>5593</v>
      </c>
      <c r="N695" t="s">
        <v>5571</v>
      </c>
      <c r="O695" t="s">
        <v>4927</v>
      </c>
      <c r="Q695" t="str">
        <f t="shared" si="59"/>
        <v>condorProc.py --series 07180815_1153 --donoise  --dumps a --procenv environments/pymidas_HVHV_NaI_mf.env</v>
      </c>
      <c r="U695" t="str">
        <f t="shared" si="56"/>
        <v>ls -l 07180815_1153/ | grep grad &gt;&gt; ~/K100/condorfail.txt</v>
      </c>
    </row>
    <row r="696" spans="1:21">
      <c r="A696" s="179" t="s">
        <v>6124</v>
      </c>
      <c r="G696" s="74"/>
      <c r="K696" s="180"/>
      <c r="M696" t="s">
        <v>5593</v>
      </c>
      <c r="N696" t="s">
        <v>5571</v>
      </c>
      <c r="O696" t="s">
        <v>4927</v>
      </c>
      <c r="Q696" t="str">
        <f t="shared" si="59"/>
        <v>condorProc.py --series 07180815_1203 --donoise  --dumps a --procenv environments/pymidas_HVHV_NaI_mf.env</v>
      </c>
      <c r="U696" t="str">
        <f t="shared" si="56"/>
        <v>ls -l 07180815_1203/ | grep grad &gt;&gt; ~/K100/condorfail.txt</v>
      </c>
    </row>
    <row r="697" spans="1:21">
      <c r="A697" s="181" t="s">
        <v>6125</v>
      </c>
      <c r="B697" s="65"/>
      <c r="C697" s="65"/>
      <c r="D697" s="65"/>
      <c r="E697" s="65"/>
      <c r="F697" s="65"/>
      <c r="G697" s="189"/>
      <c r="H697" s="65"/>
      <c r="I697" s="65" t="s">
        <v>75</v>
      </c>
      <c r="J697" s="65"/>
      <c r="K697" s="182"/>
      <c r="L697">
        <f>108+L523</f>
        <v>427</v>
      </c>
      <c r="M697" t="s">
        <v>5593</v>
      </c>
      <c r="N697" t="s">
        <v>5571</v>
      </c>
      <c r="O697" t="s">
        <v>4927</v>
      </c>
      <c r="Q697" t="str">
        <f t="shared" si="59"/>
        <v>condorProc.py --series 07180815_1213 --donoise  --dumps a --procenv environments/pymidas_HVHV_NaI_mf.env</v>
      </c>
      <c r="U697" t="str">
        <f t="shared" si="56"/>
        <v>ls -l 07180815_1213/ | grep grad &gt;&gt; ~/K100/condorfail.txt</v>
      </c>
    </row>
    <row r="698" spans="1:21">
      <c r="A698" s="176" t="s">
        <v>6126</v>
      </c>
      <c r="B698" s="177"/>
      <c r="C698" s="177"/>
      <c r="D698" s="177"/>
      <c r="E698" s="177"/>
      <c r="F698" s="177">
        <v>10</v>
      </c>
      <c r="G698" s="177" t="s">
        <v>18</v>
      </c>
      <c r="H698" s="177">
        <v>40</v>
      </c>
      <c r="I698" s="177"/>
      <c r="J698" s="177" t="s">
        <v>5577</v>
      </c>
      <c r="K698" s="178" t="s">
        <v>5583</v>
      </c>
      <c r="M698" t="s">
        <v>5593</v>
      </c>
      <c r="N698" t="s">
        <v>5571</v>
      </c>
      <c r="O698" t="s">
        <v>4924</v>
      </c>
      <c r="Q698" t="str">
        <f t="shared" si="59"/>
        <v>condorProc.py --series 07180815_1613 --donoise  --dumps a --procenv environments/pymidas_HVHV_NaI_mf.env</v>
      </c>
      <c r="U698" t="str">
        <f t="shared" si="56"/>
        <v>ls -l 07180815_1613/ | grep grad &gt;&gt; ~/K100/condorfail.txt</v>
      </c>
    </row>
    <row r="699" spans="1:21">
      <c r="A699" s="179" t="s">
        <v>6127</v>
      </c>
      <c r="J699" t="s">
        <v>5585</v>
      </c>
      <c r="K699" s="180" t="s">
        <v>5671</v>
      </c>
      <c r="M699" t="s">
        <v>5593</v>
      </c>
      <c r="N699" t="s">
        <v>5571</v>
      </c>
      <c r="O699" t="s">
        <v>4924</v>
      </c>
      <c r="Q699" t="str">
        <f t="shared" ref="Q699:Q709" si="60">"condorProc.py --series "&amp;A699&amp;" --donoise  --dumps a --procenv environments/pymidas_HVHV_NaI_mf.env"</f>
        <v>condorProc.py --series 07180815_1624 --donoise  --dumps a --procenv environments/pymidas_HVHV_NaI_mf.env</v>
      </c>
      <c r="U699" t="str">
        <f t="shared" si="56"/>
        <v>ls -l 07180815_1624/ | grep grad &gt;&gt; ~/K100/condorfail.txt</v>
      </c>
    </row>
    <row r="700" spans="1:21">
      <c r="A700" s="179" t="s">
        <v>6128</v>
      </c>
      <c r="K700" s="187" t="s">
        <v>5673</v>
      </c>
      <c r="M700" t="s">
        <v>5593</v>
      </c>
      <c r="N700" t="s">
        <v>5571</v>
      </c>
      <c r="O700" t="s">
        <v>4924</v>
      </c>
      <c r="Q700" t="str">
        <f t="shared" si="60"/>
        <v>condorProc.py --series 07180815_1634 --donoise  --dumps a --procenv environments/pymidas_HVHV_NaI_mf.env</v>
      </c>
      <c r="U700" t="str">
        <f t="shared" si="56"/>
        <v>ls -l 07180815_1634/ | grep grad &gt;&gt; ~/K100/condorfail.txt</v>
      </c>
    </row>
    <row r="701" spans="1:21">
      <c r="A701" s="179" t="s">
        <v>6129</v>
      </c>
      <c r="K701" s="180"/>
      <c r="M701" t="s">
        <v>5593</v>
      </c>
      <c r="N701" t="s">
        <v>5571</v>
      </c>
      <c r="O701" t="s">
        <v>4924</v>
      </c>
      <c r="Q701" t="str">
        <f t="shared" si="60"/>
        <v>condorProc.py --series 07180815_1644 --donoise  --dumps a --procenv environments/pymidas_HVHV_NaI_mf.env</v>
      </c>
      <c r="U701" t="str">
        <f t="shared" si="56"/>
        <v>ls -l 07180815_1644/ | grep grad &gt;&gt; ~/K100/condorfail.txt</v>
      </c>
    </row>
    <row r="702" spans="1:21">
      <c r="A702" s="179" t="s">
        <v>6130</v>
      </c>
      <c r="K702" s="180"/>
      <c r="M702" t="s">
        <v>5593</v>
      </c>
      <c r="N702" t="s">
        <v>5571</v>
      </c>
      <c r="O702" t="s">
        <v>4924</v>
      </c>
      <c r="Q702" t="str">
        <f t="shared" si="60"/>
        <v>condorProc.py --series 07180815_1654 --donoise  --dumps a --procenv environments/pymidas_HVHV_NaI_mf.env</v>
      </c>
      <c r="U702" t="str">
        <f t="shared" si="56"/>
        <v>ls -l 07180815_1654/ | grep grad &gt;&gt; ~/K100/condorfail.txt</v>
      </c>
    </row>
    <row r="703" spans="1:21">
      <c r="A703" s="179" t="s">
        <v>6131</v>
      </c>
      <c r="K703" s="180"/>
      <c r="M703" t="s">
        <v>5593</v>
      </c>
      <c r="N703" t="s">
        <v>5571</v>
      </c>
      <c r="O703" t="s">
        <v>4924</v>
      </c>
      <c r="Q703" t="str">
        <f t="shared" si="60"/>
        <v>condorProc.py --series 07180815_1704 --donoise  --dumps a --procenv environments/pymidas_HVHV_NaI_mf.env</v>
      </c>
      <c r="U703" t="str">
        <f t="shared" si="56"/>
        <v>ls -l 07180815_1704/ | grep grad &gt;&gt; ~/K100/condorfail.txt</v>
      </c>
    </row>
    <row r="704" spans="1:21">
      <c r="A704" s="179" t="s">
        <v>6132</v>
      </c>
      <c r="K704" s="180"/>
      <c r="M704" t="s">
        <v>5593</v>
      </c>
      <c r="N704" t="s">
        <v>5571</v>
      </c>
      <c r="O704" t="s">
        <v>4924</v>
      </c>
      <c r="Q704" t="str">
        <f t="shared" si="60"/>
        <v>condorProc.py --series 07180815_1714 --donoise  --dumps a --procenv environments/pymidas_HVHV_NaI_mf.env</v>
      </c>
      <c r="U704" t="str">
        <f t="shared" si="56"/>
        <v>ls -l 07180815_1714/ | grep grad &gt;&gt; ~/K100/condorfail.txt</v>
      </c>
    </row>
    <row r="705" spans="1:21">
      <c r="A705" s="179" t="s">
        <v>6133</v>
      </c>
      <c r="K705" s="180"/>
      <c r="M705" t="s">
        <v>5593</v>
      </c>
      <c r="N705" t="s">
        <v>5571</v>
      </c>
      <c r="O705" t="s">
        <v>4924</v>
      </c>
      <c r="Q705" t="str">
        <f t="shared" si="60"/>
        <v>condorProc.py --series 07180815_1724 --donoise  --dumps a --procenv environments/pymidas_HVHV_NaI_mf.env</v>
      </c>
      <c r="U705" t="str">
        <f t="shared" si="56"/>
        <v>ls -l 07180815_1724/ | grep grad &gt;&gt; ~/K100/condorfail.txt</v>
      </c>
    </row>
    <row r="706" spans="1:21">
      <c r="A706" s="179" t="s">
        <v>6134</v>
      </c>
      <c r="K706" s="180"/>
      <c r="M706" t="s">
        <v>5593</v>
      </c>
      <c r="N706" t="s">
        <v>5571</v>
      </c>
      <c r="O706" t="s">
        <v>4924</v>
      </c>
      <c r="Q706" t="str">
        <f t="shared" si="60"/>
        <v>condorProc.py --series 07180815_1734 --donoise  --dumps a --procenv environments/pymidas_HVHV_NaI_mf.env</v>
      </c>
      <c r="U706" t="str">
        <f t="shared" si="56"/>
        <v>ls -l 07180815_1734/ | grep grad &gt;&gt; ~/K100/condorfail.txt</v>
      </c>
    </row>
    <row r="707" spans="1:21">
      <c r="A707" s="179" t="s">
        <v>6135</v>
      </c>
      <c r="K707" s="180"/>
      <c r="M707" t="s">
        <v>5593</v>
      </c>
      <c r="N707" t="s">
        <v>5571</v>
      </c>
      <c r="O707" t="s">
        <v>4924</v>
      </c>
      <c r="Q707" t="str">
        <f t="shared" si="60"/>
        <v>condorProc.py --series 07180815_1744 --donoise  --dumps a --procenv environments/pymidas_HVHV_NaI_mf.env</v>
      </c>
      <c r="U707" t="str">
        <f t="shared" si="56"/>
        <v>ls -l 07180815_1744/ | grep grad &gt;&gt; ~/K100/condorfail.txt</v>
      </c>
    </row>
    <row r="708" spans="1:21">
      <c r="A708" s="179" t="s">
        <v>6136</v>
      </c>
      <c r="K708" s="180"/>
      <c r="M708" t="s">
        <v>5593</v>
      </c>
      <c r="N708" t="s">
        <v>5571</v>
      </c>
      <c r="O708" t="s">
        <v>4924</v>
      </c>
      <c r="Q708" t="str">
        <f t="shared" si="60"/>
        <v>condorProc.py --series 07180815_1755 --donoise  --dumps a --procenv environments/pymidas_HVHV_NaI_mf.env</v>
      </c>
      <c r="U708" t="str">
        <f t="shared" si="56"/>
        <v>ls -l 07180815_1755/ | grep grad &gt;&gt; ~/K100/condorfail.txt</v>
      </c>
    </row>
    <row r="709" spans="1:21">
      <c r="A709" s="181" t="s">
        <v>6137</v>
      </c>
      <c r="B709" s="65"/>
      <c r="C709" s="65"/>
      <c r="D709" s="65"/>
      <c r="E709" s="65"/>
      <c r="F709" s="65"/>
      <c r="G709" s="65"/>
      <c r="H709" s="65"/>
      <c r="I709" s="65" t="s">
        <v>75</v>
      </c>
      <c r="J709" s="65"/>
      <c r="K709" s="182"/>
      <c r="M709" t="s">
        <v>5593</v>
      </c>
      <c r="N709" t="s">
        <v>5571</v>
      </c>
      <c r="O709" t="s">
        <v>4924</v>
      </c>
      <c r="Q709" t="str">
        <f t="shared" si="60"/>
        <v>condorProc.py --series 07180815_1805 --donoise  --dumps a --procenv environments/pymidas_HVHV_NaI_mf.env</v>
      </c>
      <c r="U709" t="str">
        <f t="shared" si="56"/>
        <v>ls -l 07180815_1805/ | grep grad &gt;&gt; ~/K100/condorfail.txt</v>
      </c>
    </row>
    <row r="710" spans="1:21">
      <c r="A710" s="176" t="s">
        <v>6138</v>
      </c>
      <c r="B710" s="177"/>
      <c r="C710" s="177"/>
      <c r="D710" s="177"/>
      <c r="E710" s="177"/>
      <c r="F710" s="177">
        <v>10</v>
      </c>
      <c r="G710" s="177" t="s">
        <v>18</v>
      </c>
      <c r="H710" s="177">
        <v>40</v>
      </c>
      <c r="I710" s="177"/>
      <c r="J710" s="177" t="s">
        <v>5577</v>
      </c>
      <c r="K710" s="178" t="s">
        <v>5583</v>
      </c>
      <c r="M710" t="s">
        <v>5593</v>
      </c>
      <c r="N710" t="s">
        <v>5571</v>
      </c>
      <c r="O710" t="s">
        <v>4924</v>
      </c>
      <c r="Q710" t="str">
        <f t="shared" ref="Q710:Q721" si="61">"condorProc.py --series "&amp;A710&amp;" --donoise  --dumps a --procenv environments/pymidas_HVHV_NaI_mf.env"</f>
        <v>condorProc.py --series 07180815_1854 --donoise  --dumps a --procenv environments/pymidas_HVHV_NaI_mf.env</v>
      </c>
      <c r="U710" t="str">
        <f t="shared" si="56"/>
        <v>ls -l 07180815_1854/ | grep grad &gt;&gt; ~/K100/condorfail.txt</v>
      </c>
    </row>
    <row r="711" spans="1:21">
      <c r="A711" s="179" t="s">
        <v>6139</v>
      </c>
      <c r="J711" t="s">
        <v>5585</v>
      </c>
      <c r="K711" s="180" t="s">
        <v>5671</v>
      </c>
      <c r="M711" t="s">
        <v>5593</v>
      </c>
      <c r="N711" t="s">
        <v>5571</v>
      </c>
      <c r="O711" t="s">
        <v>4924</v>
      </c>
      <c r="Q711" t="str">
        <f t="shared" si="61"/>
        <v>condorProc.py --series 07180815_1904 --donoise  --dumps a --procenv environments/pymidas_HVHV_NaI_mf.env</v>
      </c>
      <c r="U711" t="str">
        <f t="shared" si="56"/>
        <v>ls -l 07180815_1904/ | grep grad &gt;&gt; ~/K100/condorfail.txt</v>
      </c>
    </row>
    <row r="712" spans="1:21">
      <c r="A712" s="179" t="s">
        <v>6140</v>
      </c>
      <c r="K712" s="187" t="s">
        <v>5673</v>
      </c>
      <c r="M712" t="s">
        <v>5593</v>
      </c>
      <c r="N712" t="s">
        <v>5571</v>
      </c>
      <c r="O712" t="s">
        <v>4924</v>
      </c>
      <c r="Q712" t="str">
        <f t="shared" si="61"/>
        <v>condorProc.py --series 07180815_1914 --donoise  --dumps a --procenv environments/pymidas_HVHV_NaI_mf.env</v>
      </c>
      <c r="U712" t="str">
        <f t="shared" si="56"/>
        <v>ls -l 07180815_1914/ | grep grad &gt;&gt; ~/K100/condorfail.txt</v>
      </c>
    </row>
    <row r="713" spans="1:21">
      <c r="A713" s="179" t="s">
        <v>6141</v>
      </c>
      <c r="K713" s="180"/>
      <c r="M713" t="s">
        <v>5593</v>
      </c>
      <c r="N713" t="s">
        <v>5571</v>
      </c>
      <c r="O713" t="s">
        <v>4924</v>
      </c>
      <c r="Q713" t="str">
        <f t="shared" si="61"/>
        <v>condorProc.py --series 07180815_1924 --donoise  --dumps a --procenv environments/pymidas_HVHV_NaI_mf.env</v>
      </c>
      <c r="U713" t="str">
        <f t="shared" si="56"/>
        <v>ls -l 07180815_1924/ | grep grad &gt;&gt; ~/K100/condorfail.txt</v>
      </c>
    </row>
    <row r="714" spans="1:21">
      <c r="A714" s="179" t="s">
        <v>6142</v>
      </c>
      <c r="K714" s="180"/>
      <c r="M714" t="s">
        <v>5593</v>
      </c>
      <c r="N714" t="s">
        <v>5571</v>
      </c>
      <c r="O714" t="s">
        <v>4924</v>
      </c>
      <c r="Q714" t="str">
        <f t="shared" si="61"/>
        <v>condorProc.py --series 07180815_1935 --donoise  --dumps a --procenv environments/pymidas_HVHV_NaI_mf.env</v>
      </c>
      <c r="U714" t="str">
        <f t="shared" si="56"/>
        <v>ls -l 07180815_1935/ | grep grad &gt;&gt; ~/K100/condorfail.txt</v>
      </c>
    </row>
    <row r="715" spans="1:21">
      <c r="A715" s="179" t="s">
        <v>6143</v>
      </c>
      <c r="K715" s="180"/>
      <c r="M715" t="s">
        <v>5593</v>
      </c>
      <c r="N715" t="s">
        <v>5571</v>
      </c>
      <c r="O715" t="s">
        <v>4924</v>
      </c>
      <c r="Q715" t="str">
        <f t="shared" si="61"/>
        <v>condorProc.py --series 07180815_1945 --donoise  --dumps a --procenv environments/pymidas_HVHV_NaI_mf.env</v>
      </c>
      <c r="U715" t="str">
        <f t="shared" si="56"/>
        <v>ls -l 07180815_1945/ | grep grad &gt;&gt; ~/K100/condorfail.txt</v>
      </c>
    </row>
    <row r="716" spans="1:21">
      <c r="A716" s="179" t="s">
        <v>6144</v>
      </c>
      <c r="K716" s="180"/>
      <c r="M716" t="s">
        <v>5593</v>
      </c>
      <c r="N716" t="s">
        <v>5571</v>
      </c>
      <c r="O716" t="s">
        <v>4924</v>
      </c>
      <c r="Q716" t="str">
        <f t="shared" si="61"/>
        <v>condorProc.py --series 07180815_1955 --donoise  --dumps a --procenv environments/pymidas_HVHV_NaI_mf.env</v>
      </c>
      <c r="U716" t="str">
        <f t="shared" si="56"/>
        <v>ls -l 07180815_1955/ | grep grad &gt;&gt; ~/K100/condorfail.txt</v>
      </c>
    </row>
    <row r="717" spans="1:21">
      <c r="A717" s="179" t="s">
        <v>6145</v>
      </c>
      <c r="K717" s="180"/>
      <c r="M717" t="s">
        <v>5593</v>
      </c>
      <c r="N717" t="s">
        <v>5571</v>
      </c>
      <c r="O717" t="s">
        <v>4924</v>
      </c>
      <c r="Q717" t="str">
        <f t="shared" si="61"/>
        <v>condorProc.py --series 07180815_2005 --donoise  --dumps a --procenv environments/pymidas_HVHV_NaI_mf.env</v>
      </c>
      <c r="U717" t="str">
        <f t="shared" si="56"/>
        <v>ls -l 07180815_2005/ | grep grad &gt;&gt; ~/K100/condorfail.txt</v>
      </c>
    </row>
    <row r="718" spans="1:21">
      <c r="A718" s="179" t="s">
        <v>6146</v>
      </c>
      <c r="K718" s="180"/>
      <c r="M718" t="s">
        <v>5593</v>
      </c>
      <c r="N718" t="s">
        <v>5571</v>
      </c>
      <c r="O718" t="s">
        <v>4924</v>
      </c>
      <c r="Q718" t="str">
        <f t="shared" si="61"/>
        <v>condorProc.py --series 07180815_2015 --donoise  --dumps a --procenv environments/pymidas_HVHV_NaI_mf.env</v>
      </c>
      <c r="U718" t="str">
        <f t="shared" ref="U718:U769" si="62">"ls -l "&amp;A718&amp;"/ | grep grad &gt;&gt; ~/K100/condorfail.txt"</f>
        <v>ls -l 07180815_2015/ | grep grad &gt;&gt; ~/K100/condorfail.txt</v>
      </c>
    </row>
    <row r="719" spans="1:21">
      <c r="A719" s="179" t="s">
        <v>6147</v>
      </c>
      <c r="K719" s="180"/>
      <c r="M719" t="s">
        <v>5593</v>
      </c>
      <c r="N719" t="s">
        <v>5571</v>
      </c>
      <c r="O719" t="s">
        <v>4924</v>
      </c>
      <c r="Q719" t="str">
        <f t="shared" si="61"/>
        <v>condorProc.py --series 07180815_2025 --donoise  --dumps a --procenv environments/pymidas_HVHV_NaI_mf.env</v>
      </c>
      <c r="U719" t="str">
        <f t="shared" si="62"/>
        <v>ls -l 07180815_2025/ | grep grad &gt;&gt; ~/K100/condorfail.txt</v>
      </c>
    </row>
    <row r="720" spans="1:21">
      <c r="A720" s="179" t="s">
        <v>6148</v>
      </c>
      <c r="K720" s="180"/>
      <c r="M720" t="s">
        <v>5593</v>
      </c>
      <c r="N720" t="s">
        <v>5571</v>
      </c>
      <c r="O720" t="s">
        <v>4924</v>
      </c>
      <c r="Q720" t="str">
        <f t="shared" si="61"/>
        <v>condorProc.py --series 07180815_2035 --donoise  --dumps a --procenv environments/pymidas_HVHV_NaI_mf.env</v>
      </c>
      <c r="U720" t="str">
        <f t="shared" si="62"/>
        <v>ls -l 07180815_2035/ | grep grad &gt;&gt; ~/K100/condorfail.txt</v>
      </c>
    </row>
    <row r="721" spans="1:21">
      <c r="A721" s="181" t="s">
        <v>6149</v>
      </c>
      <c r="B721" s="65"/>
      <c r="C721" s="65"/>
      <c r="D721" s="65"/>
      <c r="E721" s="65"/>
      <c r="F721" s="65"/>
      <c r="G721" s="65"/>
      <c r="H721" s="65"/>
      <c r="I721" s="65" t="s">
        <v>75</v>
      </c>
      <c r="J721" s="65"/>
      <c r="K721" s="182"/>
      <c r="M721" t="s">
        <v>5593</v>
      </c>
      <c r="N721" t="s">
        <v>5571</v>
      </c>
      <c r="O721" t="s">
        <v>4924</v>
      </c>
      <c r="Q721" t="str">
        <f t="shared" si="61"/>
        <v>condorProc.py --series 07180815_2045 --donoise  --dumps a --procenv environments/pymidas_HVHV_NaI_mf.env</v>
      </c>
      <c r="U721" t="str">
        <f t="shared" si="62"/>
        <v>ls -l 07180815_2045/ | grep grad &gt;&gt; ~/K100/condorfail.txt</v>
      </c>
    </row>
    <row r="722" spans="1:21">
      <c r="A722" s="176" t="s">
        <v>6150</v>
      </c>
      <c r="B722" s="177"/>
      <c r="C722" s="177"/>
      <c r="D722" s="177"/>
      <c r="E722" s="177"/>
      <c r="F722" s="177">
        <v>10</v>
      </c>
      <c r="G722" s="177" t="s">
        <v>18</v>
      </c>
      <c r="H722" s="177">
        <v>40</v>
      </c>
      <c r="I722" s="177"/>
      <c r="J722" s="177" t="s">
        <v>5577</v>
      </c>
      <c r="K722" s="178" t="s">
        <v>5583</v>
      </c>
      <c r="M722" t="s">
        <v>5593</v>
      </c>
      <c r="N722" t="s">
        <v>5571</v>
      </c>
      <c r="O722" t="s">
        <v>4924</v>
      </c>
      <c r="Q722" t="str">
        <f t="shared" ref="Q722:Q734" si="63">"condorProc.py --series "&amp;A722&amp;" --donoise  --dumps a --procenv environments/pymidas_HVHV_NaI_mf.env"</f>
        <v>condorProc.py --series 07180815_2135 --donoise  --dumps a --procenv environments/pymidas_HVHV_NaI_mf.env</v>
      </c>
      <c r="U722" t="str">
        <f t="shared" si="62"/>
        <v>ls -l 07180815_2135/ | grep grad &gt;&gt; ~/K100/condorfail.txt</v>
      </c>
    </row>
    <row r="723" spans="1:21">
      <c r="A723" s="179" t="s">
        <v>6151</v>
      </c>
      <c r="J723" t="s">
        <v>5585</v>
      </c>
      <c r="K723" s="180" t="s">
        <v>5671</v>
      </c>
      <c r="M723" t="s">
        <v>5593</v>
      </c>
      <c r="N723" t="s">
        <v>5571</v>
      </c>
      <c r="O723" t="s">
        <v>4924</v>
      </c>
      <c r="Q723" t="str">
        <f t="shared" si="63"/>
        <v>condorProc.py --series 07180815_2145 --donoise  --dumps a --procenv environments/pymidas_HVHV_NaI_mf.env</v>
      </c>
      <c r="U723" t="str">
        <f t="shared" si="62"/>
        <v>ls -l 07180815_2145/ | grep grad &gt;&gt; ~/K100/condorfail.txt</v>
      </c>
    </row>
    <row r="724" spans="1:21">
      <c r="A724" s="179" t="s">
        <v>6152</v>
      </c>
      <c r="K724" s="187" t="s">
        <v>5673</v>
      </c>
      <c r="M724" t="s">
        <v>5593</v>
      </c>
      <c r="N724" t="s">
        <v>5571</v>
      </c>
      <c r="O724" t="s">
        <v>4924</v>
      </c>
      <c r="Q724" t="str">
        <f t="shared" si="63"/>
        <v>condorProc.py --series 07180815_2155 --donoise  --dumps a --procenv environments/pymidas_HVHV_NaI_mf.env</v>
      </c>
      <c r="U724" t="str">
        <f t="shared" si="62"/>
        <v>ls -l 07180815_2155/ | grep grad &gt;&gt; ~/K100/condorfail.txt</v>
      </c>
    </row>
    <row r="725" spans="1:21">
      <c r="A725" s="179" t="s">
        <v>6153</v>
      </c>
      <c r="K725" s="180"/>
      <c r="M725" t="s">
        <v>5593</v>
      </c>
      <c r="N725" t="s">
        <v>5571</v>
      </c>
      <c r="O725" t="s">
        <v>4924</v>
      </c>
      <c r="Q725" t="str">
        <f t="shared" si="63"/>
        <v>condorProc.py --series 07180815_2205 --donoise  --dumps a --procenv environments/pymidas_HVHV_NaI_mf.env</v>
      </c>
      <c r="U725" t="str">
        <f t="shared" si="62"/>
        <v>ls -l 07180815_2205/ | grep grad &gt;&gt; ~/K100/condorfail.txt</v>
      </c>
    </row>
    <row r="726" spans="1:21">
      <c r="A726" s="179" t="s">
        <v>6154</v>
      </c>
      <c r="K726" s="180"/>
      <c r="M726" t="s">
        <v>5593</v>
      </c>
      <c r="N726" t="s">
        <v>5571</v>
      </c>
      <c r="O726" t="s">
        <v>4924</v>
      </c>
      <c r="Q726" t="str">
        <f t="shared" si="63"/>
        <v>condorProc.py --series 07180815_2215 --donoise  --dumps a --procenv environments/pymidas_HVHV_NaI_mf.env</v>
      </c>
      <c r="U726" t="str">
        <f t="shared" si="62"/>
        <v>ls -l 07180815_2215/ | grep grad &gt;&gt; ~/K100/condorfail.txt</v>
      </c>
    </row>
    <row r="727" spans="1:21">
      <c r="A727" s="179" t="s">
        <v>6155</v>
      </c>
      <c r="K727" s="180"/>
      <c r="M727" t="s">
        <v>5593</v>
      </c>
      <c r="N727" t="s">
        <v>5571</v>
      </c>
      <c r="O727" t="s">
        <v>4924</v>
      </c>
      <c r="Q727" t="str">
        <f t="shared" si="63"/>
        <v>condorProc.py --series 07180815_2225 --donoise  --dumps a --procenv environments/pymidas_HVHV_NaI_mf.env</v>
      </c>
      <c r="U727" t="str">
        <f t="shared" si="62"/>
        <v>ls -l 07180815_2225/ | grep grad &gt;&gt; ~/K100/condorfail.txt</v>
      </c>
    </row>
    <row r="728" spans="1:21">
      <c r="A728" s="179" t="s">
        <v>6156</v>
      </c>
      <c r="K728" s="180"/>
      <c r="M728" t="s">
        <v>5593</v>
      </c>
      <c r="N728" t="s">
        <v>5571</v>
      </c>
      <c r="O728" t="s">
        <v>4924</v>
      </c>
      <c r="Q728" t="str">
        <f t="shared" si="63"/>
        <v>condorProc.py --series 07180815_2235 --donoise  --dumps a --procenv environments/pymidas_HVHV_NaI_mf.env</v>
      </c>
      <c r="U728" t="str">
        <f t="shared" si="62"/>
        <v>ls -l 07180815_2235/ | grep grad &gt;&gt; ~/K100/condorfail.txt</v>
      </c>
    </row>
    <row r="729" spans="1:21">
      <c r="A729" s="179" t="s">
        <v>6157</v>
      </c>
      <c r="K729" s="180"/>
      <c r="M729" t="s">
        <v>5593</v>
      </c>
      <c r="N729" t="s">
        <v>5571</v>
      </c>
      <c r="O729" t="s">
        <v>4924</v>
      </c>
      <c r="Q729" t="str">
        <f t="shared" si="63"/>
        <v>condorProc.py --series 07180815_2245 --donoise  --dumps a --procenv environments/pymidas_HVHV_NaI_mf.env</v>
      </c>
      <c r="U729" t="str">
        <f t="shared" si="62"/>
        <v>ls -l 07180815_2245/ | grep grad &gt;&gt; ~/K100/condorfail.txt</v>
      </c>
    </row>
    <row r="730" spans="1:21">
      <c r="A730" s="179" t="s">
        <v>6158</v>
      </c>
      <c r="K730" s="180"/>
      <c r="M730" t="s">
        <v>5593</v>
      </c>
      <c r="N730" t="s">
        <v>5571</v>
      </c>
      <c r="O730" t="s">
        <v>4924</v>
      </c>
      <c r="Q730" t="str">
        <f t="shared" si="63"/>
        <v>condorProc.py --series 07180815_2256 --donoise  --dumps a --procenv environments/pymidas_HVHV_NaI_mf.env</v>
      </c>
      <c r="U730" t="str">
        <f t="shared" si="62"/>
        <v>ls -l 07180815_2256/ | grep grad &gt;&gt; ~/K100/condorfail.txt</v>
      </c>
    </row>
    <row r="731" spans="1:21">
      <c r="A731" s="179" t="s">
        <v>6159</v>
      </c>
      <c r="K731" s="180"/>
      <c r="M731" t="s">
        <v>5593</v>
      </c>
      <c r="N731" t="s">
        <v>5571</v>
      </c>
      <c r="O731" t="s">
        <v>4924</v>
      </c>
      <c r="Q731" t="str">
        <f t="shared" si="63"/>
        <v>condorProc.py --series 07180815_2306 --donoise  --dumps a --procenv environments/pymidas_HVHV_NaI_mf.env</v>
      </c>
      <c r="U731" t="str">
        <f t="shared" si="62"/>
        <v>ls -l 07180815_2306/ | grep grad &gt;&gt; ~/K100/condorfail.txt</v>
      </c>
    </row>
    <row r="732" spans="1:21">
      <c r="A732" s="179" t="s">
        <v>6160</v>
      </c>
      <c r="K732" s="180"/>
      <c r="M732" t="s">
        <v>5593</v>
      </c>
      <c r="N732" t="s">
        <v>5571</v>
      </c>
      <c r="O732" t="s">
        <v>4924</v>
      </c>
      <c r="Q732" t="str">
        <f t="shared" si="63"/>
        <v>condorProc.py --series 07180815_2316 --donoise  --dumps a --procenv environments/pymidas_HVHV_NaI_mf.env</v>
      </c>
      <c r="U732" t="str">
        <f t="shared" si="62"/>
        <v>ls -l 07180815_2316/ | grep grad &gt;&gt; ~/K100/condorfail.txt</v>
      </c>
    </row>
    <row r="733" spans="1:21">
      <c r="A733" s="181" t="s">
        <v>6161</v>
      </c>
      <c r="B733" s="65"/>
      <c r="C733" s="65"/>
      <c r="D733" s="65"/>
      <c r="E733" s="65"/>
      <c r="F733" s="65"/>
      <c r="G733" s="65"/>
      <c r="H733" s="65"/>
      <c r="I733" s="65" t="s">
        <v>75</v>
      </c>
      <c r="J733" s="65"/>
      <c r="K733" s="182"/>
      <c r="M733" t="s">
        <v>5593</v>
      </c>
      <c r="N733" t="s">
        <v>5571</v>
      </c>
      <c r="O733" t="s">
        <v>4924</v>
      </c>
      <c r="Q733" t="str">
        <f t="shared" si="63"/>
        <v>condorProc.py --series 07180815_2326 --donoise  --dumps a --procenv environments/pymidas_HVHV_NaI_mf.env</v>
      </c>
      <c r="U733" t="str">
        <f t="shared" si="62"/>
        <v>ls -l 07180815_2326/ | grep grad &gt;&gt; ~/K100/condorfail.txt</v>
      </c>
    </row>
    <row r="734" spans="1:21">
      <c r="A734" s="176" t="s">
        <v>6162</v>
      </c>
      <c r="B734" s="177"/>
      <c r="C734" s="177"/>
      <c r="D734" s="177"/>
      <c r="E734" s="177"/>
      <c r="F734" s="177">
        <v>10</v>
      </c>
      <c r="G734" s="177" t="s">
        <v>18</v>
      </c>
      <c r="H734" s="177">
        <v>40</v>
      </c>
      <c r="I734" s="177"/>
      <c r="J734" s="177" t="s">
        <v>5577</v>
      </c>
      <c r="K734" s="178" t="s">
        <v>5583</v>
      </c>
      <c r="M734" t="s">
        <v>5593</v>
      </c>
      <c r="N734" t="s">
        <v>5571</v>
      </c>
      <c r="O734" t="s">
        <v>4924</v>
      </c>
      <c r="Q734" t="str">
        <f t="shared" si="63"/>
        <v>condorProc.py --series 07180816_0016 --donoise  --dumps a --procenv environments/pymidas_HVHV_NaI_mf.env</v>
      </c>
      <c r="U734" t="str">
        <f t="shared" si="62"/>
        <v>ls -l 07180816_0016/ | grep grad &gt;&gt; ~/K100/condorfail.txt</v>
      </c>
    </row>
    <row r="735" spans="1:21">
      <c r="A735" s="179" t="s">
        <v>6163</v>
      </c>
      <c r="J735" t="s">
        <v>5585</v>
      </c>
      <c r="K735" s="180" t="s">
        <v>5671</v>
      </c>
      <c r="M735" t="s">
        <v>5593</v>
      </c>
      <c r="N735" t="s">
        <v>5571</v>
      </c>
      <c r="O735" t="s">
        <v>4924</v>
      </c>
      <c r="Q735" t="str">
        <f t="shared" ref="Q735:Q746" si="64">"condorProc.py --series "&amp;A735&amp;" --donoise  --dumps a --procenv environments/pymidas_HVHV_NaI_mf.env"</f>
        <v>condorProc.py --series 07180816_0026 --donoise  --dumps a --procenv environments/pymidas_HVHV_NaI_mf.env</v>
      </c>
      <c r="U735" t="str">
        <f t="shared" si="62"/>
        <v>ls -l 07180816_0026/ | grep grad &gt;&gt; ~/K100/condorfail.txt</v>
      </c>
    </row>
    <row r="736" spans="1:21">
      <c r="A736" s="179" t="s">
        <v>6164</v>
      </c>
      <c r="K736" s="187" t="s">
        <v>5673</v>
      </c>
      <c r="M736" t="s">
        <v>5593</v>
      </c>
      <c r="N736" t="s">
        <v>5571</v>
      </c>
      <c r="O736" t="s">
        <v>4924</v>
      </c>
      <c r="Q736" t="str">
        <f t="shared" si="64"/>
        <v>condorProc.py --series 07180816_0036 --donoise  --dumps a --procenv environments/pymidas_HVHV_NaI_mf.env</v>
      </c>
      <c r="U736" t="str">
        <f t="shared" si="62"/>
        <v>ls -l 07180816_0036/ | grep grad &gt;&gt; ~/K100/condorfail.txt</v>
      </c>
    </row>
    <row r="737" spans="1:21">
      <c r="A737" s="179" t="s">
        <v>6165</v>
      </c>
      <c r="K737" s="180"/>
      <c r="M737" t="s">
        <v>5593</v>
      </c>
      <c r="N737" t="s">
        <v>5571</v>
      </c>
      <c r="O737" t="s">
        <v>4924</v>
      </c>
      <c r="Q737" t="str">
        <f t="shared" si="64"/>
        <v>condorProc.py --series 07180816_0046 --donoise  --dumps a --procenv environments/pymidas_HVHV_NaI_mf.env</v>
      </c>
      <c r="U737" t="str">
        <f t="shared" si="62"/>
        <v>ls -l 07180816_0046/ | grep grad &gt;&gt; ~/K100/condorfail.txt</v>
      </c>
    </row>
    <row r="738" spans="1:21">
      <c r="A738" s="179" t="s">
        <v>6166</v>
      </c>
      <c r="K738" s="180"/>
      <c r="M738" t="s">
        <v>5593</v>
      </c>
      <c r="N738" t="s">
        <v>5571</v>
      </c>
      <c r="O738" t="s">
        <v>4924</v>
      </c>
      <c r="Q738" t="str">
        <f t="shared" si="64"/>
        <v>condorProc.py --series 07180816_0056 --donoise  --dumps a --procenv environments/pymidas_HVHV_NaI_mf.env</v>
      </c>
      <c r="U738" t="str">
        <f t="shared" si="62"/>
        <v>ls -l 07180816_0056/ | grep grad &gt;&gt; ~/K100/condorfail.txt</v>
      </c>
    </row>
    <row r="739" spans="1:21">
      <c r="A739" s="179" t="s">
        <v>6167</v>
      </c>
      <c r="K739" s="180"/>
      <c r="M739" t="s">
        <v>5593</v>
      </c>
      <c r="N739" t="s">
        <v>5571</v>
      </c>
      <c r="O739" t="s">
        <v>4924</v>
      </c>
      <c r="Q739" t="str">
        <f t="shared" si="64"/>
        <v>condorProc.py --series 07180816_0106 --donoise  --dumps a --procenv environments/pymidas_HVHV_NaI_mf.env</v>
      </c>
      <c r="U739" t="str">
        <f t="shared" si="62"/>
        <v>ls -l 07180816_0106/ | grep grad &gt;&gt; ~/K100/condorfail.txt</v>
      </c>
    </row>
    <row r="740" spans="1:21">
      <c r="A740" s="179" t="s">
        <v>6168</v>
      </c>
      <c r="I740" t="s">
        <v>5645</v>
      </c>
      <c r="K740" s="180"/>
      <c r="M740" s="16" t="s">
        <v>2246</v>
      </c>
      <c r="N740" s="16" t="s">
        <v>2037</v>
      </c>
      <c r="O740" s="16"/>
      <c r="Q740" t="str">
        <f t="shared" si="64"/>
        <v>condorProc.py --series 07180816_0116 --donoise  --dumps a --procenv environments/pymidas_HVHV_NaI_mf.env</v>
      </c>
      <c r="U740" t="str">
        <f t="shared" si="62"/>
        <v>ls -l 07180816_0116/ | grep grad &gt;&gt; ~/K100/condorfail.txt</v>
      </c>
    </row>
    <row r="741" spans="1:21">
      <c r="A741" s="179" t="s">
        <v>6169</v>
      </c>
      <c r="K741" s="180"/>
      <c r="M741" t="s">
        <v>5593</v>
      </c>
      <c r="N741" t="s">
        <v>5571</v>
      </c>
      <c r="O741" t="s">
        <v>4924</v>
      </c>
      <c r="Q741" t="str">
        <f t="shared" si="64"/>
        <v>condorProc.py --series 07180816_0126 --donoise  --dumps a --procenv environments/pymidas_HVHV_NaI_mf.env</v>
      </c>
      <c r="U741" t="str">
        <f t="shared" si="62"/>
        <v>ls -l 07180816_0126/ | grep grad &gt;&gt; ~/K100/condorfail.txt</v>
      </c>
    </row>
    <row r="742" spans="1:21">
      <c r="A742" s="179" t="s">
        <v>6170</v>
      </c>
      <c r="K742" s="180"/>
      <c r="M742" t="s">
        <v>5593</v>
      </c>
      <c r="N742" t="s">
        <v>5571</v>
      </c>
      <c r="O742" t="s">
        <v>4924</v>
      </c>
      <c r="Q742" t="str">
        <f t="shared" si="64"/>
        <v>condorProc.py --series 07180816_0136 --donoise  --dumps a --procenv environments/pymidas_HVHV_NaI_mf.env</v>
      </c>
      <c r="U742" t="str">
        <f t="shared" si="62"/>
        <v>ls -l 07180816_0136/ | grep grad &gt;&gt; ~/K100/condorfail.txt</v>
      </c>
    </row>
    <row r="743" spans="1:21">
      <c r="A743" s="179" t="s">
        <v>6171</v>
      </c>
      <c r="K743" s="180"/>
      <c r="M743" t="s">
        <v>5593</v>
      </c>
      <c r="N743" t="s">
        <v>5571</v>
      </c>
      <c r="O743" t="s">
        <v>4924</v>
      </c>
      <c r="Q743" t="str">
        <f t="shared" si="64"/>
        <v>condorProc.py --series 07180816_0147 --donoise  --dumps a --procenv environments/pymidas_HVHV_NaI_mf.env</v>
      </c>
      <c r="U743" t="str">
        <f t="shared" si="62"/>
        <v>ls -l 07180816_0147/ | grep grad &gt;&gt; ~/K100/condorfail.txt</v>
      </c>
    </row>
    <row r="744" spans="1:21">
      <c r="A744" s="179" t="s">
        <v>6172</v>
      </c>
      <c r="K744" s="180"/>
      <c r="M744" t="s">
        <v>5593</v>
      </c>
      <c r="N744" t="s">
        <v>5571</v>
      </c>
      <c r="O744" t="s">
        <v>4924</v>
      </c>
      <c r="Q744" t="str">
        <f t="shared" si="64"/>
        <v>condorProc.py --series 07180816_0157 --donoise  --dumps a --procenv environments/pymidas_HVHV_NaI_mf.env</v>
      </c>
      <c r="U744" t="str">
        <f t="shared" si="62"/>
        <v>ls -l 07180816_0157/ | grep grad &gt;&gt; ~/K100/condorfail.txt</v>
      </c>
    </row>
    <row r="745" spans="1:21">
      <c r="A745" s="181" t="s">
        <v>6173</v>
      </c>
      <c r="B745" s="65"/>
      <c r="C745" s="65"/>
      <c r="D745" s="65"/>
      <c r="E745" s="65"/>
      <c r="F745" s="65"/>
      <c r="G745" s="65"/>
      <c r="H745" s="65"/>
      <c r="I745" s="65" t="s">
        <v>75</v>
      </c>
      <c r="J745" s="65"/>
      <c r="K745" s="182"/>
      <c r="M745" t="s">
        <v>5593</v>
      </c>
      <c r="N745" t="s">
        <v>5571</v>
      </c>
      <c r="O745" t="s">
        <v>4924</v>
      </c>
      <c r="Q745" t="str">
        <f t="shared" si="64"/>
        <v>condorProc.py --series 07180816_0207 --donoise  --dumps a --procenv environments/pymidas_HVHV_NaI_mf.env</v>
      </c>
      <c r="U745" t="str">
        <f t="shared" si="62"/>
        <v>ls -l 07180816_0207/ | grep grad &gt;&gt; ~/K100/condorfail.txt</v>
      </c>
    </row>
    <row r="746" spans="1:21">
      <c r="A746" s="176" t="s">
        <v>6174</v>
      </c>
      <c r="B746" s="177"/>
      <c r="C746" s="177"/>
      <c r="D746" s="177"/>
      <c r="E746" s="177"/>
      <c r="F746" s="177">
        <v>10</v>
      </c>
      <c r="G746" s="177" t="s">
        <v>18</v>
      </c>
      <c r="H746" s="177">
        <v>40</v>
      </c>
      <c r="I746" s="177"/>
      <c r="J746" s="177" t="s">
        <v>5577</v>
      </c>
      <c r="K746" s="178" t="s">
        <v>5583</v>
      </c>
      <c r="M746" t="s">
        <v>5593</v>
      </c>
      <c r="N746" t="s">
        <v>5571</v>
      </c>
      <c r="O746" t="s">
        <v>4924</v>
      </c>
      <c r="Q746" t="str">
        <f t="shared" si="64"/>
        <v>condorProc.py --series 07180816_0256 --donoise  --dumps a --procenv environments/pymidas_HVHV_NaI_mf.env</v>
      </c>
      <c r="U746" t="str">
        <f t="shared" si="62"/>
        <v>ls -l 07180816_0256/ | grep grad &gt;&gt; ~/K100/condorfail.txt</v>
      </c>
    </row>
    <row r="747" spans="1:21">
      <c r="A747" s="179" t="s">
        <v>6175</v>
      </c>
      <c r="J747" t="s">
        <v>5585</v>
      </c>
      <c r="K747" s="180" t="s">
        <v>5671</v>
      </c>
      <c r="M747" t="s">
        <v>5593</v>
      </c>
      <c r="N747" t="s">
        <v>5571</v>
      </c>
      <c r="O747" t="s">
        <v>4924</v>
      </c>
      <c r="Q747" t="str">
        <f t="shared" ref="Q747:Q757" si="65">"condorProc.py --series "&amp;A747&amp;" --donoise  --dumps a --procenv environments/pymidas_HVHV_NaI_mf.env"</f>
        <v>condorProc.py --series 07180816_0306 --donoise  --dumps a --procenv environments/pymidas_HVHV_NaI_mf.env</v>
      </c>
      <c r="U747" t="str">
        <f t="shared" si="62"/>
        <v>ls -l 07180816_0306/ | grep grad &gt;&gt; ~/K100/condorfail.txt</v>
      </c>
    </row>
    <row r="748" spans="1:21">
      <c r="A748" s="179" t="s">
        <v>6176</v>
      </c>
      <c r="K748" s="187" t="s">
        <v>5673</v>
      </c>
      <c r="M748" t="s">
        <v>5593</v>
      </c>
      <c r="N748" t="s">
        <v>5571</v>
      </c>
      <c r="O748" t="s">
        <v>4924</v>
      </c>
      <c r="Q748" t="str">
        <f t="shared" si="65"/>
        <v>condorProc.py --series 07180816_0316 --donoise  --dumps a --procenv environments/pymidas_HVHV_NaI_mf.env</v>
      </c>
      <c r="U748" t="str">
        <f t="shared" si="62"/>
        <v>ls -l 07180816_0316/ | grep grad &gt;&gt; ~/K100/condorfail.txt</v>
      </c>
    </row>
    <row r="749" spans="1:21">
      <c r="A749" s="179" t="s">
        <v>6177</v>
      </c>
      <c r="K749" s="180"/>
      <c r="M749" t="s">
        <v>5593</v>
      </c>
      <c r="N749" t="s">
        <v>5571</v>
      </c>
      <c r="O749" t="s">
        <v>4924</v>
      </c>
      <c r="Q749" t="str">
        <f t="shared" si="65"/>
        <v>condorProc.py --series 07180816_0327 --donoise  --dumps a --procenv environments/pymidas_HVHV_NaI_mf.env</v>
      </c>
      <c r="U749" t="str">
        <f t="shared" si="62"/>
        <v>ls -l 07180816_0327/ | grep grad &gt;&gt; ~/K100/condorfail.txt</v>
      </c>
    </row>
    <row r="750" spans="1:21">
      <c r="A750" s="179" t="s">
        <v>6178</v>
      </c>
      <c r="K750" s="180"/>
      <c r="M750" t="s">
        <v>5593</v>
      </c>
      <c r="N750" t="s">
        <v>5571</v>
      </c>
      <c r="O750" t="s">
        <v>4924</v>
      </c>
      <c r="Q750" t="str">
        <f t="shared" si="65"/>
        <v>condorProc.py --series 07180816_0337 --donoise  --dumps a --procenv environments/pymidas_HVHV_NaI_mf.env</v>
      </c>
      <c r="U750" t="str">
        <f t="shared" si="62"/>
        <v>ls -l 07180816_0337/ | grep grad &gt;&gt; ~/K100/condorfail.txt</v>
      </c>
    </row>
    <row r="751" spans="1:21">
      <c r="A751" s="179" t="s">
        <v>6179</v>
      </c>
      <c r="K751" s="180"/>
      <c r="M751" t="s">
        <v>5593</v>
      </c>
      <c r="N751" t="s">
        <v>5571</v>
      </c>
      <c r="O751" t="s">
        <v>4924</v>
      </c>
      <c r="Q751" t="str">
        <f t="shared" si="65"/>
        <v>condorProc.py --series 07180816_0347 --donoise  --dumps a --procenv environments/pymidas_HVHV_NaI_mf.env</v>
      </c>
      <c r="U751" t="str">
        <f t="shared" si="62"/>
        <v>ls -l 07180816_0347/ | grep grad &gt;&gt; ~/K100/condorfail.txt</v>
      </c>
    </row>
    <row r="752" spans="1:21">
      <c r="A752" s="179" t="s">
        <v>6180</v>
      </c>
      <c r="K752" s="180"/>
      <c r="M752" t="s">
        <v>5593</v>
      </c>
      <c r="N752" t="s">
        <v>5571</v>
      </c>
      <c r="O752" t="s">
        <v>4924</v>
      </c>
      <c r="Q752" t="str">
        <f t="shared" si="65"/>
        <v>condorProc.py --series 07180816_0357 --donoise  --dumps a --procenv environments/pymidas_HVHV_NaI_mf.env</v>
      </c>
      <c r="U752" t="str">
        <f t="shared" si="62"/>
        <v>ls -l 07180816_0357/ | grep grad &gt;&gt; ~/K100/condorfail.txt</v>
      </c>
    </row>
    <row r="753" spans="1:21">
      <c r="A753" s="179" t="s">
        <v>6181</v>
      </c>
      <c r="K753" s="180"/>
      <c r="M753" t="s">
        <v>5593</v>
      </c>
      <c r="N753" t="s">
        <v>5571</v>
      </c>
      <c r="O753" t="s">
        <v>4924</v>
      </c>
      <c r="Q753" t="str">
        <f t="shared" si="65"/>
        <v>condorProc.py --series 07180816_0407 --donoise  --dumps a --procenv environments/pymidas_HVHV_NaI_mf.env</v>
      </c>
      <c r="U753" t="str">
        <f t="shared" si="62"/>
        <v>ls -l 07180816_0407/ | grep grad &gt;&gt; ~/K100/condorfail.txt</v>
      </c>
    </row>
    <row r="754" spans="1:21">
      <c r="A754" s="179" t="s">
        <v>6182</v>
      </c>
      <c r="K754" s="180"/>
      <c r="M754" t="s">
        <v>5593</v>
      </c>
      <c r="N754" t="s">
        <v>5571</v>
      </c>
      <c r="O754" t="s">
        <v>4924</v>
      </c>
      <c r="Q754" t="str">
        <f t="shared" si="65"/>
        <v>condorProc.py --series 07180816_0417 --donoise  --dumps a --procenv environments/pymidas_HVHV_NaI_mf.env</v>
      </c>
      <c r="U754" t="str">
        <f t="shared" si="62"/>
        <v>ls -l 07180816_0417/ | grep grad &gt;&gt; ~/K100/condorfail.txt</v>
      </c>
    </row>
    <row r="755" spans="1:21">
      <c r="A755" s="179" t="s">
        <v>6183</v>
      </c>
      <c r="K755" s="180"/>
      <c r="M755" t="s">
        <v>5593</v>
      </c>
      <c r="N755" t="s">
        <v>5571</v>
      </c>
      <c r="O755" t="s">
        <v>4924</v>
      </c>
      <c r="Q755" t="str">
        <f t="shared" si="65"/>
        <v>condorProc.py --series 07180816_0427 --donoise  --dumps a --procenv environments/pymidas_HVHV_NaI_mf.env</v>
      </c>
      <c r="U755" t="str">
        <f t="shared" si="62"/>
        <v>ls -l 07180816_0427/ | grep grad &gt;&gt; ~/K100/condorfail.txt</v>
      </c>
    </row>
    <row r="756" spans="1:21">
      <c r="A756" s="179" t="s">
        <v>6184</v>
      </c>
      <c r="K756" s="180"/>
      <c r="M756" t="s">
        <v>5593</v>
      </c>
      <c r="N756" t="s">
        <v>5571</v>
      </c>
      <c r="O756" t="s">
        <v>4924</v>
      </c>
      <c r="Q756" t="str">
        <f t="shared" si="65"/>
        <v>condorProc.py --series 07180816_0437 --donoise  --dumps a --procenv environments/pymidas_HVHV_NaI_mf.env</v>
      </c>
      <c r="U756" t="str">
        <f t="shared" si="62"/>
        <v>ls -l 07180816_0437/ | grep grad &gt;&gt; ~/K100/condorfail.txt</v>
      </c>
    </row>
    <row r="757" spans="1:21">
      <c r="A757" s="181" t="s">
        <v>6185</v>
      </c>
      <c r="B757" s="65"/>
      <c r="C757" s="65"/>
      <c r="D757" s="65"/>
      <c r="E757" s="65"/>
      <c r="F757" s="65"/>
      <c r="G757" s="65"/>
      <c r="H757" s="65"/>
      <c r="I757" s="65" t="s">
        <v>75</v>
      </c>
      <c r="J757" s="65"/>
      <c r="K757" s="182"/>
      <c r="M757" t="s">
        <v>5593</v>
      </c>
      <c r="N757" t="s">
        <v>5571</v>
      </c>
      <c r="O757" t="s">
        <v>4924</v>
      </c>
      <c r="Q757" t="str">
        <f t="shared" si="65"/>
        <v>condorProc.py --series 07180816_0447 --donoise  --dumps a --procenv environments/pymidas_HVHV_NaI_mf.env</v>
      </c>
      <c r="U757" t="str">
        <f t="shared" si="62"/>
        <v>ls -l 07180816_0447/ | grep grad &gt;&gt; ~/K100/condorfail.txt</v>
      </c>
    </row>
    <row r="758" spans="1:21">
      <c r="A758" s="176" t="s">
        <v>6186</v>
      </c>
      <c r="B758" s="177"/>
      <c r="C758" s="177"/>
      <c r="D758" s="177"/>
      <c r="E758" s="177"/>
      <c r="F758" s="177">
        <v>10</v>
      </c>
      <c r="G758" s="177" t="s">
        <v>18</v>
      </c>
      <c r="H758" s="177">
        <v>40</v>
      </c>
      <c r="I758" s="177"/>
      <c r="J758" s="177" t="s">
        <v>5577</v>
      </c>
      <c r="K758" s="178" t="s">
        <v>5583</v>
      </c>
      <c r="M758" t="s">
        <v>5593</v>
      </c>
      <c r="N758" t="s">
        <v>5571</v>
      </c>
      <c r="O758" t="s">
        <v>4924</v>
      </c>
      <c r="Q758" t="str">
        <f t="shared" ref="Q758:Q771" si="66">"condorProc.py --series "&amp;A758&amp;" --donoise  --dumps a --procenv environments/pymidas_HVHV_NaI_mf.env"</f>
        <v>condorProc.py --series 07180816_0537 --donoise  --dumps a --procenv environments/pymidas_HVHV_NaI_mf.env</v>
      </c>
      <c r="U758" t="str">
        <f t="shared" si="62"/>
        <v>ls -l 07180816_0537/ | grep grad &gt;&gt; ~/K100/condorfail.txt</v>
      </c>
    </row>
    <row r="759" spans="1:21">
      <c r="A759" s="179" t="s">
        <v>6187</v>
      </c>
      <c r="J759" t="s">
        <v>5585</v>
      </c>
      <c r="K759" s="180" t="s">
        <v>5671</v>
      </c>
      <c r="M759" t="s">
        <v>5593</v>
      </c>
      <c r="N759" t="s">
        <v>5571</v>
      </c>
      <c r="O759" t="s">
        <v>4924</v>
      </c>
      <c r="Q759" t="str">
        <f t="shared" si="66"/>
        <v>condorProc.py --series 07180816_0547 --donoise  --dumps a --procenv environments/pymidas_HVHV_NaI_mf.env</v>
      </c>
      <c r="U759" t="str">
        <f t="shared" si="62"/>
        <v>ls -l 07180816_0547/ | grep grad &gt;&gt; ~/K100/condorfail.txt</v>
      </c>
    </row>
    <row r="760" spans="1:21">
      <c r="A760" s="179" t="s">
        <v>6188</v>
      </c>
      <c r="K760" s="187" t="s">
        <v>5673</v>
      </c>
      <c r="M760" t="s">
        <v>5593</v>
      </c>
      <c r="N760" t="s">
        <v>5571</v>
      </c>
      <c r="O760" t="s">
        <v>4924</v>
      </c>
      <c r="Q760" t="str">
        <f t="shared" si="66"/>
        <v>condorProc.py --series 07180816_0557 --donoise  --dumps a --procenv environments/pymidas_HVHV_NaI_mf.env</v>
      </c>
      <c r="U760" t="str">
        <f t="shared" si="62"/>
        <v>ls -l 07180816_0557/ | grep grad &gt;&gt; ~/K100/condorfail.txt</v>
      </c>
    </row>
    <row r="761" spans="1:21">
      <c r="A761" s="179" t="s">
        <v>6189</v>
      </c>
      <c r="K761" s="180"/>
      <c r="M761" t="s">
        <v>5593</v>
      </c>
      <c r="N761" t="s">
        <v>5571</v>
      </c>
      <c r="O761" t="s">
        <v>4924</v>
      </c>
      <c r="Q761" t="str">
        <f t="shared" si="66"/>
        <v>condorProc.py --series 07180816_0607 --donoise  --dumps a --procenv environments/pymidas_HVHV_NaI_mf.env</v>
      </c>
      <c r="U761" t="str">
        <f t="shared" si="62"/>
        <v>ls -l 07180816_0607/ | grep grad &gt;&gt; ~/K100/condorfail.txt</v>
      </c>
    </row>
    <row r="762" spans="1:21">
      <c r="A762" s="179" t="s">
        <v>6190</v>
      </c>
      <c r="K762" s="180"/>
      <c r="M762" t="s">
        <v>5593</v>
      </c>
      <c r="N762" t="s">
        <v>5571</v>
      </c>
      <c r="O762" t="s">
        <v>4924</v>
      </c>
      <c r="Q762" t="str">
        <f t="shared" si="66"/>
        <v>condorProc.py --series 07180816_0618 --donoise  --dumps a --procenv environments/pymidas_HVHV_NaI_mf.env</v>
      </c>
      <c r="U762" t="str">
        <f t="shared" si="62"/>
        <v>ls -l 07180816_0618/ | grep grad &gt;&gt; ~/K100/condorfail.txt</v>
      </c>
    </row>
    <row r="763" spans="1:21">
      <c r="A763" s="179" t="s">
        <v>6191</v>
      </c>
      <c r="K763" s="180"/>
      <c r="M763" t="s">
        <v>5593</v>
      </c>
      <c r="N763" t="s">
        <v>5571</v>
      </c>
      <c r="O763" t="s">
        <v>4924</v>
      </c>
      <c r="Q763" t="str">
        <f t="shared" si="66"/>
        <v>condorProc.py --series 07180816_0628 --donoise  --dumps a --procenv environments/pymidas_HVHV_NaI_mf.env</v>
      </c>
      <c r="U763" t="str">
        <f t="shared" si="62"/>
        <v>ls -l 07180816_0628/ | grep grad &gt;&gt; ~/K100/condorfail.txt</v>
      </c>
    </row>
    <row r="764" spans="1:21">
      <c r="A764" s="179" t="s">
        <v>6192</v>
      </c>
      <c r="K764" s="180"/>
      <c r="M764" t="s">
        <v>5593</v>
      </c>
      <c r="N764" t="s">
        <v>5571</v>
      </c>
      <c r="O764" t="s">
        <v>4924</v>
      </c>
      <c r="Q764" t="str">
        <f t="shared" si="66"/>
        <v>condorProc.py --series 07180816_0638 --donoise  --dumps a --procenv environments/pymidas_HVHV_NaI_mf.env</v>
      </c>
      <c r="U764" t="str">
        <f t="shared" si="62"/>
        <v>ls -l 07180816_0638/ | grep grad &gt;&gt; ~/K100/condorfail.txt</v>
      </c>
    </row>
    <row r="765" spans="1:21">
      <c r="A765" s="179" t="s">
        <v>6193</v>
      </c>
      <c r="K765" s="180"/>
      <c r="M765" t="s">
        <v>5593</v>
      </c>
      <c r="N765" t="s">
        <v>5571</v>
      </c>
      <c r="O765" t="s">
        <v>4924</v>
      </c>
      <c r="Q765" t="str">
        <f t="shared" si="66"/>
        <v>condorProc.py --series 07180816_0648 --donoise  --dumps a --procenv environments/pymidas_HVHV_NaI_mf.env</v>
      </c>
      <c r="U765" t="str">
        <f t="shared" si="62"/>
        <v>ls -l 07180816_0648/ | grep grad &gt;&gt; ~/K100/condorfail.txt</v>
      </c>
    </row>
    <row r="766" spans="1:21">
      <c r="A766" s="179" t="s">
        <v>6194</v>
      </c>
      <c r="K766" s="180"/>
      <c r="M766" t="s">
        <v>5593</v>
      </c>
      <c r="N766" t="s">
        <v>5571</v>
      </c>
      <c r="O766" t="s">
        <v>4924</v>
      </c>
      <c r="Q766" t="str">
        <f t="shared" si="66"/>
        <v>condorProc.py --series 07180816_0658 --donoise  --dumps a --procenv environments/pymidas_HVHV_NaI_mf.env</v>
      </c>
      <c r="U766" t="str">
        <f t="shared" si="62"/>
        <v>ls -l 07180816_0658/ | grep grad &gt;&gt; ~/K100/condorfail.txt</v>
      </c>
    </row>
    <row r="767" spans="1:21">
      <c r="A767" s="179" t="s">
        <v>6195</v>
      </c>
      <c r="K767" s="180"/>
      <c r="M767" t="s">
        <v>5593</v>
      </c>
      <c r="N767" t="s">
        <v>5571</v>
      </c>
      <c r="O767" t="s">
        <v>4924</v>
      </c>
      <c r="Q767" t="str">
        <f t="shared" si="66"/>
        <v>condorProc.py --series 07180816_0708 --donoise  --dumps a --procenv environments/pymidas_HVHV_NaI_mf.env</v>
      </c>
      <c r="U767" t="str">
        <f t="shared" si="62"/>
        <v>ls -l 07180816_0708/ | grep grad &gt;&gt; ~/K100/condorfail.txt</v>
      </c>
    </row>
    <row r="768" spans="1:21">
      <c r="A768" s="179" t="s">
        <v>6196</v>
      </c>
      <c r="K768" s="180"/>
      <c r="M768" t="s">
        <v>5593</v>
      </c>
      <c r="N768" t="s">
        <v>5571</v>
      </c>
      <c r="O768" t="s">
        <v>4924</v>
      </c>
      <c r="Q768" t="str">
        <f t="shared" si="66"/>
        <v>condorProc.py --series 07180816_0718 --donoise  --dumps a --procenv environments/pymidas_HVHV_NaI_mf.env</v>
      </c>
      <c r="U768" t="str">
        <f t="shared" si="62"/>
        <v>ls -l 07180816_0718/ | grep grad &gt;&gt; ~/K100/condorfail.txt</v>
      </c>
    </row>
    <row r="769" spans="1:26">
      <c r="A769" s="181" t="s">
        <v>6197</v>
      </c>
      <c r="B769" s="65"/>
      <c r="C769" s="65"/>
      <c r="D769" s="65"/>
      <c r="E769" s="65"/>
      <c r="F769" s="65"/>
      <c r="G769" s="65"/>
      <c r="H769" s="65"/>
      <c r="I769" s="65" t="s">
        <v>75</v>
      </c>
      <c r="J769" s="65"/>
      <c r="K769" s="182"/>
      <c r="M769" t="s">
        <v>5593</v>
      </c>
      <c r="N769" t="s">
        <v>5571</v>
      </c>
      <c r="O769" t="s">
        <v>4924</v>
      </c>
      <c r="Q769" t="str">
        <f t="shared" si="66"/>
        <v>condorProc.py --series 07180816_0728 --donoise  --dumps a --procenv environments/pymidas_HVHV_NaI_mf.env</v>
      </c>
      <c r="U769" t="str">
        <f t="shared" si="62"/>
        <v>ls -l 07180816_0728/ | grep grad &gt;&gt; ~/K100/condorfail.txt</v>
      </c>
    </row>
    <row r="770" spans="1:26">
      <c r="A770" t="s">
        <v>6198</v>
      </c>
      <c r="F770">
        <v>60</v>
      </c>
      <c r="G770" t="s">
        <v>2383</v>
      </c>
      <c r="H770">
        <v>0</v>
      </c>
      <c r="J770" t="s">
        <v>5577</v>
      </c>
      <c r="K770" t="s">
        <v>6199</v>
      </c>
      <c r="L770" s="16" t="s">
        <v>6200</v>
      </c>
      <c r="M770" t="s">
        <v>6201</v>
      </c>
      <c r="N770" t="s">
        <v>5571</v>
      </c>
      <c r="Q770" t="str">
        <f t="shared" si="66"/>
        <v>condorProc.py --series 07180816_0954 --donoise  --dumps a --procenv environments/pymidas_HVHV_NaI_mf.env</v>
      </c>
      <c r="Z770" t="str">
        <f>Q770</f>
        <v>condorProc.py --series 07180816_0954 --donoise  --dumps a --procenv environments/pymidas_HVHV_NaI_mf.env</v>
      </c>
    </row>
    <row r="771" spans="1:26">
      <c r="A771" t="s">
        <v>6202</v>
      </c>
      <c r="F771">
        <v>60</v>
      </c>
      <c r="G771" t="s">
        <v>2383</v>
      </c>
      <c r="H771">
        <v>0</v>
      </c>
      <c r="J771" t="s">
        <v>5577</v>
      </c>
      <c r="K771" t="s">
        <v>6199</v>
      </c>
      <c r="M771" t="s">
        <v>6201</v>
      </c>
      <c r="N771" t="s">
        <v>5571</v>
      </c>
      <c r="Q771" t="str">
        <f t="shared" si="66"/>
        <v>condorProc.py --series 07180816_1101 --donoise  --dumps a --procenv environments/pymidas_HVHV_NaI_mf.env</v>
      </c>
      <c r="Z771" t="str">
        <f>Q771</f>
        <v>condorProc.py --series 07180816_1101 --donoise  --dumps a --procenv environments/pymidas_HVHV_NaI_mf.env</v>
      </c>
    </row>
    <row r="772" spans="1:26">
      <c r="A772" s="176" t="s">
        <v>6203</v>
      </c>
      <c r="B772" s="177"/>
      <c r="C772" s="177"/>
      <c r="D772" s="177"/>
      <c r="E772" s="177"/>
      <c r="F772" s="177">
        <v>10</v>
      </c>
      <c r="G772" s="177" t="s">
        <v>18</v>
      </c>
      <c r="H772" s="177">
        <v>40</v>
      </c>
      <c r="I772" s="177"/>
      <c r="J772" s="177" t="s">
        <v>5577</v>
      </c>
      <c r="K772" s="178" t="s">
        <v>5583</v>
      </c>
      <c r="M772" t="s">
        <v>5593</v>
      </c>
      <c r="N772" t="s">
        <v>5571</v>
      </c>
      <c r="O772" t="s">
        <v>4925</v>
      </c>
      <c r="Q772" t="str">
        <f t="shared" ref="Q772:Q777" si="67">"condorProc.py --series "&amp;A772&amp;" --donoise  --dumps a --procenv environments/pymidas_HVHV_NaI_mf.env"</f>
        <v>condorProc.py --series 07180816_1224 --donoise  --dumps a --procenv environments/pymidas_HVHV_NaI_mf.env</v>
      </c>
      <c r="U772" t="str">
        <f t="shared" ref="U772:U801" si="68">"ls -l "&amp;A772&amp;"/ | grep grad &gt;&gt; ~/K100/condorfail.txt"</f>
        <v>ls -l 07180816_1224/ | grep grad &gt;&gt; ~/K100/condorfail.txt</v>
      </c>
    </row>
    <row r="773" spans="1:26">
      <c r="A773" s="179" t="s">
        <v>6204</v>
      </c>
      <c r="J773" t="s">
        <v>5585</v>
      </c>
      <c r="K773" s="180" t="s">
        <v>5671</v>
      </c>
      <c r="M773" t="s">
        <v>5593</v>
      </c>
      <c r="N773" t="s">
        <v>5571</v>
      </c>
      <c r="O773" t="s">
        <v>4925</v>
      </c>
      <c r="Q773" t="str">
        <f t="shared" si="67"/>
        <v>condorProc.py --series 07180816_1234 --donoise  --dumps a --procenv environments/pymidas_HVHV_NaI_mf.env</v>
      </c>
      <c r="U773" t="str">
        <f t="shared" si="68"/>
        <v>ls -l 07180816_1234/ | grep grad &gt;&gt; ~/K100/condorfail.txt</v>
      </c>
    </row>
    <row r="774" spans="1:26">
      <c r="A774" s="179" t="s">
        <v>6205</v>
      </c>
      <c r="K774" s="187" t="s">
        <v>6206</v>
      </c>
      <c r="M774" t="s">
        <v>5593</v>
      </c>
      <c r="N774" t="s">
        <v>5571</v>
      </c>
      <c r="O774" t="s">
        <v>4925</v>
      </c>
      <c r="Q774" t="str">
        <f t="shared" si="67"/>
        <v>condorProc.py --series 07180816_1245 --donoise  --dumps a --procenv environments/pymidas_HVHV_NaI_mf.env</v>
      </c>
      <c r="U774" t="str">
        <f t="shared" si="68"/>
        <v>ls -l 07180816_1245/ | grep grad &gt;&gt; ~/K100/condorfail.txt</v>
      </c>
    </row>
    <row r="775" spans="1:26">
      <c r="A775" s="179" t="s">
        <v>6207</v>
      </c>
      <c r="K775" s="180"/>
      <c r="M775" t="s">
        <v>5593</v>
      </c>
      <c r="N775" t="s">
        <v>5571</v>
      </c>
      <c r="O775" t="s">
        <v>4925</v>
      </c>
      <c r="Q775" t="str">
        <f t="shared" si="67"/>
        <v>condorProc.py --series 07180816_1255 --donoise  --dumps a --procenv environments/pymidas_HVHV_NaI_mf.env</v>
      </c>
      <c r="U775" t="str">
        <f t="shared" si="68"/>
        <v>ls -l 07180816_1255/ | grep grad &gt;&gt; ~/K100/condorfail.txt</v>
      </c>
    </row>
    <row r="776" spans="1:26">
      <c r="A776" s="179" t="s">
        <v>6208</v>
      </c>
      <c r="K776" s="180"/>
      <c r="M776" t="s">
        <v>5593</v>
      </c>
      <c r="N776" t="s">
        <v>5571</v>
      </c>
      <c r="O776" t="s">
        <v>4925</v>
      </c>
      <c r="Q776" t="str">
        <f t="shared" si="67"/>
        <v>condorProc.py --series 07180816_1305 --donoise  --dumps a --procenv environments/pymidas_HVHV_NaI_mf.env</v>
      </c>
      <c r="U776" t="str">
        <f t="shared" si="68"/>
        <v>ls -l 07180816_1305/ | grep grad &gt;&gt; ~/K100/condorfail.txt</v>
      </c>
    </row>
    <row r="777" spans="1:26">
      <c r="A777" s="181" t="s">
        <v>6209</v>
      </c>
      <c r="B777" s="65"/>
      <c r="C777" s="65"/>
      <c r="D777" s="65"/>
      <c r="E777" s="65"/>
      <c r="F777" s="65"/>
      <c r="G777" s="65"/>
      <c r="H777" s="65"/>
      <c r="I777" s="65" t="s">
        <v>75</v>
      </c>
      <c r="J777" s="65"/>
      <c r="K777" s="182"/>
      <c r="M777" t="s">
        <v>5593</v>
      </c>
      <c r="N777" t="s">
        <v>5571</v>
      </c>
      <c r="O777" t="s">
        <v>4925</v>
      </c>
      <c r="Q777" t="str">
        <f t="shared" si="67"/>
        <v>condorProc.py --series 07180816_1315 --donoise  --dumps a --procenv environments/pymidas_HVHV_NaI_mf.env</v>
      </c>
      <c r="U777" t="str">
        <f t="shared" si="68"/>
        <v>ls -l 07180816_1315/ | grep grad &gt;&gt; ~/K100/condorfail.txt</v>
      </c>
    </row>
    <row r="778" spans="1:26">
      <c r="A778" s="176" t="s">
        <v>6210</v>
      </c>
      <c r="B778" s="177"/>
      <c r="C778" s="177"/>
      <c r="D778" s="177"/>
      <c r="E778" s="177"/>
      <c r="F778" s="177">
        <v>10</v>
      </c>
      <c r="G778" s="177" t="s">
        <v>18</v>
      </c>
      <c r="H778" s="177">
        <v>40</v>
      </c>
      <c r="I778" s="177"/>
      <c r="J778" s="177" t="s">
        <v>5577</v>
      </c>
      <c r="K778" s="178" t="s">
        <v>5583</v>
      </c>
      <c r="M778" t="s">
        <v>5593</v>
      </c>
      <c r="N778" t="s">
        <v>5571</v>
      </c>
      <c r="O778" t="s">
        <v>4925</v>
      </c>
      <c r="Q778" t="str">
        <f t="shared" ref="Q778:Q790" si="69">"condorProc.py --series "&amp;A778&amp;" --donoise  --dumps a --procenv environments/pymidas_HVHV_NaI_mf.env"</f>
        <v>condorProc.py --series 07180816_1557 --donoise  --dumps a --procenv environments/pymidas_HVHV_NaI_mf.env</v>
      </c>
      <c r="U778" t="str">
        <f t="shared" si="68"/>
        <v>ls -l 07180816_1557/ | grep grad &gt;&gt; ~/K100/condorfail.txt</v>
      </c>
    </row>
    <row r="779" spans="1:26">
      <c r="A779" s="179" t="s">
        <v>6211</v>
      </c>
      <c r="J779" t="s">
        <v>5585</v>
      </c>
      <c r="K779" s="180" t="s">
        <v>5671</v>
      </c>
      <c r="M779" t="s">
        <v>5593</v>
      </c>
      <c r="N779" t="s">
        <v>5571</v>
      </c>
      <c r="O779" t="s">
        <v>4925</v>
      </c>
      <c r="Q779" t="str">
        <f t="shared" si="69"/>
        <v>condorProc.py --series 07180816_1607 --donoise  --dumps a --procenv environments/pymidas_HVHV_NaI_mf.env</v>
      </c>
      <c r="U779" t="str">
        <f t="shared" si="68"/>
        <v>ls -l 07180816_1607/ | grep grad &gt;&gt; ~/K100/condorfail.txt</v>
      </c>
    </row>
    <row r="780" spans="1:26">
      <c r="A780" s="179" t="s">
        <v>6212</v>
      </c>
      <c r="K780" s="187" t="s">
        <v>6206</v>
      </c>
      <c r="M780" t="s">
        <v>5593</v>
      </c>
      <c r="N780" t="s">
        <v>5571</v>
      </c>
      <c r="O780" t="s">
        <v>4925</v>
      </c>
      <c r="Q780" t="str">
        <f t="shared" si="69"/>
        <v>condorProc.py --series 07180816_1617 --donoise  --dumps a --procenv environments/pymidas_HVHV_NaI_mf.env</v>
      </c>
      <c r="U780" t="str">
        <f t="shared" si="68"/>
        <v>ls -l 07180816_1617/ | grep grad &gt;&gt; ~/K100/condorfail.txt</v>
      </c>
    </row>
    <row r="781" spans="1:26">
      <c r="A781" s="179" t="s">
        <v>6213</v>
      </c>
      <c r="K781" s="180"/>
      <c r="M781" t="s">
        <v>5593</v>
      </c>
      <c r="N781" t="s">
        <v>5571</v>
      </c>
      <c r="O781" t="s">
        <v>4925</v>
      </c>
      <c r="Q781" t="str">
        <f t="shared" si="69"/>
        <v>condorProc.py --series 07180816_1627 --donoise  --dumps a --procenv environments/pymidas_HVHV_NaI_mf.env</v>
      </c>
      <c r="U781" t="str">
        <f t="shared" si="68"/>
        <v>ls -l 07180816_1627/ | grep grad &gt;&gt; ~/K100/condorfail.txt</v>
      </c>
    </row>
    <row r="782" spans="1:26">
      <c r="A782" s="179" t="s">
        <v>6214</v>
      </c>
      <c r="K782" s="180"/>
      <c r="M782" t="s">
        <v>5593</v>
      </c>
      <c r="N782" t="s">
        <v>5571</v>
      </c>
      <c r="O782" t="s">
        <v>4925</v>
      </c>
      <c r="Q782" t="str">
        <f t="shared" si="69"/>
        <v>condorProc.py --series 07180816_1638 --donoise  --dumps a --procenv environments/pymidas_HVHV_NaI_mf.env</v>
      </c>
      <c r="U782" t="str">
        <f t="shared" si="68"/>
        <v>ls -l 07180816_1638/ | grep grad &gt;&gt; ~/K100/condorfail.txt</v>
      </c>
    </row>
    <row r="783" spans="1:26">
      <c r="A783" s="179" t="s">
        <v>6215</v>
      </c>
      <c r="K783" s="180"/>
      <c r="M783" t="s">
        <v>5593</v>
      </c>
      <c r="N783" t="s">
        <v>5571</v>
      </c>
      <c r="O783" t="s">
        <v>4925</v>
      </c>
      <c r="Q783" t="str">
        <f t="shared" si="69"/>
        <v>condorProc.py --series 07180816_1648 --donoise  --dumps a --procenv environments/pymidas_HVHV_NaI_mf.env</v>
      </c>
      <c r="U783" t="str">
        <f t="shared" si="68"/>
        <v>ls -l 07180816_1648/ | grep grad &gt;&gt; ~/K100/condorfail.txt</v>
      </c>
    </row>
    <row r="784" spans="1:26">
      <c r="A784" s="179" t="s">
        <v>6216</v>
      </c>
      <c r="K784" s="180"/>
      <c r="M784" t="s">
        <v>5593</v>
      </c>
      <c r="N784" t="s">
        <v>5571</v>
      </c>
      <c r="O784" t="s">
        <v>4925</v>
      </c>
      <c r="Q784" t="str">
        <f t="shared" si="69"/>
        <v>condorProc.py --series 07180816_1658 --donoise  --dumps a --procenv environments/pymidas_HVHV_NaI_mf.env</v>
      </c>
      <c r="U784" t="str">
        <f t="shared" si="68"/>
        <v>ls -l 07180816_1658/ | grep grad &gt;&gt; ~/K100/condorfail.txt</v>
      </c>
    </row>
    <row r="785" spans="1:21">
      <c r="A785" s="179" t="s">
        <v>6217</v>
      </c>
      <c r="K785" s="180"/>
      <c r="M785" t="s">
        <v>5593</v>
      </c>
      <c r="N785" t="s">
        <v>5571</v>
      </c>
      <c r="O785" t="s">
        <v>4925</v>
      </c>
      <c r="Q785" t="str">
        <f t="shared" si="69"/>
        <v>condorProc.py --series 07180816_1708 --donoise  --dumps a --procenv environments/pymidas_HVHV_NaI_mf.env</v>
      </c>
      <c r="U785" t="str">
        <f t="shared" si="68"/>
        <v>ls -l 07180816_1708/ | grep grad &gt;&gt; ~/K100/condorfail.txt</v>
      </c>
    </row>
    <row r="786" spans="1:21">
      <c r="A786" s="179" t="s">
        <v>6218</v>
      </c>
      <c r="K786" s="180"/>
      <c r="M786" t="s">
        <v>5593</v>
      </c>
      <c r="N786" t="s">
        <v>5571</v>
      </c>
      <c r="O786" t="s">
        <v>4925</v>
      </c>
      <c r="Q786" t="str">
        <f t="shared" si="69"/>
        <v>condorProc.py --series 07180816_1718 --donoise  --dumps a --procenv environments/pymidas_HVHV_NaI_mf.env</v>
      </c>
      <c r="U786" t="str">
        <f t="shared" si="68"/>
        <v>ls -l 07180816_1718/ | grep grad &gt;&gt; ~/K100/condorfail.txt</v>
      </c>
    </row>
    <row r="787" spans="1:21">
      <c r="A787" s="179" t="s">
        <v>6219</v>
      </c>
      <c r="K787" s="180"/>
      <c r="M787" t="s">
        <v>5593</v>
      </c>
      <c r="N787" t="s">
        <v>5571</v>
      </c>
      <c r="O787" t="s">
        <v>4925</v>
      </c>
      <c r="Q787" t="str">
        <f t="shared" si="69"/>
        <v>condorProc.py --series 07180816_1728 --donoise  --dumps a --procenv environments/pymidas_HVHV_NaI_mf.env</v>
      </c>
      <c r="U787" t="str">
        <f t="shared" si="68"/>
        <v>ls -l 07180816_1728/ | grep grad &gt;&gt; ~/K100/condorfail.txt</v>
      </c>
    </row>
    <row r="788" spans="1:21">
      <c r="A788" s="179" t="s">
        <v>6220</v>
      </c>
      <c r="K788" s="180"/>
      <c r="M788" t="s">
        <v>5593</v>
      </c>
      <c r="N788" t="s">
        <v>5571</v>
      </c>
      <c r="O788" t="s">
        <v>4925</v>
      </c>
      <c r="Q788" t="str">
        <f t="shared" si="69"/>
        <v>condorProc.py --series 07180816_1738 --donoise  --dumps a --procenv environments/pymidas_HVHV_NaI_mf.env</v>
      </c>
      <c r="U788" t="str">
        <f t="shared" si="68"/>
        <v>ls -l 07180816_1738/ | grep grad &gt;&gt; ~/K100/condorfail.txt</v>
      </c>
    </row>
    <row r="789" spans="1:21">
      <c r="A789" s="181" t="s">
        <v>6221</v>
      </c>
      <c r="B789" s="65"/>
      <c r="C789" s="65"/>
      <c r="D789" s="65"/>
      <c r="E789" s="65"/>
      <c r="F789" s="65"/>
      <c r="G789" s="65"/>
      <c r="H789" s="65"/>
      <c r="I789" s="65" t="s">
        <v>75</v>
      </c>
      <c r="J789" s="65"/>
      <c r="K789" s="182"/>
      <c r="M789" t="s">
        <v>5593</v>
      </c>
      <c r="N789" t="s">
        <v>5571</v>
      </c>
      <c r="O789" t="s">
        <v>4925</v>
      </c>
      <c r="Q789" t="str">
        <f t="shared" si="69"/>
        <v>condorProc.py --series 07180816_1748 --donoise  --dumps a --procenv environments/pymidas_HVHV_NaI_mf.env</v>
      </c>
      <c r="U789" t="str">
        <f t="shared" si="68"/>
        <v>ls -l 07180816_1748/ | grep grad &gt;&gt; ~/K100/condorfail.txt</v>
      </c>
    </row>
    <row r="790" spans="1:21">
      <c r="A790" s="176" t="s">
        <v>6222</v>
      </c>
      <c r="B790" s="177"/>
      <c r="C790" s="177"/>
      <c r="D790" s="177"/>
      <c r="E790" s="177"/>
      <c r="F790" s="177">
        <v>10</v>
      </c>
      <c r="G790" s="177" t="s">
        <v>18</v>
      </c>
      <c r="H790" s="177">
        <v>40</v>
      </c>
      <c r="I790" s="177"/>
      <c r="J790" s="177" t="s">
        <v>5577</v>
      </c>
      <c r="K790" s="178" t="s">
        <v>5583</v>
      </c>
      <c r="M790" t="s">
        <v>5593</v>
      </c>
      <c r="N790" t="s">
        <v>5571</v>
      </c>
      <c r="O790" t="s">
        <v>4925</v>
      </c>
      <c r="Q790" t="str">
        <f t="shared" si="69"/>
        <v>condorProc.py --series 07180816_1838 --donoise  --dumps a --procenv environments/pymidas_HVHV_NaI_mf.env</v>
      </c>
      <c r="U790" t="str">
        <f t="shared" si="68"/>
        <v>ls -l 07180816_1838/ | grep grad &gt;&gt; ~/K100/condorfail.txt</v>
      </c>
    </row>
    <row r="791" spans="1:21">
      <c r="A791" s="179" t="s">
        <v>6223</v>
      </c>
      <c r="J791" t="s">
        <v>5585</v>
      </c>
      <c r="K791" s="180" t="s">
        <v>5671</v>
      </c>
      <c r="M791" t="s">
        <v>5593</v>
      </c>
      <c r="N791" t="s">
        <v>5571</v>
      </c>
      <c r="O791" t="s">
        <v>4925</v>
      </c>
      <c r="Q791" t="str">
        <f t="shared" ref="Q791:Q801" si="70">"condorProc.py --series "&amp;A791&amp;" --donoise  --dumps a --procenv environments/pymidas_HVHV_NaI_mf.env"</f>
        <v>condorProc.py --series 07180816_1848 --donoise  --dumps a --procenv environments/pymidas_HVHV_NaI_mf.env</v>
      </c>
      <c r="U791" t="str">
        <f t="shared" si="68"/>
        <v>ls -l 07180816_1848/ | grep grad &gt;&gt; ~/K100/condorfail.txt</v>
      </c>
    </row>
    <row r="792" spans="1:21">
      <c r="A792" s="179" t="s">
        <v>6224</v>
      </c>
      <c r="K792" s="187" t="s">
        <v>6206</v>
      </c>
      <c r="M792" t="s">
        <v>5593</v>
      </c>
      <c r="N792" t="s">
        <v>5571</v>
      </c>
      <c r="O792" t="s">
        <v>4925</v>
      </c>
      <c r="Q792" t="str">
        <f t="shared" si="70"/>
        <v>condorProc.py --series 07180816_1858 --donoise  --dumps a --procenv environments/pymidas_HVHV_NaI_mf.env</v>
      </c>
      <c r="U792" t="str">
        <f t="shared" si="68"/>
        <v>ls -l 07180816_1858/ | grep grad &gt;&gt; ~/K100/condorfail.txt</v>
      </c>
    </row>
    <row r="793" spans="1:21">
      <c r="A793" s="179" t="s">
        <v>6225</v>
      </c>
      <c r="K793" s="180"/>
      <c r="M793" t="s">
        <v>5593</v>
      </c>
      <c r="N793" t="s">
        <v>5571</v>
      </c>
      <c r="O793" t="s">
        <v>4925</v>
      </c>
      <c r="Q793" t="str">
        <f t="shared" si="70"/>
        <v>condorProc.py --series 07180816_1908 --donoise  --dumps a --procenv environments/pymidas_HVHV_NaI_mf.env</v>
      </c>
      <c r="U793" t="str">
        <f t="shared" si="68"/>
        <v>ls -l 07180816_1908/ | grep grad &gt;&gt; ~/K100/condorfail.txt</v>
      </c>
    </row>
    <row r="794" spans="1:21">
      <c r="A794" s="179" t="s">
        <v>6226</v>
      </c>
      <c r="K794" s="180"/>
      <c r="M794" t="s">
        <v>5593</v>
      </c>
      <c r="N794" t="s">
        <v>5571</v>
      </c>
      <c r="O794" t="s">
        <v>4925</v>
      </c>
      <c r="Q794" t="str">
        <f t="shared" si="70"/>
        <v>condorProc.py --series 07180816_1918 --donoise  --dumps a --procenv environments/pymidas_HVHV_NaI_mf.env</v>
      </c>
      <c r="U794" t="str">
        <f t="shared" si="68"/>
        <v>ls -l 07180816_1918/ | grep grad &gt;&gt; ~/K100/condorfail.txt</v>
      </c>
    </row>
    <row r="795" spans="1:21">
      <c r="A795" s="179" t="s">
        <v>6227</v>
      </c>
      <c r="K795" s="180"/>
      <c r="M795" t="s">
        <v>5593</v>
      </c>
      <c r="N795" t="s">
        <v>5571</v>
      </c>
      <c r="O795" t="s">
        <v>4925</v>
      </c>
      <c r="Q795" t="str">
        <f t="shared" si="70"/>
        <v>condorProc.py --series 07180816_1928 --donoise  --dumps a --procenv environments/pymidas_HVHV_NaI_mf.env</v>
      </c>
      <c r="U795" t="str">
        <f t="shared" si="68"/>
        <v>ls -l 07180816_1928/ | grep grad &gt;&gt; ~/K100/condorfail.txt</v>
      </c>
    </row>
    <row r="796" spans="1:21">
      <c r="A796" s="179" t="s">
        <v>6228</v>
      </c>
      <c r="K796" s="180"/>
      <c r="M796" t="s">
        <v>5593</v>
      </c>
      <c r="N796" t="s">
        <v>5571</v>
      </c>
      <c r="O796" t="s">
        <v>4925</v>
      </c>
      <c r="Q796" t="str">
        <f t="shared" si="70"/>
        <v>condorProc.py --series 07180816_1938 --donoise  --dumps a --procenv environments/pymidas_HVHV_NaI_mf.env</v>
      </c>
      <c r="U796" t="str">
        <f t="shared" si="68"/>
        <v>ls -l 07180816_1938/ | grep grad &gt;&gt; ~/K100/condorfail.txt</v>
      </c>
    </row>
    <row r="797" spans="1:21">
      <c r="A797" s="179" t="s">
        <v>6229</v>
      </c>
      <c r="K797" s="180"/>
      <c r="M797" t="s">
        <v>5593</v>
      </c>
      <c r="N797" t="s">
        <v>5571</v>
      </c>
      <c r="O797" t="s">
        <v>4925</v>
      </c>
      <c r="Q797" t="str">
        <f t="shared" si="70"/>
        <v>condorProc.py --series 07180816_1949 --donoise  --dumps a --procenv environments/pymidas_HVHV_NaI_mf.env</v>
      </c>
      <c r="U797" t="str">
        <f t="shared" si="68"/>
        <v>ls -l 07180816_1949/ | grep grad &gt;&gt; ~/K100/condorfail.txt</v>
      </c>
    </row>
    <row r="798" spans="1:21">
      <c r="A798" s="179" t="s">
        <v>6230</v>
      </c>
      <c r="K798" s="180"/>
      <c r="M798" t="s">
        <v>5593</v>
      </c>
      <c r="N798" t="s">
        <v>5571</v>
      </c>
      <c r="O798" t="s">
        <v>4925</v>
      </c>
      <c r="Q798" t="str">
        <f t="shared" si="70"/>
        <v>condorProc.py --series 07180816_1959 --donoise  --dumps a --procenv environments/pymidas_HVHV_NaI_mf.env</v>
      </c>
      <c r="U798" t="str">
        <f t="shared" si="68"/>
        <v>ls -l 07180816_1959/ | grep grad &gt;&gt; ~/K100/condorfail.txt</v>
      </c>
    </row>
    <row r="799" spans="1:21">
      <c r="A799" s="179" t="s">
        <v>6231</v>
      </c>
      <c r="K799" s="180"/>
      <c r="M799" t="s">
        <v>5593</v>
      </c>
      <c r="N799" t="s">
        <v>5571</v>
      </c>
      <c r="O799" t="s">
        <v>4925</v>
      </c>
      <c r="Q799" t="str">
        <f t="shared" si="70"/>
        <v>condorProc.py --series 07180816_2009 --donoise  --dumps a --procenv environments/pymidas_HVHV_NaI_mf.env</v>
      </c>
      <c r="U799" t="str">
        <f t="shared" si="68"/>
        <v>ls -l 07180816_2009/ | grep grad &gt;&gt; ~/K100/condorfail.txt</v>
      </c>
    </row>
    <row r="800" spans="1:21">
      <c r="A800" s="179" t="s">
        <v>6232</v>
      </c>
      <c r="K800" s="180"/>
      <c r="M800" t="s">
        <v>5593</v>
      </c>
      <c r="N800" t="s">
        <v>5571</v>
      </c>
      <c r="O800" t="s">
        <v>4925</v>
      </c>
      <c r="Q800" t="str">
        <f t="shared" si="70"/>
        <v>condorProc.py --series 07180816_2019 --donoise  --dumps a --procenv environments/pymidas_HVHV_NaI_mf.env</v>
      </c>
      <c r="U800" t="str">
        <f t="shared" si="68"/>
        <v>ls -l 07180816_2019/ | grep grad &gt;&gt; ~/K100/condorfail.txt</v>
      </c>
    </row>
    <row r="801" spans="1:21">
      <c r="A801" s="181" t="s">
        <v>6233</v>
      </c>
      <c r="B801" s="65"/>
      <c r="C801" s="65"/>
      <c r="D801" s="65"/>
      <c r="E801" s="65"/>
      <c r="F801" s="65"/>
      <c r="G801" s="65"/>
      <c r="H801" s="65"/>
      <c r="I801" s="65" t="s">
        <v>75</v>
      </c>
      <c r="J801" s="65"/>
      <c r="K801" s="182"/>
      <c r="M801" t="s">
        <v>5593</v>
      </c>
      <c r="N801" t="s">
        <v>5571</v>
      </c>
      <c r="O801" t="s">
        <v>4925</v>
      </c>
      <c r="Q801" t="str">
        <f t="shared" si="70"/>
        <v>condorProc.py --series 07180816_2029 --donoise  --dumps a --procenv environments/pymidas_HVHV_NaI_mf.env</v>
      </c>
      <c r="U801" t="str">
        <f t="shared" si="68"/>
        <v>ls -l 07180816_2029/ | grep grad &gt;&gt; ~/K100/condorfail.txt</v>
      </c>
    </row>
    <row r="802" spans="1:21">
      <c r="A802" s="176" t="s">
        <v>6234</v>
      </c>
      <c r="B802" s="177"/>
      <c r="C802" s="177"/>
      <c r="D802" s="177"/>
      <c r="E802" s="177"/>
      <c r="F802" s="177">
        <v>10</v>
      </c>
      <c r="G802" s="177" t="s">
        <v>18</v>
      </c>
      <c r="H802" s="177">
        <v>40</v>
      </c>
      <c r="I802" s="177"/>
      <c r="J802" s="177" t="s">
        <v>5577</v>
      </c>
      <c r="K802" s="178" t="s">
        <v>5583</v>
      </c>
      <c r="M802" t="s">
        <v>2246</v>
      </c>
      <c r="N802" t="s">
        <v>5571</v>
      </c>
      <c r="O802" t="s">
        <v>4925</v>
      </c>
      <c r="Q802" t="str">
        <f>"condorProc.py --series "&amp;A802&amp;" --donoise  --dumps a --procenv environments/pymidas_HVHV_NaI_mf.env"</f>
        <v>condorProc.py --series 07180816_2119 --donoise  --dumps a --procenv environments/pymidas_HVHV_NaI_mf.env</v>
      </c>
    </row>
    <row r="803" spans="1:21">
      <c r="A803" s="179" t="s">
        <v>6235</v>
      </c>
      <c r="J803" t="s">
        <v>5585</v>
      </c>
      <c r="K803" s="180" t="s">
        <v>5671</v>
      </c>
      <c r="M803" t="s">
        <v>2246</v>
      </c>
      <c r="N803" t="s">
        <v>5571</v>
      </c>
      <c r="O803" t="s">
        <v>4925</v>
      </c>
      <c r="Q803" t="str">
        <f t="shared" ref="Q803:Q866" si="71">"condorProc.py --series "&amp;A803&amp;" --donoise  --dumps a --procenv environments/pymidas_HVHV_NaI_mf.env"</f>
        <v>condorProc.py --series 07180816_2129 --donoise  --dumps a --procenv environments/pymidas_HVHV_NaI_mf.env</v>
      </c>
    </row>
    <row r="804" spans="1:21">
      <c r="A804" s="179" t="s">
        <v>6236</v>
      </c>
      <c r="K804" s="187" t="s">
        <v>6206</v>
      </c>
      <c r="M804" t="s">
        <v>2246</v>
      </c>
      <c r="N804" t="s">
        <v>5571</v>
      </c>
      <c r="O804" t="s">
        <v>4925</v>
      </c>
      <c r="Q804" t="str">
        <f t="shared" si="71"/>
        <v>condorProc.py --series 07180816_2139 --donoise  --dumps a --procenv environments/pymidas_HVHV_NaI_mf.env</v>
      </c>
    </row>
    <row r="805" spans="1:21">
      <c r="A805" s="179" t="s">
        <v>6237</v>
      </c>
      <c r="K805" s="180"/>
      <c r="M805" t="s">
        <v>2246</v>
      </c>
      <c r="N805" t="s">
        <v>5571</v>
      </c>
      <c r="O805" t="s">
        <v>4925</v>
      </c>
      <c r="Q805" t="str">
        <f t="shared" si="71"/>
        <v>condorProc.py --series 07180816_2149 --donoise  --dumps a --procenv environments/pymidas_HVHV_NaI_mf.env</v>
      </c>
    </row>
    <row r="806" spans="1:21">
      <c r="A806" s="179" t="s">
        <v>6238</v>
      </c>
      <c r="K806" s="180"/>
      <c r="M806" t="s">
        <v>2246</v>
      </c>
      <c r="N806" t="s">
        <v>5571</v>
      </c>
      <c r="O806" t="s">
        <v>4925</v>
      </c>
      <c r="Q806" t="str">
        <f t="shared" si="71"/>
        <v>condorProc.py --series 07180816_2159 --donoise  --dumps a --procenv environments/pymidas_HVHV_NaI_mf.env</v>
      </c>
    </row>
    <row r="807" spans="1:21">
      <c r="A807" s="179" t="s">
        <v>6239</v>
      </c>
      <c r="K807" s="180"/>
      <c r="M807" t="s">
        <v>2246</v>
      </c>
      <c r="N807" t="s">
        <v>5571</v>
      </c>
      <c r="O807" t="s">
        <v>4925</v>
      </c>
      <c r="Q807" t="str">
        <f t="shared" si="71"/>
        <v>condorProc.py --series 07180816_2209 --donoise  --dumps a --procenv environments/pymidas_HVHV_NaI_mf.env</v>
      </c>
    </row>
    <row r="808" spans="1:21">
      <c r="A808" s="179" t="s">
        <v>6240</v>
      </c>
      <c r="K808" s="180"/>
      <c r="M808" t="s">
        <v>2246</v>
      </c>
      <c r="N808" t="s">
        <v>5571</v>
      </c>
      <c r="O808" t="s">
        <v>4925</v>
      </c>
      <c r="Q808" t="str">
        <f t="shared" si="71"/>
        <v>condorProc.py --series 07180816_2220 --donoise  --dumps a --procenv environments/pymidas_HVHV_NaI_mf.env</v>
      </c>
    </row>
    <row r="809" spans="1:21">
      <c r="A809" s="179" t="s">
        <v>6241</v>
      </c>
      <c r="K809" s="180"/>
      <c r="M809" t="s">
        <v>2246</v>
      </c>
      <c r="N809" t="s">
        <v>5571</v>
      </c>
      <c r="O809" t="s">
        <v>4925</v>
      </c>
      <c r="Q809" t="str">
        <f t="shared" si="71"/>
        <v>condorProc.py --series 07180816_2230 --donoise  --dumps a --procenv environments/pymidas_HVHV_NaI_mf.env</v>
      </c>
    </row>
    <row r="810" spans="1:21">
      <c r="A810" s="179" t="s">
        <v>6242</v>
      </c>
      <c r="K810" s="180"/>
      <c r="M810" t="s">
        <v>2246</v>
      </c>
      <c r="N810" t="s">
        <v>5571</v>
      </c>
      <c r="O810" t="s">
        <v>4925</v>
      </c>
      <c r="Q810" t="str">
        <f t="shared" si="71"/>
        <v>condorProc.py --series 07180816_2240 --donoise  --dumps a --procenv environments/pymidas_HVHV_NaI_mf.env</v>
      </c>
    </row>
    <row r="811" spans="1:21">
      <c r="A811" s="179" t="s">
        <v>6243</v>
      </c>
      <c r="K811" s="180"/>
      <c r="M811" t="s">
        <v>2246</v>
      </c>
      <c r="N811" t="s">
        <v>5571</v>
      </c>
      <c r="O811" t="s">
        <v>4925</v>
      </c>
      <c r="Q811" t="str">
        <f t="shared" si="71"/>
        <v>condorProc.py --series 07180816_2250 --donoise  --dumps a --procenv environments/pymidas_HVHV_NaI_mf.env</v>
      </c>
    </row>
    <row r="812" spans="1:21">
      <c r="A812" s="179" t="s">
        <v>6244</v>
      </c>
      <c r="K812" s="180"/>
      <c r="M812" t="s">
        <v>2246</v>
      </c>
      <c r="N812" t="s">
        <v>5571</v>
      </c>
      <c r="O812" t="s">
        <v>4925</v>
      </c>
      <c r="Q812" t="str">
        <f t="shared" si="71"/>
        <v>condorProc.py --series 07180816_2300 --donoise  --dumps a --procenv environments/pymidas_HVHV_NaI_mf.env</v>
      </c>
    </row>
    <row r="813" spans="1:21">
      <c r="A813" s="181" t="s">
        <v>6245</v>
      </c>
      <c r="B813" s="65"/>
      <c r="C813" s="65"/>
      <c r="D813" s="65"/>
      <c r="E813" s="65"/>
      <c r="F813" s="65"/>
      <c r="G813" s="65"/>
      <c r="H813" s="65"/>
      <c r="I813" s="65" t="s">
        <v>75</v>
      </c>
      <c r="J813" s="65"/>
      <c r="K813" s="182"/>
      <c r="M813" t="s">
        <v>2246</v>
      </c>
      <c r="N813" t="s">
        <v>5571</v>
      </c>
      <c r="O813" t="s">
        <v>4925</v>
      </c>
      <c r="Q813" t="str">
        <f t="shared" si="71"/>
        <v>condorProc.py --series 07180816_2310 --donoise  --dumps a --procenv environments/pymidas_HVHV_NaI_mf.env</v>
      </c>
    </row>
    <row r="814" spans="1:21">
      <c r="A814" s="176" t="s">
        <v>6246</v>
      </c>
      <c r="B814" s="177"/>
      <c r="C814" s="177"/>
      <c r="D814" s="177"/>
      <c r="E814" s="177"/>
      <c r="F814" s="177">
        <v>10</v>
      </c>
      <c r="G814" s="177" t="s">
        <v>18</v>
      </c>
      <c r="H814" s="177">
        <v>40</v>
      </c>
      <c r="I814" s="177"/>
      <c r="J814" s="177" t="s">
        <v>5577</v>
      </c>
      <c r="K814" s="178" t="s">
        <v>5583</v>
      </c>
      <c r="M814" t="s">
        <v>2246</v>
      </c>
      <c r="N814" t="s">
        <v>5571</v>
      </c>
      <c r="O814" t="s">
        <v>4925</v>
      </c>
      <c r="Q814" t="str">
        <f t="shared" si="71"/>
        <v>condorProc.py --series 07180816_2359 --donoise  --dumps a --procenv environments/pymidas_HVHV_NaI_mf.env</v>
      </c>
    </row>
    <row r="815" spans="1:21">
      <c r="A815" s="179" t="s">
        <v>6247</v>
      </c>
      <c r="J815" t="s">
        <v>5585</v>
      </c>
      <c r="K815" s="180" t="s">
        <v>5671</v>
      </c>
      <c r="M815" t="s">
        <v>2246</v>
      </c>
      <c r="N815" t="s">
        <v>5571</v>
      </c>
      <c r="O815" t="s">
        <v>4925</v>
      </c>
      <c r="Q815" t="str">
        <f t="shared" si="71"/>
        <v>condorProc.py --series 07180817_0010 --donoise  --dumps a --procenv environments/pymidas_HVHV_NaI_mf.env</v>
      </c>
    </row>
    <row r="816" spans="1:21">
      <c r="A816" s="179" t="s">
        <v>6248</v>
      </c>
      <c r="K816" s="187" t="s">
        <v>6206</v>
      </c>
      <c r="M816" t="s">
        <v>2246</v>
      </c>
      <c r="N816" t="s">
        <v>5571</v>
      </c>
      <c r="O816" t="s">
        <v>4925</v>
      </c>
      <c r="Q816" t="str">
        <f t="shared" si="71"/>
        <v>condorProc.py --series 07180817_0020 --donoise  --dumps a --procenv environments/pymidas_HVHV_NaI_mf.env</v>
      </c>
    </row>
    <row r="817" spans="1:17">
      <c r="A817" s="179" t="s">
        <v>6249</v>
      </c>
      <c r="K817" s="180"/>
      <c r="M817" t="s">
        <v>2246</v>
      </c>
      <c r="N817" t="s">
        <v>5571</v>
      </c>
      <c r="O817" t="s">
        <v>4925</v>
      </c>
      <c r="Q817" t="str">
        <f t="shared" si="71"/>
        <v>condorProc.py --series 07180817_0030 --donoise  --dumps a --procenv environments/pymidas_HVHV_NaI_mf.env</v>
      </c>
    </row>
    <row r="818" spans="1:17">
      <c r="A818" s="179" t="s">
        <v>6250</v>
      </c>
      <c r="K818" s="180"/>
      <c r="M818" t="s">
        <v>2246</v>
      </c>
      <c r="N818" t="s">
        <v>5571</v>
      </c>
      <c r="O818" t="s">
        <v>4925</v>
      </c>
      <c r="Q818" t="str">
        <f t="shared" si="71"/>
        <v>condorProc.py --series 07180817_0040 --donoise  --dumps a --procenv environments/pymidas_HVHV_NaI_mf.env</v>
      </c>
    </row>
    <row r="819" spans="1:17">
      <c r="A819" s="179" t="s">
        <v>6251</v>
      </c>
      <c r="K819" s="180"/>
      <c r="M819" t="s">
        <v>2246</v>
      </c>
      <c r="N819" t="s">
        <v>5571</v>
      </c>
      <c r="O819" t="s">
        <v>4925</v>
      </c>
      <c r="Q819" t="str">
        <f t="shared" si="71"/>
        <v>condorProc.py --series 07180817_0050 --donoise  --dumps a --procenv environments/pymidas_HVHV_NaI_mf.env</v>
      </c>
    </row>
    <row r="820" spans="1:17">
      <c r="A820" s="179" t="s">
        <v>6252</v>
      </c>
      <c r="K820" s="180"/>
      <c r="M820" t="s">
        <v>2246</v>
      </c>
      <c r="N820" t="s">
        <v>5571</v>
      </c>
      <c r="O820" t="s">
        <v>4925</v>
      </c>
      <c r="Q820" t="str">
        <f t="shared" si="71"/>
        <v>condorProc.py --series 07180817_0100 --donoise  --dumps a --procenv environments/pymidas_HVHV_NaI_mf.env</v>
      </c>
    </row>
    <row r="821" spans="1:17">
      <c r="A821" s="179" t="s">
        <v>6253</v>
      </c>
      <c r="K821" s="180"/>
      <c r="M821" t="s">
        <v>2246</v>
      </c>
      <c r="N821" t="s">
        <v>5571</v>
      </c>
      <c r="O821" t="s">
        <v>4925</v>
      </c>
      <c r="Q821" t="str">
        <f t="shared" si="71"/>
        <v>condorProc.py --series 07180817_0110 --donoise  --dumps a --procenv environments/pymidas_HVHV_NaI_mf.env</v>
      </c>
    </row>
    <row r="822" spans="1:17">
      <c r="A822" s="179" t="s">
        <v>6254</v>
      </c>
      <c r="K822" s="180"/>
      <c r="M822" t="s">
        <v>2246</v>
      </c>
      <c r="N822" t="s">
        <v>5571</v>
      </c>
      <c r="O822" t="s">
        <v>4925</v>
      </c>
      <c r="Q822" t="str">
        <f t="shared" si="71"/>
        <v>condorProc.py --series 07180817_0121 --donoise  --dumps a --procenv environments/pymidas_HVHV_NaI_mf.env</v>
      </c>
    </row>
    <row r="823" spans="1:17">
      <c r="A823" s="179" t="s">
        <v>6255</v>
      </c>
      <c r="K823" s="180"/>
      <c r="M823" t="s">
        <v>2246</v>
      </c>
      <c r="N823" t="s">
        <v>5571</v>
      </c>
      <c r="O823" t="s">
        <v>4925</v>
      </c>
      <c r="Q823" t="str">
        <f t="shared" si="71"/>
        <v>condorProc.py --series 07180817_0131 --donoise  --dumps a --procenv environments/pymidas_HVHV_NaI_mf.env</v>
      </c>
    </row>
    <row r="824" spans="1:17">
      <c r="A824" s="179" t="s">
        <v>6256</v>
      </c>
      <c r="K824" s="180"/>
      <c r="M824" t="s">
        <v>2246</v>
      </c>
      <c r="N824" t="s">
        <v>5571</v>
      </c>
      <c r="O824" t="s">
        <v>4925</v>
      </c>
      <c r="Q824" t="str">
        <f t="shared" si="71"/>
        <v>condorProc.py --series 07180817_0141 --donoise  --dumps a --procenv environments/pymidas_HVHV_NaI_mf.env</v>
      </c>
    </row>
    <row r="825" spans="1:17">
      <c r="A825" s="181" t="s">
        <v>6257</v>
      </c>
      <c r="B825" s="65"/>
      <c r="C825" s="65"/>
      <c r="D825" s="65"/>
      <c r="E825" s="65"/>
      <c r="F825" s="65"/>
      <c r="G825" s="65"/>
      <c r="H825" s="65"/>
      <c r="I825" s="65" t="s">
        <v>75</v>
      </c>
      <c r="J825" s="65"/>
      <c r="K825" s="182"/>
      <c r="M825" t="s">
        <v>2246</v>
      </c>
      <c r="N825" t="s">
        <v>5571</v>
      </c>
      <c r="O825" t="s">
        <v>4925</v>
      </c>
      <c r="Q825" t="str">
        <f t="shared" si="71"/>
        <v>condorProc.py --series 07180817_0151 --donoise  --dumps a --procenv environments/pymidas_HVHV_NaI_mf.env</v>
      </c>
    </row>
    <row r="826" spans="1:17">
      <c r="A826" s="176" t="s">
        <v>6258</v>
      </c>
      <c r="B826" s="177"/>
      <c r="C826" s="177"/>
      <c r="D826" s="177"/>
      <c r="E826" s="177"/>
      <c r="F826" s="177">
        <v>10</v>
      </c>
      <c r="G826" s="177" t="s">
        <v>18</v>
      </c>
      <c r="H826" s="177">
        <v>40</v>
      </c>
      <c r="I826" s="177"/>
      <c r="J826" s="177" t="s">
        <v>5577</v>
      </c>
      <c r="K826" s="178" t="s">
        <v>5583</v>
      </c>
      <c r="M826" t="s">
        <v>2246</v>
      </c>
      <c r="N826" t="s">
        <v>5571</v>
      </c>
      <c r="O826" t="s">
        <v>4925</v>
      </c>
      <c r="Q826" t="str">
        <f t="shared" si="71"/>
        <v>condorProc.py --series 07180817_0240 --donoise  --dumps a --procenv environments/pymidas_HVHV_NaI_mf.env</v>
      </c>
    </row>
    <row r="827" spans="1:17">
      <c r="A827" s="179" t="s">
        <v>6259</v>
      </c>
      <c r="J827" t="s">
        <v>5585</v>
      </c>
      <c r="K827" s="180" t="s">
        <v>5671</v>
      </c>
      <c r="M827" t="s">
        <v>2246</v>
      </c>
      <c r="N827" t="s">
        <v>5571</v>
      </c>
      <c r="O827" t="s">
        <v>4925</v>
      </c>
      <c r="Q827" t="str">
        <f t="shared" si="71"/>
        <v>condorProc.py --series 07180817_0251 --donoise  --dumps a --procenv environments/pymidas_HVHV_NaI_mf.env</v>
      </c>
    </row>
    <row r="828" spans="1:17">
      <c r="A828" s="179" t="s">
        <v>6260</v>
      </c>
      <c r="K828" s="187" t="s">
        <v>6206</v>
      </c>
      <c r="M828" t="s">
        <v>2246</v>
      </c>
      <c r="N828" t="s">
        <v>5571</v>
      </c>
      <c r="O828" t="s">
        <v>4925</v>
      </c>
      <c r="Q828" t="str">
        <f t="shared" si="71"/>
        <v>condorProc.py --series 07180817_0301 --donoise  --dumps a --procenv environments/pymidas_HVHV_NaI_mf.env</v>
      </c>
    </row>
    <row r="829" spans="1:17">
      <c r="A829" s="179" t="s">
        <v>6261</v>
      </c>
      <c r="K829" s="180"/>
      <c r="M829" t="s">
        <v>2246</v>
      </c>
      <c r="N829" t="s">
        <v>5571</v>
      </c>
      <c r="O829" t="s">
        <v>4925</v>
      </c>
      <c r="Q829" t="str">
        <f t="shared" si="71"/>
        <v>condorProc.py --series 07180817_0311 --donoise  --dumps a --procenv environments/pymidas_HVHV_NaI_mf.env</v>
      </c>
    </row>
    <row r="830" spans="1:17">
      <c r="A830" s="179" t="s">
        <v>6262</v>
      </c>
      <c r="K830" s="180"/>
      <c r="M830" t="s">
        <v>2246</v>
      </c>
      <c r="N830" t="s">
        <v>5571</v>
      </c>
      <c r="O830" t="s">
        <v>4925</v>
      </c>
      <c r="Q830" t="str">
        <f t="shared" si="71"/>
        <v>condorProc.py --series 07180817_0321 --donoise  --dumps a --procenv environments/pymidas_HVHV_NaI_mf.env</v>
      </c>
    </row>
    <row r="831" spans="1:17">
      <c r="A831" s="179" t="s">
        <v>6263</v>
      </c>
      <c r="K831" s="180"/>
      <c r="M831" t="s">
        <v>2246</v>
      </c>
      <c r="N831" t="s">
        <v>5571</v>
      </c>
      <c r="O831" t="s">
        <v>4925</v>
      </c>
      <c r="Q831" t="str">
        <f t="shared" si="71"/>
        <v>condorProc.py --series 07180817_0331 --donoise  --dumps a --procenv environments/pymidas_HVHV_NaI_mf.env</v>
      </c>
    </row>
    <row r="832" spans="1:17">
      <c r="A832" s="179" t="s">
        <v>6264</v>
      </c>
      <c r="K832" s="180"/>
      <c r="M832" t="s">
        <v>2246</v>
      </c>
      <c r="N832" t="s">
        <v>5571</v>
      </c>
      <c r="O832" t="s">
        <v>4925</v>
      </c>
      <c r="Q832" t="str">
        <f t="shared" si="71"/>
        <v>condorProc.py --series 07180817_0341 --donoise  --dumps a --procenv environments/pymidas_HVHV_NaI_mf.env</v>
      </c>
    </row>
    <row r="833" spans="1:17">
      <c r="A833" s="181" t="s">
        <v>6265</v>
      </c>
      <c r="B833" s="65"/>
      <c r="C833" s="65"/>
      <c r="D833" s="65"/>
      <c r="E833" s="65"/>
      <c r="F833" s="65"/>
      <c r="G833" s="65"/>
      <c r="H833" s="65"/>
      <c r="I833" s="65"/>
      <c r="J833" s="65"/>
      <c r="K833" s="182" t="s">
        <v>6266</v>
      </c>
      <c r="M833" t="s">
        <v>2246</v>
      </c>
      <c r="N833" t="s">
        <v>5571</v>
      </c>
      <c r="O833" t="s">
        <v>4925</v>
      </c>
      <c r="Q833" t="str">
        <f t="shared" si="71"/>
        <v>condorProc.py --series 07180817_0351 --donoise  --dumps a --procenv environments/pymidas_HVHV_NaI_mf.env</v>
      </c>
    </row>
    <row r="834" spans="1:17">
      <c r="A834" s="176" t="s">
        <v>6267</v>
      </c>
      <c r="B834" s="177"/>
      <c r="C834" s="177"/>
      <c r="D834" s="177"/>
      <c r="E834" s="177"/>
      <c r="F834" s="177">
        <v>10</v>
      </c>
      <c r="G834" s="177" t="s">
        <v>18</v>
      </c>
      <c r="H834" s="177">
        <v>40</v>
      </c>
      <c r="I834" s="177"/>
      <c r="J834" s="177" t="s">
        <v>5577</v>
      </c>
      <c r="K834" s="178" t="s">
        <v>5583</v>
      </c>
      <c r="M834" t="s">
        <v>2246</v>
      </c>
      <c r="N834" t="s">
        <v>5571</v>
      </c>
      <c r="O834" t="s">
        <v>4925</v>
      </c>
      <c r="Q834" t="str">
        <f t="shared" si="71"/>
        <v>condorProc.py --series 07180817_1154 --donoise  --dumps a --procenv environments/pymidas_HVHV_NaI_mf.env</v>
      </c>
    </row>
    <row r="835" spans="1:17">
      <c r="A835" s="179" t="s">
        <v>6268</v>
      </c>
      <c r="J835" t="s">
        <v>5585</v>
      </c>
      <c r="K835" s="180" t="s">
        <v>5671</v>
      </c>
      <c r="M835" t="s">
        <v>2246</v>
      </c>
      <c r="N835" t="s">
        <v>5571</v>
      </c>
      <c r="O835" t="s">
        <v>4925</v>
      </c>
      <c r="Q835" t="str">
        <f t="shared" si="71"/>
        <v>condorProc.py --series 07180817_1204 --donoise  --dumps a --procenv environments/pymidas_HVHV_NaI_mf.env</v>
      </c>
    </row>
    <row r="836" spans="1:17">
      <c r="A836" s="179" t="s">
        <v>6269</v>
      </c>
      <c r="K836" s="187" t="s">
        <v>6206</v>
      </c>
      <c r="M836" t="s">
        <v>2246</v>
      </c>
      <c r="N836" t="s">
        <v>5571</v>
      </c>
      <c r="O836" t="s">
        <v>4925</v>
      </c>
      <c r="Q836" t="str">
        <f t="shared" si="71"/>
        <v>condorProc.py --series 07180817_1214 --donoise  --dumps a --procenv environments/pymidas_HVHV_NaI_mf.env</v>
      </c>
    </row>
    <row r="837" spans="1:17">
      <c r="A837" s="179" t="s">
        <v>6270</v>
      </c>
      <c r="K837" s="180"/>
      <c r="M837" t="s">
        <v>2246</v>
      </c>
      <c r="N837" t="s">
        <v>5571</v>
      </c>
      <c r="O837" t="s">
        <v>4925</v>
      </c>
      <c r="Q837" t="str">
        <f t="shared" si="71"/>
        <v>condorProc.py --series 07180817_1224 --donoise  --dumps a --procenv environments/pymidas_HVHV_NaI_mf.env</v>
      </c>
    </row>
    <row r="838" spans="1:17">
      <c r="A838" s="179" t="s">
        <v>6271</v>
      </c>
      <c r="K838" s="180"/>
      <c r="M838" t="s">
        <v>2246</v>
      </c>
      <c r="N838" t="s">
        <v>5571</v>
      </c>
      <c r="O838" t="s">
        <v>4925</v>
      </c>
      <c r="Q838" t="str">
        <f t="shared" si="71"/>
        <v>condorProc.py --series 07180817_1234 --donoise  --dumps a --procenv environments/pymidas_HVHV_NaI_mf.env</v>
      </c>
    </row>
    <row r="839" spans="1:17">
      <c r="A839" s="179" t="s">
        <v>6272</v>
      </c>
      <c r="K839" s="180"/>
      <c r="M839" t="s">
        <v>2246</v>
      </c>
      <c r="N839" t="s">
        <v>5571</v>
      </c>
      <c r="O839" t="s">
        <v>4925</v>
      </c>
      <c r="Q839" t="str">
        <f t="shared" si="71"/>
        <v>condorProc.py --series 07180817_1245 --donoise  --dumps a --procenv environments/pymidas_HVHV_NaI_mf.env</v>
      </c>
    </row>
    <row r="840" spans="1:17">
      <c r="A840" s="179" t="s">
        <v>6273</v>
      </c>
      <c r="K840" s="180"/>
      <c r="M840" t="s">
        <v>2246</v>
      </c>
      <c r="N840" t="s">
        <v>5571</v>
      </c>
      <c r="O840" t="s">
        <v>4925</v>
      </c>
      <c r="Q840" t="str">
        <f t="shared" si="71"/>
        <v>condorProc.py --series 07180817_1255 --donoise  --dumps a --procenv environments/pymidas_HVHV_NaI_mf.env</v>
      </c>
    </row>
    <row r="841" spans="1:17">
      <c r="A841" s="179" t="s">
        <v>6274</v>
      </c>
      <c r="K841" s="180"/>
      <c r="M841" t="s">
        <v>2246</v>
      </c>
      <c r="N841" t="s">
        <v>5571</v>
      </c>
      <c r="O841" t="s">
        <v>4925</v>
      </c>
      <c r="Q841" t="str">
        <f t="shared" si="71"/>
        <v>condorProc.py --series 07180817_1305 --donoise  --dumps a --procenv environments/pymidas_HVHV_NaI_mf.env</v>
      </c>
    </row>
    <row r="842" spans="1:17">
      <c r="A842" s="179" t="s">
        <v>6275</v>
      </c>
      <c r="K842" s="180"/>
      <c r="M842" t="s">
        <v>2246</v>
      </c>
      <c r="N842" t="s">
        <v>5571</v>
      </c>
      <c r="O842" t="s">
        <v>4925</v>
      </c>
      <c r="Q842" t="str">
        <f t="shared" si="71"/>
        <v>condorProc.py --series 07180817_1315 --donoise  --dumps a --procenv environments/pymidas_HVHV_NaI_mf.env</v>
      </c>
    </row>
    <row r="843" spans="1:17">
      <c r="A843" s="179" t="s">
        <v>6276</v>
      </c>
      <c r="K843" s="180"/>
      <c r="M843" t="s">
        <v>2246</v>
      </c>
      <c r="N843" t="s">
        <v>5571</v>
      </c>
      <c r="O843" t="s">
        <v>4925</v>
      </c>
      <c r="Q843" t="str">
        <f t="shared" si="71"/>
        <v>condorProc.py --series 07180817_1325 --donoise  --dumps a --procenv environments/pymidas_HVHV_NaI_mf.env</v>
      </c>
    </row>
    <row r="844" spans="1:17">
      <c r="A844" s="179" t="s">
        <v>6277</v>
      </c>
      <c r="K844" s="180"/>
      <c r="M844" t="s">
        <v>2246</v>
      </c>
      <c r="N844" t="s">
        <v>5571</v>
      </c>
      <c r="O844" t="s">
        <v>4925</v>
      </c>
      <c r="Q844" t="str">
        <f t="shared" si="71"/>
        <v>condorProc.py --series 07180817_1335 --donoise  --dumps a --procenv environments/pymidas_HVHV_NaI_mf.env</v>
      </c>
    </row>
    <row r="845" spans="1:17">
      <c r="A845" s="181" t="s">
        <v>6278</v>
      </c>
      <c r="B845" s="65"/>
      <c r="C845" s="65"/>
      <c r="D845" s="65"/>
      <c r="E845" s="65"/>
      <c r="F845" s="65"/>
      <c r="G845" s="65"/>
      <c r="H845" s="65"/>
      <c r="I845" s="65"/>
      <c r="J845" s="65"/>
      <c r="K845" s="182"/>
      <c r="M845" t="s">
        <v>2246</v>
      </c>
      <c r="N845" t="s">
        <v>5571</v>
      </c>
      <c r="O845" t="s">
        <v>4925</v>
      </c>
      <c r="Q845" t="str">
        <f t="shared" si="71"/>
        <v>condorProc.py --series 07180817_1345 --donoise  --dumps a --procenv environments/pymidas_HVHV_NaI_mf.env</v>
      </c>
    </row>
    <row r="846" spans="1:17">
      <c r="A846" s="176" t="s">
        <v>6279</v>
      </c>
      <c r="B846" s="177"/>
      <c r="C846" s="177"/>
      <c r="D846" s="177"/>
      <c r="E846" s="177"/>
      <c r="F846" s="177">
        <v>10</v>
      </c>
      <c r="G846" s="177" t="s">
        <v>18</v>
      </c>
      <c r="H846" s="177">
        <v>40</v>
      </c>
      <c r="I846" s="177"/>
      <c r="J846" s="177" t="s">
        <v>5577</v>
      </c>
      <c r="K846" s="178" t="s">
        <v>5583</v>
      </c>
      <c r="M846" t="s">
        <v>2246</v>
      </c>
      <c r="N846" t="s">
        <v>5571</v>
      </c>
      <c r="O846" t="s">
        <v>4925</v>
      </c>
      <c r="Q846" t="str">
        <f t="shared" si="71"/>
        <v>condorProc.py --series 07180817_1515 --donoise  --dumps a --procenv environments/pymidas_HVHV_NaI_mf.env</v>
      </c>
    </row>
    <row r="847" spans="1:17">
      <c r="A847" s="179" t="s">
        <v>6280</v>
      </c>
      <c r="J847" t="s">
        <v>5585</v>
      </c>
      <c r="K847" s="180" t="s">
        <v>5671</v>
      </c>
      <c r="M847" t="s">
        <v>2246</v>
      </c>
      <c r="N847" t="s">
        <v>5571</v>
      </c>
      <c r="O847" t="s">
        <v>4925</v>
      </c>
      <c r="Q847" t="str">
        <f t="shared" si="71"/>
        <v>condorProc.py --series 07180817_1525 --donoise  --dumps a --procenv environments/pymidas_HVHV_NaI_mf.env</v>
      </c>
    </row>
    <row r="848" spans="1:17">
      <c r="A848" s="179" t="s">
        <v>6281</v>
      </c>
      <c r="K848" s="187" t="s">
        <v>6206</v>
      </c>
      <c r="M848" t="s">
        <v>2246</v>
      </c>
      <c r="N848" t="s">
        <v>5571</v>
      </c>
      <c r="O848" t="s">
        <v>4925</v>
      </c>
      <c r="Q848" t="str">
        <f t="shared" si="71"/>
        <v>condorProc.py --series 07180817_1535 --donoise  --dumps a --procenv environments/pymidas_HVHV_NaI_mf.env</v>
      </c>
    </row>
    <row r="849" spans="1:17">
      <c r="A849" s="179" t="s">
        <v>6282</v>
      </c>
      <c r="K849" s="180"/>
      <c r="M849" t="s">
        <v>2246</v>
      </c>
      <c r="N849" t="s">
        <v>5571</v>
      </c>
      <c r="O849" t="s">
        <v>4925</v>
      </c>
      <c r="Q849" t="str">
        <f t="shared" si="71"/>
        <v>condorProc.py --series 07180817_1545 --donoise  --dumps a --procenv environments/pymidas_HVHV_NaI_mf.env</v>
      </c>
    </row>
    <row r="850" spans="1:17">
      <c r="A850" s="179" t="s">
        <v>6283</v>
      </c>
      <c r="K850" s="180"/>
      <c r="M850" t="s">
        <v>2246</v>
      </c>
      <c r="N850" t="s">
        <v>5571</v>
      </c>
      <c r="O850" t="s">
        <v>4925</v>
      </c>
      <c r="Q850" t="str">
        <f t="shared" si="71"/>
        <v>condorProc.py --series 07180817_1555 --donoise  --dumps a --procenv environments/pymidas_HVHV_NaI_mf.env</v>
      </c>
    </row>
    <row r="851" spans="1:17">
      <c r="A851" s="179" t="s">
        <v>6284</v>
      </c>
      <c r="K851" s="180"/>
      <c r="M851" t="s">
        <v>2246</v>
      </c>
      <c r="N851" t="s">
        <v>5571</v>
      </c>
      <c r="O851" t="s">
        <v>4925</v>
      </c>
      <c r="Q851" t="str">
        <f t="shared" si="71"/>
        <v>condorProc.py --series 07180817_1605 --donoise  --dumps a --procenv environments/pymidas_HVHV_NaI_mf.env</v>
      </c>
    </row>
    <row r="852" spans="1:17">
      <c r="A852" s="179" t="s">
        <v>6285</v>
      </c>
      <c r="K852" s="180"/>
      <c r="M852" t="s">
        <v>2246</v>
      </c>
      <c r="N852" t="s">
        <v>5571</v>
      </c>
      <c r="O852" t="s">
        <v>4925</v>
      </c>
      <c r="Q852" t="str">
        <f t="shared" si="71"/>
        <v>condorProc.py --series 07180817_1615 --donoise  --dumps a --procenv environments/pymidas_HVHV_NaI_mf.env</v>
      </c>
    </row>
    <row r="853" spans="1:17">
      <c r="A853" s="179" t="s">
        <v>6286</v>
      </c>
      <c r="K853" s="180"/>
      <c r="M853" t="s">
        <v>2246</v>
      </c>
      <c r="N853" t="s">
        <v>5571</v>
      </c>
      <c r="O853" t="s">
        <v>4925</v>
      </c>
      <c r="Q853" t="str">
        <f t="shared" si="71"/>
        <v>condorProc.py --series 07180817_1625 --donoise  --dumps a --procenv environments/pymidas_HVHV_NaI_mf.env</v>
      </c>
    </row>
    <row r="854" spans="1:17">
      <c r="A854" s="179" t="s">
        <v>6287</v>
      </c>
      <c r="K854" s="180"/>
      <c r="M854" t="s">
        <v>2246</v>
      </c>
      <c r="N854" t="s">
        <v>5571</v>
      </c>
      <c r="O854" t="s">
        <v>4925</v>
      </c>
      <c r="Q854" t="str">
        <f t="shared" si="71"/>
        <v>condorProc.py --series 07180817_1636 --donoise  --dumps a --procenv environments/pymidas_HVHV_NaI_mf.env</v>
      </c>
    </row>
    <row r="855" spans="1:17">
      <c r="A855" s="179" t="s">
        <v>6288</v>
      </c>
      <c r="K855" s="180"/>
      <c r="M855" t="s">
        <v>2246</v>
      </c>
      <c r="N855" t="s">
        <v>5571</v>
      </c>
      <c r="O855" t="s">
        <v>4925</v>
      </c>
      <c r="Q855" t="str">
        <f t="shared" si="71"/>
        <v>condorProc.py --series 07180817_1646 --donoise  --dumps a --procenv environments/pymidas_HVHV_NaI_mf.env</v>
      </c>
    </row>
    <row r="856" spans="1:17">
      <c r="A856" s="179" t="s">
        <v>6289</v>
      </c>
      <c r="K856" s="180"/>
      <c r="M856" t="s">
        <v>2246</v>
      </c>
      <c r="N856" t="s">
        <v>5571</v>
      </c>
      <c r="O856" t="s">
        <v>4925</v>
      </c>
      <c r="Q856" t="str">
        <f t="shared" si="71"/>
        <v>condorProc.py --series 07180817_1656 --donoise  --dumps a --procenv environments/pymidas_HVHV_NaI_mf.env</v>
      </c>
    </row>
    <row r="857" spans="1:17">
      <c r="A857" s="181" t="s">
        <v>6290</v>
      </c>
      <c r="B857" s="65"/>
      <c r="C857" s="65"/>
      <c r="D857" s="65"/>
      <c r="E857" s="65"/>
      <c r="F857" s="65"/>
      <c r="G857" s="65"/>
      <c r="H857" s="65"/>
      <c r="I857" s="65"/>
      <c r="J857" s="65"/>
      <c r="K857" s="182"/>
      <c r="M857" t="s">
        <v>2246</v>
      </c>
      <c r="N857" t="s">
        <v>5571</v>
      </c>
      <c r="O857" t="s">
        <v>4925</v>
      </c>
      <c r="Q857" t="str">
        <f t="shared" si="71"/>
        <v>condorProc.py --series 07180817_1706 --donoise  --dumps a --procenv environments/pymidas_HVHV_NaI_mf.env</v>
      </c>
    </row>
    <row r="858" spans="1:17">
      <c r="A858" s="176" t="s">
        <v>6291</v>
      </c>
      <c r="B858" s="177"/>
      <c r="C858" s="177"/>
      <c r="D858" s="177"/>
      <c r="E858" s="177"/>
      <c r="F858" s="177">
        <v>10</v>
      </c>
      <c r="G858" s="177" t="s">
        <v>18</v>
      </c>
      <c r="H858" s="177">
        <v>40</v>
      </c>
      <c r="I858" s="177"/>
      <c r="J858" s="177" t="s">
        <v>5577</v>
      </c>
      <c r="K858" s="178" t="s">
        <v>5583</v>
      </c>
      <c r="M858" t="s">
        <v>2246</v>
      </c>
      <c r="N858" t="s">
        <v>5571</v>
      </c>
      <c r="O858" t="s">
        <v>4925</v>
      </c>
      <c r="Q858" t="str">
        <f t="shared" si="71"/>
        <v>condorProc.py --series 07180817_1755 --donoise  --dumps a --procenv environments/pymidas_HVHV_NaI_mf.env</v>
      </c>
    </row>
    <row r="859" spans="1:17">
      <c r="A859" s="179" t="s">
        <v>6292</v>
      </c>
      <c r="J859" t="s">
        <v>5585</v>
      </c>
      <c r="K859" s="180" t="s">
        <v>5671</v>
      </c>
      <c r="M859" t="s">
        <v>2246</v>
      </c>
      <c r="N859" t="s">
        <v>5571</v>
      </c>
      <c r="O859" t="s">
        <v>4925</v>
      </c>
      <c r="Q859" t="str">
        <f t="shared" si="71"/>
        <v>condorProc.py --series 07180817_1805 --donoise  --dumps a --procenv environments/pymidas_HVHV_NaI_mf.env</v>
      </c>
    </row>
    <row r="860" spans="1:17">
      <c r="A860" s="179" t="s">
        <v>6293</v>
      </c>
      <c r="K860" s="187" t="s">
        <v>6206</v>
      </c>
      <c r="M860" t="s">
        <v>2246</v>
      </c>
      <c r="N860" t="s">
        <v>5571</v>
      </c>
      <c r="O860" t="s">
        <v>4925</v>
      </c>
      <c r="Q860" t="str">
        <f t="shared" si="71"/>
        <v>condorProc.py --series 07180817_1815 --donoise  --dumps a --procenv environments/pymidas_HVHV_NaI_mf.env</v>
      </c>
    </row>
    <row r="861" spans="1:17">
      <c r="A861" s="179" t="s">
        <v>6294</v>
      </c>
      <c r="K861" s="180"/>
      <c r="M861" t="s">
        <v>2246</v>
      </c>
      <c r="N861" t="s">
        <v>5571</v>
      </c>
      <c r="O861" t="s">
        <v>4925</v>
      </c>
      <c r="Q861" t="str">
        <f t="shared" si="71"/>
        <v>condorProc.py --series 07180817_1825 --donoise  --dumps a --procenv environments/pymidas_HVHV_NaI_mf.env</v>
      </c>
    </row>
    <row r="862" spans="1:17">
      <c r="A862" s="179" t="s">
        <v>6295</v>
      </c>
      <c r="K862" s="180"/>
      <c r="M862" t="s">
        <v>2246</v>
      </c>
      <c r="N862" t="s">
        <v>5571</v>
      </c>
      <c r="O862" t="s">
        <v>4925</v>
      </c>
      <c r="Q862" t="str">
        <f t="shared" si="71"/>
        <v>condorProc.py --series 07180817_1836 --donoise  --dumps a --procenv environments/pymidas_HVHV_NaI_mf.env</v>
      </c>
    </row>
    <row r="863" spans="1:17">
      <c r="A863" s="179" t="s">
        <v>6296</v>
      </c>
      <c r="K863" s="180"/>
      <c r="M863" t="s">
        <v>2246</v>
      </c>
      <c r="N863" t="s">
        <v>5571</v>
      </c>
      <c r="O863" t="s">
        <v>4925</v>
      </c>
      <c r="Q863" t="str">
        <f t="shared" si="71"/>
        <v>condorProc.py --series 07180817_1846 --donoise  --dumps a --procenv environments/pymidas_HVHV_NaI_mf.env</v>
      </c>
    </row>
    <row r="864" spans="1:17">
      <c r="A864" s="179" t="s">
        <v>6297</v>
      </c>
      <c r="K864" s="180"/>
      <c r="M864" t="s">
        <v>2246</v>
      </c>
      <c r="N864" t="s">
        <v>5571</v>
      </c>
      <c r="O864" t="s">
        <v>4925</v>
      </c>
      <c r="Q864" t="str">
        <f t="shared" si="71"/>
        <v>condorProc.py --series 07180817_1856 --donoise  --dumps a --procenv environments/pymidas_HVHV_NaI_mf.env</v>
      </c>
    </row>
    <row r="865" spans="1:17">
      <c r="A865" s="179" t="s">
        <v>6298</v>
      </c>
      <c r="K865" s="180"/>
      <c r="M865" t="s">
        <v>2246</v>
      </c>
      <c r="N865" t="s">
        <v>5571</v>
      </c>
      <c r="O865" t="s">
        <v>4925</v>
      </c>
      <c r="Q865" t="str">
        <f t="shared" si="71"/>
        <v>condorProc.py --series 07180817_1906 --donoise  --dumps a --procenv environments/pymidas_HVHV_NaI_mf.env</v>
      </c>
    </row>
    <row r="866" spans="1:17">
      <c r="A866" s="179" t="s">
        <v>6299</v>
      </c>
      <c r="K866" s="180"/>
      <c r="M866" t="s">
        <v>2246</v>
      </c>
      <c r="N866" t="s">
        <v>5571</v>
      </c>
      <c r="O866" t="s">
        <v>4925</v>
      </c>
      <c r="Q866" t="str">
        <f t="shared" si="71"/>
        <v>condorProc.py --series 07180817_1916 --donoise  --dumps a --procenv environments/pymidas_HVHV_NaI_mf.env</v>
      </c>
    </row>
    <row r="867" spans="1:17">
      <c r="A867" s="179" t="s">
        <v>6300</v>
      </c>
      <c r="K867" s="180"/>
      <c r="M867" t="s">
        <v>2246</v>
      </c>
      <c r="N867" t="s">
        <v>5571</v>
      </c>
      <c r="O867" t="s">
        <v>4925</v>
      </c>
      <c r="Q867" t="str">
        <f t="shared" ref="Q867:Q930" si="72">"condorProc.py --series "&amp;A867&amp;" --donoise  --dumps a --procenv environments/pymidas_HVHV_NaI_mf.env"</f>
        <v>condorProc.py --series 07180817_1926 --donoise  --dumps a --procenv environments/pymidas_HVHV_NaI_mf.env</v>
      </c>
    </row>
    <row r="868" spans="1:17">
      <c r="A868" s="179" t="s">
        <v>6301</v>
      </c>
      <c r="K868" s="180"/>
      <c r="M868" t="s">
        <v>2246</v>
      </c>
      <c r="N868" t="s">
        <v>5571</v>
      </c>
      <c r="O868" t="s">
        <v>4925</v>
      </c>
      <c r="Q868" t="str">
        <f t="shared" si="72"/>
        <v>condorProc.py --series 07180817_1936 --donoise  --dumps a --procenv environments/pymidas_HVHV_NaI_mf.env</v>
      </c>
    </row>
    <row r="869" spans="1:17">
      <c r="A869" s="181" t="s">
        <v>6302</v>
      </c>
      <c r="B869" s="65"/>
      <c r="C869" s="65"/>
      <c r="D869" s="65"/>
      <c r="E869" s="65"/>
      <c r="F869" s="65"/>
      <c r="G869" s="65"/>
      <c r="H869" s="65"/>
      <c r="I869" s="65"/>
      <c r="J869" s="65"/>
      <c r="K869" s="182"/>
      <c r="M869" t="s">
        <v>2246</v>
      </c>
      <c r="N869" t="s">
        <v>5571</v>
      </c>
      <c r="O869" t="s">
        <v>4925</v>
      </c>
      <c r="Q869" t="str">
        <f t="shared" si="72"/>
        <v>condorProc.py --series 07180817_1946 --donoise  --dumps a --procenv environments/pymidas_HVHV_NaI_mf.env</v>
      </c>
    </row>
    <row r="870" spans="1:17">
      <c r="A870" s="176" t="s">
        <v>6303</v>
      </c>
      <c r="B870" s="177"/>
      <c r="C870" s="177"/>
      <c r="D870" s="177"/>
      <c r="E870" s="177"/>
      <c r="F870" s="177">
        <v>10</v>
      </c>
      <c r="G870" s="177" t="s">
        <v>18</v>
      </c>
      <c r="H870" s="177">
        <v>40</v>
      </c>
      <c r="I870" s="177"/>
      <c r="J870" s="177" t="s">
        <v>5577</v>
      </c>
      <c r="K870" s="178" t="s">
        <v>5583</v>
      </c>
      <c r="M870" t="s">
        <v>2246</v>
      </c>
      <c r="N870" t="s">
        <v>5571</v>
      </c>
      <c r="O870" t="s">
        <v>4925</v>
      </c>
      <c r="Q870" t="str">
        <f t="shared" si="72"/>
        <v>condorProc.py --series 07180817_2036 --donoise  --dumps a --procenv environments/pymidas_HVHV_NaI_mf.env</v>
      </c>
    </row>
    <row r="871" spans="1:17">
      <c r="A871" s="179" t="s">
        <v>6304</v>
      </c>
      <c r="J871" t="s">
        <v>5585</v>
      </c>
      <c r="K871" s="180" t="s">
        <v>5671</v>
      </c>
      <c r="M871" t="s">
        <v>2246</v>
      </c>
      <c r="N871" t="s">
        <v>5571</v>
      </c>
      <c r="O871" t="s">
        <v>4925</v>
      </c>
      <c r="Q871" t="str">
        <f t="shared" si="72"/>
        <v>condorProc.py --series 07180817_2046 --donoise  --dumps a --procenv environments/pymidas_HVHV_NaI_mf.env</v>
      </c>
    </row>
    <row r="872" spans="1:17">
      <c r="A872" s="179" t="s">
        <v>6305</v>
      </c>
      <c r="K872" s="187" t="s">
        <v>6206</v>
      </c>
      <c r="M872" t="s">
        <v>2246</v>
      </c>
      <c r="N872" t="s">
        <v>5571</v>
      </c>
      <c r="O872" t="s">
        <v>4925</v>
      </c>
      <c r="Q872" t="str">
        <f t="shared" si="72"/>
        <v>condorProc.py --series 07180817_2056 --donoise  --dumps a --procenv environments/pymidas_HVHV_NaI_mf.env</v>
      </c>
    </row>
    <row r="873" spans="1:17">
      <c r="A873" s="179" t="s">
        <v>6306</v>
      </c>
      <c r="K873" s="180"/>
      <c r="M873" t="s">
        <v>2246</v>
      </c>
      <c r="N873" t="s">
        <v>5571</v>
      </c>
      <c r="O873" t="s">
        <v>4925</v>
      </c>
      <c r="Q873" t="str">
        <f t="shared" si="72"/>
        <v>condorProc.py --series 07180817_2106 --donoise  --dumps a --procenv environments/pymidas_HVHV_NaI_mf.env</v>
      </c>
    </row>
    <row r="874" spans="1:17">
      <c r="A874" s="179" t="s">
        <v>6307</v>
      </c>
      <c r="K874" s="180"/>
      <c r="M874" t="s">
        <v>2246</v>
      </c>
      <c r="N874" t="s">
        <v>5571</v>
      </c>
      <c r="O874" t="s">
        <v>4925</v>
      </c>
      <c r="Q874" t="str">
        <f t="shared" si="72"/>
        <v>condorProc.py --series 07180817_2116 --donoise  --dumps a --procenv environments/pymidas_HVHV_NaI_mf.env</v>
      </c>
    </row>
    <row r="875" spans="1:17">
      <c r="A875" s="179" t="s">
        <v>6308</v>
      </c>
      <c r="K875" s="180"/>
      <c r="M875" t="s">
        <v>2246</v>
      </c>
      <c r="N875" t="s">
        <v>5571</v>
      </c>
      <c r="O875" t="s">
        <v>4925</v>
      </c>
      <c r="Q875" t="str">
        <f t="shared" si="72"/>
        <v>condorProc.py --series 07180817_2126 --donoise  --dumps a --procenv environments/pymidas_HVHV_NaI_mf.env</v>
      </c>
    </row>
    <row r="876" spans="1:17">
      <c r="A876" s="179" t="s">
        <v>6309</v>
      </c>
      <c r="K876" s="180"/>
      <c r="M876" t="s">
        <v>2246</v>
      </c>
      <c r="N876" t="s">
        <v>5571</v>
      </c>
      <c r="O876" t="s">
        <v>4925</v>
      </c>
      <c r="Q876" t="str">
        <f t="shared" si="72"/>
        <v>condorProc.py --series 07180817_2136 --donoise  --dumps a --procenv environments/pymidas_HVHV_NaI_mf.env</v>
      </c>
    </row>
    <row r="877" spans="1:17">
      <c r="A877" s="179" t="s">
        <v>6310</v>
      </c>
      <c r="K877" s="180"/>
      <c r="M877" t="s">
        <v>2246</v>
      </c>
      <c r="N877" t="s">
        <v>5571</v>
      </c>
      <c r="O877" t="s">
        <v>4925</v>
      </c>
      <c r="Q877" t="str">
        <f t="shared" si="72"/>
        <v>condorProc.py --series 07180817_2146 --donoise  --dumps a --procenv environments/pymidas_HVHV_NaI_mf.env</v>
      </c>
    </row>
    <row r="878" spans="1:17">
      <c r="A878" s="179" t="s">
        <v>6311</v>
      </c>
      <c r="K878" s="180"/>
      <c r="M878" t="s">
        <v>2246</v>
      </c>
      <c r="N878" t="s">
        <v>5571</v>
      </c>
      <c r="O878" t="s">
        <v>4925</v>
      </c>
      <c r="Q878" t="str">
        <f t="shared" si="72"/>
        <v>condorProc.py --series 07180817_2157 --donoise  --dumps a --procenv environments/pymidas_HVHV_NaI_mf.env</v>
      </c>
    </row>
    <row r="879" spans="1:17">
      <c r="A879" s="179" t="s">
        <v>6312</v>
      </c>
      <c r="K879" s="180"/>
      <c r="M879" t="s">
        <v>2246</v>
      </c>
      <c r="N879" t="s">
        <v>5571</v>
      </c>
      <c r="O879" t="s">
        <v>4925</v>
      </c>
      <c r="Q879" t="str">
        <f t="shared" si="72"/>
        <v>condorProc.py --series 07180817_2207 --donoise  --dumps a --procenv environments/pymidas_HVHV_NaI_mf.env</v>
      </c>
    </row>
    <row r="880" spans="1:17">
      <c r="A880" s="179" t="s">
        <v>6313</v>
      </c>
      <c r="K880" s="180"/>
      <c r="M880" t="s">
        <v>2246</v>
      </c>
      <c r="N880" t="s">
        <v>5571</v>
      </c>
      <c r="O880" t="s">
        <v>4925</v>
      </c>
      <c r="Q880" t="str">
        <f t="shared" si="72"/>
        <v>condorProc.py --series 07180817_2217 --donoise  --dumps a --procenv environments/pymidas_HVHV_NaI_mf.env</v>
      </c>
    </row>
    <row r="881" spans="1:17">
      <c r="A881" s="181" t="s">
        <v>6314</v>
      </c>
      <c r="B881" s="65"/>
      <c r="C881" s="65"/>
      <c r="D881" s="65"/>
      <c r="E881" s="65"/>
      <c r="F881" s="65"/>
      <c r="G881" s="65"/>
      <c r="H881" s="65"/>
      <c r="I881" s="65"/>
      <c r="J881" s="65"/>
      <c r="K881" s="182"/>
      <c r="M881" t="s">
        <v>2246</v>
      </c>
      <c r="N881" t="s">
        <v>5571</v>
      </c>
      <c r="O881" t="s">
        <v>4925</v>
      </c>
      <c r="Q881" t="str">
        <f t="shared" si="72"/>
        <v>condorProc.py --series 07180817_2227 --donoise  --dumps a --procenv environments/pymidas_HVHV_NaI_mf.env</v>
      </c>
    </row>
    <row r="882" spans="1:17">
      <c r="A882" s="176" t="s">
        <v>6315</v>
      </c>
      <c r="B882" s="177"/>
      <c r="C882" s="177"/>
      <c r="D882" s="177"/>
      <c r="E882" s="177"/>
      <c r="F882" s="177">
        <v>10</v>
      </c>
      <c r="G882" s="177" t="s">
        <v>18</v>
      </c>
      <c r="H882" s="177">
        <v>40</v>
      </c>
      <c r="I882" s="177"/>
      <c r="J882" s="177" t="s">
        <v>5577</v>
      </c>
      <c r="K882" s="178" t="s">
        <v>5583</v>
      </c>
      <c r="M882" t="s">
        <v>2246</v>
      </c>
      <c r="N882" t="s">
        <v>5571</v>
      </c>
      <c r="O882" t="s">
        <v>4925</v>
      </c>
      <c r="Q882" t="str">
        <f t="shared" si="72"/>
        <v>condorProc.py --series 07180817_2316 --donoise  --dumps a --procenv environments/pymidas_HVHV_NaI_mf.env</v>
      </c>
    </row>
    <row r="883" spans="1:17">
      <c r="A883" s="179" t="s">
        <v>6316</v>
      </c>
      <c r="J883" t="s">
        <v>5585</v>
      </c>
      <c r="K883" s="180" t="s">
        <v>5671</v>
      </c>
      <c r="M883" t="s">
        <v>2246</v>
      </c>
      <c r="N883" t="s">
        <v>5571</v>
      </c>
      <c r="O883" t="s">
        <v>4925</v>
      </c>
      <c r="Q883" t="str">
        <f t="shared" si="72"/>
        <v>condorProc.py --series 07180817_2326 --donoise  --dumps a --procenv environments/pymidas_HVHV_NaI_mf.env</v>
      </c>
    </row>
    <row r="884" spans="1:17">
      <c r="A884" s="179" t="s">
        <v>6317</v>
      </c>
      <c r="K884" s="187" t="s">
        <v>6206</v>
      </c>
      <c r="M884" t="s">
        <v>2246</v>
      </c>
      <c r="N884" t="s">
        <v>5571</v>
      </c>
      <c r="O884" t="s">
        <v>4925</v>
      </c>
      <c r="Q884" t="str">
        <f t="shared" si="72"/>
        <v>condorProc.py --series 07180817_2336 --donoise  --dumps a --procenv environments/pymidas_HVHV_NaI_mf.env</v>
      </c>
    </row>
    <row r="885" spans="1:17">
      <c r="A885" s="179" t="s">
        <v>6318</v>
      </c>
      <c r="K885" s="180"/>
      <c r="M885" t="s">
        <v>2246</v>
      </c>
      <c r="N885" t="s">
        <v>5571</v>
      </c>
      <c r="O885" t="s">
        <v>4925</v>
      </c>
      <c r="Q885" t="str">
        <f t="shared" si="72"/>
        <v>condorProc.py --series 07180817_2346 --donoise  --dumps a --procenv environments/pymidas_HVHV_NaI_mf.env</v>
      </c>
    </row>
    <row r="886" spans="1:17">
      <c r="A886" s="179" t="s">
        <v>6319</v>
      </c>
      <c r="K886" s="180"/>
      <c r="M886" t="s">
        <v>2246</v>
      </c>
      <c r="N886" t="s">
        <v>5571</v>
      </c>
      <c r="O886" t="s">
        <v>4925</v>
      </c>
      <c r="Q886" t="str">
        <f t="shared" si="72"/>
        <v>condorProc.py --series 07180817_2357 --donoise  --dumps a --procenv environments/pymidas_HVHV_NaI_mf.env</v>
      </c>
    </row>
    <row r="887" spans="1:17">
      <c r="A887" s="179" t="s">
        <v>6320</v>
      </c>
      <c r="K887" s="180"/>
      <c r="M887" t="s">
        <v>2246</v>
      </c>
      <c r="N887" t="s">
        <v>5571</v>
      </c>
      <c r="O887" t="s">
        <v>4925</v>
      </c>
      <c r="Q887" t="str">
        <f t="shared" si="72"/>
        <v>condorProc.py --series 07180818_0007 --donoise  --dumps a --procenv environments/pymidas_HVHV_NaI_mf.env</v>
      </c>
    </row>
    <row r="888" spans="1:17">
      <c r="A888" s="179" t="s">
        <v>6321</v>
      </c>
      <c r="K888" s="180"/>
      <c r="M888" t="s">
        <v>2246</v>
      </c>
      <c r="N888" t="s">
        <v>5571</v>
      </c>
      <c r="O888" t="s">
        <v>4925</v>
      </c>
      <c r="Q888" t="str">
        <f t="shared" si="72"/>
        <v>condorProc.py --series 07180818_0017 --donoise  --dumps a --procenv environments/pymidas_HVHV_NaI_mf.env</v>
      </c>
    </row>
    <row r="889" spans="1:17">
      <c r="A889" s="179" t="s">
        <v>6322</v>
      </c>
      <c r="K889" s="180"/>
      <c r="M889" t="s">
        <v>2246</v>
      </c>
      <c r="N889" t="s">
        <v>5571</v>
      </c>
      <c r="O889" t="s">
        <v>4925</v>
      </c>
      <c r="Q889" t="str">
        <f t="shared" si="72"/>
        <v>condorProc.py --series 07180818_0027 --donoise  --dumps a --procenv environments/pymidas_HVHV_NaI_mf.env</v>
      </c>
    </row>
    <row r="890" spans="1:17">
      <c r="A890" s="179" t="s">
        <v>6323</v>
      </c>
      <c r="K890" s="180"/>
      <c r="M890" t="s">
        <v>2246</v>
      </c>
      <c r="N890" t="s">
        <v>5571</v>
      </c>
      <c r="O890" t="s">
        <v>4925</v>
      </c>
      <c r="Q890" t="str">
        <f t="shared" si="72"/>
        <v>condorProc.py --series 07180818_0037 --donoise  --dumps a --procenv environments/pymidas_HVHV_NaI_mf.env</v>
      </c>
    </row>
    <row r="891" spans="1:17">
      <c r="A891" s="179" t="s">
        <v>6324</v>
      </c>
      <c r="K891" s="180"/>
      <c r="M891" t="s">
        <v>2246</v>
      </c>
      <c r="N891" t="s">
        <v>5571</v>
      </c>
      <c r="O891" t="s">
        <v>4925</v>
      </c>
      <c r="Q891" t="str">
        <f t="shared" si="72"/>
        <v>condorProc.py --series 07180818_0047 --donoise  --dumps a --procenv environments/pymidas_HVHV_NaI_mf.env</v>
      </c>
    </row>
    <row r="892" spans="1:17">
      <c r="A892" s="179" t="s">
        <v>6325</v>
      </c>
      <c r="K892" s="180"/>
      <c r="M892" t="s">
        <v>2246</v>
      </c>
      <c r="N892" t="s">
        <v>5571</v>
      </c>
      <c r="O892" t="s">
        <v>4925</v>
      </c>
      <c r="Q892" t="str">
        <f t="shared" si="72"/>
        <v>condorProc.py --series 07180818_0057 --donoise  --dumps a --procenv environments/pymidas_HVHV_NaI_mf.env</v>
      </c>
    </row>
    <row r="893" spans="1:17">
      <c r="A893" s="181" t="s">
        <v>6326</v>
      </c>
      <c r="B893" s="65"/>
      <c r="C893" s="65"/>
      <c r="D893" s="65"/>
      <c r="E893" s="65"/>
      <c r="F893" s="65"/>
      <c r="G893" s="65"/>
      <c r="H893" s="65"/>
      <c r="I893" s="65"/>
      <c r="J893" s="65"/>
      <c r="K893" s="182"/>
      <c r="M893" t="s">
        <v>2246</v>
      </c>
      <c r="N893" t="s">
        <v>5571</v>
      </c>
      <c r="O893" t="s">
        <v>4925</v>
      </c>
      <c r="Q893" t="str">
        <f t="shared" si="72"/>
        <v>condorProc.py --series 07180818_0107 --donoise  --dumps a --procenv environments/pymidas_HVHV_NaI_mf.env</v>
      </c>
    </row>
    <row r="894" spans="1:17">
      <c r="A894" s="176" t="s">
        <v>6327</v>
      </c>
      <c r="B894" s="177"/>
      <c r="C894" s="177"/>
      <c r="D894" s="177"/>
      <c r="E894" s="177"/>
      <c r="F894" s="177">
        <v>10</v>
      </c>
      <c r="G894" s="177" t="s">
        <v>18</v>
      </c>
      <c r="H894" s="177">
        <v>40</v>
      </c>
      <c r="I894" s="177"/>
      <c r="J894" s="177" t="s">
        <v>5577</v>
      </c>
      <c r="K894" s="178" t="s">
        <v>5583</v>
      </c>
      <c r="M894" t="s">
        <v>2246</v>
      </c>
      <c r="N894" t="s">
        <v>5571</v>
      </c>
      <c r="O894" t="s">
        <v>4925</v>
      </c>
      <c r="Q894" t="str">
        <f t="shared" si="72"/>
        <v>condorProc.py --series 07180818_0157 --donoise  --dumps a --procenv environments/pymidas_HVHV_NaI_mf.env</v>
      </c>
    </row>
    <row r="895" spans="1:17">
      <c r="A895" s="179" t="s">
        <v>6328</v>
      </c>
      <c r="J895" t="s">
        <v>5585</v>
      </c>
      <c r="K895" s="180" t="s">
        <v>5671</v>
      </c>
      <c r="M895" t="s">
        <v>2246</v>
      </c>
      <c r="N895" t="s">
        <v>5571</v>
      </c>
      <c r="O895" t="s">
        <v>4925</v>
      </c>
      <c r="Q895" t="str">
        <f t="shared" si="72"/>
        <v>condorProc.py --series 07180818_0207 --donoise  --dumps a --procenv environments/pymidas_HVHV_NaI_mf.env</v>
      </c>
    </row>
    <row r="896" spans="1:17">
      <c r="A896" s="179" t="s">
        <v>6329</v>
      </c>
      <c r="K896" s="187" t="s">
        <v>6206</v>
      </c>
      <c r="M896" t="s">
        <v>2246</v>
      </c>
      <c r="N896" t="s">
        <v>5571</v>
      </c>
      <c r="O896" t="s">
        <v>4925</v>
      </c>
      <c r="Q896" t="str">
        <f t="shared" si="72"/>
        <v>condorProc.py --series 07180818_0217 --donoise  --dumps a --procenv environments/pymidas_HVHV_NaI_mf.env</v>
      </c>
    </row>
    <row r="897" spans="1:17">
      <c r="A897" s="179" t="s">
        <v>6330</v>
      </c>
      <c r="K897" s="180"/>
      <c r="M897" t="s">
        <v>2246</v>
      </c>
      <c r="N897" t="s">
        <v>5571</v>
      </c>
      <c r="O897" t="s">
        <v>4925</v>
      </c>
      <c r="Q897" t="str">
        <f t="shared" si="72"/>
        <v>condorProc.py --series 07180818_0227 --donoise  --dumps a --procenv environments/pymidas_HVHV_NaI_mf.env</v>
      </c>
    </row>
    <row r="898" spans="1:17">
      <c r="A898" s="179" t="s">
        <v>6331</v>
      </c>
      <c r="K898" s="180"/>
      <c r="M898" t="s">
        <v>2246</v>
      </c>
      <c r="N898" t="s">
        <v>5571</v>
      </c>
      <c r="O898" t="s">
        <v>4925</v>
      </c>
      <c r="Q898" t="str">
        <f t="shared" si="72"/>
        <v>condorProc.py --series 07180818_0237 --donoise  --dumps a --procenv environments/pymidas_HVHV_NaI_mf.env</v>
      </c>
    </row>
    <row r="899" spans="1:17">
      <c r="A899" s="179" t="s">
        <v>6332</v>
      </c>
      <c r="K899" s="180"/>
      <c r="M899" t="s">
        <v>2246</v>
      </c>
      <c r="N899" t="s">
        <v>5571</v>
      </c>
      <c r="O899" t="s">
        <v>4925</v>
      </c>
      <c r="Q899" t="str">
        <f t="shared" si="72"/>
        <v>condorProc.py --series 07180818_0247 --donoise  --dumps a --procenv environments/pymidas_HVHV_NaI_mf.env</v>
      </c>
    </row>
    <row r="900" spans="1:17">
      <c r="A900" s="179" t="s">
        <v>6333</v>
      </c>
      <c r="K900" s="180"/>
      <c r="M900" t="s">
        <v>2246</v>
      </c>
      <c r="N900" t="s">
        <v>5571</v>
      </c>
      <c r="O900" t="s">
        <v>4925</v>
      </c>
      <c r="Q900" t="str">
        <f t="shared" si="72"/>
        <v>condorProc.py --series 07180818_0257 --donoise  --dumps a --procenv environments/pymidas_HVHV_NaI_mf.env</v>
      </c>
    </row>
    <row r="901" spans="1:17">
      <c r="A901" s="179" t="s">
        <v>6334</v>
      </c>
      <c r="K901" s="180"/>
      <c r="M901" t="s">
        <v>2246</v>
      </c>
      <c r="N901" t="s">
        <v>5571</v>
      </c>
      <c r="O901" t="s">
        <v>4925</v>
      </c>
      <c r="Q901" t="str">
        <f t="shared" si="72"/>
        <v>condorProc.py --series 07180818_0308 --donoise  --dumps a --procenv environments/pymidas_HVHV_NaI_mf.env</v>
      </c>
    </row>
    <row r="902" spans="1:17">
      <c r="A902" s="179" t="s">
        <v>6335</v>
      </c>
      <c r="K902" s="180"/>
      <c r="M902" t="s">
        <v>2246</v>
      </c>
      <c r="N902" t="s">
        <v>5571</v>
      </c>
      <c r="O902" t="s">
        <v>4925</v>
      </c>
      <c r="Q902" t="str">
        <f t="shared" si="72"/>
        <v>condorProc.py --series 07180818_0318 --donoise  --dumps a --procenv environments/pymidas_HVHV_NaI_mf.env</v>
      </c>
    </row>
    <row r="903" spans="1:17">
      <c r="A903" s="179" t="s">
        <v>6336</v>
      </c>
      <c r="K903" s="180"/>
      <c r="M903" t="s">
        <v>2246</v>
      </c>
      <c r="N903" t="s">
        <v>5571</v>
      </c>
      <c r="O903" t="s">
        <v>4925</v>
      </c>
      <c r="Q903" t="str">
        <f t="shared" si="72"/>
        <v>condorProc.py --series 07180818_0328 --donoise  --dumps a --procenv environments/pymidas_HVHV_NaI_mf.env</v>
      </c>
    </row>
    <row r="904" spans="1:17">
      <c r="A904" s="179" t="s">
        <v>6337</v>
      </c>
      <c r="K904" s="180"/>
      <c r="M904" t="s">
        <v>2246</v>
      </c>
      <c r="N904" t="s">
        <v>5571</v>
      </c>
      <c r="O904" t="s">
        <v>4925</v>
      </c>
      <c r="Q904" t="str">
        <f t="shared" si="72"/>
        <v>condorProc.py --series 07180818_0338 --donoise  --dumps a --procenv environments/pymidas_HVHV_NaI_mf.env</v>
      </c>
    </row>
    <row r="905" spans="1:17">
      <c r="A905" s="181" t="s">
        <v>6338</v>
      </c>
      <c r="B905" s="65"/>
      <c r="C905" s="65"/>
      <c r="D905" s="65"/>
      <c r="E905" s="65"/>
      <c r="F905" s="65"/>
      <c r="G905" s="65"/>
      <c r="H905" s="65"/>
      <c r="I905" s="65"/>
      <c r="J905" s="65"/>
      <c r="K905" s="182"/>
      <c r="M905" t="s">
        <v>2246</v>
      </c>
      <c r="N905" t="s">
        <v>5571</v>
      </c>
      <c r="O905" t="s">
        <v>4925</v>
      </c>
      <c r="Q905" t="str">
        <f t="shared" si="72"/>
        <v>condorProc.py --series 07180818_0348 --donoise  --dumps a --procenv environments/pymidas_HVHV_NaI_mf.env</v>
      </c>
    </row>
    <row r="906" spans="1:17">
      <c r="A906" s="176" t="s">
        <v>6339</v>
      </c>
      <c r="B906" s="177"/>
      <c r="C906" s="177"/>
      <c r="D906" s="177"/>
      <c r="E906" s="177"/>
      <c r="F906" s="177">
        <v>10</v>
      </c>
      <c r="G906" s="177" t="s">
        <v>18</v>
      </c>
      <c r="H906" s="177">
        <v>40</v>
      </c>
      <c r="I906" s="177"/>
      <c r="J906" s="177" t="s">
        <v>5577</v>
      </c>
      <c r="K906" s="178" t="s">
        <v>5583</v>
      </c>
      <c r="M906" t="s">
        <v>2246</v>
      </c>
      <c r="N906" t="s">
        <v>5571</v>
      </c>
      <c r="O906" t="s">
        <v>4925</v>
      </c>
      <c r="Q906" t="str">
        <f t="shared" si="72"/>
        <v>condorProc.py --series 07180818_0437 --donoise  --dumps a --procenv environments/pymidas_HVHV_NaI_mf.env</v>
      </c>
    </row>
    <row r="907" spans="1:17">
      <c r="A907" s="179" t="s">
        <v>6340</v>
      </c>
      <c r="J907" t="s">
        <v>5585</v>
      </c>
      <c r="K907" s="180" t="s">
        <v>5671</v>
      </c>
      <c r="M907" t="s">
        <v>2246</v>
      </c>
      <c r="N907" t="s">
        <v>5571</v>
      </c>
      <c r="O907" t="s">
        <v>4925</v>
      </c>
      <c r="Q907" t="str">
        <f t="shared" si="72"/>
        <v>condorProc.py --series 07180818_0447 --donoise  --dumps a --procenv environments/pymidas_HVHV_NaI_mf.env</v>
      </c>
    </row>
    <row r="908" spans="1:17">
      <c r="A908" s="179" t="s">
        <v>6341</v>
      </c>
      <c r="K908" s="187" t="s">
        <v>6206</v>
      </c>
      <c r="M908" t="s">
        <v>2246</v>
      </c>
      <c r="N908" t="s">
        <v>5571</v>
      </c>
      <c r="O908" t="s">
        <v>4925</v>
      </c>
      <c r="Q908" t="str">
        <f t="shared" si="72"/>
        <v>condorProc.py --series 07180818_0457 --donoise  --dumps a --procenv environments/pymidas_HVHV_NaI_mf.env</v>
      </c>
    </row>
    <row r="909" spans="1:17">
      <c r="A909" s="179" t="s">
        <v>6342</v>
      </c>
      <c r="K909" s="180"/>
      <c r="M909" t="s">
        <v>2246</v>
      </c>
      <c r="N909" t="s">
        <v>5571</v>
      </c>
      <c r="O909" t="s">
        <v>4925</v>
      </c>
      <c r="Q909" t="str">
        <f t="shared" si="72"/>
        <v>condorProc.py --series 07180818_0508 --donoise  --dumps a --procenv environments/pymidas_HVHV_NaI_mf.env</v>
      </c>
    </row>
    <row r="910" spans="1:17">
      <c r="A910" s="179" t="s">
        <v>6343</v>
      </c>
      <c r="K910" s="180"/>
      <c r="M910" t="s">
        <v>2246</v>
      </c>
      <c r="N910" t="s">
        <v>5571</v>
      </c>
      <c r="O910" t="s">
        <v>4925</v>
      </c>
      <c r="Q910" t="str">
        <f t="shared" si="72"/>
        <v>condorProc.py --series 07180818_0518 --donoise  --dumps a --procenv environments/pymidas_HVHV_NaI_mf.env</v>
      </c>
    </row>
    <row r="911" spans="1:17">
      <c r="A911" s="179" t="s">
        <v>6344</v>
      </c>
      <c r="K911" s="180"/>
      <c r="M911" t="s">
        <v>2246</v>
      </c>
      <c r="N911" t="s">
        <v>5571</v>
      </c>
      <c r="O911" t="s">
        <v>4925</v>
      </c>
      <c r="Q911" t="str">
        <f t="shared" si="72"/>
        <v>condorProc.py --series 07180818_0528 --donoise  --dumps a --procenv environments/pymidas_HVHV_NaI_mf.env</v>
      </c>
    </row>
    <row r="912" spans="1:17">
      <c r="A912" s="179" t="s">
        <v>6345</v>
      </c>
      <c r="K912" s="180"/>
      <c r="M912" t="s">
        <v>2246</v>
      </c>
      <c r="N912" t="s">
        <v>5571</v>
      </c>
      <c r="O912" t="s">
        <v>4925</v>
      </c>
      <c r="Q912" t="str">
        <f t="shared" si="72"/>
        <v>condorProc.py --series 07180818_0538 --donoise  --dumps a --procenv environments/pymidas_HVHV_NaI_mf.env</v>
      </c>
    </row>
    <row r="913" spans="1:17">
      <c r="A913" s="179" t="s">
        <v>6346</v>
      </c>
      <c r="K913" s="180"/>
      <c r="M913" t="s">
        <v>2246</v>
      </c>
      <c r="N913" t="s">
        <v>5571</v>
      </c>
      <c r="O913" t="s">
        <v>4925</v>
      </c>
      <c r="Q913" t="str">
        <f t="shared" si="72"/>
        <v>condorProc.py --series 07180818_0548 --donoise  --dumps a --procenv environments/pymidas_HVHV_NaI_mf.env</v>
      </c>
    </row>
    <row r="914" spans="1:17">
      <c r="A914" s="179" t="s">
        <v>6347</v>
      </c>
      <c r="K914" s="180"/>
      <c r="M914" t="s">
        <v>2246</v>
      </c>
      <c r="N914" t="s">
        <v>5571</v>
      </c>
      <c r="O914" t="s">
        <v>4925</v>
      </c>
      <c r="Q914" t="str">
        <f t="shared" si="72"/>
        <v>condorProc.py --series 07180818_0558 --donoise  --dumps a --procenv environments/pymidas_HVHV_NaI_mf.env</v>
      </c>
    </row>
    <row r="915" spans="1:17">
      <c r="A915" s="179" t="s">
        <v>6348</v>
      </c>
      <c r="K915" s="180"/>
      <c r="M915" t="s">
        <v>2246</v>
      </c>
      <c r="N915" t="s">
        <v>5571</v>
      </c>
      <c r="O915" t="s">
        <v>4925</v>
      </c>
      <c r="Q915" t="str">
        <f t="shared" si="72"/>
        <v>condorProc.py --series 07180818_0608 --donoise  --dumps a --procenv environments/pymidas_HVHV_NaI_mf.env</v>
      </c>
    </row>
    <row r="916" spans="1:17">
      <c r="A916" s="179" t="s">
        <v>6349</v>
      </c>
      <c r="K916" s="180"/>
      <c r="M916" t="s">
        <v>2246</v>
      </c>
      <c r="N916" t="s">
        <v>5571</v>
      </c>
      <c r="O916" t="s">
        <v>4925</v>
      </c>
      <c r="Q916" t="str">
        <f t="shared" si="72"/>
        <v>condorProc.py --series 07180818_0618 --donoise  --dumps a --procenv environments/pymidas_HVHV_NaI_mf.env</v>
      </c>
    </row>
    <row r="917" spans="1:17">
      <c r="A917" s="181" t="s">
        <v>6350</v>
      </c>
      <c r="B917" s="65"/>
      <c r="C917" s="65"/>
      <c r="D917" s="65"/>
      <c r="E917" s="65"/>
      <c r="F917" s="65"/>
      <c r="G917" s="65"/>
      <c r="H917" s="65"/>
      <c r="I917" s="65"/>
      <c r="J917" s="65"/>
      <c r="K917" s="182"/>
      <c r="M917" t="s">
        <v>2246</v>
      </c>
      <c r="N917" t="s">
        <v>5571</v>
      </c>
      <c r="O917" t="s">
        <v>4925</v>
      </c>
      <c r="Q917" t="str">
        <f t="shared" si="72"/>
        <v>condorProc.py --series 07180818_0628 --donoise  --dumps a --procenv environments/pymidas_HVHV_NaI_mf.env</v>
      </c>
    </row>
    <row r="918" spans="1:17">
      <c r="A918" s="176" t="s">
        <v>6351</v>
      </c>
      <c r="B918" s="177"/>
      <c r="C918" s="177"/>
      <c r="D918" s="177"/>
      <c r="E918" s="177"/>
      <c r="F918" s="177">
        <v>10</v>
      </c>
      <c r="G918" s="177" t="s">
        <v>18</v>
      </c>
      <c r="H918" s="177">
        <v>40</v>
      </c>
      <c r="I918" s="177"/>
      <c r="J918" s="177" t="s">
        <v>5577</v>
      </c>
      <c r="K918" s="178" t="s">
        <v>5583</v>
      </c>
      <c r="M918" t="s">
        <v>2246</v>
      </c>
      <c r="N918" t="s">
        <v>5571</v>
      </c>
      <c r="O918" t="s">
        <v>4925</v>
      </c>
      <c r="Q918" t="str">
        <f t="shared" si="72"/>
        <v>condorProc.py --series 07180818_0718 --donoise  --dumps a --procenv environments/pymidas_HVHV_NaI_mf.env</v>
      </c>
    </row>
    <row r="919" spans="1:17">
      <c r="A919" s="179" t="s">
        <v>6352</v>
      </c>
      <c r="J919" t="s">
        <v>5585</v>
      </c>
      <c r="K919" s="180" t="s">
        <v>5671</v>
      </c>
      <c r="M919" t="s">
        <v>2246</v>
      </c>
      <c r="N919" t="s">
        <v>5571</v>
      </c>
      <c r="O919" t="s">
        <v>4925</v>
      </c>
      <c r="Q919" t="str">
        <f t="shared" si="72"/>
        <v>condorProc.py --series 07180818_0728 --donoise  --dumps a --procenv environments/pymidas_HVHV_NaI_mf.env</v>
      </c>
    </row>
    <row r="920" spans="1:17">
      <c r="A920" s="179" t="s">
        <v>6353</v>
      </c>
      <c r="K920" s="187" t="s">
        <v>6206</v>
      </c>
      <c r="M920" t="s">
        <v>2246</v>
      </c>
      <c r="N920" t="s">
        <v>5571</v>
      </c>
      <c r="O920" t="s">
        <v>4925</v>
      </c>
      <c r="Q920" t="str">
        <f t="shared" si="72"/>
        <v>condorProc.py --series 07180818_0738 --donoise  --dumps a --procenv environments/pymidas_HVHV_NaI_mf.env</v>
      </c>
    </row>
    <row r="921" spans="1:17">
      <c r="A921" s="179" t="s">
        <v>6354</v>
      </c>
      <c r="K921" s="180"/>
      <c r="M921" t="s">
        <v>2246</v>
      </c>
      <c r="N921" t="s">
        <v>5571</v>
      </c>
      <c r="O921" t="s">
        <v>4925</v>
      </c>
      <c r="Q921" t="str">
        <f t="shared" si="72"/>
        <v>condorProc.py --series 07180818_0748 --donoise  --dumps a --procenv environments/pymidas_HVHV_NaI_mf.env</v>
      </c>
    </row>
    <row r="922" spans="1:17">
      <c r="A922" s="179" t="s">
        <v>6355</v>
      </c>
      <c r="K922" s="180"/>
      <c r="M922" t="s">
        <v>2246</v>
      </c>
      <c r="N922" t="s">
        <v>5571</v>
      </c>
      <c r="O922" t="s">
        <v>4925</v>
      </c>
      <c r="Q922" t="str">
        <f t="shared" si="72"/>
        <v>condorProc.py --series 07180818_0758 --donoise  --dumps a --procenv environments/pymidas_HVHV_NaI_mf.env</v>
      </c>
    </row>
    <row r="923" spans="1:17">
      <c r="A923" s="179" t="s">
        <v>6356</v>
      </c>
      <c r="K923" s="180"/>
      <c r="M923" t="s">
        <v>2246</v>
      </c>
      <c r="N923" t="s">
        <v>5571</v>
      </c>
      <c r="O923" t="s">
        <v>4925</v>
      </c>
      <c r="Q923" t="str">
        <f t="shared" si="72"/>
        <v>condorProc.py --series 07180818_0808 --donoise  --dumps a --procenv environments/pymidas_HVHV_NaI_mf.env</v>
      </c>
    </row>
    <row r="924" spans="1:17">
      <c r="A924" s="179" t="s">
        <v>6357</v>
      </c>
      <c r="K924" s="180"/>
      <c r="M924" t="s">
        <v>2246</v>
      </c>
      <c r="N924" t="s">
        <v>5571</v>
      </c>
      <c r="O924" t="s">
        <v>4925</v>
      </c>
      <c r="Q924" t="str">
        <f t="shared" si="72"/>
        <v>condorProc.py --series 07180818_0818 --donoise  --dumps a --procenv environments/pymidas_HVHV_NaI_mf.env</v>
      </c>
    </row>
    <row r="925" spans="1:17">
      <c r="A925" s="179" t="s">
        <v>6358</v>
      </c>
      <c r="K925" s="180"/>
      <c r="M925" t="s">
        <v>2246</v>
      </c>
      <c r="N925" t="s">
        <v>5571</v>
      </c>
      <c r="O925" t="s">
        <v>4925</v>
      </c>
      <c r="Q925" t="str">
        <f t="shared" si="72"/>
        <v>condorProc.py --series 07180818_0829 --donoise  --dumps a --procenv environments/pymidas_HVHV_NaI_mf.env</v>
      </c>
    </row>
    <row r="926" spans="1:17">
      <c r="A926" s="179" t="s">
        <v>6359</v>
      </c>
      <c r="K926" s="180"/>
      <c r="M926" t="s">
        <v>2246</v>
      </c>
      <c r="N926" t="s">
        <v>5571</v>
      </c>
      <c r="O926" t="s">
        <v>4925</v>
      </c>
      <c r="Q926" t="str">
        <f t="shared" si="72"/>
        <v>condorProc.py --series 07180818_0839 --donoise  --dumps a --procenv environments/pymidas_HVHV_NaI_mf.env</v>
      </c>
    </row>
    <row r="927" spans="1:17">
      <c r="A927" s="179" t="s">
        <v>6360</v>
      </c>
      <c r="K927" s="180"/>
      <c r="M927" t="s">
        <v>2246</v>
      </c>
      <c r="N927" t="s">
        <v>5571</v>
      </c>
      <c r="O927" t="s">
        <v>4925</v>
      </c>
      <c r="Q927" t="str">
        <f t="shared" si="72"/>
        <v>condorProc.py --series 07180818_0849 --donoise  --dumps a --procenv environments/pymidas_HVHV_NaI_mf.env</v>
      </c>
    </row>
    <row r="928" spans="1:17">
      <c r="A928" s="179" t="s">
        <v>6361</v>
      </c>
      <c r="K928" s="180"/>
      <c r="M928" t="s">
        <v>2246</v>
      </c>
      <c r="N928" t="s">
        <v>5571</v>
      </c>
      <c r="O928" t="s">
        <v>4925</v>
      </c>
      <c r="Q928" t="str">
        <f t="shared" si="72"/>
        <v>condorProc.py --series 07180818_0859 --donoise  --dumps a --procenv environments/pymidas_HVHV_NaI_mf.env</v>
      </c>
    </row>
    <row r="929" spans="1:17">
      <c r="A929" s="181" t="s">
        <v>6362</v>
      </c>
      <c r="B929" s="65"/>
      <c r="C929" s="65"/>
      <c r="D929" s="65"/>
      <c r="E929" s="65"/>
      <c r="F929" s="65"/>
      <c r="G929" s="65"/>
      <c r="H929" s="65"/>
      <c r="I929" s="65"/>
      <c r="J929" s="65"/>
      <c r="K929" s="182"/>
      <c r="M929" t="s">
        <v>2246</v>
      </c>
      <c r="N929" t="s">
        <v>5571</v>
      </c>
      <c r="O929" t="s">
        <v>4925</v>
      </c>
      <c r="Q929" t="str">
        <f t="shared" si="72"/>
        <v>condorProc.py --series 07180818_0909 --donoise  --dumps a --procenv environments/pymidas_HVHV_NaI_mf.env</v>
      </c>
    </row>
    <row r="930" spans="1:17">
      <c r="A930" s="176" t="s">
        <v>6363</v>
      </c>
      <c r="B930" s="177"/>
      <c r="C930" s="177"/>
      <c r="D930" s="177"/>
      <c r="E930" s="177"/>
      <c r="F930" s="177">
        <v>10</v>
      </c>
      <c r="G930" s="177" t="s">
        <v>18</v>
      </c>
      <c r="H930" s="177">
        <v>40</v>
      </c>
      <c r="I930" s="177"/>
      <c r="J930" s="177" t="s">
        <v>5577</v>
      </c>
      <c r="K930" s="178" t="s">
        <v>5583</v>
      </c>
      <c r="M930" t="s">
        <v>2246</v>
      </c>
      <c r="N930" t="s">
        <v>5571</v>
      </c>
      <c r="O930" t="s">
        <v>4925</v>
      </c>
      <c r="Q930" t="str">
        <f t="shared" si="72"/>
        <v>condorProc.py --series 07180818_0958 --donoise  --dumps a --procenv environments/pymidas_HVHV_NaI_mf.env</v>
      </c>
    </row>
    <row r="931" spans="1:17">
      <c r="A931" s="179" t="s">
        <v>6364</v>
      </c>
      <c r="J931" t="s">
        <v>5585</v>
      </c>
      <c r="K931" s="180" t="s">
        <v>5671</v>
      </c>
      <c r="M931" t="s">
        <v>2246</v>
      </c>
      <c r="N931" t="s">
        <v>5571</v>
      </c>
      <c r="O931" t="s">
        <v>4925</v>
      </c>
      <c r="Q931" t="str">
        <f t="shared" ref="Q931:Q994" si="73">"condorProc.py --series "&amp;A931&amp;" --donoise  --dumps a --procenv environments/pymidas_HVHV_NaI_mf.env"</f>
        <v>condorProc.py --series 07180818_1008 --donoise  --dumps a --procenv environments/pymidas_HVHV_NaI_mf.env</v>
      </c>
    </row>
    <row r="932" spans="1:17">
      <c r="A932" s="179" t="s">
        <v>6365</v>
      </c>
      <c r="K932" s="187" t="s">
        <v>6206</v>
      </c>
      <c r="M932" t="s">
        <v>2246</v>
      </c>
      <c r="N932" t="s">
        <v>5571</v>
      </c>
      <c r="O932" t="s">
        <v>4925</v>
      </c>
      <c r="Q932" t="str">
        <f t="shared" si="73"/>
        <v>condorProc.py --series 07180818_1019 --donoise  --dumps a --procenv environments/pymidas_HVHV_NaI_mf.env</v>
      </c>
    </row>
    <row r="933" spans="1:17">
      <c r="A933" s="179" t="s">
        <v>6366</v>
      </c>
      <c r="K933" s="180"/>
      <c r="M933" t="s">
        <v>2246</v>
      </c>
      <c r="N933" t="s">
        <v>5571</v>
      </c>
      <c r="O933" t="s">
        <v>4925</v>
      </c>
      <c r="Q933" t="str">
        <f t="shared" si="73"/>
        <v>condorProc.py --series 07180818_1029 --donoise  --dumps a --procenv environments/pymidas_HVHV_NaI_mf.env</v>
      </c>
    </row>
    <row r="934" spans="1:17">
      <c r="A934" s="179" t="s">
        <v>6367</v>
      </c>
      <c r="K934" s="180"/>
      <c r="M934" t="s">
        <v>2246</v>
      </c>
      <c r="N934" t="s">
        <v>5571</v>
      </c>
      <c r="O934" t="s">
        <v>4925</v>
      </c>
      <c r="Q934" t="str">
        <f t="shared" si="73"/>
        <v>condorProc.py --series 07180818_1039 --donoise  --dumps a --procenv environments/pymidas_HVHV_NaI_mf.env</v>
      </c>
    </row>
    <row r="935" spans="1:17">
      <c r="A935" s="179" t="s">
        <v>6368</v>
      </c>
      <c r="K935" s="180"/>
      <c r="M935" t="s">
        <v>2246</v>
      </c>
      <c r="N935" t="s">
        <v>5571</v>
      </c>
      <c r="O935" t="s">
        <v>4925</v>
      </c>
      <c r="Q935" t="str">
        <f t="shared" si="73"/>
        <v>condorProc.py --series 07180818_1049 --donoise  --dumps a --procenv environments/pymidas_HVHV_NaI_mf.env</v>
      </c>
    </row>
    <row r="936" spans="1:17">
      <c r="A936" s="179" t="s">
        <v>6369</v>
      </c>
      <c r="K936" s="180"/>
      <c r="M936" t="s">
        <v>2246</v>
      </c>
      <c r="N936" t="s">
        <v>5571</v>
      </c>
      <c r="O936" t="s">
        <v>4925</v>
      </c>
      <c r="Q936" t="str">
        <f t="shared" si="73"/>
        <v>condorProc.py --series 07180818_1059 --donoise  --dumps a --procenv environments/pymidas_HVHV_NaI_mf.env</v>
      </c>
    </row>
    <row r="937" spans="1:17">
      <c r="A937" s="179" t="s">
        <v>6370</v>
      </c>
      <c r="K937" s="180"/>
      <c r="M937" t="s">
        <v>2246</v>
      </c>
      <c r="N937" t="s">
        <v>5571</v>
      </c>
      <c r="O937" t="s">
        <v>4925</v>
      </c>
      <c r="Q937" t="str">
        <f t="shared" si="73"/>
        <v>condorProc.py --series 07180818_1109 --donoise  --dumps a --procenv environments/pymidas_HVHV_NaI_mf.env</v>
      </c>
    </row>
    <row r="938" spans="1:17">
      <c r="A938" s="179" t="s">
        <v>6371</v>
      </c>
      <c r="K938" s="180"/>
      <c r="M938" t="s">
        <v>2246</v>
      </c>
      <c r="N938" t="s">
        <v>5571</v>
      </c>
      <c r="O938" t="s">
        <v>4925</v>
      </c>
      <c r="Q938" t="str">
        <f t="shared" si="73"/>
        <v>condorProc.py --series 07180818_1119 --donoise  --dumps a --procenv environments/pymidas_HVHV_NaI_mf.env</v>
      </c>
    </row>
    <row r="939" spans="1:17">
      <c r="A939" s="179" t="s">
        <v>6372</v>
      </c>
      <c r="K939" s="180"/>
      <c r="M939" t="s">
        <v>2246</v>
      </c>
      <c r="N939" t="s">
        <v>5571</v>
      </c>
      <c r="O939" t="s">
        <v>4925</v>
      </c>
      <c r="Q939" t="str">
        <f t="shared" si="73"/>
        <v>condorProc.py --series 07180818_1129 --donoise  --dumps a --procenv environments/pymidas_HVHV_NaI_mf.env</v>
      </c>
    </row>
    <row r="940" spans="1:17">
      <c r="A940" s="179" t="s">
        <v>6373</v>
      </c>
      <c r="K940" s="180"/>
      <c r="M940" t="s">
        <v>2246</v>
      </c>
      <c r="N940" t="s">
        <v>5571</v>
      </c>
      <c r="O940" t="s">
        <v>4925</v>
      </c>
      <c r="Q940" t="str">
        <f t="shared" si="73"/>
        <v>condorProc.py --series 07180818_1140 --donoise  --dumps a --procenv environments/pymidas_HVHV_NaI_mf.env</v>
      </c>
    </row>
    <row r="941" spans="1:17">
      <c r="A941" s="181" t="s">
        <v>6374</v>
      </c>
      <c r="B941" s="65"/>
      <c r="C941" s="65"/>
      <c r="D941" s="65"/>
      <c r="E941" s="65"/>
      <c r="F941" s="65"/>
      <c r="G941" s="65"/>
      <c r="H941" s="65"/>
      <c r="I941" s="65" t="s">
        <v>75</v>
      </c>
      <c r="J941" s="65"/>
      <c r="K941" s="182"/>
      <c r="M941" t="s">
        <v>2246</v>
      </c>
      <c r="N941" t="s">
        <v>5571</v>
      </c>
      <c r="O941" t="s">
        <v>4925</v>
      </c>
      <c r="Q941" t="str">
        <f t="shared" si="73"/>
        <v>condorProc.py --series 07180818_1150 --donoise  --dumps a --procenv environments/pymidas_HVHV_NaI_mf.env</v>
      </c>
    </row>
    <row r="942" spans="1:17">
      <c r="A942" s="176" t="s">
        <v>6375</v>
      </c>
      <c r="B942" s="177"/>
      <c r="C942" s="177"/>
      <c r="D942" s="177"/>
      <c r="E942" s="177"/>
      <c r="F942" s="177">
        <v>10</v>
      </c>
      <c r="G942" s="177" t="s">
        <v>18</v>
      </c>
      <c r="H942" s="177">
        <v>40</v>
      </c>
      <c r="I942" s="177"/>
      <c r="J942" s="177" t="s">
        <v>5577</v>
      </c>
      <c r="K942" s="178" t="s">
        <v>5583</v>
      </c>
      <c r="M942" t="s">
        <v>2246</v>
      </c>
      <c r="N942" t="s">
        <v>5571</v>
      </c>
      <c r="O942" t="s">
        <v>4925</v>
      </c>
      <c r="Q942" t="str">
        <f t="shared" si="73"/>
        <v>condorProc.py --series 07180818_1239 --donoise  --dumps a --procenv environments/pymidas_HVHV_NaI_mf.env</v>
      </c>
    </row>
    <row r="943" spans="1:17">
      <c r="A943" s="179" t="s">
        <v>6376</v>
      </c>
      <c r="J943" t="s">
        <v>5585</v>
      </c>
      <c r="K943" s="180" t="s">
        <v>5671</v>
      </c>
      <c r="M943" t="s">
        <v>2246</v>
      </c>
      <c r="N943" t="s">
        <v>5571</v>
      </c>
      <c r="O943" t="s">
        <v>4925</v>
      </c>
      <c r="Q943" t="str">
        <f t="shared" si="73"/>
        <v>condorProc.py --series 07180818_1249 --donoise  --dumps a --procenv environments/pymidas_HVHV_NaI_mf.env</v>
      </c>
    </row>
    <row r="944" spans="1:17">
      <c r="A944" s="179" t="s">
        <v>6377</v>
      </c>
      <c r="K944" s="187" t="s">
        <v>6206</v>
      </c>
      <c r="M944" t="s">
        <v>2246</v>
      </c>
      <c r="N944" t="s">
        <v>5571</v>
      </c>
      <c r="O944" t="s">
        <v>4925</v>
      </c>
      <c r="Q944" t="str">
        <f t="shared" si="73"/>
        <v>condorProc.py --series 07180818_1259 --donoise  --dumps a --procenv environments/pymidas_HVHV_NaI_mf.env</v>
      </c>
    </row>
    <row r="945" spans="1:17">
      <c r="A945" s="179" t="s">
        <v>6378</v>
      </c>
      <c r="K945" s="180"/>
      <c r="M945" t="s">
        <v>2246</v>
      </c>
      <c r="N945" t="s">
        <v>5571</v>
      </c>
      <c r="O945" t="s">
        <v>4925</v>
      </c>
      <c r="Q945" t="str">
        <f t="shared" si="73"/>
        <v>condorProc.py --series 07180818_1309 --donoise  --dumps a --procenv environments/pymidas_HVHV_NaI_mf.env</v>
      </c>
    </row>
    <row r="946" spans="1:17">
      <c r="A946" s="179" t="s">
        <v>6379</v>
      </c>
      <c r="K946" s="180"/>
      <c r="M946" t="s">
        <v>2246</v>
      </c>
      <c r="N946" t="s">
        <v>5571</v>
      </c>
      <c r="O946" t="s">
        <v>4925</v>
      </c>
      <c r="Q946" t="str">
        <f t="shared" si="73"/>
        <v>condorProc.py --series 07180818_1319 --donoise  --dumps a --procenv environments/pymidas_HVHV_NaI_mf.env</v>
      </c>
    </row>
    <row r="947" spans="1:17">
      <c r="A947" s="179" t="s">
        <v>6380</v>
      </c>
      <c r="K947" s="180"/>
      <c r="M947" t="s">
        <v>2246</v>
      </c>
      <c r="N947" t="s">
        <v>5571</v>
      </c>
      <c r="O947" t="s">
        <v>4925</v>
      </c>
      <c r="Q947" t="str">
        <f t="shared" si="73"/>
        <v>condorProc.py --series 07180818_1330 --donoise  --dumps a --procenv environments/pymidas_HVHV_NaI_mf.env</v>
      </c>
    </row>
    <row r="948" spans="1:17">
      <c r="A948" s="179" t="s">
        <v>6381</v>
      </c>
      <c r="K948" s="180"/>
      <c r="M948" t="s">
        <v>2246</v>
      </c>
      <c r="N948" t="s">
        <v>5571</v>
      </c>
      <c r="O948" t="s">
        <v>4925</v>
      </c>
      <c r="Q948" t="str">
        <f t="shared" si="73"/>
        <v>condorProc.py --series 07180818_1340 --donoise  --dumps a --procenv environments/pymidas_HVHV_NaI_mf.env</v>
      </c>
    </row>
    <row r="949" spans="1:17">
      <c r="A949" s="179" t="s">
        <v>6382</v>
      </c>
      <c r="K949" s="180"/>
      <c r="M949" t="s">
        <v>2246</v>
      </c>
      <c r="N949" t="s">
        <v>5571</v>
      </c>
      <c r="O949" t="s">
        <v>4925</v>
      </c>
      <c r="Q949" t="str">
        <f t="shared" si="73"/>
        <v>condorProc.py --series 07180818_1350 --donoise  --dumps a --procenv environments/pymidas_HVHV_NaI_mf.env</v>
      </c>
    </row>
    <row r="950" spans="1:17">
      <c r="A950" s="179" t="s">
        <v>6383</v>
      </c>
      <c r="K950" s="180"/>
      <c r="M950" t="s">
        <v>2246</v>
      </c>
      <c r="N950" t="s">
        <v>5571</v>
      </c>
      <c r="O950" t="s">
        <v>4925</v>
      </c>
      <c r="Q950" t="str">
        <f t="shared" si="73"/>
        <v>condorProc.py --series 07180818_1400 --donoise  --dumps a --procenv environments/pymidas_HVHV_NaI_mf.env</v>
      </c>
    </row>
    <row r="951" spans="1:17">
      <c r="A951" s="179" t="s">
        <v>6384</v>
      </c>
      <c r="K951" s="180"/>
      <c r="M951" t="s">
        <v>2246</v>
      </c>
      <c r="N951" t="s">
        <v>5571</v>
      </c>
      <c r="O951" t="s">
        <v>4925</v>
      </c>
      <c r="Q951" t="str">
        <f t="shared" si="73"/>
        <v>condorProc.py --series 07180818_1410 --donoise  --dumps a --procenv environments/pymidas_HVHV_NaI_mf.env</v>
      </c>
    </row>
    <row r="952" spans="1:17">
      <c r="A952" s="179" t="s">
        <v>6385</v>
      </c>
      <c r="K952" s="180"/>
      <c r="M952" t="s">
        <v>2246</v>
      </c>
      <c r="N952" t="s">
        <v>5571</v>
      </c>
      <c r="O952" t="s">
        <v>4925</v>
      </c>
      <c r="Q952" t="str">
        <f t="shared" si="73"/>
        <v>condorProc.py --series 07180818_1420 --donoise  --dumps a --procenv environments/pymidas_HVHV_NaI_mf.env</v>
      </c>
    </row>
    <row r="953" spans="1:17">
      <c r="A953" s="181" t="s">
        <v>6386</v>
      </c>
      <c r="B953" s="65"/>
      <c r="C953" s="65"/>
      <c r="D953" s="65"/>
      <c r="E953" s="65"/>
      <c r="F953" s="65"/>
      <c r="G953" s="65"/>
      <c r="H953" s="65"/>
      <c r="I953" s="65"/>
      <c r="J953" s="65"/>
      <c r="K953" s="182"/>
      <c r="M953" t="s">
        <v>2246</v>
      </c>
      <c r="N953" t="s">
        <v>5571</v>
      </c>
      <c r="O953" t="s">
        <v>4925</v>
      </c>
      <c r="Q953" t="str">
        <f t="shared" si="73"/>
        <v>condorProc.py --series 07180818_1430 --donoise  --dumps a --procenv environments/pymidas_HVHV_NaI_mf.env</v>
      </c>
    </row>
    <row r="954" spans="1:17">
      <c r="A954" s="176" t="s">
        <v>6387</v>
      </c>
      <c r="B954" s="177"/>
      <c r="C954" s="177"/>
      <c r="D954" s="177"/>
      <c r="E954" s="177"/>
      <c r="F954" s="177">
        <v>10</v>
      </c>
      <c r="G954" s="177" t="s">
        <v>18</v>
      </c>
      <c r="H954" s="177">
        <v>40</v>
      </c>
      <c r="I954" s="177"/>
      <c r="J954" s="177" t="s">
        <v>5577</v>
      </c>
      <c r="K954" s="178" t="s">
        <v>5583</v>
      </c>
      <c r="M954" t="s">
        <v>2246</v>
      </c>
      <c r="N954" t="s">
        <v>5571</v>
      </c>
      <c r="O954" t="s">
        <v>4925</v>
      </c>
      <c r="Q954" t="str">
        <f t="shared" si="73"/>
        <v>condorProc.py --series 07180818_1520 --donoise  --dumps a --procenv environments/pymidas_HVHV_NaI_mf.env</v>
      </c>
    </row>
    <row r="955" spans="1:17">
      <c r="A955" s="179" t="s">
        <v>6388</v>
      </c>
      <c r="J955" t="s">
        <v>5585</v>
      </c>
      <c r="K955" s="180" t="s">
        <v>5671</v>
      </c>
      <c r="M955" t="s">
        <v>2246</v>
      </c>
      <c r="N955" t="s">
        <v>5571</v>
      </c>
      <c r="O955" t="s">
        <v>4925</v>
      </c>
      <c r="Q955" t="str">
        <f t="shared" si="73"/>
        <v>condorProc.py --series 07180818_1530 --donoise  --dumps a --procenv environments/pymidas_HVHV_NaI_mf.env</v>
      </c>
    </row>
    <row r="956" spans="1:17">
      <c r="A956" s="179" t="s">
        <v>6389</v>
      </c>
      <c r="K956" s="187" t="s">
        <v>6206</v>
      </c>
      <c r="M956" t="s">
        <v>2246</v>
      </c>
      <c r="N956" t="s">
        <v>5571</v>
      </c>
      <c r="O956" t="s">
        <v>4925</v>
      </c>
      <c r="Q956" t="str">
        <f t="shared" si="73"/>
        <v>condorProc.py --series 07180818_1540 --donoise  --dumps a --procenv environments/pymidas_HVHV_NaI_mf.env</v>
      </c>
    </row>
    <row r="957" spans="1:17">
      <c r="A957" s="179" t="s">
        <v>6390</v>
      </c>
      <c r="K957" s="180"/>
      <c r="M957" t="s">
        <v>2246</v>
      </c>
      <c r="N957" t="s">
        <v>5571</v>
      </c>
      <c r="O957" t="s">
        <v>4925</v>
      </c>
      <c r="Q957" t="str">
        <f t="shared" si="73"/>
        <v>condorProc.py --series 07180818_1550 --donoise  --dumps a --procenv environments/pymidas_HVHV_NaI_mf.env</v>
      </c>
    </row>
    <row r="958" spans="1:17">
      <c r="A958" s="179" t="s">
        <v>6391</v>
      </c>
      <c r="K958" s="180"/>
      <c r="M958" t="s">
        <v>2246</v>
      </c>
      <c r="N958" t="s">
        <v>5571</v>
      </c>
      <c r="O958" t="s">
        <v>4925</v>
      </c>
      <c r="Q958" t="str">
        <f t="shared" si="73"/>
        <v>condorProc.py --series 07180818_1600 --donoise  --dumps a --procenv environments/pymidas_HVHV_NaI_mf.env</v>
      </c>
    </row>
    <row r="959" spans="1:17">
      <c r="A959" s="179" t="s">
        <v>6392</v>
      </c>
      <c r="K959" s="180"/>
      <c r="M959" t="s">
        <v>2246</v>
      </c>
      <c r="N959" t="s">
        <v>5571</v>
      </c>
      <c r="O959" t="s">
        <v>4925</v>
      </c>
      <c r="Q959" t="str">
        <f t="shared" si="73"/>
        <v>condorProc.py --series 07180818_1610 --donoise  --dumps a --procenv environments/pymidas_HVHV_NaI_mf.env</v>
      </c>
    </row>
    <row r="960" spans="1:17">
      <c r="A960" s="179" t="s">
        <v>6393</v>
      </c>
      <c r="K960" s="180"/>
      <c r="M960" t="s">
        <v>2246</v>
      </c>
      <c r="N960" t="s">
        <v>5571</v>
      </c>
      <c r="O960" t="s">
        <v>4925</v>
      </c>
      <c r="Q960" t="str">
        <f t="shared" si="73"/>
        <v>condorProc.py --series 07180818_1620 --donoise  --dumps a --procenv environments/pymidas_HVHV_NaI_mf.env</v>
      </c>
    </row>
    <row r="961" spans="1:17">
      <c r="A961" s="179" t="s">
        <v>6394</v>
      </c>
      <c r="K961" s="180"/>
      <c r="M961" t="s">
        <v>2246</v>
      </c>
      <c r="N961" t="s">
        <v>5571</v>
      </c>
      <c r="O961" t="s">
        <v>4925</v>
      </c>
      <c r="Q961" t="str">
        <f t="shared" si="73"/>
        <v>condorProc.py --series 07180818_1631 --donoise  --dumps a --procenv environments/pymidas_HVHV_NaI_mf.env</v>
      </c>
    </row>
    <row r="962" spans="1:17">
      <c r="A962" s="179" t="s">
        <v>6395</v>
      </c>
      <c r="K962" s="180"/>
      <c r="M962" t="s">
        <v>2246</v>
      </c>
      <c r="N962" t="s">
        <v>5571</v>
      </c>
      <c r="O962" t="s">
        <v>4925</v>
      </c>
      <c r="Q962" t="str">
        <f t="shared" si="73"/>
        <v>condorProc.py --series 07180818_1641 --donoise  --dumps a --procenv environments/pymidas_HVHV_NaI_mf.env</v>
      </c>
    </row>
    <row r="963" spans="1:17">
      <c r="A963" s="179" t="s">
        <v>6396</v>
      </c>
      <c r="K963" s="180"/>
      <c r="M963" t="s">
        <v>2246</v>
      </c>
      <c r="N963" t="s">
        <v>5571</v>
      </c>
      <c r="O963" t="s">
        <v>4925</v>
      </c>
      <c r="Q963" t="str">
        <f t="shared" si="73"/>
        <v>condorProc.py --series 07180818_1651 --donoise  --dumps a --procenv environments/pymidas_HVHV_NaI_mf.env</v>
      </c>
    </row>
    <row r="964" spans="1:17">
      <c r="A964" s="179" t="s">
        <v>6397</v>
      </c>
      <c r="K964" s="180"/>
      <c r="M964" t="s">
        <v>2246</v>
      </c>
      <c r="N964" t="s">
        <v>5571</v>
      </c>
      <c r="O964" t="s">
        <v>4925</v>
      </c>
      <c r="Q964" t="str">
        <f t="shared" si="73"/>
        <v>condorProc.py --series 07180818_1701 --donoise  --dumps a --procenv environments/pymidas_HVHV_NaI_mf.env</v>
      </c>
    </row>
    <row r="965" spans="1:17">
      <c r="A965" s="181" t="s">
        <v>6398</v>
      </c>
      <c r="B965" s="65"/>
      <c r="C965" s="65"/>
      <c r="D965" s="65"/>
      <c r="E965" s="65"/>
      <c r="F965" s="65"/>
      <c r="G965" s="65"/>
      <c r="H965" s="65"/>
      <c r="I965" s="65"/>
      <c r="J965" s="65"/>
      <c r="K965" s="182"/>
      <c r="M965" t="s">
        <v>2246</v>
      </c>
      <c r="N965" t="s">
        <v>5571</v>
      </c>
      <c r="O965" t="s">
        <v>4925</v>
      </c>
      <c r="Q965" t="str">
        <f t="shared" si="73"/>
        <v>condorProc.py --series 07180818_1711 --donoise  --dumps a --procenv environments/pymidas_HVHV_NaI_mf.env</v>
      </c>
    </row>
    <row r="966" spans="1:17">
      <c r="A966" s="176" t="s">
        <v>6399</v>
      </c>
      <c r="B966" s="177"/>
      <c r="C966" s="177"/>
      <c r="D966" s="177"/>
      <c r="E966" s="177"/>
      <c r="F966" s="177">
        <v>10</v>
      </c>
      <c r="G966" s="177" t="s">
        <v>18</v>
      </c>
      <c r="H966" s="177">
        <v>40</v>
      </c>
      <c r="I966" s="177"/>
      <c r="J966" s="177" t="s">
        <v>5577</v>
      </c>
      <c r="K966" s="178" t="s">
        <v>5583</v>
      </c>
      <c r="M966" t="s">
        <v>2246</v>
      </c>
      <c r="N966" t="s">
        <v>5571</v>
      </c>
      <c r="O966" t="s">
        <v>4925</v>
      </c>
      <c r="Q966" t="str">
        <f t="shared" si="73"/>
        <v>condorProc.py --series 07180818_2035 --donoise  --dumps a --procenv environments/pymidas_HVHV_NaI_mf.env</v>
      </c>
    </row>
    <row r="967" spans="1:17">
      <c r="A967" s="179" t="s">
        <v>6400</v>
      </c>
      <c r="J967" t="s">
        <v>5585</v>
      </c>
      <c r="K967" s="180" t="s">
        <v>5671</v>
      </c>
      <c r="M967" t="s">
        <v>2246</v>
      </c>
      <c r="N967" t="s">
        <v>5571</v>
      </c>
      <c r="O967" t="s">
        <v>4925</v>
      </c>
      <c r="Q967" t="str">
        <f t="shared" si="73"/>
        <v>condorProc.py --series 07180818_2045 --donoise  --dumps a --procenv environments/pymidas_HVHV_NaI_mf.env</v>
      </c>
    </row>
    <row r="968" spans="1:17">
      <c r="A968" s="179" t="s">
        <v>6401</v>
      </c>
      <c r="K968" s="187" t="s">
        <v>6206</v>
      </c>
      <c r="M968" t="s">
        <v>2246</v>
      </c>
      <c r="N968" t="s">
        <v>5571</v>
      </c>
      <c r="O968" t="s">
        <v>4925</v>
      </c>
      <c r="Q968" t="str">
        <f t="shared" si="73"/>
        <v>condorProc.py --series 07180818_2055 --donoise  --dumps a --procenv environments/pymidas_HVHV_NaI_mf.env</v>
      </c>
    </row>
    <row r="969" spans="1:17">
      <c r="A969" s="179" t="s">
        <v>6402</v>
      </c>
      <c r="K969" s="180"/>
      <c r="M969" t="s">
        <v>2246</v>
      </c>
      <c r="N969" t="s">
        <v>5571</v>
      </c>
      <c r="O969" t="s">
        <v>4925</v>
      </c>
      <c r="Q969" t="str">
        <f t="shared" si="73"/>
        <v>condorProc.py --series 07180818_2105 --donoise  --dumps a --procenv environments/pymidas_HVHV_NaI_mf.env</v>
      </c>
    </row>
    <row r="970" spans="1:17">
      <c r="A970" s="179" t="s">
        <v>6403</v>
      </c>
      <c r="K970" s="180"/>
      <c r="M970" t="s">
        <v>2246</v>
      </c>
      <c r="N970" t="s">
        <v>5571</v>
      </c>
      <c r="O970" t="s">
        <v>4925</v>
      </c>
      <c r="Q970" t="str">
        <f t="shared" si="73"/>
        <v>condorProc.py --series 07180818_2115 --donoise  --dumps a --procenv environments/pymidas_HVHV_NaI_mf.env</v>
      </c>
    </row>
    <row r="971" spans="1:17">
      <c r="A971" s="179" t="s">
        <v>6404</v>
      </c>
      <c r="K971" s="180"/>
      <c r="M971" t="s">
        <v>2246</v>
      </c>
      <c r="N971" t="s">
        <v>5571</v>
      </c>
      <c r="O971" t="s">
        <v>4925</v>
      </c>
      <c r="Q971" t="str">
        <f t="shared" si="73"/>
        <v>condorProc.py --series 07180818_2125 --donoise  --dumps a --procenv environments/pymidas_HVHV_NaI_mf.env</v>
      </c>
    </row>
    <row r="972" spans="1:17">
      <c r="A972" s="179" t="s">
        <v>6405</v>
      </c>
      <c r="K972" s="180"/>
      <c r="M972" t="s">
        <v>2246</v>
      </c>
      <c r="N972" t="s">
        <v>5571</v>
      </c>
      <c r="O972" t="s">
        <v>4925</v>
      </c>
      <c r="Q972" t="str">
        <f t="shared" si="73"/>
        <v>condorProc.py --series 07180818_2135 --donoise  --dumps a --procenv environments/pymidas_HVHV_NaI_mf.env</v>
      </c>
    </row>
    <row r="973" spans="1:17">
      <c r="A973" s="179" t="s">
        <v>6406</v>
      </c>
      <c r="K973" s="180"/>
      <c r="M973" t="s">
        <v>2246</v>
      </c>
      <c r="N973" t="s">
        <v>5571</v>
      </c>
      <c r="O973" t="s">
        <v>4925</v>
      </c>
      <c r="Q973" t="str">
        <f t="shared" si="73"/>
        <v>condorProc.py --series 07180818_2146 --donoise  --dumps a --procenv environments/pymidas_HVHV_NaI_mf.env</v>
      </c>
    </row>
    <row r="974" spans="1:17">
      <c r="A974" s="179" t="s">
        <v>6407</v>
      </c>
      <c r="K974" s="180"/>
      <c r="M974" t="s">
        <v>2246</v>
      </c>
      <c r="N974" t="s">
        <v>5571</v>
      </c>
      <c r="O974" t="s">
        <v>4925</v>
      </c>
      <c r="Q974" t="str">
        <f t="shared" si="73"/>
        <v>condorProc.py --series 07180818_2156 --donoise  --dumps a --procenv environments/pymidas_HVHV_NaI_mf.env</v>
      </c>
    </row>
    <row r="975" spans="1:17">
      <c r="A975" s="179" t="s">
        <v>6408</v>
      </c>
      <c r="K975" s="180"/>
      <c r="M975" t="s">
        <v>2246</v>
      </c>
      <c r="N975" t="s">
        <v>5571</v>
      </c>
      <c r="O975" t="s">
        <v>4925</v>
      </c>
      <c r="Q975" t="str">
        <f t="shared" si="73"/>
        <v>condorProc.py --series 07180818_2206 --donoise  --dumps a --procenv environments/pymidas_HVHV_NaI_mf.env</v>
      </c>
    </row>
    <row r="976" spans="1:17">
      <c r="A976" s="179" t="s">
        <v>6409</v>
      </c>
      <c r="K976" s="180"/>
      <c r="M976" t="s">
        <v>2246</v>
      </c>
      <c r="N976" t="s">
        <v>5571</v>
      </c>
      <c r="O976" t="s">
        <v>4925</v>
      </c>
      <c r="Q976" t="str">
        <f t="shared" si="73"/>
        <v>condorProc.py --series 07180818_2216 --donoise  --dumps a --procenv environments/pymidas_HVHV_NaI_mf.env</v>
      </c>
    </row>
    <row r="977" spans="1:20">
      <c r="A977" s="181" t="s">
        <v>6410</v>
      </c>
      <c r="B977" s="65"/>
      <c r="C977" s="65"/>
      <c r="D977" s="65"/>
      <c r="E977" s="65"/>
      <c r="F977" s="65"/>
      <c r="G977" s="65"/>
      <c r="H977" s="65"/>
      <c r="I977" s="65"/>
      <c r="J977" s="65"/>
      <c r="K977" s="182"/>
      <c r="M977" t="s">
        <v>2246</v>
      </c>
      <c r="N977" t="s">
        <v>5571</v>
      </c>
      <c r="O977" t="s">
        <v>4925</v>
      </c>
      <c r="Q977" t="str">
        <f t="shared" si="73"/>
        <v>condorProc.py --series 07180818_2226 --donoise  --dumps a --procenv environments/pymidas_HVHV_NaI_mf.env</v>
      </c>
    </row>
    <row r="978" spans="1:20">
      <c r="A978" s="176" t="s">
        <v>6411</v>
      </c>
      <c r="B978" s="177"/>
      <c r="C978" s="177"/>
      <c r="D978" s="177"/>
      <c r="E978" s="177"/>
      <c r="F978" s="177">
        <v>10</v>
      </c>
      <c r="G978" s="177" t="s">
        <v>18</v>
      </c>
      <c r="H978" s="177">
        <v>40</v>
      </c>
      <c r="I978" s="177"/>
      <c r="J978" s="177" t="s">
        <v>5577</v>
      </c>
      <c r="K978" s="178" t="s">
        <v>5583</v>
      </c>
      <c r="M978" t="s">
        <v>2246</v>
      </c>
      <c r="N978" t="s">
        <v>5571</v>
      </c>
      <c r="O978" t="s">
        <v>4925</v>
      </c>
      <c r="Q978" t="str">
        <f t="shared" si="73"/>
        <v>condorProc.py --series 07180818_2315 --donoise  --dumps a --procenv environments/pymidas_HVHV_NaI_mf.env</v>
      </c>
    </row>
    <row r="979" spans="1:20">
      <c r="A979" s="179" t="s">
        <v>6412</v>
      </c>
      <c r="J979" t="s">
        <v>5585</v>
      </c>
      <c r="K979" s="180" t="s">
        <v>5671</v>
      </c>
      <c r="M979" t="s">
        <v>6413</v>
      </c>
      <c r="N979" t="s">
        <v>5571</v>
      </c>
      <c r="O979" t="s">
        <v>4925</v>
      </c>
      <c r="Q979" t="str">
        <f t="shared" si="73"/>
        <v>condorProc.py --series 07180818_2326 --donoise  --dumps a --procenv environments/pymidas_HVHV_NaI_mf.env</v>
      </c>
      <c r="T979" t="str">
        <f>"ls -l "&amp;A979&amp;"/ | grep grad\ \ \ &gt;&gt; ~/K100/condorfail.txt"</f>
        <v>ls -l 07180818_2326/ | grep grad\ \ \ &gt;&gt; ~/K100/condorfail.txt</v>
      </c>
    </row>
    <row r="980" spans="1:20">
      <c r="A980" s="179" t="s">
        <v>6414</v>
      </c>
      <c r="K980" s="187" t="s">
        <v>6206</v>
      </c>
      <c r="M980" t="s">
        <v>2246</v>
      </c>
      <c r="N980" t="s">
        <v>5571</v>
      </c>
      <c r="O980" t="s">
        <v>4925</v>
      </c>
      <c r="Q980" t="str">
        <f t="shared" si="73"/>
        <v>condorProc.py --series 07180818_2336 --donoise  --dumps a --procenv environments/pymidas_HVHV_NaI_mf.env</v>
      </c>
    </row>
    <row r="981" spans="1:20">
      <c r="A981" s="179" t="s">
        <v>6415</v>
      </c>
      <c r="K981" s="180"/>
      <c r="M981" t="s">
        <v>2246</v>
      </c>
      <c r="N981" t="s">
        <v>5571</v>
      </c>
      <c r="O981" t="s">
        <v>4925</v>
      </c>
      <c r="Q981" t="str">
        <f t="shared" si="73"/>
        <v>condorProc.py --series 07180818_2346 --donoise  --dumps a --procenv environments/pymidas_HVHV_NaI_mf.env</v>
      </c>
    </row>
    <row r="982" spans="1:20">
      <c r="A982" s="179" t="s">
        <v>6416</v>
      </c>
      <c r="K982" s="180"/>
      <c r="M982" t="s">
        <v>2246</v>
      </c>
      <c r="N982" t="s">
        <v>5571</v>
      </c>
      <c r="O982" t="s">
        <v>4925</v>
      </c>
      <c r="Q982" t="str">
        <f t="shared" si="73"/>
        <v>condorProc.py --series 07180818_2356 --donoise  --dumps a --procenv environments/pymidas_HVHV_NaI_mf.env</v>
      </c>
    </row>
    <row r="983" spans="1:20">
      <c r="A983" s="179" t="s">
        <v>6417</v>
      </c>
      <c r="K983" s="180"/>
      <c r="M983" t="s">
        <v>2246</v>
      </c>
      <c r="N983" t="s">
        <v>5571</v>
      </c>
      <c r="O983" t="s">
        <v>4925</v>
      </c>
      <c r="Q983" t="str">
        <f t="shared" si="73"/>
        <v>condorProc.py --series 07180819_0006 --donoise  --dumps a --procenv environments/pymidas_HVHV_NaI_mf.env</v>
      </c>
    </row>
    <row r="984" spans="1:20">
      <c r="A984" s="179" t="s">
        <v>6418</v>
      </c>
      <c r="K984" s="180"/>
      <c r="M984" t="s">
        <v>2246</v>
      </c>
      <c r="N984" t="s">
        <v>5571</v>
      </c>
      <c r="O984" t="s">
        <v>4925</v>
      </c>
      <c r="Q984" t="str">
        <f t="shared" si="73"/>
        <v>condorProc.py --series 07180819_0016 --donoise  --dumps a --procenv environments/pymidas_HVHV_NaI_mf.env</v>
      </c>
    </row>
    <row r="985" spans="1:20">
      <c r="A985" s="179" t="s">
        <v>6419</v>
      </c>
      <c r="K985" s="180"/>
      <c r="M985" t="s">
        <v>2246</v>
      </c>
      <c r="N985" t="s">
        <v>5571</v>
      </c>
      <c r="O985" t="s">
        <v>4925</v>
      </c>
      <c r="Q985" t="str">
        <f t="shared" si="73"/>
        <v>condorProc.py --series 07180819_0026 --donoise  --dumps a --procenv environments/pymidas_HVHV_NaI_mf.env</v>
      </c>
    </row>
    <row r="986" spans="1:20">
      <c r="A986" s="179" t="s">
        <v>6420</v>
      </c>
      <c r="K986" s="180"/>
      <c r="M986" t="s">
        <v>2246</v>
      </c>
      <c r="N986" t="s">
        <v>5571</v>
      </c>
      <c r="O986" t="s">
        <v>4925</v>
      </c>
      <c r="Q986" t="str">
        <f t="shared" si="73"/>
        <v>condorProc.py --series 07180819_0036 --donoise  --dumps a --procenv environments/pymidas_HVHV_NaI_mf.env</v>
      </c>
    </row>
    <row r="987" spans="1:20">
      <c r="A987" s="179" t="s">
        <v>6421</v>
      </c>
      <c r="K987" s="180"/>
      <c r="M987" t="s">
        <v>2246</v>
      </c>
      <c r="N987" t="s">
        <v>5571</v>
      </c>
      <c r="O987" t="s">
        <v>4925</v>
      </c>
      <c r="Q987" t="str">
        <f t="shared" si="73"/>
        <v>condorProc.py --series 07180819_0047 --donoise  --dumps a --procenv environments/pymidas_HVHV_NaI_mf.env</v>
      </c>
    </row>
    <row r="988" spans="1:20">
      <c r="A988" s="179" t="s">
        <v>6422</v>
      </c>
      <c r="K988" s="180"/>
      <c r="M988" t="s">
        <v>2246</v>
      </c>
      <c r="N988" t="s">
        <v>5571</v>
      </c>
      <c r="O988" t="s">
        <v>4925</v>
      </c>
      <c r="Q988" t="str">
        <f t="shared" si="73"/>
        <v>condorProc.py --series 07180819_0057 --donoise  --dumps a --procenv environments/pymidas_HVHV_NaI_mf.env</v>
      </c>
    </row>
    <row r="989" spans="1:20">
      <c r="A989" s="181" t="s">
        <v>6423</v>
      </c>
      <c r="B989" s="65"/>
      <c r="C989" s="65"/>
      <c r="D989" s="65"/>
      <c r="E989" s="65"/>
      <c r="F989" s="65"/>
      <c r="G989" s="65"/>
      <c r="H989" s="65"/>
      <c r="I989" s="65"/>
      <c r="J989" s="65"/>
      <c r="K989" s="182"/>
      <c r="M989" t="s">
        <v>2246</v>
      </c>
      <c r="N989" t="s">
        <v>5571</v>
      </c>
      <c r="O989" t="s">
        <v>4925</v>
      </c>
      <c r="Q989" t="str">
        <f t="shared" si="73"/>
        <v>condorProc.py --series 07180819_0107 --donoise  --dumps a --procenv environments/pymidas_HVHV_NaI_mf.env</v>
      </c>
    </row>
    <row r="990" spans="1:20">
      <c r="A990" s="176" t="s">
        <v>6424</v>
      </c>
      <c r="B990" s="177"/>
      <c r="C990" s="177"/>
      <c r="D990" s="177"/>
      <c r="E990" s="177"/>
      <c r="F990" s="177">
        <v>10</v>
      </c>
      <c r="G990" s="177" t="s">
        <v>18</v>
      </c>
      <c r="H990" s="177">
        <v>40</v>
      </c>
      <c r="I990" s="177"/>
      <c r="J990" s="177" t="s">
        <v>5577</v>
      </c>
      <c r="K990" s="178" t="s">
        <v>5583</v>
      </c>
      <c r="M990" t="s">
        <v>2246</v>
      </c>
      <c r="N990" t="s">
        <v>5571</v>
      </c>
      <c r="O990" t="s">
        <v>4925</v>
      </c>
      <c r="Q990" t="str">
        <f t="shared" si="73"/>
        <v>condorProc.py --series 07180819_0156 --donoise  --dumps a --procenv environments/pymidas_HVHV_NaI_mf.env</v>
      </c>
    </row>
    <row r="991" spans="1:20">
      <c r="A991" s="179" t="s">
        <v>6425</v>
      </c>
      <c r="J991" t="s">
        <v>5585</v>
      </c>
      <c r="K991" s="180" t="s">
        <v>5671</v>
      </c>
      <c r="M991" t="s">
        <v>2246</v>
      </c>
      <c r="N991" t="s">
        <v>5571</v>
      </c>
      <c r="O991" t="s">
        <v>4925</v>
      </c>
      <c r="Q991" t="str">
        <f t="shared" si="73"/>
        <v>condorProc.py --series 07180819_0206 --donoise  --dumps a --procenv environments/pymidas_HVHV_NaI_mf.env</v>
      </c>
    </row>
    <row r="992" spans="1:20">
      <c r="A992" s="179" t="s">
        <v>6426</v>
      </c>
      <c r="K992" s="187" t="s">
        <v>6206</v>
      </c>
      <c r="M992" t="s">
        <v>2246</v>
      </c>
      <c r="N992" t="s">
        <v>5571</v>
      </c>
      <c r="O992" t="s">
        <v>4925</v>
      </c>
      <c r="Q992" t="str">
        <f t="shared" si="73"/>
        <v>condorProc.py --series 07180819_0216 --donoise  --dumps a --procenv environments/pymidas_HVHV_NaI_mf.env</v>
      </c>
    </row>
    <row r="993" spans="1:17">
      <c r="A993" s="179" t="s">
        <v>6427</v>
      </c>
      <c r="K993" s="180"/>
      <c r="M993" t="s">
        <v>2246</v>
      </c>
      <c r="N993" t="s">
        <v>5571</v>
      </c>
      <c r="O993" t="s">
        <v>4925</v>
      </c>
      <c r="Q993" t="str">
        <f t="shared" si="73"/>
        <v>condorProc.py --series 07180819_0226 --donoise  --dumps a --procenv environments/pymidas_HVHV_NaI_mf.env</v>
      </c>
    </row>
    <row r="994" spans="1:17">
      <c r="A994" s="179" t="s">
        <v>6428</v>
      </c>
      <c r="K994" s="180"/>
      <c r="M994" t="s">
        <v>2246</v>
      </c>
      <c r="N994" t="s">
        <v>5571</v>
      </c>
      <c r="O994" t="s">
        <v>4925</v>
      </c>
      <c r="Q994" t="str">
        <f t="shared" si="73"/>
        <v>condorProc.py --series 07180819_0236 --donoise  --dumps a --procenv environments/pymidas_HVHV_NaI_mf.env</v>
      </c>
    </row>
    <row r="995" spans="1:17">
      <c r="A995" s="179" t="s">
        <v>6429</v>
      </c>
      <c r="K995" s="180"/>
      <c r="M995" t="s">
        <v>2246</v>
      </c>
      <c r="N995" t="s">
        <v>5571</v>
      </c>
      <c r="O995" t="s">
        <v>4925</v>
      </c>
      <c r="Q995" t="str">
        <f t="shared" ref="Q995:Q1058" si="74">"condorProc.py --series "&amp;A995&amp;" --donoise  --dumps a --procenv environments/pymidas_HVHV_NaI_mf.env"</f>
        <v>condorProc.py --series 07180819_0247 --donoise  --dumps a --procenv environments/pymidas_HVHV_NaI_mf.env</v>
      </c>
    </row>
    <row r="996" spans="1:17">
      <c r="A996" s="179" t="s">
        <v>6430</v>
      </c>
      <c r="K996" s="180"/>
      <c r="M996" t="s">
        <v>2246</v>
      </c>
      <c r="N996" t="s">
        <v>5571</v>
      </c>
      <c r="O996" t="s">
        <v>4925</v>
      </c>
      <c r="Q996" t="str">
        <f t="shared" si="74"/>
        <v>condorProc.py --series 07180819_0257 --donoise  --dumps a --procenv environments/pymidas_HVHV_NaI_mf.env</v>
      </c>
    </row>
    <row r="997" spans="1:17">
      <c r="A997" s="179" t="s">
        <v>6431</v>
      </c>
      <c r="K997" s="180"/>
      <c r="M997" t="s">
        <v>2246</v>
      </c>
      <c r="N997" t="s">
        <v>5571</v>
      </c>
      <c r="O997" t="s">
        <v>4925</v>
      </c>
      <c r="Q997" t="str">
        <f t="shared" si="74"/>
        <v>condorProc.py --series 07180819_0307 --donoise  --dumps a --procenv environments/pymidas_HVHV_NaI_mf.env</v>
      </c>
    </row>
    <row r="998" spans="1:17">
      <c r="A998" s="179" t="s">
        <v>6432</v>
      </c>
      <c r="K998" s="180"/>
      <c r="M998" t="s">
        <v>2246</v>
      </c>
      <c r="N998" t="s">
        <v>5571</v>
      </c>
      <c r="O998" t="s">
        <v>4925</v>
      </c>
      <c r="Q998" t="str">
        <f t="shared" si="74"/>
        <v>condorProc.py --series 07180819_0317 --donoise  --dumps a --procenv environments/pymidas_HVHV_NaI_mf.env</v>
      </c>
    </row>
    <row r="999" spans="1:17">
      <c r="A999" s="179" t="s">
        <v>6433</v>
      </c>
      <c r="K999" s="180"/>
      <c r="M999" t="s">
        <v>2246</v>
      </c>
      <c r="N999" t="s">
        <v>5571</v>
      </c>
      <c r="O999" t="s">
        <v>4925</v>
      </c>
      <c r="Q999" t="str">
        <f t="shared" si="74"/>
        <v>condorProc.py --series 07180819_0327 --donoise  --dumps a --procenv environments/pymidas_HVHV_NaI_mf.env</v>
      </c>
    </row>
    <row r="1000" spans="1:17">
      <c r="A1000" s="179" t="s">
        <v>6434</v>
      </c>
      <c r="K1000" s="180"/>
      <c r="M1000" t="s">
        <v>2246</v>
      </c>
      <c r="N1000" t="s">
        <v>5571</v>
      </c>
      <c r="O1000" t="s">
        <v>4925</v>
      </c>
      <c r="Q1000" t="str">
        <f t="shared" si="74"/>
        <v>condorProc.py --series 07180819_0337 --donoise  --dumps a --procenv environments/pymidas_HVHV_NaI_mf.env</v>
      </c>
    </row>
    <row r="1001" spans="1:17">
      <c r="A1001" s="181" t="s">
        <v>6435</v>
      </c>
      <c r="B1001" s="65"/>
      <c r="C1001" s="65"/>
      <c r="D1001" s="65"/>
      <c r="E1001" s="65"/>
      <c r="F1001" s="65"/>
      <c r="G1001" s="65"/>
      <c r="H1001" s="65"/>
      <c r="I1001" s="65"/>
      <c r="J1001" s="65"/>
      <c r="K1001" s="182"/>
      <c r="M1001" t="s">
        <v>2246</v>
      </c>
      <c r="N1001" t="s">
        <v>5571</v>
      </c>
      <c r="O1001" t="s">
        <v>4925</v>
      </c>
      <c r="Q1001" t="str">
        <f t="shared" si="74"/>
        <v>condorProc.py --series 07180819_0347 --donoise  --dumps a --procenv environments/pymidas_HVHV_NaI_mf.env</v>
      </c>
    </row>
    <row r="1002" spans="1:17">
      <c r="A1002" s="176" t="s">
        <v>6436</v>
      </c>
      <c r="B1002" s="177"/>
      <c r="C1002" s="177"/>
      <c r="D1002" s="177"/>
      <c r="E1002" s="177"/>
      <c r="F1002" s="177">
        <v>10</v>
      </c>
      <c r="G1002" s="177" t="s">
        <v>18</v>
      </c>
      <c r="H1002" s="177">
        <v>40</v>
      </c>
      <c r="I1002" s="177"/>
      <c r="J1002" s="177" t="s">
        <v>5577</v>
      </c>
      <c r="K1002" s="178" t="s">
        <v>5583</v>
      </c>
      <c r="M1002" t="s">
        <v>2246</v>
      </c>
      <c r="N1002" t="s">
        <v>5571</v>
      </c>
      <c r="O1002" t="s">
        <v>4925</v>
      </c>
      <c r="Q1002" t="str">
        <f t="shared" si="74"/>
        <v>condorProc.py --series 07180819_0436 --donoise  --dumps a --procenv environments/pymidas_HVHV_NaI_mf.env</v>
      </c>
    </row>
    <row r="1003" spans="1:17">
      <c r="A1003" s="179" t="s">
        <v>6437</v>
      </c>
      <c r="J1003" t="s">
        <v>5585</v>
      </c>
      <c r="K1003" s="180" t="s">
        <v>5671</v>
      </c>
      <c r="M1003" t="s">
        <v>2246</v>
      </c>
      <c r="N1003" t="s">
        <v>5571</v>
      </c>
      <c r="O1003" t="s">
        <v>4925</v>
      </c>
      <c r="Q1003" t="str">
        <f t="shared" si="74"/>
        <v>condorProc.py --series 07180819_0447 --donoise  --dumps a --procenv environments/pymidas_HVHV_NaI_mf.env</v>
      </c>
    </row>
    <row r="1004" spans="1:17">
      <c r="A1004" s="179" t="s">
        <v>6438</v>
      </c>
      <c r="K1004" s="187" t="s">
        <v>6206</v>
      </c>
      <c r="M1004" t="s">
        <v>2246</v>
      </c>
      <c r="N1004" t="s">
        <v>5571</v>
      </c>
      <c r="O1004" t="s">
        <v>4925</v>
      </c>
      <c r="Q1004" t="str">
        <f t="shared" si="74"/>
        <v>condorProc.py --series 07180819_0457 --donoise  --dumps a --procenv environments/pymidas_HVHV_NaI_mf.env</v>
      </c>
    </row>
    <row r="1005" spans="1:17">
      <c r="A1005" s="179" t="s">
        <v>6439</v>
      </c>
      <c r="K1005" s="180"/>
      <c r="M1005" t="s">
        <v>2246</v>
      </c>
      <c r="N1005" t="s">
        <v>5571</v>
      </c>
      <c r="O1005" t="s">
        <v>4925</v>
      </c>
      <c r="Q1005" t="str">
        <f t="shared" si="74"/>
        <v>condorProc.py --series 07180819_0507 --donoise  --dumps a --procenv environments/pymidas_HVHV_NaI_mf.env</v>
      </c>
    </row>
    <row r="1006" spans="1:17">
      <c r="A1006" s="179" t="s">
        <v>6440</v>
      </c>
      <c r="K1006" s="180"/>
      <c r="M1006" t="s">
        <v>2246</v>
      </c>
      <c r="N1006" t="s">
        <v>5571</v>
      </c>
      <c r="O1006" t="s">
        <v>4925</v>
      </c>
      <c r="Q1006" t="str">
        <f t="shared" si="74"/>
        <v>condorProc.py --series 07180819_0517 --donoise  --dumps a --procenv environments/pymidas_HVHV_NaI_mf.env</v>
      </c>
    </row>
    <row r="1007" spans="1:17">
      <c r="A1007" s="179" t="s">
        <v>6441</v>
      </c>
      <c r="K1007" s="180"/>
      <c r="M1007" t="s">
        <v>2246</v>
      </c>
      <c r="N1007" t="s">
        <v>5571</v>
      </c>
      <c r="O1007" t="s">
        <v>4925</v>
      </c>
      <c r="Q1007" t="str">
        <f t="shared" si="74"/>
        <v>condorProc.py --series 07180819_0527 --donoise  --dumps a --procenv environments/pymidas_HVHV_NaI_mf.env</v>
      </c>
    </row>
    <row r="1008" spans="1:17">
      <c r="A1008" s="179" t="s">
        <v>6442</v>
      </c>
      <c r="K1008" s="180"/>
      <c r="M1008" t="s">
        <v>2246</v>
      </c>
      <c r="N1008" t="s">
        <v>5571</v>
      </c>
      <c r="O1008" t="s">
        <v>4925</v>
      </c>
      <c r="Q1008" t="str">
        <f t="shared" si="74"/>
        <v>condorProc.py --series 07180819_0537 --donoise  --dumps a --procenv environments/pymidas_HVHV_NaI_mf.env</v>
      </c>
    </row>
    <row r="1009" spans="1:17">
      <c r="A1009" s="179" t="s">
        <v>6443</v>
      </c>
      <c r="K1009" s="180"/>
      <c r="M1009" t="s">
        <v>2246</v>
      </c>
      <c r="N1009" t="s">
        <v>5571</v>
      </c>
      <c r="O1009" t="s">
        <v>4925</v>
      </c>
      <c r="Q1009" t="str">
        <f t="shared" si="74"/>
        <v>condorProc.py --series 07180819_0547 --donoise  --dumps a --procenv environments/pymidas_HVHV_NaI_mf.env</v>
      </c>
    </row>
    <row r="1010" spans="1:17">
      <c r="A1010" s="179" t="s">
        <v>6444</v>
      </c>
      <c r="K1010" s="180"/>
      <c r="M1010" t="s">
        <v>2246</v>
      </c>
      <c r="N1010" t="s">
        <v>5571</v>
      </c>
      <c r="O1010" t="s">
        <v>4925</v>
      </c>
      <c r="Q1010" t="str">
        <f t="shared" si="74"/>
        <v>condorProc.py --series 07180819_0557 --donoise  --dumps a --procenv environments/pymidas_HVHV_NaI_mf.env</v>
      </c>
    </row>
    <row r="1011" spans="1:17">
      <c r="A1011" s="179" t="s">
        <v>6445</v>
      </c>
      <c r="K1011" s="180"/>
      <c r="M1011" t="s">
        <v>2246</v>
      </c>
      <c r="N1011" t="s">
        <v>5571</v>
      </c>
      <c r="O1011" t="s">
        <v>4925</v>
      </c>
      <c r="Q1011" t="str">
        <f t="shared" si="74"/>
        <v>condorProc.py --series 07180819_0608 --donoise  --dumps a --procenv environments/pymidas_HVHV_NaI_mf.env</v>
      </c>
    </row>
    <row r="1012" spans="1:17">
      <c r="A1012" s="179" t="s">
        <v>6446</v>
      </c>
      <c r="K1012" s="180"/>
      <c r="M1012" t="s">
        <v>2246</v>
      </c>
      <c r="N1012" t="s">
        <v>5571</v>
      </c>
      <c r="O1012" t="s">
        <v>4925</v>
      </c>
      <c r="Q1012" t="str">
        <f t="shared" si="74"/>
        <v>condorProc.py --series 07180819_0618 --donoise  --dumps a --procenv environments/pymidas_HVHV_NaI_mf.env</v>
      </c>
    </row>
    <row r="1013" spans="1:17">
      <c r="A1013" s="181" t="s">
        <v>6447</v>
      </c>
      <c r="B1013" s="65"/>
      <c r="C1013" s="65"/>
      <c r="D1013" s="65"/>
      <c r="E1013" s="65"/>
      <c r="F1013" s="65"/>
      <c r="G1013" s="65"/>
      <c r="H1013" s="65"/>
      <c r="I1013" s="65"/>
      <c r="J1013" s="65"/>
      <c r="K1013" s="182"/>
      <c r="M1013" t="s">
        <v>2246</v>
      </c>
      <c r="N1013" t="s">
        <v>5571</v>
      </c>
      <c r="O1013" t="s">
        <v>4925</v>
      </c>
      <c r="Q1013" t="str">
        <f t="shared" si="74"/>
        <v>condorProc.py --series 07180819_0628 --donoise  --dumps a --procenv environments/pymidas_HVHV_NaI_mf.env</v>
      </c>
    </row>
    <row r="1014" spans="1:17">
      <c r="A1014" s="176" t="s">
        <v>6448</v>
      </c>
      <c r="B1014" s="177"/>
      <c r="C1014" s="177"/>
      <c r="D1014" s="177"/>
      <c r="E1014" s="177"/>
      <c r="F1014" s="177">
        <v>10</v>
      </c>
      <c r="G1014" s="177" t="s">
        <v>18</v>
      </c>
      <c r="H1014" s="177">
        <v>40</v>
      </c>
      <c r="I1014" s="177"/>
      <c r="J1014" s="177" t="s">
        <v>5577</v>
      </c>
      <c r="K1014" s="178" t="s">
        <v>5583</v>
      </c>
      <c r="M1014" t="s">
        <v>2246</v>
      </c>
      <c r="N1014" t="s">
        <v>5571</v>
      </c>
      <c r="O1014" t="s">
        <v>4925</v>
      </c>
      <c r="Q1014" t="str">
        <f t="shared" si="74"/>
        <v>condorProc.py --series 07180819_0717 --donoise  --dumps a --procenv environments/pymidas_HVHV_NaI_mf.env</v>
      </c>
    </row>
    <row r="1015" spans="1:17">
      <c r="A1015" s="179" t="s">
        <v>6449</v>
      </c>
      <c r="J1015" t="s">
        <v>5585</v>
      </c>
      <c r="K1015" s="180" t="s">
        <v>5671</v>
      </c>
      <c r="M1015" t="s">
        <v>2246</v>
      </c>
      <c r="N1015" t="s">
        <v>5571</v>
      </c>
      <c r="O1015" t="s">
        <v>4925</v>
      </c>
      <c r="Q1015" t="str">
        <f t="shared" si="74"/>
        <v>condorProc.py --series 07180819_0727 --donoise  --dumps a --procenv environments/pymidas_HVHV_NaI_mf.env</v>
      </c>
    </row>
    <row r="1016" spans="1:17">
      <c r="A1016" s="179" t="s">
        <v>6450</v>
      </c>
      <c r="K1016" s="187" t="s">
        <v>6206</v>
      </c>
      <c r="M1016" t="s">
        <v>2246</v>
      </c>
      <c r="N1016" t="s">
        <v>5571</v>
      </c>
      <c r="O1016" t="s">
        <v>4925</v>
      </c>
      <c r="Q1016" t="str">
        <f t="shared" si="74"/>
        <v>condorProc.py --series 07180819_0737 --donoise  --dumps a --procenv environments/pymidas_HVHV_NaI_mf.env</v>
      </c>
    </row>
    <row r="1017" spans="1:17">
      <c r="A1017" s="179" t="s">
        <v>6451</v>
      </c>
      <c r="K1017" s="180"/>
      <c r="M1017" t="s">
        <v>2246</v>
      </c>
      <c r="N1017" t="s">
        <v>5571</v>
      </c>
      <c r="O1017" t="s">
        <v>4925</v>
      </c>
      <c r="Q1017" t="str">
        <f t="shared" si="74"/>
        <v>condorProc.py --series 07180819_0747 --donoise  --dumps a --procenv environments/pymidas_HVHV_NaI_mf.env</v>
      </c>
    </row>
    <row r="1018" spans="1:17">
      <c r="A1018" s="179" t="s">
        <v>6452</v>
      </c>
      <c r="K1018" s="180"/>
      <c r="M1018" t="s">
        <v>2246</v>
      </c>
      <c r="N1018" t="s">
        <v>5571</v>
      </c>
      <c r="O1018" t="s">
        <v>4925</v>
      </c>
      <c r="Q1018" t="str">
        <f t="shared" si="74"/>
        <v>condorProc.py --series 07180819_0757 --donoise  --dumps a --procenv environments/pymidas_HVHV_NaI_mf.env</v>
      </c>
    </row>
    <row r="1019" spans="1:17">
      <c r="A1019" s="179" t="s">
        <v>6453</v>
      </c>
      <c r="K1019" s="180"/>
      <c r="M1019" t="s">
        <v>2246</v>
      </c>
      <c r="N1019" t="s">
        <v>5571</v>
      </c>
      <c r="O1019" t="s">
        <v>4925</v>
      </c>
      <c r="Q1019" t="str">
        <f t="shared" si="74"/>
        <v>condorProc.py --series 07180819_0808 --donoise  --dumps a --procenv environments/pymidas_HVHV_NaI_mf.env</v>
      </c>
    </row>
    <row r="1020" spans="1:17">
      <c r="A1020" s="179" t="s">
        <v>6454</v>
      </c>
      <c r="K1020" s="180"/>
      <c r="M1020" t="s">
        <v>2246</v>
      </c>
      <c r="N1020" t="s">
        <v>5571</v>
      </c>
      <c r="O1020" t="s">
        <v>4925</v>
      </c>
      <c r="Q1020" t="str">
        <f t="shared" si="74"/>
        <v>condorProc.py --series 07180819_0818 --donoise  --dumps a --procenv environments/pymidas_HVHV_NaI_mf.env</v>
      </c>
    </row>
    <row r="1021" spans="1:17">
      <c r="A1021" s="179" t="s">
        <v>6455</v>
      </c>
      <c r="K1021" s="180"/>
      <c r="M1021" t="s">
        <v>2246</v>
      </c>
      <c r="N1021" t="s">
        <v>5571</v>
      </c>
      <c r="O1021" t="s">
        <v>4925</v>
      </c>
      <c r="Q1021" t="str">
        <f t="shared" si="74"/>
        <v>condorProc.py --series 07180819_0828 --donoise  --dumps a --procenv environments/pymidas_HVHV_NaI_mf.env</v>
      </c>
    </row>
    <row r="1022" spans="1:17">
      <c r="A1022" s="179" t="s">
        <v>6456</v>
      </c>
      <c r="K1022" s="180"/>
      <c r="M1022" t="s">
        <v>2246</v>
      </c>
      <c r="N1022" t="s">
        <v>5571</v>
      </c>
      <c r="O1022" t="s">
        <v>4925</v>
      </c>
      <c r="Q1022" t="str">
        <f t="shared" si="74"/>
        <v>condorProc.py --series 07180819_0838 --donoise  --dumps a --procenv environments/pymidas_HVHV_NaI_mf.env</v>
      </c>
    </row>
    <row r="1023" spans="1:17">
      <c r="A1023" s="179" t="s">
        <v>6457</v>
      </c>
      <c r="K1023" s="180"/>
      <c r="M1023" t="s">
        <v>2246</v>
      </c>
      <c r="N1023" t="s">
        <v>5571</v>
      </c>
      <c r="O1023" t="s">
        <v>4925</v>
      </c>
      <c r="Q1023" t="str">
        <f t="shared" si="74"/>
        <v>condorProc.py --series 07180819_0848 --donoise  --dumps a --procenv environments/pymidas_HVHV_NaI_mf.env</v>
      </c>
    </row>
    <row r="1024" spans="1:17">
      <c r="A1024" s="179" t="s">
        <v>6458</v>
      </c>
      <c r="K1024" s="180"/>
      <c r="M1024" t="s">
        <v>2246</v>
      </c>
      <c r="N1024" t="s">
        <v>5571</v>
      </c>
      <c r="O1024" t="s">
        <v>4925</v>
      </c>
      <c r="Q1024" t="str">
        <f t="shared" si="74"/>
        <v>condorProc.py --series 07180819_0858 --donoise  --dumps a --procenv environments/pymidas_HVHV_NaI_mf.env</v>
      </c>
    </row>
    <row r="1025" spans="1:17">
      <c r="A1025" s="181" t="s">
        <v>6459</v>
      </c>
      <c r="B1025" s="65"/>
      <c r="C1025" s="65"/>
      <c r="D1025" s="65"/>
      <c r="E1025" s="65"/>
      <c r="F1025" s="65"/>
      <c r="G1025" s="65"/>
      <c r="H1025" s="65"/>
      <c r="I1025" s="65" t="s">
        <v>75</v>
      </c>
      <c r="J1025" s="65"/>
      <c r="K1025" s="182"/>
      <c r="M1025" t="s">
        <v>2246</v>
      </c>
      <c r="N1025" t="s">
        <v>5571</v>
      </c>
      <c r="O1025" t="s">
        <v>4925</v>
      </c>
      <c r="Q1025" t="str">
        <f t="shared" si="74"/>
        <v>condorProc.py --series 07180819_0908 --donoise  --dumps a --procenv environments/pymidas_HVHV_NaI_mf.env</v>
      </c>
    </row>
    <row r="1026" spans="1:17">
      <c r="A1026" s="176" t="s">
        <v>6460</v>
      </c>
      <c r="B1026" s="177"/>
      <c r="C1026" s="177"/>
      <c r="D1026" s="177"/>
      <c r="E1026" s="177"/>
      <c r="F1026" s="177">
        <v>10</v>
      </c>
      <c r="G1026" s="177" t="s">
        <v>18</v>
      </c>
      <c r="H1026" s="177">
        <v>40</v>
      </c>
      <c r="I1026" s="177"/>
      <c r="J1026" s="177" t="s">
        <v>5577</v>
      </c>
      <c r="K1026" s="178" t="s">
        <v>5583</v>
      </c>
      <c r="M1026" t="s">
        <v>2246</v>
      </c>
      <c r="N1026" t="s">
        <v>5571</v>
      </c>
      <c r="O1026" t="s">
        <v>4925</v>
      </c>
      <c r="Q1026" t="str">
        <f t="shared" si="74"/>
        <v>condorProc.py --series 07180819_0957 --donoise  --dumps a --procenv environments/pymidas_HVHV_NaI_mf.env</v>
      </c>
    </row>
    <row r="1027" spans="1:17">
      <c r="A1027" s="179" t="s">
        <v>6461</v>
      </c>
      <c r="J1027" t="s">
        <v>5585</v>
      </c>
      <c r="K1027" s="180" t="s">
        <v>5671</v>
      </c>
      <c r="M1027" t="s">
        <v>2246</v>
      </c>
      <c r="N1027" t="s">
        <v>5571</v>
      </c>
      <c r="O1027" t="s">
        <v>4925</v>
      </c>
      <c r="Q1027" t="str">
        <f t="shared" si="74"/>
        <v>condorProc.py --series 07180819_1008 --donoise  --dumps a --procenv environments/pymidas_HVHV_NaI_mf.env</v>
      </c>
    </row>
    <row r="1028" spans="1:17">
      <c r="A1028" s="179" t="s">
        <v>6462</v>
      </c>
      <c r="K1028" s="187" t="s">
        <v>6206</v>
      </c>
      <c r="M1028" t="s">
        <v>2246</v>
      </c>
      <c r="N1028" t="s">
        <v>5571</v>
      </c>
      <c r="O1028" t="s">
        <v>4925</v>
      </c>
      <c r="Q1028" t="str">
        <f t="shared" si="74"/>
        <v>condorProc.py --series 07180819_1018 --donoise  --dumps a --procenv environments/pymidas_HVHV_NaI_mf.env</v>
      </c>
    </row>
    <row r="1029" spans="1:17">
      <c r="A1029" s="179" t="s">
        <v>6463</v>
      </c>
      <c r="K1029" s="180"/>
      <c r="M1029" t="s">
        <v>2246</v>
      </c>
      <c r="N1029" t="s">
        <v>5571</v>
      </c>
      <c r="O1029" t="s">
        <v>4925</v>
      </c>
      <c r="Q1029" t="str">
        <f t="shared" si="74"/>
        <v>condorProc.py --series 07180819_1028 --donoise  --dumps a --procenv environments/pymidas_HVHV_NaI_mf.env</v>
      </c>
    </row>
    <row r="1030" spans="1:17">
      <c r="A1030" s="179" t="s">
        <v>6464</v>
      </c>
      <c r="K1030" s="180"/>
      <c r="M1030" t="s">
        <v>2246</v>
      </c>
      <c r="N1030" t="s">
        <v>5571</v>
      </c>
      <c r="O1030" t="s">
        <v>4925</v>
      </c>
      <c r="Q1030" t="str">
        <f t="shared" si="74"/>
        <v>condorProc.py --series 07180819_1038 --donoise  --dumps a --procenv environments/pymidas_HVHV_NaI_mf.env</v>
      </c>
    </row>
    <row r="1031" spans="1:17">
      <c r="A1031" s="179" t="s">
        <v>6465</v>
      </c>
      <c r="K1031" s="180"/>
      <c r="M1031" t="s">
        <v>2246</v>
      </c>
      <c r="N1031" t="s">
        <v>5571</v>
      </c>
      <c r="O1031" t="s">
        <v>4925</v>
      </c>
      <c r="Q1031" t="str">
        <f t="shared" si="74"/>
        <v>condorProc.py --series 07180819_1048 --donoise  --dumps a --procenv environments/pymidas_HVHV_NaI_mf.env</v>
      </c>
    </row>
    <row r="1032" spans="1:17">
      <c r="A1032" s="179" t="s">
        <v>6466</v>
      </c>
      <c r="K1032" s="180"/>
      <c r="M1032" t="s">
        <v>2246</v>
      </c>
      <c r="N1032" t="s">
        <v>5571</v>
      </c>
      <c r="O1032" t="s">
        <v>4925</v>
      </c>
      <c r="Q1032" t="str">
        <f t="shared" si="74"/>
        <v>condorProc.py --series 07180819_1058 --donoise  --dumps a --procenv environments/pymidas_HVHV_NaI_mf.env</v>
      </c>
    </row>
    <row r="1033" spans="1:17">
      <c r="A1033" s="179" t="s">
        <v>6467</v>
      </c>
      <c r="K1033" s="180"/>
      <c r="M1033" t="s">
        <v>2246</v>
      </c>
      <c r="N1033" t="s">
        <v>5571</v>
      </c>
      <c r="O1033" t="s">
        <v>4925</v>
      </c>
      <c r="Q1033" t="str">
        <f t="shared" si="74"/>
        <v>condorProc.py --series 07180819_1108 --donoise  --dumps a --procenv environments/pymidas_HVHV_NaI_mf.env</v>
      </c>
    </row>
    <row r="1034" spans="1:17">
      <c r="A1034" s="179" t="s">
        <v>6468</v>
      </c>
      <c r="K1034" s="180"/>
      <c r="M1034" t="s">
        <v>2246</v>
      </c>
      <c r="N1034" t="s">
        <v>5571</v>
      </c>
      <c r="O1034" t="s">
        <v>4925</v>
      </c>
      <c r="Q1034" t="str">
        <f t="shared" si="74"/>
        <v>condorProc.py --series 07180819_1118 --donoise  --dumps a --procenv environments/pymidas_HVHV_NaI_mf.env</v>
      </c>
    </row>
    <row r="1035" spans="1:17">
      <c r="A1035" s="179" t="s">
        <v>6469</v>
      </c>
      <c r="K1035" s="180"/>
      <c r="M1035" t="s">
        <v>2246</v>
      </c>
      <c r="N1035" t="s">
        <v>5571</v>
      </c>
      <c r="O1035" t="s">
        <v>4925</v>
      </c>
      <c r="Q1035" t="str">
        <f t="shared" si="74"/>
        <v>condorProc.py --series 07180819_1129 --donoise  --dumps a --procenv environments/pymidas_HVHV_NaI_mf.env</v>
      </c>
    </row>
    <row r="1036" spans="1:17">
      <c r="A1036" s="179" t="s">
        <v>6470</v>
      </c>
      <c r="K1036" s="180"/>
      <c r="M1036" t="s">
        <v>2246</v>
      </c>
      <c r="N1036" t="s">
        <v>5571</v>
      </c>
      <c r="O1036" t="s">
        <v>4925</v>
      </c>
      <c r="Q1036" t="str">
        <f t="shared" si="74"/>
        <v>condorProc.py --series 07180819_1139 --donoise  --dumps a --procenv environments/pymidas_HVHV_NaI_mf.env</v>
      </c>
    </row>
    <row r="1037" spans="1:17">
      <c r="A1037" s="181" t="s">
        <v>6471</v>
      </c>
      <c r="B1037" s="65"/>
      <c r="C1037" s="65"/>
      <c r="D1037" s="65"/>
      <c r="E1037" s="65"/>
      <c r="F1037" s="65"/>
      <c r="G1037" s="65"/>
      <c r="H1037" s="65"/>
      <c r="I1037" s="65"/>
      <c r="J1037" s="65"/>
      <c r="K1037" s="182"/>
      <c r="M1037" t="s">
        <v>2246</v>
      </c>
      <c r="N1037" t="s">
        <v>5571</v>
      </c>
      <c r="O1037" t="s">
        <v>4925</v>
      </c>
      <c r="Q1037" t="str">
        <f t="shared" si="74"/>
        <v>condorProc.py --series 07180819_1149 --donoise  --dumps a --procenv environments/pymidas_HVHV_NaI_mf.env</v>
      </c>
    </row>
    <row r="1038" spans="1:17">
      <c r="A1038" s="176" t="s">
        <v>6472</v>
      </c>
      <c r="B1038" s="177"/>
      <c r="C1038" s="177"/>
      <c r="D1038" s="177"/>
      <c r="E1038" s="177"/>
      <c r="F1038" s="177">
        <v>10</v>
      </c>
      <c r="G1038" s="177" t="s">
        <v>18</v>
      </c>
      <c r="H1038" s="177">
        <v>40</v>
      </c>
      <c r="I1038" s="177"/>
      <c r="J1038" s="177" t="s">
        <v>5577</v>
      </c>
      <c r="K1038" s="178" t="s">
        <v>5583</v>
      </c>
      <c r="M1038" t="s">
        <v>2246</v>
      </c>
      <c r="N1038" t="s">
        <v>5571</v>
      </c>
      <c r="O1038" t="s">
        <v>4925</v>
      </c>
      <c r="Q1038" t="str">
        <f t="shared" si="74"/>
        <v>condorProc.py --series 07180819_1322 --donoise  --dumps a --procenv environments/pymidas_HVHV_NaI_mf.env</v>
      </c>
    </row>
    <row r="1039" spans="1:17">
      <c r="A1039" s="179" t="s">
        <v>6473</v>
      </c>
      <c r="J1039" t="s">
        <v>5585</v>
      </c>
      <c r="K1039" s="180" t="s">
        <v>5671</v>
      </c>
      <c r="M1039" t="s">
        <v>2246</v>
      </c>
      <c r="N1039" t="s">
        <v>5571</v>
      </c>
      <c r="O1039" t="s">
        <v>4925</v>
      </c>
      <c r="Q1039" t="str">
        <f t="shared" si="74"/>
        <v>condorProc.py --series 07180819_1332 --donoise  --dumps a --procenv environments/pymidas_HVHV_NaI_mf.env</v>
      </c>
    </row>
    <row r="1040" spans="1:17">
      <c r="A1040" s="179" t="s">
        <v>6474</v>
      </c>
      <c r="K1040" s="187" t="s">
        <v>6206</v>
      </c>
      <c r="M1040" t="s">
        <v>2246</v>
      </c>
      <c r="N1040" t="s">
        <v>5571</v>
      </c>
      <c r="O1040" t="s">
        <v>4925</v>
      </c>
      <c r="Q1040" t="str">
        <f t="shared" si="74"/>
        <v>condorProc.py --series 07180819_1342 --donoise  --dumps a --procenv environments/pymidas_HVHV_NaI_mf.env</v>
      </c>
    </row>
    <row r="1041" spans="1:17">
      <c r="A1041" s="179" t="s">
        <v>6475</v>
      </c>
      <c r="K1041" s="180"/>
      <c r="M1041" t="s">
        <v>2246</v>
      </c>
      <c r="N1041" t="s">
        <v>5571</v>
      </c>
      <c r="O1041" t="s">
        <v>4925</v>
      </c>
      <c r="Q1041" t="str">
        <f t="shared" si="74"/>
        <v>condorProc.py --series 07180819_1352 --donoise  --dumps a --procenv environments/pymidas_HVHV_NaI_mf.env</v>
      </c>
    </row>
    <row r="1042" spans="1:17">
      <c r="A1042" s="179" t="s">
        <v>6476</v>
      </c>
      <c r="K1042" s="180"/>
      <c r="M1042" t="s">
        <v>2246</v>
      </c>
      <c r="N1042" t="s">
        <v>5571</v>
      </c>
      <c r="O1042" t="s">
        <v>4925</v>
      </c>
      <c r="Q1042" t="str">
        <f t="shared" si="74"/>
        <v>condorProc.py --series 07180819_1402 --donoise  --dumps a --procenv environments/pymidas_HVHV_NaI_mf.env</v>
      </c>
    </row>
    <row r="1043" spans="1:17">
      <c r="A1043" s="179" t="s">
        <v>6477</v>
      </c>
      <c r="K1043" s="180"/>
      <c r="M1043" t="s">
        <v>2246</v>
      </c>
      <c r="N1043" t="s">
        <v>5571</v>
      </c>
      <c r="O1043" t="s">
        <v>4925</v>
      </c>
      <c r="Q1043" t="str">
        <f t="shared" si="74"/>
        <v>condorProc.py --series 07180819_1412 --donoise  --dumps a --procenv environments/pymidas_HVHV_NaI_mf.env</v>
      </c>
    </row>
    <row r="1044" spans="1:17">
      <c r="A1044" s="179" t="s">
        <v>6478</v>
      </c>
      <c r="K1044" s="180"/>
      <c r="M1044" t="s">
        <v>2246</v>
      </c>
      <c r="N1044" t="s">
        <v>5571</v>
      </c>
      <c r="O1044" t="s">
        <v>4925</v>
      </c>
      <c r="Q1044" t="str">
        <f t="shared" si="74"/>
        <v>condorProc.py --series 07180819_1422 --donoise  --dumps a --procenv environments/pymidas_HVHV_NaI_mf.env</v>
      </c>
    </row>
    <row r="1045" spans="1:17">
      <c r="A1045" s="179" t="s">
        <v>6479</v>
      </c>
      <c r="K1045" s="180"/>
      <c r="M1045" t="s">
        <v>2246</v>
      </c>
      <c r="N1045" t="s">
        <v>5571</v>
      </c>
      <c r="O1045" t="s">
        <v>4925</v>
      </c>
      <c r="Q1045" t="str">
        <f t="shared" si="74"/>
        <v>condorProc.py --series 07180819_1432 --donoise  --dumps a --procenv environments/pymidas_HVHV_NaI_mf.env</v>
      </c>
    </row>
    <row r="1046" spans="1:17">
      <c r="A1046" s="179" t="s">
        <v>6480</v>
      </c>
      <c r="K1046" s="180"/>
      <c r="M1046" t="s">
        <v>2246</v>
      </c>
      <c r="N1046" t="s">
        <v>5571</v>
      </c>
      <c r="O1046" t="s">
        <v>4925</v>
      </c>
      <c r="Q1046" t="str">
        <f t="shared" si="74"/>
        <v>condorProc.py --series 07180819_1443 --donoise  --dumps a --procenv environments/pymidas_HVHV_NaI_mf.env</v>
      </c>
    </row>
    <row r="1047" spans="1:17">
      <c r="A1047" s="179" t="s">
        <v>6481</v>
      </c>
      <c r="K1047" s="180"/>
      <c r="M1047" t="s">
        <v>2246</v>
      </c>
      <c r="N1047" t="s">
        <v>5571</v>
      </c>
      <c r="O1047" t="s">
        <v>4925</v>
      </c>
      <c r="Q1047" t="str">
        <f t="shared" si="74"/>
        <v>condorProc.py --series 07180819_1453 --donoise  --dumps a --procenv environments/pymidas_HVHV_NaI_mf.env</v>
      </c>
    </row>
    <row r="1048" spans="1:17">
      <c r="A1048" s="179" t="s">
        <v>6482</v>
      </c>
      <c r="K1048" s="180"/>
      <c r="M1048" t="s">
        <v>2246</v>
      </c>
      <c r="N1048" t="s">
        <v>5571</v>
      </c>
      <c r="O1048" t="s">
        <v>4925</v>
      </c>
      <c r="Q1048" t="str">
        <f t="shared" si="74"/>
        <v>condorProc.py --series 07180819_1503 --donoise  --dumps a --procenv environments/pymidas_HVHV_NaI_mf.env</v>
      </c>
    </row>
    <row r="1049" spans="1:17">
      <c r="A1049" s="181" t="s">
        <v>6483</v>
      </c>
      <c r="B1049" s="65"/>
      <c r="C1049" s="65"/>
      <c r="D1049" s="65"/>
      <c r="E1049" s="65"/>
      <c r="F1049" s="65"/>
      <c r="G1049" s="65"/>
      <c r="H1049" s="65"/>
      <c r="I1049" s="65" t="s">
        <v>75</v>
      </c>
      <c r="J1049" s="65"/>
      <c r="K1049" s="182"/>
      <c r="M1049" t="s">
        <v>2246</v>
      </c>
      <c r="N1049" t="s">
        <v>5571</v>
      </c>
      <c r="O1049" t="s">
        <v>4925</v>
      </c>
      <c r="Q1049" t="str">
        <f t="shared" si="74"/>
        <v>condorProc.py --series 07180819_1513 --donoise  --dumps a --procenv environments/pymidas_HVHV_NaI_mf.env</v>
      </c>
    </row>
    <row r="1050" spans="1:17">
      <c r="A1050" s="176" t="s">
        <v>6484</v>
      </c>
      <c r="B1050" s="177"/>
      <c r="C1050" s="177"/>
      <c r="D1050" s="177"/>
      <c r="E1050" s="177"/>
      <c r="F1050" s="177">
        <v>10</v>
      </c>
      <c r="G1050" s="177" t="s">
        <v>18</v>
      </c>
      <c r="H1050" s="177">
        <v>40</v>
      </c>
      <c r="I1050" s="177"/>
      <c r="J1050" s="177" t="s">
        <v>5577</v>
      </c>
      <c r="K1050" s="178" t="s">
        <v>5583</v>
      </c>
      <c r="M1050" t="s">
        <v>2246</v>
      </c>
      <c r="N1050" t="s">
        <v>5571</v>
      </c>
      <c r="O1050" t="s">
        <v>4925</v>
      </c>
      <c r="Q1050" t="str">
        <f t="shared" si="74"/>
        <v>condorProc.py --series 07180819_1602 --donoise  --dumps a --procenv environments/pymidas_HVHV_NaI_mf.env</v>
      </c>
    </row>
    <row r="1051" spans="1:17">
      <c r="A1051" s="179" t="s">
        <v>6485</v>
      </c>
      <c r="J1051" t="s">
        <v>5585</v>
      </c>
      <c r="K1051" s="180" t="s">
        <v>5671</v>
      </c>
      <c r="M1051" t="s">
        <v>2246</v>
      </c>
      <c r="N1051" t="s">
        <v>5571</v>
      </c>
      <c r="O1051" t="s">
        <v>4925</v>
      </c>
      <c r="Q1051" t="str">
        <f t="shared" si="74"/>
        <v>condorProc.py --series 07180819_1612 --donoise  --dumps a --procenv environments/pymidas_HVHV_NaI_mf.env</v>
      </c>
    </row>
    <row r="1052" spans="1:17">
      <c r="A1052" s="179" t="s">
        <v>6486</v>
      </c>
      <c r="K1052" s="187" t="s">
        <v>6206</v>
      </c>
      <c r="M1052" t="s">
        <v>2246</v>
      </c>
      <c r="N1052" t="s">
        <v>5571</v>
      </c>
      <c r="O1052" t="s">
        <v>4925</v>
      </c>
      <c r="Q1052" t="str">
        <f t="shared" si="74"/>
        <v>condorProc.py --series 07180819_1623 --donoise  --dumps a --procenv environments/pymidas_HVHV_NaI_mf.env</v>
      </c>
    </row>
    <row r="1053" spans="1:17">
      <c r="A1053" s="179" t="s">
        <v>6487</v>
      </c>
      <c r="K1053" s="180"/>
      <c r="M1053" t="s">
        <v>2246</v>
      </c>
      <c r="N1053" t="s">
        <v>5571</v>
      </c>
      <c r="O1053" t="s">
        <v>4925</v>
      </c>
      <c r="Q1053" t="str">
        <f t="shared" si="74"/>
        <v>condorProc.py --series 07180819_1633 --donoise  --dumps a --procenv environments/pymidas_HVHV_NaI_mf.env</v>
      </c>
    </row>
    <row r="1054" spans="1:17">
      <c r="A1054" s="179" t="s">
        <v>6488</v>
      </c>
      <c r="K1054" s="180"/>
      <c r="M1054" t="s">
        <v>2246</v>
      </c>
      <c r="N1054" t="s">
        <v>5571</v>
      </c>
      <c r="O1054" t="s">
        <v>4925</v>
      </c>
      <c r="Q1054" t="str">
        <f t="shared" si="74"/>
        <v>condorProc.py --series 07180819_1643 --donoise  --dumps a --procenv environments/pymidas_HVHV_NaI_mf.env</v>
      </c>
    </row>
    <row r="1055" spans="1:17">
      <c r="A1055" s="179" t="s">
        <v>6489</v>
      </c>
      <c r="K1055" s="180"/>
      <c r="M1055" t="s">
        <v>2246</v>
      </c>
      <c r="N1055" t="s">
        <v>5571</v>
      </c>
      <c r="O1055" t="s">
        <v>4925</v>
      </c>
      <c r="Q1055" t="str">
        <f t="shared" si="74"/>
        <v>condorProc.py --series 07180819_1653 --donoise  --dumps a --procenv environments/pymidas_HVHV_NaI_mf.env</v>
      </c>
    </row>
    <row r="1056" spans="1:17">
      <c r="A1056" s="179" t="s">
        <v>6490</v>
      </c>
      <c r="K1056" s="180"/>
      <c r="M1056" t="s">
        <v>2246</v>
      </c>
      <c r="N1056" t="s">
        <v>5571</v>
      </c>
      <c r="O1056" t="s">
        <v>4925</v>
      </c>
      <c r="Q1056" t="str">
        <f t="shared" si="74"/>
        <v>condorProc.py --series 07180819_1703 --donoise  --dumps a --procenv environments/pymidas_HVHV_NaI_mf.env</v>
      </c>
    </row>
    <row r="1057" spans="1:18">
      <c r="A1057" s="179" t="s">
        <v>6491</v>
      </c>
      <c r="K1057" s="180"/>
      <c r="M1057" t="s">
        <v>2246</v>
      </c>
      <c r="N1057" t="s">
        <v>5571</v>
      </c>
      <c r="O1057" t="s">
        <v>4925</v>
      </c>
      <c r="Q1057" t="str">
        <f t="shared" si="74"/>
        <v>condorProc.py --series 07180819_1713 --donoise  --dumps a --procenv environments/pymidas_HVHV_NaI_mf.env</v>
      </c>
    </row>
    <row r="1058" spans="1:18">
      <c r="A1058" s="179" t="s">
        <v>6492</v>
      </c>
      <c r="K1058" s="180"/>
      <c r="M1058" t="s">
        <v>2246</v>
      </c>
      <c r="N1058" t="s">
        <v>5571</v>
      </c>
      <c r="O1058" t="s">
        <v>4925</v>
      </c>
      <c r="Q1058" t="str">
        <f t="shared" si="74"/>
        <v>condorProc.py --series 07180819_1723 --donoise  --dumps a --procenv environments/pymidas_HVHV_NaI_mf.env</v>
      </c>
    </row>
    <row r="1059" spans="1:18">
      <c r="A1059" s="179" t="s">
        <v>6493</v>
      </c>
      <c r="K1059" s="180"/>
      <c r="M1059" t="s">
        <v>2246</v>
      </c>
      <c r="N1059" t="s">
        <v>5571</v>
      </c>
      <c r="O1059" t="s">
        <v>4925</v>
      </c>
      <c r="Q1059" t="str">
        <f t="shared" ref="Q1059:Q1073" si="75">"condorProc.py --series "&amp;A1059&amp;" --donoise  --dumps a --procenv environments/pymidas_HVHV_NaI_mf.env"</f>
        <v>condorProc.py --series 07180819_1733 --donoise  --dumps a --procenv environments/pymidas_HVHV_NaI_mf.env</v>
      </c>
    </row>
    <row r="1060" spans="1:18">
      <c r="A1060" s="179" t="s">
        <v>6494</v>
      </c>
      <c r="K1060" s="180"/>
      <c r="M1060" t="s">
        <v>2246</v>
      </c>
      <c r="N1060" t="s">
        <v>5571</v>
      </c>
      <c r="O1060" t="s">
        <v>4925</v>
      </c>
      <c r="Q1060" t="str">
        <f t="shared" si="75"/>
        <v>condorProc.py --series 07180819_1743 --donoise  --dumps a --procenv environments/pymidas_HVHV_NaI_mf.env</v>
      </c>
    </row>
    <row r="1061" spans="1:18">
      <c r="A1061" s="181" t="s">
        <v>6495</v>
      </c>
      <c r="B1061" s="65"/>
      <c r="C1061" s="65"/>
      <c r="D1061" s="65"/>
      <c r="E1061" s="65"/>
      <c r="F1061" s="65"/>
      <c r="G1061" s="65"/>
      <c r="H1061" s="65"/>
      <c r="I1061" s="65" t="s">
        <v>75</v>
      </c>
      <c r="J1061" s="65"/>
      <c r="K1061" s="182"/>
      <c r="M1061" t="s">
        <v>2246</v>
      </c>
      <c r="N1061" t="s">
        <v>5571</v>
      </c>
      <c r="O1061" t="s">
        <v>4925</v>
      </c>
      <c r="Q1061" t="str">
        <f t="shared" si="75"/>
        <v>condorProc.py --series 07180819_1754 --donoise  --dumps a --procenv environments/pymidas_HVHV_NaI_mf.env</v>
      </c>
    </row>
    <row r="1062" spans="1:18">
      <c r="A1062" s="176" t="s">
        <v>6496</v>
      </c>
      <c r="B1062" s="177"/>
      <c r="C1062" s="177"/>
      <c r="D1062" s="177"/>
      <c r="E1062" s="177"/>
      <c r="F1062" s="177">
        <v>10</v>
      </c>
      <c r="G1062" s="177" t="s">
        <v>18</v>
      </c>
      <c r="H1062" s="177">
        <v>40</v>
      </c>
      <c r="I1062" s="177"/>
      <c r="J1062" s="177" t="s">
        <v>5577</v>
      </c>
      <c r="K1062" s="178" t="s">
        <v>5583</v>
      </c>
      <c r="M1062" t="s">
        <v>2246</v>
      </c>
      <c r="N1062" t="s">
        <v>5571</v>
      </c>
      <c r="O1062" t="s">
        <v>4925</v>
      </c>
      <c r="Q1062" t="str">
        <f t="shared" si="75"/>
        <v>condorProc.py --series 07180819_1843 --donoise  --dumps a --procenv environments/pymidas_HVHV_NaI_mf.env</v>
      </c>
      <c r="R1062" t="str">
        <f>""""&amp;A1062&amp;""""</f>
        <v>"07180819_1843"</v>
      </c>
    </row>
    <row r="1063" spans="1:18">
      <c r="A1063" s="179" t="s">
        <v>6497</v>
      </c>
      <c r="J1063" t="s">
        <v>5585</v>
      </c>
      <c r="K1063" s="180" t="s">
        <v>5671</v>
      </c>
      <c r="M1063" t="s">
        <v>2246</v>
      </c>
      <c r="N1063" t="s">
        <v>5571</v>
      </c>
      <c r="O1063" t="s">
        <v>4925</v>
      </c>
      <c r="Q1063" t="str">
        <f t="shared" si="75"/>
        <v>condorProc.py --series 07180819_1853 --donoise  --dumps a --procenv environments/pymidas_HVHV_NaI_mf.env</v>
      </c>
      <c r="R1063" t="str">
        <f>R1062&amp;", """&amp;A1063&amp;""""</f>
        <v>"07180819_1843", "07180819_1853"</v>
      </c>
    </row>
    <row r="1064" spans="1:18">
      <c r="A1064" s="179" t="s">
        <v>6498</v>
      </c>
      <c r="K1064" s="187" t="s">
        <v>6206</v>
      </c>
      <c r="M1064" t="s">
        <v>2246</v>
      </c>
      <c r="N1064" t="s">
        <v>5571</v>
      </c>
      <c r="O1064" t="s">
        <v>4925</v>
      </c>
      <c r="Q1064" t="str">
        <f t="shared" si="75"/>
        <v>condorProc.py --series 07180819_1903 --donoise  --dumps a --procenv environments/pymidas_HVHV_NaI_mf.env</v>
      </c>
      <c r="R1064" t="str">
        <f t="shared" ref="R1064:R1121" si="76">R1063&amp;", """&amp;A1064&amp;""""</f>
        <v>"07180819_1843", "07180819_1853", "07180819_1903"</v>
      </c>
    </row>
    <row r="1065" spans="1:18">
      <c r="A1065" s="179" t="s">
        <v>6499</v>
      </c>
      <c r="K1065" s="180"/>
      <c r="M1065" t="s">
        <v>2246</v>
      </c>
      <c r="N1065" t="s">
        <v>5571</v>
      </c>
      <c r="O1065" t="s">
        <v>4925</v>
      </c>
      <c r="Q1065" t="str">
        <f t="shared" si="75"/>
        <v>condorProc.py --series 07180819_1913 --donoise  --dumps a --procenv environments/pymidas_HVHV_NaI_mf.env</v>
      </c>
      <c r="R1065" t="str">
        <f t="shared" si="76"/>
        <v>"07180819_1843", "07180819_1853", "07180819_1903", "07180819_1913"</v>
      </c>
    </row>
    <row r="1066" spans="1:18">
      <c r="A1066" s="179" t="s">
        <v>6500</v>
      </c>
      <c r="K1066" s="180"/>
      <c r="M1066" t="s">
        <v>2246</v>
      </c>
      <c r="N1066" t="s">
        <v>5571</v>
      </c>
      <c r="O1066" t="s">
        <v>4925</v>
      </c>
      <c r="Q1066" t="str">
        <f t="shared" si="75"/>
        <v>condorProc.py --series 07180819_1923 --donoise  --dumps a --procenv environments/pymidas_HVHV_NaI_mf.env</v>
      </c>
      <c r="R1066" t="str">
        <f t="shared" si="76"/>
        <v>"07180819_1843", "07180819_1853", "07180819_1903", "07180819_1913", "07180819_1923"</v>
      </c>
    </row>
    <row r="1067" spans="1:18">
      <c r="A1067" s="179" t="s">
        <v>6501</v>
      </c>
      <c r="K1067" s="180"/>
      <c r="M1067" t="s">
        <v>2246</v>
      </c>
      <c r="N1067" t="s">
        <v>5571</v>
      </c>
      <c r="O1067" t="s">
        <v>4925</v>
      </c>
      <c r="Q1067" t="str">
        <f t="shared" si="75"/>
        <v>condorProc.py --series 07180819_1934 --donoise  --dumps a --procenv environments/pymidas_HVHV_NaI_mf.env</v>
      </c>
      <c r="R1067" t="str">
        <f t="shared" si="76"/>
        <v>"07180819_1843", "07180819_1853", "07180819_1903", "07180819_1913", "07180819_1923", "07180819_1934"</v>
      </c>
    </row>
    <row r="1068" spans="1:18">
      <c r="A1068" s="179" t="s">
        <v>6502</v>
      </c>
      <c r="K1068" s="180"/>
      <c r="M1068" t="s">
        <v>2246</v>
      </c>
      <c r="N1068" t="s">
        <v>5571</v>
      </c>
      <c r="O1068" t="s">
        <v>4925</v>
      </c>
      <c r="Q1068" t="str">
        <f t="shared" si="75"/>
        <v>condorProc.py --series 07180819_1944 --donoise  --dumps a --procenv environments/pymidas_HVHV_NaI_mf.env</v>
      </c>
      <c r="R1068" t="str">
        <f t="shared" si="76"/>
        <v>"07180819_1843", "07180819_1853", "07180819_1903", "07180819_1913", "07180819_1923", "07180819_1934", "07180819_1944"</v>
      </c>
    </row>
    <row r="1069" spans="1:18">
      <c r="A1069" s="179" t="s">
        <v>6503</v>
      </c>
      <c r="K1069" s="180"/>
      <c r="M1069" t="s">
        <v>2246</v>
      </c>
      <c r="N1069" t="s">
        <v>5571</v>
      </c>
      <c r="O1069" t="s">
        <v>4925</v>
      </c>
      <c r="Q1069" t="str">
        <f t="shared" si="75"/>
        <v>condorProc.py --series 07180819_1954 --donoise  --dumps a --procenv environments/pymidas_HVHV_NaI_mf.env</v>
      </c>
      <c r="R1069" t="str">
        <f t="shared" si="76"/>
        <v>"07180819_1843", "07180819_1853", "07180819_1903", "07180819_1913", "07180819_1923", "07180819_1934", "07180819_1944", "07180819_1954"</v>
      </c>
    </row>
    <row r="1070" spans="1:18">
      <c r="A1070" s="179" t="s">
        <v>6504</v>
      </c>
      <c r="K1070" s="180"/>
      <c r="M1070" t="s">
        <v>2246</v>
      </c>
      <c r="N1070" t="s">
        <v>5571</v>
      </c>
      <c r="O1070" t="s">
        <v>4925</v>
      </c>
      <c r="Q1070" t="str">
        <f t="shared" si="75"/>
        <v>condorProc.py --series 07180819_2004 --donoise  --dumps a --procenv environments/pymidas_HVHV_NaI_mf.env</v>
      </c>
      <c r="R1070" t="str">
        <f t="shared" si="76"/>
        <v>"07180819_1843", "07180819_1853", "07180819_1903", "07180819_1913", "07180819_1923", "07180819_1934", "07180819_1944", "07180819_1954", "07180819_2004"</v>
      </c>
    </row>
    <row r="1071" spans="1:18">
      <c r="A1071" s="179" t="s">
        <v>6505</v>
      </c>
      <c r="K1071" s="180"/>
      <c r="M1071" t="s">
        <v>2246</v>
      </c>
      <c r="N1071" t="s">
        <v>5571</v>
      </c>
      <c r="O1071" t="s">
        <v>4925</v>
      </c>
      <c r="Q1071" t="str">
        <f t="shared" si="75"/>
        <v>condorProc.py --series 07180819_2014 --donoise  --dumps a --procenv environments/pymidas_HVHV_NaI_mf.env</v>
      </c>
      <c r="R1071" t="str">
        <f t="shared" si="76"/>
        <v>"07180819_1843", "07180819_1853", "07180819_1903", "07180819_1913", "07180819_1923", "07180819_1934", "07180819_1944", "07180819_1954", "07180819_2004", "07180819_2014"</v>
      </c>
    </row>
    <row r="1072" spans="1:18">
      <c r="A1072" s="179" t="s">
        <v>6506</v>
      </c>
      <c r="K1072" s="180"/>
      <c r="M1072" t="s">
        <v>2246</v>
      </c>
      <c r="N1072" t="s">
        <v>5571</v>
      </c>
      <c r="O1072" t="s">
        <v>4925</v>
      </c>
      <c r="Q1072" t="str">
        <f t="shared" si="75"/>
        <v>condorProc.py --series 07180819_2024 --donoise  --dumps a --procenv environments/pymidas_HVHV_NaI_mf.env</v>
      </c>
      <c r="R1072" t="str">
        <f t="shared" si="76"/>
        <v>"07180819_1843", "07180819_1853", "07180819_1903", "07180819_1913", "07180819_1923", "07180819_1934", "07180819_1944", "07180819_1954", "07180819_2004", "07180819_2014", "07180819_2024"</v>
      </c>
    </row>
    <row r="1073" spans="1:18">
      <c r="A1073" s="179" t="s">
        <v>6507</v>
      </c>
      <c r="K1073" s="180"/>
      <c r="M1073" t="s">
        <v>2246</v>
      </c>
      <c r="N1073" t="s">
        <v>5571</v>
      </c>
      <c r="O1073" t="s">
        <v>4925</v>
      </c>
      <c r="Q1073" t="str">
        <f t="shared" si="75"/>
        <v>condorProc.py --series 07180819_2034 --donoise  --dumps a --procenv environments/pymidas_HVHV_NaI_mf.env</v>
      </c>
      <c r="R1073" t="str">
        <f t="shared" si="76"/>
        <v>"07180819_1843", "07180819_1853", "07180819_1903", "07180819_1913", "07180819_1923", "07180819_1934", "07180819_1944", "07180819_1954", "07180819_2004", "07180819_2014", "07180819_2024", "07180819_2034"</v>
      </c>
    </row>
    <row r="1074" spans="1:18">
      <c r="A1074" s="176" t="s">
        <v>6508</v>
      </c>
      <c r="B1074" s="177"/>
      <c r="C1074" s="177"/>
      <c r="D1074" s="177"/>
      <c r="E1074" s="177"/>
      <c r="F1074" s="177">
        <v>10</v>
      </c>
      <c r="G1074" s="177" t="s">
        <v>18</v>
      </c>
      <c r="H1074" s="177">
        <v>40</v>
      </c>
      <c r="I1074" s="177"/>
      <c r="J1074" s="177" t="s">
        <v>5577</v>
      </c>
      <c r="K1074" s="178" t="s">
        <v>5583</v>
      </c>
      <c r="M1074" t="s">
        <v>2246</v>
      </c>
      <c r="N1074" t="s">
        <v>5571</v>
      </c>
      <c r="O1074" t="s">
        <v>4925</v>
      </c>
      <c r="Q1074" t="str">
        <f>"condorProc.py --series "&amp;A1074&amp;" --donoise --dumps a --procenv environments/pymidas_HVHV_NaI_mf.env"</f>
        <v>condorProc.py --series 07180819_2123 --donoise --dumps a --procenv environments/pymidas_HVHV_NaI_mf.env</v>
      </c>
      <c r="R1074" t="str">
        <f t="shared" si="76"/>
        <v>"07180819_1843", "07180819_1853", "07180819_1903", "07180819_1913", "07180819_1923", "07180819_1934", "07180819_1944", "07180819_1954", "07180819_2004", "07180819_2014", "07180819_2024", "07180819_2034", "07180819_2123"</v>
      </c>
    </row>
    <row r="1075" spans="1:18">
      <c r="A1075" s="179" t="s">
        <v>6509</v>
      </c>
      <c r="J1075" t="s">
        <v>5585</v>
      </c>
      <c r="K1075" s="180" t="s">
        <v>5671</v>
      </c>
      <c r="M1075" t="s">
        <v>2246</v>
      </c>
      <c r="N1075" t="s">
        <v>5571</v>
      </c>
      <c r="O1075" t="s">
        <v>4925</v>
      </c>
      <c r="Q1075" t="str">
        <f t="shared" ref="Q1075:Q1138" si="77">"condorProc.py --series "&amp;A1075&amp;" --donoise --dumps a --procenv environments/pymidas_HVHV_NaI_mf.env"</f>
        <v>condorProc.py --series 07180819_2134 --donoise --dumps a --procenv environments/pymidas_HVHV_NaI_mf.env</v>
      </c>
      <c r="R1075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</v>
      </c>
    </row>
    <row r="1076" spans="1:18">
      <c r="A1076" s="179" t="s">
        <v>6510</v>
      </c>
      <c r="K1076" s="187" t="s">
        <v>6206</v>
      </c>
      <c r="M1076" t="s">
        <v>2246</v>
      </c>
      <c r="N1076" t="s">
        <v>5571</v>
      </c>
      <c r="O1076" t="s">
        <v>4925</v>
      </c>
      <c r="Q1076" t="str">
        <f t="shared" si="77"/>
        <v>condorProc.py --series 07180819_2144 --donoise --dumps a --procenv environments/pymidas_HVHV_NaI_mf.env</v>
      </c>
      <c r="R1076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</v>
      </c>
    </row>
    <row r="1077" spans="1:18">
      <c r="A1077" s="179" t="s">
        <v>6511</v>
      </c>
      <c r="K1077" s="180"/>
      <c r="M1077" t="s">
        <v>2246</v>
      </c>
      <c r="N1077" t="s">
        <v>5571</v>
      </c>
      <c r="O1077" t="s">
        <v>4925</v>
      </c>
      <c r="Q1077" t="str">
        <f t="shared" si="77"/>
        <v>condorProc.py --series 07180819_2154 --donoise --dumps a --procenv environments/pymidas_HVHV_NaI_mf.env</v>
      </c>
      <c r="R1077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</v>
      </c>
    </row>
    <row r="1078" spans="1:18">
      <c r="A1078" s="179" t="s">
        <v>6512</v>
      </c>
      <c r="K1078" s="180"/>
      <c r="M1078" t="s">
        <v>2246</v>
      </c>
      <c r="N1078" t="s">
        <v>5571</v>
      </c>
      <c r="O1078" t="s">
        <v>4925</v>
      </c>
      <c r="Q1078" t="str">
        <f t="shared" si="77"/>
        <v>condorProc.py --series 07180819_2204 --donoise --dumps a --procenv environments/pymidas_HVHV_NaI_mf.env</v>
      </c>
      <c r="R1078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</v>
      </c>
    </row>
    <row r="1079" spans="1:18">
      <c r="A1079" s="179" t="s">
        <v>6513</v>
      </c>
      <c r="K1079" s="180"/>
      <c r="M1079" t="s">
        <v>2246</v>
      </c>
      <c r="N1079" t="s">
        <v>5571</v>
      </c>
      <c r="O1079" t="s">
        <v>4925</v>
      </c>
      <c r="Q1079" t="str">
        <f t="shared" si="77"/>
        <v>condorProc.py --series 07180819_2214 --donoise --dumps a --procenv environments/pymidas_HVHV_NaI_mf.env</v>
      </c>
      <c r="R1079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</v>
      </c>
    </row>
    <row r="1080" spans="1:18">
      <c r="A1080" s="179" t="s">
        <v>6514</v>
      </c>
      <c r="K1080" s="180"/>
      <c r="M1080" t="s">
        <v>2246</v>
      </c>
      <c r="N1080" t="s">
        <v>5571</v>
      </c>
      <c r="O1080" t="s">
        <v>4925</v>
      </c>
      <c r="Q1080" t="str">
        <f t="shared" si="77"/>
        <v>condorProc.py --series 07180819_2224 --donoise --dumps a --procenv environments/pymidas_HVHV_NaI_mf.env</v>
      </c>
      <c r="R1080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</v>
      </c>
    </row>
    <row r="1081" spans="1:18">
      <c r="A1081" s="179" t="s">
        <v>6515</v>
      </c>
      <c r="K1081" s="180"/>
      <c r="M1081" t="s">
        <v>2246</v>
      </c>
      <c r="N1081" t="s">
        <v>5571</v>
      </c>
      <c r="O1081" t="s">
        <v>4925</v>
      </c>
      <c r="Q1081" t="str">
        <f t="shared" si="77"/>
        <v>condorProc.py --series 07180819_2234 --donoise --dumps a --procenv environments/pymidas_HVHV_NaI_mf.env</v>
      </c>
      <c r="R1081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</v>
      </c>
    </row>
    <row r="1082" spans="1:18">
      <c r="A1082" s="179" t="s">
        <v>6516</v>
      </c>
      <c r="K1082" s="180"/>
      <c r="M1082" t="s">
        <v>2246</v>
      </c>
      <c r="N1082" t="s">
        <v>5571</v>
      </c>
      <c r="O1082" t="s">
        <v>4925</v>
      </c>
      <c r="Q1082" t="str">
        <f t="shared" si="77"/>
        <v>condorProc.py --series 07180819_2244 --donoise --dumps a --procenv environments/pymidas_HVHV_NaI_mf.env</v>
      </c>
      <c r="R1082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</v>
      </c>
    </row>
    <row r="1083" spans="1:18">
      <c r="A1083" s="179" t="s">
        <v>6517</v>
      </c>
      <c r="K1083" s="180"/>
      <c r="M1083" t="s">
        <v>2246</v>
      </c>
      <c r="N1083" t="s">
        <v>5571</v>
      </c>
      <c r="O1083" t="s">
        <v>4925</v>
      </c>
      <c r="Q1083" t="str">
        <f t="shared" si="77"/>
        <v>condorProc.py --series 07180819_2255 --donoise --dumps a --procenv environments/pymidas_HVHV_NaI_mf.env</v>
      </c>
      <c r="R1083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</v>
      </c>
    </row>
    <row r="1084" spans="1:18">
      <c r="A1084" s="179" t="s">
        <v>6518</v>
      </c>
      <c r="K1084" s="180"/>
      <c r="M1084" t="s">
        <v>2246</v>
      </c>
      <c r="N1084" t="s">
        <v>5571</v>
      </c>
      <c r="O1084" t="s">
        <v>4925</v>
      </c>
      <c r="Q1084" t="str">
        <f t="shared" si="77"/>
        <v>condorProc.py --series 07180819_2305 --donoise --dumps a --procenv environments/pymidas_HVHV_NaI_mf.env</v>
      </c>
      <c r="R1084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</v>
      </c>
    </row>
    <row r="1085" spans="1:18">
      <c r="A1085" s="181" t="s">
        <v>6519</v>
      </c>
      <c r="B1085" s="65"/>
      <c r="C1085" s="65"/>
      <c r="D1085" s="65"/>
      <c r="E1085" s="65"/>
      <c r="F1085" s="65"/>
      <c r="G1085" s="65"/>
      <c r="H1085" s="65"/>
      <c r="I1085" s="65"/>
      <c r="J1085" s="65"/>
      <c r="K1085" s="182"/>
      <c r="M1085" t="s">
        <v>2246</v>
      </c>
      <c r="N1085" t="s">
        <v>5571</v>
      </c>
      <c r="O1085" t="s">
        <v>4925</v>
      </c>
      <c r="Q1085" t="str">
        <f t="shared" si="77"/>
        <v>condorProc.py --series 07180819_2315 --donoise --dumps a --procenv environments/pymidas_HVHV_NaI_mf.env</v>
      </c>
      <c r="R1085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</v>
      </c>
    </row>
    <row r="1086" spans="1:18">
      <c r="A1086" s="179" t="s">
        <v>6520</v>
      </c>
      <c r="F1086">
        <v>10</v>
      </c>
      <c r="G1086" t="s">
        <v>18</v>
      </c>
      <c r="H1086">
        <v>40</v>
      </c>
      <c r="J1086" t="s">
        <v>5577</v>
      </c>
      <c r="K1086" s="180" t="s">
        <v>5583</v>
      </c>
      <c r="M1086" t="s">
        <v>2246</v>
      </c>
      <c r="N1086" t="s">
        <v>5571</v>
      </c>
      <c r="O1086" t="s">
        <v>4925</v>
      </c>
      <c r="Q1086" t="str">
        <f t="shared" si="77"/>
        <v>condorProc.py --series 07180820_0004 --donoise --dumps a --procenv environments/pymidas_HVHV_NaI_mf.env</v>
      </c>
      <c r="R1086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</v>
      </c>
    </row>
    <row r="1087" spans="1:18">
      <c r="A1087" s="179" t="s">
        <v>6521</v>
      </c>
      <c r="J1087" t="s">
        <v>5585</v>
      </c>
      <c r="K1087" s="180" t="s">
        <v>5671</v>
      </c>
      <c r="M1087" t="s">
        <v>2246</v>
      </c>
      <c r="N1087" t="s">
        <v>5571</v>
      </c>
      <c r="O1087" t="s">
        <v>4925</v>
      </c>
      <c r="Q1087" t="str">
        <f t="shared" si="77"/>
        <v>condorProc.py --series 07180820_0014 --donoise --dumps a --procenv environments/pymidas_HVHV_NaI_mf.env</v>
      </c>
      <c r="R1087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</v>
      </c>
    </row>
    <row r="1088" spans="1:18">
      <c r="A1088" s="179" t="s">
        <v>6522</v>
      </c>
      <c r="K1088" s="187" t="s">
        <v>6206</v>
      </c>
      <c r="M1088" t="s">
        <v>2246</v>
      </c>
      <c r="N1088" t="s">
        <v>5571</v>
      </c>
      <c r="O1088" t="s">
        <v>4925</v>
      </c>
      <c r="Q1088" t="str">
        <f t="shared" si="77"/>
        <v>condorProc.py --series 07180820_0024 --donoise --dumps a --procenv environments/pymidas_HVHV_NaI_mf.env</v>
      </c>
      <c r="R1088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</v>
      </c>
    </row>
    <row r="1089" spans="1:18">
      <c r="A1089" s="179" t="s">
        <v>6523</v>
      </c>
      <c r="K1089" s="180"/>
      <c r="M1089" t="s">
        <v>2246</v>
      </c>
      <c r="N1089" t="s">
        <v>5571</v>
      </c>
      <c r="O1089" t="s">
        <v>4925</v>
      </c>
      <c r="Q1089" t="str">
        <f t="shared" si="77"/>
        <v>condorProc.py --series 07180820_0034 --donoise --dumps a --procenv environments/pymidas_HVHV_NaI_mf.env</v>
      </c>
      <c r="R1089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</v>
      </c>
    </row>
    <row r="1090" spans="1:18">
      <c r="A1090" s="179" t="s">
        <v>6524</v>
      </c>
      <c r="K1090" s="180"/>
      <c r="M1090" t="s">
        <v>2246</v>
      </c>
      <c r="N1090" t="s">
        <v>5571</v>
      </c>
      <c r="O1090" t="s">
        <v>4925</v>
      </c>
      <c r="Q1090" t="str">
        <f t="shared" si="77"/>
        <v>condorProc.py --series 07180820_0045 --donoise --dumps a --procenv environments/pymidas_HVHV_NaI_mf.env</v>
      </c>
      <c r="R1090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</v>
      </c>
    </row>
    <row r="1091" spans="1:18">
      <c r="A1091" s="179" t="s">
        <v>6525</v>
      </c>
      <c r="K1091" s="180"/>
      <c r="M1091" t="s">
        <v>2246</v>
      </c>
      <c r="N1091" t="s">
        <v>5571</v>
      </c>
      <c r="O1091" t="s">
        <v>4925</v>
      </c>
      <c r="Q1091" t="str">
        <f t="shared" si="77"/>
        <v>condorProc.py --series 07180820_0055 --donoise --dumps a --procenv environments/pymidas_HVHV_NaI_mf.env</v>
      </c>
      <c r="R1091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</v>
      </c>
    </row>
    <row r="1092" spans="1:18">
      <c r="A1092" s="179" t="s">
        <v>6526</v>
      </c>
      <c r="K1092" s="180"/>
      <c r="M1092" t="s">
        <v>2246</v>
      </c>
      <c r="N1092" t="s">
        <v>5571</v>
      </c>
      <c r="O1092" t="s">
        <v>4925</v>
      </c>
      <c r="Q1092" t="str">
        <f t="shared" si="77"/>
        <v>condorProc.py --series 07180820_0105 --donoise --dumps a --procenv environments/pymidas_HVHV_NaI_mf.env</v>
      </c>
      <c r="R1092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</v>
      </c>
    </row>
    <row r="1093" spans="1:18">
      <c r="A1093" s="179" t="s">
        <v>6527</v>
      </c>
      <c r="K1093" s="180"/>
      <c r="M1093" t="s">
        <v>2246</v>
      </c>
      <c r="N1093" t="s">
        <v>5571</v>
      </c>
      <c r="O1093" t="s">
        <v>4925</v>
      </c>
      <c r="Q1093" t="str">
        <f t="shared" si="77"/>
        <v>condorProc.py --series 07180820_0115 --donoise --dumps a --procenv environments/pymidas_HVHV_NaI_mf.env</v>
      </c>
      <c r="R1093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</v>
      </c>
    </row>
    <row r="1094" spans="1:18">
      <c r="A1094" s="179" t="s">
        <v>6528</v>
      </c>
      <c r="K1094" s="180"/>
      <c r="M1094" t="s">
        <v>2246</v>
      </c>
      <c r="N1094" t="s">
        <v>5571</v>
      </c>
      <c r="O1094" t="s">
        <v>4925</v>
      </c>
      <c r="Q1094" t="str">
        <f t="shared" si="77"/>
        <v>condorProc.py --series 07180820_0125 --donoise --dumps a --procenv environments/pymidas_HVHV_NaI_mf.env</v>
      </c>
      <c r="R1094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</v>
      </c>
    </row>
    <row r="1095" spans="1:18">
      <c r="A1095" s="179" t="s">
        <v>6529</v>
      </c>
      <c r="K1095" s="180"/>
      <c r="M1095" t="s">
        <v>2246</v>
      </c>
      <c r="N1095" t="s">
        <v>5571</v>
      </c>
      <c r="O1095" t="s">
        <v>4925</v>
      </c>
      <c r="Q1095" t="str">
        <f t="shared" si="77"/>
        <v>condorProc.py --series 07180820_0135 --donoise --dumps a --procenv environments/pymidas_HVHV_NaI_mf.env</v>
      </c>
      <c r="R1095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</v>
      </c>
    </row>
    <row r="1096" spans="1:18">
      <c r="A1096" s="179" t="s">
        <v>6530</v>
      </c>
      <c r="K1096" s="180"/>
      <c r="M1096" t="s">
        <v>2246</v>
      </c>
      <c r="N1096" t="s">
        <v>5571</v>
      </c>
      <c r="O1096" t="s">
        <v>4925</v>
      </c>
      <c r="Q1096" t="str">
        <f t="shared" si="77"/>
        <v>condorProc.py --series 07180820_0145 --donoise --dumps a --procenv environments/pymidas_HVHV_NaI_mf.env</v>
      </c>
      <c r="R1096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</v>
      </c>
    </row>
    <row r="1097" spans="1:18">
      <c r="A1097" s="181" t="s">
        <v>6531</v>
      </c>
      <c r="B1097" s="65"/>
      <c r="C1097" s="65"/>
      <c r="D1097" s="65"/>
      <c r="E1097" s="65"/>
      <c r="F1097" s="65"/>
      <c r="G1097" s="65"/>
      <c r="H1097" s="65"/>
      <c r="I1097" s="65"/>
      <c r="J1097" s="65"/>
      <c r="K1097" s="182"/>
      <c r="M1097" t="s">
        <v>2246</v>
      </c>
      <c r="N1097" t="s">
        <v>5571</v>
      </c>
      <c r="O1097" t="s">
        <v>4925</v>
      </c>
      <c r="Q1097" t="str">
        <f t="shared" si="77"/>
        <v>condorProc.py --series 07180820_0155 --donoise --dumps a --procenv environments/pymidas_HVHV_NaI_mf.env</v>
      </c>
      <c r="R1097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</v>
      </c>
    </row>
    <row r="1098" spans="1:18">
      <c r="A1098" s="176" t="s">
        <v>6532</v>
      </c>
      <c r="B1098" s="177"/>
      <c r="C1098" s="177"/>
      <c r="D1098" s="177"/>
      <c r="E1098" s="177"/>
      <c r="F1098" s="177">
        <v>10</v>
      </c>
      <c r="G1098" s="177" t="s">
        <v>18</v>
      </c>
      <c r="H1098" s="177">
        <v>40</v>
      </c>
      <c r="I1098" s="177"/>
      <c r="J1098" s="177" t="s">
        <v>5577</v>
      </c>
      <c r="K1098" s="178" t="s">
        <v>5583</v>
      </c>
      <c r="M1098" t="s">
        <v>2246</v>
      </c>
      <c r="N1098" t="s">
        <v>5571</v>
      </c>
      <c r="O1098" t="s">
        <v>4925</v>
      </c>
      <c r="Q1098" t="str">
        <f t="shared" si="77"/>
        <v>condorProc.py --series 07180820_0245 --donoise --dumps a --procenv environments/pymidas_HVHV_NaI_mf.env</v>
      </c>
      <c r="R1098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</v>
      </c>
    </row>
    <row r="1099" spans="1:18">
      <c r="A1099" s="179" t="s">
        <v>6533</v>
      </c>
      <c r="J1099" t="s">
        <v>5585</v>
      </c>
      <c r="K1099" s="180" t="s">
        <v>5671</v>
      </c>
      <c r="M1099" t="s">
        <v>2246</v>
      </c>
      <c r="N1099" t="s">
        <v>5571</v>
      </c>
      <c r="O1099" t="s">
        <v>4925</v>
      </c>
      <c r="Q1099" t="str">
        <f t="shared" si="77"/>
        <v>condorProc.py --series 07180820_0255 --donoise --dumps a --procenv environments/pymidas_HVHV_NaI_mf.env</v>
      </c>
      <c r="R1099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</v>
      </c>
    </row>
    <row r="1100" spans="1:18">
      <c r="A1100" s="179" t="s">
        <v>6534</v>
      </c>
      <c r="K1100" s="187" t="s">
        <v>6206</v>
      </c>
      <c r="M1100" t="s">
        <v>2246</v>
      </c>
      <c r="N1100" t="s">
        <v>5571</v>
      </c>
      <c r="O1100" t="s">
        <v>4925</v>
      </c>
      <c r="Q1100" t="str">
        <f t="shared" si="77"/>
        <v>condorProc.py --series 07180820_0305 --donoise --dumps a --procenv environments/pymidas_HVHV_NaI_mf.env</v>
      </c>
      <c r="R1100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</v>
      </c>
    </row>
    <row r="1101" spans="1:18">
      <c r="A1101" s="179" t="s">
        <v>6535</v>
      </c>
      <c r="K1101" s="180"/>
      <c r="M1101" t="s">
        <v>2246</v>
      </c>
      <c r="N1101" t="s">
        <v>5571</v>
      </c>
      <c r="O1101" t="s">
        <v>4925</v>
      </c>
      <c r="Q1101" t="str">
        <f t="shared" si="77"/>
        <v>condorProc.py --series 07180820_0315 --donoise --dumps a --procenv environments/pymidas_HVHV_NaI_mf.env</v>
      </c>
      <c r="R1101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</v>
      </c>
    </row>
    <row r="1102" spans="1:18">
      <c r="A1102" s="179" t="s">
        <v>6536</v>
      </c>
      <c r="K1102" s="180"/>
      <c r="M1102" t="s">
        <v>2246</v>
      </c>
      <c r="N1102" t="s">
        <v>5571</v>
      </c>
      <c r="O1102" t="s">
        <v>4925</v>
      </c>
      <c r="Q1102" t="str">
        <f t="shared" si="77"/>
        <v>condorProc.py --series 07180820_0325 --donoise --dumps a --procenv environments/pymidas_HVHV_NaI_mf.env</v>
      </c>
      <c r="R1102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</v>
      </c>
    </row>
    <row r="1103" spans="1:18">
      <c r="A1103" s="179" t="s">
        <v>6537</v>
      </c>
      <c r="K1103" s="180"/>
      <c r="M1103" t="s">
        <v>2246</v>
      </c>
      <c r="N1103" t="s">
        <v>5571</v>
      </c>
      <c r="O1103" t="s">
        <v>4925</v>
      </c>
      <c r="Q1103" t="str">
        <f t="shared" si="77"/>
        <v>condorProc.py --series 07180820_0335 --donoise --dumps a --procenv environments/pymidas_HVHV_NaI_mf.env</v>
      </c>
      <c r="R1103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</v>
      </c>
    </row>
    <row r="1104" spans="1:18">
      <c r="A1104" s="179" t="s">
        <v>6538</v>
      </c>
      <c r="K1104" s="180"/>
      <c r="M1104" t="s">
        <v>2246</v>
      </c>
      <c r="N1104" t="s">
        <v>5571</v>
      </c>
      <c r="O1104" t="s">
        <v>4925</v>
      </c>
      <c r="Q1104" t="str">
        <f t="shared" si="77"/>
        <v>condorProc.py --series 07180820_0345 --donoise --dumps a --procenv environments/pymidas_HVHV_NaI_mf.env</v>
      </c>
      <c r="R1104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</v>
      </c>
    </row>
    <row r="1105" spans="1:18">
      <c r="A1105" s="179" t="s">
        <v>6539</v>
      </c>
      <c r="K1105" s="180"/>
      <c r="M1105" t="s">
        <v>2246</v>
      </c>
      <c r="N1105" t="s">
        <v>5571</v>
      </c>
      <c r="O1105" t="s">
        <v>4925</v>
      </c>
      <c r="Q1105" t="str">
        <f t="shared" si="77"/>
        <v>condorProc.py --series 07180820_0355 --donoise --dumps a --procenv environments/pymidas_HVHV_NaI_mf.env</v>
      </c>
      <c r="R1105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</v>
      </c>
    </row>
    <row r="1106" spans="1:18">
      <c r="A1106" s="179" t="s">
        <v>6540</v>
      </c>
      <c r="K1106" s="180"/>
      <c r="M1106" t="s">
        <v>2246</v>
      </c>
      <c r="N1106" t="s">
        <v>5571</v>
      </c>
      <c r="O1106" t="s">
        <v>4925</v>
      </c>
      <c r="Q1106" t="str">
        <f t="shared" si="77"/>
        <v>condorProc.py --series 07180820_0406 --donoise --dumps a --procenv environments/pymidas_HVHV_NaI_mf.env</v>
      </c>
      <c r="R1106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</v>
      </c>
    </row>
    <row r="1107" spans="1:18">
      <c r="A1107" s="179" t="s">
        <v>6541</v>
      </c>
      <c r="K1107" s="180"/>
      <c r="M1107" t="s">
        <v>2246</v>
      </c>
      <c r="N1107" t="s">
        <v>5571</v>
      </c>
      <c r="O1107" t="s">
        <v>4925</v>
      </c>
      <c r="Q1107" t="str">
        <f t="shared" si="77"/>
        <v>condorProc.py --series 07180820_0416 --donoise --dumps a --procenv environments/pymidas_HVHV_NaI_mf.env</v>
      </c>
      <c r="R1107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</v>
      </c>
    </row>
    <row r="1108" spans="1:18">
      <c r="A1108" s="179" t="s">
        <v>6542</v>
      </c>
      <c r="K1108" s="180"/>
      <c r="M1108" t="s">
        <v>2246</v>
      </c>
      <c r="N1108" t="s">
        <v>5571</v>
      </c>
      <c r="O1108" t="s">
        <v>4925</v>
      </c>
      <c r="Q1108" t="str">
        <f t="shared" si="77"/>
        <v>condorProc.py --series 07180820_0426 --donoise --dumps a --procenv environments/pymidas_HVHV_NaI_mf.env</v>
      </c>
      <c r="R1108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</v>
      </c>
    </row>
    <row r="1109" spans="1:18">
      <c r="A1109" s="181" t="s">
        <v>6543</v>
      </c>
      <c r="B1109" s="65"/>
      <c r="C1109" s="65"/>
      <c r="D1109" s="65"/>
      <c r="E1109" s="65"/>
      <c r="F1109" s="65"/>
      <c r="G1109" s="65"/>
      <c r="H1109" s="65"/>
      <c r="I1109" s="65"/>
      <c r="J1109" s="65"/>
      <c r="K1109" s="182"/>
      <c r="M1109" t="s">
        <v>2246</v>
      </c>
      <c r="N1109" t="s">
        <v>5571</v>
      </c>
      <c r="O1109" t="s">
        <v>4925</v>
      </c>
      <c r="Q1109" t="str">
        <f t="shared" si="77"/>
        <v>condorProc.py --series 07180820_0436 --donoise --dumps a --procenv environments/pymidas_HVHV_NaI_mf.env</v>
      </c>
      <c r="R1109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</v>
      </c>
    </row>
    <row r="1110" spans="1:18">
      <c r="A1110" s="176" t="s">
        <v>6544</v>
      </c>
      <c r="B1110" s="177"/>
      <c r="C1110" s="177"/>
      <c r="D1110" s="177"/>
      <c r="E1110" s="177"/>
      <c r="F1110" s="177">
        <v>10</v>
      </c>
      <c r="G1110" s="177" t="s">
        <v>18</v>
      </c>
      <c r="H1110" s="177">
        <v>40</v>
      </c>
      <c r="I1110" s="177"/>
      <c r="J1110" s="177" t="s">
        <v>5577</v>
      </c>
      <c r="K1110" s="178" t="s">
        <v>5583</v>
      </c>
      <c r="M1110" t="s">
        <v>2246</v>
      </c>
      <c r="N1110" t="s">
        <v>5571</v>
      </c>
      <c r="O1110" t="s">
        <v>4925</v>
      </c>
      <c r="Q1110" t="str">
        <f t="shared" si="77"/>
        <v>condorProc.py --series 07180820_0525 --donoise --dumps a --procenv environments/pymidas_HVHV_NaI_mf.env</v>
      </c>
      <c r="R1110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</v>
      </c>
    </row>
    <row r="1111" spans="1:18">
      <c r="A1111" s="179" t="s">
        <v>6545</v>
      </c>
      <c r="J1111" t="s">
        <v>5585</v>
      </c>
      <c r="K1111" s="180" t="s">
        <v>5671</v>
      </c>
      <c r="M1111" t="s">
        <v>2246</v>
      </c>
      <c r="N1111" t="s">
        <v>5571</v>
      </c>
      <c r="O1111" t="s">
        <v>4925</v>
      </c>
      <c r="Q1111" t="str">
        <f t="shared" si="77"/>
        <v>condorProc.py --series 07180820_0535 --donoise --dumps a --procenv environments/pymidas_HVHV_NaI_mf.env</v>
      </c>
      <c r="R1111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</v>
      </c>
    </row>
    <row r="1112" spans="1:18">
      <c r="A1112" s="179" t="s">
        <v>6546</v>
      </c>
      <c r="K1112" s="187" t="s">
        <v>6206</v>
      </c>
      <c r="M1112" t="s">
        <v>2246</v>
      </c>
      <c r="N1112" t="s">
        <v>5571</v>
      </c>
      <c r="O1112" t="s">
        <v>4925</v>
      </c>
      <c r="Q1112" t="str">
        <f t="shared" si="77"/>
        <v>condorProc.py --series 07180820_0545 --donoise --dumps a --procenv environments/pymidas_HVHV_NaI_mf.env</v>
      </c>
      <c r="R1112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</v>
      </c>
    </row>
    <row r="1113" spans="1:18">
      <c r="A1113" s="179" t="s">
        <v>6547</v>
      </c>
      <c r="K1113" s="180"/>
      <c r="M1113" t="s">
        <v>2246</v>
      </c>
      <c r="N1113" t="s">
        <v>5571</v>
      </c>
      <c r="O1113" t="s">
        <v>4925</v>
      </c>
      <c r="Q1113" t="str">
        <f t="shared" si="77"/>
        <v>condorProc.py --series 07180820_0555 --donoise --dumps a --procenv environments/pymidas_HVHV_NaI_mf.env</v>
      </c>
      <c r="R1113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"07180820_0545", "07180820_0555"</v>
      </c>
    </row>
    <row r="1114" spans="1:18">
      <c r="A1114" s="179" t="s">
        <v>6548</v>
      </c>
      <c r="K1114" s="180"/>
      <c r="M1114" t="s">
        <v>2246</v>
      </c>
      <c r="N1114" t="s">
        <v>5571</v>
      </c>
      <c r="O1114" t="s">
        <v>4925</v>
      </c>
      <c r="Q1114" t="str">
        <f t="shared" si="77"/>
        <v>condorProc.py --series 07180820_0606 --donoise --dumps a --procenv environments/pymidas_HVHV_NaI_mf.env</v>
      </c>
      <c r="R1114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"07180820_0545", "07180820_0555", "07180820_0606"</v>
      </c>
    </row>
    <row r="1115" spans="1:18">
      <c r="A1115" s="179" t="s">
        <v>6549</v>
      </c>
      <c r="K1115" s="180"/>
      <c r="M1115" t="s">
        <v>2246</v>
      </c>
      <c r="N1115" t="s">
        <v>5571</v>
      </c>
      <c r="O1115" t="s">
        <v>4925</v>
      </c>
      <c r="Q1115" t="str">
        <f t="shared" si="77"/>
        <v>condorProc.py --series 07180820_0616 --donoise --dumps a --procenv environments/pymidas_HVHV_NaI_mf.env</v>
      </c>
      <c r="R1115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"07180820_0545", "07180820_0555", "07180820_0606", "07180820_0616"</v>
      </c>
    </row>
    <row r="1116" spans="1:18">
      <c r="A1116" s="179" t="s">
        <v>6550</v>
      </c>
      <c r="K1116" s="180"/>
      <c r="M1116" t="s">
        <v>2246</v>
      </c>
      <c r="N1116" t="s">
        <v>5571</v>
      </c>
      <c r="O1116" t="s">
        <v>4925</v>
      </c>
      <c r="Q1116" t="str">
        <f t="shared" si="77"/>
        <v>condorProc.py --series 07180820_0626 --donoise --dumps a --procenv environments/pymidas_HVHV_NaI_mf.env</v>
      </c>
      <c r="R1116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"07180820_0545", "07180820_0555", "07180820_0606", "07180820_0616", "07180820_0626"</v>
      </c>
    </row>
    <row r="1117" spans="1:18">
      <c r="A1117" s="179" t="s">
        <v>6551</v>
      </c>
      <c r="K1117" s="180"/>
      <c r="M1117" t="s">
        <v>2246</v>
      </c>
      <c r="N1117" t="s">
        <v>5571</v>
      </c>
      <c r="O1117" t="s">
        <v>4925</v>
      </c>
      <c r="Q1117" t="str">
        <f t="shared" si="77"/>
        <v>condorProc.py --series 07180820_0636 --donoise --dumps a --procenv environments/pymidas_HVHV_NaI_mf.env</v>
      </c>
      <c r="R1117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"07180820_0545", "07180820_0555", "07180820_0606", "07180820_0616", "07180820_0626", "07180820_0636"</v>
      </c>
    </row>
    <row r="1118" spans="1:18">
      <c r="A1118" s="179" t="s">
        <v>6552</v>
      </c>
      <c r="K1118" s="180"/>
      <c r="M1118" t="s">
        <v>2246</v>
      </c>
      <c r="N1118" t="s">
        <v>5571</v>
      </c>
      <c r="O1118" t="s">
        <v>4925</v>
      </c>
      <c r="Q1118" t="str">
        <f t="shared" si="77"/>
        <v>condorProc.py --series 07180820_0646 --donoise --dumps a --procenv environments/pymidas_HVHV_NaI_mf.env</v>
      </c>
      <c r="R1118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"07180820_0545", "07180820_0555", "07180820_0606", "07180820_0616", "07180820_0626", "07180820_0636", "07180820_0646"</v>
      </c>
    </row>
    <row r="1119" spans="1:18">
      <c r="A1119" s="179" t="s">
        <v>6553</v>
      </c>
      <c r="K1119" s="180"/>
      <c r="M1119" t="s">
        <v>2246</v>
      </c>
      <c r="N1119" t="s">
        <v>5571</v>
      </c>
      <c r="O1119" t="s">
        <v>4925</v>
      </c>
      <c r="Q1119" t="str">
        <f t="shared" si="77"/>
        <v>condorProc.py --series 07180820_0656 --donoise --dumps a --procenv environments/pymidas_HVHV_NaI_mf.env</v>
      </c>
      <c r="R1119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"07180820_0545", "07180820_0555", "07180820_0606", "07180820_0616", "07180820_0626", "07180820_0636", "07180820_0646", "07180820_0656"</v>
      </c>
    </row>
    <row r="1120" spans="1:18">
      <c r="A1120" s="179" t="s">
        <v>6554</v>
      </c>
      <c r="K1120" s="180"/>
      <c r="M1120" t="s">
        <v>2246</v>
      </c>
      <c r="N1120" t="s">
        <v>5571</v>
      </c>
      <c r="O1120" t="s">
        <v>4925</v>
      </c>
      <c r="Q1120" t="str">
        <f t="shared" si="77"/>
        <v>condorProc.py --series 07180820_0706 --donoise --dumps a --procenv environments/pymidas_HVHV_NaI_mf.env</v>
      </c>
      <c r="R1120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"07180820_0545", "07180820_0555", "07180820_0606", "07180820_0616", "07180820_0626", "07180820_0636", "07180820_0646", "07180820_0656", "07180820_0706"</v>
      </c>
    </row>
    <row r="1121" spans="1:18">
      <c r="A1121" s="179" t="s">
        <v>6555</v>
      </c>
      <c r="I1121" t="s">
        <v>75</v>
      </c>
      <c r="K1121" s="180"/>
      <c r="M1121" t="s">
        <v>2246</v>
      </c>
      <c r="N1121" t="s">
        <v>5571</v>
      </c>
      <c r="O1121" t="s">
        <v>4925</v>
      </c>
      <c r="Q1121" t="str">
        <f t="shared" si="77"/>
        <v>condorProc.py --series 07180820_0716 --donoise --dumps a --procenv environments/pymidas_HVHV_NaI_mf.env</v>
      </c>
      <c r="R1121" t="str">
        <f t="shared" si="76"/>
        <v>"07180819_1843", "07180819_1853", "07180819_1903", "07180819_1913", "07180819_1923", "07180819_1934", "07180819_1944", "07180819_1954", "07180819_2004", "07180819_2014", "07180819_2024", "07180819_2034", "07180819_2123", "07180819_2134", "07180819_2144", "07180819_2154", "07180819_2204", "07180819_2214", "07180819_2224", "07180819_2234", "07180819_2244", "07180819_2255", "07180819_2305", "07180819_2315", "07180820_0004", "07180820_0014", "07180820_0024", "07180820_0034", "07180820_0045", "07180820_0055", "07180820_0105", "07180820_0115", "07180820_0125", "07180820_0135", "07180820_0145", "07180820_0155", "07180820_0245", "07180820_0255", "07180820_0305", "07180820_0315", "07180820_0325", "07180820_0335", "07180820_0345", "07180820_0355", "07180820_0406", "07180820_0416", "07180820_0426", "07180820_0436", "07180820_0525", "07180820_0535", "07180820_0545", "07180820_0555", "07180820_0606", "07180820_0616", "07180820_0626", "07180820_0636", "07180820_0646", "07180820_0656", "07180820_0706", "07180820_0716"</v>
      </c>
    </row>
    <row r="1122" spans="1:18">
      <c r="A1122" s="176" t="s">
        <v>6556</v>
      </c>
      <c r="B1122" s="177"/>
      <c r="C1122" s="177"/>
      <c r="D1122" s="177"/>
      <c r="E1122" s="177"/>
      <c r="F1122" s="177">
        <v>10</v>
      </c>
      <c r="G1122" s="177" t="s">
        <v>18</v>
      </c>
      <c r="H1122" s="177">
        <v>40</v>
      </c>
      <c r="I1122" s="177"/>
      <c r="J1122" s="177" t="s">
        <v>5577</v>
      </c>
      <c r="K1122" s="178" t="s">
        <v>5583</v>
      </c>
      <c r="M1122" t="s">
        <v>2246</v>
      </c>
      <c r="N1122" t="s">
        <v>5571</v>
      </c>
      <c r="O1122" t="s">
        <v>4925</v>
      </c>
      <c r="Q1122" t="str">
        <f t="shared" si="77"/>
        <v>condorProc.py --series 07180820_0957 --donoise --dumps a --procenv environments/pymidas_HVHV_NaI_mf.env</v>
      </c>
    </row>
    <row r="1123" spans="1:18">
      <c r="A1123" s="179" t="s">
        <v>6557</v>
      </c>
      <c r="J1123" t="s">
        <v>5585</v>
      </c>
      <c r="K1123" s="180" t="s">
        <v>5671</v>
      </c>
      <c r="M1123" t="s">
        <v>2246</v>
      </c>
      <c r="N1123" t="s">
        <v>5571</v>
      </c>
      <c r="O1123" t="s">
        <v>4925</v>
      </c>
      <c r="Q1123" t="str">
        <f t="shared" si="77"/>
        <v>condorProc.py --series 07180820_1007 --donoise --dumps a --procenv environments/pymidas_HVHV_NaI_mf.env</v>
      </c>
    </row>
    <row r="1124" spans="1:18">
      <c r="A1124" s="179" t="s">
        <v>6558</v>
      </c>
      <c r="K1124" s="187" t="s">
        <v>6206</v>
      </c>
      <c r="M1124" t="s">
        <v>2246</v>
      </c>
      <c r="N1124" t="s">
        <v>5571</v>
      </c>
      <c r="O1124" t="s">
        <v>4925</v>
      </c>
      <c r="Q1124" t="str">
        <f t="shared" si="77"/>
        <v>condorProc.py --series 07180820_1017 --donoise --dumps a --procenv environments/pymidas_HVHV_NaI_mf.env</v>
      </c>
    </row>
    <row r="1125" spans="1:18">
      <c r="A1125" s="179" t="s">
        <v>6559</v>
      </c>
      <c r="K1125" s="180"/>
      <c r="M1125" t="s">
        <v>2246</v>
      </c>
      <c r="N1125" t="s">
        <v>5571</v>
      </c>
      <c r="O1125" t="s">
        <v>4925</v>
      </c>
      <c r="Q1125" t="str">
        <f t="shared" si="77"/>
        <v>condorProc.py --series 07180820_1027 --donoise --dumps a --procenv environments/pymidas_HVHV_NaI_mf.env</v>
      </c>
    </row>
    <row r="1126" spans="1:18">
      <c r="A1126" s="179" t="s">
        <v>6560</v>
      </c>
      <c r="K1126" s="180"/>
      <c r="M1126" t="s">
        <v>2246</v>
      </c>
      <c r="N1126" t="s">
        <v>5571</v>
      </c>
      <c r="O1126" t="s">
        <v>4925</v>
      </c>
      <c r="Q1126" t="str">
        <f t="shared" si="77"/>
        <v>condorProc.py --series 07180820_1037 --donoise --dumps a --procenv environments/pymidas_HVHV_NaI_mf.env</v>
      </c>
    </row>
    <row r="1127" spans="1:18">
      <c r="A1127" s="179" t="s">
        <v>6561</v>
      </c>
      <c r="K1127" s="180"/>
      <c r="M1127" t="s">
        <v>2246</v>
      </c>
      <c r="N1127" t="s">
        <v>5571</v>
      </c>
      <c r="O1127" t="s">
        <v>4925</v>
      </c>
      <c r="Q1127" t="str">
        <f t="shared" si="77"/>
        <v>condorProc.py --series 07180820_1047 --donoise --dumps a --procenv environments/pymidas_HVHV_NaI_mf.env</v>
      </c>
    </row>
    <row r="1128" spans="1:18">
      <c r="A1128" s="179" t="s">
        <v>6562</v>
      </c>
      <c r="K1128" s="180"/>
      <c r="M1128" t="s">
        <v>2246</v>
      </c>
      <c r="N1128" t="s">
        <v>5571</v>
      </c>
      <c r="O1128" t="s">
        <v>4925</v>
      </c>
      <c r="Q1128" t="str">
        <f t="shared" si="77"/>
        <v>condorProc.py --series 07180820_1057 --donoise --dumps a --procenv environments/pymidas_HVHV_NaI_mf.env</v>
      </c>
    </row>
    <row r="1129" spans="1:18">
      <c r="A1129" s="179" t="s">
        <v>6563</v>
      </c>
      <c r="K1129" s="180"/>
      <c r="M1129" t="s">
        <v>2246</v>
      </c>
      <c r="N1129" t="s">
        <v>5571</v>
      </c>
      <c r="O1129" t="s">
        <v>4925</v>
      </c>
      <c r="Q1129" t="str">
        <f t="shared" si="77"/>
        <v>condorProc.py --series 07180820_1107 --donoise --dumps a --procenv environments/pymidas_HVHV_NaI_mf.env</v>
      </c>
    </row>
    <row r="1130" spans="1:18">
      <c r="A1130" s="179" t="s">
        <v>6564</v>
      </c>
      <c r="K1130" s="180"/>
      <c r="M1130" t="s">
        <v>2246</v>
      </c>
      <c r="N1130" t="s">
        <v>5571</v>
      </c>
      <c r="O1130" t="s">
        <v>4925</v>
      </c>
      <c r="Q1130" t="str">
        <f t="shared" si="77"/>
        <v>condorProc.py --series 07180820_1117 --donoise --dumps a --procenv environments/pymidas_HVHV_NaI_mf.env</v>
      </c>
    </row>
    <row r="1131" spans="1:18">
      <c r="A1131" s="181" t="s">
        <v>6565</v>
      </c>
      <c r="B1131" s="65"/>
      <c r="C1131" s="65"/>
      <c r="D1131" s="65"/>
      <c r="E1131" s="65"/>
      <c r="F1131" s="65"/>
      <c r="G1131" s="65"/>
      <c r="H1131" s="65"/>
      <c r="I1131" s="65" t="s">
        <v>75</v>
      </c>
      <c r="J1131" s="65"/>
      <c r="K1131" s="182"/>
      <c r="M1131" t="s">
        <v>2246</v>
      </c>
      <c r="N1131" t="s">
        <v>5571</v>
      </c>
      <c r="O1131" t="s">
        <v>4925</v>
      </c>
      <c r="Q1131" t="str">
        <f t="shared" si="77"/>
        <v>condorProc.py --series 07180820_1128 --donoise --dumps a --procenv environments/pymidas_HVHV_NaI_mf.env</v>
      </c>
    </row>
    <row r="1132" spans="1:18">
      <c r="A1132" t="s">
        <v>6566</v>
      </c>
      <c r="K1132" t="s">
        <v>6567</v>
      </c>
      <c r="N1132" t="s">
        <v>5571</v>
      </c>
    </row>
    <row r="1133" spans="1:18">
      <c r="A1133" s="176" t="s">
        <v>6568</v>
      </c>
      <c r="B1133" s="177"/>
      <c r="C1133" s="177"/>
      <c r="D1133" s="177"/>
      <c r="E1133" s="177"/>
      <c r="F1133" s="177">
        <v>10</v>
      </c>
      <c r="G1133" s="192" t="s">
        <v>2248</v>
      </c>
      <c r="H1133" s="177"/>
      <c r="I1133" s="177"/>
      <c r="J1133" s="177" t="s">
        <v>5577</v>
      </c>
      <c r="K1133" s="194" t="s">
        <v>6569</v>
      </c>
      <c r="M1133" t="s">
        <v>2246</v>
      </c>
      <c r="N1133" t="s">
        <v>5571</v>
      </c>
      <c r="Q1133" t="str">
        <f t="shared" si="77"/>
        <v>condorProc.py --series 07180820_1343 --donoise --dumps a --procenv environments/pymidas_HVHV_NaI_mf.env</v>
      </c>
    </row>
    <row r="1134" spans="1:18">
      <c r="A1134" s="179" t="s">
        <v>6570</v>
      </c>
      <c r="G1134" s="191"/>
      <c r="J1134" t="s">
        <v>5585</v>
      </c>
      <c r="K1134" s="195" t="s">
        <v>6571</v>
      </c>
      <c r="M1134" t="s">
        <v>2246</v>
      </c>
      <c r="N1134" t="s">
        <v>5571</v>
      </c>
      <c r="Q1134" t="str">
        <f t="shared" si="77"/>
        <v>condorProc.py --series 07180820_1353 --donoise --dumps a --procenv environments/pymidas_HVHV_NaI_mf.env</v>
      </c>
    </row>
    <row r="1135" spans="1:18">
      <c r="A1135" s="179" t="s">
        <v>6572</v>
      </c>
      <c r="G1135" s="191"/>
      <c r="K1135" s="196" t="s">
        <v>6573</v>
      </c>
      <c r="M1135" t="s">
        <v>2246</v>
      </c>
      <c r="N1135" t="s">
        <v>5571</v>
      </c>
      <c r="Q1135" t="str">
        <f t="shared" si="77"/>
        <v>condorProc.py --series 07180820_1403 --donoise --dumps a --procenv environments/pymidas_HVHV_NaI_mf.env</v>
      </c>
    </row>
    <row r="1136" spans="1:18">
      <c r="A1136" s="179" t="s">
        <v>6574</v>
      </c>
      <c r="G1136" s="191"/>
      <c r="K1136" s="195"/>
      <c r="M1136" t="s">
        <v>2246</v>
      </c>
      <c r="N1136" t="s">
        <v>5571</v>
      </c>
      <c r="Q1136" t="str">
        <f t="shared" si="77"/>
        <v>condorProc.py --series 07180820_1413 --donoise --dumps a --procenv environments/pymidas_HVHV_NaI_mf.env</v>
      </c>
    </row>
    <row r="1137" spans="1:17">
      <c r="A1137" s="179" t="s">
        <v>6575</v>
      </c>
      <c r="G1137" s="191"/>
      <c r="K1137" s="195"/>
      <c r="M1137" t="s">
        <v>2246</v>
      </c>
      <c r="N1137" t="s">
        <v>5571</v>
      </c>
      <c r="Q1137" t="str">
        <f t="shared" si="77"/>
        <v>condorProc.py --series 07180820_1423 --donoise --dumps a --procenv environments/pymidas_HVHV_NaI_mf.env</v>
      </c>
    </row>
    <row r="1138" spans="1:17">
      <c r="A1138" s="179" t="s">
        <v>6576</v>
      </c>
      <c r="G1138" s="191"/>
      <c r="K1138" s="195"/>
      <c r="M1138" t="s">
        <v>2246</v>
      </c>
      <c r="N1138" t="s">
        <v>5571</v>
      </c>
      <c r="Q1138" t="str">
        <f t="shared" si="77"/>
        <v>condorProc.py --series 07180820_1433 --donoise --dumps a --procenv environments/pymidas_HVHV_NaI_mf.env</v>
      </c>
    </row>
    <row r="1139" spans="1:17">
      <c r="A1139" s="179" t="s">
        <v>6577</v>
      </c>
      <c r="G1139" s="191"/>
      <c r="K1139" s="195"/>
      <c r="M1139" t="s">
        <v>2246</v>
      </c>
      <c r="N1139" t="s">
        <v>5571</v>
      </c>
      <c r="Q1139" t="str">
        <f t="shared" ref="Q1139:Q1202" si="78">"condorProc.py --series "&amp;A1139&amp;" --donoise --dumps a --procenv environments/pymidas_HVHV_NaI_mf.env"</f>
        <v>condorProc.py --series 07180820_1443 --donoise --dumps a --procenv environments/pymidas_HVHV_NaI_mf.env</v>
      </c>
    </row>
    <row r="1140" spans="1:17">
      <c r="A1140" s="179" t="s">
        <v>6578</v>
      </c>
      <c r="G1140" s="191"/>
      <c r="K1140" s="195"/>
      <c r="M1140" t="s">
        <v>2246</v>
      </c>
      <c r="N1140" t="s">
        <v>5571</v>
      </c>
      <c r="Q1140" t="str">
        <f t="shared" si="78"/>
        <v>condorProc.py --series 07180820_1453 --donoise --dumps a --procenv environments/pymidas_HVHV_NaI_mf.env</v>
      </c>
    </row>
    <row r="1141" spans="1:17">
      <c r="A1141" s="179" t="s">
        <v>6579</v>
      </c>
      <c r="G1141" s="191"/>
      <c r="K1141" s="195"/>
      <c r="M1141" t="s">
        <v>2246</v>
      </c>
      <c r="N1141" t="s">
        <v>5571</v>
      </c>
      <c r="Q1141" t="str">
        <f t="shared" si="78"/>
        <v>condorProc.py --series 07180820_1503 --donoise --dumps a --procenv environments/pymidas_HVHV_NaI_mf.env</v>
      </c>
    </row>
    <row r="1142" spans="1:17">
      <c r="A1142" s="179" t="s">
        <v>6580</v>
      </c>
      <c r="G1142" s="191"/>
      <c r="K1142" s="195"/>
      <c r="M1142" t="s">
        <v>2246</v>
      </c>
      <c r="N1142" t="s">
        <v>5571</v>
      </c>
      <c r="Q1142" t="str">
        <f t="shared" si="78"/>
        <v>condorProc.py --series 07180820_1514 --donoise --dumps a --procenv environments/pymidas_HVHV_NaI_mf.env</v>
      </c>
    </row>
    <row r="1143" spans="1:17">
      <c r="A1143" s="179" t="s">
        <v>6581</v>
      </c>
      <c r="G1143" s="191"/>
      <c r="K1143" s="195"/>
      <c r="M1143" t="s">
        <v>2246</v>
      </c>
      <c r="N1143" t="s">
        <v>5571</v>
      </c>
      <c r="Q1143" t="str">
        <f t="shared" si="78"/>
        <v>condorProc.py --series 07180820_1524 --donoise --dumps a --procenv environments/pymidas_HVHV_NaI_mf.env</v>
      </c>
    </row>
    <row r="1144" spans="1:17">
      <c r="A1144" s="179" t="s">
        <v>6582</v>
      </c>
      <c r="G1144" s="191"/>
      <c r="I1144" t="s">
        <v>75</v>
      </c>
      <c r="K1144" s="195"/>
      <c r="M1144" t="s">
        <v>2246</v>
      </c>
      <c r="N1144" t="s">
        <v>5571</v>
      </c>
      <c r="Q1144" t="str">
        <f t="shared" si="78"/>
        <v>condorProc.py --series 07180820_1534 --donoise --dumps a --procenv environments/pymidas_HVHV_NaI_mf.env</v>
      </c>
    </row>
    <row r="1145" spans="1:17">
      <c r="A1145" s="176" t="s">
        <v>6583</v>
      </c>
      <c r="B1145" s="177"/>
      <c r="C1145" s="177"/>
      <c r="D1145" s="177"/>
      <c r="E1145" s="177"/>
      <c r="F1145" s="177">
        <v>10</v>
      </c>
      <c r="G1145" s="192" t="s">
        <v>2248</v>
      </c>
      <c r="H1145" s="177">
        <v>40</v>
      </c>
      <c r="I1145" s="177"/>
      <c r="J1145" s="177" t="s">
        <v>5577</v>
      </c>
      <c r="K1145" s="178" t="s">
        <v>5583</v>
      </c>
      <c r="M1145" t="s">
        <v>2246</v>
      </c>
      <c r="N1145" t="s">
        <v>5571</v>
      </c>
      <c r="O1145" t="s">
        <v>4928</v>
      </c>
      <c r="Q1145" t="str">
        <f t="shared" si="78"/>
        <v>condorProc.py --series 07180820_1631 --donoise --dumps a --procenv environments/pymidas_HVHV_NaI_mf.env</v>
      </c>
    </row>
    <row r="1146" spans="1:17">
      <c r="A1146" s="179" t="s">
        <v>6584</v>
      </c>
      <c r="G1146" s="191"/>
      <c r="J1146" t="s">
        <v>5585</v>
      </c>
      <c r="K1146" s="180" t="s">
        <v>5671</v>
      </c>
      <c r="M1146" t="s">
        <v>2246</v>
      </c>
      <c r="N1146" t="s">
        <v>5571</v>
      </c>
      <c r="O1146" t="s">
        <v>4928</v>
      </c>
      <c r="Q1146" t="str">
        <f t="shared" si="78"/>
        <v>condorProc.py --series 07180820_1641 --donoise --dumps a --procenv environments/pymidas_HVHV_NaI_mf.env</v>
      </c>
    </row>
    <row r="1147" spans="1:17">
      <c r="A1147" s="179" t="s">
        <v>6585</v>
      </c>
      <c r="G1147" s="191"/>
      <c r="K1147" s="187" t="s">
        <v>6206</v>
      </c>
      <c r="M1147" t="s">
        <v>2246</v>
      </c>
      <c r="N1147" t="s">
        <v>5571</v>
      </c>
      <c r="O1147" t="s">
        <v>4928</v>
      </c>
      <c r="Q1147" t="str">
        <f t="shared" si="78"/>
        <v>condorProc.py --series 07180820_1652 --donoise --dumps a --procenv environments/pymidas_HVHV_NaI_mf.env</v>
      </c>
    </row>
    <row r="1148" spans="1:17">
      <c r="A1148" s="179" t="s">
        <v>6586</v>
      </c>
      <c r="G1148" s="191"/>
      <c r="K1148" s="180"/>
      <c r="M1148" t="s">
        <v>2246</v>
      </c>
      <c r="N1148" t="s">
        <v>5571</v>
      </c>
      <c r="O1148" t="s">
        <v>4928</v>
      </c>
      <c r="Q1148" t="str">
        <f t="shared" si="78"/>
        <v>condorProc.py --series 07180820_1702 --donoise --dumps a --procenv environments/pymidas_HVHV_NaI_mf.env</v>
      </c>
    </row>
    <row r="1149" spans="1:17">
      <c r="A1149" s="179" t="s">
        <v>6587</v>
      </c>
      <c r="G1149" s="191"/>
      <c r="K1149" s="180"/>
      <c r="M1149" t="s">
        <v>2246</v>
      </c>
      <c r="N1149" t="s">
        <v>5571</v>
      </c>
      <c r="O1149" t="s">
        <v>4928</v>
      </c>
      <c r="Q1149" t="str">
        <f t="shared" si="78"/>
        <v>condorProc.py --series 07180820_1712 --donoise --dumps a --procenv environments/pymidas_HVHV_NaI_mf.env</v>
      </c>
    </row>
    <row r="1150" spans="1:17">
      <c r="A1150" s="179" t="s">
        <v>6588</v>
      </c>
      <c r="G1150" s="191"/>
      <c r="K1150" s="180"/>
      <c r="M1150" t="s">
        <v>2246</v>
      </c>
      <c r="N1150" t="s">
        <v>5571</v>
      </c>
      <c r="O1150" t="s">
        <v>4928</v>
      </c>
      <c r="Q1150" t="str">
        <f t="shared" si="78"/>
        <v>condorProc.py --series 07180820_1722 --donoise --dumps a --procenv environments/pymidas_HVHV_NaI_mf.env</v>
      </c>
    </row>
    <row r="1151" spans="1:17">
      <c r="A1151" s="179" t="s">
        <v>6589</v>
      </c>
      <c r="G1151" s="191"/>
      <c r="K1151" s="180"/>
      <c r="M1151" t="s">
        <v>2246</v>
      </c>
      <c r="N1151" t="s">
        <v>5571</v>
      </c>
      <c r="O1151" t="s">
        <v>4928</v>
      </c>
      <c r="Q1151" t="str">
        <f t="shared" si="78"/>
        <v>condorProc.py --series 07180820_1732 --donoise --dumps a --procenv environments/pymidas_HVHV_NaI_mf.env</v>
      </c>
    </row>
    <row r="1152" spans="1:17">
      <c r="A1152" s="179" t="s">
        <v>6590</v>
      </c>
      <c r="G1152" s="191"/>
      <c r="K1152" s="180"/>
      <c r="M1152" t="s">
        <v>2246</v>
      </c>
      <c r="N1152" t="s">
        <v>5571</v>
      </c>
      <c r="O1152" t="s">
        <v>4928</v>
      </c>
      <c r="Q1152" t="str">
        <f t="shared" si="78"/>
        <v>condorProc.py --series 07180820_1742 --donoise --dumps a --procenv environments/pymidas_HVHV_NaI_mf.env</v>
      </c>
    </row>
    <row r="1153" spans="1:17">
      <c r="A1153" s="179" t="s">
        <v>6591</v>
      </c>
      <c r="G1153" s="191"/>
      <c r="K1153" s="180"/>
      <c r="M1153" t="s">
        <v>2246</v>
      </c>
      <c r="N1153" t="s">
        <v>5571</v>
      </c>
      <c r="O1153" t="s">
        <v>4928</v>
      </c>
      <c r="Q1153" t="str">
        <f t="shared" si="78"/>
        <v>condorProc.py --series 07180820_1752 --donoise --dumps a --procenv environments/pymidas_HVHV_NaI_mf.env</v>
      </c>
    </row>
    <row r="1154" spans="1:17">
      <c r="A1154" s="179" t="s">
        <v>6592</v>
      </c>
      <c r="G1154" s="191"/>
      <c r="K1154" s="180"/>
      <c r="M1154" t="s">
        <v>2246</v>
      </c>
      <c r="N1154" t="s">
        <v>5571</v>
      </c>
      <c r="O1154" t="s">
        <v>4928</v>
      </c>
      <c r="Q1154" t="str">
        <f t="shared" si="78"/>
        <v>condorProc.py --series 07180820_1802 --donoise --dumps a --procenv environments/pymidas_HVHV_NaI_mf.env</v>
      </c>
    </row>
    <row r="1155" spans="1:17">
      <c r="A1155" s="179" t="s">
        <v>6593</v>
      </c>
      <c r="G1155" s="191"/>
      <c r="K1155" s="180"/>
      <c r="M1155" t="s">
        <v>2246</v>
      </c>
      <c r="N1155" t="s">
        <v>5571</v>
      </c>
      <c r="O1155" t="s">
        <v>4928</v>
      </c>
      <c r="Q1155" t="str">
        <f t="shared" si="78"/>
        <v>condorProc.py --series 07180820_1813 --donoise --dumps a --procenv environments/pymidas_HVHV_NaI_mf.env</v>
      </c>
    </row>
    <row r="1156" spans="1:17">
      <c r="A1156" s="179" t="s">
        <v>6594</v>
      </c>
      <c r="G1156" s="191"/>
      <c r="I1156" t="s">
        <v>75</v>
      </c>
      <c r="K1156" s="180"/>
      <c r="M1156" t="s">
        <v>2246</v>
      </c>
      <c r="N1156" t="s">
        <v>5571</v>
      </c>
      <c r="O1156" t="s">
        <v>4928</v>
      </c>
      <c r="Q1156" t="str">
        <f t="shared" si="78"/>
        <v>condorProc.py --series 07180820_1823 --donoise --dumps a --procenv environments/pymidas_HVHV_NaI_mf.env</v>
      </c>
    </row>
    <row r="1157" spans="1:17">
      <c r="A1157" s="176" t="s">
        <v>6595</v>
      </c>
      <c r="B1157" s="177"/>
      <c r="C1157" s="177"/>
      <c r="D1157" s="177"/>
      <c r="E1157" s="177"/>
      <c r="F1157" s="177">
        <v>10</v>
      </c>
      <c r="G1157" s="192" t="s">
        <v>2248</v>
      </c>
      <c r="H1157" s="177">
        <v>40</v>
      </c>
      <c r="I1157" s="177"/>
      <c r="J1157" s="177" t="s">
        <v>5577</v>
      </c>
      <c r="K1157" s="178" t="s">
        <v>5583</v>
      </c>
      <c r="M1157" t="s">
        <v>2246</v>
      </c>
      <c r="N1157" t="s">
        <v>5571</v>
      </c>
      <c r="O1157" t="s">
        <v>4928</v>
      </c>
      <c r="Q1157" t="str">
        <f t="shared" si="78"/>
        <v>condorProc.py --series 07180820_1912 --donoise --dumps a --procenv environments/pymidas_HVHV_NaI_mf.env</v>
      </c>
    </row>
    <row r="1158" spans="1:17">
      <c r="A1158" s="179" t="s">
        <v>6596</v>
      </c>
      <c r="G1158" s="191"/>
      <c r="J1158" t="s">
        <v>5585</v>
      </c>
      <c r="K1158" s="180" t="s">
        <v>5671</v>
      </c>
      <c r="M1158" t="s">
        <v>2246</v>
      </c>
      <c r="N1158" t="s">
        <v>5571</v>
      </c>
      <c r="O1158" t="s">
        <v>4928</v>
      </c>
      <c r="Q1158" t="str">
        <f t="shared" si="78"/>
        <v>condorProc.py --series 07180820_1922 --donoise --dumps a --procenv environments/pymidas_HVHV_NaI_mf.env</v>
      </c>
    </row>
    <row r="1159" spans="1:17">
      <c r="A1159" s="179" t="s">
        <v>6597</v>
      </c>
      <c r="G1159" s="191"/>
      <c r="K1159" s="187" t="s">
        <v>6206</v>
      </c>
      <c r="M1159" t="s">
        <v>2246</v>
      </c>
      <c r="N1159" t="s">
        <v>5571</v>
      </c>
      <c r="O1159" t="s">
        <v>4928</v>
      </c>
      <c r="Q1159" t="str">
        <f t="shared" si="78"/>
        <v>condorProc.py --series 07180820_1932 --donoise --dumps a --procenv environments/pymidas_HVHV_NaI_mf.env</v>
      </c>
    </row>
    <row r="1160" spans="1:17">
      <c r="A1160" s="179" t="s">
        <v>6598</v>
      </c>
      <c r="G1160" s="191"/>
      <c r="K1160" s="180"/>
      <c r="M1160" t="s">
        <v>2246</v>
      </c>
      <c r="N1160" t="s">
        <v>5571</v>
      </c>
      <c r="O1160" t="s">
        <v>4928</v>
      </c>
      <c r="Q1160" t="str">
        <f t="shared" si="78"/>
        <v>condorProc.py --series 07180820_1942 --donoise --dumps a --procenv environments/pymidas_HVHV_NaI_mf.env</v>
      </c>
    </row>
    <row r="1161" spans="1:17">
      <c r="A1161" s="179" t="s">
        <v>6599</v>
      </c>
      <c r="G1161" s="191"/>
      <c r="K1161" s="180"/>
      <c r="M1161" t="s">
        <v>2246</v>
      </c>
      <c r="N1161" t="s">
        <v>5571</v>
      </c>
      <c r="O1161" t="s">
        <v>4928</v>
      </c>
      <c r="Q1161" t="str">
        <f t="shared" si="78"/>
        <v>condorProc.py --series 07180820_1953 --donoise --dumps a --procenv environments/pymidas_HVHV_NaI_mf.env</v>
      </c>
    </row>
    <row r="1162" spans="1:17">
      <c r="A1162" s="179" t="s">
        <v>6600</v>
      </c>
      <c r="G1162" s="191"/>
      <c r="K1162" s="180"/>
      <c r="M1162" t="s">
        <v>2246</v>
      </c>
      <c r="N1162" t="s">
        <v>5571</v>
      </c>
      <c r="O1162" t="s">
        <v>4928</v>
      </c>
      <c r="Q1162" t="str">
        <f t="shared" si="78"/>
        <v>condorProc.py --series 07180820_2003 --donoise --dumps a --procenv environments/pymidas_HVHV_NaI_mf.env</v>
      </c>
    </row>
    <row r="1163" spans="1:17">
      <c r="A1163" s="179" t="s">
        <v>6601</v>
      </c>
      <c r="G1163" s="191"/>
      <c r="K1163" s="180"/>
      <c r="M1163" t="s">
        <v>2246</v>
      </c>
      <c r="N1163" t="s">
        <v>5571</v>
      </c>
      <c r="O1163" t="s">
        <v>4928</v>
      </c>
      <c r="Q1163" t="str">
        <f t="shared" si="78"/>
        <v>condorProc.py --series 07180820_2013 --donoise --dumps a --procenv environments/pymidas_HVHV_NaI_mf.env</v>
      </c>
    </row>
    <row r="1164" spans="1:17">
      <c r="A1164" s="179" t="s">
        <v>6602</v>
      </c>
      <c r="G1164" s="191"/>
      <c r="K1164" s="180"/>
      <c r="M1164" t="s">
        <v>2246</v>
      </c>
      <c r="N1164" t="s">
        <v>5571</v>
      </c>
      <c r="O1164" t="s">
        <v>4928</v>
      </c>
      <c r="Q1164" t="str">
        <f t="shared" si="78"/>
        <v>condorProc.py --series 07180820_2023 --donoise --dumps a --procenv environments/pymidas_HVHV_NaI_mf.env</v>
      </c>
    </row>
    <row r="1165" spans="1:17">
      <c r="A1165" s="179" t="s">
        <v>6603</v>
      </c>
      <c r="G1165" s="191"/>
      <c r="K1165" s="180"/>
      <c r="M1165" t="s">
        <v>2246</v>
      </c>
      <c r="N1165" t="s">
        <v>5571</v>
      </c>
      <c r="O1165" t="s">
        <v>4928</v>
      </c>
      <c r="Q1165" t="str">
        <f t="shared" si="78"/>
        <v>condorProc.py --series 07180820_2033 --donoise --dumps a --procenv environments/pymidas_HVHV_NaI_mf.env</v>
      </c>
    </row>
    <row r="1166" spans="1:17">
      <c r="A1166" s="179" t="s">
        <v>6604</v>
      </c>
      <c r="G1166" s="191"/>
      <c r="K1166" s="180"/>
      <c r="M1166" t="s">
        <v>2246</v>
      </c>
      <c r="N1166" t="s">
        <v>5571</v>
      </c>
      <c r="O1166" t="s">
        <v>4928</v>
      </c>
      <c r="Q1166" t="str">
        <f t="shared" si="78"/>
        <v>condorProc.py --series 07180820_2043 --donoise --dumps a --procenv environments/pymidas_HVHV_NaI_mf.env</v>
      </c>
    </row>
    <row r="1167" spans="1:17">
      <c r="A1167" s="179" t="s">
        <v>6605</v>
      </c>
      <c r="G1167" s="191"/>
      <c r="K1167" s="180"/>
      <c r="M1167" t="s">
        <v>2246</v>
      </c>
      <c r="N1167" t="s">
        <v>5571</v>
      </c>
      <c r="O1167" t="s">
        <v>4928</v>
      </c>
      <c r="Q1167" t="str">
        <f t="shared" si="78"/>
        <v>condorProc.py --series 07180820_2053 --donoise --dumps a --procenv environments/pymidas_HVHV_NaI_mf.env</v>
      </c>
    </row>
    <row r="1168" spans="1:17">
      <c r="A1168" s="179" t="s">
        <v>6606</v>
      </c>
      <c r="G1168" s="191"/>
      <c r="K1168" s="180"/>
      <c r="M1168" t="s">
        <v>2246</v>
      </c>
      <c r="N1168" t="s">
        <v>5571</v>
      </c>
      <c r="O1168" t="s">
        <v>4928</v>
      </c>
      <c r="Q1168" t="str">
        <f t="shared" si="78"/>
        <v>condorProc.py --series 07180820_2103 --donoise --dumps a --procenv environments/pymidas_HVHV_NaI_mf.env</v>
      </c>
    </row>
    <row r="1169" spans="1:18">
      <c r="A1169" s="176" t="s">
        <v>6607</v>
      </c>
      <c r="B1169" s="177"/>
      <c r="C1169" s="177"/>
      <c r="D1169" s="177"/>
      <c r="E1169" s="177"/>
      <c r="F1169" s="177">
        <v>10</v>
      </c>
      <c r="G1169" s="192" t="s">
        <v>2248</v>
      </c>
      <c r="H1169" s="177">
        <v>40</v>
      </c>
      <c r="I1169" s="177"/>
      <c r="J1169" s="177" t="s">
        <v>5577</v>
      </c>
      <c r="K1169" s="178" t="s">
        <v>5583</v>
      </c>
      <c r="M1169" t="s">
        <v>2246</v>
      </c>
      <c r="N1169" t="s">
        <v>5571</v>
      </c>
      <c r="O1169" t="s">
        <v>4928</v>
      </c>
      <c r="Q1169" t="str">
        <f t="shared" si="78"/>
        <v>condorProc.py --series 07180820_2153 --donoise --dumps a --procenv environments/pymidas_HVHV_NaI_mf.env</v>
      </c>
      <c r="R1169" t="str">
        <f>""""&amp;A1169&amp;""""</f>
        <v>"07180820_2153"</v>
      </c>
    </row>
    <row r="1170" spans="1:18">
      <c r="A1170" s="179" t="s">
        <v>6608</v>
      </c>
      <c r="G1170" s="191"/>
      <c r="J1170" t="s">
        <v>5585</v>
      </c>
      <c r="K1170" s="180" t="s">
        <v>5671</v>
      </c>
      <c r="M1170" t="s">
        <v>2246</v>
      </c>
      <c r="N1170" t="s">
        <v>5571</v>
      </c>
      <c r="O1170" t="s">
        <v>4928</v>
      </c>
      <c r="Q1170" t="str">
        <f t="shared" si="78"/>
        <v>condorProc.py --series 07180820_2203 --donoise --dumps a --procenv environments/pymidas_HVHV_NaI_mf.env</v>
      </c>
      <c r="R1170" t="str">
        <f>R1169&amp;", """&amp;A1170&amp;""""</f>
        <v>"07180820_2153", "07180820_2203"</v>
      </c>
    </row>
    <row r="1171" spans="1:18">
      <c r="A1171" s="179" t="s">
        <v>6609</v>
      </c>
      <c r="G1171" s="191"/>
      <c r="K1171" s="187" t="s">
        <v>6206</v>
      </c>
      <c r="M1171" t="s">
        <v>2246</v>
      </c>
      <c r="N1171" t="s">
        <v>5571</v>
      </c>
      <c r="O1171" t="s">
        <v>4928</v>
      </c>
      <c r="Q1171" t="str">
        <f t="shared" si="78"/>
        <v>condorProc.py --series 07180820_2213 --donoise --dumps a --procenv environments/pymidas_HVHV_NaI_mf.env</v>
      </c>
      <c r="R1171" t="str">
        <f t="shared" ref="R1171:R1228" si="79">R1170&amp;", """&amp;A1171&amp;""""</f>
        <v>"07180820_2153", "07180820_2203", "07180820_2213"</v>
      </c>
    </row>
    <row r="1172" spans="1:18">
      <c r="A1172" s="179" t="s">
        <v>6610</v>
      </c>
      <c r="G1172" s="191"/>
      <c r="K1172" s="180"/>
      <c r="M1172" t="s">
        <v>2246</v>
      </c>
      <c r="N1172" t="s">
        <v>5571</v>
      </c>
      <c r="O1172" t="s">
        <v>4928</v>
      </c>
      <c r="Q1172" t="str">
        <f t="shared" si="78"/>
        <v>condorProc.py --series 07180820_2223 --donoise --dumps a --procenv environments/pymidas_HVHV_NaI_mf.env</v>
      </c>
      <c r="R1172" t="str">
        <f t="shared" si="79"/>
        <v>"07180820_2153", "07180820_2203", "07180820_2213", "07180820_2223"</v>
      </c>
    </row>
    <row r="1173" spans="1:18">
      <c r="A1173" s="179" t="s">
        <v>6611</v>
      </c>
      <c r="G1173" s="191"/>
      <c r="K1173" s="180"/>
      <c r="M1173" t="s">
        <v>2246</v>
      </c>
      <c r="N1173" t="s">
        <v>5571</v>
      </c>
      <c r="O1173" t="s">
        <v>4928</v>
      </c>
      <c r="Q1173" t="str">
        <f t="shared" si="78"/>
        <v>condorProc.py --series 07180820_2233 --donoise --dumps a --procenv environments/pymidas_HVHV_NaI_mf.env</v>
      </c>
      <c r="R1173" t="str">
        <f t="shared" si="79"/>
        <v>"07180820_2153", "07180820_2203", "07180820_2213", "07180820_2223", "07180820_2233"</v>
      </c>
    </row>
    <row r="1174" spans="1:18">
      <c r="A1174" s="179" t="s">
        <v>6612</v>
      </c>
      <c r="G1174" s="191"/>
      <c r="K1174" s="180"/>
      <c r="M1174" t="s">
        <v>2246</v>
      </c>
      <c r="N1174" t="s">
        <v>5571</v>
      </c>
      <c r="O1174" t="s">
        <v>4928</v>
      </c>
      <c r="Q1174" t="str">
        <f t="shared" si="78"/>
        <v>condorProc.py --series 07180820_2243 --donoise --dumps a --procenv environments/pymidas_HVHV_NaI_mf.env</v>
      </c>
      <c r="R1174" t="str">
        <f t="shared" si="79"/>
        <v>"07180820_2153", "07180820_2203", "07180820_2213", "07180820_2223", "07180820_2233", "07180820_2243"</v>
      </c>
    </row>
    <row r="1175" spans="1:18">
      <c r="A1175" s="179" t="s">
        <v>6613</v>
      </c>
      <c r="G1175" s="191"/>
      <c r="K1175" s="180"/>
      <c r="M1175" t="s">
        <v>2246</v>
      </c>
      <c r="N1175" t="s">
        <v>5571</v>
      </c>
      <c r="O1175" t="s">
        <v>4928</v>
      </c>
      <c r="Q1175" t="str">
        <f t="shared" si="78"/>
        <v>condorProc.py --series 07180820_2253 --donoise --dumps a --procenv environments/pymidas_HVHV_NaI_mf.env</v>
      </c>
      <c r="R1175" t="str">
        <f t="shared" si="79"/>
        <v>"07180820_2153", "07180820_2203", "07180820_2213", "07180820_2223", "07180820_2233", "07180820_2243", "07180820_2253"</v>
      </c>
    </row>
    <row r="1176" spans="1:18">
      <c r="A1176" s="179" t="s">
        <v>6614</v>
      </c>
      <c r="G1176" s="191"/>
      <c r="K1176" s="180"/>
      <c r="M1176" t="s">
        <v>2246</v>
      </c>
      <c r="N1176" t="s">
        <v>5571</v>
      </c>
      <c r="O1176" t="s">
        <v>4928</v>
      </c>
      <c r="Q1176" t="str">
        <f t="shared" si="78"/>
        <v>condorProc.py --series 07180820_2303 --donoise --dumps a --procenv environments/pymidas_HVHV_NaI_mf.env</v>
      </c>
      <c r="R1176" t="str">
        <f t="shared" si="79"/>
        <v>"07180820_2153", "07180820_2203", "07180820_2213", "07180820_2223", "07180820_2233", "07180820_2243", "07180820_2253", "07180820_2303"</v>
      </c>
    </row>
    <row r="1177" spans="1:18">
      <c r="A1177" s="179" t="s">
        <v>6615</v>
      </c>
      <c r="G1177" s="191"/>
      <c r="K1177" s="180"/>
      <c r="M1177" t="s">
        <v>2246</v>
      </c>
      <c r="N1177" t="s">
        <v>5571</v>
      </c>
      <c r="O1177" t="s">
        <v>4928</v>
      </c>
      <c r="Q1177" t="str">
        <f t="shared" si="78"/>
        <v>condorProc.py --series 07180820_2313 --donoise --dumps a --procenv environments/pymidas_HVHV_NaI_mf.env</v>
      </c>
      <c r="R1177" t="str">
        <f t="shared" si="79"/>
        <v>"07180820_2153", "07180820_2203", "07180820_2213", "07180820_2223", "07180820_2233", "07180820_2243", "07180820_2253", "07180820_2303", "07180820_2313"</v>
      </c>
    </row>
    <row r="1178" spans="1:18">
      <c r="A1178" s="179" t="s">
        <v>6616</v>
      </c>
      <c r="G1178" s="191"/>
      <c r="K1178" s="180"/>
      <c r="M1178" t="s">
        <v>2246</v>
      </c>
      <c r="N1178" t="s">
        <v>5571</v>
      </c>
      <c r="O1178" t="s">
        <v>4928</v>
      </c>
      <c r="Q1178" t="str">
        <f t="shared" si="78"/>
        <v>condorProc.py --series 07180820_2324 --donoise --dumps a --procenv environments/pymidas_HVHV_NaI_mf.env</v>
      </c>
      <c r="R1178" t="str">
        <f t="shared" si="79"/>
        <v>"07180820_2153", "07180820_2203", "07180820_2213", "07180820_2223", "07180820_2233", "07180820_2243", "07180820_2253", "07180820_2303", "07180820_2313", "07180820_2324"</v>
      </c>
    </row>
    <row r="1179" spans="1:18">
      <c r="A1179" s="179" t="s">
        <v>6617</v>
      </c>
      <c r="G1179" s="191"/>
      <c r="K1179" s="180"/>
      <c r="M1179" t="s">
        <v>2246</v>
      </c>
      <c r="N1179" t="s">
        <v>5571</v>
      </c>
      <c r="O1179" t="s">
        <v>4928</v>
      </c>
      <c r="Q1179" t="str">
        <f t="shared" si="78"/>
        <v>condorProc.py --series 07180820_2334 --donoise --dumps a --procenv environments/pymidas_HVHV_NaI_mf.env</v>
      </c>
      <c r="R1179" t="str">
        <f t="shared" si="79"/>
        <v>"07180820_2153", "07180820_2203", "07180820_2213", "07180820_2223", "07180820_2233", "07180820_2243", "07180820_2253", "07180820_2303", "07180820_2313", "07180820_2324", "07180820_2334"</v>
      </c>
    </row>
    <row r="1180" spans="1:18">
      <c r="A1180" s="179" t="s">
        <v>6618</v>
      </c>
      <c r="G1180" s="191"/>
      <c r="K1180" s="180"/>
      <c r="M1180" t="s">
        <v>2246</v>
      </c>
      <c r="N1180" t="s">
        <v>5571</v>
      </c>
      <c r="O1180" t="s">
        <v>4928</v>
      </c>
      <c r="Q1180" t="str">
        <f t="shared" si="78"/>
        <v>condorProc.py --series 07180820_2344 --donoise --dumps a --procenv environments/pymidas_HVHV_NaI_mf.env</v>
      </c>
      <c r="R1180" t="str">
        <f t="shared" si="79"/>
        <v>"07180820_2153", "07180820_2203", "07180820_2213", "07180820_2223", "07180820_2233", "07180820_2243", "07180820_2253", "07180820_2303", "07180820_2313", "07180820_2324", "07180820_2334", "07180820_2344"</v>
      </c>
    </row>
    <row r="1181" spans="1:18">
      <c r="A1181" s="176" t="s">
        <v>6619</v>
      </c>
      <c r="B1181" s="177"/>
      <c r="C1181" s="177"/>
      <c r="D1181" s="177"/>
      <c r="E1181" s="177"/>
      <c r="F1181" s="177">
        <v>10</v>
      </c>
      <c r="G1181" s="192" t="s">
        <v>2248</v>
      </c>
      <c r="H1181" s="177">
        <v>40</v>
      </c>
      <c r="I1181" s="177"/>
      <c r="J1181" s="177" t="s">
        <v>5577</v>
      </c>
      <c r="K1181" s="178" t="s">
        <v>5583</v>
      </c>
      <c r="M1181" t="s">
        <v>2246</v>
      </c>
      <c r="N1181" t="s">
        <v>5571</v>
      </c>
      <c r="O1181" t="s">
        <v>4928</v>
      </c>
      <c r="Q1181" t="str">
        <f t="shared" si="78"/>
        <v>condorProc.py --series 07180821_0033 --donoise --dumps a --procenv environments/pymidas_HVHV_NaI_mf.env</v>
      </c>
      <c r="R1181" t="str">
        <f t="shared" si="79"/>
        <v>"07180820_2153", "07180820_2203", "07180820_2213", "07180820_2223", "07180820_2233", "07180820_2243", "07180820_2253", "07180820_2303", "07180820_2313", "07180820_2324", "07180820_2334", "07180820_2344", "07180821_0033"</v>
      </c>
    </row>
    <row r="1182" spans="1:18">
      <c r="A1182" s="179" t="s">
        <v>6620</v>
      </c>
      <c r="G1182" s="191"/>
      <c r="J1182" t="s">
        <v>5585</v>
      </c>
      <c r="K1182" s="180" t="s">
        <v>5671</v>
      </c>
      <c r="M1182" t="s">
        <v>2246</v>
      </c>
      <c r="N1182" t="s">
        <v>5571</v>
      </c>
      <c r="O1182" t="s">
        <v>4928</v>
      </c>
      <c r="Q1182" t="str">
        <f t="shared" si="78"/>
        <v>condorProc.py --series 07180821_0043 --donoise --dumps a --procenv environments/pymidas_HVHV_NaI_mf.env</v>
      </c>
      <c r="R1182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</v>
      </c>
    </row>
    <row r="1183" spans="1:18">
      <c r="A1183" s="179" t="s">
        <v>6621</v>
      </c>
      <c r="G1183" s="191"/>
      <c r="K1183" s="187" t="s">
        <v>6206</v>
      </c>
      <c r="M1183" t="s">
        <v>2246</v>
      </c>
      <c r="N1183" t="s">
        <v>5571</v>
      </c>
      <c r="O1183" t="s">
        <v>4928</v>
      </c>
      <c r="Q1183" t="str">
        <f t="shared" si="78"/>
        <v>condorProc.py --series 07180821_0053 --donoise --dumps a --procenv environments/pymidas_HVHV_NaI_mf.env</v>
      </c>
      <c r="R1183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</v>
      </c>
    </row>
    <row r="1184" spans="1:18">
      <c r="A1184" s="179" t="s">
        <v>6622</v>
      </c>
      <c r="G1184" s="191"/>
      <c r="K1184" s="180"/>
      <c r="M1184" t="s">
        <v>2246</v>
      </c>
      <c r="N1184" t="s">
        <v>5571</v>
      </c>
      <c r="O1184" t="s">
        <v>4928</v>
      </c>
      <c r="Q1184" t="str">
        <f t="shared" si="78"/>
        <v>condorProc.py --series 07180821_0104 --donoise --dumps a --procenv environments/pymidas_HVHV_NaI_mf.env</v>
      </c>
      <c r="R1184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</v>
      </c>
    </row>
    <row r="1185" spans="1:18">
      <c r="A1185" s="179" t="s">
        <v>6623</v>
      </c>
      <c r="G1185" s="191"/>
      <c r="K1185" s="180"/>
      <c r="M1185" t="s">
        <v>2246</v>
      </c>
      <c r="N1185" t="s">
        <v>5571</v>
      </c>
      <c r="O1185" t="s">
        <v>4928</v>
      </c>
      <c r="Q1185" t="str">
        <f t="shared" si="78"/>
        <v>condorProc.py --series 07180821_0114 --donoise --dumps a --procenv environments/pymidas_HVHV_NaI_mf.env</v>
      </c>
      <c r="R1185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</v>
      </c>
    </row>
    <row r="1186" spans="1:18">
      <c r="A1186" s="179" t="s">
        <v>6624</v>
      </c>
      <c r="G1186" s="191"/>
      <c r="K1186" s="180"/>
      <c r="M1186" t="s">
        <v>2246</v>
      </c>
      <c r="N1186" t="s">
        <v>5571</v>
      </c>
      <c r="O1186" t="s">
        <v>4928</v>
      </c>
      <c r="Q1186" t="str">
        <f t="shared" si="78"/>
        <v>condorProc.py --series 07180821_0124 --donoise --dumps a --procenv environments/pymidas_HVHV_NaI_mf.env</v>
      </c>
      <c r="R1186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</v>
      </c>
    </row>
    <row r="1187" spans="1:18">
      <c r="A1187" s="179" t="s">
        <v>6625</v>
      </c>
      <c r="G1187" s="191"/>
      <c r="K1187" s="180"/>
      <c r="M1187" t="s">
        <v>2246</v>
      </c>
      <c r="N1187" t="s">
        <v>5571</v>
      </c>
      <c r="O1187" t="s">
        <v>4928</v>
      </c>
      <c r="Q1187" t="str">
        <f t="shared" si="78"/>
        <v>condorProc.py --series 07180821_0134 --donoise --dumps a --procenv environments/pymidas_HVHV_NaI_mf.env</v>
      </c>
      <c r="R1187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</v>
      </c>
    </row>
    <row r="1188" spans="1:18">
      <c r="A1188" s="179" t="s">
        <v>6626</v>
      </c>
      <c r="G1188" s="191"/>
      <c r="K1188" s="180"/>
      <c r="M1188" t="s">
        <v>2246</v>
      </c>
      <c r="N1188" t="s">
        <v>5571</v>
      </c>
      <c r="O1188" t="s">
        <v>4928</v>
      </c>
      <c r="Q1188" t="str">
        <f t="shared" si="78"/>
        <v>condorProc.py --series 07180821_0144 --donoise --dumps a --procenv environments/pymidas_HVHV_NaI_mf.env</v>
      </c>
      <c r="R1188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</v>
      </c>
    </row>
    <row r="1189" spans="1:18">
      <c r="A1189" s="179" t="s">
        <v>6627</v>
      </c>
      <c r="G1189" s="191"/>
      <c r="K1189" s="180"/>
      <c r="M1189" t="s">
        <v>2246</v>
      </c>
      <c r="N1189" t="s">
        <v>5571</v>
      </c>
      <c r="O1189" t="s">
        <v>4928</v>
      </c>
      <c r="Q1189" t="str">
        <f t="shared" si="78"/>
        <v>condorProc.py --series 07180821_0154 --donoise --dumps a --procenv environments/pymidas_HVHV_NaI_mf.env</v>
      </c>
      <c r="R1189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</v>
      </c>
    </row>
    <row r="1190" spans="1:18">
      <c r="A1190" s="179" t="s">
        <v>6628</v>
      </c>
      <c r="G1190" s="191"/>
      <c r="K1190" s="180"/>
      <c r="M1190" t="s">
        <v>2246</v>
      </c>
      <c r="N1190" t="s">
        <v>5571</v>
      </c>
      <c r="O1190" t="s">
        <v>4928</v>
      </c>
      <c r="Q1190" t="str">
        <f t="shared" si="78"/>
        <v>condorProc.py --series 07180821_0204 --donoise --dumps a --procenv environments/pymidas_HVHV_NaI_mf.env</v>
      </c>
      <c r="R1190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</v>
      </c>
    </row>
    <row r="1191" spans="1:18">
      <c r="A1191" s="179" t="s">
        <v>6629</v>
      </c>
      <c r="G1191" s="191"/>
      <c r="K1191" s="180"/>
      <c r="M1191" t="s">
        <v>2246</v>
      </c>
      <c r="N1191" t="s">
        <v>5571</v>
      </c>
      <c r="O1191" t="s">
        <v>4928</v>
      </c>
      <c r="Q1191" t="str">
        <f t="shared" si="78"/>
        <v>condorProc.py --series 07180821_0214 --donoise --dumps a --procenv environments/pymidas_HVHV_NaI_mf.env</v>
      </c>
      <c r="R1191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</v>
      </c>
    </row>
    <row r="1192" spans="1:18">
      <c r="A1192" s="179" t="s">
        <v>6630</v>
      </c>
      <c r="G1192" s="191"/>
      <c r="K1192" s="180"/>
      <c r="M1192" t="s">
        <v>2246</v>
      </c>
      <c r="N1192" t="s">
        <v>5571</v>
      </c>
      <c r="O1192" t="s">
        <v>4928</v>
      </c>
      <c r="Q1192" t="str">
        <f t="shared" si="78"/>
        <v>condorProc.py --series 07180821_0225 --donoise --dumps a --procenv environments/pymidas_HVHV_NaI_mf.env</v>
      </c>
      <c r="R1192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</v>
      </c>
    </row>
    <row r="1193" spans="1:18">
      <c r="A1193" s="176" t="s">
        <v>6631</v>
      </c>
      <c r="B1193" s="177"/>
      <c r="C1193" s="177"/>
      <c r="D1193" s="177"/>
      <c r="E1193" s="177"/>
      <c r="F1193" s="177">
        <v>10</v>
      </c>
      <c r="G1193" s="192" t="s">
        <v>2248</v>
      </c>
      <c r="H1193" s="177">
        <v>40</v>
      </c>
      <c r="I1193" s="177"/>
      <c r="J1193" s="177" t="s">
        <v>5577</v>
      </c>
      <c r="K1193" s="178" t="s">
        <v>5583</v>
      </c>
      <c r="M1193" t="s">
        <v>2246</v>
      </c>
      <c r="N1193" t="s">
        <v>5571</v>
      </c>
      <c r="O1193" t="s">
        <v>4928</v>
      </c>
      <c r="Q1193" t="str">
        <f t="shared" si="78"/>
        <v>condorProc.py --series 07180821_0314 --donoise --dumps a --procenv environments/pymidas_HVHV_NaI_mf.env</v>
      </c>
      <c r="R1193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</v>
      </c>
    </row>
    <row r="1194" spans="1:18">
      <c r="A1194" s="179" t="s">
        <v>6632</v>
      </c>
      <c r="G1194" s="191"/>
      <c r="J1194" t="s">
        <v>5585</v>
      </c>
      <c r="K1194" s="180" t="s">
        <v>5671</v>
      </c>
      <c r="M1194" t="s">
        <v>2246</v>
      </c>
      <c r="N1194" t="s">
        <v>5571</v>
      </c>
      <c r="O1194" t="s">
        <v>4928</v>
      </c>
      <c r="Q1194" t="str">
        <f t="shared" si="78"/>
        <v>condorProc.py --series 07180821_0324 --donoise --dumps a --procenv environments/pymidas_HVHV_NaI_mf.env</v>
      </c>
      <c r="R1194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</v>
      </c>
    </row>
    <row r="1195" spans="1:18">
      <c r="A1195" s="179" t="s">
        <v>6633</v>
      </c>
      <c r="G1195" s="191"/>
      <c r="K1195" s="187" t="s">
        <v>6206</v>
      </c>
      <c r="M1195" t="s">
        <v>2246</v>
      </c>
      <c r="N1195" t="s">
        <v>5571</v>
      </c>
      <c r="O1195" t="s">
        <v>4928</v>
      </c>
      <c r="Q1195" t="str">
        <f t="shared" si="78"/>
        <v>condorProc.py --series 07180821_0334 --donoise --dumps a --procenv environments/pymidas_HVHV_NaI_mf.env</v>
      </c>
      <c r="R1195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</v>
      </c>
    </row>
    <row r="1196" spans="1:18">
      <c r="A1196" s="179" t="s">
        <v>6634</v>
      </c>
      <c r="G1196" s="191"/>
      <c r="K1196" s="180"/>
      <c r="M1196" t="s">
        <v>2246</v>
      </c>
      <c r="N1196" t="s">
        <v>5571</v>
      </c>
      <c r="O1196" t="s">
        <v>4928</v>
      </c>
      <c r="Q1196" t="str">
        <f t="shared" si="78"/>
        <v>condorProc.py --series 07180821_0344 --donoise --dumps a --procenv environments/pymidas_HVHV_NaI_mf.env</v>
      </c>
      <c r="R1196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</v>
      </c>
    </row>
    <row r="1197" spans="1:18">
      <c r="A1197" s="179" t="s">
        <v>6635</v>
      </c>
      <c r="G1197" s="191"/>
      <c r="K1197" s="180"/>
      <c r="M1197" t="s">
        <v>2246</v>
      </c>
      <c r="N1197" t="s">
        <v>5571</v>
      </c>
      <c r="O1197" t="s">
        <v>4928</v>
      </c>
      <c r="Q1197" t="str">
        <f t="shared" si="78"/>
        <v>condorProc.py --series 07180821_0354 --donoise --dumps a --procenv environments/pymidas_HVHV_NaI_mf.env</v>
      </c>
      <c r="R1197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</v>
      </c>
    </row>
    <row r="1198" spans="1:18">
      <c r="A1198" s="179" t="s">
        <v>6636</v>
      </c>
      <c r="G1198" s="191"/>
      <c r="K1198" s="180"/>
      <c r="M1198" t="s">
        <v>2246</v>
      </c>
      <c r="N1198" t="s">
        <v>5571</v>
      </c>
      <c r="O1198" t="s">
        <v>4928</v>
      </c>
      <c r="Q1198" t="str">
        <f t="shared" si="78"/>
        <v>condorProc.py --series 07180821_0404 --donoise --dumps a --procenv environments/pymidas_HVHV_NaI_mf.env</v>
      </c>
      <c r="R1198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</v>
      </c>
    </row>
    <row r="1199" spans="1:18">
      <c r="A1199" s="179" t="s">
        <v>6637</v>
      </c>
      <c r="G1199" s="191"/>
      <c r="K1199" s="180"/>
      <c r="M1199" t="s">
        <v>2246</v>
      </c>
      <c r="N1199" t="s">
        <v>5571</v>
      </c>
      <c r="O1199" t="s">
        <v>4928</v>
      </c>
      <c r="Q1199" t="str">
        <f t="shared" si="78"/>
        <v>condorProc.py --series 07180821_0414 --donoise --dumps a --procenv environments/pymidas_HVHV_NaI_mf.env</v>
      </c>
      <c r="R1199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</v>
      </c>
    </row>
    <row r="1200" spans="1:18">
      <c r="A1200" s="179" t="s">
        <v>6638</v>
      </c>
      <c r="G1200" s="191"/>
      <c r="K1200" s="180"/>
      <c r="M1200" t="s">
        <v>2246</v>
      </c>
      <c r="N1200" t="s">
        <v>5571</v>
      </c>
      <c r="O1200" t="s">
        <v>4928</v>
      </c>
      <c r="Q1200" t="str">
        <f t="shared" si="78"/>
        <v>condorProc.py --series 07180821_0425 --donoise --dumps a --procenv environments/pymidas_HVHV_NaI_mf.env</v>
      </c>
      <c r="R1200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</v>
      </c>
    </row>
    <row r="1201" spans="1:21">
      <c r="A1201" s="179" t="s">
        <v>6639</v>
      </c>
      <c r="G1201" s="191"/>
      <c r="K1201" s="180"/>
      <c r="M1201" t="s">
        <v>2246</v>
      </c>
      <c r="N1201" t="s">
        <v>5571</v>
      </c>
      <c r="O1201" t="s">
        <v>4928</v>
      </c>
      <c r="Q1201" t="str">
        <f t="shared" si="78"/>
        <v>condorProc.py --series 07180821_0435 --donoise --dumps a --procenv environments/pymidas_HVHV_NaI_mf.env</v>
      </c>
      <c r="R1201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</v>
      </c>
    </row>
    <row r="1202" spans="1:21">
      <c r="A1202" s="179" t="s">
        <v>6640</v>
      </c>
      <c r="G1202" s="191"/>
      <c r="K1202" s="180"/>
      <c r="M1202" t="s">
        <v>2246</v>
      </c>
      <c r="N1202" t="s">
        <v>5571</v>
      </c>
      <c r="O1202" t="s">
        <v>4928</v>
      </c>
      <c r="Q1202" t="str">
        <f t="shared" si="78"/>
        <v>condorProc.py --series 07180821_0445 --donoise --dumps a --procenv environments/pymidas_HVHV_NaI_mf.env</v>
      </c>
      <c r="R1202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</v>
      </c>
    </row>
    <row r="1203" spans="1:21">
      <c r="A1203" s="179" t="s">
        <v>6641</v>
      </c>
      <c r="G1203" s="191"/>
      <c r="K1203" s="180"/>
      <c r="M1203" t="s">
        <v>2246</v>
      </c>
      <c r="N1203" t="s">
        <v>5571</v>
      </c>
      <c r="O1203" t="s">
        <v>4928</v>
      </c>
      <c r="Q1203" t="str">
        <f t="shared" ref="Q1203:Q1228" si="80">"condorProc.py --series "&amp;A1203&amp;" --donoise --dumps a --procenv environments/pymidas_HVHV_NaI_mf.env"</f>
        <v>condorProc.py --series 07180821_0455 --donoise --dumps a --procenv environments/pymidas_HVHV_NaI_mf.env</v>
      </c>
      <c r="R1203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</v>
      </c>
      <c r="T1203" t="str">
        <f>"ls -l "&amp;A1203&amp;"/ | grep grad\ \ \ &gt;&gt; ~/K100/condorfail.txt"</f>
        <v>ls -l 07180821_0455/ | grep grad\ \ \ &gt;&gt; ~/K100/condorfail.txt</v>
      </c>
      <c r="U1203" t="str">
        <f>"ls -l "&amp;A1203&amp;"/ | grep grad &gt;&gt; ~/K100/condorfail.txt"</f>
        <v>ls -l 07180821_0455/ | grep grad &gt;&gt; ~/K100/condorfail.txt</v>
      </c>
    </row>
    <row r="1204" spans="1:21">
      <c r="A1204" s="179" t="s">
        <v>6642</v>
      </c>
      <c r="G1204" s="191"/>
      <c r="K1204" s="180"/>
      <c r="M1204" t="s">
        <v>2246</v>
      </c>
      <c r="N1204" t="s">
        <v>5571</v>
      </c>
      <c r="O1204" t="s">
        <v>4928</v>
      </c>
      <c r="Q1204" t="str">
        <f t="shared" si="80"/>
        <v>condorProc.py --series 07180821_0505 --donoise --dumps a --procenv environments/pymidas_HVHV_NaI_mf.env</v>
      </c>
      <c r="R1204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</v>
      </c>
      <c r="T1204" t="str">
        <f>"ls -l "&amp;A1204&amp;"/ | grep grad\ \ \ &gt;&gt; ~/K100/condorfail.txt"</f>
        <v>ls -l 07180821_0505/ | grep grad\ \ \ &gt;&gt; ~/K100/condorfail.txt</v>
      </c>
      <c r="U1204" t="str">
        <f>"ls -l "&amp;A1204&amp;"/ | grep grad &gt;&gt; ~/K100/condorfail.txt"</f>
        <v>ls -l 07180821_0505/ | grep grad &gt;&gt; ~/K100/condorfail.txt</v>
      </c>
    </row>
    <row r="1205" spans="1:21">
      <c r="A1205" s="176" t="s">
        <v>6643</v>
      </c>
      <c r="B1205" s="177"/>
      <c r="C1205" s="177"/>
      <c r="D1205" s="177"/>
      <c r="E1205" s="177"/>
      <c r="F1205" s="177">
        <v>10</v>
      </c>
      <c r="G1205" s="192" t="s">
        <v>2248</v>
      </c>
      <c r="H1205" s="177">
        <v>40</v>
      </c>
      <c r="I1205" s="177"/>
      <c r="J1205" s="177" t="s">
        <v>5577</v>
      </c>
      <c r="K1205" s="178" t="s">
        <v>5583</v>
      </c>
      <c r="M1205" t="s">
        <v>2246</v>
      </c>
      <c r="N1205" t="s">
        <v>5571</v>
      </c>
      <c r="O1205" t="s">
        <v>4928</v>
      </c>
      <c r="Q1205" t="str">
        <f t="shared" si="80"/>
        <v>condorProc.py --series 07180821_0554 --donoise --dumps a --procenv environments/pymidas_HVHV_NaI_mf.env</v>
      </c>
      <c r="R1205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</v>
      </c>
    </row>
    <row r="1206" spans="1:21">
      <c r="A1206" s="179" t="s">
        <v>6644</v>
      </c>
      <c r="G1206" s="191"/>
      <c r="J1206" t="s">
        <v>5585</v>
      </c>
      <c r="K1206" s="180" t="s">
        <v>5671</v>
      </c>
      <c r="M1206" t="s">
        <v>2246</v>
      </c>
      <c r="N1206" t="s">
        <v>5571</v>
      </c>
      <c r="O1206" t="s">
        <v>4928</v>
      </c>
      <c r="Q1206" t="str">
        <f t="shared" si="80"/>
        <v>condorProc.py --series 07180821_0605 --donoise --dumps a --procenv environments/pymidas_HVHV_NaI_mf.env</v>
      </c>
      <c r="R1206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</v>
      </c>
    </row>
    <row r="1207" spans="1:21">
      <c r="A1207" s="179" t="s">
        <v>6645</v>
      </c>
      <c r="G1207" s="191"/>
      <c r="K1207" s="187" t="s">
        <v>6206</v>
      </c>
      <c r="M1207" t="s">
        <v>2246</v>
      </c>
      <c r="N1207" t="s">
        <v>5571</v>
      </c>
      <c r="O1207" t="s">
        <v>4928</v>
      </c>
      <c r="Q1207" t="str">
        <f t="shared" si="80"/>
        <v>condorProc.py --series 07180821_0615 --donoise --dumps a --procenv environments/pymidas_HVHV_NaI_mf.env</v>
      </c>
      <c r="R1207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</v>
      </c>
    </row>
    <row r="1208" spans="1:21">
      <c r="A1208" s="179" t="s">
        <v>6646</v>
      </c>
      <c r="G1208" s="191"/>
      <c r="K1208" s="180"/>
      <c r="M1208" t="s">
        <v>2246</v>
      </c>
      <c r="N1208" t="s">
        <v>5571</v>
      </c>
      <c r="O1208" t="s">
        <v>4928</v>
      </c>
      <c r="Q1208" t="str">
        <f t="shared" si="80"/>
        <v>condorProc.py --series 07180821_0625 --donoise --dumps a --procenv environments/pymidas_HVHV_NaI_mf.env</v>
      </c>
      <c r="R1208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</v>
      </c>
    </row>
    <row r="1209" spans="1:21">
      <c r="A1209" s="179" t="s">
        <v>6647</v>
      </c>
      <c r="G1209" s="191"/>
      <c r="K1209" s="180"/>
      <c r="M1209" t="s">
        <v>2246</v>
      </c>
      <c r="N1209" t="s">
        <v>5571</v>
      </c>
      <c r="O1209" t="s">
        <v>4928</v>
      </c>
      <c r="Q1209" t="str">
        <f t="shared" si="80"/>
        <v>condorProc.py --series 07180821_0635 --donoise --dumps a --procenv environments/pymidas_HVHV_NaI_mf.env</v>
      </c>
      <c r="R1209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</v>
      </c>
    </row>
    <row r="1210" spans="1:21">
      <c r="A1210" s="179" t="s">
        <v>6648</v>
      </c>
      <c r="G1210" s="191"/>
      <c r="K1210" s="180"/>
      <c r="M1210" t="s">
        <v>2246</v>
      </c>
      <c r="N1210" t="s">
        <v>5571</v>
      </c>
      <c r="O1210" t="s">
        <v>4928</v>
      </c>
      <c r="Q1210" t="str">
        <f t="shared" si="80"/>
        <v>condorProc.py --series 07180821_0645 --donoise --dumps a --procenv environments/pymidas_HVHV_NaI_mf.env</v>
      </c>
      <c r="R1210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</v>
      </c>
    </row>
    <row r="1211" spans="1:21">
      <c r="A1211" s="179" t="s">
        <v>6649</v>
      </c>
      <c r="G1211" s="191"/>
      <c r="K1211" s="180"/>
      <c r="M1211" t="s">
        <v>2246</v>
      </c>
      <c r="N1211" t="s">
        <v>5571</v>
      </c>
      <c r="O1211" t="s">
        <v>4928</v>
      </c>
      <c r="Q1211" t="str">
        <f t="shared" si="80"/>
        <v>condorProc.py --series 07180821_0655 --donoise --dumps a --procenv environments/pymidas_HVHV_NaI_mf.env</v>
      </c>
      <c r="R1211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</v>
      </c>
    </row>
    <row r="1212" spans="1:21">
      <c r="A1212" s="179" t="s">
        <v>6650</v>
      </c>
      <c r="G1212" s="191"/>
      <c r="K1212" s="180"/>
      <c r="M1212" t="s">
        <v>2246</v>
      </c>
      <c r="N1212" t="s">
        <v>5571</v>
      </c>
      <c r="O1212" t="s">
        <v>4928</v>
      </c>
      <c r="Q1212" t="str">
        <f t="shared" si="80"/>
        <v>condorProc.py --series 07180821_0705 --donoise --dumps a --procenv environments/pymidas_HVHV_NaI_mf.env</v>
      </c>
      <c r="R1212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</v>
      </c>
    </row>
    <row r="1213" spans="1:21">
      <c r="A1213" s="179" t="s">
        <v>6651</v>
      </c>
      <c r="G1213" s="191"/>
      <c r="K1213" s="180"/>
      <c r="M1213" t="s">
        <v>2246</v>
      </c>
      <c r="N1213" t="s">
        <v>5571</v>
      </c>
      <c r="O1213" t="s">
        <v>4928</v>
      </c>
      <c r="Q1213" t="str">
        <f t="shared" si="80"/>
        <v>condorProc.py --series 07180821_0715 --donoise --dumps a --procenv environments/pymidas_HVHV_NaI_mf.env</v>
      </c>
      <c r="R1213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</v>
      </c>
    </row>
    <row r="1214" spans="1:21">
      <c r="A1214" s="179" t="s">
        <v>6652</v>
      </c>
      <c r="G1214" s="191"/>
      <c r="K1214" s="180"/>
      <c r="M1214" t="s">
        <v>2246</v>
      </c>
      <c r="N1214" t="s">
        <v>5571</v>
      </c>
      <c r="O1214" t="s">
        <v>4928</v>
      </c>
      <c r="Q1214" t="str">
        <f t="shared" si="80"/>
        <v>condorProc.py --series 07180821_0726 --donoise --dumps a --procenv environments/pymidas_HVHV_NaI_mf.env</v>
      </c>
      <c r="R1214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</v>
      </c>
    </row>
    <row r="1215" spans="1:21">
      <c r="A1215" s="179" t="s">
        <v>6653</v>
      </c>
      <c r="G1215" s="191"/>
      <c r="K1215" s="180"/>
      <c r="M1215" t="s">
        <v>2246</v>
      </c>
      <c r="N1215" t="s">
        <v>5571</v>
      </c>
      <c r="O1215" t="s">
        <v>4928</v>
      </c>
      <c r="Q1215" t="str">
        <f t="shared" si="80"/>
        <v>condorProc.py --series 07180821_0736 --donoise --dumps a --procenv environments/pymidas_HVHV_NaI_mf.env</v>
      </c>
      <c r="R1215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</v>
      </c>
    </row>
    <row r="1216" spans="1:21">
      <c r="A1216" s="179" t="s">
        <v>6654</v>
      </c>
      <c r="G1216" s="191"/>
      <c r="I1216" t="s">
        <v>75</v>
      </c>
      <c r="K1216" s="180"/>
      <c r="M1216" t="s">
        <v>2246</v>
      </c>
      <c r="N1216" t="s">
        <v>5571</v>
      </c>
      <c r="O1216" t="s">
        <v>4928</v>
      </c>
      <c r="Q1216" t="str">
        <f t="shared" si="80"/>
        <v>condorProc.py --series 07180821_0746 --donoise --dumps a --procenv environments/pymidas_HVHV_NaI_mf.env</v>
      </c>
      <c r="R1216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</v>
      </c>
    </row>
    <row r="1217" spans="1:21">
      <c r="A1217" s="176" t="s">
        <v>6655</v>
      </c>
      <c r="B1217" s="177"/>
      <c r="C1217" s="177"/>
      <c r="D1217" s="177"/>
      <c r="E1217" s="177"/>
      <c r="F1217" s="177">
        <v>10</v>
      </c>
      <c r="G1217" s="192" t="s">
        <v>2248</v>
      </c>
      <c r="H1217" s="177">
        <v>40</v>
      </c>
      <c r="I1217" s="177"/>
      <c r="J1217" s="177" t="s">
        <v>5577</v>
      </c>
      <c r="K1217" s="178" t="s">
        <v>5583</v>
      </c>
      <c r="M1217" t="s">
        <v>2246</v>
      </c>
      <c r="N1217" t="s">
        <v>5571</v>
      </c>
      <c r="O1217" t="s">
        <v>4928</v>
      </c>
      <c r="Q1217" t="str">
        <f t="shared" si="80"/>
        <v>condorProc.py --series 07180821_1010 --donoise --dumps a --procenv environments/pymidas_HVHV_NaI_mf.env</v>
      </c>
      <c r="R1217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</v>
      </c>
      <c r="T1217" t="str">
        <f t="shared" ref="T1217:T1228" si="81">"ls -l "&amp;A1217&amp;"/ | grep grad\ \ \ &gt;&gt; ~/K100/condorfail.txt"</f>
        <v>ls -l 07180821_1010/ | grep grad\ \ \ &gt;&gt; ~/K100/condorfail.txt</v>
      </c>
      <c r="U1217" t="str">
        <f t="shared" ref="U1217:U1228" si="82">"ls -l "&amp;A1217&amp;"/ | grep grad &gt;&gt; ~/K100/condorfail.txt"</f>
        <v>ls -l 07180821_1010/ | grep grad &gt;&gt; ~/K100/condorfail.txt</v>
      </c>
    </row>
    <row r="1218" spans="1:21">
      <c r="A1218" s="179" t="s">
        <v>6656</v>
      </c>
      <c r="G1218" s="191"/>
      <c r="J1218" t="s">
        <v>5585</v>
      </c>
      <c r="K1218" s="180" t="s">
        <v>5671</v>
      </c>
      <c r="M1218" t="s">
        <v>2246</v>
      </c>
      <c r="N1218" t="s">
        <v>5571</v>
      </c>
      <c r="O1218" t="s">
        <v>4928</v>
      </c>
      <c r="Q1218" t="str">
        <f t="shared" si="80"/>
        <v>condorProc.py --series 07180821_1020 --donoise --dumps a --procenv environments/pymidas_HVHV_NaI_mf.env</v>
      </c>
      <c r="R1218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</v>
      </c>
      <c r="T1218" t="str">
        <f t="shared" si="81"/>
        <v>ls -l 07180821_1020/ | grep grad\ \ \ &gt;&gt; ~/K100/condorfail.txt</v>
      </c>
      <c r="U1218" t="str">
        <f t="shared" si="82"/>
        <v>ls -l 07180821_1020/ | grep grad &gt;&gt; ~/K100/condorfail.txt</v>
      </c>
    </row>
    <row r="1219" spans="1:21">
      <c r="A1219" s="179" t="s">
        <v>6657</v>
      </c>
      <c r="G1219" s="191"/>
      <c r="I1219" s="197" t="s">
        <v>5645</v>
      </c>
      <c r="K1219" s="187" t="s">
        <v>6206</v>
      </c>
      <c r="M1219" s="197" t="s">
        <v>1491</v>
      </c>
      <c r="N1219" s="16" t="s">
        <v>2037</v>
      </c>
      <c r="O1219" s="16"/>
      <c r="Q1219" t="str">
        <f t="shared" si="80"/>
        <v>condorProc.py --series 07180821_1030 --donoise --dumps a --procenv environments/pymidas_HVHV_NaI_mf.env</v>
      </c>
      <c r="R1219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</v>
      </c>
      <c r="T1219" t="str">
        <f t="shared" si="81"/>
        <v>ls -l 07180821_1030/ | grep grad\ \ \ &gt;&gt; ~/K100/condorfail.txt</v>
      </c>
      <c r="U1219" t="str">
        <f t="shared" si="82"/>
        <v>ls -l 07180821_1030/ | grep grad &gt;&gt; ~/K100/condorfail.txt</v>
      </c>
    </row>
    <row r="1220" spans="1:21">
      <c r="A1220" s="179" t="s">
        <v>6658</v>
      </c>
      <c r="G1220" s="191"/>
      <c r="K1220" s="180"/>
      <c r="M1220" t="s">
        <v>2246</v>
      </c>
      <c r="N1220" t="s">
        <v>5571</v>
      </c>
      <c r="O1220" t="s">
        <v>4928</v>
      </c>
      <c r="Q1220" t="str">
        <f t="shared" si="80"/>
        <v>condorProc.py --series 07180821_1040 --donoise --dumps a --procenv environments/pymidas_HVHV_NaI_mf.env</v>
      </c>
      <c r="R1220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"07180821_1030", "07180821_1040"</v>
      </c>
      <c r="T1220" t="str">
        <f t="shared" si="81"/>
        <v>ls -l 07180821_1040/ | grep grad\ \ \ &gt;&gt; ~/K100/condorfail.txt</v>
      </c>
      <c r="U1220" t="str">
        <f t="shared" si="82"/>
        <v>ls -l 07180821_1040/ | grep grad &gt;&gt; ~/K100/condorfail.txt</v>
      </c>
    </row>
    <row r="1221" spans="1:21">
      <c r="A1221" s="179" t="s">
        <v>6659</v>
      </c>
      <c r="G1221" s="191"/>
      <c r="K1221" s="180"/>
      <c r="M1221" t="s">
        <v>2246</v>
      </c>
      <c r="N1221" t="s">
        <v>5571</v>
      </c>
      <c r="O1221" t="s">
        <v>4928</v>
      </c>
      <c r="Q1221" t="str">
        <f t="shared" si="80"/>
        <v>condorProc.py --series 07180821_1050 --donoise --dumps a --procenv environments/pymidas_HVHV_NaI_mf.env</v>
      </c>
      <c r="R1221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"07180821_1030", "07180821_1040", "07180821_1050"</v>
      </c>
      <c r="T1221" t="str">
        <f t="shared" si="81"/>
        <v>ls -l 07180821_1050/ | grep grad\ \ \ &gt;&gt; ~/K100/condorfail.txt</v>
      </c>
      <c r="U1221" t="str">
        <f t="shared" si="82"/>
        <v>ls -l 07180821_1050/ | grep grad &gt;&gt; ~/K100/condorfail.txt</v>
      </c>
    </row>
    <row r="1222" spans="1:21">
      <c r="A1222" s="179" t="s">
        <v>6660</v>
      </c>
      <c r="G1222" s="191"/>
      <c r="K1222" s="180"/>
      <c r="M1222" t="s">
        <v>2246</v>
      </c>
      <c r="N1222" t="s">
        <v>5571</v>
      </c>
      <c r="O1222" t="s">
        <v>4928</v>
      </c>
      <c r="Q1222" t="str">
        <f t="shared" si="80"/>
        <v>condorProc.py --series 07180821_1101 --donoise --dumps a --procenv environments/pymidas_HVHV_NaI_mf.env</v>
      </c>
      <c r="R1222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"07180821_1030", "07180821_1040", "07180821_1050", "07180821_1101"</v>
      </c>
      <c r="T1222" t="str">
        <f t="shared" si="81"/>
        <v>ls -l 07180821_1101/ | grep grad\ \ \ &gt;&gt; ~/K100/condorfail.txt</v>
      </c>
      <c r="U1222" t="str">
        <f t="shared" si="82"/>
        <v>ls -l 07180821_1101/ | grep grad &gt;&gt; ~/K100/condorfail.txt</v>
      </c>
    </row>
    <row r="1223" spans="1:21">
      <c r="A1223" s="179" t="s">
        <v>6661</v>
      </c>
      <c r="G1223" s="191"/>
      <c r="K1223" s="180"/>
      <c r="M1223" t="s">
        <v>2246</v>
      </c>
      <c r="N1223" t="s">
        <v>5571</v>
      </c>
      <c r="O1223" t="s">
        <v>4928</v>
      </c>
      <c r="Q1223" t="str">
        <f t="shared" si="80"/>
        <v>condorProc.py --series 07180821_1111 --donoise --dumps a --procenv environments/pymidas_HVHV_NaI_mf.env</v>
      </c>
      <c r="R1223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"07180821_1030", "07180821_1040", "07180821_1050", "07180821_1101", "07180821_1111"</v>
      </c>
      <c r="T1223" t="str">
        <f t="shared" si="81"/>
        <v>ls -l 07180821_1111/ | grep grad\ \ \ &gt;&gt; ~/K100/condorfail.txt</v>
      </c>
      <c r="U1223" t="str">
        <f t="shared" si="82"/>
        <v>ls -l 07180821_1111/ | grep grad &gt;&gt; ~/K100/condorfail.txt</v>
      </c>
    </row>
    <row r="1224" spans="1:21">
      <c r="A1224" s="179" t="s">
        <v>6662</v>
      </c>
      <c r="G1224" s="191"/>
      <c r="K1224" s="180"/>
      <c r="M1224" t="s">
        <v>2246</v>
      </c>
      <c r="N1224" t="s">
        <v>5571</v>
      </c>
      <c r="O1224" t="s">
        <v>4928</v>
      </c>
      <c r="Q1224" t="str">
        <f t="shared" si="80"/>
        <v>condorProc.py --series 07180821_1121 --donoise --dumps a --procenv environments/pymidas_HVHV_NaI_mf.env</v>
      </c>
      <c r="R1224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"07180821_1030", "07180821_1040", "07180821_1050", "07180821_1101", "07180821_1111", "07180821_1121"</v>
      </c>
      <c r="T1224" t="str">
        <f t="shared" si="81"/>
        <v>ls -l 07180821_1121/ | grep grad\ \ \ &gt;&gt; ~/K100/condorfail.txt</v>
      </c>
      <c r="U1224" t="str">
        <f t="shared" si="82"/>
        <v>ls -l 07180821_1121/ | grep grad &gt;&gt; ~/K100/condorfail.txt</v>
      </c>
    </row>
    <row r="1225" spans="1:21">
      <c r="A1225" s="179" t="s">
        <v>6663</v>
      </c>
      <c r="G1225" s="191"/>
      <c r="K1225" s="180"/>
      <c r="M1225" t="s">
        <v>2246</v>
      </c>
      <c r="N1225" t="s">
        <v>5571</v>
      </c>
      <c r="O1225" t="s">
        <v>4928</v>
      </c>
      <c r="Q1225" t="str">
        <f t="shared" si="80"/>
        <v>condorProc.py --series 07180821_1131 --donoise --dumps a --procenv environments/pymidas_HVHV_NaI_mf.env</v>
      </c>
      <c r="R1225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"07180821_1030", "07180821_1040", "07180821_1050", "07180821_1101", "07180821_1111", "07180821_1121", "07180821_1131"</v>
      </c>
      <c r="T1225" t="str">
        <f t="shared" si="81"/>
        <v>ls -l 07180821_1131/ | grep grad\ \ \ &gt;&gt; ~/K100/condorfail.txt</v>
      </c>
      <c r="U1225" t="str">
        <f t="shared" si="82"/>
        <v>ls -l 07180821_1131/ | grep grad &gt;&gt; ~/K100/condorfail.txt</v>
      </c>
    </row>
    <row r="1226" spans="1:21">
      <c r="A1226" s="179" t="s">
        <v>6664</v>
      </c>
      <c r="G1226" s="191"/>
      <c r="K1226" s="180"/>
      <c r="M1226" t="s">
        <v>2246</v>
      </c>
      <c r="N1226" t="s">
        <v>5571</v>
      </c>
      <c r="O1226" t="s">
        <v>4928</v>
      </c>
      <c r="Q1226" t="str">
        <f t="shared" si="80"/>
        <v>condorProc.py --series 07180821_1141 --donoise --dumps a --procenv environments/pymidas_HVHV_NaI_mf.env</v>
      </c>
      <c r="R1226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"07180821_1030", "07180821_1040", "07180821_1050", "07180821_1101", "07180821_1111", "07180821_1121", "07180821_1131", "07180821_1141"</v>
      </c>
      <c r="T1226" t="str">
        <f t="shared" si="81"/>
        <v>ls -l 07180821_1141/ | grep grad\ \ \ &gt;&gt; ~/K100/condorfail.txt</v>
      </c>
      <c r="U1226" t="str">
        <f t="shared" si="82"/>
        <v>ls -l 07180821_1141/ | grep grad &gt;&gt; ~/K100/condorfail.txt</v>
      </c>
    </row>
    <row r="1227" spans="1:21">
      <c r="A1227" s="179" t="s">
        <v>6665</v>
      </c>
      <c r="G1227" s="191"/>
      <c r="K1227" s="180"/>
      <c r="M1227" t="s">
        <v>2246</v>
      </c>
      <c r="N1227" t="s">
        <v>5571</v>
      </c>
      <c r="O1227" t="s">
        <v>4928</v>
      </c>
      <c r="Q1227" t="str">
        <f t="shared" si="80"/>
        <v>condorProc.py --series 07180821_1151 --donoise --dumps a --procenv environments/pymidas_HVHV_NaI_mf.env</v>
      </c>
      <c r="R1227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"07180821_1030", "07180821_1040", "07180821_1050", "07180821_1101", "07180821_1111", "07180821_1121", "07180821_1131", "07180821_1141", "07180821_1151"</v>
      </c>
      <c r="T1227" t="str">
        <f t="shared" si="81"/>
        <v>ls -l 07180821_1151/ | grep grad\ \ \ &gt;&gt; ~/K100/condorfail.txt</v>
      </c>
      <c r="U1227" t="str">
        <f t="shared" si="82"/>
        <v>ls -l 07180821_1151/ | grep grad &gt;&gt; ~/K100/condorfail.txt</v>
      </c>
    </row>
    <row r="1228" spans="1:21">
      <c r="A1228" s="179" t="s">
        <v>6666</v>
      </c>
      <c r="G1228" s="191"/>
      <c r="I1228" t="s">
        <v>75</v>
      </c>
      <c r="K1228" s="180"/>
      <c r="L1228">
        <f>84+L697</f>
        <v>511</v>
      </c>
      <c r="M1228" t="s">
        <v>2246</v>
      </c>
      <c r="N1228" t="s">
        <v>5571</v>
      </c>
      <c r="O1228" t="s">
        <v>4928</v>
      </c>
      <c r="Q1228" t="str">
        <f t="shared" si="80"/>
        <v>condorProc.py --series 07180821_1201 --donoise --dumps a --procenv environments/pymidas_HVHV_NaI_mf.env</v>
      </c>
      <c r="R1228" t="str">
        <f t="shared" si="79"/>
        <v>"07180820_2153", "07180820_2203", "07180820_2213", "07180820_2223", "07180820_2233", "07180820_2243", "07180820_2253", "07180820_2303", "07180820_2313", "07180820_2324", "07180820_2334", "07180820_2344", "07180821_0033", "07180821_0043", "07180821_0053", "07180821_0104", "07180821_0114", "07180821_0124", "07180821_0134", "07180821_0144", "07180821_0154", "07180821_0204", "07180821_0214", "07180821_0225", "07180821_0314", "07180821_0324", "07180821_0334", "07180821_0344", "07180821_0354", "07180821_0404", "07180821_0414", "07180821_0425", "07180821_0435", "07180821_0445", "07180821_0455", "07180821_0505", "07180821_0554", "07180821_0605", "07180821_0615", "07180821_0625", "07180821_0635", "07180821_0645", "07180821_0655", "07180821_0705", "07180821_0715", "07180821_0726", "07180821_0736", "07180821_0746", "07180821_1010", "07180821_1020", "07180821_1030", "07180821_1040", "07180821_1050", "07180821_1101", "07180821_1111", "07180821_1121", "07180821_1131", "07180821_1141", "07180821_1151", "07180821_1201"</v>
      </c>
      <c r="T1228" t="str">
        <f t="shared" si="81"/>
        <v>ls -l 07180821_1201/ | grep grad\ \ \ &gt;&gt; ~/K100/condorfail.txt</v>
      </c>
      <c r="U1228" t="str">
        <f t="shared" si="82"/>
        <v>ls -l 07180821_1201/ | grep grad &gt;&gt; ~/K100/condorfail.txt</v>
      </c>
    </row>
    <row r="1229" spans="1:21">
      <c r="A1229" s="176" t="s">
        <v>6667</v>
      </c>
      <c r="B1229" s="177"/>
      <c r="C1229" s="177"/>
      <c r="D1229" s="177"/>
      <c r="E1229" s="177"/>
      <c r="F1229" s="177">
        <v>10</v>
      </c>
      <c r="G1229" s="192" t="s">
        <v>2248</v>
      </c>
      <c r="H1229" s="177">
        <v>40</v>
      </c>
      <c r="I1229" s="190" t="s">
        <v>5434</v>
      </c>
      <c r="J1229" s="177" t="s">
        <v>5577</v>
      </c>
      <c r="K1229" s="178" t="s">
        <v>5583</v>
      </c>
    </row>
    <row r="1230" spans="1:21">
      <c r="A1230" s="179" t="s">
        <v>6668</v>
      </c>
      <c r="G1230" s="191"/>
      <c r="I1230" s="55" t="s">
        <v>5434</v>
      </c>
      <c r="J1230" t="s">
        <v>5585</v>
      </c>
      <c r="K1230" s="180" t="s">
        <v>5671</v>
      </c>
    </row>
    <row r="1231" spans="1:21">
      <c r="A1231" s="179" t="s">
        <v>6669</v>
      </c>
      <c r="G1231" s="191"/>
      <c r="I1231" s="55" t="s">
        <v>5434</v>
      </c>
      <c r="K1231" s="187" t="s">
        <v>6206</v>
      </c>
    </row>
    <row r="1232" spans="1:21">
      <c r="A1232" s="179" t="s">
        <v>6670</v>
      </c>
      <c r="G1232" s="191"/>
      <c r="I1232" s="55" t="s">
        <v>5434</v>
      </c>
      <c r="K1232" s="180"/>
    </row>
    <row r="1233" spans="1:11">
      <c r="A1233" s="179" t="s">
        <v>6671</v>
      </c>
      <c r="G1233" s="191"/>
      <c r="I1233" s="55" t="s">
        <v>5434</v>
      </c>
      <c r="K1233" s="180"/>
    </row>
    <row r="1234" spans="1:11">
      <c r="A1234" s="179" t="s">
        <v>6672</v>
      </c>
      <c r="G1234" s="191"/>
      <c r="I1234" s="55" t="s">
        <v>5434</v>
      </c>
      <c r="K1234" s="180" t="s">
        <v>6673</v>
      </c>
    </row>
    <row r="1235" spans="1:11">
      <c r="A1235" s="179" t="s">
        <v>6674</v>
      </c>
      <c r="G1235" s="191"/>
      <c r="I1235" s="55" t="s">
        <v>5434</v>
      </c>
      <c r="K1235" s="180" t="s">
        <v>5434</v>
      </c>
    </row>
    <row r="1236" spans="1:11">
      <c r="A1236" s="179" t="s">
        <v>6675</v>
      </c>
      <c r="G1236" s="191"/>
      <c r="I1236" s="55" t="s">
        <v>5434</v>
      </c>
      <c r="K1236" s="180"/>
    </row>
    <row r="1237" spans="1:11">
      <c r="A1237" s="179" t="s">
        <v>6676</v>
      </c>
      <c r="G1237" s="191"/>
      <c r="I1237" s="55" t="s">
        <v>5434</v>
      </c>
      <c r="K1237" s="180"/>
    </row>
    <row r="1238" spans="1:11">
      <c r="A1238" s="179" t="s">
        <v>6677</v>
      </c>
      <c r="G1238" s="191"/>
      <c r="I1238" s="55" t="s">
        <v>5434</v>
      </c>
      <c r="K1238" s="180"/>
    </row>
    <row r="1239" spans="1:11">
      <c r="A1239" s="179" t="s">
        <v>6678</v>
      </c>
      <c r="G1239" s="191"/>
      <c r="I1239" s="55" t="s">
        <v>5434</v>
      </c>
      <c r="K1239" s="180"/>
    </row>
    <row r="1240" spans="1:11">
      <c r="A1240" s="179" t="s">
        <v>6679</v>
      </c>
      <c r="G1240" s="191"/>
      <c r="I1240" s="55" t="s">
        <v>5434</v>
      </c>
      <c r="K1240" s="180"/>
    </row>
    <row r="1241" spans="1:11">
      <c r="A1241" s="176" t="s">
        <v>6680</v>
      </c>
      <c r="B1241" s="177"/>
      <c r="C1241" s="177"/>
      <c r="D1241" s="177"/>
      <c r="E1241" s="177"/>
      <c r="F1241" s="177">
        <v>10</v>
      </c>
      <c r="G1241" s="192" t="s">
        <v>2248</v>
      </c>
      <c r="H1241" s="177">
        <v>40</v>
      </c>
      <c r="I1241" s="190" t="s">
        <v>5434</v>
      </c>
      <c r="J1241" s="177" t="s">
        <v>5577</v>
      </c>
      <c r="K1241" s="178" t="s">
        <v>5583</v>
      </c>
    </row>
    <row r="1242" spans="1:11">
      <c r="A1242" s="179" t="s">
        <v>6681</v>
      </c>
      <c r="G1242" s="191"/>
      <c r="I1242" s="55" t="s">
        <v>5434</v>
      </c>
      <c r="J1242" t="s">
        <v>5585</v>
      </c>
      <c r="K1242" s="180" t="s">
        <v>5671</v>
      </c>
    </row>
    <row r="1243" spans="1:11">
      <c r="A1243" s="179" t="s">
        <v>6682</v>
      </c>
      <c r="G1243" s="191"/>
      <c r="I1243" s="55" t="s">
        <v>5434</v>
      </c>
      <c r="K1243" s="187" t="s">
        <v>6206</v>
      </c>
    </row>
    <row r="1244" spans="1:11">
      <c r="A1244" s="179" t="s">
        <v>6683</v>
      </c>
      <c r="G1244" s="191"/>
      <c r="I1244" s="55" t="s">
        <v>5434</v>
      </c>
      <c r="K1244" s="180"/>
    </row>
    <row r="1245" spans="1:11">
      <c r="A1245" s="179" t="s">
        <v>6684</v>
      </c>
      <c r="G1245" s="191"/>
      <c r="I1245" s="55" t="s">
        <v>5434</v>
      </c>
      <c r="K1245" s="180"/>
    </row>
    <row r="1246" spans="1:11">
      <c r="A1246" s="179" t="s">
        <v>6685</v>
      </c>
      <c r="G1246" s="191"/>
      <c r="I1246" s="55" t="s">
        <v>5434</v>
      </c>
      <c r="K1246" s="180"/>
    </row>
    <row r="1247" spans="1:11">
      <c r="A1247" s="179" t="s">
        <v>6686</v>
      </c>
      <c r="G1247" s="191"/>
      <c r="I1247" s="55" t="s">
        <v>5434</v>
      </c>
      <c r="K1247" s="180"/>
    </row>
    <row r="1248" spans="1:11">
      <c r="A1248" s="179" t="s">
        <v>6687</v>
      </c>
      <c r="G1248" s="191"/>
      <c r="I1248" s="55" t="s">
        <v>5434</v>
      </c>
      <c r="K1248" s="180"/>
    </row>
    <row r="1249" spans="1:11">
      <c r="A1249" s="179" t="s">
        <v>6688</v>
      </c>
      <c r="G1249" s="191"/>
      <c r="I1249" s="55" t="s">
        <v>5434</v>
      </c>
      <c r="K1249" s="180"/>
    </row>
    <row r="1250" spans="1:11">
      <c r="A1250" s="179" t="s">
        <v>6689</v>
      </c>
      <c r="G1250" s="191"/>
      <c r="I1250" s="55" t="s">
        <v>5434</v>
      </c>
      <c r="K1250" s="180"/>
    </row>
    <row r="1251" spans="1:11">
      <c r="A1251" s="179" t="s">
        <v>6690</v>
      </c>
      <c r="G1251" s="191"/>
      <c r="I1251" s="55" t="s">
        <v>5434</v>
      </c>
      <c r="K1251" s="180"/>
    </row>
    <row r="1252" spans="1:11">
      <c r="A1252" s="179" t="s">
        <v>6691</v>
      </c>
      <c r="G1252" s="191"/>
      <c r="I1252" s="55" t="s">
        <v>5434</v>
      </c>
      <c r="K1252" s="180"/>
    </row>
    <row r="1253" spans="1:11">
      <c r="A1253" s="176" t="s">
        <v>6692</v>
      </c>
      <c r="B1253" s="177"/>
      <c r="C1253" s="177"/>
      <c r="D1253" s="177"/>
      <c r="E1253" s="177"/>
      <c r="F1253" s="177">
        <v>10</v>
      </c>
      <c r="G1253" s="192" t="s">
        <v>2248</v>
      </c>
      <c r="H1253" s="177">
        <v>40</v>
      </c>
      <c r="I1253" s="190" t="s">
        <v>5434</v>
      </c>
      <c r="J1253" s="177" t="s">
        <v>5577</v>
      </c>
      <c r="K1253" s="178" t="s">
        <v>5583</v>
      </c>
    </row>
    <row r="1254" spans="1:11">
      <c r="A1254" s="179" t="s">
        <v>6693</v>
      </c>
      <c r="G1254" s="191"/>
      <c r="I1254" s="55" t="s">
        <v>5434</v>
      </c>
      <c r="J1254" t="s">
        <v>5585</v>
      </c>
      <c r="K1254" s="180" t="s">
        <v>5671</v>
      </c>
    </row>
    <row r="1255" spans="1:11">
      <c r="A1255" s="179" t="s">
        <v>6694</v>
      </c>
      <c r="G1255" s="191"/>
      <c r="I1255" s="55" t="s">
        <v>5434</v>
      </c>
      <c r="K1255" s="187" t="s">
        <v>6206</v>
      </c>
    </row>
    <row r="1256" spans="1:11">
      <c r="A1256" s="179" t="s">
        <v>6695</v>
      </c>
      <c r="G1256" s="191"/>
      <c r="I1256" s="55" t="s">
        <v>5434</v>
      </c>
      <c r="K1256" s="180"/>
    </row>
    <row r="1257" spans="1:11">
      <c r="A1257" s="179" t="s">
        <v>6696</v>
      </c>
      <c r="G1257" s="191"/>
      <c r="I1257" s="55" t="s">
        <v>5434</v>
      </c>
      <c r="K1257" s="180"/>
    </row>
    <row r="1258" spans="1:11">
      <c r="A1258" s="179" t="s">
        <v>6697</v>
      </c>
      <c r="G1258" s="191"/>
      <c r="I1258" s="55" t="s">
        <v>5434</v>
      </c>
      <c r="K1258" s="180"/>
    </row>
    <row r="1259" spans="1:11">
      <c r="A1259" s="179" t="s">
        <v>6698</v>
      </c>
      <c r="G1259" s="191"/>
      <c r="I1259" s="55" t="s">
        <v>5434</v>
      </c>
      <c r="K1259" s="180"/>
    </row>
    <row r="1260" spans="1:11">
      <c r="A1260" s="179" t="s">
        <v>6699</v>
      </c>
      <c r="G1260" s="191"/>
      <c r="I1260" s="55" t="s">
        <v>5434</v>
      </c>
      <c r="K1260" s="180"/>
    </row>
    <row r="1261" spans="1:11">
      <c r="A1261" s="179" t="s">
        <v>6700</v>
      </c>
      <c r="G1261" s="191"/>
      <c r="I1261" s="55" t="s">
        <v>5434</v>
      </c>
      <c r="K1261" s="180"/>
    </row>
    <row r="1262" spans="1:11">
      <c r="A1262" s="179" t="s">
        <v>6701</v>
      </c>
      <c r="G1262" s="191"/>
      <c r="I1262" s="55" t="s">
        <v>5434</v>
      </c>
      <c r="K1262" s="180"/>
    </row>
    <row r="1263" spans="1:11">
      <c r="A1263" s="179" t="s">
        <v>6702</v>
      </c>
      <c r="G1263" s="191"/>
      <c r="I1263" s="55" t="s">
        <v>5434</v>
      </c>
      <c r="K1263" s="180"/>
    </row>
    <row r="1264" spans="1:11">
      <c r="A1264" s="179" t="s">
        <v>6703</v>
      </c>
      <c r="G1264" s="191"/>
      <c r="I1264" s="55" t="s">
        <v>5434</v>
      </c>
      <c r="K1264" s="180"/>
    </row>
    <row r="1265" spans="1:11">
      <c r="A1265" s="176" t="s">
        <v>6704</v>
      </c>
      <c r="B1265" s="177"/>
      <c r="C1265" s="177"/>
      <c r="D1265" s="177"/>
      <c r="E1265" s="177"/>
      <c r="F1265" s="177">
        <v>10</v>
      </c>
      <c r="G1265" s="192" t="s">
        <v>2248</v>
      </c>
      <c r="H1265" s="177">
        <v>40</v>
      </c>
      <c r="I1265" s="190" t="s">
        <v>5434</v>
      </c>
      <c r="J1265" s="177" t="s">
        <v>5577</v>
      </c>
      <c r="K1265" s="178" t="s">
        <v>5583</v>
      </c>
    </row>
    <row r="1266" spans="1:11">
      <c r="A1266" s="179" t="s">
        <v>6705</v>
      </c>
      <c r="G1266" s="191"/>
      <c r="I1266" s="55" t="s">
        <v>5434</v>
      </c>
      <c r="J1266" t="s">
        <v>5585</v>
      </c>
      <c r="K1266" s="180" t="s">
        <v>5671</v>
      </c>
    </row>
    <row r="1267" spans="1:11">
      <c r="A1267" s="179" t="s">
        <v>6706</v>
      </c>
      <c r="G1267" s="191"/>
      <c r="I1267" s="55" t="s">
        <v>5434</v>
      </c>
      <c r="K1267" s="187" t="s">
        <v>6206</v>
      </c>
    </row>
    <row r="1268" spans="1:11">
      <c r="A1268" s="179" t="s">
        <v>6707</v>
      </c>
      <c r="G1268" s="191"/>
      <c r="I1268" s="55" t="s">
        <v>5434</v>
      </c>
      <c r="K1268" s="180"/>
    </row>
    <row r="1269" spans="1:11">
      <c r="A1269" s="179" t="s">
        <v>6708</v>
      </c>
      <c r="G1269" s="191"/>
      <c r="I1269" s="55" t="s">
        <v>5434</v>
      </c>
      <c r="K1269" s="180"/>
    </row>
    <row r="1270" spans="1:11">
      <c r="A1270" s="179" t="s">
        <v>6709</v>
      </c>
      <c r="G1270" s="191"/>
      <c r="I1270" s="55" t="s">
        <v>5434</v>
      </c>
      <c r="K1270" s="180"/>
    </row>
    <row r="1271" spans="1:11">
      <c r="A1271" s="179" t="s">
        <v>6710</v>
      </c>
      <c r="G1271" s="191"/>
      <c r="I1271" s="55" t="s">
        <v>5434</v>
      </c>
      <c r="K1271" s="180"/>
    </row>
    <row r="1272" spans="1:11">
      <c r="A1272" s="179" t="s">
        <v>6711</v>
      </c>
      <c r="G1272" s="191"/>
      <c r="I1272" s="55" t="s">
        <v>5434</v>
      </c>
      <c r="K1272" s="180"/>
    </row>
    <row r="1273" spans="1:11">
      <c r="A1273" s="179" t="s">
        <v>6712</v>
      </c>
      <c r="G1273" s="191"/>
      <c r="I1273" s="55" t="s">
        <v>5434</v>
      </c>
      <c r="K1273" s="180"/>
    </row>
    <row r="1274" spans="1:11">
      <c r="A1274" s="179" t="s">
        <v>6713</v>
      </c>
      <c r="G1274" s="191"/>
      <c r="I1274" s="55" t="s">
        <v>5434</v>
      </c>
      <c r="K1274" s="180"/>
    </row>
    <row r="1275" spans="1:11">
      <c r="A1275" s="179" t="s">
        <v>6714</v>
      </c>
      <c r="G1275" s="191"/>
      <c r="I1275" s="55" t="s">
        <v>5434</v>
      </c>
      <c r="K1275" s="180"/>
    </row>
    <row r="1276" spans="1:11">
      <c r="A1276" s="179" t="s">
        <v>6715</v>
      </c>
      <c r="G1276" s="191"/>
      <c r="I1276" s="55" t="s">
        <v>5434</v>
      </c>
      <c r="K1276" s="180"/>
    </row>
    <row r="1277" spans="1:11">
      <c r="A1277" s="176" t="s">
        <v>6716</v>
      </c>
      <c r="B1277" s="177"/>
      <c r="C1277" s="177"/>
      <c r="D1277" s="177"/>
      <c r="E1277" s="177"/>
      <c r="F1277" s="177">
        <v>10</v>
      </c>
      <c r="G1277" s="192" t="s">
        <v>2248</v>
      </c>
      <c r="H1277" s="177">
        <v>40</v>
      </c>
      <c r="I1277" s="190" t="s">
        <v>5434</v>
      </c>
      <c r="J1277" s="177" t="s">
        <v>5577</v>
      </c>
      <c r="K1277" s="178" t="s">
        <v>5583</v>
      </c>
    </row>
    <row r="1278" spans="1:11">
      <c r="A1278" s="179" t="s">
        <v>6717</v>
      </c>
      <c r="G1278" s="191"/>
      <c r="I1278" s="55" t="s">
        <v>5434</v>
      </c>
      <c r="J1278" t="s">
        <v>5585</v>
      </c>
      <c r="K1278" s="180" t="s">
        <v>5671</v>
      </c>
    </row>
    <row r="1279" spans="1:11">
      <c r="A1279" s="179" t="s">
        <v>6718</v>
      </c>
      <c r="G1279" s="191"/>
      <c r="I1279" s="55" t="s">
        <v>5434</v>
      </c>
      <c r="K1279" s="187" t="s">
        <v>6206</v>
      </c>
    </row>
    <row r="1280" spans="1:11">
      <c r="A1280" s="179" t="s">
        <v>6719</v>
      </c>
      <c r="G1280" s="191"/>
      <c r="I1280" s="55" t="s">
        <v>5434</v>
      </c>
      <c r="K1280" s="180"/>
    </row>
    <row r="1281" spans="1:21">
      <c r="A1281" s="179" t="s">
        <v>6720</v>
      </c>
      <c r="G1281" s="191"/>
      <c r="I1281" s="55" t="s">
        <v>5434</v>
      </c>
      <c r="K1281" s="180"/>
      <c r="L1281">
        <f>3600+720</f>
        <v>4320</v>
      </c>
    </row>
    <row r="1282" spans="1:21">
      <c r="A1282" s="179" t="s">
        <v>6721</v>
      </c>
      <c r="G1282" s="191"/>
      <c r="I1282" s="55" t="s">
        <v>5434</v>
      </c>
      <c r="K1282" s="180"/>
      <c r="L1282">
        <f>L1281/60</f>
        <v>72</v>
      </c>
    </row>
    <row r="1283" spans="1:21">
      <c r="A1283" s="179" t="s">
        <v>6722</v>
      </c>
      <c r="G1283" s="191"/>
      <c r="I1283" s="55" t="s">
        <v>5434</v>
      </c>
      <c r="K1283" s="180"/>
    </row>
    <row r="1284" spans="1:21">
      <c r="A1284" s="179" t="s">
        <v>6723</v>
      </c>
      <c r="G1284" s="191"/>
      <c r="I1284" s="55" t="s">
        <v>5434</v>
      </c>
      <c r="K1284" s="180"/>
      <c r="L1284">
        <f>840+1080+1620+1570</f>
        <v>5110</v>
      </c>
    </row>
    <row r="1285" spans="1:21">
      <c r="A1285" s="179" t="s">
        <v>6724</v>
      </c>
      <c r="G1285" s="191"/>
      <c r="I1285" s="55" t="s">
        <v>5434</v>
      </c>
      <c r="K1285" s="180"/>
      <c r="L1285">
        <f>L1284/60</f>
        <v>85.166666666666671</v>
      </c>
    </row>
    <row r="1286" spans="1:21">
      <c r="A1286" s="179" t="s">
        <v>6725</v>
      </c>
      <c r="G1286" s="191"/>
      <c r="I1286" s="55" t="s">
        <v>5434</v>
      </c>
      <c r="K1286" s="180"/>
    </row>
    <row r="1287" spans="1:21">
      <c r="A1287" s="179" t="s">
        <v>6726</v>
      </c>
      <c r="G1287" s="191"/>
      <c r="I1287" s="55" t="s">
        <v>5434</v>
      </c>
      <c r="K1287" s="180"/>
    </row>
    <row r="1288" spans="1:21">
      <c r="A1288" s="179" t="s">
        <v>6727</v>
      </c>
      <c r="G1288" s="191"/>
      <c r="I1288" s="55" t="s">
        <v>5434</v>
      </c>
      <c r="K1288" s="180"/>
      <c r="L1288" t="str">
        <f>"BatViewer --nohardcode "&amp;A1288&amp;"/"&amp;A1288&amp;"_F0010.mid.gz"</f>
        <v>BatViewer --nohardcode 07180822_0417/07180822_0417_F0010.mid.gz</v>
      </c>
    </row>
    <row r="1289" spans="1:21">
      <c r="A1289" s="176" t="s">
        <v>6728</v>
      </c>
      <c r="B1289" s="177"/>
      <c r="C1289" s="177"/>
      <c r="D1289" s="177"/>
      <c r="E1289" s="177"/>
      <c r="F1289" s="177">
        <v>10</v>
      </c>
      <c r="G1289" s="192" t="s">
        <v>2248</v>
      </c>
      <c r="H1289" s="177">
        <v>40</v>
      </c>
      <c r="I1289" s="177"/>
      <c r="J1289" s="177" t="s">
        <v>5577</v>
      </c>
      <c r="K1289" s="178" t="s">
        <v>5583</v>
      </c>
      <c r="M1289" t="s">
        <v>2246</v>
      </c>
      <c r="N1289" t="s">
        <v>5571</v>
      </c>
      <c r="O1289" t="s">
        <v>4928</v>
      </c>
      <c r="Q1289" t="str">
        <f t="shared" ref="Q1289:Q1344" si="83">"condorProc.py --series "&amp;A1289&amp;" --donoise --dumps a --procenv environments/pymidas_HVHV_NaI_mf.env"</f>
        <v>condorProc.py --series 07180822_1004 --donoise --dumps a --procenv environments/pymidas_HVHV_NaI_mf.env</v>
      </c>
      <c r="U1289" t="str">
        <f t="shared" ref="U1289:U1300" si="84">"ls -l "&amp;A1289&amp;"/ | grep grad &gt;&gt; ~/K100/condorfail.txt"</f>
        <v>ls -l 07180822_1004/ | grep grad &gt;&gt; ~/K100/condorfail.txt</v>
      </c>
    </row>
    <row r="1290" spans="1:21">
      <c r="A1290" s="179" t="s">
        <v>6729</v>
      </c>
      <c r="G1290" s="191"/>
      <c r="J1290" t="s">
        <v>5585</v>
      </c>
      <c r="K1290" s="180" t="s">
        <v>5671</v>
      </c>
      <c r="M1290" t="s">
        <v>2246</v>
      </c>
      <c r="N1290" t="s">
        <v>5571</v>
      </c>
      <c r="O1290" t="s">
        <v>4928</v>
      </c>
      <c r="Q1290" t="str">
        <f t="shared" si="83"/>
        <v>condorProc.py --series 07180822_1014 --donoise --dumps a --procenv environments/pymidas_HVHV_NaI_mf.env</v>
      </c>
      <c r="U1290" t="str">
        <f t="shared" si="84"/>
        <v>ls -l 07180822_1014/ | grep grad &gt;&gt; ~/K100/condorfail.txt</v>
      </c>
    </row>
    <row r="1291" spans="1:21">
      <c r="A1291" s="179" t="s">
        <v>6730</v>
      </c>
      <c r="G1291" s="191"/>
      <c r="K1291" s="187" t="s">
        <v>6206</v>
      </c>
      <c r="M1291" t="s">
        <v>2246</v>
      </c>
      <c r="N1291" t="s">
        <v>5571</v>
      </c>
      <c r="O1291" t="s">
        <v>4928</v>
      </c>
      <c r="Q1291" t="str">
        <f t="shared" si="83"/>
        <v>condorProc.py --series 07180822_1024 --donoise --dumps a --procenv environments/pymidas_HVHV_NaI_mf.env</v>
      </c>
      <c r="U1291" t="str">
        <f t="shared" si="84"/>
        <v>ls -l 07180822_1024/ | grep grad &gt;&gt; ~/K100/condorfail.txt</v>
      </c>
    </row>
    <row r="1292" spans="1:21">
      <c r="A1292" s="179" t="s">
        <v>6731</v>
      </c>
      <c r="G1292" s="191"/>
      <c r="K1292" s="180"/>
      <c r="M1292" t="s">
        <v>2246</v>
      </c>
      <c r="N1292" t="s">
        <v>5571</v>
      </c>
      <c r="O1292" t="s">
        <v>4928</v>
      </c>
      <c r="Q1292" t="str">
        <f t="shared" si="83"/>
        <v>condorProc.py --series 07180822_1034 --donoise --dumps a --procenv environments/pymidas_HVHV_NaI_mf.env</v>
      </c>
      <c r="U1292" t="str">
        <f t="shared" si="84"/>
        <v>ls -l 07180822_1034/ | grep grad &gt;&gt; ~/K100/condorfail.txt</v>
      </c>
    </row>
    <row r="1293" spans="1:21">
      <c r="A1293" s="179" t="s">
        <v>6732</v>
      </c>
      <c r="G1293" s="191"/>
      <c r="K1293" s="180"/>
      <c r="M1293" t="s">
        <v>2246</v>
      </c>
      <c r="N1293" t="s">
        <v>5571</v>
      </c>
      <c r="O1293" t="s">
        <v>4928</v>
      </c>
      <c r="Q1293" t="str">
        <f t="shared" si="83"/>
        <v>condorProc.py --series 07180822_1044 --donoise --dumps a --procenv environments/pymidas_HVHV_NaI_mf.env</v>
      </c>
      <c r="U1293" t="str">
        <f t="shared" si="84"/>
        <v>ls -l 07180822_1044/ | grep grad &gt;&gt; ~/K100/condorfail.txt</v>
      </c>
    </row>
    <row r="1294" spans="1:21">
      <c r="A1294" s="179" t="s">
        <v>6733</v>
      </c>
      <c r="G1294" s="191"/>
      <c r="K1294" s="180"/>
      <c r="M1294" t="s">
        <v>2246</v>
      </c>
      <c r="N1294" t="s">
        <v>5571</v>
      </c>
      <c r="O1294" t="s">
        <v>4928</v>
      </c>
      <c r="Q1294" t="str">
        <f t="shared" si="83"/>
        <v>condorProc.py --series 07180822_1054 --donoise --dumps a --procenv environments/pymidas_HVHV_NaI_mf.env</v>
      </c>
      <c r="U1294" t="str">
        <f t="shared" si="84"/>
        <v>ls -l 07180822_1054/ | grep grad &gt;&gt; ~/K100/condorfail.txt</v>
      </c>
    </row>
    <row r="1295" spans="1:21">
      <c r="A1295" s="179" t="s">
        <v>6734</v>
      </c>
      <c r="G1295" s="191"/>
      <c r="K1295" s="180"/>
      <c r="M1295" t="s">
        <v>2246</v>
      </c>
      <c r="N1295" t="s">
        <v>5571</v>
      </c>
      <c r="O1295" t="s">
        <v>4928</v>
      </c>
      <c r="Q1295" t="str">
        <f t="shared" si="83"/>
        <v>condorProc.py --series 07180822_1104 --donoise --dumps a --procenv environments/pymidas_HVHV_NaI_mf.env</v>
      </c>
      <c r="U1295" t="str">
        <f t="shared" si="84"/>
        <v>ls -l 07180822_1104/ | grep grad &gt;&gt; ~/K100/condorfail.txt</v>
      </c>
    </row>
    <row r="1296" spans="1:21">
      <c r="A1296" s="179" t="s">
        <v>6735</v>
      </c>
      <c r="G1296" s="191"/>
      <c r="K1296" s="180"/>
      <c r="M1296" t="s">
        <v>2246</v>
      </c>
      <c r="N1296" t="s">
        <v>5571</v>
      </c>
      <c r="O1296" t="s">
        <v>4928</v>
      </c>
      <c r="Q1296" t="str">
        <f t="shared" si="83"/>
        <v>condorProc.py --series 07180822_1115 --donoise --dumps a --procenv environments/pymidas_HVHV_NaI_mf.env</v>
      </c>
      <c r="U1296" t="str">
        <f t="shared" si="84"/>
        <v>ls -l 07180822_1115/ | grep grad &gt;&gt; ~/K100/condorfail.txt</v>
      </c>
    </row>
    <row r="1297" spans="1:21">
      <c r="A1297" s="179" t="s">
        <v>6736</v>
      </c>
      <c r="G1297" s="191"/>
      <c r="K1297" s="180"/>
      <c r="M1297" t="s">
        <v>2246</v>
      </c>
      <c r="N1297" t="s">
        <v>5571</v>
      </c>
      <c r="O1297" t="s">
        <v>4928</v>
      </c>
      <c r="Q1297" t="str">
        <f t="shared" si="83"/>
        <v>condorProc.py --series 07180822_1125 --donoise --dumps a --procenv environments/pymidas_HVHV_NaI_mf.env</v>
      </c>
      <c r="U1297" t="str">
        <f t="shared" si="84"/>
        <v>ls -l 07180822_1125/ | grep grad &gt;&gt; ~/K100/condorfail.txt</v>
      </c>
    </row>
    <row r="1298" spans="1:21">
      <c r="A1298" s="179" t="s">
        <v>6737</v>
      </c>
      <c r="G1298" s="191"/>
      <c r="K1298" s="180"/>
      <c r="M1298" t="s">
        <v>2246</v>
      </c>
      <c r="N1298" t="s">
        <v>5571</v>
      </c>
      <c r="O1298" t="s">
        <v>4928</v>
      </c>
      <c r="Q1298" t="str">
        <f t="shared" si="83"/>
        <v>condorProc.py --series 07180822_1135 --donoise --dumps a --procenv environments/pymidas_HVHV_NaI_mf.env</v>
      </c>
      <c r="U1298" t="str">
        <f t="shared" si="84"/>
        <v>ls -l 07180822_1135/ | grep grad &gt;&gt; ~/K100/condorfail.txt</v>
      </c>
    </row>
    <row r="1299" spans="1:21">
      <c r="A1299" s="179" t="s">
        <v>6738</v>
      </c>
      <c r="G1299" s="191"/>
      <c r="K1299" s="180"/>
      <c r="M1299" t="s">
        <v>2246</v>
      </c>
      <c r="N1299" t="s">
        <v>5571</v>
      </c>
      <c r="O1299" t="s">
        <v>4928</v>
      </c>
      <c r="Q1299" t="str">
        <f t="shared" si="83"/>
        <v>condorProc.py --series 07180822_1145 --donoise --dumps a --procenv environments/pymidas_HVHV_NaI_mf.env</v>
      </c>
      <c r="U1299" t="str">
        <f t="shared" si="84"/>
        <v>ls -l 07180822_1145/ | grep grad &gt;&gt; ~/K100/condorfail.txt</v>
      </c>
    </row>
    <row r="1300" spans="1:21">
      <c r="A1300" s="179" t="s">
        <v>6739</v>
      </c>
      <c r="G1300" s="191"/>
      <c r="K1300" s="180"/>
      <c r="M1300" t="s">
        <v>2246</v>
      </c>
      <c r="N1300" t="s">
        <v>5571</v>
      </c>
      <c r="O1300" t="s">
        <v>4928</v>
      </c>
      <c r="Q1300" t="str">
        <f t="shared" si="83"/>
        <v>condorProc.py --series 07180822_1155 --donoise --dumps a --procenv environments/pymidas_HVHV_NaI_mf.env</v>
      </c>
      <c r="U1300" t="str">
        <f t="shared" si="84"/>
        <v>ls -l 07180822_1155/ | grep grad &gt;&gt; ~/K100/condorfail.txt</v>
      </c>
    </row>
    <row r="1301" spans="1:21">
      <c r="A1301" s="176" t="s">
        <v>6740</v>
      </c>
      <c r="B1301" s="177"/>
      <c r="C1301" s="177"/>
      <c r="D1301" s="177"/>
      <c r="E1301" s="177"/>
      <c r="F1301" s="177">
        <v>10</v>
      </c>
      <c r="G1301" s="192" t="s">
        <v>2248</v>
      </c>
      <c r="H1301" s="177">
        <v>40</v>
      </c>
      <c r="I1301" s="177"/>
      <c r="J1301" s="177" t="s">
        <v>5577</v>
      </c>
      <c r="K1301" s="178" t="s">
        <v>5583</v>
      </c>
      <c r="M1301" t="s">
        <v>2246</v>
      </c>
      <c r="N1301" t="s">
        <v>5571</v>
      </c>
      <c r="O1301" t="s">
        <v>4928</v>
      </c>
      <c r="Q1301" t="str">
        <f t="shared" si="83"/>
        <v>condorProc.py --series 07180822_1326 --donoise --dumps a --procenv environments/pymidas_HVHV_NaI_mf.env</v>
      </c>
    </row>
    <row r="1302" spans="1:21">
      <c r="A1302" s="179" t="s">
        <v>6741</v>
      </c>
      <c r="G1302" s="191"/>
      <c r="J1302" t="s">
        <v>5585</v>
      </c>
      <c r="K1302" s="180" t="s">
        <v>5671</v>
      </c>
      <c r="M1302" t="s">
        <v>2246</v>
      </c>
      <c r="N1302" t="s">
        <v>5571</v>
      </c>
      <c r="O1302" t="s">
        <v>4928</v>
      </c>
      <c r="Q1302" t="str">
        <f t="shared" si="83"/>
        <v>condorProc.py --series 07180822_1337 --donoise --dumps a --procenv environments/pymidas_HVHV_NaI_mf.env</v>
      </c>
    </row>
    <row r="1303" spans="1:21">
      <c r="A1303" s="179" t="s">
        <v>6742</v>
      </c>
      <c r="G1303" s="191"/>
      <c r="K1303" s="187" t="s">
        <v>6206</v>
      </c>
      <c r="M1303" t="s">
        <v>2246</v>
      </c>
      <c r="N1303" t="s">
        <v>5571</v>
      </c>
      <c r="O1303" t="s">
        <v>4928</v>
      </c>
      <c r="Q1303" t="str">
        <f t="shared" si="83"/>
        <v>condorProc.py --series 07180822_1347 --donoise --dumps a --procenv environments/pymidas_HVHV_NaI_mf.env</v>
      </c>
    </row>
    <row r="1304" spans="1:21">
      <c r="A1304" s="179" t="s">
        <v>6743</v>
      </c>
      <c r="G1304" s="191"/>
      <c r="K1304" s="180"/>
      <c r="M1304" t="s">
        <v>2246</v>
      </c>
      <c r="N1304" t="s">
        <v>5571</v>
      </c>
      <c r="O1304" t="s">
        <v>4928</v>
      </c>
      <c r="Q1304" t="str">
        <f t="shared" si="83"/>
        <v>condorProc.py --series 07180822_1357 --donoise --dumps a --procenv environments/pymidas_HVHV_NaI_mf.env</v>
      </c>
    </row>
    <row r="1305" spans="1:21">
      <c r="A1305" s="179" t="s">
        <v>6744</v>
      </c>
      <c r="G1305" s="191"/>
      <c r="K1305" s="180"/>
      <c r="M1305" t="s">
        <v>2246</v>
      </c>
      <c r="N1305" t="s">
        <v>5571</v>
      </c>
      <c r="O1305" t="s">
        <v>4928</v>
      </c>
      <c r="Q1305" t="str">
        <f t="shared" si="83"/>
        <v>condorProc.py --series 07180822_1407 --donoise --dumps a --procenv environments/pymidas_HVHV_NaI_mf.env</v>
      </c>
    </row>
    <row r="1306" spans="1:21">
      <c r="A1306" s="179" t="s">
        <v>6745</v>
      </c>
      <c r="G1306" s="191"/>
      <c r="K1306" s="180"/>
      <c r="M1306" t="s">
        <v>2246</v>
      </c>
      <c r="N1306" t="s">
        <v>5571</v>
      </c>
      <c r="O1306" t="s">
        <v>4928</v>
      </c>
      <c r="Q1306" t="str">
        <f t="shared" si="83"/>
        <v>condorProc.py --series 07180822_1417 --donoise --dumps a --procenv environments/pymidas_HVHV_NaI_mf.env</v>
      </c>
    </row>
    <row r="1307" spans="1:21">
      <c r="A1307" s="179" t="s">
        <v>6746</v>
      </c>
      <c r="G1307" s="191"/>
      <c r="K1307" s="180"/>
      <c r="M1307" t="s">
        <v>2246</v>
      </c>
      <c r="N1307" t="s">
        <v>5571</v>
      </c>
      <c r="O1307" t="s">
        <v>4928</v>
      </c>
      <c r="Q1307" t="str">
        <f t="shared" si="83"/>
        <v>condorProc.py --series 07180822_1427 --donoise --dumps a --procenv environments/pymidas_HVHV_NaI_mf.env</v>
      </c>
    </row>
    <row r="1308" spans="1:21">
      <c r="A1308" s="179" t="s">
        <v>6747</v>
      </c>
      <c r="G1308" s="191"/>
      <c r="K1308" s="180"/>
      <c r="M1308" t="s">
        <v>2246</v>
      </c>
      <c r="N1308" t="s">
        <v>5571</v>
      </c>
      <c r="O1308" t="s">
        <v>4928</v>
      </c>
      <c r="Q1308" t="str">
        <f t="shared" si="83"/>
        <v>condorProc.py --series 07180822_1437 --donoise --dumps a --procenv environments/pymidas_HVHV_NaI_mf.env</v>
      </c>
    </row>
    <row r="1309" spans="1:21">
      <c r="A1309" s="179" t="s">
        <v>6748</v>
      </c>
      <c r="G1309" s="191"/>
      <c r="K1309" s="180"/>
      <c r="M1309" t="s">
        <v>2246</v>
      </c>
      <c r="N1309" t="s">
        <v>5571</v>
      </c>
      <c r="O1309" t="s">
        <v>4928</v>
      </c>
      <c r="Q1309" t="str">
        <f t="shared" si="83"/>
        <v>condorProc.py --series 07180822_1447 --donoise --dumps a --procenv environments/pymidas_HVHV_NaI_mf.env</v>
      </c>
    </row>
    <row r="1310" spans="1:21">
      <c r="A1310" s="179" t="s">
        <v>6749</v>
      </c>
      <c r="G1310" s="191"/>
      <c r="K1310" s="180"/>
      <c r="M1310" t="s">
        <v>2246</v>
      </c>
      <c r="N1310" t="s">
        <v>5571</v>
      </c>
      <c r="O1310" t="s">
        <v>4928</v>
      </c>
      <c r="Q1310" t="str">
        <f t="shared" si="83"/>
        <v>condorProc.py --series 07180822_1458 --donoise --dumps a --procenv environments/pymidas_HVHV_NaI_mf.env</v>
      </c>
    </row>
    <row r="1311" spans="1:21">
      <c r="A1311" s="179" t="s">
        <v>6750</v>
      </c>
      <c r="G1311" s="191"/>
      <c r="K1311" s="180"/>
      <c r="M1311" t="s">
        <v>2246</v>
      </c>
      <c r="N1311" t="s">
        <v>5571</v>
      </c>
      <c r="O1311" t="s">
        <v>4928</v>
      </c>
      <c r="Q1311" t="str">
        <f t="shared" si="83"/>
        <v>condorProc.py --series 07180822_1508 --donoise --dumps a --procenv environments/pymidas_HVHV_NaI_mf.env</v>
      </c>
    </row>
    <row r="1312" spans="1:21">
      <c r="A1312" s="179" t="s">
        <v>6751</v>
      </c>
      <c r="G1312" s="191"/>
      <c r="K1312" s="180"/>
      <c r="M1312" t="s">
        <v>2246</v>
      </c>
      <c r="N1312" t="s">
        <v>5571</v>
      </c>
      <c r="O1312" t="s">
        <v>4928</v>
      </c>
      <c r="Q1312" t="str">
        <f t="shared" si="83"/>
        <v>condorProc.py --series 07180822_1518 --donoise --dumps a --procenv environments/pymidas_HVHV_NaI_mf.env</v>
      </c>
    </row>
    <row r="1313" spans="1:17">
      <c r="A1313" s="176" t="s">
        <v>6752</v>
      </c>
      <c r="B1313" s="177"/>
      <c r="C1313" s="177"/>
      <c r="D1313" s="177"/>
      <c r="E1313" s="177"/>
      <c r="F1313" s="177">
        <v>10</v>
      </c>
      <c r="G1313" s="192" t="s">
        <v>2248</v>
      </c>
      <c r="H1313" s="177">
        <v>40</v>
      </c>
      <c r="I1313" s="177"/>
      <c r="J1313" s="177" t="s">
        <v>5577</v>
      </c>
      <c r="K1313" s="178" t="s">
        <v>5583</v>
      </c>
      <c r="M1313" t="s">
        <v>2246</v>
      </c>
      <c r="N1313" t="s">
        <v>5571</v>
      </c>
      <c r="O1313" t="s">
        <v>4928</v>
      </c>
      <c r="Q1313" t="str">
        <f t="shared" si="83"/>
        <v>condorProc.py --series 07180822_1608 --donoise --dumps a --procenv environments/pymidas_HVHV_NaI_mf.env</v>
      </c>
    </row>
    <row r="1314" spans="1:17">
      <c r="A1314" s="179" t="s">
        <v>6753</v>
      </c>
      <c r="G1314" s="191"/>
      <c r="J1314" t="s">
        <v>5585</v>
      </c>
      <c r="K1314" s="180" t="s">
        <v>5671</v>
      </c>
      <c r="M1314" t="s">
        <v>2246</v>
      </c>
      <c r="N1314" t="s">
        <v>5571</v>
      </c>
      <c r="O1314" t="s">
        <v>4928</v>
      </c>
      <c r="Q1314" t="str">
        <f t="shared" si="83"/>
        <v>condorProc.py --series 07180822_1618 --donoise --dumps a --procenv environments/pymidas_HVHV_NaI_mf.env</v>
      </c>
    </row>
    <row r="1315" spans="1:17">
      <c r="A1315" s="179" t="s">
        <v>6754</v>
      </c>
      <c r="G1315" s="191"/>
      <c r="K1315" s="187" t="s">
        <v>6206</v>
      </c>
      <c r="M1315" t="s">
        <v>2246</v>
      </c>
      <c r="N1315" t="s">
        <v>5571</v>
      </c>
      <c r="O1315" t="s">
        <v>4928</v>
      </c>
      <c r="Q1315" t="str">
        <f t="shared" si="83"/>
        <v>condorProc.py --series 07180822_1628 --donoise --dumps a --procenv environments/pymidas_HVHV_NaI_mf.env</v>
      </c>
    </row>
    <row r="1316" spans="1:17">
      <c r="A1316" s="179" t="s">
        <v>6755</v>
      </c>
      <c r="G1316" s="191"/>
      <c r="K1316" s="180"/>
      <c r="M1316" t="s">
        <v>2246</v>
      </c>
      <c r="N1316" t="s">
        <v>5571</v>
      </c>
      <c r="O1316" t="s">
        <v>4928</v>
      </c>
      <c r="Q1316" t="str">
        <f t="shared" si="83"/>
        <v>condorProc.py --series 07180822_1638 --donoise --dumps a --procenv environments/pymidas_HVHV_NaI_mf.env</v>
      </c>
    </row>
    <row r="1317" spans="1:17">
      <c r="A1317" s="179" t="s">
        <v>6756</v>
      </c>
      <c r="G1317" s="191"/>
      <c r="K1317" s="180"/>
      <c r="M1317" t="s">
        <v>2246</v>
      </c>
      <c r="N1317" t="s">
        <v>5571</v>
      </c>
      <c r="O1317" t="s">
        <v>4928</v>
      </c>
      <c r="Q1317" t="str">
        <f t="shared" si="83"/>
        <v>condorProc.py --series 07180822_1648 --donoise --dumps a --procenv environments/pymidas_HVHV_NaI_mf.env</v>
      </c>
    </row>
    <row r="1318" spans="1:17">
      <c r="A1318" s="179" t="s">
        <v>6757</v>
      </c>
      <c r="G1318" s="191"/>
      <c r="K1318" s="180"/>
      <c r="M1318" t="s">
        <v>2246</v>
      </c>
      <c r="N1318" t="s">
        <v>5571</v>
      </c>
      <c r="O1318" t="s">
        <v>4928</v>
      </c>
      <c r="Q1318" t="str">
        <f t="shared" si="83"/>
        <v>condorProc.py --series 07180822_1658 --donoise --dumps a --procenv environments/pymidas_HVHV_NaI_mf.env</v>
      </c>
    </row>
    <row r="1319" spans="1:17">
      <c r="A1319" s="179" t="s">
        <v>6758</v>
      </c>
      <c r="G1319" s="191"/>
      <c r="K1319" s="180"/>
      <c r="M1319" t="s">
        <v>2246</v>
      </c>
      <c r="N1319" t="s">
        <v>5571</v>
      </c>
      <c r="O1319" t="s">
        <v>4928</v>
      </c>
      <c r="Q1319" t="str">
        <f t="shared" si="83"/>
        <v>condorProc.py --series 07180822_1709 --donoise --dumps a --procenv environments/pymidas_HVHV_NaI_mf.env</v>
      </c>
    </row>
    <row r="1320" spans="1:17">
      <c r="A1320" s="179" t="s">
        <v>6759</v>
      </c>
      <c r="G1320" s="191"/>
      <c r="K1320" s="180"/>
      <c r="M1320" t="s">
        <v>2246</v>
      </c>
      <c r="N1320" t="s">
        <v>5571</v>
      </c>
      <c r="O1320" t="s">
        <v>4928</v>
      </c>
      <c r="Q1320" t="str">
        <f t="shared" si="83"/>
        <v>condorProc.py --series 07180822_1719 --donoise --dumps a --procenv environments/pymidas_HVHV_NaI_mf.env</v>
      </c>
    </row>
    <row r="1321" spans="1:17">
      <c r="A1321" s="179" t="s">
        <v>6760</v>
      </c>
      <c r="G1321" s="191"/>
      <c r="K1321" s="180"/>
      <c r="M1321" t="s">
        <v>2246</v>
      </c>
      <c r="N1321" t="s">
        <v>5571</v>
      </c>
      <c r="O1321" t="s">
        <v>4928</v>
      </c>
      <c r="Q1321" t="str">
        <f t="shared" si="83"/>
        <v>condorProc.py --series 07180822_1729 --donoise --dumps a --procenv environments/pymidas_HVHV_NaI_mf.env</v>
      </c>
    </row>
    <row r="1322" spans="1:17">
      <c r="A1322" s="179" t="s">
        <v>6761</v>
      </c>
      <c r="G1322" s="191"/>
      <c r="K1322" s="180"/>
      <c r="M1322" t="s">
        <v>2246</v>
      </c>
      <c r="N1322" t="s">
        <v>5571</v>
      </c>
      <c r="O1322" t="s">
        <v>4928</v>
      </c>
      <c r="Q1322" t="str">
        <f t="shared" si="83"/>
        <v>condorProc.py --series 07180822_1739 --donoise --dumps a --procenv environments/pymidas_HVHV_NaI_mf.env</v>
      </c>
    </row>
    <row r="1323" spans="1:17">
      <c r="A1323" s="179" t="s">
        <v>6762</v>
      </c>
      <c r="G1323" s="191"/>
      <c r="K1323" s="180"/>
      <c r="M1323" t="s">
        <v>2246</v>
      </c>
      <c r="N1323" t="s">
        <v>5571</v>
      </c>
      <c r="O1323" t="s">
        <v>4928</v>
      </c>
      <c r="Q1323" t="str">
        <f t="shared" si="83"/>
        <v>condorProc.py --series 07180822_1749 --donoise --dumps a --procenv environments/pymidas_HVHV_NaI_mf.env</v>
      </c>
    </row>
    <row r="1324" spans="1:17">
      <c r="A1324" s="179" t="s">
        <v>6763</v>
      </c>
      <c r="G1324" s="191"/>
      <c r="I1324" t="s">
        <v>75</v>
      </c>
      <c r="K1324" s="180"/>
      <c r="M1324" t="s">
        <v>2246</v>
      </c>
      <c r="N1324" t="s">
        <v>5571</v>
      </c>
      <c r="O1324" t="s">
        <v>4928</v>
      </c>
      <c r="Q1324" t="str">
        <f t="shared" si="83"/>
        <v>condorProc.py --series 07180822_1759 --donoise --dumps a --procenv environments/pymidas_HVHV_NaI_mf.env</v>
      </c>
    </row>
    <row r="1325" spans="1:17">
      <c r="A1325" s="176" t="s">
        <v>6764</v>
      </c>
      <c r="B1325" s="177"/>
      <c r="C1325" s="177"/>
      <c r="D1325" s="177"/>
      <c r="E1325" s="177"/>
      <c r="F1325" s="177">
        <v>10</v>
      </c>
      <c r="G1325" s="192" t="s">
        <v>2248</v>
      </c>
      <c r="H1325" s="177">
        <v>40</v>
      </c>
      <c r="I1325" s="177"/>
      <c r="J1325" s="177" t="s">
        <v>5577</v>
      </c>
      <c r="K1325" s="178" t="s">
        <v>5583</v>
      </c>
      <c r="M1325" t="s">
        <v>2246</v>
      </c>
      <c r="N1325" t="s">
        <v>5571</v>
      </c>
      <c r="O1325" t="s">
        <v>4928</v>
      </c>
      <c r="Q1325" t="str">
        <f t="shared" si="83"/>
        <v>condorProc.py --series 07180822_1849 --donoise --dumps a --procenv environments/pymidas_HVHV_NaI_mf.env</v>
      </c>
    </row>
    <row r="1326" spans="1:17">
      <c r="A1326" s="179" t="s">
        <v>6765</v>
      </c>
      <c r="G1326" s="191"/>
      <c r="J1326" t="s">
        <v>5585</v>
      </c>
      <c r="K1326" s="180" t="s">
        <v>5671</v>
      </c>
      <c r="M1326" t="s">
        <v>2246</v>
      </c>
      <c r="N1326" t="s">
        <v>5571</v>
      </c>
      <c r="O1326" t="s">
        <v>4928</v>
      </c>
      <c r="Q1326" t="str">
        <f t="shared" si="83"/>
        <v>condorProc.py --series 07180822_1859 --donoise --dumps a --procenv environments/pymidas_HVHV_NaI_mf.env</v>
      </c>
    </row>
    <row r="1327" spans="1:17">
      <c r="A1327" s="179" t="s">
        <v>6766</v>
      </c>
      <c r="G1327" s="191"/>
      <c r="K1327" s="187" t="s">
        <v>6206</v>
      </c>
      <c r="M1327" t="s">
        <v>2246</v>
      </c>
      <c r="N1327" t="s">
        <v>5571</v>
      </c>
      <c r="O1327" t="s">
        <v>4928</v>
      </c>
      <c r="Q1327" t="str">
        <f t="shared" si="83"/>
        <v>condorProc.py --series 07180822_1909 --donoise --dumps a --procenv environments/pymidas_HVHV_NaI_mf.env</v>
      </c>
    </row>
    <row r="1328" spans="1:17">
      <c r="A1328" s="179" t="s">
        <v>6767</v>
      </c>
      <c r="G1328" s="191"/>
      <c r="K1328" s="180"/>
      <c r="M1328" t="s">
        <v>2246</v>
      </c>
      <c r="N1328" t="s">
        <v>5571</v>
      </c>
      <c r="O1328" t="s">
        <v>4928</v>
      </c>
      <c r="Q1328" t="str">
        <f t="shared" si="83"/>
        <v>condorProc.py --series 07180822_1919 --donoise --dumps a --procenv environments/pymidas_HVHV_NaI_mf.env</v>
      </c>
    </row>
    <row r="1329" spans="1:17">
      <c r="A1329" s="179" t="s">
        <v>6768</v>
      </c>
      <c r="G1329" s="191"/>
      <c r="K1329" s="180"/>
      <c r="M1329" t="s">
        <v>2246</v>
      </c>
      <c r="N1329" t="s">
        <v>5571</v>
      </c>
      <c r="O1329" t="s">
        <v>4928</v>
      </c>
      <c r="Q1329" t="str">
        <f t="shared" si="83"/>
        <v>condorProc.py --series 07180822_1929 --donoise --dumps a --procenv environments/pymidas_HVHV_NaI_mf.env</v>
      </c>
    </row>
    <row r="1330" spans="1:17">
      <c r="A1330" s="179" t="s">
        <v>6769</v>
      </c>
      <c r="G1330" s="191"/>
      <c r="K1330" s="180"/>
      <c r="L1330">
        <f>42+L1228</f>
        <v>553</v>
      </c>
      <c r="M1330" t="s">
        <v>2246</v>
      </c>
      <c r="N1330" t="s">
        <v>5571</v>
      </c>
      <c r="O1330" t="s">
        <v>4928</v>
      </c>
      <c r="Q1330" t="str">
        <f t="shared" si="83"/>
        <v>condorProc.py --series 07180822_1939 --donoise --dumps a --procenv environments/pymidas_HVHV_NaI_mf.env</v>
      </c>
    </row>
    <row r="1331" spans="1:17">
      <c r="A1331" s="181" t="s">
        <v>6770</v>
      </c>
      <c r="B1331" s="65"/>
      <c r="C1331" s="65"/>
      <c r="D1331" s="65"/>
      <c r="E1331" s="65"/>
      <c r="F1331" s="65"/>
      <c r="G1331" s="193"/>
      <c r="H1331" s="65"/>
      <c r="I1331" s="65" t="s">
        <v>75</v>
      </c>
      <c r="J1331" s="65"/>
      <c r="K1331" s="182" t="s">
        <v>6771</v>
      </c>
      <c r="M1331" t="s">
        <v>2246</v>
      </c>
      <c r="N1331" t="s">
        <v>5571</v>
      </c>
      <c r="O1331" t="s">
        <v>4928</v>
      </c>
      <c r="Q1331" t="str">
        <f t="shared" si="83"/>
        <v>condorProc.py --series 07180822_1949 --donoise --dumps a --procenv environments/pymidas_HVHV_NaI_mf.env</v>
      </c>
    </row>
    <row r="1332" spans="1:17">
      <c r="A1332" t="s">
        <v>6772</v>
      </c>
      <c r="G1332" s="191"/>
      <c r="K1332" t="s">
        <v>6773</v>
      </c>
      <c r="M1332" t="s">
        <v>2246</v>
      </c>
      <c r="N1332" t="s">
        <v>5571</v>
      </c>
      <c r="Q1332" t="str">
        <f t="shared" si="83"/>
        <v>condorProc.py --series 07180823_0956 --donoise --dumps a --procenv environments/pymidas_HVHV_NaI_mf.env</v>
      </c>
    </row>
    <row r="1333" spans="1:17">
      <c r="A1333" s="176" t="s">
        <v>6774</v>
      </c>
      <c r="B1333" s="177"/>
      <c r="C1333" s="177"/>
      <c r="D1333" s="177"/>
      <c r="E1333" s="177"/>
      <c r="F1333" s="177">
        <v>10</v>
      </c>
      <c r="G1333" s="192" t="s">
        <v>2248</v>
      </c>
      <c r="H1333" s="177">
        <v>40</v>
      </c>
      <c r="I1333" s="177"/>
      <c r="J1333" s="177" t="s">
        <v>5577</v>
      </c>
      <c r="K1333" s="178" t="s">
        <v>5583</v>
      </c>
      <c r="M1333" t="s">
        <v>2246</v>
      </c>
      <c r="N1333" t="s">
        <v>5571</v>
      </c>
      <c r="O1333" t="s">
        <v>4928</v>
      </c>
      <c r="Q1333" t="str">
        <f t="shared" si="83"/>
        <v>condorProc.py --series 07180823_1242 --donoise --dumps a --procenv environments/pymidas_HVHV_NaI_mf.env</v>
      </c>
    </row>
    <row r="1334" spans="1:17">
      <c r="A1334" s="179" t="s">
        <v>6775</v>
      </c>
      <c r="G1334" s="191"/>
      <c r="J1334" t="s">
        <v>5585</v>
      </c>
      <c r="K1334" s="180" t="s">
        <v>5671</v>
      </c>
      <c r="M1334" t="s">
        <v>2246</v>
      </c>
      <c r="N1334" t="s">
        <v>5571</v>
      </c>
      <c r="O1334" t="s">
        <v>4928</v>
      </c>
      <c r="Q1334" t="str">
        <f t="shared" si="83"/>
        <v>condorProc.py --series 07180823_1252 --donoise --dumps a --procenv environments/pymidas_HVHV_NaI_mf.env</v>
      </c>
    </row>
    <row r="1335" spans="1:17">
      <c r="A1335" s="179" t="s">
        <v>6776</v>
      </c>
      <c r="G1335" s="191"/>
      <c r="K1335" s="187" t="s">
        <v>6206</v>
      </c>
      <c r="M1335" t="s">
        <v>2246</v>
      </c>
      <c r="N1335" t="s">
        <v>5571</v>
      </c>
      <c r="O1335" t="s">
        <v>4928</v>
      </c>
      <c r="Q1335" t="str">
        <f t="shared" si="83"/>
        <v>condorProc.py --series 07180823_1302 --donoise --dumps a --procenv environments/pymidas_HVHV_NaI_mf.env</v>
      </c>
    </row>
    <row r="1336" spans="1:17">
      <c r="A1336" s="179" t="s">
        <v>6777</v>
      </c>
      <c r="G1336" s="191"/>
      <c r="K1336" s="180"/>
      <c r="M1336" t="s">
        <v>2246</v>
      </c>
      <c r="N1336" t="s">
        <v>5571</v>
      </c>
      <c r="O1336" t="s">
        <v>4928</v>
      </c>
      <c r="Q1336" t="str">
        <f t="shared" si="83"/>
        <v>condorProc.py --series 07180823_1312 --donoise --dumps a --procenv environments/pymidas_HVHV_NaI_mf.env</v>
      </c>
    </row>
    <row r="1337" spans="1:17">
      <c r="A1337" s="179" t="s">
        <v>6778</v>
      </c>
      <c r="G1337" s="191"/>
      <c r="K1337" s="180"/>
      <c r="M1337" t="s">
        <v>2246</v>
      </c>
      <c r="N1337" t="s">
        <v>5571</v>
      </c>
      <c r="O1337" t="s">
        <v>4928</v>
      </c>
      <c r="Q1337" t="str">
        <f t="shared" si="83"/>
        <v>condorProc.py --series 07180823_1323 --donoise --dumps a --procenv environments/pymidas_HVHV_NaI_mf.env</v>
      </c>
    </row>
    <row r="1338" spans="1:17">
      <c r="A1338" s="179" t="s">
        <v>6779</v>
      </c>
      <c r="G1338" s="191"/>
      <c r="K1338" s="180"/>
      <c r="M1338" t="s">
        <v>2246</v>
      </c>
      <c r="N1338" t="s">
        <v>5571</v>
      </c>
      <c r="O1338" t="s">
        <v>4928</v>
      </c>
      <c r="Q1338" t="str">
        <f t="shared" si="83"/>
        <v>condorProc.py --series 07180823_1333 --donoise --dumps a --procenv environments/pymidas_HVHV_NaI_mf.env</v>
      </c>
    </row>
    <row r="1339" spans="1:17">
      <c r="A1339" s="179" t="s">
        <v>6780</v>
      </c>
      <c r="G1339" s="191"/>
      <c r="K1339" s="180"/>
      <c r="M1339" t="s">
        <v>2246</v>
      </c>
      <c r="N1339" t="s">
        <v>5571</v>
      </c>
      <c r="O1339" t="s">
        <v>4928</v>
      </c>
      <c r="Q1339" t="str">
        <f t="shared" si="83"/>
        <v>condorProc.py --series 07180823_1343 --donoise --dumps a --procenv environments/pymidas_HVHV_NaI_mf.env</v>
      </c>
    </row>
    <row r="1340" spans="1:17">
      <c r="A1340" s="179" t="s">
        <v>6781</v>
      </c>
      <c r="G1340" s="191"/>
      <c r="K1340" s="180"/>
      <c r="M1340" t="s">
        <v>2246</v>
      </c>
      <c r="N1340" t="s">
        <v>5571</v>
      </c>
      <c r="O1340" t="s">
        <v>4928</v>
      </c>
      <c r="Q1340" t="str">
        <f t="shared" si="83"/>
        <v>condorProc.py --series 07180823_1353 --donoise --dumps a --procenv environments/pymidas_HVHV_NaI_mf.env</v>
      </c>
    </row>
    <row r="1341" spans="1:17">
      <c r="A1341" s="179" t="s">
        <v>6782</v>
      </c>
      <c r="G1341" s="191"/>
      <c r="K1341" s="180"/>
      <c r="M1341" t="s">
        <v>2246</v>
      </c>
      <c r="N1341" t="s">
        <v>5571</v>
      </c>
      <c r="O1341" t="s">
        <v>4928</v>
      </c>
      <c r="Q1341" t="str">
        <f t="shared" si="83"/>
        <v>condorProc.py --series 07180823_1403 --donoise --dumps a --procenv environments/pymidas_HVHV_NaI_mf.env</v>
      </c>
    </row>
    <row r="1342" spans="1:17">
      <c r="A1342" s="179" t="s">
        <v>6783</v>
      </c>
      <c r="G1342" s="191"/>
      <c r="K1342" s="180"/>
      <c r="M1342" t="s">
        <v>2246</v>
      </c>
      <c r="N1342" t="s">
        <v>5571</v>
      </c>
      <c r="O1342" t="s">
        <v>4928</v>
      </c>
      <c r="Q1342" t="str">
        <f t="shared" si="83"/>
        <v>condorProc.py --series 07180823_1413 --donoise --dumps a --procenv environments/pymidas_HVHV_NaI_mf.env</v>
      </c>
    </row>
    <row r="1343" spans="1:17">
      <c r="A1343" s="179" t="s">
        <v>6784</v>
      </c>
      <c r="G1343" s="191"/>
      <c r="K1343" s="180"/>
      <c r="M1343" t="s">
        <v>2246</v>
      </c>
      <c r="N1343" t="s">
        <v>5571</v>
      </c>
      <c r="O1343" t="s">
        <v>4928</v>
      </c>
      <c r="Q1343" t="str">
        <f t="shared" si="83"/>
        <v>condorProc.py --series 07180823_1423 --donoise --dumps a --procenv environments/pymidas_HVHV_NaI_mf.env</v>
      </c>
    </row>
    <row r="1344" spans="1:17">
      <c r="A1344" s="181" t="s">
        <v>6785</v>
      </c>
      <c r="B1344" s="65"/>
      <c r="C1344" s="65"/>
      <c r="D1344" s="65"/>
      <c r="E1344" s="65"/>
      <c r="F1344" s="65"/>
      <c r="G1344" s="193"/>
      <c r="H1344" s="65"/>
      <c r="I1344" s="65" t="s">
        <v>75</v>
      </c>
      <c r="J1344" s="65"/>
      <c r="K1344" s="182"/>
      <c r="L1344" t="str">
        <f>"BatViewer --nohardcode "&amp;A1344&amp;"/"&amp;A1344&amp;"_F0010.mid.gz"</f>
        <v>BatViewer --nohardcode 07180823_1433/07180823_1433_F0010.mid.gz</v>
      </c>
      <c r="M1344" t="s">
        <v>2246</v>
      </c>
      <c r="N1344" t="s">
        <v>5571</v>
      </c>
      <c r="O1344" t="s">
        <v>4928</v>
      </c>
      <c r="Q1344" t="str">
        <f t="shared" si="83"/>
        <v>condorProc.py --series 07180823_1433 --donoise --dumps a --procenv environments/pymidas_HVHV_NaI_mf.env</v>
      </c>
    </row>
    <row r="1345" spans="1:17">
      <c r="A1345" t="s">
        <v>6786</v>
      </c>
      <c r="G1345" s="191"/>
      <c r="J1345" t="s">
        <v>191</v>
      </c>
      <c r="L1345">
        <f>12+L1330</f>
        <v>565</v>
      </c>
      <c r="N1345" t="s">
        <v>5571</v>
      </c>
    </row>
    <row r="1346" spans="1:17">
      <c r="A1346" t="s">
        <v>6787</v>
      </c>
      <c r="G1346" s="191"/>
      <c r="J1346" t="s">
        <v>191</v>
      </c>
      <c r="N1346" t="s">
        <v>5571</v>
      </c>
    </row>
    <row r="1347" spans="1:17">
      <c r="A1347" s="176" t="s">
        <v>6788</v>
      </c>
      <c r="B1347" s="177"/>
      <c r="C1347" s="177"/>
      <c r="D1347" s="177"/>
      <c r="E1347" s="177"/>
      <c r="F1347" s="177">
        <v>10</v>
      </c>
      <c r="G1347" s="192" t="s">
        <v>2248</v>
      </c>
      <c r="H1347" s="177">
        <v>40</v>
      </c>
      <c r="I1347" s="177"/>
      <c r="J1347" s="177" t="s">
        <v>5577</v>
      </c>
      <c r="K1347" s="178" t="s">
        <v>5583</v>
      </c>
      <c r="M1347" t="s">
        <v>2246</v>
      </c>
      <c r="N1347" t="s">
        <v>5571</v>
      </c>
      <c r="O1347" t="s">
        <v>4928</v>
      </c>
      <c r="Q1347" t="str">
        <f t="shared" ref="Q1347:Q1410" si="85">"condorProc.py --series "&amp;A1347&amp;" --donoise --dumps a --procenv environments/pymidas_HVHV_NaI_mf.env"</f>
        <v>condorProc.py --series 07180823_1748 --donoise --dumps a --procenv environments/pymidas_HVHV_NaI_mf.env</v>
      </c>
    </row>
    <row r="1348" spans="1:17">
      <c r="A1348" s="179" t="s">
        <v>6789</v>
      </c>
      <c r="G1348" s="191"/>
      <c r="J1348" t="s">
        <v>5585</v>
      </c>
      <c r="K1348" s="180" t="s">
        <v>5671</v>
      </c>
      <c r="M1348" t="s">
        <v>2246</v>
      </c>
      <c r="N1348" t="s">
        <v>5571</v>
      </c>
      <c r="O1348" t="s">
        <v>4928</v>
      </c>
      <c r="Q1348" t="str">
        <f t="shared" si="85"/>
        <v>condorProc.py --series 07180823_1758 --donoise --dumps a --procenv environments/pymidas_HVHV_NaI_mf.env</v>
      </c>
    </row>
    <row r="1349" spans="1:17">
      <c r="A1349" s="179" t="s">
        <v>6790</v>
      </c>
      <c r="G1349" s="191"/>
      <c r="K1349" s="187" t="s">
        <v>6206</v>
      </c>
      <c r="M1349" t="s">
        <v>2246</v>
      </c>
      <c r="N1349" t="s">
        <v>5571</v>
      </c>
      <c r="O1349" t="s">
        <v>4928</v>
      </c>
      <c r="Q1349" t="str">
        <f t="shared" si="85"/>
        <v>condorProc.py --series 07180823_1808 --donoise --dumps a --procenv environments/pymidas_HVHV_NaI_mf.env</v>
      </c>
    </row>
    <row r="1350" spans="1:17">
      <c r="A1350" s="179" t="s">
        <v>6791</v>
      </c>
      <c r="G1350" s="191"/>
      <c r="K1350" s="180"/>
      <c r="M1350" t="s">
        <v>2246</v>
      </c>
      <c r="N1350" t="s">
        <v>5571</v>
      </c>
      <c r="O1350" t="s">
        <v>4928</v>
      </c>
      <c r="Q1350" t="str">
        <f t="shared" si="85"/>
        <v>condorProc.py --series 07180823_1818 --donoise --dumps a --procenv environments/pymidas_HVHV_NaI_mf.env</v>
      </c>
    </row>
    <row r="1351" spans="1:17">
      <c r="A1351" s="179" t="s">
        <v>6792</v>
      </c>
      <c r="G1351" s="191"/>
      <c r="K1351" s="180"/>
      <c r="M1351" t="s">
        <v>2246</v>
      </c>
      <c r="N1351" t="s">
        <v>5571</v>
      </c>
      <c r="O1351" t="s">
        <v>4928</v>
      </c>
      <c r="Q1351" t="str">
        <f t="shared" si="85"/>
        <v>condorProc.py --series 07180823_1828 --donoise --dumps a --procenv environments/pymidas_HVHV_NaI_mf.env</v>
      </c>
    </row>
    <row r="1352" spans="1:17">
      <c r="A1352" s="179" t="s">
        <v>6793</v>
      </c>
      <c r="G1352" s="191"/>
      <c r="K1352" s="180"/>
      <c r="M1352" t="s">
        <v>2246</v>
      </c>
      <c r="N1352" t="s">
        <v>5571</v>
      </c>
      <c r="O1352" t="s">
        <v>4928</v>
      </c>
      <c r="Q1352" t="str">
        <f t="shared" si="85"/>
        <v>condorProc.py --series 07180823_1839 --donoise --dumps a --procenv environments/pymidas_HVHV_NaI_mf.env</v>
      </c>
    </row>
    <row r="1353" spans="1:17">
      <c r="A1353" s="179" t="s">
        <v>6794</v>
      </c>
      <c r="G1353" s="191"/>
      <c r="K1353" s="180"/>
      <c r="M1353" t="s">
        <v>2246</v>
      </c>
      <c r="N1353" t="s">
        <v>5571</v>
      </c>
      <c r="O1353" t="s">
        <v>4928</v>
      </c>
      <c r="Q1353" t="str">
        <f t="shared" si="85"/>
        <v>condorProc.py --series 07180823_1849 --donoise --dumps a --procenv environments/pymidas_HVHV_NaI_mf.env</v>
      </c>
    </row>
    <row r="1354" spans="1:17">
      <c r="A1354" s="179" t="s">
        <v>6795</v>
      </c>
      <c r="G1354" s="191"/>
      <c r="K1354" s="180"/>
      <c r="M1354" t="s">
        <v>2246</v>
      </c>
      <c r="N1354" t="s">
        <v>5571</v>
      </c>
      <c r="O1354" t="s">
        <v>4928</v>
      </c>
      <c r="Q1354" t="str">
        <f t="shared" si="85"/>
        <v>condorProc.py --series 07180823_1859 --donoise --dumps a --procenv environments/pymidas_HVHV_NaI_mf.env</v>
      </c>
    </row>
    <row r="1355" spans="1:17">
      <c r="A1355" s="179" t="s">
        <v>6796</v>
      </c>
      <c r="G1355" s="191"/>
      <c r="K1355" s="180"/>
      <c r="M1355" t="s">
        <v>6797</v>
      </c>
      <c r="N1355" t="s">
        <v>5571</v>
      </c>
      <c r="O1355" t="s">
        <v>4928</v>
      </c>
      <c r="Q1355" t="str">
        <f t="shared" si="85"/>
        <v>condorProc.py --series 07180823_1909 --donoise --dumps a --procenv environments/pymidas_HVHV_NaI_mf.env</v>
      </c>
    </row>
    <row r="1356" spans="1:17">
      <c r="A1356" s="179" t="s">
        <v>6798</v>
      </c>
      <c r="G1356" s="191"/>
      <c r="K1356" s="180"/>
      <c r="M1356" t="s">
        <v>2246</v>
      </c>
      <c r="N1356" t="s">
        <v>5571</v>
      </c>
      <c r="O1356" t="s">
        <v>4928</v>
      </c>
      <c r="Q1356" t="str">
        <f t="shared" si="85"/>
        <v>condorProc.py --series 07180823_1919 --donoise --dumps a --procenv environments/pymidas_HVHV_NaI_mf.env</v>
      </c>
    </row>
    <row r="1357" spans="1:17">
      <c r="A1357" s="179" t="s">
        <v>6799</v>
      </c>
      <c r="G1357" s="191"/>
      <c r="K1357" s="180"/>
      <c r="M1357" t="s">
        <v>2246</v>
      </c>
      <c r="N1357" t="s">
        <v>5571</v>
      </c>
      <c r="O1357" t="s">
        <v>4928</v>
      </c>
      <c r="Q1357" t="str">
        <f t="shared" si="85"/>
        <v>condorProc.py --series 07180823_1929 --donoise --dumps a --procenv environments/pymidas_HVHV_NaI_mf.env</v>
      </c>
    </row>
    <row r="1358" spans="1:17">
      <c r="A1358" s="181" t="s">
        <v>6800</v>
      </c>
      <c r="B1358" s="65"/>
      <c r="C1358" s="65"/>
      <c r="D1358" s="65"/>
      <c r="E1358" s="65"/>
      <c r="F1358" s="65"/>
      <c r="G1358" s="193"/>
      <c r="H1358" s="65"/>
      <c r="I1358" s="65"/>
      <c r="J1358" s="65"/>
      <c r="K1358" s="182"/>
      <c r="M1358" t="s">
        <v>2246</v>
      </c>
      <c r="N1358" t="s">
        <v>5571</v>
      </c>
      <c r="O1358" t="s">
        <v>4928</v>
      </c>
      <c r="Q1358" t="str">
        <f t="shared" si="85"/>
        <v>condorProc.py --series 07180823_1939 --donoise --dumps a --procenv environments/pymidas_HVHV_NaI_mf.env</v>
      </c>
    </row>
    <row r="1359" spans="1:17">
      <c r="A1359" t="s">
        <v>6801</v>
      </c>
      <c r="F1359" s="177">
        <v>10</v>
      </c>
      <c r="G1359" s="192" t="s">
        <v>2248</v>
      </c>
      <c r="H1359" s="177">
        <v>40</v>
      </c>
      <c r="I1359" s="177"/>
      <c r="J1359" s="177" t="s">
        <v>5577</v>
      </c>
      <c r="K1359" s="178" t="s">
        <v>5583</v>
      </c>
      <c r="M1359" t="s">
        <v>2246</v>
      </c>
      <c r="N1359" t="s">
        <v>5571</v>
      </c>
      <c r="O1359" t="s">
        <v>4928</v>
      </c>
      <c r="Q1359" t="str">
        <f t="shared" si="85"/>
        <v>condorProc.py --series 07180823_2029 --donoise --dumps a --procenv environments/pymidas_HVHV_NaI_mf.env</v>
      </c>
    </row>
    <row r="1360" spans="1:17">
      <c r="A1360" t="s">
        <v>6802</v>
      </c>
      <c r="G1360" s="191"/>
      <c r="J1360" t="s">
        <v>5585</v>
      </c>
      <c r="K1360" s="180" t="s">
        <v>5671</v>
      </c>
      <c r="M1360" t="s">
        <v>2246</v>
      </c>
      <c r="N1360" t="s">
        <v>5571</v>
      </c>
      <c r="O1360" t="s">
        <v>4928</v>
      </c>
      <c r="Q1360" t="str">
        <f t="shared" si="85"/>
        <v>condorProc.py --series 07180823_2039 --donoise --dumps a --procenv environments/pymidas_HVHV_NaI_mf.env</v>
      </c>
    </row>
    <row r="1361" spans="1:17">
      <c r="A1361" t="s">
        <v>6803</v>
      </c>
      <c r="G1361" s="191"/>
      <c r="K1361" s="187" t="s">
        <v>6206</v>
      </c>
      <c r="M1361" t="s">
        <v>2246</v>
      </c>
      <c r="N1361" t="s">
        <v>5571</v>
      </c>
      <c r="O1361" t="s">
        <v>4928</v>
      </c>
      <c r="Q1361" t="str">
        <f t="shared" si="85"/>
        <v>condorProc.py --series 07180823_2049 --donoise --dumps a --procenv environments/pymidas_HVHV_NaI_mf.env</v>
      </c>
    </row>
    <row r="1362" spans="1:17">
      <c r="A1362" t="s">
        <v>6804</v>
      </c>
      <c r="G1362" s="191"/>
      <c r="K1362" s="180"/>
      <c r="M1362" t="s">
        <v>2246</v>
      </c>
      <c r="N1362" t="s">
        <v>5571</v>
      </c>
      <c r="O1362" t="s">
        <v>4928</v>
      </c>
      <c r="Q1362" t="str">
        <f t="shared" si="85"/>
        <v>condorProc.py --series 07180823_2059 --donoise --dumps a --procenv environments/pymidas_HVHV_NaI_mf.env</v>
      </c>
    </row>
    <row r="1363" spans="1:17">
      <c r="A1363" t="s">
        <v>6805</v>
      </c>
      <c r="G1363" s="191"/>
      <c r="K1363" s="180"/>
      <c r="M1363" t="s">
        <v>2246</v>
      </c>
      <c r="N1363" t="s">
        <v>5571</v>
      </c>
      <c r="O1363" t="s">
        <v>4928</v>
      </c>
      <c r="Q1363" t="str">
        <f t="shared" si="85"/>
        <v>condorProc.py --series 07180823_2109 --donoise --dumps a --procenv environments/pymidas_HVHV_NaI_mf.env</v>
      </c>
    </row>
    <row r="1364" spans="1:17">
      <c r="A1364" t="s">
        <v>6806</v>
      </c>
      <c r="G1364" s="191"/>
      <c r="K1364" s="180"/>
      <c r="M1364" t="s">
        <v>2246</v>
      </c>
      <c r="N1364" t="s">
        <v>5571</v>
      </c>
      <c r="O1364" t="s">
        <v>4928</v>
      </c>
      <c r="Q1364" t="str">
        <f t="shared" si="85"/>
        <v>condorProc.py --series 07180823_2119 --donoise --dumps a --procenv environments/pymidas_HVHV_NaI_mf.env</v>
      </c>
    </row>
    <row r="1365" spans="1:17">
      <c r="A1365" t="s">
        <v>6807</v>
      </c>
      <c r="G1365" s="191"/>
      <c r="K1365" s="180"/>
      <c r="M1365" t="s">
        <v>2246</v>
      </c>
      <c r="N1365" t="s">
        <v>5571</v>
      </c>
      <c r="O1365" t="s">
        <v>4928</v>
      </c>
      <c r="Q1365" t="str">
        <f t="shared" si="85"/>
        <v>condorProc.py --series 07180823_2130 --donoise --dumps a --procenv environments/pymidas_HVHV_NaI_mf.env</v>
      </c>
    </row>
    <row r="1366" spans="1:17">
      <c r="A1366" t="s">
        <v>6808</v>
      </c>
      <c r="G1366" s="191"/>
      <c r="K1366" s="180"/>
      <c r="M1366" t="s">
        <v>2246</v>
      </c>
      <c r="N1366" t="s">
        <v>5571</v>
      </c>
      <c r="O1366" t="s">
        <v>4928</v>
      </c>
      <c r="Q1366" t="str">
        <f t="shared" si="85"/>
        <v>condorProc.py --series 07180823_2140 --donoise --dumps a --procenv environments/pymidas_HVHV_NaI_mf.env</v>
      </c>
    </row>
    <row r="1367" spans="1:17">
      <c r="A1367" t="s">
        <v>6809</v>
      </c>
      <c r="G1367" s="191"/>
      <c r="K1367" s="180"/>
      <c r="M1367" t="s">
        <v>2246</v>
      </c>
      <c r="N1367" t="s">
        <v>5571</v>
      </c>
      <c r="O1367" t="s">
        <v>4928</v>
      </c>
      <c r="Q1367" t="str">
        <f t="shared" si="85"/>
        <v>condorProc.py --series 07180823_2150 --donoise --dumps a --procenv environments/pymidas_HVHV_NaI_mf.env</v>
      </c>
    </row>
    <row r="1368" spans="1:17">
      <c r="A1368" t="s">
        <v>6810</v>
      </c>
      <c r="G1368" s="191"/>
      <c r="K1368" s="180"/>
      <c r="M1368" t="s">
        <v>2246</v>
      </c>
      <c r="N1368" t="s">
        <v>5571</v>
      </c>
      <c r="O1368" t="s">
        <v>4928</v>
      </c>
      <c r="Q1368" t="str">
        <f t="shared" si="85"/>
        <v>condorProc.py --series 07180823_2200 --donoise --dumps a --procenv environments/pymidas_HVHV_NaI_mf.env</v>
      </c>
    </row>
    <row r="1369" spans="1:17">
      <c r="A1369" t="s">
        <v>6811</v>
      </c>
      <c r="G1369" s="191"/>
      <c r="K1369" s="180"/>
      <c r="M1369" t="s">
        <v>2246</v>
      </c>
      <c r="N1369" t="s">
        <v>5571</v>
      </c>
      <c r="O1369" t="s">
        <v>4928</v>
      </c>
      <c r="Q1369" t="str">
        <f t="shared" si="85"/>
        <v>condorProc.py --series 07180823_2210 --donoise --dumps a --procenv environments/pymidas_HVHV_NaI_mf.env</v>
      </c>
    </row>
    <row r="1370" spans="1:17">
      <c r="A1370" s="65" t="s">
        <v>6812</v>
      </c>
      <c r="F1370" s="65"/>
      <c r="G1370" s="193"/>
      <c r="H1370" s="65"/>
      <c r="I1370" s="65"/>
      <c r="J1370" s="65"/>
      <c r="K1370" s="182"/>
      <c r="M1370" t="s">
        <v>2246</v>
      </c>
      <c r="N1370" t="s">
        <v>5571</v>
      </c>
      <c r="O1370" t="s">
        <v>4928</v>
      </c>
      <c r="Q1370" t="str">
        <f t="shared" si="85"/>
        <v>condorProc.py --series 07180823_2220 --donoise --dumps a --procenv environments/pymidas_HVHV_NaI_mf.env</v>
      </c>
    </row>
    <row r="1371" spans="1:17">
      <c r="A1371" t="s">
        <v>6813</v>
      </c>
      <c r="F1371" s="177">
        <v>10</v>
      </c>
      <c r="G1371" s="192" t="s">
        <v>2248</v>
      </c>
      <c r="H1371" s="177">
        <v>40</v>
      </c>
      <c r="I1371" s="177"/>
      <c r="J1371" s="177" t="s">
        <v>5577</v>
      </c>
      <c r="K1371" s="178" t="s">
        <v>5583</v>
      </c>
      <c r="M1371" t="s">
        <v>2246</v>
      </c>
      <c r="N1371" t="s">
        <v>5571</v>
      </c>
      <c r="O1371" t="s">
        <v>4928</v>
      </c>
      <c r="Q1371" t="str">
        <f t="shared" si="85"/>
        <v>condorProc.py --series 07180823_2310 --donoise --dumps a --procenv environments/pymidas_HVHV_NaI_mf.env</v>
      </c>
    </row>
    <row r="1372" spans="1:17">
      <c r="A1372" t="s">
        <v>6814</v>
      </c>
      <c r="G1372" s="191"/>
      <c r="J1372" t="s">
        <v>5585</v>
      </c>
      <c r="K1372" s="180" t="s">
        <v>5671</v>
      </c>
      <c r="M1372" t="s">
        <v>2246</v>
      </c>
      <c r="N1372" t="s">
        <v>5571</v>
      </c>
      <c r="O1372" t="s">
        <v>4928</v>
      </c>
      <c r="Q1372" t="str">
        <f t="shared" si="85"/>
        <v>condorProc.py --series 07180823_2320 --donoise --dumps a --procenv environments/pymidas_HVHV_NaI_mf.env</v>
      </c>
    </row>
    <row r="1373" spans="1:17">
      <c r="A1373" t="s">
        <v>6815</v>
      </c>
      <c r="G1373" s="191"/>
      <c r="K1373" s="187" t="s">
        <v>6206</v>
      </c>
      <c r="M1373" t="s">
        <v>2246</v>
      </c>
      <c r="N1373" t="s">
        <v>5571</v>
      </c>
      <c r="O1373" t="s">
        <v>4928</v>
      </c>
      <c r="Q1373" t="str">
        <f t="shared" si="85"/>
        <v>condorProc.py --series 07180823_2330 --donoise --dumps a --procenv environments/pymidas_HVHV_NaI_mf.env</v>
      </c>
    </row>
    <row r="1374" spans="1:17">
      <c r="A1374" t="s">
        <v>6816</v>
      </c>
      <c r="G1374" s="191"/>
      <c r="K1374" s="180"/>
      <c r="M1374" t="s">
        <v>2246</v>
      </c>
      <c r="N1374" t="s">
        <v>5571</v>
      </c>
      <c r="O1374" t="s">
        <v>4928</v>
      </c>
      <c r="Q1374" t="str">
        <f t="shared" si="85"/>
        <v>condorProc.py --series 07180823_2340 --donoise --dumps a --procenv environments/pymidas_HVHV_NaI_mf.env</v>
      </c>
    </row>
    <row r="1375" spans="1:17">
      <c r="A1375" t="s">
        <v>6817</v>
      </c>
      <c r="G1375" s="191"/>
      <c r="K1375" s="180"/>
      <c r="M1375" t="s">
        <v>2246</v>
      </c>
      <c r="N1375" t="s">
        <v>5571</v>
      </c>
      <c r="O1375" t="s">
        <v>4928</v>
      </c>
      <c r="Q1375" t="str">
        <f t="shared" si="85"/>
        <v>condorProc.py --series 07180823_2351 --donoise --dumps a --procenv environments/pymidas_HVHV_NaI_mf.env</v>
      </c>
    </row>
    <row r="1376" spans="1:17">
      <c r="A1376" t="s">
        <v>6818</v>
      </c>
      <c r="G1376" s="191"/>
      <c r="K1376" s="180"/>
      <c r="M1376" t="s">
        <v>2246</v>
      </c>
      <c r="N1376" t="s">
        <v>5571</v>
      </c>
      <c r="O1376" t="s">
        <v>4928</v>
      </c>
      <c r="Q1376" t="str">
        <f t="shared" si="85"/>
        <v>condorProc.py --series 07180824_0001 --donoise --dumps a --procenv environments/pymidas_HVHV_NaI_mf.env</v>
      </c>
    </row>
    <row r="1377" spans="1:17">
      <c r="A1377" t="s">
        <v>6819</v>
      </c>
      <c r="G1377" s="191"/>
      <c r="K1377" s="180"/>
      <c r="M1377" t="s">
        <v>2246</v>
      </c>
      <c r="N1377" t="s">
        <v>5571</v>
      </c>
      <c r="O1377" t="s">
        <v>4928</v>
      </c>
      <c r="Q1377" t="str">
        <f t="shared" si="85"/>
        <v>condorProc.py --series 07180824_0011 --donoise --dumps a --procenv environments/pymidas_HVHV_NaI_mf.env</v>
      </c>
    </row>
    <row r="1378" spans="1:17">
      <c r="A1378" t="s">
        <v>6820</v>
      </c>
      <c r="G1378" s="191"/>
      <c r="K1378" s="180"/>
      <c r="M1378" t="s">
        <v>2246</v>
      </c>
      <c r="N1378" t="s">
        <v>5571</v>
      </c>
      <c r="O1378" t="s">
        <v>4928</v>
      </c>
      <c r="Q1378" t="str">
        <f t="shared" si="85"/>
        <v>condorProc.py --series 07180824_0021 --donoise --dumps a --procenv environments/pymidas_HVHV_NaI_mf.env</v>
      </c>
    </row>
    <row r="1379" spans="1:17">
      <c r="A1379" t="s">
        <v>6821</v>
      </c>
      <c r="G1379" s="191"/>
      <c r="K1379" s="180"/>
      <c r="M1379" t="s">
        <v>2246</v>
      </c>
      <c r="N1379" t="s">
        <v>5571</v>
      </c>
      <c r="O1379" t="s">
        <v>4928</v>
      </c>
      <c r="Q1379" t="str">
        <f t="shared" si="85"/>
        <v>condorProc.py --series 07180824_0031 --donoise --dumps a --procenv environments/pymidas_HVHV_NaI_mf.env</v>
      </c>
    </row>
    <row r="1380" spans="1:17">
      <c r="A1380" t="s">
        <v>6822</v>
      </c>
      <c r="G1380" s="191"/>
      <c r="K1380" s="180"/>
      <c r="M1380" t="s">
        <v>2246</v>
      </c>
      <c r="N1380" t="s">
        <v>5571</v>
      </c>
      <c r="O1380" t="s">
        <v>4928</v>
      </c>
      <c r="Q1380" t="str">
        <f t="shared" si="85"/>
        <v>condorProc.py --series 07180824_0041 --donoise --dumps a --procenv environments/pymidas_HVHV_NaI_mf.env</v>
      </c>
    </row>
    <row r="1381" spans="1:17">
      <c r="A1381" t="s">
        <v>6823</v>
      </c>
      <c r="G1381" s="191"/>
      <c r="K1381" s="180"/>
      <c r="M1381" t="s">
        <v>2246</v>
      </c>
      <c r="N1381" t="s">
        <v>5571</v>
      </c>
      <c r="O1381" t="s">
        <v>4928</v>
      </c>
      <c r="Q1381" t="str">
        <f t="shared" si="85"/>
        <v>condorProc.py --series 07180824_0051 --donoise --dumps a --procenv environments/pymidas_HVHV_NaI_mf.env</v>
      </c>
    </row>
    <row r="1382" spans="1:17">
      <c r="A1382" s="65" t="s">
        <v>6824</v>
      </c>
      <c r="F1382" s="65"/>
      <c r="G1382" s="193"/>
      <c r="H1382" s="65"/>
      <c r="I1382" s="65"/>
      <c r="J1382" s="65"/>
      <c r="K1382" s="182"/>
      <c r="M1382" t="s">
        <v>2246</v>
      </c>
      <c r="N1382" t="s">
        <v>5571</v>
      </c>
      <c r="O1382" t="s">
        <v>4928</v>
      </c>
      <c r="Q1382" t="str">
        <f t="shared" si="85"/>
        <v>condorProc.py --series 07180824_0101 --donoise --dumps a --procenv environments/pymidas_HVHV_NaI_mf.env</v>
      </c>
    </row>
    <row r="1383" spans="1:17">
      <c r="A1383" t="s">
        <v>6825</v>
      </c>
      <c r="F1383" s="177">
        <v>10</v>
      </c>
      <c r="G1383" s="192" t="s">
        <v>2248</v>
      </c>
      <c r="H1383" s="177">
        <v>40</v>
      </c>
      <c r="I1383" s="177"/>
      <c r="J1383" s="177" t="s">
        <v>5577</v>
      </c>
      <c r="K1383" s="178" t="s">
        <v>5583</v>
      </c>
      <c r="M1383" t="s">
        <v>2246</v>
      </c>
      <c r="N1383" t="s">
        <v>5571</v>
      </c>
      <c r="O1383" t="s">
        <v>4928</v>
      </c>
      <c r="Q1383" t="str">
        <f t="shared" si="85"/>
        <v>condorProc.py --series 07180824_0151 --donoise --dumps a --procenv environments/pymidas_HVHV_NaI_mf.env</v>
      </c>
    </row>
    <row r="1384" spans="1:17">
      <c r="A1384" t="s">
        <v>6826</v>
      </c>
      <c r="G1384" s="191"/>
      <c r="J1384" t="s">
        <v>5585</v>
      </c>
      <c r="K1384" s="180" t="s">
        <v>5671</v>
      </c>
      <c r="M1384" t="s">
        <v>2246</v>
      </c>
      <c r="N1384" t="s">
        <v>5571</v>
      </c>
      <c r="O1384" t="s">
        <v>4928</v>
      </c>
      <c r="Q1384" t="str">
        <f t="shared" si="85"/>
        <v>condorProc.py --series 07180824_0201 --donoise --dumps a --procenv environments/pymidas_HVHV_NaI_mf.env</v>
      </c>
    </row>
    <row r="1385" spans="1:17">
      <c r="A1385" t="s">
        <v>6827</v>
      </c>
      <c r="G1385" s="191"/>
      <c r="K1385" s="187" t="s">
        <v>6206</v>
      </c>
      <c r="M1385" t="s">
        <v>2246</v>
      </c>
      <c r="N1385" t="s">
        <v>5571</v>
      </c>
      <c r="O1385" t="s">
        <v>4928</v>
      </c>
      <c r="Q1385" t="str">
        <f t="shared" si="85"/>
        <v>condorProc.py --series 07180824_0211 --donoise --dumps a --procenv environments/pymidas_HVHV_NaI_mf.env</v>
      </c>
    </row>
    <row r="1386" spans="1:17">
      <c r="A1386" t="s">
        <v>6828</v>
      </c>
      <c r="G1386" s="191"/>
      <c r="K1386" s="180"/>
      <c r="M1386" t="s">
        <v>2246</v>
      </c>
      <c r="N1386" t="s">
        <v>5571</v>
      </c>
      <c r="O1386" t="s">
        <v>4928</v>
      </c>
      <c r="Q1386" t="str">
        <f t="shared" si="85"/>
        <v>condorProc.py --series 07180824_0221 --donoise --dumps a --procenv environments/pymidas_HVHV_NaI_mf.env</v>
      </c>
    </row>
    <row r="1387" spans="1:17">
      <c r="A1387" t="s">
        <v>6829</v>
      </c>
      <c r="G1387" s="191"/>
      <c r="K1387" s="180"/>
      <c r="M1387" t="s">
        <v>2246</v>
      </c>
      <c r="N1387" t="s">
        <v>5571</v>
      </c>
      <c r="O1387" t="s">
        <v>4928</v>
      </c>
      <c r="Q1387" t="str">
        <f t="shared" si="85"/>
        <v>condorProc.py --series 07180824_0232 --donoise --dumps a --procenv environments/pymidas_HVHV_NaI_mf.env</v>
      </c>
    </row>
    <row r="1388" spans="1:17">
      <c r="A1388" t="s">
        <v>6830</v>
      </c>
      <c r="G1388" s="191"/>
      <c r="K1388" s="180"/>
      <c r="M1388" t="s">
        <v>2246</v>
      </c>
      <c r="N1388" t="s">
        <v>5571</v>
      </c>
      <c r="O1388" t="s">
        <v>4928</v>
      </c>
      <c r="Q1388" t="str">
        <f t="shared" si="85"/>
        <v>condorProc.py --series 07180824_0242 --donoise --dumps a --procenv environments/pymidas_HVHV_NaI_mf.env</v>
      </c>
    </row>
    <row r="1389" spans="1:17">
      <c r="A1389" t="s">
        <v>6831</v>
      </c>
      <c r="G1389" s="191"/>
      <c r="K1389" s="180"/>
      <c r="M1389" t="s">
        <v>2246</v>
      </c>
      <c r="N1389" t="s">
        <v>5571</v>
      </c>
      <c r="O1389" t="s">
        <v>4928</v>
      </c>
      <c r="Q1389" t="str">
        <f t="shared" si="85"/>
        <v>condorProc.py --series 07180824_0252 --donoise --dumps a --procenv environments/pymidas_HVHV_NaI_mf.env</v>
      </c>
    </row>
    <row r="1390" spans="1:17">
      <c r="A1390" t="s">
        <v>6832</v>
      </c>
      <c r="G1390" s="191"/>
      <c r="K1390" s="180"/>
      <c r="M1390" t="s">
        <v>2246</v>
      </c>
      <c r="N1390" t="s">
        <v>5571</v>
      </c>
      <c r="O1390" t="s">
        <v>4928</v>
      </c>
      <c r="Q1390" t="str">
        <f t="shared" si="85"/>
        <v>condorProc.py --series 07180824_0302 --donoise --dumps a --procenv environments/pymidas_HVHV_NaI_mf.env</v>
      </c>
    </row>
    <row r="1391" spans="1:17">
      <c r="A1391" t="s">
        <v>6833</v>
      </c>
      <c r="G1391" s="191"/>
      <c r="K1391" s="180"/>
      <c r="M1391" t="s">
        <v>2246</v>
      </c>
      <c r="N1391" t="s">
        <v>5571</v>
      </c>
      <c r="O1391" t="s">
        <v>4928</v>
      </c>
      <c r="Q1391" t="str">
        <f t="shared" si="85"/>
        <v>condorProc.py --series 07180824_0312 --donoise --dumps a --procenv environments/pymidas_HVHV_NaI_mf.env</v>
      </c>
    </row>
    <row r="1392" spans="1:17">
      <c r="A1392" t="s">
        <v>6834</v>
      </c>
      <c r="G1392" s="191"/>
      <c r="K1392" s="180"/>
      <c r="M1392" t="s">
        <v>2246</v>
      </c>
      <c r="N1392" t="s">
        <v>5571</v>
      </c>
      <c r="O1392" t="s">
        <v>4928</v>
      </c>
      <c r="Q1392" t="str">
        <f t="shared" si="85"/>
        <v>condorProc.py --series 07180824_0322 --donoise --dumps a --procenv environments/pymidas_HVHV_NaI_mf.env</v>
      </c>
    </row>
    <row r="1393" spans="1:17">
      <c r="A1393" t="s">
        <v>6835</v>
      </c>
      <c r="G1393" s="191"/>
      <c r="K1393" s="180"/>
      <c r="M1393" t="s">
        <v>2246</v>
      </c>
      <c r="N1393" t="s">
        <v>5571</v>
      </c>
      <c r="O1393" t="s">
        <v>4928</v>
      </c>
      <c r="Q1393" t="str">
        <f t="shared" si="85"/>
        <v>condorProc.py --series 07180824_0332 --donoise --dumps a --procenv environments/pymidas_HVHV_NaI_mf.env</v>
      </c>
    </row>
    <row r="1394" spans="1:17">
      <c r="A1394" s="65" t="s">
        <v>6836</v>
      </c>
      <c r="F1394" s="65"/>
      <c r="G1394" s="193"/>
      <c r="H1394" s="65"/>
      <c r="I1394" s="65"/>
      <c r="J1394" s="65"/>
      <c r="K1394" s="182"/>
      <c r="M1394" t="s">
        <v>2246</v>
      </c>
      <c r="N1394" t="s">
        <v>5571</v>
      </c>
      <c r="O1394" t="s">
        <v>4928</v>
      </c>
      <c r="Q1394" t="str">
        <f t="shared" si="85"/>
        <v>condorProc.py --series 07180824_0342 --donoise --dumps a --procenv environments/pymidas_HVHV_NaI_mf.env</v>
      </c>
    </row>
    <row r="1395" spans="1:17">
      <c r="A1395" t="s">
        <v>6837</v>
      </c>
      <c r="F1395" s="177">
        <v>10</v>
      </c>
      <c r="G1395" s="192" t="s">
        <v>2248</v>
      </c>
      <c r="H1395" s="177">
        <v>40</v>
      </c>
      <c r="I1395" s="177"/>
      <c r="J1395" s="177" t="s">
        <v>5577</v>
      </c>
      <c r="K1395" s="178" t="s">
        <v>5583</v>
      </c>
      <c r="M1395" t="s">
        <v>2246</v>
      </c>
      <c r="N1395" t="s">
        <v>5571</v>
      </c>
      <c r="O1395" t="s">
        <v>4928</v>
      </c>
      <c r="Q1395" t="str">
        <f t="shared" si="85"/>
        <v>condorProc.py --series 07180824_0432 --donoise --dumps a --procenv environments/pymidas_HVHV_NaI_mf.env</v>
      </c>
    </row>
    <row r="1396" spans="1:17">
      <c r="A1396" t="s">
        <v>6838</v>
      </c>
      <c r="G1396" s="191"/>
      <c r="J1396" t="s">
        <v>5585</v>
      </c>
      <c r="K1396" s="180" t="s">
        <v>5671</v>
      </c>
      <c r="M1396" t="s">
        <v>6797</v>
      </c>
      <c r="N1396" t="s">
        <v>5571</v>
      </c>
      <c r="O1396" t="s">
        <v>4928</v>
      </c>
      <c r="Q1396" t="str">
        <f t="shared" si="85"/>
        <v>condorProc.py --series 07180824_0442 --donoise --dumps a --procenv environments/pymidas_HVHV_NaI_mf.env</v>
      </c>
    </row>
    <row r="1397" spans="1:17">
      <c r="A1397" t="s">
        <v>6839</v>
      </c>
      <c r="G1397" s="191"/>
      <c r="K1397" s="187" t="s">
        <v>6206</v>
      </c>
      <c r="M1397" t="s">
        <v>2246</v>
      </c>
      <c r="N1397" t="s">
        <v>5571</v>
      </c>
      <c r="O1397" t="s">
        <v>4928</v>
      </c>
      <c r="Q1397" t="str">
        <f t="shared" si="85"/>
        <v>condorProc.py --series 07180824_0452 --donoise --dumps a --procenv environments/pymidas_HVHV_NaI_mf.env</v>
      </c>
    </row>
    <row r="1398" spans="1:17">
      <c r="A1398" t="s">
        <v>6840</v>
      </c>
      <c r="G1398" s="191"/>
      <c r="K1398" s="180"/>
      <c r="M1398" t="s">
        <v>2246</v>
      </c>
      <c r="N1398" t="s">
        <v>5571</v>
      </c>
      <c r="O1398" t="s">
        <v>4928</v>
      </c>
      <c r="Q1398" t="str">
        <f t="shared" si="85"/>
        <v>condorProc.py --series 07180824_0503 --donoise --dumps a --procenv environments/pymidas_HVHV_NaI_mf.env</v>
      </c>
    </row>
    <row r="1399" spans="1:17">
      <c r="A1399" t="s">
        <v>6841</v>
      </c>
      <c r="G1399" s="191"/>
      <c r="K1399" s="180"/>
      <c r="M1399" t="s">
        <v>2246</v>
      </c>
      <c r="N1399" t="s">
        <v>5571</v>
      </c>
      <c r="O1399" t="s">
        <v>4928</v>
      </c>
      <c r="Q1399" t="str">
        <f t="shared" si="85"/>
        <v>condorProc.py --series 07180824_0513 --donoise --dumps a --procenv environments/pymidas_HVHV_NaI_mf.env</v>
      </c>
    </row>
    <row r="1400" spans="1:17">
      <c r="A1400" t="s">
        <v>6842</v>
      </c>
      <c r="G1400" s="191"/>
      <c r="K1400" s="180"/>
      <c r="M1400" t="s">
        <v>2246</v>
      </c>
      <c r="N1400" t="s">
        <v>5571</v>
      </c>
      <c r="O1400" t="s">
        <v>4928</v>
      </c>
      <c r="Q1400" t="str">
        <f t="shared" si="85"/>
        <v>condorProc.py --series 07180824_0523 --donoise --dumps a --procenv environments/pymidas_HVHV_NaI_mf.env</v>
      </c>
    </row>
    <row r="1401" spans="1:17">
      <c r="A1401" t="s">
        <v>6843</v>
      </c>
      <c r="G1401" s="191"/>
      <c r="K1401" s="180"/>
      <c r="M1401" t="s">
        <v>2246</v>
      </c>
      <c r="N1401" t="s">
        <v>5571</v>
      </c>
      <c r="O1401" t="s">
        <v>4928</v>
      </c>
      <c r="Q1401" t="str">
        <f t="shared" si="85"/>
        <v>condorProc.py --series 07180824_0533 --donoise --dumps a --procenv environments/pymidas_HVHV_NaI_mf.env</v>
      </c>
    </row>
    <row r="1402" spans="1:17">
      <c r="A1402" t="s">
        <v>6844</v>
      </c>
      <c r="G1402" s="191"/>
      <c r="K1402" s="180"/>
      <c r="M1402" t="s">
        <v>2246</v>
      </c>
      <c r="N1402" t="s">
        <v>5571</v>
      </c>
      <c r="O1402" t="s">
        <v>4928</v>
      </c>
      <c r="Q1402" t="str">
        <f t="shared" si="85"/>
        <v>condorProc.py --series 07180824_0543 --donoise --dumps a --procenv environments/pymidas_HVHV_NaI_mf.env</v>
      </c>
    </row>
    <row r="1403" spans="1:17">
      <c r="A1403" t="s">
        <v>6845</v>
      </c>
      <c r="G1403" s="191"/>
      <c r="K1403" s="180"/>
      <c r="M1403" t="s">
        <v>2246</v>
      </c>
      <c r="N1403" t="s">
        <v>5571</v>
      </c>
      <c r="O1403" t="s">
        <v>4928</v>
      </c>
      <c r="Q1403" t="str">
        <f t="shared" si="85"/>
        <v>condorProc.py --series 07180824_0553 --donoise --dumps a --procenv environments/pymidas_HVHV_NaI_mf.env</v>
      </c>
    </row>
    <row r="1404" spans="1:17">
      <c r="A1404" t="s">
        <v>6846</v>
      </c>
      <c r="G1404" s="191"/>
      <c r="K1404" s="180"/>
      <c r="M1404" t="s">
        <v>2246</v>
      </c>
      <c r="N1404" t="s">
        <v>5571</v>
      </c>
      <c r="O1404" t="s">
        <v>4928</v>
      </c>
      <c r="Q1404" t="str">
        <f t="shared" si="85"/>
        <v>condorProc.py --series 07180824_0603 --donoise --dumps a --procenv environments/pymidas_HVHV_NaI_mf.env</v>
      </c>
    </row>
    <row r="1405" spans="1:17">
      <c r="A1405" t="s">
        <v>6847</v>
      </c>
      <c r="G1405" s="191"/>
      <c r="K1405" s="180"/>
      <c r="M1405" t="s">
        <v>2246</v>
      </c>
      <c r="N1405" t="s">
        <v>5571</v>
      </c>
      <c r="O1405" t="s">
        <v>4928</v>
      </c>
      <c r="Q1405" t="str">
        <f t="shared" si="85"/>
        <v>condorProc.py --series 07180824_0613 --donoise --dumps a --procenv environments/pymidas_HVHV_NaI_mf.env</v>
      </c>
    </row>
    <row r="1406" spans="1:17">
      <c r="A1406" s="65" t="s">
        <v>6848</v>
      </c>
      <c r="F1406" s="65"/>
      <c r="G1406" s="193"/>
      <c r="H1406" s="65"/>
      <c r="I1406" s="65"/>
      <c r="J1406" s="65"/>
      <c r="K1406" s="182"/>
      <c r="M1406" t="s">
        <v>2246</v>
      </c>
      <c r="N1406" t="s">
        <v>5571</v>
      </c>
      <c r="O1406" t="s">
        <v>4928</v>
      </c>
      <c r="Q1406" t="str">
        <f t="shared" si="85"/>
        <v>condorProc.py --series 07180824_0624 --donoise --dumps a --procenv environments/pymidas_HVHV_NaI_mf.env</v>
      </c>
    </row>
    <row r="1407" spans="1:17">
      <c r="A1407" t="s">
        <v>6849</v>
      </c>
      <c r="F1407" s="177">
        <v>10</v>
      </c>
      <c r="G1407" s="192" t="s">
        <v>2248</v>
      </c>
      <c r="H1407" s="177">
        <v>40</v>
      </c>
      <c r="I1407" s="177"/>
      <c r="J1407" s="177" t="s">
        <v>5577</v>
      </c>
      <c r="K1407" s="178" t="s">
        <v>5583</v>
      </c>
      <c r="M1407" t="s">
        <v>2246</v>
      </c>
      <c r="N1407" t="s">
        <v>5571</v>
      </c>
      <c r="O1407" t="s">
        <v>4928</v>
      </c>
      <c r="Q1407" t="str">
        <f t="shared" si="85"/>
        <v>condorProc.py --series 07180824_0713 --donoise --dumps a --procenv environments/pymidas_HVHV_NaI_mf.env</v>
      </c>
    </row>
    <row r="1408" spans="1:17">
      <c r="A1408" t="s">
        <v>6850</v>
      </c>
      <c r="G1408" s="191"/>
      <c r="J1408" t="s">
        <v>5585</v>
      </c>
      <c r="K1408" s="180" t="s">
        <v>5671</v>
      </c>
      <c r="M1408" t="s">
        <v>2246</v>
      </c>
      <c r="N1408" t="s">
        <v>5571</v>
      </c>
      <c r="O1408" t="s">
        <v>4928</v>
      </c>
      <c r="Q1408" t="str">
        <f t="shared" si="85"/>
        <v>condorProc.py --series 07180824_0723 --donoise --dumps a --procenv environments/pymidas_HVHV_NaI_mf.env</v>
      </c>
    </row>
    <row r="1409" spans="1:17">
      <c r="A1409" t="s">
        <v>6851</v>
      </c>
      <c r="G1409" s="191"/>
      <c r="K1409" s="187" t="s">
        <v>6206</v>
      </c>
      <c r="M1409" t="s">
        <v>2246</v>
      </c>
      <c r="N1409" t="s">
        <v>5571</v>
      </c>
      <c r="O1409" t="s">
        <v>4928</v>
      </c>
      <c r="Q1409" t="str">
        <f t="shared" si="85"/>
        <v>condorProc.py --series 07180824_0733 --donoise --dumps a --procenv environments/pymidas_HVHV_NaI_mf.env</v>
      </c>
    </row>
    <row r="1410" spans="1:17">
      <c r="A1410" t="s">
        <v>6852</v>
      </c>
      <c r="G1410" s="191"/>
      <c r="K1410" s="180"/>
      <c r="M1410" t="s">
        <v>2246</v>
      </c>
      <c r="N1410" t="s">
        <v>5571</v>
      </c>
      <c r="O1410" t="s">
        <v>4928</v>
      </c>
      <c r="Q1410" t="str">
        <f t="shared" si="85"/>
        <v>condorProc.py --series 07180824_0744 --donoise --dumps a --procenv environments/pymidas_HVHV_NaI_mf.env</v>
      </c>
    </row>
    <row r="1411" spans="1:17">
      <c r="A1411" t="s">
        <v>6853</v>
      </c>
      <c r="G1411" s="191"/>
      <c r="K1411" s="180"/>
      <c r="M1411" t="s">
        <v>2246</v>
      </c>
      <c r="N1411" t="s">
        <v>5571</v>
      </c>
      <c r="O1411" t="s">
        <v>4928</v>
      </c>
      <c r="Q1411" t="str">
        <f t="shared" ref="Q1411:Q1433" si="86">"condorProc.py --series "&amp;A1411&amp;" --donoise --dumps a --procenv environments/pymidas_HVHV_NaI_mf.env"</f>
        <v>condorProc.py --series 07180824_0754 --donoise --dumps a --procenv environments/pymidas_HVHV_NaI_mf.env</v>
      </c>
    </row>
    <row r="1412" spans="1:17">
      <c r="A1412" t="s">
        <v>6854</v>
      </c>
      <c r="G1412" s="191"/>
      <c r="K1412" s="180"/>
      <c r="M1412" t="s">
        <v>2246</v>
      </c>
      <c r="N1412" t="s">
        <v>5571</v>
      </c>
      <c r="O1412" t="s">
        <v>4928</v>
      </c>
      <c r="Q1412" t="str">
        <f t="shared" si="86"/>
        <v>condorProc.py --series 07180824_0804 --donoise --dumps a --procenv environments/pymidas_HVHV_NaI_mf.env</v>
      </c>
    </row>
    <row r="1413" spans="1:17">
      <c r="A1413" t="s">
        <v>6855</v>
      </c>
      <c r="G1413" s="191"/>
      <c r="K1413" s="180"/>
      <c r="M1413" t="s">
        <v>2246</v>
      </c>
      <c r="N1413" t="s">
        <v>5571</v>
      </c>
      <c r="O1413" t="s">
        <v>4928</v>
      </c>
      <c r="Q1413" t="str">
        <f t="shared" si="86"/>
        <v>condorProc.py --series 07180824_0814 --donoise --dumps a --procenv environments/pymidas_HVHV_NaI_mf.env</v>
      </c>
    </row>
    <row r="1414" spans="1:17">
      <c r="A1414" t="s">
        <v>6856</v>
      </c>
      <c r="G1414" s="191"/>
      <c r="K1414" s="180"/>
      <c r="M1414" t="s">
        <v>2246</v>
      </c>
      <c r="N1414" t="s">
        <v>5571</v>
      </c>
      <c r="O1414" t="s">
        <v>4928</v>
      </c>
      <c r="Q1414" t="str">
        <f t="shared" si="86"/>
        <v>condorProc.py --series 07180824_0824 --donoise --dumps a --procenv environments/pymidas_HVHV_NaI_mf.env</v>
      </c>
    </row>
    <row r="1415" spans="1:17">
      <c r="A1415" t="s">
        <v>6857</v>
      </c>
      <c r="G1415" s="191"/>
      <c r="K1415" s="180"/>
      <c r="M1415" t="s">
        <v>2246</v>
      </c>
      <c r="N1415" t="s">
        <v>5571</v>
      </c>
      <c r="O1415" t="s">
        <v>4928</v>
      </c>
      <c r="Q1415" t="str">
        <f t="shared" si="86"/>
        <v>condorProc.py --series 07180824_0834 --donoise --dumps a --procenv environments/pymidas_HVHV_NaI_mf.env</v>
      </c>
    </row>
    <row r="1416" spans="1:17">
      <c r="A1416" t="s">
        <v>6858</v>
      </c>
      <c r="G1416" s="191"/>
      <c r="K1416" s="180"/>
      <c r="M1416" t="s">
        <v>2246</v>
      </c>
      <c r="N1416" t="s">
        <v>5571</v>
      </c>
      <c r="O1416" t="s">
        <v>4928</v>
      </c>
      <c r="Q1416" t="str">
        <f t="shared" si="86"/>
        <v>condorProc.py --series 07180824_0844 --donoise --dumps a --procenv environments/pymidas_HVHV_NaI_mf.env</v>
      </c>
    </row>
    <row r="1417" spans="1:17">
      <c r="A1417" t="s">
        <v>6859</v>
      </c>
      <c r="G1417" s="191"/>
      <c r="K1417" s="180"/>
      <c r="M1417" t="s">
        <v>2246</v>
      </c>
      <c r="N1417" t="s">
        <v>5571</v>
      </c>
      <c r="O1417" t="s">
        <v>4928</v>
      </c>
      <c r="Q1417" t="str">
        <f t="shared" si="86"/>
        <v>condorProc.py --series 07180824_0854 --donoise --dumps a --procenv environments/pymidas_HVHV_NaI_mf.env</v>
      </c>
    </row>
    <row r="1418" spans="1:17">
      <c r="A1418" s="65" t="s">
        <v>6860</v>
      </c>
      <c r="F1418" s="65"/>
      <c r="G1418" s="193"/>
      <c r="H1418" s="65"/>
      <c r="I1418" s="65"/>
      <c r="J1418" s="65"/>
      <c r="K1418" s="182"/>
      <c r="M1418" t="s">
        <v>2246</v>
      </c>
      <c r="N1418" t="s">
        <v>5571</v>
      </c>
      <c r="O1418" t="s">
        <v>4928</v>
      </c>
      <c r="Q1418" t="str">
        <f t="shared" si="86"/>
        <v>condorProc.py --series 07180824_0905 --donoise --dumps a --procenv environments/pymidas_HVHV_NaI_mf.env</v>
      </c>
    </row>
    <row r="1419" spans="1:17">
      <c r="A1419" t="s">
        <v>6861</v>
      </c>
      <c r="F1419" s="177">
        <v>10</v>
      </c>
      <c r="G1419" s="192" t="s">
        <v>2248</v>
      </c>
      <c r="H1419" s="177">
        <v>40</v>
      </c>
      <c r="I1419" s="177"/>
      <c r="J1419" s="177" t="s">
        <v>5577</v>
      </c>
      <c r="K1419" s="178" t="s">
        <v>5583</v>
      </c>
      <c r="M1419" t="s">
        <v>2246</v>
      </c>
      <c r="N1419" t="s">
        <v>5571</v>
      </c>
      <c r="O1419" t="s">
        <v>4928</v>
      </c>
      <c r="Q1419" t="str">
        <f t="shared" si="86"/>
        <v>condorProc.py --series 07180824_0954 --donoise --dumps a --procenv environments/pymidas_HVHV_NaI_mf.env</v>
      </c>
    </row>
    <row r="1420" spans="1:17">
      <c r="A1420" t="s">
        <v>6862</v>
      </c>
      <c r="G1420" s="191"/>
      <c r="J1420" t="s">
        <v>5585</v>
      </c>
      <c r="K1420" s="180" t="s">
        <v>5671</v>
      </c>
      <c r="M1420" t="s">
        <v>2246</v>
      </c>
      <c r="N1420" t="s">
        <v>5571</v>
      </c>
      <c r="O1420" t="s">
        <v>4928</v>
      </c>
      <c r="Q1420" t="str">
        <f t="shared" si="86"/>
        <v>condorProc.py --series 07180824_1005 --donoise --dumps a --procenv environments/pymidas_HVHV_NaI_mf.env</v>
      </c>
    </row>
    <row r="1421" spans="1:17">
      <c r="A1421" t="s">
        <v>6863</v>
      </c>
      <c r="G1421" s="191"/>
      <c r="K1421" s="187" t="s">
        <v>6206</v>
      </c>
      <c r="M1421" t="s">
        <v>2246</v>
      </c>
      <c r="N1421" t="s">
        <v>5571</v>
      </c>
      <c r="O1421" t="s">
        <v>4928</v>
      </c>
      <c r="Q1421" t="str">
        <f t="shared" si="86"/>
        <v>condorProc.py --series 07180824_1015 --donoise --dumps a --procenv environments/pymidas_HVHV_NaI_mf.env</v>
      </c>
    </row>
    <row r="1422" spans="1:17">
      <c r="A1422" t="s">
        <v>6864</v>
      </c>
      <c r="G1422" s="191"/>
      <c r="K1422" s="180"/>
      <c r="M1422" t="s">
        <v>2246</v>
      </c>
      <c r="N1422" t="s">
        <v>5571</v>
      </c>
      <c r="O1422" t="s">
        <v>4928</v>
      </c>
      <c r="Q1422" t="str">
        <f t="shared" si="86"/>
        <v>condorProc.py --series 07180824_1025 --donoise --dumps a --procenv environments/pymidas_HVHV_NaI_mf.env</v>
      </c>
    </row>
    <row r="1423" spans="1:17">
      <c r="A1423" t="s">
        <v>6865</v>
      </c>
      <c r="G1423" s="191"/>
      <c r="K1423" s="180"/>
      <c r="M1423" t="s">
        <v>2246</v>
      </c>
      <c r="N1423" t="s">
        <v>5571</v>
      </c>
      <c r="O1423" t="s">
        <v>4928</v>
      </c>
      <c r="Q1423" t="str">
        <f t="shared" si="86"/>
        <v>condorProc.py --series 07180824_1035 --donoise --dumps a --procenv environments/pymidas_HVHV_NaI_mf.env</v>
      </c>
    </row>
    <row r="1424" spans="1:17">
      <c r="A1424" t="s">
        <v>6866</v>
      </c>
      <c r="G1424" s="191"/>
      <c r="K1424" s="180"/>
      <c r="M1424" t="s">
        <v>2246</v>
      </c>
      <c r="N1424" t="s">
        <v>5571</v>
      </c>
      <c r="O1424" t="s">
        <v>4928</v>
      </c>
      <c r="Q1424" t="str">
        <f t="shared" si="86"/>
        <v>condorProc.py --series 07180824_1045 --donoise --dumps a --procenv environments/pymidas_HVHV_NaI_mf.env</v>
      </c>
    </row>
    <row r="1425" spans="1:17">
      <c r="A1425" t="s">
        <v>6867</v>
      </c>
      <c r="G1425" s="191"/>
      <c r="K1425" s="180"/>
      <c r="M1425" t="s">
        <v>2246</v>
      </c>
      <c r="N1425" t="s">
        <v>5571</v>
      </c>
      <c r="O1425" t="s">
        <v>4928</v>
      </c>
      <c r="Q1425" t="str">
        <f t="shared" si="86"/>
        <v>condorProc.py --series 07180824_1055 --donoise --dumps a --procenv environments/pymidas_HVHV_NaI_mf.env</v>
      </c>
    </row>
    <row r="1426" spans="1:17">
      <c r="A1426" t="s">
        <v>6868</v>
      </c>
      <c r="G1426" s="191"/>
      <c r="K1426" s="180"/>
      <c r="M1426" t="s">
        <v>2246</v>
      </c>
      <c r="N1426" t="s">
        <v>5571</v>
      </c>
      <c r="O1426" t="s">
        <v>4928</v>
      </c>
      <c r="Q1426" t="str">
        <f t="shared" si="86"/>
        <v>condorProc.py --series 07180824_1105 --donoise --dumps a --procenv environments/pymidas_HVHV_NaI_mf.env</v>
      </c>
    </row>
    <row r="1427" spans="1:17">
      <c r="A1427" t="s">
        <v>6869</v>
      </c>
      <c r="G1427" s="191"/>
      <c r="K1427" s="180"/>
      <c r="M1427" t="s">
        <v>2246</v>
      </c>
      <c r="N1427" t="s">
        <v>5571</v>
      </c>
      <c r="O1427" t="s">
        <v>4928</v>
      </c>
      <c r="Q1427" t="str">
        <f t="shared" si="86"/>
        <v>condorProc.py --series 07180824_1115 --donoise --dumps a --procenv environments/pymidas_HVHV_NaI_mf.env</v>
      </c>
    </row>
    <row r="1428" spans="1:17">
      <c r="A1428" t="s">
        <v>6870</v>
      </c>
      <c r="G1428" s="191"/>
      <c r="K1428" s="180"/>
      <c r="M1428" t="s">
        <v>2246</v>
      </c>
      <c r="N1428" t="s">
        <v>5571</v>
      </c>
      <c r="O1428" t="s">
        <v>4928</v>
      </c>
      <c r="Q1428" t="str">
        <f t="shared" si="86"/>
        <v>condorProc.py --series 07180824_1125 --donoise --dumps a --procenv environments/pymidas_HVHV_NaI_mf.env</v>
      </c>
    </row>
    <row r="1429" spans="1:17">
      <c r="A1429" t="s">
        <v>6871</v>
      </c>
      <c r="G1429" s="191"/>
      <c r="K1429" s="180"/>
      <c r="M1429" t="s">
        <v>2246</v>
      </c>
      <c r="N1429" t="s">
        <v>5571</v>
      </c>
      <c r="O1429" t="s">
        <v>4928</v>
      </c>
      <c r="Q1429" t="str">
        <f t="shared" si="86"/>
        <v>condorProc.py --series 07180824_1136 --donoise --dumps a --procenv environments/pymidas_HVHV_NaI_mf.env</v>
      </c>
    </row>
    <row r="1430" spans="1:17">
      <c r="A1430" s="65" t="s">
        <v>6872</v>
      </c>
      <c r="F1430" s="65"/>
      <c r="G1430" s="193"/>
      <c r="H1430" s="65"/>
      <c r="I1430" s="65" t="s">
        <v>75</v>
      </c>
      <c r="J1430" s="65"/>
      <c r="K1430" s="182"/>
      <c r="L1430" t="str">
        <f>"BatViewer --nohardcode "&amp;A1430&amp;"/"&amp;A1430&amp;"_F0010.mid.gz"</f>
        <v>BatViewer --nohardcode 07180824_1146/07180824_1146_F0010.mid.gz</v>
      </c>
      <c r="M1430" t="s">
        <v>2246</v>
      </c>
      <c r="N1430" t="s">
        <v>5571</v>
      </c>
      <c r="O1430" t="s">
        <v>4928</v>
      </c>
      <c r="Q1430" t="str">
        <f t="shared" si="86"/>
        <v>condorProc.py --series 07180824_1146 --donoise --dumps a --procenv environments/pymidas_HVHV_NaI_mf.env</v>
      </c>
    </row>
    <row r="1431" spans="1:17">
      <c r="A1431" t="s">
        <v>6873</v>
      </c>
      <c r="F1431">
        <v>60</v>
      </c>
      <c r="G1431" s="191" t="s">
        <v>2248</v>
      </c>
      <c r="H1431">
        <v>0</v>
      </c>
      <c r="J1431" t="s">
        <v>6874</v>
      </c>
      <c r="K1431" t="s">
        <v>6875</v>
      </c>
      <c r="L1431">
        <f>84+L1345</f>
        <v>649</v>
      </c>
      <c r="M1431" t="s">
        <v>2246</v>
      </c>
      <c r="N1431" t="s">
        <v>5571</v>
      </c>
      <c r="Q1431" t="str">
        <f t="shared" si="86"/>
        <v>condorProc.py --series 07180824_1248 --donoise --dumps a --procenv environments/pymidas_HVHV_NaI_mf.env</v>
      </c>
    </row>
    <row r="1432" spans="1:17">
      <c r="A1432" t="s">
        <v>6876</v>
      </c>
      <c r="F1432">
        <v>60</v>
      </c>
      <c r="G1432" s="191" t="s">
        <v>2248</v>
      </c>
      <c r="H1432">
        <v>0</v>
      </c>
      <c r="J1432" t="s">
        <v>6874</v>
      </c>
      <c r="K1432" t="s">
        <v>6875</v>
      </c>
      <c r="L1432">
        <f>L1431/6</f>
        <v>108.16666666666667</v>
      </c>
      <c r="M1432" t="s">
        <v>2246</v>
      </c>
      <c r="N1432" t="s">
        <v>5571</v>
      </c>
      <c r="Q1432" t="str">
        <f t="shared" si="86"/>
        <v>condorProc.py --series 07180824_1402 --donoise --dumps a --procenv environments/pymidas_HVHV_NaI_mf.env</v>
      </c>
    </row>
    <row r="1433" spans="1:17">
      <c r="A1433" t="s">
        <v>6877</v>
      </c>
      <c r="F1433">
        <v>30</v>
      </c>
      <c r="G1433" s="191" t="s">
        <v>2248</v>
      </c>
      <c r="H1433">
        <v>0</v>
      </c>
      <c r="J1433" t="s">
        <v>6874</v>
      </c>
      <c r="K1433" t="s">
        <v>6875</v>
      </c>
      <c r="M1433" t="s">
        <v>2246</v>
      </c>
      <c r="N1433" t="s">
        <v>5571</v>
      </c>
      <c r="Q1433" t="str">
        <f t="shared" si="86"/>
        <v>condorProc.py --series 07180824_1450 --donoise --dumps a --procenv environments/pymidas_HVHV_NaI_mf.env</v>
      </c>
    </row>
    <row r="1434" spans="1:17">
      <c r="A1434" t="s">
        <v>6878</v>
      </c>
      <c r="G1434" s="191"/>
      <c r="I1434" t="s">
        <v>1853</v>
      </c>
    </row>
    <row r="1435" spans="1:17">
      <c r="A1435" t="s">
        <v>6879</v>
      </c>
      <c r="G1435" s="191"/>
      <c r="I1435" t="s">
        <v>1853</v>
      </c>
    </row>
    <row r="1436" spans="1:17">
      <c r="A1436" t="s">
        <v>6880</v>
      </c>
      <c r="G1436" s="191"/>
      <c r="I1436" t="s">
        <v>1853</v>
      </c>
    </row>
    <row r="1437" spans="1:17">
      <c r="A1437" s="176" t="s">
        <v>6881</v>
      </c>
      <c r="B1437" s="177"/>
      <c r="C1437" s="177"/>
      <c r="D1437" s="177"/>
      <c r="E1437" s="177"/>
      <c r="F1437" s="177">
        <v>10</v>
      </c>
      <c r="G1437" s="192" t="s">
        <v>2248</v>
      </c>
      <c r="H1437" s="177">
        <v>40</v>
      </c>
      <c r="I1437" s="177" t="s">
        <v>5434</v>
      </c>
      <c r="J1437" s="177" t="s">
        <v>5577</v>
      </c>
      <c r="K1437" s="178" t="s">
        <v>5583</v>
      </c>
    </row>
    <row r="1438" spans="1:17">
      <c r="A1438" s="179" t="s">
        <v>6882</v>
      </c>
      <c r="G1438" s="191"/>
      <c r="J1438" t="s">
        <v>5585</v>
      </c>
      <c r="K1438" s="180" t="s">
        <v>5671</v>
      </c>
      <c r="M1438" t="s">
        <v>2246</v>
      </c>
      <c r="N1438" t="s">
        <v>5571</v>
      </c>
      <c r="O1438" t="s">
        <v>4928</v>
      </c>
      <c r="Q1438" t="str">
        <f t="shared" ref="Q1438:Q1501" si="87">"condorProc.py --series "&amp;A1438&amp;" --donoise --dumps a --procenv environments/pymidas_HVHV_NaI_mf.env"</f>
        <v>condorProc.py --series 07180825_1258 --donoise --dumps a --procenv environments/pymidas_HVHV_NaI_mf.env</v>
      </c>
    </row>
    <row r="1439" spans="1:17">
      <c r="A1439" s="179" t="s">
        <v>6883</v>
      </c>
      <c r="G1439" s="191"/>
      <c r="K1439" s="187" t="s">
        <v>6206</v>
      </c>
      <c r="M1439" t="s">
        <v>2246</v>
      </c>
      <c r="N1439" t="s">
        <v>5571</v>
      </c>
      <c r="O1439" t="s">
        <v>4928</v>
      </c>
      <c r="Q1439" t="str">
        <f t="shared" si="87"/>
        <v>condorProc.py --series 07180825_1308 --donoise --dumps a --procenv environments/pymidas_HVHV_NaI_mf.env</v>
      </c>
    </row>
    <row r="1440" spans="1:17">
      <c r="A1440" s="179" t="s">
        <v>6884</v>
      </c>
      <c r="G1440" s="191"/>
      <c r="K1440" s="180"/>
      <c r="M1440" t="s">
        <v>2246</v>
      </c>
      <c r="N1440" t="s">
        <v>5571</v>
      </c>
      <c r="O1440" t="s">
        <v>4928</v>
      </c>
      <c r="Q1440" t="str">
        <f t="shared" si="87"/>
        <v>condorProc.py --series 07180825_1318 --donoise --dumps a --procenv environments/pymidas_HVHV_NaI_mf.env</v>
      </c>
    </row>
    <row r="1441" spans="1:17">
      <c r="A1441" s="179" t="s">
        <v>6885</v>
      </c>
      <c r="G1441" s="191"/>
      <c r="K1441" s="180"/>
      <c r="M1441" t="s">
        <v>2246</v>
      </c>
      <c r="N1441" t="s">
        <v>5571</v>
      </c>
      <c r="O1441" t="s">
        <v>4928</v>
      </c>
      <c r="Q1441" t="str">
        <f t="shared" si="87"/>
        <v>condorProc.py --series 07180825_1328 --donoise --dumps a --procenv environments/pymidas_HVHV_NaI_mf.env</v>
      </c>
    </row>
    <row r="1442" spans="1:17">
      <c r="A1442" s="179" t="s">
        <v>6886</v>
      </c>
      <c r="G1442" s="191"/>
      <c r="K1442" s="180"/>
      <c r="M1442" t="s">
        <v>2246</v>
      </c>
      <c r="N1442" t="s">
        <v>5571</v>
      </c>
      <c r="O1442" t="s">
        <v>4928</v>
      </c>
      <c r="Q1442" t="str">
        <f t="shared" si="87"/>
        <v>condorProc.py --series 07180825_1338 --donoise --dumps a --procenv environments/pymidas_HVHV_NaI_mf.env</v>
      </c>
    </row>
    <row r="1443" spans="1:17">
      <c r="A1443" s="179" t="s">
        <v>6887</v>
      </c>
      <c r="G1443" s="191"/>
      <c r="K1443" s="180"/>
      <c r="M1443" t="s">
        <v>2246</v>
      </c>
      <c r="N1443" t="s">
        <v>5571</v>
      </c>
      <c r="O1443" t="s">
        <v>4928</v>
      </c>
      <c r="Q1443" t="str">
        <f t="shared" si="87"/>
        <v>condorProc.py --series 07180825_1348 --donoise --dumps a --procenv environments/pymidas_HVHV_NaI_mf.env</v>
      </c>
    </row>
    <row r="1444" spans="1:17">
      <c r="A1444" s="179" t="s">
        <v>6888</v>
      </c>
      <c r="G1444" s="191"/>
      <c r="K1444" s="180"/>
      <c r="M1444" t="s">
        <v>2246</v>
      </c>
      <c r="N1444" t="s">
        <v>5571</v>
      </c>
      <c r="O1444" t="s">
        <v>4928</v>
      </c>
      <c r="Q1444" t="str">
        <f t="shared" si="87"/>
        <v>condorProc.py --series 07180825_1358 --donoise --dumps a --procenv environments/pymidas_HVHV_NaI_mf.env</v>
      </c>
    </row>
    <row r="1445" spans="1:17">
      <c r="A1445" s="179" t="s">
        <v>6889</v>
      </c>
      <c r="G1445" s="191"/>
      <c r="K1445" s="180"/>
      <c r="M1445" t="s">
        <v>2246</v>
      </c>
      <c r="N1445" t="s">
        <v>5571</v>
      </c>
      <c r="O1445" t="s">
        <v>4928</v>
      </c>
      <c r="Q1445" t="str">
        <f t="shared" si="87"/>
        <v>condorProc.py --series 07180825_1408 --donoise --dumps a --procenv environments/pymidas_HVHV_NaI_mf.env</v>
      </c>
    </row>
    <row r="1446" spans="1:17">
      <c r="A1446" s="179" t="s">
        <v>6890</v>
      </c>
      <c r="G1446" s="191"/>
      <c r="K1446" s="180"/>
      <c r="M1446" t="s">
        <v>2246</v>
      </c>
      <c r="N1446" t="s">
        <v>5571</v>
      </c>
      <c r="O1446" t="s">
        <v>4928</v>
      </c>
      <c r="Q1446" t="str">
        <f t="shared" si="87"/>
        <v>condorProc.py --series 07180825_1418 --donoise --dumps a --procenv environments/pymidas_HVHV_NaI_mf.env</v>
      </c>
    </row>
    <row r="1447" spans="1:17">
      <c r="A1447" s="179" t="s">
        <v>6891</v>
      </c>
      <c r="G1447" s="191"/>
      <c r="K1447" s="180"/>
      <c r="M1447" t="s">
        <v>2246</v>
      </c>
      <c r="N1447" t="s">
        <v>5571</v>
      </c>
      <c r="O1447" t="s">
        <v>4928</v>
      </c>
      <c r="Q1447" t="str">
        <f t="shared" si="87"/>
        <v>condorProc.py --series 07180825_1428 --donoise --dumps a --procenv environments/pymidas_HVHV_NaI_mf.env</v>
      </c>
    </row>
    <row r="1448" spans="1:17">
      <c r="A1448" s="181" t="s">
        <v>6892</v>
      </c>
      <c r="B1448" s="65"/>
      <c r="C1448" s="65"/>
      <c r="D1448" s="65"/>
      <c r="E1448" s="65"/>
      <c r="F1448" s="65"/>
      <c r="G1448" s="193"/>
      <c r="H1448" s="65"/>
      <c r="I1448" s="65" t="s">
        <v>75</v>
      </c>
      <c r="J1448" s="65"/>
      <c r="K1448" s="182"/>
      <c r="L1448" t="str">
        <f>"BatViewer --nohardcode "&amp;A1448&amp;"/"&amp;A1448&amp;"_F0010.mid.gz"</f>
        <v>BatViewer --nohardcode 07180825_1438/07180825_1438_F0010.mid.gz</v>
      </c>
      <c r="M1448" t="s">
        <v>2246</v>
      </c>
      <c r="N1448" t="s">
        <v>5571</v>
      </c>
      <c r="O1448" t="s">
        <v>4928</v>
      </c>
      <c r="Q1448" t="str">
        <f t="shared" si="87"/>
        <v>condorProc.py --series 07180825_1438 --donoise --dumps a --procenv environments/pymidas_HVHV_NaI_mf.env</v>
      </c>
    </row>
    <row r="1449" spans="1:17">
      <c r="A1449" t="s">
        <v>6893</v>
      </c>
      <c r="F1449">
        <v>30</v>
      </c>
      <c r="G1449" s="191"/>
      <c r="H1449">
        <v>0</v>
      </c>
      <c r="J1449" t="s">
        <v>6874</v>
      </c>
      <c r="K1449" t="s">
        <v>6875</v>
      </c>
      <c r="M1449" t="s">
        <v>2246</v>
      </c>
      <c r="N1449" t="s">
        <v>5571</v>
      </c>
      <c r="Q1449" t="str">
        <f t="shared" si="87"/>
        <v>condorProc.py --series 07180825_1617 --donoise --dumps a --procenv environments/pymidas_HVHV_NaI_mf.env</v>
      </c>
    </row>
    <row r="1450" spans="1:17">
      <c r="A1450" s="176" t="s">
        <v>6894</v>
      </c>
      <c r="B1450" s="177"/>
      <c r="C1450" s="177"/>
      <c r="D1450" s="177"/>
      <c r="E1450" s="177"/>
      <c r="F1450" s="177">
        <v>10</v>
      </c>
      <c r="G1450" s="192" t="s">
        <v>2248</v>
      </c>
      <c r="H1450" s="177">
        <v>40</v>
      </c>
      <c r="I1450" s="177"/>
      <c r="J1450" s="177" t="s">
        <v>5577</v>
      </c>
      <c r="K1450" s="178" t="s">
        <v>5583</v>
      </c>
      <c r="M1450" t="s">
        <v>2246</v>
      </c>
      <c r="N1450" t="s">
        <v>5571</v>
      </c>
      <c r="O1450" t="s">
        <v>4928</v>
      </c>
      <c r="Q1450" t="str">
        <f t="shared" si="87"/>
        <v>condorProc.py --series 07180825_1718 --donoise --dumps a --procenv environments/pymidas_HVHV_NaI_mf.env</v>
      </c>
    </row>
    <row r="1451" spans="1:17">
      <c r="A1451" s="179" t="s">
        <v>6895</v>
      </c>
      <c r="G1451" s="191"/>
      <c r="J1451" t="s">
        <v>5585</v>
      </c>
      <c r="K1451" s="180" t="s">
        <v>5671</v>
      </c>
      <c r="M1451" t="s">
        <v>2246</v>
      </c>
      <c r="N1451" t="s">
        <v>5571</v>
      </c>
      <c r="O1451" t="s">
        <v>4928</v>
      </c>
      <c r="Q1451" t="str">
        <f t="shared" si="87"/>
        <v>condorProc.py --series 07180825_1728 --donoise --dumps a --procenv environments/pymidas_HVHV_NaI_mf.env</v>
      </c>
    </row>
    <row r="1452" spans="1:17">
      <c r="A1452" s="179" t="s">
        <v>6896</v>
      </c>
      <c r="G1452" s="191"/>
      <c r="K1452" s="187" t="s">
        <v>6206</v>
      </c>
      <c r="M1452" t="s">
        <v>2246</v>
      </c>
      <c r="N1452" t="s">
        <v>5571</v>
      </c>
      <c r="O1452" t="s">
        <v>4928</v>
      </c>
      <c r="Q1452" t="str">
        <f t="shared" si="87"/>
        <v>condorProc.py --series 07180825_1738 --donoise --dumps a --procenv environments/pymidas_HVHV_NaI_mf.env</v>
      </c>
    </row>
    <row r="1453" spans="1:17">
      <c r="A1453" s="179" t="s">
        <v>6897</v>
      </c>
      <c r="G1453" s="191"/>
      <c r="K1453" s="180"/>
      <c r="M1453" t="s">
        <v>2246</v>
      </c>
      <c r="N1453" t="s">
        <v>5571</v>
      </c>
      <c r="O1453" t="s">
        <v>4928</v>
      </c>
      <c r="Q1453" t="str">
        <f t="shared" si="87"/>
        <v>condorProc.py --series 07180825_1748 --donoise --dumps a --procenv environments/pymidas_HVHV_NaI_mf.env</v>
      </c>
    </row>
    <row r="1454" spans="1:17">
      <c r="A1454" s="179" t="s">
        <v>6898</v>
      </c>
      <c r="G1454" s="191"/>
      <c r="K1454" s="180"/>
      <c r="M1454" t="s">
        <v>2246</v>
      </c>
      <c r="N1454" t="s">
        <v>5571</v>
      </c>
      <c r="O1454" t="s">
        <v>4928</v>
      </c>
      <c r="Q1454" t="str">
        <f t="shared" si="87"/>
        <v>condorProc.py --series 07180825_1758 --donoise --dumps a --procenv environments/pymidas_HVHV_NaI_mf.env</v>
      </c>
    </row>
    <row r="1455" spans="1:17">
      <c r="A1455" s="179" t="s">
        <v>6899</v>
      </c>
      <c r="G1455" s="191"/>
      <c r="K1455" s="180"/>
      <c r="M1455" t="s">
        <v>2246</v>
      </c>
      <c r="N1455" t="s">
        <v>5571</v>
      </c>
      <c r="O1455" t="s">
        <v>4928</v>
      </c>
      <c r="Q1455" t="str">
        <f t="shared" si="87"/>
        <v>condorProc.py --series 07180825_1808 --donoise --dumps a --procenv environments/pymidas_HVHV_NaI_mf.env</v>
      </c>
    </row>
    <row r="1456" spans="1:17">
      <c r="A1456" s="179" t="s">
        <v>6900</v>
      </c>
      <c r="G1456" s="191"/>
      <c r="K1456" s="180"/>
      <c r="M1456" t="s">
        <v>2246</v>
      </c>
      <c r="N1456" t="s">
        <v>5571</v>
      </c>
      <c r="O1456" t="s">
        <v>4928</v>
      </c>
      <c r="Q1456" t="str">
        <f t="shared" si="87"/>
        <v>condorProc.py --series 07180825_1818 --donoise --dumps a --procenv environments/pymidas_HVHV_NaI_mf.env</v>
      </c>
    </row>
    <row r="1457" spans="1:17">
      <c r="A1457" s="179" t="s">
        <v>6901</v>
      </c>
      <c r="G1457" s="191"/>
      <c r="K1457" s="180"/>
      <c r="M1457" t="s">
        <v>2246</v>
      </c>
      <c r="N1457" t="s">
        <v>5571</v>
      </c>
      <c r="O1457" t="s">
        <v>4928</v>
      </c>
      <c r="Q1457" t="str">
        <f t="shared" si="87"/>
        <v>condorProc.py --series 07180825_1828 --donoise --dumps a --procenv environments/pymidas_HVHV_NaI_mf.env</v>
      </c>
    </row>
    <row r="1458" spans="1:17">
      <c r="A1458" s="179" t="s">
        <v>6902</v>
      </c>
      <c r="G1458" s="191"/>
      <c r="K1458" s="180"/>
      <c r="M1458" t="s">
        <v>2246</v>
      </c>
      <c r="N1458" t="s">
        <v>5571</v>
      </c>
      <c r="O1458" t="s">
        <v>4928</v>
      </c>
      <c r="Q1458" t="str">
        <f t="shared" si="87"/>
        <v>condorProc.py --series 07180825_1838 --donoise --dumps a --procenv environments/pymidas_HVHV_NaI_mf.env</v>
      </c>
    </row>
    <row r="1459" spans="1:17">
      <c r="A1459" s="179" t="s">
        <v>6903</v>
      </c>
      <c r="G1459" s="191"/>
      <c r="K1459" s="180"/>
      <c r="M1459" t="s">
        <v>2246</v>
      </c>
      <c r="N1459" t="s">
        <v>5571</v>
      </c>
      <c r="O1459" t="s">
        <v>4928</v>
      </c>
      <c r="Q1459" t="str">
        <f t="shared" si="87"/>
        <v>condorProc.py --series 07180825_1848 --donoise --dumps a --procenv environments/pymidas_HVHV_NaI_mf.env</v>
      </c>
    </row>
    <row r="1460" spans="1:17">
      <c r="A1460" s="179" t="s">
        <v>6904</v>
      </c>
      <c r="G1460" s="191"/>
      <c r="K1460" s="180"/>
      <c r="M1460" t="s">
        <v>2246</v>
      </c>
      <c r="N1460" t="s">
        <v>5571</v>
      </c>
      <c r="O1460" t="s">
        <v>4928</v>
      </c>
      <c r="Q1460" t="str">
        <f t="shared" si="87"/>
        <v>condorProc.py --series 07180825_1858 --donoise --dumps a --procenv environments/pymidas_HVHV_NaI_mf.env</v>
      </c>
    </row>
    <row r="1461" spans="1:17">
      <c r="A1461" s="181" t="s">
        <v>6905</v>
      </c>
      <c r="B1461" s="65"/>
      <c r="C1461" s="65"/>
      <c r="D1461" s="65"/>
      <c r="E1461" s="65"/>
      <c r="F1461" s="65"/>
      <c r="G1461" s="193"/>
      <c r="H1461" s="65"/>
      <c r="I1461" s="65"/>
      <c r="J1461" s="65"/>
      <c r="K1461" s="182"/>
      <c r="M1461" t="s">
        <v>2246</v>
      </c>
      <c r="N1461" t="s">
        <v>5571</v>
      </c>
      <c r="O1461" t="s">
        <v>4928</v>
      </c>
      <c r="Q1461" t="str">
        <f t="shared" si="87"/>
        <v>condorProc.py --series 07180825_1908 --donoise --dumps a --procenv environments/pymidas_HVHV_NaI_mf.env</v>
      </c>
    </row>
    <row r="1462" spans="1:17">
      <c r="A1462" t="s">
        <v>6906</v>
      </c>
      <c r="F1462">
        <v>10</v>
      </c>
      <c r="G1462" s="191" t="s">
        <v>2248</v>
      </c>
      <c r="H1462">
        <v>40</v>
      </c>
      <c r="J1462" t="s">
        <v>5577</v>
      </c>
      <c r="K1462" s="180" t="s">
        <v>5583</v>
      </c>
      <c r="M1462" t="s">
        <v>2246</v>
      </c>
      <c r="N1462" t="s">
        <v>5571</v>
      </c>
      <c r="O1462" t="s">
        <v>4928</v>
      </c>
      <c r="Q1462" t="str">
        <f t="shared" si="87"/>
        <v>condorProc.py --series 07180825_1957 --donoise --dumps a --procenv environments/pymidas_HVHV_NaI_mf.env</v>
      </c>
    </row>
    <row r="1463" spans="1:17">
      <c r="A1463" t="s">
        <v>6907</v>
      </c>
      <c r="G1463" s="191"/>
      <c r="J1463" t="s">
        <v>5585</v>
      </c>
      <c r="K1463" s="180" t="s">
        <v>5671</v>
      </c>
      <c r="M1463" t="s">
        <v>2246</v>
      </c>
      <c r="N1463" t="s">
        <v>5571</v>
      </c>
      <c r="O1463" t="s">
        <v>4928</v>
      </c>
      <c r="Q1463" t="str">
        <f t="shared" si="87"/>
        <v>condorProc.py --series 07180825_2007 --donoise --dumps a --procenv environments/pymidas_HVHV_NaI_mf.env</v>
      </c>
    </row>
    <row r="1464" spans="1:17">
      <c r="A1464" t="s">
        <v>6908</v>
      </c>
      <c r="G1464" s="191"/>
      <c r="K1464" s="187" t="s">
        <v>6206</v>
      </c>
      <c r="M1464" t="s">
        <v>2246</v>
      </c>
      <c r="N1464" t="s">
        <v>5571</v>
      </c>
      <c r="O1464" t="s">
        <v>4928</v>
      </c>
      <c r="Q1464" t="str">
        <f t="shared" si="87"/>
        <v>condorProc.py --series 07180825_2018 --donoise --dumps a --procenv environments/pymidas_HVHV_NaI_mf.env</v>
      </c>
    </row>
    <row r="1465" spans="1:17">
      <c r="A1465" t="s">
        <v>6909</v>
      </c>
      <c r="G1465" s="191"/>
      <c r="K1465" s="180"/>
      <c r="M1465" t="s">
        <v>2246</v>
      </c>
      <c r="N1465" t="s">
        <v>5571</v>
      </c>
      <c r="O1465" t="s">
        <v>4928</v>
      </c>
      <c r="Q1465" t="str">
        <f t="shared" si="87"/>
        <v>condorProc.py --series 07180825_2028 --donoise --dumps a --procenv environments/pymidas_HVHV_NaI_mf.env</v>
      </c>
    </row>
    <row r="1466" spans="1:17">
      <c r="A1466" t="s">
        <v>6910</v>
      </c>
      <c r="G1466" s="191"/>
      <c r="K1466" s="180"/>
      <c r="M1466" t="s">
        <v>2246</v>
      </c>
      <c r="N1466" t="s">
        <v>5571</v>
      </c>
      <c r="O1466" t="s">
        <v>4928</v>
      </c>
      <c r="Q1466" t="str">
        <f t="shared" si="87"/>
        <v>condorProc.py --series 07180825_2038 --donoise --dumps a --procenv environments/pymidas_HVHV_NaI_mf.env</v>
      </c>
    </row>
    <row r="1467" spans="1:17">
      <c r="A1467" t="s">
        <v>6911</v>
      </c>
      <c r="G1467" s="191"/>
      <c r="K1467" s="180"/>
      <c r="M1467" t="s">
        <v>2246</v>
      </c>
      <c r="N1467" t="s">
        <v>5571</v>
      </c>
      <c r="O1467" t="s">
        <v>4928</v>
      </c>
      <c r="Q1467" t="str">
        <f t="shared" si="87"/>
        <v>condorProc.py --series 07180825_2048 --donoise --dumps a --procenv environments/pymidas_HVHV_NaI_mf.env</v>
      </c>
    </row>
    <row r="1468" spans="1:17">
      <c r="A1468" t="s">
        <v>6912</v>
      </c>
      <c r="G1468" s="191"/>
      <c r="K1468" s="180"/>
      <c r="M1468" t="s">
        <v>2246</v>
      </c>
      <c r="N1468" t="s">
        <v>5571</v>
      </c>
      <c r="O1468" t="s">
        <v>4928</v>
      </c>
      <c r="Q1468" t="str">
        <f t="shared" si="87"/>
        <v>condorProc.py --series 07180825_2058 --donoise --dumps a --procenv environments/pymidas_HVHV_NaI_mf.env</v>
      </c>
    </row>
    <row r="1469" spans="1:17">
      <c r="A1469" t="s">
        <v>6913</v>
      </c>
      <c r="G1469" s="191"/>
      <c r="K1469" s="180"/>
      <c r="M1469" t="s">
        <v>2246</v>
      </c>
      <c r="N1469" t="s">
        <v>5571</v>
      </c>
      <c r="O1469" t="s">
        <v>4928</v>
      </c>
      <c r="Q1469" t="str">
        <f t="shared" si="87"/>
        <v>condorProc.py --series 07180825_2108 --donoise --dumps a --procenv environments/pymidas_HVHV_NaI_mf.env</v>
      </c>
    </row>
    <row r="1470" spans="1:17">
      <c r="A1470" t="s">
        <v>6914</v>
      </c>
      <c r="G1470" s="191"/>
      <c r="K1470" s="180"/>
      <c r="M1470" t="s">
        <v>2246</v>
      </c>
      <c r="N1470" t="s">
        <v>5571</v>
      </c>
      <c r="O1470" t="s">
        <v>4928</v>
      </c>
      <c r="Q1470" t="str">
        <f t="shared" si="87"/>
        <v>condorProc.py --series 07180825_2118 --donoise --dumps a --procenv environments/pymidas_HVHV_NaI_mf.env</v>
      </c>
    </row>
    <row r="1471" spans="1:17">
      <c r="A1471" t="s">
        <v>6915</v>
      </c>
      <c r="G1471" s="191"/>
      <c r="K1471" s="180"/>
      <c r="M1471" t="s">
        <v>2246</v>
      </c>
      <c r="N1471" t="s">
        <v>5571</v>
      </c>
      <c r="O1471" t="s">
        <v>4928</v>
      </c>
      <c r="Q1471" t="str">
        <f t="shared" si="87"/>
        <v>condorProc.py --series 07180825_2128 --donoise --dumps a --procenv environments/pymidas_HVHV_NaI_mf.env</v>
      </c>
    </row>
    <row r="1472" spans="1:17">
      <c r="A1472" t="s">
        <v>6916</v>
      </c>
      <c r="G1472" s="191"/>
      <c r="K1472" s="180"/>
      <c r="M1472" t="s">
        <v>2246</v>
      </c>
      <c r="N1472" t="s">
        <v>5571</v>
      </c>
      <c r="O1472" t="s">
        <v>4928</v>
      </c>
      <c r="Q1472" t="str">
        <f t="shared" si="87"/>
        <v>condorProc.py --series 07180825_2138 --donoise --dumps a --procenv environments/pymidas_HVHV_NaI_mf.env</v>
      </c>
    </row>
    <row r="1473" spans="1:17">
      <c r="A1473" t="s">
        <v>6917</v>
      </c>
      <c r="G1473" s="191"/>
      <c r="K1473" s="180"/>
      <c r="M1473" t="s">
        <v>2246</v>
      </c>
      <c r="N1473" t="s">
        <v>5571</v>
      </c>
      <c r="O1473" t="s">
        <v>4928</v>
      </c>
      <c r="Q1473" t="str">
        <f t="shared" si="87"/>
        <v>condorProc.py --series 07180825_2148 --donoise --dumps a --procenv environments/pymidas_HVHV_NaI_mf.env</v>
      </c>
    </row>
    <row r="1474" spans="1:17">
      <c r="A1474" s="176" t="s">
        <v>6918</v>
      </c>
      <c r="B1474" s="177"/>
      <c r="C1474" s="177"/>
      <c r="D1474" s="177"/>
      <c r="E1474" s="177"/>
      <c r="F1474" s="177">
        <v>10</v>
      </c>
      <c r="G1474" s="192" t="s">
        <v>2248</v>
      </c>
      <c r="H1474" s="177">
        <v>40</v>
      </c>
      <c r="I1474" s="177"/>
      <c r="J1474" s="177" t="s">
        <v>5577</v>
      </c>
      <c r="K1474" s="178" t="s">
        <v>5583</v>
      </c>
      <c r="M1474" t="s">
        <v>2246</v>
      </c>
      <c r="N1474" t="s">
        <v>5571</v>
      </c>
      <c r="O1474" t="s">
        <v>4928</v>
      </c>
      <c r="Q1474" t="str">
        <f t="shared" si="87"/>
        <v>condorProc.py --series 07180825_2237 --donoise --dumps a --procenv environments/pymidas_HVHV_NaI_mf.env</v>
      </c>
    </row>
    <row r="1475" spans="1:17">
      <c r="A1475" s="179" t="s">
        <v>6919</v>
      </c>
      <c r="G1475" s="191"/>
      <c r="J1475" t="s">
        <v>5585</v>
      </c>
      <c r="K1475" s="180" t="s">
        <v>5671</v>
      </c>
      <c r="M1475" t="s">
        <v>2246</v>
      </c>
      <c r="N1475" t="s">
        <v>5571</v>
      </c>
      <c r="O1475" t="s">
        <v>4928</v>
      </c>
      <c r="Q1475" t="str">
        <f t="shared" si="87"/>
        <v>condorProc.py --series 07180825_2247 --donoise --dumps a --procenv environments/pymidas_HVHV_NaI_mf.env</v>
      </c>
    </row>
    <row r="1476" spans="1:17">
      <c r="A1476" s="179" t="s">
        <v>6920</v>
      </c>
      <c r="G1476" s="191"/>
      <c r="K1476" s="187" t="s">
        <v>6206</v>
      </c>
      <c r="M1476" t="s">
        <v>2246</v>
      </c>
      <c r="N1476" t="s">
        <v>5571</v>
      </c>
      <c r="O1476" t="s">
        <v>4928</v>
      </c>
      <c r="Q1476" t="str">
        <f t="shared" si="87"/>
        <v>condorProc.py --series 07180825_2257 --donoise --dumps a --procenv environments/pymidas_HVHV_NaI_mf.env</v>
      </c>
    </row>
    <row r="1477" spans="1:17">
      <c r="A1477" s="179" t="s">
        <v>6921</v>
      </c>
      <c r="G1477" s="191"/>
      <c r="K1477" s="180"/>
      <c r="M1477" t="s">
        <v>2246</v>
      </c>
      <c r="N1477" t="s">
        <v>5571</v>
      </c>
      <c r="O1477" t="s">
        <v>4928</v>
      </c>
      <c r="Q1477" t="str">
        <f t="shared" si="87"/>
        <v>condorProc.py --series 07180825_2307 --donoise --dumps a --procenv environments/pymidas_HVHV_NaI_mf.env</v>
      </c>
    </row>
    <row r="1478" spans="1:17">
      <c r="A1478" s="179" t="s">
        <v>6922</v>
      </c>
      <c r="G1478" s="191"/>
      <c r="K1478" s="180"/>
      <c r="M1478" t="s">
        <v>2246</v>
      </c>
      <c r="N1478" t="s">
        <v>5571</v>
      </c>
      <c r="O1478" t="s">
        <v>4928</v>
      </c>
      <c r="Q1478" t="str">
        <f t="shared" si="87"/>
        <v>condorProc.py --series 07180825_2317 --donoise --dumps a --procenv environments/pymidas_HVHV_NaI_mf.env</v>
      </c>
    </row>
    <row r="1479" spans="1:17">
      <c r="A1479" s="179" t="s">
        <v>6923</v>
      </c>
      <c r="G1479" s="191"/>
      <c r="K1479" s="180"/>
      <c r="M1479" t="s">
        <v>2246</v>
      </c>
      <c r="N1479" t="s">
        <v>5571</v>
      </c>
      <c r="O1479" t="s">
        <v>4928</v>
      </c>
      <c r="Q1479" t="str">
        <f t="shared" si="87"/>
        <v>condorProc.py --series 07180825_2327 --donoise --dumps a --procenv environments/pymidas_HVHV_NaI_mf.env</v>
      </c>
    </row>
    <row r="1480" spans="1:17">
      <c r="A1480" s="179" t="s">
        <v>6924</v>
      </c>
      <c r="G1480" s="191"/>
      <c r="K1480" s="180"/>
      <c r="M1480" t="s">
        <v>2246</v>
      </c>
      <c r="N1480" t="s">
        <v>5571</v>
      </c>
      <c r="O1480" t="s">
        <v>4928</v>
      </c>
      <c r="Q1480" t="str">
        <f t="shared" si="87"/>
        <v>condorProc.py --series 07180825_2338 --donoise --dumps a --procenv environments/pymidas_HVHV_NaI_mf.env</v>
      </c>
    </row>
    <row r="1481" spans="1:17">
      <c r="A1481" s="179" t="s">
        <v>6925</v>
      </c>
      <c r="G1481" s="191"/>
      <c r="K1481" s="180"/>
      <c r="M1481" t="s">
        <v>2246</v>
      </c>
      <c r="N1481" t="s">
        <v>5571</v>
      </c>
      <c r="O1481" t="s">
        <v>4928</v>
      </c>
      <c r="Q1481" t="str">
        <f t="shared" si="87"/>
        <v>condorProc.py --series 07180825_2348 --donoise --dumps a --procenv environments/pymidas_HVHV_NaI_mf.env</v>
      </c>
    </row>
    <row r="1482" spans="1:17">
      <c r="A1482" s="179" t="s">
        <v>6926</v>
      </c>
      <c r="G1482" s="191"/>
      <c r="K1482" s="180"/>
      <c r="M1482" t="s">
        <v>2246</v>
      </c>
      <c r="N1482" t="s">
        <v>5571</v>
      </c>
      <c r="O1482" t="s">
        <v>4928</v>
      </c>
      <c r="Q1482" t="str">
        <f t="shared" si="87"/>
        <v>condorProc.py --series 07180825_2358 --donoise --dumps a --procenv environments/pymidas_HVHV_NaI_mf.env</v>
      </c>
    </row>
    <row r="1483" spans="1:17">
      <c r="A1483" s="179" t="s">
        <v>6927</v>
      </c>
      <c r="G1483" s="191"/>
      <c r="K1483" s="180"/>
      <c r="M1483" t="s">
        <v>2246</v>
      </c>
      <c r="N1483" t="s">
        <v>5571</v>
      </c>
      <c r="O1483" t="s">
        <v>4928</v>
      </c>
      <c r="Q1483" t="str">
        <f t="shared" si="87"/>
        <v>condorProc.py --series 07180826_0008 --donoise --dumps a --procenv environments/pymidas_HVHV_NaI_mf.env</v>
      </c>
    </row>
    <row r="1484" spans="1:17">
      <c r="A1484" s="179" t="s">
        <v>6928</v>
      </c>
      <c r="G1484" s="191"/>
      <c r="K1484" s="180"/>
      <c r="M1484" t="s">
        <v>2246</v>
      </c>
      <c r="N1484" t="s">
        <v>5571</v>
      </c>
      <c r="O1484" t="s">
        <v>4928</v>
      </c>
      <c r="Q1484" t="str">
        <f t="shared" si="87"/>
        <v>condorProc.py --series 07180826_0018 --donoise --dumps a --procenv environments/pymidas_HVHV_NaI_mf.env</v>
      </c>
    </row>
    <row r="1485" spans="1:17">
      <c r="A1485" s="181" t="s">
        <v>6929</v>
      </c>
      <c r="B1485" s="65"/>
      <c r="C1485" s="65"/>
      <c r="D1485" s="65"/>
      <c r="E1485" s="65"/>
      <c r="F1485" s="65"/>
      <c r="G1485" s="193"/>
      <c r="H1485" s="65"/>
      <c r="I1485" s="65"/>
      <c r="J1485" s="65"/>
      <c r="K1485" s="182"/>
      <c r="M1485" t="s">
        <v>2246</v>
      </c>
      <c r="N1485" t="s">
        <v>5571</v>
      </c>
      <c r="O1485" t="s">
        <v>4928</v>
      </c>
      <c r="Q1485" t="str">
        <f t="shared" si="87"/>
        <v>condorProc.py --series 07180826_0028 --donoise --dumps a --procenv environments/pymidas_HVHV_NaI_mf.env</v>
      </c>
    </row>
    <row r="1486" spans="1:17">
      <c r="A1486" t="s">
        <v>6930</v>
      </c>
      <c r="F1486">
        <v>10</v>
      </c>
      <c r="G1486" s="191" t="s">
        <v>2248</v>
      </c>
      <c r="H1486">
        <v>40</v>
      </c>
      <c r="J1486" t="s">
        <v>5577</v>
      </c>
      <c r="K1486" s="180" t="s">
        <v>5583</v>
      </c>
      <c r="M1486" t="s">
        <v>2246</v>
      </c>
      <c r="N1486" t="s">
        <v>5571</v>
      </c>
      <c r="O1486" t="s">
        <v>4928</v>
      </c>
      <c r="Q1486" t="str">
        <f t="shared" si="87"/>
        <v>condorProc.py --series 07180826_0117 --donoise --dumps a --procenv environments/pymidas_HVHV_NaI_mf.env</v>
      </c>
    </row>
    <row r="1487" spans="1:17">
      <c r="A1487" t="s">
        <v>6931</v>
      </c>
      <c r="G1487" s="191"/>
      <c r="J1487" t="s">
        <v>5585</v>
      </c>
      <c r="K1487" s="180" t="s">
        <v>5671</v>
      </c>
      <c r="M1487" t="s">
        <v>2246</v>
      </c>
      <c r="N1487" t="s">
        <v>5571</v>
      </c>
      <c r="O1487" t="s">
        <v>4928</v>
      </c>
      <c r="Q1487" t="str">
        <f t="shared" si="87"/>
        <v>condorProc.py --series 07180826_0127 --donoise --dumps a --procenv environments/pymidas_HVHV_NaI_mf.env</v>
      </c>
    </row>
    <row r="1488" spans="1:17">
      <c r="A1488" t="s">
        <v>6932</v>
      </c>
      <c r="G1488" s="191"/>
      <c r="K1488" s="187" t="s">
        <v>6206</v>
      </c>
      <c r="M1488" t="s">
        <v>2246</v>
      </c>
      <c r="N1488" t="s">
        <v>5571</v>
      </c>
      <c r="O1488" t="s">
        <v>4928</v>
      </c>
      <c r="Q1488" t="str">
        <f t="shared" si="87"/>
        <v>condorProc.py --series 07180826_0137 --donoise --dumps a --procenv environments/pymidas_HVHV_NaI_mf.env</v>
      </c>
    </row>
    <row r="1489" spans="1:17">
      <c r="A1489" t="s">
        <v>6933</v>
      </c>
      <c r="G1489" s="191"/>
      <c r="K1489" s="180"/>
      <c r="M1489" t="s">
        <v>2246</v>
      </c>
      <c r="N1489" t="s">
        <v>5571</v>
      </c>
      <c r="O1489" t="s">
        <v>4928</v>
      </c>
      <c r="Q1489" t="str">
        <f t="shared" si="87"/>
        <v>condorProc.py --series 07180826_0147 --donoise --dumps a --procenv environments/pymidas_HVHV_NaI_mf.env</v>
      </c>
    </row>
    <row r="1490" spans="1:17">
      <c r="A1490" t="s">
        <v>6934</v>
      </c>
      <c r="G1490" s="191"/>
      <c r="K1490" s="180"/>
      <c r="M1490" t="s">
        <v>2246</v>
      </c>
      <c r="N1490" t="s">
        <v>5571</v>
      </c>
      <c r="O1490" t="s">
        <v>4928</v>
      </c>
      <c r="Q1490" t="str">
        <f t="shared" si="87"/>
        <v>condorProc.py --series 07180826_0157 --donoise --dumps a --procenv environments/pymidas_HVHV_NaI_mf.env</v>
      </c>
    </row>
    <row r="1491" spans="1:17">
      <c r="A1491" t="s">
        <v>6935</v>
      </c>
      <c r="G1491" s="191"/>
      <c r="K1491" s="180"/>
      <c r="M1491" t="s">
        <v>2246</v>
      </c>
      <c r="N1491" t="s">
        <v>5571</v>
      </c>
      <c r="O1491" t="s">
        <v>4928</v>
      </c>
      <c r="Q1491" t="str">
        <f t="shared" si="87"/>
        <v>condorProc.py --series 07180826_0207 --donoise --dumps a --procenv environments/pymidas_HVHV_NaI_mf.env</v>
      </c>
    </row>
    <row r="1492" spans="1:17">
      <c r="A1492" t="s">
        <v>6936</v>
      </c>
      <c r="G1492" s="191"/>
      <c r="K1492" s="180"/>
      <c r="M1492" t="s">
        <v>2246</v>
      </c>
      <c r="N1492" t="s">
        <v>5571</v>
      </c>
      <c r="O1492" t="s">
        <v>4928</v>
      </c>
      <c r="Q1492" t="str">
        <f t="shared" si="87"/>
        <v>condorProc.py --series 07180826_0217 --donoise --dumps a --procenv environments/pymidas_HVHV_NaI_mf.env</v>
      </c>
    </row>
    <row r="1493" spans="1:17">
      <c r="A1493" t="s">
        <v>6937</v>
      </c>
      <c r="G1493" s="191"/>
      <c r="K1493" s="180"/>
      <c r="M1493" t="s">
        <v>2246</v>
      </c>
      <c r="N1493" t="s">
        <v>5571</v>
      </c>
      <c r="O1493" t="s">
        <v>4928</v>
      </c>
      <c r="Q1493" t="str">
        <f t="shared" si="87"/>
        <v>condorProc.py --series 07180826_0227 --donoise --dumps a --procenv environments/pymidas_HVHV_NaI_mf.env</v>
      </c>
    </row>
    <row r="1494" spans="1:17">
      <c r="A1494" t="s">
        <v>6938</v>
      </c>
      <c r="G1494" s="191"/>
      <c r="K1494" s="180"/>
      <c r="M1494" t="s">
        <v>2246</v>
      </c>
      <c r="N1494" t="s">
        <v>5571</v>
      </c>
      <c r="O1494" t="s">
        <v>4928</v>
      </c>
      <c r="Q1494" t="str">
        <f t="shared" si="87"/>
        <v>condorProc.py --series 07180826_0237 --donoise --dumps a --procenv environments/pymidas_HVHV_NaI_mf.env</v>
      </c>
    </row>
    <row r="1495" spans="1:17">
      <c r="A1495" t="s">
        <v>6939</v>
      </c>
      <c r="G1495" s="191"/>
      <c r="K1495" s="180"/>
      <c r="M1495" t="s">
        <v>2246</v>
      </c>
      <c r="N1495" t="s">
        <v>5571</v>
      </c>
      <c r="O1495" t="s">
        <v>4928</v>
      </c>
      <c r="Q1495" t="str">
        <f t="shared" si="87"/>
        <v>condorProc.py --series 07180826_0248 --donoise --dumps a --procenv environments/pymidas_HVHV_NaI_mf.env</v>
      </c>
    </row>
    <row r="1496" spans="1:17">
      <c r="A1496" t="s">
        <v>6940</v>
      </c>
      <c r="G1496" s="191"/>
      <c r="K1496" s="180"/>
      <c r="M1496" t="s">
        <v>2246</v>
      </c>
      <c r="N1496" t="s">
        <v>5571</v>
      </c>
      <c r="O1496" t="s">
        <v>4928</v>
      </c>
      <c r="Q1496" t="str">
        <f t="shared" si="87"/>
        <v>condorProc.py --series 07180826_0258 --donoise --dumps a --procenv environments/pymidas_HVHV_NaI_mf.env</v>
      </c>
    </row>
    <row r="1497" spans="1:17">
      <c r="A1497" t="s">
        <v>6941</v>
      </c>
      <c r="G1497" s="191"/>
      <c r="K1497" s="180"/>
      <c r="M1497" t="s">
        <v>2246</v>
      </c>
      <c r="N1497" t="s">
        <v>5571</v>
      </c>
      <c r="O1497" t="s">
        <v>4928</v>
      </c>
      <c r="Q1497" t="str">
        <f t="shared" si="87"/>
        <v>condorProc.py --series 07180826_0308 --donoise --dumps a --procenv environments/pymidas_HVHV_NaI_mf.env</v>
      </c>
    </row>
    <row r="1498" spans="1:17">
      <c r="A1498" s="176" t="s">
        <v>6942</v>
      </c>
      <c r="B1498" s="177"/>
      <c r="C1498" s="177"/>
      <c r="D1498" s="177"/>
      <c r="E1498" s="177"/>
      <c r="F1498" s="177">
        <v>10</v>
      </c>
      <c r="G1498" s="192" t="s">
        <v>2248</v>
      </c>
      <c r="H1498" s="177">
        <v>40</v>
      </c>
      <c r="I1498" s="177"/>
      <c r="J1498" s="177" t="s">
        <v>5577</v>
      </c>
      <c r="K1498" s="178" t="s">
        <v>5583</v>
      </c>
      <c r="M1498" t="s">
        <v>2246</v>
      </c>
      <c r="N1498" t="s">
        <v>5571</v>
      </c>
      <c r="O1498" t="s">
        <v>4928</v>
      </c>
      <c r="Q1498" t="str">
        <f t="shared" si="87"/>
        <v>condorProc.py --series 07180826_0357 --donoise --dumps a --procenv environments/pymidas_HVHV_NaI_mf.env</v>
      </c>
    </row>
    <row r="1499" spans="1:17">
      <c r="A1499" s="179" t="s">
        <v>6943</v>
      </c>
      <c r="G1499" s="191"/>
      <c r="J1499" t="s">
        <v>5585</v>
      </c>
      <c r="K1499" s="180" t="s">
        <v>5671</v>
      </c>
      <c r="M1499" t="s">
        <v>2246</v>
      </c>
      <c r="N1499" t="s">
        <v>5571</v>
      </c>
      <c r="O1499" t="s">
        <v>4928</v>
      </c>
      <c r="Q1499" t="str">
        <f t="shared" si="87"/>
        <v>condorProc.py --series 07180826_0407 --donoise --dumps a --procenv environments/pymidas_HVHV_NaI_mf.env</v>
      </c>
    </row>
    <row r="1500" spans="1:17">
      <c r="A1500" s="179" t="s">
        <v>6944</v>
      </c>
      <c r="G1500" s="191"/>
      <c r="K1500" s="187" t="s">
        <v>6206</v>
      </c>
      <c r="M1500" t="s">
        <v>2246</v>
      </c>
      <c r="N1500" t="s">
        <v>5571</v>
      </c>
      <c r="O1500" t="s">
        <v>4928</v>
      </c>
      <c r="Q1500" t="str">
        <f t="shared" si="87"/>
        <v>condorProc.py --series 07180826_0417 --donoise --dumps a --procenv environments/pymidas_HVHV_NaI_mf.env</v>
      </c>
    </row>
    <row r="1501" spans="1:17">
      <c r="A1501" s="179" t="s">
        <v>6945</v>
      </c>
      <c r="G1501" s="191"/>
      <c r="K1501" s="180"/>
      <c r="M1501" t="s">
        <v>2246</v>
      </c>
      <c r="N1501" t="s">
        <v>5571</v>
      </c>
      <c r="O1501" t="s">
        <v>4928</v>
      </c>
      <c r="Q1501" t="str">
        <f t="shared" si="87"/>
        <v>condorProc.py --series 07180826_0427 --donoise --dumps a --procenv environments/pymidas_HVHV_NaI_mf.env</v>
      </c>
    </row>
    <row r="1502" spans="1:17">
      <c r="A1502" s="179" t="s">
        <v>6946</v>
      </c>
      <c r="G1502" s="191"/>
      <c r="K1502" s="180"/>
      <c r="M1502" t="s">
        <v>2246</v>
      </c>
      <c r="N1502" t="s">
        <v>5571</v>
      </c>
      <c r="O1502" t="s">
        <v>4928</v>
      </c>
      <c r="Q1502" t="str">
        <f t="shared" ref="Q1502:Q1565" si="88">"condorProc.py --series "&amp;A1502&amp;" --donoise --dumps a --procenv environments/pymidas_HVHV_NaI_mf.env"</f>
        <v>condorProc.py --series 07180826_0437 --donoise --dumps a --procenv environments/pymidas_HVHV_NaI_mf.env</v>
      </c>
    </row>
    <row r="1503" spans="1:17">
      <c r="A1503" s="179" t="s">
        <v>6947</v>
      </c>
      <c r="G1503" s="191"/>
      <c r="K1503" s="180"/>
      <c r="M1503" t="s">
        <v>2246</v>
      </c>
      <c r="N1503" t="s">
        <v>5571</v>
      </c>
      <c r="O1503" t="s">
        <v>4928</v>
      </c>
      <c r="Q1503" t="str">
        <f t="shared" si="88"/>
        <v>condorProc.py --series 07180826_0447 --donoise --dumps a --procenv environments/pymidas_HVHV_NaI_mf.env</v>
      </c>
    </row>
    <row r="1504" spans="1:17">
      <c r="A1504" s="179" t="s">
        <v>6948</v>
      </c>
      <c r="G1504" s="191"/>
      <c r="K1504" s="180"/>
      <c r="M1504" t="s">
        <v>2246</v>
      </c>
      <c r="N1504" t="s">
        <v>5571</v>
      </c>
      <c r="O1504" t="s">
        <v>4928</v>
      </c>
      <c r="Q1504" t="str">
        <f t="shared" si="88"/>
        <v>condorProc.py --series 07180826_0457 --donoise --dumps a --procenv environments/pymidas_HVHV_NaI_mf.env</v>
      </c>
    </row>
    <row r="1505" spans="1:17">
      <c r="A1505" s="179" t="s">
        <v>6949</v>
      </c>
      <c r="G1505" s="191"/>
      <c r="K1505" s="180"/>
      <c r="M1505" t="s">
        <v>2246</v>
      </c>
      <c r="N1505" t="s">
        <v>5571</v>
      </c>
      <c r="O1505" t="s">
        <v>4928</v>
      </c>
      <c r="Q1505" t="str">
        <f t="shared" si="88"/>
        <v>condorProc.py --series 07180826_0507 --donoise --dumps a --procenv environments/pymidas_HVHV_NaI_mf.env</v>
      </c>
    </row>
    <row r="1506" spans="1:17">
      <c r="A1506" s="179" t="s">
        <v>6950</v>
      </c>
      <c r="G1506" s="191"/>
      <c r="K1506" s="180"/>
      <c r="M1506" t="s">
        <v>2246</v>
      </c>
      <c r="N1506" t="s">
        <v>5571</v>
      </c>
      <c r="O1506" t="s">
        <v>4928</v>
      </c>
      <c r="Q1506" t="str">
        <f t="shared" si="88"/>
        <v>condorProc.py --series 07180826_0517 --donoise --dumps a --procenv environments/pymidas_HVHV_NaI_mf.env</v>
      </c>
    </row>
    <row r="1507" spans="1:17">
      <c r="A1507" s="179" t="s">
        <v>6951</v>
      </c>
      <c r="G1507" s="191"/>
      <c r="K1507" s="180"/>
      <c r="M1507" t="s">
        <v>2246</v>
      </c>
      <c r="N1507" t="s">
        <v>5571</v>
      </c>
      <c r="O1507" t="s">
        <v>4928</v>
      </c>
      <c r="Q1507" t="str">
        <f t="shared" si="88"/>
        <v>condorProc.py --series 07180826_0527 --donoise --dumps a --procenv environments/pymidas_HVHV_NaI_mf.env</v>
      </c>
    </row>
    <row r="1508" spans="1:17">
      <c r="A1508" s="179" t="s">
        <v>6952</v>
      </c>
      <c r="G1508" s="191"/>
      <c r="K1508" s="180"/>
      <c r="M1508" t="s">
        <v>2246</v>
      </c>
      <c r="N1508" t="s">
        <v>5571</v>
      </c>
      <c r="O1508" t="s">
        <v>4928</v>
      </c>
      <c r="Q1508" t="str">
        <f t="shared" si="88"/>
        <v>condorProc.py --series 07180826_0537 --donoise --dumps a --procenv environments/pymidas_HVHV_NaI_mf.env</v>
      </c>
    </row>
    <row r="1509" spans="1:17">
      <c r="A1509" s="179" t="s">
        <v>6953</v>
      </c>
      <c r="G1509" s="191"/>
      <c r="K1509" s="180"/>
      <c r="M1509" t="s">
        <v>2246</v>
      </c>
      <c r="N1509" t="s">
        <v>5571</v>
      </c>
      <c r="O1509" t="s">
        <v>4928</v>
      </c>
      <c r="Q1509" t="str">
        <f t="shared" si="88"/>
        <v>condorProc.py --series 07180826_0548 --donoise --dumps a --procenv environments/pymidas_HVHV_NaI_mf.env</v>
      </c>
    </row>
    <row r="1510" spans="1:17">
      <c r="A1510" s="176" t="s">
        <v>6954</v>
      </c>
      <c r="B1510" s="177"/>
      <c r="C1510" s="177"/>
      <c r="D1510" s="177"/>
      <c r="E1510" s="177"/>
      <c r="F1510" s="177">
        <v>10</v>
      </c>
      <c r="G1510" s="192" t="s">
        <v>2248</v>
      </c>
      <c r="H1510" s="177">
        <v>40</v>
      </c>
      <c r="I1510" s="177"/>
      <c r="J1510" s="177" t="s">
        <v>5577</v>
      </c>
      <c r="K1510" s="178" t="s">
        <v>5583</v>
      </c>
      <c r="M1510" t="s">
        <v>2246</v>
      </c>
      <c r="N1510" t="s">
        <v>5571</v>
      </c>
      <c r="O1510" t="s">
        <v>4928</v>
      </c>
      <c r="Q1510" t="str">
        <f t="shared" si="88"/>
        <v>condorProc.py --series 07180826_0636 --donoise --dumps a --procenv environments/pymidas_HVHV_NaI_mf.env</v>
      </c>
    </row>
    <row r="1511" spans="1:17">
      <c r="A1511" s="179" t="s">
        <v>6955</v>
      </c>
      <c r="G1511" s="191"/>
      <c r="J1511" t="s">
        <v>5585</v>
      </c>
      <c r="K1511" s="180" t="s">
        <v>5671</v>
      </c>
      <c r="M1511" t="s">
        <v>2246</v>
      </c>
      <c r="N1511" t="s">
        <v>5571</v>
      </c>
      <c r="O1511" t="s">
        <v>4928</v>
      </c>
      <c r="Q1511" t="str">
        <f t="shared" si="88"/>
        <v>condorProc.py --series 07180826_0646 --donoise --dumps a --procenv environments/pymidas_HVHV_NaI_mf.env</v>
      </c>
    </row>
    <row r="1512" spans="1:17">
      <c r="A1512" s="179" t="s">
        <v>6956</v>
      </c>
      <c r="G1512" s="191"/>
      <c r="K1512" s="187" t="s">
        <v>6206</v>
      </c>
      <c r="M1512" t="s">
        <v>2246</v>
      </c>
      <c r="N1512" t="s">
        <v>5571</v>
      </c>
      <c r="O1512" t="s">
        <v>4928</v>
      </c>
      <c r="Q1512" t="str">
        <f t="shared" si="88"/>
        <v>condorProc.py --series 07180826_0657 --donoise --dumps a --procenv environments/pymidas_HVHV_NaI_mf.env</v>
      </c>
    </row>
    <row r="1513" spans="1:17">
      <c r="A1513" s="179" t="s">
        <v>6957</v>
      </c>
      <c r="G1513" s="191"/>
      <c r="K1513" s="180"/>
      <c r="M1513" t="s">
        <v>2246</v>
      </c>
      <c r="N1513" t="s">
        <v>5571</v>
      </c>
      <c r="O1513" t="s">
        <v>4928</v>
      </c>
      <c r="Q1513" t="str">
        <f t="shared" si="88"/>
        <v>condorProc.py --series 07180826_0707 --donoise --dumps a --procenv environments/pymidas_HVHV_NaI_mf.env</v>
      </c>
    </row>
    <row r="1514" spans="1:17">
      <c r="A1514" s="179" t="s">
        <v>6958</v>
      </c>
      <c r="G1514" s="191"/>
      <c r="K1514" s="180"/>
      <c r="M1514" t="s">
        <v>2246</v>
      </c>
      <c r="N1514" t="s">
        <v>5571</v>
      </c>
      <c r="O1514" t="s">
        <v>4928</v>
      </c>
      <c r="Q1514" t="str">
        <f t="shared" si="88"/>
        <v>condorProc.py --series 07180826_0717 --donoise --dumps a --procenv environments/pymidas_HVHV_NaI_mf.env</v>
      </c>
    </row>
    <row r="1515" spans="1:17">
      <c r="A1515" s="179" t="s">
        <v>6959</v>
      </c>
      <c r="G1515" s="191"/>
      <c r="K1515" s="180"/>
      <c r="M1515" t="s">
        <v>2246</v>
      </c>
      <c r="N1515" t="s">
        <v>5571</v>
      </c>
      <c r="O1515" t="s">
        <v>4928</v>
      </c>
      <c r="Q1515" t="str">
        <f t="shared" si="88"/>
        <v>condorProc.py --series 07180826_0727 --donoise --dumps a --procenv environments/pymidas_HVHV_NaI_mf.env</v>
      </c>
    </row>
    <row r="1516" spans="1:17">
      <c r="A1516" s="179" t="s">
        <v>6960</v>
      </c>
      <c r="G1516" s="191"/>
      <c r="K1516" s="180"/>
      <c r="M1516" t="s">
        <v>2246</v>
      </c>
      <c r="N1516" t="s">
        <v>5571</v>
      </c>
      <c r="O1516" t="s">
        <v>4928</v>
      </c>
      <c r="Q1516" t="str">
        <f t="shared" si="88"/>
        <v>condorProc.py --series 07180826_0737 --donoise --dumps a --procenv environments/pymidas_HVHV_NaI_mf.env</v>
      </c>
    </row>
    <row r="1517" spans="1:17">
      <c r="A1517" s="179" t="s">
        <v>6961</v>
      </c>
      <c r="G1517" s="191"/>
      <c r="K1517" s="180"/>
      <c r="M1517" t="s">
        <v>2246</v>
      </c>
      <c r="N1517" t="s">
        <v>5571</v>
      </c>
      <c r="O1517" t="s">
        <v>4928</v>
      </c>
      <c r="Q1517" t="str">
        <f t="shared" si="88"/>
        <v>condorProc.py --series 07180826_0747 --donoise --dumps a --procenv environments/pymidas_HVHV_NaI_mf.env</v>
      </c>
    </row>
    <row r="1518" spans="1:17">
      <c r="A1518" s="179" t="s">
        <v>6962</v>
      </c>
      <c r="G1518" s="191"/>
      <c r="K1518" s="180"/>
      <c r="M1518" t="s">
        <v>2246</v>
      </c>
      <c r="N1518" t="s">
        <v>5571</v>
      </c>
      <c r="O1518" t="s">
        <v>4928</v>
      </c>
      <c r="Q1518" t="str">
        <f t="shared" si="88"/>
        <v>condorProc.py --series 07180826_0757 --donoise --dumps a --procenv environments/pymidas_HVHV_NaI_mf.env</v>
      </c>
    </row>
    <row r="1519" spans="1:17">
      <c r="A1519" s="179" t="s">
        <v>6963</v>
      </c>
      <c r="G1519" s="191"/>
      <c r="K1519" s="180"/>
      <c r="M1519" t="s">
        <v>2246</v>
      </c>
      <c r="N1519" t="s">
        <v>5571</v>
      </c>
      <c r="O1519" t="s">
        <v>4928</v>
      </c>
      <c r="Q1519" t="str">
        <f t="shared" si="88"/>
        <v>condorProc.py --series 07180826_0807 --donoise --dumps a --procenv environments/pymidas_HVHV_NaI_mf.env</v>
      </c>
    </row>
    <row r="1520" spans="1:17">
      <c r="A1520" s="179" t="s">
        <v>6964</v>
      </c>
      <c r="G1520" s="191"/>
      <c r="K1520" s="180"/>
      <c r="M1520" t="s">
        <v>2246</v>
      </c>
      <c r="N1520" t="s">
        <v>5571</v>
      </c>
      <c r="O1520" t="s">
        <v>4928</v>
      </c>
      <c r="Q1520" t="str">
        <f t="shared" si="88"/>
        <v>condorProc.py --series 07180826_0817 --donoise --dumps a --procenv environments/pymidas_HVHV_NaI_mf.env</v>
      </c>
    </row>
    <row r="1521" spans="1:17">
      <c r="A1521" s="179" t="s">
        <v>6965</v>
      </c>
      <c r="G1521" s="191"/>
      <c r="K1521" s="180"/>
      <c r="M1521" t="s">
        <v>2246</v>
      </c>
      <c r="N1521" t="s">
        <v>5571</v>
      </c>
      <c r="O1521" t="s">
        <v>4928</v>
      </c>
      <c r="Q1521" t="str">
        <f t="shared" si="88"/>
        <v>condorProc.py --series 07180826_0827 --donoise --dumps a --procenv environments/pymidas_HVHV_NaI_mf.env</v>
      </c>
    </row>
    <row r="1522" spans="1:17">
      <c r="A1522" s="176" t="s">
        <v>6966</v>
      </c>
      <c r="B1522" s="177"/>
      <c r="C1522" s="177"/>
      <c r="D1522" s="177"/>
      <c r="E1522" s="177"/>
      <c r="F1522" s="177">
        <v>10</v>
      </c>
      <c r="G1522" s="192" t="s">
        <v>2248</v>
      </c>
      <c r="H1522" s="177">
        <v>40</v>
      </c>
      <c r="I1522" s="177"/>
      <c r="J1522" s="177" t="s">
        <v>5577</v>
      </c>
      <c r="K1522" s="178" t="s">
        <v>5583</v>
      </c>
      <c r="M1522" t="s">
        <v>2246</v>
      </c>
      <c r="N1522" t="s">
        <v>5571</v>
      </c>
      <c r="O1522" t="s">
        <v>4928</v>
      </c>
      <c r="Q1522" t="str">
        <f t="shared" si="88"/>
        <v>condorProc.py --series 07180826_0916 --donoise --dumps a --procenv environments/pymidas_HVHV_NaI_mf.env</v>
      </c>
    </row>
    <row r="1523" spans="1:17">
      <c r="A1523" s="179" t="s">
        <v>6967</v>
      </c>
      <c r="G1523" s="191"/>
      <c r="J1523" t="s">
        <v>5585</v>
      </c>
      <c r="K1523" s="180" t="s">
        <v>5671</v>
      </c>
      <c r="M1523" t="s">
        <v>2246</v>
      </c>
      <c r="N1523" s="16" t="s">
        <v>2037</v>
      </c>
      <c r="O1523" s="16"/>
      <c r="Q1523" t="str">
        <f t="shared" si="88"/>
        <v>condorProc.py --series 07180826_0926 --donoise --dumps a --procenv environments/pymidas_HVHV_NaI_mf.env</v>
      </c>
    </row>
    <row r="1524" spans="1:17">
      <c r="A1524" s="179" t="s">
        <v>6968</v>
      </c>
      <c r="G1524" s="191"/>
      <c r="K1524" s="187" t="s">
        <v>6206</v>
      </c>
      <c r="M1524" t="s">
        <v>2246</v>
      </c>
      <c r="N1524" t="s">
        <v>5571</v>
      </c>
      <c r="O1524" t="s">
        <v>4928</v>
      </c>
      <c r="Q1524" t="str">
        <f t="shared" si="88"/>
        <v>condorProc.py --series 07180826_0936 --donoise --dumps a --procenv environments/pymidas_HVHV_NaI_mf.env</v>
      </c>
    </row>
    <row r="1525" spans="1:17">
      <c r="A1525" s="179" t="s">
        <v>6969</v>
      </c>
      <c r="G1525" s="191"/>
      <c r="K1525" s="180"/>
      <c r="M1525" t="s">
        <v>2246</v>
      </c>
      <c r="N1525" t="s">
        <v>5571</v>
      </c>
      <c r="O1525" t="s">
        <v>4928</v>
      </c>
      <c r="Q1525" t="str">
        <f t="shared" si="88"/>
        <v>condorProc.py --series 07180826_0946 --donoise --dumps a --procenv environments/pymidas_HVHV_NaI_mf.env</v>
      </c>
    </row>
    <row r="1526" spans="1:17">
      <c r="A1526" s="179" t="s">
        <v>6970</v>
      </c>
      <c r="G1526" s="191"/>
      <c r="K1526" s="180"/>
      <c r="M1526" t="s">
        <v>2246</v>
      </c>
      <c r="N1526" t="s">
        <v>5571</v>
      </c>
      <c r="O1526" t="s">
        <v>4928</v>
      </c>
      <c r="Q1526" t="str">
        <f t="shared" si="88"/>
        <v>condorProc.py --series 07180826_0957 --donoise --dumps a --procenv environments/pymidas_HVHV_NaI_mf.env</v>
      </c>
    </row>
    <row r="1527" spans="1:17">
      <c r="A1527" s="179" t="s">
        <v>6971</v>
      </c>
      <c r="G1527" s="191"/>
      <c r="I1527" t="s">
        <v>75</v>
      </c>
      <c r="K1527" s="180"/>
      <c r="L1527" t="str">
        <f>"BatViewer --nohardcode "&amp;A1527&amp;"/"&amp;A1527&amp;"_F0010.mid.gz"</f>
        <v>BatViewer --nohardcode 07180826_1007/07180826_1007_F0010.mid.gz</v>
      </c>
      <c r="M1527" t="s">
        <v>2246</v>
      </c>
      <c r="N1527" t="s">
        <v>5571</v>
      </c>
      <c r="O1527" t="s">
        <v>4928</v>
      </c>
      <c r="Q1527" t="str">
        <f t="shared" si="88"/>
        <v>condorProc.py --series 07180826_1007 --donoise --dumps a --procenv environments/pymidas_HVHV_NaI_mf.env</v>
      </c>
    </row>
    <row r="1528" spans="1:17">
      <c r="A1528" s="179" t="s">
        <v>6972</v>
      </c>
      <c r="G1528" s="191"/>
      <c r="K1528" s="180"/>
      <c r="M1528" t="s">
        <v>2246</v>
      </c>
      <c r="N1528" t="s">
        <v>5571</v>
      </c>
      <c r="O1528" t="s">
        <v>4928</v>
      </c>
      <c r="Q1528" t="str">
        <f t="shared" si="88"/>
        <v>condorProc.py --series 07180826_1017 --donoise --dumps a --procenv environments/pymidas_HVHV_NaI_mf.env</v>
      </c>
    </row>
    <row r="1529" spans="1:17">
      <c r="A1529" s="179" t="s">
        <v>6973</v>
      </c>
      <c r="G1529" s="191"/>
      <c r="K1529" s="180"/>
      <c r="M1529" t="s">
        <v>2246</v>
      </c>
      <c r="N1529" t="s">
        <v>5571</v>
      </c>
      <c r="O1529" t="s">
        <v>4928</v>
      </c>
      <c r="Q1529" t="str">
        <f t="shared" si="88"/>
        <v>condorProc.py --series 07180826_1027 --donoise --dumps a --procenv environments/pymidas_HVHV_NaI_mf.env</v>
      </c>
    </row>
    <row r="1530" spans="1:17">
      <c r="A1530" s="179" t="s">
        <v>6974</v>
      </c>
      <c r="G1530" s="191"/>
      <c r="K1530" s="180"/>
      <c r="M1530" t="s">
        <v>2246</v>
      </c>
      <c r="N1530" t="s">
        <v>5571</v>
      </c>
      <c r="O1530" t="s">
        <v>4928</v>
      </c>
      <c r="Q1530" t="str">
        <f t="shared" si="88"/>
        <v>condorProc.py --series 07180826_1037 --donoise --dumps a --procenv environments/pymidas_HVHV_NaI_mf.env</v>
      </c>
    </row>
    <row r="1531" spans="1:17">
      <c r="A1531" s="179" t="s">
        <v>6975</v>
      </c>
      <c r="G1531" s="191"/>
      <c r="K1531" s="180"/>
      <c r="M1531" t="s">
        <v>2246</v>
      </c>
      <c r="N1531" t="s">
        <v>5571</v>
      </c>
      <c r="O1531" t="s">
        <v>4928</v>
      </c>
      <c r="Q1531" t="str">
        <f t="shared" si="88"/>
        <v>condorProc.py --series 07180826_1047 --donoise --dumps a --procenv environments/pymidas_HVHV_NaI_mf.env</v>
      </c>
    </row>
    <row r="1532" spans="1:17">
      <c r="A1532" s="179" t="s">
        <v>6976</v>
      </c>
      <c r="G1532" s="191"/>
      <c r="K1532" s="180"/>
      <c r="M1532" t="s">
        <v>2246</v>
      </c>
      <c r="N1532" t="s">
        <v>5571</v>
      </c>
      <c r="O1532" t="s">
        <v>4928</v>
      </c>
      <c r="Q1532" t="str">
        <f t="shared" si="88"/>
        <v>condorProc.py --series 07180826_1057 --donoise --dumps a --procenv environments/pymidas_HVHV_NaI_mf.env</v>
      </c>
    </row>
    <row r="1533" spans="1:17">
      <c r="A1533" s="179" t="s">
        <v>6977</v>
      </c>
      <c r="G1533" s="191"/>
      <c r="K1533" s="180"/>
      <c r="M1533" t="s">
        <v>2246</v>
      </c>
      <c r="N1533" t="s">
        <v>5571</v>
      </c>
      <c r="O1533" t="s">
        <v>4928</v>
      </c>
      <c r="Q1533" t="str">
        <f t="shared" si="88"/>
        <v>condorProc.py --series 07180826_1107 --donoise --dumps a --procenv environments/pymidas_HVHV_NaI_mf.env</v>
      </c>
    </row>
    <row r="1534" spans="1:17">
      <c r="A1534" s="176" t="s">
        <v>6978</v>
      </c>
      <c r="B1534" s="177"/>
      <c r="C1534" s="177"/>
      <c r="D1534" s="177"/>
      <c r="E1534" s="177"/>
      <c r="F1534" s="177">
        <v>10</v>
      </c>
      <c r="G1534" s="192" t="s">
        <v>2248</v>
      </c>
      <c r="H1534" s="177">
        <v>40</v>
      </c>
      <c r="I1534" s="177"/>
      <c r="J1534" s="177" t="s">
        <v>5577</v>
      </c>
      <c r="K1534" s="178" t="s">
        <v>5583</v>
      </c>
      <c r="M1534" t="s">
        <v>2246</v>
      </c>
      <c r="N1534" t="s">
        <v>5571</v>
      </c>
      <c r="O1534" t="s">
        <v>4928</v>
      </c>
      <c r="Q1534" t="str">
        <f t="shared" si="88"/>
        <v>condorProc.py --series 07180826_1519 --donoise --dumps a --procenv environments/pymidas_HVHV_NaI_mf.env</v>
      </c>
    </row>
    <row r="1535" spans="1:17">
      <c r="A1535" s="179" t="s">
        <v>6979</v>
      </c>
      <c r="G1535" s="191"/>
      <c r="J1535" t="s">
        <v>5585</v>
      </c>
      <c r="K1535" s="180" t="s">
        <v>5671</v>
      </c>
      <c r="M1535" t="s">
        <v>2246</v>
      </c>
      <c r="N1535" t="s">
        <v>5571</v>
      </c>
      <c r="O1535" t="s">
        <v>4928</v>
      </c>
      <c r="Q1535" t="str">
        <f t="shared" si="88"/>
        <v>condorProc.py --series 07180826_1530 --donoise --dumps a --procenv environments/pymidas_HVHV_NaI_mf.env</v>
      </c>
    </row>
    <row r="1536" spans="1:17">
      <c r="A1536" s="179" t="s">
        <v>6980</v>
      </c>
      <c r="G1536" s="191"/>
      <c r="K1536" s="187" t="s">
        <v>6206</v>
      </c>
      <c r="M1536" t="s">
        <v>2246</v>
      </c>
      <c r="N1536" t="s">
        <v>5571</v>
      </c>
      <c r="O1536" t="s">
        <v>4928</v>
      </c>
      <c r="Q1536" t="str">
        <f t="shared" si="88"/>
        <v>condorProc.py --series 07180826_1540 --donoise --dumps a --procenv environments/pymidas_HVHV_NaI_mf.env</v>
      </c>
    </row>
    <row r="1537" spans="1:17">
      <c r="A1537" s="179" t="s">
        <v>6981</v>
      </c>
      <c r="G1537" s="191"/>
      <c r="K1537" s="180"/>
      <c r="M1537" t="s">
        <v>2246</v>
      </c>
      <c r="N1537" t="s">
        <v>5571</v>
      </c>
      <c r="O1537" t="s">
        <v>4928</v>
      </c>
      <c r="Q1537" t="str">
        <f t="shared" si="88"/>
        <v>condorProc.py --series 07180826_1550 --donoise --dumps a --procenv environments/pymidas_HVHV_NaI_mf.env</v>
      </c>
    </row>
    <row r="1538" spans="1:17">
      <c r="A1538" s="179" t="s">
        <v>6982</v>
      </c>
      <c r="G1538" s="191"/>
      <c r="K1538" s="180"/>
      <c r="M1538" t="s">
        <v>2246</v>
      </c>
      <c r="N1538" t="s">
        <v>5571</v>
      </c>
      <c r="O1538" t="s">
        <v>4928</v>
      </c>
      <c r="Q1538" t="str">
        <f t="shared" si="88"/>
        <v>condorProc.py --series 07180826_1600 --donoise --dumps a --procenv environments/pymidas_HVHV_NaI_mf.env</v>
      </c>
    </row>
    <row r="1539" spans="1:17">
      <c r="A1539" s="179" t="s">
        <v>6983</v>
      </c>
      <c r="G1539" s="191"/>
      <c r="K1539" s="180"/>
      <c r="M1539" t="s">
        <v>2246</v>
      </c>
      <c r="N1539" t="s">
        <v>5571</v>
      </c>
      <c r="O1539" t="s">
        <v>4928</v>
      </c>
      <c r="Q1539" t="str">
        <f t="shared" si="88"/>
        <v>condorProc.py --series 07180826_1610 --donoise --dumps a --procenv environments/pymidas_HVHV_NaI_mf.env</v>
      </c>
    </row>
    <row r="1540" spans="1:17">
      <c r="A1540" s="179" t="s">
        <v>6984</v>
      </c>
      <c r="G1540" s="191"/>
      <c r="K1540" s="180"/>
      <c r="M1540" t="s">
        <v>2246</v>
      </c>
      <c r="N1540" t="s">
        <v>5571</v>
      </c>
      <c r="O1540" t="s">
        <v>4928</v>
      </c>
      <c r="Q1540" t="str">
        <f t="shared" si="88"/>
        <v>condorProc.py --series 07180826_1620 --donoise --dumps a --procenv environments/pymidas_HVHV_NaI_mf.env</v>
      </c>
    </row>
    <row r="1541" spans="1:17">
      <c r="A1541" s="179" t="s">
        <v>6985</v>
      </c>
      <c r="G1541" s="191"/>
      <c r="K1541" s="180"/>
      <c r="M1541" t="s">
        <v>2246</v>
      </c>
      <c r="N1541" t="s">
        <v>5571</v>
      </c>
      <c r="O1541" t="s">
        <v>4928</v>
      </c>
      <c r="Q1541" t="str">
        <f t="shared" si="88"/>
        <v>condorProc.py --series 07180826_1630 --donoise --dumps a --procenv environments/pymidas_HVHV_NaI_mf.env</v>
      </c>
    </row>
    <row r="1542" spans="1:17">
      <c r="A1542" s="179" t="s">
        <v>6986</v>
      </c>
      <c r="G1542" s="191"/>
      <c r="K1542" s="180"/>
      <c r="M1542" t="s">
        <v>2246</v>
      </c>
      <c r="N1542" t="s">
        <v>5571</v>
      </c>
      <c r="O1542" t="s">
        <v>4928</v>
      </c>
      <c r="Q1542" t="str">
        <f t="shared" si="88"/>
        <v>condorProc.py --series 07180826_1640 --donoise --dumps a --procenv environments/pymidas_HVHV_NaI_mf.env</v>
      </c>
    </row>
    <row r="1543" spans="1:17">
      <c r="A1543" s="179" t="s">
        <v>6987</v>
      </c>
      <c r="G1543" s="191"/>
      <c r="K1543" s="180"/>
      <c r="M1543" t="s">
        <v>2246</v>
      </c>
      <c r="N1543" t="s">
        <v>5571</v>
      </c>
      <c r="O1543" t="s">
        <v>4928</v>
      </c>
      <c r="Q1543" t="str">
        <f t="shared" si="88"/>
        <v>condorProc.py --series 07180826_1651 --donoise --dumps a --procenv environments/pymidas_HVHV_NaI_mf.env</v>
      </c>
    </row>
    <row r="1544" spans="1:17">
      <c r="A1544" s="179" t="s">
        <v>6988</v>
      </c>
      <c r="G1544" s="191"/>
      <c r="K1544" s="180"/>
      <c r="M1544" t="s">
        <v>2246</v>
      </c>
      <c r="N1544" t="s">
        <v>5571</v>
      </c>
      <c r="O1544" t="s">
        <v>4928</v>
      </c>
      <c r="Q1544" t="str">
        <f t="shared" si="88"/>
        <v>condorProc.py --series 07180826_1701 --donoise --dumps a --procenv environments/pymidas_HVHV_NaI_mf.env</v>
      </c>
    </row>
    <row r="1545" spans="1:17">
      <c r="A1545" s="179" t="s">
        <v>6989</v>
      </c>
      <c r="G1545" s="191"/>
      <c r="K1545" s="180"/>
      <c r="M1545" t="s">
        <v>2246</v>
      </c>
      <c r="N1545" t="s">
        <v>5571</v>
      </c>
      <c r="O1545" t="s">
        <v>4928</v>
      </c>
      <c r="Q1545" t="str">
        <f t="shared" si="88"/>
        <v>condorProc.py --series 07180826_1711 --donoise --dumps a --procenv environments/pymidas_HVHV_NaI_mf.env</v>
      </c>
    </row>
    <row r="1546" spans="1:17">
      <c r="A1546" s="176" t="s">
        <v>6990</v>
      </c>
      <c r="B1546" s="177"/>
      <c r="C1546" s="177"/>
      <c r="D1546" s="177"/>
      <c r="E1546" s="177"/>
      <c r="F1546" s="177">
        <v>10</v>
      </c>
      <c r="G1546" s="192" t="s">
        <v>2248</v>
      </c>
      <c r="H1546" s="177">
        <v>40</v>
      </c>
      <c r="I1546" s="177"/>
      <c r="J1546" s="177" t="s">
        <v>5577</v>
      </c>
      <c r="K1546" s="178" t="s">
        <v>5583</v>
      </c>
      <c r="M1546" t="s">
        <v>2246</v>
      </c>
      <c r="N1546" t="s">
        <v>5571</v>
      </c>
      <c r="O1546" t="s">
        <v>4928</v>
      </c>
      <c r="Q1546" t="str">
        <f t="shared" si="88"/>
        <v>condorProc.py --series 07180826_1800 --donoise --dumps a --procenv environments/pymidas_HVHV_NaI_mf.env</v>
      </c>
    </row>
    <row r="1547" spans="1:17">
      <c r="A1547" s="179" t="s">
        <v>6991</v>
      </c>
      <c r="G1547" s="191"/>
      <c r="J1547" t="s">
        <v>5585</v>
      </c>
      <c r="K1547" s="180" t="s">
        <v>5671</v>
      </c>
      <c r="M1547" t="s">
        <v>2246</v>
      </c>
      <c r="N1547" t="s">
        <v>5571</v>
      </c>
      <c r="O1547" t="s">
        <v>4928</v>
      </c>
      <c r="Q1547" t="str">
        <f t="shared" si="88"/>
        <v>condorProc.py --series 07180826_1810 --donoise --dumps a --procenv environments/pymidas_HVHV_NaI_mf.env</v>
      </c>
    </row>
    <row r="1548" spans="1:17">
      <c r="A1548" s="179" t="s">
        <v>6992</v>
      </c>
      <c r="G1548" s="191"/>
      <c r="K1548" s="187" t="s">
        <v>6206</v>
      </c>
      <c r="M1548" t="s">
        <v>2246</v>
      </c>
      <c r="N1548" t="s">
        <v>5571</v>
      </c>
      <c r="O1548" t="s">
        <v>4928</v>
      </c>
      <c r="Q1548" t="str">
        <f t="shared" si="88"/>
        <v>condorProc.py --series 07180826_1820 --donoise --dumps a --procenv environments/pymidas_HVHV_NaI_mf.env</v>
      </c>
    </row>
    <row r="1549" spans="1:17">
      <c r="A1549" s="179" t="s">
        <v>6993</v>
      </c>
      <c r="G1549" s="191"/>
      <c r="K1549" s="180"/>
      <c r="M1549" t="s">
        <v>2246</v>
      </c>
      <c r="N1549" t="s">
        <v>5571</v>
      </c>
      <c r="O1549" t="s">
        <v>4928</v>
      </c>
      <c r="Q1549" t="str">
        <f t="shared" si="88"/>
        <v>condorProc.py --series 07180826_1830 --donoise --dumps a --procenv environments/pymidas_HVHV_NaI_mf.env</v>
      </c>
    </row>
    <row r="1550" spans="1:17">
      <c r="A1550" s="179" t="s">
        <v>6994</v>
      </c>
      <c r="G1550" s="191"/>
      <c r="K1550" s="180"/>
      <c r="M1550" t="s">
        <v>2246</v>
      </c>
      <c r="N1550" t="s">
        <v>5571</v>
      </c>
      <c r="O1550" t="s">
        <v>4928</v>
      </c>
      <c r="Q1550" t="str">
        <f t="shared" si="88"/>
        <v>condorProc.py --series 07180826_1840 --donoise --dumps a --procenv environments/pymidas_HVHV_NaI_mf.env</v>
      </c>
    </row>
    <row r="1551" spans="1:17">
      <c r="A1551" s="179" t="s">
        <v>6995</v>
      </c>
      <c r="G1551" s="191"/>
      <c r="K1551" s="180"/>
      <c r="M1551" t="s">
        <v>2246</v>
      </c>
      <c r="N1551" t="s">
        <v>5571</v>
      </c>
      <c r="O1551" t="s">
        <v>4928</v>
      </c>
      <c r="Q1551" t="str">
        <f t="shared" si="88"/>
        <v>condorProc.py --series 07180826_1850 --donoise --dumps a --procenv environments/pymidas_HVHV_NaI_mf.env</v>
      </c>
    </row>
    <row r="1552" spans="1:17">
      <c r="A1552" s="179" t="s">
        <v>6996</v>
      </c>
      <c r="G1552" s="191"/>
      <c r="K1552" s="180"/>
      <c r="M1552" t="s">
        <v>2246</v>
      </c>
      <c r="N1552" t="s">
        <v>5571</v>
      </c>
      <c r="O1552" t="s">
        <v>4928</v>
      </c>
      <c r="Q1552" t="str">
        <f t="shared" si="88"/>
        <v>condorProc.py --series 07180826_1900 --donoise --dumps a --procenv environments/pymidas_HVHV_NaI_mf.env</v>
      </c>
    </row>
    <row r="1553" spans="1:17">
      <c r="A1553" s="179" t="s">
        <v>6997</v>
      </c>
      <c r="G1553" s="191"/>
      <c r="K1553" s="180"/>
      <c r="M1553" t="s">
        <v>2246</v>
      </c>
      <c r="N1553" t="s">
        <v>5571</v>
      </c>
      <c r="O1553" t="s">
        <v>4928</v>
      </c>
      <c r="Q1553" t="str">
        <f t="shared" si="88"/>
        <v>condorProc.py --series 07180826_1910 --donoise --dumps a --procenv environments/pymidas_HVHV_NaI_mf.env</v>
      </c>
    </row>
    <row r="1554" spans="1:17">
      <c r="A1554" s="179" t="s">
        <v>6998</v>
      </c>
      <c r="G1554" s="191"/>
      <c r="K1554" s="180"/>
      <c r="M1554" t="s">
        <v>2246</v>
      </c>
      <c r="N1554" t="s">
        <v>5571</v>
      </c>
      <c r="O1554" t="s">
        <v>4928</v>
      </c>
      <c r="Q1554" t="str">
        <f t="shared" si="88"/>
        <v>condorProc.py --series 07180826_1920 --donoise --dumps a --procenv environments/pymidas_HVHV_NaI_mf.env</v>
      </c>
    </row>
    <row r="1555" spans="1:17">
      <c r="A1555" s="179" t="s">
        <v>6999</v>
      </c>
      <c r="G1555" s="191"/>
      <c r="K1555" s="180"/>
      <c r="M1555" t="s">
        <v>2246</v>
      </c>
      <c r="N1555" t="s">
        <v>5571</v>
      </c>
      <c r="O1555" t="s">
        <v>4928</v>
      </c>
      <c r="Q1555" t="str">
        <f t="shared" si="88"/>
        <v>condorProc.py --series 07180826_1930 --donoise --dumps a --procenv environments/pymidas_HVHV_NaI_mf.env</v>
      </c>
    </row>
    <row r="1556" spans="1:17">
      <c r="A1556" s="179" t="s">
        <v>7000</v>
      </c>
      <c r="G1556" s="191"/>
      <c r="K1556" s="180"/>
      <c r="M1556" t="s">
        <v>2246</v>
      </c>
      <c r="N1556" t="s">
        <v>5571</v>
      </c>
      <c r="O1556" t="s">
        <v>4928</v>
      </c>
      <c r="Q1556" t="str">
        <f t="shared" si="88"/>
        <v>condorProc.py --series 07180826_1940 --donoise --dumps a --procenv environments/pymidas_HVHV_NaI_mf.env</v>
      </c>
    </row>
    <row r="1557" spans="1:17">
      <c r="A1557" s="179" t="s">
        <v>7001</v>
      </c>
      <c r="G1557" s="191"/>
      <c r="K1557" s="180"/>
      <c r="M1557" t="s">
        <v>2246</v>
      </c>
      <c r="N1557" t="s">
        <v>5571</v>
      </c>
      <c r="O1557" t="s">
        <v>4928</v>
      </c>
      <c r="Q1557" t="str">
        <f t="shared" si="88"/>
        <v>condorProc.py --series 07180826_1950 --donoise --dumps a --procenv environments/pymidas_HVHV_NaI_mf.env</v>
      </c>
    </row>
    <row r="1558" spans="1:17">
      <c r="A1558" s="176" t="s">
        <v>7002</v>
      </c>
      <c r="B1558" s="177"/>
      <c r="C1558" s="177"/>
      <c r="D1558" s="177"/>
      <c r="E1558" s="177"/>
      <c r="F1558" s="177">
        <v>10</v>
      </c>
      <c r="G1558" s="192" t="s">
        <v>2248</v>
      </c>
      <c r="H1558" s="177">
        <v>40</v>
      </c>
      <c r="I1558" s="177"/>
      <c r="J1558" s="177" t="s">
        <v>5577</v>
      </c>
      <c r="K1558" s="178" t="s">
        <v>5583</v>
      </c>
      <c r="M1558" t="s">
        <v>2246</v>
      </c>
      <c r="N1558" t="s">
        <v>5571</v>
      </c>
      <c r="O1558" t="s">
        <v>4928</v>
      </c>
      <c r="Q1558" t="str">
        <f t="shared" si="88"/>
        <v>condorProc.py --series 07180826_2039 --donoise --dumps a --procenv environments/pymidas_HVHV_NaI_mf.env</v>
      </c>
    </row>
    <row r="1559" spans="1:17">
      <c r="A1559" s="179" t="s">
        <v>7003</v>
      </c>
      <c r="G1559" s="191"/>
      <c r="J1559" t="s">
        <v>5585</v>
      </c>
      <c r="K1559" s="180" t="s">
        <v>5671</v>
      </c>
      <c r="M1559" t="s">
        <v>2246</v>
      </c>
      <c r="N1559" t="s">
        <v>5571</v>
      </c>
      <c r="O1559" t="s">
        <v>4928</v>
      </c>
      <c r="Q1559" t="str">
        <f t="shared" si="88"/>
        <v>condorProc.py --series 07180826_2049 --donoise --dumps a --procenv environments/pymidas_HVHV_NaI_mf.env</v>
      </c>
    </row>
    <row r="1560" spans="1:17">
      <c r="A1560" s="179" t="s">
        <v>7004</v>
      </c>
      <c r="G1560" s="191"/>
      <c r="K1560" s="187" t="s">
        <v>6206</v>
      </c>
      <c r="M1560" t="s">
        <v>2246</v>
      </c>
      <c r="N1560" t="s">
        <v>5571</v>
      </c>
      <c r="O1560" t="s">
        <v>4928</v>
      </c>
      <c r="Q1560" t="str">
        <f t="shared" si="88"/>
        <v>condorProc.py --series 07180826_2059 --donoise --dumps a --procenv environments/pymidas_HVHV_NaI_mf.env</v>
      </c>
    </row>
    <row r="1561" spans="1:17">
      <c r="A1561" s="179" t="s">
        <v>7005</v>
      </c>
      <c r="G1561" s="191"/>
      <c r="K1561" s="180"/>
      <c r="M1561" t="s">
        <v>2246</v>
      </c>
      <c r="N1561" t="s">
        <v>5571</v>
      </c>
      <c r="O1561" t="s">
        <v>4928</v>
      </c>
      <c r="Q1561" t="str">
        <f t="shared" si="88"/>
        <v>condorProc.py --series 07180826_2110 --donoise --dumps a --procenv environments/pymidas_HVHV_NaI_mf.env</v>
      </c>
    </row>
    <row r="1562" spans="1:17">
      <c r="A1562" s="179" t="s">
        <v>7006</v>
      </c>
      <c r="G1562" s="191"/>
      <c r="K1562" s="180"/>
      <c r="M1562" t="s">
        <v>2246</v>
      </c>
      <c r="N1562" t="s">
        <v>5571</v>
      </c>
      <c r="O1562" t="s">
        <v>4928</v>
      </c>
      <c r="Q1562" t="str">
        <f t="shared" si="88"/>
        <v>condorProc.py --series 07180826_2120 --donoise --dumps a --procenv environments/pymidas_HVHV_NaI_mf.env</v>
      </c>
    </row>
    <row r="1563" spans="1:17">
      <c r="A1563" s="179" t="s">
        <v>7007</v>
      </c>
      <c r="G1563" s="191"/>
      <c r="K1563" s="180"/>
      <c r="M1563" t="s">
        <v>2246</v>
      </c>
      <c r="N1563" t="s">
        <v>5571</v>
      </c>
      <c r="O1563" t="s">
        <v>4928</v>
      </c>
      <c r="Q1563" t="str">
        <f t="shared" si="88"/>
        <v>condorProc.py --series 07180826_2130 --donoise --dumps a --procenv environments/pymidas_HVHV_NaI_mf.env</v>
      </c>
    </row>
    <row r="1564" spans="1:17">
      <c r="A1564" s="179" t="s">
        <v>7008</v>
      </c>
      <c r="G1564" s="191"/>
      <c r="K1564" s="180"/>
      <c r="M1564" t="s">
        <v>2246</v>
      </c>
      <c r="N1564" t="s">
        <v>5571</v>
      </c>
      <c r="O1564" t="s">
        <v>4928</v>
      </c>
      <c r="Q1564" t="str">
        <f t="shared" si="88"/>
        <v>condorProc.py --series 07180826_2140 --donoise --dumps a --procenv environments/pymidas_HVHV_NaI_mf.env</v>
      </c>
    </row>
    <row r="1565" spans="1:17">
      <c r="A1565" s="179" t="s">
        <v>7009</v>
      </c>
      <c r="G1565" s="191"/>
      <c r="K1565" s="180"/>
      <c r="M1565" t="s">
        <v>2246</v>
      </c>
      <c r="N1565" t="s">
        <v>5571</v>
      </c>
      <c r="O1565" t="s">
        <v>4928</v>
      </c>
      <c r="Q1565" t="str">
        <f t="shared" si="88"/>
        <v>condorProc.py --series 07180826_2150 --donoise --dumps a --procenv environments/pymidas_HVHV_NaI_mf.env</v>
      </c>
    </row>
    <row r="1566" spans="1:17">
      <c r="A1566" s="179" t="s">
        <v>7010</v>
      </c>
      <c r="G1566" s="191"/>
      <c r="K1566" s="180"/>
      <c r="M1566" t="s">
        <v>2246</v>
      </c>
      <c r="N1566" t="s">
        <v>5571</v>
      </c>
      <c r="O1566" t="s">
        <v>4928</v>
      </c>
      <c r="Q1566" t="str">
        <f t="shared" ref="Q1566:Q1605" si="89">"condorProc.py --series "&amp;A1566&amp;" --donoise --dumps a --procenv environments/pymidas_HVHV_NaI_mf.env"</f>
        <v>condorProc.py --series 07180826_2200 --donoise --dumps a --procenv environments/pymidas_HVHV_NaI_mf.env</v>
      </c>
    </row>
    <row r="1567" spans="1:17">
      <c r="A1567" s="179" t="s">
        <v>7011</v>
      </c>
      <c r="G1567" s="191"/>
      <c r="K1567" s="180"/>
      <c r="M1567" t="s">
        <v>2246</v>
      </c>
      <c r="N1567" t="s">
        <v>5571</v>
      </c>
      <c r="O1567" t="s">
        <v>4928</v>
      </c>
      <c r="Q1567" t="str">
        <f t="shared" si="89"/>
        <v>condorProc.py --series 07180826_2210 --donoise --dumps a --procenv environments/pymidas_HVHV_NaI_mf.env</v>
      </c>
    </row>
    <row r="1568" spans="1:17">
      <c r="A1568" s="179" t="s">
        <v>7012</v>
      </c>
      <c r="G1568" s="191"/>
      <c r="K1568" s="180"/>
      <c r="M1568" t="s">
        <v>2246</v>
      </c>
      <c r="N1568" t="s">
        <v>5571</v>
      </c>
      <c r="O1568" t="s">
        <v>4928</v>
      </c>
      <c r="Q1568" t="str">
        <f t="shared" si="89"/>
        <v>condorProc.py --series 07180826_2220 --donoise --dumps a --procenv environments/pymidas_HVHV_NaI_mf.env</v>
      </c>
    </row>
    <row r="1569" spans="1:17">
      <c r="A1569" s="179" t="s">
        <v>7013</v>
      </c>
      <c r="G1569" s="191"/>
      <c r="K1569" s="180"/>
      <c r="M1569" t="s">
        <v>2246</v>
      </c>
      <c r="N1569" t="s">
        <v>5571</v>
      </c>
      <c r="O1569" t="s">
        <v>4928</v>
      </c>
      <c r="Q1569" t="str">
        <f t="shared" si="89"/>
        <v>condorProc.py --series 07180826_2230 --donoise --dumps a --procenv environments/pymidas_HVHV_NaI_mf.env</v>
      </c>
    </row>
    <row r="1570" spans="1:17">
      <c r="A1570" s="176" t="s">
        <v>7014</v>
      </c>
      <c r="B1570" s="177"/>
      <c r="C1570" s="177"/>
      <c r="D1570" s="177"/>
      <c r="E1570" s="177"/>
      <c r="F1570" s="177">
        <v>10</v>
      </c>
      <c r="G1570" s="192" t="s">
        <v>2248</v>
      </c>
      <c r="H1570" s="177">
        <v>40</v>
      </c>
      <c r="I1570" s="177"/>
      <c r="J1570" s="177" t="s">
        <v>5577</v>
      </c>
      <c r="K1570" s="178" t="s">
        <v>5583</v>
      </c>
      <c r="M1570" t="s">
        <v>2246</v>
      </c>
      <c r="N1570" t="s">
        <v>5571</v>
      </c>
      <c r="O1570" t="s">
        <v>4928</v>
      </c>
      <c r="Q1570" t="str">
        <f t="shared" si="89"/>
        <v>condorProc.py --series 07180826_2319 --donoise --dumps a --procenv environments/pymidas_HVHV_NaI_mf.env</v>
      </c>
    </row>
    <row r="1571" spans="1:17">
      <c r="A1571" s="179" t="s">
        <v>7015</v>
      </c>
      <c r="G1571" s="191"/>
      <c r="J1571" t="s">
        <v>5585</v>
      </c>
      <c r="K1571" s="180" t="s">
        <v>5671</v>
      </c>
      <c r="M1571" t="s">
        <v>2246</v>
      </c>
      <c r="N1571" t="s">
        <v>5571</v>
      </c>
      <c r="O1571" t="s">
        <v>4928</v>
      </c>
      <c r="Q1571" t="str">
        <f t="shared" si="89"/>
        <v>condorProc.py --series 07180826_2329 --donoise --dumps a --procenv environments/pymidas_HVHV_NaI_mf.env</v>
      </c>
    </row>
    <row r="1572" spans="1:17">
      <c r="A1572" s="179" t="s">
        <v>7016</v>
      </c>
      <c r="G1572" s="191"/>
      <c r="K1572" s="187" t="s">
        <v>6206</v>
      </c>
      <c r="M1572" t="s">
        <v>2246</v>
      </c>
      <c r="N1572" t="s">
        <v>5571</v>
      </c>
      <c r="O1572" t="s">
        <v>4928</v>
      </c>
      <c r="Q1572" t="str">
        <f t="shared" si="89"/>
        <v>condorProc.py --series 07180826_2339 --donoise --dumps a --procenv environments/pymidas_HVHV_NaI_mf.env</v>
      </c>
    </row>
    <row r="1573" spans="1:17">
      <c r="A1573" s="179" t="s">
        <v>7017</v>
      </c>
      <c r="G1573" s="191"/>
      <c r="K1573" s="180"/>
      <c r="M1573" t="s">
        <v>2246</v>
      </c>
      <c r="N1573" t="s">
        <v>5571</v>
      </c>
      <c r="O1573" t="s">
        <v>4928</v>
      </c>
      <c r="Q1573" t="str">
        <f t="shared" si="89"/>
        <v>condorProc.py --series 07180826_2349 --donoise --dumps a --procenv environments/pymidas_HVHV_NaI_mf.env</v>
      </c>
    </row>
    <row r="1574" spans="1:17">
      <c r="A1574" s="179" t="s">
        <v>7018</v>
      </c>
      <c r="G1574" s="191"/>
      <c r="K1574" s="180"/>
      <c r="M1574" t="s">
        <v>2246</v>
      </c>
      <c r="N1574" t="s">
        <v>5571</v>
      </c>
      <c r="O1574" t="s">
        <v>4928</v>
      </c>
      <c r="Q1574" t="str">
        <f t="shared" si="89"/>
        <v>condorProc.py --series 07180827_0000 --donoise --dumps a --procenv environments/pymidas_HVHV_NaI_mf.env</v>
      </c>
    </row>
    <row r="1575" spans="1:17">
      <c r="A1575" s="179" t="s">
        <v>7019</v>
      </c>
      <c r="G1575" s="191"/>
      <c r="K1575" s="180"/>
      <c r="M1575" t="s">
        <v>2246</v>
      </c>
      <c r="N1575" t="s">
        <v>5571</v>
      </c>
      <c r="O1575" t="s">
        <v>4928</v>
      </c>
      <c r="Q1575" t="str">
        <f t="shared" si="89"/>
        <v>condorProc.py --series 07180827_0010 --donoise --dumps a --procenv environments/pymidas_HVHV_NaI_mf.env</v>
      </c>
    </row>
    <row r="1576" spans="1:17">
      <c r="A1576" s="179" t="s">
        <v>7020</v>
      </c>
      <c r="G1576" s="191"/>
      <c r="K1576" s="180"/>
      <c r="M1576" t="s">
        <v>2246</v>
      </c>
      <c r="N1576" t="s">
        <v>5571</v>
      </c>
      <c r="O1576" t="s">
        <v>4928</v>
      </c>
      <c r="Q1576" t="str">
        <f t="shared" si="89"/>
        <v>condorProc.py --series 07180827_0020 --donoise --dumps a --procenv environments/pymidas_HVHV_NaI_mf.env</v>
      </c>
    </row>
    <row r="1577" spans="1:17">
      <c r="A1577" s="179" t="s">
        <v>7021</v>
      </c>
      <c r="G1577" s="191"/>
      <c r="K1577" s="180"/>
      <c r="M1577" t="s">
        <v>2246</v>
      </c>
      <c r="N1577" t="s">
        <v>5571</v>
      </c>
      <c r="O1577" t="s">
        <v>4928</v>
      </c>
      <c r="Q1577" t="str">
        <f t="shared" si="89"/>
        <v>condorProc.py --series 07180827_0030 --donoise --dumps a --procenv environments/pymidas_HVHV_NaI_mf.env</v>
      </c>
    </row>
    <row r="1578" spans="1:17">
      <c r="A1578" s="179" t="s">
        <v>7022</v>
      </c>
      <c r="G1578" s="191"/>
      <c r="K1578" s="180"/>
      <c r="M1578" t="s">
        <v>2246</v>
      </c>
      <c r="N1578" t="s">
        <v>5571</v>
      </c>
      <c r="O1578" t="s">
        <v>4928</v>
      </c>
      <c r="Q1578" t="str">
        <f t="shared" si="89"/>
        <v>condorProc.py --series 07180827_0040 --donoise --dumps a --procenv environments/pymidas_HVHV_NaI_mf.env</v>
      </c>
    </row>
    <row r="1579" spans="1:17">
      <c r="A1579" s="179" t="s">
        <v>7023</v>
      </c>
      <c r="G1579" s="191"/>
      <c r="K1579" s="180"/>
      <c r="M1579" t="s">
        <v>2246</v>
      </c>
      <c r="N1579" t="s">
        <v>5571</v>
      </c>
      <c r="O1579" t="s">
        <v>4928</v>
      </c>
      <c r="Q1579" t="str">
        <f t="shared" si="89"/>
        <v>condorProc.py --series 07180827_0050 --donoise --dumps a --procenv environments/pymidas_HVHV_NaI_mf.env</v>
      </c>
    </row>
    <row r="1580" spans="1:17">
      <c r="A1580" s="179" t="s">
        <v>7024</v>
      </c>
      <c r="G1580" s="191"/>
      <c r="K1580" s="180"/>
      <c r="M1580" t="s">
        <v>2246</v>
      </c>
      <c r="N1580" t="s">
        <v>5571</v>
      </c>
      <c r="O1580" t="s">
        <v>4928</v>
      </c>
      <c r="Q1580" t="str">
        <f t="shared" si="89"/>
        <v>condorProc.py --series 07180827_0100 --donoise --dumps a --procenv environments/pymidas_HVHV_NaI_mf.env</v>
      </c>
    </row>
    <row r="1581" spans="1:17">
      <c r="A1581" s="179" t="s">
        <v>7025</v>
      </c>
      <c r="G1581" s="191"/>
      <c r="K1581" s="180"/>
      <c r="M1581" t="s">
        <v>2246</v>
      </c>
      <c r="N1581" t="s">
        <v>5571</v>
      </c>
      <c r="O1581" t="s">
        <v>4928</v>
      </c>
      <c r="Q1581" t="str">
        <f t="shared" si="89"/>
        <v>condorProc.py --series 07180827_0110 --donoise --dumps a --procenv environments/pymidas_HVHV_NaI_mf.env</v>
      </c>
    </row>
    <row r="1582" spans="1:17">
      <c r="A1582" s="176" t="s">
        <v>7026</v>
      </c>
      <c r="B1582" s="177"/>
      <c r="C1582" s="177"/>
      <c r="D1582" s="177"/>
      <c r="E1582" s="177"/>
      <c r="F1582" s="177">
        <v>10</v>
      </c>
      <c r="G1582" s="192" t="s">
        <v>2248</v>
      </c>
      <c r="H1582" s="177">
        <v>40</v>
      </c>
      <c r="I1582" s="177"/>
      <c r="J1582" s="177" t="s">
        <v>5577</v>
      </c>
      <c r="K1582" s="178" t="s">
        <v>5583</v>
      </c>
      <c r="M1582" t="s">
        <v>2246</v>
      </c>
      <c r="N1582" t="s">
        <v>5571</v>
      </c>
      <c r="O1582" t="s">
        <v>4928</v>
      </c>
      <c r="Q1582" t="str">
        <f t="shared" si="89"/>
        <v>condorProc.py --series 07180827_0159 --donoise --dumps a --procenv environments/pymidas_HVHV_NaI_mf.env</v>
      </c>
    </row>
    <row r="1583" spans="1:17">
      <c r="A1583" s="179" t="s">
        <v>7027</v>
      </c>
      <c r="G1583" s="191"/>
      <c r="J1583" t="s">
        <v>5585</v>
      </c>
      <c r="K1583" s="180" t="s">
        <v>5671</v>
      </c>
      <c r="M1583" t="s">
        <v>2246</v>
      </c>
      <c r="N1583" t="s">
        <v>5571</v>
      </c>
      <c r="O1583" t="s">
        <v>4928</v>
      </c>
      <c r="Q1583" t="str">
        <f t="shared" si="89"/>
        <v>condorProc.py --series 07180827_0209 --donoise --dumps a --procenv environments/pymidas_HVHV_NaI_mf.env</v>
      </c>
    </row>
    <row r="1584" spans="1:17">
      <c r="A1584" s="179" t="s">
        <v>7028</v>
      </c>
      <c r="G1584" s="191"/>
      <c r="K1584" s="187" t="s">
        <v>6206</v>
      </c>
      <c r="M1584" t="s">
        <v>2246</v>
      </c>
      <c r="N1584" t="s">
        <v>5571</v>
      </c>
      <c r="O1584" t="s">
        <v>4928</v>
      </c>
      <c r="Q1584" t="str">
        <f t="shared" si="89"/>
        <v>condorProc.py --series 07180827_0219 --donoise --dumps a --procenv environments/pymidas_HVHV_NaI_mf.env</v>
      </c>
    </row>
    <row r="1585" spans="1:17">
      <c r="A1585" s="179" t="s">
        <v>7029</v>
      </c>
      <c r="G1585" s="191"/>
      <c r="K1585" s="180"/>
      <c r="M1585" t="s">
        <v>2246</v>
      </c>
      <c r="N1585" t="s">
        <v>5571</v>
      </c>
      <c r="O1585" t="s">
        <v>4928</v>
      </c>
      <c r="Q1585" t="str">
        <f t="shared" si="89"/>
        <v>condorProc.py --series 07180827_0229 --donoise --dumps a --procenv environments/pymidas_HVHV_NaI_mf.env</v>
      </c>
    </row>
    <row r="1586" spans="1:17">
      <c r="A1586" s="179" t="s">
        <v>7030</v>
      </c>
      <c r="G1586" s="191"/>
      <c r="K1586" s="180"/>
      <c r="M1586" t="s">
        <v>2246</v>
      </c>
      <c r="N1586" t="s">
        <v>5571</v>
      </c>
      <c r="O1586" t="s">
        <v>4928</v>
      </c>
      <c r="Q1586" t="str">
        <f t="shared" si="89"/>
        <v>condorProc.py --series 07180827_0239 --donoise --dumps a --procenv environments/pymidas_HVHV_NaI_mf.env</v>
      </c>
    </row>
    <row r="1587" spans="1:17">
      <c r="A1587" s="179" t="s">
        <v>7031</v>
      </c>
      <c r="G1587" s="191"/>
      <c r="K1587" s="180"/>
      <c r="M1587" t="s">
        <v>2246</v>
      </c>
      <c r="N1587" t="s">
        <v>5571</v>
      </c>
      <c r="O1587" t="s">
        <v>4928</v>
      </c>
      <c r="Q1587" t="str">
        <f t="shared" si="89"/>
        <v>condorProc.py --series 07180827_0249 --donoise --dumps a --procenv environments/pymidas_HVHV_NaI_mf.env</v>
      </c>
    </row>
    <row r="1588" spans="1:17">
      <c r="A1588" s="179" t="s">
        <v>7032</v>
      </c>
      <c r="G1588" s="191"/>
      <c r="K1588" s="180"/>
      <c r="M1588" t="s">
        <v>2246</v>
      </c>
      <c r="N1588" t="s">
        <v>5571</v>
      </c>
      <c r="O1588" t="s">
        <v>4928</v>
      </c>
      <c r="Q1588" t="str">
        <f t="shared" si="89"/>
        <v>condorProc.py --series 07180827_0300 --donoise --dumps a --procenv environments/pymidas_HVHV_NaI_mf.env</v>
      </c>
    </row>
    <row r="1589" spans="1:17">
      <c r="A1589" s="179" t="s">
        <v>7033</v>
      </c>
      <c r="G1589" s="191"/>
      <c r="K1589" s="180"/>
      <c r="M1589" t="s">
        <v>2246</v>
      </c>
      <c r="N1589" t="s">
        <v>5571</v>
      </c>
      <c r="O1589" t="s">
        <v>4928</v>
      </c>
      <c r="Q1589" t="str">
        <f t="shared" si="89"/>
        <v>condorProc.py --series 07180827_0310 --donoise --dumps a --procenv environments/pymidas_HVHV_NaI_mf.env</v>
      </c>
    </row>
    <row r="1590" spans="1:17">
      <c r="A1590" s="179" t="s">
        <v>7034</v>
      </c>
      <c r="G1590" s="191"/>
      <c r="K1590" s="180"/>
      <c r="M1590" t="s">
        <v>2246</v>
      </c>
      <c r="N1590" t="s">
        <v>5571</v>
      </c>
      <c r="O1590" t="s">
        <v>4928</v>
      </c>
      <c r="Q1590" t="str">
        <f t="shared" si="89"/>
        <v>condorProc.py --series 07180827_0320 --donoise --dumps a --procenv environments/pymidas_HVHV_NaI_mf.env</v>
      </c>
    </row>
    <row r="1591" spans="1:17">
      <c r="A1591" s="179" t="s">
        <v>7035</v>
      </c>
      <c r="G1591" s="191"/>
      <c r="K1591" s="180"/>
      <c r="M1591" t="s">
        <v>2246</v>
      </c>
      <c r="N1591" t="s">
        <v>5571</v>
      </c>
      <c r="O1591" t="s">
        <v>4928</v>
      </c>
      <c r="Q1591" t="str">
        <f t="shared" si="89"/>
        <v>condorProc.py --series 07180827_0330 --donoise --dumps a --procenv environments/pymidas_HVHV_NaI_mf.env</v>
      </c>
    </row>
    <row r="1592" spans="1:17">
      <c r="A1592" s="179" t="s">
        <v>7036</v>
      </c>
      <c r="G1592" s="191"/>
      <c r="K1592" s="180"/>
      <c r="M1592" t="s">
        <v>2246</v>
      </c>
      <c r="N1592" t="s">
        <v>5571</v>
      </c>
      <c r="O1592" t="s">
        <v>4928</v>
      </c>
      <c r="Q1592" t="str">
        <f t="shared" si="89"/>
        <v>condorProc.py --series 07180827_0340 --donoise --dumps a --procenv environments/pymidas_HVHV_NaI_mf.env</v>
      </c>
    </row>
    <row r="1593" spans="1:17">
      <c r="A1593" s="179" t="s">
        <v>7037</v>
      </c>
      <c r="G1593" s="191"/>
      <c r="K1593" s="180"/>
      <c r="M1593" t="s">
        <v>2246</v>
      </c>
      <c r="N1593" t="s">
        <v>5571</v>
      </c>
      <c r="O1593" t="s">
        <v>4928</v>
      </c>
      <c r="Q1593" t="str">
        <f t="shared" si="89"/>
        <v>condorProc.py --series 07180827_0350 --donoise --dumps a --procenv environments/pymidas_HVHV_NaI_mf.env</v>
      </c>
    </row>
    <row r="1594" spans="1:17">
      <c r="A1594" s="176" t="s">
        <v>7038</v>
      </c>
      <c r="B1594" s="177"/>
      <c r="C1594" s="177"/>
      <c r="D1594" s="177"/>
      <c r="E1594" s="177"/>
      <c r="F1594" s="177">
        <v>10</v>
      </c>
      <c r="G1594" s="192" t="s">
        <v>2248</v>
      </c>
      <c r="H1594" s="177">
        <v>40</v>
      </c>
      <c r="I1594" s="177"/>
      <c r="J1594" s="177" t="s">
        <v>5577</v>
      </c>
      <c r="K1594" s="178" t="s">
        <v>5583</v>
      </c>
      <c r="M1594" t="s">
        <v>2246</v>
      </c>
      <c r="N1594" t="s">
        <v>5571</v>
      </c>
      <c r="O1594" t="s">
        <v>4928</v>
      </c>
      <c r="Q1594" t="str">
        <f t="shared" si="89"/>
        <v>condorProc.py --series 07180827_0439 --donoise --dumps a --procenv environments/pymidas_HVHV_NaI_mf.env</v>
      </c>
    </row>
    <row r="1595" spans="1:17">
      <c r="A1595" s="179" t="s">
        <v>7039</v>
      </c>
      <c r="G1595" s="191"/>
      <c r="J1595" t="s">
        <v>5585</v>
      </c>
      <c r="K1595" s="180" t="s">
        <v>5671</v>
      </c>
      <c r="M1595" t="s">
        <v>2246</v>
      </c>
      <c r="N1595" t="s">
        <v>5571</v>
      </c>
      <c r="O1595" t="s">
        <v>4928</v>
      </c>
      <c r="Q1595" t="str">
        <f t="shared" si="89"/>
        <v>condorProc.py --series 07180827_0449 --donoise --dumps a --procenv environments/pymidas_HVHV_NaI_mf.env</v>
      </c>
    </row>
    <row r="1596" spans="1:17">
      <c r="A1596" s="179" t="s">
        <v>7040</v>
      </c>
      <c r="G1596" s="191"/>
      <c r="K1596" s="187" t="s">
        <v>6206</v>
      </c>
      <c r="M1596" t="s">
        <v>2246</v>
      </c>
      <c r="N1596" t="s">
        <v>5571</v>
      </c>
      <c r="O1596" t="s">
        <v>4928</v>
      </c>
      <c r="Q1596" t="str">
        <f t="shared" si="89"/>
        <v>condorProc.py --series 07180827_0459 --donoise --dumps a --procenv environments/pymidas_HVHV_NaI_mf.env</v>
      </c>
    </row>
    <row r="1597" spans="1:17">
      <c r="A1597" s="179" t="s">
        <v>7041</v>
      </c>
      <c r="G1597" s="191"/>
      <c r="K1597" s="180"/>
      <c r="M1597" t="s">
        <v>2246</v>
      </c>
      <c r="N1597" t="s">
        <v>5571</v>
      </c>
      <c r="O1597" t="s">
        <v>4928</v>
      </c>
      <c r="Q1597" t="str">
        <f t="shared" si="89"/>
        <v>condorProc.py --series 07180827_0509 --donoise --dumps a --procenv environments/pymidas_HVHV_NaI_mf.env</v>
      </c>
    </row>
    <row r="1598" spans="1:17">
      <c r="A1598" s="179" t="s">
        <v>7042</v>
      </c>
      <c r="G1598" s="191"/>
      <c r="K1598" s="180"/>
      <c r="M1598" t="s">
        <v>2246</v>
      </c>
      <c r="N1598" t="s">
        <v>5571</v>
      </c>
      <c r="O1598" t="s">
        <v>4928</v>
      </c>
      <c r="Q1598" t="str">
        <f t="shared" si="89"/>
        <v>condorProc.py --series 07180827_0519 --donoise --dumps a --procenv environments/pymidas_HVHV_NaI_mf.env</v>
      </c>
    </row>
    <row r="1599" spans="1:17">
      <c r="A1599" s="179" t="s">
        <v>7043</v>
      </c>
      <c r="G1599" s="191"/>
      <c r="K1599" s="180"/>
      <c r="M1599" t="s">
        <v>2246</v>
      </c>
      <c r="N1599" t="s">
        <v>5571</v>
      </c>
      <c r="O1599" t="s">
        <v>4928</v>
      </c>
      <c r="Q1599" t="str">
        <f t="shared" si="89"/>
        <v>condorProc.py --series 07180827_0529 --donoise --dumps a --procenv environments/pymidas_HVHV_NaI_mf.env</v>
      </c>
    </row>
    <row r="1600" spans="1:17">
      <c r="A1600" s="179" t="s">
        <v>7044</v>
      </c>
      <c r="G1600" s="191"/>
      <c r="K1600" s="180"/>
      <c r="M1600" t="s">
        <v>2246</v>
      </c>
      <c r="N1600" t="s">
        <v>5571</v>
      </c>
      <c r="O1600" t="s">
        <v>4928</v>
      </c>
      <c r="Q1600" t="str">
        <f t="shared" si="89"/>
        <v>condorProc.py --series 07180827_0539 --donoise --dumps a --procenv environments/pymidas_HVHV_NaI_mf.env</v>
      </c>
    </row>
    <row r="1601" spans="1:17">
      <c r="A1601" s="179" t="s">
        <v>7045</v>
      </c>
      <c r="G1601" s="191"/>
      <c r="K1601" s="180"/>
      <c r="M1601" t="s">
        <v>2246</v>
      </c>
      <c r="N1601" t="s">
        <v>5571</v>
      </c>
      <c r="O1601" t="s">
        <v>4928</v>
      </c>
      <c r="Q1601" t="str">
        <f t="shared" si="89"/>
        <v>condorProc.py --series 07180827_0550 --donoise --dumps a --procenv environments/pymidas_HVHV_NaI_mf.env</v>
      </c>
    </row>
    <row r="1602" spans="1:17">
      <c r="A1602" s="179" t="s">
        <v>7046</v>
      </c>
      <c r="G1602" s="191"/>
      <c r="K1602" s="180"/>
      <c r="M1602" t="s">
        <v>2246</v>
      </c>
      <c r="N1602" t="s">
        <v>5571</v>
      </c>
      <c r="O1602" t="s">
        <v>4928</v>
      </c>
      <c r="Q1602" t="str">
        <f t="shared" si="89"/>
        <v>condorProc.py --series 07180827_0600 --donoise --dumps a --procenv environments/pymidas_HVHV_NaI_mf.env</v>
      </c>
    </row>
    <row r="1603" spans="1:17">
      <c r="A1603" s="179" t="s">
        <v>7047</v>
      </c>
      <c r="G1603" s="191"/>
      <c r="K1603" s="180"/>
      <c r="M1603" t="s">
        <v>2246</v>
      </c>
      <c r="N1603" t="s">
        <v>5571</v>
      </c>
      <c r="O1603" t="s">
        <v>4928</v>
      </c>
      <c r="Q1603" t="str">
        <f t="shared" si="89"/>
        <v>condorProc.py --series 07180827_0610 --donoise --dumps a --procenv environments/pymidas_HVHV_NaI_mf.env</v>
      </c>
    </row>
    <row r="1604" spans="1:17">
      <c r="A1604" s="179" t="s">
        <v>7048</v>
      </c>
      <c r="G1604" s="191"/>
      <c r="K1604" s="180"/>
      <c r="L1604" t="s">
        <v>7049</v>
      </c>
      <c r="M1604" t="s">
        <v>2246</v>
      </c>
      <c r="N1604" t="s">
        <v>5571</v>
      </c>
      <c r="O1604" t="s">
        <v>4928</v>
      </c>
      <c r="Q1604" t="str">
        <f t="shared" si="89"/>
        <v>condorProc.py --series 07180827_0620 --donoise --dumps a --procenv environments/pymidas_HVHV_NaI_mf.env</v>
      </c>
    </row>
    <row r="1605" spans="1:17">
      <c r="A1605" s="179" t="s">
        <v>7050</v>
      </c>
      <c r="G1605" s="191"/>
      <c r="I1605" t="s">
        <v>75</v>
      </c>
      <c r="K1605" s="180"/>
      <c r="L1605">
        <f>168+L1431</f>
        <v>817</v>
      </c>
      <c r="M1605" t="s">
        <v>2246</v>
      </c>
      <c r="N1605" t="s">
        <v>5571</v>
      </c>
      <c r="O1605" t="s">
        <v>4928</v>
      </c>
      <c r="Q1605" t="str">
        <f t="shared" si="89"/>
        <v>condorProc.py --series 07180827_0630 --donoise --dumps a --procenv environments/pymidas_HVHV_NaI_mf.env</v>
      </c>
    </row>
    <row r="1606" spans="1:17">
      <c r="A1606" s="176" t="s">
        <v>7051</v>
      </c>
      <c r="B1606" s="177"/>
      <c r="C1606" s="177"/>
      <c r="D1606" s="177"/>
      <c r="E1606" s="177"/>
      <c r="F1606" s="177">
        <v>10</v>
      </c>
      <c r="G1606" s="192" t="s">
        <v>2248</v>
      </c>
      <c r="H1606" s="177">
        <v>40</v>
      </c>
      <c r="I1606" s="190" t="s">
        <v>5434</v>
      </c>
      <c r="J1606" s="177" t="s">
        <v>5577</v>
      </c>
      <c r="K1606" s="178" t="s">
        <v>5583</v>
      </c>
      <c r="L1606">
        <f>L1605/6</f>
        <v>136.16666666666666</v>
      </c>
      <c r="N1606" t="s">
        <v>5571</v>
      </c>
    </row>
    <row r="1607" spans="1:17">
      <c r="A1607" s="179" t="s">
        <v>7052</v>
      </c>
      <c r="G1607" s="191"/>
      <c r="I1607" s="55" t="s">
        <v>5434</v>
      </c>
      <c r="J1607" t="s">
        <v>5585</v>
      </c>
      <c r="K1607" s="180" t="s">
        <v>5671</v>
      </c>
      <c r="N1607" t="s">
        <v>5571</v>
      </c>
    </row>
    <row r="1608" spans="1:17">
      <c r="A1608" s="179" t="s">
        <v>7053</v>
      </c>
      <c r="G1608" s="191"/>
      <c r="I1608" s="55" t="s">
        <v>5434</v>
      </c>
      <c r="K1608" s="187" t="s">
        <v>6206</v>
      </c>
      <c r="N1608" t="s">
        <v>5571</v>
      </c>
    </row>
    <row r="1609" spans="1:17">
      <c r="A1609" s="179" t="s">
        <v>7054</v>
      </c>
      <c r="G1609" s="191"/>
      <c r="I1609" s="55" t="s">
        <v>5434</v>
      </c>
      <c r="K1609" s="180"/>
      <c r="N1609" t="s">
        <v>5571</v>
      </c>
    </row>
    <row r="1610" spans="1:17">
      <c r="A1610" s="179" t="s">
        <v>7055</v>
      </c>
      <c r="G1610" s="191"/>
      <c r="I1610" s="55" t="s">
        <v>5434</v>
      </c>
      <c r="K1610" s="180"/>
      <c r="N1610" t="s">
        <v>5571</v>
      </c>
    </row>
    <row r="1611" spans="1:17">
      <c r="A1611" s="179" t="s">
        <v>7056</v>
      </c>
      <c r="G1611" s="191"/>
      <c r="I1611" s="55" t="s">
        <v>5434</v>
      </c>
      <c r="K1611" s="180"/>
      <c r="N1611" t="s">
        <v>5571</v>
      </c>
    </row>
    <row r="1612" spans="1:17">
      <c r="A1612" s="179" t="s">
        <v>7057</v>
      </c>
      <c r="G1612" s="191"/>
      <c r="I1612" s="55" t="s">
        <v>5434</v>
      </c>
      <c r="K1612" s="180"/>
      <c r="N1612" t="s">
        <v>5571</v>
      </c>
    </row>
    <row r="1613" spans="1:17">
      <c r="A1613" s="179" t="s">
        <v>7058</v>
      </c>
      <c r="G1613" s="191"/>
      <c r="I1613" s="55" t="s">
        <v>5434</v>
      </c>
      <c r="K1613" s="180"/>
      <c r="N1613" t="s">
        <v>5571</v>
      </c>
    </row>
    <row r="1614" spans="1:17">
      <c r="A1614" s="179" t="s">
        <v>7059</v>
      </c>
      <c r="G1614" s="191"/>
      <c r="I1614" s="55" t="s">
        <v>5434</v>
      </c>
      <c r="K1614" s="180"/>
      <c r="N1614" t="s">
        <v>5571</v>
      </c>
    </row>
    <row r="1615" spans="1:17">
      <c r="A1615" s="179" t="s">
        <v>7060</v>
      </c>
      <c r="G1615" s="191"/>
      <c r="I1615" s="55" t="s">
        <v>5434</v>
      </c>
      <c r="K1615" s="180"/>
      <c r="N1615" t="s">
        <v>5571</v>
      </c>
    </row>
    <row r="1616" spans="1:17">
      <c r="A1616" s="179" t="s">
        <v>7061</v>
      </c>
      <c r="G1616" s="191"/>
      <c r="I1616" s="55" t="s">
        <v>5434</v>
      </c>
      <c r="K1616" s="180"/>
      <c r="N1616" t="s">
        <v>5571</v>
      </c>
    </row>
    <row r="1617" spans="1:14">
      <c r="A1617" s="179" t="s">
        <v>7062</v>
      </c>
      <c r="G1617" s="191"/>
      <c r="I1617" s="55" t="s">
        <v>5434</v>
      </c>
      <c r="K1617" s="180" t="s">
        <v>7063</v>
      </c>
      <c r="N1617" t="s">
        <v>5571</v>
      </c>
    </row>
    <row r="1618" spans="1:14">
      <c r="A1618" s="176" t="s">
        <v>7064</v>
      </c>
      <c r="B1618" s="177"/>
      <c r="C1618" s="177"/>
      <c r="D1618" s="177"/>
      <c r="E1618" s="177"/>
      <c r="F1618" s="177">
        <v>10</v>
      </c>
      <c r="G1618" s="192" t="s">
        <v>2248</v>
      </c>
      <c r="H1618" s="177">
        <v>40</v>
      </c>
      <c r="I1618" s="190" t="s">
        <v>5434</v>
      </c>
      <c r="J1618" s="177" t="s">
        <v>5577</v>
      </c>
      <c r="K1618" s="178" t="s">
        <v>5583</v>
      </c>
      <c r="N1618" t="s">
        <v>5571</v>
      </c>
    </row>
    <row r="1619" spans="1:14">
      <c r="A1619" s="179" t="s">
        <v>7065</v>
      </c>
      <c r="G1619" s="191"/>
      <c r="I1619" s="55" t="s">
        <v>5434</v>
      </c>
      <c r="J1619" t="s">
        <v>5585</v>
      </c>
      <c r="K1619" s="180" t="s">
        <v>5671</v>
      </c>
      <c r="N1619" t="s">
        <v>5571</v>
      </c>
    </row>
    <row r="1620" spans="1:14">
      <c r="A1620" s="179" t="s">
        <v>7066</v>
      </c>
      <c r="G1620" s="191"/>
      <c r="I1620" s="55" t="s">
        <v>5434</v>
      </c>
      <c r="K1620" s="187" t="s">
        <v>6206</v>
      </c>
      <c r="N1620" t="s">
        <v>5571</v>
      </c>
    </row>
    <row r="1621" spans="1:14">
      <c r="A1621" s="179" t="s">
        <v>7067</v>
      </c>
      <c r="G1621" s="191"/>
      <c r="I1621" s="55" t="s">
        <v>5434</v>
      </c>
      <c r="K1621" s="180"/>
      <c r="N1621" t="s">
        <v>5571</v>
      </c>
    </row>
    <row r="1622" spans="1:14">
      <c r="A1622" s="179" t="s">
        <v>7068</v>
      </c>
      <c r="G1622" s="191"/>
      <c r="I1622" s="55" t="s">
        <v>5434</v>
      </c>
      <c r="K1622" s="180"/>
      <c r="N1622" t="s">
        <v>5571</v>
      </c>
    </row>
    <row r="1623" spans="1:14">
      <c r="A1623" s="179" t="s">
        <v>7069</v>
      </c>
      <c r="G1623" s="191"/>
      <c r="I1623" s="55" t="s">
        <v>5434</v>
      </c>
      <c r="K1623" s="180"/>
      <c r="N1623" t="s">
        <v>5571</v>
      </c>
    </row>
    <row r="1624" spans="1:14">
      <c r="A1624" s="179" t="s">
        <v>7070</v>
      </c>
      <c r="G1624" s="191"/>
      <c r="I1624" s="55" t="s">
        <v>5434</v>
      </c>
      <c r="K1624" s="180"/>
      <c r="N1624" t="s">
        <v>5571</v>
      </c>
    </row>
    <row r="1625" spans="1:14">
      <c r="A1625" s="179" t="s">
        <v>7071</v>
      </c>
      <c r="G1625" s="191"/>
      <c r="I1625" s="55" t="s">
        <v>5434</v>
      </c>
      <c r="K1625" s="180"/>
      <c r="N1625" t="s">
        <v>5571</v>
      </c>
    </row>
    <row r="1626" spans="1:14">
      <c r="A1626" s="179" t="s">
        <v>7072</v>
      </c>
      <c r="G1626" s="191"/>
      <c r="I1626" s="55" t="s">
        <v>5434</v>
      </c>
      <c r="K1626" s="180"/>
      <c r="N1626" t="s">
        <v>5571</v>
      </c>
    </row>
    <row r="1627" spans="1:14">
      <c r="A1627" s="179" t="s">
        <v>7073</v>
      </c>
      <c r="G1627" s="191"/>
      <c r="I1627" s="55" t="s">
        <v>5434</v>
      </c>
      <c r="K1627" s="180"/>
      <c r="N1627" t="s">
        <v>5571</v>
      </c>
    </row>
    <row r="1628" spans="1:14">
      <c r="A1628" s="179" t="s">
        <v>7074</v>
      </c>
      <c r="G1628" s="191"/>
      <c r="I1628" s="55" t="str">
        <f>I1629</f>
        <v>railed</v>
      </c>
      <c r="K1628" s="180"/>
      <c r="N1628" t="s">
        <v>5571</v>
      </c>
    </row>
    <row r="1629" spans="1:14">
      <c r="A1629" s="181" t="s">
        <v>7075</v>
      </c>
      <c r="B1629" s="65"/>
      <c r="C1629" s="65"/>
      <c r="D1629" s="65"/>
      <c r="E1629" s="65"/>
      <c r="F1629" s="65"/>
      <c r="G1629" s="193"/>
      <c r="H1629" s="65"/>
      <c r="I1629" s="151" t="s">
        <v>5434</v>
      </c>
      <c r="J1629" s="65"/>
      <c r="K1629" s="182" t="s">
        <v>7063</v>
      </c>
      <c r="N1629" t="s">
        <v>5571</v>
      </c>
    </row>
    <row r="1630" spans="1:14">
      <c r="A1630" s="179" t="s">
        <v>7076</v>
      </c>
      <c r="F1630">
        <v>10</v>
      </c>
      <c r="G1630" s="191" t="s">
        <v>2248</v>
      </c>
      <c r="H1630">
        <v>40</v>
      </c>
      <c r="I1630" s="55" t="s">
        <v>5434</v>
      </c>
      <c r="J1630" t="s">
        <v>5577</v>
      </c>
      <c r="K1630" s="180" t="s">
        <v>5583</v>
      </c>
      <c r="N1630" t="s">
        <v>5571</v>
      </c>
    </row>
    <row r="1631" spans="1:14">
      <c r="A1631" s="179" t="s">
        <v>7077</v>
      </c>
      <c r="G1631" s="191"/>
      <c r="I1631" s="55" t="s">
        <v>5434</v>
      </c>
      <c r="J1631" t="s">
        <v>5585</v>
      </c>
      <c r="K1631" s="180" t="s">
        <v>5671</v>
      </c>
      <c r="N1631" t="s">
        <v>5571</v>
      </c>
    </row>
    <row r="1632" spans="1:14">
      <c r="A1632" s="179" t="s">
        <v>7078</v>
      </c>
      <c r="G1632" s="191"/>
      <c r="I1632" s="55" t="s">
        <v>5434</v>
      </c>
      <c r="K1632" s="187" t="s">
        <v>6206</v>
      </c>
      <c r="N1632" t="s">
        <v>5571</v>
      </c>
    </row>
    <row r="1633" spans="1:14">
      <c r="A1633" s="179" t="s">
        <v>7079</v>
      </c>
      <c r="G1633" s="191"/>
      <c r="I1633" s="55" t="s">
        <v>5434</v>
      </c>
      <c r="K1633" s="180"/>
      <c r="N1633" t="s">
        <v>5571</v>
      </c>
    </row>
    <row r="1634" spans="1:14">
      <c r="A1634" s="179" t="s">
        <v>7080</v>
      </c>
      <c r="G1634" s="191"/>
      <c r="I1634" s="55" t="s">
        <v>5434</v>
      </c>
      <c r="K1634" s="180"/>
      <c r="N1634" t="s">
        <v>5571</v>
      </c>
    </row>
    <row r="1635" spans="1:14">
      <c r="A1635" s="179" t="s">
        <v>7081</v>
      </c>
      <c r="G1635" s="191"/>
      <c r="I1635" s="55" t="s">
        <v>5434</v>
      </c>
      <c r="K1635" s="180"/>
      <c r="N1635" t="s">
        <v>5571</v>
      </c>
    </row>
    <row r="1636" spans="1:14">
      <c r="A1636" s="179" t="s">
        <v>7082</v>
      </c>
      <c r="G1636" s="191"/>
      <c r="I1636" s="55" t="s">
        <v>5434</v>
      </c>
      <c r="K1636" s="180"/>
      <c r="N1636" t="s">
        <v>5571</v>
      </c>
    </row>
    <row r="1637" spans="1:14">
      <c r="A1637" s="179" t="s">
        <v>7083</v>
      </c>
      <c r="G1637" s="191"/>
      <c r="I1637" s="55" t="s">
        <v>5434</v>
      </c>
      <c r="K1637" s="180"/>
      <c r="N1637" t="s">
        <v>5571</v>
      </c>
    </row>
    <row r="1638" spans="1:14">
      <c r="A1638" s="179" t="s">
        <v>7084</v>
      </c>
      <c r="G1638" s="191"/>
      <c r="I1638" s="55" t="s">
        <v>5434</v>
      </c>
      <c r="K1638" s="180"/>
      <c r="N1638" t="s">
        <v>5571</v>
      </c>
    </row>
    <row r="1639" spans="1:14">
      <c r="A1639" s="179" t="s">
        <v>7085</v>
      </c>
      <c r="G1639" s="191"/>
      <c r="I1639" s="55" t="s">
        <v>5434</v>
      </c>
      <c r="K1639" s="180"/>
      <c r="N1639" t="s">
        <v>5571</v>
      </c>
    </row>
    <row r="1640" spans="1:14">
      <c r="A1640" s="179" t="s">
        <v>7086</v>
      </c>
      <c r="G1640" s="191"/>
      <c r="I1640" s="55" t="s">
        <v>5434</v>
      </c>
      <c r="K1640" s="180"/>
      <c r="N1640" t="s">
        <v>5571</v>
      </c>
    </row>
    <row r="1641" spans="1:14">
      <c r="A1641" s="179" t="s">
        <v>7087</v>
      </c>
      <c r="G1641" s="191"/>
      <c r="I1641" s="55" t="s">
        <v>5434</v>
      </c>
      <c r="K1641" s="180" t="s">
        <v>7063</v>
      </c>
      <c r="N1641" t="s">
        <v>5571</v>
      </c>
    </row>
    <row r="1642" spans="1:14">
      <c r="A1642" s="176" t="s">
        <v>7088</v>
      </c>
      <c r="B1642" s="177"/>
      <c r="C1642" s="177"/>
      <c r="D1642" s="177"/>
      <c r="E1642" s="177"/>
      <c r="F1642" s="177">
        <v>10</v>
      </c>
      <c r="G1642" s="192" t="s">
        <v>2248</v>
      </c>
      <c r="H1642" s="177">
        <v>40</v>
      </c>
      <c r="I1642" s="190" t="s">
        <v>5434</v>
      </c>
      <c r="J1642" s="177" t="s">
        <v>5577</v>
      </c>
      <c r="K1642" s="178" t="s">
        <v>5583</v>
      </c>
      <c r="N1642" t="s">
        <v>5571</v>
      </c>
    </row>
    <row r="1643" spans="1:14">
      <c r="A1643" s="179" t="s">
        <v>7089</v>
      </c>
      <c r="G1643" s="191"/>
      <c r="I1643" s="55" t="s">
        <v>5434</v>
      </c>
      <c r="J1643" t="s">
        <v>5585</v>
      </c>
      <c r="K1643" s="180" t="s">
        <v>5671</v>
      </c>
      <c r="N1643" t="s">
        <v>5571</v>
      </c>
    </row>
    <row r="1644" spans="1:14">
      <c r="A1644" s="179" t="s">
        <v>7090</v>
      </c>
      <c r="G1644" s="191"/>
      <c r="I1644" s="55" t="s">
        <v>5434</v>
      </c>
      <c r="K1644" s="187" t="s">
        <v>6206</v>
      </c>
      <c r="N1644" t="s">
        <v>5571</v>
      </c>
    </row>
    <row r="1645" spans="1:14">
      <c r="A1645" s="179" t="s">
        <v>7091</v>
      </c>
      <c r="G1645" s="191"/>
      <c r="I1645" s="55" t="s">
        <v>5434</v>
      </c>
      <c r="K1645" s="180"/>
      <c r="N1645" t="s">
        <v>5571</v>
      </c>
    </row>
    <row r="1646" spans="1:14">
      <c r="A1646" s="179" t="s">
        <v>7092</v>
      </c>
      <c r="G1646" s="191"/>
      <c r="I1646" s="55" t="s">
        <v>5434</v>
      </c>
      <c r="K1646" s="180"/>
      <c r="N1646" t="s">
        <v>5571</v>
      </c>
    </row>
    <row r="1647" spans="1:14">
      <c r="A1647" s="179" t="s">
        <v>7093</v>
      </c>
      <c r="G1647" s="191"/>
      <c r="I1647" s="55" t="s">
        <v>5434</v>
      </c>
      <c r="K1647" s="180"/>
      <c r="N1647" t="s">
        <v>5571</v>
      </c>
    </row>
    <row r="1648" spans="1:14">
      <c r="A1648" s="179" t="s">
        <v>7094</v>
      </c>
      <c r="G1648" s="191"/>
      <c r="I1648" s="55" t="s">
        <v>5434</v>
      </c>
      <c r="K1648" s="180"/>
      <c r="N1648" t="s">
        <v>5571</v>
      </c>
    </row>
    <row r="1649" spans="1:14">
      <c r="A1649" s="179" t="s">
        <v>7095</v>
      </c>
      <c r="G1649" s="191"/>
      <c r="I1649" s="55" t="s">
        <v>5434</v>
      </c>
      <c r="K1649" s="180"/>
      <c r="N1649" t="s">
        <v>5571</v>
      </c>
    </row>
    <row r="1650" spans="1:14">
      <c r="A1650" s="179" t="s">
        <v>7096</v>
      </c>
      <c r="G1650" s="191"/>
      <c r="I1650" s="55" t="s">
        <v>5434</v>
      </c>
      <c r="K1650" s="180"/>
      <c r="N1650" t="s">
        <v>5571</v>
      </c>
    </row>
    <row r="1651" spans="1:14">
      <c r="A1651" s="179" t="s">
        <v>7097</v>
      </c>
      <c r="G1651" s="191"/>
      <c r="I1651" s="55" t="s">
        <v>5434</v>
      </c>
      <c r="K1651" s="180"/>
      <c r="N1651" t="s">
        <v>5571</v>
      </c>
    </row>
    <row r="1652" spans="1:14">
      <c r="A1652" s="179" t="s">
        <v>7098</v>
      </c>
      <c r="G1652" s="191"/>
      <c r="I1652" s="55" t="s">
        <v>5434</v>
      </c>
      <c r="K1652" s="180"/>
      <c r="N1652" t="s">
        <v>5571</v>
      </c>
    </row>
    <row r="1653" spans="1:14">
      <c r="A1653" s="181" t="s">
        <v>7099</v>
      </c>
      <c r="B1653" s="65"/>
      <c r="C1653" s="65"/>
      <c r="D1653" s="65"/>
      <c r="E1653" s="65"/>
      <c r="F1653" s="65"/>
      <c r="G1653" s="193"/>
      <c r="H1653" s="65"/>
      <c r="I1653" s="151" t="s">
        <v>5434</v>
      </c>
      <c r="J1653" s="65"/>
      <c r="K1653" s="182" t="s">
        <v>7063</v>
      </c>
      <c r="N1653" t="s">
        <v>5571</v>
      </c>
    </row>
    <row r="1654" spans="1:14">
      <c r="A1654" t="s">
        <v>7100</v>
      </c>
      <c r="F1654">
        <v>10</v>
      </c>
      <c r="G1654" s="191" t="s">
        <v>2248</v>
      </c>
      <c r="H1654">
        <v>40</v>
      </c>
      <c r="I1654" s="55" t="s">
        <v>5434</v>
      </c>
      <c r="J1654" t="s">
        <v>5577</v>
      </c>
      <c r="K1654" s="180" t="s">
        <v>5583</v>
      </c>
      <c r="N1654" t="s">
        <v>5571</v>
      </c>
    </row>
    <row r="1655" spans="1:14">
      <c r="A1655" t="s">
        <v>7101</v>
      </c>
      <c r="G1655" s="191"/>
      <c r="I1655" s="55" t="s">
        <v>5434</v>
      </c>
      <c r="J1655" t="s">
        <v>5585</v>
      </c>
      <c r="K1655" s="180" t="s">
        <v>5671</v>
      </c>
      <c r="N1655" t="s">
        <v>5571</v>
      </c>
    </row>
    <row r="1656" spans="1:14">
      <c r="A1656" t="s">
        <v>7102</v>
      </c>
      <c r="G1656" s="191"/>
      <c r="I1656" s="55" t="s">
        <v>5434</v>
      </c>
      <c r="K1656" s="187" t="s">
        <v>6206</v>
      </c>
      <c r="N1656" t="s">
        <v>5571</v>
      </c>
    </row>
    <row r="1657" spans="1:14">
      <c r="A1657" t="s">
        <v>7103</v>
      </c>
      <c r="G1657" s="191"/>
      <c r="I1657" s="55" t="s">
        <v>5434</v>
      </c>
      <c r="K1657" s="180"/>
      <c r="N1657" t="s">
        <v>5571</v>
      </c>
    </row>
    <row r="1658" spans="1:14">
      <c r="A1658" t="s">
        <v>7104</v>
      </c>
      <c r="G1658" s="191"/>
      <c r="I1658" s="55" t="s">
        <v>5434</v>
      </c>
      <c r="K1658" s="180"/>
      <c r="N1658" t="s">
        <v>5571</v>
      </c>
    </row>
    <row r="1659" spans="1:14">
      <c r="A1659" t="s">
        <v>7105</v>
      </c>
      <c r="G1659" s="191"/>
      <c r="I1659" s="55" t="s">
        <v>5434</v>
      </c>
      <c r="K1659" s="180"/>
      <c r="N1659" t="s">
        <v>5571</v>
      </c>
    </row>
    <row r="1660" spans="1:14">
      <c r="A1660" t="s">
        <v>7106</v>
      </c>
      <c r="G1660" s="191"/>
      <c r="I1660" s="55" t="s">
        <v>5434</v>
      </c>
      <c r="K1660" s="180"/>
      <c r="N1660" t="s">
        <v>5571</v>
      </c>
    </row>
    <row r="1661" spans="1:14">
      <c r="A1661" t="s">
        <v>7107</v>
      </c>
      <c r="G1661" s="191"/>
      <c r="I1661" s="55" t="s">
        <v>5434</v>
      </c>
      <c r="K1661" s="180"/>
      <c r="N1661" t="s">
        <v>5571</v>
      </c>
    </row>
    <row r="1662" spans="1:14">
      <c r="A1662" t="s">
        <v>7108</v>
      </c>
      <c r="G1662" s="191"/>
      <c r="I1662" s="55" t="s">
        <v>5434</v>
      </c>
      <c r="K1662" s="180"/>
      <c r="N1662" t="s">
        <v>5571</v>
      </c>
    </row>
    <row r="1663" spans="1:14">
      <c r="A1663" t="s">
        <v>7109</v>
      </c>
      <c r="G1663" s="191"/>
      <c r="I1663" s="55" t="s">
        <v>5434</v>
      </c>
      <c r="K1663" s="180"/>
      <c r="N1663" t="s">
        <v>5571</v>
      </c>
    </row>
    <row r="1664" spans="1:14">
      <c r="A1664" t="s">
        <v>7110</v>
      </c>
      <c r="G1664" s="191"/>
      <c r="I1664" s="55" t="s">
        <v>5434</v>
      </c>
      <c r="K1664" s="180"/>
      <c r="N1664" t="s">
        <v>5571</v>
      </c>
    </row>
    <row r="1665" spans="1:14">
      <c r="A1665" t="s">
        <v>7111</v>
      </c>
      <c r="G1665" s="191"/>
      <c r="I1665" s="55" t="s">
        <v>5434</v>
      </c>
      <c r="K1665" s="180" t="s">
        <v>7063</v>
      </c>
      <c r="N1665" t="s">
        <v>5571</v>
      </c>
    </row>
    <row r="1666" spans="1:14">
      <c r="A1666" s="176" t="s">
        <v>7112</v>
      </c>
      <c r="B1666" s="177"/>
      <c r="C1666" s="177"/>
      <c r="D1666" s="177"/>
      <c r="E1666" s="177"/>
      <c r="F1666" s="177">
        <v>10</v>
      </c>
      <c r="G1666" s="192" t="s">
        <v>2248</v>
      </c>
      <c r="H1666" s="177">
        <v>40</v>
      </c>
      <c r="I1666" s="190" t="s">
        <v>5434</v>
      </c>
      <c r="J1666" s="177" t="s">
        <v>5577</v>
      </c>
      <c r="K1666" s="178" t="s">
        <v>5583</v>
      </c>
      <c r="N1666" t="s">
        <v>5571</v>
      </c>
    </row>
    <row r="1667" spans="1:14">
      <c r="A1667" s="179" t="s">
        <v>7113</v>
      </c>
      <c r="G1667" s="191"/>
      <c r="I1667" s="55" t="s">
        <v>5434</v>
      </c>
      <c r="J1667" t="s">
        <v>5585</v>
      </c>
      <c r="K1667" s="180" t="s">
        <v>5671</v>
      </c>
      <c r="N1667" t="s">
        <v>5571</v>
      </c>
    </row>
    <row r="1668" spans="1:14">
      <c r="A1668" s="179" t="s">
        <v>7114</v>
      </c>
      <c r="G1668" s="191"/>
      <c r="I1668" s="55" t="s">
        <v>5434</v>
      </c>
      <c r="K1668" s="187" t="s">
        <v>6206</v>
      </c>
      <c r="N1668" t="s">
        <v>5571</v>
      </c>
    </row>
    <row r="1669" spans="1:14">
      <c r="A1669" s="179" t="s">
        <v>7115</v>
      </c>
      <c r="G1669" s="191"/>
      <c r="I1669" s="55" t="s">
        <v>5434</v>
      </c>
      <c r="K1669" s="180"/>
      <c r="N1669" t="s">
        <v>5571</v>
      </c>
    </row>
    <row r="1670" spans="1:14">
      <c r="A1670" s="179" t="s">
        <v>7116</v>
      </c>
      <c r="G1670" s="191"/>
      <c r="I1670" s="55" t="s">
        <v>5434</v>
      </c>
      <c r="K1670" s="180"/>
      <c r="N1670" t="s">
        <v>5571</v>
      </c>
    </row>
    <row r="1671" spans="1:14">
      <c r="A1671" s="179" t="s">
        <v>7117</v>
      </c>
      <c r="G1671" s="191"/>
      <c r="I1671" s="55" t="s">
        <v>5434</v>
      </c>
      <c r="K1671" s="180"/>
      <c r="N1671" t="s">
        <v>5571</v>
      </c>
    </row>
    <row r="1672" spans="1:14">
      <c r="A1672" s="179" t="s">
        <v>7118</v>
      </c>
      <c r="G1672" s="191"/>
      <c r="I1672" s="55" t="s">
        <v>5434</v>
      </c>
      <c r="K1672" s="180"/>
      <c r="N1672" t="s">
        <v>5571</v>
      </c>
    </row>
    <row r="1673" spans="1:14">
      <c r="A1673" s="179" t="s">
        <v>7119</v>
      </c>
      <c r="G1673" s="191"/>
      <c r="I1673" s="55" t="s">
        <v>5434</v>
      </c>
      <c r="K1673" s="180"/>
      <c r="N1673" t="s">
        <v>5571</v>
      </c>
    </row>
    <row r="1674" spans="1:14">
      <c r="A1674" s="179" t="s">
        <v>7120</v>
      </c>
      <c r="G1674" s="191"/>
      <c r="I1674" s="55" t="s">
        <v>5434</v>
      </c>
      <c r="K1674" s="180"/>
      <c r="N1674" t="s">
        <v>5571</v>
      </c>
    </row>
    <row r="1675" spans="1:14">
      <c r="A1675" s="179" t="s">
        <v>7121</v>
      </c>
      <c r="G1675" s="191"/>
      <c r="I1675" s="55" t="s">
        <v>5434</v>
      </c>
      <c r="K1675" s="180"/>
      <c r="N1675" t="s">
        <v>5571</v>
      </c>
    </row>
    <row r="1676" spans="1:14">
      <c r="A1676" s="179" t="s">
        <v>7122</v>
      </c>
      <c r="G1676" s="191"/>
      <c r="I1676" s="55" t="s">
        <v>5434</v>
      </c>
      <c r="K1676" s="180"/>
      <c r="N1676" t="s">
        <v>5571</v>
      </c>
    </row>
    <row r="1677" spans="1:14">
      <c r="A1677" s="179" t="s">
        <v>7123</v>
      </c>
      <c r="G1677" s="191"/>
      <c r="I1677" s="55" t="s">
        <v>5434</v>
      </c>
      <c r="K1677" s="180" t="s">
        <v>7063</v>
      </c>
      <c r="N1677" t="s">
        <v>5571</v>
      </c>
    </row>
    <row r="1678" spans="1:14">
      <c r="A1678" s="176" t="s">
        <v>7124</v>
      </c>
      <c r="B1678" s="177"/>
      <c r="C1678" s="177"/>
      <c r="D1678" s="177"/>
      <c r="E1678" s="177"/>
      <c r="F1678" s="177">
        <v>10</v>
      </c>
      <c r="G1678" s="192" t="s">
        <v>2248</v>
      </c>
      <c r="H1678" s="177">
        <v>40</v>
      </c>
      <c r="I1678" s="190" t="s">
        <v>5434</v>
      </c>
      <c r="J1678" s="177" t="s">
        <v>5577</v>
      </c>
      <c r="K1678" s="178" t="s">
        <v>5583</v>
      </c>
      <c r="N1678" t="s">
        <v>5571</v>
      </c>
    </row>
    <row r="1679" spans="1:14">
      <c r="A1679" s="179" t="s">
        <v>7125</v>
      </c>
      <c r="G1679" s="191"/>
      <c r="I1679" s="55" t="s">
        <v>5434</v>
      </c>
      <c r="J1679" t="s">
        <v>5585</v>
      </c>
      <c r="K1679" s="180" t="s">
        <v>5671</v>
      </c>
      <c r="N1679" t="s">
        <v>5571</v>
      </c>
    </row>
    <row r="1680" spans="1:14">
      <c r="A1680" s="179" t="s">
        <v>7126</v>
      </c>
      <c r="G1680" s="191"/>
      <c r="I1680" s="55" t="s">
        <v>5434</v>
      </c>
      <c r="K1680" s="187" t="s">
        <v>6206</v>
      </c>
      <c r="N1680" t="s">
        <v>5571</v>
      </c>
    </row>
    <row r="1681" spans="1:17">
      <c r="A1681" s="179" t="s">
        <v>7127</v>
      </c>
      <c r="G1681" s="191"/>
      <c r="I1681" s="55" t="s">
        <v>5434</v>
      </c>
      <c r="K1681" s="180"/>
      <c r="N1681" t="s">
        <v>5571</v>
      </c>
    </row>
    <row r="1682" spans="1:17">
      <c r="A1682" s="179" t="s">
        <v>7128</v>
      </c>
      <c r="G1682" s="191"/>
      <c r="I1682" s="55" t="s">
        <v>5434</v>
      </c>
      <c r="K1682" s="180"/>
      <c r="N1682" t="s">
        <v>5571</v>
      </c>
    </row>
    <row r="1683" spans="1:17">
      <c r="A1683" s="179" t="s">
        <v>7129</v>
      </c>
      <c r="G1683" s="191"/>
      <c r="I1683" s="55" t="s">
        <v>5434</v>
      </c>
      <c r="K1683" s="180"/>
      <c r="N1683" t="s">
        <v>5571</v>
      </c>
    </row>
    <row r="1684" spans="1:17">
      <c r="A1684" s="179" t="s">
        <v>7130</v>
      </c>
      <c r="G1684" s="191"/>
      <c r="I1684" s="55" t="s">
        <v>5434</v>
      </c>
      <c r="K1684" s="180"/>
      <c r="N1684" t="s">
        <v>5571</v>
      </c>
    </row>
    <row r="1685" spans="1:17">
      <c r="A1685" s="179" t="s">
        <v>7131</v>
      </c>
      <c r="G1685" s="191"/>
      <c r="I1685" s="55" t="s">
        <v>5434</v>
      </c>
      <c r="K1685" s="180"/>
      <c r="N1685" t="s">
        <v>5571</v>
      </c>
    </row>
    <row r="1686" spans="1:17">
      <c r="A1686" s="179" t="s">
        <v>7132</v>
      </c>
      <c r="G1686" s="191"/>
      <c r="I1686" s="55" t="s">
        <v>5434</v>
      </c>
      <c r="K1686" s="180"/>
      <c r="N1686" t="s">
        <v>5571</v>
      </c>
    </row>
    <row r="1687" spans="1:17">
      <c r="A1687" s="179" t="s">
        <v>7133</v>
      </c>
      <c r="G1687" s="191"/>
      <c r="I1687" s="55" t="s">
        <v>5434</v>
      </c>
      <c r="K1687" s="180"/>
      <c r="N1687" t="s">
        <v>5571</v>
      </c>
    </row>
    <row r="1688" spans="1:17">
      <c r="A1688" s="179" t="s">
        <v>7134</v>
      </c>
      <c r="G1688" s="191"/>
      <c r="I1688" s="55" t="s">
        <v>5434</v>
      </c>
      <c r="K1688" s="180"/>
      <c r="N1688" t="s">
        <v>5571</v>
      </c>
    </row>
    <row r="1689" spans="1:17">
      <c r="A1689" s="179" t="s">
        <v>7135</v>
      </c>
      <c r="G1689" s="191"/>
      <c r="I1689" s="55" t="s">
        <v>5434</v>
      </c>
      <c r="K1689" s="180" t="s">
        <v>7063</v>
      </c>
      <c r="N1689" t="s">
        <v>5571</v>
      </c>
    </row>
    <row r="1690" spans="1:17">
      <c r="A1690" s="176" t="s">
        <v>7136</v>
      </c>
      <c r="B1690" s="177"/>
      <c r="C1690" s="177"/>
      <c r="D1690" s="177"/>
      <c r="E1690" s="177"/>
      <c r="F1690" s="177">
        <v>10</v>
      </c>
      <c r="G1690" s="192" t="s">
        <v>2248</v>
      </c>
      <c r="H1690" s="177">
        <v>40</v>
      </c>
      <c r="I1690" s="177"/>
      <c r="J1690" s="177" t="s">
        <v>5577</v>
      </c>
      <c r="K1690" s="178" t="s">
        <v>5583</v>
      </c>
      <c r="M1690" t="s">
        <v>2246</v>
      </c>
      <c r="N1690" t="s">
        <v>5571</v>
      </c>
      <c r="O1690" t="s">
        <v>4928</v>
      </c>
      <c r="Q1690" t="str">
        <f t="shared" ref="Q1690:Q1753" si="90">"condorProc.py --series "&amp;A1690&amp;" --donoise --dumps a --procenv environments/pymidas_HVHV_NaI_mf.env"</f>
        <v>condorProc.py --series 07180828_1021 --donoise --dumps a --procenv environments/pymidas_HVHV_NaI_mf.env</v>
      </c>
    </row>
    <row r="1691" spans="1:17">
      <c r="A1691" s="179" t="s">
        <v>7137</v>
      </c>
      <c r="G1691" s="191"/>
      <c r="J1691" t="s">
        <v>5585</v>
      </c>
      <c r="K1691" s="180" t="s">
        <v>5671</v>
      </c>
      <c r="M1691" t="s">
        <v>2246</v>
      </c>
      <c r="N1691" t="s">
        <v>5571</v>
      </c>
      <c r="O1691" t="s">
        <v>4928</v>
      </c>
      <c r="Q1691" t="str">
        <f t="shared" si="90"/>
        <v>condorProc.py --series 07180828_1031 --donoise --dumps a --procenv environments/pymidas_HVHV_NaI_mf.env</v>
      </c>
    </row>
    <row r="1692" spans="1:17">
      <c r="A1692" s="179" t="s">
        <v>7138</v>
      </c>
      <c r="G1692" s="191"/>
      <c r="K1692" s="187" t="s">
        <v>6206</v>
      </c>
      <c r="M1692" t="s">
        <v>2246</v>
      </c>
      <c r="N1692" t="s">
        <v>5571</v>
      </c>
      <c r="O1692" t="s">
        <v>4928</v>
      </c>
      <c r="Q1692" t="str">
        <f t="shared" si="90"/>
        <v>condorProc.py --series 07180828_1041 --donoise --dumps a --procenv environments/pymidas_HVHV_NaI_mf.env</v>
      </c>
    </row>
    <row r="1693" spans="1:17">
      <c r="A1693" s="179" t="s">
        <v>7139</v>
      </c>
      <c r="G1693" s="191"/>
      <c r="K1693" s="180"/>
      <c r="M1693" t="s">
        <v>2246</v>
      </c>
      <c r="N1693" t="s">
        <v>5571</v>
      </c>
      <c r="O1693" t="s">
        <v>4928</v>
      </c>
      <c r="Q1693" t="str">
        <f t="shared" si="90"/>
        <v>condorProc.py --series 07180828_1051 --donoise --dumps a --procenv environments/pymidas_HVHV_NaI_mf.env</v>
      </c>
    </row>
    <row r="1694" spans="1:17">
      <c r="A1694" s="179" t="s">
        <v>7140</v>
      </c>
      <c r="G1694" s="191"/>
      <c r="K1694" s="180"/>
      <c r="M1694" t="s">
        <v>2246</v>
      </c>
      <c r="N1694" t="s">
        <v>5571</v>
      </c>
      <c r="O1694" t="s">
        <v>4928</v>
      </c>
      <c r="Q1694" t="str">
        <f t="shared" si="90"/>
        <v>condorProc.py --series 07180828_1102 --donoise --dumps a --procenv environments/pymidas_HVHV_NaI_mf.env</v>
      </c>
    </row>
    <row r="1695" spans="1:17">
      <c r="A1695" s="179" t="s">
        <v>7141</v>
      </c>
      <c r="G1695" s="191"/>
      <c r="K1695" s="180"/>
      <c r="M1695" t="s">
        <v>2246</v>
      </c>
      <c r="N1695" t="s">
        <v>5571</v>
      </c>
      <c r="O1695" t="s">
        <v>4928</v>
      </c>
      <c r="Q1695" t="str">
        <f t="shared" si="90"/>
        <v>condorProc.py --series 07180828_1112 --donoise --dumps a --procenv environments/pymidas_HVHV_NaI_mf.env</v>
      </c>
    </row>
    <row r="1696" spans="1:17">
      <c r="A1696" s="179" t="s">
        <v>7142</v>
      </c>
      <c r="G1696" s="191"/>
      <c r="K1696" s="180"/>
      <c r="M1696" t="s">
        <v>2246</v>
      </c>
      <c r="N1696" t="s">
        <v>5571</v>
      </c>
      <c r="O1696" t="s">
        <v>4928</v>
      </c>
      <c r="Q1696" t="str">
        <f t="shared" si="90"/>
        <v>condorProc.py --series 07180828_1122 --donoise --dumps a --procenv environments/pymidas_HVHV_NaI_mf.env</v>
      </c>
    </row>
    <row r="1697" spans="1:18">
      <c r="A1697" s="179" t="s">
        <v>7143</v>
      </c>
      <c r="G1697" s="191"/>
      <c r="K1697" s="180"/>
      <c r="M1697" t="s">
        <v>2246</v>
      </c>
      <c r="N1697" t="s">
        <v>5571</v>
      </c>
      <c r="O1697" t="s">
        <v>4928</v>
      </c>
      <c r="Q1697" t="str">
        <f t="shared" si="90"/>
        <v>condorProc.py --series 07180828_1132 --donoise --dumps a --procenv environments/pymidas_HVHV_NaI_mf.env</v>
      </c>
    </row>
    <row r="1698" spans="1:18">
      <c r="A1698" s="179" t="s">
        <v>7144</v>
      </c>
      <c r="G1698" s="191"/>
      <c r="K1698" s="180"/>
      <c r="M1698" t="s">
        <v>2246</v>
      </c>
      <c r="N1698" t="s">
        <v>5571</v>
      </c>
      <c r="O1698" t="s">
        <v>4928</v>
      </c>
      <c r="Q1698" t="str">
        <f t="shared" si="90"/>
        <v>condorProc.py --series 07180828_1142 --donoise --dumps a --procenv environments/pymidas_HVHV_NaI_mf.env</v>
      </c>
    </row>
    <row r="1699" spans="1:18">
      <c r="A1699" s="179" t="s">
        <v>7145</v>
      </c>
      <c r="G1699" s="191"/>
      <c r="K1699" s="180"/>
      <c r="M1699" t="s">
        <v>2246</v>
      </c>
      <c r="N1699" t="s">
        <v>5571</v>
      </c>
      <c r="O1699" t="s">
        <v>4928</v>
      </c>
      <c r="Q1699" t="str">
        <f t="shared" si="90"/>
        <v>condorProc.py --series 07180828_1152 --donoise --dumps a --procenv environments/pymidas_HVHV_NaI_mf.env</v>
      </c>
    </row>
    <row r="1700" spans="1:18">
      <c r="A1700" s="179" t="s">
        <v>7146</v>
      </c>
      <c r="G1700" s="191"/>
      <c r="K1700" s="180"/>
      <c r="L1700" t="s">
        <v>7049</v>
      </c>
      <c r="M1700" t="s">
        <v>2246</v>
      </c>
      <c r="N1700" t="s">
        <v>5571</v>
      </c>
      <c r="O1700" t="s">
        <v>4928</v>
      </c>
      <c r="Q1700" t="str">
        <f t="shared" si="90"/>
        <v>condorProc.py --series 07180828_1202 --donoise --dumps a --procenv environments/pymidas_HVHV_NaI_mf.env</v>
      </c>
    </row>
    <row r="1701" spans="1:18">
      <c r="A1701" s="179" t="s">
        <v>7147</v>
      </c>
      <c r="G1701" s="191"/>
      <c r="I1701" t="s">
        <v>75</v>
      </c>
      <c r="K1701" s="180"/>
      <c r="L1701">
        <f>12+L1605</f>
        <v>829</v>
      </c>
      <c r="M1701" t="s">
        <v>2246</v>
      </c>
      <c r="N1701" t="s">
        <v>5571</v>
      </c>
      <c r="O1701" t="s">
        <v>4928</v>
      </c>
      <c r="Q1701" t="str">
        <f t="shared" si="90"/>
        <v>condorProc.py --series 07180828_1212 --donoise --dumps a --procenv environments/pymidas_HVHV_NaI_mf.env</v>
      </c>
    </row>
    <row r="1702" spans="1:18">
      <c r="A1702" s="176" t="s">
        <v>7148</v>
      </c>
      <c r="B1702" s="177"/>
      <c r="C1702" s="177"/>
      <c r="D1702" s="177"/>
      <c r="E1702" s="177"/>
      <c r="F1702" s="177">
        <v>10</v>
      </c>
      <c r="G1702" s="200" t="s">
        <v>2248</v>
      </c>
      <c r="H1702" s="177">
        <v>40</v>
      </c>
      <c r="I1702" s="177"/>
      <c r="J1702" s="177" t="s">
        <v>5577</v>
      </c>
      <c r="K1702" s="178" t="s">
        <v>5583</v>
      </c>
      <c r="L1702">
        <f>L1701/6</f>
        <v>138.16666666666666</v>
      </c>
      <c r="M1702" t="s">
        <v>2246</v>
      </c>
      <c r="N1702" t="s">
        <v>5571</v>
      </c>
      <c r="Q1702" t="str">
        <f t="shared" si="90"/>
        <v>condorProc.py --series 07180828_1304 --donoise --dumps a --procenv environments/pymidas_HVHV_NaI_mf.env</v>
      </c>
      <c r="R1702" t="str">
        <f>""""&amp;A1702&amp;""""</f>
        <v>"07180828_1304"</v>
      </c>
    </row>
    <row r="1703" spans="1:18">
      <c r="A1703" s="179" t="s">
        <v>7149</v>
      </c>
      <c r="G1703" s="201" t="s">
        <v>18</v>
      </c>
      <c r="J1703" t="s">
        <v>5585</v>
      </c>
      <c r="K1703" s="180" t="s">
        <v>5671</v>
      </c>
      <c r="M1703" t="s">
        <v>2246</v>
      </c>
      <c r="N1703" t="s">
        <v>5571</v>
      </c>
      <c r="O1703" t="s">
        <v>4925</v>
      </c>
      <c r="Q1703" t="str">
        <f t="shared" si="90"/>
        <v>condorProc.py --series 07180828_1314 --donoise --dumps a --procenv environments/pymidas_HVHV_NaI_mf.env</v>
      </c>
      <c r="R1703" t="str">
        <f>R1702&amp;", """&amp;A1703&amp;""""</f>
        <v>"07180828_1304", "07180828_1314"</v>
      </c>
    </row>
    <row r="1704" spans="1:18">
      <c r="A1704" s="179" t="s">
        <v>7150</v>
      </c>
      <c r="G1704" s="201" t="s">
        <v>18</v>
      </c>
      <c r="K1704" s="187" t="s">
        <v>6206</v>
      </c>
      <c r="M1704" t="s">
        <v>2246</v>
      </c>
      <c r="N1704" t="s">
        <v>5571</v>
      </c>
      <c r="O1704" t="s">
        <v>4925</v>
      </c>
      <c r="Q1704" t="str">
        <f t="shared" si="90"/>
        <v>condorProc.py --series 07180828_1324 --donoise --dumps a --procenv environments/pymidas_HVHV_NaI_mf.env</v>
      </c>
      <c r="R1704" t="str">
        <f t="shared" ref="R1704:R1713" si="91">R1703&amp;", """&amp;A1704&amp;""""</f>
        <v>"07180828_1304", "07180828_1314", "07180828_1324"</v>
      </c>
    </row>
    <row r="1705" spans="1:18">
      <c r="A1705" s="179" t="s">
        <v>7151</v>
      </c>
      <c r="G1705" s="201" t="s">
        <v>18</v>
      </c>
      <c r="K1705" s="180"/>
      <c r="M1705" t="s">
        <v>2246</v>
      </c>
      <c r="N1705" t="s">
        <v>5571</v>
      </c>
      <c r="O1705" t="s">
        <v>4925</v>
      </c>
      <c r="Q1705" t="str">
        <f t="shared" si="90"/>
        <v>condorProc.py --series 07180828_1334 --donoise --dumps a --procenv environments/pymidas_HVHV_NaI_mf.env</v>
      </c>
      <c r="R1705" t="str">
        <f t="shared" si="91"/>
        <v>"07180828_1304", "07180828_1314", "07180828_1324", "07180828_1334"</v>
      </c>
    </row>
    <row r="1706" spans="1:18">
      <c r="A1706" s="179" t="s">
        <v>7152</v>
      </c>
      <c r="G1706" s="201" t="s">
        <v>18</v>
      </c>
      <c r="K1706" s="180"/>
      <c r="M1706" t="s">
        <v>2246</v>
      </c>
      <c r="N1706" t="s">
        <v>5571</v>
      </c>
      <c r="O1706" t="s">
        <v>4925</v>
      </c>
      <c r="Q1706" t="str">
        <f t="shared" si="90"/>
        <v>condorProc.py --series 07180828_1344 --donoise --dumps a --procenv environments/pymidas_HVHV_NaI_mf.env</v>
      </c>
      <c r="R1706" t="str">
        <f t="shared" si="91"/>
        <v>"07180828_1304", "07180828_1314", "07180828_1324", "07180828_1334", "07180828_1344"</v>
      </c>
    </row>
    <row r="1707" spans="1:18">
      <c r="A1707" s="179" t="s">
        <v>7153</v>
      </c>
      <c r="G1707" s="201" t="s">
        <v>18</v>
      </c>
      <c r="K1707" s="180"/>
      <c r="M1707" t="s">
        <v>2246</v>
      </c>
      <c r="N1707" t="s">
        <v>5571</v>
      </c>
      <c r="O1707" t="s">
        <v>4925</v>
      </c>
      <c r="Q1707" t="str">
        <f t="shared" si="90"/>
        <v>condorProc.py --series 07180828_1355 --donoise --dumps a --procenv environments/pymidas_HVHV_NaI_mf.env</v>
      </c>
      <c r="R1707" t="str">
        <f t="shared" si="91"/>
        <v>"07180828_1304", "07180828_1314", "07180828_1324", "07180828_1334", "07180828_1344", "07180828_1355"</v>
      </c>
    </row>
    <row r="1708" spans="1:18">
      <c r="A1708" s="179" t="s">
        <v>7154</v>
      </c>
      <c r="G1708" s="201" t="s">
        <v>18</v>
      </c>
      <c r="K1708" s="180"/>
      <c r="M1708" t="s">
        <v>2246</v>
      </c>
      <c r="N1708" t="s">
        <v>5571</v>
      </c>
      <c r="O1708" t="s">
        <v>4925</v>
      </c>
      <c r="Q1708" t="str">
        <f t="shared" si="90"/>
        <v>condorProc.py --series 07180828_1405 --donoise --dumps a --procenv environments/pymidas_HVHV_NaI_mf.env</v>
      </c>
      <c r="R1708" t="str">
        <f t="shared" si="91"/>
        <v>"07180828_1304", "07180828_1314", "07180828_1324", "07180828_1334", "07180828_1344", "07180828_1355", "07180828_1405"</v>
      </c>
    </row>
    <row r="1709" spans="1:18">
      <c r="A1709" s="179" t="s">
        <v>7155</v>
      </c>
      <c r="G1709" s="201" t="s">
        <v>18</v>
      </c>
      <c r="K1709" s="180"/>
      <c r="M1709" t="s">
        <v>2246</v>
      </c>
      <c r="N1709" t="s">
        <v>5571</v>
      </c>
      <c r="O1709" t="s">
        <v>4925</v>
      </c>
      <c r="Q1709" t="str">
        <f t="shared" si="90"/>
        <v>condorProc.py --series 07180828_1415 --donoise --dumps a --procenv environments/pymidas_HVHV_NaI_mf.env</v>
      </c>
      <c r="R1709" t="str">
        <f t="shared" si="91"/>
        <v>"07180828_1304", "07180828_1314", "07180828_1324", "07180828_1334", "07180828_1344", "07180828_1355", "07180828_1405", "07180828_1415"</v>
      </c>
    </row>
    <row r="1710" spans="1:18">
      <c r="A1710" s="179" t="s">
        <v>7156</v>
      </c>
      <c r="G1710" s="201" t="s">
        <v>18</v>
      </c>
      <c r="K1710" s="180"/>
      <c r="M1710" t="s">
        <v>2246</v>
      </c>
      <c r="N1710" t="s">
        <v>5571</v>
      </c>
      <c r="O1710" t="s">
        <v>4925</v>
      </c>
      <c r="Q1710" t="str">
        <f t="shared" si="90"/>
        <v>condorProc.py --series 07180828_1425 --donoise --dumps a --procenv environments/pymidas_HVHV_NaI_mf.env</v>
      </c>
      <c r="R1710" t="str">
        <f t="shared" si="91"/>
        <v>"07180828_1304", "07180828_1314", "07180828_1324", "07180828_1334", "07180828_1344", "07180828_1355", "07180828_1405", "07180828_1415", "07180828_1425"</v>
      </c>
    </row>
    <row r="1711" spans="1:18">
      <c r="A1711" s="179" t="s">
        <v>7157</v>
      </c>
      <c r="G1711" s="201" t="s">
        <v>18</v>
      </c>
      <c r="K1711" s="180"/>
      <c r="M1711" t="s">
        <v>2246</v>
      </c>
      <c r="N1711" t="s">
        <v>5571</v>
      </c>
      <c r="O1711" t="s">
        <v>4925</v>
      </c>
      <c r="Q1711" t="str">
        <f t="shared" si="90"/>
        <v>condorProc.py --series 07180828_1435 --donoise --dumps a --procenv environments/pymidas_HVHV_NaI_mf.env</v>
      </c>
      <c r="R1711" t="str">
        <f t="shared" si="91"/>
        <v>"07180828_1304", "07180828_1314", "07180828_1324", "07180828_1334", "07180828_1344", "07180828_1355", "07180828_1405", "07180828_1415", "07180828_1425", "07180828_1435"</v>
      </c>
    </row>
    <row r="1712" spans="1:18">
      <c r="A1712" s="179" t="s">
        <v>7158</v>
      </c>
      <c r="G1712" s="201" t="s">
        <v>18</v>
      </c>
      <c r="K1712" s="180"/>
      <c r="M1712" t="s">
        <v>2246</v>
      </c>
      <c r="N1712" t="s">
        <v>5571</v>
      </c>
      <c r="O1712" t="s">
        <v>4925</v>
      </c>
      <c r="Q1712" t="str">
        <f t="shared" si="90"/>
        <v>condorProc.py --series 07180828_1445 --donoise --dumps a --procenv environments/pymidas_HVHV_NaI_mf.env</v>
      </c>
      <c r="R1712" t="str">
        <f t="shared" si="91"/>
        <v>"07180828_1304", "07180828_1314", "07180828_1324", "07180828_1334", "07180828_1344", "07180828_1355", "07180828_1405", "07180828_1415", "07180828_1425", "07180828_1435", "07180828_1445"</v>
      </c>
    </row>
    <row r="1713" spans="1:18">
      <c r="A1713" s="179" t="s">
        <v>7159</v>
      </c>
      <c r="G1713" s="62" t="s">
        <v>18</v>
      </c>
      <c r="I1713" t="s">
        <v>75</v>
      </c>
      <c r="K1713" s="180"/>
      <c r="M1713" t="s">
        <v>2246</v>
      </c>
      <c r="N1713" t="s">
        <v>5571</v>
      </c>
      <c r="O1713" t="s">
        <v>4925</v>
      </c>
      <c r="Q1713" t="str">
        <f t="shared" si="90"/>
        <v>condorProc.py --series 07180828_1455 --donoise --dumps a --procenv environments/pymidas_HVHV_NaI_mf.env</v>
      </c>
      <c r="R1713" t="str">
        <f t="shared" si="91"/>
        <v>"07180828_1304", "07180828_1314", "07180828_1324", "07180828_1334", "07180828_1344", "07180828_1355", "07180828_1405", "07180828_1415", "07180828_1425", "07180828_1435", "07180828_1445", "07180828_1455"</v>
      </c>
    </row>
    <row r="1714" spans="1:18">
      <c r="A1714" s="176" t="s">
        <v>7160</v>
      </c>
      <c r="B1714" s="177"/>
      <c r="C1714" s="177"/>
      <c r="D1714" s="177"/>
      <c r="E1714" s="177"/>
      <c r="F1714" s="177">
        <v>10</v>
      </c>
      <c r="G1714" s="177" t="s">
        <v>18</v>
      </c>
      <c r="H1714" s="177">
        <v>40</v>
      </c>
      <c r="I1714" s="177"/>
      <c r="J1714" s="177" t="s">
        <v>5577</v>
      </c>
      <c r="K1714" s="178" t="s">
        <v>5583</v>
      </c>
      <c r="M1714" t="s">
        <v>2246</v>
      </c>
      <c r="N1714" t="s">
        <v>5571</v>
      </c>
      <c r="O1714" t="s">
        <v>4925</v>
      </c>
      <c r="Q1714" t="str">
        <f t="shared" si="90"/>
        <v>condorProc.py --series 07180829_0858 --donoise --dumps a --procenv environments/pymidas_HVHV_NaI_mf.env</v>
      </c>
      <c r="R1714" t="str">
        <f>""""&amp;A1714&amp;""""</f>
        <v>"07180829_0858"</v>
      </c>
    </row>
    <row r="1715" spans="1:18">
      <c r="A1715" s="179" t="s">
        <v>7161</v>
      </c>
      <c r="J1715" t="s">
        <v>5585</v>
      </c>
      <c r="K1715" s="180" t="s">
        <v>5671</v>
      </c>
      <c r="M1715" t="s">
        <v>2246</v>
      </c>
      <c r="N1715" t="s">
        <v>5571</v>
      </c>
      <c r="O1715" t="s">
        <v>4925</v>
      </c>
      <c r="Q1715" t="str">
        <f t="shared" si="90"/>
        <v>condorProc.py --series 07180829_0908 --donoise --dumps a --procenv environments/pymidas_HVHV_NaI_mf.env</v>
      </c>
      <c r="R1715" t="str">
        <f>R1714&amp;", """&amp;A1715&amp;""""</f>
        <v>"07180829_0858", "07180829_0908"</v>
      </c>
    </row>
    <row r="1716" spans="1:18">
      <c r="A1716" s="179" t="s">
        <v>7162</v>
      </c>
      <c r="K1716" s="187" t="s">
        <v>6206</v>
      </c>
      <c r="M1716" t="s">
        <v>2246</v>
      </c>
      <c r="N1716" t="s">
        <v>5571</v>
      </c>
      <c r="O1716" t="s">
        <v>4925</v>
      </c>
      <c r="Q1716" t="str">
        <f t="shared" si="90"/>
        <v>condorProc.py --series 07180829_0919 --donoise --dumps a --procenv environments/pymidas_HVHV_NaI_mf.env</v>
      </c>
      <c r="R1716" t="str">
        <f t="shared" ref="R1716:R1722" si="92">R1715&amp;", """&amp;A1716&amp;""""</f>
        <v>"07180829_0858", "07180829_0908", "07180829_0919"</v>
      </c>
    </row>
    <row r="1717" spans="1:18">
      <c r="A1717" s="179" t="s">
        <v>7163</v>
      </c>
      <c r="K1717" s="180"/>
      <c r="M1717" t="s">
        <v>2246</v>
      </c>
      <c r="N1717" t="s">
        <v>5571</v>
      </c>
      <c r="O1717" t="s">
        <v>4925</v>
      </c>
      <c r="Q1717" t="str">
        <f t="shared" si="90"/>
        <v>condorProc.py --series 07180829_0929 --donoise --dumps a --procenv environments/pymidas_HVHV_NaI_mf.env</v>
      </c>
      <c r="R1717" t="str">
        <f t="shared" si="92"/>
        <v>"07180829_0858", "07180829_0908", "07180829_0919", "07180829_0929"</v>
      </c>
    </row>
    <row r="1718" spans="1:18">
      <c r="A1718" s="179" t="s">
        <v>7164</v>
      </c>
      <c r="K1718" s="180"/>
      <c r="M1718" t="s">
        <v>2246</v>
      </c>
      <c r="N1718" t="s">
        <v>5571</v>
      </c>
      <c r="O1718" t="s">
        <v>4925</v>
      </c>
      <c r="Q1718" t="str">
        <f t="shared" si="90"/>
        <v>condorProc.py --series 07180829_0939 --donoise --dumps a --procenv environments/pymidas_HVHV_NaI_mf.env</v>
      </c>
      <c r="R1718" t="str">
        <f t="shared" si="92"/>
        <v>"07180829_0858", "07180829_0908", "07180829_0919", "07180829_0929", "07180829_0939"</v>
      </c>
    </row>
    <row r="1719" spans="1:18">
      <c r="A1719" s="179" t="s">
        <v>7165</v>
      </c>
      <c r="K1719" s="180"/>
      <c r="M1719" t="s">
        <v>2246</v>
      </c>
      <c r="N1719" t="s">
        <v>5571</v>
      </c>
      <c r="O1719" t="s">
        <v>4925</v>
      </c>
      <c r="Q1719" t="str">
        <f t="shared" si="90"/>
        <v>condorProc.py --series 07180829_0949 --donoise --dumps a --procenv environments/pymidas_HVHV_NaI_mf.env</v>
      </c>
      <c r="R1719" t="str">
        <f t="shared" si="92"/>
        <v>"07180829_0858", "07180829_0908", "07180829_0919", "07180829_0929", "07180829_0939", "07180829_0949"</v>
      </c>
    </row>
    <row r="1720" spans="1:18">
      <c r="A1720" s="179" t="s">
        <v>7166</v>
      </c>
      <c r="K1720" s="180"/>
      <c r="M1720" t="s">
        <v>2246</v>
      </c>
      <c r="N1720" t="s">
        <v>5571</v>
      </c>
      <c r="O1720" t="s">
        <v>4925</v>
      </c>
      <c r="Q1720" t="str">
        <f t="shared" si="90"/>
        <v>condorProc.py --series 07180829_0959 --donoise --dumps a --procenv environments/pymidas_HVHV_NaI_mf.env</v>
      </c>
      <c r="R1720" t="str">
        <f t="shared" si="92"/>
        <v>"07180829_0858", "07180829_0908", "07180829_0919", "07180829_0929", "07180829_0939", "07180829_0949", "07180829_0959"</v>
      </c>
    </row>
    <row r="1721" spans="1:18">
      <c r="A1721" s="179" t="s">
        <v>7167</v>
      </c>
      <c r="K1721" s="180"/>
      <c r="M1721" t="s">
        <v>2246</v>
      </c>
      <c r="N1721" t="s">
        <v>5571</v>
      </c>
      <c r="O1721" t="s">
        <v>4925</v>
      </c>
      <c r="Q1721" t="str">
        <f t="shared" si="90"/>
        <v>condorProc.py --series 07180829_1009 --donoise --dumps a --procenv environments/pymidas_HVHV_NaI_mf.env</v>
      </c>
      <c r="R1721" t="str">
        <f t="shared" si="92"/>
        <v>"07180829_0858", "07180829_0908", "07180829_0919", "07180829_0929", "07180829_0939", "07180829_0949", "07180829_0959", "07180829_1009"</v>
      </c>
    </row>
    <row r="1722" spans="1:18">
      <c r="A1722" s="179" t="s">
        <v>7168</v>
      </c>
      <c r="I1722" t="s">
        <v>75</v>
      </c>
      <c r="K1722" s="180"/>
      <c r="M1722" t="s">
        <v>2246</v>
      </c>
      <c r="N1722" t="s">
        <v>5571</v>
      </c>
      <c r="O1722" t="s">
        <v>4925</v>
      </c>
      <c r="Q1722" t="str">
        <f t="shared" si="90"/>
        <v>condorProc.py --series 07180829_1019 --donoise --dumps a --procenv environments/pymidas_HVHV_NaI_mf.env</v>
      </c>
      <c r="R1722" t="str">
        <f t="shared" si="92"/>
        <v>"07180829_0858", "07180829_0908", "07180829_0919", "07180829_0929", "07180829_0939", "07180829_0949", "07180829_0959", "07180829_1009", "07180829_1019"</v>
      </c>
    </row>
    <row r="1723" spans="1:18">
      <c r="A1723" s="176" t="s">
        <v>7169</v>
      </c>
      <c r="B1723" s="177"/>
      <c r="C1723" s="177"/>
      <c r="D1723" s="177"/>
      <c r="E1723" s="177"/>
      <c r="F1723" s="177">
        <v>10</v>
      </c>
      <c r="G1723" s="177" t="s">
        <v>18</v>
      </c>
      <c r="H1723" s="177">
        <v>-40</v>
      </c>
      <c r="I1723" s="177"/>
      <c r="J1723" s="177" t="s">
        <v>5577</v>
      </c>
      <c r="K1723" s="178" t="s">
        <v>5583</v>
      </c>
      <c r="M1723" t="s">
        <v>2246</v>
      </c>
      <c r="N1723" t="s">
        <v>5571</v>
      </c>
      <c r="O1723" t="s">
        <v>4926</v>
      </c>
      <c r="Q1723" t="str">
        <f t="shared" si="90"/>
        <v>condorProc.py --series 07180829_1133 --donoise --dumps a --procenv environments/pymidas_HVHV_NaI_mf.env</v>
      </c>
      <c r="R1723" t="str">
        <f>""""&amp;A1723&amp;""""</f>
        <v>"07180829_1133"</v>
      </c>
    </row>
    <row r="1724" spans="1:18">
      <c r="A1724" s="179" t="s">
        <v>7170</v>
      </c>
      <c r="J1724" t="s">
        <v>5585</v>
      </c>
      <c r="K1724" s="180" t="s">
        <v>5671</v>
      </c>
      <c r="M1724" t="s">
        <v>2246</v>
      </c>
      <c r="N1724" t="s">
        <v>5571</v>
      </c>
      <c r="O1724" t="s">
        <v>4926</v>
      </c>
      <c r="Q1724" t="str">
        <f t="shared" si="90"/>
        <v>condorProc.py --series 07180829_1143 --donoise --dumps a --procenv environments/pymidas_HVHV_NaI_mf.env</v>
      </c>
      <c r="R1724" t="str">
        <f>R1723&amp;", """&amp;A1724&amp;""""</f>
        <v>"07180829_1133", "07180829_1143"</v>
      </c>
    </row>
    <row r="1725" spans="1:18">
      <c r="A1725" s="179" t="s">
        <v>7171</v>
      </c>
      <c r="I1725" t="s">
        <v>75</v>
      </c>
      <c r="K1725" s="187" t="s">
        <v>6206</v>
      </c>
      <c r="M1725" t="s">
        <v>2246</v>
      </c>
      <c r="N1725" t="s">
        <v>5571</v>
      </c>
      <c r="O1725" t="s">
        <v>4926</v>
      </c>
      <c r="Q1725" t="str">
        <f t="shared" si="90"/>
        <v>condorProc.py --series 07180829_1153 --donoise --dumps a --procenv environments/pymidas_HVHV_NaI_mf.env</v>
      </c>
      <c r="R1725" t="str">
        <f t="shared" ref="R1725:R1734" si="93">R1724&amp;", """&amp;A1725&amp;""""</f>
        <v>"07180829_1133", "07180829_1143", "07180829_1153"</v>
      </c>
    </row>
    <row r="1726" spans="1:18">
      <c r="A1726" s="179" t="s">
        <v>7172</v>
      </c>
      <c r="K1726" s="180"/>
      <c r="M1726" t="s">
        <v>2246</v>
      </c>
      <c r="N1726" t="s">
        <v>5571</v>
      </c>
      <c r="O1726" t="s">
        <v>4926</v>
      </c>
      <c r="Q1726" t="str">
        <f t="shared" si="90"/>
        <v>condorProc.py --series 07180829_1204 --donoise --dumps a --procenv environments/pymidas_HVHV_NaI_mf.env</v>
      </c>
      <c r="R1726" t="str">
        <f t="shared" si="93"/>
        <v>"07180829_1133", "07180829_1143", "07180829_1153", "07180829_1204"</v>
      </c>
    </row>
    <row r="1727" spans="1:18">
      <c r="A1727" s="179" t="s">
        <v>7173</v>
      </c>
      <c r="K1727" s="180"/>
      <c r="M1727" t="s">
        <v>2246</v>
      </c>
      <c r="N1727" t="s">
        <v>5571</v>
      </c>
      <c r="O1727" t="s">
        <v>4926</v>
      </c>
      <c r="Q1727" t="str">
        <f t="shared" si="90"/>
        <v>condorProc.py --series 07180829_1214 --donoise --dumps a --procenv environments/pymidas_HVHV_NaI_mf.env</v>
      </c>
      <c r="R1727" t="str">
        <f t="shared" si="93"/>
        <v>"07180829_1133", "07180829_1143", "07180829_1153", "07180829_1204", "07180829_1214"</v>
      </c>
    </row>
    <row r="1728" spans="1:18">
      <c r="A1728" s="179" t="s">
        <v>7174</v>
      </c>
      <c r="K1728" s="180"/>
      <c r="M1728" t="s">
        <v>2246</v>
      </c>
      <c r="N1728" t="s">
        <v>5571</v>
      </c>
      <c r="O1728" t="s">
        <v>4926</v>
      </c>
      <c r="Q1728" t="str">
        <f t="shared" si="90"/>
        <v>condorProc.py --series 07180829_1224 --donoise --dumps a --procenv environments/pymidas_HVHV_NaI_mf.env</v>
      </c>
      <c r="R1728" t="str">
        <f t="shared" si="93"/>
        <v>"07180829_1133", "07180829_1143", "07180829_1153", "07180829_1204", "07180829_1214", "07180829_1224"</v>
      </c>
    </row>
    <row r="1729" spans="1:18">
      <c r="A1729" s="179" t="s">
        <v>7175</v>
      </c>
      <c r="K1729" s="180"/>
      <c r="M1729" t="s">
        <v>2246</v>
      </c>
      <c r="N1729" t="s">
        <v>5571</v>
      </c>
      <c r="O1729" t="s">
        <v>4926</v>
      </c>
      <c r="Q1729" t="str">
        <f t="shared" si="90"/>
        <v>condorProc.py --series 07180829_1234 --donoise --dumps a --procenv environments/pymidas_HVHV_NaI_mf.env</v>
      </c>
      <c r="R1729" t="str">
        <f t="shared" si="93"/>
        <v>"07180829_1133", "07180829_1143", "07180829_1153", "07180829_1204", "07180829_1214", "07180829_1224", "07180829_1234"</v>
      </c>
    </row>
    <row r="1730" spans="1:18">
      <c r="A1730" s="179" t="s">
        <v>7176</v>
      </c>
      <c r="K1730" s="180"/>
      <c r="M1730" t="s">
        <v>2246</v>
      </c>
      <c r="N1730" t="s">
        <v>5571</v>
      </c>
      <c r="O1730" t="s">
        <v>4926</v>
      </c>
      <c r="Q1730" t="str">
        <f t="shared" si="90"/>
        <v>condorProc.py --series 07180829_1244 --donoise --dumps a --procenv environments/pymidas_HVHV_NaI_mf.env</v>
      </c>
      <c r="R1730" t="str">
        <f t="shared" si="93"/>
        <v>"07180829_1133", "07180829_1143", "07180829_1153", "07180829_1204", "07180829_1214", "07180829_1224", "07180829_1234", "07180829_1244"</v>
      </c>
    </row>
    <row r="1731" spans="1:18">
      <c r="A1731" s="179" t="s">
        <v>7177</v>
      </c>
      <c r="K1731" s="180"/>
      <c r="M1731" t="s">
        <v>2246</v>
      </c>
      <c r="N1731" t="s">
        <v>5571</v>
      </c>
      <c r="O1731" t="s">
        <v>4926</v>
      </c>
      <c r="Q1731" t="str">
        <f t="shared" si="90"/>
        <v>condorProc.py --series 07180829_1254 --donoise --dumps a --procenv environments/pymidas_HVHV_NaI_mf.env</v>
      </c>
      <c r="R1731" t="str">
        <f t="shared" si="93"/>
        <v>"07180829_1133", "07180829_1143", "07180829_1153", "07180829_1204", "07180829_1214", "07180829_1224", "07180829_1234", "07180829_1244", "07180829_1254"</v>
      </c>
    </row>
    <row r="1732" spans="1:18">
      <c r="A1732" s="179" t="s">
        <v>7178</v>
      </c>
      <c r="K1732" s="180"/>
      <c r="M1732" t="s">
        <v>2246</v>
      </c>
      <c r="N1732" t="s">
        <v>5571</v>
      </c>
      <c r="O1732" t="s">
        <v>4926</v>
      </c>
      <c r="Q1732" t="str">
        <f t="shared" si="90"/>
        <v>condorProc.py --series 07180829_1304 --donoise --dumps a --procenv environments/pymidas_HVHV_NaI_mf.env</v>
      </c>
      <c r="R1732" t="str">
        <f t="shared" si="93"/>
        <v>"07180829_1133", "07180829_1143", "07180829_1153", "07180829_1204", "07180829_1214", "07180829_1224", "07180829_1234", "07180829_1244", "07180829_1254", "07180829_1304"</v>
      </c>
    </row>
    <row r="1733" spans="1:18">
      <c r="A1733" s="179" t="s">
        <v>7179</v>
      </c>
      <c r="K1733" s="180"/>
      <c r="M1733" t="s">
        <v>2246</v>
      </c>
      <c r="N1733" t="s">
        <v>5571</v>
      </c>
      <c r="O1733" t="s">
        <v>4926</v>
      </c>
      <c r="Q1733" t="str">
        <f t="shared" si="90"/>
        <v>condorProc.py --series 07180829_1314 --donoise --dumps a --procenv environments/pymidas_HVHV_NaI_mf.env</v>
      </c>
      <c r="R1733" t="str">
        <f t="shared" si="93"/>
        <v>"07180829_1133", "07180829_1143", "07180829_1153", "07180829_1204", "07180829_1214", "07180829_1224", "07180829_1234", "07180829_1244", "07180829_1254", "07180829_1304", "07180829_1314"</v>
      </c>
    </row>
    <row r="1734" spans="1:18">
      <c r="A1734" s="179" t="s">
        <v>7180</v>
      </c>
      <c r="I1734" t="s">
        <v>75</v>
      </c>
      <c r="K1734" s="180"/>
      <c r="M1734" t="s">
        <v>2246</v>
      </c>
      <c r="N1734" t="s">
        <v>5571</v>
      </c>
      <c r="O1734" t="s">
        <v>4926</v>
      </c>
      <c r="Q1734" t="str">
        <f t="shared" si="90"/>
        <v>condorProc.py --series 07180829_1324 --donoise --dumps a --procenv environments/pymidas_HVHV_NaI_mf.env</v>
      </c>
      <c r="R1734" t="str">
        <f t="shared" si="93"/>
        <v>"07180829_1133", "07180829_1143", "07180829_1153", "07180829_1204", "07180829_1214", "07180829_1224", "07180829_1234", "07180829_1244", "07180829_1254", "07180829_1304", "07180829_1314", "07180829_1324"</v>
      </c>
    </row>
    <row r="1735" spans="1:18">
      <c r="A1735" s="176" t="s">
        <v>7181</v>
      </c>
      <c r="B1735" s="177"/>
      <c r="C1735" s="177"/>
      <c r="D1735" s="177"/>
      <c r="E1735" s="177"/>
      <c r="F1735" s="177">
        <v>10</v>
      </c>
      <c r="G1735" s="192" t="s">
        <v>2248</v>
      </c>
      <c r="H1735" s="177">
        <v>-40</v>
      </c>
      <c r="I1735" s="177"/>
      <c r="J1735" s="177" t="s">
        <v>5577</v>
      </c>
      <c r="K1735" s="178" t="s">
        <v>5583</v>
      </c>
      <c r="L1735" t="s">
        <v>7182</v>
      </c>
      <c r="M1735" t="s">
        <v>2246</v>
      </c>
      <c r="N1735" t="s">
        <v>5571</v>
      </c>
      <c r="O1735" t="s">
        <v>4929</v>
      </c>
      <c r="Q1735" t="str">
        <f t="shared" si="90"/>
        <v>condorProc.py --series 07180829_1621 --donoise --dumps a --procenv environments/pymidas_HVHV_NaI_mf.env</v>
      </c>
      <c r="R1735" t="str">
        <f>""""&amp;A1735&amp;""""</f>
        <v>"07180829_1621"</v>
      </c>
    </row>
    <row r="1736" spans="1:18">
      <c r="A1736" s="179" t="s">
        <v>7183</v>
      </c>
      <c r="G1736" s="191"/>
      <c r="J1736" t="s">
        <v>5585</v>
      </c>
      <c r="K1736" s="180" t="s">
        <v>5671</v>
      </c>
      <c r="L1736">
        <f>32+72*6</f>
        <v>464</v>
      </c>
      <c r="M1736" t="s">
        <v>2246</v>
      </c>
      <c r="N1736" t="s">
        <v>5571</v>
      </c>
      <c r="O1736" t="s">
        <v>4929</v>
      </c>
      <c r="Q1736" t="str">
        <f t="shared" si="90"/>
        <v>condorProc.py --series 07180829_1631 --donoise --dumps a --procenv environments/pymidas_HVHV_NaI_mf.env</v>
      </c>
      <c r="R1736" t="str">
        <f>R1735&amp;", """&amp;A1736&amp;""""</f>
        <v>"07180829_1621", "07180829_1631"</v>
      </c>
    </row>
    <row r="1737" spans="1:18">
      <c r="A1737" s="179" t="s">
        <v>7184</v>
      </c>
      <c r="G1737" s="191"/>
      <c r="K1737" s="187" t="s">
        <v>6206</v>
      </c>
      <c r="L1737">
        <f>L1736/6</f>
        <v>77.333333333333329</v>
      </c>
      <c r="M1737" t="s">
        <v>2246</v>
      </c>
      <c r="N1737" t="s">
        <v>5571</v>
      </c>
      <c r="O1737" t="s">
        <v>4929</v>
      </c>
      <c r="Q1737" t="str">
        <f t="shared" si="90"/>
        <v>condorProc.py --series 07180829_1641 --donoise --dumps a --procenv environments/pymidas_HVHV_NaI_mf.env</v>
      </c>
      <c r="R1737" t="str">
        <f t="shared" ref="R1737:R1800" si="94">R1736&amp;", """&amp;A1737&amp;""""</f>
        <v>"07180829_1621", "07180829_1631", "07180829_1641"</v>
      </c>
    </row>
    <row r="1738" spans="1:18">
      <c r="A1738" s="179" t="s">
        <v>7185</v>
      </c>
      <c r="G1738" s="191"/>
      <c r="K1738" s="180"/>
      <c r="M1738" t="s">
        <v>2246</v>
      </c>
      <c r="N1738" t="s">
        <v>5571</v>
      </c>
      <c r="O1738" t="s">
        <v>4929</v>
      </c>
      <c r="Q1738" t="str">
        <f t="shared" si="90"/>
        <v>condorProc.py --series 07180829_1651 --donoise --dumps a --procenv environments/pymidas_HVHV_NaI_mf.env</v>
      </c>
      <c r="R1738" t="str">
        <f t="shared" si="94"/>
        <v>"07180829_1621", "07180829_1631", "07180829_1641", "07180829_1651"</v>
      </c>
    </row>
    <row r="1739" spans="1:18">
      <c r="A1739" s="179" t="s">
        <v>7186</v>
      </c>
      <c r="G1739" s="191"/>
      <c r="K1739" s="180"/>
      <c r="M1739" t="s">
        <v>2246</v>
      </c>
      <c r="N1739" t="s">
        <v>5571</v>
      </c>
      <c r="O1739" t="s">
        <v>4929</v>
      </c>
      <c r="Q1739" t="str">
        <f t="shared" si="90"/>
        <v>condorProc.py --series 07180829_1701 --donoise --dumps a --procenv environments/pymidas_HVHV_NaI_mf.env</v>
      </c>
      <c r="R1739" t="str">
        <f t="shared" si="94"/>
        <v>"07180829_1621", "07180829_1631", "07180829_1641", "07180829_1651", "07180829_1701"</v>
      </c>
    </row>
    <row r="1740" spans="1:18">
      <c r="A1740" s="179" t="s">
        <v>7187</v>
      </c>
      <c r="G1740" s="191"/>
      <c r="K1740" s="180"/>
      <c r="M1740" t="s">
        <v>2246</v>
      </c>
      <c r="N1740" t="s">
        <v>5571</v>
      </c>
      <c r="O1740" t="s">
        <v>4929</v>
      </c>
      <c r="Q1740" t="str">
        <f t="shared" si="90"/>
        <v>condorProc.py --series 07180829_1711 --donoise --dumps a --procenv environments/pymidas_HVHV_NaI_mf.env</v>
      </c>
      <c r="R1740" t="str">
        <f t="shared" si="94"/>
        <v>"07180829_1621", "07180829_1631", "07180829_1641", "07180829_1651", "07180829_1701", "07180829_1711"</v>
      </c>
    </row>
    <row r="1741" spans="1:18">
      <c r="A1741" s="179" t="s">
        <v>7188</v>
      </c>
      <c r="G1741" s="191"/>
      <c r="K1741" s="180"/>
      <c r="M1741" t="s">
        <v>2246</v>
      </c>
      <c r="N1741" t="s">
        <v>5571</v>
      </c>
      <c r="O1741" t="s">
        <v>4929</v>
      </c>
      <c r="Q1741" t="str">
        <f t="shared" si="90"/>
        <v>condorProc.py --series 07180829_1721 --donoise --dumps a --procenv environments/pymidas_HVHV_NaI_mf.env</v>
      </c>
      <c r="R1741" t="str">
        <f t="shared" si="94"/>
        <v>"07180829_1621", "07180829_1631", "07180829_1641", "07180829_1651", "07180829_1701", "07180829_1711", "07180829_1721"</v>
      </c>
    </row>
    <row r="1742" spans="1:18">
      <c r="A1742" s="179" t="s">
        <v>7189</v>
      </c>
      <c r="G1742" s="191"/>
      <c r="K1742" s="180"/>
      <c r="M1742" t="s">
        <v>2246</v>
      </c>
      <c r="N1742" t="s">
        <v>5571</v>
      </c>
      <c r="O1742" t="s">
        <v>4929</v>
      </c>
      <c r="Q1742" t="str">
        <f t="shared" si="90"/>
        <v>condorProc.py --series 07180829_1731 --donoise --dumps a --procenv environments/pymidas_HVHV_NaI_mf.env</v>
      </c>
      <c r="R1742" t="str">
        <f t="shared" si="94"/>
        <v>"07180829_1621", "07180829_1631", "07180829_1641", "07180829_1651", "07180829_1701", "07180829_1711", "07180829_1721", "07180829_1731"</v>
      </c>
    </row>
    <row r="1743" spans="1:18">
      <c r="A1743" s="179" t="s">
        <v>7190</v>
      </c>
      <c r="G1743" s="191"/>
      <c r="K1743" s="180"/>
      <c r="M1743" t="s">
        <v>2246</v>
      </c>
      <c r="N1743" t="s">
        <v>5571</v>
      </c>
      <c r="O1743" t="s">
        <v>4929</v>
      </c>
      <c r="Q1743" t="str">
        <f t="shared" si="90"/>
        <v>condorProc.py --series 07180829_1741 --donoise --dumps a --procenv environments/pymidas_HVHV_NaI_mf.env</v>
      </c>
      <c r="R1743" t="str">
        <f t="shared" si="94"/>
        <v>"07180829_1621", "07180829_1631", "07180829_1641", "07180829_1651", "07180829_1701", "07180829_1711", "07180829_1721", "07180829_1731", "07180829_1741"</v>
      </c>
    </row>
    <row r="1744" spans="1:18">
      <c r="A1744" s="179" t="s">
        <v>7191</v>
      </c>
      <c r="G1744" s="191"/>
      <c r="K1744" s="180"/>
      <c r="M1744" t="s">
        <v>2246</v>
      </c>
      <c r="N1744" t="s">
        <v>5571</v>
      </c>
      <c r="O1744" t="s">
        <v>4929</v>
      </c>
      <c r="Q1744" t="str">
        <f t="shared" si="90"/>
        <v>condorProc.py --series 07180829_1751 --donoise --dumps a --procenv environments/pymidas_HVHV_NaI_mf.env</v>
      </c>
      <c r="R1744" t="str">
        <f t="shared" si="94"/>
        <v>"07180829_1621", "07180829_1631", "07180829_1641", "07180829_1651", "07180829_1701", "07180829_1711", "07180829_1721", "07180829_1731", "07180829_1741", "07180829_1751"</v>
      </c>
    </row>
    <row r="1745" spans="1:18">
      <c r="A1745" s="179" t="s">
        <v>7192</v>
      </c>
      <c r="G1745" s="191"/>
      <c r="K1745" s="180"/>
      <c r="M1745" t="s">
        <v>2246</v>
      </c>
      <c r="N1745" t="s">
        <v>5571</v>
      </c>
      <c r="O1745" t="s">
        <v>4929</v>
      </c>
      <c r="Q1745" t="str">
        <f t="shared" si="90"/>
        <v>condorProc.py --series 07180829_1801 --donoise --dumps a --procenv environments/pymidas_HVHV_NaI_mf.env</v>
      </c>
      <c r="R1745" t="str">
        <f t="shared" si="94"/>
        <v>"07180829_1621", "07180829_1631", "07180829_1641", "07180829_1651", "07180829_1701", "07180829_1711", "07180829_1721", "07180829_1731", "07180829_1741", "07180829_1751", "07180829_1801"</v>
      </c>
    </row>
    <row r="1746" spans="1:18">
      <c r="A1746" s="181" t="s">
        <v>7193</v>
      </c>
      <c r="B1746" s="65"/>
      <c r="C1746" s="65"/>
      <c r="D1746" s="65"/>
      <c r="E1746" s="65"/>
      <c r="F1746" s="65"/>
      <c r="G1746" s="193"/>
      <c r="H1746" s="65"/>
      <c r="I1746" s="65" t="s">
        <v>75</v>
      </c>
      <c r="J1746" s="65"/>
      <c r="K1746" s="182"/>
      <c r="M1746" t="s">
        <v>2246</v>
      </c>
      <c r="N1746" t="s">
        <v>5571</v>
      </c>
      <c r="O1746" t="s">
        <v>4929</v>
      </c>
      <c r="Q1746" t="str">
        <f t="shared" si="90"/>
        <v>condorProc.py --series 07180829_1812 --donoise --dumps a --procenv environments/pymidas_HVHV_NaI_mf.env</v>
      </c>
      <c r="R1746" t="str">
        <f t="shared" si="94"/>
        <v>"07180829_1621", "07180829_1631", "07180829_1641", "07180829_1651", "07180829_1701", "07180829_1711", "07180829_1721", "07180829_1731", "07180829_1741", "07180829_1751", "07180829_1801", "07180829_1812"</v>
      </c>
    </row>
    <row r="1747" spans="1:18">
      <c r="A1747" t="s">
        <v>7194</v>
      </c>
      <c r="F1747" s="177">
        <v>10</v>
      </c>
      <c r="G1747" s="192" t="s">
        <v>2248</v>
      </c>
      <c r="H1747" s="177">
        <v>-40</v>
      </c>
      <c r="I1747" s="177"/>
      <c r="J1747" s="177" t="s">
        <v>5577</v>
      </c>
      <c r="K1747" s="178" t="s">
        <v>5583</v>
      </c>
      <c r="M1747" t="s">
        <v>2246</v>
      </c>
      <c r="N1747" t="s">
        <v>5571</v>
      </c>
      <c r="O1747" t="s">
        <v>4929</v>
      </c>
      <c r="Q1747" t="str">
        <f t="shared" si="90"/>
        <v>condorProc.py --series 07180829_1900 --donoise --dumps a --procenv environments/pymidas_HVHV_NaI_mf.env</v>
      </c>
      <c r="R1747" t="str">
        <f t="shared" si="94"/>
        <v>"07180829_1621", "07180829_1631", "07180829_1641", "07180829_1651", "07180829_1701", "07180829_1711", "07180829_1721", "07180829_1731", "07180829_1741", "07180829_1751", "07180829_1801", "07180829_1812", "07180829_1900"</v>
      </c>
    </row>
    <row r="1748" spans="1:18">
      <c r="A1748" t="s">
        <v>7195</v>
      </c>
      <c r="G1748" s="191"/>
      <c r="J1748" t="s">
        <v>5585</v>
      </c>
      <c r="K1748" s="180" t="s">
        <v>5671</v>
      </c>
      <c r="M1748" t="s">
        <v>2246</v>
      </c>
      <c r="N1748" t="s">
        <v>5571</v>
      </c>
      <c r="O1748" t="s">
        <v>4929</v>
      </c>
      <c r="Q1748" t="str">
        <f t="shared" si="90"/>
        <v>condorProc.py --series 07180829_1910 --donoise --dumps a --procenv environments/pymidas_HVHV_NaI_mf.env</v>
      </c>
      <c r="R1748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</v>
      </c>
    </row>
    <row r="1749" spans="1:18">
      <c r="A1749" t="s">
        <v>7196</v>
      </c>
      <c r="G1749" s="191"/>
      <c r="K1749" s="187" t="s">
        <v>6206</v>
      </c>
      <c r="M1749" t="s">
        <v>2246</v>
      </c>
      <c r="N1749" t="s">
        <v>5571</v>
      </c>
      <c r="O1749" t="s">
        <v>4929</v>
      </c>
      <c r="Q1749" t="str">
        <f t="shared" si="90"/>
        <v>condorProc.py --series 07180829_1921 --donoise --dumps a --procenv environments/pymidas_HVHV_NaI_mf.env</v>
      </c>
      <c r="R1749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</v>
      </c>
    </row>
    <row r="1750" spans="1:18">
      <c r="A1750" t="s">
        <v>7197</v>
      </c>
      <c r="G1750" s="191"/>
      <c r="K1750" s="180"/>
      <c r="M1750" t="s">
        <v>2246</v>
      </c>
      <c r="N1750" t="s">
        <v>5571</v>
      </c>
      <c r="O1750" t="s">
        <v>4929</v>
      </c>
      <c r="Q1750" t="str">
        <f t="shared" si="90"/>
        <v>condorProc.py --series 07180829_1931 --donoise --dumps a --procenv environments/pymidas_HVHV_NaI_mf.env</v>
      </c>
      <c r="R1750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</v>
      </c>
    </row>
    <row r="1751" spans="1:18">
      <c r="A1751" t="s">
        <v>7198</v>
      </c>
      <c r="G1751" s="191"/>
      <c r="K1751" s="180"/>
      <c r="M1751" t="s">
        <v>2246</v>
      </c>
      <c r="N1751" t="s">
        <v>5571</v>
      </c>
      <c r="O1751" t="s">
        <v>4929</v>
      </c>
      <c r="Q1751" t="str">
        <f t="shared" si="90"/>
        <v>condorProc.py --series 07180829_1941 --donoise --dumps a --procenv environments/pymidas_HVHV_NaI_mf.env</v>
      </c>
      <c r="R1751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</v>
      </c>
    </row>
    <row r="1752" spans="1:18">
      <c r="A1752" t="s">
        <v>7199</v>
      </c>
      <c r="G1752" s="191"/>
      <c r="K1752" s="180"/>
      <c r="M1752" t="s">
        <v>2246</v>
      </c>
      <c r="N1752" t="s">
        <v>5571</v>
      </c>
      <c r="O1752" t="s">
        <v>4929</v>
      </c>
      <c r="Q1752" t="str">
        <f t="shared" si="90"/>
        <v>condorProc.py --series 07180829_1951 --donoise --dumps a --procenv environments/pymidas_HVHV_NaI_mf.env</v>
      </c>
      <c r="R1752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</v>
      </c>
    </row>
    <row r="1753" spans="1:18">
      <c r="A1753" t="s">
        <v>7200</v>
      </c>
      <c r="G1753" s="191"/>
      <c r="K1753" s="180"/>
      <c r="M1753" t="s">
        <v>2246</v>
      </c>
      <c r="N1753" t="s">
        <v>5571</v>
      </c>
      <c r="O1753" t="s">
        <v>4929</v>
      </c>
      <c r="Q1753" t="str">
        <f t="shared" si="90"/>
        <v>condorProc.py --series 07180829_2001 --donoise --dumps a --procenv environments/pymidas_HVHV_NaI_mf.env</v>
      </c>
      <c r="R1753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</v>
      </c>
    </row>
    <row r="1754" spans="1:18">
      <c r="A1754" t="s">
        <v>7201</v>
      </c>
      <c r="G1754" s="191"/>
      <c r="K1754" s="180"/>
      <c r="M1754" t="s">
        <v>2246</v>
      </c>
      <c r="N1754" t="s">
        <v>5571</v>
      </c>
      <c r="O1754" t="s">
        <v>4929</v>
      </c>
      <c r="Q1754" t="str">
        <f t="shared" ref="Q1754:Q1817" si="95">"condorProc.py --series "&amp;A1754&amp;" --donoise --dumps a --procenv environments/pymidas_HVHV_NaI_mf.env"</f>
        <v>condorProc.py --series 07180829_2011 --donoise --dumps a --procenv environments/pymidas_HVHV_NaI_mf.env</v>
      </c>
      <c r="R1754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</v>
      </c>
    </row>
    <row r="1755" spans="1:18">
      <c r="A1755" t="s">
        <v>7202</v>
      </c>
      <c r="G1755" s="191"/>
      <c r="K1755" s="180"/>
      <c r="M1755" t="s">
        <v>2246</v>
      </c>
      <c r="N1755" t="s">
        <v>5571</v>
      </c>
      <c r="O1755" t="s">
        <v>4929</v>
      </c>
      <c r="Q1755" t="str">
        <f t="shared" si="95"/>
        <v>condorProc.py --series 07180829_2021 --donoise --dumps a --procenv environments/pymidas_HVHV_NaI_mf.env</v>
      </c>
      <c r="R1755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</v>
      </c>
    </row>
    <row r="1756" spans="1:18">
      <c r="A1756" t="s">
        <v>7203</v>
      </c>
      <c r="G1756" s="191"/>
      <c r="K1756" s="180"/>
      <c r="M1756" t="s">
        <v>2246</v>
      </c>
      <c r="N1756" t="s">
        <v>5571</v>
      </c>
      <c r="O1756" t="s">
        <v>4929</v>
      </c>
      <c r="Q1756" t="str">
        <f t="shared" si="95"/>
        <v>condorProc.py --series 07180829_2031 --donoise --dumps a --procenv environments/pymidas_HVHV_NaI_mf.env</v>
      </c>
      <c r="R1756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</v>
      </c>
    </row>
    <row r="1757" spans="1:18">
      <c r="A1757" t="s">
        <v>7204</v>
      </c>
      <c r="G1757" s="191"/>
      <c r="K1757" s="180"/>
      <c r="M1757" t="s">
        <v>2246</v>
      </c>
      <c r="N1757" t="s">
        <v>5571</v>
      </c>
      <c r="O1757" t="s">
        <v>4929</v>
      </c>
      <c r="Q1757" t="str">
        <f t="shared" si="95"/>
        <v>condorProc.py --series 07180829_2041 --donoise --dumps a --procenv environments/pymidas_HVHV_NaI_mf.env</v>
      </c>
      <c r="R1757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</v>
      </c>
    </row>
    <row r="1758" spans="1:18">
      <c r="A1758" t="s">
        <v>7205</v>
      </c>
      <c r="G1758" s="191"/>
      <c r="I1758" t="s">
        <v>75</v>
      </c>
      <c r="K1758" s="180"/>
      <c r="M1758" t="s">
        <v>2246</v>
      </c>
      <c r="N1758" t="s">
        <v>5571</v>
      </c>
      <c r="O1758" t="s">
        <v>4929</v>
      </c>
      <c r="Q1758" t="str">
        <f t="shared" si="95"/>
        <v>condorProc.py --series 07180829_2051 --donoise --dumps a --procenv environments/pymidas_HVHV_NaI_mf.env</v>
      </c>
      <c r="R1758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</v>
      </c>
    </row>
    <row r="1759" spans="1:18">
      <c r="A1759" s="176" t="s">
        <v>7206</v>
      </c>
      <c r="B1759" s="177"/>
      <c r="C1759" s="177"/>
      <c r="D1759" s="177"/>
      <c r="E1759" s="177"/>
      <c r="F1759" s="177">
        <v>10</v>
      </c>
      <c r="G1759" s="192" t="s">
        <v>2248</v>
      </c>
      <c r="H1759" s="177">
        <v>-40</v>
      </c>
      <c r="I1759" s="177"/>
      <c r="J1759" s="177" t="s">
        <v>5577</v>
      </c>
      <c r="K1759" s="178" t="s">
        <v>5583</v>
      </c>
      <c r="M1759" t="s">
        <v>2246</v>
      </c>
      <c r="N1759" t="s">
        <v>5571</v>
      </c>
      <c r="O1759" t="s">
        <v>4929</v>
      </c>
      <c r="Q1759" t="str">
        <f t="shared" si="95"/>
        <v>condorProc.py --series 07180829_2140 --donoise --dumps a --procenv environments/pymidas_HVHV_NaI_mf.env</v>
      </c>
      <c r="R1759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</v>
      </c>
    </row>
    <row r="1760" spans="1:18">
      <c r="A1760" s="179" t="s">
        <v>7207</v>
      </c>
      <c r="G1760" s="191"/>
      <c r="J1760" t="s">
        <v>5585</v>
      </c>
      <c r="K1760" s="180" t="s">
        <v>5671</v>
      </c>
      <c r="M1760" t="s">
        <v>2246</v>
      </c>
      <c r="N1760" t="s">
        <v>5571</v>
      </c>
      <c r="O1760" t="s">
        <v>4929</v>
      </c>
      <c r="Q1760" t="str">
        <f t="shared" si="95"/>
        <v>condorProc.py --series 07180829_2150 --donoise --dumps a --procenv environments/pymidas_HVHV_NaI_mf.env</v>
      </c>
      <c r="R1760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</v>
      </c>
    </row>
    <row r="1761" spans="1:18">
      <c r="A1761" s="179" t="s">
        <v>7208</v>
      </c>
      <c r="G1761" s="191"/>
      <c r="K1761" s="187" t="s">
        <v>6206</v>
      </c>
      <c r="M1761" t="s">
        <v>2246</v>
      </c>
      <c r="N1761" t="s">
        <v>5571</v>
      </c>
      <c r="O1761" t="s">
        <v>4929</v>
      </c>
      <c r="Q1761" t="str">
        <f t="shared" si="95"/>
        <v>condorProc.py --series 07180829_2200 --donoise --dumps a --procenv environments/pymidas_HVHV_NaI_mf.env</v>
      </c>
      <c r="R1761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</v>
      </c>
    </row>
    <row r="1762" spans="1:18">
      <c r="A1762" s="179" t="s">
        <v>7209</v>
      </c>
      <c r="G1762" s="191"/>
      <c r="K1762" s="180"/>
      <c r="M1762" t="s">
        <v>2246</v>
      </c>
      <c r="N1762" t="s">
        <v>5571</v>
      </c>
      <c r="O1762" t="s">
        <v>4929</v>
      </c>
      <c r="Q1762" t="str">
        <f t="shared" si="95"/>
        <v>condorProc.py --series 07180829_2210 --donoise --dumps a --procenv environments/pymidas_HVHV_NaI_mf.env</v>
      </c>
      <c r="R1762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</v>
      </c>
    </row>
    <row r="1763" spans="1:18">
      <c r="A1763" s="179" t="s">
        <v>7210</v>
      </c>
      <c r="G1763" s="191"/>
      <c r="K1763" s="180"/>
      <c r="M1763" t="s">
        <v>2246</v>
      </c>
      <c r="N1763" t="s">
        <v>5571</v>
      </c>
      <c r="O1763" t="s">
        <v>4929</v>
      </c>
      <c r="Q1763" t="str">
        <f t="shared" si="95"/>
        <v>condorProc.py --series 07180829_2221 --donoise --dumps a --procenv environments/pymidas_HVHV_NaI_mf.env</v>
      </c>
      <c r="R1763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</v>
      </c>
    </row>
    <row r="1764" spans="1:18">
      <c r="A1764" s="179" t="s">
        <v>7211</v>
      </c>
      <c r="G1764" s="191"/>
      <c r="K1764" s="180"/>
      <c r="M1764" t="s">
        <v>2246</v>
      </c>
      <c r="N1764" t="s">
        <v>5571</v>
      </c>
      <c r="O1764" t="s">
        <v>4929</v>
      </c>
      <c r="Q1764" t="str">
        <f t="shared" si="95"/>
        <v>condorProc.py --series 07180829_2231 --donoise --dumps a --procenv environments/pymidas_HVHV_NaI_mf.env</v>
      </c>
      <c r="R1764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</v>
      </c>
    </row>
    <row r="1765" spans="1:18">
      <c r="A1765" s="179" t="s">
        <v>7212</v>
      </c>
      <c r="G1765" s="191"/>
      <c r="K1765" s="180"/>
      <c r="M1765" t="s">
        <v>2246</v>
      </c>
      <c r="N1765" t="s">
        <v>5571</v>
      </c>
      <c r="O1765" t="s">
        <v>4929</v>
      </c>
      <c r="Q1765" t="str">
        <f t="shared" si="95"/>
        <v>condorProc.py --series 07180829_2241 --donoise --dumps a --procenv environments/pymidas_HVHV_NaI_mf.env</v>
      </c>
      <c r="R1765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</v>
      </c>
    </row>
    <row r="1766" spans="1:18">
      <c r="A1766" s="179" t="s">
        <v>7213</v>
      </c>
      <c r="G1766" s="191"/>
      <c r="K1766" s="180"/>
      <c r="M1766" t="s">
        <v>2246</v>
      </c>
      <c r="N1766" t="s">
        <v>5571</v>
      </c>
      <c r="O1766" t="s">
        <v>4929</v>
      </c>
      <c r="Q1766" t="str">
        <f t="shared" si="95"/>
        <v>condorProc.py --series 07180829_2251 --donoise --dumps a --procenv environments/pymidas_HVHV_NaI_mf.env</v>
      </c>
      <c r="R1766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</v>
      </c>
    </row>
    <row r="1767" spans="1:18">
      <c r="A1767" s="179" t="s">
        <v>7214</v>
      </c>
      <c r="G1767" s="191"/>
      <c r="K1767" s="180"/>
      <c r="M1767" t="s">
        <v>2246</v>
      </c>
      <c r="N1767" t="s">
        <v>5571</v>
      </c>
      <c r="O1767" t="s">
        <v>4929</v>
      </c>
      <c r="Q1767" t="str">
        <f t="shared" si="95"/>
        <v>condorProc.py --series 07180829_2301 --donoise --dumps a --procenv environments/pymidas_HVHV_NaI_mf.env</v>
      </c>
      <c r="R1767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</v>
      </c>
    </row>
    <row r="1768" spans="1:18">
      <c r="A1768" s="179" t="s">
        <v>7215</v>
      </c>
      <c r="G1768" s="191"/>
      <c r="K1768" s="180"/>
      <c r="M1768" t="s">
        <v>2246</v>
      </c>
      <c r="N1768" t="s">
        <v>5571</v>
      </c>
      <c r="O1768" t="s">
        <v>4929</v>
      </c>
      <c r="Q1768" t="str">
        <f t="shared" si="95"/>
        <v>condorProc.py --series 07180829_2311 --donoise --dumps a --procenv environments/pymidas_HVHV_NaI_mf.env</v>
      </c>
      <c r="R1768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</v>
      </c>
    </row>
    <row r="1769" spans="1:18">
      <c r="A1769" s="179" t="s">
        <v>7216</v>
      </c>
      <c r="G1769" s="191"/>
      <c r="K1769" s="180"/>
      <c r="M1769" t="s">
        <v>2246</v>
      </c>
      <c r="N1769" t="s">
        <v>5571</v>
      </c>
      <c r="O1769" t="s">
        <v>4929</v>
      </c>
      <c r="Q1769" t="str">
        <f t="shared" si="95"/>
        <v>condorProc.py --series 07180829_2321 --donoise --dumps a --procenv environments/pymidas_HVHV_NaI_mf.env</v>
      </c>
      <c r="R1769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</v>
      </c>
    </row>
    <row r="1770" spans="1:18">
      <c r="A1770" s="181" t="s">
        <v>7217</v>
      </c>
      <c r="B1770" s="65"/>
      <c r="C1770" s="65"/>
      <c r="D1770" s="65"/>
      <c r="E1770" s="65"/>
      <c r="F1770" s="65"/>
      <c r="G1770" s="193"/>
      <c r="H1770" s="65"/>
      <c r="I1770" s="65"/>
      <c r="J1770" s="65"/>
      <c r="K1770" s="182"/>
      <c r="M1770" t="s">
        <v>2246</v>
      </c>
      <c r="N1770" t="s">
        <v>5571</v>
      </c>
      <c r="O1770" t="s">
        <v>4929</v>
      </c>
      <c r="Q1770" t="str">
        <f t="shared" si="95"/>
        <v>condorProc.py --series 07180829_2331 --donoise --dumps a --procenv environments/pymidas_HVHV_NaI_mf.env</v>
      </c>
      <c r="R1770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</v>
      </c>
    </row>
    <row r="1771" spans="1:18">
      <c r="A1771" t="s">
        <v>7218</v>
      </c>
      <c r="F1771">
        <v>10</v>
      </c>
      <c r="G1771" s="191" t="s">
        <v>2248</v>
      </c>
      <c r="H1771">
        <v>-40</v>
      </c>
      <c r="J1771" t="s">
        <v>5577</v>
      </c>
      <c r="K1771" s="180" t="s">
        <v>5583</v>
      </c>
      <c r="M1771" t="s">
        <v>2246</v>
      </c>
      <c r="N1771" t="s">
        <v>5571</v>
      </c>
      <c r="O1771" t="s">
        <v>4929</v>
      </c>
      <c r="Q1771" t="str">
        <f t="shared" si="95"/>
        <v>condorProc.py --series 07180830_0020 --donoise --dumps a --procenv environments/pymidas_HVHV_NaI_mf.env</v>
      </c>
      <c r="R1771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</v>
      </c>
    </row>
    <row r="1772" spans="1:18">
      <c r="A1772" t="s">
        <v>7219</v>
      </c>
      <c r="G1772" s="191"/>
      <c r="J1772" t="s">
        <v>5585</v>
      </c>
      <c r="K1772" s="180" t="s">
        <v>5671</v>
      </c>
      <c r="M1772" t="s">
        <v>2246</v>
      </c>
      <c r="N1772" t="s">
        <v>5571</v>
      </c>
      <c r="O1772" t="s">
        <v>4929</v>
      </c>
      <c r="Q1772" t="str">
        <f t="shared" si="95"/>
        <v>condorProc.py --series 07180830_0030 --donoise --dumps a --procenv environments/pymidas_HVHV_NaI_mf.env</v>
      </c>
      <c r="R1772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</v>
      </c>
    </row>
    <row r="1773" spans="1:18">
      <c r="A1773" t="s">
        <v>7220</v>
      </c>
      <c r="G1773" s="191"/>
      <c r="K1773" s="187" t="s">
        <v>6206</v>
      </c>
      <c r="M1773" t="s">
        <v>2246</v>
      </c>
      <c r="N1773" t="s">
        <v>5571</v>
      </c>
      <c r="O1773" t="s">
        <v>4929</v>
      </c>
      <c r="Q1773" t="str">
        <f t="shared" si="95"/>
        <v>condorProc.py --series 07180830_0040 --donoise --dumps a --procenv environments/pymidas_HVHV_NaI_mf.env</v>
      </c>
      <c r="R1773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</v>
      </c>
    </row>
    <row r="1774" spans="1:18">
      <c r="A1774" t="s">
        <v>7221</v>
      </c>
      <c r="G1774" s="191"/>
      <c r="K1774" s="180"/>
      <c r="M1774" t="s">
        <v>2246</v>
      </c>
      <c r="N1774" t="s">
        <v>5571</v>
      </c>
      <c r="O1774" t="s">
        <v>4929</v>
      </c>
      <c r="Q1774" t="str">
        <f t="shared" si="95"/>
        <v>condorProc.py --series 07180830_0050 --donoise --dumps a --procenv environments/pymidas_HVHV_NaI_mf.env</v>
      </c>
      <c r="R1774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</v>
      </c>
    </row>
    <row r="1775" spans="1:18">
      <c r="A1775" t="s">
        <v>7222</v>
      </c>
      <c r="G1775" s="191"/>
      <c r="K1775" s="180"/>
      <c r="M1775" t="s">
        <v>2246</v>
      </c>
      <c r="N1775" t="s">
        <v>5571</v>
      </c>
      <c r="O1775" t="s">
        <v>4929</v>
      </c>
      <c r="Q1775" t="str">
        <f t="shared" si="95"/>
        <v>condorProc.py --series 07180830_0100 --donoise --dumps a --procenv environments/pymidas_HVHV_NaI_mf.env</v>
      </c>
      <c r="R1775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</v>
      </c>
    </row>
    <row r="1776" spans="1:18">
      <c r="A1776" t="s">
        <v>7223</v>
      </c>
      <c r="G1776" s="191"/>
      <c r="K1776" s="180"/>
      <c r="M1776" t="s">
        <v>2246</v>
      </c>
      <c r="N1776" t="s">
        <v>5571</v>
      </c>
      <c r="O1776" t="s">
        <v>4929</v>
      </c>
      <c r="Q1776" t="str">
        <f t="shared" si="95"/>
        <v>condorProc.py --series 07180830_0110 --donoise --dumps a --procenv environments/pymidas_HVHV_NaI_mf.env</v>
      </c>
      <c r="R1776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</v>
      </c>
    </row>
    <row r="1777" spans="1:18">
      <c r="A1777" t="s">
        <v>7224</v>
      </c>
      <c r="G1777" s="191"/>
      <c r="K1777" s="180"/>
      <c r="M1777" t="s">
        <v>2246</v>
      </c>
      <c r="N1777" t="s">
        <v>5571</v>
      </c>
      <c r="O1777" t="s">
        <v>4929</v>
      </c>
      <c r="Q1777" t="str">
        <f t="shared" si="95"/>
        <v>condorProc.py --series 07180830_0120 --donoise --dumps a --procenv environments/pymidas_HVHV_NaI_mf.env</v>
      </c>
      <c r="R1777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</v>
      </c>
    </row>
    <row r="1778" spans="1:18">
      <c r="A1778" t="s">
        <v>7225</v>
      </c>
      <c r="G1778" s="191"/>
      <c r="K1778" s="180"/>
      <c r="M1778" t="s">
        <v>2246</v>
      </c>
      <c r="N1778" t="s">
        <v>5571</v>
      </c>
      <c r="O1778" t="s">
        <v>4929</v>
      </c>
      <c r="Q1778" t="str">
        <f t="shared" si="95"/>
        <v>condorProc.py --series 07180830_0131 --donoise --dumps a --procenv environments/pymidas_HVHV_NaI_mf.env</v>
      </c>
      <c r="R1778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</v>
      </c>
    </row>
    <row r="1779" spans="1:18">
      <c r="A1779" t="s">
        <v>7226</v>
      </c>
      <c r="G1779" s="191"/>
      <c r="K1779" s="180"/>
      <c r="M1779" t="s">
        <v>2246</v>
      </c>
      <c r="N1779" t="s">
        <v>5571</v>
      </c>
      <c r="O1779" t="s">
        <v>4929</v>
      </c>
      <c r="Q1779" t="str">
        <f t="shared" si="95"/>
        <v>condorProc.py --series 07180830_0141 --donoise --dumps a --procenv environments/pymidas_HVHV_NaI_mf.env</v>
      </c>
      <c r="R1779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</v>
      </c>
    </row>
    <row r="1780" spans="1:18">
      <c r="A1780" t="s">
        <v>7227</v>
      </c>
      <c r="G1780" s="191"/>
      <c r="K1780" s="180"/>
      <c r="M1780" t="s">
        <v>2246</v>
      </c>
      <c r="N1780" t="s">
        <v>5571</v>
      </c>
      <c r="O1780" t="s">
        <v>4929</v>
      </c>
      <c r="Q1780" t="str">
        <f t="shared" si="95"/>
        <v>condorProc.py --series 07180830_0151 --donoise --dumps a --procenv environments/pymidas_HVHV_NaI_mf.env</v>
      </c>
      <c r="R1780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</v>
      </c>
    </row>
    <row r="1781" spans="1:18">
      <c r="A1781" t="s">
        <v>7228</v>
      </c>
      <c r="G1781" s="191"/>
      <c r="K1781" s="180"/>
      <c r="M1781" t="s">
        <v>2246</v>
      </c>
      <c r="N1781" t="s">
        <v>5571</v>
      </c>
      <c r="O1781" t="s">
        <v>4929</v>
      </c>
      <c r="Q1781" t="str">
        <f t="shared" si="95"/>
        <v>condorProc.py --series 07180830_0201 --donoise --dumps a --procenv environments/pymidas_HVHV_NaI_mf.env</v>
      </c>
      <c r="R1781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</v>
      </c>
    </row>
    <row r="1782" spans="1:18">
      <c r="A1782" t="s">
        <v>7229</v>
      </c>
      <c r="G1782" s="191"/>
      <c r="K1782" s="180"/>
      <c r="M1782" t="s">
        <v>2246</v>
      </c>
      <c r="N1782" t="s">
        <v>5571</v>
      </c>
      <c r="O1782" t="s">
        <v>4929</v>
      </c>
      <c r="Q1782" t="str">
        <f t="shared" si="95"/>
        <v>condorProc.py --series 07180830_0211 --donoise --dumps a --procenv environments/pymidas_HVHV_NaI_mf.env</v>
      </c>
      <c r="R1782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</v>
      </c>
    </row>
    <row r="1783" spans="1:18">
      <c r="A1783" s="176" t="s">
        <v>7230</v>
      </c>
      <c r="B1783" s="177"/>
      <c r="C1783" s="177"/>
      <c r="D1783" s="177"/>
      <c r="E1783" s="177"/>
      <c r="F1783" s="177">
        <v>10</v>
      </c>
      <c r="G1783" s="192" t="s">
        <v>2248</v>
      </c>
      <c r="H1783" s="177">
        <v>-40</v>
      </c>
      <c r="I1783" s="177"/>
      <c r="J1783" s="177" t="s">
        <v>5577</v>
      </c>
      <c r="K1783" s="178" t="s">
        <v>5583</v>
      </c>
      <c r="M1783" t="s">
        <v>2246</v>
      </c>
      <c r="N1783" t="s">
        <v>5571</v>
      </c>
      <c r="O1783" t="s">
        <v>4929</v>
      </c>
      <c r="Q1783" t="str">
        <f t="shared" si="95"/>
        <v>condorProc.py --series 07180830_0300 --donoise --dumps a --procenv environments/pymidas_HVHV_NaI_mf.env</v>
      </c>
      <c r="R1783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</v>
      </c>
    </row>
    <row r="1784" spans="1:18">
      <c r="A1784" s="179" t="s">
        <v>7231</v>
      </c>
      <c r="G1784" s="191"/>
      <c r="J1784" t="s">
        <v>5585</v>
      </c>
      <c r="K1784" s="180" t="s">
        <v>5671</v>
      </c>
      <c r="M1784" t="s">
        <v>2246</v>
      </c>
      <c r="N1784" t="s">
        <v>5571</v>
      </c>
      <c r="O1784" t="s">
        <v>4929</v>
      </c>
      <c r="Q1784" t="str">
        <f t="shared" si="95"/>
        <v>condorProc.py --series 07180830_0310 --donoise --dumps a --procenv environments/pymidas_HVHV_NaI_mf.env</v>
      </c>
      <c r="R1784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</v>
      </c>
    </row>
    <row r="1785" spans="1:18">
      <c r="A1785" s="179" t="s">
        <v>7232</v>
      </c>
      <c r="G1785" s="191"/>
      <c r="K1785" s="187" t="s">
        <v>6206</v>
      </c>
      <c r="M1785" t="s">
        <v>2246</v>
      </c>
      <c r="N1785" t="s">
        <v>5571</v>
      </c>
      <c r="O1785" t="s">
        <v>4929</v>
      </c>
      <c r="Q1785" t="str">
        <f t="shared" si="95"/>
        <v>condorProc.py --series 07180830_0320 --donoise --dumps a --procenv environments/pymidas_HVHV_NaI_mf.env</v>
      </c>
      <c r="R1785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</v>
      </c>
    </row>
    <row r="1786" spans="1:18">
      <c r="A1786" s="179" t="s">
        <v>7233</v>
      </c>
      <c r="G1786" s="191"/>
      <c r="K1786" s="180"/>
      <c r="M1786" t="s">
        <v>2246</v>
      </c>
      <c r="N1786" t="s">
        <v>5571</v>
      </c>
      <c r="O1786" t="s">
        <v>4929</v>
      </c>
      <c r="Q1786" t="str">
        <f t="shared" si="95"/>
        <v>condorProc.py --series 07180830_0330 --donoise --dumps a --procenv environments/pymidas_HVHV_NaI_mf.env</v>
      </c>
      <c r="R1786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</v>
      </c>
    </row>
    <row r="1787" spans="1:18">
      <c r="A1787" s="179" t="s">
        <v>7234</v>
      </c>
      <c r="G1787" s="191"/>
      <c r="K1787" s="180"/>
      <c r="M1787" t="s">
        <v>2246</v>
      </c>
      <c r="N1787" t="s">
        <v>5571</v>
      </c>
      <c r="O1787" t="s">
        <v>4929</v>
      </c>
      <c r="Q1787" t="str">
        <f t="shared" si="95"/>
        <v>condorProc.py --series 07180830_0340 --donoise --dumps a --procenv environments/pymidas_HVHV_NaI_mf.env</v>
      </c>
      <c r="R1787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</v>
      </c>
    </row>
    <row r="1788" spans="1:18">
      <c r="A1788" s="179" t="s">
        <v>7235</v>
      </c>
      <c r="G1788" s="191"/>
      <c r="K1788" s="180"/>
      <c r="M1788" t="s">
        <v>2246</v>
      </c>
      <c r="N1788" t="s">
        <v>5571</v>
      </c>
      <c r="O1788" t="s">
        <v>4929</v>
      </c>
      <c r="Q1788" t="str">
        <f t="shared" si="95"/>
        <v>condorProc.py --series 07180830_0350 --donoise --dumps a --procenv environments/pymidas_HVHV_NaI_mf.env</v>
      </c>
      <c r="R1788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</v>
      </c>
    </row>
    <row r="1789" spans="1:18">
      <c r="A1789" s="179" t="s">
        <v>7236</v>
      </c>
      <c r="G1789" s="191"/>
      <c r="K1789" s="180"/>
      <c r="M1789" t="s">
        <v>2246</v>
      </c>
      <c r="N1789" t="s">
        <v>5571</v>
      </c>
      <c r="O1789" t="s">
        <v>4929</v>
      </c>
      <c r="Q1789" t="str">
        <f t="shared" si="95"/>
        <v>condorProc.py --series 07180830_0400 --donoise --dumps a --procenv environments/pymidas_HVHV_NaI_mf.env</v>
      </c>
      <c r="R1789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</v>
      </c>
    </row>
    <row r="1790" spans="1:18">
      <c r="A1790" s="179" t="s">
        <v>7237</v>
      </c>
      <c r="G1790" s="191"/>
      <c r="K1790" s="180"/>
      <c r="M1790" t="s">
        <v>2246</v>
      </c>
      <c r="N1790" t="s">
        <v>5571</v>
      </c>
      <c r="O1790" t="s">
        <v>4929</v>
      </c>
      <c r="Q1790" t="str">
        <f t="shared" si="95"/>
        <v>condorProc.py --series 07180830_0410 --donoise --dumps a --procenv environments/pymidas_HVHV_NaI_mf.env</v>
      </c>
      <c r="R1790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</v>
      </c>
    </row>
    <row r="1791" spans="1:18">
      <c r="A1791" s="179" t="s">
        <v>7238</v>
      </c>
      <c r="G1791" s="191"/>
      <c r="K1791" s="180"/>
      <c r="M1791" t="s">
        <v>2246</v>
      </c>
      <c r="N1791" t="s">
        <v>5571</v>
      </c>
      <c r="O1791" t="s">
        <v>4929</v>
      </c>
      <c r="Q1791" t="str">
        <f t="shared" si="95"/>
        <v>condorProc.py --series 07180830_0420 --donoise --dumps a --procenv environments/pymidas_HVHV_NaI_mf.env</v>
      </c>
      <c r="R1791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</v>
      </c>
    </row>
    <row r="1792" spans="1:18">
      <c r="A1792" s="179" t="s">
        <v>7239</v>
      </c>
      <c r="G1792" s="191"/>
      <c r="K1792" s="180"/>
      <c r="M1792" t="s">
        <v>2246</v>
      </c>
      <c r="N1792" t="s">
        <v>5571</v>
      </c>
      <c r="O1792" t="s">
        <v>4929</v>
      </c>
      <c r="Q1792" t="str">
        <f t="shared" si="95"/>
        <v>condorProc.py --series 07180830_0431 --donoise --dumps a --procenv environments/pymidas_HVHV_NaI_mf.env</v>
      </c>
      <c r="R1792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</v>
      </c>
    </row>
    <row r="1793" spans="1:18">
      <c r="A1793" s="179" t="s">
        <v>7240</v>
      </c>
      <c r="G1793" s="191"/>
      <c r="K1793" s="180"/>
      <c r="M1793" t="s">
        <v>2246</v>
      </c>
      <c r="N1793" t="s">
        <v>5571</v>
      </c>
      <c r="O1793" t="s">
        <v>4929</v>
      </c>
      <c r="Q1793" t="str">
        <f t="shared" si="95"/>
        <v>condorProc.py --series 07180830_0441 --donoise --dumps a --procenv environments/pymidas_HVHV_NaI_mf.env</v>
      </c>
      <c r="R1793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</v>
      </c>
    </row>
    <row r="1794" spans="1:18">
      <c r="A1794" s="181" t="s">
        <v>7241</v>
      </c>
      <c r="B1794" s="65"/>
      <c r="C1794" s="65"/>
      <c r="D1794" s="65"/>
      <c r="E1794" s="65"/>
      <c r="F1794" s="65"/>
      <c r="G1794" s="193"/>
      <c r="H1794" s="65"/>
      <c r="I1794" s="65" t="s">
        <v>75</v>
      </c>
      <c r="J1794" s="65"/>
      <c r="K1794" s="182"/>
      <c r="M1794" t="s">
        <v>2246</v>
      </c>
      <c r="N1794" t="s">
        <v>5571</v>
      </c>
      <c r="O1794" t="s">
        <v>4929</v>
      </c>
      <c r="Q1794" t="str">
        <f t="shared" si="95"/>
        <v>condorProc.py --series 07180830_0451 --donoise --dumps a --procenv environments/pymidas_HVHV_NaI_mf.env</v>
      </c>
      <c r="R1794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</v>
      </c>
    </row>
    <row r="1795" spans="1:18">
      <c r="A1795" t="s">
        <v>7242</v>
      </c>
      <c r="F1795">
        <v>10</v>
      </c>
      <c r="G1795" s="191" t="s">
        <v>2248</v>
      </c>
      <c r="H1795">
        <v>-40</v>
      </c>
      <c r="J1795" t="s">
        <v>5577</v>
      </c>
      <c r="K1795" s="180" t="s">
        <v>5583</v>
      </c>
      <c r="M1795" t="s">
        <v>2246</v>
      </c>
      <c r="N1795" t="s">
        <v>5571</v>
      </c>
      <c r="O1795" t="s">
        <v>4929</v>
      </c>
      <c r="Q1795" t="str">
        <f t="shared" si="95"/>
        <v>condorProc.py --series 07180830_0540 --donoise --dumps a --procenv environments/pymidas_HVHV_NaI_mf.env</v>
      </c>
      <c r="R1795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</v>
      </c>
    </row>
    <row r="1796" spans="1:18">
      <c r="A1796" t="s">
        <v>7243</v>
      </c>
      <c r="G1796" s="191"/>
      <c r="J1796" t="s">
        <v>5585</v>
      </c>
      <c r="K1796" s="180" t="s">
        <v>5671</v>
      </c>
      <c r="M1796" t="s">
        <v>2246</v>
      </c>
      <c r="N1796" t="s">
        <v>5571</v>
      </c>
      <c r="O1796" t="s">
        <v>4929</v>
      </c>
      <c r="Q1796" t="str">
        <f t="shared" si="95"/>
        <v>condorProc.py --series 07180830_0550 --donoise --dumps a --procenv environments/pymidas_HVHV_NaI_mf.env</v>
      </c>
      <c r="R1796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</v>
      </c>
    </row>
    <row r="1797" spans="1:18">
      <c r="A1797" t="s">
        <v>7244</v>
      </c>
      <c r="G1797" s="191"/>
      <c r="K1797" s="187" t="s">
        <v>6206</v>
      </c>
      <c r="M1797" t="s">
        <v>2246</v>
      </c>
      <c r="N1797" t="s">
        <v>5571</v>
      </c>
      <c r="O1797" t="s">
        <v>4929</v>
      </c>
      <c r="Q1797" t="str">
        <f t="shared" si="95"/>
        <v>condorProc.py --series 07180830_0600 --donoise --dumps a --procenv environments/pymidas_HVHV_NaI_mf.env</v>
      </c>
      <c r="R1797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</v>
      </c>
    </row>
    <row r="1798" spans="1:18">
      <c r="A1798" t="s">
        <v>7245</v>
      </c>
      <c r="G1798" s="191"/>
      <c r="K1798" s="180"/>
      <c r="M1798" t="s">
        <v>2246</v>
      </c>
      <c r="N1798" t="s">
        <v>5571</v>
      </c>
      <c r="O1798" t="s">
        <v>4929</v>
      </c>
      <c r="Q1798" t="str">
        <f t="shared" si="95"/>
        <v>condorProc.py --series 07180830_0610 --donoise --dumps a --procenv environments/pymidas_HVHV_NaI_mf.env</v>
      </c>
      <c r="R1798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</v>
      </c>
    </row>
    <row r="1799" spans="1:18">
      <c r="A1799" t="s">
        <v>7246</v>
      </c>
      <c r="G1799" s="191"/>
      <c r="K1799" s="180"/>
      <c r="M1799" t="s">
        <v>2246</v>
      </c>
      <c r="N1799" t="s">
        <v>5571</v>
      </c>
      <c r="O1799" t="s">
        <v>4929</v>
      </c>
      <c r="Q1799" t="str">
        <f t="shared" si="95"/>
        <v>condorProc.py --series 07180830_0620 --donoise --dumps a --procenv environments/pymidas_HVHV_NaI_mf.env</v>
      </c>
      <c r="R1799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</v>
      </c>
    </row>
    <row r="1800" spans="1:18">
      <c r="A1800" t="s">
        <v>7247</v>
      </c>
      <c r="G1800" s="191"/>
      <c r="K1800" s="180"/>
      <c r="M1800" t="s">
        <v>2246</v>
      </c>
      <c r="N1800" t="s">
        <v>5571</v>
      </c>
      <c r="O1800" t="s">
        <v>4929</v>
      </c>
      <c r="Q1800" t="str">
        <f t="shared" si="95"/>
        <v>condorProc.py --series 07180830_0630 --donoise --dumps a --procenv environments/pymidas_HVHV_NaI_mf.env</v>
      </c>
      <c r="R1800" t="str">
        <f t="shared" si="94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</v>
      </c>
    </row>
    <row r="1801" spans="1:18">
      <c r="A1801" t="s">
        <v>7248</v>
      </c>
      <c r="G1801" s="191"/>
      <c r="K1801" s="180"/>
      <c r="M1801" t="s">
        <v>2246</v>
      </c>
      <c r="N1801" t="s">
        <v>5571</v>
      </c>
      <c r="O1801" t="s">
        <v>4929</v>
      </c>
      <c r="Q1801" t="str">
        <f t="shared" si="95"/>
        <v>condorProc.py --series 07180830_0640 --donoise --dumps a --procenv environments/pymidas_HVHV_NaI_mf.env</v>
      </c>
      <c r="R1801" t="str">
        <f t="shared" ref="R1801:R1830" si="96">R1800&amp;", """&amp;A1801&amp;""""</f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</v>
      </c>
    </row>
    <row r="1802" spans="1:18">
      <c r="A1802" t="s">
        <v>7249</v>
      </c>
      <c r="G1802" s="191"/>
      <c r="K1802" s="180"/>
      <c r="M1802" t="s">
        <v>2246</v>
      </c>
      <c r="N1802" t="s">
        <v>5571</v>
      </c>
      <c r="O1802" t="s">
        <v>4929</v>
      </c>
      <c r="Q1802" t="str">
        <f t="shared" si="95"/>
        <v>condorProc.py --series 07180830_0650 --donoise --dumps a --procenv environments/pymidas_HVHV_NaI_mf.env</v>
      </c>
      <c r="R1802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</v>
      </c>
    </row>
    <row r="1803" spans="1:18">
      <c r="A1803" t="s">
        <v>7250</v>
      </c>
      <c r="G1803" s="191"/>
      <c r="K1803" s="180"/>
      <c r="M1803" t="s">
        <v>2246</v>
      </c>
      <c r="N1803" t="s">
        <v>5571</v>
      </c>
      <c r="O1803" t="s">
        <v>4929</v>
      </c>
      <c r="Q1803" t="str">
        <f t="shared" si="95"/>
        <v>condorProc.py --series 07180830_0700 --donoise --dumps a --procenv environments/pymidas_HVHV_NaI_mf.env</v>
      </c>
      <c r="R1803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</v>
      </c>
    </row>
    <row r="1804" spans="1:18">
      <c r="A1804" t="s">
        <v>7251</v>
      </c>
      <c r="G1804" s="191"/>
      <c r="K1804" s="180"/>
      <c r="M1804" t="s">
        <v>2246</v>
      </c>
      <c r="N1804" t="s">
        <v>5571</v>
      </c>
      <c r="O1804" t="s">
        <v>4929</v>
      </c>
      <c r="Q1804" t="str">
        <f t="shared" si="95"/>
        <v>condorProc.py --series 07180830_0710 --donoise --dumps a --procenv environments/pymidas_HVHV_NaI_mf.env</v>
      </c>
      <c r="R1804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</v>
      </c>
    </row>
    <row r="1805" spans="1:18">
      <c r="A1805" t="s">
        <v>7252</v>
      </c>
      <c r="G1805" s="191"/>
      <c r="K1805" s="180"/>
      <c r="M1805" t="s">
        <v>2246</v>
      </c>
      <c r="N1805" t="s">
        <v>5571</v>
      </c>
      <c r="O1805" t="s">
        <v>4929</v>
      </c>
      <c r="Q1805" t="str">
        <f t="shared" si="95"/>
        <v>condorProc.py --series 07180830_0720 --donoise --dumps a --procenv environments/pymidas_HVHV_NaI_mf.env</v>
      </c>
      <c r="R1805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</v>
      </c>
    </row>
    <row r="1806" spans="1:18">
      <c r="A1806" t="s">
        <v>7253</v>
      </c>
      <c r="G1806" s="191"/>
      <c r="I1806" t="s">
        <v>75</v>
      </c>
      <c r="K1806" s="180"/>
      <c r="M1806" t="s">
        <v>2246</v>
      </c>
      <c r="N1806" t="s">
        <v>5571</v>
      </c>
      <c r="O1806" t="s">
        <v>4929</v>
      </c>
      <c r="Q1806" t="str">
        <f t="shared" si="95"/>
        <v>condorProc.py --series 07180830_0731 --donoise --dumps a --procenv environments/pymidas_HVHV_NaI_mf.env</v>
      </c>
      <c r="R1806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</v>
      </c>
    </row>
    <row r="1807" spans="1:18">
      <c r="A1807" s="176" t="s">
        <v>7254</v>
      </c>
      <c r="B1807" s="177"/>
      <c r="C1807" s="177"/>
      <c r="D1807" s="177"/>
      <c r="E1807" s="177"/>
      <c r="F1807" s="177">
        <v>10</v>
      </c>
      <c r="G1807" s="192" t="s">
        <v>2248</v>
      </c>
      <c r="H1807" s="177">
        <v>-40</v>
      </c>
      <c r="I1807" s="177"/>
      <c r="J1807" s="177" t="s">
        <v>5577</v>
      </c>
      <c r="K1807" s="178" t="s">
        <v>5583</v>
      </c>
      <c r="M1807" t="s">
        <v>2246</v>
      </c>
      <c r="N1807" t="s">
        <v>5571</v>
      </c>
      <c r="O1807" t="s">
        <v>4929</v>
      </c>
      <c r="Q1807" t="str">
        <f t="shared" si="95"/>
        <v>condorProc.py --series 07180830_0819 --donoise --dumps a --procenv environments/pymidas_HVHV_NaI_mf.env</v>
      </c>
      <c r="R1807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</v>
      </c>
    </row>
    <row r="1808" spans="1:18">
      <c r="A1808" s="179" t="s">
        <v>7255</v>
      </c>
      <c r="G1808" s="191"/>
      <c r="J1808" t="s">
        <v>5585</v>
      </c>
      <c r="K1808" s="180" t="s">
        <v>5671</v>
      </c>
      <c r="M1808" t="s">
        <v>2246</v>
      </c>
      <c r="N1808" t="s">
        <v>5571</v>
      </c>
      <c r="O1808" t="s">
        <v>4929</v>
      </c>
      <c r="Q1808" t="str">
        <f t="shared" si="95"/>
        <v>condorProc.py --series 07180830_0829 --donoise --dumps a --procenv environments/pymidas_HVHV_NaI_mf.env</v>
      </c>
      <c r="R1808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</v>
      </c>
    </row>
    <row r="1809" spans="1:18">
      <c r="A1809" s="179" t="s">
        <v>7256</v>
      </c>
      <c r="G1809" s="191"/>
      <c r="K1809" s="187" t="s">
        <v>6206</v>
      </c>
      <c r="M1809" t="s">
        <v>2246</v>
      </c>
      <c r="N1809" t="s">
        <v>5571</v>
      </c>
      <c r="O1809" t="s">
        <v>4929</v>
      </c>
      <c r="Q1809" t="str">
        <f t="shared" si="95"/>
        <v>condorProc.py --series 07180830_0840 --donoise --dumps a --procenv environments/pymidas_HVHV_NaI_mf.env</v>
      </c>
      <c r="R1809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</v>
      </c>
    </row>
    <row r="1810" spans="1:18">
      <c r="A1810" s="179" t="s">
        <v>7257</v>
      </c>
      <c r="G1810" s="191"/>
      <c r="I1810" s="197" t="s">
        <v>5645</v>
      </c>
      <c r="K1810" s="180"/>
      <c r="M1810" t="s">
        <v>2246</v>
      </c>
      <c r="N1810" s="16" t="s">
        <v>2037</v>
      </c>
      <c r="O1810" t="s">
        <v>4929</v>
      </c>
      <c r="Q1810" t="str">
        <f t="shared" si="95"/>
        <v>condorProc.py --series 07180830_0850 --donoise --dumps a --procenv environments/pymidas_HVHV_NaI_mf.env</v>
      </c>
      <c r="R1810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</v>
      </c>
    </row>
    <row r="1811" spans="1:18">
      <c r="A1811" s="179" t="s">
        <v>7258</v>
      </c>
      <c r="G1811" s="191"/>
      <c r="K1811" s="180"/>
      <c r="M1811" t="s">
        <v>2246</v>
      </c>
      <c r="N1811" t="s">
        <v>5571</v>
      </c>
      <c r="O1811" t="s">
        <v>4929</v>
      </c>
      <c r="Q1811" t="str">
        <f t="shared" si="95"/>
        <v>condorProc.py --series 07180830_0900 --donoise --dumps a --procenv environments/pymidas_HVHV_NaI_mf.env</v>
      </c>
      <c r="R1811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</v>
      </c>
    </row>
    <row r="1812" spans="1:18">
      <c r="A1812" s="179" t="s">
        <v>7259</v>
      </c>
      <c r="G1812" s="191"/>
      <c r="K1812" s="180"/>
      <c r="M1812" t="s">
        <v>2246</v>
      </c>
      <c r="N1812" t="s">
        <v>5571</v>
      </c>
      <c r="O1812" t="s">
        <v>4929</v>
      </c>
      <c r="Q1812" t="str">
        <f t="shared" si="95"/>
        <v>condorProc.py --series 07180830_0910 --donoise --dumps a --procenv environments/pymidas_HVHV_NaI_mf.env</v>
      </c>
      <c r="R1812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</v>
      </c>
    </row>
    <row r="1813" spans="1:18">
      <c r="A1813" s="179" t="s">
        <v>7260</v>
      </c>
      <c r="G1813" s="191"/>
      <c r="K1813" s="180"/>
      <c r="M1813" t="s">
        <v>2246</v>
      </c>
      <c r="N1813" t="s">
        <v>5571</v>
      </c>
      <c r="O1813" t="s">
        <v>4929</v>
      </c>
      <c r="Q1813" t="str">
        <f t="shared" si="95"/>
        <v>condorProc.py --series 07180830_0920 --donoise --dumps a --procenv environments/pymidas_HVHV_NaI_mf.env</v>
      </c>
      <c r="R1813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</v>
      </c>
    </row>
    <row r="1814" spans="1:18">
      <c r="A1814" s="179" t="s">
        <v>7261</v>
      </c>
      <c r="G1814" s="191"/>
      <c r="K1814" s="180"/>
      <c r="M1814" t="s">
        <v>2246</v>
      </c>
      <c r="N1814" t="s">
        <v>5571</v>
      </c>
      <c r="O1814" t="s">
        <v>4929</v>
      </c>
      <c r="Q1814" t="str">
        <f t="shared" si="95"/>
        <v>condorProc.py --series 07180830_0930 --donoise --dumps a --procenv environments/pymidas_HVHV_NaI_mf.env</v>
      </c>
      <c r="R1814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</v>
      </c>
    </row>
    <row r="1815" spans="1:18">
      <c r="A1815" s="179" t="s">
        <v>7262</v>
      </c>
      <c r="G1815" s="191"/>
      <c r="K1815" s="180"/>
      <c r="M1815" t="s">
        <v>2246</v>
      </c>
      <c r="N1815" t="s">
        <v>5571</v>
      </c>
      <c r="O1815" t="s">
        <v>4929</v>
      </c>
      <c r="Q1815" t="str">
        <f t="shared" si="95"/>
        <v>condorProc.py --series 07180830_0940 --donoise --dumps a --procenv environments/pymidas_HVHV_NaI_mf.env</v>
      </c>
      <c r="R1815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</v>
      </c>
    </row>
    <row r="1816" spans="1:18">
      <c r="A1816" s="179" t="s">
        <v>7263</v>
      </c>
      <c r="G1816" s="191"/>
      <c r="K1816" s="180"/>
      <c r="M1816" t="s">
        <v>2246</v>
      </c>
      <c r="N1816" t="s">
        <v>5571</v>
      </c>
      <c r="O1816" t="s">
        <v>4929</v>
      </c>
      <c r="Q1816" t="str">
        <f t="shared" si="95"/>
        <v>condorProc.py --series 07180830_0950 --donoise --dumps a --procenv environments/pymidas_HVHV_NaI_mf.env</v>
      </c>
      <c r="R1816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</v>
      </c>
    </row>
    <row r="1817" spans="1:18">
      <c r="A1817" s="179" t="s">
        <v>7264</v>
      </c>
      <c r="G1817" s="191"/>
      <c r="K1817" s="180"/>
      <c r="M1817" t="s">
        <v>2246</v>
      </c>
      <c r="N1817" t="s">
        <v>5571</v>
      </c>
      <c r="O1817" t="s">
        <v>4929</v>
      </c>
      <c r="Q1817" t="str">
        <f t="shared" si="95"/>
        <v>condorProc.py --series 07180830_1000 --donoise --dumps a --procenv environments/pymidas_HVHV_NaI_mf.env</v>
      </c>
      <c r="R1817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</v>
      </c>
    </row>
    <row r="1818" spans="1:18">
      <c r="A1818" s="181" t="s">
        <v>7265</v>
      </c>
      <c r="B1818" s="65"/>
      <c r="C1818" s="65"/>
      <c r="D1818" s="65"/>
      <c r="E1818" s="65"/>
      <c r="F1818" s="65"/>
      <c r="G1818" s="193"/>
      <c r="H1818" s="65"/>
      <c r="I1818" s="65" t="s">
        <v>75</v>
      </c>
      <c r="J1818" s="65"/>
      <c r="K1818" s="202" t="s">
        <v>7266</v>
      </c>
      <c r="M1818" t="s">
        <v>2246</v>
      </c>
      <c r="N1818" t="s">
        <v>5571</v>
      </c>
      <c r="O1818" t="s">
        <v>4929</v>
      </c>
      <c r="Q1818" t="str">
        <f t="shared" ref="Q1818:Q1881" si="97">"condorProc.py --series "&amp;A1818&amp;" --donoise --dumps a --procenv environments/pymidas_HVHV_NaI_mf.env"</f>
        <v>condorProc.py --series 07180830_1010 --donoise --dumps a --procenv environments/pymidas_HVHV_NaI_mf.env</v>
      </c>
      <c r="R1818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</v>
      </c>
    </row>
    <row r="1819" spans="1:18">
      <c r="A1819" t="s">
        <v>7267</v>
      </c>
      <c r="F1819">
        <v>10</v>
      </c>
      <c r="G1819" s="191" t="s">
        <v>2248</v>
      </c>
      <c r="H1819">
        <v>-40</v>
      </c>
      <c r="J1819" t="s">
        <v>5577</v>
      </c>
      <c r="K1819" s="180" t="s">
        <v>5583</v>
      </c>
      <c r="M1819" t="s">
        <v>2246</v>
      </c>
      <c r="N1819" t="s">
        <v>5571</v>
      </c>
      <c r="O1819" t="s">
        <v>4929</v>
      </c>
      <c r="Q1819" t="str">
        <f t="shared" si="97"/>
        <v>condorProc.py --series 07180830_1250 --donoise --dumps a --procenv environments/pymidas_HVHV_NaI_mf.env</v>
      </c>
      <c r="R1819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</v>
      </c>
    </row>
    <row r="1820" spans="1:18">
      <c r="A1820" t="s">
        <v>7268</v>
      </c>
      <c r="G1820" s="191"/>
      <c r="J1820" t="s">
        <v>5585</v>
      </c>
      <c r="K1820" s="180" t="s">
        <v>5671</v>
      </c>
      <c r="M1820" t="s">
        <v>2246</v>
      </c>
      <c r="N1820" t="s">
        <v>5571</v>
      </c>
      <c r="O1820" t="s">
        <v>4929</v>
      </c>
      <c r="Q1820" t="str">
        <f t="shared" si="97"/>
        <v>condorProc.py --series 07180830_1300 --donoise --dumps a --procenv environments/pymidas_HVHV_NaI_mf.env</v>
      </c>
      <c r="R1820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</v>
      </c>
    </row>
    <row r="1821" spans="1:18">
      <c r="A1821" t="s">
        <v>7269</v>
      </c>
      <c r="G1821" s="191"/>
      <c r="K1821" s="187" t="s">
        <v>6206</v>
      </c>
      <c r="M1821" t="s">
        <v>2246</v>
      </c>
      <c r="N1821" t="s">
        <v>5571</v>
      </c>
      <c r="O1821" t="s">
        <v>4929</v>
      </c>
      <c r="Q1821" t="str">
        <f t="shared" si="97"/>
        <v>condorProc.py --series 07180830_1310 --donoise --dumps a --procenv environments/pymidas_HVHV_NaI_mf.env</v>
      </c>
      <c r="R1821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</v>
      </c>
    </row>
    <row r="1822" spans="1:18">
      <c r="A1822" t="s">
        <v>7270</v>
      </c>
      <c r="G1822" s="191"/>
      <c r="K1822" s="180"/>
      <c r="M1822" t="s">
        <v>2246</v>
      </c>
      <c r="N1822" t="s">
        <v>5571</v>
      </c>
      <c r="O1822" t="s">
        <v>4929</v>
      </c>
      <c r="Q1822" t="str">
        <f t="shared" si="97"/>
        <v>condorProc.py --series 07180830_1320 --donoise --dumps a --procenv environments/pymidas_HVHV_NaI_mf.env</v>
      </c>
      <c r="R1822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"07180830_1310", "07180830_1320"</v>
      </c>
    </row>
    <row r="1823" spans="1:18">
      <c r="A1823" t="s">
        <v>7271</v>
      </c>
      <c r="G1823" s="191"/>
      <c r="K1823" s="180"/>
      <c r="M1823" t="s">
        <v>2246</v>
      </c>
      <c r="N1823" t="s">
        <v>5571</v>
      </c>
      <c r="O1823" t="s">
        <v>4929</v>
      </c>
      <c r="Q1823" t="str">
        <f t="shared" si="97"/>
        <v>condorProc.py --series 07180830_1330 --donoise --dumps a --procenv environments/pymidas_HVHV_NaI_mf.env</v>
      </c>
      <c r="R1823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"07180830_1310", "07180830_1320", "07180830_1330"</v>
      </c>
    </row>
    <row r="1824" spans="1:18">
      <c r="A1824" t="s">
        <v>7272</v>
      </c>
      <c r="G1824" s="191"/>
      <c r="K1824" s="180"/>
      <c r="M1824" t="s">
        <v>2246</v>
      </c>
      <c r="N1824" t="s">
        <v>5571</v>
      </c>
      <c r="O1824" t="s">
        <v>4929</v>
      </c>
      <c r="Q1824" t="str">
        <f t="shared" si="97"/>
        <v>condorProc.py --series 07180830_1340 --donoise --dumps a --procenv environments/pymidas_HVHV_NaI_mf.env</v>
      </c>
      <c r="R1824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"07180830_1310", "07180830_1320", "07180830_1330", "07180830_1340"</v>
      </c>
    </row>
    <row r="1825" spans="1:18">
      <c r="A1825" t="s">
        <v>7273</v>
      </c>
      <c r="G1825" s="191"/>
      <c r="K1825" s="180"/>
      <c r="M1825" t="s">
        <v>2246</v>
      </c>
      <c r="N1825" t="s">
        <v>5571</v>
      </c>
      <c r="O1825" t="s">
        <v>4929</v>
      </c>
      <c r="Q1825" t="str">
        <f t="shared" si="97"/>
        <v>condorProc.py --series 07180830_1350 --donoise --dumps a --procenv environments/pymidas_HVHV_NaI_mf.env</v>
      </c>
      <c r="R1825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"07180830_1310", "07180830_1320", "07180830_1330", "07180830_1340", "07180830_1350"</v>
      </c>
    </row>
    <row r="1826" spans="1:18">
      <c r="A1826" t="s">
        <v>7274</v>
      </c>
      <c r="G1826" s="191"/>
      <c r="K1826" s="180"/>
      <c r="M1826" t="s">
        <v>2246</v>
      </c>
      <c r="N1826" t="s">
        <v>5571</v>
      </c>
      <c r="O1826" t="s">
        <v>4929</v>
      </c>
      <c r="Q1826" t="str">
        <f t="shared" si="97"/>
        <v>condorProc.py --series 07180830_1400 --donoise --dumps a --procenv environments/pymidas_HVHV_NaI_mf.env</v>
      </c>
      <c r="R1826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"07180830_1310", "07180830_1320", "07180830_1330", "07180830_1340", "07180830_1350", "07180830_1400"</v>
      </c>
    </row>
    <row r="1827" spans="1:18">
      <c r="A1827" t="s">
        <v>7275</v>
      </c>
      <c r="G1827" s="191"/>
      <c r="K1827" s="180"/>
      <c r="M1827" t="s">
        <v>2246</v>
      </c>
      <c r="N1827" t="s">
        <v>5571</v>
      </c>
      <c r="O1827" t="s">
        <v>4929</v>
      </c>
      <c r="Q1827" t="str">
        <f t="shared" si="97"/>
        <v>condorProc.py --series 07180830_1410 --donoise --dumps a --procenv environments/pymidas_HVHV_NaI_mf.env</v>
      </c>
      <c r="R1827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"07180830_1310", "07180830_1320", "07180830_1330", "07180830_1340", "07180830_1350", "07180830_1400", "07180830_1410"</v>
      </c>
    </row>
    <row r="1828" spans="1:18">
      <c r="A1828" t="s">
        <v>7276</v>
      </c>
      <c r="G1828" s="191"/>
      <c r="K1828" s="180"/>
      <c r="M1828" t="s">
        <v>2246</v>
      </c>
      <c r="N1828" t="s">
        <v>5571</v>
      </c>
      <c r="O1828" t="s">
        <v>4929</v>
      </c>
      <c r="Q1828" t="str">
        <f t="shared" si="97"/>
        <v>condorProc.py --series 07180830_1420 --donoise --dumps a --procenv environments/pymidas_HVHV_NaI_mf.env</v>
      </c>
      <c r="R1828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"07180830_1310", "07180830_1320", "07180830_1330", "07180830_1340", "07180830_1350", "07180830_1400", "07180830_1410", "07180830_1420"</v>
      </c>
    </row>
    <row r="1829" spans="1:18">
      <c r="A1829" t="s">
        <v>7277</v>
      </c>
      <c r="G1829" s="191"/>
      <c r="K1829" s="180"/>
      <c r="L1829" t="s">
        <v>7049</v>
      </c>
      <c r="M1829" t="s">
        <v>2246</v>
      </c>
      <c r="N1829" t="s">
        <v>5571</v>
      </c>
      <c r="O1829" t="s">
        <v>4929</v>
      </c>
      <c r="Q1829" t="str">
        <f t="shared" si="97"/>
        <v>condorProc.py --series 07180830_1430 --donoise --dumps a --procenv environments/pymidas_HVHV_NaI_mf.env</v>
      </c>
      <c r="R1829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"07180830_1310", "07180830_1320", "07180830_1330", "07180830_1340", "07180830_1350", "07180830_1400", "07180830_1410", "07180830_1420", "07180830_1430"</v>
      </c>
    </row>
    <row r="1830" spans="1:18">
      <c r="A1830" t="s">
        <v>7278</v>
      </c>
      <c r="G1830" s="191"/>
      <c r="I1830" t="s">
        <v>75</v>
      </c>
      <c r="K1830" s="187"/>
      <c r="L1830">
        <f>96+L1701</f>
        <v>925</v>
      </c>
      <c r="M1830" t="s">
        <v>2246</v>
      </c>
      <c r="N1830" t="s">
        <v>5571</v>
      </c>
      <c r="O1830" t="s">
        <v>4929</v>
      </c>
      <c r="Q1830" t="str">
        <f t="shared" si="97"/>
        <v>condorProc.py --series 07180830_1441 --donoise --dumps a --procenv environments/pymidas_HVHV_NaI_mf.env</v>
      </c>
      <c r="R1830" t="str">
        <f t="shared" si="96"/>
        <v>"07180829_1621", "07180829_1631", "07180829_1641", "07180829_1651", "07180829_1701", "07180829_1711", "07180829_1721", "07180829_1731", "07180829_1741", "07180829_1751", "07180829_1801", "07180829_1812", "07180829_1900", "07180829_1910", "07180829_1921", "07180829_1931", "07180829_1941", "07180829_1951", "07180829_2001", "07180829_2011", "07180829_2021", "07180829_2031", "07180829_2041", "07180829_2051", "07180829_2140", "07180829_2150", "07180829_2200", "07180829_2210", "07180829_2221", "07180829_2231", "07180829_2241", "07180829_2251", "07180829_2301", "07180829_2311", "07180829_2321", "07180829_2331", "07180830_0020", "07180830_0030", "07180830_0040", "07180830_0050", "07180830_0100", "07180830_0110", "07180830_0120", "07180830_0131", "07180830_0141", "07180830_0151", "07180830_0201", "07180830_0211", "07180830_0300", "07180830_0310", "07180830_0320", "07180830_0330", "07180830_0340", "07180830_0350", "07180830_0400", "07180830_0410", "07180830_0420", "07180830_0431", "07180830_0441", "07180830_0451", "07180830_0540", "07180830_0550", "07180830_0600", "07180830_0610", "07180830_0620", "07180830_0630", "07180830_0640", "07180830_0650", "07180830_0700", "07180830_0710", "07180830_0720", "07180830_0731", "07180830_0819", "07180830_0829", "07180830_0840", "07180830_0850", "07180830_0900", "07180830_0910", "07180830_0920", "07180830_0930", "07180830_0940", "07180830_0950", "07180830_1000", "07180830_1010", "07180830_1250", "07180830_1300", "07180830_1310", "07180830_1320", "07180830_1330", "07180830_1340", "07180830_1350", "07180830_1400", "07180830_1410", "07180830_1420", "07180830_1430", "07180830_1441"</v>
      </c>
    </row>
    <row r="1831" spans="1:18">
      <c r="A1831" s="176" t="s">
        <v>7279</v>
      </c>
      <c r="B1831" s="177"/>
      <c r="C1831" s="177"/>
      <c r="D1831" s="177"/>
      <c r="E1831" s="177"/>
      <c r="F1831" s="177">
        <v>10</v>
      </c>
      <c r="G1831" s="192" t="s">
        <v>2248</v>
      </c>
      <c r="H1831" s="203">
        <v>-30</v>
      </c>
      <c r="I1831" s="177"/>
      <c r="J1831" s="177" t="s">
        <v>5577</v>
      </c>
      <c r="K1831" s="178" t="s">
        <v>5583</v>
      </c>
      <c r="M1831" t="s">
        <v>2246</v>
      </c>
      <c r="N1831" t="s">
        <v>5571</v>
      </c>
      <c r="Q1831" t="str">
        <f t="shared" si="97"/>
        <v>condorProc.py --series 07180830_1726 --donoise --dumps a --procenv environments/pymidas_HVHV_NaI_mf.env</v>
      </c>
      <c r="R1831" t="str">
        <f>""""&amp;A1831&amp;""""</f>
        <v>"07180830_1726"</v>
      </c>
    </row>
    <row r="1832" spans="1:18">
      <c r="A1832" s="179" t="s">
        <v>7280</v>
      </c>
      <c r="G1832" s="191"/>
      <c r="H1832" s="205"/>
      <c r="J1832" t="s">
        <v>5585</v>
      </c>
      <c r="K1832" s="180" t="s">
        <v>5671</v>
      </c>
      <c r="M1832" t="s">
        <v>2246</v>
      </c>
      <c r="N1832" t="s">
        <v>5571</v>
      </c>
      <c r="Q1832" t="str">
        <f t="shared" si="97"/>
        <v>condorProc.py --series 07180830_1736 --donoise --dumps a --procenv environments/pymidas_HVHV_NaI_mf.env</v>
      </c>
      <c r="R1832" t="str">
        <f>R1831&amp;", """&amp;A1832&amp;""""</f>
        <v>"07180830_1726", "07180830_1736"</v>
      </c>
    </row>
    <row r="1833" spans="1:18">
      <c r="A1833" s="179" t="s">
        <v>7281</v>
      </c>
      <c r="G1833" s="191"/>
      <c r="H1833" s="205"/>
      <c r="K1833" s="187" t="s">
        <v>6206</v>
      </c>
      <c r="M1833" t="s">
        <v>2246</v>
      </c>
      <c r="N1833" t="s">
        <v>5571</v>
      </c>
      <c r="Q1833" t="str">
        <f t="shared" si="97"/>
        <v>condorProc.py --series 07180830_1746 --donoise --dumps a --procenv environments/pymidas_HVHV_NaI_mf.env</v>
      </c>
      <c r="R1833" t="str">
        <f t="shared" ref="R1833:R1842" si="98">R1832&amp;", """&amp;A1833&amp;""""</f>
        <v>"07180830_1726", "07180830_1736", "07180830_1746"</v>
      </c>
    </row>
    <row r="1834" spans="1:18">
      <c r="A1834" s="179" t="s">
        <v>7282</v>
      </c>
      <c r="G1834" s="191"/>
      <c r="H1834" s="205"/>
      <c r="K1834" s="180"/>
      <c r="M1834" t="s">
        <v>2246</v>
      </c>
      <c r="N1834" t="s">
        <v>5571</v>
      </c>
      <c r="Q1834" t="str">
        <f t="shared" si="97"/>
        <v>condorProc.py --series 07180830_1756 --donoise --dumps a --procenv environments/pymidas_HVHV_NaI_mf.env</v>
      </c>
      <c r="R1834" t="str">
        <f t="shared" si="98"/>
        <v>"07180830_1726", "07180830_1736", "07180830_1746", "07180830_1756"</v>
      </c>
    </row>
    <row r="1835" spans="1:18">
      <c r="A1835" s="179" t="s">
        <v>7283</v>
      </c>
      <c r="G1835" s="191"/>
      <c r="H1835" s="205"/>
      <c r="K1835" s="180"/>
      <c r="M1835" t="s">
        <v>2246</v>
      </c>
      <c r="N1835" t="s">
        <v>5571</v>
      </c>
      <c r="Q1835" t="str">
        <f t="shared" si="97"/>
        <v>condorProc.py --series 07180830_1806 --donoise --dumps a --procenv environments/pymidas_HVHV_NaI_mf.env</v>
      </c>
      <c r="R1835" t="str">
        <f t="shared" si="98"/>
        <v>"07180830_1726", "07180830_1736", "07180830_1746", "07180830_1756", "07180830_1806"</v>
      </c>
    </row>
    <row r="1836" spans="1:18">
      <c r="A1836" s="179" t="s">
        <v>7284</v>
      </c>
      <c r="G1836" s="191"/>
      <c r="H1836" s="205"/>
      <c r="K1836" s="180"/>
      <c r="M1836" t="s">
        <v>2246</v>
      </c>
      <c r="N1836" t="s">
        <v>5571</v>
      </c>
      <c r="Q1836" t="str">
        <f t="shared" si="97"/>
        <v>condorProc.py --series 07180830_1817 --donoise --dumps a --procenv environments/pymidas_HVHV_NaI_mf.env</v>
      </c>
      <c r="R1836" t="str">
        <f t="shared" si="98"/>
        <v>"07180830_1726", "07180830_1736", "07180830_1746", "07180830_1756", "07180830_1806", "07180830_1817"</v>
      </c>
    </row>
    <row r="1837" spans="1:18">
      <c r="A1837" s="179" t="s">
        <v>7285</v>
      </c>
      <c r="G1837" s="191"/>
      <c r="H1837" s="205"/>
      <c r="K1837" s="180"/>
      <c r="M1837" t="s">
        <v>2246</v>
      </c>
      <c r="N1837" t="s">
        <v>5571</v>
      </c>
      <c r="Q1837" t="str">
        <f t="shared" si="97"/>
        <v>condorProc.py --series 07180830_1827 --donoise --dumps a --procenv environments/pymidas_HVHV_NaI_mf.env</v>
      </c>
      <c r="R1837" t="str">
        <f t="shared" si="98"/>
        <v>"07180830_1726", "07180830_1736", "07180830_1746", "07180830_1756", "07180830_1806", "07180830_1817", "07180830_1827"</v>
      </c>
    </row>
    <row r="1838" spans="1:18">
      <c r="A1838" s="179" t="s">
        <v>7286</v>
      </c>
      <c r="G1838" s="191"/>
      <c r="H1838" s="205"/>
      <c r="K1838" s="180"/>
      <c r="M1838" t="s">
        <v>2246</v>
      </c>
      <c r="N1838" t="s">
        <v>5571</v>
      </c>
      <c r="Q1838" t="str">
        <f t="shared" si="97"/>
        <v>condorProc.py --series 07180830_1837 --donoise --dumps a --procenv environments/pymidas_HVHV_NaI_mf.env</v>
      </c>
      <c r="R1838" t="str">
        <f t="shared" si="98"/>
        <v>"07180830_1726", "07180830_1736", "07180830_1746", "07180830_1756", "07180830_1806", "07180830_1817", "07180830_1827", "07180830_1837"</v>
      </c>
    </row>
    <row r="1839" spans="1:18">
      <c r="A1839" s="179" t="s">
        <v>7287</v>
      </c>
      <c r="G1839" s="191"/>
      <c r="H1839" s="205"/>
      <c r="K1839" s="180"/>
      <c r="M1839" t="s">
        <v>2246</v>
      </c>
      <c r="N1839" t="s">
        <v>5571</v>
      </c>
      <c r="Q1839" t="str">
        <f t="shared" si="97"/>
        <v>condorProc.py --series 07180830_1847 --donoise --dumps a --procenv environments/pymidas_HVHV_NaI_mf.env</v>
      </c>
      <c r="R1839" t="str">
        <f t="shared" si="98"/>
        <v>"07180830_1726", "07180830_1736", "07180830_1746", "07180830_1756", "07180830_1806", "07180830_1817", "07180830_1827", "07180830_1837", "07180830_1847"</v>
      </c>
    </row>
    <row r="1840" spans="1:18">
      <c r="A1840" s="179" t="s">
        <v>7288</v>
      </c>
      <c r="G1840" s="191"/>
      <c r="H1840" s="205"/>
      <c r="K1840" s="180"/>
      <c r="M1840" t="s">
        <v>2246</v>
      </c>
      <c r="N1840" t="s">
        <v>5571</v>
      </c>
      <c r="Q1840" t="str">
        <f t="shared" si="97"/>
        <v>condorProc.py --series 07180830_1857 --donoise --dumps a --procenv environments/pymidas_HVHV_NaI_mf.env</v>
      </c>
      <c r="R1840" t="str">
        <f t="shared" si="98"/>
        <v>"07180830_1726", "07180830_1736", "07180830_1746", "07180830_1756", "07180830_1806", "07180830_1817", "07180830_1827", "07180830_1837", "07180830_1847", "07180830_1857"</v>
      </c>
    </row>
    <row r="1841" spans="1:26">
      <c r="A1841" s="179" t="s">
        <v>7289</v>
      </c>
      <c r="G1841" s="191"/>
      <c r="H1841" s="205"/>
      <c r="K1841" s="180"/>
      <c r="M1841" t="s">
        <v>2246</v>
      </c>
      <c r="N1841" t="s">
        <v>5571</v>
      </c>
      <c r="Q1841" t="str">
        <f t="shared" si="97"/>
        <v>condorProc.py --series 07180830_1907 --donoise --dumps a --procenv environments/pymidas_HVHV_NaI_mf.env</v>
      </c>
      <c r="R1841" t="str">
        <f t="shared" si="98"/>
        <v>"07180830_1726", "07180830_1736", "07180830_1746", "07180830_1756", "07180830_1806", "07180830_1817", "07180830_1827", "07180830_1837", "07180830_1847", "07180830_1857", "07180830_1907"</v>
      </c>
    </row>
    <row r="1842" spans="1:26">
      <c r="A1842" s="181" t="s">
        <v>7290</v>
      </c>
      <c r="B1842" s="65"/>
      <c r="C1842" s="65"/>
      <c r="D1842" s="65"/>
      <c r="E1842" s="65"/>
      <c r="F1842" s="65"/>
      <c r="G1842" s="193"/>
      <c r="H1842" s="204"/>
      <c r="I1842" s="65" t="s">
        <v>75</v>
      </c>
      <c r="J1842" s="65"/>
      <c r="K1842" s="202"/>
      <c r="M1842" t="s">
        <v>2246</v>
      </c>
      <c r="N1842" t="s">
        <v>5571</v>
      </c>
      <c r="Q1842" t="str">
        <f t="shared" si="97"/>
        <v>condorProc.py --series 07180830_1917 --donoise --dumps a --procenv environments/pymidas_HVHV_NaI_mf.env</v>
      </c>
      <c r="R1842" t="str">
        <f t="shared" si="98"/>
        <v>"07180830_1726", "07180830_1736", "07180830_1746", "07180830_1756", "07180830_1806", "07180830_1817", "07180830_1827", "07180830_1837", "07180830_1847", "07180830_1857", "07180830_1907", "07180830_1917"</v>
      </c>
    </row>
    <row r="1843" spans="1:26">
      <c r="A1843" t="s">
        <v>7291</v>
      </c>
      <c r="F1843" s="177">
        <v>10</v>
      </c>
      <c r="G1843" s="192" t="s">
        <v>2248</v>
      </c>
      <c r="H1843" s="206">
        <v>-50</v>
      </c>
      <c r="I1843" s="177"/>
      <c r="J1843" s="177" t="s">
        <v>5577</v>
      </c>
      <c r="K1843" s="178" t="s">
        <v>5583</v>
      </c>
      <c r="M1843" t="s">
        <v>2246</v>
      </c>
      <c r="N1843" t="s">
        <v>5571</v>
      </c>
      <c r="Q1843" t="str">
        <f t="shared" si="97"/>
        <v>condorProc.py --series 07180830_2006 --donoise --dumps a --procenv environments/pymidas_HVHV_NaI_mf.env</v>
      </c>
      <c r="R1843" t="str">
        <f>""""&amp;A1843&amp;""""</f>
        <v>"07180830_2006"</v>
      </c>
    </row>
    <row r="1844" spans="1:26">
      <c r="A1844" t="s">
        <v>7292</v>
      </c>
      <c r="G1844" s="191"/>
      <c r="H1844" s="207"/>
      <c r="J1844" t="s">
        <v>5585</v>
      </c>
      <c r="K1844" s="180" t="s">
        <v>5671</v>
      </c>
      <c r="M1844" t="s">
        <v>2246</v>
      </c>
      <c r="N1844" t="s">
        <v>5571</v>
      </c>
      <c r="Q1844" t="str">
        <f t="shared" si="97"/>
        <v>condorProc.py --series 07180830_2016 --donoise --dumps a --procenv environments/pymidas_HVHV_NaI_mf.env</v>
      </c>
      <c r="R1844" t="str">
        <f>R1843&amp;", """&amp;A1844&amp;""""</f>
        <v>"07180830_2006", "07180830_2016"</v>
      </c>
    </row>
    <row r="1845" spans="1:26">
      <c r="A1845" t="s">
        <v>7293</v>
      </c>
      <c r="G1845" s="191"/>
      <c r="H1845" s="207"/>
      <c r="K1845" s="187" t="s">
        <v>6206</v>
      </c>
      <c r="M1845" t="s">
        <v>2246</v>
      </c>
      <c r="N1845" t="s">
        <v>5571</v>
      </c>
      <c r="Q1845" t="str">
        <f t="shared" si="97"/>
        <v>condorProc.py --series 07180830_2026 --donoise --dumps a --procenv environments/pymidas_HVHV_NaI_mf.env</v>
      </c>
      <c r="R1845" t="str">
        <f t="shared" ref="R1845:R1854" si="99">R1844&amp;", """&amp;A1845&amp;""""</f>
        <v>"07180830_2006", "07180830_2016", "07180830_2026"</v>
      </c>
    </row>
    <row r="1846" spans="1:26">
      <c r="A1846" t="s">
        <v>7294</v>
      </c>
      <c r="G1846" s="191"/>
      <c r="H1846" s="207"/>
      <c r="K1846" s="180"/>
      <c r="M1846" t="s">
        <v>2246</v>
      </c>
      <c r="N1846" t="s">
        <v>5571</v>
      </c>
      <c r="Q1846" t="str">
        <f t="shared" si="97"/>
        <v>condorProc.py --series 07180830_2036 --donoise --dumps a --procenv environments/pymidas_HVHV_NaI_mf.env</v>
      </c>
      <c r="R1846" t="str">
        <f t="shared" si="99"/>
        <v>"07180830_2006", "07180830_2016", "07180830_2026", "07180830_2036"</v>
      </c>
    </row>
    <row r="1847" spans="1:26">
      <c r="A1847" t="s">
        <v>7295</v>
      </c>
      <c r="G1847" s="191"/>
      <c r="H1847" s="207"/>
      <c r="K1847" s="180"/>
      <c r="M1847" t="s">
        <v>2246</v>
      </c>
      <c r="N1847" t="s">
        <v>5571</v>
      </c>
      <c r="Q1847" t="str">
        <f t="shared" si="97"/>
        <v>condorProc.py --series 07180830_2046 --donoise --dumps a --procenv environments/pymidas_HVHV_NaI_mf.env</v>
      </c>
      <c r="R1847" t="str">
        <f t="shared" si="99"/>
        <v>"07180830_2006", "07180830_2016", "07180830_2026", "07180830_2036", "07180830_2046"</v>
      </c>
    </row>
    <row r="1848" spans="1:26">
      <c r="A1848" t="s">
        <v>7296</v>
      </c>
      <c r="G1848" s="191"/>
      <c r="H1848" s="207"/>
      <c r="K1848" s="180"/>
      <c r="M1848" t="s">
        <v>2246</v>
      </c>
      <c r="N1848" t="s">
        <v>5571</v>
      </c>
      <c r="Q1848" t="str">
        <f t="shared" si="97"/>
        <v>condorProc.py --series 07180830_2057 --donoise --dumps a --procenv environments/pymidas_HVHV_NaI_mf.env</v>
      </c>
      <c r="R1848" t="str">
        <f t="shared" si="99"/>
        <v>"07180830_2006", "07180830_2016", "07180830_2026", "07180830_2036", "07180830_2046", "07180830_2057"</v>
      </c>
    </row>
    <row r="1849" spans="1:26">
      <c r="A1849" t="s">
        <v>7297</v>
      </c>
      <c r="G1849" s="191"/>
      <c r="H1849" s="207"/>
      <c r="K1849" s="180"/>
      <c r="M1849" t="s">
        <v>2246</v>
      </c>
      <c r="N1849" t="s">
        <v>5571</v>
      </c>
      <c r="Q1849" t="str">
        <f t="shared" si="97"/>
        <v>condorProc.py --series 07180830_2107 --donoise --dumps a --procenv environments/pymidas_HVHV_NaI_mf.env</v>
      </c>
      <c r="R1849" t="str">
        <f t="shared" si="99"/>
        <v>"07180830_2006", "07180830_2016", "07180830_2026", "07180830_2036", "07180830_2046", "07180830_2057", "07180830_2107"</v>
      </c>
    </row>
    <row r="1850" spans="1:26">
      <c r="A1850" t="s">
        <v>7298</v>
      </c>
      <c r="G1850" s="191"/>
      <c r="H1850" s="207"/>
      <c r="K1850" s="180"/>
      <c r="M1850" t="s">
        <v>2246</v>
      </c>
      <c r="N1850" t="s">
        <v>5571</v>
      </c>
      <c r="Q1850" t="str">
        <f t="shared" si="97"/>
        <v>condorProc.py --series 07180830_2117 --donoise --dumps a --procenv environments/pymidas_HVHV_NaI_mf.env</v>
      </c>
      <c r="R1850" t="str">
        <f t="shared" si="99"/>
        <v>"07180830_2006", "07180830_2016", "07180830_2026", "07180830_2036", "07180830_2046", "07180830_2057", "07180830_2107", "07180830_2117"</v>
      </c>
    </row>
    <row r="1851" spans="1:26">
      <c r="A1851" t="s">
        <v>7299</v>
      </c>
      <c r="G1851" s="191"/>
      <c r="H1851" s="207"/>
      <c r="K1851" s="180"/>
      <c r="M1851" t="s">
        <v>2246</v>
      </c>
      <c r="N1851" t="s">
        <v>5571</v>
      </c>
      <c r="Q1851" t="str">
        <f t="shared" si="97"/>
        <v>condorProc.py --series 07180830_2127 --donoise --dumps a --procenv environments/pymidas_HVHV_NaI_mf.env</v>
      </c>
      <c r="R1851" t="str">
        <f t="shared" si="99"/>
        <v>"07180830_2006", "07180830_2016", "07180830_2026", "07180830_2036", "07180830_2046", "07180830_2057", "07180830_2107", "07180830_2117", "07180830_2127"</v>
      </c>
    </row>
    <row r="1852" spans="1:26">
      <c r="A1852" t="s">
        <v>7300</v>
      </c>
      <c r="G1852" s="191"/>
      <c r="H1852" s="207"/>
      <c r="K1852" s="180"/>
      <c r="M1852" t="s">
        <v>2246</v>
      </c>
      <c r="N1852" t="s">
        <v>5571</v>
      </c>
      <c r="Q1852" t="str">
        <f t="shared" si="97"/>
        <v>condorProc.py --series 07180830_2137 --donoise --dumps a --procenv environments/pymidas_HVHV_NaI_mf.env</v>
      </c>
      <c r="R1852" t="str">
        <f t="shared" si="99"/>
        <v>"07180830_2006", "07180830_2016", "07180830_2026", "07180830_2036", "07180830_2046", "07180830_2057", "07180830_2107", "07180830_2117", "07180830_2127", "07180830_2137"</v>
      </c>
    </row>
    <row r="1853" spans="1:26">
      <c r="A1853" t="s">
        <v>7301</v>
      </c>
      <c r="G1853" s="191"/>
      <c r="H1853" s="207"/>
      <c r="K1853" s="180"/>
      <c r="M1853" t="s">
        <v>2246</v>
      </c>
      <c r="N1853" t="s">
        <v>5571</v>
      </c>
      <c r="Q1853" t="str">
        <f t="shared" si="97"/>
        <v>condorProc.py --series 07180830_2147 --donoise --dumps a --procenv environments/pymidas_HVHV_NaI_mf.env</v>
      </c>
      <c r="R1853" t="str">
        <f t="shared" si="99"/>
        <v>"07180830_2006", "07180830_2016", "07180830_2026", "07180830_2036", "07180830_2046", "07180830_2057", "07180830_2107", "07180830_2117", "07180830_2127", "07180830_2137", "07180830_2147"</v>
      </c>
    </row>
    <row r="1854" spans="1:26">
      <c r="A1854" t="s">
        <v>7302</v>
      </c>
      <c r="F1854" s="65"/>
      <c r="G1854" s="193"/>
      <c r="H1854" s="208"/>
      <c r="I1854" s="65" t="s">
        <v>75</v>
      </c>
      <c r="J1854" s="65"/>
      <c r="K1854" s="202"/>
      <c r="M1854" t="s">
        <v>2246</v>
      </c>
      <c r="N1854" t="s">
        <v>5571</v>
      </c>
      <c r="Q1854" t="str">
        <f t="shared" si="97"/>
        <v>condorProc.py --series 07180830_2157 --donoise --dumps a --procenv environments/pymidas_HVHV_NaI_mf.env</v>
      </c>
      <c r="R1854" t="str">
        <f t="shared" si="99"/>
        <v>"07180830_2006", "07180830_2016", "07180830_2026", "07180830_2036", "07180830_2046", "07180830_2057", "07180830_2107", "07180830_2117", "07180830_2127", "07180830_2137", "07180830_2147", "07180830_2157"</v>
      </c>
    </row>
    <row r="1855" spans="1:26">
      <c r="A1855" t="s">
        <v>7303</v>
      </c>
      <c r="F1855" s="177">
        <v>10</v>
      </c>
      <c r="G1855" s="192" t="s">
        <v>2248</v>
      </c>
      <c r="H1855" s="177">
        <v>-40</v>
      </c>
      <c r="I1855" s="177"/>
      <c r="J1855" s="177" t="s">
        <v>5577</v>
      </c>
      <c r="K1855" s="178" t="s">
        <v>5583</v>
      </c>
      <c r="M1855" t="s">
        <v>2246</v>
      </c>
      <c r="N1855" t="s">
        <v>5571</v>
      </c>
      <c r="O1855" t="s">
        <v>4929</v>
      </c>
      <c r="Q1855" t="str">
        <f t="shared" si="97"/>
        <v>condorProc.py --series 07180830_2246 --donoise --dumps a --procenv environments/pymidas_HVHV_NaI_mf.env</v>
      </c>
      <c r="R1855" t="str">
        <f>""""&amp;A1855&amp;""""</f>
        <v>"07180830_2246"</v>
      </c>
      <c r="U1855">
        <v>-30</v>
      </c>
      <c r="V1855">
        <v>2.1270600000000001E-2</v>
      </c>
      <c r="W1855">
        <v>-30</v>
      </c>
      <c r="X1855">
        <f>V1855*(1-U1855/3.8)</f>
        <v>0.18919638947368422</v>
      </c>
    </row>
    <row r="1856" spans="1:26">
      <c r="A1856" t="s">
        <v>7304</v>
      </c>
      <c r="G1856" s="191"/>
      <c r="J1856" t="s">
        <v>5585</v>
      </c>
      <c r="K1856" s="180" t="s">
        <v>5671</v>
      </c>
      <c r="M1856" t="s">
        <v>2246</v>
      </c>
      <c r="N1856" t="s">
        <v>5571</v>
      </c>
      <c r="O1856" t="s">
        <v>4929</v>
      </c>
      <c r="Q1856" t="str">
        <f t="shared" si="97"/>
        <v>condorProc.py --series 07180830_2256 --donoise --dumps a --procenv environments/pymidas_HVHV_NaI_mf.env</v>
      </c>
      <c r="R1856" t="str">
        <f>R1855&amp;", """&amp;A1856&amp;""""</f>
        <v>"07180830_2246", "07180830_2256"</v>
      </c>
      <c r="U1856">
        <v>-50</v>
      </c>
      <c r="V1856">
        <v>1.4732200000000001E-2</v>
      </c>
      <c r="W1856">
        <v>-50</v>
      </c>
      <c r="X1856">
        <f>V1856*(1-U1856/3.8)</f>
        <v>0.20857693684210529</v>
      </c>
      <c r="Z1856">
        <f>V1856/V1857</f>
        <v>0.83375024052337898</v>
      </c>
    </row>
    <row r="1857" spans="1:26">
      <c r="A1857" t="s">
        <v>7305</v>
      </c>
      <c r="G1857" s="191"/>
      <c r="K1857" s="187" t="s">
        <v>6206</v>
      </c>
      <c r="M1857" t="s">
        <v>2246</v>
      </c>
      <c r="N1857" t="s">
        <v>5571</v>
      </c>
      <c r="O1857" t="s">
        <v>4929</v>
      </c>
      <c r="Q1857" t="str">
        <f t="shared" si="97"/>
        <v>condorProc.py --series 07180830_2306 --donoise --dumps a --procenv environments/pymidas_HVHV_NaI_mf.env</v>
      </c>
      <c r="R1857" t="str">
        <f t="shared" ref="R1857:R1902" si="100">R1856&amp;", """&amp;A1857&amp;""""</f>
        <v>"07180830_2246", "07180830_2256", "07180830_2306"</v>
      </c>
      <c r="U1857">
        <v>-40</v>
      </c>
      <c r="V1857">
        <v>1.7669799999999999E-2</v>
      </c>
      <c r="W1857">
        <v>-40</v>
      </c>
      <c r="X1857">
        <f>V1857*(1-U1857/3.8)</f>
        <v>0.20366769473684213</v>
      </c>
      <c r="Z1857">
        <f>V1858/V1857</f>
        <v>0.72496010141597533</v>
      </c>
    </row>
    <row r="1858" spans="1:26">
      <c r="A1858" t="s">
        <v>7306</v>
      </c>
      <c r="G1858" s="191"/>
      <c r="K1858" s="180"/>
      <c r="M1858" t="s">
        <v>2246</v>
      </c>
      <c r="N1858" t="s">
        <v>5571</v>
      </c>
      <c r="O1858" t="s">
        <v>4929</v>
      </c>
      <c r="Q1858" t="str">
        <f t="shared" si="97"/>
        <v>condorProc.py --series 07180830_2317 --donoise --dumps a --procenv environments/pymidas_HVHV_NaI_mf.env</v>
      </c>
      <c r="R1858" t="str">
        <f t="shared" si="100"/>
        <v>"07180830_2246", "07180830_2256", "07180830_2306", "07180830_2317"</v>
      </c>
      <c r="U1858">
        <v>-70</v>
      </c>
      <c r="V1858">
        <v>1.2809900000000001E-2</v>
      </c>
      <c r="W1858">
        <v>-70</v>
      </c>
      <c r="X1858">
        <f>V1858*(1-U1858/3.8)</f>
        <v>0.24878174210526319</v>
      </c>
    </row>
    <row r="1859" spans="1:26">
      <c r="A1859" t="s">
        <v>7307</v>
      </c>
      <c r="G1859" s="191"/>
      <c r="K1859" s="180"/>
      <c r="M1859" t="s">
        <v>2246</v>
      </c>
      <c r="N1859" t="s">
        <v>5571</v>
      </c>
      <c r="O1859" t="s">
        <v>4929</v>
      </c>
      <c r="Q1859" t="str">
        <f t="shared" si="97"/>
        <v>condorProc.py --series 07180830_2327 --donoise --dumps a --procenv environments/pymidas_HVHV_NaI_mf.env</v>
      </c>
      <c r="R1859" t="str">
        <f t="shared" si="100"/>
        <v>"07180830_2246", "07180830_2256", "07180830_2306", "07180830_2317", "07180830_2327"</v>
      </c>
      <c r="U1859">
        <v>-80</v>
      </c>
      <c r="V1859">
        <v>1.1143500000000001E-2</v>
      </c>
      <c r="W1859">
        <v>-80</v>
      </c>
      <c r="X1859">
        <f>V1859*(1-U1859/3.8)</f>
        <v>0.24574350000000003</v>
      </c>
    </row>
    <row r="1860" spans="1:26">
      <c r="A1860" t="s">
        <v>7308</v>
      </c>
      <c r="G1860" s="191"/>
      <c r="K1860" s="180"/>
      <c r="M1860" t="s">
        <v>2246</v>
      </c>
      <c r="N1860" t="s">
        <v>5571</v>
      </c>
      <c r="O1860" t="s">
        <v>4929</v>
      </c>
      <c r="Q1860" t="str">
        <f t="shared" si="97"/>
        <v>condorProc.py --series 07180830_2337 --donoise --dumps a --procenv environments/pymidas_HVHV_NaI_mf.env</v>
      </c>
      <c r="R1860" t="str">
        <f t="shared" si="100"/>
        <v>"07180830_2246", "07180830_2256", "07180830_2306", "07180830_2317", "07180830_2327", "07180830_2337"</v>
      </c>
    </row>
    <row r="1861" spans="1:26">
      <c r="A1861" t="s">
        <v>7309</v>
      </c>
      <c r="G1861" s="191"/>
      <c r="K1861" s="180"/>
      <c r="M1861" t="s">
        <v>2246</v>
      </c>
      <c r="N1861" t="s">
        <v>5571</v>
      </c>
      <c r="O1861" t="s">
        <v>4929</v>
      </c>
      <c r="Q1861" t="str">
        <f t="shared" si="97"/>
        <v>condorProc.py --series 07180830_2347 --donoise --dumps a --procenv environments/pymidas_HVHV_NaI_mf.env</v>
      </c>
      <c r="R1861" t="str">
        <f t="shared" si="100"/>
        <v>"07180830_2246", "07180830_2256", "07180830_2306", "07180830_2317", "07180830_2327", "07180830_2337", "07180830_2347"</v>
      </c>
    </row>
    <row r="1862" spans="1:26">
      <c r="A1862" t="s">
        <v>7310</v>
      </c>
      <c r="G1862" s="191"/>
      <c r="K1862" s="180"/>
      <c r="M1862" t="s">
        <v>2246</v>
      </c>
      <c r="N1862" t="s">
        <v>5571</v>
      </c>
      <c r="O1862" t="s">
        <v>4929</v>
      </c>
      <c r="Q1862" t="str">
        <f t="shared" si="97"/>
        <v>condorProc.py --series 07180830_2357 --donoise --dumps a --procenv environments/pymidas_HVHV_NaI_mf.env</v>
      </c>
      <c r="R1862" t="str">
        <f t="shared" si="100"/>
        <v>"07180830_2246", "07180830_2256", "07180830_2306", "07180830_2317", "07180830_2327", "07180830_2337", "07180830_2347", "07180830_2357"</v>
      </c>
    </row>
    <row r="1863" spans="1:26">
      <c r="A1863" t="s">
        <v>7311</v>
      </c>
      <c r="G1863" s="191"/>
      <c r="K1863" s="180"/>
      <c r="M1863" t="s">
        <v>2246</v>
      </c>
      <c r="N1863" t="s">
        <v>5571</v>
      </c>
      <c r="O1863" t="s">
        <v>4929</v>
      </c>
      <c r="Q1863" t="str">
        <f t="shared" si="97"/>
        <v>condorProc.py --series 07180831_0007 --donoise --dumps a --procenv environments/pymidas_HVHV_NaI_mf.env</v>
      </c>
      <c r="R1863" t="str">
        <f t="shared" si="100"/>
        <v>"07180830_2246", "07180830_2256", "07180830_2306", "07180830_2317", "07180830_2327", "07180830_2337", "07180830_2347", "07180830_2357", "07180831_0007"</v>
      </c>
    </row>
    <row r="1864" spans="1:26">
      <c r="A1864" t="s">
        <v>7312</v>
      </c>
      <c r="G1864" s="191"/>
      <c r="K1864" s="180"/>
      <c r="M1864" t="s">
        <v>2246</v>
      </c>
      <c r="N1864" t="s">
        <v>5571</v>
      </c>
      <c r="O1864" t="s">
        <v>4929</v>
      </c>
      <c r="Q1864" t="str">
        <f t="shared" si="97"/>
        <v>condorProc.py --series 07180831_0017 --donoise --dumps a --procenv environments/pymidas_HVHV_NaI_mf.env</v>
      </c>
      <c r="R1864" t="str">
        <f t="shared" si="100"/>
        <v>"07180830_2246", "07180830_2256", "07180830_2306", "07180830_2317", "07180830_2327", "07180830_2337", "07180830_2347", "07180830_2357", "07180831_0007", "07180831_0017"</v>
      </c>
    </row>
    <row r="1865" spans="1:26">
      <c r="A1865" t="s">
        <v>7313</v>
      </c>
      <c r="G1865" s="191"/>
      <c r="K1865" s="180"/>
      <c r="M1865" t="s">
        <v>2246</v>
      </c>
      <c r="N1865" t="s">
        <v>5571</v>
      </c>
      <c r="O1865" t="s">
        <v>4929</v>
      </c>
      <c r="Q1865" t="str">
        <f t="shared" si="97"/>
        <v>condorProc.py --series 07180831_0027 --donoise --dumps a --procenv environments/pymidas_HVHV_NaI_mf.env</v>
      </c>
      <c r="R1865" t="str">
        <f t="shared" si="100"/>
        <v>"07180830_2246", "07180830_2256", "07180830_2306", "07180830_2317", "07180830_2327", "07180830_2337", "07180830_2347", "07180830_2357", "07180831_0007", "07180831_0017", "07180831_0027"</v>
      </c>
    </row>
    <row r="1866" spans="1:26">
      <c r="A1866" t="s">
        <v>7314</v>
      </c>
      <c r="F1866" s="65"/>
      <c r="G1866" s="193"/>
      <c r="H1866" s="65"/>
      <c r="I1866" s="65"/>
      <c r="J1866" s="65"/>
      <c r="K1866" s="202"/>
      <c r="M1866" t="s">
        <v>2246</v>
      </c>
      <c r="N1866" t="s">
        <v>5571</v>
      </c>
      <c r="O1866" t="s">
        <v>4929</v>
      </c>
      <c r="Q1866" t="str">
        <f t="shared" si="97"/>
        <v>condorProc.py --series 07180831_0037 --donoise --dumps a --procenv environments/pymidas_HVHV_NaI_mf.env</v>
      </c>
      <c r="R1866" t="str">
        <f t="shared" si="100"/>
        <v>"07180830_2246", "07180830_2256", "07180830_2306", "07180830_2317", "07180830_2327", "07180830_2337", "07180830_2347", "07180830_2357", "07180831_0007", "07180831_0017", "07180831_0027", "07180831_0037"</v>
      </c>
    </row>
    <row r="1867" spans="1:26">
      <c r="A1867" t="s">
        <v>7315</v>
      </c>
      <c r="F1867" s="177">
        <v>10</v>
      </c>
      <c r="G1867" s="192" t="s">
        <v>2248</v>
      </c>
      <c r="H1867" s="177">
        <v>-40</v>
      </c>
      <c r="I1867" s="177"/>
      <c r="J1867" s="177" t="s">
        <v>5577</v>
      </c>
      <c r="K1867" s="178" t="s">
        <v>5583</v>
      </c>
      <c r="M1867" t="s">
        <v>2246</v>
      </c>
      <c r="N1867" t="s">
        <v>5571</v>
      </c>
      <c r="O1867" t="s">
        <v>4929</v>
      </c>
      <c r="Q1867" t="str">
        <f t="shared" si="97"/>
        <v>condorProc.py --series 07180831_0126 --donoise --dumps a --procenv environments/pymidas_HVHV_NaI_mf.env</v>
      </c>
      <c r="R1867" t="str">
        <f t="shared" si="100"/>
        <v>"07180830_2246", "07180830_2256", "07180830_2306", "07180830_2317", "07180830_2327", "07180830_2337", "07180830_2347", "07180830_2357", "07180831_0007", "07180831_0017", "07180831_0027", "07180831_0037", "07180831_0126"</v>
      </c>
    </row>
    <row r="1868" spans="1:26">
      <c r="A1868" t="s">
        <v>7316</v>
      </c>
      <c r="G1868" s="191"/>
      <c r="J1868" t="s">
        <v>5585</v>
      </c>
      <c r="K1868" s="180" t="s">
        <v>5671</v>
      </c>
      <c r="M1868" t="s">
        <v>2246</v>
      </c>
      <c r="N1868" t="s">
        <v>5571</v>
      </c>
      <c r="O1868" t="s">
        <v>4929</v>
      </c>
      <c r="Q1868" t="str">
        <f t="shared" si="97"/>
        <v>condorProc.py --series 07180831_0136 --donoise --dumps a --procenv environments/pymidas_HVHV_NaI_mf.env</v>
      </c>
      <c r="R1868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</v>
      </c>
    </row>
    <row r="1869" spans="1:26">
      <c r="A1869" t="s">
        <v>7317</v>
      </c>
      <c r="G1869" s="191"/>
      <c r="K1869" s="187" t="s">
        <v>6206</v>
      </c>
      <c r="M1869" t="s">
        <v>2246</v>
      </c>
      <c r="N1869" t="s">
        <v>5571</v>
      </c>
      <c r="O1869" t="s">
        <v>4929</v>
      </c>
      <c r="Q1869" t="str">
        <f t="shared" si="97"/>
        <v>condorProc.py --series 07180831_0146 --donoise --dumps a --procenv environments/pymidas_HVHV_NaI_mf.env</v>
      </c>
      <c r="R1869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</v>
      </c>
    </row>
    <row r="1870" spans="1:26">
      <c r="A1870" t="s">
        <v>7318</v>
      </c>
      <c r="G1870" s="191"/>
      <c r="K1870" s="180"/>
      <c r="M1870" t="s">
        <v>2246</v>
      </c>
      <c r="N1870" t="s">
        <v>5571</v>
      </c>
      <c r="O1870" t="s">
        <v>4929</v>
      </c>
      <c r="Q1870" t="str">
        <f t="shared" si="97"/>
        <v>condorProc.py --series 07180831_0156 --donoise --dumps a --procenv environments/pymidas_HVHV_NaI_mf.env</v>
      </c>
      <c r="R1870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</v>
      </c>
    </row>
    <row r="1871" spans="1:26">
      <c r="A1871" t="s">
        <v>7319</v>
      </c>
      <c r="G1871" s="191"/>
      <c r="K1871" s="180"/>
      <c r="M1871" t="s">
        <v>2246</v>
      </c>
      <c r="N1871" t="s">
        <v>5571</v>
      </c>
      <c r="O1871" t="s">
        <v>4929</v>
      </c>
      <c r="Q1871" t="str">
        <f t="shared" si="97"/>
        <v>condorProc.py --series 07180831_0206 --donoise --dumps a --procenv environments/pymidas_HVHV_NaI_mf.env</v>
      </c>
      <c r="R1871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</v>
      </c>
    </row>
    <row r="1872" spans="1:26">
      <c r="A1872" t="s">
        <v>7320</v>
      </c>
      <c r="G1872" s="191"/>
      <c r="K1872" s="180"/>
      <c r="M1872" t="s">
        <v>2246</v>
      </c>
      <c r="N1872" t="s">
        <v>5571</v>
      </c>
      <c r="O1872" t="s">
        <v>4929</v>
      </c>
      <c r="Q1872" t="str">
        <f t="shared" si="97"/>
        <v>condorProc.py --series 07180831_0217 --donoise --dumps a --procenv environments/pymidas_HVHV_NaI_mf.env</v>
      </c>
      <c r="R1872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</v>
      </c>
    </row>
    <row r="1873" spans="1:18">
      <c r="A1873" t="s">
        <v>7321</v>
      </c>
      <c r="G1873" s="191"/>
      <c r="K1873" s="180"/>
      <c r="M1873" t="s">
        <v>2246</v>
      </c>
      <c r="N1873" t="s">
        <v>5571</v>
      </c>
      <c r="O1873" t="s">
        <v>4929</v>
      </c>
      <c r="Q1873" t="str">
        <f t="shared" si="97"/>
        <v>condorProc.py --series 07180831_0227 --donoise --dumps a --procenv environments/pymidas_HVHV_NaI_mf.env</v>
      </c>
      <c r="R1873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</v>
      </c>
    </row>
    <row r="1874" spans="1:18">
      <c r="A1874" t="s">
        <v>7322</v>
      </c>
      <c r="G1874" s="191"/>
      <c r="K1874" s="180"/>
      <c r="M1874" t="s">
        <v>2246</v>
      </c>
      <c r="N1874" t="s">
        <v>5571</v>
      </c>
      <c r="O1874" t="s">
        <v>4929</v>
      </c>
      <c r="Q1874" t="str">
        <f t="shared" si="97"/>
        <v>condorProc.py --series 07180831_0237 --donoise --dumps a --procenv environments/pymidas_HVHV_NaI_mf.env</v>
      </c>
      <c r="R1874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</v>
      </c>
    </row>
    <row r="1875" spans="1:18">
      <c r="A1875" t="s">
        <v>7323</v>
      </c>
      <c r="G1875" s="191"/>
      <c r="K1875" s="180"/>
      <c r="M1875" t="s">
        <v>2246</v>
      </c>
      <c r="N1875" t="s">
        <v>5571</v>
      </c>
      <c r="O1875" t="s">
        <v>4929</v>
      </c>
      <c r="Q1875" t="str">
        <f t="shared" si="97"/>
        <v>condorProc.py --series 07180831_0247 --donoise --dumps a --procenv environments/pymidas_HVHV_NaI_mf.env</v>
      </c>
      <c r="R1875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</v>
      </c>
    </row>
    <row r="1876" spans="1:18">
      <c r="A1876" t="s">
        <v>7324</v>
      </c>
      <c r="G1876" s="191"/>
      <c r="K1876" s="180"/>
      <c r="M1876" t="s">
        <v>2246</v>
      </c>
      <c r="N1876" t="s">
        <v>5571</v>
      </c>
      <c r="O1876" t="s">
        <v>4929</v>
      </c>
      <c r="Q1876" t="str">
        <f t="shared" si="97"/>
        <v>condorProc.py --series 07180831_0257 --donoise --dumps a --procenv environments/pymidas_HVHV_NaI_mf.env</v>
      </c>
      <c r="R1876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</v>
      </c>
    </row>
    <row r="1877" spans="1:18">
      <c r="A1877" t="s">
        <v>7325</v>
      </c>
      <c r="G1877" s="191"/>
      <c r="K1877" s="180"/>
      <c r="M1877" t="s">
        <v>2246</v>
      </c>
      <c r="N1877" t="s">
        <v>5571</v>
      </c>
      <c r="O1877" t="s">
        <v>4929</v>
      </c>
      <c r="Q1877" t="str">
        <f t="shared" si="97"/>
        <v>condorProc.py --series 07180831_0307 --donoise --dumps a --procenv environments/pymidas_HVHV_NaI_mf.env</v>
      </c>
      <c r="R1877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</v>
      </c>
    </row>
    <row r="1878" spans="1:18">
      <c r="A1878" t="s">
        <v>7326</v>
      </c>
      <c r="F1878" s="65"/>
      <c r="G1878" s="193"/>
      <c r="H1878" s="65"/>
      <c r="I1878" s="65"/>
      <c r="J1878" s="65"/>
      <c r="K1878" s="202"/>
      <c r="M1878" t="s">
        <v>2246</v>
      </c>
      <c r="N1878" t="s">
        <v>5571</v>
      </c>
      <c r="O1878" t="s">
        <v>4929</v>
      </c>
      <c r="Q1878" t="str">
        <f t="shared" si="97"/>
        <v>condorProc.py --series 07180831_0317 --donoise --dumps a --procenv environments/pymidas_HVHV_NaI_mf.env</v>
      </c>
      <c r="R1878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</v>
      </c>
    </row>
    <row r="1879" spans="1:18">
      <c r="A1879" t="s">
        <v>7327</v>
      </c>
      <c r="F1879" s="177">
        <v>10</v>
      </c>
      <c r="G1879" s="192" t="s">
        <v>2248</v>
      </c>
      <c r="H1879" s="177">
        <v>-40</v>
      </c>
      <c r="I1879" s="177"/>
      <c r="J1879" s="177" t="s">
        <v>5577</v>
      </c>
      <c r="K1879" s="178" t="s">
        <v>5583</v>
      </c>
      <c r="M1879" t="s">
        <v>2246</v>
      </c>
      <c r="N1879" t="s">
        <v>5571</v>
      </c>
      <c r="O1879" t="s">
        <v>4929</v>
      </c>
      <c r="Q1879" t="str">
        <f t="shared" si="97"/>
        <v>condorProc.py --series 07180831_0406 --donoise --dumps a --procenv environments/pymidas_HVHV_NaI_mf.env</v>
      </c>
      <c r="R1879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</v>
      </c>
    </row>
    <row r="1880" spans="1:18">
      <c r="A1880" t="s">
        <v>7328</v>
      </c>
      <c r="G1880" s="191"/>
      <c r="J1880" t="s">
        <v>5585</v>
      </c>
      <c r="K1880" s="180" t="s">
        <v>5671</v>
      </c>
      <c r="M1880" t="s">
        <v>2246</v>
      </c>
      <c r="N1880" t="s">
        <v>5571</v>
      </c>
      <c r="O1880" t="s">
        <v>4929</v>
      </c>
      <c r="Q1880" t="str">
        <f t="shared" si="97"/>
        <v>condorProc.py --series 07180831_0416 --donoise --dumps a --procenv environments/pymidas_HVHV_NaI_mf.env</v>
      </c>
      <c r="R1880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</v>
      </c>
    </row>
    <row r="1881" spans="1:18">
      <c r="A1881" t="s">
        <v>7329</v>
      </c>
      <c r="G1881" s="191"/>
      <c r="K1881" s="187" t="s">
        <v>6206</v>
      </c>
      <c r="M1881" t="s">
        <v>2246</v>
      </c>
      <c r="N1881" t="s">
        <v>5571</v>
      </c>
      <c r="O1881" t="s">
        <v>4929</v>
      </c>
      <c r="Q1881" t="str">
        <f t="shared" si="97"/>
        <v>condorProc.py --series 07180831_0426 --donoise --dumps a --procenv environments/pymidas_HVHV_NaI_mf.env</v>
      </c>
      <c r="R1881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</v>
      </c>
    </row>
    <row r="1882" spans="1:18">
      <c r="A1882" t="s">
        <v>7330</v>
      </c>
      <c r="G1882" s="191"/>
      <c r="K1882" s="180"/>
      <c r="M1882" t="s">
        <v>2246</v>
      </c>
      <c r="N1882" t="s">
        <v>5571</v>
      </c>
      <c r="O1882" t="s">
        <v>4929</v>
      </c>
      <c r="Q1882" t="str">
        <f t="shared" ref="Q1882:Q1904" si="101">"condorProc.py --series "&amp;A1882&amp;" --donoise --dumps a --procenv environments/pymidas_HVHV_NaI_mf.env"</f>
        <v>condorProc.py --series 07180831_0436 --donoise --dumps a --procenv environments/pymidas_HVHV_NaI_mf.env</v>
      </c>
      <c r="R1882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</v>
      </c>
    </row>
    <row r="1883" spans="1:18">
      <c r="A1883" t="s">
        <v>7331</v>
      </c>
      <c r="G1883" s="191"/>
      <c r="K1883" s="180"/>
      <c r="M1883" t="s">
        <v>2246</v>
      </c>
      <c r="N1883" t="s">
        <v>5571</v>
      </c>
      <c r="O1883" t="s">
        <v>4929</v>
      </c>
      <c r="Q1883" t="str">
        <f t="shared" si="101"/>
        <v>condorProc.py --series 07180831_0446 --donoise --dumps a --procenv environments/pymidas_HVHV_NaI_mf.env</v>
      </c>
      <c r="R1883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</v>
      </c>
    </row>
    <row r="1884" spans="1:18">
      <c r="A1884" t="s">
        <v>7332</v>
      </c>
      <c r="G1884" s="191"/>
      <c r="K1884" s="180"/>
      <c r="M1884" t="s">
        <v>2246</v>
      </c>
      <c r="N1884" t="s">
        <v>5571</v>
      </c>
      <c r="O1884" t="s">
        <v>4929</v>
      </c>
      <c r="Q1884" t="str">
        <f t="shared" si="101"/>
        <v>condorProc.py --series 07180831_0456 --donoise --dumps a --procenv environments/pymidas_HVHV_NaI_mf.env</v>
      </c>
      <c r="R1884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</v>
      </c>
    </row>
    <row r="1885" spans="1:18">
      <c r="A1885" t="s">
        <v>7333</v>
      </c>
      <c r="G1885" s="191"/>
      <c r="K1885" s="180"/>
      <c r="M1885" t="s">
        <v>2246</v>
      </c>
      <c r="N1885" t="s">
        <v>5571</v>
      </c>
      <c r="O1885" t="s">
        <v>4929</v>
      </c>
      <c r="Q1885" t="str">
        <f t="shared" si="101"/>
        <v>condorProc.py --series 07180831_0506 --donoise --dumps a --procenv environments/pymidas_HVHV_NaI_mf.env</v>
      </c>
      <c r="R1885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</v>
      </c>
    </row>
    <row r="1886" spans="1:18">
      <c r="A1886" t="s">
        <v>7334</v>
      </c>
      <c r="G1886" s="191"/>
      <c r="K1886" s="180"/>
      <c r="M1886" t="s">
        <v>2246</v>
      </c>
      <c r="N1886" t="s">
        <v>5571</v>
      </c>
      <c r="O1886" t="s">
        <v>4929</v>
      </c>
      <c r="Q1886" t="str">
        <f t="shared" si="101"/>
        <v>condorProc.py --series 07180831_0517 --donoise --dumps a --procenv environments/pymidas_HVHV_NaI_mf.env</v>
      </c>
      <c r="R1886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</v>
      </c>
    </row>
    <row r="1887" spans="1:18">
      <c r="A1887" t="s">
        <v>7335</v>
      </c>
      <c r="G1887" s="191"/>
      <c r="K1887" s="180"/>
      <c r="M1887" t="s">
        <v>2246</v>
      </c>
      <c r="N1887" t="s">
        <v>5571</v>
      </c>
      <c r="O1887" t="s">
        <v>4929</v>
      </c>
      <c r="Q1887" t="str">
        <f t="shared" si="101"/>
        <v>condorProc.py --series 07180831_0527 --donoise --dumps a --procenv environments/pymidas_HVHV_NaI_mf.env</v>
      </c>
      <c r="R1887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</v>
      </c>
    </row>
    <row r="1888" spans="1:18">
      <c r="A1888" t="s">
        <v>7336</v>
      </c>
      <c r="G1888" s="191"/>
      <c r="K1888" s="180"/>
      <c r="M1888" t="s">
        <v>2246</v>
      </c>
      <c r="N1888" t="s">
        <v>5571</v>
      </c>
      <c r="O1888" t="s">
        <v>4929</v>
      </c>
      <c r="Q1888" t="str">
        <f t="shared" si="101"/>
        <v>condorProc.py --series 07180831_0537 --donoise --dumps a --procenv environments/pymidas_HVHV_NaI_mf.env</v>
      </c>
      <c r="R1888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</v>
      </c>
    </row>
    <row r="1889" spans="1:18">
      <c r="A1889" t="s">
        <v>7337</v>
      </c>
      <c r="G1889" s="191"/>
      <c r="K1889" s="180"/>
      <c r="M1889" t="s">
        <v>2246</v>
      </c>
      <c r="N1889" t="s">
        <v>5571</v>
      </c>
      <c r="O1889" t="s">
        <v>4929</v>
      </c>
      <c r="Q1889" t="str">
        <f t="shared" si="101"/>
        <v>condorProc.py --series 07180831_0547 --donoise --dumps a --procenv environments/pymidas_HVHV_NaI_mf.env</v>
      </c>
      <c r="R1889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</v>
      </c>
    </row>
    <row r="1890" spans="1:18">
      <c r="A1890" t="s">
        <v>7338</v>
      </c>
      <c r="F1890" s="65"/>
      <c r="G1890" s="193"/>
      <c r="H1890" s="65"/>
      <c r="I1890" s="65" t="s">
        <v>75</v>
      </c>
      <c r="J1890" s="65"/>
      <c r="K1890" s="202"/>
      <c r="M1890" t="s">
        <v>2246</v>
      </c>
      <c r="N1890" t="s">
        <v>5571</v>
      </c>
      <c r="O1890" t="s">
        <v>4929</v>
      </c>
      <c r="Q1890" t="str">
        <f t="shared" si="101"/>
        <v>condorProc.py --series 07180831_0557 --donoise --dumps a --procenv environments/pymidas_HVHV_NaI_mf.env</v>
      </c>
      <c r="R1890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</v>
      </c>
    </row>
    <row r="1891" spans="1:18">
      <c r="A1891" t="s">
        <v>7339</v>
      </c>
      <c r="F1891" s="177">
        <v>10</v>
      </c>
      <c r="G1891" s="192" t="s">
        <v>2248</v>
      </c>
      <c r="H1891" s="177">
        <v>-40</v>
      </c>
      <c r="I1891" s="177"/>
      <c r="J1891" s="177" t="s">
        <v>5577</v>
      </c>
      <c r="K1891" s="178" t="s">
        <v>5583</v>
      </c>
      <c r="M1891" t="s">
        <v>2246</v>
      </c>
      <c r="N1891" t="s">
        <v>5571</v>
      </c>
      <c r="O1891" t="s">
        <v>4929</v>
      </c>
      <c r="Q1891" t="str">
        <f t="shared" si="101"/>
        <v>condorProc.py --series 07180831_0646 --donoise --dumps a --procenv environments/pymidas_HVHV_NaI_mf.env</v>
      </c>
      <c r="R1891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</v>
      </c>
    </row>
    <row r="1892" spans="1:18">
      <c r="A1892" t="s">
        <v>7340</v>
      </c>
      <c r="G1892" s="191"/>
      <c r="J1892" t="s">
        <v>5585</v>
      </c>
      <c r="K1892" s="180" t="s">
        <v>5671</v>
      </c>
      <c r="M1892" t="s">
        <v>2246</v>
      </c>
      <c r="N1892" t="s">
        <v>5571</v>
      </c>
      <c r="O1892" t="s">
        <v>4929</v>
      </c>
      <c r="Q1892" t="str">
        <f t="shared" si="101"/>
        <v>condorProc.py --series 07180831_0656 --donoise --dumps a --procenv environments/pymidas_HVHV_NaI_mf.env</v>
      </c>
      <c r="R1892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</v>
      </c>
    </row>
    <row r="1893" spans="1:18">
      <c r="A1893" t="s">
        <v>7341</v>
      </c>
      <c r="G1893" s="191"/>
      <c r="K1893" s="187" t="s">
        <v>6206</v>
      </c>
      <c r="M1893" t="s">
        <v>2246</v>
      </c>
      <c r="N1893" t="s">
        <v>5571</v>
      </c>
      <c r="O1893" t="s">
        <v>4929</v>
      </c>
      <c r="Q1893" t="str">
        <f t="shared" si="101"/>
        <v>condorProc.py --series 07180831_0706 --donoise --dumps a --procenv environments/pymidas_HVHV_NaI_mf.env</v>
      </c>
      <c r="R1893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</v>
      </c>
    </row>
    <row r="1894" spans="1:18">
      <c r="A1894" t="s">
        <v>7342</v>
      </c>
      <c r="G1894" s="191"/>
      <c r="K1894" s="180"/>
      <c r="M1894" t="s">
        <v>2246</v>
      </c>
      <c r="N1894" t="s">
        <v>5571</v>
      </c>
      <c r="O1894" t="s">
        <v>4929</v>
      </c>
      <c r="Q1894" t="str">
        <f t="shared" si="101"/>
        <v>condorProc.py --series 07180831_0716 --donoise --dumps a --procenv environments/pymidas_HVHV_NaI_mf.env</v>
      </c>
      <c r="R1894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"07180831_0706", "07180831_0716"</v>
      </c>
    </row>
    <row r="1895" spans="1:18">
      <c r="A1895" t="s">
        <v>7343</v>
      </c>
      <c r="G1895" s="191"/>
      <c r="K1895" s="180"/>
      <c r="M1895" t="s">
        <v>2246</v>
      </c>
      <c r="N1895" t="s">
        <v>5571</v>
      </c>
      <c r="O1895" t="s">
        <v>4929</v>
      </c>
      <c r="Q1895" t="str">
        <f t="shared" si="101"/>
        <v>condorProc.py --series 07180831_0726 --donoise --dumps a --procenv environments/pymidas_HVHV_NaI_mf.env</v>
      </c>
      <c r="R1895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"07180831_0706", "07180831_0716", "07180831_0726"</v>
      </c>
    </row>
    <row r="1896" spans="1:18">
      <c r="A1896" t="s">
        <v>7344</v>
      </c>
      <c r="G1896" s="191"/>
      <c r="K1896" s="180"/>
      <c r="M1896" t="s">
        <v>2246</v>
      </c>
      <c r="N1896" t="s">
        <v>5571</v>
      </c>
      <c r="O1896" t="s">
        <v>4929</v>
      </c>
      <c r="Q1896" t="str">
        <f t="shared" si="101"/>
        <v>condorProc.py --series 07180831_0736 --donoise --dumps a --procenv environments/pymidas_HVHV_NaI_mf.env</v>
      </c>
      <c r="R1896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"07180831_0706", "07180831_0716", "07180831_0726", "07180831_0736"</v>
      </c>
    </row>
    <row r="1897" spans="1:18">
      <c r="A1897" t="s">
        <v>7345</v>
      </c>
      <c r="G1897" s="191"/>
      <c r="K1897" s="180"/>
      <c r="M1897" t="s">
        <v>2246</v>
      </c>
      <c r="N1897" t="s">
        <v>5571</v>
      </c>
      <c r="O1897" t="s">
        <v>4929</v>
      </c>
      <c r="Q1897" t="str">
        <f t="shared" si="101"/>
        <v>condorProc.py --series 07180831_0746 --donoise --dumps a --procenv environments/pymidas_HVHV_NaI_mf.env</v>
      </c>
      <c r="R1897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"07180831_0706", "07180831_0716", "07180831_0726", "07180831_0736", "07180831_0746"</v>
      </c>
    </row>
    <row r="1898" spans="1:18">
      <c r="A1898" t="s">
        <v>7346</v>
      </c>
      <c r="G1898" s="191"/>
      <c r="K1898" s="180"/>
      <c r="M1898" t="s">
        <v>2246</v>
      </c>
      <c r="N1898" t="s">
        <v>5571</v>
      </c>
      <c r="O1898" t="s">
        <v>4929</v>
      </c>
      <c r="Q1898" t="str">
        <f t="shared" si="101"/>
        <v>condorProc.py --series 07180831_0756 --donoise --dumps a --procenv environments/pymidas_HVHV_NaI_mf.env</v>
      </c>
      <c r="R1898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"07180831_0706", "07180831_0716", "07180831_0726", "07180831_0736", "07180831_0746", "07180831_0756"</v>
      </c>
    </row>
    <row r="1899" spans="1:18">
      <c r="A1899" t="s">
        <v>7347</v>
      </c>
      <c r="G1899" s="191"/>
      <c r="K1899" s="180"/>
      <c r="L1899">
        <f>L1901/6</f>
        <v>162.16666666666666</v>
      </c>
      <c r="M1899" t="s">
        <v>2246</v>
      </c>
      <c r="N1899" t="s">
        <v>5571</v>
      </c>
      <c r="O1899" t="s">
        <v>4929</v>
      </c>
      <c r="Q1899" t="str">
        <f t="shared" si="101"/>
        <v>condorProc.py --series 07180831_0807 --donoise --dumps a --procenv environments/pymidas_HVHV_NaI_mf.env</v>
      </c>
      <c r="R1899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"07180831_0706", "07180831_0716", "07180831_0726", "07180831_0736", "07180831_0746", "07180831_0756", "07180831_0807"</v>
      </c>
    </row>
    <row r="1900" spans="1:18">
      <c r="A1900" t="s">
        <v>7348</v>
      </c>
      <c r="G1900" s="191"/>
      <c r="K1900" s="180"/>
      <c r="L1900" t="s">
        <v>7349</v>
      </c>
      <c r="M1900" t="s">
        <v>2246</v>
      </c>
      <c r="N1900" t="s">
        <v>5571</v>
      </c>
      <c r="O1900" t="s">
        <v>4929</v>
      </c>
      <c r="Q1900" t="str">
        <f t="shared" si="101"/>
        <v>condorProc.py --series 07180831_0817 --donoise --dumps a --procenv environments/pymidas_HVHV_NaI_mf.env</v>
      </c>
      <c r="R1900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"07180831_0706", "07180831_0716", "07180831_0726", "07180831_0736", "07180831_0746", "07180831_0756", "07180831_0807", "07180831_0817"</v>
      </c>
    </row>
    <row r="1901" spans="1:18">
      <c r="A1901" t="s">
        <v>7350</v>
      </c>
      <c r="G1901" s="191"/>
      <c r="K1901" s="180"/>
      <c r="L1901">
        <f>48+L1830</f>
        <v>973</v>
      </c>
      <c r="M1901" t="s">
        <v>2246</v>
      </c>
      <c r="N1901" t="s">
        <v>5571</v>
      </c>
      <c r="O1901" t="s">
        <v>4929</v>
      </c>
      <c r="Q1901" t="str">
        <f t="shared" si="101"/>
        <v>condorProc.py --series 07180831_0827 --donoise --dumps a --procenv environments/pymidas_HVHV_NaI_mf.env</v>
      </c>
      <c r="R1901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"07180831_0706", "07180831_0716", "07180831_0726", "07180831_0736", "07180831_0746", "07180831_0756", "07180831_0807", "07180831_0817", "07180831_0827"</v>
      </c>
    </row>
    <row r="1902" spans="1:18">
      <c r="A1902" t="s">
        <v>7351</v>
      </c>
      <c r="G1902" s="191"/>
      <c r="I1902" t="s">
        <v>75</v>
      </c>
      <c r="K1902" s="187"/>
      <c r="M1902" t="s">
        <v>2246</v>
      </c>
      <c r="N1902" t="s">
        <v>5571</v>
      </c>
      <c r="O1902" t="s">
        <v>4929</v>
      </c>
      <c r="Q1902" t="str">
        <f t="shared" si="101"/>
        <v>condorProc.py --series 07180831_0837 --donoise --dumps a --procenv environments/pymidas_HVHV_NaI_mf.env</v>
      </c>
      <c r="R1902" t="str">
        <f t="shared" si="100"/>
        <v>"07180830_2246", "07180830_2256", "07180830_2306", "07180830_2317", "07180830_2327", "07180830_2337", "07180830_2347", "07180830_2357", "07180831_0007", "07180831_0017", "07180831_0027", "07180831_0037", "07180831_0126", "07180831_0136", "07180831_0146", "07180831_0156", "07180831_0206", "07180831_0217", "07180831_0227", "07180831_0237", "07180831_0247", "07180831_0257", "07180831_0307", "07180831_0317", "07180831_0406", "07180831_0416", "07180831_0426", "07180831_0436", "07180831_0446", "07180831_0456", "07180831_0506", "07180831_0517", "07180831_0527", "07180831_0537", "07180831_0547", "07180831_0557", "07180831_0646", "07180831_0656", "07180831_0706", "07180831_0716", "07180831_0726", "07180831_0736", "07180831_0746", "07180831_0756", "07180831_0807", "07180831_0817", "07180831_0827", "07180831_0837"</v>
      </c>
    </row>
    <row r="1903" spans="1:18">
      <c r="A1903" s="176" t="s">
        <v>7352</v>
      </c>
      <c r="B1903" s="177"/>
      <c r="C1903" s="177"/>
      <c r="D1903" s="177"/>
      <c r="E1903" s="177"/>
      <c r="F1903" s="177">
        <v>10</v>
      </c>
      <c r="G1903" s="192" t="s">
        <v>2248</v>
      </c>
      <c r="H1903" s="177">
        <v>-40</v>
      </c>
      <c r="I1903" s="177" t="s">
        <v>75</v>
      </c>
      <c r="J1903" s="177" t="s">
        <v>5577</v>
      </c>
      <c r="K1903" s="178" t="s">
        <v>5583</v>
      </c>
      <c r="M1903" t="s">
        <v>2246</v>
      </c>
      <c r="N1903" t="s">
        <v>5571</v>
      </c>
      <c r="O1903" t="s">
        <v>4929</v>
      </c>
      <c r="Q1903" t="str">
        <f t="shared" si="101"/>
        <v>condorProc.py --series 07180831_0926 --donoise --dumps a --procenv environments/pymidas_HVHV_NaI_mf.env</v>
      </c>
    </row>
    <row r="1904" spans="1:18">
      <c r="A1904" s="179" t="s">
        <v>7353</v>
      </c>
      <c r="G1904" s="191"/>
      <c r="I1904" t="s">
        <v>75</v>
      </c>
      <c r="J1904" t="s">
        <v>5585</v>
      </c>
      <c r="K1904" s="180" t="s">
        <v>5671</v>
      </c>
      <c r="M1904" t="s">
        <v>2246</v>
      </c>
      <c r="N1904" t="s">
        <v>5571</v>
      </c>
      <c r="O1904" t="s">
        <v>4929</v>
      </c>
      <c r="Q1904" t="str">
        <f t="shared" si="101"/>
        <v>condorProc.py --series 07180831_0936 --donoise --dumps a --procenv environments/pymidas_HVHV_NaI_mf.env</v>
      </c>
    </row>
    <row r="1905" spans="1:18">
      <c r="A1905" s="179" t="s">
        <v>7354</v>
      </c>
      <c r="G1905" s="191"/>
      <c r="I1905" s="197" t="s">
        <v>5434</v>
      </c>
      <c r="K1905" s="187" t="s">
        <v>6206</v>
      </c>
      <c r="N1905" t="s">
        <v>5571</v>
      </c>
    </row>
    <row r="1906" spans="1:18">
      <c r="A1906" s="179" t="s">
        <v>7355</v>
      </c>
      <c r="G1906" s="191"/>
      <c r="I1906" s="197" t="s">
        <v>5434</v>
      </c>
      <c r="K1906" s="180"/>
      <c r="N1906" t="s">
        <v>5571</v>
      </c>
    </row>
    <row r="1907" spans="1:18">
      <c r="A1907" s="179" t="s">
        <v>7356</v>
      </c>
      <c r="G1907" s="191"/>
      <c r="I1907" s="197" t="s">
        <v>5434</v>
      </c>
      <c r="K1907" s="180"/>
      <c r="N1907" t="s">
        <v>5571</v>
      </c>
    </row>
    <row r="1908" spans="1:18">
      <c r="A1908" s="179" t="s">
        <v>7357</v>
      </c>
      <c r="G1908" s="191"/>
      <c r="I1908" s="197" t="s">
        <v>5434</v>
      </c>
      <c r="K1908" s="187" t="s">
        <v>7358</v>
      </c>
      <c r="N1908" t="s">
        <v>5571</v>
      </c>
    </row>
    <row r="1909" spans="1:18">
      <c r="A1909" s="179" t="s">
        <v>7359</v>
      </c>
      <c r="G1909" s="191"/>
      <c r="I1909" s="197" t="s">
        <v>5434</v>
      </c>
      <c r="K1909" s="180"/>
      <c r="N1909" t="s">
        <v>5571</v>
      </c>
    </row>
    <row r="1910" spans="1:18">
      <c r="A1910" s="179" t="s">
        <v>7360</v>
      </c>
      <c r="G1910" s="191"/>
      <c r="I1910" s="197" t="s">
        <v>5434</v>
      </c>
      <c r="K1910" s="180"/>
      <c r="N1910" t="s">
        <v>5571</v>
      </c>
    </row>
    <row r="1911" spans="1:18">
      <c r="A1911" s="179" t="s">
        <v>7361</v>
      </c>
      <c r="G1911" s="191"/>
      <c r="I1911" s="197" t="s">
        <v>5434</v>
      </c>
      <c r="K1911" s="180"/>
      <c r="N1911" t="s">
        <v>5571</v>
      </c>
    </row>
    <row r="1912" spans="1:18">
      <c r="A1912" s="179" t="s">
        <v>7362</v>
      </c>
      <c r="G1912" s="191"/>
      <c r="I1912" s="197" t="s">
        <v>5434</v>
      </c>
      <c r="K1912" s="180"/>
      <c r="N1912" t="s">
        <v>5571</v>
      </c>
    </row>
    <row r="1913" spans="1:18">
      <c r="A1913" s="179" t="s">
        <v>7363</v>
      </c>
      <c r="G1913" s="191"/>
      <c r="I1913" s="197" t="s">
        <v>5434</v>
      </c>
      <c r="K1913" s="180"/>
      <c r="N1913" t="s">
        <v>5571</v>
      </c>
    </row>
    <row r="1914" spans="1:18">
      <c r="A1914" s="181" t="s">
        <v>7364</v>
      </c>
      <c r="B1914" s="65"/>
      <c r="C1914" s="65"/>
      <c r="D1914" s="65"/>
      <c r="E1914" s="65"/>
      <c r="F1914" s="65"/>
      <c r="G1914" s="193"/>
      <c r="H1914" s="65"/>
      <c r="I1914" s="198" t="s">
        <v>5434</v>
      </c>
      <c r="J1914" s="65"/>
      <c r="K1914" s="202" t="s">
        <v>7358</v>
      </c>
      <c r="N1914" t="s">
        <v>5571</v>
      </c>
    </row>
    <row r="1915" spans="1:18">
      <c r="A1915" t="s">
        <v>7365</v>
      </c>
      <c r="F1915" s="177">
        <v>10</v>
      </c>
      <c r="G1915" s="192" t="s">
        <v>2248</v>
      </c>
      <c r="H1915" s="206">
        <v>-70</v>
      </c>
      <c r="I1915" s="177"/>
      <c r="J1915" s="177" t="s">
        <v>5577</v>
      </c>
      <c r="K1915" s="178" t="s">
        <v>5583</v>
      </c>
      <c r="M1915" t="s">
        <v>2246</v>
      </c>
      <c r="N1915" t="s">
        <v>5571</v>
      </c>
      <c r="Q1915" t="str">
        <f t="shared" ref="Q1915:Q1978" si="102">"condorProc.py --series "&amp;A1915&amp;" --donoise --dumps a --procenv environments/pymidas_HVHV_NaI_mf.env"</f>
        <v>condorProc.py --series 07180831_1216 --donoise --dumps a --procenv environments/pymidas_HVHV_NaI_mf.env</v>
      </c>
      <c r="R1915" t="str">
        <f>""""&amp;A1915&amp;""""</f>
        <v>"07180831_1216"</v>
      </c>
    </row>
    <row r="1916" spans="1:18">
      <c r="A1916" t="s">
        <v>7366</v>
      </c>
      <c r="G1916" s="191"/>
      <c r="H1916" s="207"/>
      <c r="J1916" t="s">
        <v>5585</v>
      </c>
      <c r="K1916" s="180" t="s">
        <v>5671</v>
      </c>
      <c r="M1916" t="s">
        <v>2246</v>
      </c>
      <c r="N1916" t="s">
        <v>5571</v>
      </c>
      <c r="Q1916" t="str">
        <f t="shared" si="102"/>
        <v>condorProc.py --series 07180831_1226 --donoise --dumps a --procenv environments/pymidas_HVHV_NaI_mf.env</v>
      </c>
      <c r="R1916" t="str">
        <f>R1915&amp;", """&amp;A1916&amp;""""</f>
        <v>"07180831_1216", "07180831_1226"</v>
      </c>
    </row>
    <row r="1917" spans="1:18">
      <c r="A1917" t="s">
        <v>7367</v>
      </c>
      <c r="G1917" s="191"/>
      <c r="H1917" s="207"/>
      <c r="K1917" s="187" t="s">
        <v>6206</v>
      </c>
      <c r="M1917" t="s">
        <v>2246</v>
      </c>
      <c r="N1917" t="s">
        <v>5571</v>
      </c>
      <c r="Q1917" t="str">
        <f t="shared" si="102"/>
        <v>condorProc.py --series 07180831_1236 --donoise --dumps a --procenv environments/pymidas_HVHV_NaI_mf.env</v>
      </c>
      <c r="R1917" t="str">
        <f t="shared" ref="R1917:R1926" si="103">R1916&amp;", """&amp;A1917&amp;""""</f>
        <v>"07180831_1216", "07180831_1226", "07180831_1236"</v>
      </c>
    </row>
    <row r="1918" spans="1:18">
      <c r="A1918" t="s">
        <v>7368</v>
      </c>
      <c r="G1918" s="191"/>
      <c r="H1918" s="207"/>
      <c r="K1918" s="180"/>
      <c r="M1918" t="s">
        <v>2246</v>
      </c>
      <c r="N1918" t="s">
        <v>5571</v>
      </c>
      <c r="Q1918" t="str">
        <f t="shared" si="102"/>
        <v>condorProc.py --series 07180831_1246 --donoise --dumps a --procenv environments/pymidas_HVHV_NaI_mf.env</v>
      </c>
      <c r="R1918" t="str">
        <f t="shared" si="103"/>
        <v>"07180831_1216", "07180831_1226", "07180831_1236", "07180831_1246"</v>
      </c>
    </row>
    <row r="1919" spans="1:18">
      <c r="A1919" t="s">
        <v>7369</v>
      </c>
      <c r="G1919" s="191"/>
      <c r="H1919" s="207"/>
      <c r="K1919" s="180"/>
      <c r="M1919" t="s">
        <v>2246</v>
      </c>
      <c r="N1919" t="s">
        <v>5571</v>
      </c>
      <c r="Q1919" t="str">
        <f t="shared" si="102"/>
        <v>condorProc.py --series 07180831_1256 --donoise --dumps a --procenv environments/pymidas_HVHV_NaI_mf.env</v>
      </c>
      <c r="R1919" t="str">
        <f t="shared" si="103"/>
        <v>"07180831_1216", "07180831_1226", "07180831_1236", "07180831_1246", "07180831_1256"</v>
      </c>
    </row>
    <row r="1920" spans="1:18">
      <c r="A1920" t="s">
        <v>7370</v>
      </c>
      <c r="G1920" s="191"/>
      <c r="H1920" s="207"/>
      <c r="I1920" t="s">
        <v>75</v>
      </c>
      <c r="K1920" s="180"/>
      <c r="M1920" t="s">
        <v>2246</v>
      </c>
      <c r="N1920" t="s">
        <v>5571</v>
      </c>
      <c r="Q1920" t="str">
        <f t="shared" si="102"/>
        <v>condorProc.py --series 07180831_1306 --donoise --dumps a --procenv environments/pymidas_HVHV_NaI_mf.env</v>
      </c>
      <c r="R1920" t="str">
        <f t="shared" si="103"/>
        <v>"07180831_1216", "07180831_1226", "07180831_1236", "07180831_1246", "07180831_1256", "07180831_1306"</v>
      </c>
    </row>
    <row r="1921" spans="1:18">
      <c r="A1921" t="s">
        <v>7371</v>
      </c>
      <c r="G1921" s="191"/>
      <c r="H1921" s="207"/>
      <c r="K1921" s="180"/>
      <c r="M1921" t="s">
        <v>2246</v>
      </c>
      <c r="N1921" t="s">
        <v>5571</v>
      </c>
      <c r="Q1921" t="str">
        <f t="shared" si="102"/>
        <v>condorProc.py --series 07180831_1316 --donoise --dumps a --procenv environments/pymidas_HVHV_NaI_mf.env</v>
      </c>
      <c r="R1921" t="str">
        <f t="shared" si="103"/>
        <v>"07180831_1216", "07180831_1226", "07180831_1236", "07180831_1246", "07180831_1256", "07180831_1306", "07180831_1316"</v>
      </c>
    </row>
    <row r="1922" spans="1:18">
      <c r="A1922" t="s">
        <v>7372</v>
      </c>
      <c r="G1922" s="191"/>
      <c r="H1922" s="207"/>
      <c r="K1922" s="180"/>
      <c r="M1922" t="s">
        <v>2246</v>
      </c>
      <c r="N1922" t="s">
        <v>5571</v>
      </c>
      <c r="Q1922" t="str">
        <f t="shared" si="102"/>
        <v>condorProc.py --series 07180831_1326 --donoise --dumps a --procenv environments/pymidas_HVHV_NaI_mf.env</v>
      </c>
      <c r="R1922" t="str">
        <f t="shared" si="103"/>
        <v>"07180831_1216", "07180831_1226", "07180831_1236", "07180831_1246", "07180831_1256", "07180831_1306", "07180831_1316", "07180831_1326"</v>
      </c>
    </row>
    <row r="1923" spans="1:18">
      <c r="A1923" t="s">
        <v>7373</v>
      </c>
      <c r="G1923" s="191"/>
      <c r="H1923" s="207"/>
      <c r="K1923" s="180"/>
      <c r="M1923" t="s">
        <v>2246</v>
      </c>
      <c r="N1923" t="s">
        <v>5571</v>
      </c>
      <c r="Q1923" t="str">
        <f t="shared" si="102"/>
        <v>condorProc.py --series 07180831_1336 --donoise --dumps a --procenv environments/pymidas_HVHV_NaI_mf.env</v>
      </c>
      <c r="R1923" t="str">
        <f t="shared" si="103"/>
        <v>"07180831_1216", "07180831_1226", "07180831_1236", "07180831_1246", "07180831_1256", "07180831_1306", "07180831_1316", "07180831_1326", "07180831_1336"</v>
      </c>
    </row>
    <row r="1924" spans="1:18">
      <c r="A1924" t="s">
        <v>7374</v>
      </c>
      <c r="G1924" s="191"/>
      <c r="H1924" s="207"/>
      <c r="K1924" s="180"/>
      <c r="M1924" t="s">
        <v>2246</v>
      </c>
      <c r="N1924" t="s">
        <v>5571</v>
      </c>
      <c r="Q1924" t="str">
        <f t="shared" si="102"/>
        <v>condorProc.py --series 07180831_1346 --donoise --dumps a --procenv environments/pymidas_HVHV_NaI_mf.env</v>
      </c>
      <c r="R1924" t="str">
        <f t="shared" si="103"/>
        <v>"07180831_1216", "07180831_1226", "07180831_1236", "07180831_1246", "07180831_1256", "07180831_1306", "07180831_1316", "07180831_1326", "07180831_1336", "07180831_1346"</v>
      </c>
    </row>
    <row r="1925" spans="1:18">
      <c r="A1925" t="s">
        <v>7375</v>
      </c>
      <c r="G1925" s="191"/>
      <c r="H1925" s="207"/>
      <c r="K1925" s="180"/>
      <c r="M1925" t="s">
        <v>2246</v>
      </c>
      <c r="N1925" t="s">
        <v>5571</v>
      </c>
      <c r="Q1925" t="str">
        <f t="shared" si="102"/>
        <v>condorProc.py --series 07180831_1356 --donoise --dumps a --procenv environments/pymidas_HVHV_NaI_mf.env</v>
      </c>
      <c r="R1925" t="str">
        <f t="shared" si="103"/>
        <v>"07180831_1216", "07180831_1226", "07180831_1236", "07180831_1246", "07180831_1256", "07180831_1306", "07180831_1316", "07180831_1326", "07180831_1336", "07180831_1346", "07180831_1356"</v>
      </c>
    </row>
    <row r="1926" spans="1:18">
      <c r="A1926" t="s">
        <v>7376</v>
      </c>
      <c r="F1926" s="65"/>
      <c r="G1926" s="193"/>
      <c r="H1926" s="208"/>
      <c r="I1926" s="65" t="s">
        <v>75</v>
      </c>
      <c r="J1926" s="65"/>
      <c r="K1926" s="202"/>
      <c r="M1926" t="s">
        <v>2246</v>
      </c>
      <c r="N1926" t="s">
        <v>5571</v>
      </c>
      <c r="Q1926" t="str">
        <f t="shared" si="102"/>
        <v>condorProc.py --series 07180831_1407 --donoise --dumps a --procenv environments/pymidas_HVHV_NaI_mf.env</v>
      </c>
      <c r="R1926" t="str">
        <f t="shared" si="103"/>
        <v>"07180831_1216", "07180831_1226", "07180831_1236", "07180831_1246", "07180831_1256", "07180831_1306", "07180831_1316", "07180831_1326", "07180831_1336", "07180831_1346", "07180831_1356", "07180831_1407"</v>
      </c>
    </row>
    <row r="1927" spans="1:18">
      <c r="A1927" t="s">
        <v>7377</v>
      </c>
      <c r="F1927" s="177">
        <v>10</v>
      </c>
      <c r="G1927" s="192" t="s">
        <v>2248</v>
      </c>
      <c r="H1927" s="209">
        <v>-80</v>
      </c>
      <c r="I1927" s="177"/>
      <c r="J1927" s="177" t="s">
        <v>5577</v>
      </c>
      <c r="K1927" s="178" t="s">
        <v>5583</v>
      </c>
      <c r="M1927" t="s">
        <v>2246</v>
      </c>
      <c r="N1927" t="s">
        <v>5571</v>
      </c>
      <c r="O1927" t="s">
        <v>4931</v>
      </c>
      <c r="Q1927" t="str">
        <f t="shared" si="102"/>
        <v>condorProc.py --series 07180831_1716 --donoise --dumps a --procenv environments/pymidas_HVHV_NaI_mf.env</v>
      </c>
      <c r="R1927" t="str">
        <f>""""&amp;A1927&amp;""""</f>
        <v>"07180831_1716"</v>
      </c>
    </row>
    <row r="1928" spans="1:18">
      <c r="A1928" t="s">
        <v>7378</v>
      </c>
      <c r="G1928" s="191"/>
      <c r="H1928" s="210"/>
      <c r="J1928" t="s">
        <v>5585</v>
      </c>
      <c r="K1928" s="180" t="s">
        <v>5671</v>
      </c>
      <c r="M1928" t="s">
        <v>2246</v>
      </c>
      <c r="N1928" t="s">
        <v>5571</v>
      </c>
      <c r="O1928" t="s">
        <v>4931</v>
      </c>
      <c r="Q1928" t="str">
        <f t="shared" si="102"/>
        <v>condorProc.py --series 07180831_1726 --donoise --dumps a --procenv environments/pymidas_HVHV_NaI_mf.env</v>
      </c>
      <c r="R1928" t="str">
        <f>R1927&amp;", """&amp;A1928&amp;""""</f>
        <v>"07180831_1716", "07180831_1726"</v>
      </c>
    </row>
    <row r="1929" spans="1:18">
      <c r="A1929" t="s">
        <v>7379</v>
      </c>
      <c r="G1929" s="191"/>
      <c r="H1929" s="210"/>
      <c r="K1929" s="187" t="s">
        <v>6206</v>
      </c>
      <c r="M1929" t="s">
        <v>2246</v>
      </c>
      <c r="N1929" t="s">
        <v>5571</v>
      </c>
      <c r="O1929" t="s">
        <v>4931</v>
      </c>
      <c r="Q1929" t="str">
        <f t="shared" si="102"/>
        <v>condorProc.py --series 07180831_1736 --donoise --dumps a --procenv environments/pymidas_HVHV_NaI_mf.env</v>
      </c>
      <c r="R1929" t="str">
        <f t="shared" ref="R1929:R1938" si="104">R1928&amp;", """&amp;A1929&amp;""""</f>
        <v>"07180831_1716", "07180831_1726", "07180831_1736"</v>
      </c>
    </row>
    <row r="1930" spans="1:18">
      <c r="A1930" t="s">
        <v>7380</v>
      </c>
      <c r="G1930" s="191"/>
      <c r="H1930" s="210"/>
      <c r="K1930" s="180"/>
      <c r="M1930" t="s">
        <v>2246</v>
      </c>
      <c r="N1930" t="s">
        <v>5571</v>
      </c>
      <c r="O1930" t="s">
        <v>4931</v>
      </c>
      <c r="Q1930" t="str">
        <f t="shared" si="102"/>
        <v>condorProc.py --series 07180831_1746 --donoise --dumps a --procenv environments/pymidas_HVHV_NaI_mf.env</v>
      </c>
      <c r="R1930" t="str">
        <f t="shared" si="104"/>
        <v>"07180831_1716", "07180831_1726", "07180831_1736", "07180831_1746"</v>
      </c>
    </row>
    <row r="1931" spans="1:18">
      <c r="A1931" t="s">
        <v>7381</v>
      </c>
      <c r="G1931" s="191"/>
      <c r="H1931" s="210"/>
      <c r="K1931" s="180"/>
      <c r="M1931" t="s">
        <v>2246</v>
      </c>
      <c r="N1931" t="s">
        <v>5571</v>
      </c>
      <c r="O1931" t="s">
        <v>4931</v>
      </c>
      <c r="Q1931" t="str">
        <f t="shared" si="102"/>
        <v>condorProc.py --series 07180831_1756 --donoise --dumps a --procenv environments/pymidas_HVHV_NaI_mf.env</v>
      </c>
      <c r="R1931" t="str">
        <f t="shared" si="104"/>
        <v>"07180831_1716", "07180831_1726", "07180831_1736", "07180831_1746", "07180831_1756"</v>
      </c>
    </row>
    <row r="1932" spans="1:18">
      <c r="A1932" t="s">
        <v>7382</v>
      </c>
      <c r="G1932" s="191"/>
      <c r="H1932" s="210"/>
      <c r="I1932" t="s">
        <v>75</v>
      </c>
      <c r="K1932" s="180"/>
      <c r="M1932" t="s">
        <v>2246</v>
      </c>
      <c r="N1932" t="s">
        <v>5571</v>
      </c>
      <c r="O1932" t="s">
        <v>4931</v>
      </c>
      <c r="Q1932" t="str">
        <f t="shared" si="102"/>
        <v>condorProc.py --series 07180831_1806 --donoise --dumps a --procenv environments/pymidas_HVHV_NaI_mf.env</v>
      </c>
      <c r="R1932" t="str">
        <f t="shared" si="104"/>
        <v>"07180831_1716", "07180831_1726", "07180831_1736", "07180831_1746", "07180831_1756", "07180831_1806"</v>
      </c>
    </row>
    <row r="1933" spans="1:18">
      <c r="A1933" t="s">
        <v>7383</v>
      </c>
      <c r="G1933" s="191"/>
      <c r="H1933" s="210"/>
      <c r="K1933" s="180"/>
      <c r="M1933" t="s">
        <v>2246</v>
      </c>
      <c r="N1933" t="s">
        <v>5571</v>
      </c>
      <c r="O1933" t="s">
        <v>4931</v>
      </c>
      <c r="Q1933" t="str">
        <f t="shared" si="102"/>
        <v>condorProc.py --series 07180831_1816 --donoise --dumps a --procenv environments/pymidas_HVHV_NaI_mf.env</v>
      </c>
      <c r="R1933" t="str">
        <f t="shared" si="104"/>
        <v>"07180831_1716", "07180831_1726", "07180831_1736", "07180831_1746", "07180831_1756", "07180831_1806", "07180831_1816"</v>
      </c>
    </row>
    <row r="1934" spans="1:18">
      <c r="A1934" t="s">
        <v>7384</v>
      </c>
      <c r="G1934" s="191"/>
      <c r="H1934" s="210"/>
      <c r="K1934" s="180"/>
      <c r="M1934" t="s">
        <v>2246</v>
      </c>
      <c r="N1934" t="s">
        <v>5571</v>
      </c>
      <c r="O1934" t="s">
        <v>4931</v>
      </c>
      <c r="Q1934" t="str">
        <f t="shared" si="102"/>
        <v>condorProc.py --series 07180831_1827 --donoise --dumps a --procenv environments/pymidas_HVHV_NaI_mf.env</v>
      </c>
      <c r="R1934" t="str">
        <f t="shared" si="104"/>
        <v>"07180831_1716", "07180831_1726", "07180831_1736", "07180831_1746", "07180831_1756", "07180831_1806", "07180831_1816", "07180831_1827"</v>
      </c>
    </row>
    <row r="1935" spans="1:18">
      <c r="A1935" t="s">
        <v>7385</v>
      </c>
      <c r="G1935" s="191"/>
      <c r="H1935" s="210"/>
      <c r="K1935" s="180"/>
      <c r="M1935" t="s">
        <v>2246</v>
      </c>
      <c r="N1935" t="s">
        <v>5571</v>
      </c>
      <c r="O1935" t="s">
        <v>4931</v>
      </c>
      <c r="Q1935" t="str">
        <f t="shared" si="102"/>
        <v>condorProc.py --series 07180831_1837 --donoise --dumps a --procenv environments/pymidas_HVHV_NaI_mf.env</v>
      </c>
      <c r="R1935" t="str">
        <f t="shared" si="104"/>
        <v>"07180831_1716", "07180831_1726", "07180831_1736", "07180831_1746", "07180831_1756", "07180831_1806", "07180831_1816", "07180831_1827", "07180831_1837"</v>
      </c>
    </row>
    <row r="1936" spans="1:18">
      <c r="A1936" t="s">
        <v>7386</v>
      </c>
      <c r="G1936" s="191"/>
      <c r="H1936" s="210"/>
      <c r="K1936" s="180"/>
      <c r="M1936" t="s">
        <v>2246</v>
      </c>
      <c r="N1936" t="s">
        <v>5571</v>
      </c>
      <c r="O1936" t="s">
        <v>4931</v>
      </c>
      <c r="Q1936" t="str">
        <f t="shared" si="102"/>
        <v>condorProc.py --series 07180831_1847 --donoise --dumps a --procenv environments/pymidas_HVHV_NaI_mf.env</v>
      </c>
      <c r="R1936" t="str">
        <f t="shared" si="104"/>
        <v>"07180831_1716", "07180831_1726", "07180831_1736", "07180831_1746", "07180831_1756", "07180831_1806", "07180831_1816", "07180831_1827", "07180831_1837", "07180831_1847"</v>
      </c>
    </row>
    <row r="1937" spans="1:18">
      <c r="A1937" t="s">
        <v>7387</v>
      </c>
      <c r="G1937" s="191"/>
      <c r="H1937" s="210"/>
      <c r="K1937" s="180"/>
      <c r="M1937" t="s">
        <v>2246</v>
      </c>
      <c r="N1937" t="s">
        <v>5571</v>
      </c>
      <c r="O1937" t="s">
        <v>4931</v>
      </c>
      <c r="Q1937" t="str">
        <f t="shared" si="102"/>
        <v>condorProc.py --series 07180831_1857 --donoise --dumps a --procenv environments/pymidas_HVHV_NaI_mf.env</v>
      </c>
      <c r="R1937" t="str">
        <f t="shared" si="104"/>
        <v>"07180831_1716", "07180831_1726", "07180831_1736", "07180831_1746", "07180831_1756", "07180831_1806", "07180831_1816", "07180831_1827", "07180831_1837", "07180831_1847", "07180831_1857"</v>
      </c>
    </row>
    <row r="1938" spans="1:18">
      <c r="A1938" t="s">
        <v>7388</v>
      </c>
      <c r="F1938" s="65"/>
      <c r="G1938" s="193"/>
      <c r="H1938" s="211"/>
      <c r="I1938" s="65" t="s">
        <v>75</v>
      </c>
      <c r="J1938" s="65"/>
      <c r="K1938" s="202"/>
      <c r="L1938">
        <v>12</v>
      </c>
      <c r="M1938" t="s">
        <v>2246</v>
      </c>
      <c r="N1938" t="s">
        <v>5571</v>
      </c>
      <c r="O1938" t="s">
        <v>4931</v>
      </c>
      <c r="Q1938" t="str">
        <f t="shared" si="102"/>
        <v>condorProc.py --series 07180831_1907 --donoise --dumps a --procenv environments/pymidas_HVHV_NaI_mf.env</v>
      </c>
      <c r="R1938" t="str">
        <f t="shared" si="104"/>
        <v>"07180831_1716", "07180831_1726", "07180831_1736", "07180831_1746", "07180831_1756", "07180831_1806", "07180831_1816", "07180831_1827", "07180831_1837", "07180831_1847", "07180831_1857", "07180831_1907"</v>
      </c>
    </row>
    <row r="1939" spans="1:18">
      <c r="A1939" t="s">
        <v>7389</v>
      </c>
      <c r="F1939" s="177">
        <v>10</v>
      </c>
      <c r="G1939" s="192" t="s">
        <v>2248</v>
      </c>
      <c r="H1939" s="206">
        <v>-70</v>
      </c>
      <c r="I1939" s="177"/>
      <c r="J1939" s="177" t="s">
        <v>5577</v>
      </c>
      <c r="K1939" s="178" t="s">
        <v>5583</v>
      </c>
      <c r="L1939" t="s">
        <v>7390</v>
      </c>
      <c r="M1939" t="s">
        <v>2246</v>
      </c>
      <c r="N1939" t="s">
        <v>5571</v>
      </c>
      <c r="Q1939" t="str">
        <f t="shared" si="102"/>
        <v>condorProc.py --series 07180831_1958 --donoise --dumps a --procenv environments/pymidas_HVHV_NaI_mf.env</v>
      </c>
    </row>
    <row r="1940" spans="1:18">
      <c r="A1940" t="s">
        <v>7391</v>
      </c>
      <c r="G1940" s="191"/>
      <c r="H1940" s="207"/>
      <c r="J1940" t="s">
        <v>5585</v>
      </c>
      <c r="K1940" s="180" t="s">
        <v>5671</v>
      </c>
      <c r="M1940" t="s">
        <v>2246</v>
      </c>
      <c r="N1940" t="s">
        <v>5571</v>
      </c>
      <c r="Q1940" t="str">
        <f t="shared" si="102"/>
        <v>condorProc.py --series 07180831_2009 --donoise --dumps a --procenv environments/pymidas_HVHV_NaI_mf.env</v>
      </c>
    </row>
    <row r="1941" spans="1:18">
      <c r="A1941" t="s">
        <v>7392</v>
      </c>
      <c r="G1941" s="191"/>
      <c r="H1941" s="207"/>
      <c r="K1941" s="187" t="s">
        <v>6206</v>
      </c>
      <c r="M1941" t="s">
        <v>2246</v>
      </c>
      <c r="N1941" t="s">
        <v>5571</v>
      </c>
      <c r="Q1941" t="str">
        <f t="shared" si="102"/>
        <v>condorProc.py --series 07180831_2019 --donoise --dumps a --procenv environments/pymidas_HVHV_NaI_mf.env</v>
      </c>
    </row>
    <row r="1942" spans="1:18">
      <c r="A1942" t="s">
        <v>7393</v>
      </c>
      <c r="G1942" s="191"/>
      <c r="H1942" s="207"/>
      <c r="K1942" s="180"/>
      <c r="M1942" t="s">
        <v>2246</v>
      </c>
      <c r="N1942" t="s">
        <v>5571</v>
      </c>
      <c r="Q1942" t="str">
        <f t="shared" si="102"/>
        <v>condorProc.py --series 07180831_2029 --donoise --dumps a --procenv environments/pymidas_HVHV_NaI_mf.env</v>
      </c>
    </row>
    <row r="1943" spans="1:18">
      <c r="A1943" t="s">
        <v>7394</v>
      </c>
      <c r="G1943" s="191"/>
      <c r="H1943" s="207"/>
      <c r="K1943" s="180"/>
      <c r="M1943" t="s">
        <v>2246</v>
      </c>
      <c r="N1943" t="s">
        <v>5571</v>
      </c>
      <c r="Q1943" t="str">
        <f t="shared" si="102"/>
        <v>condorProc.py --series 07180831_2039 --donoise --dumps a --procenv environments/pymidas_HVHV_NaI_mf.env</v>
      </c>
    </row>
    <row r="1944" spans="1:18">
      <c r="A1944" t="s">
        <v>7395</v>
      </c>
      <c r="G1944" s="191"/>
      <c r="H1944" s="207"/>
      <c r="I1944" t="s">
        <v>75</v>
      </c>
      <c r="K1944" s="180"/>
      <c r="M1944" t="s">
        <v>2246</v>
      </c>
      <c r="N1944" t="s">
        <v>5571</v>
      </c>
      <c r="Q1944" t="str">
        <f t="shared" si="102"/>
        <v>condorProc.py --series 07180831_2049 --donoise --dumps a --procenv environments/pymidas_HVHV_NaI_mf.env</v>
      </c>
    </row>
    <row r="1945" spans="1:18">
      <c r="A1945" t="s">
        <v>7396</v>
      </c>
      <c r="G1945" s="191"/>
      <c r="H1945" s="207"/>
      <c r="K1945" s="180"/>
      <c r="M1945" t="s">
        <v>2246</v>
      </c>
      <c r="N1945" t="s">
        <v>5571</v>
      </c>
      <c r="Q1945" t="str">
        <f t="shared" si="102"/>
        <v>condorProc.py --series 07180831_2059 --donoise --dumps a --procenv environments/pymidas_HVHV_NaI_mf.env</v>
      </c>
    </row>
    <row r="1946" spans="1:18">
      <c r="A1946" t="s">
        <v>7397</v>
      </c>
      <c r="G1946" s="191"/>
      <c r="H1946" s="207"/>
      <c r="K1946" s="180"/>
      <c r="M1946" t="s">
        <v>2246</v>
      </c>
      <c r="N1946" t="s">
        <v>5571</v>
      </c>
      <c r="Q1946" t="str">
        <f t="shared" si="102"/>
        <v>condorProc.py --series 07180831_2109 --donoise --dumps a --procenv environments/pymidas_HVHV_NaI_mf.env</v>
      </c>
    </row>
    <row r="1947" spans="1:18">
      <c r="A1947" t="s">
        <v>7398</v>
      </c>
      <c r="G1947" s="191"/>
      <c r="H1947" s="207"/>
      <c r="K1947" s="180"/>
      <c r="M1947" t="s">
        <v>2246</v>
      </c>
      <c r="N1947" t="s">
        <v>5571</v>
      </c>
      <c r="Q1947" t="str">
        <f t="shared" si="102"/>
        <v>condorProc.py --series 07180831_2119 --donoise --dumps a --procenv environments/pymidas_HVHV_NaI_mf.env</v>
      </c>
    </row>
    <row r="1948" spans="1:18">
      <c r="A1948" t="s">
        <v>7399</v>
      </c>
      <c r="G1948" s="191"/>
      <c r="H1948" s="207"/>
      <c r="K1948" s="180"/>
      <c r="M1948" t="s">
        <v>2246</v>
      </c>
      <c r="N1948" t="s">
        <v>5571</v>
      </c>
      <c r="Q1948" t="str">
        <f t="shared" si="102"/>
        <v>condorProc.py --series 07180831_2129 --donoise --dumps a --procenv environments/pymidas_HVHV_NaI_mf.env</v>
      </c>
    </row>
    <row r="1949" spans="1:18">
      <c r="A1949" t="s">
        <v>7400</v>
      </c>
      <c r="G1949" s="191"/>
      <c r="H1949" s="207"/>
      <c r="K1949" s="180"/>
      <c r="M1949" t="s">
        <v>2246</v>
      </c>
      <c r="N1949" t="s">
        <v>5571</v>
      </c>
      <c r="Q1949" t="str">
        <f t="shared" si="102"/>
        <v>condorProc.py --series 07180831_2139 --donoise --dumps a --procenv environments/pymidas_HVHV_NaI_mf.env</v>
      </c>
    </row>
    <row r="1950" spans="1:18">
      <c r="A1950" t="s">
        <v>7401</v>
      </c>
      <c r="F1950" s="65"/>
      <c r="G1950" s="193"/>
      <c r="H1950" s="208"/>
      <c r="I1950" s="65" t="s">
        <v>75</v>
      </c>
      <c r="J1950" s="65"/>
      <c r="K1950" s="202"/>
      <c r="M1950" t="s">
        <v>2246</v>
      </c>
      <c r="N1950" t="s">
        <v>5571</v>
      </c>
      <c r="Q1950" t="str">
        <f t="shared" si="102"/>
        <v>condorProc.py --series 07180831_2149 --donoise --dumps a --procenv environments/pymidas_HVHV_NaI_mf.env</v>
      </c>
    </row>
    <row r="1951" spans="1:18">
      <c r="A1951" t="s">
        <v>7402</v>
      </c>
      <c r="F1951" s="177">
        <v>10</v>
      </c>
      <c r="G1951" s="192" t="s">
        <v>2248</v>
      </c>
      <c r="H1951" s="206">
        <v>-70</v>
      </c>
      <c r="I1951" s="177"/>
      <c r="J1951" s="177" t="s">
        <v>5577</v>
      </c>
      <c r="K1951" s="178" t="s">
        <v>5583</v>
      </c>
      <c r="M1951" t="s">
        <v>2246</v>
      </c>
      <c r="N1951" t="s">
        <v>5571</v>
      </c>
      <c r="Q1951" t="str">
        <f t="shared" si="102"/>
        <v>condorProc.py --series 07180831_2241 --donoise --dumps a --procenv environments/pymidas_HVHV_NaI_mf.env</v>
      </c>
    </row>
    <row r="1952" spans="1:18">
      <c r="A1952" t="s">
        <v>7403</v>
      </c>
      <c r="G1952" s="191"/>
      <c r="H1952" s="207"/>
      <c r="J1952" t="s">
        <v>5585</v>
      </c>
      <c r="K1952" s="180" t="s">
        <v>5671</v>
      </c>
      <c r="M1952" t="s">
        <v>2246</v>
      </c>
      <c r="N1952" t="s">
        <v>5571</v>
      </c>
      <c r="Q1952" t="str">
        <f t="shared" si="102"/>
        <v>condorProc.py --series 07180831_2251 --donoise --dumps a --procenv environments/pymidas_HVHV_NaI_mf.env</v>
      </c>
    </row>
    <row r="1953" spans="1:17">
      <c r="A1953" t="s">
        <v>7404</v>
      </c>
      <c r="G1953" s="191"/>
      <c r="H1953" s="207"/>
      <c r="K1953" s="187" t="s">
        <v>6206</v>
      </c>
      <c r="M1953" t="s">
        <v>2246</v>
      </c>
      <c r="N1953" t="s">
        <v>5571</v>
      </c>
      <c r="Q1953" t="str">
        <f t="shared" si="102"/>
        <v>condorProc.py --series 07180831_2301 --donoise --dumps a --procenv environments/pymidas_HVHV_NaI_mf.env</v>
      </c>
    </row>
    <row r="1954" spans="1:17">
      <c r="A1954" t="s">
        <v>7405</v>
      </c>
      <c r="G1954" s="191"/>
      <c r="H1954" s="207"/>
      <c r="K1954" s="180"/>
      <c r="M1954" t="s">
        <v>2246</v>
      </c>
      <c r="N1954" t="s">
        <v>5571</v>
      </c>
      <c r="Q1954" t="str">
        <f t="shared" si="102"/>
        <v>condorProc.py --series 07180831_2311 --donoise --dumps a --procenv environments/pymidas_HVHV_NaI_mf.env</v>
      </c>
    </row>
    <row r="1955" spans="1:17">
      <c r="A1955" t="s">
        <v>7406</v>
      </c>
      <c r="G1955" s="191"/>
      <c r="H1955" s="207"/>
      <c r="K1955" s="180"/>
      <c r="M1955" t="s">
        <v>2246</v>
      </c>
      <c r="N1955" t="s">
        <v>5571</v>
      </c>
      <c r="Q1955" t="str">
        <f t="shared" si="102"/>
        <v>condorProc.py --series 07180831_2321 --donoise --dumps a --procenv environments/pymidas_HVHV_NaI_mf.env</v>
      </c>
    </row>
    <row r="1956" spans="1:17">
      <c r="A1956" t="s">
        <v>7407</v>
      </c>
      <c r="G1956" s="191"/>
      <c r="H1956" s="207"/>
      <c r="K1956" s="180"/>
      <c r="M1956" t="s">
        <v>2246</v>
      </c>
      <c r="N1956" t="s">
        <v>5571</v>
      </c>
      <c r="Q1956" t="str">
        <f t="shared" si="102"/>
        <v>condorProc.py --series 07180831_2331 --donoise --dumps a --procenv environments/pymidas_HVHV_NaI_mf.env</v>
      </c>
    </row>
    <row r="1957" spans="1:17">
      <c r="A1957" t="s">
        <v>7408</v>
      </c>
      <c r="G1957" s="191"/>
      <c r="H1957" s="207"/>
      <c r="K1957" s="180"/>
      <c r="M1957" t="s">
        <v>2246</v>
      </c>
      <c r="N1957" t="s">
        <v>5571</v>
      </c>
      <c r="Q1957" t="str">
        <f t="shared" si="102"/>
        <v>condorProc.py --series 07180831_2341 --donoise --dumps a --procenv environments/pymidas_HVHV_NaI_mf.env</v>
      </c>
    </row>
    <row r="1958" spans="1:17">
      <c r="A1958" t="s">
        <v>7409</v>
      </c>
      <c r="G1958" s="191"/>
      <c r="H1958" s="207"/>
      <c r="K1958" s="180"/>
      <c r="M1958" t="s">
        <v>2246</v>
      </c>
      <c r="N1958" t="s">
        <v>5571</v>
      </c>
      <c r="Q1958" t="str">
        <f t="shared" si="102"/>
        <v>condorProc.py --series 07180831_2351 --donoise --dumps a --procenv environments/pymidas_HVHV_NaI_mf.env</v>
      </c>
    </row>
    <row r="1959" spans="1:17">
      <c r="A1959" t="s">
        <v>7410</v>
      </c>
      <c r="G1959" s="191"/>
      <c r="H1959" s="207"/>
      <c r="K1959" s="180"/>
      <c r="M1959" t="s">
        <v>2246</v>
      </c>
      <c r="N1959" t="s">
        <v>5571</v>
      </c>
      <c r="Q1959" t="str">
        <f t="shared" si="102"/>
        <v>condorProc.py --series 07180901_0001 --donoise --dumps a --procenv environments/pymidas_HVHV_NaI_mf.env</v>
      </c>
    </row>
    <row r="1960" spans="1:17">
      <c r="A1960" t="s">
        <v>7411</v>
      </c>
      <c r="G1960" s="191"/>
      <c r="H1960" s="207"/>
      <c r="K1960" s="180"/>
      <c r="M1960" t="s">
        <v>2246</v>
      </c>
      <c r="N1960" t="s">
        <v>5571</v>
      </c>
      <c r="Q1960" t="str">
        <f t="shared" si="102"/>
        <v>condorProc.py --series 07180901_0012 --donoise --dumps a --procenv environments/pymidas_HVHV_NaI_mf.env</v>
      </c>
    </row>
    <row r="1961" spans="1:17">
      <c r="A1961" t="s">
        <v>7412</v>
      </c>
      <c r="G1961" s="191"/>
      <c r="H1961" s="207"/>
      <c r="K1961" s="180"/>
      <c r="M1961" t="s">
        <v>2246</v>
      </c>
      <c r="N1961" t="s">
        <v>5571</v>
      </c>
      <c r="Q1961" t="str">
        <f t="shared" si="102"/>
        <v>condorProc.py --series 07180901_0022 --donoise --dumps a --procenv environments/pymidas_HVHV_NaI_mf.env</v>
      </c>
    </row>
    <row r="1962" spans="1:17">
      <c r="A1962" t="s">
        <v>7413</v>
      </c>
      <c r="F1962" s="65"/>
      <c r="G1962" s="193"/>
      <c r="H1962" s="208"/>
      <c r="I1962" s="65"/>
      <c r="J1962" s="65"/>
      <c r="K1962" s="202"/>
      <c r="M1962" t="s">
        <v>2246</v>
      </c>
      <c r="N1962" t="s">
        <v>5571</v>
      </c>
      <c r="Q1962" t="str">
        <f t="shared" si="102"/>
        <v>condorProc.py --series 07180901_0032 --donoise --dumps a --procenv environments/pymidas_HVHV_NaI_mf.env</v>
      </c>
    </row>
    <row r="1963" spans="1:17">
      <c r="A1963" t="s">
        <v>7414</v>
      </c>
      <c r="F1963" s="177">
        <v>10</v>
      </c>
      <c r="G1963" s="192" t="s">
        <v>2248</v>
      </c>
      <c r="H1963" s="206">
        <v>-70</v>
      </c>
      <c r="I1963" s="177"/>
      <c r="J1963" s="177" t="s">
        <v>5577</v>
      </c>
      <c r="K1963" s="178" t="s">
        <v>5583</v>
      </c>
      <c r="M1963" t="s">
        <v>2246</v>
      </c>
      <c r="N1963" t="s">
        <v>5571</v>
      </c>
      <c r="Q1963" t="str">
        <f t="shared" si="102"/>
        <v>condorProc.py --series 07180901_0123 --donoise --dumps a --procenv environments/pymidas_HVHV_NaI_mf.env</v>
      </c>
    </row>
    <row r="1964" spans="1:17">
      <c r="A1964" t="s">
        <v>7415</v>
      </c>
      <c r="G1964" s="191"/>
      <c r="H1964" s="207"/>
      <c r="J1964" t="s">
        <v>5585</v>
      </c>
      <c r="K1964" s="180" t="s">
        <v>5671</v>
      </c>
      <c r="M1964" t="s">
        <v>2246</v>
      </c>
      <c r="N1964" t="s">
        <v>5571</v>
      </c>
      <c r="Q1964" t="str">
        <f t="shared" si="102"/>
        <v>condorProc.py --series 07180901_0133 --donoise --dumps a --procenv environments/pymidas_HVHV_NaI_mf.env</v>
      </c>
    </row>
    <row r="1965" spans="1:17">
      <c r="A1965" t="s">
        <v>7416</v>
      </c>
      <c r="G1965" s="191"/>
      <c r="H1965" s="207"/>
      <c r="K1965" s="187" t="s">
        <v>6206</v>
      </c>
      <c r="M1965" t="s">
        <v>2246</v>
      </c>
      <c r="N1965" t="s">
        <v>5571</v>
      </c>
      <c r="Q1965" t="str">
        <f t="shared" si="102"/>
        <v>condorProc.py --series 07180901_0143 --donoise --dumps a --procenv environments/pymidas_HVHV_NaI_mf.env</v>
      </c>
    </row>
    <row r="1966" spans="1:17">
      <c r="A1966" t="s">
        <v>7417</v>
      </c>
      <c r="G1966" s="191"/>
      <c r="H1966" s="207"/>
      <c r="K1966" s="180"/>
      <c r="M1966" t="s">
        <v>2246</v>
      </c>
      <c r="N1966" t="s">
        <v>5571</v>
      </c>
      <c r="Q1966" t="str">
        <f t="shared" si="102"/>
        <v>condorProc.py --series 07180901_0153 --donoise --dumps a --procenv environments/pymidas_HVHV_NaI_mf.env</v>
      </c>
    </row>
    <row r="1967" spans="1:17">
      <c r="A1967" t="s">
        <v>7418</v>
      </c>
      <c r="G1967" s="191"/>
      <c r="H1967" s="207"/>
      <c r="K1967" s="180"/>
      <c r="M1967" t="s">
        <v>2246</v>
      </c>
      <c r="N1967" t="s">
        <v>5571</v>
      </c>
      <c r="Q1967" t="str">
        <f t="shared" si="102"/>
        <v>condorProc.py --series 07180901_0203 --donoise --dumps a --procenv environments/pymidas_HVHV_NaI_mf.env</v>
      </c>
    </row>
    <row r="1968" spans="1:17">
      <c r="A1968" t="s">
        <v>7419</v>
      </c>
      <c r="G1968" s="191"/>
      <c r="H1968" s="207"/>
      <c r="K1968" s="180"/>
      <c r="M1968" t="s">
        <v>2246</v>
      </c>
      <c r="N1968" t="s">
        <v>5571</v>
      </c>
      <c r="Q1968" t="str">
        <f t="shared" si="102"/>
        <v>condorProc.py --series 07180901_0213 --donoise --dumps a --procenv environments/pymidas_HVHV_NaI_mf.env</v>
      </c>
    </row>
    <row r="1969" spans="1:17">
      <c r="A1969" t="s">
        <v>7420</v>
      </c>
      <c r="G1969" s="191"/>
      <c r="H1969" s="207"/>
      <c r="K1969" s="180"/>
      <c r="M1969" t="s">
        <v>2246</v>
      </c>
      <c r="N1969" t="s">
        <v>5571</v>
      </c>
      <c r="Q1969" t="str">
        <f t="shared" si="102"/>
        <v>condorProc.py --series 07180901_0223 --donoise --dumps a --procenv environments/pymidas_HVHV_NaI_mf.env</v>
      </c>
    </row>
    <row r="1970" spans="1:17">
      <c r="A1970" t="s">
        <v>7421</v>
      </c>
      <c r="G1970" s="191"/>
      <c r="H1970" s="207"/>
      <c r="K1970" s="180"/>
      <c r="M1970" t="s">
        <v>2246</v>
      </c>
      <c r="N1970" t="s">
        <v>5571</v>
      </c>
      <c r="Q1970" t="str">
        <f t="shared" si="102"/>
        <v>condorProc.py --series 07180901_0234 --donoise --dumps a --procenv environments/pymidas_HVHV_NaI_mf.env</v>
      </c>
    </row>
    <row r="1971" spans="1:17">
      <c r="A1971" t="s">
        <v>7422</v>
      </c>
      <c r="G1971" s="191"/>
      <c r="H1971" s="207"/>
      <c r="K1971" s="180"/>
      <c r="M1971" t="s">
        <v>2246</v>
      </c>
      <c r="N1971" t="s">
        <v>5571</v>
      </c>
      <c r="Q1971" t="str">
        <f t="shared" si="102"/>
        <v>condorProc.py --series 07180901_0244 --donoise --dumps a --procenv environments/pymidas_HVHV_NaI_mf.env</v>
      </c>
    </row>
    <row r="1972" spans="1:17">
      <c r="A1972" t="s">
        <v>7423</v>
      </c>
      <c r="G1972" s="191"/>
      <c r="H1972" s="207"/>
      <c r="K1972" s="180"/>
      <c r="M1972" t="s">
        <v>2246</v>
      </c>
      <c r="N1972" t="s">
        <v>5571</v>
      </c>
      <c r="Q1972" t="str">
        <f t="shared" si="102"/>
        <v>condorProc.py --series 07180901_0254 --donoise --dumps a --procenv environments/pymidas_HVHV_NaI_mf.env</v>
      </c>
    </row>
    <row r="1973" spans="1:17">
      <c r="A1973" t="s">
        <v>7424</v>
      </c>
      <c r="G1973" s="191"/>
      <c r="H1973" s="207"/>
      <c r="K1973" s="180"/>
      <c r="M1973" t="s">
        <v>2246</v>
      </c>
      <c r="N1973" t="s">
        <v>5571</v>
      </c>
      <c r="Q1973" t="str">
        <f t="shared" si="102"/>
        <v>condorProc.py --series 07180901_0304 --donoise --dumps a --procenv environments/pymidas_HVHV_NaI_mf.env</v>
      </c>
    </row>
    <row r="1974" spans="1:17">
      <c r="A1974" t="s">
        <v>7425</v>
      </c>
      <c r="F1974" s="65"/>
      <c r="G1974" s="193"/>
      <c r="H1974" s="208"/>
      <c r="I1974" s="65"/>
      <c r="J1974" s="65"/>
      <c r="K1974" s="202"/>
      <c r="M1974" t="s">
        <v>2246</v>
      </c>
      <c r="N1974" t="s">
        <v>5571</v>
      </c>
      <c r="Q1974" t="str">
        <f t="shared" si="102"/>
        <v>condorProc.py --series 07180901_0314 --donoise --dumps a --procenv environments/pymidas_HVHV_NaI_mf.env</v>
      </c>
    </row>
    <row r="1975" spans="1:17">
      <c r="A1975" t="s">
        <v>7426</v>
      </c>
      <c r="F1975" s="177">
        <v>10</v>
      </c>
      <c r="G1975" s="192" t="s">
        <v>2248</v>
      </c>
      <c r="H1975" s="206">
        <v>-70</v>
      </c>
      <c r="I1975" s="177"/>
      <c r="J1975" s="177" t="s">
        <v>5577</v>
      </c>
      <c r="K1975" s="178" t="s">
        <v>5583</v>
      </c>
      <c r="M1975" t="s">
        <v>2246</v>
      </c>
      <c r="N1975" t="s">
        <v>5571</v>
      </c>
      <c r="Q1975" t="str">
        <f t="shared" si="102"/>
        <v>condorProc.py --series 07180901_0405 --donoise --dumps a --procenv environments/pymidas_HVHV_NaI_mf.env</v>
      </c>
    </row>
    <row r="1976" spans="1:17">
      <c r="A1976" t="s">
        <v>7427</v>
      </c>
      <c r="G1976" s="191"/>
      <c r="H1976" s="207"/>
      <c r="J1976" t="s">
        <v>5585</v>
      </c>
      <c r="K1976" s="180" t="s">
        <v>5671</v>
      </c>
      <c r="M1976" t="s">
        <v>2246</v>
      </c>
      <c r="N1976" t="s">
        <v>5571</v>
      </c>
      <c r="Q1976" t="str">
        <f t="shared" si="102"/>
        <v>condorProc.py --series 07180901_0415 --donoise --dumps a --procenv environments/pymidas_HVHV_NaI_mf.env</v>
      </c>
    </row>
    <row r="1977" spans="1:17">
      <c r="A1977" t="s">
        <v>7428</v>
      </c>
      <c r="G1977" s="191"/>
      <c r="H1977" s="207"/>
      <c r="K1977" s="187" t="s">
        <v>6206</v>
      </c>
      <c r="M1977" t="s">
        <v>2246</v>
      </c>
      <c r="N1977" t="s">
        <v>5571</v>
      </c>
      <c r="Q1977" t="str">
        <f t="shared" si="102"/>
        <v>condorProc.py --series 07180901_0425 --donoise --dumps a --procenv environments/pymidas_HVHV_NaI_mf.env</v>
      </c>
    </row>
    <row r="1978" spans="1:17">
      <c r="A1978" t="s">
        <v>7429</v>
      </c>
      <c r="G1978" s="191"/>
      <c r="H1978" s="207"/>
      <c r="K1978" s="180"/>
      <c r="M1978" t="s">
        <v>2246</v>
      </c>
      <c r="N1978" t="s">
        <v>5571</v>
      </c>
      <c r="Q1978" t="str">
        <f t="shared" si="102"/>
        <v>condorProc.py --series 07180901_0435 --donoise --dumps a --procenv environments/pymidas_HVHV_NaI_mf.env</v>
      </c>
    </row>
    <row r="1979" spans="1:17">
      <c r="A1979" t="s">
        <v>7430</v>
      </c>
      <c r="G1979" s="191"/>
      <c r="H1979" s="207"/>
      <c r="K1979" s="180"/>
      <c r="M1979" t="s">
        <v>2246</v>
      </c>
      <c r="N1979" t="s">
        <v>5571</v>
      </c>
      <c r="Q1979" t="str">
        <f t="shared" ref="Q1979:Q1998" si="105">"condorProc.py --series "&amp;A1979&amp;" --donoise --dumps a --procenv environments/pymidas_HVHV_NaI_mf.env"</f>
        <v>condorProc.py --series 07180901_0445 --donoise --dumps a --procenv environments/pymidas_HVHV_NaI_mf.env</v>
      </c>
    </row>
    <row r="1980" spans="1:17">
      <c r="A1980" t="s">
        <v>7431</v>
      </c>
      <c r="G1980" s="191"/>
      <c r="H1980" s="207"/>
      <c r="K1980" s="180"/>
      <c r="M1980" t="s">
        <v>2246</v>
      </c>
      <c r="N1980" t="s">
        <v>5571</v>
      </c>
      <c r="Q1980" t="str">
        <f t="shared" si="105"/>
        <v>condorProc.py --series 07180901_0456 --donoise --dumps a --procenv environments/pymidas_HVHV_NaI_mf.env</v>
      </c>
    </row>
    <row r="1981" spans="1:17">
      <c r="A1981" t="s">
        <v>7432</v>
      </c>
      <c r="G1981" s="191"/>
      <c r="H1981" s="207"/>
      <c r="K1981" s="180"/>
      <c r="M1981" t="s">
        <v>2246</v>
      </c>
      <c r="N1981" t="s">
        <v>5571</v>
      </c>
      <c r="Q1981" t="str">
        <f t="shared" si="105"/>
        <v>condorProc.py --series 07180901_0506 --donoise --dumps a --procenv environments/pymidas_HVHV_NaI_mf.env</v>
      </c>
    </row>
    <row r="1982" spans="1:17">
      <c r="A1982" t="s">
        <v>7433</v>
      </c>
      <c r="G1982" s="191"/>
      <c r="H1982" s="207"/>
      <c r="K1982" s="180"/>
      <c r="M1982" t="s">
        <v>2246</v>
      </c>
      <c r="N1982" t="s">
        <v>5571</v>
      </c>
      <c r="Q1982" t="str">
        <f t="shared" si="105"/>
        <v>condorProc.py --series 07180901_0516 --donoise --dumps a --procenv environments/pymidas_HVHV_NaI_mf.env</v>
      </c>
    </row>
    <row r="1983" spans="1:17">
      <c r="A1983" t="s">
        <v>7434</v>
      </c>
      <c r="G1983" s="191"/>
      <c r="H1983" s="207"/>
      <c r="K1983" s="180"/>
      <c r="M1983" t="s">
        <v>2246</v>
      </c>
      <c r="N1983" t="s">
        <v>5571</v>
      </c>
      <c r="Q1983" t="str">
        <f t="shared" si="105"/>
        <v>condorProc.py --series 07180901_0526 --donoise --dumps a --procenv environments/pymidas_HVHV_NaI_mf.env</v>
      </c>
    </row>
    <row r="1984" spans="1:17">
      <c r="A1984" t="s">
        <v>7435</v>
      </c>
      <c r="G1984" s="191"/>
      <c r="H1984" s="207"/>
      <c r="K1984" s="180"/>
      <c r="M1984" t="s">
        <v>2246</v>
      </c>
      <c r="N1984" t="s">
        <v>5571</v>
      </c>
      <c r="Q1984" t="str">
        <f t="shared" si="105"/>
        <v>condorProc.py --series 07180901_0536 --donoise --dumps a --procenv environments/pymidas_HVHV_NaI_mf.env</v>
      </c>
    </row>
    <row r="1985" spans="1:17">
      <c r="A1985" t="s">
        <v>7436</v>
      </c>
      <c r="G1985" s="191"/>
      <c r="H1985" s="207"/>
      <c r="K1985" s="180"/>
      <c r="M1985" t="s">
        <v>2246</v>
      </c>
      <c r="N1985" t="s">
        <v>5571</v>
      </c>
      <c r="Q1985" t="str">
        <f t="shared" si="105"/>
        <v>condorProc.py --series 07180901_0546 --donoise --dumps a --procenv environments/pymidas_HVHV_NaI_mf.env</v>
      </c>
    </row>
    <row r="1986" spans="1:17">
      <c r="A1986" t="s">
        <v>7437</v>
      </c>
      <c r="F1986" s="65"/>
      <c r="G1986" s="193"/>
      <c r="H1986" s="208"/>
      <c r="I1986" s="65" t="s">
        <v>75</v>
      </c>
      <c r="J1986" s="65"/>
      <c r="K1986" s="202"/>
      <c r="M1986" t="s">
        <v>2246</v>
      </c>
      <c r="N1986" t="s">
        <v>5571</v>
      </c>
      <c r="Q1986" t="str">
        <f t="shared" si="105"/>
        <v>condorProc.py --series 07180901_0556 --donoise --dumps a --procenv environments/pymidas_HVHV_NaI_mf.env</v>
      </c>
    </row>
    <row r="1987" spans="1:17">
      <c r="A1987" t="s">
        <v>7438</v>
      </c>
      <c r="F1987" s="177">
        <v>10</v>
      </c>
      <c r="G1987" s="192" t="s">
        <v>2248</v>
      </c>
      <c r="H1987" s="206">
        <v>-70</v>
      </c>
      <c r="I1987" s="177"/>
      <c r="J1987" s="177" t="s">
        <v>5577</v>
      </c>
      <c r="K1987" s="178" t="s">
        <v>5583</v>
      </c>
      <c r="M1987" t="s">
        <v>2246</v>
      </c>
      <c r="N1987" t="s">
        <v>5571</v>
      </c>
      <c r="Q1987" t="str">
        <f t="shared" si="105"/>
        <v>condorProc.py --series 07180901_0647 --donoise --dumps a --procenv environments/pymidas_HVHV_NaI_mf.env</v>
      </c>
    </row>
    <row r="1988" spans="1:17">
      <c r="A1988" t="s">
        <v>7439</v>
      </c>
      <c r="G1988" s="191"/>
      <c r="H1988" s="207"/>
      <c r="J1988" t="s">
        <v>5585</v>
      </c>
      <c r="K1988" s="180" t="s">
        <v>5671</v>
      </c>
      <c r="M1988" t="s">
        <v>2246</v>
      </c>
      <c r="N1988" t="s">
        <v>5571</v>
      </c>
      <c r="Q1988" t="str">
        <f t="shared" si="105"/>
        <v>condorProc.py --series 07180901_0657 --donoise --dumps a --procenv environments/pymidas_HVHV_NaI_mf.env</v>
      </c>
    </row>
    <row r="1989" spans="1:17">
      <c r="A1989" t="s">
        <v>7440</v>
      </c>
      <c r="G1989" s="191"/>
      <c r="H1989" s="207"/>
      <c r="K1989" s="187" t="s">
        <v>6206</v>
      </c>
      <c r="M1989" t="s">
        <v>2246</v>
      </c>
      <c r="N1989" t="s">
        <v>5571</v>
      </c>
      <c r="Q1989" t="str">
        <f t="shared" si="105"/>
        <v>condorProc.py --series 07180901_0708 --donoise --dumps a --procenv environments/pymidas_HVHV_NaI_mf.env</v>
      </c>
    </row>
    <row r="1990" spans="1:17">
      <c r="A1990" t="s">
        <v>7441</v>
      </c>
      <c r="G1990" s="191"/>
      <c r="H1990" s="207"/>
      <c r="K1990" s="180"/>
      <c r="M1990" t="s">
        <v>2246</v>
      </c>
      <c r="N1990" t="s">
        <v>5571</v>
      </c>
      <c r="Q1990" t="str">
        <f t="shared" si="105"/>
        <v>condorProc.py --series 07180901_0718 --donoise --dumps a --procenv environments/pymidas_HVHV_NaI_mf.env</v>
      </c>
    </row>
    <row r="1991" spans="1:17">
      <c r="A1991" t="s">
        <v>7442</v>
      </c>
      <c r="G1991" s="191"/>
      <c r="H1991" s="207"/>
      <c r="K1991" s="180"/>
      <c r="M1991" t="s">
        <v>2246</v>
      </c>
      <c r="N1991" t="s">
        <v>5571</v>
      </c>
      <c r="Q1991" t="str">
        <f t="shared" si="105"/>
        <v>condorProc.py --series 07180901_0728 --donoise --dumps a --procenv environments/pymidas_HVHV_NaI_mf.env</v>
      </c>
    </row>
    <row r="1992" spans="1:17">
      <c r="A1992" t="s">
        <v>7443</v>
      </c>
      <c r="G1992" s="191"/>
      <c r="H1992" s="207"/>
      <c r="K1992" s="180"/>
      <c r="M1992" t="s">
        <v>2246</v>
      </c>
      <c r="N1992" t="s">
        <v>5571</v>
      </c>
      <c r="Q1992" t="str">
        <f t="shared" si="105"/>
        <v>condorProc.py --series 07180901_0738 --donoise --dumps a --procenv environments/pymidas_HVHV_NaI_mf.env</v>
      </c>
    </row>
    <row r="1993" spans="1:17">
      <c r="A1993" t="s">
        <v>7444</v>
      </c>
      <c r="G1993" s="191"/>
      <c r="H1993" s="207"/>
      <c r="K1993" s="180"/>
      <c r="M1993" t="s">
        <v>2246</v>
      </c>
      <c r="N1993" t="s">
        <v>5571</v>
      </c>
      <c r="Q1993" t="str">
        <f t="shared" si="105"/>
        <v>condorProc.py --series 07180901_0748 --donoise --dumps a --procenv environments/pymidas_HVHV_NaI_mf.env</v>
      </c>
    </row>
    <row r="1994" spans="1:17">
      <c r="A1994" t="s">
        <v>7445</v>
      </c>
      <c r="G1994" s="191"/>
      <c r="H1994" s="207"/>
      <c r="K1994" s="180"/>
      <c r="M1994" t="s">
        <v>2246</v>
      </c>
      <c r="N1994" t="s">
        <v>5571</v>
      </c>
      <c r="Q1994" t="str">
        <f t="shared" si="105"/>
        <v>condorProc.py --series 07180901_0758 --donoise --dumps a --procenv environments/pymidas_HVHV_NaI_mf.env</v>
      </c>
    </row>
    <row r="1995" spans="1:17">
      <c r="A1995" t="s">
        <v>7446</v>
      </c>
      <c r="G1995" s="191"/>
      <c r="H1995" s="207"/>
      <c r="K1995" s="180"/>
      <c r="M1995" t="s">
        <v>2246</v>
      </c>
      <c r="N1995" t="s">
        <v>5571</v>
      </c>
      <c r="Q1995" t="str">
        <f t="shared" si="105"/>
        <v>condorProc.py --series 07180901_0808 --donoise --dumps a --procenv environments/pymidas_HVHV_NaI_mf.env</v>
      </c>
    </row>
    <row r="1996" spans="1:17">
      <c r="A1996" t="s">
        <v>7447</v>
      </c>
      <c r="G1996" s="191"/>
      <c r="H1996" s="207"/>
      <c r="K1996" s="180"/>
      <c r="M1996" t="s">
        <v>2246</v>
      </c>
      <c r="N1996" t="s">
        <v>5571</v>
      </c>
      <c r="Q1996" t="str">
        <f t="shared" si="105"/>
        <v>condorProc.py --series 07180901_0818 --donoise --dumps a --procenv environments/pymidas_HVHV_NaI_mf.env</v>
      </c>
    </row>
    <row r="1997" spans="1:17">
      <c r="A1997" t="s">
        <v>7448</v>
      </c>
      <c r="G1997" s="191"/>
      <c r="H1997" s="207"/>
      <c r="K1997" s="180"/>
      <c r="M1997" t="s">
        <v>2246</v>
      </c>
      <c r="N1997" t="s">
        <v>5571</v>
      </c>
      <c r="Q1997" t="str">
        <f t="shared" si="105"/>
        <v>condorProc.py --series 07180901_0828 --donoise --dumps a --procenv environments/pymidas_HVHV_NaI_mf.env</v>
      </c>
    </row>
    <row r="1998" spans="1:17">
      <c r="A1998" t="s">
        <v>7449</v>
      </c>
      <c r="F1998" s="65"/>
      <c r="G1998" s="193"/>
      <c r="H1998" s="208"/>
      <c r="I1998" s="65" t="s">
        <v>75</v>
      </c>
      <c r="J1998" s="65"/>
      <c r="K1998" s="202"/>
      <c r="M1998" t="s">
        <v>2246</v>
      </c>
      <c r="N1998" t="s">
        <v>5571</v>
      </c>
      <c r="Q1998" t="str">
        <f t="shared" si="105"/>
        <v>condorProc.py --series 07180901_0838 --donoise --dumps a --procenv environments/pymidas_HVHV_NaI_mf.env</v>
      </c>
    </row>
    <row r="1999" spans="1:17">
      <c r="A1999" t="s">
        <v>7450</v>
      </c>
      <c r="F1999" s="177">
        <v>10</v>
      </c>
      <c r="G1999" s="192" t="s">
        <v>2248</v>
      </c>
      <c r="H1999" s="209">
        <v>-80</v>
      </c>
      <c r="I1999" s="197" t="s">
        <v>5434</v>
      </c>
      <c r="J1999" s="177" t="s">
        <v>5577</v>
      </c>
      <c r="K1999" s="178" t="s">
        <v>5583</v>
      </c>
    </row>
    <row r="2000" spans="1:17">
      <c r="A2000" t="s">
        <v>7451</v>
      </c>
      <c r="G2000" s="191"/>
      <c r="H2000" s="210"/>
      <c r="I2000" s="197" t="s">
        <v>5434</v>
      </c>
      <c r="J2000" t="s">
        <v>5585</v>
      </c>
      <c r="K2000" s="180" t="s">
        <v>5671</v>
      </c>
    </row>
    <row r="2001" spans="1:12">
      <c r="A2001" t="s">
        <v>7452</v>
      </c>
      <c r="G2001" s="191"/>
      <c r="H2001" s="210"/>
      <c r="I2001" s="197" t="s">
        <v>5434</v>
      </c>
      <c r="K2001" s="187" t="s">
        <v>6206</v>
      </c>
    </row>
    <row r="2002" spans="1:12">
      <c r="A2002" t="s">
        <v>7453</v>
      </c>
      <c r="G2002" s="191"/>
      <c r="H2002" s="210"/>
      <c r="I2002" s="197" t="s">
        <v>5434</v>
      </c>
      <c r="K2002" s="180"/>
    </row>
    <row r="2003" spans="1:12">
      <c r="A2003" t="s">
        <v>7454</v>
      </c>
      <c r="G2003" s="191"/>
      <c r="H2003" s="210"/>
      <c r="I2003" s="197" t="s">
        <v>5434</v>
      </c>
      <c r="K2003" s="180"/>
    </row>
    <row r="2004" spans="1:12">
      <c r="A2004" t="s">
        <v>7455</v>
      </c>
      <c r="G2004" s="191"/>
      <c r="H2004" s="210"/>
      <c r="I2004" s="197" t="s">
        <v>5434</v>
      </c>
      <c r="K2004" s="180"/>
    </row>
    <row r="2005" spans="1:12">
      <c r="A2005" t="s">
        <v>7456</v>
      </c>
      <c r="G2005" s="191"/>
      <c r="H2005" s="210"/>
      <c r="I2005" s="197" t="s">
        <v>5434</v>
      </c>
      <c r="K2005" s="180"/>
    </row>
    <row r="2006" spans="1:12">
      <c r="A2006" t="s">
        <v>7457</v>
      </c>
      <c r="G2006" s="191"/>
      <c r="H2006" s="210"/>
      <c r="I2006" s="197" t="s">
        <v>5434</v>
      </c>
      <c r="K2006" s="180"/>
    </row>
    <row r="2007" spans="1:12">
      <c r="A2007" t="s">
        <v>7458</v>
      </c>
      <c r="G2007" s="191"/>
      <c r="H2007" s="210"/>
      <c r="I2007" s="197" t="s">
        <v>5434</v>
      </c>
      <c r="K2007" s="180"/>
    </row>
    <row r="2008" spans="1:12">
      <c r="A2008" t="s">
        <v>7459</v>
      </c>
      <c r="G2008" s="191"/>
      <c r="H2008" s="210"/>
      <c r="I2008" s="197" t="s">
        <v>5434</v>
      </c>
      <c r="K2008" s="180"/>
    </row>
    <row r="2009" spans="1:12">
      <c r="A2009" t="s">
        <v>7460</v>
      </c>
      <c r="G2009" s="191"/>
      <c r="H2009" s="210"/>
      <c r="I2009" s="197" t="s">
        <v>5434</v>
      </c>
      <c r="K2009" s="180"/>
    </row>
    <row r="2010" spans="1:12">
      <c r="A2010" t="s">
        <v>7461</v>
      </c>
      <c r="F2010" s="65"/>
      <c r="G2010" s="193"/>
      <c r="H2010" s="211"/>
      <c r="I2010" s="197" t="s">
        <v>5434</v>
      </c>
      <c r="J2010" s="65"/>
      <c r="K2010" s="202" t="s">
        <v>7462</v>
      </c>
      <c r="L2010" t="str">
        <f>"BatViewer --nohardcode "&amp;A2010&amp;"/"&amp;A2010&amp;"_F0010.mid.gz"</f>
        <v>BatViewer --nohardcode 07180901_1258/07180901_1258_F0010.mid.gz</v>
      </c>
    </row>
    <row r="2011" spans="1:12">
      <c r="A2011" t="s">
        <v>7463</v>
      </c>
      <c r="F2011" s="177">
        <v>10</v>
      </c>
      <c r="G2011" s="192" t="s">
        <v>2248</v>
      </c>
      <c r="H2011" s="209">
        <v>-80</v>
      </c>
      <c r="I2011" s="197" t="s">
        <v>5434</v>
      </c>
      <c r="J2011" s="177" t="s">
        <v>5577</v>
      </c>
      <c r="K2011" s="178" t="s">
        <v>5583</v>
      </c>
    </row>
    <row r="2012" spans="1:12">
      <c r="A2012" t="s">
        <v>7464</v>
      </c>
      <c r="G2012" s="191"/>
      <c r="H2012" s="210"/>
      <c r="I2012" s="197" t="s">
        <v>5434</v>
      </c>
      <c r="J2012" t="s">
        <v>5585</v>
      </c>
      <c r="K2012" s="180" t="s">
        <v>5671</v>
      </c>
    </row>
    <row r="2013" spans="1:12">
      <c r="A2013" t="s">
        <v>7465</v>
      </c>
      <c r="G2013" s="191"/>
      <c r="H2013" s="210"/>
      <c r="I2013" s="197" t="s">
        <v>5434</v>
      </c>
      <c r="K2013" s="187" t="s">
        <v>6206</v>
      </c>
    </row>
    <row r="2014" spans="1:12">
      <c r="A2014" t="s">
        <v>7466</v>
      </c>
      <c r="G2014" s="191"/>
      <c r="H2014" s="210"/>
      <c r="I2014" s="197" t="s">
        <v>5434</v>
      </c>
      <c r="K2014" s="180"/>
    </row>
    <row r="2015" spans="1:12">
      <c r="A2015" t="s">
        <v>7467</v>
      </c>
      <c r="G2015" s="191"/>
      <c r="H2015" s="210"/>
      <c r="I2015" s="197" t="s">
        <v>5434</v>
      </c>
      <c r="K2015" s="180" t="s">
        <v>7462</v>
      </c>
    </row>
    <row r="2016" spans="1:12">
      <c r="A2016" t="s">
        <v>7468</v>
      </c>
      <c r="G2016" s="191"/>
      <c r="H2016" s="210"/>
      <c r="K2016" s="212" t="s">
        <v>7469</v>
      </c>
    </row>
    <row r="2017" spans="1:18">
      <c r="A2017" t="s">
        <v>7470</v>
      </c>
      <c r="G2017" s="191"/>
      <c r="H2017" s="210"/>
      <c r="K2017" s="212" t="s">
        <v>7469</v>
      </c>
    </row>
    <row r="2018" spans="1:18">
      <c r="A2018" t="s">
        <v>7471</v>
      </c>
      <c r="G2018" s="191"/>
      <c r="H2018" s="210"/>
      <c r="K2018" s="212" t="s">
        <v>7469</v>
      </c>
    </row>
    <row r="2019" spans="1:18">
      <c r="A2019" t="s">
        <v>7472</v>
      </c>
      <c r="G2019" s="191"/>
      <c r="H2019" s="210"/>
      <c r="K2019" s="212" t="s">
        <v>7469</v>
      </c>
    </row>
    <row r="2020" spans="1:18">
      <c r="A2020" t="s">
        <v>7473</v>
      </c>
      <c r="G2020" s="191"/>
      <c r="H2020" s="210"/>
      <c r="I2020" t="s">
        <v>75</v>
      </c>
      <c r="K2020" s="180"/>
      <c r="M2020" t="s">
        <v>2246</v>
      </c>
      <c r="N2020" t="s">
        <v>5571</v>
      </c>
      <c r="O2020" t="s">
        <v>4931</v>
      </c>
      <c r="Q2020" t="str">
        <f t="shared" ref="Q2020:Q2083" si="106">"condorProc.py --series "&amp;A2020&amp;" --donoise --dumps a --procenv environments/pymidas_HVHV_NaI_mf.env"</f>
        <v>condorProc.py --series 07180901_1521 --donoise --dumps a --procenv environments/pymidas_HVHV_NaI_mf.env</v>
      </c>
    </row>
    <row r="2021" spans="1:18">
      <c r="A2021" t="s">
        <v>7474</v>
      </c>
      <c r="G2021" s="191"/>
      <c r="H2021" s="210"/>
      <c r="K2021" s="180"/>
      <c r="M2021" t="s">
        <v>2246</v>
      </c>
      <c r="N2021" t="s">
        <v>5571</v>
      </c>
      <c r="O2021" t="s">
        <v>4931</v>
      </c>
      <c r="Q2021" t="str">
        <f t="shared" si="106"/>
        <v>condorProc.py --series 07180901_1531 --donoise --dumps a --procenv environments/pymidas_HVHV_NaI_mf.env</v>
      </c>
    </row>
    <row r="2022" spans="1:18">
      <c r="A2022" t="s">
        <v>7475</v>
      </c>
      <c r="G2022" s="191"/>
      <c r="H2022" s="210"/>
      <c r="I2022" t="s">
        <v>75</v>
      </c>
      <c r="K2022" s="187"/>
      <c r="L2022" t="str">
        <f>"BatViewer --nohardcode "&amp;A2022&amp;"/"&amp;A2022&amp;"_F0010.mid.gz"</f>
        <v>BatViewer --nohardcode 07180901_1541/07180901_1541_F0010.mid.gz</v>
      </c>
      <c r="M2022" t="s">
        <v>2246</v>
      </c>
      <c r="N2022" t="s">
        <v>5571</v>
      </c>
      <c r="O2022" t="s">
        <v>4931</v>
      </c>
      <c r="Q2022" t="str">
        <f t="shared" si="106"/>
        <v>condorProc.py --series 07180901_1541 --donoise --dumps a --procenv environments/pymidas_HVHV_NaI_mf.env</v>
      </c>
    </row>
    <row r="2023" spans="1:18">
      <c r="A2023" s="176" t="s">
        <v>7476</v>
      </c>
      <c r="B2023" s="177"/>
      <c r="C2023" s="177"/>
      <c r="D2023" s="177"/>
      <c r="E2023" s="177"/>
      <c r="F2023" s="177">
        <v>10</v>
      </c>
      <c r="G2023" s="192" t="s">
        <v>2248</v>
      </c>
      <c r="H2023" s="209">
        <v>-80</v>
      </c>
      <c r="I2023" s="177"/>
      <c r="J2023" s="177" t="s">
        <v>5577</v>
      </c>
      <c r="K2023" s="178" t="s">
        <v>5583</v>
      </c>
      <c r="M2023" t="s">
        <v>2246</v>
      </c>
      <c r="N2023" t="s">
        <v>5571</v>
      </c>
      <c r="O2023" t="s">
        <v>4931</v>
      </c>
      <c r="Q2023" t="str">
        <f t="shared" si="106"/>
        <v>condorProc.py --series 07180901_1635 --donoise --dumps a --procenv environments/pymidas_HVHV_NaI_mf.env</v>
      </c>
      <c r="R2023" t="str">
        <f>""""&amp;A2023&amp;""""</f>
        <v>"07180901_1635"</v>
      </c>
    </row>
    <row r="2024" spans="1:18">
      <c r="A2024" s="179" t="s">
        <v>7477</v>
      </c>
      <c r="G2024" s="191"/>
      <c r="H2024" s="210"/>
      <c r="J2024" t="s">
        <v>5585</v>
      </c>
      <c r="K2024" s="180" t="s">
        <v>5671</v>
      </c>
      <c r="M2024" t="s">
        <v>2246</v>
      </c>
      <c r="N2024" t="s">
        <v>5571</v>
      </c>
      <c r="O2024" t="s">
        <v>4931</v>
      </c>
      <c r="Q2024" t="str">
        <f t="shared" si="106"/>
        <v>condorProc.py --series 07180901_1645 --donoise --dumps a --procenv environments/pymidas_HVHV_NaI_mf.env</v>
      </c>
      <c r="R2024" t="str">
        <f>R2023&amp;", """&amp;A2024&amp;""""</f>
        <v>"07180901_1635", "07180901_1645"</v>
      </c>
    </row>
    <row r="2025" spans="1:18">
      <c r="A2025" s="179" t="s">
        <v>7478</v>
      </c>
      <c r="G2025" s="191"/>
      <c r="H2025" s="210"/>
      <c r="K2025" s="187" t="s">
        <v>6206</v>
      </c>
      <c r="M2025" t="s">
        <v>2246</v>
      </c>
      <c r="N2025" t="s">
        <v>5571</v>
      </c>
      <c r="O2025" t="s">
        <v>4931</v>
      </c>
      <c r="Q2025" t="str">
        <f t="shared" si="106"/>
        <v>condorProc.py --series 07180901_1655 --donoise --dumps a --procenv environments/pymidas_HVHV_NaI_mf.env</v>
      </c>
      <c r="R2025" t="str">
        <f t="shared" ref="R2025:R2088" si="107">R2024&amp;", """&amp;A2025&amp;""""</f>
        <v>"07180901_1635", "07180901_1645", "07180901_1655"</v>
      </c>
    </row>
    <row r="2026" spans="1:18">
      <c r="A2026" s="179" t="s">
        <v>7479</v>
      </c>
      <c r="G2026" s="191"/>
      <c r="H2026" s="210"/>
      <c r="K2026" s="180"/>
      <c r="M2026" t="s">
        <v>2246</v>
      </c>
      <c r="N2026" t="s">
        <v>5571</v>
      </c>
      <c r="O2026" t="s">
        <v>4931</v>
      </c>
      <c r="Q2026" t="str">
        <f t="shared" si="106"/>
        <v>condorProc.py --series 07180901_1705 --donoise --dumps a --procenv environments/pymidas_HVHV_NaI_mf.env</v>
      </c>
      <c r="R2026" t="str">
        <f t="shared" si="107"/>
        <v>"07180901_1635", "07180901_1645", "07180901_1655", "07180901_1705"</v>
      </c>
    </row>
    <row r="2027" spans="1:18">
      <c r="A2027" s="179" t="s">
        <v>7480</v>
      </c>
      <c r="G2027" s="191"/>
      <c r="H2027" s="210"/>
      <c r="K2027" s="180"/>
      <c r="M2027" t="s">
        <v>2246</v>
      </c>
      <c r="N2027" t="s">
        <v>5571</v>
      </c>
      <c r="O2027" t="s">
        <v>4931</v>
      </c>
      <c r="Q2027" t="str">
        <f t="shared" si="106"/>
        <v>condorProc.py --series 07180901_1715 --donoise --dumps a --procenv environments/pymidas_HVHV_NaI_mf.env</v>
      </c>
      <c r="R2027" t="str">
        <f t="shared" si="107"/>
        <v>"07180901_1635", "07180901_1645", "07180901_1655", "07180901_1705", "07180901_1715"</v>
      </c>
    </row>
    <row r="2028" spans="1:18">
      <c r="A2028" s="179" t="s">
        <v>7481</v>
      </c>
      <c r="G2028" s="191"/>
      <c r="H2028" s="210"/>
      <c r="I2028" t="s">
        <v>75</v>
      </c>
      <c r="K2028" s="180"/>
      <c r="L2028" t="str">
        <f>"BatViewer --nohardcode "&amp;A2028&amp;"/"&amp;A2028&amp;"_F0010.mid.gz"</f>
        <v>BatViewer --nohardcode 07180901_1725/07180901_1725_F0010.mid.gz</v>
      </c>
      <c r="M2028" t="s">
        <v>2246</v>
      </c>
      <c r="N2028" t="s">
        <v>5571</v>
      </c>
      <c r="O2028" t="s">
        <v>4931</v>
      </c>
      <c r="Q2028" t="str">
        <f t="shared" si="106"/>
        <v>condorProc.py --series 07180901_1725 --donoise --dumps a --procenv environments/pymidas_HVHV_NaI_mf.env</v>
      </c>
      <c r="R2028" t="str">
        <f t="shared" si="107"/>
        <v>"07180901_1635", "07180901_1645", "07180901_1655", "07180901_1705", "07180901_1715", "07180901_1725"</v>
      </c>
    </row>
    <row r="2029" spans="1:18">
      <c r="A2029" s="179" t="s">
        <v>7482</v>
      </c>
      <c r="G2029" s="191"/>
      <c r="H2029" s="210"/>
      <c r="K2029" s="180"/>
      <c r="M2029" t="s">
        <v>2246</v>
      </c>
      <c r="N2029" t="s">
        <v>5571</v>
      </c>
      <c r="O2029" t="s">
        <v>4931</v>
      </c>
      <c r="Q2029" t="str">
        <f t="shared" si="106"/>
        <v>condorProc.py --series 07180901_1735 --donoise --dumps a --procenv environments/pymidas_HVHV_NaI_mf.env</v>
      </c>
      <c r="R2029" t="str">
        <f t="shared" si="107"/>
        <v>"07180901_1635", "07180901_1645", "07180901_1655", "07180901_1705", "07180901_1715", "07180901_1725", "07180901_1735"</v>
      </c>
    </row>
    <row r="2030" spans="1:18">
      <c r="A2030" s="179" t="s">
        <v>7483</v>
      </c>
      <c r="G2030" s="191"/>
      <c r="H2030" s="210"/>
      <c r="K2030" s="180"/>
      <c r="M2030" t="s">
        <v>2246</v>
      </c>
      <c r="N2030" t="s">
        <v>5571</v>
      </c>
      <c r="O2030" t="s">
        <v>4931</v>
      </c>
      <c r="Q2030" t="str">
        <f t="shared" si="106"/>
        <v>condorProc.py --series 07180901_1745 --donoise --dumps a --procenv environments/pymidas_HVHV_NaI_mf.env</v>
      </c>
      <c r="R2030" t="str">
        <f t="shared" si="107"/>
        <v>"07180901_1635", "07180901_1645", "07180901_1655", "07180901_1705", "07180901_1715", "07180901_1725", "07180901_1735", "07180901_1745"</v>
      </c>
    </row>
    <row r="2031" spans="1:18">
      <c r="A2031" s="179" t="s">
        <v>7484</v>
      </c>
      <c r="G2031" s="191"/>
      <c r="H2031" s="210"/>
      <c r="K2031" s="180"/>
      <c r="M2031" t="s">
        <v>2246</v>
      </c>
      <c r="N2031" t="s">
        <v>5571</v>
      </c>
      <c r="O2031" t="s">
        <v>4931</v>
      </c>
      <c r="Q2031" t="str">
        <f t="shared" si="106"/>
        <v>condorProc.py --series 07180901_1755 --donoise --dumps a --procenv environments/pymidas_HVHV_NaI_mf.env</v>
      </c>
      <c r="R2031" t="str">
        <f t="shared" si="107"/>
        <v>"07180901_1635", "07180901_1645", "07180901_1655", "07180901_1705", "07180901_1715", "07180901_1725", "07180901_1735", "07180901_1745", "07180901_1755"</v>
      </c>
    </row>
    <row r="2032" spans="1:18">
      <c r="A2032" s="179" t="s">
        <v>7485</v>
      </c>
      <c r="G2032" s="191"/>
      <c r="H2032" s="210"/>
      <c r="K2032" s="180"/>
      <c r="M2032" t="s">
        <v>2246</v>
      </c>
      <c r="N2032" t="s">
        <v>5571</v>
      </c>
      <c r="O2032" t="s">
        <v>4931</v>
      </c>
      <c r="Q2032" t="str">
        <f t="shared" si="106"/>
        <v>condorProc.py --series 07180901_1805 --donoise --dumps a --procenv environments/pymidas_HVHV_NaI_mf.env</v>
      </c>
      <c r="R2032" t="str">
        <f t="shared" si="107"/>
        <v>"07180901_1635", "07180901_1645", "07180901_1655", "07180901_1705", "07180901_1715", "07180901_1725", "07180901_1735", "07180901_1745", "07180901_1755", "07180901_1805"</v>
      </c>
    </row>
    <row r="2033" spans="1:18">
      <c r="A2033" s="179" t="s">
        <v>7486</v>
      </c>
      <c r="G2033" s="191"/>
      <c r="H2033" s="210"/>
      <c r="K2033" s="180"/>
      <c r="M2033" t="s">
        <v>2246</v>
      </c>
      <c r="N2033" t="s">
        <v>5571</v>
      </c>
      <c r="O2033" t="s">
        <v>4931</v>
      </c>
      <c r="Q2033" t="str">
        <f t="shared" si="106"/>
        <v>condorProc.py --series 07180901_1816 --donoise --dumps a --procenv environments/pymidas_HVHV_NaI_mf.env</v>
      </c>
      <c r="R2033" t="str">
        <f t="shared" si="107"/>
        <v>"07180901_1635", "07180901_1645", "07180901_1655", "07180901_1705", "07180901_1715", "07180901_1725", "07180901_1735", "07180901_1745", "07180901_1755", "07180901_1805", "07180901_1816"</v>
      </c>
    </row>
    <row r="2034" spans="1:18">
      <c r="A2034" s="181" t="s">
        <v>7487</v>
      </c>
      <c r="B2034" s="65"/>
      <c r="C2034" s="65"/>
      <c r="D2034" s="65"/>
      <c r="E2034" s="65"/>
      <c r="F2034" s="65"/>
      <c r="G2034" s="193"/>
      <c r="H2034" s="211"/>
      <c r="I2034" s="65" t="s">
        <v>75</v>
      </c>
      <c r="J2034" s="65"/>
      <c r="K2034" s="202"/>
      <c r="L2034" t="str">
        <f>"BatViewer --nohardcode "&amp;A2034&amp;"/"&amp;A2034&amp;"_F0010.mid.gz"</f>
        <v>BatViewer --nohardcode 07180901_1826/07180901_1826_F0010.mid.gz</v>
      </c>
      <c r="M2034" t="s">
        <v>2246</v>
      </c>
      <c r="N2034" t="s">
        <v>5571</v>
      </c>
      <c r="O2034" t="s">
        <v>4931</v>
      </c>
      <c r="Q2034" t="str">
        <f t="shared" si="106"/>
        <v>condorProc.py --series 07180901_1826 --donoise --dumps a --procenv environments/pymidas_HVHV_NaI_mf.env</v>
      </c>
      <c r="R2034" t="str">
        <f t="shared" si="107"/>
        <v>"07180901_1635", "07180901_1645", "07180901_1655", "07180901_1705", "07180901_1715", "07180901_1725", "07180901_1735", "07180901_1745", "07180901_1755", "07180901_1805", "07180901_1816", "07180901_1826"</v>
      </c>
    </row>
    <row r="2035" spans="1:18">
      <c r="A2035" t="s">
        <v>7488</v>
      </c>
      <c r="F2035" s="177">
        <v>10</v>
      </c>
      <c r="G2035" s="192" t="s">
        <v>2248</v>
      </c>
      <c r="H2035" s="209">
        <v>-80</v>
      </c>
      <c r="I2035" s="177"/>
      <c r="J2035" s="177" t="s">
        <v>5577</v>
      </c>
      <c r="K2035" s="178" t="s">
        <v>5583</v>
      </c>
      <c r="M2035" t="s">
        <v>2246</v>
      </c>
      <c r="N2035" t="s">
        <v>5571</v>
      </c>
      <c r="O2035" t="s">
        <v>4931</v>
      </c>
      <c r="Q2035" t="str">
        <f t="shared" si="106"/>
        <v>condorProc.py --series 07180901_1918 --donoise --dumps a --procenv environments/pymidas_HVHV_NaI_mf.env</v>
      </c>
      <c r="R2035" t="str">
        <f t="shared" si="107"/>
        <v>"07180901_1635", "07180901_1645", "07180901_1655", "07180901_1705", "07180901_1715", "07180901_1725", "07180901_1735", "07180901_1745", "07180901_1755", "07180901_1805", "07180901_1816", "07180901_1826", "07180901_1918"</v>
      </c>
    </row>
    <row r="2036" spans="1:18">
      <c r="A2036" t="s">
        <v>7489</v>
      </c>
      <c r="G2036" s="191"/>
      <c r="H2036" s="210"/>
      <c r="J2036" t="s">
        <v>5585</v>
      </c>
      <c r="K2036" s="180" t="s">
        <v>5671</v>
      </c>
      <c r="M2036" t="s">
        <v>2246</v>
      </c>
      <c r="N2036" t="s">
        <v>5571</v>
      </c>
      <c r="O2036" t="s">
        <v>4931</v>
      </c>
      <c r="Q2036" t="str">
        <f t="shared" si="106"/>
        <v>condorProc.py --series 07180901_1928 --donoise --dumps a --procenv environments/pymidas_HVHV_NaI_mf.env</v>
      </c>
      <c r="R2036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</v>
      </c>
    </row>
    <row r="2037" spans="1:18">
      <c r="A2037" t="s">
        <v>7490</v>
      </c>
      <c r="G2037" s="191"/>
      <c r="H2037" s="210"/>
      <c r="K2037" s="187" t="s">
        <v>6206</v>
      </c>
      <c r="M2037" t="s">
        <v>2246</v>
      </c>
      <c r="N2037" t="s">
        <v>5571</v>
      </c>
      <c r="O2037" t="s">
        <v>4931</v>
      </c>
      <c r="Q2037" t="str">
        <f t="shared" si="106"/>
        <v>condorProc.py --series 07180901_1939 --donoise --dumps a --procenv environments/pymidas_HVHV_NaI_mf.env</v>
      </c>
      <c r="R2037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</v>
      </c>
    </row>
    <row r="2038" spans="1:18">
      <c r="A2038" t="s">
        <v>7491</v>
      </c>
      <c r="G2038" s="191"/>
      <c r="H2038" s="210"/>
      <c r="K2038" s="180"/>
      <c r="M2038" t="s">
        <v>2246</v>
      </c>
      <c r="N2038" t="s">
        <v>5571</v>
      </c>
      <c r="O2038" t="s">
        <v>4931</v>
      </c>
      <c r="Q2038" t="str">
        <f t="shared" si="106"/>
        <v>condorProc.py --series 07180901_1949 --donoise --dumps a --procenv environments/pymidas_HVHV_NaI_mf.env</v>
      </c>
      <c r="R2038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</v>
      </c>
    </row>
    <row r="2039" spans="1:18">
      <c r="A2039" t="s">
        <v>7492</v>
      </c>
      <c r="G2039" s="191"/>
      <c r="H2039" s="210"/>
      <c r="K2039" s="180"/>
      <c r="M2039" t="s">
        <v>2246</v>
      </c>
      <c r="N2039" t="s">
        <v>5571</v>
      </c>
      <c r="O2039" t="s">
        <v>4931</v>
      </c>
      <c r="Q2039" t="str">
        <f t="shared" si="106"/>
        <v>condorProc.py --series 07180901_1959 --donoise --dumps a --procenv environments/pymidas_HVHV_NaI_mf.env</v>
      </c>
      <c r="R2039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</v>
      </c>
    </row>
    <row r="2040" spans="1:18">
      <c r="A2040" t="s">
        <v>7493</v>
      </c>
      <c r="G2040" s="191"/>
      <c r="H2040" s="210"/>
      <c r="I2040" t="s">
        <v>75</v>
      </c>
      <c r="K2040" s="180"/>
      <c r="L2040" t="str">
        <f>"BatViewer --nohardcode "&amp;A2040&amp;"/"&amp;A2040&amp;"_F0010.mid.gz"</f>
        <v>BatViewer --nohardcode 07180901_2009/07180901_2009_F0010.mid.gz</v>
      </c>
      <c r="M2040" t="s">
        <v>2246</v>
      </c>
      <c r="N2040" t="s">
        <v>5571</v>
      </c>
      <c r="O2040" t="s">
        <v>4931</v>
      </c>
      <c r="Q2040" t="str">
        <f t="shared" si="106"/>
        <v>condorProc.py --series 07180901_2009 --donoise --dumps a --procenv environments/pymidas_HVHV_NaI_mf.env</v>
      </c>
      <c r="R2040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</v>
      </c>
    </row>
    <row r="2041" spans="1:18">
      <c r="A2041" t="s">
        <v>7494</v>
      </c>
      <c r="G2041" s="191"/>
      <c r="H2041" s="210"/>
      <c r="K2041" s="180"/>
      <c r="M2041" t="s">
        <v>2246</v>
      </c>
      <c r="N2041" t="s">
        <v>5571</v>
      </c>
      <c r="O2041" t="s">
        <v>4931</v>
      </c>
      <c r="Q2041" t="str">
        <f t="shared" si="106"/>
        <v>condorProc.py --series 07180901_2019 --donoise --dumps a --procenv environments/pymidas_HVHV_NaI_mf.env</v>
      </c>
      <c r="R2041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</v>
      </c>
    </row>
    <row r="2042" spans="1:18">
      <c r="A2042" t="s">
        <v>7495</v>
      </c>
      <c r="G2042" s="191"/>
      <c r="H2042" s="210"/>
      <c r="K2042" s="180"/>
      <c r="M2042" t="s">
        <v>2246</v>
      </c>
      <c r="N2042" t="s">
        <v>5571</v>
      </c>
      <c r="O2042" t="s">
        <v>4931</v>
      </c>
      <c r="Q2042" t="str">
        <f t="shared" si="106"/>
        <v>condorProc.py --series 07180901_2029 --donoise --dumps a --procenv environments/pymidas_HVHV_NaI_mf.env</v>
      </c>
      <c r="R2042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</v>
      </c>
    </row>
    <row r="2043" spans="1:18">
      <c r="A2043" t="s">
        <v>7496</v>
      </c>
      <c r="G2043" s="191"/>
      <c r="H2043" s="210"/>
      <c r="K2043" s="180"/>
      <c r="M2043" t="s">
        <v>2246</v>
      </c>
      <c r="N2043" t="s">
        <v>5571</v>
      </c>
      <c r="O2043" t="s">
        <v>4931</v>
      </c>
      <c r="Q2043" t="str">
        <f t="shared" si="106"/>
        <v>condorProc.py --series 07180901_2039 --donoise --dumps a --procenv environments/pymidas_HVHV_NaI_mf.env</v>
      </c>
      <c r="R2043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</v>
      </c>
    </row>
    <row r="2044" spans="1:18">
      <c r="A2044" t="s">
        <v>7497</v>
      </c>
      <c r="G2044" s="191"/>
      <c r="H2044" s="210"/>
      <c r="K2044" s="180"/>
      <c r="M2044" t="s">
        <v>2246</v>
      </c>
      <c r="N2044" t="s">
        <v>5571</v>
      </c>
      <c r="O2044" t="s">
        <v>4931</v>
      </c>
      <c r="Q2044" t="str">
        <f t="shared" si="106"/>
        <v>condorProc.py --series 07180901_2049 --donoise --dumps a --procenv environments/pymidas_HVHV_NaI_mf.env</v>
      </c>
      <c r="R2044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</v>
      </c>
    </row>
    <row r="2045" spans="1:18">
      <c r="A2045" t="s">
        <v>7498</v>
      </c>
      <c r="G2045" s="191"/>
      <c r="H2045" s="210"/>
      <c r="K2045" s="180"/>
      <c r="M2045" t="s">
        <v>2246</v>
      </c>
      <c r="N2045" t="s">
        <v>5571</v>
      </c>
      <c r="O2045" t="s">
        <v>4931</v>
      </c>
      <c r="Q2045" t="str">
        <f t="shared" si="106"/>
        <v>condorProc.py --series 07180901_2059 --donoise --dumps a --procenv environments/pymidas_HVHV_NaI_mf.env</v>
      </c>
      <c r="R2045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</v>
      </c>
    </row>
    <row r="2046" spans="1:18">
      <c r="A2046" t="s">
        <v>7499</v>
      </c>
      <c r="F2046" s="65"/>
      <c r="G2046" s="193"/>
      <c r="H2046" s="211"/>
      <c r="I2046" s="65" t="s">
        <v>75</v>
      </c>
      <c r="J2046" s="65"/>
      <c r="K2046" s="202"/>
      <c r="L2046" t="str">
        <f>"BatViewer --nohardcode "&amp;A2046&amp;"/"&amp;A2046&amp;"_F0010.mid.gz"</f>
        <v>BatViewer --nohardcode 07180901_2109/07180901_2109_F0010.mid.gz</v>
      </c>
      <c r="M2046" t="s">
        <v>2246</v>
      </c>
      <c r="N2046" t="s">
        <v>5571</v>
      </c>
      <c r="O2046" t="s">
        <v>4931</v>
      </c>
      <c r="Q2046" t="str">
        <f t="shared" si="106"/>
        <v>condorProc.py --series 07180901_2109 --donoise --dumps a --procenv environments/pymidas_HVHV_NaI_mf.env</v>
      </c>
      <c r="R2046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</v>
      </c>
    </row>
    <row r="2047" spans="1:18">
      <c r="A2047" t="s">
        <v>7500</v>
      </c>
      <c r="F2047" s="177">
        <v>10</v>
      </c>
      <c r="G2047" s="192" t="s">
        <v>2248</v>
      </c>
      <c r="H2047" s="209">
        <v>-80</v>
      </c>
      <c r="I2047" s="177"/>
      <c r="J2047" s="177" t="s">
        <v>5577</v>
      </c>
      <c r="K2047" s="178" t="s">
        <v>5583</v>
      </c>
      <c r="M2047" t="s">
        <v>2246</v>
      </c>
      <c r="N2047" t="s">
        <v>5571</v>
      </c>
      <c r="O2047" t="s">
        <v>4931</v>
      </c>
      <c r="Q2047" t="str">
        <f t="shared" si="106"/>
        <v>condorProc.py --series 07180901_2202 --donoise --dumps a --procenv environments/pymidas_HVHV_NaI_mf.env</v>
      </c>
      <c r="R2047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</v>
      </c>
    </row>
    <row r="2048" spans="1:18">
      <c r="A2048" t="s">
        <v>7501</v>
      </c>
      <c r="G2048" s="191"/>
      <c r="H2048" s="210"/>
      <c r="J2048" t="s">
        <v>5585</v>
      </c>
      <c r="K2048" s="180" t="s">
        <v>5671</v>
      </c>
      <c r="M2048" t="s">
        <v>2246</v>
      </c>
      <c r="N2048" t="s">
        <v>5571</v>
      </c>
      <c r="O2048" t="s">
        <v>4931</v>
      </c>
      <c r="Q2048" t="str">
        <f t="shared" si="106"/>
        <v>condorProc.py --series 07180901_2212 --donoise --dumps a --procenv environments/pymidas_HVHV_NaI_mf.env</v>
      </c>
      <c r="R2048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</v>
      </c>
    </row>
    <row r="2049" spans="1:18">
      <c r="A2049" t="s">
        <v>7502</v>
      </c>
      <c r="G2049" s="191"/>
      <c r="H2049" s="210"/>
      <c r="K2049" s="187" t="s">
        <v>6206</v>
      </c>
      <c r="M2049" t="s">
        <v>2246</v>
      </c>
      <c r="N2049" t="s">
        <v>5571</v>
      </c>
      <c r="O2049" t="s">
        <v>4931</v>
      </c>
      <c r="Q2049" t="str">
        <f t="shared" si="106"/>
        <v>condorProc.py --series 07180901_2222 --donoise --dumps a --procenv environments/pymidas_HVHV_NaI_mf.env</v>
      </c>
      <c r="R2049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</v>
      </c>
    </row>
    <row r="2050" spans="1:18">
      <c r="A2050" t="s">
        <v>7503</v>
      </c>
      <c r="G2050" s="191"/>
      <c r="H2050" s="210"/>
      <c r="K2050" s="180"/>
      <c r="M2050" t="s">
        <v>2246</v>
      </c>
      <c r="N2050" t="s">
        <v>5571</v>
      </c>
      <c r="O2050" t="s">
        <v>4931</v>
      </c>
      <c r="Q2050" t="str">
        <f t="shared" si="106"/>
        <v>condorProc.py --series 07180901_2233 --donoise --dumps a --procenv environments/pymidas_HVHV_NaI_mf.env</v>
      </c>
      <c r="R2050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</v>
      </c>
    </row>
    <row r="2051" spans="1:18">
      <c r="A2051" t="s">
        <v>7504</v>
      </c>
      <c r="G2051" s="191"/>
      <c r="H2051" s="210"/>
      <c r="K2051" s="180"/>
      <c r="M2051" t="s">
        <v>2246</v>
      </c>
      <c r="N2051" t="s">
        <v>5571</v>
      </c>
      <c r="O2051" t="s">
        <v>4931</v>
      </c>
      <c r="Q2051" t="str">
        <f t="shared" si="106"/>
        <v>condorProc.py --series 07180901_2243 --donoise --dumps a --procenv environments/pymidas_HVHV_NaI_mf.env</v>
      </c>
      <c r="R2051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</v>
      </c>
    </row>
    <row r="2052" spans="1:18">
      <c r="A2052" t="s">
        <v>7505</v>
      </c>
      <c r="G2052" s="191"/>
      <c r="H2052" s="210"/>
      <c r="I2052" t="s">
        <v>75</v>
      </c>
      <c r="K2052" s="180"/>
      <c r="L2052" t="str">
        <f>"BatViewer --nohardcode "&amp;A2052&amp;"/"&amp;A2052&amp;"_F0010.mid.gz"</f>
        <v>BatViewer --nohardcode 07180901_2253/07180901_2253_F0010.mid.gz</v>
      </c>
      <c r="M2052" t="s">
        <v>2246</v>
      </c>
      <c r="N2052" t="s">
        <v>5571</v>
      </c>
      <c r="O2052" t="s">
        <v>4931</v>
      </c>
      <c r="Q2052" t="str">
        <f t="shared" si="106"/>
        <v>condorProc.py --series 07180901_2253 --donoise --dumps a --procenv environments/pymidas_HVHV_NaI_mf.env</v>
      </c>
      <c r="R2052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</v>
      </c>
    </row>
    <row r="2053" spans="1:18">
      <c r="A2053" t="s">
        <v>7506</v>
      </c>
      <c r="G2053" s="191"/>
      <c r="H2053" s="210"/>
      <c r="K2053" s="180"/>
      <c r="M2053" t="s">
        <v>2246</v>
      </c>
      <c r="N2053" t="s">
        <v>5571</v>
      </c>
      <c r="O2053" t="s">
        <v>4931</v>
      </c>
      <c r="Q2053" t="str">
        <f t="shared" si="106"/>
        <v>condorProc.py --series 07180901_2303 --donoise --dumps a --procenv environments/pymidas_HVHV_NaI_mf.env</v>
      </c>
      <c r="R2053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</v>
      </c>
    </row>
    <row r="2054" spans="1:18">
      <c r="A2054" t="s">
        <v>7507</v>
      </c>
      <c r="G2054" s="191"/>
      <c r="H2054" s="210"/>
      <c r="K2054" s="180"/>
      <c r="M2054" t="s">
        <v>2246</v>
      </c>
      <c r="N2054" t="s">
        <v>5571</v>
      </c>
      <c r="O2054" t="s">
        <v>4931</v>
      </c>
      <c r="Q2054" t="str">
        <f t="shared" si="106"/>
        <v>condorProc.py --series 07180901_2313 --donoise --dumps a --procenv environments/pymidas_HVHV_NaI_mf.env</v>
      </c>
      <c r="R2054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</v>
      </c>
    </row>
    <row r="2055" spans="1:18">
      <c r="A2055" t="s">
        <v>7508</v>
      </c>
      <c r="G2055" s="191"/>
      <c r="H2055" s="210"/>
      <c r="K2055" s="180"/>
      <c r="M2055" t="s">
        <v>2246</v>
      </c>
      <c r="N2055" t="s">
        <v>5571</v>
      </c>
      <c r="O2055" t="s">
        <v>4931</v>
      </c>
      <c r="Q2055" t="str">
        <f t="shared" si="106"/>
        <v>condorProc.py --series 07180901_2323 --donoise --dumps a --procenv environments/pymidas_HVHV_NaI_mf.env</v>
      </c>
      <c r="R2055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</v>
      </c>
    </row>
    <row r="2056" spans="1:18">
      <c r="A2056" t="s">
        <v>7509</v>
      </c>
      <c r="G2056" s="191"/>
      <c r="H2056" s="210"/>
      <c r="K2056" s="180"/>
      <c r="M2056" t="s">
        <v>2246</v>
      </c>
      <c r="N2056" t="s">
        <v>5571</v>
      </c>
      <c r="O2056" t="s">
        <v>4931</v>
      </c>
      <c r="Q2056" t="str">
        <f t="shared" si="106"/>
        <v>condorProc.py --series 07180901_2333 --donoise --dumps a --procenv environments/pymidas_HVHV_NaI_mf.env</v>
      </c>
      <c r="R2056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</v>
      </c>
    </row>
    <row r="2057" spans="1:18">
      <c r="A2057" t="s">
        <v>7510</v>
      </c>
      <c r="G2057" s="191"/>
      <c r="H2057" s="210"/>
      <c r="K2057" s="180"/>
      <c r="M2057" t="s">
        <v>2246</v>
      </c>
      <c r="N2057" t="s">
        <v>5571</v>
      </c>
      <c r="O2057" t="s">
        <v>4931</v>
      </c>
      <c r="Q2057" t="str">
        <f t="shared" si="106"/>
        <v>condorProc.py --series 07180901_2343 --donoise --dumps a --procenv environments/pymidas_HVHV_NaI_mf.env</v>
      </c>
      <c r="R2057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</v>
      </c>
    </row>
    <row r="2058" spans="1:18">
      <c r="A2058" t="s">
        <v>7511</v>
      </c>
      <c r="F2058" s="65"/>
      <c r="G2058" s="193"/>
      <c r="H2058" s="211"/>
      <c r="I2058" s="65"/>
      <c r="J2058" s="65"/>
      <c r="K2058" s="202"/>
      <c r="M2058" t="s">
        <v>2246</v>
      </c>
      <c r="N2058" t="s">
        <v>5571</v>
      </c>
      <c r="O2058" t="s">
        <v>4931</v>
      </c>
      <c r="Q2058" t="str">
        <f t="shared" si="106"/>
        <v>condorProc.py --series 07180901_2353 --donoise --dumps a --procenv environments/pymidas_HVHV_NaI_mf.env</v>
      </c>
      <c r="R2058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</v>
      </c>
    </row>
    <row r="2059" spans="1:18">
      <c r="A2059" t="s">
        <v>7512</v>
      </c>
      <c r="F2059" s="177">
        <v>10</v>
      </c>
      <c r="G2059" s="192" t="s">
        <v>2248</v>
      </c>
      <c r="H2059" s="209">
        <v>-80</v>
      </c>
      <c r="I2059" s="177"/>
      <c r="J2059" s="177" t="s">
        <v>5577</v>
      </c>
      <c r="K2059" s="178" t="s">
        <v>5583</v>
      </c>
      <c r="M2059" t="s">
        <v>2246</v>
      </c>
      <c r="N2059" t="s">
        <v>5571</v>
      </c>
      <c r="O2059" t="s">
        <v>4931</v>
      </c>
      <c r="Q2059" t="str">
        <f t="shared" si="106"/>
        <v>condorProc.py --series 07180902_0046 --donoise --dumps a --procenv environments/pymidas_HVHV_NaI_mf.env</v>
      </c>
      <c r="R2059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</v>
      </c>
    </row>
    <row r="2060" spans="1:18">
      <c r="A2060" t="s">
        <v>7513</v>
      </c>
      <c r="G2060" s="191"/>
      <c r="H2060" s="210"/>
      <c r="J2060" t="s">
        <v>5585</v>
      </c>
      <c r="K2060" s="180" t="s">
        <v>5671</v>
      </c>
      <c r="M2060" t="s">
        <v>2246</v>
      </c>
      <c r="N2060" t="s">
        <v>5571</v>
      </c>
      <c r="O2060" t="s">
        <v>4931</v>
      </c>
      <c r="Q2060" t="str">
        <f t="shared" si="106"/>
        <v>condorProc.py --series 07180902_0056 --donoise --dumps a --procenv environments/pymidas_HVHV_NaI_mf.env</v>
      </c>
      <c r="R2060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</v>
      </c>
    </row>
    <row r="2061" spans="1:18">
      <c r="A2061" t="s">
        <v>7514</v>
      </c>
      <c r="G2061" s="191"/>
      <c r="H2061" s="210"/>
      <c r="K2061" s="187" t="s">
        <v>6206</v>
      </c>
      <c r="M2061" t="s">
        <v>2246</v>
      </c>
      <c r="N2061" t="s">
        <v>5571</v>
      </c>
      <c r="O2061" t="s">
        <v>4931</v>
      </c>
      <c r="Q2061" t="str">
        <f t="shared" si="106"/>
        <v>condorProc.py --series 07180902_0106 --donoise --dumps a --procenv environments/pymidas_HVHV_NaI_mf.env</v>
      </c>
      <c r="R2061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</v>
      </c>
    </row>
    <row r="2062" spans="1:18">
      <c r="A2062" t="s">
        <v>7515</v>
      </c>
      <c r="G2062" s="191"/>
      <c r="H2062" s="210"/>
      <c r="K2062" s="180"/>
      <c r="M2062" t="s">
        <v>2246</v>
      </c>
      <c r="N2062" t="s">
        <v>5571</v>
      </c>
      <c r="O2062" t="s">
        <v>4931</v>
      </c>
      <c r="Q2062" t="str">
        <f t="shared" si="106"/>
        <v>condorProc.py --series 07180902_0117 --donoise --dumps a --procenv environments/pymidas_HVHV_NaI_mf.env</v>
      </c>
      <c r="R2062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</v>
      </c>
    </row>
    <row r="2063" spans="1:18">
      <c r="A2063" t="s">
        <v>7516</v>
      </c>
      <c r="G2063" s="191"/>
      <c r="H2063" s="210"/>
      <c r="K2063" s="180"/>
      <c r="M2063" t="s">
        <v>2246</v>
      </c>
      <c r="N2063" t="s">
        <v>5571</v>
      </c>
      <c r="O2063" t="s">
        <v>4931</v>
      </c>
      <c r="Q2063" t="str">
        <f t="shared" si="106"/>
        <v>condorProc.py --series 07180902_0127 --donoise --dumps a --procenv environments/pymidas_HVHV_NaI_mf.env</v>
      </c>
      <c r="R2063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</v>
      </c>
    </row>
    <row r="2064" spans="1:18">
      <c r="A2064" t="s">
        <v>7517</v>
      </c>
      <c r="G2064" s="191"/>
      <c r="H2064" s="210"/>
      <c r="K2064" s="180"/>
      <c r="M2064" t="s">
        <v>2246</v>
      </c>
      <c r="N2064" t="s">
        <v>5571</v>
      </c>
      <c r="O2064" t="s">
        <v>4931</v>
      </c>
      <c r="Q2064" t="str">
        <f t="shared" si="106"/>
        <v>condorProc.py --series 07180902_0137 --donoise --dumps a --procenv environments/pymidas_HVHV_NaI_mf.env</v>
      </c>
      <c r="R2064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</v>
      </c>
    </row>
    <row r="2065" spans="1:18">
      <c r="A2065" t="s">
        <v>7518</v>
      </c>
      <c r="G2065" s="191"/>
      <c r="H2065" s="210"/>
      <c r="K2065" s="180"/>
      <c r="M2065" t="s">
        <v>2246</v>
      </c>
      <c r="N2065" t="s">
        <v>5571</v>
      </c>
      <c r="O2065" t="s">
        <v>4931</v>
      </c>
      <c r="Q2065" t="str">
        <f t="shared" si="106"/>
        <v>condorProc.py --series 07180902_0147 --donoise --dumps a --procenv environments/pymidas_HVHV_NaI_mf.env</v>
      </c>
      <c r="R2065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</v>
      </c>
    </row>
    <row r="2066" spans="1:18">
      <c r="A2066" t="s">
        <v>7519</v>
      </c>
      <c r="G2066" s="191"/>
      <c r="H2066" s="210"/>
      <c r="K2066" s="180"/>
      <c r="M2066" t="s">
        <v>2246</v>
      </c>
      <c r="N2066" t="s">
        <v>5571</v>
      </c>
      <c r="O2066" t="s">
        <v>4931</v>
      </c>
      <c r="Q2066" t="str">
        <f t="shared" si="106"/>
        <v>condorProc.py --series 07180902_0157 --donoise --dumps a --procenv environments/pymidas_HVHV_NaI_mf.env</v>
      </c>
      <c r="R2066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</v>
      </c>
    </row>
    <row r="2067" spans="1:18">
      <c r="A2067" t="s">
        <v>7520</v>
      </c>
      <c r="G2067" s="191"/>
      <c r="H2067" s="210"/>
      <c r="K2067" s="180"/>
      <c r="M2067" t="s">
        <v>2246</v>
      </c>
      <c r="N2067" t="s">
        <v>5571</v>
      </c>
      <c r="O2067" t="s">
        <v>4931</v>
      </c>
      <c r="Q2067" t="str">
        <f t="shared" si="106"/>
        <v>condorProc.py --series 07180902_0207 --donoise --dumps a --procenv environments/pymidas_HVHV_NaI_mf.env</v>
      </c>
      <c r="R2067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</v>
      </c>
    </row>
    <row r="2068" spans="1:18">
      <c r="A2068" t="s">
        <v>7521</v>
      </c>
      <c r="G2068" s="191"/>
      <c r="H2068" s="210"/>
      <c r="K2068" s="180"/>
      <c r="M2068" t="s">
        <v>2246</v>
      </c>
      <c r="N2068" t="s">
        <v>5571</v>
      </c>
      <c r="O2068" t="s">
        <v>4931</v>
      </c>
      <c r="Q2068" t="str">
        <f t="shared" si="106"/>
        <v>condorProc.py --series 07180902_0217 --donoise --dumps a --procenv environments/pymidas_HVHV_NaI_mf.env</v>
      </c>
      <c r="R2068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</v>
      </c>
    </row>
    <row r="2069" spans="1:18">
      <c r="A2069" t="s">
        <v>7522</v>
      </c>
      <c r="G2069" s="191"/>
      <c r="H2069" s="210"/>
      <c r="K2069" s="180"/>
      <c r="M2069" t="s">
        <v>2246</v>
      </c>
      <c r="N2069" t="s">
        <v>5571</v>
      </c>
      <c r="O2069" t="s">
        <v>4931</v>
      </c>
      <c r="Q2069" t="str">
        <f t="shared" si="106"/>
        <v>condorProc.py --series 07180902_0227 --donoise --dumps a --procenv environments/pymidas_HVHV_NaI_mf.env</v>
      </c>
      <c r="R2069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</v>
      </c>
    </row>
    <row r="2070" spans="1:18">
      <c r="A2070" t="s">
        <v>7523</v>
      </c>
      <c r="F2070" s="65"/>
      <c r="G2070" s="193"/>
      <c r="H2070" s="211"/>
      <c r="I2070" s="65"/>
      <c r="J2070" s="65"/>
      <c r="K2070" s="202"/>
      <c r="M2070" t="s">
        <v>2246</v>
      </c>
      <c r="N2070" t="s">
        <v>5571</v>
      </c>
      <c r="O2070" t="s">
        <v>4931</v>
      </c>
      <c r="Q2070" t="str">
        <f t="shared" si="106"/>
        <v>condorProc.py --series 07180902_0237 --donoise --dumps a --procenv environments/pymidas_HVHV_NaI_mf.env</v>
      </c>
      <c r="R2070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</v>
      </c>
    </row>
    <row r="2071" spans="1:18">
      <c r="A2071" t="s">
        <v>7524</v>
      </c>
      <c r="F2071" s="177">
        <v>10</v>
      </c>
      <c r="G2071" s="192" t="s">
        <v>2248</v>
      </c>
      <c r="H2071" s="209">
        <v>-80</v>
      </c>
      <c r="I2071" s="177"/>
      <c r="J2071" s="177" t="s">
        <v>5577</v>
      </c>
      <c r="K2071" s="178" t="s">
        <v>5583</v>
      </c>
      <c r="M2071" t="s">
        <v>2246</v>
      </c>
      <c r="N2071" t="s">
        <v>5571</v>
      </c>
      <c r="O2071" t="s">
        <v>4931</v>
      </c>
      <c r="Q2071" t="str">
        <f t="shared" si="106"/>
        <v>condorProc.py --series 07180902_0330 --donoise --dumps a --procenv environments/pymidas_HVHV_NaI_mf.env</v>
      </c>
      <c r="R2071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</v>
      </c>
    </row>
    <row r="2072" spans="1:18">
      <c r="A2072" t="s">
        <v>7525</v>
      </c>
      <c r="G2072" s="191"/>
      <c r="H2072" s="210"/>
      <c r="J2072" t="s">
        <v>5585</v>
      </c>
      <c r="K2072" s="180" t="s">
        <v>5671</v>
      </c>
      <c r="M2072" t="s">
        <v>2246</v>
      </c>
      <c r="N2072" t="s">
        <v>5571</v>
      </c>
      <c r="O2072" t="s">
        <v>4931</v>
      </c>
      <c r="Q2072" t="str">
        <f t="shared" si="106"/>
        <v>condorProc.py --series 07180902_0340 --donoise --dumps a --procenv environments/pymidas_HVHV_NaI_mf.env</v>
      </c>
      <c r="R2072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</v>
      </c>
    </row>
    <row r="2073" spans="1:18">
      <c r="A2073" t="s">
        <v>7526</v>
      </c>
      <c r="G2073" s="191"/>
      <c r="H2073" s="210"/>
      <c r="K2073" s="187" t="s">
        <v>6206</v>
      </c>
      <c r="M2073" t="s">
        <v>2246</v>
      </c>
      <c r="N2073" t="s">
        <v>5571</v>
      </c>
      <c r="O2073" t="s">
        <v>4931</v>
      </c>
      <c r="Q2073" t="str">
        <f t="shared" si="106"/>
        <v>condorProc.py --series 07180902_0350 --donoise --dumps a --procenv environments/pymidas_HVHV_NaI_mf.env</v>
      </c>
      <c r="R2073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</v>
      </c>
    </row>
    <row r="2074" spans="1:18">
      <c r="A2074" t="s">
        <v>7527</v>
      </c>
      <c r="G2074" s="191"/>
      <c r="H2074" s="210"/>
      <c r="K2074" s="180"/>
      <c r="M2074" t="s">
        <v>2246</v>
      </c>
      <c r="N2074" t="s">
        <v>5571</v>
      </c>
      <c r="O2074" t="s">
        <v>4931</v>
      </c>
      <c r="Q2074" t="str">
        <f t="shared" si="106"/>
        <v>condorProc.py --series 07180902_0400 --donoise --dumps a --procenv environments/pymidas_HVHV_NaI_mf.env</v>
      </c>
      <c r="R2074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</v>
      </c>
    </row>
    <row r="2075" spans="1:18">
      <c r="A2075" t="s">
        <v>7528</v>
      </c>
      <c r="G2075" s="191"/>
      <c r="H2075" s="210"/>
      <c r="K2075" s="180"/>
      <c r="M2075" t="s">
        <v>2246</v>
      </c>
      <c r="N2075" t="s">
        <v>5571</v>
      </c>
      <c r="O2075" t="s">
        <v>4931</v>
      </c>
      <c r="Q2075" t="str">
        <f t="shared" si="106"/>
        <v>condorProc.py --series 07180902_0411 --donoise --dumps a --procenv environments/pymidas_HVHV_NaI_mf.env</v>
      </c>
      <c r="R2075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</v>
      </c>
    </row>
    <row r="2076" spans="1:18">
      <c r="A2076" t="s">
        <v>7529</v>
      </c>
      <c r="G2076" s="191"/>
      <c r="H2076" s="210"/>
      <c r="K2076" s="180"/>
      <c r="M2076" t="s">
        <v>2246</v>
      </c>
      <c r="N2076" t="s">
        <v>5571</v>
      </c>
      <c r="O2076" t="s">
        <v>4931</v>
      </c>
      <c r="Q2076" t="str">
        <f t="shared" si="106"/>
        <v>condorProc.py --series 07180902_0421 --donoise --dumps a --procenv environments/pymidas_HVHV_NaI_mf.env</v>
      </c>
      <c r="R2076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</v>
      </c>
    </row>
    <row r="2077" spans="1:18">
      <c r="A2077" t="s">
        <v>7530</v>
      </c>
      <c r="G2077" s="191"/>
      <c r="H2077" s="210"/>
      <c r="K2077" s="180"/>
      <c r="M2077" t="s">
        <v>2246</v>
      </c>
      <c r="N2077" t="s">
        <v>5571</v>
      </c>
      <c r="O2077" t="s">
        <v>4931</v>
      </c>
      <c r="Q2077" t="str">
        <f t="shared" si="106"/>
        <v>condorProc.py --series 07180902_0431 --donoise --dumps a --procenv environments/pymidas_HVHV_NaI_mf.env</v>
      </c>
      <c r="R2077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</v>
      </c>
    </row>
    <row r="2078" spans="1:18">
      <c r="A2078" t="s">
        <v>7531</v>
      </c>
      <c r="G2078" s="191"/>
      <c r="H2078" s="210"/>
      <c r="K2078" s="180"/>
      <c r="M2078" t="s">
        <v>2246</v>
      </c>
      <c r="N2078" t="s">
        <v>5571</v>
      </c>
      <c r="O2078" t="s">
        <v>4931</v>
      </c>
      <c r="Q2078" t="str">
        <f t="shared" si="106"/>
        <v>condorProc.py --series 07180902_0441 --donoise --dumps a --procenv environments/pymidas_HVHV_NaI_mf.env</v>
      </c>
      <c r="R2078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</v>
      </c>
    </row>
    <row r="2079" spans="1:18">
      <c r="A2079" t="s">
        <v>7532</v>
      </c>
      <c r="G2079" s="191"/>
      <c r="H2079" s="210"/>
      <c r="K2079" s="180"/>
      <c r="M2079" t="s">
        <v>2246</v>
      </c>
      <c r="N2079" t="s">
        <v>5571</v>
      </c>
      <c r="O2079" t="s">
        <v>4931</v>
      </c>
      <c r="Q2079" t="str">
        <f t="shared" si="106"/>
        <v>condorProc.py --series 07180902_0451 --donoise --dumps a --procenv environments/pymidas_HVHV_NaI_mf.env</v>
      </c>
      <c r="R2079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</v>
      </c>
    </row>
    <row r="2080" spans="1:18">
      <c r="A2080" t="s">
        <v>7533</v>
      </c>
      <c r="G2080" s="191"/>
      <c r="H2080" s="210"/>
      <c r="K2080" s="180"/>
      <c r="M2080" t="s">
        <v>2246</v>
      </c>
      <c r="N2080" t="s">
        <v>5571</v>
      </c>
      <c r="O2080" t="s">
        <v>4931</v>
      </c>
      <c r="Q2080" t="str">
        <f t="shared" si="106"/>
        <v>condorProc.py --series 07180902_0501 --donoise --dumps a --procenv environments/pymidas_HVHV_NaI_mf.env</v>
      </c>
      <c r="R2080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</v>
      </c>
    </row>
    <row r="2081" spans="1:18">
      <c r="A2081" t="s">
        <v>7534</v>
      </c>
      <c r="G2081" s="191"/>
      <c r="H2081" s="210"/>
      <c r="K2081" s="180"/>
      <c r="M2081" t="s">
        <v>2246</v>
      </c>
      <c r="N2081" t="s">
        <v>5571</v>
      </c>
      <c r="O2081" t="s">
        <v>4931</v>
      </c>
      <c r="Q2081" t="str">
        <f t="shared" si="106"/>
        <v>condorProc.py --series 07180902_0511 --donoise --dumps a --procenv environments/pymidas_HVHV_NaI_mf.env</v>
      </c>
      <c r="R2081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</v>
      </c>
    </row>
    <row r="2082" spans="1:18">
      <c r="A2082" t="s">
        <v>7535</v>
      </c>
      <c r="F2082" s="65"/>
      <c r="G2082" s="193"/>
      <c r="H2082" s="211"/>
      <c r="I2082" s="65" t="s">
        <v>75</v>
      </c>
      <c r="J2082" s="65"/>
      <c r="K2082" s="202"/>
      <c r="L2082" t="str">
        <f>"BatViewer --nohardcode "&amp;A2082&amp;"/"&amp;A2082&amp;"_F0010.mid.gz"</f>
        <v>BatViewer --nohardcode 07180902_0521/07180902_0521_F0010.mid.gz</v>
      </c>
      <c r="M2082" t="s">
        <v>2246</v>
      </c>
      <c r="N2082" t="s">
        <v>5571</v>
      </c>
      <c r="O2082" t="s">
        <v>4931</v>
      </c>
      <c r="Q2082" t="str">
        <f t="shared" si="106"/>
        <v>condorProc.py --series 07180902_0521 --donoise --dumps a --procenv environments/pymidas_HVHV_NaI_mf.env</v>
      </c>
      <c r="R2082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</v>
      </c>
    </row>
    <row r="2083" spans="1:18">
      <c r="A2083" t="s">
        <v>7536</v>
      </c>
      <c r="F2083" s="177">
        <v>10</v>
      </c>
      <c r="G2083" s="192" t="s">
        <v>2248</v>
      </c>
      <c r="H2083" s="209">
        <v>-80</v>
      </c>
      <c r="I2083" s="177"/>
      <c r="J2083" s="177" t="s">
        <v>5577</v>
      </c>
      <c r="K2083" s="178" t="s">
        <v>5583</v>
      </c>
      <c r="M2083" t="s">
        <v>2246</v>
      </c>
      <c r="N2083" t="s">
        <v>5571</v>
      </c>
      <c r="O2083" t="s">
        <v>4931</v>
      </c>
      <c r="Q2083" t="str">
        <f t="shared" si="106"/>
        <v>condorProc.py --series 07180902_0614 --donoise --dumps a --procenv environments/pymidas_HVHV_NaI_mf.env</v>
      </c>
      <c r="R2083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</v>
      </c>
    </row>
    <row r="2084" spans="1:18">
      <c r="A2084" t="s">
        <v>7537</v>
      </c>
      <c r="G2084" s="191"/>
      <c r="H2084" s="210"/>
      <c r="J2084" t="s">
        <v>5585</v>
      </c>
      <c r="K2084" s="180" t="s">
        <v>5671</v>
      </c>
      <c r="M2084" t="s">
        <v>2246</v>
      </c>
      <c r="N2084" t="s">
        <v>5571</v>
      </c>
      <c r="O2084" t="s">
        <v>4931</v>
      </c>
      <c r="Q2084" t="str">
        <f t="shared" ref="Q2084:Q2147" si="108">"condorProc.py --series "&amp;A2084&amp;" --donoise --dumps a --procenv environments/pymidas_HVHV_NaI_mf.env"</f>
        <v>condorProc.py --series 07180902_0624 --donoise --dumps a --procenv environments/pymidas_HVHV_NaI_mf.env</v>
      </c>
      <c r="R2084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</v>
      </c>
    </row>
    <row r="2085" spans="1:18">
      <c r="A2085" t="s">
        <v>7538</v>
      </c>
      <c r="G2085" s="191"/>
      <c r="H2085" s="210"/>
      <c r="K2085" s="187" t="s">
        <v>6206</v>
      </c>
      <c r="M2085" t="s">
        <v>2246</v>
      </c>
      <c r="N2085" t="s">
        <v>5571</v>
      </c>
      <c r="O2085" t="s">
        <v>4931</v>
      </c>
      <c r="Q2085" t="str">
        <f t="shared" si="108"/>
        <v>condorProc.py --series 07180902_0634 --donoise --dumps a --procenv environments/pymidas_HVHV_NaI_mf.env</v>
      </c>
      <c r="R2085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</v>
      </c>
    </row>
    <row r="2086" spans="1:18">
      <c r="A2086" t="s">
        <v>7539</v>
      </c>
      <c r="G2086" s="191"/>
      <c r="H2086" s="210"/>
      <c r="K2086" s="180"/>
      <c r="M2086" t="s">
        <v>2246</v>
      </c>
      <c r="N2086" t="s">
        <v>5571</v>
      </c>
      <c r="O2086" t="s">
        <v>4931</v>
      </c>
      <c r="Q2086" t="str">
        <f t="shared" si="108"/>
        <v>condorProc.py --series 07180902_0644 --donoise --dumps a --procenv environments/pymidas_HVHV_NaI_mf.env</v>
      </c>
      <c r="R2086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</v>
      </c>
    </row>
    <row r="2087" spans="1:18">
      <c r="A2087" t="s">
        <v>7540</v>
      </c>
      <c r="G2087" s="191"/>
      <c r="H2087" s="210"/>
      <c r="K2087" s="180"/>
      <c r="M2087" t="s">
        <v>2246</v>
      </c>
      <c r="N2087" t="s">
        <v>5571</v>
      </c>
      <c r="O2087" t="s">
        <v>4931</v>
      </c>
      <c r="Q2087" t="str">
        <f t="shared" si="108"/>
        <v>condorProc.py --series 07180902_0654 --donoise --dumps a --procenv environments/pymidas_HVHV_NaI_mf.env</v>
      </c>
      <c r="R2087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</v>
      </c>
    </row>
    <row r="2088" spans="1:18">
      <c r="A2088" t="s">
        <v>7541</v>
      </c>
      <c r="G2088" s="191"/>
      <c r="H2088" s="210"/>
      <c r="K2088" s="180"/>
      <c r="M2088" t="s">
        <v>2246</v>
      </c>
      <c r="N2088" t="s">
        <v>5571</v>
      </c>
      <c r="O2088" t="s">
        <v>4931</v>
      </c>
      <c r="Q2088" t="str">
        <f t="shared" si="108"/>
        <v>condorProc.py --series 07180902_0704 --donoise --dumps a --procenv environments/pymidas_HVHV_NaI_mf.env</v>
      </c>
      <c r="R2088" t="str">
        <f t="shared" si="107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</v>
      </c>
    </row>
    <row r="2089" spans="1:18">
      <c r="A2089" t="s">
        <v>7542</v>
      </c>
      <c r="G2089" s="191"/>
      <c r="H2089" s="210"/>
      <c r="K2089" s="180"/>
      <c r="M2089" t="s">
        <v>2246</v>
      </c>
      <c r="N2089" t="s">
        <v>5571</v>
      </c>
      <c r="O2089" t="s">
        <v>4931</v>
      </c>
      <c r="Q2089" t="str">
        <f t="shared" si="108"/>
        <v>condorProc.py --series 07180902_0715 --donoise --dumps a --procenv environments/pymidas_HVHV_NaI_mf.env</v>
      </c>
      <c r="R2089" t="str">
        <f t="shared" ref="R2089:R2106" si="109">R2088&amp;", """&amp;A2089&amp;""""</f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</v>
      </c>
    </row>
    <row r="2090" spans="1:18">
      <c r="A2090" t="s">
        <v>7543</v>
      </c>
      <c r="G2090" s="191"/>
      <c r="H2090" s="210"/>
      <c r="K2090" s="180"/>
      <c r="M2090" t="s">
        <v>2246</v>
      </c>
      <c r="N2090" t="s">
        <v>5571</v>
      </c>
      <c r="O2090" t="s">
        <v>4931</v>
      </c>
      <c r="Q2090" t="str">
        <f t="shared" si="108"/>
        <v>condorProc.py --series 07180902_0725 --donoise --dumps a --procenv environments/pymidas_HVHV_NaI_mf.env</v>
      </c>
      <c r="R2090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</v>
      </c>
    </row>
    <row r="2091" spans="1:18">
      <c r="A2091" t="s">
        <v>7544</v>
      </c>
      <c r="G2091" s="191"/>
      <c r="H2091" s="210"/>
      <c r="K2091" s="180"/>
      <c r="M2091" t="s">
        <v>2246</v>
      </c>
      <c r="N2091" t="s">
        <v>5571</v>
      </c>
      <c r="O2091" t="s">
        <v>4931</v>
      </c>
      <c r="Q2091" t="str">
        <f t="shared" si="108"/>
        <v>condorProc.py --series 07180902_0735 --donoise --dumps a --procenv environments/pymidas_HVHV_NaI_mf.env</v>
      </c>
      <c r="R2091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</v>
      </c>
    </row>
    <row r="2092" spans="1:18">
      <c r="A2092" t="s">
        <v>7545</v>
      </c>
      <c r="G2092" s="191"/>
      <c r="H2092" s="210"/>
      <c r="K2092" s="180"/>
      <c r="M2092" t="s">
        <v>2246</v>
      </c>
      <c r="N2092" t="s">
        <v>5571</v>
      </c>
      <c r="O2092" t="s">
        <v>4931</v>
      </c>
      <c r="Q2092" t="str">
        <f t="shared" si="108"/>
        <v>condorProc.py --series 07180902_0745 --donoise --dumps a --procenv environments/pymidas_HVHV_NaI_mf.env</v>
      </c>
      <c r="R2092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</v>
      </c>
    </row>
    <row r="2093" spans="1:18">
      <c r="A2093" t="s">
        <v>7546</v>
      </c>
      <c r="G2093" s="191"/>
      <c r="H2093" s="210"/>
      <c r="K2093" s="180"/>
      <c r="M2093" t="s">
        <v>2246</v>
      </c>
      <c r="N2093" t="s">
        <v>5571</v>
      </c>
      <c r="O2093" t="s">
        <v>4931</v>
      </c>
      <c r="Q2093" t="str">
        <f t="shared" si="108"/>
        <v>condorProc.py --series 07180902_0755 --donoise --dumps a --procenv environments/pymidas_HVHV_NaI_mf.env</v>
      </c>
      <c r="R2093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</v>
      </c>
    </row>
    <row r="2094" spans="1:18">
      <c r="A2094" t="s">
        <v>7547</v>
      </c>
      <c r="F2094" s="65"/>
      <c r="G2094" s="193"/>
      <c r="H2094" s="211"/>
      <c r="I2094" s="65" t="s">
        <v>75</v>
      </c>
      <c r="J2094" s="65"/>
      <c r="K2094" s="202"/>
      <c r="L2094" t="str">
        <f>"BatViewer --nohardcode "&amp;A2094&amp;"/"&amp;A2094&amp;"_F0010.mid.gz"</f>
        <v>BatViewer --nohardcode 07180902_0805/07180902_0805_F0010.mid.gz</v>
      </c>
      <c r="M2094" t="s">
        <v>2246</v>
      </c>
      <c r="N2094" t="s">
        <v>5571</v>
      </c>
      <c r="O2094" t="s">
        <v>4931</v>
      </c>
      <c r="Q2094" t="str">
        <f t="shared" si="108"/>
        <v>condorProc.py --series 07180902_0805 --donoise --dumps a --procenv environments/pymidas_HVHV_NaI_mf.env</v>
      </c>
      <c r="R2094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</v>
      </c>
    </row>
    <row r="2095" spans="1:18">
      <c r="A2095" t="s">
        <v>7548</v>
      </c>
      <c r="F2095" s="177">
        <v>10</v>
      </c>
      <c r="G2095" s="192" t="s">
        <v>2248</v>
      </c>
      <c r="H2095" s="209">
        <v>-80</v>
      </c>
      <c r="I2095" s="177"/>
      <c r="J2095" s="177" t="s">
        <v>5577</v>
      </c>
      <c r="K2095" s="178" t="s">
        <v>5583</v>
      </c>
      <c r="M2095" t="s">
        <v>2246</v>
      </c>
      <c r="N2095" t="s">
        <v>5571</v>
      </c>
      <c r="O2095" t="s">
        <v>4931</v>
      </c>
      <c r="Q2095" t="str">
        <f t="shared" si="108"/>
        <v>condorProc.py --series 07180902_0858 --donoise --dumps a --procenv environments/pymidas_HVHV_NaI_mf.env</v>
      </c>
      <c r="R2095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</v>
      </c>
    </row>
    <row r="2096" spans="1:18">
      <c r="A2096" t="s">
        <v>7549</v>
      </c>
      <c r="G2096" s="191"/>
      <c r="H2096" s="210"/>
      <c r="J2096" t="s">
        <v>5585</v>
      </c>
      <c r="K2096" s="180" t="s">
        <v>5671</v>
      </c>
      <c r="M2096" t="s">
        <v>2246</v>
      </c>
      <c r="N2096" t="s">
        <v>5571</v>
      </c>
      <c r="O2096" t="s">
        <v>4931</v>
      </c>
      <c r="Q2096" t="str">
        <f t="shared" si="108"/>
        <v>condorProc.py --series 07180902_0908 --donoise --dumps a --procenv environments/pymidas_HVHV_NaI_mf.env</v>
      </c>
      <c r="R2096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</v>
      </c>
    </row>
    <row r="2097" spans="1:18">
      <c r="A2097" t="s">
        <v>7550</v>
      </c>
      <c r="G2097" s="191"/>
      <c r="H2097" s="210"/>
      <c r="K2097" s="187" t="s">
        <v>6206</v>
      </c>
      <c r="M2097" t="s">
        <v>2246</v>
      </c>
      <c r="N2097" t="s">
        <v>5571</v>
      </c>
      <c r="O2097" t="s">
        <v>4931</v>
      </c>
      <c r="Q2097" t="str">
        <f t="shared" si="108"/>
        <v>condorProc.py --series 07180902_0918 --donoise --dumps a --procenv environments/pymidas_HVHV_NaI_mf.env</v>
      </c>
      <c r="R2097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</v>
      </c>
    </row>
    <row r="2098" spans="1:18">
      <c r="A2098" t="s">
        <v>7551</v>
      </c>
      <c r="G2098" s="191"/>
      <c r="H2098" s="210"/>
      <c r="K2098" s="180"/>
      <c r="M2098" t="s">
        <v>2246</v>
      </c>
      <c r="N2098" t="s">
        <v>5571</v>
      </c>
      <c r="O2098" t="s">
        <v>4931</v>
      </c>
      <c r="Q2098" t="str">
        <f t="shared" si="108"/>
        <v>condorProc.py --series 07180902_0928 --donoise --dumps a --procenv environments/pymidas_HVHV_NaI_mf.env</v>
      </c>
      <c r="R2098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"07180902_0918", "07180902_0928"</v>
      </c>
    </row>
    <row r="2099" spans="1:18">
      <c r="A2099" t="s">
        <v>7552</v>
      </c>
      <c r="G2099" s="191"/>
      <c r="H2099" s="210"/>
      <c r="K2099" s="180"/>
      <c r="M2099" t="s">
        <v>2246</v>
      </c>
      <c r="N2099" t="s">
        <v>5571</v>
      </c>
      <c r="O2099" t="s">
        <v>4931</v>
      </c>
      <c r="Q2099" t="str">
        <f t="shared" si="108"/>
        <v>condorProc.py --series 07180902_0938 --donoise --dumps a --procenv environments/pymidas_HVHV_NaI_mf.env</v>
      </c>
      <c r="R2099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"07180902_0918", "07180902_0928", "07180902_0938"</v>
      </c>
    </row>
    <row r="2100" spans="1:18">
      <c r="A2100" t="s">
        <v>7553</v>
      </c>
      <c r="G2100" s="191"/>
      <c r="H2100" s="210"/>
      <c r="K2100" s="180"/>
      <c r="M2100" t="s">
        <v>2246</v>
      </c>
      <c r="N2100" t="s">
        <v>5571</v>
      </c>
      <c r="O2100" t="s">
        <v>4931</v>
      </c>
      <c r="Q2100" t="str">
        <f t="shared" si="108"/>
        <v>condorProc.py --series 07180902_0948 --donoise --dumps a --procenv environments/pymidas_HVHV_NaI_mf.env</v>
      </c>
      <c r="R2100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"07180902_0918", "07180902_0928", "07180902_0938", "07180902_0948"</v>
      </c>
    </row>
    <row r="2101" spans="1:18">
      <c r="A2101" t="s">
        <v>7554</v>
      </c>
      <c r="G2101" s="191"/>
      <c r="H2101" s="210"/>
      <c r="K2101" s="180"/>
      <c r="M2101" t="s">
        <v>2246</v>
      </c>
      <c r="N2101" t="s">
        <v>5571</v>
      </c>
      <c r="O2101" t="s">
        <v>4931</v>
      </c>
      <c r="Q2101" t="str">
        <f t="shared" si="108"/>
        <v>condorProc.py --series 07180902_0959 --donoise --dumps a --procenv environments/pymidas_HVHV_NaI_mf.env</v>
      </c>
      <c r="R2101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"07180902_0918", "07180902_0928", "07180902_0938", "07180902_0948", "07180902_0959"</v>
      </c>
    </row>
    <row r="2102" spans="1:18">
      <c r="A2102" t="s">
        <v>7555</v>
      </c>
      <c r="G2102" s="191"/>
      <c r="H2102" s="210"/>
      <c r="K2102" s="180"/>
      <c r="M2102" t="s">
        <v>2246</v>
      </c>
      <c r="N2102" t="s">
        <v>5571</v>
      </c>
      <c r="O2102" t="s">
        <v>4931</v>
      </c>
      <c r="Q2102" t="str">
        <f t="shared" si="108"/>
        <v>condorProc.py --series 07180902_1009 --donoise --dumps a --procenv environments/pymidas_HVHV_NaI_mf.env</v>
      </c>
      <c r="R2102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"07180902_0918", "07180902_0928", "07180902_0938", "07180902_0948", "07180902_0959", "07180902_1009"</v>
      </c>
    </row>
    <row r="2103" spans="1:18">
      <c r="A2103" t="s">
        <v>7556</v>
      </c>
      <c r="G2103" s="191"/>
      <c r="H2103" s="210"/>
      <c r="K2103" s="180"/>
      <c r="M2103" t="s">
        <v>2246</v>
      </c>
      <c r="N2103" t="s">
        <v>5571</v>
      </c>
      <c r="O2103" t="s">
        <v>4931</v>
      </c>
      <c r="Q2103" t="str">
        <f t="shared" si="108"/>
        <v>condorProc.py --series 07180902_1019 --donoise --dumps a --procenv environments/pymidas_HVHV_NaI_mf.env</v>
      </c>
      <c r="R2103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"07180902_0918", "07180902_0928", "07180902_0938", "07180902_0948", "07180902_0959", "07180902_1009", "07180902_1019"</v>
      </c>
    </row>
    <row r="2104" spans="1:18">
      <c r="A2104" t="s">
        <v>7557</v>
      </c>
      <c r="G2104" s="191"/>
      <c r="H2104" s="210"/>
      <c r="K2104" s="180"/>
      <c r="M2104" t="s">
        <v>2246</v>
      </c>
      <c r="N2104" t="s">
        <v>5571</v>
      </c>
      <c r="O2104" t="s">
        <v>4931</v>
      </c>
      <c r="Q2104" t="str">
        <f t="shared" si="108"/>
        <v>condorProc.py --series 07180902_1029 --donoise --dumps a --procenv environments/pymidas_HVHV_NaI_mf.env</v>
      </c>
      <c r="R2104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"07180902_0918", "07180902_0928", "07180902_0938", "07180902_0948", "07180902_0959", "07180902_1009", "07180902_1019", "07180902_1029"</v>
      </c>
    </row>
    <row r="2105" spans="1:18">
      <c r="A2105" t="s">
        <v>7558</v>
      </c>
      <c r="G2105" s="191"/>
      <c r="H2105" s="210"/>
      <c r="K2105" s="180"/>
      <c r="M2105" t="s">
        <v>2246</v>
      </c>
      <c r="N2105" t="s">
        <v>5571</v>
      </c>
      <c r="O2105" t="s">
        <v>4931</v>
      </c>
      <c r="Q2105" t="str">
        <f t="shared" si="108"/>
        <v>condorProc.py --series 07180902_1039 --donoise --dumps a --procenv environments/pymidas_HVHV_NaI_mf.env</v>
      </c>
      <c r="R2105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"07180902_0918", "07180902_0928", "07180902_0938", "07180902_0948", "07180902_0959", "07180902_1009", "07180902_1019", "07180902_1029", "07180902_1039"</v>
      </c>
    </row>
    <row r="2106" spans="1:18">
      <c r="A2106" t="s">
        <v>7559</v>
      </c>
      <c r="F2106" s="65"/>
      <c r="G2106" s="193"/>
      <c r="H2106" s="211"/>
      <c r="I2106" s="65" t="s">
        <v>75</v>
      </c>
      <c r="J2106" s="65"/>
      <c r="K2106" s="202"/>
      <c r="L2106" t="str">
        <f>"BatViewer --nohardcode "&amp;A2106&amp;"/"&amp;A2106&amp;"_F0010.mid.gz"</f>
        <v>BatViewer --nohardcode 07180902_1049/07180902_1049_F0010.mid.gz</v>
      </c>
      <c r="M2106" t="s">
        <v>2246</v>
      </c>
      <c r="N2106" t="s">
        <v>5571</v>
      </c>
      <c r="O2106" t="s">
        <v>4931</v>
      </c>
      <c r="Q2106" t="str">
        <f t="shared" si="108"/>
        <v>condorProc.py --series 07180902_1049 --donoise --dumps a --procenv environments/pymidas_HVHV_NaI_mf.env</v>
      </c>
      <c r="R2106" t="str">
        <f t="shared" si="109"/>
        <v>"07180901_1635", "07180901_1645", "07180901_1655", "07180901_1705", "07180901_1715", "07180901_1725", "07180901_1735", "07180901_1745", "07180901_1755", "07180901_1805", "07180901_1816", "07180901_1826", "07180901_1918", "07180901_1928", "07180901_1939", "07180901_1949", "07180901_1959", "07180901_2009", "07180901_2019", "07180901_2029", "07180901_2039", "07180901_2049", "07180901_2059", "07180901_2109", "07180901_2202", "07180901_2212", "07180901_2222", "07180901_2233", "07180901_2243", "07180901_2253", "07180901_2303", "07180901_2313", "07180901_2323", "07180901_2333", "07180901_2343", "07180901_2353", "07180902_0046", "07180902_0056", "07180902_0106", "07180902_0117", "07180902_0127", "07180902_0137", "07180902_0147", "07180902_0157", "07180902_0207", "07180902_0217", "07180902_0227", "07180902_0237", "07180902_0330", "07180902_0340", "07180902_0350", "07180902_0400", "07180902_0411", "07180902_0421", "07180902_0431", "07180902_0441", "07180902_0451", "07180902_0501", "07180902_0511", "07180902_0521", "07180902_0614", "07180902_0624", "07180902_0634", "07180902_0644", "07180902_0654", "07180902_0704", "07180902_0715", "07180902_0725", "07180902_0735", "07180902_0745", "07180902_0755", "07180902_0805", "07180902_0858", "07180902_0908", "07180902_0918", "07180902_0928", "07180902_0938", "07180902_0948", "07180902_0959", "07180902_1009", "07180902_1019", "07180902_1029", "07180902_1039", "07180902_1049"</v>
      </c>
    </row>
    <row r="2107" spans="1:18">
      <c r="A2107" t="s">
        <v>7560</v>
      </c>
      <c r="F2107" s="177">
        <v>10</v>
      </c>
      <c r="G2107" s="192" t="s">
        <v>2248</v>
      </c>
      <c r="H2107" s="209">
        <v>-80</v>
      </c>
      <c r="I2107" s="177"/>
      <c r="J2107" s="177" t="s">
        <v>5577</v>
      </c>
      <c r="K2107" s="178" t="s">
        <v>5583</v>
      </c>
      <c r="M2107" t="s">
        <v>7561</v>
      </c>
      <c r="N2107" t="s">
        <v>5571</v>
      </c>
      <c r="O2107" t="s">
        <v>4931</v>
      </c>
      <c r="Q2107" t="str">
        <f t="shared" si="108"/>
        <v>condorProc.py --series 07180902_1142 --donoise --dumps a --procenv environments/pymidas_HVHV_NaI_mf.env</v>
      </c>
    </row>
    <row r="2108" spans="1:18">
      <c r="A2108" t="s">
        <v>7562</v>
      </c>
      <c r="G2108" s="191"/>
      <c r="H2108" s="210"/>
      <c r="J2108" t="s">
        <v>5585</v>
      </c>
      <c r="K2108" s="180" t="s">
        <v>5671</v>
      </c>
      <c r="M2108" t="s">
        <v>7561</v>
      </c>
      <c r="N2108" t="s">
        <v>5571</v>
      </c>
      <c r="O2108" t="s">
        <v>4931</v>
      </c>
      <c r="Q2108" t="str">
        <f t="shared" si="108"/>
        <v>condorProc.py --series 07180902_1152 --donoise --dumps a --procenv environments/pymidas_HVHV_NaI_mf.env</v>
      </c>
    </row>
    <row r="2109" spans="1:18">
      <c r="A2109" t="s">
        <v>7563</v>
      </c>
      <c r="G2109" s="191"/>
      <c r="H2109" s="210"/>
      <c r="K2109" s="187" t="s">
        <v>6206</v>
      </c>
      <c r="M2109" t="s">
        <v>7561</v>
      </c>
      <c r="N2109" t="s">
        <v>5571</v>
      </c>
      <c r="O2109" t="s">
        <v>4931</v>
      </c>
      <c r="Q2109" t="str">
        <f t="shared" si="108"/>
        <v>condorProc.py --series 07180902_1202 --donoise --dumps a --procenv environments/pymidas_HVHV_NaI_mf.env</v>
      </c>
    </row>
    <row r="2110" spans="1:18">
      <c r="A2110" t="s">
        <v>7564</v>
      </c>
      <c r="G2110" s="191"/>
      <c r="H2110" s="210"/>
      <c r="K2110" s="180"/>
      <c r="M2110" t="s">
        <v>7561</v>
      </c>
      <c r="N2110" t="s">
        <v>5571</v>
      </c>
      <c r="O2110" t="s">
        <v>4931</v>
      </c>
      <c r="Q2110" t="str">
        <f t="shared" si="108"/>
        <v>condorProc.py --series 07180902_1212 --donoise --dumps a --procenv environments/pymidas_HVHV_NaI_mf.env</v>
      </c>
    </row>
    <row r="2111" spans="1:18">
      <c r="A2111" t="s">
        <v>7565</v>
      </c>
      <c r="G2111" s="191"/>
      <c r="H2111" s="210"/>
      <c r="K2111" s="180"/>
      <c r="M2111" t="s">
        <v>7561</v>
      </c>
      <c r="N2111" t="s">
        <v>5571</v>
      </c>
      <c r="O2111" t="s">
        <v>4931</v>
      </c>
      <c r="Q2111" t="str">
        <f t="shared" si="108"/>
        <v>condorProc.py --series 07180902_1222 --donoise --dumps a --procenv environments/pymidas_HVHV_NaI_mf.env</v>
      </c>
    </row>
    <row r="2112" spans="1:18">
      <c r="A2112" t="s">
        <v>7566</v>
      </c>
      <c r="G2112" s="191"/>
      <c r="H2112" s="210"/>
      <c r="K2112" s="180"/>
      <c r="M2112" t="s">
        <v>7561</v>
      </c>
      <c r="N2112" t="s">
        <v>5571</v>
      </c>
      <c r="O2112" t="s">
        <v>4931</v>
      </c>
      <c r="Q2112" t="str">
        <f t="shared" si="108"/>
        <v>condorProc.py --series 07180902_1232 --donoise --dumps a --procenv environments/pymidas_HVHV_NaI_mf.env</v>
      </c>
    </row>
    <row r="2113" spans="1:18">
      <c r="A2113" t="s">
        <v>7567</v>
      </c>
      <c r="G2113" s="191"/>
      <c r="H2113" s="210"/>
      <c r="K2113" s="180"/>
      <c r="M2113" t="s">
        <v>7561</v>
      </c>
      <c r="N2113" t="s">
        <v>5571</v>
      </c>
      <c r="O2113" t="s">
        <v>4931</v>
      </c>
      <c r="Q2113" t="str">
        <f t="shared" si="108"/>
        <v>condorProc.py --series 07180902_1242 --donoise --dumps a --procenv environments/pymidas_HVHV_NaI_mf.env</v>
      </c>
    </row>
    <row r="2114" spans="1:18">
      <c r="A2114" t="s">
        <v>7568</v>
      </c>
      <c r="G2114" s="191"/>
      <c r="H2114" s="210"/>
      <c r="K2114" s="180"/>
      <c r="L2114">
        <f>95+L1938</f>
        <v>107</v>
      </c>
      <c r="M2114" t="s">
        <v>7561</v>
      </c>
      <c r="N2114" t="s">
        <v>5571</v>
      </c>
      <c r="O2114" t="s">
        <v>4931</v>
      </c>
      <c r="Q2114" t="str">
        <f t="shared" si="108"/>
        <v>condorProc.py --series 07180902_1253 --donoise --dumps a --procenv environments/pymidas_HVHV_NaI_mf.env</v>
      </c>
    </row>
    <row r="2115" spans="1:18">
      <c r="A2115" t="s">
        <v>7569</v>
      </c>
      <c r="G2115" s="191"/>
      <c r="H2115" s="210"/>
      <c r="I2115" t="s">
        <v>1273</v>
      </c>
      <c r="K2115" s="180" t="s">
        <v>7570</v>
      </c>
      <c r="L2115" t="s">
        <v>7390</v>
      </c>
      <c r="M2115" t="s">
        <v>7561</v>
      </c>
      <c r="N2115" t="s">
        <v>5571</v>
      </c>
      <c r="Q2115" t="str">
        <f t="shared" si="108"/>
        <v>condorProc.py --series 07180902_1303 --donoise --dumps a --procenv environments/pymidas_HVHV_NaI_mf.env</v>
      </c>
    </row>
    <row r="2116" spans="1:18">
      <c r="A2116" t="s">
        <v>7571</v>
      </c>
      <c r="G2116" s="191"/>
      <c r="H2116" s="210"/>
      <c r="I2116" t="s">
        <v>1273</v>
      </c>
      <c r="K2116" s="180" t="s">
        <v>7570</v>
      </c>
      <c r="M2116" t="s">
        <v>7561</v>
      </c>
      <c r="N2116" t="s">
        <v>5571</v>
      </c>
      <c r="Q2116" t="str">
        <f t="shared" si="108"/>
        <v>condorProc.py --series 07180902_1313 --donoise --dumps a --procenv environments/pymidas_HVHV_NaI_mf.env</v>
      </c>
    </row>
    <row r="2117" spans="1:18">
      <c r="A2117" t="s">
        <v>7572</v>
      </c>
      <c r="G2117" s="191"/>
      <c r="H2117" s="210"/>
      <c r="I2117" t="s">
        <v>1273</v>
      </c>
      <c r="K2117" s="180" t="s">
        <v>7570</v>
      </c>
      <c r="M2117" t="s">
        <v>7561</v>
      </c>
      <c r="N2117" t="s">
        <v>5571</v>
      </c>
      <c r="Q2117" t="str">
        <f t="shared" si="108"/>
        <v>condorProc.py --series 07180902_1323 --donoise --dumps a --procenv environments/pymidas_HVHV_NaI_mf.env</v>
      </c>
    </row>
    <row r="2118" spans="1:18">
      <c r="A2118" t="s">
        <v>7573</v>
      </c>
      <c r="F2118" s="65"/>
      <c r="G2118" s="193"/>
      <c r="H2118" s="211"/>
      <c r="I2118" s="65" t="s">
        <v>1273</v>
      </c>
      <c r="J2118" s="65"/>
      <c r="K2118" s="180" t="s">
        <v>7570</v>
      </c>
      <c r="M2118" t="s">
        <v>7561</v>
      </c>
      <c r="N2118" t="s">
        <v>5571</v>
      </c>
      <c r="Q2118" t="str">
        <f t="shared" si="108"/>
        <v>condorProc.py --series 07180902_1333 --donoise --dumps a --procenv environments/pymidas_HVHV_NaI_mf.env</v>
      </c>
    </row>
    <row r="2119" spans="1:18">
      <c r="A2119" t="s">
        <v>7574</v>
      </c>
      <c r="F2119" s="177">
        <v>10</v>
      </c>
      <c r="G2119" s="192" t="s">
        <v>2248</v>
      </c>
      <c r="H2119" s="209">
        <v>-80</v>
      </c>
      <c r="I2119" s="177"/>
      <c r="J2119" s="177" t="s">
        <v>5577</v>
      </c>
      <c r="K2119" s="178" t="s">
        <v>5583</v>
      </c>
      <c r="M2119" t="s">
        <v>2246</v>
      </c>
      <c r="N2119" t="s">
        <v>5571</v>
      </c>
      <c r="O2119" t="s">
        <v>4931</v>
      </c>
      <c r="Q2119" t="str">
        <f t="shared" si="108"/>
        <v>condorProc.py --series 07180902_1415 --donoise --dumps a --procenv environments/pymidas_HVHV_NaI_mf.env</v>
      </c>
      <c r="R2119" t="str">
        <f>""""&amp;A2119&amp;""""</f>
        <v>"07180902_1415"</v>
      </c>
    </row>
    <row r="2120" spans="1:18">
      <c r="A2120" t="s">
        <v>7575</v>
      </c>
      <c r="G2120" s="191"/>
      <c r="H2120" s="210"/>
      <c r="J2120" t="s">
        <v>5585</v>
      </c>
      <c r="K2120" s="180" t="s">
        <v>5671</v>
      </c>
      <c r="M2120" t="s">
        <v>2246</v>
      </c>
      <c r="N2120" t="s">
        <v>5571</v>
      </c>
      <c r="O2120" t="s">
        <v>4931</v>
      </c>
      <c r="Q2120" t="str">
        <f t="shared" si="108"/>
        <v>condorProc.py --series 07180902_1426 --donoise --dumps a --procenv environments/pymidas_HVHV_NaI_mf.env</v>
      </c>
      <c r="R2120" t="str">
        <f>R2119&amp;", """&amp;A2120&amp;""""</f>
        <v>"07180902_1415", "07180902_1426"</v>
      </c>
    </row>
    <row r="2121" spans="1:18">
      <c r="A2121" t="s">
        <v>7576</v>
      </c>
      <c r="G2121" s="191"/>
      <c r="H2121" s="210"/>
      <c r="K2121" s="187" t="s">
        <v>6206</v>
      </c>
      <c r="M2121" t="s">
        <v>2246</v>
      </c>
      <c r="N2121" t="s">
        <v>5571</v>
      </c>
      <c r="O2121" t="s">
        <v>4931</v>
      </c>
      <c r="Q2121" t="str">
        <f t="shared" si="108"/>
        <v>condorProc.py --series 07180902_1436 --donoise --dumps a --procenv environments/pymidas_HVHV_NaI_mf.env</v>
      </c>
      <c r="R2121" t="str">
        <f t="shared" ref="R2121:R2184" si="110">R2120&amp;", """&amp;A2121&amp;""""</f>
        <v>"07180902_1415", "07180902_1426", "07180902_1436"</v>
      </c>
    </row>
    <row r="2122" spans="1:18">
      <c r="A2122" t="s">
        <v>7577</v>
      </c>
      <c r="G2122" s="191"/>
      <c r="H2122" s="210"/>
      <c r="K2122" s="180"/>
      <c r="M2122" t="s">
        <v>2246</v>
      </c>
      <c r="N2122" t="s">
        <v>5571</v>
      </c>
      <c r="O2122" t="s">
        <v>4931</v>
      </c>
      <c r="Q2122" t="str">
        <f t="shared" si="108"/>
        <v>condorProc.py --series 07180902_1446 --donoise --dumps a --procenv environments/pymidas_HVHV_NaI_mf.env</v>
      </c>
      <c r="R2122" t="str">
        <f t="shared" si="110"/>
        <v>"07180902_1415", "07180902_1426", "07180902_1436", "07180902_1446"</v>
      </c>
    </row>
    <row r="2123" spans="1:18">
      <c r="A2123" t="s">
        <v>7578</v>
      </c>
      <c r="G2123" s="191"/>
      <c r="H2123" s="210"/>
      <c r="K2123" s="180"/>
      <c r="M2123" t="s">
        <v>2246</v>
      </c>
      <c r="N2123" t="s">
        <v>5571</v>
      </c>
      <c r="O2123" t="s">
        <v>4931</v>
      </c>
      <c r="Q2123" t="str">
        <f t="shared" si="108"/>
        <v>condorProc.py --series 07180902_1456 --donoise --dumps a --procenv environments/pymidas_HVHV_NaI_mf.env</v>
      </c>
      <c r="R2123" t="str">
        <f t="shared" si="110"/>
        <v>"07180902_1415", "07180902_1426", "07180902_1436", "07180902_1446", "07180902_1456"</v>
      </c>
    </row>
    <row r="2124" spans="1:18">
      <c r="A2124" t="s">
        <v>7579</v>
      </c>
      <c r="G2124" s="191"/>
      <c r="H2124" s="210"/>
      <c r="K2124" s="180"/>
      <c r="M2124" t="s">
        <v>2246</v>
      </c>
      <c r="N2124" t="s">
        <v>5571</v>
      </c>
      <c r="O2124" t="s">
        <v>4931</v>
      </c>
      <c r="Q2124" t="str">
        <f t="shared" si="108"/>
        <v>condorProc.py --series 07180902_1506 --donoise --dumps a --procenv environments/pymidas_HVHV_NaI_mf.env</v>
      </c>
      <c r="R2124" t="str">
        <f t="shared" si="110"/>
        <v>"07180902_1415", "07180902_1426", "07180902_1436", "07180902_1446", "07180902_1456", "07180902_1506"</v>
      </c>
    </row>
    <row r="2125" spans="1:18">
      <c r="A2125" t="s">
        <v>7580</v>
      </c>
      <c r="G2125" s="191"/>
      <c r="H2125" s="210"/>
      <c r="K2125" s="180"/>
      <c r="M2125" t="s">
        <v>2246</v>
      </c>
      <c r="N2125" t="s">
        <v>5571</v>
      </c>
      <c r="O2125" t="s">
        <v>4931</v>
      </c>
      <c r="Q2125" t="str">
        <f t="shared" si="108"/>
        <v>condorProc.py --series 07180902_1516 --donoise --dumps a --procenv environments/pymidas_HVHV_NaI_mf.env</v>
      </c>
      <c r="R2125" t="str">
        <f t="shared" si="110"/>
        <v>"07180902_1415", "07180902_1426", "07180902_1436", "07180902_1446", "07180902_1456", "07180902_1506", "07180902_1516"</v>
      </c>
    </row>
    <row r="2126" spans="1:18">
      <c r="A2126" t="s">
        <v>7581</v>
      </c>
      <c r="G2126" s="191"/>
      <c r="H2126" s="210"/>
      <c r="K2126" s="180"/>
      <c r="M2126" t="s">
        <v>2246</v>
      </c>
      <c r="N2126" t="s">
        <v>5571</v>
      </c>
      <c r="O2126" t="s">
        <v>4931</v>
      </c>
      <c r="Q2126" t="str">
        <f t="shared" si="108"/>
        <v>condorProc.py --series 07180902_1526 --donoise --dumps a --procenv environments/pymidas_HVHV_NaI_mf.env</v>
      </c>
      <c r="R2126" t="str">
        <f t="shared" si="110"/>
        <v>"07180902_1415", "07180902_1426", "07180902_1436", "07180902_1446", "07180902_1456", "07180902_1506", "07180902_1516", "07180902_1526"</v>
      </c>
    </row>
    <row r="2127" spans="1:18">
      <c r="A2127" t="s">
        <v>7582</v>
      </c>
      <c r="G2127" s="191"/>
      <c r="H2127" s="210"/>
      <c r="K2127" s="180"/>
      <c r="M2127" t="s">
        <v>2246</v>
      </c>
      <c r="N2127" t="s">
        <v>5571</v>
      </c>
      <c r="O2127" t="s">
        <v>4931</v>
      </c>
      <c r="Q2127" t="str">
        <f t="shared" si="108"/>
        <v>condorProc.py --series 07180902_1536 --donoise --dumps a --procenv environments/pymidas_HVHV_NaI_mf.env</v>
      </c>
      <c r="R2127" t="str">
        <f t="shared" si="110"/>
        <v>"07180902_1415", "07180902_1426", "07180902_1436", "07180902_1446", "07180902_1456", "07180902_1506", "07180902_1516", "07180902_1526", "07180902_1536"</v>
      </c>
    </row>
    <row r="2128" spans="1:18">
      <c r="A2128" t="s">
        <v>7583</v>
      </c>
      <c r="G2128" s="191"/>
      <c r="H2128" s="210"/>
      <c r="K2128" s="180"/>
      <c r="M2128" t="s">
        <v>2246</v>
      </c>
      <c r="N2128" t="s">
        <v>5571</v>
      </c>
      <c r="O2128" t="s">
        <v>4931</v>
      </c>
      <c r="Q2128" t="str">
        <f t="shared" si="108"/>
        <v>condorProc.py --series 07180902_1546 --donoise --dumps a --procenv environments/pymidas_HVHV_NaI_mf.env</v>
      </c>
      <c r="R2128" t="str">
        <f t="shared" si="110"/>
        <v>"07180902_1415", "07180902_1426", "07180902_1436", "07180902_1446", "07180902_1456", "07180902_1506", "07180902_1516", "07180902_1526", "07180902_1536", "07180902_1546"</v>
      </c>
    </row>
    <row r="2129" spans="1:18">
      <c r="A2129" t="s">
        <v>7584</v>
      </c>
      <c r="G2129" s="191"/>
      <c r="H2129" s="210"/>
      <c r="K2129" s="180"/>
      <c r="M2129" t="s">
        <v>2246</v>
      </c>
      <c r="N2129" t="s">
        <v>5571</v>
      </c>
      <c r="O2129" t="s">
        <v>4931</v>
      </c>
      <c r="Q2129" t="str">
        <f t="shared" si="108"/>
        <v>condorProc.py --series 07180902_1556 --donoise --dumps a --procenv environments/pymidas_HVHV_NaI_mf.env</v>
      </c>
      <c r="R2129" t="str">
        <f t="shared" si="110"/>
        <v>"07180902_1415", "07180902_1426", "07180902_1436", "07180902_1446", "07180902_1456", "07180902_1506", "07180902_1516", "07180902_1526", "07180902_1536", "07180902_1546", "07180902_1556"</v>
      </c>
    </row>
    <row r="2130" spans="1:18">
      <c r="A2130" t="s">
        <v>7585</v>
      </c>
      <c r="F2130" s="65"/>
      <c r="G2130" s="193"/>
      <c r="H2130" s="211"/>
      <c r="I2130" s="65" t="s">
        <v>75</v>
      </c>
      <c r="J2130" s="65"/>
      <c r="K2130" s="202"/>
      <c r="L2130" t="str">
        <f>"BatViewer --nohardcode "&amp;A2130&amp;"/"&amp;A2130&amp;"_F0010.mid.gz"</f>
        <v>BatViewer --nohardcode 07180902_1607/07180902_1607_F0010.mid.gz</v>
      </c>
      <c r="M2130" t="s">
        <v>2246</v>
      </c>
      <c r="N2130" t="s">
        <v>5571</v>
      </c>
      <c r="O2130" t="s">
        <v>4931</v>
      </c>
      <c r="Q2130" t="str">
        <f t="shared" si="108"/>
        <v>condorProc.py --series 07180902_1607 --donoise --dumps a --procenv environments/pymidas_HVHV_NaI_mf.env</v>
      </c>
      <c r="R2130" t="str">
        <f t="shared" si="110"/>
        <v>"07180902_1415", "07180902_1426", "07180902_1436", "07180902_1446", "07180902_1456", "07180902_1506", "07180902_1516", "07180902_1526", "07180902_1536", "07180902_1546", "07180902_1556", "07180902_1607"</v>
      </c>
    </row>
    <row r="2131" spans="1:18">
      <c r="A2131" t="s">
        <v>7586</v>
      </c>
      <c r="F2131" s="177">
        <v>10</v>
      </c>
      <c r="G2131" s="192" t="s">
        <v>2248</v>
      </c>
      <c r="H2131" s="209">
        <v>-80</v>
      </c>
      <c r="I2131" s="177"/>
      <c r="J2131" s="177" t="s">
        <v>5577</v>
      </c>
      <c r="K2131" s="178" t="s">
        <v>5583</v>
      </c>
      <c r="M2131" t="s">
        <v>2246</v>
      </c>
      <c r="N2131" t="s">
        <v>5571</v>
      </c>
      <c r="O2131" t="s">
        <v>4931</v>
      </c>
      <c r="Q2131" t="str">
        <f t="shared" si="108"/>
        <v>condorProc.py --series 07180902_1659 --donoise --dumps a --procenv environments/pymidas_HVHV_NaI_mf.env</v>
      </c>
      <c r="R2131" t="str">
        <f t="shared" si="110"/>
        <v>"07180902_1415", "07180902_1426", "07180902_1436", "07180902_1446", "07180902_1456", "07180902_1506", "07180902_1516", "07180902_1526", "07180902_1536", "07180902_1546", "07180902_1556", "07180902_1607", "07180902_1659"</v>
      </c>
    </row>
    <row r="2132" spans="1:18">
      <c r="A2132" t="s">
        <v>7587</v>
      </c>
      <c r="G2132" s="191"/>
      <c r="H2132" s="210"/>
      <c r="J2132" t="s">
        <v>5585</v>
      </c>
      <c r="K2132" s="180" t="s">
        <v>5671</v>
      </c>
      <c r="M2132" t="s">
        <v>2246</v>
      </c>
      <c r="N2132" t="s">
        <v>5571</v>
      </c>
      <c r="O2132" t="s">
        <v>4931</v>
      </c>
      <c r="Q2132" t="str">
        <f t="shared" si="108"/>
        <v>condorProc.py --series 07180902_1710 --donoise --dumps a --procenv environments/pymidas_HVHV_NaI_mf.env</v>
      </c>
      <c r="R2132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</v>
      </c>
    </row>
    <row r="2133" spans="1:18">
      <c r="A2133" t="s">
        <v>7588</v>
      </c>
      <c r="G2133" s="191"/>
      <c r="H2133" s="210"/>
      <c r="K2133" s="187" t="s">
        <v>6206</v>
      </c>
      <c r="M2133" t="s">
        <v>2246</v>
      </c>
      <c r="N2133" t="s">
        <v>5571</v>
      </c>
      <c r="O2133" t="s">
        <v>4931</v>
      </c>
      <c r="Q2133" t="str">
        <f t="shared" si="108"/>
        <v>condorProc.py --series 07180902_1720 --donoise --dumps a --procenv environments/pymidas_HVHV_NaI_mf.env</v>
      </c>
      <c r="R2133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</v>
      </c>
    </row>
    <row r="2134" spans="1:18">
      <c r="A2134" t="s">
        <v>7589</v>
      </c>
      <c r="G2134" s="191"/>
      <c r="H2134" s="210"/>
      <c r="K2134" s="180"/>
      <c r="M2134" t="s">
        <v>2246</v>
      </c>
      <c r="N2134" t="s">
        <v>5571</v>
      </c>
      <c r="O2134" t="s">
        <v>4931</v>
      </c>
      <c r="Q2134" t="str">
        <f t="shared" si="108"/>
        <v>condorProc.py --series 07180902_1730 --donoise --dumps a --procenv environments/pymidas_HVHV_NaI_mf.env</v>
      </c>
      <c r="R2134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</v>
      </c>
    </row>
    <row r="2135" spans="1:18">
      <c r="A2135" t="s">
        <v>7590</v>
      </c>
      <c r="G2135" s="191"/>
      <c r="H2135" s="210"/>
      <c r="K2135" s="180"/>
      <c r="M2135" t="s">
        <v>2246</v>
      </c>
      <c r="N2135" t="s">
        <v>5571</v>
      </c>
      <c r="O2135" t="s">
        <v>4931</v>
      </c>
      <c r="Q2135" t="str">
        <f t="shared" si="108"/>
        <v>condorProc.py --series 07180902_1740 --donoise --dumps a --procenv environments/pymidas_HVHV_NaI_mf.env</v>
      </c>
      <c r="R2135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</v>
      </c>
    </row>
    <row r="2136" spans="1:18">
      <c r="A2136" t="s">
        <v>7591</v>
      </c>
      <c r="G2136" s="191"/>
      <c r="H2136" s="210"/>
      <c r="K2136" s="180"/>
      <c r="M2136" t="s">
        <v>2246</v>
      </c>
      <c r="N2136" t="s">
        <v>5571</v>
      </c>
      <c r="O2136" t="s">
        <v>4931</v>
      </c>
      <c r="Q2136" t="str">
        <f t="shared" si="108"/>
        <v>condorProc.py --series 07180902_1750 --donoise --dumps a --procenv environments/pymidas_HVHV_NaI_mf.env</v>
      </c>
      <c r="R2136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</v>
      </c>
    </row>
    <row r="2137" spans="1:18">
      <c r="A2137" t="s">
        <v>7592</v>
      </c>
      <c r="G2137" s="191"/>
      <c r="H2137" s="210"/>
      <c r="K2137" s="180"/>
      <c r="M2137" t="s">
        <v>2246</v>
      </c>
      <c r="N2137" t="s">
        <v>5571</v>
      </c>
      <c r="O2137" t="s">
        <v>4931</v>
      </c>
      <c r="Q2137" t="str">
        <f t="shared" si="108"/>
        <v>condorProc.py --series 07180902_1800 --donoise --dumps a --procenv environments/pymidas_HVHV_NaI_mf.env</v>
      </c>
      <c r="R2137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</v>
      </c>
    </row>
    <row r="2138" spans="1:18">
      <c r="A2138" t="s">
        <v>7593</v>
      </c>
      <c r="G2138" s="191"/>
      <c r="H2138" s="210"/>
      <c r="K2138" s="180"/>
      <c r="M2138" t="s">
        <v>2246</v>
      </c>
      <c r="N2138" t="s">
        <v>5571</v>
      </c>
      <c r="O2138" t="s">
        <v>4931</v>
      </c>
      <c r="Q2138" t="str">
        <f t="shared" si="108"/>
        <v>condorProc.py --series 07180902_1810 --donoise --dumps a --procenv environments/pymidas_HVHV_NaI_mf.env</v>
      </c>
      <c r="R2138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</v>
      </c>
    </row>
    <row r="2139" spans="1:18">
      <c r="A2139" t="s">
        <v>7594</v>
      </c>
      <c r="G2139" s="191"/>
      <c r="H2139" s="210"/>
      <c r="K2139" s="180"/>
      <c r="M2139" t="s">
        <v>2246</v>
      </c>
      <c r="N2139" t="s">
        <v>5571</v>
      </c>
      <c r="O2139" t="s">
        <v>4931</v>
      </c>
      <c r="Q2139" t="str">
        <f t="shared" si="108"/>
        <v>condorProc.py --series 07180902_1820 --donoise --dumps a --procenv environments/pymidas_HVHV_NaI_mf.env</v>
      </c>
      <c r="R2139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</v>
      </c>
    </row>
    <row r="2140" spans="1:18">
      <c r="A2140" t="s">
        <v>7595</v>
      </c>
      <c r="G2140" s="191"/>
      <c r="H2140" s="210"/>
      <c r="K2140" s="180"/>
      <c r="M2140" t="s">
        <v>2246</v>
      </c>
      <c r="N2140" t="s">
        <v>5571</v>
      </c>
      <c r="O2140" t="s">
        <v>4931</v>
      </c>
      <c r="Q2140" t="str">
        <f t="shared" si="108"/>
        <v>condorProc.py --series 07180902_1830 --donoise --dumps a --procenv environments/pymidas_HVHV_NaI_mf.env</v>
      </c>
      <c r="R2140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</v>
      </c>
    </row>
    <row r="2141" spans="1:18">
      <c r="A2141" t="s">
        <v>7596</v>
      </c>
      <c r="G2141" s="191"/>
      <c r="H2141" s="210"/>
      <c r="K2141" s="180"/>
      <c r="M2141" t="s">
        <v>2246</v>
      </c>
      <c r="N2141" t="s">
        <v>5571</v>
      </c>
      <c r="O2141" t="s">
        <v>4931</v>
      </c>
      <c r="Q2141" t="str">
        <f t="shared" si="108"/>
        <v>condorProc.py --series 07180902_1841 --donoise --dumps a --procenv environments/pymidas_HVHV_NaI_mf.env</v>
      </c>
      <c r="R2141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</v>
      </c>
    </row>
    <row r="2142" spans="1:18">
      <c r="A2142" t="s">
        <v>7597</v>
      </c>
      <c r="F2142" s="65"/>
      <c r="G2142" s="193"/>
      <c r="H2142" s="211"/>
      <c r="I2142" s="65" t="s">
        <v>75</v>
      </c>
      <c r="J2142" s="65"/>
      <c r="K2142" s="202"/>
      <c r="L2142" t="str">
        <f>"BatViewer --nohardcode "&amp;A2142&amp;"/"&amp;A2142&amp;"_F0010.mid.gz"</f>
        <v>BatViewer --nohardcode 07180902_1851/07180902_1851_F0010.mid.gz</v>
      </c>
      <c r="M2142" t="s">
        <v>2246</v>
      </c>
      <c r="N2142" t="s">
        <v>5571</v>
      </c>
      <c r="O2142" t="s">
        <v>4931</v>
      </c>
      <c r="Q2142" t="str">
        <f t="shared" si="108"/>
        <v>condorProc.py --series 07180902_1851 --donoise --dumps a --procenv environments/pymidas_HVHV_NaI_mf.env</v>
      </c>
      <c r="R2142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</v>
      </c>
    </row>
    <row r="2143" spans="1:18">
      <c r="A2143" t="s">
        <v>7598</v>
      </c>
      <c r="F2143" s="177">
        <v>10</v>
      </c>
      <c r="G2143" s="192" t="s">
        <v>2248</v>
      </c>
      <c r="H2143" s="209">
        <v>-80</v>
      </c>
      <c r="I2143" s="177"/>
      <c r="J2143" s="177" t="s">
        <v>5577</v>
      </c>
      <c r="K2143" s="178" t="s">
        <v>5583</v>
      </c>
      <c r="M2143" t="s">
        <v>2246</v>
      </c>
      <c r="N2143" t="s">
        <v>5571</v>
      </c>
      <c r="O2143" t="s">
        <v>4931</v>
      </c>
      <c r="Q2143" t="str">
        <f t="shared" si="108"/>
        <v>condorProc.py --series 07180902_1944 --donoise --dumps a --procenv environments/pymidas_HVHV_NaI_mf.env</v>
      </c>
      <c r="R2143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</v>
      </c>
    </row>
    <row r="2144" spans="1:18">
      <c r="A2144" t="s">
        <v>7599</v>
      </c>
      <c r="G2144" s="191"/>
      <c r="H2144" s="210"/>
      <c r="J2144" t="s">
        <v>5585</v>
      </c>
      <c r="K2144" s="180" t="s">
        <v>5671</v>
      </c>
      <c r="M2144" t="s">
        <v>2246</v>
      </c>
      <c r="N2144" t="s">
        <v>5571</v>
      </c>
      <c r="O2144" t="s">
        <v>4931</v>
      </c>
      <c r="Q2144" t="str">
        <f t="shared" si="108"/>
        <v>condorProc.py --series 07180902_1954 --donoise --dumps a --procenv environments/pymidas_HVHV_NaI_mf.env</v>
      </c>
      <c r="R2144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</v>
      </c>
    </row>
    <row r="2145" spans="1:18">
      <c r="A2145" t="s">
        <v>7600</v>
      </c>
      <c r="G2145" s="191"/>
      <c r="H2145" s="210"/>
      <c r="K2145" s="187" t="s">
        <v>6206</v>
      </c>
      <c r="M2145" t="s">
        <v>2246</v>
      </c>
      <c r="N2145" t="s">
        <v>5571</v>
      </c>
      <c r="O2145" t="s">
        <v>4931</v>
      </c>
      <c r="Q2145" t="str">
        <f t="shared" si="108"/>
        <v>condorProc.py --series 07180902_2005 --donoise --dumps a --procenv environments/pymidas_HVHV_NaI_mf.env</v>
      </c>
      <c r="R2145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</v>
      </c>
    </row>
    <row r="2146" spans="1:18">
      <c r="A2146" t="s">
        <v>7601</v>
      </c>
      <c r="G2146" s="191"/>
      <c r="H2146" s="210"/>
      <c r="K2146" s="180"/>
      <c r="M2146" t="s">
        <v>2246</v>
      </c>
      <c r="N2146" t="s">
        <v>5571</v>
      </c>
      <c r="O2146" t="s">
        <v>4931</v>
      </c>
      <c r="Q2146" t="str">
        <f t="shared" si="108"/>
        <v>condorProc.py --series 07180902_2015 --donoise --dumps a --procenv environments/pymidas_HVHV_NaI_mf.env</v>
      </c>
      <c r="R2146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</v>
      </c>
    </row>
    <row r="2147" spans="1:18">
      <c r="A2147" t="s">
        <v>7602</v>
      </c>
      <c r="G2147" s="191"/>
      <c r="H2147" s="210"/>
      <c r="K2147" s="180"/>
      <c r="M2147" t="s">
        <v>2246</v>
      </c>
      <c r="N2147" t="s">
        <v>5571</v>
      </c>
      <c r="O2147" t="s">
        <v>4931</v>
      </c>
      <c r="Q2147" t="str">
        <f t="shared" si="108"/>
        <v>condorProc.py --series 07180902_2025 --donoise --dumps a --procenv environments/pymidas_HVHV_NaI_mf.env</v>
      </c>
      <c r="R2147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</v>
      </c>
    </row>
    <row r="2148" spans="1:18">
      <c r="A2148" t="s">
        <v>7603</v>
      </c>
      <c r="G2148" s="191"/>
      <c r="H2148" s="210"/>
      <c r="I2148" t="s">
        <v>75</v>
      </c>
      <c r="K2148" s="180"/>
      <c r="L2148" t="str">
        <f>"BatViewer --nohardcode "&amp;A2148&amp;"/"&amp;A2148&amp;"_F0010.mid.gz"</f>
        <v>BatViewer --nohardcode 07180902_2035/07180902_2035_F0010.mid.gz</v>
      </c>
      <c r="M2148" t="s">
        <v>2246</v>
      </c>
      <c r="N2148" t="s">
        <v>5571</v>
      </c>
      <c r="O2148" t="s">
        <v>4931</v>
      </c>
      <c r="Q2148" t="str">
        <f t="shared" ref="Q2148:Q2211" si="111">"condorProc.py --series "&amp;A2148&amp;" --donoise --dumps a --procenv environments/pymidas_HVHV_NaI_mf.env"</f>
        <v>condorProc.py --series 07180902_2035 --donoise --dumps a --procenv environments/pymidas_HVHV_NaI_mf.env</v>
      </c>
      <c r="R2148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</v>
      </c>
    </row>
    <row r="2149" spans="1:18">
      <c r="A2149" t="s">
        <v>7604</v>
      </c>
      <c r="G2149" s="191"/>
      <c r="H2149" s="210"/>
      <c r="K2149" s="180"/>
      <c r="M2149" t="s">
        <v>2246</v>
      </c>
      <c r="N2149" t="s">
        <v>5571</v>
      </c>
      <c r="O2149" t="s">
        <v>4931</v>
      </c>
      <c r="Q2149" t="str">
        <f t="shared" si="111"/>
        <v>condorProc.py --series 07180902_2045 --donoise --dumps a --procenv environments/pymidas_HVHV_NaI_mf.env</v>
      </c>
      <c r="R2149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</v>
      </c>
    </row>
    <row r="2150" spans="1:18">
      <c r="A2150" t="s">
        <v>7605</v>
      </c>
      <c r="G2150" s="191"/>
      <c r="H2150" s="210"/>
      <c r="K2150" s="180"/>
      <c r="M2150" t="s">
        <v>2246</v>
      </c>
      <c r="N2150" t="s">
        <v>5571</v>
      </c>
      <c r="O2150" t="s">
        <v>4931</v>
      </c>
      <c r="Q2150" t="str">
        <f t="shared" si="111"/>
        <v>condorProc.py --series 07180902_2055 --donoise --dumps a --procenv environments/pymidas_HVHV_NaI_mf.env</v>
      </c>
      <c r="R2150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</v>
      </c>
    </row>
    <row r="2151" spans="1:18">
      <c r="A2151" t="s">
        <v>7606</v>
      </c>
      <c r="G2151" s="191"/>
      <c r="H2151" s="210"/>
      <c r="K2151" s="180"/>
      <c r="M2151" t="s">
        <v>2246</v>
      </c>
      <c r="N2151" t="s">
        <v>5571</v>
      </c>
      <c r="O2151" t="s">
        <v>4931</v>
      </c>
      <c r="Q2151" t="str">
        <f t="shared" si="111"/>
        <v>condorProc.py --series 07180902_2105 --donoise --dumps a --procenv environments/pymidas_HVHV_NaI_mf.env</v>
      </c>
      <c r="R2151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</v>
      </c>
    </row>
    <row r="2152" spans="1:18">
      <c r="A2152" t="s">
        <v>7607</v>
      </c>
      <c r="G2152" s="191"/>
      <c r="H2152" s="210"/>
      <c r="K2152" s="180"/>
      <c r="M2152" t="s">
        <v>2246</v>
      </c>
      <c r="N2152" t="s">
        <v>5571</v>
      </c>
      <c r="O2152" t="s">
        <v>4931</v>
      </c>
      <c r="Q2152" t="str">
        <f t="shared" si="111"/>
        <v>condorProc.py --series 07180902_2115 --donoise --dumps a --procenv environments/pymidas_HVHV_NaI_mf.env</v>
      </c>
      <c r="R2152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</v>
      </c>
    </row>
    <row r="2153" spans="1:18">
      <c r="A2153" t="s">
        <v>7608</v>
      </c>
      <c r="G2153" s="191"/>
      <c r="H2153" s="210"/>
      <c r="K2153" s="180"/>
      <c r="M2153" t="s">
        <v>2246</v>
      </c>
      <c r="N2153" t="s">
        <v>5571</v>
      </c>
      <c r="O2153" t="s">
        <v>4931</v>
      </c>
      <c r="Q2153" t="str">
        <f t="shared" si="111"/>
        <v>condorProc.py --series 07180902_2126 --donoise --dumps a --procenv environments/pymidas_HVHV_NaI_mf.env</v>
      </c>
      <c r="R2153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</v>
      </c>
    </row>
    <row r="2154" spans="1:18">
      <c r="A2154" t="s">
        <v>7609</v>
      </c>
      <c r="F2154" s="65"/>
      <c r="G2154" s="193"/>
      <c r="H2154" s="211"/>
      <c r="I2154" s="65" t="s">
        <v>75</v>
      </c>
      <c r="J2154" s="65"/>
      <c r="K2154" s="202"/>
      <c r="L2154" t="str">
        <f>"BatViewer --nohardcode "&amp;A2154&amp;"/"&amp;A2154&amp;"_F0010.mid.gz"</f>
        <v>BatViewer --nohardcode 07180902_2136/07180902_2136_F0010.mid.gz</v>
      </c>
      <c r="M2154" t="s">
        <v>2246</v>
      </c>
      <c r="N2154" t="s">
        <v>5571</v>
      </c>
      <c r="O2154" t="s">
        <v>4931</v>
      </c>
      <c r="Q2154" t="str">
        <f t="shared" si="111"/>
        <v>condorProc.py --series 07180902_2136 --donoise --dumps a --procenv environments/pymidas_HVHV_NaI_mf.env</v>
      </c>
      <c r="R2154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</v>
      </c>
    </row>
    <row r="2155" spans="1:18">
      <c r="A2155" t="s">
        <v>7610</v>
      </c>
      <c r="F2155" s="177">
        <v>10</v>
      </c>
      <c r="G2155" s="192" t="s">
        <v>2248</v>
      </c>
      <c r="H2155" s="209">
        <v>-80</v>
      </c>
      <c r="I2155" s="177"/>
      <c r="J2155" s="177" t="s">
        <v>5577</v>
      </c>
      <c r="K2155" s="178" t="s">
        <v>5583</v>
      </c>
      <c r="M2155" t="s">
        <v>2246</v>
      </c>
      <c r="N2155" t="s">
        <v>5571</v>
      </c>
      <c r="O2155" t="s">
        <v>4931</v>
      </c>
      <c r="Q2155" t="str">
        <f t="shared" si="111"/>
        <v>condorProc.py --series 07180902_2229 --donoise --dumps a --procenv environments/pymidas_HVHV_NaI_mf.env</v>
      </c>
      <c r="R2155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</v>
      </c>
    </row>
    <row r="2156" spans="1:18">
      <c r="A2156" t="s">
        <v>7611</v>
      </c>
      <c r="G2156" s="191"/>
      <c r="H2156" s="210"/>
      <c r="J2156" t="s">
        <v>5585</v>
      </c>
      <c r="K2156" s="180" t="s">
        <v>5671</v>
      </c>
      <c r="M2156" t="s">
        <v>2246</v>
      </c>
      <c r="N2156" t="s">
        <v>5571</v>
      </c>
      <c r="O2156" t="s">
        <v>4931</v>
      </c>
      <c r="Q2156" t="str">
        <f t="shared" si="111"/>
        <v>condorProc.py --series 07180902_2239 --donoise --dumps a --procenv environments/pymidas_HVHV_NaI_mf.env</v>
      </c>
      <c r="R2156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</v>
      </c>
    </row>
    <row r="2157" spans="1:18">
      <c r="A2157" t="s">
        <v>7612</v>
      </c>
      <c r="G2157" s="191"/>
      <c r="H2157" s="210"/>
      <c r="K2157" s="187" t="s">
        <v>6206</v>
      </c>
      <c r="M2157" t="s">
        <v>2246</v>
      </c>
      <c r="N2157" t="s">
        <v>5571</v>
      </c>
      <c r="O2157" t="s">
        <v>4931</v>
      </c>
      <c r="Q2157" t="str">
        <f t="shared" si="111"/>
        <v>condorProc.py --series 07180902_2249 --donoise --dumps a --procenv environments/pymidas_HVHV_NaI_mf.env</v>
      </c>
      <c r="R2157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</v>
      </c>
    </row>
    <row r="2158" spans="1:18">
      <c r="A2158" t="s">
        <v>7613</v>
      </c>
      <c r="G2158" s="191"/>
      <c r="H2158" s="210"/>
      <c r="K2158" s="180"/>
      <c r="M2158" t="s">
        <v>2246</v>
      </c>
      <c r="N2158" t="s">
        <v>5571</v>
      </c>
      <c r="O2158" t="s">
        <v>4931</v>
      </c>
      <c r="Q2158" t="str">
        <f t="shared" si="111"/>
        <v>condorProc.py --series 07180902_2259 --donoise --dumps a --procenv environments/pymidas_HVHV_NaI_mf.env</v>
      </c>
      <c r="R2158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</v>
      </c>
    </row>
    <row r="2159" spans="1:18">
      <c r="A2159" t="s">
        <v>7614</v>
      </c>
      <c r="G2159" s="191"/>
      <c r="H2159" s="210"/>
      <c r="K2159" s="180"/>
      <c r="M2159" t="s">
        <v>2246</v>
      </c>
      <c r="N2159" t="s">
        <v>5571</v>
      </c>
      <c r="O2159" t="s">
        <v>4931</v>
      </c>
      <c r="Q2159" t="str">
        <f t="shared" si="111"/>
        <v>condorProc.py --series 07180902_2309 --donoise --dumps a --procenv environments/pymidas_HVHV_NaI_mf.env</v>
      </c>
      <c r="R2159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</v>
      </c>
    </row>
    <row r="2160" spans="1:18">
      <c r="A2160" t="s">
        <v>7615</v>
      </c>
      <c r="G2160" s="191"/>
      <c r="H2160" s="210"/>
      <c r="I2160" t="s">
        <v>75</v>
      </c>
      <c r="K2160" s="180"/>
      <c r="L2160" t="str">
        <f>"BatViewer --nohardcode "&amp;A2160&amp;"/"&amp;A2160&amp;"_F0010.mid.gz"</f>
        <v>BatViewer --nohardcode 07180902_2319/07180902_2319_F0010.mid.gz</v>
      </c>
      <c r="M2160" t="s">
        <v>2246</v>
      </c>
      <c r="N2160" t="s">
        <v>5571</v>
      </c>
      <c r="O2160" t="s">
        <v>4931</v>
      </c>
      <c r="Q2160" t="str">
        <f t="shared" si="111"/>
        <v>condorProc.py --series 07180902_2319 --donoise --dumps a --procenv environments/pymidas_HVHV_NaI_mf.env</v>
      </c>
      <c r="R2160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</v>
      </c>
    </row>
    <row r="2161" spans="1:18">
      <c r="A2161" t="s">
        <v>7616</v>
      </c>
      <c r="G2161" s="191"/>
      <c r="H2161" s="210"/>
      <c r="K2161" s="180"/>
      <c r="M2161" t="s">
        <v>2246</v>
      </c>
      <c r="N2161" t="s">
        <v>5571</v>
      </c>
      <c r="O2161" t="s">
        <v>4931</v>
      </c>
      <c r="Q2161" t="str">
        <f t="shared" si="111"/>
        <v>condorProc.py --series 07180902_2330 --donoise --dumps a --procenv environments/pymidas_HVHV_NaI_mf.env</v>
      </c>
      <c r="R2161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</v>
      </c>
    </row>
    <row r="2162" spans="1:18">
      <c r="A2162" t="s">
        <v>7617</v>
      </c>
      <c r="G2162" s="191"/>
      <c r="H2162" s="210"/>
      <c r="K2162" s="180"/>
      <c r="M2162" t="s">
        <v>2246</v>
      </c>
      <c r="N2162" t="s">
        <v>5571</v>
      </c>
      <c r="O2162" t="s">
        <v>4931</v>
      </c>
      <c r="Q2162" t="str">
        <f t="shared" si="111"/>
        <v>condorProc.py --series 07180902_2340 --donoise --dumps a --procenv environments/pymidas_HVHV_NaI_mf.env</v>
      </c>
      <c r="R2162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</v>
      </c>
    </row>
    <row r="2163" spans="1:18">
      <c r="A2163" t="s">
        <v>7618</v>
      </c>
      <c r="G2163" s="191"/>
      <c r="H2163" s="210"/>
      <c r="K2163" s="180"/>
      <c r="M2163" t="s">
        <v>2246</v>
      </c>
      <c r="N2163" t="s">
        <v>5571</v>
      </c>
      <c r="O2163" t="s">
        <v>4931</v>
      </c>
      <c r="Q2163" t="str">
        <f t="shared" si="111"/>
        <v>condorProc.py --series 07180902_2350 --donoise --dumps a --procenv environments/pymidas_HVHV_NaI_mf.env</v>
      </c>
      <c r="R2163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</v>
      </c>
    </row>
    <row r="2164" spans="1:18">
      <c r="A2164" t="s">
        <v>7619</v>
      </c>
      <c r="G2164" s="191"/>
      <c r="H2164" s="210"/>
      <c r="K2164" s="180"/>
      <c r="M2164" t="s">
        <v>2246</v>
      </c>
      <c r="N2164" t="s">
        <v>5571</v>
      </c>
      <c r="O2164" t="s">
        <v>4931</v>
      </c>
      <c r="Q2164" t="str">
        <f t="shared" si="111"/>
        <v>condorProc.py --series 07180903_0000 --donoise --dumps a --procenv environments/pymidas_HVHV_NaI_mf.env</v>
      </c>
      <c r="R2164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</v>
      </c>
    </row>
    <row r="2165" spans="1:18">
      <c r="A2165" t="s">
        <v>7620</v>
      </c>
      <c r="G2165" s="191"/>
      <c r="H2165" s="210"/>
      <c r="K2165" s="180"/>
      <c r="M2165" t="s">
        <v>2246</v>
      </c>
      <c r="N2165" t="s">
        <v>5571</v>
      </c>
      <c r="O2165" t="s">
        <v>4931</v>
      </c>
      <c r="Q2165" t="str">
        <f t="shared" si="111"/>
        <v>condorProc.py --series 07180903_0010 --donoise --dumps a --procenv environments/pymidas_HVHV_NaI_mf.env</v>
      </c>
      <c r="R2165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</v>
      </c>
    </row>
    <row r="2166" spans="1:18">
      <c r="A2166" t="s">
        <v>7621</v>
      </c>
      <c r="F2166" s="65"/>
      <c r="G2166" s="193"/>
      <c r="H2166" s="211"/>
      <c r="I2166" s="65"/>
      <c r="J2166" s="65"/>
      <c r="K2166" s="202"/>
      <c r="M2166" t="s">
        <v>2246</v>
      </c>
      <c r="N2166" t="s">
        <v>5571</v>
      </c>
      <c r="O2166" t="s">
        <v>4931</v>
      </c>
      <c r="Q2166" t="str">
        <f t="shared" si="111"/>
        <v>condorProc.py --series 07180903_0020 --donoise --dumps a --procenv environments/pymidas_HVHV_NaI_mf.env</v>
      </c>
      <c r="R2166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</v>
      </c>
    </row>
    <row r="2167" spans="1:18">
      <c r="A2167" t="s">
        <v>7622</v>
      </c>
      <c r="F2167" s="177">
        <v>10</v>
      </c>
      <c r="G2167" s="192" t="s">
        <v>2248</v>
      </c>
      <c r="H2167" s="209">
        <v>-80</v>
      </c>
      <c r="I2167" s="177"/>
      <c r="J2167" s="177" t="s">
        <v>5577</v>
      </c>
      <c r="K2167" s="178" t="s">
        <v>5583</v>
      </c>
      <c r="M2167" t="s">
        <v>2246</v>
      </c>
      <c r="N2167" t="s">
        <v>5571</v>
      </c>
      <c r="O2167" t="s">
        <v>4931</v>
      </c>
      <c r="Q2167" t="str">
        <f t="shared" si="111"/>
        <v>condorProc.py --series 07180903_0113 --donoise --dumps a --procenv environments/pymidas_HVHV_NaI_mf.env</v>
      </c>
      <c r="R2167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</v>
      </c>
    </row>
    <row r="2168" spans="1:18">
      <c r="A2168" t="s">
        <v>7623</v>
      </c>
      <c r="G2168" s="191"/>
      <c r="H2168" s="210"/>
      <c r="J2168" t="s">
        <v>5585</v>
      </c>
      <c r="K2168" s="180" t="s">
        <v>5671</v>
      </c>
      <c r="M2168" t="s">
        <v>2246</v>
      </c>
      <c r="N2168" t="s">
        <v>5571</v>
      </c>
      <c r="O2168" t="s">
        <v>4931</v>
      </c>
      <c r="Q2168" t="str">
        <f t="shared" si="111"/>
        <v>condorProc.py --series 07180903_0123 --donoise --dumps a --procenv environments/pymidas_HVHV_NaI_mf.env</v>
      </c>
      <c r="R2168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</v>
      </c>
    </row>
    <row r="2169" spans="1:18">
      <c r="A2169" t="s">
        <v>7624</v>
      </c>
      <c r="G2169" s="191"/>
      <c r="H2169" s="210"/>
      <c r="K2169" s="187" t="s">
        <v>6206</v>
      </c>
      <c r="M2169" t="s">
        <v>2246</v>
      </c>
      <c r="N2169" t="s">
        <v>5571</v>
      </c>
      <c r="O2169" t="s">
        <v>4931</v>
      </c>
      <c r="Q2169" t="str">
        <f t="shared" si="111"/>
        <v>condorProc.py --series 07180903_0133 --donoise --dumps a --procenv environments/pymidas_HVHV_NaI_mf.env</v>
      </c>
      <c r="R2169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</v>
      </c>
    </row>
    <row r="2170" spans="1:18">
      <c r="A2170" t="s">
        <v>7625</v>
      </c>
      <c r="G2170" s="191"/>
      <c r="H2170" s="210"/>
      <c r="K2170" s="180"/>
      <c r="M2170" t="s">
        <v>2246</v>
      </c>
      <c r="N2170" t="s">
        <v>5571</v>
      </c>
      <c r="O2170" t="s">
        <v>4931</v>
      </c>
      <c r="Q2170" t="str">
        <f t="shared" si="111"/>
        <v>condorProc.py --series 07180903_0143 --donoise --dumps a --procenv environments/pymidas_HVHV_NaI_mf.env</v>
      </c>
      <c r="R2170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</v>
      </c>
    </row>
    <row r="2171" spans="1:18">
      <c r="A2171" t="s">
        <v>7626</v>
      </c>
      <c r="G2171" s="191"/>
      <c r="H2171" s="210"/>
      <c r="K2171" s="180"/>
      <c r="M2171" t="s">
        <v>2246</v>
      </c>
      <c r="N2171" t="s">
        <v>5571</v>
      </c>
      <c r="O2171" t="s">
        <v>4931</v>
      </c>
      <c r="Q2171" t="str">
        <f t="shared" si="111"/>
        <v>condorProc.py --series 07180903_0153 --donoise --dumps a --procenv environments/pymidas_HVHV_NaI_mf.env</v>
      </c>
      <c r="R2171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</v>
      </c>
    </row>
    <row r="2172" spans="1:18">
      <c r="A2172" t="s">
        <v>7627</v>
      </c>
      <c r="G2172" s="191"/>
      <c r="H2172" s="210"/>
      <c r="K2172" s="180"/>
      <c r="M2172" t="s">
        <v>2246</v>
      </c>
      <c r="N2172" t="s">
        <v>5571</v>
      </c>
      <c r="O2172" t="s">
        <v>4931</v>
      </c>
      <c r="Q2172" t="str">
        <f t="shared" si="111"/>
        <v>condorProc.py --series 07180903_0204 --donoise --dumps a --procenv environments/pymidas_HVHV_NaI_mf.env</v>
      </c>
      <c r="R2172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</v>
      </c>
    </row>
    <row r="2173" spans="1:18">
      <c r="A2173" t="s">
        <v>7628</v>
      </c>
      <c r="G2173" s="191"/>
      <c r="H2173" s="210"/>
      <c r="K2173" s="180"/>
      <c r="M2173" t="s">
        <v>2246</v>
      </c>
      <c r="N2173" t="s">
        <v>5571</v>
      </c>
      <c r="O2173" t="s">
        <v>4931</v>
      </c>
      <c r="Q2173" t="str">
        <f t="shared" si="111"/>
        <v>condorProc.py --series 07180903_0214 --donoise --dumps a --procenv environments/pymidas_HVHV_NaI_mf.env</v>
      </c>
      <c r="R2173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</v>
      </c>
    </row>
    <row r="2174" spans="1:18">
      <c r="A2174" t="s">
        <v>7629</v>
      </c>
      <c r="G2174" s="191"/>
      <c r="H2174" s="210"/>
      <c r="K2174" s="180"/>
      <c r="M2174" t="s">
        <v>2246</v>
      </c>
      <c r="N2174" t="s">
        <v>5571</v>
      </c>
      <c r="O2174" t="s">
        <v>4931</v>
      </c>
      <c r="Q2174" t="str">
        <f t="shared" si="111"/>
        <v>condorProc.py --series 07180903_0224 --donoise --dumps a --procenv environments/pymidas_HVHV_NaI_mf.env</v>
      </c>
      <c r="R2174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</v>
      </c>
    </row>
    <row r="2175" spans="1:18">
      <c r="A2175" t="s">
        <v>7630</v>
      </c>
      <c r="G2175" s="191"/>
      <c r="H2175" s="210"/>
      <c r="K2175" s="180"/>
      <c r="M2175" t="s">
        <v>2246</v>
      </c>
      <c r="N2175" t="s">
        <v>5571</v>
      </c>
      <c r="O2175" t="s">
        <v>4931</v>
      </c>
      <c r="Q2175" t="str">
        <f t="shared" si="111"/>
        <v>condorProc.py --series 07180903_0234 --donoise --dumps a --procenv environments/pymidas_HVHV_NaI_mf.env</v>
      </c>
      <c r="R2175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</v>
      </c>
    </row>
    <row r="2176" spans="1:18">
      <c r="A2176" t="s">
        <v>7631</v>
      </c>
      <c r="G2176" s="191"/>
      <c r="H2176" s="210"/>
      <c r="K2176" s="180"/>
      <c r="M2176" t="s">
        <v>2246</v>
      </c>
      <c r="N2176" t="s">
        <v>5571</v>
      </c>
      <c r="O2176" t="s">
        <v>4931</v>
      </c>
      <c r="Q2176" t="str">
        <f t="shared" si="111"/>
        <v>condorProc.py --series 07180903_0244 --donoise --dumps a --procenv environments/pymidas_HVHV_NaI_mf.env</v>
      </c>
      <c r="R2176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</v>
      </c>
    </row>
    <row r="2177" spans="1:18">
      <c r="A2177" t="s">
        <v>7632</v>
      </c>
      <c r="G2177" s="191"/>
      <c r="H2177" s="210"/>
      <c r="K2177" s="180"/>
      <c r="M2177" t="s">
        <v>2246</v>
      </c>
      <c r="N2177" t="s">
        <v>5571</v>
      </c>
      <c r="O2177" t="s">
        <v>4931</v>
      </c>
      <c r="Q2177" t="str">
        <f t="shared" si="111"/>
        <v>condorProc.py --series 07180903_0254 --donoise --dumps a --procenv environments/pymidas_HVHV_NaI_mf.env</v>
      </c>
      <c r="R2177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</v>
      </c>
    </row>
    <row r="2178" spans="1:18">
      <c r="A2178" t="s">
        <v>7633</v>
      </c>
      <c r="F2178" s="65"/>
      <c r="G2178" s="193"/>
      <c r="H2178" s="211"/>
      <c r="I2178" s="65"/>
      <c r="J2178" s="65"/>
      <c r="K2178" s="202"/>
      <c r="M2178" t="s">
        <v>2246</v>
      </c>
      <c r="N2178" t="s">
        <v>5571</v>
      </c>
      <c r="O2178" t="s">
        <v>4931</v>
      </c>
      <c r="Q2178" t="str">
        <f t="shared" si="111"/>
        <v>condorProc.py --series 07180903_0304 --donoise --dumps a --procenv environments/pymidas_HVHV_NaI_mf.env</v>
      </c>
      <c r="R2178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</v>
      </c>
    </row>
    <row r="2179" spans="1:18">
      <c r="A2179" t="s">
        <v>7634</v>
      </c>
      <c r="F2179" s="177">
        <v>10</v>
      </c>
      <c r="G2179" s="192" t="s">
        <v>2248</v>
      </c>
      <c r="H2179" s="209">
        <v>-80</v>
      </c>
      <c r="I2179" s="177"/>
      <c r="J2179" s="177" t="s">
        <v>5577</v>
      </c>
      <c r="K2179" s="178" t="s">
        <v>5583</v>
      </c>
      <c r="M2179" t="s">
        <v>2246</v>
      </c>
      <c r="N2179" t="s">
        <v>5571</v>
      </c>
      <c r="O2179" t="s">
        <v>4931</v>
      </c>
      <c r="Q2179" t="str">
        <f t="shared" si="111"/>
        <v>condorProc.py --series 07180903_0357 --donoise --dumps a --procenv environments/pymidas_HVHV_NaI_mf.env</v>
      </c>
      <c r="R2179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</v>
      </c>
    </row>
    <row r="2180" spans="1:18">
      <c r="A2180" t="s">
        <v>7635</v>
      </c>
      <c r="G2180" s="191"/>
      <c r="H2180" s="210"/>
      <c r="J2180" t="s">
        <v>5585</v>
      </c>
      <c r="K2180" s="180" t="s">
        <v>5671</v>
      </c>
      <c r="M2180" t="s">
        <v>2246</v>
      </c>
      <c r="N2180" t="s">
        <v>5571</v>
      </c>
      <c r="O2180" t="s">
        <v>4931</v>
      </c>
      <c r="Q2180" t="str">
        <f t="shared" si="111"/>
        <v>condorProc.py --series 07180903_0407 --donoise --dumps a --procenv environments/pymidas_HVHV_NaI_mf.env</v>
      </c>
      <c r="R2180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</v>
      </c>
    </row>
    <row r="2181" spans="1:18">
      <c r="A2181" t="s">
        <v>7636</v>
      </c>
      <c r="G2181" s="191"/>
      <c r="H2181" s="210"/>
      <c r="K2181" s="187" t="s">
        <v>6206</v>
      </c>
      <c r="M2181" t="s">
        <v>2246</v>
      </c>
      <c r="N2181" t="s">
        <v>5571</v>
      </c>
      <c r="O2181" t="s">
        <v>4931</v>
      </c>
      <c r="Q2181" t="str">
        <f t="shared" si="111"/>
        <v>condorProc.py --series 07180903_0417 --donoise --dumps a --procenv environments/pymidas_HVHV_NaI_mf.env</v>
      </c>
      <c r="R2181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</v>
      </c>
    </row>
    <row r="2182" spans="1:18">
      <c r="A2182" t="s">
        <v>7637</v>
      </c>
      <c r="G2182" s="191"/>
      <c r="H2182" s="210"/>
      <c r="K2182" s="180"/>
      <c r="M2182" t="s">
        <v>2246</v>
      </c>
      <c r="N2182" t="s">
        <v>5571</v>
      </c>
      <c r="O2182" t="s">
        <v>4931</v>
      </c>
      <c r="Q2182" t="str">
        <f t="shared" si="111"/>
        <v>condorProc.py --series 07180903_0427 --donoise --dumps a --procenv environments/pymidas_HVHV_NaI_mf.env</v>
      </c>
      <c r="R2182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</v>
      </c>
    </row>
    <row r="2183" spans="1:18">
      <c r="A2183" t="s">
        <v>7638</v>
      </c>
      <c r="G2183" s="191"/>
      <c r="H2183" s="210"/>
      <c r="K2183" s="180"/>
      <c r="M2183" t="s">
        <v>2246</v>
      </c>
      <c r="N2183" t="s">
        <v>5571</v>
      </c>
      <c r="O2183" t="s">
        <v>4931</v>
      </c>
      <c r="Q2183" t="str">
        <f t="shared" si="111"/>
        <v>condorProc.py --series 07180903_0437 --donoise --dumps a --procenv environments/pymidas_HVHV_NaI_mf.env</v>
      </c>
      <c r="R2183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</v>
      </c>
    </row>
    <row r="2184" spans="1:18">
      <c r="A2184" t="s">
        <v>7639</v>
      </c>
      <c r="G2184" s="191"/>
      <c r="H2184" s="210"/>
      <c r="K2184" s="180"/>
      <c r="M2184" t="s">
        <v>2246</v>
      </c>
      <c r="N2184" t="s">
        <v>5571</v>
      </c>
      <c r="O2184" t="s">
        <v>4931</v>
      </c>
      <c r="Q2184" t="str">
        <f t="shared" si="111"/>
        <v>condorProc.py --series 07180903_0448 --donoise --dumps a --procenv environments/pymidas_HVHV_NaI_mf.env</v>
      </c>
      <c r="R2184" t="str">
        <f t="shared" si="110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</v>
      </c>
    </row>
    <row r="2185" spans="1:18">
      <c r="A2185" t="s">
        <v>7640</v>
      </c>
      <c r="G2185" s="191"/>
      <c r="H2185" s="210"/>
      <c r="K2185" s="180"/>
      <c r="M2185" t="s">
        <v>2246</v>
      </c>
      <c r="N2185" t="s">
        <v>5571</v>
      </c>
      <c r="O2185" t="s">
        <v>4931</v>
      </c>
      <c r="Q2185" t="str">
        <f t="shared" si="111"/>
        <v>condorProc.py --series 07180903_0458 --donoise --dumps a --procenv environments/pymidas_HVHV_NaI_mf.env</v>
      </c>
      <c r="R2185" t="str">
        <f t="shared" ref="R2185:R2202" si="112">R2184&amp;", """&amp;A2185&amp;""""</f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</v>
      </c>
    </row>
    <row r="2186" spans="1:18">
      <c r="A2186" t="s">
        <v>7641</v>
      </c>
      <c r="G2186" s="191"/>
      <c r="H2186" s="210"/>
      <c r="K2186" s="180"/>
      <c r="M2186" t="s">
        <v>2246</v>
      </c>
      <c r="N2186" t="s">
        <v>5571</v>
      </c>
      <c r="O2186" t="s">
        <v>4931</v>
      </c>
      <c r="Q2186" t="str">
        <f t="shared" si="111"/>
        <v>condorProc.py --series 07180903_0508 --donoise --dumps a --procenv environments/pymidas_HVHV_NaI_mf.env</v>
      </c>
      <c r="R2186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</v>
      </c>
    </row>
    <row r="2187" spans="1:18">
      <c r="A2187" t="s">
        <v>7642</v>
      </c>
      <c r="G2187" s="191"/>
      <c r="H2187" s="210"/>
      <c r="K2187" s="180"/>
      <c r="M2187" t="s">
        <v>2246</v>
      </c>
      <c r="N2187" t="s">
        <v>5571</v>
      </c>
      <c r="O2187" t="s">
        <v>4931</v>
      </c>
      <c r="Q2187" t="str">
        <f t="shared" si="111"/>
        <v>condorProc.py --series 07180903_0518 --donoise --dumps a --procenv environments/pymidas_HVHV_NaI_mf.env</v>
      </c>
      <c r="R2187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</v>
      </c>
    </row>
    <row r="2188" spans="1:18">
      <c r="A2188" t="s">
        <v>7643</v>
      </c>
      <c r="G2188" s="191"/>
      <c r="H2188" s="210"/>
      <c r="K2188" s="180"/>
      <c r="M2188" t="s">
        <v>2246</v>
      </c>
      <c r="N2188" t="s">
        <v>5571</v>
      </c>
      <c r="O2188" t="s">
        <v>4931</v>
      </c>
      <c r="Q2188" t="str">
        <f t="shared" si="111"/>
        <v>condorProc.py --series 07180903_0528 --donoise --dumps a --procenv environments/pymidas_HVHV_NaI_mf.env</v>
      </c>
      <c r="R2188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</v>
      </c>
    </row>
    <row r="2189" spans="1:18">
      <c r="A2189" t="s">
        <v>7644</v>
      </c>
      <c r="G2189" s="191"/>
      <c r="H2189" s="210"/>
      <c r="K2189" s="180"/>
      <c r="M2189" t="s">
        <v>2246</v>
      </c>
      <c r="N2189" t="s">
        <v>5571</v>
      </c>
      <c r="O2189" t="s">
        <v>4931</v>
      </c>
      <c r="Q2189" t="str">
        <f t="shared" si="111"/>
        <v>condorProc.py --series 07180903_0538 --donoise --dumps a --procenv environments/pymidas_HVHV_NaI_mf.env</v>
      </c>
      <c r="R2189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</v>
      </c>
    </row>
    <row r="2190" spans="1:18">
      <c r="A2190" t="s">
        <v>7645</v>
      </c>
      <c r="F2190" s="65"/>
      <c r="G2190" s="193"/>
      <c r="H2190" s="211"/>
      <c r="I2190" s="65" t="s">
        <v>75</v>
      </c>
      <c r="J2190" s="65"/>
      <c r="K2190" s="202"/>
      <c r="L2190" t="str">
        <f>"BatViewer --nohardcode "&amp;A2190&amp;"/"&amp;A2190&amp;"_F0010.mid.gz"</f>
        <v>BatViewer --nohardcode 07180903_0548/07180903_0548_F0010.mid.gz</v>
      </c>
      <c r="M2190" t="s">
        <v>2246</v>
      </c>
      <c r="N2190" t="s">
        <v>5571</v>
      </c>
      <c r="O2190" t="s">
        <v>4931</v>
      </c>
      <c r="Q2190" t="str">
        <f t="shared" si="111"/>
        <v>condorProc.py --series 07180903_0548 --donoise --dumps a --procenv environments/pymidas_HVHV_NaI_mf.env</v>
      </c>
      <c r="R2190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</v>
      </c>
    </row>
    <row r="2191" spans="1:18">
      <c r="A2191" t="s">
        <v>7646</v>
      </c>
      <c r="F2191" s="177">
        <v>10</v>
      </c>
      <c r="G2191" s="192" t="s">
        <v>2248</v>
      </c>
      <c r="H2191" s="209">
        <v>-80</v>
      </c>
      <c r="I2191" s="177"/>
      <c r="J2191" s="177" t="s">
        <v>5577</v>
      </c>
      <c r="K2191" s="178" t="s">
        <v>5583</v>
      </c>
      <c r="M2191" t="s">
        <v>2246</v>
      </c>
      <c r="N2191" t="s">
        <v>5571</v>
      </c>
      <c r="O2191" t="s">
        <v>4931</v>
      </c>
      <c r="Q2191" t="str">
        <f t="shared" si="111"/>
        <v>condorProc.py --series 07180903_0641 --donoise --dumps a --procenv environments/pymidas_HVHV_NaI_mf.env</v>
      </c>
      <c r="R2191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</v>
      </c>
    </row>
    <row r="2192" spans="1:18">
      <c r="A2192" t="s">
        <v>7647</v>
      </c>
      <c r="G2192" s="191"/>
      <c r="H2192" s="210"/>
      <c r="J2192" t="s">
        <v>5585</v>
      </c>
      <c r="K2192" s="180" t="s">
        <v>5671</v>
      </c>
      <c r="M2192" t="s">
        <v>2246</v>
      </c>
      <c r="N2192" t="s">
        <v>5571</v>
      </c>
      <c r="O2192" t="s">
        <v>4931</v>
      </c>
      <c r="Q2192" t="str">
        <f t="shared" si="111"/>
        <v>condorProc.py --series 07180903_0651 --donoise --dumps a --procenv environments/pymidas_HVHV_NaI_mf.env</v>
      </c>
      <c r="R2192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</v>
      </c>
    </row>
    <row r="2193" spans="1:18">
      <c r="A2193" t="s">
        <v>7648</v>
      </c>
      <c r="G2193" s="191"/>
      <c r="H2193" s="210"/>
      <c r="K2193" s="187" t="s">
        <v>6206</v>
      </c>
      <c r="M2193" t="s">
        <v>2246</v>
      </c>
      <c r="N2193" s="16">
        <v>3</v>
      </c>
      <c r="O2193" t="s">
        <v>4931</v>
      </c>
      <c r="Q2193" t="str">
        <f t="shared" si="111"/>
        <v>condorProc.py --series 07180903_0701 --donoise --dumps a --procenv environments/pymidas_HVHV_NaI_mf.env</v>
      </c>
      <c r="R2193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</v>
      </c>
    </row>
    <row r="2194" spans="1:18">
      <c r="A2194" t="s">
        <v>7649</v>
      </c>
      <c r="G2194" s="191"/>
      <c r="H2194" s="210"/>
      <c r="K2194" s="180"/>
      <c r="M2194" t="s">
        <v>2246</v>
      </c>
      <c r="N2194" t="s">
        <v>5571</v>
      </c>
      <c r="O2194" t="s">
        <v>4931</v>
      </c>
      <c r="Q2194" t="str">
        <f t="shared" si="111"/>
        <v>condorProc.py --series 07180903_0711 --donoise --dumps a --procenv environments/pymidas_HVHV_NaI_mf.env</v>
      </c>
      <c r="R2194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"07180903_0701", "07180903_0711"</v>
      </c>
    </row>
    <row r="2195" spans="1:18">
      <c r="A2195" t="s">
        <v>7650</v>
      </c>
      <c r="G2195" s="191"/>
      <c r="H2195" s="210"/>
      <c r="K2195" s="180"/>
      <c r="M2195" t="s">
        <v>2246</v>
      </c>
      <c r="N2195" t="s">
        <v>5571</v>
      </c>
      <c r="O2195" t="s">
        <v>4931</v>
      </c>
      <c r="Q2195" t="str">
        <f t="shared" si="111"/>
        <v>condorProc.py --series 07180903_0722 --donoise --dumps a --procenv environments/pymidas_HVHV_NaI_mf.env</v>
      </c>
      <c r="R2195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"07180903_0701", "07180903_0711", "07180903_0722"</v>
      </c>
    </row>
    <row r="2196" spans="1:18">
      <c r="A2196" t="s">
        <v>7651</v>
      </c>
      <c r="G2196" s="191"/>
      <c r="H2196" s="210"/>
      <c r="K2196" s="180"/>
      <c r="M2196" t="s">
        <v>2246</v>
      </c>
      <c r="N2196" t="s">
        <v>5571</v>
      </c>
      <c r="O2196" t="s">
        <v>4931</v>
      </c>
      <c r="Q2196" t="str">
        <f t="shared" si="111"/>
        <v>condorProc.py --series 07180903_0732 --donoise --dumps a --procenv environments/pymidas_HVHV_NaI_mf.env</v>
      </c>
      <c r="R2196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"07180903_0701", "07180903_0711", "07180903_0722", "07180903_0732"</v>
      </c>
    </row>
    <row r="2197" spans="1:18">
      <c r="A2197" t="s">
        <v>7652</v>
      </c>
      <c r="G2197" s="191"/>
      <c r="H2197" s="210"/>
      <c r="K2197" s="180"/>
      <c r="M2197" t="s">
        <v>2246</v>
      </c>
      <c r="N2197" t="s">
        <v>5571</v>
      </c>
      <c r="O2197" t="s">
        <v>4931</v>
      </c>
      <c r="Q2197" t="str">
        <f t="shared" si="111"/>
        <v>condorProc.py --series 07180903_0742 --donoise --dumps a --procenv environments/pymidas_HVHV_NaI_mf.env</v>
      </c>
      <c r="R2197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"07180903_0701", "07180903_0711", "07180903_0722", "07180903_0732", "07180903_0742"</v>
      </c>
    </row>
    <row r="2198" spans="1:18">
      <c r="A2198" t="s">
        <v>7653</v>
      </c>
      <c r="G2198" s="191"/>
      <c r="H2198" s="210"/>
      <c r="K2198" s="180"/>
      <c r="M2198" t="s">
        <v>2246</v>
      </c>
      <c r="N2198" t="s">
        <v>5571</v>
      </c>
      <c r="O2198" t="s">
        <v>4931</v>
      </c>
      <c r="Q2198" t="str">
        <f t="shared" si="111"/>
        <v>condorProc.py --series 07180903_0752 --donoise --dumps a --procenv environments/pymidas_HVHV_NaI_mf.env</v>
      </c>
      <c r="R2198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"07180903_0701", "07180903_0711", "07180903_0722", "07180903_0732", "07180903_0742", "07180903_0752"</v>
      </c>
    </row>
    <row r="2199" spans="1:18">
      <c r="A2199" t="s">
        <v>7654</v>
      </c>
      <c r="G2199" s="191"/>
      <c r="H2199" s="210"/>
      <c r="K2199" s="180"/>
      <c r="M2199" t="s">
        <v>2246</v>
      </c>
      <c r="N2199" t="s">
        <v>5571</v>
      </c>
      <c r="O2199" t="s">
        <v>4931</v>
      </c>
      <c r="Q2199" t="str">
        <f t="shared" si="111"/>
        <v>condorProc.py --series 07180903_0802 --donoise --dumps a --procenv environments/pymidas_HVHV_NaI_mf.env</v>
      </c>
      <c r="R2199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"07180903_0701", "07180903_0711", "07180903_0722", "07180903_0732", "07180903_0742", "07180903_0752", "07180903_0802"</v>
      </c>
    </row>
    <row r="2200" spans="1:18">
      <c r="A2200" t="s">
        <v>7655</v>
      </c>
      <c r="G2200" s="191"/>
      <c r="H2200" s="210"/>
      <c r="K2200" s="180"/>
      <c r="M2200" t="s">
        <v>2246</v>
      </c>
      <c r="N2200" t="s">
        <v>5571</v>
      </c>
      <c r="O2200" t="s">
        <v>4931</v>
      </c>
      <c r="Q2200" t="str">
        <f t="shared" si="111"/>
        <v>condorProc.py --series 07180903_0812 --donoise --dumps a --procenv environments/pymidas_HVHV_NaI_mf.env</v>
      </c>
      <c r="R2200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"07180903_0701", "07180903_0711", "07180903_0722", "07180903_0732", "07180903_0742", "07180903_0752", "07180903_0802", "07180903_0812"</v>
      </c>
    </row>
    <row r="2201" spans="1:18">
      <c r="A2201" t="s">
        <v>7656</v>
      </c>
      <c r="G2201" s="191"/>
      <c r="H2201" s="210"/>
      <c r="K2201" s="180"/>
      <c r="M2201" t="s">
        <v>2246</v>
      </c>
      <c r="N2201" t="s">
        <v>5571</v>
      </c>
      <c r="O2201" t="s">
        <v>4931</v>
      </c>
      <c r="Q2201" t="str">
        <f t="shared" si="111"/>
        <v>condorProc.py --series 07180903_0822 --donoise --dumps a --procenv environments/pymidas_HVHV_NaI_mf.env</v>
      </c>
      <c r="R2201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"07180903_0701", "07180903_0711", "07180903_0722", "07180903_0732", "07180903_0742", "07180903_0752", "07180903_0802", "07180903_0812", "07180903_0822"</v>
      </c>
    </row>
    <row r="2202" spans="1:18">
      <c r="A2202" t="s">
        <v>7657</v>
      </c>
      <c r="F2202" s="65"/>
      <c r="G2202" s="193"/>
      <c r="H2202" s="211"/>
      <c r="I2202" s="65" t="s">
        <v>75</v>
      </c>
      <c r="J2202" s="65"/>
      <c r="K2202" s="202"/>
      <c r="L2202" t="str">
        <f>"BatViewer --nohardcode "&amp;A2202&amp;"/"&amp;A2202&amp;"_F0010.mid.gz"</f>
        <v>BatViewer --nohardcode 07180903_0832/07180903_0832_F0010.mid.gz</v>
      </c>
      <c r="M2202" t="s">
        <v>2246</v>
      </c>
      <c r="N2202" t="s">
        <v>5571</v>
      </c>
      <c r="O2202" t="s">
        <v>4931</v>
      </c>
      <c r="Q2202" t="str">
        <f t="shared" si="111"/>
        <v>condorProc.py --series 07180903_0832 --donoise --dumps a --procenv environments/pymidas_HVHV_NaI_mf.env</v>
      </c>
      <c r="R2202" t="str">
        <f t="shared" si="112"/>
        <v>"07180902_1415", "07180902_1426", "07180902_1436", "07180902_1446", "07180902_1456", "07180902_1506", "07180902_1516", "07180902_1526", "07180902_1536", "07180902_1546", "07180902_1556", "07180902_1607", "07180902_1659", "07180902_1710", "07180902_1720", "07180902_1730", "07180902_1740", "07180902_1750", "07180902_1800", "07180902_1810", "07180902_1820", "07180902_1830", "07180902_1841", "07180902_1851", "07180902_1944", "07180902_1954", "07180902_2005", "07180902_2015", "07180902_2025", "07180902_2035", "07180902_2045", "07180902_2055", "07180902_2105", "07180902_2115", "07180902_2126", "07180902_2136", "07180902_2229", "07180902_2239", "07180902_2249", "07180902_2259", "07180902_2309", "07180902_2319", "07180902_2330", "07180902_2340", "07180902_2350", "07180903_0000", "07180903_0010", "07180903_0020", "07180903_0113", "07180903_0123", "07180903_0133", "07180903_0143", "07180903_0153", "07180903_0204", "07180903_0214", "07180903_0224", "07180903_0234", "07180903_0244", "07180903_0254", "07180903_0304", "07180903_0357", "07180903_0407", "07180903_0417", "07180903_0427", "07180903_0437", "07180903_0448", "07180903_0458", "07180903_0508", "07180903_0518", "07180903_0528", "07180903_0538", "07180903_0548", "07180903_0641", "07180903_0651", "07180903_0701", "07180903_0711", "07180903_0722", "07180903_0732", "07180903_0742", "07180903_0752", "07180903_0802", "07180903_0812", "07180903_0822", "07180903_0832"</v>
      </c>
    </row>
    <row r="2203" spans="1:18">
      <c r="A2203" t="s">
        <v>7658</v>
      </c>
      <c r="F2203" s="177">
        <v>10</v>
      </c>
      <c r="G2203" s="192" t="s">
        <v>2248</v>
      </c>
      <c r="H2203" s="209">
        <v>-80</v>
      </c>
      <c r="I2203" s="177"/>
      <c r="J2203" s="177" t="s">
        <v>5577</v>
      </c>
      <c r="K2203" s="178" t="s">
        <v>5583</v>
      </c>
      <c r="M2203" t="s">
        <v>2246</v>
      </c>
      <c r="N2203" t="s">
        <v>5571</v>
      </c>
      <c r="O2203" t="s">
        <v>4931</v>
      </c>
      <c r="Q2203" t="str">
        <f t="shared" si="111"/>
        <v>condorProc.py --series 07180903_0925 --donoise --dumps a --procenv environments/pymidas_HVHV_NaI_mf.env</v>
      </c>
    </row>
    <row r="2204" spans="1:18">
      <c r="A2204" t="s">
        <v>7659</v>
      </c>
      <c r="G2204" s="191"/>
      <c r="H2204" s="210"/>
      <c r="J2204" t="s">
        <v>5585</v>
      </c>
      <c r="K2204" s="180" t="s">
        <v>5671</v>
      </c>
      <c r="M2204" t="s">
        <v>2246</v>
      </c>
      <c r="N2204" t="s">
        <v>5571</v>
      </c>
      <c r="O2204" t="s">
        <v>4931</v>
      </c>
      <c r="Q2204" t="str">
        <f t="shared" si="111"/>
        <v>condorProc.py --series 07180903_0936 --donoise --dumps a --procenv environments/pymidas_HVHV_NaI_mf.env</v>
      </c>
    </row>
    <row r="2205" spans="1:18">
      <c r="A2205" t="s">
        <v>7660</v>
      </c>
      <c r="G2205" s="191"/>
      <c r="H2205" s="210"/>
      <c r="K2205" s="187" t="s">
        <v>6206</v>
      </c>
      <c r="M2205" t="s">
        <v>2246</v>
      </c>
      <c r="N2205" t="s">
        <v>5571</v>
      </c>
      <c r="O2205" t="s">
        <v>4931</v>
      </c>
      <c r="Q2205" t="str">
        <f t="shared" si="111"/>
        <v>condorProc.py --series 07180903_0946 --donoise --dumps a --procenv environments/pymidas_HVHV_NaI_mf.env</v>
      </c>
    </row>
    <row r="2206" spans="1:18">
      <c r="A2206" t="s">
        <v>7661</v>
      </c>
      <c r="G2206" s="191"/>
      <c r="H2206" s="210"/>
      <c r="K2206" s="180"/>
      <c r="M2206" t="s">
        <v>2246</v>
      </c>
      <c r="N2206" t="s">
        <v>5571</v>
      </c>
      <c r="O2206" t="s">
        <v>4931</v>
      </c>
      <c r="Q2206" t="str">
        <f t="shared" si="111"/>
        <v>condorProc.py --series 07180903_0956 --donoise --dumps a --procenv environments/pymidas_HVHV_NaI_mf.env</v>
      </c>
    </row>
    <row r="2207" spans="1:18">
      <c r="A2207" t="s">
        <v>7662</v>
      </c>
      <c r="G2207" s="191"/>
      <c r="H2207" s="210"/>
      <c r="K2207" s="180"/>
      <c r="M2207" t="s">
        <v>2246</v>
      </c>
      <c r="N2207" t="s">
        <v>5571</v>
      </c>
      <c r="O2207" t="s">
        <v>4931</v>
      </c>
      <c r="Q2207" t="str">
        <f t="shared" si="111"/>
        <v>condorProc.py --series 07180903_1006 --donoise --dumps a --procenv environments/pymidas_HVHV_NaI_mf.env</v>
      </c>
    </row>
    <row r="2208" spans="1:18">
      <c r="A2208" t="s">
        <v>7663</v>
      </c>
      <c r="G2208" s="191"/>
      <c r="H2208" s="210"/>
      <c r="K2208" s="180"/>
      <c r="M2208" t="s">
        <v>2246</v>
      </c>
      <c r="N2208" t="s">
        <v>5571</v>
      </c>
      <c r="O2208" t="s">
        <v>4931</v>
      </c>
      <c r="Q2208" t="str">
        <f t="shared" si="111"/>
        <v>condorProc.py --series 07180903_1016 --donoise --dumps a --procenv environments/pymidas_HVHV_NaI_mf.env</v>
      </c>
    </row>
    <row r="2209" spans="1:17">
      <c r="A2209" t="s">
        <v>7664</v>
      </c>
      <c r="G2209" s="191"/>
      <c r="H2209" s="210"/>
      <c r="K2209" s="180"/>
      <c r="M2209" t="s">
        <v>2246</v>
      </c>
      <c r="N2209" t="s">
        <v>5571</v>
      </c>
      <c r="O2209" t="s">
        <v>4931</v>
      </c>
      <c r="Q2209" t="str">
        <f t="shared" si="111"/>
        <v>condorProc.py --series 07180903_1026 --donoise --dumps a --procenv environments/pymidas_HVHV_NaI_mf.env</v>
      </c>
    </row>
    <row r="2210" spans="1:17">
      <c r="A2210" t="s">
        <v>7665</v>
      </c>
      <c r="G2210" s="191"/>
      <c r="H2210" s="210"/>
      <c r="K2210" s="180"/>
      <c r="M2210" t="s">
        <v>2246</v>
      </c>
      <c r="N2210" t="s">
        <v>5571</v>
      </c>
      <c r="O2210" t="s">
        <v>4931</v>
      </c>
      <c r="Q2210" t="str">
        <f t="shared" si="111"/>
        <v>condorProc.py --series 07180903_1036 --donoise --dumps a --procenv environments/pymidas_HVHV_NaI_mf.env</v>
      </c>
    </row>
    <row r="2211" spans="1:17">
      <c r="A2211" t="s">
        <v>7666</v>
      </c>
      <c r="G2211" s="191"/>
      <c r="H2211" s="210"/>
      <c r="K2211" s="180"/>
      <c r="M2211" t="s">
        <v>2246</v>
      </c>
      <c r="N2211" t="s">
        <v>5571</v>
      </c>
      <c r="O2211" t="s">
        <v>4931</v>
      </c>
      <c r="Q2211" t="str">
        <f t="shared" si="111"/>
        <v>condorProc.py --series 07180903_1046 --donoise --dumps a --procenv environments/pymidas_HVHV_NaI_mf.env</v>
      </c>
    </row>
    <row r="2212" spans="1:17">
      <c r="A2212" t="s">
        <v>7667</v>
      </c>
      <c r="G2212" s="191"/>
      <c r="H2212" s="210"/>
      <c r="K2212" s="180"/>
      <c r="M2212" t="s">
        <v>2246</v>
      </c>
      <c r="N2212" t="s">
        <v>5571</v>
      </c>
      <c r="O2212" t="s">
        <v>4931</v>
      </c>
      <c r="Q2212" t="str">
        <f t="shared" ref="Q2212:Q2275" si="113">"condorProc.py --series "&amp;A2212&amp;" --donoise --dumps a --procenv environments/pymidas_HVHV_NaI_mf.env"</f>
        <v>condorProc.py --series 07180903_1056 --donoise --dumps a --procenv environments/pymidas_HVHV_NaI_mf.env</v>
      </c>
    </row>
    <row r="2213" spans="1:17">
      <c r="A2213" t="s">
        <v>7668</v>
      </c>
      <c r="G2213" s="191"/>
      <c r="H2213" s="210"/>
      <c r="K2213" s="180"/>
      <c r="M2213" t="s">
        <v>2246</v>
      </c>
      <c r="N2213" t="s">
        <v>5571</v>
      </c>
      <c r="O2213" t="s">
        <v>4931</v>
      </c>
      <c r="Q2213" t="str">
        <f t="shared" si="113"/>
        <v>condorProc.py --series 07180903_1106 --donoise --dumps a --procenv environments/pymidas_HVHV_NaI_mf.env</v>
      </c>
    </row>
    <row r="2214" spans="1:17">
      <c r="A2214" t="s">
        <v>7669</v>
      </c>
      <c r="F2214" s="65"/>
      <c r="G2214" s="193"/>
      <c r="H2214" s="211"/>
      <c r="I2214" s="65"/>
      <c r="J2214" s="65"/>
      <c r="K2214" s="202"/>
      <c r="M2214" t="s">
        <v>2246</v>
      </c>
      <c r="N2214" t="s">
        <v>5571</v>
      </c>
      <c r="O2214" t="s">
        <v>4931</v>
      </c>
      <c r="Q2214" t="str">
        <f t="shared" si="113"/>
        <v>condorProc.py --series 07180903_1117 --donoise --dumps a --procenv environments/pymidas_HVHV_NaI_mf.env</v>
      </c>
    </row>
    <row r="2215" spans="1:17">
      <c r="A2215" t="s">
        <v>7670</v>
      </c>
      <c r="F2215" s="177">
        <v>10</v>
      </c>
      <c r="G2215" s="192" t="s">
        <v>2248</v>
      </c>
      <c r="H2215" s="209">
        <v>-80</v>
      </c>
      <c r="I2215" s="177"/>
      <c r="J2215" s="177" t="s">
        <v>5577</v>
      </c>
      <c r="K2215" s="178" t="s">
        <v>5583</v>
      </c>
      <c r="M2215" t="s">
        <v>2246</v>
      </c>
      <c r="N2215" t="s">
        <v>5571</v>
      </c>
      <c r="O2215" t="s">
        <v>4931</v>
      </c>
      <c r="Q2215" t="str">
        <f t="shared" si="113"/>
        <v>condorProc.py --series 07180903_1211 --donoise --dumps a --procenv environments/pymidas_HVHV_NaI_mf.env</v>
      </c>
    </row>
    <row r="2216" spans="1:17">
      <c r="A2216" t="s">
        <v>7671</v>
      </c>
      <c r="G2216" s="191"/>
      <c r="H2216" s="210"/>
      <c r="J2216" t="s">
        <v>5585</v>
      </c>
      <c r="K2216" s="180" t="s">
        <v>5671</v>
      </c>
      <c r="M2216" t="s">
        <v>2246</v>
      </c>
      <c r="N2216" t="s">
        <v>5571</v>
      </c>
      <c r="O2216" t="s">
        <v>4931</v>
      </c>
      <c r="Q2216" t="str">
        <f t="shared" si="113"/>
        <v>condorProc.py --series 07180903_1221 --donoise --dumps a --procenv environments/pymidas_HVHV_NaI_mf.env</v>
      </c>
    </row>
    <row r="2217" spans="1:17">
      <c r="A2217" t="s">
        <v>7672</v>
      </c>
      <c r="G2217" s="191"/>
      <c r="H2217" s="210"/>
      <c r="K2217" s="187" t="s">
        <v>6206</v>
      </c>
      <c r="M2217" t="s">
        <v>2246</v>
      </c>
      <c r="N2217" t="s">
        <v>5571</v>
      </c>
      <c r="O2217" t="s">
        <v>4931</v>
      </c>
      <c r="Q2217" t="str">
        <f t="shared" si="113"/>
        <v>condorProc.py --series 07180903_1231 --donoise --dumps a --procenv environments/pymidas_HVHV_NaI_mf.env</v>
      </c>
    </row>
    <row r="2218" spans="1:17">
      <c r="A2218" t="s">
        <v>7673</v>
      </c>
      <c r="G2218" s="191"/>
      <c r="H2218" s="210"/>
      <c r="K2218" s="180"/>
      <c r="M2218" t="s">
        <v>2246</v>
      </c>
      <c r="N2218" t="s">
        <v>5571</v>
      </c>
      <c r="O2218" t="s">
        <v>4931</v>
      </c>
      <c r="Q2218" t="str">
        <f t="shared" si="113"/>
        <v>condorProc.py --series 07180903_1242 --donoise --dumps a --procenv environments/pymidas_HVHV_NaI_mf.env</v>
      </c>
    </row>
    <row r="2219" spans="1:17">
      <c r="A2219" t="s">
        <v>7674</v>
      </c>
      <c r="G2219" s="191"/>
      <c r="H2219" s="210"/>
      <c r="K2219" s="180"/>
      <c r="M2219" t="s">
        <v>2246</v>
      </c>
      <c r="N2219" t="s">
        <v>5571</v>
      </c>
      <c r="O2219" t="s">
        <v>4931</v>
      </c>
      <c r="Q2219" t="str">
        <f t="shared" si="113"/>
        <v>condorProc.py --series 07180903_1252 --donoise --dumps a --procenv environments/pymidas_HVHV_NaI_mf.env</v>
      </c>
    </row>
    <row r="2220" spans="1:17">
      <c r="A2220" t="s">
        <v>7675</v>
      </c>
      <c r="G2220" s="191"/>
      <c r="H2220" s="210"/>
      <c r="K2220" s="180"/>
      <c r="M2220" t="s">
        <v>2246</v>
      </c>
      <c r="N2220" t="s">
        <v>5571</v>
      </c>
      <c r="O2220" t="s">
        <v>4931</v>
      </c>
      <c r="Q2220" t="str">
        <f t="shared" si="113"/>
        <v>condorProc.py --series 07180903_1302 --donoise --dumps a --procenv environments/pymidas_HVHV_NaI_mf.env</v>
      </c>
    </row>
    <row r="2221" spans="1:17">
      <c r="A2221" t="s">
        <v>7676</v>
      </c>
      <c r="G2221" s="191"/>
      <c r="H2221" s="210"/>
      <c r="K2221" s="180"/>
      <c r="M2221" t="s">
        <v>2246</v>
      </c>
      <c r="N2221" t="s">
        <v>5571</v>
      </c>
      <c r="O2221" t="s">
        <v>4931</v>
      </c>
      <c r="Q2221" t="str">
        <f t="shared" si="113"/>
        <v>condorProc.py --series 07180903_1312 --donoise --dumps a --procenv environments/pymidas_HVHV_NaI_mf.env</v>
      </c>
    </row>
    <row r="2222" spans="1:17">
      <c r="A2222" t="s">
        <v>7677</v>
      </c>
      <c r="G2222" s="191"/>
      <c r="H2222" s="210"/>
      <c r="K2222" s="180"/>
      <c r="M2222" t="s">
        <v>2246</v>
      </c>
      <c r="N2222" t="s">
        <v>5571</v>
      </c>
      <c r="O2222" t="s">
        <v>4931</v>
      </c>
      <c r="Q2222" t="str">
        <f t="shared" si="113"/>
        <v>condorProc.py --series 07180903_1322 --donoise --dumps a --procenv environments/pymidas_HVHV_NaI_mf.env</v>
      </c>
    </row>
    <row r="2223" spans="1:17">
      <c r="A2223" t="s">
        <v>7678</v>
      </c>
      <c r="G2223" s="191"/>
      <c r="H2223" s="210"/>
      <c r="K2223" s="180"/>
      <c r="M2223" t="s">
        <v>2246</v>
      </c>
      <c r="N2223" t="s">
        <v>5571</v>
      </c>
      <c r="O2223" t="s">
        <v>4931</v>
      </c>
      <c r="Q2223" t="str">
        <f t="shared" si="113"/>
        <v>condorProc.py --series 07180903_1332 --donoise --dumps a --procenv environments/pymidas_HVHV_NaI_mf.env</v>
      </c>
    </row>
    <row r="2224" spans="1:17">
      <c r="A2224" t="s">
        <v>7679</v>
      </c>
      <c r="G2224" s="191"/>
      <c r="H2224" s="210"/>
      <c r="K2224" s="180"/>
      <c r="M2224" t="s">
        <v>2246</v>
      </c>
      <c r="N2224" t="s">
        <v>5571</v>
      </c>
      <c r="O2224" t="s">
        <v>4931</v>
      </c>
      <c r="Q2224" t="str">
        <f t="shared" si="113"/>
        <v>condorProc.py --series 07180903_1342 --donoise --dumps a --procenv environments/pymidas_HVHV_NaI_mf.env</v>
      </c>
    </row>
    <row r="2225" spans="1:17">
      <c r="A2225" t="s">
        <v>7680</v>
      </c>
      <c r="G2225" s="191"/>
      <c r="H2225" s="210"/>
      <c r="K2225" s="180"/>
      <c r="M2225" t="s">
        <v>2246</v>
      </c>
      <c r="N2225" t="s">
        <v>5571</v>
      </c>
      <c r="O2225" t="s">
        <v>4931</v>
      </c>
      <c r="Q2225" t="str">
        <f t="shared" si="113"/>
        <v>condorProc.py --series 07180903_1352 --donoise --dumps a --procenv environments/pymidas_HVHV_NaI_mf.env</v>
      </c>
    </row>
    <row r="2226" spans="1:17">
      <c r="A2226" t="s">
        <v>7681</v>
      </c>
      <c r="F2226" s="65"/>
      <c r="G2226" s="193"/>
      <c r="H2226" s="211"/>
      <c r="I2226" s="65" t="s">
        <v>75</v>
      </c>
      <c r="J2226" s="65"/>
      <c r="K2226" s="202"/>
      <c r="L2226" t="str">
        <f>"BatViewer --nohardcode "&amp;A2226&amp;"/"&amp;A2226&amp;"_F0010.mid.gz"</f>
        <v>BatViewer --nohardcode 07180903_1402/07180903_1402_F0010.mid.gz</v>
      </c>
      <c r="M2226" t="s">
        <v>2246</v>
      </c>
      <c r="N2226" t="s">
        <v>5571</v>
      </c>
      <c r="O2226" t="s">
        <v>4931</v>
      </c>
      <c r="Q2226" t="str">
        <f t="shared" si="113"/>
        <v>condorProc.py --series 07180903_1402 --donoise --dumps a --procenv environments/pymidas_HVHV_NaI_mf.env</v>
      </c>
    </row>
    <row r="2227" spans="1:17">
      <c r="A2227" t="s">
        <v>7682</v>
      </c>
      <c r="F2227" s="177">
        <v>10</v>
      </c>
      <c r="G2227" s="192" t="s">
        <v>2248</v>
      </c>
      <c r="H2227" s="209">
        <v>-80</v>
      </c>
      <c r="I2227" s="177"/>
      <c r="J2227" s="177" t="s">
        <v>5577</v>
      </c>
      <c r="K2227" s="178" t="s">
        <v>5583</v>
      </c>
      <c r="M2227" t="s">
        <v>2246</v>
      </c>
      <c r="N2227" t="s">
        <v>5571</v>
      </c>
      <c r="O2227" t="s">
        <v>4931</v>
      </c>
      <c r="Q2227" t="str">
        <f t="shared" si="113"/>
        <v>condorProc.py --series 07180903_1457 --donoise --dumps a --procenv environments/pymidas_HVHV_NaI_mf.env</v>
      </c>
    </row>
    <row r="2228" spans="1:17">
      <c r="A2228" t="s">
        <v>7683</v>
      </c>
      <c r="G2228" s="191"/>
      <c r="H2228" s="210"/>
      <c r="J2228" t="s">
        <v>5585</v>
      </c>
      <c r="K2228" s="180" t="s">
        <v>5671</v>
      </c>
      <c r="M2228" t="s">
        <v>2246</v>
      </c>
      <c r="N2228" t="s">
        <v>5571</v>
      </c>
      <c r="O2228" t="s">
        <v>4931</v>
      </c>
      <c r="Q2228" t="str">
        <f t="shared" si="113"/>
        <v>condorProc.py --series 07180903_1507 --donoise --dumps a --procenv environments/pymidas_HVHV_NaI_mf.env</v>
      </c>
    </row>
    <row r="2229" spans="1:17">
      <c r="A2229" t="s">
        <v>7684</v>
      </c>
      <c r="G2229" s="191"/>
      <c r="H2229" s="210"/>
      <c r="K2229" s="187" t="s">
        <v>6206</v>
      </c>
      <c r="M2229" t="s">
        <v>2246</v>
      </c>
      <c r="N2229" t="s">
        <v>5571</v>
      </c>
      <c r="O2229" t="s">
        <v>4931</v>
      </c>
      <c r="Q2229" t="str">
        <f t="shared" si="113"/>
        <v>condorProc.py --series 07180903_1517 --donoise --dumps a --procenv environments/pymidas_HVHV_NaI_mf.env</v>
      </c>
    </row>
    <row r="2230" spans="1:17">
      <c r="A2230" t="s">
        <v>7685</v>
      </c>
      <c r="G2230" s="191"/>
      <c r="H2230" s="210"/>
      <c r="K2230" s="180"/>
      <c r="M2230" t="s">
        <v>2246</v>
      </c>
      <c r="N2230" t="s">
        <v>5571</v>
      </c>
      <c r="O2230" t="s">
        <v>4931</v>
      </c>
      <c r="Q2230" t="str">
        <f t="shared" si="113"/>
        <v>condorProc.py --series 07180903_1527 --donoise --dumps a --procenv environments/pymidas_HVHV_NaI_mf.env</v>
      </c>
    </row>
    <row r="2231" spans="1:17">
      <c r="A2231" t="s">
        <v>7686</v>
      </c>
      <c r="G2231" s="191"/>
      <c r="H2231" s="210"/>
      <c r="K2231" s="180"/>
      <c r="M2231" t="s">
        <v>2246</v>
      </c>
      <c r="N2231" t="s">
        <v>5571</v>
      </c>
      <c r="O2231" t="s">
        <v>4931</v>
      </c>
      <c r="Q2231" t="str">
        <f t="shared" si="113"/>
        <v>condorProc.py --series 07180903_1537 --donoise --dumps a --procenv environments/pymidas_HVHV_NaI_mf.env</v>
      </c>
    </row>
    <row r="2232" spans="1:17">
      <c r="A2232" t="s">
        <v>7687</v>
      </c>
      <c r="G2232" s="191"/>
      <c r="H2232" s="210"/>
      <c r="K2232" s="180"/>
      <c r="M2232" t="s">
        <v>2246</v>
      </c>
      <c r="N2232" t="s">
        <v>5571</v>
      </c>
      <c r="O2232" t="s">
        <v>4931</v>
      </c>
      <c r="Q2232" t="str">
        <f t="shared" si="113"/>
        <v>condorProc.py --series 07180903_1548 --donoise --dumps a --procenv environments/pymidas_HVHV_NaI_mf.env</v>
      </c>
    </row>
    <row r="2233" spans="1:17">
      <c r="A2233" t="s">
        <v>7688</v>
      </c>
      <c r="G2233" s="191"/>
      <c r="H2233" s="210"/>
      <c r="K2233" s="180"/>
      <c r="M2233" t="s">
        <v>2246</v>
      </c>
      <c r="N2233" t="s">
        <v>5571</v>
      </c>
      <c r="O2233" t="s">
        <v>4931</v>
      </c>
      <c r="Q2233" t="str">
        <f t="shared" si="113"/>
        <v>condorProc.py --series 07180903_1558 --donoise --dumps a --procenv environments/pymidas_HVHV_NaI_mf.env</v>
      </c>
    </row>
    <row r="2234" spans="1:17">
      <c r="A2234" t="s">
        <v>7689</v>
      </c>
      <c r="G2234" s="191"/>
      <c r="H2234" s="210"/>
      <c r="K2234" s="180"/>
      <c r="M2234" t="s">
        <v>2246</v>
      </c>
      <c r="N2234" t="s">
        <v>5571</v>
      </c>
      <c r="O2234" t="s">
        <v>4931</v>
      </c>
      <c r="Q2234" t="str">
        <f t="shared" si="113"/>
        <v>condorProc.py --series 07180903_1608 --donoise --dumps a --procenv environments/pymidas_HVHV_NaI_mf.env</v>
      </c>
    </row>
    <row r="2235" spans="1:17">
      <c r="A2235" t="s">
        <v>7690</v>
      </c>
      <c r="G2235" s="191"/>
      <c r="H2235" s="210"/>
      <c r="K2235" s="180"/>
      <c r="M2235" t="s">
        <v>2246</v>
      </c>
      <c r="N2235" t="s">
        <v>5571</v>
      </c>
      <c r="O2235" t="s">
        <v>4931</v>
      </c>
      <c r="Q2235" t="str">
        <f t="shared" si="113"/>
        <v>condorProc.py --series 07180903_1618 --donoise --dumps a --procenv environments/pymidas_HVHV_NaI_mf.env</v>
      </c>
    </row>
    <row r="2236" spans="1:17">
      <c r="A2236" t="s">
        <v>7691</v>
      </c>
      <c r="G2236" s="191"/>
      <c r="H2236" s="210"/>
      <c r="K2236" s="180"/>
      <c r="M2236" t="s">
        <v>2246</v>
      </c>
      <c r="N2236" t="s">
        <v>5571</v>
      </c>
      <c r="O2236" t="s">
        <v>4931</v>
      </c>
      <c r="Q2236" t="str">
        <f t="shared" si="113"/>
        <v>condorProc.py --series 07180903_1628 --donoise --dumps a --procenv environments/pymidas_HVHV_NaI_mf.env</v>
      </c>
    </row>
    <row r="2237" spans="1:17">
      <c r="A2237" t="s">
        <v>7692</v>
      </c>
      <c r="G2237" s="191"/>
      <c r="H2237" s="210"/>
      <c r="K2237" s="180"/>
      <c r="M2237" t="s">
        <v>2246</v>
      </c>
      <c r="N2237" t="s">
        <v>5571</v>
      </c>
      <c r="O2237" t="s">
        <v>4931</v>
      </c>
      <c r="Q2237" t="str">
        <f t="shared" si="113"/>
        <v>condorProc.py --series 07180903_1638 --donoise --dumps a --procenv environments/pymidas_HVHV_NaI_mf.env</v>
      </c>
    </row>
    <row r="2238" spans="1:17">
      <c r="A2238" t="s">
        <v>7693</v>
      </c>
      <c r="F2238" s="65"/>
      <c r="G2238" s="193"/>
      <c r="H2238" s="211"/>
      <c r="I2238" s="65" t="s">
        <v>75</v>
      </c>
      <c r="J2238" s="65"/>
      <c r="K2238" s="202"/>
      <c r="L2238" t="str">
        <f>"BatViewer --nohardcode "&amp;A2238&amp;"/"&amp;A2238&amp;"_F0010.mid.gz"</f>
        <v>BatViewer --nohardcode 07180903_1648/07180903_1648_F0010.mid.gz</v>
      </c>
      <c r="M2238" t="s">
        <v>2246</v>
      </c>
      <c r="N2238" t="s">
        <v>5571</v>
      </c>
      <c r="O2238" t="s">
        <v>4931</v>
      </c>
      <c r="Q2238" t="str">
        <f t="shared" si="113"/>
        <v>condorProc.py --series 07180903_1648 --donoise --dumps a --procenv environments/pymidas_HVHV_NaI_mf.env</v>
      </c>
    </row>
    <row r="2239" spans="1:17">
      <c r="A2239" t="s">
        <v>7694</v>
      </c>
      <c r="F2239" s="177">
        <v>10</v>
      </c>
      <c r="G2239" s="192" t="s">
        <v>2248</v>
      </c>
      <c r="H2239" s="209">
        <v>-80</v>
      </c>
      <c r="I2239" s="177"/>
      <c r="J2239" s="177" t="s">
        <v>5577</v>
      </c>
      <c r="K2239" s="178" t="s">
        <v>5583</v>
      </c>
      <c r="M2239" t="s">
        <v>2246</v>
      </c>
      <c r="N2239" t="s">
        <v>5571</v>
      </c>
      <c r="O2239" t="s">
        <v>4931</v>
      </c>
      <c r="Q2239" t="str">
        <f t="shared" si="113"/>
        <v>condorProc.py --series 07180903_1817 --donoise --dumps a --procenv environments/pymidas_HVHV_NaI_mf.env</v>
      </c>
    </row>
    <row r="2240" spans="1:17">
      <c r="A2240" t="s">
        <v>7695</v>
      </c>
      <c r="G2240" s="191"/>
      <c r="H2240" s="210"/>
      <c r="J2240" t="s">
        <v>5585</v>
      </c>
      <c r="K2240" s="180" t="s">
        <v>5671</v>
      </c>
      <c r="M2240" t="s">
        <v>2246</v>
      </c>
      <c r="N2240" t="s">
        <v>5571</v>
      </c>
      <c r="O2240" t="s">
        <v>4931</v>
      </c>
      <c r="Q2240" t="str">
        <f t="shared" si="113"/>
        <v>condorProc.py --series 07180903_1827 --donoise --dumps a --procenv environments/pymidas_HVHV_NaI_mf.env</v>
      </c>
    </row>
    <row r="2241" spans="1:17">
      <c r="A2241" t="s">
        <v>7696</v>
      </c>
      <c r="G2241" s="191"/>
      <c r="H2241" s="210"/>
      <c r="K2241" s="187" t="s">
        <v>6206</v>
      </c>
      <c r="M2241" t="s">
        <v>2246</v>
      </c>
      <c r="N2241" t="s">
        <v>5571</v>
      </c>
      <c r="O2241" t="s">
        <v>4931</v>
      </c>
      <c r="Q2241" t="str">
        <f t="shared" si="113"/>
        <v>condorProc.py --series 07180903_1837 --donoise --dumps a --procenv environments/pymidas_HVHV_NaI_mf.env</v>
      </c>
    </row>
    <row r="2242" spans="1:17">
      <c r="A2242" t="s">
        <v>7697</v>
      </c>
      <c r="G2242" s="191"/>
      <c r="H2242" s="210"/>
      <c r="K2242" s="180"/>
      <c r="M2242" t="s">
        <v>2246</v>
      </c>
      <c r="N2242" t="s">
        <v>5571</v>
      </c>
      <c r="O2242" t="s">
        <v>4931</v>
      </c>
      <c r="Q2242" t="str">
        <f t="shared" si="113"/>
        <v>condorProc.py --series 07180903_1847 --donoise --dumps a --procenv environments/pymidas_HVHV_NaI_mf.env</v>
      </c>
    </row>
    <row r="2243" spans="1:17">
      <c r="A2243" t="s">
        <v>7698</v>
      </c>
      <c r="G2243" s="191"/>
      <c r="H2243" s="210"/>
      <c r="K2243" s="180"/>
      <c r="M2243" t="s">
        <v>2246</v>
      </c>
      <c r="N2243" t="s">
        <v>5571</v>
      </c>
      <c r="O2243" t="s">
        <v>4931</v>
      </c>
      <c r="Q2243" t="str">
        <f t="shared" si="113"/>
        <v>condorProc.py --series 07180903_1857 --donoise --dumps a --procenv environments/pymidas_HVHV_NaI_mf.env</v>
      </c>
    </row>
    <row r="2244" spans="1:17">
      <c r="A2244" t="s">
        <v>7699</v>
      </c>
      <c r="G2244" s="191"/>
      <c r="H2244" s="210"/>
      <c r="I2244" t="s">
        <v>75</v>
      </c>
      <c r="K2244" s="180"/>
      <c r="L2244" t="str">
        <f>"BatViewer --nohardcode "&amp;A2244&amp;"/"&amp;A2244&amp;"_F0010.mid.gz"</f>
        <v>BatViewer --nohardcode 07180903_1907/07180903_1907_F0010.mid.gz</v>
      </c>
      <c r="M2244" t="s">
        <v>2246</v>
      </c>
      <c r="N2244" t="s">
        <v>5571</v>
      </c>
      <c r="O2244" t="s">
        <v>4931</v>
      </c>
      <c r="Q2244" t="str">
        <f t="shared" si="113"/>
        <v>condorProc.py --series 07180903_1907 --donoise --dumps a --procenv environments/pymidas_HVHV_NaI_mf.env</v>
      </c>
    </row>
    <row r="2245" spans="1:17">
      <c r="A2245" t="s">
        <v>7700</v>
      </c>
      <c r="G2245" s="191"/>
      <c r="H2245" s="210"/>
      <c r="K2245" s="180"/>
      <c r="M2245" t="s">
        <v>2246</v>
      </c>
      <c r="N2245" t="s">
        <v>5571</v>
      </c>
      <c r="O2245" t="s">
        <v>4931</v>
      </c>
      <c r="Q2245" t="str">
        <f t="shared" si="113"/>
        <v>condorProc.py --series 07180903_1917 --donoise --dumps a --procenv environments/pymidas_HVHV_NaI_mf.env</v>
      </c>
    </row>
    <row r="2246" spans="1:17">
      <c r="A2246" t="s">
        <v>7701</v>
      </c>
      <c r="G2246" s="191"/>
      <c r="H2246" s="210"/>
      <c r="K2246" s="180"/>
      <c r="M2246" t="s">
        <v>2246</v>
      </c>
      <c r="N2246" t="s">
        <v>5571</v>
      </c>
      <c r="O2246" t="s">
        <v>4931</v>
      </c>
      <c r="Q2246" t="str">
        <f t="shared" si="113"/>
        <v>condorProc.py --series 07180903_1927 --donoise --dumps a --procenv environments/pymidas_HVHV_NaI_mf.env</v>
      </c>
    </row>
    <row r="2247" spans="1:17">
      <c r="A2247" t="s">
        <v>7702</v>
      </c>
      <c r="G2247" s="191"/>
      <c r="H2247" s="210"/>
      <c r="K2247" s="180"/>
      <c r="M2247" t="s">
        <v>2246</v>
      </c>
      <c r="N2247" t="s">
        <v>5571</v>
      </c>
      <c r="O2247" t="s">
        <v>4931</v>
      </c>
      <c r="Q2247" t="str">
        <f t="shared" si="113"/>
        <v>condorProc.py --series 07180903_1938 --donoise --dumps a --procenv environments/pymidas_HVHV_NaI_mf.env</v>
      </c>
    </row>
    <row r="2248" spans="1:17">
      <c r="A2248" t="s">
        <v>7703</v>
      </c>
      <c r="G2248" s="191"/>
      <c r="H2248" s="210"/>
      <c r="K2248" s="180"/>
      <c r="M2248" t="s">
        <v>2246</v>
      </c>
      <c r="N2248" t="s">
        <v>5571</v>
      </c>
      <c r="O2248" t="s">
        <v>4931</v>
      </c>
      <c r="Q2248" t="str">
        <f t="shared" si="113"/>
        <v>condorProc.py --series 07180903_1948 --donoise --dumps a --procenv environments/pymidas_HVHV_NaI_mf.env</v>
      </c>
    </row>
    <row r="2249" spans="1:17">
      <c r="A2249" t="s">
        <v>7704</v>
      </c>
      <c r="G2249" s="191"/>
      <c r="H2249" s="210"/>
      <c r="K2249" s="180"/>
      <c r="M2249" t="s">
        <v>2246</v>
      </c>
      <c r="N2249" t="s">
        <v>5571</v>
      </c>
      <c r="O2249" t="s">
        <v>4931</v>
      </c>
      <c r="Q2249" t="str">
        <f t="shared" si="113"/>
        <v>condorProc.py --series 07180903_1958 --donoise --dumps a --procenv environments/pymidas_HVHV_NaI_mf.env</v>
      </c>
    </row>
    <row r="2250" spans="1:17">
      <c r="A2250" t="s">
        <v>7705</v>
      </c>
      <c r="F2250" s="65"/>
      <c r="G2250" s="193"/>
      <c r="H2250" s="211"/>
      <c r="I2250" s="65" t="s">
        <v>75</v>
      </c>
      <c r="J2250" s="65"/>
      <c r="K2250" s="202"/>
      <c r="L2250" t="str">
        <f>"BatViewer --nohardcode "&amp;A2250&amp;"/"&amp;A2250&amp;"_F0010.mid.gz"</f>
        <v>BatViewer --nohardcode 07180903_2008/07180903_2008_F0010.mid.gz</v>
      </c>
      <c r="M2250" t="s">
        <v>2246</v>
      </c>
      <c r="N2250" t="s">
        <v>5571</v>
      </c>
      <c r="O2250" t="s">
        <v>4931</v>
      </c>
      <c r="Q2250" t="str">
        <f t="shared" si="113"/>
        <v>condorProc.py --series 07180903_2008 --donoise --dumps a --procenv environments/pymidas_HVHV_NaI_mf.env</v>
      </c>
    </row>
    <row r="2251" spans="1:17">
      <c r="A2251" t="s">
        <v>7706</v>
      </c>
      <c r="F2251" s="177">
        <v>10</v>
      </c>
      <c r="G2251" s="192" t="s">
        <v>2248</v>
      </c>
      <c r="H2251" s="209">
        <v>-80</v>
      </c>
      <c r="I2251" s="177"/>
      <c r="J2251" s="177" t="s">
        <v>5577</v>
      </c>
      <c r="K2251" s="178" t="s">
        <v>5583</v>
      </c>
      <c r="M2251" t="s">
        <v>2246</v>
      </c>
      <c r="N2251" t="s">
        <v>5571</v>
      </c>
      <c r="O2251" t="s">
        <v>4931</v>
      </c>
      <c r="Q2251" t="str">
        <f t="shared" si="113"/>
        <v>condorProc.py --series 07180903_2102 --donoise --dumps a --procenv environments/pymidas_HVHV_NaI_mf.env</v>
      </c>
    </row>
    <row r="2252" spans="1:17">
      <c r="A2252" t="s">
        <v>7707</v>
      </c>
      <c r="G2252" s="191"/>
      <c r="H2252" s="210"/>
      <c r="J2252" t="s">
        <v>5585</v>
      </c>
      <c r="K2252" s="180" t="s">
        <v>5671</v>
      </c>
      <c r="M2252" t="s">
        <v>2246</v>
      </c>
      <c r="N2252" t="s">
        <v>5571</v>
      </c>
      <c r="O2252" t="s">
        <v>4931</v>
      </c>
      <c r="Q2252" t="str">
        <f t="shared" si="113"/>
        <v>condorProc.py --series 07180903_2112 --donoise --dumps a --procenv environments/pymidas_HVHV_NaI_mf.env</v>
      </c>
    </row>
    <row r="2253" spans="1:17">
      <c r="A2253" t="s">
        <v>7708</v>
      </c>
      <c r="G2253" s="191"/>
      <c r="H2253" s="210"/>
      <c r="K2253" s="187" t="s">
        <v>6206</v>
      </c>
      <c r="M2253" t="s">
        <v>2246</v>
      </c>
      <c r="N2253" t="s">
        <v>5571</v>
      </c>
      <c r="O2253" t="s">
        <v>4931</v>
      </c>
      <c r="Q2253" t="str">
        <f t="shared" si="113"/>
        <v>condorProc.py --series 07180903_2122 --donoise --dumps a --procenv environments/pymidas_HVHV_NaI_mf.env</v>
      </c>
    </row>
    <row r="2254" spans="1:17">
      <c r="A2254" t="s">
        <v>7709</v>
      </c>
      <c r="G2254" s="191"/>
      <c r="H2254" s="210"/>
      <c r="K2254" s="180"/>
      <c r="M2254" t="s">
        <v>2246</v>
      </c>
      <c r="N2254" t="s">
        <v>5571</v>
      </c>
      <c r="O2254" t="s">
        <v>4931</v>
      </c>
      <c r="Q2254" t="str">
        <f t="shared" si="113"/>
        <v>condorProc.py --series 07180903_2132 --donoise --dumps a --procenv environments/pymidas_HVHV_NaI_mf.env</v>
      </c>
    </row>
    <row r="2255" spans="1:17">
      <c r="A2255" t="s">
        <v>7710</v>
      </c>
      <c r="G2255" s="191"/>
      <c r="H2255" s="210"/>
      <c r="K2255" s="180"/>
      <c r="M2255" t="s">
        <v>2246</v>
      </c>
      <c r="N2255" t="s">
        <v>5571</v>
      </c>
      <c r="O2255" t="s">
        <v>4931</v>
      </c>
      <c r="Q2255" t="str">
        <f t="shared" si="113"/>
        <v>condorProc.py --series 07180903_2142 --donoise --dumps a --procenv environments/pymidas_HVHV_NaI_mf.env</v>
      </c>
    </row>
    <row r="2256" spans="1:17">
      <c r="A2256" t="s">
        <v>7711</v>
      </c>
      <c r="G2256" s="191"/>
      <c r="H2256" s="210"/>
      <c r="K2256" s="180"/>
      <c r="M2256" t="s">
        <v>2246</v>
      </c>
      <c r="N2256" t="s">
        <v>5571</v>
      </c>
      <c r="O2256" t="s">
        <v>4931</v>
      </c>
      <c r="Q2256" t="str">
        <f t="shared" si="113"/>
        <v>condorProc.py --series 07180903_2153 --donoise --dumps a --procenv environments/pymidas_HVHV_NaI_mf.env</v>
      </c>
    </row>
    <row r="2257" spans="1:17">
      <c r="A2257" t="s">
        <v>7712</v>
      </c>
      <c r="G2257" s="191"/>
      <c r="H2257" s="210"/>
      <c r="K2257" s="180"/>
      <c r="M2257" t="s">
        <v>2246</v>
      </c>
      <c r="N2257" t="s">
        <v>5571</v>
      </c>
      <c r="O2257" t="s">
        <v>4931</v>
      </c>
      <c r="Q2257" t="str">
        <f t="shared" si="113"/>
        <v>condorProc.py --series 07180903_2203 --donoise --dumps a --procenv environments/pymidas_HVHV_NaI_mf.env</v>
      </c>
    </row>
    <row r="2258" spans="1:17">
      <c r="A2258" t="s">
        <v>7713</v>
      </c>
      <c r="G2258" s="191"/>
      <c r="H2258" s="210"/>
      <c r="K2258" s="180"/>
      <c r="M2258" t="s">
        <v>2246</v>
      </c>
      <c r="N2258" t="s">
        <v>5571</v>
      </c>
      <c r="O2258" t="s">
        <v>4931</v>
      </c>
      <c r="Q2258" t="str">
        <f t="shared" si="113"/>
        <v>condorProc.py --series 07180903_2213 --donoise --dumps a --procenv environments/pymidas_HVHV_NaI_mf.env</v>
      </c>
    </row>
    <row r="2259" spans="1:17">
      <c r="A2259" t="s">
        <v>7714</v>
      </c>
      <c r="G2259" s="191"/>
      <c r="H2259" s="210"/>
      <c r="K2259" s="180"/>
      <c r="M2259" t="s">
        <v>2246</v>
      </c>
      <c r="N2259" t="s">
        <v>5571</v>
      </c>
      <c r="O2259" t="s">
        <v>4931</v>
      </c>
      <c r="Q2259" t="str">
        <f t="shared" si="113"/>
        <v>condorProc.py --series 07180903_2223 --donoise --dumps a --procenv environments/pymidas_HVHV_NaI_mf.env</v>
      </c>
    </row>
    <row r="2260" spans="1:17">
      <c r="A2260" t="s">
        <v>7715</v>
      </c>
      <c r="G2260" s="191"/>
      <c r="H2260" s="210"/>
      <c r="K2260" s="180"/>
      <c r="M2260" t="s">
        <v>2246</v>
      </c>
      <c r="N2260" t="s">
        <v>5571</v>
      </c>
      <c r="O2260" t="s">
        <v>4931</v>
      </c>
      <c r="Q2260" t="str">
        <f t="shared" si="113"/>
        <v>condorProc.py --series 07180903_2233 --donoise --dumps a --procenv environments/pymidas_HVHV_NaI_mf.env</v>
      </c>
    </row>
    <row r="2261" spans="1:17">
      <c r="A2261" t="s">
        <v>7716</v>
      </c>
      <c r="G2261" s="191"/>
      <c r="H2261" s="210"/>
      <c r="K2261" s="180"/>
      <c r="M2261" t="s">
        <v>2246</v>
      </c>
      <c r="N2261" t="s">
        <v>5571</v>
      </c>
      <c r="O2261" t="s">
        <v>4931</v>
      </c>
      <c r="Q2261" t="str">
        <f t="shared" si="113"/>
        <v>condorProc.py --series 07180903_2243 --donoise --dumps a --procenv environments/pymidas_HVHV_NaI_mf.env</v>
      </c>
    </row>
    <row r="2262" spans="1:17">
      <c r="A2262" t="s">
        <v>7717</v>
      </c>
      <c r="F2262" s="65"/>
      <c r="G2262" s="193"/>
      <c r="H2262" s="211"/>
      <c r="I2262" s="65"/>
      <c r="J2262" s="65"/>
      <c r="K2262" s="202"/>
      <c r="M2262" t="s">
        <v>2246</v>
      </c>
      <c r="N2262" t="s">
        <v>5571</v>
      </c>
      <c r="O2262" t="s">
        <v>4931</v>
      </c>
      <c r="Q2262" t="str">
        <f t="shared" si="113"/>
        <v>condorProc.py --series 07180903_2253 --donoise --dumps a --procenv environments/pymidas_HVHV_NaI_mf.env</v>
      </c>
    </row>
    <row r="2263" spans="1:17">
      <c r="A2263" t="s">
        <v>7718</v>
      </c>
      <c r="F2263" s="177">
        <v>10</v>
      </c>
      <c r="G2263" s="192" t="s">
        <v>2248</v>
      </c>
      <c r="H2263" s="209">
        <v>-80</v>
      </c>
      <c r="I2263" s="177"/>
      <c r="J2263" s="177" t="s">
        <v>5577</v>
      </c>
      <c r="K2263" s="178" t="s">
        <v>5583</v>
      </c>
      <c r="M2263" t="s">
        <v>2246</v>
      </c>
      <c r="N2263" t="s">
        <v>5571</v>
      </c>
      <c r="O2263" t="s">
        <v>4931</v>
      </c>
      <c r="Q2263" t="str">
        <f t="shared" si="113"/>
        <v>condorProc.py --series 07180903_2347 --donoise --dumps a --procenv environments/pymidas_HVHV_NaI_mf.env</v>
      </c>
    </row>
    <row r="2264" spans="1:17">
      <c r="A2264" t="s">
        <v>7719</v>
      </c>
      <c r="G2264" s="191"/>
      <c r="H2264" s="210"/>
      <c r="J2264" t="s">
        <v>5585</v>
      </c>
      <c r="K2264" s="180" t="s">
        <v>5671</v>
      </c>
      <c r="M2264" t="s">
        <v>2246</v>
      </c>
      <c r="N2264" t="s">
        <v>5571</v>
      </c>
      <c r="O2264" t="s">
        <v>4931</v>
      </c>
      <c r="Q2264" t="str">
        <f t="shared" si="113"/>
        <v>condorProc.py --series 07180903_2357 --donoise --dumps a --procenv environments/pymidas_HVHV_NaI_mf.env</v>
      </c>
    </row>
    <row r="2265" spans="1:17">
      <c r="A2265" t="s">
        <v>7720</v>
      </c>
      <c r="G2265" s="191"/>
      <c r="H2265" s="210"/>
      <c r="K2265" s="187" t="s">
        <v>6206</v>
      </c>
      <c r="M2265" t="s">
        <v>2246</v>
      </c>
      <c r="N2265" t="s">
        <v>5571</v>
      </c>
      <c r="O2265" t="s">
        <v>4931</v>
      </c>
      <c r="Q2265" t="str">
        <f t="shared" si="113"/>
        <v>condorProc.py --series 07180904_0008 --donoise --dumps a --procenv environments/pymidas_HVHV_NaI_mf.env</v>
      </c>
    </row>
    <row r="2266" spans="1:17">
      <c r="A2266" t="s">
        <v>7721</v>
      </c>
      <c r="G2266" s="191"/>
      <c r="H2266" s="210"/>
      <c r="K2266" s="180"/>
      <c r="M2266" t="s">
        <v>2246</v>
      </c>
      <c r="N2266" t="s">
        <v>5571</v>
      </c>
      <c r="O2266" t="s">
        <v>4931</v>
      </c>
      <c r="Q2266" t="str">
        <f t="shared" si="113"/>
        <v>condorProc.py --series 07180904_0018 --donoise --dumps a --procenv environments/pymidas_HVHV_NaI_mf.env</v>
      </c>
    </row>
    <row r="2267" spans="1:17">
      <c r="A2267" t="s">
        <v>7722</v>
      </c>
      <c r="G2267" s="191"/>
      <c r="H2267" s="210"/>
      <c r="K2267" s="180"/>
      <c r="M2267" t="s">
        <v>2246</v>
      </c>
      <c r="N2267" t="s">
        <v>5571</v>
      </c>
      <c r="O2267" t="s">
        <v>4931</v>
      </c>
      <c r="Q2267" t="str">
        <f t="shared" si="113"/>
        <v>condorProc.py --series 07180904_0028 --donoise --dumps a --procenv environments/pymidas_HVHV_NaI_mf.env</v>
      </c>
    </row>
    <row r="2268" spans="1:17">
      <c r="A2268" t="s">
        <v>7723</v>
      </c>
      <c r="G2268" s="191"/>
      <c r="H2268" s="210"/>
      <c r="K2268" s="180"/>
      <c r="M2268" t="s">
        <v>2246</v>
      </c>
      <c r="N2268" t="s">
        <v>5571</v>
      </c>
      <c r="O2268" t="s">
        <v>4931</v>
      </c>
      <c r="Q2268" t="str">
        <f t="shared" si="113"/>
        <v>condorProc.py --series 07180904_0038 --donoise --dumps a --procenv environments/pymidas_HVHV_NaI_mf.env</v>
      </c>
    </row>
    <row r="2269" spans="1:17">
      <c r="A2269" t="s">
        <v>7724</v>
      </c>
      <c r="G2269" s="191"/>
      <c r="H2269" s="210"/>
      <c r="K2269" s="180"/>
      <c r="M2269" t="s">
        <v>2246</v>
      </c>
      <c r="N2269" t="s">
        <v>5571</v>
      </c>
      <c r="O2269" t="s">
        <v>4931</v>
      </c>
      <c r="Q2269" t="str">
        <f t="shared" si="113"/>
        <v>condorProc.py --series 07180904_0048 --donoise --dumps a --procenv environments/pymidas_HVHV_NaI_mf.env</v>
      </c>
    </row>
    <row r="2270" spans="1:17">
      <c r="A2270" t="s">
        <v>7725</v>
      </c>
      <c r="G2270" s="191"/>
      <c r="H2270" s="210"/>
      <c r="K2270" s="180"/>
      <c r="M2270" t="s">
        <v>2246</v>
      </c>
      <c r="N2270" t="s">
        <v>5571</v>
      </c>
      <c r="O2270" t="s">
        <v>4931</v>
      </c>
      <c r="Q2270" t="str">
        <f t="shared" si="113"/>
        <v>condorProc.py --series 07180904_0058 --donoise --dumps a --procenv environments/pymidas_HVHV_NaI_mf.env</v>
      </c>
    </row>
    <row r="2271" spans="1:17">
      <c r="A2271" t="s">
        <v>7726</v>
      </c>
      <c r="G2271" s="191"/>
      <c r="H2271" s="210"/>
      <c r="K2271" s="180"/>
      <c r="M2271" t="s">
        <v>2246</v>
      </c>
      <c r="N2271" t="s">
        <v>5571</v>
      </c>
      <c r="O2271" t="s">
        <v>4931</v>
      </c>
      <c r="Q2271" t="str">
        <f t="shared" si="113"/>
        <v>condorProc.py --series 07180904_0108 --donoise --dumps a --procenv environments/pymidas_HVHV_NaI_mf.env</v>
      </c>
    </row>
    <row r="2272" spans="1:17">
      <c r="A2272" t="s">
        <v>7727</v>
      </c>
      <c r="G2272" s="191"/>
      <c r="H2272" s="210"/>
      <c r="K2272" s="180"/>
      <c r="M2272" t="s">
        <v>2246</v>
      </c>
      <c r="N2272" t="s">
        <v>5571</v>
      </c>
      <c r="O2272" t="s">
        <v>4931</v>
      </c>
      <c r="Q2272" t="str">
        <f t="shared" si="113"/>
        <v>condorProc.py --series 07180904_0118 --donoise --dumps a --procenv environments/pymidas_HVHV_NaI_mf.env</v>
      </c>
    </row>
    <row r="2273" spans="1:17">
      <c r="A2273" t="s">
        <v>7728</v>
      </c>
      <c r="G2273" s="191"/>
      <c r="H2273" s="210"/>
      <c r="K2273" s="180"/>
      <c r="M2273" t="s">
        <v>2246</v>
      </c>
      <c r="N2273" t="s">
        <v>5571</v>
      </c>
      <c r="O2273" t="s">
        <v>4931</v>
      </c>
      <c r="Q2273" t="str">
        <f t="shared" si="113"/>
        <v>condorProc.py --series 07180904_0128 --donoise --dumps a --procenv environments/pymidas_HVHV_NaI_mf.env</v>
      </c>
    </row>
    <row r="2274" spans="1:17">
      <c r="A2274" t="s">
        <v>7729</v>
      </c>
      <c r="F2274" s="65"/>
      <c r="G2274" s="193"/>
      <c r="H2274" s="211"/>
      <c r="I2274" s="65" t="s">
        <v>75</v>
      </c>
      <c r="J2274" s="65"/>
      <c r="K2274" s="202"/>
      <c r="M2274" t="s">
        <v>2246</v>
      </c>
      <c r="N2274" t="s">
        <v>5571</v>
      </c>
      <c r="O2274" t="s">
        <v>4931</v>
      </c>
      <c r="Q2274" t="str">
        <f t="shared" si="113"/>
        <v>condorProc.py --series 07180904_0139 --donoise --dumps a --procenv environments/pymidas_HVHV_NaI_mf.env</v>
      </c>
    </row>
    <row r="2275" spans="1:17">
      <c r="A2275" t="s">
        <v>7730</v>
      </c>
      <c r="F2275" s="177">
        <v>10</v>
      </c>
      <c r="G2275" s="192" t="s">
        <v>2248</v>
      </c>
      <c r="H2275" s="209">
        <v>-80</v>
      </c>
      <c r="I2275" s="177"/>
      <c r="J2275" s="177" t="s">
        <v>5577</v>
      </c>
      <c r="K2275" s="178" t="s">
        <v>5583</v>
      </c>
      <c r="M2275" t="s">
        <v>2246</v>
      </c>
      <c r="N2275" t="s">
        <v>5571</v>
      </c>
      <c r="O2275" t="s">
        <v>4931</v>
      </c>
      <c r="Q2275" t="str">
        <f t="shared" si="113"/>
        <v>condorProc.py --series 07180904_0233 --donoise --dumps a --procenv environments/pymidas_HVHV_NaI_mf.env</v>
      </c>
    </row>
    <row r="2276" spans="1:17">
      <c r="A2276" t="s">
        <v>7731</v>
      </c>
      <c r="G2276" s="191"/>
      <c r="H2276" s="210"/>
      <c r="J2276" t="s">
        <v>5585</v>
      </c>
      <c r="K2276" s="180" t="s">
        <v>5671</v>
      </c>
      <c r="M2276" t="s">
        <v>2246</v>
      </c>
      <c r="N2276" t="s">
        <v>5571</v>
      </c>
      <c r="O2276" t="s">
        <v>4931</v>
      </c>
      <c r="Q2276" t="str">
        <f t="shared" ref="Q2276:Q2308" si="114">"condorProc.py --series "&amp;A2276&amp;" --donoise --dumps a --procenv environments/pymidas_HVHV_NaI_mf.env"</f>
        <v>condorProc.py --series 07180904_0243 --donoise --dumps a --procenv environments/pymidas_HVHV_NaI_mf.env</v>
      </c>
    </row>
    <row r="2277" spans="1:17">
      <c r="A2277" t="s">
        <v>7732</v>
      </c>
      <c r="G2277" s="191"/>
      <c r="H2277" s="210"/>
      <c r="K2277" s="187" t="s">
        <v>6206</v>
      </c>
      <c r="M2277" t="s">
        <v>2246</v>
      </c>
      <c r="N2277" t="s">
        <v>5571</v>
      </c>
      <c r="O2277" t="s">
        <v>4931</v>
      </c>
      <c r="Q2277" t="str">
        <f t="shared" si="114"/>
        <v>condorProc.py --series 07180904_0253 --donoise --dumps a --procenv environments/pymidas_HVHV_NaI_mf.env</v>
      </c>
    </row>
    <row r="2278" spans="1:17">
      <c r="A2278" t="s">
        <v>7733</v>
      </c>
      <c r="G2278" s="191"/>
      <c r="H2278" s="210"/>
      <c r="K2278" s="180"/>
      <c r="M2278" t="s">
        <v>2246</v>
      </c>
      <c r="N2278" t="s">
        <v>5571</v>
      </c>
      <c r="O2278" t="s">
        <v>4931</v>
      </c>
      <c r="Q2278" t="str">
        <f t="shared" si="114"/>
        <v>condorProc.py --series 07180904_0303 --donoise --dumps a --procenv environments/pymidas_HVHV_NaI_mf.env</v>
      </c>
    </row>
    <row r="2279" spans="1:17">
      <c r="A2279" t="s">
        <v>7734</v>
      </c>
      <c r="G2279" s="191"/>
      <c r="H2279" s="210"/>
      <c r="K2279" s="180"/>
      <c r="M2279" t="s">
        <v>2246</v>
      </c>
      <c r="N2279" t="s">
        <v>5571</v>
      </c>
      <c r="O2279" t="s">
        <v>4931</v>
      </c>
      <c r="Q2279" t="str">
        <f t="shared" si="114"/>
        <v>condorProc.py --series 07180904_0313 --donoise --dumps a --procenv environments/pymidas_HVHV_NaI_mf.env</v>
      </c>
    </row>
    <row r="2280" spans="1:17">
      <c r="A2280" t="s">
        <v>7735</v>
      </c>
      <c r="G2280" s="191"/>
      <c r="H2280" s="210"/>
      <c r="K2280" s="180"/>
      <c r="M2280" t="s">
        <v>2246</v>
      </c>
      <c r="N2280" t="s">
        <v>5571</v>
      </c>
      <c r="O2280" t="s">
        <v>4931</v>
      </c>
      <c r="Q2280" t="str">
        <f t="shared" si="114"/>
        <v>condorProc.py --series 07180904_0323 --donoise --dumps a --procenv environments/pymidas_HVHV_NaI_mf.env</v>
      </c>
    </row>
    <row r="2281" spans="1:17">
      <c r="A2281" t="s">
        <v>7736</v>
      </c>
      <c r="G2281" s="191"/>
      <c r="H2281" s="210"/>
      <c r="K2281" s="180"/>
      <c r="M2281" t="s">
        <v>2246</v>
      </c>
      <c r="N2281" t="s">
        <v>5571</v>
      </c>
      <c r="O2281" t="s">
        <v>4931</v>
      </c>
      <c r="Q2281" t="str">
        <f t="shared" si="114"/>
        <v>condorProc.py --series 07180904_0333 --donoise --dumps a --procenv environments/pymidas_HVHV_NaI_mf.env</v>
      </c>
    </row>
    <row r="2282" spans="1:17">
      <c r="A2282" t="s">
        <v>7737</v>
      </c>
      <c r="G2282" s="191"/>
      <c r="H2282" s="210"/>
      <c r="K2282" s="180"/>
      <c r="M2282" t="s">
        <v>2246</v>
      </c>
      <c r="N2282" t="s">
        <v>5571</v>
      </c>
      <c r="O2282" t="s">
        <v>4931</v>
      </c>
      <c r="Q2282" t="str">
        <f t="shared" si="114"/>
        <v>condorProc.py --series 07180904_0343 --donoise --dumps a --procenv environments/pymidas_HVHV_NaI_mf.env</v>
      </c>
    </row>
    <row r="2283" spans="1:17">
      <c r="A2283" t="s">
        <v>7738</v>
      </c>
      <c r="G2283" s="191"/>
      <c r="H2283" s="210"/>
      <c r="K2283" s="180"/>
      <c r="M2283" t="s">
        <v>2246</v>
      </c>
      <c r="N2283" t="s">
        <v>5571</v>
      </c>
      <c r="O2283" t="s">
        <v>4931</v>
      </c>
      <c r="Q2283" t="str">
        <f t="shared" si="114"/>
        <v>condorProc.py --series 07180904_0353 --donoise --dumps a --procenv environments/pymidas_HVHV_NaI_mf.env</v>
      </c>
    </row>
    <row r="2284" spans="1:17">
      <c r="A2284" t="s">
        <v>7739</v>
      </c>
      <c r="G2284" s="191"/>
      <c r="H2284" s="210"/>
      <c r="K2284" s="180"/>
      <c r="M2284" t="s">
        <v>2246</v>
      </c>
      <c r="N2284" t="s">
        <v>5571</v>
      </c>
      <c r="O2284" t="s">
        <v>4931</v>
      </c>
      <c r="Q2284" t="str">
        <f t="shared" si="114"/>
        <v>condorProc.py --series 07180904_0404 --donoise --dumps a --procenv environments/pymidas_HVHV_NaI_mf.env</v>
      </c>
    </row>
    <row r="2285" spans="1:17">
      <c r="A2285" t="s">
        <v>7740</v>
      </c>
      <c r="G2285" s="191"/>
      <c r="H2285" s="210"/>
      <c r="K2285" s="180"/>
      <c r="M2285" t="s">
        <v>2246</v>
      </c>
      <c r="N2285" t="s">
        <v>5571</v>
      </c>
      <c r="O2285" t="s">
        <v>4931</v>
      </c>
      <c r="Q2285" t="str">
        <f t="shared" si="114"/>
        <v>condorProc.py --series 07180904_0414 --donoise --dumps a --procenv environments/pymidas_HVHV_NaI_mf.env</v>
      </c>
    </row>
    <row r="2286" spans="1:17">
      <c r="A2286" t="s">
        <v>7741</v>
      </c>
      <c r="F2286" s="65"/>
      <c r="G2286" s="193"/>
      <c r="H2286" s="211"/>
      <c r="I2286" s="65" t="s">
        <v>75</v>
      </c>
      <c r="J2286" s="65"/>
      <c r="K2286" s="202"/>
      <c r="M2286" t="s">
        <v>2246</v>
      </c>
      <c r="N2286" t="s">
        <v>5571</v>
      </c>
      <c r="O2286" t="s">
        <v>4931</v>
      </c>
      <c r="Q2286" t="str">
        <f t="shared" si="114"/>
        <v>condorProc.py --series 07180904_0424 --donoise --dumps a --procenv environments/pymidas_HVHV_NaI_mf.env</v>
      </c>
    </row>
    <row r="2287" spans="1:17">
      <c r="A2287" t="s">
        <v>7742</v>
      </c>
      <c r="F2287" s="177">
        <v>10</v>
      </c>
      <c r="G2287" s="192" t="s">
        <v>2248</v>
      </c>
      <c r="H2287" s="209">
        <v>-80</v>
      </c>
      <c r="I2287" s="177" t="s">
        <v>7743</v>
      </c>
      <c r="J2287" s="177" t="s">
        <v>5577</v>
      </c>
      <c r="K2287" s="178" t="s">
        <v>5583</v>
      </c>
      <c r="M2287" t="s">
        <v>2246</v>
      </c>
      <c r="N2287" t="s">
        <v>5571</v>
      </c>
      <c r="Q2287" t="str">
        <f t="shared" si="114"/>
        <v>condorProc.py --series 07180904_0518 --donoise --dumps a --procenv environments/pymidas_HVHV_NaI_mf.env</v>
      </c>
    </row>
    <row r="2288" spans="1:17">
      <c r="A2288" t="s">
        <v>7744</v>
      </c>
      <c r="G2288" s="191"/>
      <c r="H2288" s="210"/>
      <c r="I2288" t="s">
        <v>7743</v>
      </c>
      <c r="J2288" t="s">
        <v>5585</v>
      </c>
      <c r="K2288" s="180" t="s">
        <v>5671</v>
      </c>
      <c r="M2288" t="s">
        <v>2246</v>
      </c>
      <c r="N2288" t="s">
        <v>5571</v>
      </c>
      <c r="Q2288" t="str">
        <f t="shared" si="114"/>
        <v>condorProc.py --series 07180904_0528 --donoise --dumps a --procenv environments/pymidas_HVHV_NaI_mf.env</v>
      </c>
    </row>
    <row r="2289" spans="1:17">
      <c r="A2289" t="s">
        <v>7745</v>
      </c>
      <c r="G2289" s="191"/>
      <c r="H2289" s="210"/>
      <c r="I2289" t="s">
        <v>7743</v>
      </c>
      <c r="K2289" s="187" t="s">
        <v>6206</v>
      </c>
      <c r="M2289" t="s">
        <v>2246</v>
      </c>
      <c r="N2289" t="s">
        <v>5571</v>
      </c>
      <c r="Q2289" t="str">
        <f t="shared" si="114"/>
        <v>condorProc.py --series 07180904_0538 --donoise --dumps a --procenv environments/pymidas_HVHV_NaI_mf.env</v>
      </c>
    </row>
    <row r="2290" spans="1:17">
      <c r="A2290" t="s">
        <v>7746</v>
      </c>
      <c r="G2290" s="191"/>
      <c r="H2290" s="210"/>
      <c r="I2290" t="s">
        <v>7743</v>
      </c>
      <c r="K2290" s="180"/>
      <c r="M2290" t="s">
        <v>2246</v>
      </c>
      <c r="N2290" t="s">
        <v>5571</v>
      </c>
      <c r="Q2290" t="str">
        <f t="shared" si="114"/>
        <v>condorProc.py --series 07180904_0548 --donoise --dumps a --procenv environments/pymidas_HVHV_NaI_mf.env</v>
      </c>
    </row>
    <row r="2291" spans="1:17">
      <c r="A2291" t="s">
        <v>7747</v>
      </c>
      <c r="G2291" s="191"/>
      <c r="H2291" s="210"/>
      <c r="I2291" t="s">
        <v>7743</v>
      </c>
      <c r="K2291" s="180" t="s">
        <v>7748</v>
      </c>
      <c r="M2291" t="s">
        <v>2246</v>
      </c>
      <c r="N2291" t="s">
        <v>5571</v>
      </c>
      <c r="Q2291" t="str">
        <f t="shared" si="114"/>
        <v>condorProc.py --series 07180904_0558 --donoise --dumps a --procenv environments/pymidas_HVHV_NaI_mf.env</v>
      </c>
    </row>
    <row r="2292" spans="1:17">
      <c r="A2292" t="s">
        <v>7749</v>
      </c>
      <c r="G2292" s="191"/>
      <c r="H2292" s="210"/>
      <c r="I2292" t="s">
        <v>7743</v>
      </c>
      <c r="K2292" s="180"/>
      <c r="M2292" t="s">
        <v>2246</v>
      </c>
      <c r="N2292" t="s">
        <v>5571</v>
      </c>
      <c r="Q2292" t="str">
        <f t="shared" si="114"/>
        <v>condorProc.py --series 07180904_0608 --donoise --dumps a --procenv environments/pymidas_HVHV_NaI_mf.env</v>
      </c>
    </row>
    <row r="2293" spans="1:17">
      <c r="A2293" t="s">
        <v>7750</v>
      </c>
      <c r="G2293" s="191"/>
      <c r="H2293" s="210"/>
      <c r="I2293" t="s">
        <v>7743</v>
      </c>
      <c r="K2293" s="180"/>
      <c r="M2293" t="s">
        <v>2246</v>
      </c>
      <c r="N2293" t="s">
        <v>5571</v>
      </c>
      <c r="Q2293" t="str">
        <f t="shared" si="114"/>
        <v>condorProc.py --series 07180904_0619 --donoise --dumps a --procenv environments/pymidas_HVHV_NaI_mf.env</v>
      </c>
    </row>
    <row r="2294" spans="1:17">
      <c r="A2294" t="s">
        <v>7751</v>
      </c>
      <c r="G2294" s="191"/>
      <c r="H2294" s="210"/>
      <c r="I2294" t="s">
        <v>7743</v>
      </c>
      <c r="K2294" s="180"/>
      <c r="M2294" t="s">
        <v>2246</v>
      </c>
      <c r="N2294" t="s">
        <v>5571</v>
      </c>
      <c r="Q2294" t="str">
        <f t="shared" si="114"/>
        <v>condorProc.py --series 07180904_0629 --donoise --dumps a --procenv environments/pymidas_HVHV_NaI_mf.env</v>
      </c>
    </row>
    <row r="2295" spans="1:17">
      <c r="A2295" t="s">
        <v>7752</v>
      </c>
      <c r="G2295" s="191"/>
      <c r="H2295" s="210"/>
      <c r="I2295" t="s">
        <v>7743</v>
      </c>
      <c r="K2295" s="180"/>
      <c r="M2295" t="s">
        <v>2246</v>
      </c>
      <c r="N2295" t="s">
        <v>5571</v>
      </c>
      <c r="Q2295" t="str">
        <f t="shared" si="114"/>
        <v>condorProc.py --series 07180904_0639 --donoise --dumps a --procenv environments/pymidas_HVHV_NaI_mf.env</v>
      </c>
    </row>
    <row r="2296" spans="1:17">
      <c r="A2296" t="s">
        <v>7753</v>
      </c>
      <c r="G2296" s="191"/>
      <c r="H2296" s="210"/>
      <c r="I2296" t="s">
        <v>7743</v>
      </c>
      <c r="K2296" s="180"/>
      <c r="M2296" t="s">
        <v>2246</v>
      </c>
      <c r="N2296" t="s">
        <v>5571</v>
      </c>
      <c r="Q2296" t="str">
        <f t="shared" si="114"/>
        <v>condorProc.py --series 07180904_0649 --donoise --dumps a --procenv environments/pymidas_HVHV_NaI_mf.env</v>
      </c>
    </row>
    <row r="2297" spans="1:17">
      <c r="A2297" t="s">
        <v>7754</v>
      </c>
      <c r="G2297" s="191"/>
      <c r="H2297" s="210"/>
      <c r="I2297" t="s">
        <v>7743</v>
      </c>
      <c r="K2297" s="180"/>
      <c r="M2297" t="s">
        <v>2246</v>
      </c>
      <c r="N2297" t="s">
        <v>5571</v>
      </c>
      <c r="Q2297" t="str">
        <f t="shared" si="114"/>
        <v>condorProc.py --series 07180904_0659 --donoise --dumps a --procenv environments/pymidas_HVHV_NaI_mf.env</v>
      </c>
    </row>
    <row r="2298" spans="1:17">
      <c r="A2298" t="s">
        <v>7755</v>
      </c>
      <c r="G2298" s="191"/>
      <c r="H2298" s="210"/>
      <c r="I2298" t="s">
        <v>7743</v>
      </c>
      <c r="K2298" s="187"/>
      <c r="M2298" t="s">
        <v>2246</v>
      </c>
      <c r="N2298" t="s">
        <v>5571</v>
      </c>
      <c r="Q2298" t="str">
        <f t="shared" si="114"/>
        <v>condorProc.py --series 07180904_0709 --donoise --dumps a --procenv environments/pymidas_HVHV_NaI_mf.env</v>
      </c>
    </row>
    <row r="2299" spans="1:17">
      <c r="A2299" s="176" t="s">
        <v>7756</v>
      </c>
      <c r="B2299" s="177"/>
      <c r="C2299" s="177"/>
      <c r="D2299" s="177"/>
      <c r="E2299" s="177"/>
      <c r="F2299" s="177">
        <v>10</v>
      </c>
      <c r="G2299" s="192" t="s">
        <v>2248</v>
      </c>
      <c r="H2299" s="209">
        <v>-80</v>
      </c>
      <c r="I2299" s="177"/>
      <c r="J2299" s="177" t="s">
        <v>5577</v>
      </c>
      <c r="K2299" s="178" t="s">
        <v>5583</v>
      </c>
      <c r="L2299" t="str">
        <f>"BatViewer --nohardcode "&amp;A2299&amp;"/"&amp;A2299&amp;"_F0010.mid.gz"</f>
        <v>BatViewer --nohardcode 07180904_0803/07180904_0803_F0010.mid.gz</v>
      </c>
      <c r="M2299" t="s">
        <v>2246</v>
      </c>
      <c r="N2299" t="s">
        <v>5571</v>
      </c>
      <c r="O2299" t="s">
        <v>4931</v>
      </c>
      <c r="Q2299" t="str">
        <f t="shared" si="114"/>
        <v>condorProc.py --series 07180904_0803 --donoise --dumps a --procenv environments/pymidas_HVHV_NaI_mf.env</v>
      </c>
    </row>
    <row r="2300" spans="1:17">
      <c r="A2300" s="179" t="s">
        <v>7757</v>
      </c>
      <c r="G2300" s="191"/>
      <c r="H2300" s="210"/>
      <c r="J2300" t="s">
        <v>5585</v>
      </c>
      <c r="K2300" s="180" t="s">
        <v>5671</v>
      </c>
      <c r="M2300" t="s">
        <v>2246</v>
      </c>
      <c r="N2300" t="s">
        <v>5571</v>
      </c>
      <c r="O2300" t="s">
        <v>4931</v>
      </c>
      <c r="Q2300" t="str">
        <f t="shared" si="114"/>
        <v>condorProc.py --series 07180904_0813 --donoise --dumps a --procenv environments/pymidas_HVHV_NaI_mf.env</v>
      </c>
    </row>
    <row r="2301" spans="1:17">
      <c r="A2301" s="179" t="s">
        <v>7758</v>
      </c>
      <c r="G2301" s="191"/>
      <c r="H2301" s="210"/>
      <c r="K2301" s="187" t="s">
        <v>6206</v>
      </c>
      <c r="M2301" t="s">
        <v>2246</v>
      </c>
      <c r="N2301" t="s">
        <v>5571</v>
      </c>
      <c r="O2301" t="s">
        <v>4931</v>
      </c>
      <c r="Q2301" t="str">
        <f t="shared" si="114"/>
        <v>condorProc.py --series 07180904_0823 --donoise --dumps a --procenv environments/pymidas_HVHV_NaI_mf.env</v>
      </c>
    </row>
    <row r="2302" spans="1:17">
      <c r="A2302" s="179" t="s">
        <v>7759</v>
      </c>
      <c r="G2302" s="191"/>
      <c r="H2302" s="210"/>
      <c r="K2302" s="180"/>
      <c r="M2302" t="s">
        <v>2246</v>
      </c>
      <c r="N2302" t="s">
        <v>5571</v>
      </c>
      <c r="O2302" t="s">
        <v>4931</v>
      </c>
      <c r="Q2302" t="str">
        <f t="shared" si="114"/>
        <v>condorProc.py --series 07180904_0833 --donoise --dumps a --procenv environments/pymidas_HVHV_NaI_mf.env</v>
      </c>
    </row>
    <row r="2303" spans="1:17">
      <c r="A2303" s="179" t="s">
        <v>7760</v>
      </c>
      <c r="G2303" s="191"/>
      <c r="H2303" s="210"/>
      <c r="K2303" s="180"/>
      <c r="M2303" t="s">
        <v>2246</v>
      </c>
      <c r="N2303" t="s">
        <v>5571</v>
      </c>
      <c r="O2303" t="s">
        <v>4931</v>
      </c>
      <c r="Q2303" t="str">
        <f t="shared" si="114"/>
        <v>condorProc.py --series 07180904_0844 --donoise --dumps a --procenv environments/pymidas_HVHV_NaI_mf.env</v>
      </c>
    </row>
    <row r="2304" spans="1:17">
      <c r="A2304" s="179" t="s">
        <v>7761</v>
      </c>
      <c r="G2304" s="191"/>
      <c r="H2304" s="210"/>
      <c r="K2304" s="180"/>
      <c r="M2304" t="s">
        <v>2246</v>
      </c>
      <c r="N2304" t="s">
        <v>5571</v>
      </c>
      <c r="O2304" t="s">
        <v>4931</v>
      </c>
      <c r="Q2304" t="str">
        <f t="shared" si="114"/>
        <v>condorProc.py --series 07180904_0854 --donoise --dumps a --procenv environments/pymidas_HVHV_NaI_mf.env</v>
      </c>
    </row>
    <row r="2305" spans="1:17">
      <c r="A2305" s="179" t="s">
        <v>7762</v>
      </c>
      <c r="G2305" s="191"/>
      <c r="H2305" s="210"/>
      <c r="K2305" s="180"/>
      <c r="M2305" t="s">
        <v>2246</v>
      </c>
      <c r="N2305" t="s">
        <v>5571</v>
      </c>
      <c r="O2305" t="s">
        <v>4931</v>
      </c>
      <c r="Q2305" t="str">
        <f t="shared" si="114"/>
        <v>condorProc.py --series 07180904_0904 --donoise --dumps a --procenv environments/pymidas_HVHV_NaI_mf.env</v>
      </c>
    </row>
    <row r="2306" spans="1:17">
      <c r="A2306" s="179" t="s">
        <v>7763</v>
      </c>
      <c r="G2306" s="191"/>
      <c r="H2306" s="210"/>
      <c r="K2306" s="180"/>
      <c r="M2306" t="s">
        <v>2246</v>
      </c>
      <c r="N2306" t="s">
        <v>5571</v>
      </c>
      <c r="O2306" t="s">
        <v>4931</v>
      </c>
      <c r="Q2306" t="str">
        <f t="shared" si="114"/>
        <v>condorProc.py --series 07180904_0914 --donoise --dumps a --procenv environments/pymidas_HVHV_NaI_mf.env</v>
      </c>
    </row>
    <row r="2307" spans="1:17">
      <c r="A2307" s="179" t="s">
        <v>7764</v>
      </c>
      <c r="G2307" s="191"/>
      <c r="H2307" s="210"/>
      <c r="K2307" s="180"/>
      <c r="M2307" t="s">
        <v>2246</v>
      </c>
      <c r="N2307" t="s">
        <v>5571</v>
      </c>
      <c r="O2307" t="s">
        <v>4931</v>
      </c>
      <c r="Q2307" t="str">
        <f t="shared" si="114"/>
        <v>condorProc.py --series 07180904_0924 --donoise --dumps a --procenv environments/pymidas_HVHV_NaI_mf.env</v>
      </c>
    </row>
    <row r="2308" spans="1:17">
      <c r="A2308" s="179" t="s">
        <v>7765</v>
      </c>
      <c r="G2308" s="191"/>
      <c r="H2308" s="210"/>
      <c r="I2308" t="s">
        <v>75</v>
      </c>
      <c r="K2308" s="180"/>
      <c r="L2308">
        <f>190+L2114</f>
        <v>297</v>
      </c>
      <c r="M2308" t="s">
        <v>2246</v>
      </c>
      <c r="N2308" t="s">
        <v>5571</v>
      </c>
      <c r="O2308" t="s">
        <v>4931</v>
      </c>
      <c r="Q2308" t="str">
        <f t="shared" si="114"/>
        <v>condorProc.py --series 07180904_0934 --donoise --dumps a --procenv environments/pymidas_HVHV_NaI_mf.env</v>
      </c>
    </row>
    <row r="2309" spans="1:17">
      <c r="A2309" s="179" t="s">
        <v>7766</v>
      </c>
      <c r="G2309" s="191"/>
      <c r="H2309" s="210"/>
      <c r="I2309" s="197" t="s">
        <v>7767</v>
      </c>
      <c r="K2309" s="180"/>
      <c r="L2309" t="s">
        <v>7768</v>
      </c>
      <c r="N2309" t="s">
        <v>5571</v>
      </c>
    </row>
    <row r="2310" spans="1:17">
      <c r="A2310" s="176" t="s">
        <v>7769</v>
      </c>
      <c r="B2310" s="177"/>
      <c r="C2310" s="177"/>
      <c r="D2310" s="177"/>
      <c r="E2310" s="177"/>
      <c r="F2310" s="177">
        <v>10</v>
      </c>
      <c r="G2310" s="192" t="s">
        <v>2248</v>
      </c>
      <c r="H2310" s="209">
        <v>-80</v>
      </c>
      <c r="I2310" s="213" t="s">
        <v>5434</v>
      </c>
      <c r="J2310" s="177" t="s">
        <v>5577</v>
      </c>
      <c r="K2310" s="178" t="s">
        <v>5583</v>
      </c>
      <c r="N2310" t="s">
        <v>5571</v>
      </c>
    </row>
    <row r="2311" spans="1:17">
      <c r="A2311" s="179" t="s">
        <v>7770</v>
      </c>
      <c r="G2311" s="191"/>
      <c r="H2311" s="210"/>
      <c r="I2311" s="214" t="s">
        <v>5434</v>
      </c>
      <c r="J2311" t="s">
        <v>5585</v>
      </c>
      <c r="K2311" s="180" t="s">
        <v>5671</v>
      </c>
      <c r="N2311" t="s">
        <v>5571</v>
      </c>
    </row>
    <row r="2312" spans="1:17">
      <c r="A2312" s="179" t="s">
        <v>7771</v>
      </c>
      <c r="G2312" s="191"/>
      <c r="H2312" s="210"/>
      <c r="I2312" s="214" t="s">
        <v>5434</v>
      </c>
      <c r="K2312" s="187" t="s">
        <v>6206</v>
      </c>
      <c r="N2312" t="s">
        <v>5571</v>
      </c>
    </row>
    <row r="2313" spans="1:17">
      <c r="A2313" s="179" t="s">
        <v>7772</v>
      </c>
      <c r="G2313" s="191"/>
      <c r="H2313" s="210"/>
      <c r="I2313" t="s">
        <v>75</v>
      </c>
      <c r="K2313" s="180"/>
      <c r="M2313" t="s">
        <v>2246</v>
      </c>
      <c r="N2313" t="s">
        <v>5571</v>
      </c>
      <c r="O2313" t="s">
        <v>4931</v>
      </c>
      <c r="Q2313" t="str">
        <f t="shared" ref="Q2313:Q2376" si="115">"condorProc.py --series "&amp;A2313&amp;" --donoise --dumps a --procenv environments/pymidas_HVHV_NaI_mf.env"</f>
        <v>condorProc.py --series 07180904_1415 --donoise --dumps a --procenv environments/pymidas_HVHV_NaI_mf.env</v>
      </c>
    </row>
    <row r="2314" spans="1:17">
      <c r="A2314" s="179" t="s">
        <v>7773</v>
      </c>
      <c r="G2314" s="191"/>
      <c r="H2314" s="210"/>
      <c r="K2314" s="180"/>
      <c r="M2314" t="s">
        <v>2246</v>
      </c>
      <c r="N2314" t="s">
        <v>5571</v>
      </c>
      <c r="O2314" t="s">
        <v>4931</v>
      </c>
      <c r="Q2314" t="str">
        <f t="shared" si="115"/>
        <v>condorProc.py --series 07180904_1425 --donoise --dumps a --procenv environments/pymidas_HVHV_NaI_mf.env</v>
      </c>
    </row>
    <row r="2315" spans="1:17">
      <c r="A2315" s="179" t="s">
        <v>7774</v>
      </c>
      <c r="G2315" s="191"/>
      <c r="H2315" s="210"/>
      <c r="K2315" s="180"/>
      <c r="M2315" t="s">
        <v>2246</v>
      </c>
      <c r="N2315" t="s">
        <v>5571</v>
      </c>
      <c r="O2315" t="s">
        <v>4931</v>
      </c>
      <c r="Q2315" t="str">
        <f t="shared" si="115"/>
        <v>condorProc.py --series 07180904_1456 --donoise --dumps a --procenv environments/pymidas_HVHV_NaI_mf.env</v>
      </c>
    </row>
    <row r="2316" spans="1:17">
      <c r="A2316" s="179" t="s">
        <v>7775</v>
      </c>
      <c r="G2316" s="191"/>
      <c r="H2316" s="210"/>
      <c r="K2316" s="180"/>
      <c r="M2316" t="s">
        <v>2246</v>
      </c>
      <c r="N2316" t="s">
        <v>5571</v>
      </c>
      <c r="O2316" t="s">
        <v>4931</v>
      </c>
      <c r="Q2316" t="str">
        <f t="shared" si="115"/>
        <v>condorProc.py --series 07180904_1506 --donoise --dumps a --procenv environments/pymidas_HVHV_NaI_mf.env</v>
      </c>
    </row>
    <row r="2317" spans="1:17">
      <c r="A2317" s="179" t="s">
        <v>7776</v>
      </c>
      <c r="G2317" s="191"/>
      <c r="H2317" s="210"/>
      <c r="K2317" s="180"/>
      <c r="M2317" t="s">
        <v>2246</v>
      </c>
      <c r="N2317" t="s">
        <v>5571</v>
      </c>
      <c r="O2317" t="s">
        <v>4931</v>
      </c>
      <c r="Q2317" t="str">
        <f t="shared" si="115"/>
        <v>condorProc.py --series 07180904_1516 --donoise --dumps a --procenv environments/pymidas_HVHV_NaI_mf.env</v>
      </c>
    </row>
    <row r="2318" spans="1:17">
      <c r="A2318" s="179" t="s">
        <v>7777</v>
      </c>
      <c r="G2318" s="191"/>
      <c r="H2318" s="210"/>
      <c r="K2318" s="180"/>
      <c r="M2318" t="s">
        <v>2246</v>
      </c>
      <c r="N2318" t="s">
        <v>5571</v>
      </c>
      <c r="O2318" t="s">
        <v>4931</v>
      </c>
      <c r="Q2318" t="str">
        <f t="shared" si="115"/>
        <v>condorProc.py --series 07180904_1527 --donoise --dumps a --procenv environments/pymidas_HVHV_NaI_mf.env</v>
      </c>
    </row>
    <row r="2319" spans="1:17">
      <c r="A2319" s="179" t="s">
        <v>7778</v>
      </c>
      <c r="G2319" s="191"/>
      <c r="H2319" s="210"/>
      <c r="I2319" t="s">
        <v>75</v>
      </c>
      <c r="K2319" s="180"/>
      <c r="L2319" t="str">
        <f>"BatViewer --nohardcode "&amp;A2319&amp;"/"&amp;A2319&amp;"_F0010.mid.gz"</f>
        <v>BatViewer --nohardcode 07180904_1537/07180904_1537_F0010.mid.gz</v>
      </c>
      <c r="M2319" t="s">
        <v>2246</v>
      </c>
      <c r="N2319" t="s">
        <v>5571</v>
      </c>
      <c r="O2319" t="s">
        <v>4931</v>
      </c>
      <c r="Q2319" t="str">
        <f t="shared" si="115"/>
        <v>condorProc.py --series 07180904_1537 --donoise --dumps a --procenv environments/pymidas_HVHV_NaI_mf.env</v>
      </c>
    </row>
    <row r="2320" spans="1:17">
      <c r="A2320" s="179" t="s">
        <v>7779</v>
      </c>
      <c r="G2320" s="191"/>
      <c r="H2320" s="210"/>
      <c r="K2320" s="180"/>
      <c r="M2320" t="s">
        <v>2246</v>
      </c>
      <c r="N2320" t="s">
        <v>5571</v>
      </c>
      <c r="O2320" t="s">
        <v>4931</v>
      </c>
      <c r="Q2320" t="str">
        <f t="shared" si="115"/>
        <v>condorProc.py --series 07180904_1547 --donoise --dumps a --procenv environments/pymidas_HVHV_NaI_mf.env</v>
      </c>
    </row>
    <row r="2321" spans="1:17">
      <c r="A2321" s="181" t="s">
        <v>7780</v>
      </c>
      <c r="B2321" s="65"/>
      <c r="C2321" s="65"/>
      <c r="D2321" s="65"/>
      <c r="E2321" s="65"/>
      <c r="F2321" s="65"/>
      <c r="G2321" s="191"/>
      <c r="H2321" s="210"/>
      <c r="I2321" s="65"/>
      <c r="J2321" s="65"/>
      <c r="K2321" s="182"/>
      <c r="M2321" t="s">
        <v>2246</v>
      </c>
      <c r="N2321" t="s">
        <v>5571</v>
      </c>
      <c r="O2321" t="s">
        <v>4931</v>
      </c>
      <c r="Q2321" t="str">
        <f t="shared" si="115"/>
        <v>condorProc.py --series 07180904_1557 --donoise --dumps a --procenv environments/pymidas_HVHV_NaI_mf.env</v>
      </c>
    </row>
    <row r="2322" spans="1:17">
      <c r="A2322" t="s">
        <v>7781</v>
      </c>
      <c r="F2322" s="177">
        <v>10</v>
      </c>
      <c r="G2322" s="192" t="s">
        <v>2248</v>
      </c>
      <c r="H2322" s="209">
        <v>-80</v>
      </c>
      <c r="I2322" s="177"/>
      <c r="J2322" s="177" t="s">
        <v>5577</v>
      </c>
      <c r="K2322" s="178" t="s">
        <v>5583</v>
      </c>
      <c r="M2322" t="s">
        <v>2246</v>
      </c>
      <c r="N2322" t="s">
        <v>5571</v>
      </c>
      <c r="O2322" t="s">
        <v>4931</v>
      </c>
      <c r="Q2322" t="str">
        <f t="shared" si="115"/>
        <v>condorProc.py --series 07180904_1649 --donoise --dumps a --procenv environments/pymidas_HVHV_NaI_mf.env</v>
      </c>
    </row>
    <row r="2323" spans="1:17">
      <c r="A2323" t="s">
        <v>7782</v>
      </c>
      <c r="G2323" s="191"/>
      <c r="H2323" s="210"/>
      <c r="J2323" t="s">
        <v>5585</v>
      </c>
      <c r="K2323" s="180" t="s">
        <v>5671</v>
      </c>
      <c r="M2323" t="s">
        <v>2246</v>
      </c>
      <c r="N2323" t="s">
        <v>5571</v>
      </c>
      <c r="O2323" t="s">
        <v>4931</v>
      </c>
      <c r="Q2323" t="str">
        <f t="shared" si="115"/>
        <v>condorProc.py --series 07180904_1659 --donoise --dumps a --procenv environments/pymidas_HVHV_NaI_mf.env</v>
      </c>
    </row>
    <row r="2324" spans="1:17">
      <c r="A2324" t="s">
        <v>7783</v>
      </c>
      <c r="G2324" s="191"/>
      <c r="H2324" s="210"/>
      <c r="K2324" s="187" t="s">
        <v>6206</v>
      </c>
      <c r="M2324" t="s">
        <v>2246</v>
      </c>
      <c r="N2324" t="s">
        <v>5571</v>
      </c>
      <c r="O2324" t="s">
        <v>4931</v>
      </c>
      <c r="Q2324" t="str">
        <f t="shared" si="115"/>
        <v>condorProc.py --series 07180904_1709 --donoise --dumps a --procenv environments/pymidas_HVHV_NaI_mf.env</v>
      </c>
    </row>
    <row r="2325" spans="1:17">
      <c r="A2325" t="s">
        <v>7784</v>
      </c>
      <c r="G2325" s="191"/>
      <c r="H2325" s="210"/>
      <c r="K2325" s="180"/>
      <c r="M2325" t="s">
        <v>2246</v>
      </c>
      <c r="N2325" t="s">
        <v>5571</v>
      </c>
      <c r="O2325" t="s">
        <v>4931</v>
      </c>
      <c r="Q2325" t="str">
        <f t="shared" si="115"/>
        <v>condorProc.py --series 07180904_1719 --donoise --dumps a --procenv environments/pymidas_HVHV_NaI_mf.env</v>
      </c>
    </row>
    <row r="2326" spans="1:17">
      <c r="A2326" t="s">
        <v>7785</v>
      </c>
      <c r="G2326" s="191"/>
      <c r="H2326" s="210"/>
      <c r="K2326" s="180"/>
      <c r="M2326" t="s">
        <v>2246</v>
      </c>
      <c r="N2326" t="s">
        <v>5571</v>
      </c>
      <c r="O2326" t="s">
        <v>4931</v>
      </c>
      <c r="Q2326" t="str">
        <f t="shared" si="115"/>
        <v>condorProc.py --series 07180904_1729 --donoise --dumps a --procenv environments/pymidas_HVHV_NaI_mf.env</v>
      </c>
    </row>
    <row r="2327" spans="1:17">
      <c r="A2327" t="s">
        <v>7786</v>
      </c>
      <c r="G2327" s="191"/>
      <c r="H2327" s="210"/>
      <c r="K2327" s="180"/>
      <c r="M2327" t="s">
        <v>2246</v>
      </c>
      <c r="N2327" t="s">
        <v>5571</v>
      </c>
      <c r="O2327" t="s">
        <v>4931</v>
      </c>
      <c r="Q2327" t="str">
        <f t="shared" si="115"/>
        <v>condorProc.py --series 07180904_1739 --donoise --dumps a --procenv environments/pymidas_HVHV_NaI_mf.env</v>
      </c>
    </row>
    <row r="2328" spans="1:17">
      <c r="A2328" t="s">
        <v>7787</v>
      </c>
      <c r="G2328" s="191"/>
      <c r="H2328" s="210"/>
      <c r="K2328" s="180"/>
      <c r="M2328" t="s">
        <v>2246</v>
      </c>
      <c r="N2328" t="s">
        <v>5571</v>
      </c>
      <c r="O2328" t="s">
        <v>4931</v>
      </c>
      <c r="Q2328" t="str">
        <f t="shared" si="115"/>
        <v>condorProc.py --series 07180904_1749 --donoise --dumps a --procenv environments/pymidas_HVHV_NaI_mf.env</v>
      </c>
    </row>
    <row r="2329" spans="1:17">
      <c r="A2329" t="s">
        <v>7788</v>
      </c>
      <c r="G2329" s="191"/>
      <c r="H2329" s="210"/>
      <c r="K2329" s="180"/>
      <c r="M2329" t="s">
        <v>2246</v>
      </c>
      <c r="N2329" t="s">
        <v>5571</v>
      </c>
      <c r="O2329" t="s">
        <v>4931</v>
      </c>
      <c r="Q2329" t="str">
        <f t="shared" si="115"/>
        <v>condorProc.py --series 07180904_1800 --donoise --dumps a --procenv environments/pymidas_HVHV_NaI_mf.env</v>
      </c>
    </row>
    <row r="2330" spans="1:17">
      <c r="A2330" t="s">
        <v>7789</v>
      </c>
      <c r="G2330" s="191"/>
      <c r="H2330" s="210"/>
      <c r="K2330" s="180"/>
      <c r="M2330" t="s">
        <v>2246</v>
      </c>
      <c r="N2330" t="s">
        <v>5571</v>
      </c>
      <c r="O2330" t="s">
        <v>4931</v>
      </c>
      <c r="Q2330" t="str">
        <f t="shared" si="115"/>
        <v>condorProc.py --series 07180904_1810 --donoise --dumps a --procenv environments/pymidas_HVHV_NaI_mf.env</v>
      </c>
    </row>
    <row r="2331" spans="1:17">
      <c r="A2331" t="s">
        <v>7790</v>
      </c>
      <c r="G2331" s="191"/>
      <c r="H2331" s="210"/>
      <c r="K2331" s="180"/>
      <c r="M2331" t="s">
        <v>2246</v>
      </c>
      <c r="N2331" t="s">
        <v>5571</v>
      </c>
      <c r="O2331" t="s">
        <v>4931</v>
      </c>
      <c r="Q2331" t="str">
        <f t="shared" si="115"/>
        <v>condorProc.py --series 07180904_1820 --donoise --dumps a --procenv environments/pymidas_HVHV_NaI_mf.env</v>
      </c>
    </row>
    <row r="2332" spans="1:17">
      <c r="A2332" t="s">
        <v>7791</v>
      </c>
      <c r="G2332" s="191"/>
      <c r="H2332" s="210"/>
      <c r="K2332" s="180"/>
      <c r="M2332" t="s">
        <v>2246</v>
      </c>
      <c r="N2332" t="s">
        <v>5571</v>
      </c>
      <c r="O2332" t="s">
        <v>4931</v>
      </c>
      <c r="Q2332" t="str">
        <f t="shared" si="115"/>
        <v>condorProc.py --series 07180904_1830 --donoise --dumps a --procenv environments/pymidas_HVHV_NaI_mf.env</v>
      </c>
    </row>
    <row r="2333" spans="1:17">
      <c r="A2333" t="s">
        <v>7792</v>
      </c>
      <c r="F2333" s="65"/>
      <c r="G2333" s="193"/>
      <c r="H2333" s="211"/>
      <c r="I2333" s="65"/>
      <c r="J2333" s="65"/>
      <c r="K2333" s="202"/>
      <c r="M2333" t="s">
        <v>2246</v>
      </c>
      <c r="N2333" t="s">
        <v>5571</v>
      </c>
      <c r="O2333" t="s">
        <v>4931</v>
      </c>
      <c r="Q2333" t="str">
        <f t="shared" si="115"/>
        <v>condorProc.py --series 07180904_1840 --donoise --dumps a --procenv environments/pymidas_HVHV_NaI_mf.env</v>
      </c>
    </row>
    <row r="2334" spans="1:17">
      <c r="A2334" t="s">
        <v>7793</v>
      </c>
      <c r="F2334" s="177">
        <v>10</v>
      </c>
      <c r="G2334" s="192" t="s">
        <v>2248</v>
      </c>
      <c r="H2334" s="209">
        <v>-80</v>
      </c>
      <c r="I2334" s="177"/>
      <c r="J2334" s="177" t="s">
        <v>5577</v>
      </c>
      <c r="K2334" s="178" t="s">
        <v>5583</v>
      </c>
      <c r="M2334" t="s">
        <v>2246</v>
      </c>
      <c r="N2334" t="s">
        <v>5571</v>
      </c>
      <c r="O2334" t="s">
        <v>4931</v>
      </c>
      <c r="Q2334" t="str">
        <f t="shared" si="115"/>
        <v>condorProc.py --series 07180904_1932 --donoise --dumps a --procenv environments/pymidas_HVHV_NaI_mf.env</v>
      </c>
    </row>
    <row r="2335" spans="1:17">
      <c r="A2335" t="s">
        <v>7794</v>
      </c>
      <c r="G2335" s="191"/>
      <c r="H2335" s="210"/>
      <c r="J2335" t="s">
        <v>5585</v>
      </c>
      <c r="K2335" s="180" t="s">
        <v>5671</v>
      </c>
      <c r="M2335" t="s">
        <v>2246</v>
      </c>
      <c r="N2335" t="s">
        <v>5571</v>
      </c>
      <c r="O2335" t="s">
        <v>4931</v>
      </c>
      <c r="Q2335" t="str">
        <f t="shared" si="115"/>
        <v>condorProc.py --series 07180904_1942 --donoise --dumps a --procenv environments/pymidas_HVHV_NaI_mf.env</v>
      </c>
    </row>
    <row r="2336" spans="1:17">
      <c r="A2336" t="s">
        <v>7795</v>
      </c>
      <c r="G2336" s="191"/>
      <c r="H2336" s="210"/>
      <c r="K2336" s="187" t="s">
        <v>6206</v>
      </c>
      <c r="M2336" t="s">
        <v>2246</v>
      </c>
      <c r="N2336" t="s">
        <v>5571</v>
      </c>
      <c r="O2336" t="s">
        <v>4931</v>
      </c>
      <c r="Q2336" t="str">
        <f t="shared" si="115"/>
        <v>condorProc.py --series 07180904_1952 --donoise --dumps a --procenv environments/pymidas_HVHV_NaI_mf.env</v>
      </c>
    </row>
    <row r="2337" spans="1:17">
      <c r="A2337" t="s">
        <v>7796</v>
      </c>
      <c r="G2337" s="191"/>
      <c r="H2337" s="210"/>
      <c r="K2337" s="180"/>
      <c r="M2337" t="s">
        <v>2246</v>
      </c>
      <c r="N2337" t="s">
        <v>5571</v>
      </c>
      <c r="O2337" t="s">
        <v>4931</v>
      </c>
      <c r="Q2337" t="str">
        <f t="shared" si="115"/>
        <v>condorProc.py --series 07180904_2002 --donoise --dumps a --procenv environments/pymidas_HVHV_NaI_mf.env</v>
      </c>
    </row>
    <row r="2338" spans="1:17">
      <c r="A2338" t="s">
        <v>7797</v>
      </c>
      <c r="G2338" s="191"/>
      <c r="H2338" s="210"/>
      <c r="K2338" s="180"/>
      <c r="M2338" t="s">
        <v>2246</v>
      </c>
      <c r="N2338" t="s">
        <v>5571</v>
      </c>
      <c r="O2338" t="s">
        <v>4931</v>
      </c>
      <c r="Q2338" t="str">
        <f t="shared" si="115"/>
        <v>condorProc.py --series 07180904_2012 --donoise --dumps a --procenv environments/pymidas_HVHV_NaI_mf.env</v>
      </c>
    </row>
    <row r="2339" spans="1:17">
      <c r="A2339" t="s">
        <v>7798</v>
      </c>
      <c r="G2339" s="191"/>
      <c r="H2339" s="210"/>
      <c r="I2339" t="s">
        <v>75</v>
      </c>
      <c r="K2339" s="180"/>
      <c r="L2339" t="str">
        <f>"BatViewer --nohardcode "&amp;A2339&amp;"/"&amp;A2339&amp;"_F0010.mid.gz"</f>
        <v>BatViewer --nohardcode 07180904_2022/07180904_2022_F0010.mid.gz</v>
      </c>
      <c r="M2339" t="s">
        <v>2246</v>
      </c>
      <c r="N2339" t="s">
        <v>5571</v>
      </c>
      <c r="O2339" t="s">
        <v>4931</v>
      </c>
      <c r="Q2339" t="str">
        <f t="shared" si="115"/>
        <v>condorProc.py --series 07180904_2022 --donoise --dumps a --procenv environments/pymidas_HVHV_NaI_mf.env</v>
      </c>
    </row>
    <row r="2340" spans="1:17">
      <c r="A2340" t="s">
        <v>7799</v>
      </c>
      <c r="G2340" s="191"/>
      <c r="H2340" s="210"/>
      <c r="K2340" s="180"/>
      <c r="M2340" t="s">
        <v>2246</v>
      </c>
      <c r="N2340" t="s">
        <v>5571</v>
      </c>
      <c r="O2340" t="s">
        <v>4931</v>
      </c>
      <c r="Q2340" t="str">
        <f t="shared" si="115"/>
        <v>condorProc.py --series 07180904_2032 --donoise --dumps a --procenv environments/pymidas_HVHV_NaI_mf.env</v>
      </c>
    </row>
    <row r="2341" spans="1:17">
      <c r="A2341" t="s">
        <v>7800</v>
      </c>
      <c r="G2341" s="191"/>
      <c r="H2341" s="210"/>
      <c r="K2341" s="180"/>
      <c r="M2341" t="s">
        <v>2246</v>
      </c>
      <c r="N2341" t="s">
        <v>5571</v>
      </c>
      <c r="O2341" t="s">
        <v>4931</v>
      </c>
      <c r="Q2341" t="str">
        <f t="shared" si="115"/>
        <v>condorProc.py --series 07180904_2043 --donoise --dumps a --procenv environments/pymidas_HVHV_NaI_mf.env</v>
      </c>
    </row>
    <row r="2342" spans="1:17">
      <c r="A2342" t="s">
        <v>7801</v>
      </c>
      <c r="G2342" s="191"/>
      <c r="H2342" s="210"/>
      <c r="K2342" s="180"/>
      <c r="M2342" t="s">
        <v>2246</v>
      </c>
      <c r="N2342" t="s">
        <v>5571</v>
      </c>
      <c r="O2342" t="s">
        <v>4931</v>
      </c>
      <c r="Q2342" t="str">
        <f t="shared" si="115"/>
        <v>condorProc.py --series 07180904_2053 --donoise --dumps a --procenv environments/pymidas_HVHV_NaI_mf.env</v>
      </c>
    </row>
    <row r="2343" spans="1:17">
      <c r="A2343" t="s">
        <v>7802</v>
      </c>
      <c r="G2343" s="191"/>
      <c r="H2343" s="210"/>
      <c r="K2343" s="180"/>
      <c r="M2343" t="s">
        <v>2246</v>
      </c>
      <c r="N2343" t="s">
        <v>5571</v>
      </c>
      <c r="O2343" t="s">
        <v>4931</v>
      </c>
      <c r="Q2343" t="str">
        <f t="shared" si="115"/>
        <v>condorProc.py --series 07180904_2103 --donoise --dumps a --procenv environments/pymidas_HVHV_NaI_mf.env</v>
      </c>
    </row>
    <row r="2344" spans="1:17">
      <c r="A2344" t="s">
        <v>7803</v>
      </c>
      <c r="G2344" s="191"/>
      <c r="H2344" s="210"/>
      <c r="K2344" s="180"/>
      <c r="M2344" t="s">
        <v>2246</v>
      </c>
      <c r="N2344" t="s">
        <v>5571</v>
      </c>
      <c r="O2344" t="s">
        <v>4931</v>
      </c>
      <c r="Q2344" t="str">
        <f t="shared" si="115"/>
        <v>condorProc.py --series 07180904_2113 --donoise --dumps a --procenv environments/pymidas_HVHV_NaI_mf.env</v>
      </c>
    </row>
    <row r="2345" spans="1:17">
      <c r="A2345" t="s">
        <v>7804</v>
      </c>
      <c r="F2345" s="65"/>
      <c r="G2345" s="193"/>
      <c r="H2345" s="211"/>
      <c r="I2345" s="65"/>
      <c r="J2345" s="65"/>
      <c r="K2345" s="202"/>
      <c r="M2345" t="s">
        <v>2246</v>
      </c>
      <c r="N2345" t="s">
        <v>5571</v>
      </c>
      <c r="O2345" t="s">
        <v>4931</v>
      </c>
      <c r="Q2345" t="str">
        <f t="shared" si="115"/>
        <v>condorProc.py --series 07180904_2123 --donoise --dumps a --procenv environments/pymidas_HVHV_NaI_mf.env</v>
      </c>
    </row>
    <row r="2346" spans="1:17">
      <c r="A2346" t="s">
        <v>7805</v>
      </c>
      <c r="F2346" s="177">
        <v>10</v>
      </c>
      <c r="G2346" s="192" t="s">
        <v>2248</v>
      </c>
      <c r="H2346" s="209">
        <v>-80</v>
      </c>
      <c r="I2346" s="177"/>
      <c r="J2346" s="177" t="s">
        <v>5577</v>
      </c>
      <c r="K2346" s="178" t="s">
        <v>5583</v>
      </c>
      <c r="M2346" t="s">
        <v>2246</v>
      </c>
      <c r="N2346" t="s">
        <v>5571</v>
      </c>
      <c r="O2346" t="s">
        <v>4931</v>
      </c>
      <c r="Q2346" t="str">
        <f t="shared" si="115"/>
        <v>condorProc.py --series 07180904_2215 --donoise --dumps a --procenv environments/pymidas_HVHV_NaI_mf.env</v>
      </c>
    </row>
    <row r="2347" spans="1:17">
      <c r="A2347" t="s">
        <v>7806</v>
      </c>
      <c r="G2347" s="191"/>
      <c r="H2347" s="210"/>
      <c r="J2347" t="s">
        <v>5585</v>
      </c>
      <c r="K2347" s="180" t="s">
        <v>5671</v>
      </c>
      <c r="M2347" t="s">
        <v>2246</v>
      </c>
      <c r="N2347" t="s">
        <v>5571</v>
      </c>
      <c r="O2347" t="s">
        <v>4931</v>
      </c>
      <c r="Q2347" t="str">
        <f t="shared" si="115"/>
        <v>condorProc.py --series 07180904_2225 --donoise --dumps a --procenv environments/pymidas_HVHV_NaI_mf.env</v>
      </c>
    </row>
    <row r="2348" spans="1:17">
      <c r="A2348" t="s">
        <v>7807</v>
      </c>
      <c r="G2348" s="191"/>
      <c r="H2348" s="210"/>
      <c r="K2348" s="187" t="s">
        <v>6206</v>
      </c>
      <c r="M2348" t="s">
        <v>2246</v>
      </c>
      <c r="N2348" t="s">
        <v>5571</v>
      </c>
      <c r="O2348" t="s">
        <v>4931</v>
      </c>
      <c r="Q2348" t="str">
        <f t="shared" si="115"/>
        <v>condorProc.py --series 07180904_2235 --donoise --dumps a --procenv environments/pymidas_HVHV_NaI_mf.env</v>
      </c>
    </row>
    <row r="2349" spans="1:17">
      <c r="A2349" t="s">
        <v>7808</v>
      </c>
      <c r="G2349" s="191"/>
      <c r="H2349" s="210"/>
      <c r="K2349" s="180"/>
      <c r="M2349" t="s">
        <v>2246</v>
      </c>
      <c r="N2349" t="s">
        <v>5571</v>
      </c>
      <c r="O2349" t="s">
        <v>4931</v>
      </c>
      <c r="Q2349" t="str">
        <f t="shared" si="115"/>
        <v>condorProc.py --series 07180904_2245 --donoise --dumps a --procenv environments/pymidas_HVHV_NaI_mf.env</v>
      </c>
    </row>
    <row r="2350" spans="1:17">
      <c r="A2350" t="s">
        <v>7809</v>
      </c>
      <c r="G2350" s="191"/>
      <c r="H2350" s="210"/>
      <c r="K2350" s="180"/>
      <c r="M2350" t="s">
        <v>2246</v>
      </c>
      <c r="N2350" t="s">
        <v>5571</v>
      </c>
      <c r="O2350" t="s">
        <v>4931</v>
      </c>
      <c r="Q2350" t="str">
        <f t="shared" si="115"/>
        <v>condorProc.py --series 07180904_2255 --donoise --dumps a --procenv environments/pymidas_HVHV_NaI_mf.env</v>
      </c>
    </row>
    <row r="2351" spans="1:17">
      <c r="A2351" t="s">
        <v>7810</v>
      </c>
      <c r="G2351" s="191"/>
      <c r="H2351" s="210"/>
      <c r="K2351" s="180"/>
      <c r="M2351" t="s">
        <v>2246</v>
      </c>
      <c r="N2351" t="s">
        <v>5571</v>
      </c>
      <c r="O2351" t="s">
        <v>4931</v>
      </c>
      <c r="Q2351" t="str">
        <f t="shared" si="115"/>
        <v>condorProc.py --series 07180904_2305 --donoise --dumps a --procenv environments/pymidas_HVHV_NaI_mf.env</v>
      </c>
    </row>
    <row r="2352" spans="1:17">
      <c r="A2352" t="s">
        <v>7811</v>
      </c>
      <c r="G2352" s="191"/>
      <c r="H2352" s="210"/>
      <c r="K2352" s="180"/>
      <c r="M2352" t="s">
        <v>2246</v>
      </c>
      <c r="N2352" t="s">
        <v>5571</v>
      </c>
      <c r="O2352" t="s">
        <v>4931</v>
      </c>
      <c r="Q2352" t="str">
        <f t="shared" si="115"/>
        <v>condorProc.py --series 07180904_2315 --donoise --dumps a --procenv environments/pymidas_HVHV_NaI_mf.env</v>
      </c>
    </row>
    <row r="2353" spans="1:17">
      <c r="A2353" t="s">
        <v>7812</v>
      </c>
      <c r="G2353" s="191"/>
      <c r="H2353" s="210"/>
      <c r="K2353" s="180"/>
      <c r="M2353" t="s">
        <v>2246</v>
      </c>
      <c r="N2353" t="s">
        <v>5571</v>
      </c>
      <c r="O2353" t="s">
        <v>4931</v>
      </c>
      <c r="Q2353" t="str">
        <f t="shared" si="115"/>
        <v>condorProc.py --series 07180904_2326 --donoise --dumps a --procenv environments/pymidas_HVHV_NaI_mf.env</v>
      </c>
    </row>
    <row r="2354" spans="1:17">
      <c r="A2354" t="s">
        <v>7813</v>
      </c>
      <c r="G2354" s="191"/>
      <c r="H2354" s="210"/>
      <c r="K2354" s="180"/>
      <c r="M2354" t="s">
        <v>2246</v>
      </c>
      <c r="N2354" t="s">
        <v>5571</v>
      </c>
      <c r="O2354" t="s">
        <v>4931</v>
      </c>
      <c r="Q2354" t="str">
        <f t="shared" si="115"/>
        <v>condorProc.py --series 07180904_2336 --donoise --dumps a --procenv environments/pymidas_HVHV_NaI_mf.env</v>
      </c>
    </row>
    <row r="2355" spans="1:17">
      <c r="A2355" t="s">
        <v>7814</v>
      </c>
      <c r="G2355" s="191"/>
      <c r="H2355" s="210"/>
      <c r="K2355" s="180"/>
      <c r="M2355" t="s">
        <v>2246</v>
      </c>
      <c r="N2355" t="s">
        <v>5571</v>
      </c>
      <c r="O2355" t="s">
        <v>4931</v>
      </c>
      <c r="Q2355" t="str">
        <f t="shared" si="115"/>
        <v>condorProc.py --series 07180904_2346 --donoise --dumps a --procenv environments/pymidas_HVHV_NaI_mf.env</v>
      </c>
    </row>
    <row r="2356" spans="1:17">
      <c r="A2356" t="s">
        <v>7815</v>
      </c>
      <c r="G2356" s="191"/>
      <c r="H2356" s="210"/>
      <c r="K2356" s="180"/>
      <c r="M2356" t="s">
        <v>2246</v>
      </c>
      <c r="N2356" t="s">
        <v>5571</v>
      </c>
      <c r="O2356" t="s">
        <v>4931</v>
      </c>
      <c r="Q2356" t="str">
        <f t="shared" si="115"/>
        <v>condorProc.py --series 07180904_2356 --donoise --dumps a --procenv environments/pymidas_HVHV_NaI_mf.env</v>
      </c>
    </row>
    <row r="2357" spans="1:17">
      <c r="A2357" t="s">
        <v>7816</v>
      </c>
      <c r="F2357" s="65"/>
      <c r="G2357" s="193"/>
      <c r="H2357" s="211"/>
      <c r="I2357" s="65"/>
      <c r="J2357" s="65"/>
      <c r="K2357" s="202"/>
      <c r="M2357" t="s">
        <v>2246</v>
      </c>
      <c r="N2357" t="s">
        <v>5571</v>
      </c>
      <c r="O2357" t="s">
        <v>4931</v>
      </c>
      <c r="Q2357" t="str">
        <f t="shared" si="115"/>
        <v>condorProc.py --series 07180905_0006 --donoise --dumps a --procenv environments/pymidas_HVHV_NaI_mf.env</v>
      </c>
    </row>
    <row r="2358" spans="1:17">
      <c r="A2358" t="s">
        <v>7817</v>
      </c>
      <c r="F2358" s="177">
        <v>10</v>
      </c>
      <c r="G2358" s="192" t="s">
        <v>2248</v>
      </c>
      <c r="H2358" s="209">
        <v>-80</v>
      </c>
      <c r="I2358" s="177"/>
      <c r="J2358" s="177" t="s">
        <v>5577</v>
      </c>
      <c r="K2358" s="178" t="s">
        <v>5583</v>
      </c>
      <c r="M2358" t="s">
        <v>2246</v>
      </c>
      <c r="N2358" t="s">
        <v>5571</v>
      </c>
      <c r="O2358" t="s">
        <v>4931</v>
      </c>
      <c r="Q2358" t="str">
        <f t="shared" si="115"/>
        <v>condorProc.py --series 07180905_0058 --donoise --dumps a --procenv environments/pymidas_HVHV_NaI_mf.env</v>
      </c>
    </row>
    <row r="2359" spans="1:17">
      <c r="A2359" t="s">
        <v>7818</v>
      </c>
      <c r="G2359" s="191"/>
      <c r="H2359" s="210"/>
      <c r="J2359" t="s">
        <v>5585</v>
      </c>
      <c r="K2359" s="180" t="s">
        <v>5671</v>
      </c>
      <c r="M2359" t="s">
        <v>2246</v>
      </c>
      <c r="N2359" t="s">
        <v>5571</v>
      </c>
      <c r="O2359" t="s">
        <v>4931</v>
      </c>
      <c r="Q2359" t="str">
        <f t="shared" si="115"/>
        <v>condorProc.py --series 07180905_0108 --donoise --dumps a --procenv environments/pymidas_HVHV_NaI_mf.env</v>
      </c>
    </row>
    <row r="2360" spans="1:17">
      <c r="A2360" t="s">
        <v>7819</v>
      </c>
      <c r="G2360" s="191"/>
      <c r="H2360" s="210"/>
      <c r="K2360" s="187" t="s">
        <v>6206</v>
      </c>
      <c r="M2360" t="s">
        <v>2246</v>
      </c>
      <c r="N2360" t="s">
        <v>5571</v>
      </c>
      <c r="O2360" t="s">
        <v>4931</v>
      </c>
      <c r="Q2360" t="str">
        <f t="shared" si="115"/>
        <v>condorProc.py --series 07180905_0118 --donoise --dumps a --procenv environments/pymidas_HVHV_NaI_mf.env</v>
      </c>
    </row>
    <row r="2361" spans="1:17">
      <c r="A2361" t="s">
        <v>7820</v>
      </c>
      <c r="G2361" s="191"/>
      <c r="H2361" s="210"/>
      <c r="K2361" s="180"/>
      <c r="M2361" t="s">
        <v>2246</v>
      </c>
      <c r="N2361" t="s">
        <v>5571</v>
      </c>
      <c r="O2361" t="s">
        <v>4931</v>
      </c>
      <c r="Q2361" t="str">
        <f t="shared" si="115"/>
        <v>condorProc.py --series 07180905_0128 --donoise --dumps a --procenv environments/pymidas_HVHV_NaI_mf.env</v>
      </c>
    </row>
    <row r="2362" spans="1:17">
      <c r="A2362" t="s">
        <v>7821</v>
      </c>
      <c r="G2362" s="191"/>
      <c r="H2362" s="210"/>
      <c r="K2362" s="180"/>
      <c r="M2362" t="s">
        <v>2246</v>
      </c>
      <c r="N2362" t="s">
        <v>5571</v>
      </c>
      <c r="O2362" t="s">
        <v>4931</v>
      </c>
      <c r="Q2362" t="str">
        <f t="shared" si="115"/>
        <v>condorProc.py --series 07180905_0138 --donoise --dumps a --procenv environments/pymidas_HVHV_NaI_mf.env</v>
      </c>
    </row>
    <row r="2363" spans="1:17">
      <c r="A2363" t="s">
        <v>7822</v>
      </c>
      <c r="G2363" s="191"/>
      <c r="H2363" s="210"/>
      <c r="K2363" s="180"/>
      <c r="M2363" t="s">
        <v>2246</v>
      </c>
      <c r="N2363" t="s">
        <v>5571</v>
      </c>
      <c r="O2363" t="s">
        <v>4931</v>
      </c>
      <c r="Q2363" t="str">
        <f t="shared" si="115"/>
        <v>condorProc.py --series 07180905_0148 --donoise --dumps a --procenv environments/pymidas_HVHV_NaI_mf.env</v>
      </c>
    </row>
    <row r="2364" spans="1:17">
      <c r="A2364" t="s">
        <v>7823</v>
      </c>
      <c r="G2364" s="191"/>
      <c r="H2364" s="210"/>
      <c r="K2364" s="180"/>
      <c r="M2364" t="s">
        <v>2246</v>
      </c>
      <c r="N2364" t="s">
        <v>5571</v>
      </c>
      <c r="O2364" t="s">
        <v>4931</v>
      </c>
      <c r="Q2364" t="str">
        <f t="shared" si="115"/>
        <v>condorProc.py --series 07180905_0158 --donoise --dumps a --procenv environments/pymidas_HVHV_NaI_mf.env</v>
      </c>
    </row>
    <row r="2365" spans="1:17">
      <c r="A2365" t="s">
        <v>7824</v>
      </c>
      <c r="G2365" s="191"/>
      <c r="H2365" s="210"/>
      <c r="K2365" s="180"/>
      <c r="M2365" t="s">
        <v>2246</v>
      </c>
      <c r="N2365" t="s">
        <v>5571</v>
      </c>
      <c r="O2365" t="s">
        <v>4931</v>
      </c>
      <c r="Q2365" t="str">
        <f t="shared" si="115"/>
        <v>condorProc.py --series 07180905_0209 --donoise --dumps a --procenv environments/pymidas_HVHV_NaI_mf.env</v>
      </c>
    </row>
    <row r="2366" spans="1:17">
      <c r="A2366" t="s">
        <v>7825</v>
      </c>
      <c r="G2366" s="191"/>
      <c r="H2366" s="210"/>
      <c r="K2366" s="180"/>
      <c r="M2366" t="s">
        <v>2246</v>
      </c>
      <c r="N2366" t="s">
        <v>5571</v>
      </c>
      <c r="O2366" t="s">
        <v>4931</v>
      </c>
      <c r="Q2366" t="str">
        <f t="shared" si="115"/>
        <v>condorProc.py --series 07180905_0219 --donoise --dumps a --procenv environments/pymidas_HVHV_NaI_mf.env</v>
      </c>
    </row>
    <row r="2367" spans="1:17">
      <c r="A2367" t="s">
        <v>7826</v>
      </c>
      <c r="G2367" s="191"/>
      <c r="H2367" s="210"/>
      <c r="K2367" s="180"/>
      <c r="M2367" t="s">
        <v>2246</v>
      </c>
      <c r="N2367" t="s">
        <v>5571</v>
      </c>
      <c r="O2367" t="s">
        <v>4931</v>
      </c>
      <c r="Q2367" t="str">
        <f t="shared" si="115"/>
        <v>condorProc.py --series 07180905_0229 --donoise --dumps a --procenv environments/pymidas_HVHV_NaI_mf.env</v>
      </c>
    </row>
    <row r="2368" spans="1:17">
      <c r="A2368" t="s">
        <v>7827</v>
      </c>
      <c r="G2368" s="191"/>
      <c r="H2368" s="210"/>
      <c r="K2368" s="180"/>
      <c r="M2368" t="s">
        <v>2246</v>
      </c>
      <c r="N2368" t="s">
        <v>5571</v>
      </c>
      <c r="O2368" t="s">
        <v>4931</v>
      </c>
      <c r="Q2368" t="str">
        <f t="shared" si="115"/>
        <v>condorProc.py --series 07180905_0239 --donoise --dumps a --procenv environments/pymidas_HVHV_NaI_mf.env</v>
      </c>
    </row>
    <row r="2369" spans="1:17">
      <c r="A2369" t="s">
        <v>7828</v>
      </c>
      <c r="F2369" s="65"/>
      <c r="G2369" s="193"/>
      <c r="H2369" s="211"/>
      <c r="I2369" s="65"/>
      <c r="J2369" s="65"/>
      <c r="K2369" s="202"/>
      <c r="M2369" t="s">
        <v>2246</v>
      </c>
      <c r="N2369" t="s">
        <v>5571</v>
      </c>
      <c r="O2369" t="s">
        <v>4931</v>
      </c>
      <c r="Q2369" t="str">
        <f t="shared" si="115"/>
        <v>condorProc.py --series 07180905_0249 --donoise --dumps a --procenv environments/pymidas_HVHV_NaI_mf.env</v>
      </c>
    </row>
    <row r="2370" spans="1:17">
      <c r="A2370" t="s">
        <v>7829</v>
      </c>
      <c r="F2370" s="177">
        <v>10</v>
      </c>
      <c r="G2370" s="192" t="s">
        <v>2248</v>
      </c>
      <c r="H2370" s="209">
        <v>-80</v>
      </c>
      <c r="I2370" s="177"/>
      <c r="J2370" s="177" t="s">
        <v>5577</v>
      </c>
      <c r="K2370" s="178" t="s">
        <v>5583</v>
      </c>
      <c r="M2370" t="s">
        <v>2246</v>
      </c>
      <c r="N2370" t="s">
        <v>5571</v>
      </c>
      <c r="O2370" t="s">
        <v>4931</v>
      </c>
      <c r="Q2370" t="str">
        <f t="shared" si="115"/>
        <v>condorProc.py --series 07180905_0341 --donoise --dumps a --procenv environments/pymidas_HVHV_NaI_mf.env</v>
      </c>
    </row>
    <row r="2371" spans="1:17">
      <c r="A2371" t="s">
        <v>7830</v>
      </c>
      <c r="G2371" s="191"/>
      <c r="H2371" s="210"/>
      <c r="J2371" t="s">
        <v>5585</v>
      </c>
      <c r="K2371" s="180" t="s">
        <v>5671</v>
      </c>
      <c r="M2371" t="s">
        <v>2246</v>
      </c>
      <c r="N2371" t="s">
        <v>5571</v>
      </c>
      <c r="O2371" t="s">
        <v>4931</v>
      </c>
      <c r="Q2371" t="str">
        <f t="shared" si="115"/>
        <v>condorProc.py --series 07180905_0351 --donoise --dumps a --procenv environments/pymidas_HVHV_NaI_mf.env</v>
      </c>
    </row>
    <row r="2372" spans="1:17">
      <c r="A2372" t="s">
        <v>7831</v>
      </c>
      <c r="G2372" s="191"/>
      <c r="H2372" s="210"/>
      <c r="K2372" s="187" t="s">
        <v>6206</v>
      </c>
      <c r="M2372" t="s">
        <v>2246</v>
      </c>
      <c r="N2372" t="s">
        <v>5571</v>
      </c>
      <c r="O2372" t="s">
        <v>4931</v>
      </c>
      <c r="Q2372" t="str">
        <f t="shared" si="115"/>
        <v>condorProc.py --series 07180905_0401 --donoise --dumps a --procenv environments/pymidas_HVHV_NaI_mf.env</v>
      </c>
    </row>
    <row r="2373" spans="1:17">
      <c r="A2373" t="s">
        <v>7832</v>
      </c>
      <c r="G2373" s="191"/>
      <c r="H2373" s="210"/>
      <c r="K2373" s="180"/>
      <c r="M2373" t="s">
        <v>2246</v>
      </c>
      <c r="N2373" t="s">
        <v>5571</v>
      </c>
      <c r="O2373" t="s">
        <v>4931</v>
      </c>
      <c r="Q2373" t="str">
        <f t="shared" si="115"/>
        <v>condorProc.py --series 07180905_0411 --donoise --dumps a --procenv environments/pymidas_HVHV_NaI_mf.env</v>
      </c>
    </row>
    <row r="2374" spans="1:17">
      <c r="A2374" t="s">
        <v>7833</v>
      </c>
      <c r="G2374" s="191"/>
      <c r="H2374" s="210"/>
      <c r="K2374" s="180"/>
      <c r="M2374" t="s">
        <v>2246</v>
      </c>
      <c r="N2374" t="s">
        <v>5571</v>
      </c>
      <c r="O2374" t="s">
        <v>4931</v>
      </c>
      <c r="Q2374" t="str">
        <f t="shared" si="115"/>
        <v>condorProc.py --series 07180905_0421 --donoise --dumps a --procenv environments/pymidas_HVHV_NaI_mf.env</v>
      </c>
    </row>
    <row r="2375" spans="1:17">
      <c r="A2375" t="s">
        <v>7834</v>
      </c>
      <c r="G2375" s="191"/>
      <c r="H2375" s="210"/>
      <c r="K2375" s="180"/>
      <c r="M2375" t="s">
        <v>2246</v>
      </c>
      <c r="N2375" t="s">
        <v>5571</v>
      </c>
      <c r="O2375" t="s">
        <v>4931</v>
      </c>
      <c r="Q2375" t="str">
        <f t="shared" si="115"/>
        <v>condorProc.py --series 07180905_0431 --donoise --dumps a --procenv environments/pymidas_HVHV_NaI_mf.env</v>
      </c>
    </row>
    <row r="2376" spans="1:17">
      <c r="A2376" t="s">
        <v>7835</v>
      </c>
      <c r="G2376" s="191"/>
      <c r="H2376" s="210"/>
      <c r="K2376" s="180"/>
      <c r="M2376" t="s">
        <v>2246</v>
      </c>
      <c r="N2376" t="s">
        <v>5571</v>
      </c>
      <c r="O2376" t="s">
        <v>4931</v>
      </c>
      <c r="Q2376" t="str">
        <f t="shared" si="115"/>
        <v>condorProc.py --series 07180905_0442 --donoise --dumps a --procenv environments/pymidas_HVHV_NaI_mf.env</v>
      </c>
    </row>
    <row r="2377" spans="1:17">
      <c r="A2377" t="s">
        <v>7836</v>
      </c>
      <c r="G2377" s="191"/>
      <c r="H2377" s="210"/>
      <c r="K2377" s="180"/>
      <c r="M2377" t="s">
        <v>2246</v>
      </c>
      <c r="N2377" t="s">
        <v>5571</v>
      </c>
      <c r="O2377" t="s">
        <v>4931</v>
      </c>
      <c r="Q2377" t="str">
        <f t="shared" ref="Q2377:Q2440" si="116">"condorProc.py --series "&amp;A2377&amp;" --donoise --dumps a --procenv environments/pymidas_HVHV_NaI_mf.env"</f>
        <v>condorProc.py --series 07180905_0452 --donoise --dumps a --procenv environments/pymidas_HVHV_NaI_mf.env</v>
      </c>
    </row>
    <row r="2378" spans="1:17">
      <c r="A2378" t="s">
        <v>7837</v>
      </c>
      <c r="G2378" s="191"/>
      <c r="H2378" s="210"/>
      <c r="K2378" s="180"/>
      <c r="M2378" t="s">
        <v>2246</v>
      </c>
      <c r="N2378" t="s">
        <v>5571</v>
      </c>
      <c r="O2378" t="s">
        <v>4931</v>
      </c>
      <c r="Q2378" t="str">
        <f t="shared" si="116"/>
        <v>condorProc.py --series 07180905_0502 --donoise --dumps a --procenv environments/pymidas_HVHV_NaI_mf.env</v>
      </c>
    </row>
    <row r="2379" spans="1:17">
      <c r="A2379" t="s">
        <v>7838</v>
      </c>
      <c r="G2379" s="191"/>
      <c r="H2379" s="210"/>
      <c r="K2379" s="180"/>
      <c r="M2379" t="s">
        <v>2246</v>
      </c>
      <c r="N2379" t="s">
        <v>5571</v>
      </c>
      <c r="O2379" t="s">
        <v>4931</v>
      </c>
      <c r="Q2379" t="str">
        <f t="shared" si="116"/>
        <v>condorProc.py --series 07180905_0512 --donoise --dumps a --procenv environments/pymidas_HVHV_NaI_mf.env</v>
      </c>
    </row>
    <row r="2380" spans="1:17">
      <c r="A2380" t="s">
        <v>7839</v>
      </c>
      <c r="G2380" s="191"/>
      <c r="H2380" s="210"/>
      <c r="K2380" s="180"/>
      <c r="M2380" t="s">
        <v>2246</v>
      </c>
      <c r="N2380" t="s">
        <v>5571</v>
      </c>
      <c r="O2380" t="s">
        <v>4931</v>
      </c>
      <c r="Q2380" t="str">
        <f t="shared" si="116"/>
        <v>condorProc.py --series 07180905_0522 --donoise --dumps a --procenv environments/pymidas_HVHV_NaI_mf.env</v>
      </c>
    </row>
    <row r="2381" spans="1:17">
      <c r="A2381" t="s">
        <v>7840</v>
      </c>
      <c r="F2381" s="65"/>
      <c r="G2381" s="193"/>
      <c r="H2381" s="211"/>
      <c r="I2381" s="65" t="s">
        <v>75</v>
      </c>
      <c r="J2381" s="65"/>
      <c r="K2381" s="202"/>
      <c r="L2381" t="str">
        <f>"BatViewer --nohardcode "&amp;A2381&amp;"/"&amp;A2381&amp;"_F0010.mid.gz"</f>
        <v>BatViewer --nohardcode 07180905_0532/07180905_0532_F0010.mid.gz</v>
      </c>
      <c r="M2381" t="s">
        <v>2246</v>
      </c>
      <c r="N2381" t="s">
        <v>5571</v>
      </c>
      <c r="O2381" t="s">
        <v>4931</v>
      </c>
      <c r="Q2381" t="str">
        <f t="shared" si="116"/>
        <v>condorProc.py --series 07180905_0532 --donoise --dumps a --procenv environments/pymidas_HVHV_NaI_mf.env</v>
      </c>
    </row>
    <row r="2382" spans="1:17">
      <c r="A2382" t="s">
        <v>7841</v>
      </c>
      <c r="F2382" s="177">
        <v>10</v>
      </c>
      <c r="G2382" s="192" t="s">
        <v>2248</v>
      </c>
      <c r="H2382" s="209">
        <v>-80</v>
      </c>
      <c r="I2382" s="177"/>
      <c r="J2382" s="177" t="s">
        <v>5577</v>
      </c>
      <c r="K2382" s="178" t="s">
        <v>5583</v>
      </c>
      <c r="L2382" s="1">
        <f>DATE(2000+MID(A2382,3,2),MID(A2382,5,2),MID(A2382,7,2))+TIME(MID(A2382,10,2),MID(A2382,12,2),0)</f>
        <v>43348.26666666667</v>
      </c>
      <c r="M2382" t="s">
        <v>2246</v>
      </c>
      <c r="N2382" t="s">
        <v>5571</v>
      </c>
      <c r="O2382" t="s">
        <v>4931</v>
      </c>
      <c r="Q2382" t="str">
        <f t="shared" si="116"/>
        <v>condorProc.py --series 07180905_0624 --donoise --dumps a --procenv environments/pymidas_HVHV_NaI_mf.env</v>
      </c>
    </row>
    <row r="2383" spans="1:17">
      <c r="A2383" t="s">
        <v>7842</v>
      </c>
      <c r="G2383" s="191"/>
      <c r="H2383" s="210"/>
      <c r="J2383" t="s">
        <v>5585</v>
      </c>
      <c r="K2383" s="180" t="s">
        <v>5671</v>
      </c>
      <c r="L2383">
        <v>7</v>
      </c>
      <c r="M2383" t="s">
        <v>2246</v>
      </c>
      <c r="N2383" t="s">
        <v>5571</v>
      </c>
      <c r="O2383" t="s">
        <v>4931</v>
      </c>
      <c r="Q2383" t="str">
        <f t="shared" si="116"/>
        <v>condorProc.py --series 07180905_0634 --donoise --dumps a --procenv environments/pymidas_HVHV_NaI_mf.env</v>
      </c>
    </row>
    <row r="2384" spans="1:17">
      <c r="A2384" t="s">
        <v>7843</v>
      </c>
      <c r="G2384" s="191"/>
      <c r="H2384" s="210"/>
      <c r="K2384" s="187" t="s">
        <v>6206</v>
      </c>
      <c r="M2384" t="s">
        <v>2246</v>
      </c>
      <c r="N2384" t="s">
        <v>5571</v>
      </c>
      <c r="O2384" t="s">
        <v>4931</v>
      </c>
      <c r="Q2384" t="str">
        <f t="shared" si="116"/>
        <v>condorProc.py --series 07180905_0644 --donoise --dumps a --procenv environments/pymidas_HVHV_NaI_mf.env</v>
      </c>
    </row>
    <row r="2385" spans="1:17">
      <c r="A2385" t="s">
        <v>7844</v>
      </c>
      <c r="G2385" s="191"/>
      <c r="H2385" s="210"/>
      <c r="K2385" s="180"/>
      <c r="M2385" t="s">
        <v>2246</v>
      </c>
      <c r="N2385" t="s">
        <v>5571</v>
      </c>
      <c r="O2385" t="s">
        <v>4931</v>
      </c>
      <c r="Q2385" t="str">
        <f t="shared" si="116"/>
        <v>condorProc.py --series 07180905_0654 --donoise --dumps a --procenv environments/pymidas_HVHV_NaI_mf.env</v>
      </c>
    </row>
    <row r="2386" spans="1:17">
      <c r="A2386" t="s">
        <v>7845</v>
      </c>
      <c r="G2386" s="191"/>
      <c r="H2386" s="210"/>
      <c r="K2386" s="180"/>
      <c r="M2386" t="s">
        <v>2246</v>
      </c>
      <c r="N2386" t="s">
        <v>5571</v>
      </c>
      <c r="O2386" t="s">
        <v>4931</v>
      </c>
      <c r="Q2386" t="str">
        <f t="shared" si="116"/>
        <v>condorProc.py --series 07180905_0704 --donoise --dumps a --procenv environments/pymidas_HVHV_NaI_mf.env</v>
      </c>
    </row>
    <row r="2387" spans="1:17">
      <c r="A2387" t="s">
        <v>7846</v>
      </c>
      <c r="G2387" s="191"/>
      <c r="H2387" s="210"/>
      <c r="L2387" s="1"/>
      <c r="M2387" t="s">
        <v>2246</v>
      </c>
      <c r="N2387" t="s">
        <v>5571</v>
      </c>
      <c r="O2387" t="s">
        <v>4931</v>
      </c>
      <c r="Q2387" t="str">
        <f t="shared" si="116"/>
        <v>condorProc.py --series 07180905_0714 --donoise --dumps a --procenv environments/pymidas_HVHV_NaI_mf.env</v>
      </c>
    </row>
    <row r="2388" spans="1:17">
      <c r="A2388" t="s">
        <v>7847</v>
      </c>
      <c r="G2388" s="191"/>
      <c r="H2388" s="210"/>
      <c r="K2388" s="180"/>
      <c r="M2388" t="s">
        <v>2246</v>
      </c>
      <c r="N2388" t="s">
        <v>5571</v>
      </c>
      <c r="O2388" t="s">
        <v>4931</v>
      </c>
      <c r="Q2388" t="str">
        <f t="shared" si="116"/>
        <v>condorProc.py --series 07180905_0725 --donoise --dumps a --procenv environments/pymidas_HVHV_NaI_mf.env</v>
      </c>
    </row>
    <row r="2389" spans="1:17">
      <c r="A2389" t="s">
        <v>7848</v>
      </c>
      <c r="G2389" s="191"/>
      <c r="H2389" s="210"/>
      <c r="K2389" s="180"/>
      <c r="M2389" t="s">
        <v>2246</v>
      </c>
      <c r="N2389" t="s">
        <v>5571</v>
      </c>
      <c r="O2389" t="s">
        <v>4931</v>
      </c>
      <c r="Q2389" t="str">
        <f t="shared" si="116"/>
        <v>condorProc.py --series 07180905_0735 --donoise --dumps a --procenv environments/pymidas_HVHV_NaI_mf.env</v>
      </c>
    </row>
    <row r="2390" spans="1:17">
      <c r="A2390" t="s">
        <v>7849</v>
      </c>
      <c r="G2390" s="191"/>
      <c r="H2390" s="210"/>
      <c r="K2390" s="180"/>
      <c r="M2390" t="s">
        <v>2246</v>
      </c>
      <c r="N2390" t="s">
        <v>5571</v>
      </c>
      <c r="O2390" t="s">
        <v>4931</v>
      </c>
      <c r="Q2390" t="str">
        <f t="shared" si="116"/>
        <v>condorProc.py --series 07180905_0745 --donoise --dumps a --procenv environments/pymidas_HVHV_NaI_mf.env</v>
      </c>
    </row>
    <row r="2391" spans="1:17">
      <c r="A2391" t="s">
        <v>7850</v>
      </c>
      <c r="G2391" s="191"/>
      <c r="H2391" s="210"/>
      <c r="K2391" s="180"/>
      <c r="M2391" t="s">
        <v>2246</v>
      </c>
      <c r="N2391" t="s">
        <v>5571</v>
      </c>
      <c r="O2391" t="s">
        <v>4931</v>
      </c>
      <c r="Q2391" t="str">
        <f t="shared" si="116"/>
        <v>condorProc.py --series 07180905_0755 --donoise --dumps a --procenv environments/pymidas_HVHV_NaI_mf.env</v>
      </c>
    </row>
    <row r="2392" spans="1:17">
      <c r="A2392" t="s">
        <v>7851</v>
      </c>
      <c r="G2392" s="191"/>
      <c r="H2392" s="210"/>
      <c r="K2392" s="180"/>
      <c r="M2392" t="s">
        <v>2246</v>
      </c>
      <c r="N2392" t="s">
        <v>5571</v>
      </c>
      <c r="O2392" t="s">
        <v>4931</v>
      </c>
      <c r="Q2392" t="str">
        <f t="shared" si="116"/>
        <v>condorProc.py --series 07180905_0805 --donoise --dumps a --procenv environments/pymidas_HVHV_NaI_mf.env</v>
      </c>
    </row>
    <row r="2393" spans="1:17">
      <c r="A2393" t="s">
        <v>7852</v>
      </c>
      <c r="F2393" s="65"/>
      <c r="G2393" s="193"/>
      <c r="H2393" s="211"/>
      <c r="I2393" s="65" t="s">
        <v>75</v>
      </c>
      <c r="J2393" s="65"/>
      <c r="K2393" s="202"/>
      <c r="L2393" t="str">
        <f>"BatViewer --nohardcode "&amp;A2393&amp;"/"&amp;A2393&amp;"_F0010.mid.gz"</f>
        <v>BatViewer --nohardcode 07180905_0815/07180905_0815_F0010.mid.gz</v>
      </c>
      <c r="M2393" t="s">
        <v>2246</v>
      </c>
      <c r="N2393" t="s">
        <v>5571</v>
      </c>
      <c r="O2393" t="s">
        <v>4931</v>
      </c>
      <c r="Q2393" t="str">
        <f t="shared" si="116"/>
        <v>condorProc.py --series 07180905_0815 --donoise --dumps a --procenv environments/pymidas_HVHV_NaI_mf.env</v>
      </c>
    </row>
    <row r="2394" spans="1:17">
      <c r="A2394" t="s">
        <v>7853</v>
      </c>
      <c r="F2394" s="177">
        <v>10</v>
      </c>
      <c r="G2394" s="192" t="s">
        <v>2248</v>
      </c>
      <c r="H2394" s="209">
        <v>-80</v>
      </c>
      <c r="I2394" s="177"/>
      <c r="J2394" s="177" t="s">
        <v>5577</v>
      </c>
      <c r="K2394" s="178" t="s">
        <v>5583</v>
      </c>
      <c r="L2394" s="1">
        <f>DATE(2000+MID(A2394,3,2),MID(A2394,5,2),MID(A2394,7,2))+TIME(MID(A2394,10,2),MID(A2394,12,2),0)</f>
        <v>43348.379861111112</v>
      </c>
      <c r="M2394" t="s">
        <v>2246</v>
      </c>
      <c r="N2394" t="s">
        <v>5571</v>
      </c>
      <c r="O2394" t="s">
        <v>4931</v>
      </c>
      <c r="Q2394" t="str">
        <f t="shared" si="116"/>
        <v>condorProc.py --series 07180905_0907 --donoise --dumps a --procenv environments/pymidas_HVHV_NaI_mf.env</v>
      </c>
    </row>
    <row r="2395" spans="1:17">
      <c r="A2395" t="s">
        <v>7854</v>
      </c>
      <c r="G2395" s="191"/>
      <c r="H2395" s="210"/>
      <c r="J2395" t="s">
        <v>5585</v>
      </c>
      <c r="K2395" s="180" t="s">
        <v>5671</v>
      </c>
      <c r="L2395">
        <f>L2383+1</f>
        <v>8</v>
      </c>
      <c r="M2395" t="s">
        <v>2246</v>
      </c>
      <c r="N2395" t="s">
        <v>5571</v>
      </c>
      <c r="O2395" t="s">
        <v>4931</v>
      </c>
      <c r="Q2395" t="str">
        <f t="shared" si="116"/>
        <v>condorProc.py --series 07180905_0917 --donoise --dumps a --procenv environments/pymidas_HVHV_NaI_mf.env</v>
      </c>
    </row>
    <row r="2396" spans="1:17">
      <c r="A2396" t="s">
        <v>7855</v>
      </c>
      <c r="G2396" s="191"/>
      <c r="H2396" s="210"/>
      <c r="K2396" s="187" t="s">
        <v>6206</v>
      </c>
      <c r="L2396" s="1">
        <f>L2394+L2394-L2382</f>
        <v>43348.493055555555</v>
      </c>
      <c r="M2396" t="s">
        <v>2246</v>
      </c>
      <c r="N2396" t="s">
        <v>5571</v>
      </c>
      <c r="O2396" t="s">
        <v>4931</v>
      </c>
      <c r="Q2396" t="str">
        <f t="shared" si="116"/>
        <v>condorProc.py --series 07180905_0927 --donoise --dumps a --procenv environments/pymidas_HVHV_NaI_mf.env</v>
      </c>
    </row>
    <row r="2397" spans="1:17">
      <c r="A2397" t="s">
        <v>7856</v>
      </c>
      <c r="G2397" s="191"/>
      <c r="H2397" s="210"/>
      <c r="K2397" s="180"/>
      <c r="L2397">
        <v>9</v>
      </c>
      <c r="M2397" t="s">
        <v>2246</v>
      </c>
      <c r="N2397" t="s">
        <v>5571</v>
      </c>
      <c r="O2397" t="s">
        <v>4931</v>
      </c>
      <c r="Q2397" t="str">
        <f t="shared" si="116"/>
        <v>condorProc.py --series 07180905_0937 --donoise --dumps a --procenv environments/pymidas_HVHV_NaI_mf.env</v>
      </c>
    </row>
    <row r="2398" spans="1:17">
      <c r="A2398" t="s">
        <v>7857</v>
      </c>
      <c r="G2398" s="191"/>
      <c r="H2398" s="210"/>
      <c r="K2398" s="180"/>
      <c r="L2398" s="1">
        <f>L2396+L2396-L2394</f>
        <v>43348.606249999997</v>
      </c>
      <c r="M2398" t="s">
        <v>2246</v>
      </c>
      <c r="N2398" t="s">
        <v>5571</v>
      </c>
      <c r="O2398" t="s">
        <v>4931</v>
      </c>
      <c r="Q2398" t="str">
        <f t="shared" si="116"/>
        <v>condorProc.py --series 07180905_0948 --donoise --dumps a --procenv environments/pymidas_HVHV_NaI_mf.env</v>
      </c>
    </row>
    <row r="2399" spans="1:17">
      <c r="A2399" t="s">
        <v>7858</v>
      </c>
      <c r="G2399" s="191"/>
      <c r="H2399" s="210"/>
      <c r="K2399" s="180"/>
      <c r="L2399">
        <v>10</v>
      </c>
      <c r="M2399" t="s">
        <v>2246</v>
      </c>
      <c r="N2399" t="s">
        <v>5571</v>
      </c>
      <c r="O2399" t="s">
        <v>4931</v>
      </c>
      <c r="Q2399" t="str">
        <f t="shared" si="116"/>
        <v>condorProc.py --series 07180905_0958 --donoise --dumps a --procenv environments/pymidas_HVHV_NaI_mf.env</v>
      </c>
    </row>
    <row r="2400" spans="1:17">
      <c r="A2400" t="s">
        <v>7859</v>
      </c>
      <c r="G2400" s="191"/>
      <c r="H2400" s="210"/>
      <c r="K2400" s="180"/>
      <c r="M2400" t="s">
        <v>2246</v>
      </c>
      <c r="N2400" t="s">
        <v>5571</v>
      </c>
      <c r="O2400" t="s">
        <v>4931</v>
      </c>
      <c r="Q2400" t="str">
        <f t="shared" si="116"/>
        <v>condorProc.py --series 07180905_1008 --donoise --dumps a --procenv environments/pymidas_HVHV_NaI_mf.env</v>
      </c>
    </row>
    <row r="2401" spans="1:17">
      <c r="A2401" t="s">
        <v>7860</v>
      </c>
      <c r="G2401" s="191"/>
      <c r="H2401" s="210"/>
      <c r="K2401" s="180"/>
      <c r="L2401" s="1">
        <f>L2398+2/24</f>
        <v>43348.689583333333</v>
      </c>
      <c r="M2401" t="s">
        <v>2246</v>
      </c>
      <c r="N2401" t="s">
        <v>5571</v>
      </c>
      <c r="O2401" t="s">
        <v>4931</v>
      </c>
      <c r="Q2401" t="str">
        <f t="shared" si="116"/>
        <v>condorProc.py --series 07180905_1018 --donoise --dumps a --procenv environments/pymidas_HVHV_NaI_mf.env</v>
      </c>
    </row>
    <row r="2402" spans="1:17">
      <c r="A2402" t="s">
        <v>7861</v>
      </c>
      <c r="G2402" s="191"/>
      <c r="H2402" s="210"/>
      <c r="K2402" s="180"/>
      <c r="M2402" t="s">
        <v>2246</v>
      </c>
      <c r="N2402" t="s">
        <v>5571</v>
      </c>
      <c r="O2402" t="s">
        <v>4931</v>
      </c>
      <c r="Q2402" t="str">
        <f t="shared" si="116"/>
        <v>condorProc.py --series 07180905_1028 --donoise --dumps a --procenv environments/pymidas_HVHV_NaI_mf.env</v>
      </c>
    </row>
    <row r="2403" spans="1:17">
      <c r="A2403" t="s">
        <v>7862</v>
      </c>
      <c r="G2403" s="191"/>
      <c r="H2403" s="210"/>
      <c r="K2403" s="180"/>
      <c r="M2403" t="s">
        <v>2246</v>
      </c>
      <c r="N2403" t="s">
        <v>5571</v>
      </c>
      <c r="O2403" t="s">
        <v>4931</v>
      </c>
      <c r="Q2403" t="str">
        <f t="shared" si="116"/>
        <v>condorProc.py --series 07180905_1038 --donoise --dumps a --procenv environments/pymidas_HVHV_NaI_mf.env</v>
      </c>
    </row>
    <row r="2404" spans="1:17">
      <c r="A2404" t="s">
        <v>7863</v>
      </c>
      <c r="G2404" s="191"/>
      <c r="H2404" s="210"/>
      <c r="K2404" s="180"/>
      <c r="M2404" t="s">
        <v>2246</v>
      </c>
      <c r="N2404" t="s">
        <v>5571</v>
      </c>
      <c r="O2404" t="s">
        <v>4931</v>
      </c>
      <c r="Q2404" t="str">
        <f t="shared" si="116"/>
        <v>condorProc.py --series 07180905_1048 --donoise --dumps a --procenv environments/pymidas_HVHV_NaI_mf.env</v>
      </c>
    </row>
    <row r="2405" spans="1:17">
      <c r="A2405" t="s">
        <v>7864</v>
      </c>
      <c r="F2405" s="65"/>
      <c r="G2405" s="193"/>
      <c r="H2405" s="211"/>
      <c r="I2405" s="65"/>
      <c r="J2405" s="65"/>
      <c r="K2405" s="202"/>
      <c r="M2405" t="s">
        <v>2246</v>
      </c>
      <c r="N2405" t="s">
        <v>5571</v>
      </c>
      <c r="O2405" t="s">
        <v>4931</v>
      </c>
      <c r="Q2405" t="str">
        <f t="shared" si="116"/>
        <v>condorProc.py --series 07180905_1058 --donoise --dumps a --procenv environments/pymidas_HVHV_NaI_mf.env</v>
      </c>
    </row>
    <row r="2406" spans="1:17">
      <c r="A2406" t="s">
        <v>7865</v>
      </c>
      <c r="F2406" s="177">
        <v>10</v>
      </c>
      <c r="G2406" s="192" t="s">
        <v>2248</v>
      </c>
      <c r="H2406" s="209">
        <v>-80</v>
      </c>
      <c r="I2406" s="177"/>
      <c r="J2406" s="177" t="s">
        <v>5577</v>
      </c>
      <c r="K2406" s="178" t="s">
        <v>5583</v>
      </c>
      <c r="M2406" t="s">
        <v>2246</v>
      </c>
      <c r="N2406" t="s">
        <v>5571</v>
      </c>
      <c r="O2406" t="s">
        <v>4931</v>
      </c>
      <c r="Q2406" t="str">
        <f t="shared" si="116"/>
        <v>condorProc.py --series 07180905_1150 --donoise --dumps a --procenv environments/pymidas_HVHV_NaI_mf.env</v>
      </c>
    </row>
    <row r="2407" spans="1:17">
      <c r="A2407" t="s">
        <v>7866</v>
      </c>
      <c r="G2407" s="191"/>
      <c r="H2407" s="210"/>
      <c r="J2407" t="s">
        <v>5585</v>
      </c>
      <c r="K2407" s="180" t="s">
        <v>5671</v>
      </c>
      <c r="M2407" t="s">
        <v>2246</v>
      </c>
      <c r="N2407" t="s">
        <v>5571</v>
      </c>
      <c r="O2407" t="s">
        <v>4931</v>
      </c>
      <c r="Q2407" t="str">
        <f t="shared" si="116"/>
        <v>condorProc.py --series 07180905_1200 --donoise --dumps a --procenv environments/pymidas_HVHV_NaI_mf.env</v>
      </c>
    </row>
    <row r="2408" spans="1:17">
      <c r="A2408" t="s">
        <v>7867</v>
      </c>
      <c r="G2408" s="191"/>
      <c r="H2408" s="210"/>
      <c r="K2408" s="187" t="s">
        <v>6206</v>
      </c>
      <c r="M2408" t="s">
        <v>2246</v>
      </c>
      <c r="N2408" t="s">
        <v>5571</v>
      </c>
      <c r="O2408" t="s">
        <v>4931</v>
      </c>
      <c r="Q2408" t="str">
        <f t="shared" si="116"/>
        <v>condorProc.py --series 07180905_1210 --donoise --dumps a --procenv environments/pymidas_HVHV_NaI_mf.env</v>
      </c>
    </row>
    <row r="2409" spans="1:17">
      <c r="A2409" t="s">
        <v>7868</v>
      </c>
      <c r="G2409" s="191"/>
      <c r="H2409" s="210"/>
      <c r="K2409" s="180"/>
      <c r="M2409" t="s">
        <v>2246</v>
      </c>
      <c r="N2409" t="s">
        <v>5571</v>
      </c>
      <c r="O2409" t="s">
        <v>4931</v>
      </c>
      <c r="Q2409" t="str">
        <f t="shared" si="116"/>
        <v>condorProc.py --series 07180905_1221 --donoise --dumps a --procenv environments/pymidas_HVHV_NaI_mf.env</v>
      </c>
    </row>
    <row r="2410" spans="1:17">
      <c r="A2410" t="s">
        <v>7869</v>
      </c>
      <c r="G2410" s="191"/>
      <c r="H2410" s="210"/>
      <c r="K2410" s="180"/>
      <c r="M2410" t="s">
        <v>2246</v>
      </c>
      <c r="N2410" t="s">
        <v>5571</v>
      </c>
      <c r="O2410" t="s">
        <v>4931</v>
      </c>
      <c r="Q2410" t="str">
        <f t="shared" si="116"/>
        <v>condorProc.py --series 07180905_1231 --donoise --dumps a --procenv environments/pymidas_HVHV_NaI_mf.env</v>
      </c>
    </row>
    <row r="2411" spans="1:17">
      <c r="A2411" t="s">
        <v>7870</v>
      </c>
      <c r="G2411" s="191"/>
      <c r="H2411" s="210"/>
      <c r="I2411" t="s">
        <v>75</v>
      </c>
      <c r="K2411" s="180"/>
      <c r="L2411" t="str">
        <f>"BatViewer --nohardcode "&amp;A2411&amp;"/"&amp;A2411&amp;"_F0010.mid.gz"</f>
        <v>BatViewer --nohardcode 07180905_1241/07180905_1241_F0010.mid.gz</v>
      </c>
      <c r="M2411" t="s">
        <v>2246</v>
      </c>
      <c r="N2411" t="s">
        <v>5571</v>
      </c>
      <c r="O2411" t="s">
        <v>4931</v>
      </c>
      <c r="Q2411" t="str">
        <f t="shared" si="116"/>
        <v>condorProc.py --series 07180905_1241 --donoise --dumps a --procenv environments/pymidas_HVHV_NaI_mf.env</v>
      </c>
    </row>
    <row r="2412" spans="1:17">
      <c r="A2412" t="s">
        <v>7871</v>
      </c>
      <c r="G2412" s="191"/>
      <c r="H2412" s="210"/>
      <c r="K2412" s="180"/>
      <c r="M2412" t="s">
        <v>2246</v>
      </c>
      <c r="N2412" t="s">
        <v>5571</v>
      </c>
      <c r="O2412" t="s">
        <v>4931</v>
      </c>
      <c r="Q2412" t="str">
        <f t="shared" si="116"/>
        <v>condorProc.py --series 07180905_1251 --donoise --dumps a --procenv environments/pymidas_HVHV_NaI_mf.env</v>
      </c>
    </row>
    <row r="2413" spans="1:17">
      <c r="A2413" t="s">
        <v>7872</v>
      </c>
      <c r="G2413" s="191"/>
      <c r="H2413" s="210"/>
      <c r="K2413" s="180"/>
      <c r="M2413" t="s">
        <v>2246</v>
      </c>
      <c r="N2413" t="s">
        <v>5571</v>
      </c>
      <c r="O2413" t="s">
        <v>4931</v>
      </c>
      <c r="Q2413" t="str">
        <f t="shared" si="116"/>
        <v>condorProc.py --series 07180905_1301 --donoise --dumps a --procenv environments/pymidas_HVHV_NaI_mf.env</v>
      </c>
    </row>
    <row r="2414" spans="1:17">
      <c r="A2414" t="s">
        <v>7873</v>
      </c>
      <c r="G2414" s="191"/>
      <c r="H2414" s="210"/>
      <c r="K2414" s="180"/>
      <c r="M2414" t="s">
        <v>2246</v>
      </c>
      <c r="N2414" t="s">
        <v>5571</v>
      </c>
      <c r="O2414" t="s">
        <v>4931</v>
      </c>
      <c r="Q2414" t="str">
        <f t="shared" si="116"/>
        <v>condorProc.py --series 07180905_1311 --donoise --dumps a --procenv environments/pymidas_HVHV_NaI_mf.env</v>
      </c>
    </row>
    <row r="2415" spans="1:17">
      <c r="A2415" t="s">
        <v>7874</v>
      </c>
      <c r="G2415" s="191"/>
      <c r="H2415" s="210"/>
      <c r="K2415" s="180"/>
      <c r="M2415" t="s">
        <v>2246</v>
      </c>
      <c r="N2415" t="s">
        <v>5571</v>
      </c>
      <c r="O2415" t="s">
        <v>4931</v>
      </c>
      <c r="Q2415" t="str">
        <f t="shared" si="116"/>
        <v>condorProc.py --series 07180905_1321 --donoise --dumps a --procenv environments/pymidas_HVHV_NaI_mf.env</v>
      </c>
    </row>
    <row r="2416" spans="1:17">
      <c r="A2416" t="s">
        <v>7875</v>
      </c>
      <c r="G2416" s="191"/>
      <c r="H2416" s="210"/>
      <c r="K2416" s="180"/>
      <c r="M2416" t="s">
        <v>2246</v>
      </c>
      <c r="N2416" t="s">
        <v>5571</v>
      </c>
      <c r="O2416" t="s">
        <v>4931</v>
      </c>
      <c r="Q2416" t="str">
        <f t="shared" si="116"/>
        <v>condorProc.py --series 07180905_1331 --donoise --dumps a --procenv environments/pymidas_HVHV_NaI_mf.env</v>
      </c>
    </row>
    <row r="2417" spans="1:17">
      <c r="A2417" t="s">
        <v>7876</v>
      </c>
      <c r="F2417" s="65"/>
      <c r="G2417" s="193"/>
      <c r="H2417" s="211"/>
      <c r="I2417" s="65" t="s">
        <v>75</v>
      </c>
      <c r="J2417" s="65"/>
      <c r="K2417" s="202"/>
      <c r="L2417" t="str">
        <f>"BatViewer --nohardcode "&amp;A2417&amp;"/"&amp;A2417&amp;"_F0010.mid.gz"</f>
        <v>BatViewer --nohardcode 07180905_1341/07180905_1341_F0010.mid.gz</v>
      </c>
      <c r="M2417" t="s">
        <v>2246</v>
      </c>
      <c r="N2417" t="s">
        <v>5571</v>
      </c>
      <c r="O2417" t="s">
        <v>4931</v>
      </c>
      <c r="Q2417" t="str">
        <f t="shared" si="116"/>
        <v>condorProc.py --series 07180905_1341 --donoise --dumps a --procenv environments/pymidas_HVHV_NaI_mf.env</v>
      </c>
    </row>
    <row r="2418" spans="1:17">
      <c r="A2418" t="s">
        <v>7877</v>
      </c>
      <c r="F2418" s="177">
        <v>10</v>
      </c>
      <c r="G2418" s="192" t="s">
        <v>2248</v>
      </c>
      <c r="H2418" s="209">
        <v>-80</v>
      </c>
      <c r="I2418" s="177"/>
      <c r="J2418" s="177" t="s">
        <v>5577</v>
      </c>
      <c r="K2418" s="178" t="s">
        <v>5583</v>
      </c>
      <c r="M2418" t="s">
        <v>2246</v>
      </c>
      <c r="N2418" t="s">
        <v>5571</v>
      </c>
      <c r="O2418" t="s">
        <v>4931</v>
      </c>
      <c r="Q2418" t="str">
        <f t="shared" si="116"/>
        <v>condorProc.py --series 07180905_1433 --donoise --dumps a --procenv environments/pymidas_HVHV_NaI_mf.env</v>
      </c>
    </row>
    <row r="2419" spans="1:17">
      <c r="A2419" t="s">
        <v>7878</v>
      </c>
      <c r="G2419" s="191"/>
      <c r="H2419" s="210"/>
      <c r="J2419" t="s">
        <v>5585</v>
      </c>
      <c r="K2419" s="180" t="s">
        <v>5671</v>
      </c>
      <c r="M2419" t="s">
        <v>2246</v>
      </c>
      <c r="N2419" t="s">
        <v>5571</v>
      </c>
      <c r="O2419" t="s">
        <v>4931</v>
      </c>
      <c r="Q2419" t="str">
        <f t="shared" si="116"/>
        <v>condorProc.py --series 07180905_1443 --donoise --dumps a --procenv environments/pymidas_HVHV_NaI_mf.env</v>
      </c>
    </row>
    <row r="2420" spans="1:17">
      <c r="A2420" t="s">
        <v>7879</v>
      </c>
      <c r="G2420" s="191"/>
      <c r="H2420" s="210"/>
      <c r="K2420" s="187" t="s">
        <v>6206</v>
      </c>
      <c r="M2420" t="s">
        <v>2246</v>
      </c>
      <c r="N2420" t="s">
        <v>5571</v>
      </c>
      <c r="O2420" t="s">
        <v>4931</v>
      </c>
      <c r="Q2420" t="str">
        <f t="shared" si="116"/>
        <v>condorProc.py --series 07180905_1454 --donoise --dumps a --procenv environments/pymidas_HVHV_NaI_mf.env</v>
      </c>
    </row>
    <row r="2421" spans="1:17">
      <c r="A2421" t="s">
        <v>7880</v>
      </c>
      <c r="G2421" s="191"/>
      <c r="H2421" s="210"/>
      <c r="K2421" s="180"/>
      <c r="M2421" t="s">
        <v>2246</v>
      </c>
      <c r="N2421" t="s">
        <v>5571</v>
      </c>
      <c r="O2421" t="s">
        <v>4931</v>
      </c>
      <c r="Q2421" t="str">
        <f t="shared" si="116"/>
        <v>condorProc.py --series 07180905_1504 --donoise --dumps a --procenv environments/pymidas_HVHV_NaI_mf.env</v>
      </c>
    </row>
    <row r="2422" spans="1:17">
      <c r="A2422" t="s">
        <v>7881</v>
      </c>
      <c r="G2422" s="191"/>
      <c r="H2422" s="210"/>
      <c r="K2422" s="180"/>
      <c r="M2422" t="s">
        <v>2246</v>
      </c>
      <c r="N2422" t="s">
        <v>5571</v>
      </c>
      <c r="O2422" t="s">
        <v>4931</v>
      </c>
      <c r="Q2422" t="str">
        <f t="shared" si="116"/>
        <v>condorProc.py --series 07180905_1514 --donoise --dumps a --procenv environments/pymidas_HVHV_NaI_mf.env</v>
      </c>
    </row>
    <row r="2423" spans="1:17">
      <c r="A2423" t="s">
        <v>7882</v>
      </c>
      <c r="G2423" s="191"/>
      <c r="H2423" s="210"/>
      <c r="I2423" t="s">
        <v>75</v>
      </c>
      <c r="K2423" s="180"/>
      <c r="L2423">
        <f>111+L2308</f>
        <v>408</v>
      </c>
      <c r="M2423" t="s">
        <v>2246</v>
      </c>
      <c r="N2423" t="s">
        <v>5571</v>
      </c>
      <c r="O2423" t="s">
        <v>4931</v>
      </c>
      <c r="Q2423" t="str">
        <f t="shared" si="116"/>
        <v>condorProc.py --series 07180905_1524 --donoise --dumps a --procenv environments/pymidas_HVHV_NaI_mf.env</v>
      </c>
    </row>
    <row r="2424" spans="1:17">
      <c r="A2424" t="s">
        <v>7883</v>
      </c>
      <c r="F2424" s="177">
        <v>10</v>
      </c>
      <c r="G2424" s="215" t="s">
        <v>2248</v>
      </c>
      <c r="H2424" s="209">
        <v>-80</v>
      </c>
      <c r="I2424" s="177"/>
      <c r="J2424" s="177" t="s">
        <v>5577</v>
      </c>
      <c r="K2424" s="178" t="s">
        <v>5583</v>
      </c>
      <c r="L2424" t="s">
        <v>7768</v>
      </c>
      <c r="M2424" t="s">
        <v>2246</v>
      </c>
      <c r="N2424" t="s">
        <v>5571</v>
      </c>
      <c r="O2424" t="s">
        <v>4932</v>
      </c>
      <c r="Q2424" t="str">
        <f t="shared" si="116"/>
        <v>condorProc.py --series 07180905_1627 --donoise --dumps a --procenv environments/pymidas_HVHV_NaI_mf.env</v>
      </c>
    </row>
    <row r="2425" spans="1:17">
      <c r="A2425" t="s">
        <v>7884</v>
      </c>
      <c r="G2425" s="216" t="s">
        <v>7885</v>
      </c>
      <c r="H2425" s="210"/>
      <c r="J2425" t="s">
        <v>5585</v>
      </c>
      <c r="K2425" s="180" t="s">
        <v>5671</v>
      </c>
      <c r="L2425">
        <f>L2423/6</f>
        <v>68</v>
      </c>
      <c r="M2425" t="s">
        <v>2246</v>
      </c>
      <c r="N2425" t="s">
        <v>5571</v>
      </c>
      <c r="O2425" t="s">
        <v>4932</v>
      </c>
      <c r="Q2425" t="str">
        <f t="shared" si="116"/>
        <v>condorProc.py --series 07180905_1637 --donoise --dumps a --procenv environments/pymidas_HVHV_NaI_mf.env</v>
      </c>
    </row>
    <row r="2426" spans="1:17">
      <c r="A2426" t="s">
        <v>7886</v>
      </c>
      <c r="G2426" s="216" t="s">
        <v>7887</v>
      </c>
      <c r="H2426" s="210"/>
      <c r="K2426" s="187" t="s">
        <v>6206</v>
      </c>
      <c r="M2426" t="s">
        <v>2246</v>
      </c>
      <c r="N2426" t="s">
        <v>5571</v>
      </c>
      <c r="O2426" t="s">
        <v>4932</v>
      </c>
      <c r="Q2426" t="str">
        <f t="shared" si="116"/>
        <v>condorProc.py --series 07180905_1647 --donoise --dumps a --procenv environments/pymidas_HVHV_NaI_mf.env</v>
      </c>
    </row>
    <row r="2427" spans="1:17">
      <c r="A2427" t="s">
        <v>7888</v>
      </c>
      <c r="G2427" s="216"/>
      <c r="H2427" s="210"/>
      <c r="K2427" s="180"/>
      <c r="M2427" t="s">
        <v>2246</v>
      </c>
      <c r="N2427" t="s">
        <v>5571</v>
      </c>
      <c r="O2427" t="s">
        <v>4932</v>
      </c>
      <c r="Q2427" t="str">
        <f t="shared" si="116"/>
        <v>condorProc.py --series 07180905_1657 --donoise --dumps a --procenv environments/pymidas_HVHV_NaI_mf.env</v>
      </c>
    </row>
    <row r="2428" spans="1:17">
      <c r="A2428" t="s">
        <v>7889</v>
      </c>
      <c r="G2428" s="216"/>
      <c r="H2428" s="210"/>
      <c r="K2428" s="180"/>
      <c r="M2428" t="s">
        <v>2246</v>
      </c>
      <c r="N2428" t="s">
        <v>5571</v>
      </c>
      <c r="O2428" t="s">
        <v>4932</v>
      </c>
      <c r="Q2428" t="str">
        <f t="shared" si="116"/>
        <v>condorProc.py --series 07180905_1707 --donoise --dumps a --procenv environments/pymidas_HVHV_NaI_mf.env</v>
      </c>
    </row>
    <row r="2429" spans="1:17">
      <c r="A2429" t="s">
        <v>7890</v>
      </c>
      <c r="G2429" s="216"/>
      <c r="H2429" s="210"/>
      <c r="K2429" s="180"/>
      <c r="M2429" t="s">
        <v>2246</v>
      </c>
      <c r="N2429" t="s">
        <v>5571</v>
      </c>
      <c r="O2429" t="s">
        <v>4932</v>
      </c>
      <c r="Q2429" t="str">
        <f t="shared" si="116"/>
        <v>condorProc.py --series 07180905_1717 --donoise --dumps a --procenv environments/pymidas_HVHV_NaI_mf.env</v>
      </c>
    </row>
    <row r="2430" spans="1:17">
      <c r="A2430" t="s">
        <v>7891</v>
      </c>
      <c r="G2430" s="216"/>
      <c r="H2430" s="210"/>
      <c r="K2430" s="180"/>
      <c r="M2430" t="s">
        <v>2246</v>
      </c>
      <c r="N2430" t="s">
        <v>5571</v>
      </c>
      <c r="O2430" t="s">
        <v>4932</v>
      </c>
      <c r="Q2430" t="str">
        <f t="shared" si="116"/>
        <v>condorProc.py --series 07180905_1728 --donoise --dumps a --procenv environments/pymidas_HVHV_NaI_mf.env</v>
      </c>
    </row>
    <row r="2431" spans="1:17">
      <c r="A2431" t="s">
        <v>7892</v>
      </c>
      <c r="G2431" s="216"/>
      <c r="H2431" s="210"/>
      <c r="K2431" s="180"/>
      <c r="M2431" t="s">
        <v>2246</v>
      </c>
      <c r="N2431" t="s">
        <v>5571</v>
      </c>
      <c r="O2431" t="s">
        <v>4932</v>
      </c>
      <c r="Q2431" t="str">
        <f t="shared" si="116"/>
        <v>condorProc.py --series 07180905_1738 --donoise --dumps a --procenv environments/pymidas_HVHV_NaI_mf.env</v>
      </c>
    </row>
    <row r="2432" spans="1:17">
      <c r="A2432" t="s">
        <v>7893</v>
      </c>
      <c r="G2432" s="216"/>
      <c r="H2432" s="210"/>
      <c r="K2432" s="180"/>
      <c r="M2432" t="s">
        <v>2246</v>
      </c>
      <c r="N2432" t="s">
        <v>5571</v>
      </c>
      <c r="O2432" t="s">
        <v>4932</v>
      </c>
      <c r="Q2432" t="str">
        <f t="shared" si="116"/>
        <v>condorProc.py --series 07180905_1748 --donoise --dumps a --procenv environments/pymidas_HVHV_NaI_mf.env</v>
      </c>
    </row>
    <row r="2433" spans="1:17">
      <c r="A2433" t="s">
        <v>7894</v>
      </c>
      <c r="G2433" s="216"/>
      <c r="H2433" s="210"/>
      <c r="K2433" s="180"/>
      <c r="M2433" t="s">
        <v>2246</v>
      </c>
      <c r="N2433" t="s">
        <v>5571</v>
      </c>
      <c r="O2433" t="s">
        <v>4932</v>
      </c>
      <c r="Q2433" t="str">
        <f t="shared" si="116"/>
        <v>condorProc.py --series 07180905_1758 --donoise --dumps a --procenv environments/pymidas_HVHV_NaI_mf.env</v>
      </c>
    </row>
    <row r="2434" spans="1:17">
      <c r="A2434" t="s">
        <v>7895</v>
      </c>
      <c r="G2434" s="216"/>
      <c r="H2434" s="210"/>
      <c r="K2434" s="180"/>
      <c r="M2434" t="s">
        <v>2246</v>
      </c>
      <c r="N2434" t="s">
        <v>5571</v>
      </c>
      <c r="O2434" t="s">
        <v>4932</v>
      </c>
      <c r="Q2434" t="str">
        <f t="shared" si="116"/>
        <v>condorProc.py --series 07180905_1808 --donoise --dumps a --procenv environments/pymidas_HVHV_NaI_mf.env</v>
      </c>
    </row>
    <row r="2435" spans="1:17">
      <c r="A2435" t="s">
        <v>7896</v>
      </c>
      <c r="F2435" s="65"/>
      <c r="G2435" s="217"/>
      <c r="H2435" s="211"/>
      <c r="I2435" s="65" t="s">
        <v>75</v>
      </c>
      <c r="J2435" s="65"/>
      <c r="K2435" s="202"/>
      <c r="L2435" t="str">
        <f>"BatViewer --nohardcode "&amp;A2435&amp;"/"&amp;A2435&amp;"_F0010.mid.gz"</f>
        <v>BatViewer --nohardcode 07180905_1818/07180905_1818_F0010.mid.gz</v>
      </c>
      <c r="M2435" t="s">
        <v>2246</v>
      </c>
      <c r="N2435" t="s">
        <v>5571</v>
      </c>
      <c r="O2435" t="s">
        <v>4932</v>
      </c>
      <c r="Q2435" t="str">
        <f t="shared" si="116"/>
        <v>condorProc.py --series 07180905_1818 --donoise --dumps a --procenv environments/pymidas_HVHV_NaI_mf.env</v>
      </c>
    </row>
    <row r="2436" spans="1:17">
      <c r="A2436" t="s">
        <v>7897</v>
      </c>
      <c r="F2436" s="177">
        <v>10</v>
      </c>
      <c r="G2436" s="215" t="s">
        <v>2248</v>
      </c>
      <c r="H2436" s="209">
        <v>-80</v>
      </c>
      <c r="I2436" s="177"/>
      <c r="J2436" s="177" t="s">
        <v>5577</v>
      </c>
      <c r="K2436" s="178" t="s">
        <v>5583</v>
      </c>
      <c r="M2436" t="s">
        <v>2246</v>
      </c>
      <c r="N2436" t="s">
        <v>5571</v>
      </c>
      <c r="O2436" t="s">
        <v>4932</v>
      </c>
      <c r="Q2436" t="str">
        <f t="shared" si="116"/>
        <v>condorProc.py --series 07180905_1911 --donoise --dumps a --procenv environments/pymidas_HVHV_NaI_mf.env</v>
      </c>
    </row>
    <row r="2437" spans="1:17">
      <c r="A2437" t="s">
        <v>7898</v>
      </c>
      <c r="G2437" s="216" t="s">
        <v>7885</v>
      </c>
      <c r="H2437" s="210"/>
      <c r="J2437" t="s">
        <v>5585</v>
      </c>
      <c r="K2437" s="180" t="s">
        <v>5671</v>
      </c>
      <c r="M2437" t="s">
        <v>2246</v>
      </c>
      <c r="N2437" t="s">
        <v>5571</v>
      </c>
      <c r="O2437" t="s">
        <v>4932</v>
      </c>
      <c r="Q2437" t="str">
        <f t="shared" si="116"/>
        <v>condorProc.py --series 07180905_1921 --donoise --dumps a --procenv environments/pymidas_HVHV_NaI_mf.env</v>
      </c>
    </row>
    <row r="2438" spans="1:17">
      <c r="A2438" t="s">
        <v>7899</v>
      </c>
      <c r="G2438" s="216" t="s">
        <v>7887</v>
      </c>
      <c r="H2438" s="210"/>
      <c r="K2438" s="187" t="s">
        <v>6206</v>
      </c>
      <c r="M2438" t="s">
        <v>2246</v>
      </c>
      <c r="N2438" t="s">
        <v>5571</v>
      </c>
      <c r="O2438" t="s">
        <v>4932</v>
      </c>
      <c r="Q2438" t="str">
        <f t="shared" si="116"/>
        <v>condorProc.py --series 07180905_1931 --donoise --dumps a --procenv environments/pymidas_HVHV_NaI_mf.env</v>
      </c>
    </row>
    <row r="2439" spans="1:17">
      <c r="A2439" t="s">
        <v>7900</v>
      </c>
      <c r="G2439" s="216"/>
      <c r="H2439" s="210"/>
      <c r="K2439" s="180"/>
      <c r="M2439" t="s">
        <v>2246</v>
      </c>
      <c r="N2439" t="s">
        <v>5571</v>
      </c>
      <c r="O2439" t="s">
        <v>4932</v>
      </c>
      <c r="Q2439" t="str">
        <f t="shared" si="116"/>
        <v>condorProc.py --series 07180905_1941 --donoise --dumps a --procenv environments/pymidas_HVHV_NaI_mf.env</v>
      </c>
    </row>
    <row r="2440" spans="1:17">
      <c r="A2440" t="s">
        <v>7901</v>
      </c>
      <c r="G2440" s="216"/>
      <c r="H2440" s="210"/>
      <c r="K2440" s="180"/>
      <c r="M2440" t="s">
        <v>2246</v>
      </c>
      <c r="N2440" t="s">
        <v>5571</v>
      </c>
      <c r="O2440" t="s">
        <v>4932</v>
      </c>
      <c r="Q2440" t="str">
        <f t="shared" si="116"/>
        <v>condorProc.py --series 07180905_1951 --donoise --dumps a --procenv environments/pymidas_HVHV_NaI_mf.env</v>
      </c>
    </row>
    <row r="2441" spans="1:17">
      <c r="A2441" t="s">
        <v>7902</v>
      </c>
      <c r="G2441" s="216"/>
      <c r="H2441" s="210"/>
      <c r="K2441" s="180"/>
      <c r="M2441" t="s">
        <v>2246</v>
      </c>
      <c r="N2441" t="s">
        <v>5571</v>
      </c>
      <c r="O2441" t="s">
        <v>4932</v>
      </c>
      <c r="Q2441" t="str">
        <f t="shared" ref="Q2441:Q2504" si="117">"condorProc.py --series "&amp;A2441&amp;" --donoise --dumps a --procenv environments/pymidas_HVHV_NaI_mf.env"</f>
        <v>condorProc.py --series 07180905_2001 --donoise --dumps a --procenv environments/pymidas_HVHV_NaI_mf.env</v>
      </c>
    </row>
    <row r="2442" spans="1:17">
      <c r="A2442" t="s">
        <v>7903</v>
      </c>
      <c r="G2442" s="216"/>
      <c r="H2442" s="210"/>
      <c r="K2442" s="180"/>
      <c r="M2442" t="s">
        <v>2246</v>
      </c>
      <c r="N2442" t="s">
        <v>5571</v>
      </c>
      <c r="O2442" t="s">
        <v>4932</v>
      </c>
      <c r="Q2442" t="str">
        <f t="shared" si="117"/>
        <v>condorProc.py --series 07180905_2012 --donoise --dumps a --procenv environments/pymidas_HVHV_NaI_mf.env</v>
      </c>
    </row>
    <row r="2443" spans="1:17">
      <c r="A2443" t="s">
        <v>7904</v>
      </c>
      <c r="G2443" s="216"/>
      <c r="H2443" s="210"/>
      <c r="K2443" s="180"/>
      <c r="M2443" t="s">
        <v>2246</v>
      </c>
      <c r="N2443" t="s">
        <v>5571</v>
      </c>
      <c r="O2443" t="s">
        <v>4932</v>
      </c>
      <c r="Q2443" t="str">
        <f t="shared" si="117"/>
        <v>condorProc.py --series 07180905_2022 --donoise --dumps a --procenv environments/pymidas_HVHV_NaI_mf.env</v>
      </c>
    </row>
    <row r="2444" spans="1:17">
      <c r="A2444" t="s">
        <v>7905</v>
      </c>
      <c r="G2444" s="216"/>
      <c r="H2444" s="210"/>
      <c r="K2444" s="180"/>
      <c r="M2444" t="s">
        <v>2246</v>
      </c>
      <c r="N2444" t="s">
        <v>5571</v>
      </c>
      <c r="O2444" t="s">
        <v>4932</v>
      </c>
      <c r="Q2444" t="str">
        <f t="shared" si="117"/>
        <v>condorProc.py --series 07180905_2032 --donoise --dumps a --procenv environments/pymidas_HVHV_NaI_mf.env</v>
      </c>
    </row>
    <row r="2445" spans="1:17">
      <c r="A2445" t="s">
        <v>7906</v>
      </c>
      <c r="G2445" s="216"/>
      <c r="H2445" s="210"/>
      <c r="K2445" s="180"/>
      <c r="M2445" t="s">
        <v>2246</v>
      </c>
      <c r="N2445" t="s">
        <v>5571</v>
      </c>
      <c r="O2445" t="s">
        <v>4932</v>
      </c>
      <c r="Q2445" t="str">
        <f t="shared" si="117"/>
        <v>condorProc.py --series 07180905_2042 --donoise --dumps a --procenv environments/pymidas_HVHV_NaI_mf.env</v>
      </c>
    </row>
    <row r="2446" spans="1:17">
      <c r="A2446" t="s">
        <v>7907</v>
      </c>
      <c r="G2446" s="216"/>
      <c r="H2446" s="210"/>
      <c r="K2446" s="180"/>
      <c r="M2446" t="s">
        <v>2246</v>
      </c>
      <c r="N2446" t="s">
        <v>5571</v>
      </c>
      <c r="O2446" t="s">
        <v>4932</v>
      </c>
      <c r="Q2446" t="str">
        <f t="shared" si="117"/>
        <v>condorProc.py --series 07180905_2052 --donoise --dumps a --procenv environments/pymidas_HVHV_NaI_mf.env</v>
      </c>
    </row>
    <row r="2447" spans="1:17">
      <c r="A2447" t="s">
        <v>7908</v>
      </c>
      <c r="F2447" s="65"/>
      <c r="G2447" s="217"/>
      <c r="H2447" s="211"/>
      <c r="I2447" s="65" t="s">
        <v>75</v>
      </c>
      <c r="J2447" s="65"/>
      <c r="K2447" s="202"/>
      <c r="M2447" t="s">
        <v>2246</v>
      </c>
      <c r="N2447" t="s">
        <v>5571</v>
      </c>
      <c r="O2447" t="s">
        <v>4932</v>
      </c>
      <c r="Q2447" t="str">
        <f t="shared" si="117"/>
        <v>condorProc.py --series 07180905_2102 --donoise --dumps a --procenv environments/pymidas_HVHV_NaI_mf.env</v>
      </c>
    </row>
    <row r="2448" spans="1:17">
      <c r="A2448" t="s">
        <v>7909</v>
      </c>
      <c r="F2448" s="177">
        <v>10</v>
      </c>
      <c r="G2448" s="215" t="s">
        <v>2248</v>
      </c>
      <c r="H2448" s="209">
        <v>-80</v>
      </c>
      <c r="I2448" s="177"/>
      <c r="J2448" s="177" t="s">
        <v>5577</v>
      </c>
      <c r="K2448" s="178" t="s">
        <v>5583</v>
      </c>
      <c r="M2448" t="s">
        <v>2246</v>
      </c>
      <c r="N2448" t="s">
        <v>5571</v>
      </c>
      <c r="O2448" t="s">
        <v>4932</v>
      </c>
      <c r="Q2448" t="str">
        <f t="shared" si="117"/>
        <v>condorProc.py --series 07180905_2155 --donoise --dumps a --procenv environments/pymidas_HVHV_NaI_mf.env</v>
      </c>
    </row>
    <row r="2449" spans="1:17">
      <c r="A2449" t="s">
        <v>7910</v>
      </c>
      <c r="G2449" s="216" t="s">
        <v>7885</v>
      </c>
      <c r="H2449" s="210"/>
      <c r="J2449" t="s">
        <v>5585</v>
      </c>
      <c r="K2449" s="180" t="s">
        <v>5671</v>
      </c>
      <c r="M2449" t="s">
        <v>2246</v>
      </c>
      <c r="N2449" t="s">
        <v>5571</v>
      </c>
      <c r="O2449" t="s">
        <v>4932</v>
      </c>
      <c r="Q2449" t="str">
        <f t="shared" si="117"/>
        <v>condorProc.py --series 07180905_2205 --donoise --dumps a --procenv environments/pymidas_HVHV_NaI_mf.env</v>
      </c>
    </row>
    <row r="2450" spans="1:17">
      <c r="A2450" t="s">
        <v>7911</v>
      </c>
      <c r="G2450" s="216" t="s">
        <v>7887</v>
      </c>
      <c r="H2450" s="210"/>
      <c r="K2450" s="187" t="s">
        <v>6206</v>
      </c>
      <c r="M2450" t="s">
        <v>2246</v>
      </c>
      <c r="N2450" t="s">
        <v>5571</v>
      </c>
      <c r="O2450" t="s">
        <v>4932</v>
      </c>
      <c r="Q2450" t="str">
        <f t="shared" si="117"/>
        <v>condorProc.py --series 07180905_2215 --donoise --dumps a --procenv environments/pymidas_HVHV_NaI_mf.env</v>
      </c>
    </row>
    <row r="2451" spans="1:17">
      <c r="A2451" t="s">
        <v>7912</v>
      </c>
      <c r="G2451" s="216"/>
      <c r="H2451" s="210"/>
      <c r="K2451" s="180"/>
      <c r="M2451" t="s">
        <v>2246</v>
      </c>
      <c r="N2451" t="s">
        <v>5571</v>
      </c>
      <c r="O2451" t="s">
        <v>4932</v>
      </c>
      <c r="Q2451" t="str">
        <f t="shared" si="117"/>
        <v>condorProc.py --series 07180905_2225 --donoise --dumps a --procenv environments/pymidas_HVHV_NaI_mf.env</v>
      </c>
    </row>
    <row r="2452" spans="1:17">
      <c r="A2452" t="s">
        <v>7913</v>
      </c>
      <c r="G2452" s="216"/>
      <c r="H2452" s="210"/>
      <c r="K2452" s="180"/>
      <c r="M2452" t="s">
        <v>2246</v>
      </c>
      <c r="N2452" t="s">
        <v>5571</v>
      </c>
      <c r="O2452" t="s">
        <v>4932</v>
      </c>
      <c r="Q2452" t="str">
        <f t="shared" si="117"/>
        <v>condorProc.py --series 07180905_2235 --donoise --dumps a --procenv environments/pymidas_HVHV_NaI_mf.env</v>
      </c>
    </row>
    <row r="2453" spans="1:17">
      <c r="A2453" t="s">
        <v>7914</v>
      </c>
      <c r="G2453" s="216"/>
      <c r="H2453" s="210"/>
      <c r="K2453" s="180"/>
      <c r="M2453" t="s">
        <v>2246</v>
      </c>
      <c r="N2453" t="s">
        <v>5571</v>
      </c>
      <c r="O2453" t="s">
        <v>4932</v>
      </c>
      <c r="Q2453" t="str">
        <f t="shared" si="117"/>
        <v>condorProc.py --series 07180905_2245 --donoise --dumps a --procenv environments/pymidas_HVHV_NaI_mf.env</v>
      </c>
    </row>
    <row r="2454" spans="1:17">
      <c r="A2454" t="s">
        <v>7915</v>
      </c>
      <c r="G2454" s="216"/>
      <c r="H2454" s="210"/>
      <c r="K2454" s="180"/>
      <c r="M2454" t="s">
        <v>2246</v>
      </c>
      <c r="N2454" t="s">
        <v>5571</v>
      </c>
      <c r="O2454" t="s">
        <v>4932</v>
      </c>
      <c r="Q2454" t="str">
        <f t="shared" si="117"/>
        <v>condorProc.py --series 07180905_2255 --donoise --dumps a --procenv environments/pymidas_HVHV_NaI_mf.env</v>
      </c>
    </row>
    <row r="2455" spans="1:17">
      <c r="A2455" t="s">
        <v>7916</v>
      </c>
      <c r="G2455" s="216"/>
      <c r="H2455" s="210"/>
      <c r="K2455" s="180"/>
      <c r="M2455" t="s">
        <v>2246</v>
      </c>
      <c r="N2455" t="s">
        <v>5571</v>
      </c>
      <c r="O2455" t="s">
        <v>4932</v>
      </c>
      <c r="Q2455" t="str">
        <f t="shared" si="117"/>
        <v>condorProc.py --series 07180905_2305 --donoise --dumps a --procenv environments/pymidas_HVHV_NaI_mf.env</v>
      </c>
    </row>
    <row r="2456" spans="1:17">
      <c r="A2456" t="s">
        <v>7917</v>
      </c>
      <c r="G2456" s="216"/>
      <c r="H2456" s="210"/>
      <c r="K2456" s="180"/>
      <c r="M2456" t="s">
        <v>2246</v>
      </c>
      <c r="N2456" t="s">
        <v>5571</v>
      </c>
      <c r="O2456" t="s">
        <v>4932</v>
      </c>
      <c r="Q2456" t="str">
        <f t="shared" si="117"/>
        <v>condorProc.py --series 07180905_2315 --donoise --dumps a --procenv environments/pymidas_HVHV_NaI_mf.env</v>
      </c>
    </row>
    <row r="2457" spans="1:17">
      <c r="A2457" t="s">
        <v>7918</v>
      </c>
      <c r="G2457" s="216"/>
      <c r="H2457" s="210"/>
      <c r="K2457" s="180"/>
      <c r="M2457" t="s">
        <v>2246</v>
      </c>
      <c r="N2457" t="s">
        <v>5571</v>
      </c>
      <c r="O2457" t="s">
        <v>4932</v>
      </c>
      <c r="Q2457" t="str">
        <f t="shared" si="117"/>
        <v>condorProc.py --series 07180905_2325 --donoise --dumps a --procenv environments/pymidas_HVHV_NaI_mf.env</v>
      </c>
    </row>
    <row r="2458" spans="1:17">
      <c r="A2458" t="s">
        <v>7919</v>
      </c>
      <c r="G2458" s="216"/>
      <c r="H2458" s="210"/>
      <c r="K2458" s="180"/>
      <c r="M2458" t="s">
        <v>2246</v>
      </c>
      <c r="N2458" t="s">
        <v>5571</v>
      </c>
      <c r="O2458" t="s">
        <v>4932</v>
      </c>
      <c r="Q2458" t="str">
        <f t="shared" si="117"/>
        <v>condorProc.py --series 07180905_2336 --donoise --dumps a --procenv environments/pymidas_HVHV_NaI_mf.env</v>
      </c>
    </row>
    <row r="2459" spans="1:17">
      <c r="A2459" t="s">
        <v>7920</v>
      </c>
      <c r="F2459" s="65"/>
      <c r="G2459" s="217"/>
      <c r="H2459" s="211"/>
      <c r="I2459" s="65"/>
      <c r="J2459" s="65"/>
      <c r="K2459" s="202"/>
      <c r="M2459" t="s">
        <v>2246</v>
      </c>
      <c r="N2459" t="s">
        <v>5571</v>
      </c>
      <c r="O2459" t="s">
        <v>4932</v>
      </c>
      <c r="Q2459" t="str">
        <f t="shared" si="117"/>
        <v>condorProc.py --series 07180905_2346 --donoise --dumps a --procenv environments/pymidas_HVHV_NaI_mf.env</v>
      </c>
    </row>
    <row r="2460" spans="1:17">
      <c r="A2460" t="s">
        <v>7921</v>
      </c>
      <c r="F2460" s="177">
        <v>10</v>
      </c>
      <c r="G2460" s="215" t="s">
        <v>2248</v>
      </c>
      <c r="H2460" s="209">
        <v>-80</v>
      </c>
      <c r="I2460" s="177"/>
      <c r="J2460" s="177" t="s">
        <v>5577</v>
      </c>
      <c r="K2460" s="178" t="s">
        <v>5583</v>
      </c>
      <c r="M2460" t="s">
        <v>2246</v>
      </c>
      <c r="N2460" t="s">
        <v>5571</v>
      </c>
      <c r="O2460" t="s">
        <v>4932</v>
      </c>
      <c r="Q2460" t="str">
        <f t="shared" si="117"/>
        <v>condorProc.py --series 07180906_0038 --donoise --dumps a --procenv environments/pymidas_HVHV_NaI_mf.env</v>
      </c>
    </row>
    <row r="2461" spans="1:17">
      <c r="A2461" t="s">
        <v>7922</v>
      </c>
      <c r="G2461" s="216" t="s">
        <v>7885</v>
      </c>
      <c r="H2461" s="210"/>
      <c r="J2461" t="s">
        <v>5585</v>
      </c>
      <c r="K2461" s="180" t="s">
        <v>5671</v>
      </c>
      <c r="M2461" t="s">
        <v>2246</v>
      </c>
      <c r="N2461" t="s">
        <v>5571</v>
      </c>
      <c r="O2461" t="s">
        <v>4932</v>
      </c>
      <c r="Q2461" t="str">
        <f t="shared" si="117"/>
        <v>condorProc.py --series 07180906_0048 --donoise --dumps a --procenv environments/pymidas_HVHV_NaI_mf.env</v>
      </c>
    </row>
    <row r="2462" spans="1:17">
      <c r="A2462" t="s">
        <v>7923</v>
      </c>
      <c r="G2462" s="216" t="s">
        <v>7887</v>
      </c>
      <c r="H2462" s="210"/>
      <c r="K2462" s="187" t="s">
        <v>6206</v>
      </c>
      <c r="M2462" t="s">
        <v>2246</v>
      </c>
      <c r="N2462" t="s">
        <v>5571</v>
      </c>
      <c r="O2462" t="s">
        <v>4932</v>
      </c>
      <c r="Q2462" t="str">
        <f t="shared" si="117"/>
        <v>condorProc.py --series 07180906_0058 --donoise --dumps a --procenv environments/pymidas_HVHV_NaI_mf.env</v>
      </c>
    </row>
    <row r="2463" spans="1:17">
      <c r="A2463" t="s">
        <v>7924</v>
      </c>
      <c r="G2463" s="216"/>
      <c r="H2463" s="210"/>
      <c r="K2463" s="180"/>
      <c r="M2463" t="s">
        <v>2246</v>
      </c>
      <c r="N2463" t="s">
        <v>5571</v>
      </c>
      <c r="O2463" t="s">
        <v>4932</v>
      </c>
      <c r="Q2463" t="str">
        <f t="shared" si="117"/>
        <v>condorProc.py --series 07180906_0108 --donoise --dumps a --procenv environments/pymidas_HVHV_NaI_mf.env</v>
      </c>
    </row>
    <row r="2464" spans="1:17">
      <c r="A2464" t="s">
        <v>7925</v>
      </c>
      <c r="G2464" s="216"/>
      <c r="H2464" s="210"/>
      <c r="K2464" s="180"/>
      <c r="M2464" t="s">
        <v>2246</v>
      </c>
      <c r="N2464" t="s">
        <v>5571</v>
      </c>
      <c r="O2464" t="s">
        <v>4932</v>
      </c>
      <c r="Q2464" t="str">
        <f t="shared" si="117"/>
        <v>condorProc.py --series 07180906_0119 --donoise --dumps a --procenv environments/pymidas_HVHV_NaI_mf.env</v>
      </c>
    </row>
    <row r="2465" spans="1:17">
      <c r="A2465" t="s">
        <v>7926</v>
      </c>
      <c r="G2465" s="216"/>
      <c r="H2465" s="210"/>
      <c r="K2465" s="180"/>
      <c r="M2465" t="s">
        <v>2246</v>
      </c>
      <c r="N2465" t="s">
        <v>5571</v>
      </c>
      <c r="O2465" t="s">
        <v>4932</v>
      </c>
      <c r="Q2465" t="str">
        <f t="shared" si="117"/>
        <v>condorProc.py --series 07180906_0129 --donoise --dumps a --procenv environments/pymidas_HVHV_NaI_mf.env</v>
      </c>
    </row>
    <row r="2466" spans="1:17">
      <c r="A2466" t="s">
        <v>7927</v>
      </c>
      <c r="G2466" s="216"/>
      <c r="H2466" s="210"/>
      <c r="K2466" s="180"/>
      <c r="M2466" t="s">
        <v>2246</v>
      </c>
      <c r="N2466" t="s">
        <v>5571</v>
      </c>
      <c r="O2466" t="s">
        <v>4932</v>
      </c>
      <c r="Q2466" t="str">
        <f t="shared" si="117"/>
        <v>condorProc.py --series 07180906_0139 --donoise --dumps a --procenv environments/pymidas_HVHV_NaI_mf.env</v>
      </c>
    </row>
    <row r="2467" spans="1:17">
      <c r="A2467" t="s">
        <v>7928</v>
      </c>
      <c r="G2467" s="216"/>
      <c r="H2467" s="210"/>
      <c r="K2467" s="180"/>
      <c r="M2467" t="s">
        <v>2246</v>
      </c>
      <c r="N2467" t="s">
        <v>5571</v>
      </c>
      <c r="O2467" t="s">
        <v>4932</v>
      </c>
      <c r="Q2467" t="str">
        <f t="shared" si="117"/>
        <v>condorProc.py --series 07180906_0149 --donoise --dumps a --procenv environments/pymidas_HVHV_NaI_mf.env</v>
      </c>
    </row>
    <row r="2468" spans="1:17">
      <c r="A2468" t="s">
        <v>7929</v>
      </c>
      <c r="G2468" s="216"/>
      <c r="H2468" s="210"/>
      <c r="K2468" s="180"/>
      <c r="M2468" t="s">
        <v>2246</v>
      </c>
      <c r="N2468" t="s">
        <v>5571</v>
      </c>
      <c r="O2468" t="s">
        <v>4932</v>
      </c>
      <c r="Q2468" t="str">
        <f t="shared" si="117"/>
        <v>condorProc.py --series 07180906_0159 --donoise --dumps a --procenv environments/pymidas_HVHV_NaI_mf.env</v>
      </c>
    </row>
    <row r="2469" spans="1:17">
      <c r="A2469" t="s">
        <v>7930</v>
      </c>
      <c r="G2469" s="216"/>
      <c r="H2469" s="210"/>
      <c r="K2469" s="180"/>
      <c r="M2469" t="s">
        <v>2246</v>
      </c>
      <c r="N2469" t="s">
        <v>5571</v>
      </c>
      <c r="O2469" t="s">
        <v>4932</v>
      </c>
      <c r="Q2469" t="str">
        <f t="shared" si="117"/>
        <v>condorProc.py --series 07180906_0209 --donoise --dumps a --procenv environments/pymidas_HVHV_NaI_mf.env</v>
      </c>
    </row>
    <row r="2470" spans="1:17">
      <c r="A2470" t="s">
        <v>7931</v>
      </c>
      <c r="G2470" s="216"/>
      <c r="H2470" s="210"/>
      <c r="K2470" s="180"/>
      <c r="M2470" t="s">
        <v>2246</v>
      </c>
      <c r="N2470" t="s">
        <v>5571</v>
      </c>
      <c r="O2470" t="s">
        <v>4932</v>
      </c>
      <c r="Q2470" t="str">
        <f t="shared" si="117"/>
        <v>condorProc.py --series 07180906_0219 --donoise --dumps a --procenv environments/pymidas_HVHV_NaI_mf.env</v>
      </c>
    </row>
    <row r="2471" spans="1:17">
      <c r="A2471" t="s">
        <v>7932</v>
      </c>
      <c r="F2471" s="65"/>
      <c r="G2471" s="217"/>
      <c r="H2471" s="211"/>
      <c r="I2471" s="65"/>
      <c r="J2471" s="65"/>
      <c r="K2471" s="202"/>
      <c r="M2471" t="s">
        <v>2246</v>
      </c>
      <c r="N2471" t="s">
        <v>5571</v>
      </c>
      <c r="O2471" t="s">
        <v>4932</v>
      </c>
      <c r="Q2471" t="str">
        <f t="shared" si="117"/>
        <v>condorProc.py --series 07180906_0229 --donoise --dumps a --procenv environments/pymidas_HVHV_NaI_mf.env</v>
      </c>
    </row>
    <row r="2472" spans="1:17">
      <c r="A2472" t="s">
        <v>7933</v>
      </c>
      <c r="F2472" s="177">
        <v>10</v>
      </c>
      <c r="G2472" s="215" t="s">
        <v>2248</v>
      </c>
      <c r="H2472" s="209">
        <v>-80</v>
      </c>
      <c r="I2472" s="177"/>
      <c r="J2472" s="177" t="s">
        <v>5577</v>
      </c>
      <c r="K2472" s="178" t="s">
        <v>5583</v>
      </c>
      <c r="M2472" t="s">
        <v>2246</v>
      </c>
      <c r="N2472" t="s">
        <v>5571</v>
      </c>
      <c r="O2472" t="s">
        <v>4932</v>
      </c>
      <c r="Q2472" t="str">
        <f t="shared" si="117"/>
        <v>condorProc.py --series 07180906_0322 --donoise --dumps a --procenv environments/pymidas_HVHV_NaI_mf.env</v>
      </c>
    </row>
    <row r="2473" spans="1:17">
      <c r="A2473" t="s">
        <v>7934</v>
      </c>
      <c r="G2473" s="216" t="s">
        <v>7885</v>
      </c>
      <c r="H2473" s="210"/>
      <c r="J2473" t="s">
        <v>5585</v>
      </c>
      <c r="K2473" s="180" t="s">
        <v>5671</v>
      </c>
      <c r="M2473" t="s">
        <v>2246</v>
      </c>
      <c r="N2473" t="s">
        <v>5571</v>
      </c>
      <c r="O2473" t="s">
        <v>4932</v>
      </c>
      <c r="Q2473" t="str">
        <f t="shared" si="117"/>
        <v>condorProc.py --series 07180906_0332 --donoise --dumps a --procenv environments/pymidas_HVHV_NaI_mf.env</v>
      </c>
    </row>
    <row r="2474" spans="1:17">
      <c r="A2474" t="s">
        <v>7935</v>
      </c>
      <c r="G2474" s="216" t="s">
        <v>7887</v>
      </c>
      <c r="H2474" s="210"/>
      <c r="K2474" s="187" t="s">
        <v>6206</v>
      </c>
      <c r="M2474" t="s">
        <v>2246</v>
      </c>
      <c r="N2474" t="s">
        <v>5571</v>
      </c>
      <c r="O2474" t="s">
        <v>4932</v>
      </c>
      <c r="Q2474" t="str">
        <f t="shared" si="117"/>
        <v>condorProc.py --series 07180906_0342 --donoise --dumps a --procenv environments/pymidas_HVHV_NaI_mf.env</v>
      </c>
    </row>
    <row r="2475" spans="1:17">
      <c r="A2475" t="s">
        <v>7936</v>
      </c>
      <c r="G2475" s="216"/>
      <c r="H2475" s="210"/>
      <c r="K2475" s="180"/>
      <c r="M2475" t="s">
        <v>2246</v>
      </c>
      <c r="N2475" t="s">
        <v>5571</v>
      </c>
      <c r="O2475" t="s">
        <v>4932</v>
      </c>
      <c r="Q2475" t="str">
        <f t="shared" si="117"/>
        <v>condorProc.py --series 07180906_0352 --donoise --dumps a --procenv environments/pymidas_HVHV_NaI_mf.env</v>
      </c>
    </row>
    <row r="2476" spans="1:17">
      <c r="A2476" t="s">
        <v>7937</v>
      </c>
      <c r="G2476" s="216"/>
      <c r="H2476" s="210"/>
      <c r="K2476" s="180"/>
      <c r="M2476" t="s">
        <v>2246</v>
      </c>
      <c r="N2476" t="s">
        <v>5571</v>
      </c>
      <c r="O2476" t="s">
        <v>4932</v>
      </c>
      <c r="Q2476" t="str">
        <f t="shared" si="117"/>
        <v>condorProc.py --series 07180906_0402 --donoise --dumps a --procenv environments/pymidas_HVHV_NaI_mf.env</v>
      </c>
    </row>
    <row r="2477" spans="1:17">
      <c r="A2477" t="s">
        <v>7938</v>
      </c>
      <c r="G2477" s="216"/>
      <c r="H2477" s="210"/>
      <c r="K2477" s="180"/>
      <c r="M2477" t="s">
        <v>2246</v>
      </c>
      <c r="N2477" t="s">
        <v>5571</v>
      </c>
      <c r="O2477" t="s">
        <v>4932</v>
      </c>
      <c r="Q2477" t="str">
        <f t="shared" si="117"/>
        <v>condorProc.py --series 07180906_0412 --donoise --dumps a --procenv environments/pymidas_HVHV_NaI_mf.env</v>
      </c>
    </row>
    <row r="2478" spans="1:17">
      <c r="A2478" t="s">
        <v>7939</v>
      </c>
      <c r="G2478" s="216"/>
      <c r="H2478" s="210"/>
      <c r="K2478" s="180"/>
      <c r="M2478" t="s">
        <v>2246</v>
      </c>
      <c r="N2478" t="s">
        <v>5571</v>
      </c>
      <c r="O2478" t="s">
        <v>4932</v>
      </c>
      <c r="Q2478" t="str">
        <f t="shared" si="117"/>
        <v>condorProc.py --series 07180906_0422 --donoise --dumps a --procenv environments/pymidas_HVHV_NaI_mf.env</v>
      </c>
    </row>
    <row r="2479" spans="1:17">
      <c r="A2479" t="s">
        <v>7940</v>
      </c>
      <c r="G2479" s="216"/>
      <c r="H2479" s="210"/>
      <c r="K2479" s="180"/>
      <c r="M2479" t="s">
        <v>2246</v>
      </c>
      <c r="N2479" t="s">
        <v>5571</v>
      </c>
      <c r="O2479" t="s">
        <v>4932</v>
      </c>
      <c r="Q2479" t="str">
        <f t="shared" si="117"/>
        <v>condorProc.py --series 07180906_0432 --donoise --dumps a --procenv environments/pymidas_HVHV_NaI_mf.env</v>
      </c>
    </row>
    <row r="2480" spans="1:17">
      <c r="A2480" t="s">
        <v>7941</v>
      </c>
      <c r="G2480" s="216"/>
      <c r="H2480" s="210"/>
      <c r="K2480" s="180"/>
      <c r="M2480" t="s">
        <v>2246</v>
      </c>
      <c r="N2480" t="s">
        <v>5571</v>
      </c>
      <c r="O2480" t="s">
        <v>4932</v>
      </c>
      <c r="Q2480" t="str">
        <f t="shared" si="117"/>
        <v>condorProc.py --series 07180906_0443 --donoise --dumps a --procenv environments/pymidas_HVHV_NaI_mf.env</v>
      </c>
    </row>
    <row r="2481" spans="1:17">
      <c r="A2481" t="s">
        <v>7942</v>
      </c>
      <c r="G2481" s="216"/>
      <c r="H2481" s="210"/>
      <c r="K2481" s="180"/>
      <c r="M2481" t="s">
        <v>2246</v>
      </c>
      <c r="N2481" t="s">
        <v>5571</v>
      </c>
      <c r="O2481" t="s">
        <v>4932</v>
      </c>
      <c r="Q2481" t="str">
        <f t="shared" si="117"/>
        <v>condorProc.py --series 07180906_0453 --donoise --dumps a --procenv environments/pymidas_HVHV_NaI_mf.env</v>
      </c>
    </row>
    <row r="2482" spans="1:17">
      <c r="A2482" t="s">
        <v>7943</v>
      </c>
      <c r="G2482" s="216"/>
      <c r="H2482" s="210"/>
      <c r="K2482" s="180"/>
      <c r="M2482" t="s">
        <v>2246</v>
      </c>
      <c r="N2482" t="s">
        <v>5571</v>
      </c>
      <c r="O2482" t="s">
        <v>4932</v>
      </c>
      <c r="Q2482" t="str">
        <f t="shared" si="117"/>
        <v>condorProc.py --series 07180906_0503 --donoise --dumps a --procenv environments/pymidas_HVHV_NaI_mf.env</v>
      </c>
    </row>
    <row r="2483" spans="1:17">
      <c r="A2483" t="s">
        <v>7944</v>
      </c>
      <c r="F2483" s="65"/>
      <c r="G2483" s="217"/>
      <c r="H2483" s="211"/>
      <c r="I2483" s="65" t="s">
        <v>75</v>
      </c>
      <c r="J2483" s="65"/>
      <c r="K2483" s="202"/>
      <c r="M2483" t="s">
        <v>2246</v>
      </c>
      <c r="N2483" t="s">
        <v>5571</v>
      </c>
      <c r="O2483" t="s">
        <v>4932</v>
      </c>
      <c r="Q2483" t="str">
        <f t="shared" si="117"/>
        <v>condorProc.py --series 07180906_0513 --donoise --dumps a --procenv environments/pymidas_HVHV_NaI_mf.env</v>
      </c>
    </row>
    <row r="2484" spans="1:17">
      <c r="A2484" t="s">
        <v>7945</v>
      </c>
      <c r="F2484" s="177">
        <v>10</v>
      </c>
      <c r="G2484" s="215" t="s">
        <v>2248</v>
      </c>
      <c r="H2484" s="209">
        <v>-80</v>
      </c>
      <c r="I2484" s="177"/>
      <c r="J2484" s="177" t="s">
        <v>5577</v>
      </c>
      <c r="K2484" s="178" t="s">
        <v>5583</v>
      </c>
      <c r="L2484" s="1">
        <f>DATE(2000+MID(A2484,3,2),MID(A2484,5,2),MID(A2484,7,2))+TIME(MID(A2484,10,2),MID(A2484,12,2),0)</f>
        <v>43349.253472222219</v>
      </c>
      <c r="M2484" t="s">
        <v>2246</v>
      </c>
      <c r="N2484" t="s">
        <v>5571</v>
      </c>
      <c r="O2484" t="s">
        <v>4932</v>
      </c>
      <c r="Q2484" t="str">
        <f t="shared" si="117"/>
        <v>condorProc.py --series 07180906_0605 --donoise --dumps a --procenv environments/pymidas_HVHV_NaI_mf.env</v>
      </c>
    </row>
    <row r="2485" spans="1:17">
      <c r="A2485" t="s">
        <v>7946</v>
      </c>
      <c r="G2485" s="216" t="s">
        <v>7885</v>
      </c>
      <c r="H2485" s="210"/>
      <c r="J2485" t="s">
        <v>5585</v>
      </c>
      <c r="K2485" s="180" t="s">
        <v>5671</v>
      </c>
      <c r="M2485" t="s">
        <v>2246</v>
      </c>
      <c r="N2485" t="s">
        <v>5571</v>
      </c>
      <c r="O2485" t="s">
        <v>4932</v>
      </c>
      <c r="Q2485" t="str">
        <f t="shared" si="117"/>
        <v>condorProc.py --series 07180906_0615 --donoise --dumps a --procenv environments/pymidas_HVHV_NaI_mf.env</v>
      </c>
    </row>
    <row r="2486" spans="1:17">
      <c r="A2486" t="s">
        <v>7947</v>
      </c>
      <c r="G2486" s="216" t="s">
        <v>7887</v>
      </c>
      <c r="H2486" s="210"/>
      <c r="K2486" s="187" t="s">
        <v>6206</v>
      </c>
      <c r="M2486" t="s">
        <v>2246</v>
      </c>
      <c r="N2486" t="s">
        <v>5571</v>
      </c>
      <c r="O2486" t="s">
        <v>4932</v>
      </c>
      <c r="Q2486" t="str">
        <f t="shared" si="117"/>
        <v>condorProc.py --series 07180906_0625 --donoise --dumps a --procenv environments/pymidas_HVHV_NaI_mf.env</v>
      </c>
    </row>
    <row r="2487" spans="1:17">
      <c r="A2487" t="s">
        <v>7948</v>
      </c>
      <c r="G2487" s="216"/>
      <c r="H2487" s="210"/>
      <c r="K2487" s="180"/>
      <c r="M2487" t="s">
        <v>2246</v>
      </c>
      <c r="N2487" t="s">
        <v>5571</v>
      </c>
      <c r="O2487" t="s">
        <v>4932</v>
      </c>
      <c r="Q2487" t="str">
        <f t="shared" si="117"/>
        <v>condorProc.py --series 07180906_0636 --donoise --dumps a --procenv environments/pymidas_HVHV_NaI_mf.env</v>
      </c>
    </row>
    <row r="2488" spans="1:17">
      <c r="A2488" t="s">
        <v>7949</v>
      </c>
      <c r="G2488" s="216"/>
      <c r="H2488" s="210"/>
      <c r="K2488" s="180"/>
      <c r="M2488" t="s">
        <v>2246</v>
      </c>
      <c r="N2488" t="s">
        <v>5571</v>
      </c>
      <c r="O2488" t="s">
        <v>4932</v>
      </c>
      <c r="Q2488" t="str">
        <f t="shared" si="117"/>
        <v>condorProc.py --series 07180906_0646 --donoise --dumps a --procenv environments/pymidas_HVHV_NaI_mf.env</v>
      </c>
    </row>
    <row r="2489" spans="1:17">
      <c r="A2489" t="s">
        <v>7950</v>
      </c>
      <c r="G2489" s="216"/>
      <c r="H2489" s="210"/>
      <c r="K2489" s="180"/>
      <c r="M2489" t="s">
        <v>2246</v>
      </c>
      <c r="N2489" t="s">
        <v>5571</v>
      </c>
      <c r="O2489" t="s">
        <v>4932</v>
      </c>
      <c r="Q2489" t="str">
        <f t="shared" si="117"/>
        <v>condorProc.py --series 07180906_0656 --donoise --dumps a --procenv environments/pymidas_HVHV_NaI_mf.env</v>
      </c>
    </row>
    <row r="2490" spans="1:17">
      <c r="A2490" t="s">
        <v>7951</v>
      </c>
      <c r="G2490" s="216"/>
      <c r="H2490" s="210"/>
      <c r="K2490" s="180"/>
      <c r="M2490" t="s">
        <v>2246</v>
      </c>
      <c r="N2490" t="s">
        <v>5571</v>
      </c>
      <c r="O2490" t="s">
        <v>4932</v>
      </c>
      <c r="Q2490" t="str">
        <f t="shared" si="117"/>
        <v>condorProc.py --series 07180906_0706 --donoise --dumps a --procenv environments/pymidas_HVHV_NaI_mf.env</v>
      </c>
    </row>
    <row r="2491" spans="1:17">
      <c r="A2491" t="s">
        <v>7952</v>
      </c>
      <c r="G2491" s="216"/>
      <c r="H2491" s="210"/>
      <c r="K2491" s="180"/>
      <c r="M2491" t="s">
        <v>2246</v>
      </c>
      <c r="N2491" t="s">
        <v>5571</v>
      </c>
      <c r="O2491" t="s">
        <v>4932</v>
      </c>
      <c r="Q2491" t="str">
        <f t="shared" si="117"/>
        <v>condorProc.py --series 07180906_0716 --donoise --dumps a --procenv environments/pymidas_HVHV_NaI_mf.env</v>
      </c>
    </row>
    <row r="2492" spans="1:17">
      <c r="A2492" t="s">
        <v>7953</v>
      </c>
      <c r="G2492" s="216"/>
      <c r="H2492" s="210"/>
      <c r="K2492" s="180"/>
      <c r="M2492" t="s">
        <v>2246</v>
      </c>
      <c r="N2492" t="s">
        <v>5571</v>
      </c>
      <c r="O2492" t="s">
        <v>4932</v>
      </c>
      <c r="Q2492" t="str">
        <f t="shared" si="117"/>
        <v>condorProc.py --series 07180906_0726 --donoise --dumps a --procenv environments/pymidas_HVHV_NaI_mf.env</v>
      </c>
    </row>
    <row r="2493" spans="1:17">
      <c r="A2493" t="s">
        <v>7954</v>
      </c>
      <c r="G2493" s="216"/>
      <c r="H2493" s="210"/>
      <c r="K2493" s="180"/>
      <c r="M2493" t="s">
        <v>2246</v>
      </c>
      <c r="N2493" t="s">
        <v>5571</v>
      </c>
      <c r="O2493" t="s">
        <v>4932</v>
      </c>
      <c r="Q2493" t="str">
        <f t="shared" si="117"/>
        <v>condorProc.py --series 07180906_0736 --donoise --dumps a --procenv environments/pymidas_HVHV_NaI_mf.env</v>
      </c>
    </row>
    <row r="2494" spans="1:17">
      <c r="A2494" t="s">
        <v>7955</v>
      </c>
      <c r="G2494" s="216"/>
      <c r="H2494" s="210"/>
      <c r="K2494" s="180"/>
      <c r="M2494" t="s">
        <v>2246</v>
      </c>
      <c r="N2494" t="s">
        <v>5571</v>
      </c>
      <c r="O2494" t="s">
        <v>4932</v>
      </c>
      <c r="Q2494" t="str">
        <f t="shared" si="117"/>
        <v>condorProc.py --series 07180906_0746 --donoise --dumps a --procenv environments/pymidas_HVHV_NaI_mf.env</v>
      </c>
    </row>
    <row r="2495" spans="1:17">
      <c r="A2495" t="s">
        <v>7956</v>
      </c>
      <c r="F2495" s="65"/>
      <c r="G2495" s="217"/>
      <c r="H2495" s="211"/>
      <c r="I2495" s="65"/>
      <c r="J2495" s="65"/>
      <c r="K2495" s="202"/>
      <c r="M2495" t="s">
        <v>2246</v>
      </c>
      <c r="N2495" t="s">
        <v>5571</v>
      </c>
      <c r="O2495" t="s">
        <v>4932</v>
      </c>
      <c r="Q2495" t="str">
        <f t="shared" si="117"/>
        <v>condorProc.py --series 07180906_0756 --donoise --dumps a --procenv environments/pymidas_HVHV_NaI_mf.env</v>
      </c>
    </row>
    <row r="2496" spans="1:17">
      <c r="A2496" t="s">
        <v>7957</v>
      </c>
      <c r="F2496" s="177">
        <v>10</v>
      </c>
      <c r="G2496" s="215" t="s">
        <v>2248</v>
      </c>
      <c r="H2496" s="209">
        <v>-80</v>
      </c>
      <c r="I2496" s="177"/>
      <c r="J2496" s="177" t="s">
        <v>5577</v>
      </c>
      <c r="K2496" s="178" t="s">
        <v>5583</v>
      </c>
      <c r="L2496" s="1">
        <f>DATE(2000+MID(A2496,3,2),MID(A2496,5,2),MID(A2496,7,2))+TIME(MID(A2496,10,2),MID(A2496,12,2),0)</f>
        <v>43349.367361111108</v>
      </c>
      <c r="M2496" t="s">
        <v>2246</v>
      </c>
      <c r="N2496" t="s">
        <v>5571</v>
      </c>
      <c r="O2496" t="s">
        <v>4932</v>
      </c>
      <c r="Q2496" t="str">
        <f t="shared" si="117"/>
        <v>condorProc.py --series 07180906_0849 --donoise --dumps a --procenv environments/pymidas_HVHV_NaI_mf.env</v>
      </c>
    </row>
    <row r="2497" spans="1:17">
      <c r="A2497" t="s">
        <v>7958</v>
      </c>
      <c r="G2497" s="216" t="s">
        <v>7885</v>
      </c>
      <c r="H2497" s="210"/>
      <c r="J2497" t="s">
        <v>5585</v>
      </c>
      <c r="K2497" s="180" t="s">
        <v>5671</v>
      </c>
      <c r="L2497" s="1"/>
      <c r="M2497" t="s">
        <v>2246</v>
      </c>
      <c r="N2497" t="s">
        <v>5571</v>
      </c>
      <c r="O2497" t="s">
        <v>4932</v>
      </c>
      <c r="Q2497" t="str">
        <f t="shared" si="117"/>
        <v>condorProc.py --series 07180906_0859 --donoise --dumps a --procenv environments/pymidas_HVHV_NaI_mf.env</v>
      </c>
    </row>
    <row r="2498" spans="1:17">
      <c r="A2498" t="s">
        <v>7959</v>
      </c>
      <c r="G2498" s="216" t="s">
        <v>7887</v>
      </c>
      <c r="H2498" s="210"/>
      <c r="K2498" s="187" t="s">
        <v>6206</v>
      </c>
      <c r="M2498" t="s">
        <v>2246</v>
      </c>
      <c r="N2498" t="s">
        <v>5571</v>
      </c>
      <c r="O2498" t="s">
        <v>4932</v>
      </c>
      <c r="Q2498" t="str">
        <f t="shared" si="117"/>
        <v>condorProc.py --series 07180906_0909 --donoise --dumps a --procenv environments/pymidas_HVHV_NaI_mf.env</v>
      </c>
    </row>
    <row r="2499" spans="1:17">
      <c r="A2499" t="s">
        <v>7960</v>
      </c>
      <c r="G2499" s="216"/>
      <c r="H2499" s="210"/>
      <c r="K2499" s="180"/>
      <c r="M2499" t="s">
        <v>2246</v>
      </c>
      <c r="N2499" t="s">
        <v>5571</v>
      </c>
      <c r="O2499" t="s">
        <v>4932</v>
      </c>
      <c r="Q2499" t="str">
        <f t="shared" si="117"/>
        <v>condorProc.py --series 07180906_0919 --donoise --dumps a --procenv environments/pymidas_HVHV_NaI_mf.env</v>
      </c>
    </row>
    <row r="2500" spans="1:17">
      <c r="A2500" t="s">
        <v>7961</v>
      </c>
      <c r="G2500" s="216"/>
      <c r="H2500" s="210"/>
      <c r="K2500" s="180"/>
      <c r="M2500" t="s">
        <v>2246</v>
      </c>
      <c r="N2500" t="s">
        <v>5571</v>
      </c>
      <c r="O2500" t="s">
        <v>4932</v>
      </c>
      <c r="Q2500" t="str">
        <f t="shared" si="117"/>
        <v>condorProc.py --series 07180906_0929 --donoise --dumps a --procenv environments/pymidas_HVHV_NaI_mf.env</v>
      </c>
    </row>
    <row r="2501" spans="1:17">
      <c r="A2501" t="s">
        <v>7962</v>
      </c>
      <c r="G2501" s="216"/>
      <c r="H2501" s="210"/>
      <c r="K2501" s="180"/>
      <c r="M2501" t="s">
        <v>2246</v>
      </c>
      <c r="N2501" t="s">
        <v>5571</v>
      </c>
      <c r="O2501" t="s">
        <v>4932</v>
      </c>
      <c r="Q2501" t="str">
        <f t="shared" si="117"/>
        <v>condorProc.py --series 07180906_0939 --donoise --dumps a --procenv environments/pymidas_HVHV_NaI_mf.env</v>
      </c>
    </row>
    <row r="2502" spans="1:17">
      <c r="A2502" t="s">
        <v>7963</v>
      </c>
      <c r="G2502" s="216"/>
      <c r="H2502" s="210"/>
      <c r="K2502" s="180"/>
      <c r="M2502" t="s">
        <v>2246</v>
      </c>
      <c r="N2502" t="s">
        <v>5571</v>
      </c>
      <c r="O2502" t="s">
        <v>4932</v>
      </c>
      <c r="Q2502" t="str">
        <f t="shared" si="117"/>
        <v>condorProc.py --series 07180906_0949 --donoise --dumps a --procenv environments/pymidas_HVHV_NaI_mf.env</v>
      </c>
    </row>
    <row r="2503" spans="1:17">
      <c r="A2503" t="s">
        <v>7964</v>
      </c>
      <c r="G2503" s="216"/>
      <c r="H2503" s="210"/>
      <c r="K2503" s="180"/>
      <c r="M2503" t="s">
        <v>2246</v>
      </c>
      <c r="N2503" t="s">
        <v>5571</v>
      </c>
      <c r="O2503" t="s">
        <v>4932</v>
      </c>
      <c r="Q2503" t="str">
        <f t="shared" si="117"/>
        <v>condorProc.py --series 07180906_1000 --donoise --dumps a --procenv environments/pymidas_HVHV_NaI_mf.env</v>
      </c>
    </row>
    <row r="2504" spans="1:17">
      <c r="A2504" t="s">
        <v>7965</v>
      </c>
      <c r="G2504" s="216"/>
      <c r="H2504" s="210"/>
      <c r="I2504" t="s">
        <v>75</v>
      </c>
      <c r="K2504" s="180"/>
      <c r="M2504" t="s">
        <v>2246</v>
      </c>
      <c r="N2504" t="s">
        <v>5571</v>
      </c>
      <c r="O2504" t="s">
        <v>4932</v>
      </c>
      <c r="Q2504" t="str">
        <f t="shared" si="117"/>
        <v>condorProc.py --series 07180906_1010 --donoise --dumps a --procenv environments/pymidas_HVHV_NaI_mf.env</v>
      </c>
    </row>
    <row r="2505" spans="1:17">
      <c r="A2505" t="s">
        <v>7966</v>
      </c>
      <c r="G2505" s="216"/>
      <c r="H2505" s="210"/>
      <c r="K2505" s="180"/>
      <c r="M2505" t="s">
        <v>2246</v>
      </c>
      <c r="N2505" t="s">
        <v>5571</v>
      </c>
      <c r="O2505" t="s">
        <v>4932</v>
      </c>
      <c r="Q2505" t="str">
        <f t="shared" ref="Q2505:Q2568" si="118">"condorProc.py --series "&amp;A2505&amp;" --donoise --dumps a --procenv environments/pymidas_HVHV_NaI_mf.env"</f>
        <v>condorProc.py --series 07180906_1020 --donoise --dumps a --procenv environments/pymidas_HVHV_NaI_mf.env</v>
      </c>
    </row>
    <row r="2506" spans="1:17">
      <c r="A2506" t="s">
        <v>7967</v>
      </c>
      <c r="G2506" s="216"/>
      <c r="H2506" s="210"/>
      <c r="K2506" s="180"/>
      <c r="L2506" t="s">
        <v>7968</v>
      </c>
      <c r="M2506" t="s">
        <v>2246</v>
      </c>
      <c r="N2506" t="s">
        <v>5571</v>
      </c>
      <c r="O2506" t="s">
        <v>4932</v>
      </c>
      <c r="Q2506" t="str">
        <f t="shared" si="118"/>
        <v>condorProc.py --series 07180906_1030 --donoise --dumps a --procenv environments/pymidas_HVHV_NaI_mf.env</v>
      </c>
    </row>
    <row r="2507" spans="1:17">
      <c r="A2507" t="s">
        <v>7969</v>
      </c>
      <c r="F2507" s="65"/>
      <c r="G2507" s="217"/>
      <c r="H2507" s="211"/>
      <c r="I2507" s="65"/>
      <c r="J2507" s="65"/>
      <c r="K2507" s="202"/>
      <c r="L2507">
        <v>84</v>
      </c>
      <c r="M2507" t="s">
        <v>2246</v>
      </c>
      <c r="N2507" t="s">
        <v>5571</v>
      </c>
      <c r="O2507" t="s">
        <v>4932</v>
      </c>
      <c r="Q2507" t="str">
        <f t="shared" si="118"/>
        <v>condorProc.py --series 07180906_1040 --donoise --dumps a --procenv environments/pymidas_HVHV_NaI_mf.env</v>
      </c>
    </row>
    <row r="2508" spans="1:17">
      <c r="A2508" t="s">
        <v>7970</v>
      </c>
      <c r="F2508" s="177">
        <v>10</v>
      </c>
      <c r="G2508" s="192" t="s">
        <v>2248</v>
      </c>
      <c r="H2508" s="209">
        <v>-80</v>
      </c>
      <c r="I2508" s="177"/>
      <c r="J2508" s="177" t="s">
        <v>5577</v>
      </c>
      <c r="K2508" s="178" t="s">
        <v>5583</v>
      </c>
      <c r="M2508" t="s">
        <v>2246</v>
      </c>
      <c r="N2508" t="s">
        <v>5571</v>
      </c>
      <c r="O2508" t="s">
        <v>4931</v>
      </c>
      <c r="Q2508" t="str">
        <f t="shared" si="118"/>
        <v>condorProc.py --series 07180906_1133 --donoise --dumps a --procenv environments/pymidas_HVHV_NaI_mf.env</v>
      </c>
    </row>
    <row r="2509" spans="1:17">
      <c r="A2509" t="s">
        <v>7971</v>
      </c>
      <c r="G2509" s="191"/>
      <c r="H2509" s="210"/>
      <c r="J2509" t="s">
        <v>5585</v>
      </c>
      <c r="K2509" s="180" t="s">
        <v>5671</v>
      </c>
      <c r="L2509" s="1"/>
      <c r="M2509" t="s">
        <v>2246</v>
      </c>
      <c r="N2509" t="s">
        <v>5571</v>
      </c>
      <c r="O2509" t="s">
        <v>4931</v>
      </c>
      <c r="Q2509" t="str">
        <f t="shared" si="118"/>
        <v>condorProc.py --series 07180906_1143 --donoise --dumps a --procenv environments/pymidas_HVHV_NaI_mf.env</v>
      </c>
    </row>
    <row r="2510" spans="1:17">
      <c r="A2510" t="s">
        <v>7972</v>
      </c>
      <c r="G2510" s="191"/>
      <c r="H2510" s="210"/>
      <c r="K2510" s="187" t="s">
        <v>6206</v>
      </c>
      <c r="L2510" s="1"/>
      <c r="M2510" t="s">
        <v>2246</v>
      </c>
      <c r="N2510" t="s">
        <v>5571</v>
      </c>
      <c r="O2510" t="s">
        <v>4931</v>
      </c>
      <c r="Q2510" t="str">
        <f t="shared" si="118"/>
        <v>condorProc.py --series 07180906_1153 --donoise --dumps a --procenv environments/pymidas_HVHV_NaI_mf.env</v>
      </c>
    </row>
    <row r="2511" spans="1:17">
      <c r="A2511" t="s">
        <v>7973</v>
      </c>
      <c r="G2511" s="191"/>
      <c r="H2511" s="210"/>
      <c r="I2511" t="s">
        <v>75</v>
      </c>
      <c r="K2511" s="180"/>
      <c r="M2511" t="s">
        <v>2246</v>
      </c>
      <c r="N2511" t="s">
        <v>5571</v>
      </c>
      <c r="O2511" t="s">
        <v>4931</v>
      </c>
      <c r="Q2511" t="str">
        <f t="shared" si="118"/>
        <v>condorProc.py --series 07180906_1203 --donoise --dumps a --procenv environments/pymidas_HVHV_NaI_mf.env</v>
      </c>
    </row>
    <row r="2512" spans="1:17">
      <c r="A2512" t="s">
        <v>7974</v>
      </c>
      <c r="G2512" s="191"/>
      <c r="H2512" s="210"/>
      <c r="K2512" s="180"/>
      <c r="M2512" t="s">
        <v>2246</v>
      </c>
      <c r="N2512" t="s">
        <v>5571</v>
      </c>
      <c r="O2512" t="s">
        <v>4931</v>
      </c>
      <c r="Q2512" t="str">
        <f t="shared" si="118"/>
        <v>condorProc.py --series 07180906_1213 --donoise --dumps a --procenv environments/pymidas_HVHV_NaI_mf.env</v>
      </c>
    </row>
    <row r="2513" spans="1:17">
      <c r="A2513" t="s">
        <v>7975</v>
      </c>
      <c r="G2513" s="191"/>
      <c r="H2513" s="210"/>
      <c r="K2513" s="180"/>
      <c r="M2513" t="s">
        <v>2246</v>
      </c>
      <c r="N2513" t="s">
        <v>5571</v>
      </c>
      <c r="O2513" t="s">
        <v>4931</v>
      </c>
      <c r="Q2513" t="str">
        <f t="shared" si="118"/>
        <v>condorProc.py --series 07180906_1223 --donoise --dumps a --procenv environments/pymidas_HVHV_NaI_mf.env</v>
      </c>
    </row>
    <row r="2514" spans="1:17">
      <c r="A2514" t="s">
        <v>7976</v>
      </c>
      <c r="G2514" s="191"/>
      <c r="H2514" s="210"/>
      <c r="K2514" s="180"/>
      <c r="M2514" t="s">
        <v>2246</v>
      </c>
      <c r="N2514" t="s">
        <v>5571</v>
      </c>
      <c r="O2514" t="s">
        <v>4931</v>
      </c>
      <c r="Q2514" t="str">
        <f t="shared" si="118"/>
        <v>condorProc.py --series 07180906_1233 --donoise --dumps a --procenv environments/pymidas_HVHV_NaI_mf.env</v>
      </c>
    </row>
    <row r="2515" spans="1:17">
      <c r="A2515" t="s">
        <v>7977</v>
      </c>
      <c r="G2515" s="191"/>
      <c r="H2515" s="210"/>
      <c r="K2515" s="180"/>
      <c r="M2515" t="s">
        <v>2246</v>
      </c>
      <c r="N2515" t="s">
        <v>5571</v>
      </c>
      <c r="O2515" t="s">
        <v>4931</v>
      </c>
      <c r="Q2515" t="str">
        <f t="shared" si="118"/>
        <v>condorProc.py --series 07180906_1243 --donoise --dumps a --procenv environments/pymidas_HVHV_NaI_mf.env</v>
      </c>
    </row>
    <row r="2516" spans="1:17">
      <c r="A2516" t="s">
        <v>7978</v>
      </c>
      <c r="G2516" s="191"/>
      <c r="H2516" s="210"/>
      <c r="K2516" s="180"/>
      <c r="M2516" t="s">
        <v>2246</v>
      </c>
      <c r="N2516" t="s">
        <v>5571</v>
      </c>
      <c r="O2516" t="s">
        <v>4931</v>
      </c>
      <c r="Q2516" t="str">
        <f t="shared" si="118"/>
        <v>condorProc.py --series 07180906_1253 --donoise --dumps a --procenv environments/pymidas_HVHV_NaI_mf.env</v>
      </c>
    </row>
    <row r="2517" spans="1:17">
      <c r="A2517" t="s">
        <v>7979</v>
      </c>
      <c r="G2517" s="191"/>
      <c r="H2517" s="210"/>
      <c r="K2517" s="180"/>
      <c r="M2517" t="s">
        <v>2246</v>
      </c>
      <c r="N2517" t="s">
        <v>5571</v>
      </c>
      <c r="O2517" t="s">
        <v>4931</v>
      </c>
      <c r="Q2517" t="str">
        <f t="shared" si="118"/>
        <v>condorProc.py --series 07180906_1304 --donoise --dumps a --procenv environments/pymidas_HVHV_NaI_mf.env</v>
      </c>
    </row>
    <row r="2518" spans="1:17">
      <c r="A2518" t="s">
        <v>7980</v>
      </c>
      <c r="G2518" s="191"/>
      <c r="H2518" s="210"/>
      <c r="K2518" s="180"/>
      <c r="M2518" t="s">
        <v>2246</v>
      </c>
      <c r="N2518" t="s">
        <v>5571</v>
      </c>
      <c r="O2518" t="s">
        <v>4931</v>
      </c>
      <c r="Q2518" t="str">
        <f t="shared" si="118"/>
        <v>condorProc.py --series 07180906_1314 --donoise --dumps a --procenv environments/pymidas_HVHV_NaI_mf.env</v>
      </c>
    </row>
    <row r="2519" spans="1:17">
      <c r="A2519" t="s">
        <v>7981</v>
      </c>
      <c r="G2519" s="191"/>
      <c r="H2519" s="210"/>
      <c r="I2519" t="s">
        <v>75</v>
      </c>
      <c r="K2519" s="187"/>
      <c r="M2519" t="s">
        <v>2246</v>
      </c>
      <c r="N2519" t="s">
        <v>5571</v>
      </c>
      <c r="O2519" t="s">
        <v>4931</v>
      </c>
      <c r="Q2519" t="str">
        <f t="shared" si="118"/>
        <v>condorProc.py --series 07180906_1324 --donoise --dumps a --procenv environments/pymidas_HVHV_NaI_mf.env</v>
      </c>
    </row>
    <row r="2520" spans="1:17">
      <c r="A2520" s="176" t="s">
        <v>7982</v>
      </c>
      <c r="B2520" s="177"/>
      <c r="C2520" s="177"/>
      <c r="D2520" s="177"/>
      <c r="E2520" s="177"/>
      <c r="F2520" s="177">
        <v>10</v>
      </c>
      <c r="G2520" s="192" t="s">
        <v>2248</v>
      </c>
      <c r="H2520" s="209">
        <v>-80</v>
      </c>
      <c r="I2520" s="177"/>
      <c r="J2520" s="177" t="s">
        <v>5577</v>
      </c>
      <c r="K2520" s="178" t="s">
        <v>5583</v>
      </c>
      <c r="L2520" s="1"/>
      <c r="M2520" t="s">
        <v>2246</v>
      </c>
      <c r="N2520" t="s">
        <v>5571</v>
      </c>
      <c r="O2520" t="s">
        <v>4931</v>
      </c>
      <c r="Q2520" t="str">
        <f t="shared" si="118"/>
        <v>condorProc.py --series 07180906_1417 --donoise --dumps a --procenv environments/pymidas_HVHV_NaI_mf.env</v>
      </c>
    </row>
    <row r="2521" spans="1:17">
      <c r="A2521" s="179" t="s">
        <v>7983</v>
      </c>
      <c r="G2521" s="191"/>
      <c r="H2521" s="210"/>
      <c r="J2521" t="s">
        <v>5585</v>
      </c>
      <c r="K2521" s="180" t="s">
        <v>5671</v>
      </c>
      <c r="L2521" s="1"/>
      <c r="M2521" t="s">
        <v>2246</v>
      </c>
      <c r="N2521" t="s">
        <v>5571</v>
      </c>
      <c r="O2521" t="s">
        <v>4931</v>
      </c>
      <c r="Q2521" t="str">
        <f t="shared" si="118"/>
        <v>condorProc.py --series 07180906_1427 --donoise --dumps a --procenv environments/pymidas_HVHV_NaI_mf.env</v>
      </c>
    </row>
    <row r="2522" spans="1:17">
      <c r="A2522" s="179" t="s">
        <v>7984</v>
      </c>
      <c r="G2522" s="191"/>
      <c r="H2522" s="210"/>
      <c r="K2522" s="187" t="s">
        <v>6206</v>
      </c>
      <c r="M2522" t="s">
        <v>2246</v>
      </c>
      <c r="N2522" t="s">
        <v>5571</v>
      </c>
      <c r="O2522" t="s">
        <v>4931</v>
      </c>
      <c r="Q2522" t="str">
        <f t="shared" si="118"/>
        <v>condorProc.py --series 07180906_1437 --donoise --dumps a --procenv environments/pymidas_HVHV_NaI_mf.env</v>
      </c>
    </row>
    <row r="2523" spans="1:17">
      <c r="A2523" s="179" t="s">
        <v>7985</v>
      </c>
      <c r="G2523" s="191"/>
      <c r="H2523" s="210"/>
      <c r="K2523" s="180"/>
      <c r="M2523" t="s">
        <v>2246</v>
      </c>
      <c r="N2523" t="s">
        <v>5571</v>
      </c>
      <c r="O2523" t="s">
        <v>4931</v>
      </c>
      <c r="Q2523" t="str">
        <f t="shared" si="118"/>
        <v>condorProc.py --series 07180906_1447 --donoise --dumps a --procenv environments/pymidas_HVHV_NaI_mf.env</v>
      </c>
    </row>
    <row r="2524" spans="1:17">
      <c r="A2524" s="179" t="s">
        <v>7986</v>
      </c>
      <c r="G2524" s="191"/>
      <c r="H2524" s="210"/>
      <c r="K2524" s="180"/>
      <c r="M2524" t="s">
        <v>2246</v>
      </c>
      <c r="N2524" t="s">
        <v>5571</v>
      </c>
      <c r="O2524" t="s">
        <v>4931</v>
      </c>
      <c r="Q2524" t="str">
        <f t="shared" si="118"/>
        <v>condorProc.py --series 07180906_1458 --donoise --dumps a --procenv environments/pymidas_HVHV_NaI_mf.env</v>
      </c>
    </row>
    <row r="2525" spans="1:17">
      <c r="A2525" s="179" t="s">
        <v>7987</v>
      </c>
      <c r="G2525" s="191"/>
      <c r="H2525" s="210"/>
      <c r="K2525" s="180"/>
      <c r="M2525" t="s">
        <v>2246</v>
      </c>
      <c r="N2525" t="s">
        <v>5571</v>
      </c>
      <c r="O2525" t="s">
        <v>4931</v>
      </c>
      <c r="Q2525" t="str">
        <f t="shared" si="118"/>
        <v>condorProc.py --series 07180906_1508 --donoise --dumps a --procenv environments/pymidas_HVHV_NaI_mf.env</v>
      </c>
    </row>
    <row r="2526" spans="1:17">
      <c r="A2526" s="179" t="s">
        <v>7988</v>
      </c>
      <c r="G2526" s="191"/>
      <c r="H2526" s="210"/>
      <c r="K2526" s="180"/>
      <c r="M2526" t="s">
        <v>2246</v>
      </c>
      <c r="N2526" t="s">
        <v>5571</v>
      </c>
      <c r="O2526" t="s">
        <v>4931</v>
      </c>
      <c r="Q2526" t="str">
        <f t="shared" si="118"/>
        <v>condorProc.py --series 07180906_1518 --donoise --dumps a --procenv environments/pymidas_HVHV_NaI_mf.env</v>
      </c>
    </row>
    <row r="2527" spans="1:17">
      <c r="A2527" s="179" t="s">
        <v>7989</v>
      </c>
      <c r="G2527" s="191"/>
      <c r="H2527" s="210"/>
      <c r="K2527" s="180"/>
      <c r="M2527" t="s">
        <v>2246</v>
      </c>
      <c r="N2527" t="s">
        <v>5571</v>
      </c>
      <c r="O2527" t="s">
        <v>4931</v>
      </c>
      <c r="Q2527" t="str">
        <f t="shared" si="118"/>
        <v>condorProc.py --series 07180906_1528 --donoise --dumps a --procenv environments/pymidas_HVHV_NaI_mf.env</v>
      </c>
    </row>
    <row r="2528" spans="1:17">
      <c r="A2528" s="181" t="s">
        <v>7990</v>
      </c>
      <c r="B2528" s="65"/>
      <c r="C2528" s="65"/>
      <c r="D2528" s="65"/>
      <c r="E2528" s="65"/>
      <c r="F2528" s="65"/>
      <c r="G2528" s="193"/>
      <c r="H2528" s="211"/>
      <c r="I2528" s="65" t="s">
        <v>75</v>
      </c>
      <c r="J2528" s="65"/>
      <c r="K2528" s="182"/>
      <c r="M2528" t="s">
        <v>2246</v>
      </c>
      <c r="N2528" t="s">
        <v>5571</v>
      </c>
      <c r="O2528" t="s">
        <v>4931</v>
      </c>
      <c r="Q2528" t="str">
        <f t="shared" si="118"/>
        <v>condorProc.py --series 07180906_1538 --donoise --dumps a --procenv environments/pymidas_HVHV_NaI_mf.env</v>
      </c>
    </row>
    <row r="2529" spans="1:17">
      <c r="A2529" t="s">
        <v>7991</v>
      </c>
      <c r="F2529" s="177">
        <v>10</v>
      </c>
      <c r="G2529" s="215" t="s">
        <v>2248</v>
      </c>
      <c r="H2529" s="209">
        <v>-80</v>
      </c>
      <c r="I2529" s="177"/>
      <c r="J2529" s="177" t="s">
        <v>5577</v>
      </c>
      <c r="K2529" s="178" t="s">
        <v>5583</v>
      </c>
      <c r="M2529" t="s">
        <v>2246</v>
      </c>
      <c r="N2529" t="s">
        <v>5571</v>
      </c>
      <c r="O2529" t="s">
        <v>4932</v>
      </c>
      <c r="Q2529" t="str">
        <f t="shared" si="118"/>
        <v>condorProc.py --series 07180906_1745 --donoise --dumps a --procenv environments/pymidas_HVHV_NaI_mf.env</v>
      </c>
    </row>
    <row r="2530" spans="1:17">
      <c r="A2530" t="s">
        <v>7992</v>
      </c>
      <c r="G2530" s="216" t="s">
        <v>7885</v>
      </c>
      <c r="H2530" s="210"/>
      <c r="J2530" t="s">
        <v>5585</v>
      </c>
      <c r="K2530" s="180" t="s">
        <v>5671</v>
      </c>
      <c r="M2530" t="s">
        <v>2246</v>
      </c>
      <c r="N2530" t="s">
        <v>5571</v>
      </c>
      <c r="O2530" t="s">
        <v>4932</v>
      </c>
      <c r="Q2530" t="str">
        <f t="shared" si="118"/>
        <v>condorProc.py --series 07180906_1755 --donoise --dumps a --procenv environments/pymidas_HVHV_NaI_mf.env</v>
      </c>
    </row>
    <row r="2531" spans="1:17">
      <c r="A2531" t="s">
        <v>7993</v>
      </c>
      <c r="G2531" s="216" t="s">
        <v>7887</v>
      </c>
      <c r="H2531" s="210"/>
      <c r="K2531" s="187" t="s">
        <v>6206</v>
      </c>
      <c r="M2531" t="s">
        <v>2246</v>
      </c>
      <c r="N2531" t="s">
        <v>5571</v>
      </c>
      <c r="O2531" t="s">
        <v>4932</v>
      </c>
      <c r="Q2531" t="str">
        <f t="shared" si="118"/>
        <v>condorProc.py --series 07180906_1805 --donoise --dumps a --procenv environments/pymidas_HVHV_NaI_mf.env</v>
      </c>
    </row>
    <row r="2532" spans="1:17">
      <c r="A2532" t="s">
        <v>7994</v>
      </c>
      <c r="G2532" s="216"/>
      <c r="H2532" s="210"/>
      <c r="K2532" s="180"/>
      <c r="L2532" s="1"/>
      <c r="M2532" t="s">
        <v>2246</v>
      </c>
      <c r="N2532" t="s">
        <v>5571</v>
      </c>
      <c r="O2532" t="s">
        <v>4932</v>
      </c>
      <c r="Q2532" t="str">
        <f t="shared" si="118"/>
        <v>condorProc.py --series 07180906_1815 --donoise --dumps a --procenv environments/pymidas_HVHV_NaI_mf.env</v>
      </c>
    </row>
    <row r="2533" spans="1:17">
      <c r="A2533" t="s">
        <v>7995</v>
      </c>
      <c r="G2533" s="216"/>
      <c r="H2533" s="210"/>
      <c r="K2533" s="180"/>
      <c r="L2533" s="1"/>
      <c r="M2533" t="s">
        <v>2246</v>
      </c>
      <c r="N2533" t="s">
        <v>5571</v>
      </c>
      <c r="O2533" t="s">
        <v>4932</v>
      </c>
      <c r="Q2533" t="str">
        <f t="shared" si="118"/>
        <v>condorProc.py --series 07180906_1826 --donoise --dumps a --procenv environments/pymidas_HVHV_NaI_mf.env</v>
      </c>
    </row>
    <row r="2534" spans="1:17">
      <c r="A2534" t="s">
        <v>7996</v>
      </c>
      <c r="G2534" s="216"/>
      <c r="H2534" s="210"/>
      <c r="K2534" s="180"/>
      <c r="M2534" t="s">
        <v>2246</v>
      </c>
      <c r="N2534" t="s">
        <v>5571</v>
      </c>
      <c r="O2534" t="s">
        <v>4932</v>
      </c>
      <c r="Q2534" t="str">
        <f t="shared" si="118"/>
        <v>condorProc.py --series 07180906_1836 --donoise --dumps a --procenv environments/pymidas_HVHV_NaI_mf.env</v>
      </c>
    </row>
    <row r="2535" spans="1:17">
      <c r="A2535" t="s">
        <v>7997</v>
      </c>
      <c r="G2535" s="216"/>
      <c r="H2535" s="210"/>
      <c r="K2535" s="180"/>
      <c r="M2535" t="s">
        <v>2246</v>
      </c>
      <c r="N2535" t="s">
        <v>5571</v>
      </c>
      <c r="O2535" t="s">
        <v>4932</v>
      </c>
      <c r="Q2535" t="str">
        <f t="shared" si="118"/>
        <v>condorProc.py --series 07180906_1846 --donoise --dumps a --procenv environments/pymidas_HVHV_NaI_mf.env</v>
      </c>
    </row>
    <row r="2536" spans="1:17">
      <c r="A2536" t="s">
        <v>7998</v>
      </c>
      <c r="G2536" s="216"/>
      <c r="H2536" s="210"/>
      <c r="I2536" t="s">
        <v>75</v>
      </c>
      <c r="K2536" s="180"/>
      <c r="M2536" t="s">
        <v>2246</v>
      </c>
      <c r="N2536" t="s">
        <v>5571</v>
      </c>
      <c r="O2536" t="s">
        <v>4932</v>
      </c>
      <c r="Q2536" t="str">
        <f t="shared" si="118"/>
        <v>condorProc.py --series 07180906_1856 --donoise --dumps a --procenv environments/pymidas_HVHV_NaI_mf.env</v>
      </c>
    </row>
    <row r="2537" spans="1:17">
      <c r="A2537" t="s">
        <v>7999</v>
      </c>
      <c r="G2537" s="216"/>
      <c r="H2537" s="210"/>
      <c r="K2537" s="180"/>
      <c r="M2537" t="s">
        <v>2246</v>
      </c>
      <c r="N2537" t="s">
        <v>5571</v>
      </c>
      <c r="O2537" t="s">
        <v>4932</v>
      </c>
      <c r="Q2537" t="str">
        <f t="shared" si="118"/>
        <v>condorProc.py --series 07180906_1906 --donoise --dumps a --procenv environments/pymidas_HVHV_NaI_mf.env</v>
      </c>
    </row>
    <row r="2538" spans="1:17">
      <c r="A2538" t="s">
        <v>8000</v>
      </c>
      <c r="G2538" s="216"/>
      <c r="H2538" s="210"/>
      <c r="K2538" s="180"/>
      <c r="M2538" t="s">
        <v>2246</v>
      </c>
      <c r="N2538" t="s">
        <v>5571</v>
      </c>
      <c r="O2538" t="s">
        <v>4932</v>
      </c>
      <c r="Q2538" t="str">
        <f t="shared" si="118"/>
        <v>condorProc.py --series 07180906_1916 --donoise --dumps a --procenv environments/pymidas_HVHV_NaI_mf.env</v>
      </c>
    </row>
    <row r="2539" spans="1:17">
      <c r="A2539" t="s">
        <v>8001</v>
      </c>
      <c r="G2539" s="216"/>
      <c r="H2539" s="210"/>
      <c r="K2539" s="180"/>
      <c r="M2539" t="s">
        <v>2246</v>
      </c>
      <c r="N2539" t="s">
        <v>5571</v>
      </c>
      <c r="O2539" t="s">
        <v>4932</v>
      </c>
      <c r="Q2539" t="str">
        <f t="shared" si="118"/>
        <v>condorProc.py --series 07180906_1926 --donoise --dumps a --procenv environments/pymidas_HVHV_NaI_mf.env</v>
      </c>
    </row>
    <row r="2540" spans="1:17">
      <c r="A2540" t="s">
        <v>8002</v>
      </c>
      <c r="F2540" s="65"/>
      <c r="G2540" s="217"/>
      <c r="H2540" s="211"/>
      <c r="I2540" s="65"/>
      <c r="J2540" s="65"/>
      <c r="K2540" s="202"/>
      <c r="M2540" t="s">
        <v>2246</v>
      </c>
      <c r="N2540" t="s">
        <v>5571</v>
      </c>
      <c r="O2540" t="s">
        <v>4932</v>
      </c>
      <c r="Q2540" t="str">
        <f t="shared" si="118"/>
        <v>condorProc.py --series 07180906_1936 --donoise --dumps a --procenv environments/pymidas_HVHV_NaI_mf.env</v>
      </c>
    </row>
    <row r="2541" spans="1:17">
      <c r="A2541" t="s">
        <v>8003</v>
      </c>
      <c r="F2541" s="177">
        <v>10</v>
      </c>
      <c r="G2541" s="215" t="s">
        <v>2248</v>
      </c>
      <c r="H2541" s="209">
        <v>-80</v>
      </c>
      <c r="I2541" s="177"/>
      <c r="J2541" s="177" t="s">
        <v>5577</v>
      </c>
      <c r="K2541" s="178" t="s">
        <v>5583</v>
      </c>
      <c r="M2541" t="s">
        <v>2246</v>
      </c>
      <c r="N2541" t="s">
        <v>5571</v>
      </c>
      <c r="O2541" t="s">
        <v>4932</v>
      </c>
      <c r="Q2541" t="str">
        <f t="shared" si="118"/>
        <v>condorProc.py --series 07180906_2030 --donoise --dumps a --procenv environments/pymidas_HVHV_NaI_mf.env</v>
      </c>
    </row>
    <row r="2542" spans="1:17">
      <c r="A2542" t="s">
        <v>8004</v>
      </c>
      <c r="G2542" s="216" t="s">
        <v>7885</v>
      </c>
      <c r="H2542" s="210"/>
      <c r="J2542" t="s">
        <v>5585</v>
      </c>
      <c r="K2542" s="180" t="s">
        <v>5671</v>
      </c>
      <c r="M2542" t="s">
        <v>2246</v>
      </c>
      <c r="N2542" t="s">
        <v>5571</v>
      </c>
      <c r="O2542" t="s">
        <v>4932</v>
      </c>
      <c r="Q2542" t="str">
        <f t="shared" si="118"/>
        <v>condorProc.py --series 07180906_2040 --donoise --dumps a --procenv environments/pymidas_HVHV_NaI_mf.env</v>
      </c>
    </row>
    <row r="2543" spans="1:17">
      <c r="A2543" t="s">
        <v>8005</v>
      </c>
      <c r="G2543" s="216" t="s">
        <v>7887</v>
      </c>
      <c r="H2543" s="210"/>
      <c r="K2543" s="187" t="s">
        <v>6206</v>
      </c>
      <c r="M2543" t="s">
        <v>2246</v>
      </c>
      <c r="N2543" t="s">
        <v>5571</v>
      </c>
      <c r="O2543" t="s">
        <v>4932</v>
      </c>
      <c r="Q2543" t="str">
        <f t="shared" si="118"/>
        <v>condorProc.py --series 07180906_2050 --donoise --dumps a --procenv environments/pymidas_HVHV_NaI_mf.env</v>
      </c>
    </row>
    <row r="2544" spans="1:17">
      <c r="A2544" t="s">
        <v>8006</v>
      </c>
      <c r="G2544" s="216"/>
      <c r="H2544" s="210"/>
      <c r="K2544" s="180"/>
      <c r="M2544" t="s">
        <v>2246</v>
      </c>
      <c r="N2544" t="s">
        <v>5571</v>
      </c>
      <c r="O2544" t="s">
        <v>4932</v>
      </c>
      <c r="Q2544" t="str">
        <f t="shared" si="118"/>
        <v>condorProc.py --series 07180906_2100 --donoise --dumps a --procenv environments/pymidas_HVHV_NaI_mf.env</v>
      </c>
    </row>
    <row r="2545" spans="1:17">
      <c r="A2545" t="s">
        <v>8007</v>
      </c>
      <c r="G2545" s="216"/>
      <c r="H2545" s="210"/>
      <c r="K2545" s="180"/>
      <c r="M2545" t="s">
        <v>2246</v>
      </c>
      <c r="N2545" t="s">
        <v>5571</v>
      </c>
      <c r="O2545" t="s">
        <v>4932</v>
      </c>
      <c r="Q2545" t="str">
        <f t="shared" si="118"/>
        <v>condorProc.py --series 07180906_2110 --donoise --dumps a --procenv environments/pymidas_HVHV_NaI_mf.env</v>
      </c>
    </row>
    <row r="2546" spans="1:17">
      <c r="A2546" t="s">
        <v>8008</v>
      </c>
      <c r="G2546" s="216"/>
      <c r="H2546" s="210"/>
      <c r="K2546" s="180"/>
      <c r="M2546" t="s">
        <v>2246</v>
      </c>
      <c r="N2546" t="s">
        <v>5571</v>
      </c>
      <c r="O2546" t="s">
        <v>4932</v>
      </c>
      <c r="Q2546" t="str">
        <f t="shared" si="118"/>
        <v>condorProc.py --series 07180906_2120 --donoise --dumps a --procenv environments/pymidas_HVHV_NaI_mf.env</v>
      </c>
    </row>
    <row r="2547" spans="1:17">
      <c r="A2547" t="s">
        <v>8009</v>
      </c>
      <c r="G2547" s="216"/>
      <c r="H2547" s="210"/>
      <c r="K2547" s="180"/>
      <c r="M2547" t="s">
        <v>2246</v>
      </c>
      <c r="N2547" t="s">
        <v>5571</v>
      </c>
      <c r="O2547" t="s">
        <v>4932</v>
      </c>
      <c r="Q2547" t="str">
        <f t="shared" si="118"/>
        <v>condorProc.py --series 07180906_2130 --donoise --dumps a --procenv environments/pymidas_HVHV_NaI_mf.env</v>
      </c>
    </row>
    <row r="2548" spans="1:17">
      <c r="A2548" t="s">
        <v>8010</v>
      </c>
      <c r="G2548" s="216"/>
      <c r="H2548" s="210"/>
      <c r="K2548" s="180"/>
      <c r="M2548" t="s">
        <v>2246</v>
      </c>
      <c r="N2548" t="s">
        <v>5571</v>
      </c>
      <c r="O2548" t="s">
        <v>4932</v>
      </c>
      <c r="Q2548" t="str">
        <f t="shared" si="118"/>
        <v>condorProc.py --series 07180906_2140 --donoise --dumps a --procenv environments/pymidas_HVHV_NaI_mf.env</v>
      </c>
    </row>
    <row r="2549" spans="1:17">
      <c r="A2549" t="s">
        <v>8011</v>
      </c>
      <c r="G2549" s="216"/>
      <c r="H2549" s="210"/>
      <c r="K2549" s="180"/>
      <c r="M2549" t="s">
        <v>2246</v>
      </c>
      <c r="N2549" t="s">
        <v>5571</v>
      </c>
      <c r="O2549" t="s">
        <v>4932</v>
      </c>
      <c r="Q2549" t="str">
        <f t="shared" si="118"/>
        <v>condorProc.py --series 07180906_2150 --donoise --dumps a --procenv environments/pymidas_HVHV_NaI_mf.env</v>
      </c>
    </row>
    <row r="2550" spans="1:17">
      <c r="A2550" t="s">
        <v>8012</v>
      </c>
      <c r="G2550" s="216"/>
      <c r="H2550" s="210"/>
      <c r="K2550" s="180"/>
      <c r="M2550" t="s">
        <v>2246</v>
      </c>
      <c r="N2550" t="s">
        <v>5571</v>
      </c>
      <c r="O2550" t="s">
        <v>4932</v>
      </c>
      <c r="Q2550" t="str">
        <f t="shared" si="118"/>
        <v>condorProc.py --series 07180906_2200 --donoise --dumps a --procenv environments/pymidas_HVHV_NaI_mf.env</v>
      </c>
    </row>
    <row r="2551" spans="1:17">
      <c r="A2551" t="s">
        <v>8013</v>
      </c>
      <c r="G2551" s="216"/>
      <c r="H2551" s="210"/>
      <c r="K2551" s="180"/>
      <c r="M2551" t="s">
        <v>2246</v>
      </c>
      <c r="N2551" t="s">
        <v>5571</v>
      </c>
      <c r="O2551" t="s">
        <v>4932</v>
      </c>
      <c r="Q2551" t="str">
        <f t="shared" si="118"/>
        <v>condorProc.py --series 07180906_2211 --donoise --dumps a --procenv environments/pymidas_HVHV_NaI_mf.env</v>
      </c>
    </row>
    <row r="2552" spans="1:17">
      <c r="A2552" t="s">
        <v>8014</v>
      </c>
      <c r="F2552" s="65"/>
      <c r="G2552" s="217"/>
      <c r="H2552" s="211"/>
      <c r="I2552" s="65" t="s">
        <v>75</v>
      </c>
      <c r="J2552" s="65"/>
      <c r="K2552" s="202"/>
      <c r="M2552" t="s">
        <v>2246</v>
      </c>
      <c r="N2552" t="s">
        <v>5571</v>
      </c>
      <c r="O2552" t="s">
        <v>4932</v>
      </c>
      <c r="Q2552" t="str">
        <f t="shared" si="118"/>
        <v>condorProc.py --series 07180906_2221 --donoise --dumps a --procenv environments/pymidas_HVHV_NaI_mf.env</v>
      </c>
    </row>
    <row r="2553" spans="1:17">
      <c r="A2553" t="s">
        <v>8015</v>
      </c>
      <c r="F2553" s="177">
        <v>10</v>
      </c>
      <c r="G2553" s="215" t="s">
        <v>2248</v>
      </c>
      <c r="H2553" s="209">
        <v>-80</v>
      </c>
      <c r="I2553" s="177"/>
      <c r="J2553" s="177" t="s">
        <v>5577</v>
      </c>
      <c r="K2553" s="178" t="s">
        <v>5583</v>
      </c>
      <c r="M2553" t="s">
        <v>8016</v>
      </c>
      <c r="N2553" t="s">
        <v>5571</v>
      </c>
      <c r="O2553" t="s">
        <v>4932</v>
      </c>
      <c r="Q2553" t="str">
        <f t="shared" si="118"/>
        <v>condorProc.py --series 07180906_2314 --donoise --dumps a --procenv environments/pymidas_HVHV_NaI_mf.env</v>
      </c>
    </row>
    <row r="2554" spans="1:17">
      <c r="A2554" t="s">
        <v>8017</v>
      </c>
      <c r="G2554" s="216" t="s">
        <v>7885</v>
      </c>
      <c r="H2554" s="210"/>
      <c r="J2554" t="s">
        <v>5585</v>
      </c>
      <c r="K2554" s="180" t="s">
        <v>5671</v>
      </c>
      <c r="M2554" t="s">
        <v>8016</v>
      </c>
      <c r="N2554" t="s">
        <v>5571</v>
      </c>
      <c r="O2554" t="s">
        <v>4932</v>
      </c>
      <c r="Q2554" t="str">
        <f t="shared" si="118"/>
        <v>condorProc.py --series 07180906_2324 --donoise --dumps a --procenv environments/pymidas_HVHV_NaI_mf.env</v>
      </c>
    </row>
    <row r="2555" spans="1:17">
      <c r="A2555" t="s">
        <v>8018</v>
      </c>
      <c r="G2555" s="216" t="s">
        <v>7887</v>
      </c>
      <c r="H2555" s="210"/>
      <c r="K2555" s="187" t="s">
        <v>6206</v>
      </c>
      <c r="M2555" t="s">
        <v>8016</v>
      </c>
      <c r="N2555" t="s">
        <v>5571</v>
      </c>
      <c r="O2555" t="s">
        <v>4932</v>
      </c>
      <c r="Q2555" t="str">
        <f t="shared" si="118"/>
        <v>condorProc.py --series 07180906_2334 --donoise --dumps a --procenv environments/pymidas_HVHV_NaI_mf.env</v>
      </c>
    </row>
    <row r="2556" spans="1:17">
      <c r="A2556" t="s">
        <v>8019</v>
      </c>
      <c r="G2556" s="216"/>
      <c r="H2556" s="210"/>
      <c r="K2556" s="180"/>
      <c r="M2556" t="s">
        <v>8016</v>
      </c>
      <c r="N2556" t="s">
        <v>5571</v>
      </c>
      <c r="O2556" t="s">
        <v>4932</v>
      </c>
      <c r="Q2556" t="str">
        <f t="shared" si="118"/>
        <v>condorProc.py --series 07180906_2345 --donoise --dumps a --procenv environments/pymidas_HVHV_NaI_mf.env</v>
      </c>
    </row>
    <row r="2557" spans="1:17">
      <c r="A2557" t="s">
        <v>8020</v>
      </c>
      <c r="G2557" s="216"/>
      <c r="H2557" s="210"/>
      <c r="K2557" s="180"/>
      <c r="M2557" t="s">
        <v>8016</v>
      </c>
      <c r="N2557" t="s">
        <v>5571</v>
      </c>
      <c r="O2557" t="s">
        <v>4932</v>
      </c>
      <c r="Q2557" t="str">
        <f t="shared" si="118"/>
        <v>condorProc.py --series 07180906_2355 --donoise --dumps a --procenv environments/pymidas_HVHV_NaI_mf.env</v>
      </c>
    </row>
    <row r="2558" spans="1:17">
      <c r="A2558" t="s">
        <v>8021</v>
      </c>
      <c r="G2558" s="216"/>
      <c r="H2558" s="210"/>
      <c r="K2558" s="180"/>
      <c r="M2558" t="s">
        <v>8016</v>
      </c>
      <c r="N2558" t="s">
        <v>5571</v>
      </c>
      <c r="O2558" t="s">
        <v>4932</v>
      </c>
      <c r="Q2558" t="str">
        <f t="shared" si="118"/>
        <v>condorProc.py --series 07180907_0005 --donoise --dumps a --procenv environments/pymidas_HVHV_NaI_mf.env</v>
      </c>
    </row>
    <row r="2559" spans="1:17">
      <c r="A2559" t="s">
        <v>8022</v>
      </c>
      <c r="G2559" s="216"/>
      <c r="H2559" s="210"/>
      <c r="K2559" s="180"/>
      <c r="M2559" t="s">
        <v>8016</v>
      </c>
      <c r="N2559" t="s">
        <v>5571</v>
      </c>
      <c r="O2559" t="s">
        <v>4932</v>
      </c>
      <c r="Q2559" t="str">
        <f t="shared" si="118"/>
        <v>condorProc.py --series 07180907_0015 --donoise --dumps a --procenv environments/pymidas_HVHV_NaI_mf.env</v>
      </c>
    </row>
    <row r="2560" spans="1:17">
      <c r="A2560" t="s">
        <v>8023</v>
      </c>
      <c r="G2560" s="216"/>
      <c r="H2560" s="210"/>
      <c r="K2560" s="180"/>
      <c r="M2560" t="s">
        <v>8016</v>
      </c>
      <c r="N2560" t="s">
        <v>5571</v>
      </c>
      <c r="O2560" t="s">
        <v>4932</v>
      </c>
      <c r="Q2560" t="str">
        <f t="shared" si="118"/>
        <v>condorProc.py --series 07180907_0025 --donoise --dumps a --procenv environments/pymidas_HVHV_NaI_mf.env</v>
      </c>
    </row>
    <row r="2561" spans="1:17">
      <c r="A2561" t="s">
        <v>8024</v>
      </c>
      <c r="G2561" s="216"/>
      <c r="H2561" s="210"/>
      <c r="K2561" s="180"/>
      <c r="M2561" t="s">
        <v>8016</v>
      </c>
      <c r="N2561" t="s">
        <v>5571</v>
      </c>
      <c r="O2561" t="s">
        <v>4932</v>
      </c>
      <c r="Q2561" t="str">
        <f t="shared" si="118"/>
        <v>condorProc.py --series 07180907_0035 --donoise --dumps a --procenv environments/pymidas_HVHV_NaI_mf.env</v>
      </c>
    </row>
    <row r="2562" spans="1:17">
      <c r="A2562" t="s">
        <v>8025</v>
      </c>
      <c r="G2562" s="216"/>
      <c r="H2562" s="210"/>
      <c r="K2562" s="180"/>
      <c r="M2562" t="s">
        <v>8016</v>
      </c>
      <c r="N2562" t="s">
        <v>5571</v>
      </c>
      <c r="O2562" t="s">
        <v>4932</v>
      </c>
      <c r="Q2562" t="str">
        <f t="shared" si="118"/>
        <v>condorProc.py --series 07180907_0045 --donoise --dumps a --procenv environments/pymidas_HVHV_NaI_mf.env</v>
      </c>
    </row>
    <row r="2563" spans="1:17">
      <c r="A2563" t="s">
        <v>8026</v>
      </c>
      <c r="G2563" s="216"/>
      <c r="H2563" s="210"/>
      <c r="K2563" s="180"/>
      <c r="M2563" t="s">
        <v>8016</v>
      </c>
      <c r="N2563" t="s">
        <v>5571</v>
      </c>
      <c r="O2563" t="s">
        <v>4932</v>
      </c>
      <c r="Q2563" t="str">
        <f t="shared" si="118"/>
        <v>condorProc.py --series 07180907_0055 --donoise --dumps a --procenv environments/pymidas_HVHV_NaI_mf.env</v>
      </c>
    </row>
    <row r="2564" spans="1:17">
      <c r="A2564" t="s">
        <v>8027</v>
      </c>
      <c r="F2564" s="65"/>
      <c r="G2564" s="217"/>
      <c r="H2564" s="211"/>
      <c r="I2564" s="65"/>
      <c r="J2564" s="65"/>
      <c r="K2564" s="202"/>
      <c r="M2564" t="s">
        <v>8016</v>
      </c>
      <c r="N2564" t="s">
        <v>5571</v>
      </c>
      <c r="O2564" t="s">
        <v>4932</v>
      </c>
      <c r="Q2564" t="str">
        <f t="shared" si="118"/>
        <v>condorProc.py --series 07180907_0106 --donoise --dumps a --procenv environments/pymidas_HVHV_NaI_mf.env</v>
      </c>
    </row>
    <row r="2565" spans="1:17">
      <c r="A2565" t="s">
        <v>8028</v>
      </c>
      <c r="F2565" s="177">
        <v>10</v>
      </c>
      <c r="G2565" s="215" t="s">
        <v>2248</v>
      </c>
      <c r="H2565" s="209">
        <v>-80</v>
      </c>
      <c r="I2565" s="177"/>
      <c r="J2565" s="177" t="s">
        <v>5577</v>
      </c>
      <c r="K2565" s="178" t="s">
        <v>5583</v>
      </c>
      <c r="L2565" s="1"/>
      <c r="M2565" t="s">
        <v>2246</v>
      </c>
      <c r="N2565" t="s">
        <v>5571</v>
      </c>
      <c r="O2565" t="s">
        <v>4932</v>
      </c>
      <c r="Q2565" t="str">
        <f t="shared" si="118"/>
        <v>condorProc.py --series 07180907_0159 --donoise --dumps a --procenv environments/pymidas_HVHV_NaI_mf.env</v>
      </c>
    </row>
    <row r="2566" spans="1:17">
      <c r="A2566" t="s">
        <v>8029</v>
      </c>
      <c r="G2566" s="216" t="s">
        <v>7885</v>
      </c>
      <c r="H2566" s="210"/>
      <c r="J2566" t="s">
        <v>5585</v>
      </c>
      <c r="K2566" s="180" t="s">
        <v>5671</v>
      </c>
      <c r="L2566" s="158"/>
      <c r="M2566" t="s">
        <v>2246</v>
      </c>
      <c r="N2566" t="s">
        <v>5571</v>
      </c>
      <c r="O2566" t="s">
        <v>4932</v>
      </c>
      <c r="Q2566" t="str">
        <f t="shared" si="118"/>
        <v>condorProc.py --series 07180907_0209 --donoise --dumps a --procenv environments/pymidas_HVHV_NaI_mf.env</v>
      </c>
    </row>
    <row r="2567" spans="1:17">
      <c r="A2567" t="s">
        <v>8030</v>
      </c>
      <c r="G2567" s="216" t="s">
        <v>7887</v>
      </c>
      <c r="H2567" s="210"/>
      <c r="K2567" s="187" t="s">
        <v>6206</v>
      </c>
      <c r="M2567" t="s">
        <v>2246</v>
      </c>
      <c r="N2567" t="s">
        <v>5571</v>
      </c>
      <c r="O2567" t="s">
        <v>4932</v>
      </c>
      <c r="Q2567" t="str">
        <f t="shared" si="118"/>
        <v>condorProc.py --series 07180907_0219 --donoise --dumps a --procenv environments/pymidas_HVHV_NaI_mf.env</v>
      </c>
    </row>
    <row r="2568" spans="1:17">
      <c r="A2568" t="s">
        <v>8031</v>
      </c>
      <c r="G2568" s="216"/>
      <c r="H2568" s="210"/>
      <c r="K2568" s="180"/>
      <c r="M2568" t="s">
        <v>2246</v>
      </c>
      <c r="N2568" t="s">
        <v>5571</v>
      </c>
      <c r="O2568" t="s">
        <v>4932</v>
      </c>
      <c r="Q2568" t="str">
        <f t="shared" si="118"/>
        <v>condorProc.py --series 07180907_0229 --donoise --dumps a --procenv environments/pymidas_HVHV_NaI_mf.env</v>
      </c>
    </row>
    <row r="2569" spans="1:17">
      <c r="A2569" t="s">
        <v>8032</v>
      </c>
      <c r="G2569" s="216"/>
      <c r="H2569" s="210"/>
      <c r="K2569" s="180"/>
      <c r="M2569" t="s">
        <v>2246</v>
      </c>
      <c r="N2569" t="s">
        <v>5571</v>
      </c>
      <c r="O2569" t="s">
        <v>4932</v>
      </c>
      <c r="Q2569" t="str">
        <f t="shared" ref="Q2569:Q2597" si="119">"condorProc.py --series "&amp;A2569&amp;" --donoise --dumps a --procenv environments/pymidas_HVHV_NaI_mf.env"</f>
        <v>condorProc.py --series 07180907_0239 --donoise --dumps a --procenv environments/pymidas_HVHV_NaI_mf.env</v>
      </c>
    </row>
    <row r="2570" spans="1:17">
      <c r="A2570" t="s">
        <v>8033</v>
      </c>
      <c r="G2570" s="216"/>
      <c r="H2570" s="210"/>
      <c r="K2570" s="180"/>
      <c r="M2570" t="s">
        <v>2246</v>
      </c>
      <c r="N2570" t="s">
        <v>5571</v>
      </c>
      <c r="O2570" t="s">
        <v>4932</v>
      </c>
      <c r="Q2570" t="str">
        <f t="shared" si="119"/>
        <v>condorProc.py --series 07180907_0249 --donoise --dumps a --procenv environments/pymidas_HVHV_NaI_mf.env</v>
      </c>
    </row>
    <row r="2571" spans="1:17">
      <c r="A2571" t="s">
        <v>8034</v>
      </c>
      <c r="G2571" s="216"/>
      <c r="H2571" s="210"/>
      <c r="K2571" s="180"/>
      <c r="M2571" t="s">
        <v>2246</v>
      </c>
      <c r="N2571" t="s">
        <v>5571</v>
      </c>
      <c r="O2571" t="s">
        <v>4932</v>
      </c>
      <c r="Q2571" t="str">
        <f t="shared" si="119"/>
        <v>condorProc.py --series 07180907_0300 --donoise --dumps a --procenv environments/pymidas_HVHV_NaI_mf.env</v>
      </c>
    </row>
    <row r="2572" spans="1:17">
      <c r="A2572" t="s">
        <v>8035</v>
      </c>
      <c r="G2572" s="216"/>
      <c r="H2572" s="210"/>
      <c r="K2572" s="180"/>
      <c r="M2572" t="s">
        <v>2246</v>
      </c>
      <c r="N2572" t="s">
        <v>5571</v>
      </c>
      <c r="O2572" t="s">
        <v>4932</v>
      </c>
      <c r="Q2572" t="str">
        <f t="shared" si="119"/>
        <v>condorProc.py --series 07180907_0310 --donoise --dumps a --procenv environments/pymidas_HVHV_NaI_mf.env</v>
      </c>
    </row>
    <row r="2573" spans="1:17">
      <c r="A2573" t="s">
        <v>8036</v>
      </c>
      <c r="G2573" s="216"/>
      <c r="H2573" s="210"/>
      <c r="K2573" s="180"/>
      <c r="M2573" t="s">
        <v>2246</v>
      </c>
      <c r="N2573" t="s">
        <v>5571</v>
      </c>
      <c r="O2573" t="s">
        <v>4932</v>
      </c>
      <c r="Q2573" t="str">
        <f t="shared" si="119"/>
        <v>condorProc.py --series 07180907_0320 --donoise --dumps a --procenv environments/pymidas_HVHV_NaI_mf.env</v>
      </c>
    </row>
    <row r="2574" spans="1:17">
      <c r="A2574" t="s">
        <v>8037</v>
      </c>
      <c r="G2574" s="216"/>
      <c r="H2574" s="210"/>
      <c r="K2574" s="180"/>
      <c r="M2574" t="s">
        <v>2246</v>
      </c>
      <c r="N2574" t="s">
        <v>5571</v>
      </c>
      <c r="O2574" t="s">
        <v>4932</v>
      </c>
      <c r="Q2574" t="str">
        <f t="shared" si="119"/>
        <v>condorProc.py --series 07180907_0330 --donoise --dumps a --procenv environments/pymidas_HVHV_NaI_mf.env</v>
      </c>
    </row>
    <row r="2575" spans="1:17">
      <c r="A2575" t="s">
        <v>8038</v>
      </c>
      <c r="G2575" s="216"/>
      <c r="H2575" s="210"/>
      <c r="K2575" s="180"/>
      <c r="M2575" t="s">
        <v>2246</v>
      </c>
      <c r="N2575" t="s">
        <v>5571</v>
      </c>
      <c r="O2575" t="s">
        <v>4932</v>
      </c>
      <c r="Q2575" t="str">
        <f t="shared" si="119"/>
        <v>condorProc.py --series 07180907_0340 --donoise --dumps a --procenv environments/pymidas_HVHV_NaI_mf.env</v>
      </c>
    </row>
    <row r="2576" spans="1:17">
      <c r="A2576" t="s">
        <v>8039</v>
      </c>
      <c r="F2576" s="65"/>
      <c r="G2576" s="217"/>
      <c r="H2576" s="211"/>
      <c r="I2576" s="65"/>
      <c r="J2576" s="65"/>
      <c r="K2576" s="202"/>
      <c r="M2576" t="s">
        <v>2246</v>
      </c>
      <c r="N2576" t="s">
        <v>5571</v>
      </c>
      <c r="O2576" t="s">
        <v>4932</v>
      </c>
      <c r="Q2576" t="str">
        <f t="shared" si="119"/>
        <v>condorProc.py --series 07180907_0350 --donoise --dumps a --procenv environments/pymidas_HVHV_NaI_mf.env</v>
      </c>
    </row>
    <row r="2577" spans="1:17">
      <c r="A2577" t="s">
        <v>8040</v>
      </c>
      <c r="F2577" s="177">
        <v>10</v>
      </c>
      <c r="G2577" s="215" t="s">
        <v>2248</v>
      </c>
      <c r="H2577" s="209">
        <v>-80</v>
      </c>
      <c r="I2577" s="177"/>
      <c r="J2577" s="177" t="s">
        <v>5577</v>
      </c>
      <c r="K2577" s="178" t="s">
        <v>5583</v>
      </c>
      <c r="L2577" s="1"/>
      <c r="M2577" t="s">
        <v>2246</v>
      </c>
      <c r="N2577" t="s">
        <v>5571</v>
      </c>
      <c r="O2577" t="s">
        <v>4932</v>
      </c>
      <c r="Q2577" t="str">
        <f t="shared" si="119"/>
        <v>condorProc.py --series 07180907_0444 --donoise --dumps a --procenv environments/pymidas_HVHV_NaI_mf.env</v>
      </c>
    </row>
    <row r="2578" spans="1:17">
      <c r="A2578" t="s">
        <v>8041</v>
      </c>
      <c r="G2578" s="216" t="s">
        <v>7885</v>
      </c>
      <c r="H2578" s="210"/>
      <c r="J2578" t="s">
        <v>5585</v>
      </c>
      <c r="K2578" s="180" t="s">
        <v>5671</v>
      </c>
      <c r="L2578" s="158"/>
      <c r="M2578" t="s">
        <v>2246</v>
      </c>
      <c r="N2578" t="s">
        <v>5571</v>
      </c>
      <c r="O2578" t="s">
        <v>4932</v>
      </c>
      <c r="Q2578" t="str">
        <f t="shared" si="119"/>
        <v>condorProc.py --series 07180907_0454 --donoise --dumps a --procenv environments/pymidas_HVHV_NaI_mf.env</v>
      </c>
    </row>
    <row r="2579" spans="1:17">
      <c r="A2579" t="s">
        <v>8042</v>
      </c>
      <c r="G2579" s="216" t="s">
        <v>7887</v>
      </c>
      <c r="H2579" s="210"/>
      <c r="K2579" s="187" t="s">
        <v>6206</v>
      </c>
      <c r="L2579" s="158"/>
      <c r="M2579" t="s">
        <v>2246</v>
      </c>
      <c r="N2579" t="s">
        <v>5571</v>
      </c>
      <c r="O2579" t="s">
        <v>4932</v>
      </c>
      <c r="Q2579" t="str">
        <f t="shared" si="119"/>
        <v>condorProc.py --series 07180907_0504 --donoise --dumps a --procenv environments/pymidas_HVHV_NaI_mf.env</v>
      </c>
    </row>
    <row r="2580" spans="1:17">
      <c r="A2580" t="s">
        <v>8043</v>
      </c>
      <c r="G2580" s="216"/>
      <c r="H2580" s="210"/>
      <c r="K2580" s="180"/>
      <c r="M2580" t="s">
        <v>2246</v>
      </c>
      <c r="N2580" t="s">
        <v>5571</v>
      </c>
      <c r="O2580" t="s">
        <v>4932</v>
      </c>
      <c r="Q2580" t="str">
        <f t="shared" si="119"/>
        <v>condorProc.py --series 07180907_0514 --donoise --dumps a --procenv environments/pymidas_HVHV_NaI_mf.env</v>
      </c>
    </row>
    <row r="2581" spans="1:17">
      <c r="A2581" t="s">
        <v>8044</v>
      </c>
      <c r="G2581" s="216"/>
      <c r="H2581" s="210"/>
      <c r="K2581" s="180"/>
      <c r="M2581" t="s">
        <v>2246</v>
      </c>
      <c r="N2581" t="s">
        <v>5571</v>
      </c>
      <c r="O2581" t="s">
        <v>4932</v>
      </c>
      <c r="Q2581" t="str">
        <f t="shared" si="119"/>
        <v>condorProc.py --series 07180907_0524 --donoise --dumps a --procenv environments/pymidas_HVHV_NaI_mf.env</v>
      </c>
    </row>
    <row r="2582" spans="1:17">
      <c r="A2582" t="s">
        <v>8045</v>
      </c>
      <c r="G2582" s="216"/>
      <c r="H2582" s="210"/>
      <c r="K2582" s="180"/>
      <c r="M2582" t="s">
        <v>2246</v>
      </c>
      <c r="N2582" t="s">
        <v>5571</v>
      </c>
      <c r="O2582" t="s">
        <v>4932</v>
      </c>
      <c r="Q2582" t="str">
        <f t="shared" si="119"/>
        <v>condorProc.py --series 07180907_0534 --donoise --dumps a --procenv environments/pymidas_HVHV_NaI_mf.env</v>
      </c>
    </row>
    <row r="2583" spans="1:17">
      <c r="A2583" t="s">
        <v>8046</v>
      </c>
      <c r="G2583" s="216"/>
      <c r="H2583" s="210"/>
      <c r="K2583" s="180"/>
      <c r="M2583" t="s">
        <v>2246</v>
      </c>
      <c r="N2583" t="s">
        <v>5571</v>
      </c>
      <c r="O2583" t="s">
        <v>4932</v>
      </c>
      <c r="Q2583" t="str">
        <f t="shared" si="119"/>
        <v>condorProc.py --series 07180907_0544 --donoise --dumps a --procenv environments/pymidas_HVHV_NaI_mf.env</v>
      </c>
    </row>
    <row r="2584" spans="1:17">
      <c r="A2584" t="s">
        <v>8047</v>
      </c>
      <c r="G2584" s="216"/>
      <c r="H2584" s="210"/>
      <c r="K2584" s="180"/>
      <c r="M2584" t="s">
        <v>2246</v>
      </c>
      <c r="N2584" t="s">
        <v>5571</v>
      </c>
      <c r="O2584" t="s">
        <v>4932</v>
      </c>
      <c r="Q2584" t="str">
        <f t="shared" si="119"/>
        <v>condorProc.py --series 07180907_0554 --donoise --dumps a --procenv environments/pymidas_HVHV_NaI_mf.env</v>
      </c>
    </row>
    <row r="2585" spans="1:17">
      <c r="A2585" t="s">
        <v>8048</v>
      </c>
      <c r="G2585" s="216"/>
      <c r="H2585" s="210"/>
      <c r="K2585" s="180"/>
      <c r="M2585" t="s">
        <v>2246</v>
      </c>
      <c r="N2585" t="s">
        <v>5571</v>
      </c>
      <c r="O2585" t="s">
        <v>4932</v>
      </c>
      <c r="Q2585" t="str">
        <f t="shared" si="119"/>
        <v>condorProc.py --series 07180907_0604 --donoise --dumps a --procenv environments/pymidas_HVHV_NaI_mf.env</v>
      </c>
    </row>
    <row r="2586" spans="1:17">
      <c r="A2586" t="s">
        <v>8049</v>
      </c>
      <c r="G2586" s="216"/>
      <c r="H2586" s="210"/>
      <c r="K2586" s="180"/>
      <c r="M2586" t="s">
        <v>2246</v>
      </c>
      <c r="N2586" t="s">
        <v>5571</v>
      </c>
      <c r="O2586" t="s">
        <v>4932</v>
      </c>
      <c r="Q2586" t="str">
        <f t="shared" si="119"/>
        <v>condorProc.py --series 07180907_0615 --donoise --dumps a --procenv environments/pymidas_HVHV_NaI_mf.env</v>
      </c>
    </row>
    <row r="2587" spans="1:17">
      <c r="A2587" t="s">
        <v>8050</v>
      </c>
      <c r="G2587" s="216"/>
      <c r="H2587" s="210"/>
      <c r="K2587" s="180"/>
      <c r="M2587" t="s">
        <v>2246</v>
      </c>
      <c r="N2587" t="s">
        <v>5571</v>
      </c>
      <c r="O2587" t="s">
        <v>4932</v>
      </c>
      <c r="Q2587" t="str">
        <f t="shared" si="119"/>
        <v>condorProc.py --series 07180907_0625 --donoise --dumps a --procenv environments/pymidas_HVHV_NaI_mf.env</v>
      </c>
    </row>
    <row r="2588" spans="1:17">
      <c r="A2588" t="s">
        <v>8051</v>
      </c>
      <c r="F2588" s="65"/>
      <c r="G2588" s="217"/>
      <c r="H2588" s="211"/>
      <c r="I2588" s="65"/>
      <c r="J2588" s="65"/>
      <c r="K2588" s="202"/>
      <c r="M2588" t="s">
        <v>2246</v>
      </c>
      <c r="N2588" t="s">
        <v>5571</v>
      </c>
      <c r="O2588" t="s">
        <v>4932</v>
      </c>
      <c r="Q2588" t="str">
        <f t="shared" si="119"/>
        <v>condorProc.py --series 07180907_0635 --donoise --dumps a --procenv environments/pymidas_HVHV_NaI_mf.env</v>
      </c>
    </row>
    <row r="2589" spans="1:17">
      <c r="A2589" t="s">
        <v>8052</v>
      </c>
      <c r="F2589" s="177">
        <v>10</v>
      </c>
      <c r="G2589" s="215" t="s">
        <v>2248</v>
      </c>
      <c r="H2589" s="209">
        <v>-80</v>
      </c>
      <c r="I2589" s="177"/>
      <c r="J2589" s="177" t="s">
        <v>5577</v>
      </c>
      <c r="K2589" s="178" t="s">
        <v>5583</v>
      </c>
      <c r="L2589" s="1"/>
      <c r="M2589" t="s">
        <v>2246</v>
      </c>
      <c r="N2589" t="s">
        <v>5571</v>
      </c>
      <c r="O2589" t="s">
        <v>4932</v>
      </c>
      <c r="Q2589" t="str">
        <f t="shared" si="119"/>
        <v>condorProc.py --series 07180907_0729 --donoise --dumps a --procenv environments/pymidas_HVHV_NaI_mf.env</v>
      </c>
    </row>
    <row r="2590" spans="1:17">
      <c r="A2590" t="s">
        <v>8053</v>
      </c>
      <c r="G2590" s="216" t="s">
        <v>7885</v>
      </c>
      <c r="H2590" s="210"/>
      <c r="J2590" t="s">
        <v>5585</v>
      </c>
      <c r="K2590" s="180" t="s">
        <v>5671</v>
      </c>
      <c r="M2590" t="s">
        <v>2246</v>
      </c>
      <c r="N2590" t="s">
        <v>5571</v>
      </c>
      <c r="O2590" t="s">
        <v>4932</v>
      </c>
      <c r="Q2590" t="str">
        <f t="shared" si="119"/>
        <v>condorProc.py --series 07180907_0739 --donoise --dumps a --procenv environments/pymidas_HVHV_NaI_mf.env</v>
      </c>
    </row>
    <row r="2591" spans="1:17">
      <c r="A2591" t="s">
        <v>8054</v>
      </c>
      <c r="G2591" s="216" t="s">
        <v>7887</v>
      </c>
      <c r="H2591" s="210"/>
      <c r="K2591" s="187" t="s">
        <v>6206</v>
      </c>
      <c r="M2591" t="s">
        <v>2246</v>
      </c>
      <c r="N2591" t="s">
        <v>5571</v>
      </c>
      <c r="O2591" t="s">
        <v>4932</v>
      </c>
      <c r="Q2591" t="str">
        <f t="shared" si="119"/>
        <v>condorProc.py --series 07180907_0749 --donoise --dumps a --procenv environments/pymidas_HVHV_NaI_mf.env</v>
      </c>
    </row>
    <row r="2592" spans="1:17">
      <c r="A2592" t="s">
        <v>8055</v>
      </c>
      <c r="G2592" s="216"/>
      <c r="H2592" s="210"/>
      <c r="I2592" t="s">
        <v>75</v>
      </c>
      <c r="K2592" s="180"/>
      <c r="M2592" t="s">
        <v>2246</v>
      </c>
      <c r="N2592" t="s">
        <v>5571</v>
      </c>
      <c r="O2592" t="s">
        <v>4932</v>
      </c>
      <c r="Q2592" t="str">
        <f t="shared" si="119"/>
        <v>condorProc.py --series 07180907_0759 --donoise --dumps a --procenv environments/pymidas_HVHV_NaI_mf.env</v>
      </c>
    </row>
    <row r="2593" spans="1:17">
      <c r="A2593" t="s">
        <v>8056</v>
      </c>
      <c r="G2593" s="216"/>
      <c r="H2593" s="210"/>
      <c r="K2593" s="180"/>
      <c r="M2593" t="s">
        <v>2246</v>
      </c>
      <c r="N2593" t="s">
        <v>5571</v>
      </c>
      <c r="O2593" t="s">
        <v>4932</v>
      </c>
      <c r="Q2593" t="str">
        <f t="shared" si="119"/>
        <v>condorProc.py --series 07180907_0809 --donoise --dumps a --procenv environments/pymidas_HVHV_NaI_mf.env</v>
      </c>
    </row>
    <row r="2594" spans="1:17">
      <c r="A2594" t="s">
        <v>8057</v>
      </c>
      <c r="G2594" s="216"/>
      <c r="H2594" s="210"/>
      <c r="K2594" s="180"/>
      <c r="M2594" t="s">
        <v>2246</v>
      </c>
      <c r="N2594" t="s">
        <v>5571</v>
      </c>
      <c r="O2594" t="s">
        <v>4932</v>
      </c>
      <c r="Q2594" t="str">
        <f t="shared" si="119"/>
        <v>condorProc.py --series 07180907_0819 --donoise --dumps a --procenv environments/pymidas_HVHV_NaI_mf.env</v>
      </c>
    </row>
    <row r="2595" spans="1:17">
      <c r="A2595" t="s">
        <v>8058</v>
      </c>
      <c r="G2595" s="216"/>
      <c r="H2595" s="210"/>
      <c r="K2595" s="180"/>
      <c r="M2595" t="s">
        <v>2246</v>
      </c>
      <c r="N2595" t="s">
        <v>5571</v>
      </c>
      <c r="O2595" t="s">
        <v>4932</v>
      </c>
      <c r="Q2595" t="str">
        <f t="shared" si="119"/>
        <v>condorProc.py --series 07180907_0829 --donoise --dumps a --procenv environments/pymidas_HVHV_NaI_mf.env</v>
      </c>
    </row>
    <row r="2596" spans="1:17">
      <c r="A2596" t="s">
        <v>8059</v>
      </c>
      <c r="G2596" s="216"/>
      <c r="H2596" s="210"/>
      <c r="I2596" t="s">
        <v>75</v>
      </c>
      <c r="K2596" s="180"/>
      <c r="L2596" t="s">
        <v>7968</v>
      </c>
      <c r="M2596" t="s">
        <v>2246</v>
      </c>
      <c r="N2596" t="s">
        <v>5571</v>
      </c>
      <c r="O2596" t="s">
        <v>4932</v>
      </c>
      <c r="Q2596" t="str">
        <f t="shared" si="119"/>
        <v>condorProc.py --series 07180907_0840 --donoise --dumps a --procenv environments/pymidas_HVHV_NaI_mf.env</v>
      </c>
    </row>
    <row r="2597" spans="1:17">
      <c r="A2597" t="s">
        <v>8060</v>
      </c>
      <c r="G2597" s="216"/>
      <c r="H2597" s="210"/>
      <c r="I2597" t="s">
        <v>75</v>
      </c>
      <c r="K2597" s="180"/>
      <c r="L2597">
        <f>69+L2507</f>
        <v>153</v>
      </c>
      <c r="M2597" t="s">
        <v>2246</v>
      </c>
      <c r="N2597" t="s">
        <v>5571</v>
      </c>
      <c r="O2597" t="s">
        <v>4932</v>
      </c>
      <c r="Q2597" t="str">
        <f t="shared" si="119"/>
        <v>condorProc.py --series 07180907_0850 --donoise --dumps a --procenv environments/pymidas_HVHV_NaI_mf.env</v>
      </c>
    </row>
    <row r="2598" spans="1:17">
      <c r="A2598" t="s">
        <v>8061</v>
      </c>
      <c r="G2598" s="216"/>
      <c r="H2598" s="210"/>
      <c r="I2598" s="197" t="s">
        <v>8062</v>
      </c>
      <c r="K2598" s="180" t="s">
        <v>8063</v>
      </c>
      <c r="L2598" t="str">
        <f>L2597/6&amp;" hr"</f>
        <v>25.5 hr</v>
      </c>
    </row>
    <row r="2599" spans="1:17">
      <c r="A2599" t="s">
        <v>8064</v>
      </c>
      <c r="G2599" s="216"/>
      <c r="H2599" s="210"/>
      <c r="I2599" s="197" t="s">
        <v>8062</v>
      </c>
      <c r="K2599" s="180" t="s">
        <v>8063</v>
      </c>
    </row>
    <row r="2600" spans="1:17">
      <c r="A2600" t="s">
        <v>8065</v>
      </c>
      <c r="F2600" s="65"/>
      <c r="G2600" s="217"/>
      <c r="H2600" s="211"/>
      <c r="I2600" s="198" t="s">
        <v>8062</v>
      </c>
      <c r="J2600" s="65"/>
      <c r="K2600" s="202" t="s">
        <v>8063</v>
      </c>
    </row>
    <row r="2601" spans="1:17">
      <c r="A2601" t="s">
        <v>8066</v>
      </c>
      <c r="J2601" t="s">
        <v>1853</v>
      </c>
    </row>
    <row r="2602" spans="1:17">
      <c r="A2602" t="s">
        <v>8067</v>
      </c>
      <c r="J2602" t="s">
        <v>1853</v>
      </c>
    </row>
    <row r="2603" spans="1:17">
      <c r="A2603" s="176" t="s">
        <v>8068</v>
      </c>
      <c r="B2603" s="177"/>
      <c r="C2603" s="177"/>
      <c r="D2603" s="177"/>
      <c r="E2603" s="177"/>
      <c r="F2603" s="177">
        <v>10</v>
      </c>
      <c r="G2603" s="203" t="s">
        <v>5297</v>
      </c>
      <c r="H2603" s="209">
        <v>-80</v>
      </c>
      <c r="I2603" s="177"/>
      <c r="J2603" s="177" t="s">
        <v>5577</v>
      </c>
      <c r="K2603" s="178" t="s">
        <v>5583</v>
      </c>
      <c r="M2603" t="s">
        <v>2246</v>
      </c>
      <c r="N2603" t="s">
        <v>5571</v>
      </c>
      <c r="O2603" t="s">
        <v>4933</v>
      </c>
      <c r="Q2603" t="str">
        <f t="shared" ref="Q2603:Q2666" si="120">"condorProc.py --series "&amp;A2603&amp;" --donoise --dumps a --procenv environments/pymidas_HVHV_NaI_mf.env"</f>
        <v>condorProc.py --series 07180907_1110 --donoise --dumps a --procenv environments/pymidas_HVHV_NaI_mf.env</v>
      </c>
    </row>
    <row r="2604" spans="1:17">
      <c r="A2604" s="179" t="s">
        <v>8069</v>
      </c>
      <c r="G2604" s="205"/>
      <c r="H2604" s="210"/>
      <c r="J2604" t="s">
        <v>5585</v>
      </c>
      <c r="K2604" s="180" t="s">
        <v>5671</v>
      </c>
      <c r="M2604" t="s">
        <v>2246</v>
      </c>
      <c r="N2604" t="s">
        <v>5571</v>
      </c>
      <c r="O2604" t="s">
        <v>4933</v>
      </c>
      <c r="Q2604" t="str">
        <f t="shared" si="120"/>
        <v>condorProc.py --series 07180907_1120 --donoise --dumps a --procenv environments/pymidas_HVHV_NaI_mf.env</v>
      </c>
    </row>
    <row r="2605" spans="1:17">
      <c r="A2605" s="179" t="s">
        <v>8070</v>
      </c>
      <c r="G2605" s="205"/>
      <c r="H2605" s="210"/>
      <c r="K2605" s="187" t="s">
        <v>6206</v>
      </c>
      <c r="M2605" t="s">
        <v>2246</v>
      </c>
      <c r="N2605" t="s">
        <v>5571</v>
      </c>
      <c r="O2605" t="s">
        <v>4933</v>
      </c>
      <c r="Q2605" t="str">
        <f t="shared" si="120"/>
        <v>condorProc.py --series 07180907_1130 --donoise --dumps a --procenv environments/pymidas_HVHV_NaI_mf.env</v>
      </c>
    </row>
    <row r="2606" spans="1:17">
      <c r="A2606" s="179" t="s">
        <v>8071</v>
      </c>
      <c r="G2606" s="205"/>
      <c r="H2606" s="210"/>
      <c r="K2606" s="180"/>
      <c r="M2606" t="s">
        <v>2246</v>
      </c>
      <c r="N2606" t="s">
        <v>5571</v>
      </c>
      <c r="O2606" t="s">
        <v>4933</v>
      </c>
      <c r="Q2606" t="str">
        <f t="shared" si="120"/>
        <v>condorProc.py --series 07180907_1140 --donoise --dumps a --procenv environments/pymidas_HVHV_NaI_mf.env</v>
      </c>
    </row>
    <row r="2607" spans="1:17">
      <c r="A2607" s="179" t="s">
        <v>8072</v>
      </c>
      <c r="G2607" s="205"/>
      <c r="H2607" s="210"/>
      <c r="K2607" s="180"/>
      <c r="M2607" t="s">
        <v>2246</v>
      </c>
      <c r="N2607" t="s">
        <v>5571</v>
      </c>
      <c r="O2607" t="s">
        <v>4933</v>
      </c>
      <c r="Q2607" t="str">
        <f t="shared" si="120"/>
        <v>condorProc.py --series 07180907_1150 --donoise --dumps a --procenv environments/pymidas_HVHV_NaI_mf.env</v>
      </c>
    </row>
    <row r="2608" spans="1:17">
      <c r="A2608" s="179" t="s">
        <v>8073</v>
      </c>
      <c r="G2608" s="205"/>
      <c r="H2608" s="210"/>
      <c r="I2608" t="s">
        <v>75</v>
      </c>
      <c r="K2608" s="180"/>
      <c r="L2608" t="str">
        <f>"BatViewer --nohardcode "&amp;A2608&amp;"/"&amp;A2608&amp;"_F0010.mid.gz"</f>
        <v>BatViewer --nohardcode 07180907_1200/07180907_1200_F0010.mid.gz</v>
      </c>
      <c r="M2608" t="s">
        <v>2246</v>
      </c>
      <c r="N2608" t="s">
        <v>5571</v>
      </c>
      <c r="O2608" t="s">
        <v>4933</v>
      </c>
      <c r="Q2608" t="str">
        <f t="shared" si="120"/>
        <v>condorProc.py --series 07180907_1200 --donoise --dumps a --procenv environments/pymidas_HVHV_NaI_mf.env</v>
      </c>
    </row>
    <row r="2609" spans="1:17">
      <c r="A2609" s="179" t="s">
        <v>8074</v>
      </c>
      <c r="G2609" s="205"/>
      <c r="H2609" s="210"/>
      <c r="K2609" s="180"/>
      <c r="M2609" t="s">
        <v>2246</v>
      </c>
      <c r="N2609" t="s">
        <v>5571</v>
      </c>
      <c r="O2609" t="s">
        <v>4933</v>
      </c>
      <c r="Q2609" t="str">
        <f t="shared" si="120"/>
        <v>condorProc.py --series 07180907_1210 --donoise --dumps a --procenv environments/pymidas_HVHV_NaI_mf.env</v>
      </c>
    </row>
    <row r="2610" spans="1:17">
      <c r="A2610" s="179" t="s">
        <v>8075</v>
      </c>
      <c r="G2610" s="205"/>
      <c r="H2610" s="210"/>
      <c r="K2610" s="180"/>
      <c r="M2610" t="s">
        <v>2246</v>
      </c>
      <c r="N2610" t="s">
        <v>5571</v>
      </c>
      <c r="O2610" t="s">
        <v>4933</v>
      </c>
      <c r="Q2610" t="str">
        <f t="shared" si="120"/>
        <v>condorProc.py --series 07180907_1220 --donoise --dumps a --procenv environments/pymidas_HVHV_NaI_mf.env</v>
      </c>
    </row>
    <row r="2611" spans="1:17">
      <c r="A2611" s="179" t="s">
        <v>8076</v>
      </c>
      <c r="G2611" s="205"/>
      <c r="H2611" s="210"/>
      <c r="K2611" s="180"/>
      <c r="M2611" t="s">
        <v>2246</v>
      </c>
      <c r="N2611" t="s">
        <v>5571</v>
      </c>
      <c r="O2611" t="s">
        <v>4933</v>
      </c>
      <c r="Q2611" t="str">
        <f t="shared" si="120"/>
        <v>condorProc.py --series 07180907_1230 --donoise --dumps a --procenv environments/pymidas_HVHV_NaI_mf.env</v>
      </c>
    </row>
    <row r="2612" spans="1:17">
      <c r="A2612" s="179" t="s">
        <v>8077</v>
      </c>
      <c r="G2612" s="205"/>
      <c r="H2612" s="210"/>
      <c r="K2612" s="180"/>
      <c r="M2612" t="s">
        <v>2246</v>
      </c>
      <c r="N2612" t="s">
        <v>5571</v>
      </c>
      <c r="O2612" t="s">
        <v>4933</v>
      </c>
      <c r="Q2612" t="str">
        <f t="shared" si="120"/>
        <v>condorProc.py --series 07180907_1241 --donoise --dumps a --procenv environments/pymidas_HVHV_NaI_mf.env</v>
      </c>
    </row>
    <row r="2613" spans="1:17">
      <c r="A2613" s="179" t="s">
        <v>8078</v>
      </c>
      <c r="G2613" s="205"/>
      <c r="H2613" s="210"/>
      <c r="K2613" s="180"/>
      <c r="M2613" t="s">
        <v>2246</v>
      </c>
      <c r="N2613" t="s">
        <v>5571</v>
      </c>
      <c r="O2613" t="s">
        <v>4933</v>
      </c>
      <c r="Q2613" t="str">
        <f t="shared" si="120"/>
        <v>condorProc.py --series 07180907_1251 --donoise --dumps a --procenv environments/pymidas_HVHV_NaI_mf.env</v>
      </c>
    </row>
    <row r="2614" spans="1:17">
      <c r="A2614" s="181" t="s">
        <v>8079</v>
      </c>
      <c r="B2614" s="65"/>
      <c r="C2614" s="65"/>
      <c r="D2614" s="65"/>
      <c r="E2614" s="65"/>
      <c r="F2614" s="65"/>
      <c r="G2614" s="204"/>
      <c r="H2614" s="211"/>
      <c r="I2614" s="65" t="s">
        <v>75</v>
      </c>
      <c r="J2614" s="65"/>
      <c r="K2614" s="182"/>
      <c r="M2614" t="s">
        <v>2246</v>
      </c>
      <c r="N2614" t="s">
        <v>5571</v>
      </c>
      <c r="O2614" t="s">
        <v>4933</v>
      </c>
      <c r="Q2614" t="str">
        <f t="shared" si="120"/>
        <v>condorProc.py --series 07180907_1301 --donoise --dumps a --procenv environments/pymidas_HVHV_NaI_mf.env</v>
      </c>
    </row>
    <row r="2615" spans="1:17">
      <c r="A2615" t="s">
        <v>8080</v>
      </c>
      <c r="F2615" s="177">
        <v>10</v>
      </c>
      <c r="G2615" s="203" t="s">
        <v>5297</v>
      </c>
      <c r="H2615" s="209">
        <v>-80</v>
      </c>
      <c r="I2615" s="177"/>
      <c r="J2615" s="177" t="s">
        <v>5577</v>
      </c>
      <c r="K2615" s="178" t="s">
        <v>5583</v>
      </c>
      <c r="L2615" s="1">
        <f>DATE(2000+MID(A2615,3,2),MID(A2615,5,2),MID(A2615,7,2))+TIME(MID(A2615,10,2),MID(A2615,12,2),0)</f>
        <v>43350.619444444441</v>
      </c>
      <c r="M2615" t="s">
        <v>2246</v>
      </c>
      <c r="N2615" t="s">
        <v>5571</v>
      </c>
      <c r="O2615" t="s">
        <v>4933</v>
      </c>
      <c r="Q2615" t="str">
        <f t="shared" si="120"/>
        <v>condorProc.py --series 07180907_1452 --donoise --dumps a --procenv environments/pymidas_HVHV_NaI_mf.env</v>
      </c>
    </row>
    <row r="2616" spans="1:17">
      <c r="A2616" t="s">
        <v>8081</v>
      </c>
      <c r="G2616" s="205"/>
      <c r="H2616" s="210"/>
      <c r="J2616" t="s">
        <v>5585</v>
      </c>
      <c r="K2616" s="180" t="s">
        <v>5671</v>
      </c>
      <c r="L2616" s="1">
        <f t="shared" ref="L2616:L2624" si="121">L2615+(2+45/60)/24</f>
        <v>43350.734027777777</v>
      </c>
      <c r="M2616" t="s">
        <v>2246</v>
      </c>
      <c r="N2616" t="s">
        <v>5571</v>
      </c>
      <c r="O2616" t="s">
        <v>4933</v>
      </c>
      <c r="Q2616" t="str">
        <f t="shared" si="120"/>
        <v>condorProc.py --series 07180907_1502 --donoise --dumps a --procenv environments/pymidas_HVHV_NaI_mf.env</v>
      </c>
    </row>
    <row r="2617" spans="1:17">
      <c r="A2617" t="s">
        <v>8082</v>
      </c>
      <c r="G2617" s="205"/>
      <c r="H2617" s="210"/>
      <c r="K2617" s="187" t="s">
        <v>6206</v>
      </c>
      <c r="L2617" s="1">
        <f t="shared" si="121"/>
        <v>43350.848611111112</v>
      </c>
      <c r="M2617" t="s">
        <v>2246</v>
      </c>
      <c r="N2617" t="s">
        <v>5571</v>
      </c>
      <c r="O2617" t="s">
        <v>4933</v>
      </c>
      <c r="Q2617" t="str">
        <f t="shared" si="120"/>
        <v>condorProc.py --series 07180907_1512 --donoise --dumps a --procenv environments/pymidas_HVHV_NaI_mf.env</v>
      </c>
    </row>
    <row r="2618" spans="1:17">
      <c r="A2618" t="s">
        <v>8083</v>
      </c>
      <c r="G2618" s="205"/>
      <c r="H2618" s="210"/>
      <c r="K2618" s="180"/>
      <c r="L2618" s="1">
        <f t="shared" si="121"/>
        <v>43350.963194444448</v>
      </c>
      <c r="M2618" t="s">
        <v>2246</v>
      </c>
      <c r="N2618" t="s">
        <v>5571</v>
      </c>
      <c r="O2618" t="s">
        <v>4933</v>
      </c>
      <c r="Q2618" t="str">
        <f t="shared" si="120"/>
        <v>condorProc.py --series 07180907_1522 --donoise --dumps a --procenv environments/pymidas_HVHV_NaI_mf.env</v>
      </c>
    </row>
    <row r="2619" spans="1:17">
      <c r="A2619" t="s">
        <v>8084</v>
      </c>
      <c r="G2619" s="205"/>
      <c r="H2619" s="210"/>
      <c r="K2619" s="180"/>
      <c r="L2619" s="1">
        <f t="shared" si="121"/>
        <v>43351.077777777784</v>
      </c>
      <c r="M2619" t="s">
        <v>2246</v>
      </c>
      <c r="N2619" t="s">
        <v>5571</v>
      </c>
      <c r="O2619" t="s">
        <v>4933</v>
      </c>
      <c r="Q2619" t="str">
        <f t="shared" si="120"/>
        <v>condorProc.py --series 07180907_1532 --donoise --dumps a --procenv environments/pymidas_HVHV_NaI_mf.env</v>
      </c>
    </row>
    <row r="2620" spans="1:17">
      <c r="A2620" t="s">
        <v>8085</v>
      </c>
      <c r="G2620" s="205"/>
      <c r="H2620" s="210"/>
      <c r="K2620" s="180"/>
      <c r="L2620" s="1">
        <f t="shared" si="121"/>
        <v>43351.19236111112</v>
      </c>
      <c r="M2620" t="s">
        <v>2246</v>
      </c>
      <c r="N2620" t="s">
        <v>5571</v>
      </c>
      <c r="O2620" t="s">
        <v>4933</v>
      </c>
      <c r="Q2620" t="str">
        <f t="shared" si="120"/>
        <v>condorProc.py --series 07180907_1543 --donoise --dumps a --procenv environments/pymidas_HVHV_NaI_mf.env</v>
      </c>
    </row>
    <row r="2621" spans="1:17">
      <c r="A2621" t="s">
        <v>8086</v>
      </c>
      <c r="G2621" s="205"/>
      <c r="H2621" s="210"/>
      <c r="K2621" s="180"/>
      <c r="L2621" s="1">
        <f t="shared" si="121"/>
        <v>43351.306944444455</v>
      </c>
      <c r="M2621" t="s">
        <v>2246</v>
      </c>
      <c r="N2621" t="s">
        <v>5571</v>
      </c>
      <c r="O2621" t="s">
        <v>4933</v>
      </c>
      <c r="Q2621" t="str">
        <f t="shared" si="120"/>
        <v>condorProc.py --series 07180907_1553 --donoise --dumps a --procenv environments/pymidas_HVHV_NaI_mf.env</v>
      </c>
    </row>
    <row r="2622" spans="1:17">
      <c r="A2622" t="s">
        <v>8087</v>
      </c>
      <c r="G2622" s="205"/>
      <c r="H2622" s="210"/>
      <c r="K2622" s="180"/>
      <c r="L2622" s="1">
        <f t="shared" si="121"/>
        <v>43351.421527777791</v>
      </c>
      <c r="M2622" t="s">
        <v>2246</v>
      </c>
      <c r="N2622" t="s">
        <v>5571</v>
      </c>
      <c r="O2622" t="s">
        <v>4933</v>
      </c>
      <c r="Q2622" t="str">
        <f t="shared" si="120"/>
        <v>condorProc.py --series 07180907_1603 --donoise --dumps a --procenv environments/pymidas_HVHV_NaI_mf.env</v>
      </c>
    </row>
    <row r="2623" spans="1:17">
      <c r="A2623" t="s">
        <v>8088</v>
      </c>
      <c r="G2623" s="205"/>
      <c r="H2623" s="210"/>
      <c r="I2623" t="s">
        <v>75</v>
      </c>
      <c r="K2623" s="180"/>
      <c r="L2623" s="1">
        <f t="shared" si="121"/>
        <v>43351.536111111127</v>
      </c>
      <c r="M2623" t="s">
        <v>2246</v>
      </c>
      <c r="N2623" t="s">
        <v>5571</v>
      </c>
      <c r="O2623" t="s">
        <v>4933</v>
      </c>
      <c r="Q2623" t="str">
        <f t="shared" si="120"/>
        <v>condorProc.py --series 07180907_1613 --donoise --dumps a --procenv environments/pymidas_HVHV_NaI_mf.env</v>
      </c>
    </row>
    <row r="2624" spans="1:17">
      <c r="A2624" t="s">
        <v>8089</v>
      </c>
      <c r="G2624" s="205"/>
      <c r="H2624" s="210"/>
      <c r="K2624" s="180"/>
      <c r="L2624" s="1">
        <f t="shared" si="121"/>
        <v>43351.650694444463</v>
      </c>
      <c r="M2624" t="s">
        <v>2246</v>
      </c>
      <c r="N2624" t="s">
        <v>5571</v>
      </c>
      <c r="O2624" t="s">
        <v>4933</v>
      </c>
      <c r="Q2624" t="str">
        <f t="shared" si="120"/>
        <v>condorProc.py --series 07180907_1623 --donoise --dumps a --procenv environments/pymidas_HVHV_NaI_mf.env</v>
      </c>
    </row>
    <row r="2625" spans="1:17">
      <c r="A2625" t="s">
        <v>8090</v>
      </c>
      <c r="G2625" s="205"/>
      <c r="H2625" s="210"/>
      <c r="K2625" s="180"/>
      <c r="M2625" t="s">
        <v>2246</v>
      </c>
      <c r="N2625" t="s">
        <v>5571</v>
      </c>
      <c r="O2625" t="s">
        <v>4933</v>
      </c>
      <c r="Q2625" t="str">
        <f t="shared" si="120"/>
        <v>condorProc.py --series 07180907_1633 --donoise --dumps a --procenv environments/pymidas_HVHV_NaI_mf.env</v>
      </c>
    </row>
    <row r="2626" spans="1:17">
      <c r="A2626" t="s">
        <v>8091</v>
      </c>
      <c r="G2626" s="205"/>
      <c r="H2626" s="210"/>
      <c r="I2626" t="s">
        <v>75</v>
      </c>
      <c r="K2626" s="180"/>
      <c r="M2626" t="s">
        <v>2246</v>
      </c>
      <c r="N2626" t="s">
        <v>5571</v>
      </c>
      <c r="O2626" t="s">
        <v>4933</v>
      </c>
      <c r="Q2626" t="str">
        <f t="shared" si="120"/>
        <v>condorProc.py --series 07180907_1643 --donoise --dumps a --procenv environments/pymidas_HVHV_NaI_mf.env</v>
      </c>
    </row>
    <row r="2627" spans="1:17">
      <c r="A2627" s="176" t="s">
        <v>8092</v>
      </c>
      <c r="B2627" s="177"/>
      <c r="C2627" s="177"/>
      <c r="D2627" s="177"/>
      <c r="E2627" s="177"/>
      <c r="F2627" s="177">
        <v>10</v>
      </c>
      <c r="G2627" s="177" t="s">
        <v>18</v>
      </c>
      <c r="H2627" s="209">
        <v>-80</v>
      </c>
      <c r="I2627" s="177" t="s">
        <v>75</v>
      </c>
      <c r="J2627" s="177" t="s">
        <v>5577</v>
      </c>
      <c r="K2627" s="178" t="s">
        <v>5583</v>
      </c>
      <c r="L2627" s="1">
        <f>DATE(2000+MID(A2627,3,2),MID(A2627,5,2),MID(A2627,7,2))+TIME(MID(A2627,10,2),MID(A2627,12,2),0)</f>
        <v>43350.848611111112</v>
      </c>
      <c r="M2627" t="s">
        <v>2246</v>
      </c>
      <c r="N2627" t="s">
        <v>5571</v>
      </c>
      <c r="O2627" t="s">
        <v>4930</v>
      </c>
      <c r="Q2627" t="str">
        <f t="shared" si="120"/>
        <v>condorProc.py --series 07180907_2022 --donoise --dumps a --procenv environments/pymidas_HVHV_NaI_mf.env</v>
      </c>
    </row>
    <row r="2628" spans="1:17">
      <c r="A2628" s="179" t="s">
        <v>8093</v>
      </c>
      <c r="H2628" s="210"/>
      <c r="J2628" t="s">
        <v>5585</v>
      </c>
      <c r="K2628" s="180" t="s">
        <v>5671</v>
      </c>
      <c r="L2628" s="1">
        <f>L2627+(2+45/60)/24</f>
        <v>43350.963194444448</v>
      </c>
      <c r="M2628" t="s">
        <v>2246</v>
      </c>
      <c r="N2628" t="s">
        <v>5571</v>
      </c>
      <c r="O2628" t="s">
        <v>4930</v>
      </c>
      <c r="Q2628" t="str">
        <f t="shared" si="120"/>
        <v>condorProc.py --series 07180907_2032 --donoise --dumps a --procenv environments/pymidas_HVHV_NaI_mf.env</v>
      </c>
    </row>
    <row r="2629" spans="1:17">
      <c r="A2629" s="179" t="s">
        <v>8094</v>
      </c>
      <c r="H2629" s="210"/>
      <c r="K2629" s="187" t="s">
        <v>6206</v>
      </c>
      <c r="L2629" s="1">
        <f>L2628+(2+45/60)/24</f>
        <v>43351.077777777784</v>
      </c>
      <c r="M2629" t="s">
        <v>2246</v>
      </c>
      <c r="N2629" t="s">
        <v>5571</v>
      </c>
      <c r="O2629" t="s">
        <v>4930</v>
      </c>
      <c r="Q2629" t="str">
        <f t="shared" si="120"/>
        <v>condorProc.py --series 07180907_2042 --donoise --dumps a --procenv environments/pymidas_HVHV_NaI_mf.env</v>
      </c>
    </row>
    <row r="2630" spans="1:17">
      <c r="A2630" s="179" t="s">
        <v>8095</v>
      </c>
      <c r="H2630" s="210"/>
      <c r="K2630" s="180"/>
      <c r="L2630" s="1">
        <f>L2629+(2+45/60)/24</f>
        <v>43351.19236111112</v>
      </c>
      <c r="M2630" t="s">
        <v>2246</v>
      </c>
      <c r="N2630" t="s">
        <v>5571</v>
      </c>
      <c r="O2630" t="s">
        <v>4930</v>
      </c>
      <c r="Q2630" t="str">
        <f t="shared" si="120"/>
        <v>condorProc.py --series 07180907_2052 --donoise --dumps a --procenv environments/pymidas_HVHV_NaI_mf.env</v>
      </c>
    </row>
    <row r="2631" spans="1:17">
      <c r="A2631" s="179" t="s">
        <v>8096</v>
      </c>
      <c r="H2631" s="210"/>
      <c r="K2631" s="180"/>
      <c r="L2631" s="1">
        <f>L2630+(2+45/60)/24</f>
        <v>43351.306944444455</v>
      </c>
      <c r="M2631" t="s">
        <v>2246</v>
      </c>
      <c r="N2631" t="s">
        <v>5571</v>
      </c>
      <c r="O2631" t="s">
        <v>4930</v>
      </c>
      <c r="Q2631" t="str">
        <f t="shared" si="120"/>
        <v>condorProc.py --series 07180907_2103 --donoise --dumps a --procenv environments/pymidas_HVHV_NaI_mf.env</v>
      </c>
    </row>
    <row r="2632" spans="1:17">
      <c r="A2632" s="179" t="s">
        <v>8097</v>
      </c>
      <c r="H2632" s="210"/>
      <c r="K2632" s="180"/>
      <c r="L2632" s="1">
        <f>L2631+(2+45/60)/24</f>
        <v>43351.421527777791</v>
      </c>
      <c r="M2632" t="s">
        <v>2246</v>
      </c>
      <c r="N2632" t="s">
        <v>5571</v>
      </c>
      <c r="O2632" t="s">
        <v>4930</v>
      </c>
      <c r="Q2632" t="str">
        <f t="shared" si="120"/>
        <v>condorProc.py --series 07180907_2113 --donoise --dumps a --procenv environments/pymidas_HVHV_NaI_mf.env</v>
      </c>
    </row>
    <row r="2633" spans="1:17">
      <c r="A2633" s="179" t="s">
        <v>8098</v>
      </c>
      <c r="H2633" s="210"/>
      <c r="I2633" t="s">
        <v>75</v>
      </c>
      <c r="K2633" s="180"/>
      <c r="L2633" t="str">
        <f>"BatViewer --nohardcode "&amp;A2633&amp;"/"&amp;A2633&amp;"_F0010.mid.gz"</f>
        <v>BatViewer --nohardcode 07180907_2123/07180907_2123_F0010.mid.gz</v>
      </c>
      <c r="M2633" t="s">
        <v>2246</v>
      </c>
      <c r="N2633" t="s">
        <v>5571</v>
      </c>
      <c r="O2633" t="s">
        <v>4930</v>
      </c>
      <c r="Q2633" t="str">
        <f t="shared" si="120"/>
        <v>condorProc.py --series 07180907_2123 --donoise --dumps a --procenv environments/pymidas_HVHV_NaI_mf.env</v>
      </c>
    </row>
    <row r="2634" spans="1:17">
      <c r="A2634" s="179" t="s">
        <v>8099</v>
      </c>
      <c r="H2634" s="210"/>
      <c r="K2634" s="180"/>
      <c r="L2634" s="1">
        <f>L2632+(2+45/60)/24</f>
        <v>43351.536111111127</v>
      </c>
      <c r="M2634" t="s">
        <v>2246</v>
      </c>
      <c r="N2634" t="s">
        <v>5571</v>
      </c>
      <c r="O2634" t="s">
        <v>4930</v>
      </c>
      <c r="Q2634" t="str">
        <f t="shared" si="120"/>
        <v>condorProc.py --series 07180907_2133 --donoise --dumps a --procenv environments/pymidas_HVHV_NaI_mf.env</v>
      </c>
    </row>
    <row r="2635" spans="1:17">
      <c r="A2635" s="179" t="s">
        <v>8100</v>
      </c>
      <c r="H2635" s="210"/>
      <c r="K2635" s="180"/>
      <c r="L2635" s="1">
        <f>L2634+(2+45/60)/24</f>
        <v>43351.650694444463</v>
      </c>
      <c r="M2635" t="s">
        <v>2246</v>
      </c>
      <c r="N2635" t="s">
        <v>5571</v>
      </c>
      <c r="O2635" t="s">
        <v>4930</v>
      </c>
      <c r="Q2635" t="str">
        <f t="shared" si="120"/>
        <v>condorProc.py --series 07180907_2143 --donoise --dumps a --procenv environments/pymidas_HVHV_NaI_mf.env</v>
      </c>
    </row>
    <row r="2636" spans="1:17">
      <c r="A2636" s="179" t="s">
        <v>8101</v>
      </c>
      <c r="H2636" s="210"/>
      <c r="K2636" s="180"/>
      <c r="L2636" s="1">
        <f>L2635+(2+45/60)/24</f>
        <v>43351.765277777798</v>
      </c>
      <c r="M2636" t="s">
        <v>2246</v>
      </c>
      <c r="N2636" t="s">
        <v>5571</v>
      </c>
      <c r="O2636" t="s">
        <v>4930</v>
      </c>
      <c r="Q2636" t="str">
        <f t="shared" si="120"/>
        <v>condorProc.py --series 07180907_2153 --donoise --dumps a --procenv environments/pymidas_HVHV_NaI_mf.env</v>
      </c>
    </row>
    <row r="2637" spans="1:17">
      <c r="A2637" s="179" t="s">
        <v>8102</v>
      </c>
      <c r="H2637" s="210"/>
      <c r="K2637" s="180"/>
      <c r="M2637" t="s">
        <v>2246</v>
      </c>
      <c r="N2637" t="s">
        <v>5571</v>
      </c>
      <c r="O2637" t="s">
        <v>4930</v>
      </c>
      <c r="Q2637" t="str">
        <f t="shared" si="120"/>
        <v>condorProc.py --series 07180907_2203 --donoise --dumps a --procenv environments/pymidas_HVHV_NaI_mf.env</v>
      </c>
    </row>
    <row r="2638" spans="1:17">
      <c r="A2638" s="179" t="s">
        <v>8103</v>
      </c>
      <c r="H2638" s="210"/>
      <c r="I2638" t="s">
        <v>75</v>
      </c>
      <c r="K2638" s="180"/>
      <c r="L2638" t="str">
        <f>"BatViewer --nohardcode "&amp;A2638&amp;"/"&amp;A2638&amp;"_F0010.mid.gz"</f>
        <v>BatViewer --nohardcode 07180907_2213/07180907_2213_F0010.mid.gz</v>
      </c>
      <c r="M2638" t="s">
        <v>2246</v>
      </c>
      <c r="N2638" t="s">
        <v>5571</v>
      </c>
      <c r="O2638" t="s">
        <v>4930</v>
      </c>
      <c r="Q2638" t="str">
        <f t="shared" si="120"/>
        <v>condorProc.py --series 07180907_2213 --donoise --dumps a --procenv environments/pymidas_HVHV_NaI_mf.env</v>
      </c>
    </row>
    <row r="2639" spans="1:17">
      <c r="A2639" s="176" t="s">
        <v>8104</v>
      </c>
      <c r="B2639" s="177"/>
      <c r="C2639" s="177"/>
      <c r="D2639" s="177"/>
      <c r="E2639" s="177"/>
      <c r="F2639" s="177">
        <v>10</v>
      </c>
      <c r="G2639" s="177" t="s">
        <v>18</v>
      </c>
      <c r="H2639" s="209">
        <v>-80</v>
      </c>
      <c r="I2639" s="177"/>
      <c r="J2639" s="177" t="s">
        <v>5577</v>
      </c>
      <c r="K2639" s="178" t="s">
        <v>5583</v>
      </c>
      <c r="M2639" t="s">
        <v>2246</v>
      </c>
      <c r="N2639" t="s">
        <v>5571</v>
      </c>
      <c r="O2639" t="s">
        <v>4930</v>
      </c>
      <c r="Q2639" t="str">
        <f t="shared" si="120"/>
        <v>condorProc.py --series 07180907_2306 --donoise --dumps a --procenv environments/pymidas_HVHV_NaI_mf.env</v>
      </c>
    </row>
    <row r="2640" spans="1:17">
      <c r="A2640" s="179" t="s">
        <v>8105</v>
      </c>
      <c r="H2640" s="210"/>
      <c r="J2640" t="s">
        <v>5585</v>
      </c>
      <c r="K2640" s="180" t="s">
        <v>5671</v>
      </c>
      <c r="M2640" t="s">
        <v>2246</v>
      </c>
      <c r="N2640" t="s">
        <v>5571</v>
      </c>
      <c r="O2640" t="s">
        <v>4930</v>
      </c>
      <c r="Q2640" t="str">
        <f t="shared" si="120"/>
        <v>condorProc.py --series 07180907_2316 --donoise --dumps a --procenv environments/pymidas_HVHV_NaI_mf.env</v>
      </c>
    </row>
    <row r="2641" spans="1:17">
      <c r="A2641" s="179" t="s">
        <v>8106</v>
      </c>
      <c r="H2641" s="210"/>
      <c r="K2641" s="187" t="s">
        <v>6206</v>
      </c>
      <c r="M2641" t="s">
        <v>2246</v>
      </c>
      <c r="N2641" t="s">
        <v>5571</v>
      </c>
      <c r="O2641" t="s">
        <v>4930</v>
      </c>
      <c r="Q2641" t="str">
        <f t="shared" si="120"/>
        <v>condorProc.py --series 07180907_2326 --donoise --dumps a --procenv environments/pymidas_HVHV_NaI_mf.env</v>
      </c>
    </row>
    <row r="2642" spans="1:17">
      <c r="A2642" s="179" t="s">
        <v>8107</v>
      </c>
      <c r="H2642" s="210"/>
      <c r="K2642" s="180"/>
      <c r="M2642" t="s">
        <v>2246</v>
      </c>
      <c r="N2642" t="s">
        <v>5571</v>
      </c>
      <c r="O2642" t="s">
        <v>4930</v>
      </c>
      <c r="Q2642" t="str">
        <f t="shared" si="120"/>
        <v>condorProc.py --series 07180907_2336 --donoise --dumps a --procenv environments/pymidas_HVHV_NaI_mf.env</v>
      </c>
    </row>
    <row r="2643" spans="1:17">
      <c r="A2643" s="179" t="s">
        <v>8108</v>
      </c>
      <c r="H2643" s="210"/>
      <c r="K2643" s="180"/>
      <c r="M2643" t="s">
        <v>2246</v>
      </c>
      <c r="N2643" t="s">
        <v>5571</v>
      </c>
      <c r="O2643" t="s">
        <v>4930</v>
      </c>
      <c r="Q2643" t="str">
        <f t="shared" si="120"/>
        <v>condorProc.py --series 07180907_2346 --donoise --dumps a --procenv environments/pymidas_HVHV_NaI_mf.env</v>
      </c>
    </row>
    <row r="2644" spans="1:17">
      <c r="A2644" s="179" t="s">
        <v>8109</v>
      </c>
      <c r="H2644" s="210"/>
      <c r="K2644" s="180"/>
      <c r="M2644" t="s">
        <v>2246</v>
      </c>
      <c r="N2644" t="s">
        <v>5571</v>
      </c>
      <c r="O2644" t="s">
        <v>4930</v>
      </c>
      <c r="Q2644" t="str">
        <f t="shared" si="120"/>
        <v>condorProc.py --series 07180907_2356 --donoise --dumps a --procenv environments/pymidas_HVHV_NaI_mf.env</v>
      </c>
    </row>
    <row r="2645" spans="1:17">
      <c r="A2645" s="179" t="s">
        <v>8110</v>
      </c>
      <c r="H2645" s="210"/>
      <c r="K2645" s="180"/>
      <c r="M2645" t="s">
        <v>2246</v>
      </c>
      <c r="N2645" t="s">
        <v>5571</v>
      </c>
      <c r="O2645" t="s">
        <v>4930</v>
      </c>
      <c r="Q2645" t="str">
        <f t="shared" si="120"/>
        <v>condorProc.py --series 07180908_0006 --donoise --dumps a --procenv environments/pymidas_HVHV_NaI_mf.env</v>
      </c>
    </row>
    <row r="2646" spans="1:17">
      <c r="A2646" s="179" t="s">
        <v>8111</v>
      </c>
      <c r="H2646" s="210"/>
      <c r="K2646" s="180"/>
      <c r="M2646" t="s">
        <v>2246</v>
      </c>
      <c r="N2646" t="s">
        <v>5571</v>
      </c>
      <c r="O2646" t="s">
        <v>4930</v>
      </c>
      <c r="Q2646" t="str">
        <f t="shared" si="120"/>
        <v>condorProc.py --series 07180908_0016 --donoise --dumps a --procenv environments/pymidas_HVHV_NaI_mf.env</v>
      </c>
    </row>
    <row r="2647" spans="1:17">
      <c r="A2647" s="179" t="s">
        <v>8112</v>
      </c>
      <c r="H2647" s="210"/>
      <c r="K2647" s="180"/>
      <c r="M2647" t="s">
        <v>2246</v>
      </c>
      <c r="N2647" t="s">
        <v>5571</v>
      </c>
      <c r="O2647" t="s">
        <v>4930</v>
      </c>
      <c r="Q2647" t="str">
        <f t="shared" si="120"/>
        <v>condorProc.py --series 07180908_0026 --donoise --dumps a --procenv environments/pymidas_HVHV_NaI_mf.env</v>
      </c>
    </row>
    <row r="2648" spans="1:17">
      <c r="A2648" s="179" t="s">
        <v>8113</v>
      </c>
      <c r="H2648" s="210"/>
      <c r="K2648" s="180"/>
      <c r="M2648" t="s">
        <v>2246</v>
      </c>
      <c r="N2648" t="s">
        <v>5571</v>
      </c>
      <c r="O2648" t="s">
        <v>4930</v>
      </c>
      <c r="Q2648" t="str">
        <f t="shared" si="120"/>
        <v>condorProc.py --series 07180908_0037 --donoise --dumps a --procenv environments/pymidas_HVHV_NaI_mf.env</v>
      </c>
    </row>
    <row r="2649" spans="1:17">
      <c r="A2649" s="179" t="s">
        <v>8114</v>
      </c>
      <c r="H2649" s="210"/>
      <c r="K2649" s="180"/>
      <c r="M2649" t="s">
        <v>2246</v>
      </c>
      <c r="N2649" t="s">
        <v>5571</v>
      </c>
      <c r="O2649" t="s">
        <v>4930</v>
      </c>
      <c r="Q2649" t="str">
        <f t="shared" si="120"/>
        <v>condorProc.py --series 07180908_0047 --donoise --dumps a --procenv environments/pymidas_HVHV_NaI_mf.env</v>
      </c>
    </row>
    <row r="2650" spans="1:17">
      <c r="A2650" s="181" t="s">
        <v>8115</v>
      </c>
      <c r="B2650" s="65"/>
      <c r="C2650" s="65"/>
      <c r="D2650" s="65"/>
      <c r="E2650" s="65"/>
      <c r="F2650" s="65"/>
      <c r="G2650" s="65"/>
      <c r="H2650" s="211"/>
      <c r="I2650" s="65"/>
      <c r="J2650" s="65"/>
      <c r="K2650" s="182"/>
      <c r="M2650" t="s">
        <v>2246</v>
      </c>
      <c r="N2650" t="s">
        <v>5571</v>
      </c>
      <c r="O2650" t="s">
        <v>4930</v>
      </c>
      <c r="Q2650" t="str">
        <f t="shared" si="120"/>
        <v>condorProc.py --series 07180908_0057 --donoise --dumps a --procenv environments/pymidas_HVHV_NaI_mf.env</v>
      </c>
    </row>
    <row r="2651" spans="1:17">
      <c r="A2651" t="s">
        <v>8116</v>
      </c>
      <c r="F2651" s="177">
        <v>10</v>
      </c>
      <c r="G2651" s="177" t="s">
        <v>18</v>
      </c>
      <c r="H2651" s="209">
        <v>-80</v>
      </c>
      <c r="I2651" s="177"/>
      <c r="J2651" s="177" t="s">
        <v>5577</v>
      </c>
      <c r="K2651" s="178" t="s">
        <v>5583</v>
      </c>
      <c r="M2651" t="s">
        <v>2246</v>
      </c>
      <c r="N2651" t="s">
        <v>5571</v>
      </c>
      <c r="O2651" t="s">
        <v>4930</v>
      </c>
      <c r="Q2651" t="str">
        <f t="shared" si="120"/>
        <v>condorProc.py --series 07180908_0149 --donoise --dumps a --procenv environments/pymidas_HVHV_NaI_mf.env</v>
      </c>
    </row>
    <row r="2652" spans="1:17">
      <c r="A2652" t="s">
        <v>8117</v>
      </c>
      <c r="H2652" s="210"/>
      <c r="J2652" t="s">
        <v>5585</v>
      </c>
      <c r="K2652" s="180" t="s">
        <v>5671</v>
      </c>
      <c r="M2652" t="s">
        <v>2246</v>
      </c>
      <c r="N2652" t="s">
        <v>5571</v>
      </c>
      <c r="O2652" t="s">
        <v>4930</v>
      </c>
      <c r="Q2652" t="str">
        <f t="shared" si="120"/>
        <v>condorProc.py --series 07180908_0159 --donoise --dumps a --procenv environments/pymidas_HVHV_NaI_mf.env</v>
      </c>
    </row>
    <row r="2653" spans="1:17">
      <c r="A2653" t="s">
        <v>8118</v>
      </c>
      <c r="H2653" s="210"/>
      <c r="K2653" s="187" t="s">
        <v>6206</v>
      </c>
      <c r="M2653" t="s">
        <v>2246</v>
      </c>
      <c r="N2653" t="s">
        <v>5571</v>
      </c>
      <c r="O2653" t="s">
        <v>4930</v>
      </c>
      <c r="Q2653" t="str">
        <f t="shared" si="120"/>
        <v>condorProc.py --series 07180908_0209 --donoise --dumps a --procenv environments/pymidas_HVHV_NaI_mf.env</v>
      </c>
    </row>
    <row r="2654" spans="1:17">
      <c r="A2654" t="s">
        <v>8119</v>
      </c>
      <c r="H2654" s="210"/>
      <c r="K2654" s="180"/>
      <c r="M2654" t="s">
        <v>2246</v>
      </c>
      <c r="N2654" t="s">
        <v>5571</v>
      </c>
      <c r="O2654" t="s">
        <v>4930</v>
      </c>
      <c r="Q2654" t="str">
        <f t="shared" si="120"/>
        <v>condorProc.py --series 07180908_0219 --donoise --dumps a --procenv environments/pymidas_HVHV_NaI_mf.env</v>
      </c>
    </row>
    <row r="2655" spans="1:17">
      <c r="A2655" t="s">
        <v>8120</v>
      </c>
      <c r="H2655" s="210"/>
      <c r="K2655" s="180"/>
      <c r="M2655" t="s">
        <v>2246</v>
      </c>
      <c r="N2655" t="s">
        <v>5571</v>
      </c>
      <c r="O2655" t="s">
        <v>4930</v>
      </c>
      <c r="Q2655" t="str">
        <f t="shared" si="120"/>
        <v>condorProc.py --series 07180908_0229 --donoise --dumps a --procenv environments/pymidas_HVHV_NaI_mf.env</v>
      </c>
    </row>
    <row r="2656" spans="1:17">
      <c r="A2656" t="s">
        <v>8121</v>
      </c>
      <c r="H2656" s="210"/>
      <c r="K2656" s="180"/>
      <c r="M2656" t="s">
        <v>2246</v>
      </c>
      <c r="N2656" t="s">
        <v>5571</v>
      </c>
      <c r="O2656" t="s">
        <v>4930</v>
      </c>
      <c r="Q2656" t="str">
        <f t="shared" si="120"/>
        <v>condorProc.py --series 07180908_0239 --donoise --dumps a --procenv environments/pymidas_HVHV_NaI_mf.env</v>
      </c>
    </row>
    <row r="2657" spans="1:17">
      <c r="A2657" t="s">
        <v>8122</v>
      </c>
      <c r="H2657" s="210"/>
      <c r="K2657" s="180"/>
      <c r="M2657" t="s">
        <v>2246</v>
      </c>
      <c r="N2657" t="s">
        <v>5571</v>
      </c>
      <c r="O2657" t="s">
        <v>4930</v>
      </c>
      <c r="Q2657" t="str">
        <f t="shared" si="120"/>
        <v>condorProc.py --series 07180908_0250 --donoise --dumps a --procenv environments/pymidas_HVHV_NaI_mf.env</v>
      </c>
    </row>
    <row r="2658" spans="1:17">
      <c r="A2658" t="s">
        <v>8123</v>
      </c>
      <c r="H2658" s="210"/>
      <c r="K2658" s="180"/>
      <c r="M2658" t="s">
        <v>2246</v>
      </c>
      <c r="N2658" t="s">
        <v>5571</v>
      </c>
      <c r="O2658" t="s">
        <v>4930</v>
      </c>
      <c r="Q2658" t="str">
        <f t="shared" si="120"/>
        <v>condorProc.py --series 07180908_0300 --donoise --dumps a --procenv environments/pymidas_HVHV_NaI_mf.env</v>
      </c>
    </row>
    <row r="2659" spans="1:17">
      <c r="A2659" t="s">
        <v>8124</v>
      </c>
      <c r="H2659" s="210"/>
      <c r="K2659" s="180"/>
      <c r="M2659" t="s">
        <v>2246</v>
      </c>
      <c r="N2659" t="s">
        <v>5571</v>
      </c>
      <c r="O2659" t="s">
        <v>4930</v>
      </c>
      <c r="Q2659" t="str">
        <f t="shared" si="120"/>
        <v>condorProc.py --series 07180908_0310 --donoise --dumps a --procenv environments/pymidas_HVHV_NaI_mf.env</v>
      </c>
    </row>
    <row r="2660" spans="1:17">
      <c r="A2660" t="s">
        <v>8125</v>
      </c>
      <c r="H2660" s="210"/>
      <c r="K2660" s="180"/>
      <c r="M2660" t="s">
        <v>2246</v>
      </c>
      <c r="N2660" t="s">
        <v>5571</v>
      </c>
      <c r="O2660" t="s">
        <v>4930</v>
      </c>
      <c r="Q2660" t="str">
        <f t="shared" si="120"/>
        <v>condorProc.py --series 07180908_0320 --donoise --dumps a --procenv environments/pymidas_HVHV_NaI_mf.env</v>
      </c>
    </row>
    <row r="2661" spans="1:17">
      <c r="A2661" t="s">
        <v>8126</v>
      </c>
      <c r="H2661" s="210"/>
      <c r="K2661" s="180"/>
      <c r="M2661" t="s">
        <v>2246</v>
      </c>
      <c r="N2661" t="s">
        <v>5571</v>
      </c>
      <c r="O2661" t="s">
        <v>4930</v>
      </c>
      <c r="Q2661" t="str">
        <f t="shared" si="120"/>
        <v>condorProc.py --series 07180908_0330 --donoise --dumps a --procenv environments/pymidas_HVHV_NaI_mf.env</v>
      </c>
    </row>
    <row r="2662" spans="1:17">
      <c r="A2662" t="s">
        <v>8127</v>
      </c>
      <c r="H2662" s="210"/>
      <c r="K2662" s="180"/>
      <c r="M2662" t="s">
        <v>2246</v>
      </c>
      <c r="N2662" t="s">
        <v>5571</v>
      </c>
      <c r="O2662" t="s">
        <v>4930</v>
      </c>
      <c r="Q2662" t="str">
        <f t="shared" si="120"/>
        <v>condorProc.py --series 07180908_0340 --donoise --dumps a --procenv environments/pymidas_HVHV_NaI_mf.env</v>
      </c>
    </row>
    <row r="2663" spans="1:17">
      <c r="A2663" s="176" t="s">
        <v>8128</v>
      </c>
      <c r="B2663" s="177"/>
      <c r="C2663" s="177"/>
      <c r="D2663" s="177"/>
      <c r="E2663" s="177"/>
      <c r="F2663" s="177">
        <v>10</v>
      </c>
      <c r="G2663" s="177" t="s">
        <v>18</v>
      </c>
      <c r="H2663" s="209">
        <v>-80</v>
      </c>
      <c r="I2663" s="177"/>
      <c r="J2663" s="177" t="s">
        <v>5577</v>
      </c>
      <c r="K2663" s="178" t="s">
        <v>5583</v>
      </c>
      <c r="M2663" t="s">
        <v>2246</v>
      </c>
      <c r="N2663" t="s">
        <v>5571</v>
      </c>
      <c r="O2663" t="s">
        <v>4930</v>
      </c>
      <c r="Q2663" t="str">
        <f t="shared" si="120"/>
        <v>condorProc.py --series 07180908_0432 --donoise --dumps a --procenv environments/pymidas_HVHV_NaI_mf.env</v>
      </c>
    </row>
    <row r="2664" spans="1:17">
      <c r="A2664" s="179" t="s">
        <v>8129</v>
      </c>
      <c r="H2664" s="210"/>
      <c r="J2664" t="s">
        <v>5585</v>
      </c>
      <c r="K2664" s="180" t="s">
        <v>5671</v>
      </c>
      <c r="M2664" t="s">
        <v>2246</v>
      </c>
      <c r="N2664" t="s">
        <v>5571</v>
      </c>
      <c r="O2664" t="s">
        <v>4930</v>
      </c>
      <c r="Q2664" t="str">
        <f t="shared" si="120"/>
        <v>condorProc.py --series 07180908_0442 --donoise --dumps a --procenv environments/pymidas_HVHV_NaI_mf.env</v>
      </c>
    </row>
    <row r="2665" spans="1:17">
      <c r="A2665" s="179" t="s">
        <v>8130</v>
      </c>
      <c r="H2665" s="210"/>
      <c r="K2665" s="187" t="s">
        <v>6206</v>
      </c>
      <c r="M2665" t="s">
        <v>2246</v>
      </c>
      <c r="N2665" t="s">
        <v>5571</v>
      </c>
      <c r="O2665" t="s">
        <v>4930</v>
      </c>
      <c r="Q2665" t="str">
        <f t="shared" si="120"/>
        <v>condorProc.py --series 07180908_0453 --donoise --dumps a --procenv environments/pymidas_HVHV_NaI_mf.env</v>
      </c>
    </row>
    <row r="2666" spans="1:17">
      <c r="A2666" s="179" t="s">
        <v>8131</v>
      </c>
      <c r="H2666" s="210"/>
      <c r="K2666" s="180"/>
      <c r="M2666" t="s">
        <v>2246</v>
      </c>
      <c r="N2666" t="s">
        <v>5571</v>
      </c>
      <c r="O2666" t="s">
        <v>4930</v>
      </c>
      <c r="Q2666" t="str">
        <f t="shared" si="120"/>
        <v>condorProc.py --series 07180908_0503 --donoise --dumps a --procenv environments/pymidas_HVHV_NaI_mf.env</v>
      </c>
    </row>
    <row r="2667" spans="1:17">
      <c r="A2667" s="179" t="s">
        <v>8132</v>
      </c>
      <c r="H2667" s="210"/>
      <c r="K2667" s="180"/>
      <c r="M2667" t="s">
        <v>2246</v>
      </c>
      <c r="N2667" t="s">
        <v>5571</v>
      </c>
      <c r="O2667" t="s">
        <v>4930</v>
      </c>
      <c r="Q2667" t="str">
        <f t="shared" ref="Q2667:Q2730" si="122">"condorProc.py --series "&amp;A2667&amp;" --donoise --dumps a --procenv environments/pymidas_HVHV_NaI_mf.env"</f>
        <v>condorProc.py --series 07180908_0513 --donoise --dumps a --procenv environments/pymidas_HVHV_NaI_mf.env</v>
      </c>
    </row>
    <row r="2668" spans="1:17">
      <c r="A2668" s="179" t="s">
        <v>8133</v>
      </c>
      <c r="H2668" s="210"/>
      <c r="K2668" s="180"/>
      <c r="M2668" t="s">
        <v>2246</v>
      </c>
      <c r="N2668" t="s">
        <v>5571</v>
      </c>
      <c r="O2668" t="s">
        <v>4930</v>
      </c>
      <c r="Q2668" t="str">
        <f t="shared" si="122"/>
        <v>condorProc.py --series 07180908_0523 --donoise --dumps a --procenv environments/pymidas_HVHV_NaI_mf.env</v>
      </c>
    </row>
    <row r="2669" spans="1:17">
      <c r="A2669" s="179" t="s">
        <v>8134</v>
      </c>
      <c r="H2669" s="210"/>
      <c r="K2669" s="180"/>
      <c r="M2669" t="s">
        <v>2246</v>
      </c>
      <c r="N2669" t="s">
        <v>5571</v>
      </c>
      <c r="O2669" t="s">
        <v>4930</v>
      </c>
      <c r="Q2669" t="str">
        <f t="shared" si="122"/>
        <v>condorProc.py --series 07180908_0533 --donoise --dumps a --procenv environments/pymidas_HVHV_NaI_mf.env</v>
      </c>
    </row>
    <row r="2670" spans="1:17">
      <c r="A2670" s="179" t="s">
        <v>8135</v>
      </c>
      <c r="H2670" s="210"/>
      <c r="K2670" s="180"/>
      <c r="M2670" t="s">
        <v>2246</v>
      </c>
      <c r="N2670" t="s">
        <v>5571</v>
      </c>
      <c r="O2670" t="s">
        <v>4930</v>
      </c>
      <c r="Q2670" t="str">
        <f t="shared" si="122"/>
        <v>condorProc.py --series 07180908_0543 --donoise --dumps a --procenv environments/pymidas_HVHV_NaI_mf.env</v>
      </c>
    </row>
    <row r="2671" spans="1:17">
      <c r="A2671" s="179" t="s">
        <v>8136</v>
      </c>
      <c r="H2671" s="210"/>
      <c r="K2671" s="180"/>
      <c r="M2671" t="s">
        <v>2246</v>
      </c>
      <c r="N2671" t="s">
        <v>5571</v>
      </c>
      <c r="O2671" t="s">
        <v>4930</v>
      </c>
      <c r="Q2671" t="str">
        <f t="shared" si="122"/>
        <v>condorProc.py --series 07180908_0553 --donoise --dumps a --procenv environments/pymidas_HVHV_NaI_mf.env</v>
      </c>
    </row>
    <row r="2672" spans="1:17">
      <c r="A2672" s="179" t="s">
        <v>8137</v>
      </c>
      <c r="H2672" s="210"/>
      <c r="K2672" s="180"/>
      <c r="M2672" t="s">
        <v>2246</v>
      </c>
      <c r="N2672" t="s">
        <v>5571</v>
      </c>
      <c r="O2672" t="s">
        <v>4930</v>
      </c>
      <c r="Q2672" t="str">
        <f t="shared" si="122"/>
        <v>condorProc.py --series 07180908_0604 --donoise --dumps a --procenv environments/pymidas_HVHV_NaI_mf.env</v>
      </c>
    </row>
    <row r="2673" spans="1:17">
      <c r="A2673" s="179" t="s">
        <v>8138</v>
      </c>
      <c r="H2673" s="210"/>
      <c r="K2673" s="180"/>
      <c r="M2673" t="s">
        <v>2246</v>
      </c>
      <c r="N2673" t="s">
        <v>5571</v>
      </c>
      <c r="O2673" t="s">
        <v>4930</v>
      </c>
      <c r="Q2673" t="str">
        <f t="shared" si="122"/>
        <v>condorProc.py --series 07180908_0614 --donoise --dumps a --procenv environments/pymidas_HVHV_NaI_mf.env</v>
      </c>
    </row>
    <row r="2674" spans="1:17">
      <c r="A2674" s="181" t="s">
        <v>8139</v>
      </c>
      <c r="B2674" s="65"/>
      <c r="C2674" s="65"/>
      <c r="D2674" s="65"/>
      <c r="E2674" s="65"/>
      <c r="F2674" s="65"/>
      <c r="G2674" s="65"/>
      <c r="H2674" s="211"/>
      <c r="I2674" s="65"/>
      <c r="J2674" s="65"/>
      <c r="K2674" s="182"/>
      <c r="M2674" t="s">
        <v>2246</v>
      </c>
      <c r="N2674" t="s">
        <v>5571</v>
      </c>
      <c r="O2674" t="s">
        <v>4930</v>
      </c>
      <c r="Q2674" t="str">
        <f t="shared" si="122"/>
        <v>condorProc.py --series 07180908_0624 --donoise --dumps a --procenv environments/pymidas_HVHV_NaI_mf.env</v>
      </c>
    </row>
    <row r="2675" spans="1:17">
      <c r="A2675" t="s">
        <v>8140</v>
      </c>
      <c r="F2675">
        <v>10</v>
      </c>
      <c r="G2675" t="s">
        <v>18</v>
      </c>
      <c r="H2675" s="210">
        <v>-80</v>
      </c>
      <c r="J2675" t="s">
        <v>5577</v>
      </c>
      <c r="K2675" s="180" t="s">
        <v>5583</v>
      </c>
      <c r="L2675" s="1">
        <f>DATE(2000+MID(A2675,3,2),MID(A2675,5,2),MID(A2675,7,2))+TIME(MID(A2675,10,2),MID(A2675,12,2),0)</f>
        <v>43351.302777777775</v>
      </c>
      <c r="M2675" t="s">
        <v>2246</v>
      </c>
      <c r="N2675" t="s">
        <v>5571</v>
      </c>
      <c r="O2675" t="s">
        <v>4930</v>
      </c>
      <c r="Q2675" t="str">
        <f t="shared" si="122"/>
        <v>condorProc.py --series 07180908_0716 --donoise --dumps a --procenv environments/pymidas_HVHV_NaI_mf.env</v>
      </c>
    </row>
    <row r="2676" spans="1:17">
      <c r="A2676" t="s">
        <v>8141</v>
      </c>
      <c r="H2676" s="210"/>
      <c r="J2676" t="s">
        <v>5585</v>
      </c>
      <c r="K2676" s="180" t="s">
        <v>5671</v>
      </c>
      <c r="L2676" s="1">
        <f>L2675+(2+43/60)/24</f>
        <v>43351.415972222218</v>
      </c>
      <c r="M2676" t="s">
        <v>2246</v>
      </c>
      <c r="N2676" t="s">
        <v>5571</v>
      </c>
      <c r="O2676" t="s">
        <v>4930</v>
      </c>
      <c r="Q2676" t="str">
        <f t="shared" si="122"/>
        <v>condorProc.py --series 07180908_0726 --donoise --dumps a --procenv environments/pymidas_HVHV_NaI_mf.env</v>
      </c>
    </row>
    <row r="2677" spans="1:17">
      <c r="A2677" t="s">
        <v>8142</v>
      </c>
      <c r="H2677" s="210"/>
      <c r="K2677" s="187" t="s">
        <v>6206</v>
      </c>
      <c r="L2677" s="1">
        <f>L2676+(2+43/60)/24</f>
        <v>43351.52916666666</v>
      </c>
      <c r="M2677" t="s">
        <v>2246</v>
      </c>
      <c r="N2677" t="s">
        <v>5571</v>
      </c>
      <c r="O2677" t="s">
        <v>4930</v>
      </c>
      <c r="Q2677" t="str">
        <f t="shared" si="122"/>
        <v>condorProc.py --series 07180908_0736 --donoise --dumps a --procenv environments/pymidas_HVHV_NaI_mf.env</v>
      </c>
    </row>
    <row r="2678" spans="1:17">
      <c r="A2678" t="s">
        <v>8143</v>
      </c>
      <c r="H2678" s="210"/>
      <c r="I2678" t="s">
        <v>75</v>
      </c>
      <c r="K2678" s="180"/>
      <c r="L2678" s="1">
        <f>L2677+(2+43/60)/24</f>
        <v>43351.642361111102</v>
      </c>
      <c r="M2678" t="s">
        <v>2246</v>
      </c>
      <c r="N2678" t="s">
        <v>5571</v>
      </c>
      <c r="O2678" t="s">
        <v>4930</v>
      </c>
      <c r="Q2678" t="str">
        <f t="shared" si="122"/>
        <v>condorProc.py --series 07180908_0746 --donoise --dumps a --procenv environments/pymidas_HVHV_NaI_mf.env</v>
      </c>
    </row>
    <row r="2679" spans="1:17">
      <c r="A2679" t="s">
        <v>8144</v>
      </c>
      <c r="H2679" s="210"/>
      <c r="K2679" s="180"/>
      <c r="L2679" s="1">
        <f>L2678+(2+43/60)/24</f>
        <v>43351.755555555545</v>
      </c>
      <c r="M2679" t="s">
        <v>2246</v>
      </c>
      <c r="N2679" t="s">
        <v>5571</v>
      </c>
      <c r="O2679" t="s">
        <v>4930</v>
      </c>
      <c r="Q2679" t="str">
        <f t="shared" si="122"/>
        <v>condorProc.py --series 07180908_0756 --donoise --dumps a --procenv environments/pymidas_HVHV_NaI_mf.env</v>
      </c>
    </row>
    <row r="2680" spans="1:17">
      <c r="A2680" t="s">
        <v>8145</v>
      </c>
      <c r="H2680" s="210"/>
      <c r="K2680" s="180"/>
      <c r="M2680" t="s">
        <v>2246</v>
      </c>
      <c r="N2680" t="s">
        <v>5571</v>
      </c>
      <c r="O2680" t="s">
        <v>4930</v>
      </c>
      <c r="Q2680" t="str">
        <f t="shared" si="122"/>
        <v>condorProc.py --series 07180908_0806 --donoise --dumps a --procenv environments/pymidas_HVHV_NaI_mf.env</v>
      </c>
    </row>
    <row r="2681" spans="1:17">
      <c r="A2681" t="s">
        <v>8146</v>
      </c>
      <c r="H2681" s="210"/>
      <c r="K2681" s="180"/>
      <c r="L2681" s="158">
        <f>L2687-L2675</f>
        <v>0.11319444444961846</v>
      </c>
      <c r="M2681" t="s">
        <v>2246</v>
      </c>
      <c r="N2681" t="s">
        <v>5571</v>
      </c>
      <c r="O2681" t="s">
        <v>4930</v>
      </c>
      <c r="Q2681" t="str">
        <f t="shared" si="122"/>
        <v>condorProc.py --series 07180908_0817 --donoise --dumps a --procenv environments/pymidas_HVHV_NaI_mf.env</v>
      </c>
    </row>
    <row r="2682" spans="1:17">
      <c r="A2682" t="s">
        <v>8147</v>
      </c>
      <c r="H2682" s="210"/>
      <c r="K2682" s="180"/>
      <c r="L2682" s="158"/>
      <c r="M2682" t="s">
        <v>2246</v>
      </c>
      <c r="N2682" t="s">
        <v>5571</v>
      </c>
      <c r="O2682" t="s">
        <v>4930</v>
      </c>
      <c r="Q2682" t="str">
        <f t="shared" si="122"/>
        <v>condorProc.py --series 07180908_0827 --donoise --dumps a --procenv environments/pymidas_HVHV_NaI_mf.env</v>
      </c>
    </row>
    <row r="2683" spans="1:17">
      <c r="A2683" t="s">
        <v>8148</v>
      </c>
      <c r="H2683" s="210"/>
      <c r="K2683" s="180"/>
      <c r="M2683" t="s">
        <v>2246</v>
      </c>
      <c r="N2683" t="s">
        <v>5571</v>
      </c>
      <c r="O2683" t="s">
        <v>4930</v>
      </c>
      <c r="Q2683" t="str">
        <f t="shared" si="122"/>
        <v>condorProc.py --series 07180908_0837 --donoise --dumps a --procenv environments/pymidas_HVHV_NaI_mf.env</v>
      </c>
    </row>
    <row r="2684" spans="1:17">
      <c r="A2684" t="s">
        <v>8149</v>
      </c>
      <c r="H2684" s="210"/>
      <c r="K2684" s="180"/>
      <c r="M2684" t="s">
        <v>2246</v>
      </c>
      <c r="N2684" t="s">
        <v>5571</v>
      </c>
      <c r="O2684" t="s">
        <v>4930</v>
      </c>
      <c r="Q2684" t="str">
        <f t="shared" si="122"/>
        <v>condorProc.py --series 07180908_0847 --donoise --dumps a --procenv environments/pymidas_HVHV_NaI_mf.env</v>
      </c>
    </row>
    <row r="2685" spans="1:17">
      <c r="A2685" t="s">
        <v>8150</v>
      </c>
      <c r="H2685" s="210"/>
      <c r="K2685" s="180"/>
      <c r="M2685" t="s">
        <v>2246</v>
      </c>
      <c r="N2685" t="s">
        <v>5571</v>
      </c>
      <c r="O2685" t="s">
        <v>4930</v>
      </c>
      <c r="Q2685" t="str">
        <f t="shared" si="122"/>
        <v>condorProc.py --series 07180908_0857 --donoise --dumps a --procenv environments/pymidas_HVHV_NaI_mf.env</v>
      </c>
    </row>
    <row r="2686" spans="1:17">
      <c r="A2686" t="s">
        <v>8151</v>
      </c>
      <c r="H2686" s="210"/>
      <c r="K2686" s="180"/>
      <c r="M2686" t="s">
        <v>2246</v>
      </c>
      <c r="N2686" t="s">
        <v>5571</v>
      </c>
      <c r="O2686" t="s">
        <v>4930</v>
      </c>
      <c r="Q2686" t="str">
        <f t="shared" si="122"/>
        <v>condorProc.py --series 07180908_0907 --donoise --dumps a --procenv environments/pymidas_HVHV_NaI_mf.env</v>
      </c>
    </row>
    <row r="2687" spans="1:17">
      <c r="A2687" s="176" t="s">
        <v>8152</v>
      </c>
      <c r="B2687" s="177"/>
      <c r="C2687" s="177"/>
      <c r="D2687" s="177"/>
      <c r="E2687" s="177"/>
      <c r="F2687" s="177">
        <v>10</v>
      </c>
      <c r="G2687" s="177" t="s">
        <v>18</v>
      </c>
      <c r="H2687" s="209">
        <v>-80</v>
      </c>
      <c r="I2687" s="177"/>
      <c r="J2687" s="177" t="s">
        <v>5577</v>
      </c>
      <c r="K2687" s="178" t="s">
        <v>5583</v>
      </c>
      <c r="L2687" s="1">
        <f>DATE(2000+MID(A2687,3,2),MID(A2687,5,2),MID(A2687,7,2))+TIME(MID(A2687,10,2),MID(A2687,12,2),0)</f>
        <v>43351.415972222225</v>
      </c>
      <c r="M2687" t="s">
        <v>2246</v>
      </c>
      <c r="N2687" t="s">
        <v>5571</v>
      </c>
      <c r="O2687" t="s">
        <v>4930</v>
      </c>
      <c r="Q2687" t="str">
        <f t="shared" si="122"/>
        <v>condorProc.py --series 07180908_0959 --donoise --dumps a --procenv environments/pymidas_HVHV_NaI_mf.env</v>
      </c>
    </row>
    <row r="2688" spans="1:17">
      <c r="A2688" s="179" t="s">
        <v>8153</v>
      </c>
      <c r="H2688" s="210"/>
      <c r="J2688" t="s">
        <v>5585</v>
      </c>
      <c r="K2688" s="180" t="s">
        <v>5671</v>
      </c>
      <c r="L2688" s="1">
        <f>L2687+(2+43/60)/24</f>
        <v>43351.529166666667</v>
      </c>
      <c r="M2688" t="s">
        <v>2246</v>
      </c>
      <c r="N2688" t="s">
        <v>5571</v>
      </c>
      <c r="O2688" t="s">
        <v>4930</v>
      </c>
      <c r="Q2688" t="str">
        <f t="shared" si="122"/>
        <v>condorProc.py --series 07180908_1009 --donoise --dumps a --procenv environments/pymidas_HVHV_NaI_mf.env</v>
      </c>
    </row>
    <row r="2689" spans="1:17">
      <c r="A2689" s="179" t="s">
        <v>8154</v>
      </c>
      <c r="H2689" s="210"/>
      <c r="K2689" s="187" t="s">
        <v>6206</v>
      </c>
      <c r="L2689" s="1">
        <f>L2688+(2+45/60)/24</f>
        <v>43351.643750000003</v>
      </c>
      <c r="M2689" t="s">
        <v>2246</v>
      </c>
      <c r="N2689" t="s">
        <v>5571</v>
      </c>
      <c r="O2689" t="s">
        <v>4930</v>
      </c>
      <c r="Q2689" t="str">
        <f t="shared" si="122"/>
        <v>condorProc.py --series 07180908_1019 --donoise --dumps a --procenv environments/pymidas_HVHV_NaI_mf.env</v>
      </c>
    </row>
    <row r="2690" spans="1:17">
      <c r="A2690" s="179" t="s">
        <v>8155</v>
      </c>
      <c r="H2690" s="210"/>
      <c r="K2690" s="180"/>
      <c r="L2690" s="1">
        <f>L2689+(2+45/60)/24</f>
        <v>43351.758333333339</v>
      </c>
      <c r="M2690" t="s">
        <v>2246</v>
      </c>
      <c r="N2690" t="s">
        <v>5571</v>
      </c>
      <c r="O2690" t="s">
        <v>4930</v>
      </c>
      <c r="Q2690" t="str">
        <f t="shared" si="122"/>
        <v>condorProc.py --series 07180908_1030 --donoise --dumps a --procenv environments/pymidas_HVHV_NaI_mf.env</v>
      </c>
    </row>
    <row r="2691" spans="1:17">
      <c r="A2691" s="179" t="s">
        <v>8156</v>
      </c>
      <c r="H2691" s="210"/>
      <c r="K2691" s="180"/>
      <c r="L2691" s="1">
        <f>L2690+(2+45/60)/24</f>
        <v>43351.872916666674</v>
      </c>
      <c r="M2691" t="s">
        <v>2246</v>
      </c>
      <c r="N2691" t="s">
        <v>5571</v>
      </c>
      <c r="O2691" t="s">
        <v>4930</v>
      </c>
      <c r="Q2691" t="str">
        <f t="shared" si="122"/>
        <v>condorProc.py --series 07180908_1040 --donoise --dumps a --procenv environments/pymidas_HVHV_NaI_mf.env</v>
      </c>
    </row>
    <row r="2692" spans="1:17">
      <c r="A2692" s="179" t="s">
        <v>8157</v>
      </c>
      <c r="H2692" s="210"/>
      <c r="K2692" s="180"/>
      <c r="M2692" t="s">
        <v>2246</v>
      </c>
      <c r="N2692" t="s">
        <v>5571</v>
      </c>
      <c r="O2692" t="s">
        <v>4930</v>
      </c>
      <c r="Q2692" t="str">
        <f t="shared" si="122"/>
        <v>condorProc.py --series 07180908_1050 --donoise --dumps a --procenv environments/pymidas_HVHV_NaI_mf.env</v>
      </c>
    </row>
    <row r="2693" spans="1:17">
      <c r="A2693" s="179" t="s">
        <v>8158</v>
      </c>
      <c r="H2693" s="210"/>
      <c r="K2693" s="180"/>
      <c r="M2693" t="s">
        <v>2246</v>
      </c>
      <c r="N2693" t="s">
        <v>5571</v>
      </c>
      <c r="O2693" t="s">
        <v>4930</v>
      </c>
      <c r="Q2693" t="str">
        <f t="shared" si="122"/>
        <v>condorProc.py --series 07180908_1100 --donoise --dumps a --procenv environments/pymidas_HVHV_NaI_mf.env</v>
      </c>
    </row>
    <row r="2694" spans="1:17">
      <c r="A2694" s="179" t="s">
        <v>8159</v>
      </c>
      <c r="H2694" s="210"/>
      <c r="I2694" t="s">
        <v>75</v>
      </c>
      <c r="K2694" s="180"/>
      <c r="M2694" t="s">
        <v>2246</v>
      </c>
      <c r="N2694" t="s">
        <v>5571</v>
      </c>
      <c r="O2694" t="s">
        <v>4930</v>
      </c>
      <c r="Q2694" t="str">
        <f t="shared" si="122"/>
        <v>condorProc.py --series 07180908_1110 --donoise --dumps a --procenv environments/pymidas_HVHV_NaI_mf.env</v>
      </c>
    </row>
    <row r="2695" spans="1:17">
      <c r="A2695" s="179" t="s">
        <v>8160</v>
      </c>
      <c r="H2695" s="210"/>
      <c r="K2695" s="180"/>
      <c r="M2695" t="s">
        <v>2246</v>
      </c>
      <c r="N2695" t="s">
        <v>5571</v>
      </c>
      <c r="O2695" t="s">
        <v>4930</v>
      </c>
      <c r="Q2695" t="str">
        <f t="shared" si="122"/>
        <v>condorProc.py --series 07180908_1120 --donoise --dumps a --procenv environments/pymidas_HVHV_NaI_mf.env</v>
      </c>
    </row>
    <row r="2696" spans="1:17">
      <c r="A2696" s="179" t="s">
        <v>8161</v>
      </c>
      <c r="H2696" s="210"/>
      <c r="K2696" s="180"/>
      <c r="M2696" t="s">
        <v>2246</v>
      </c>
      <c r="N2696" t="s">
        <v>5571</v>
      </c>
      <c r="O2696" t="s">
        <v>4930</v>
      </c>
      <c r="Q2696" t="str">
        <f t="shared" si="122"/>
        <v>condorProc.py --series 07180908_1130 --donoise --dumps a --procenv environments/pymidas_HVHV_NaI_mf.env</v>
      </c>
    </row>
    <row r="2697" spans="1:17">
      <c r="A2697" s="179" t="s">
        <v>8162</v>
      </c>
      <c r="H2697" s="210"/>
      <c r="K2697" s="180"/>
      <c r="M2697" t="s">
        <v>2246</v>
      </c>
      <c r="N2697" t="s">
        <v>5571</v>
      </c>
      <c r="O2697" t="s">
        <v>4930</v>
      </c>
      <c r="Q2697" t="str">
        <f t="shared" si="122"/>
        <v>condorProc.py --series 07180908_1140 --donoise --dumps a --procenv environments/pymidas_HVHV_NaI_mf.env</v>
      </c>
    </row>
    <row r="2698" spans="1:17">
      <c r="A2698" s="181" t="s">
        <v>8163</v>
      </c>
      <c r="B2698" s="65"/>
      <c r="C2698" s="65"/>
      <c r="D2698" s="65"/>
      <c r="E2698" s="65"/>
      <c r="F2698" s="65"/>
      <c r="G2698" s="65"/>
      <c r="H2698" s="211"/>
      <c r="I2698" s="65"/>
      <c r="J2698" s="65"/>
      <c r="K2698" s="182"/>
      <c r="M2698" t="s">
        <v>2246</v>
      </c>
      <c r="N2698" t="s">
        <v>5571</v>
      </c>
      <c r="O2698" t="s">
        <v>4930</v>
      </c>
      <c r="Q2698" t="str">
        <f t="shared" si="122"/>
        <v>condorProc.py --series 07180908_1150 --donoise --dumps a --procenv environments/pymidas_HVHV_NaI_mf.env</v>
      </c>
    </row>
    <row r="2699" spans="1:17">
      <c r="A2699" t="s">
        <v>8164</v>
      </c>
      <c r="F2699">
        <v>10</v>
      </c>
      <c r="G2699" t="s">
        <v>18</v>
      </c>
      <c r="H2699" s="210">
        <v>-80</v>
      </c>
      <c r="J2699" t="s">
        <v>5577</v>
      </c>
      <c r="K2699" s="180" t="s">
        <v>5583</v>
      </c>
      <c r="L2699" s="1">
        <f>DATE(2000+MID(A2699,3,2),MID(A2699,5,2),MID(A2699,7,2))+TIME(MID(A2699,10,2),MID(A2699,12,2),0)</f>
        <v>43351.55972222222</v>
      </c>
      <c r="M2699" t="s">
        <v>2246</v>
      </c>
      <c r="N2699" t="s">
        <v>5571</v>
      </c>
      <c r="O2699" t="s">
        <v>4930</v>
      </c>
      <c r="Q2699" t="str">
        <f t="shared" si="122"/>
        <v>condorProc.py --series 07180908_1326 --donoise --dumps a --procenv environments/pymidas_HVHV_NaI_mf.env</v>
      </c>
    </row>
    <row r="2700" spans="1:17">
      <c r="A2700" t="s">
        <v>8165</v>
      </c>
      <c r="H2700" s="210"/>
      <c r="J2700" t="s">
        <v>5585</v>
      </c>
      <c r="K2700" s="180" t="s">
        <v>5671</v>
      </c>
      <c r="L2700" s="1">
        <f>L2699+10*(2+45/60)/24</f>
        <v>43352.705555555556</v>
      </c>
      <c r="M2700" t="s">
        <v>2246</v>
      </c>
      <c r="N2700" t="s">
        <v>5571</v>
      </c>
      <c r="O2700" t="s">
        <v>4930</v>
      </c>
      <c r="Q2700" t="str">
        <f t="shared" si="122"/>
        <v>condorProc.py --series 07180908_1336 --donoise --dumps a --procenv environments/pymidas_HVHV_NaI_mf.env</v>
      </c>
    </row>
    <row r="2701" spans="1:17">
      <c r="A2701" t="s">
        <v>8166</v>
      </c>
      <c r="H2701" s="210"/>
      <c r="K2701" s="187" t="s">
        <v>6206</v>
      </c>
      <c r="M2701" t="s">
        <v>2246</v>
      </c>
      <c r="N2701" t="s">
        <v>5571</v>
      </c>
      <c r="O2701" t="s">
        <v>4930</v>
      </c>
      <c r="Q2701" t="str">
        <f t="shared" si="122"/>
        <v>condorProc.py --series 07180908_1347 --donoise --dumps a --procenv environments/pymidas_HVHV_NaI_mf.env</v>
      </c>
    </row>
    <row r="2702" spans="1:17">
      <c r="A2702" t="s">
        <v>8167</v>
      </c>
      <c r="H2702" s="210"/>
      <c r="K2702" s="180"/>
      <c r="M2702" t="s">
        <v>2246</v>
      </c>
      <c r="N2702" t="s">
        <v>5571</v>
      </c>
      <c r="O2702" t="s">
        <v>4930</v>
      </c>
      <c r="Q2702" t="str">
        <f t="shared" si="122"/>
        <v>condorProc.py --series 07180908_1357 --donoise --dumps a --procenv environments/pymidas_HVHV_NaI_mf.env</v>
      </c>
    </row>
    <row r="2703" spans="1:17">
      <c r="A2703" t="s">
        <v>8168</v>
      </c>
      <c r="H2703" s="210"/>
      <c r="I2703" t="s">
        <v>75</v>
      </c>
      <c r="K2703" s="180"/>
      <c r="M2703" t="s">
        <v>2246</v>
      </c>
      <c r="N2703" t="s">
        <v>5571</v>
      </c>
      <c r="O2703" t="s">
        <v>4930</v>
      </c>
      <c r="Q2703" t="str">
        <f t="shared" si="122"/>
        <v>condorProc.py --series 07180908_1407 --donoise --dumps a --procenv environments/pymidas_HVHV_NaI_mf.env</v>
      </c>
    </row>
    <row r="2704" spans="1:17">
      <c r="A2704" t="s">
        <v>8169</v>
      </c>
      <c r="H2704" s="210"/>
      <c r="K2704" s="180"/>
      <c r="M2704" t="s">
        <v>2246</v>
      </c>
      <c r="N2704" t="s">
        <v>5571</v>
      </c>
      <c r="O2704" t="s">
        <v>4930</v>
      </c>
      <c r="Q2704" t="str">
        <f t="shared" si="122"/>
        <v>condorProc.py --series 07180908_1417 --donoise --dumps a --procenv environments/pymidas_HVHV_NaI_mf.env</v>
      </c>
    </row>
    <row r="2705" spans="1:17">
      <c r="A2705" t="s">
        <v>8170</v>
      </c>
      <c r="H2705" s="210"/>
      <c r="K2705" s="180"/>
      <c r="M2705" t="s">
        <v>2246</v>
      </c>
      <c r="N2705" t="s">
        <v>5571</v>
      </c>
      <c r="O2705" t="s">
        <v>4930</v>
      </c>
      <c r="Q2705" t="str">
        <f t="shared" si="122"/>
        <v>condorProc.py --series 07180908_1427 --donoise --dumps a --procenv environments/pymidas_HVHV_NaI_mf.env</v>
      </c>
    </row>
    <row r="2706" spans="1:17">
      <c r="A2706" t="s">
        <v>8171</v>
      </c>
      <c r="H2706" s="210"/>
      <c r="K2706" s="180"/>
      <c r="M2706" t="s">
        <v>2246</v>
      </c>
      <c r="N2706" t="s">
        <v>5571</v>
      </c>
      <c r="O2706" t="s">
        <v>4930</v>
      </c>
      <c r="Q2706" t="str">
        <f t="shared" si="122"/>
        <v>condorProc.py --series 07180908_1437 --donoise --dumps a --procenv environments/pymidas_HVHV_NaI_mf.env</v>
      </c>
    </row>
    <row r="2707" spans="1:17">
      <c r="A2707" t="s">
        <v>8172</v>
      </c>
      <c r="H2707" s="210"/>
      <c r="K2707" s="180"/>
      <c r="M2707" t="s">
        <v>2246</v>
      </c>
      <c r="N2707" t="s">
        <v>5571</v>
      </c>
      <c r="O2707" t="s">
        <v>4930</v>
      </c>
      <c r="Q2707" t="str">
        <f t="shared" si="122"/>
        <v>condorProc.py --series 07180908_1447 --donoise --dumps a --procenv environments/pymidas_HVHV_NaI_mf.env</v>
      </c>
    </row>
    <row r="2708" spans="1:17">
      <c r="A2708" t="s">
        <v>8173</v>
      </c>
      <c r="H2708" s="210"/>
      <c r="K2708" s="180"/>
      <c r="M2708" t="s">
        <v>2246</v>
      </c>
      <c r="N2708" t="s">
        <v>5571</v>
      </c>
      <c r="O2708" t="s">
        <v>4930</v>
      </c>
      <c r="Q2708" t="str">
        <f t="shared" si="122"/>
        <v>condorProc.py --series 07180908_1457 --donoise --dumps a --procenv environments/pymidas_HVHV_NaI_mf.env</v>
      </c>
    </row>
    <row r="2709" spans="1:17">
      <c r="A2709" t="s">
        <v>8174</v>
      </c>
      <c r="H2709" s="210"/>
      <c r="K2709" s="180"/>
      <c r="M2709" t="s">
        <v>2246</v>
      </c>
      <c r="N2709" t="s">
        <v>5571</v>
      </c>
      <c r="O2709" t="s">
        <v>4930</v>
      </c>
      <c r="Q2709" t="str">
        <f t="shared" si="122"/>
        <v>condorProc.py --series 07180908_1508 --donoise --dumps a --procenv environments/pymidas_HVHV_NaI_mf.env</v>
      </c>
    </row>
    <row r="2710" spans="1:17">
      <c r="A2710" t="s">
        <v>8175</v>
      </c>
      <c r="H2710" s="210"/>
      <c r="I2710" t="s">
        <v>75</v>
      </c>
      <c r="K2710" s="180"/>
      <c r="M2710" t="s">
        <v>2246</v>
      </c>
      <c r="N2710" t="s">
        <v>5571</v>
      </c>
      <c r="O2710" t="s">
        <v>4930</v>
      </c>
      <c r="Q2710" t="str">
        <f t="shared" si="122"/>
        <v>condorProc.py --series 07180908_1518 --donoise --dumps a --procenv environments/pymidas_HVHV_NaI_mf.env</v>
      </c>
    </row>
    <row r="2711" spans="1:17">
      <c r="A2711" s="176" t="s">
        <v>8176</v>
      </c>
      <c r="B2711" s="177"/>
      <c r="C2711" s="177"/>
      <c r="D2711" s="177"/>
      <c r="E2711" s="177"/>
      <c r="F2711" s="177">
        <v>10</v>
      </c>
      <c r="G2711" s="177" t="s">
        <v>18</v>
      </c>
      <c r="H2711" s="209">
        <v>-80</v>
      </c>
      <c r="I2711" s="177"/>
      <c r="J2711" s="177" t="s">
        <v>5577</v>
      </c>
      <c r="K2711" s="178" t="s">
        <v>5583</v>
      </c>
      <c r="L2711" s="1">
        <f>DATE(2000+MID(A2711,3,2),MID(A2711,5,2),MID(A2711,7,2))+TIME(MID(A2711,10,2),MID(A2711,12,2),0)</f>
        <v>43351.674305555556</v>
      </c>
      <c r="M2711" t="s">
        <v>2246</v>
      </c>
      <c r="N2711" t="s">
        <v>5571</v>
      </c>
      <c r="O2711" t="s">
        <v>4930</v>
      </c>
      <c r="Q2711" t="str">
        <f t="shared" si="122"/>
        <v>condorProc.py --series 07180908_1611 --donoise --dumps a --procenv environments/pymidas_HVHV_NaI_mf.env</v>
      </c>
    </row>
    <row r="2712" spans="1:17">
      <c r="A2712" s="179" t="s">
        <v>8177</v>
      </c>
      <c r="H2712" s="210"/>
      <c r="J2712" t="s">
        <v>5585</v>
      </c>
      <c r="K2712" s="180" t="s">
        <v>5671</v>
      </c>
      <c r="L2712" s="158">
        <f>L2711-L2699</f>
        <v>0.11458333333575865</v>
      </c>
      <c r="M2712" t="s">
        <v>2246</v>
      </c>
      <c r="N2712" t="s">
        <v>5571</v>
      </c>
      <c r="O2712" t="s">
        <v>4930</v>
      </c>
      <c r="Q2712" t="str">
        <f t="shared" si="122"/>
        <v>condorProc.py --series 07180908_1621 --donoise --dumps a --procenv environments/pymidas_HVHV_NaI_mf.env</v>
      </c>
    </row>
    <row r="2713" spans="1:17">
      <c r="A2713" s="179" t="s">
        <v>8178</v>
      </c>
      <c r="H2713" s="210"/>
      <c r="K2713" s="187" t="s">
        <v>6206</v>
      </c>
      <c r="L2713" s="158"/>
      <c r="M2713" t="s">
        <v>2246</v>
      </c>
      <c r="N2713" t="s">
        <v>5571</v>
      </c>
      <c r="O2713" t="s">
        <v>4930</v>
      </c>
      <c r="Q2713" t="str">
        <f t="shared" si="122"/>
        <v>condorProc.py --series 07180908_1631 --donoise --dumps a --procenv environments/pymidas_HVHV_NaI_mf.env</v>
      </c>
    </row>
    <row r="2714" spans="1:17">
      <c r="A2714" s="179" t="s">
        <v>8179</v>
      </c>
      <c r="H2714" s="210"/>
      <c r="K2714" s="180"/>
      <c r="M2714" t="s">
        <v>2246</v>
      </c>
      <c r="N2714" t="s">
        <v>5571</v>
      </c>
      <c r="O2714" t="s">
        <v>4930</v>
      </c>
      <c r="Q2714" t="str">
        <f t="shared" si="122"/>
        <v>condorProc.py --series 07180908_1641 --donoise --dumps a --procenv environments/pymidas_HVHV_NaI_mf.env</v>
      </c>
    </row>
    <row r="2715" spans="1:17">
      <c r="A2715" s="179" t="s">
        <v>8180</v>
      </c>
      <c r="H2715" s="210"/>
      <c r="K2715" s="180"/>
      <c r="M2715" t="s">
        <v>2246</v>
      </c>
      <c r="N2715" t="s">
        <v>5571</v>
      </c>
      <c r="O2715" t="s">
        <v>4930</v>
      </c>
      <c r="Q2715" t="str">
        <f t="shared" si="122"/>
        <v>condorProc.py --series 07180908_1651 --donoise --dumps a --procenv environments/pymidas_HVHV_NaI_mf.env</v>
      </c>
    </row>
    <row r="2716" spans="1:17">
      <c r="A2716" s="179" t="s">
        <v>8181</v>
      </c>
      <c r="H2716" s="210"/>
      <c r="I2716" t="s">
        <v>75</v>
      </c>
      <c r="K2716" s="180"/>
      <c r="M2716" t="s">
        <v>2246</v>
      </c>
      <c r="N2716" t="s">
        <v>5571</v>
      </c>
      <c r="O2716" t="s">
        <v>4930</v>
      </c>
      <c r="Q2716" t="str">
        <f t="shared" si="122"/>
        <v>condorProc.py --series 07180908_1701 --donoise --dumps a --procenv environments/pymidas_HVHV_NaI_mf.env</v>
      </c>
    </row>
    <row r="2717" spans="1:17">
      <c r="A2717" s="179" t="s">
        <v>8182</v>
      </c>
      <c r="H2717" s="210"/>
      <c r="K2717" s="180"/>
      <c r="M2717" t="s">
        <v>2246</v>
      </c>
      <c r="N2717" t="s">
        <v>5571</v>
      </c>
      <c r="O2717" t="s">
        <v>4930</v>
      </c>
      <c r="Q2717" t="str">
        <f t="shared" si="122"/>
        <v>condorProc.py --series 07180908_1711 --donoise --dumps a --procenv environments/pymidas_HVHV_NaI_mf.env</v>
      </c>
    </row>
    <row r="2718" spans="1:17">
      <c r="A2718" s="179" t="s">
        <v>8183</v>
      </c>
      <c r="H2718" s="210"/>
      <c r="I2718" t="s">
        <v>75</v>
      </c>
      <c r="K2718" s="180"/>
      <c r="M2718" t="s">
        <v>2246</v>
      </c>
      <c r="N2718" s="16" t="s">
        <v>2037</v>
      </c>
      <c r="O2718" t="s">
        <v>4930</v>
      </c>
      <c r="Q2718" t="str">
        <f t="shared" si="122"/>
        <v>condorProc.py --series 07180908_1722 --donoise --dumps a --procenv environments/pymidas_HVHV_NaI_mf.env</v>
      </c>
    </row>
    <row r="2719" spans="1:17">
      <c r="A2719" s="179" t="s">
        <v>8184</v>
      </c>
      <c r="H2719" s="210"/>
      <c r="I2719" t="s">
        <v>8185</v>
      </c>
      <c r="K2719" s="180"/>
      <c r="M2719" t="s">
        <v>2246</v>
      </c>
      <c r="N2719" t="s">
        <v>5571</v>
      </c>
      <c r="Q2719" t="str">
        <f t="shared" si="122"/>
        <v>condorProc.py --series 07180908_1732 --donoise --dumps a --procenv environments/pymidas_HVHV_NaI_mf.env</v>
      </c>
    </row>
    <row r="2720" spans="1:17">
      <c r="A2720" s="179" t="s">
        <v>8186</v>
      </c>
      <c r="H2720" s="210"/>
      <c r="I2720" t="s">
        <v>8185</v>
      </c>
      <c r="K2720" s="180"/>
      <c r="M2720" t="s">
        <v>2246</v>
      </c>
      <c r="N2720" t="s">
        <v>5571</v>
      </c>
      <c r="Q2720" t="str">
        <f t="shared" si="122"/>
        <v>condorProc.py --series 07180908_1742 --donoise --dumps a --procenv environments/pymidas_HVHV_NaI_mf.env</v>
      </c>
    </row>
    <row r="2721" spans="1:17">
      <c r="A2721" s="179" t="s">
        <v>8187</v>
      </c>
      <c r="H2721" s="210"/>
      <c r="I2721" t="s">
        <v>8185</v>
      </c>
      <c r="K2721" s="180"/>
      <c r="M2721" t="s">
        <v>2246</v>
      </c>
      <c r="N2721" t="s">
        <v>5571</v>
      </c>
      <c r="Q2721" t="str">
        <f t="shared" si="122"/>
        <v>condorProc.py --series 07180908_1752 --donoise --dumps a --procenv environments/pymidas_HVHV_NaI_mf.env</v>
      </c>
    </row>
    <row r="2722" spans="1:17">
      <c r="A2722" s="181" t="s">
        <v>8188</v>
      </c>
      <c r="B2722" s="65"/>
      <c r="C2722" s="65"/>
      <c r="D2722" s="65"/>
      <c r="E2722" s="65"/>
      <c r="F2722" s="65"/>
      <c r="G2722" s="65"/>
      <c r="H2722" s="211"/>
      <c r="I2722" s="65" t="s">
        <v>8185</v>
      </c>
      <c r="J2722" s="65"/>
      <c r="K2722" s="182" t="s">
        <v>8189</v>
      </c>
      <c r="M2722" t="s">
        <v>2246</v>
      </c>
      <c r="N2722" t="s">
        <v>5571</v>
      </c>
      <c r="Q2722" t="str">
        <f t="shared" si="122"/>
        <v>condorProc.py --series 07180908_1802 --donoise --dumps a --procenv environments/pymidas_HVHV_NaI_mf.env</v>
      </c>
    </row>
    <row r="2723" spans="1:17">
      <c r="A2723" t="s">
        <v>8190</v>
      </c>
      <c r="F2723">
        <v>10</v>
      </c>
      <c r="G2723" t="s">
        <v>18</v>
      </c>
      <c r="H2723" s="210">
        <v>-80</v>
      </c>
      <c r="I2723" t="s">
        <v>8185</v>
      </c>
      <c r="J2723" t="s">
        <v>5577</v>
      </c>
      <c r="K2723" s="180" t="s">
        <v>5583</v>
      </c>
      <c r="M2723" t="s">
        <v>2246</v>
      </c>
      <c r="N2723" t="s">
        <v>5571</v>
      </c>
      <c r="Q2723" t="str">
        <f t="shared" si="122"/>
        <v>condorProc.py --series 07180908_1855 --donoise --dumps a --procenv environments/pymidas_HVHV_NaI_mf.env</v>
      </c>
    </row>
    <row r="2724" spans="1:17">
      <c r="A2724" t="s">
        <v>8191</v>
      </c>
      <c r="H2724" s="210"/>
      <c r="I2724" t="s">
        <v>8185</v>
      </c>
      <c r="J2724" t="s">
        <v>5585</v>
      </c>
      <c r="K2724" s="180" t="s">
        <v>5671</v>
      </c>
      <c r="M2724" t="s">
        <v>2246</v>
      </c>
      <c r="N2724" t="s">
        <v>5571</v>
      </c>
      <c r="Q2724" t="str">
        <f t="shared" si="122"/>
        <v>condorProc.py --series 07180908_1905 --donoise --dumps a --procenv environments/pymidas_HVHV_NaI_mf.env</v>
      </c>
    </row>
    <row r="2725" spans="1:17">
      <c r="A2725" t="s">
        <v>8192</v>
      </c>
      <c r="H2725" s="210"/>
      <c r="I2725" t="s">
        <v>8185</v>
      </c>
      <c r="K2725" s="187" t="s">
        <v>6206</v>
      </c>
      <c r="M2725" t="s">
        <v>2246</v>
      </c>
      <c r="N2725" t="s">
        <v>5571</v>
      </c>
      <c r="Q2725" t="str">
        <f t="shared" si="122"/>
        <v>condorProc.py --series 07180908_1916 --donoise --dumps a --procenv environments/pymidas_HVHV_NaI_mf.env</v>
      </c>
    </row>
    <row r="2726" spans="1:17">
      <c r="A2726" t="s">
        <v>8193</v>
      </c>
      <c r="H2726" s="210"/>
      <c r="I2726" t="s">
        <v>8185</v>
      </c>
      <c r="K2726" s="180"/>
      <c r="M2726" t="s">
        <v>2246</v>
      </c>
      <c r="N2726" t="s">
        <v>5571</v>
      </c>
      <c r="Q2726" t="str">
        <f t="shared" si="122"/>
        <v>condorProc.py --series 07180908_1926 --donoise --dumps a --procenv environments/pymidas_HVHV_NaI_mf.env</v>
      </c>
    </row>
    <row r="2727" spans="1:17">
      <c r="A2727" t="s">
        <v>8194</v>
      </c>
      <c r="H2727" s="210"/>
      <c r="I2727" t="s">
        <v>8185</v>
      </c>
      <c r="K2727" s="180"/>
      <c r="M2727" t="s">
        <v>2246</v>
      </c>
      <c r="N2727" t="s">
        <v>5571</v>
      </c>
      <c r="Q2727" t="str">
        <f t="shared" si="122"/>
        <v>condorProc.py --series 07180908_1936 --donoise --dumps a --procenv environments/pymidas_HVHV_NaI_mf.env</v>
      </c>
    </row>
    <row r="2728" spans="1:17">
      <c r="A2728" t="s">
        <v>8195</v>
      </c>
      <c r="H2728" s="210"/>
      <c r="I2728" t="s">
        <v>8185</v>
      </c>
      <c r="K2728" s="180"/>
      <c r="M2728" t="s">
        <v>2246</v>
      </c>
      <c r="N2728" t="s">
        <v>5571</v>
      </c>
      <c r="Q2728" t="str">
        <f t="shared" si="122"/>
        <v>condorProc.py --series 07180908_1946 --donoise --dumps a --procenv environments/pymidas_HVHV_NaI_mf.env</v>
      </c>
    </row>
    <row r="2729" spans="1:17">
      <c r="A2729" t="s">
        <v>8196</v>
      </c>
      <c r="H2729" s="210"/>
      <c r="I2729" t="s">
        <v>8185</v>
      </c>
      <c r="K2729" s="180"/>
      <c r="M2729" t="s">
        <v>2246</v>
      </c>
      <c r="N2729" t="s">
        <v>5571</v>
      </c>
      <c r="Q2729" t="str">
        <f t="shared" si="122"/>
        <v>condorProc.py --series 07180908_1956 --donoise --dumps a --procenv environments/pymidas_HVHV_NaI_mf.env</v>
      </c>
    </row>
    <row r="2730" spans="1:17">
      <c r="A2730" t="s">
        <v>8197</v>
      </c>
      <c r="H2730" s="210"/>
      <c r="I2730" t="s">
        <v>8185</v>
      </c>
      <c r="K2730" s="180"/>
      <c r="M2730" t="s">
        <v>2246</v>
      </c>
      <c r="N2730" t="s">
        <v>5571</v>
      </c>
      <c r="Q2730" t="str">
        <f t="shared" si="122"/>
        <v>condorProc.py --series 07180908_2006 --donoise --dumps a --procenv environments/pymidas_HVHV_NaI_mf.env</v>
      </c>
    </row>
    <row r="2731" spans="1:17">
      <c r="A2731" t="s">
        <v>8198</v>
      </c>
      <c r="H2731" s="210"/>
      <c r="I2731" t="s">
        <v>8185</v>
      </c>
      <c r="K2731" s="180"/>
      <c r="M2731" t="s">
        <v>2246</v>
      </c>
      <c r="N2731" t="s">
        <v>5571</v>
      </c>
      <c r="Q2731" t="str">
        <f>"condorProc.py --series "&amp;A2731&amp;" --donoise --dumps a --procenv environments/pymidas_HVHV_NaI_mf.env"</f>
        <v>condorProc.py --series 07180908_2016 --donoise --dumps a --procenv environments/pymidas_HVHV_NaI_mf.env</v>
      </c>
    </row>
    <row r="2732" spans="1:17">
      <c r="A2732" t="s">
        <v>8199</v>
      </c>
      <c r="H2732" s="210"/>
      <c r="I2732" t="s">
        <v>8185</v>
      </c>
      <c r="K2732" s="180"/>
      <c r="M2732" t="s">
        <v>2246</v>
      </c>
      <c r="N2732" t="s">
        <v>5571</v>
      </c>
      <c r="Q2732" t="str">
        <f>"condorProc.py --series "&amp;A2732&amp;" --donoise --dumps a --procenv environments/pymidas_HVHV_NaI_mf.env"</f>
        <v>condorProc.py --series 07180908_2026 --donoise --dumps a --procenv environments/pymidas_HVHV_NaI_mf.env</v>
      </c>
    </row>
    <row r="2733" spans="1:17">
      <c r="A2733" t="s">
        <v>8200</v>
      </c>
      <c r="H2733" s="210"/>
      <c r="I2733" t="s">
        <v>8185</v>
      </c>
      <c r="K2733" s="180"/>
      <c r="M2733" t="s">
        <v>2246</v>
      </c>
      <c r="N2733" t="s">
        <v>5571</v>
      </c>
      <c r="Q2733" t="str">
        <f>"condorProc.py --series "&amp;A2733&amp;" --donoise --dumps a --procenv environments/pymidas_HVHV_NaI_mf.env"</f>
        <v>condorProc.py --series 07180908_2037 --donoise --dumps a --procenv environments/pymidas_HVHV_NaI_mf.env</v>
      </c>
    </row>
    <row r="2734" spans="1:17">
      <c r="A2734" t="s">
        <v>8201</v>
      </c>
      <c r="H2734" s="210"/>
      <c r="I2734" t="s">
        <v>8185</v>
      </c>
      <c r="K2734" s="180" t="s">
        <v>8189</v>
      </c>
      <c r="M2734" t="s">
        <v>2246</v>
      </c>
      <c r="N2734" t="s">
        <v>5571</v>
      </c>
      <c r="Q2734" t="str">
        <f>"condorProc.py --series "&amp;A2734&amp;" --donoise --dumps a --procenv environments/pymidas_HVHV_NaI_mf.env"</f>
        <v>condorProc.py --series 07180908_2047 --donoise --dumps a --procenv environments/pymidas_HVHV_NaI_mf.env</v>
      </c>
    </row>
    <row r="2735" spans="1:17">
      <c r="A2735" s="176" t="s">
        <v>8202</v>
      </c>
      <c r="B2735" s="177"/>
      <c r="C2735" s="177"/>
      <c r="D2735" s="177"/>
      <c r="E2735" s="177"/>
      <c r="F2735" s="177">
        <v>10</v>
      </c>
      <c r="G2735" s="177" t="s">
        <v>18</v>
      </c>
      <c r="H2735" s="209">
        <v>-80</v>
      </c>
      <c r="I2735" s="199" t="s">
        <v>5434</v>
      </c>
      <c r="J2735" s="177" t="s">
        <v>5577</v>
      </c>
      <c r="K2735" s="178" t="s">
        <v>5583</v>
      </c>
    </row>
    <row r="2736" spans="1:17">
      <c r="A2736" s="179" t="s">
        <v>8203</v>
      </c>
      <c r="H2736" s="210"/>
      <c r="I2736" s="197" t="s">
        <v>5434</v>
      </c>
      <c r="J2736" t="s">
        <v>5585</v>
      </c>
      <c r="K2736" s="180" t="s">
        <v>5671</v>
      </c>
    </row>
    <row r="2737" spans="1:17">
      <c r="A2737" s="179" t="s">
        <v>8204</v>
      </c>
      <c r="H2737" s="210"/>
      <c r="I2737" t="s">
        <v>75</v>
      </c>
      <c r="K2737" s="187" t="s">
        <v>6206</v>
      </c>
      <c r="M2737" t="s">
        <v>2246</v>
      </c>
      <c r="N2737" t="s">
        <v>5571</v>
      </c>
      <c r="O2737" t="s">
        <v>4930</v>
      </c>
      <c r="Q2737" t="str">
        <f t="shared" ref="Q2737:Q2800" si="123">"condorProc.py --series "&amp;A2737&amp;" --donoise --dumps a --procenv environments/pymidas_HVHV_NaI_mf.env"</f>
        <v>condorProc.py --series 07180908_2200 --donoise --dumps a --procenv environments/pymidas_HVHV_NaI_mf.env</v>
      </c>
    </row>
    <row r="2738" spans="1:17">
      <c r="A2738" s="179" t="s">
        <v>8205</v>
      </c>
      <c r="H2738" s="210"/>
      <c r="K2738" s="180"/>
      <c r="M2738" t="s">
        <v>2246</v>
      </c>
      <c r="N2738" t="s">
        <v>5571</v>
      </c>
      <c r="O2738" t="s">
        <v>4930</v>
      </c>
      <c r="Q2738" t="str">
        <f t="shared" si="123"/>
        <v>condorProc.py --series 07180908_2210 --donoise --dumps a --procenv environments/pymidas_HVHV_NaI_mf.env</v>
      </c>
    </row>
    <row r="2739" spans="1:17">
      <c r="A2739" s="179" t="s">
        <v>8206</v>
      </c>
      <c r="H2739" s="210"/>
      <c r="K2739" s="180"/>
      <c r="M2739" t="s">
        <v>2246</v>
      </c>
      <c r="N2739" t="s">
        <v>5571</v>
      </c>
      <c r="O2739" t="s">
        <v>4930</v>
      </c>
      <c r="Q2739" t="str">
        <f t="shared" si="123"/>
        <v>condorProc.py --series 07180908_2220 --donoise --dumps a --procenv environments/pymidas_HVHV_NaI_mf.env</v>
      </c>
    </row>
    <row r="2740" spans="1:17">
      <c r="A2740" s="179" t="s">
        <v>8207</v>
      </c>
      <c r="H2740" s="210"/>
      <c r="K2740" s="180"/>
      <c r="M2740" t="s">
        <v>2246</v>
      </c>
      <c r="N2740" t="s">
        <v>5571</v>
      </c>
      <c r="O2740" t="s">
        <v>4930</v>
      </c>
      <c r="Q2740" t="str">
        <f t="shared" si="123"/>
        <v>condorProc.py --series 07180908_2230 --donoise --dumps a --procenv environments/pymidas_HVHV_NaI_mf.env</v>
      </c>
    </row>
    <row r="2741" spans="1:17">
      <c r="A2741" s="179" t="s">
        <v>8208</v>
      </c>
      <c r="H2741" s="210"/>
      <c r="K2741" s="180"/>
      <c r="M2741" t="s">
        <v>2246</v>
      </c>
      <c r="N2741" t="s">
        <v>5571</v>
      </c>
      <c r="O2741" t="s">
        <v>4930</v>
      </c>
      <c r="Q2741" t="str">
        <f t="shared" si="123"/>
        <v>condorProc.py --series 07180908_2240 --donoise --dumps a --procenv environments/pymidas_HVHV_NaI_mf.env</v>
      </c>
    </row>
    <row r="2742" spans="1:17">
      <c r="A2742" s="179" t="s">
        <v>8209</v>
      </c>
      <c r="H2742" s="210"/>
      <c r="K2742" s="180"/>
      <c r="M2742" t="s">
        <v>2246</v>
      </c>
      <c r="N2742" t="s">
        <v>5571</v>
      </c>
      <c r="O2742" t="s">
        <v>4930</v>
      </c>
      <c r="Q2742" t="str">
        <f t="shared" si="123"/>
        <v>condorProc.py --series 07180908_2250 --donoise --dumps a --procenv environments/pymidas_HVHV_NaI_mf.env</v>
      </c>
    </row>
    <row r="2743" spans="1:17">
      <c r="A2743" s="179" t="s">
        <v>8210</v>
      </c>
      <c r="H2743" s="210"/>
      <c r="K2743" s="180"/>
      <c r="M2743" t="s">
        <v>2246</v>
      </c>
      <c r="N2743" t="s">
        <v>5571</v>
      </c>
      <c r="O2743" t="s">
        <v>4930</v>
      </c>
      <c r="Q2743" t="str">
        <f t="shared" si="123"/>
        <v>condorProc.py --series 07180908_2300 --donoise --dumps a --procenv environments/pymidas_HVHV_NaI_mf.env</v>
      </c>
    </row>
    <row r="2744" spans="1:17">
      <c r="A2744" s="179" t="s">
        <v>8211</v>
      </c>
      <c r="H2744" s="210"/>
      <c r="K2744" s="180"/>
      <c r="M2744" t="s">
        <v>2246</v>
      </c>
      <c r="N2744" t="s">
        <v>5571</v>
      </c>
      <c r="O2744" t="s">
        <v>4930</v>
      </c>
      <c r="Q2744" t="str">
        <f t="shared" si="123"/>
        <v>condorProc.py --series 07180908_2311 --donoise --dumps a --procenv environments/pymidas_HVHV_NaI_mf.env</v>
      </c>
    </row>
    <row r="2745" spans="1:17">
      <c r="A2745" s="179" t="s">
        <v>8212</v>
      </c>
      <c r="H2745" s="210"/>
      <c r="K2745" s="180"/>
      <c r="M2745" t="s">
        <v>2246</v>
      </c>
      <c r="N2745" t="s">
        <v>5571</v>
      </c>
      <c r="O2745" t="s">
        <v>4930</v>
      </c>
      <c r="Q2745" t="str">
        <f t="shared" si="123"/>
        <v>condorProc.py --series 07180908_2321 --donoise --dumps a --procenv environments/pymidas_HVHV_NaI_mf.env</v>
      </c>
    </row>
    <row r="2746" spans="1:17">
      <c r="A2746" s="179" t="s">
        <v>8213</v>
      </c>
      <c r="H2746" s="210"/>
      <c r="I2746" t="s">
        <v>75</v>
      </c>
      <c r="K2746" s="180"/>
      <c r="M2746" t="s">
        <v>2246</v>
      </c>
      <c r="N2746" t="s">
        <v>5571</v>
      </c>
      <c r="O2746" t="s">
        <v>4930</v>
      </c>
      <c r="Q2746" t="str">
        <f t="shared" si="123"/>
        <v>condorProc.py --series 07180908_2331 --donoise --dumps a --procenv environments/pymidas_HVHV_NaI_mf.env</v>
      </c>
    </row>
    <row r="2747" spans="1:17">
      <c r="A2747" s="176" t="s">
        <v>8214</v>
      </c>
      <c r="B2747" s="177"/>
      <c r="C2747" s="177"/>
      <c r="D2747" s="177"/>
      <c r="E2747" s="177"/>
      <c r="F2747" s="177">
        <v>10</v>
      </c>
      <c r="G2747" s="177" t="s">
        <v>18</v>
      </c>
      <c r="H2747" s="209">
        <v>-80</v>
      </c>
      <c r="I2747" s="177"/>
      <c r="J2747" s="177" t="s">
        <v>5577</v>
      </c>
      <c r="K2747" s="178" t="s">
        <v>5583</v>
      </c>
      <c r="M2747" t="s">
        <v>2246</v>
      </c>
      <c r="N2747" t="s">
        <v>5571</v>
      </c>
      <c r="O2747" t="s">
        <v>4930</v>
      </c>
      <c r="Q2747" t="str">
        <f t="shared" si="123"/>
        <v>condorProc.py --series 07180909_0024 --donoise --dumps a --procenv environments/pymidas_HVHV_NaI_mf.env</v>
      </c>
    </row>
    <row r="2748" spans="1:17">
      <c r="A2748" s="179" t="s">
        <v>8215</v>
      </c>
      <c r="H2748" s="210"/>
      <c r="J2748" t="s">
        <v>5585</v>
      </c>
      <c r="K2748" s="180" t="s">
        <v>5671</v>
      </c>
      <c r="M2748" t="s">
        <v>2246</v>
      </c>
      <c r="N2748" t="s">
        <v>5571</v>
      </c>
      <c r="O2748" t="s">
        <v>4930</v>
      </c>
      <c r="Q2748" t="str">
        <f t="shared" si="123"/>
        <v>condorProc.py --series 07180909_0034 --donoise --dumps a --procenv environments/pymidas_HVHV_NaI_mf.env</v>
      </c>
    </row>
    <row r="2749" spans="1:17">
      <c r="A2749" s="179" t="s">
        <v>8216</v>
      </c>
      <c r="H2749" s="210"/>
      <c r="K2749" s="187" t="s">
        <v>6206</v>
      </c>
      <c r="M2749" t="s">
        <v>2246</v>
      </c>
      <c r="N2749" t="s">
        <v>5571</v>
      </c>
      <c r="O2749" t="s">
        <v>4930</v>
      </c>
      <c r="Q2749" t="str">
        <f t="shared" si="123"/>
        <v>condorProc.py --series 07180909_0044 --donoise --dumps a --procenv environments/pymidas_HVHV_NaI_mf.env</v>
      </c>
    </row>
    <row r="2750" spans="1:17">
      <c r="A2750" s="179" t="s">
        <v>8217</v>
      </c>
      <c r="H2750" s="210"/>
      <c r="K2750" s="180"/>
      <c r="M2750" t="s">
        <v>2246</v>
      </c>
      <c r="N2750" t="s">
        <v>5571</v>
      </c>
      <c r="O2750" t="s">
        <v>4930</v>
      </c>
      <c r="Q2750" t="str">
        <f t="shared" si="123"/>
        <v>condorProc.py --series 07180909_0054 --donoise --dumps a --procenv environments/pymidas_HVHV_NaI_mf.env</v>
      </c>
    </row>
    <row r="2751" spans="1:17">
      <c r="A2751" s="179" t="s">
        <v>8218</v>
      </c>
      <c r="H2751" s="210"/>
      <c r="K2751" s="180"/>
      <c r="M2751" t="s">
        <v>2246</v>
      </c>
      <c r="N2751" t="s">
        <v>5571</v>
      </c>
      <c r="O2751" t="s">
        <v>4930</v>
      </c>
      <c r="Q2751" t="str">
        <f t="shared" si="123"/>
        <v>condorProc.py --series 07180909_0104 --donoise --dumps a --procenv environments/pymidas_HVHV_NaI_mf.env</v>
      </c>
    </row>
    <row r="2752" spans="1:17">
      <c r="A2752" s="179" t="s">
        <v>8219</v>
      </c>
      <c r="H2752" s="210"/>
      <c r="K2752" s="180"/>
      <c r="M2752" t="s">
        <v>2246</v>
      </c>
      <c r="N2752" t="s">
        <v>5571</v>
      </c>
      <c r="O2752" t="s">
        <v>4930</v>
      </c>
      <c r="Q2752" t="str">
        <f t="shared" si="123"/>
        <v>condorProc.py --series 07180909_0114 --donoise --dumps a --procenv environments/pymidas_HVHV_NaI_mf.env</v>
      </c>
    </row>
    <row r="2753" spans="1:17">
      <c r="A2753" s="179" t="s">
        <v>8220</v>
      </c>
      <c r="H2753" s="210"/>
      <c r="K2753" s="180"/>
      <c r="M2753" t="s">
        <v>2246</v>
      </c>
      <c r="N2753" t="s">
        <v>5571</v>
      </c>
      <c r="O2753" t="s">
        <v>4930</v>
      </c>
      <c r="Q2753" t="str">
        <f t="shared" si="123"/>
        <v>condorProc.py --series 07180909_0125 --donoise --dumps a --procenv environments/pymidas_HVHV_NaI_mf.env</v>
      </c>
    </row>
    <row r="2754" spans="1:17">
      <c r="A2754" s="179" t="s">
        <v>8221</v>
      </c>
      <c r="H2754" s="210"/>
      <c r="K2754" s="180"/>
      <c r="M2754" t="s">
        <v>2246</v>
      </c>
      <c r="N2754" t="s">
        <v>5571</v>
      </c>
      <c r="O2754" t="s">
        <v>4930</v>
      </c>
      <c r="Q2754" t="str">
        <f t="shared" si="123"/>
        <v>condorProc.py --series 07180909_0135 --donoise --dumps a --procenv environments/pymidas_HVHV_NaI_mf.env</v>
      </c>
    </row>
    <row r="2755" spans="1:17">
      <c r="A2755" s="179" t="s">
        <v>8222</v>
      </c>
      <c r="H2755" s="210"/>
      <c r="K2755" s="180"/>
      <c r="M2755" t="s">
        <v>2246</v>
      </c>
      <c r="N2755" t="s">
        <v>5571</v>
      </c>
      <c r="O2755" t="s">
        <v>4930</v>
      </c>
      <c r="Q2755" t="str">
        <f t="shared" si="123"/>
        <v>condorProc.py --series 07180909_0145 --donoise --dumps a --procenv environments/pymidas_HVHV_NaI_mf.env</v>
      </c>
    </row>
    <row r="2756" spans="1:17">
      <c r="A2756" s="179" t="s">
        <v>8223</v>
      </c>
      <c r="H2756" s="210"/>
      <c r="K2756" s="180"/>
      <c r="M2756" t="s">
        <v>2246</v>
      </c>
      <c r="N2756" t="s">
        <v>5571</v>
      </c>
      <c r="O2756" t="s">
        <v>4930</v>
      </c>
      <c r="Q2756" t="str">
        <f t="shared" si="123"/>
        <v>condorProc.py --series 07180909_0155 --donoise --dumps a --procenv environments/pymidas_HVHV_NaI_mf.env</v>
      </c>
    </row>
    <row r="2757" spans="1:17">
      <c r="A2757" s="179" t="s">
        <v>8224</v>
      </c>
      <c r="H2757" s="210"/>
      <c r="K2757" s="180"/>
      <c r="M2757" t="s">
        <v>2246</v>
      </c>
      <c r="N2757" t="s">
        <v>5571</v>
      </c>
      <c r="O2757" t="s">
        <v>4930</v>
      </c>
      <c r="Q2757" t="str">
        <f t="shared" si="123"/>
        <v>condorProc.py --series 07180909_0205 --donoise --dumps a --procenv environments/pymidas_HVHV_NaI_mf.env</v>
      </c>
    </row>
    <row r="2758" spans="1:17">
      <c r="A2758" s="181" t="s">
        <v>8225</v>
      </c>
      <c r="B2758" s="65"/>
      <c r="C2758" s="65"/>
      <c r="D2758" s="65"/>
      <c r="E2758" s="65"/>
      <c r="F2758" s="65"/>
      <c r="G2758" s="65"/>
      <c r="H2758" s="211"/>
      <c r="I2758" s="65"/>
      <c r="J2758" s="65"/>
      <c r="K2758" s="182"/>
      <c r="M2758" t="s">
        <v>2246</v>
      </c>
      <c r="N2758" t="s">
        <v>5571</v>
      </c>
      <c r="O2758" t="s">
        <v>4930</v>
      </c>
      <c r="Q2758" t="str">
        <f t="shared" si="123"/>
        <v>condorProc.py --series 07180909_0215 --donoise --dumps a --procenv environments/pymidas_HVHV_NaI_mf.env</v>
      </c>
    </row>
    <row r="2759" spans="1:17">
      <c r="A2759" t="s">
        <v>8226</v>
      </c>
      <c r="F2759">
        <v>10</v>
      </c>
      <c r="G2759" t="s">
        <v>18</v>
      </c>
      <c r="H2759" s="210">
        <v>-80</v>
      </c>
      <c r="J2759" t="s">
        <v>5577</v>
      </c>
      <c r="K2759" s="180" t="s">
        <v>5583</v>
      </c>
      <c r="M2759" t="s">
        <v>2246</v>
      </c>
      <c r="N2759" t="s">
        <v>5571</v>
      </c>
      <c r="O2759" t="s">
        <v>4930</v>
      </c>
      <c r="Q2759" t="str">
        <f t="shared" si="123"/>
        <v>condorProc.py --series 07180909_0308 --donoise --dumps a --procenv environments/pymidas_HVHV_NaI_mf.env</v>
      </c>
    </row>
    <row r="2760" spans="1:17">
      <c r="A2760" t="s">
        <v>8227</v>
      </c>
      <c r="H2760" s="210"/>
      <c r="J2760" t="s">
        <v>5585</v>
      </c>
      <c r="K2760" s="180" t="s">
        <v>5671</v>
      </c>
      <c r="M2760" t="s">
        <v>2246</v>
      </c>
      <c r="N2760" t="s">
        <v>5571</v>
      </c>
      <c r="O2760" t="s">
        <v>4930</v>
      </c>
      <c r="Q2760" t="str">
        <f t="shared" si="123"/>
        <v>condorProc.py --series 07180909_0318 --donoise --dumps a --procenv environments/pymidas_HVHV_NaI_mf.env</v>
      </c>
    </row>
    <row r="2761" spans="1:17">
      <c r="A2761" t="s">
        <v>8228</v>
      </c>
      <c r="H2761" s="210"/>
      <c r="K2761" s="187" t="s">
        <v>6206</v>
      </c>
      <c r="M2761" t="s">
        <v>2246</v>
      </c>
      <c r="N2761" t="s">
        <v>5571</v>
      </c>
      <c r="O2761" t="s">
        <v>4930</v>
      </c>
      <c r="Q2761" t="str">
        <f t="shared" si="123"/>
        <v>condorProc.py --series 07180909_0328 --donoise --dumps a --procenv environments/pymidas_HVHV_NaI_mf.env</v>
      </c>
    </row>
    <row r="2762" spans="1:17">
      <c r="A2762" t="s">
        <v>8229</v>
      </c>
      <c r="H2762" s="210"/>
      <c r="K2762" s="180"/>
      <c r="M2762" t="s">
        <v>2246</v>
      </c>
      <c r="N2762" t="s">
        <v>5571</v>
      </c>
      <c r="O2762" t="s">
        <v>4930</v>
      </c>
      <c r="Q2762" t="str">
        <f t="shared" si="123"/>
        <v>condorProc.py --series 07180909_0339 --donoise --dumps a --procenv environments/pymidas_HVHV_NaI_mf.env</v>
      </c>
    </row>
    <row r="2763" spans="1:17">
      <c r="A2763" t="s">
        <v>8230</v>
      </c>
      <c r="H2763" s="210"/>
      <c r="K2763" s="180"/>
      <c r="M2763" t="s">
        <v>2246</v>
      </c>
      <c r="N2763" t="s">
        <v>5571</v>
      </c>
      <c r="O2763" t="s">
        <v>4930</v>
      </c>
      <c r="Q2763" t="str">
        <f t="shared" si="123"/>
        <v>condorProc.py --series 07180909_0349 --donoise --dumps a --procenv environments/pymidas_HVHV_NaI_mf.env</v>
      </c>
    </row>
    <row r="2764" spans="1:17">
      <c r="A2764" t="s">
        <v>8231</v>
      </c>
      <c r="H2764" s="210"/>
      <c r="K2764" s="180"/>
      <c r="M2764" t="s">
        <v>2246</v>
      </c>
      <c r="N2764" t="s">
        <v>5571</v>
      </c>
      <c r="O2764" t="s">
        <v>4930</v>
      </c>
      <c r="Q2764" t="str">
        <f t="shared" si="123"/>
        <v>condorProc.py --series 07180909_0359 --donoise --dumps a --procenv environments/pymidas_HVHV_NaI_mf.env</v>
      </c>
    </row>
    <row r="2765" spans="1:17">
      <c r="A2765" t="s">
        <v>8232</v>
      </c>
      <c r="H2765" s="210"/>
      <c r="K2765" s="180"/>
      <c r="M2765" t="s">
        <v>2246</v>
      </c>
      <c r="N2765" t="s">
        <v>5571</v>
      </c>
      <c r="O2765" t="s">
        <v>4930</v>
      </c>
      <c r="Q2765" t="str">
        <f t="shared" si="123"/>
        <v>condorProc.py --series 07180909_0409 --donoise --dumps a --procenv environments/pymidas_HVHV_NaI_mf.env</v>
      </c>
    </row>
    <row r="2766" spans="1:17">
      <c r="A2766" t="s">
        <v>8233</v>
      </c>
      <c r="H2766" s="210"/>
      <c r="K2766" s="180"/>
      <c r="M2766" t="s">
        <v>2246</v>
      </c>
      <c r="N2766" t="s">
        <v>5571</v>
      </c>
      <c r="O2766" t="s">
        <v>4930</v>
      </c>
      <c r="Q2766" t="str">
        <f t="shared" si="123"/>
        <v>condorProc.py --series 07180909_0419 --donoise --dumps a --procenv environments/pymidas_HVHV_NaI_mf.env</v>
      </c>
    </row>
    <row r="2767" spans="1:17">
      <c r="A2767" t="s">
        <v>8234</v>
      </c>
      <c r="H2767" s="210"/>
      <c r="K2767" s="180"/>
      <c r="M2767" t="s">
        <v>2246</v>
      </c>
      <c r="N2767" t="s">
        <v>5571</v>
      </c>
      <c r="O2767" t="s">
        <v>4930</v>
      </c>
      <c r="Q2767" t="str">
        <f t="shared" si="123"/>
        <v>condorProc.py --series 07180909_0429 --donoise --dumps a --procenv environments/pymidas_HVHV_NaI_mf.env</v>
      </c>
    </row>
    <row r="2768" spans="1:17">
      <c r="A2768" t="s">
        <v>8235</v>
      </c>
      <c r="H2768" s="210"/>
      <c r="K2768" s="180"/>
      <c r="M2768" t="s">
        <v>2246</v>
      </c>
      <c r="N2768" t="s">
        <v>5571</v>
      </c>
      <c r="O2768" t="s">
        <v>4930</v>
      </c>
      <c r="Q2768" t="str">
        <f t="shared" si="123"/>
        <v>condorProc.py --series 07180909_0439 --donoise --dumps a --procenv environments/pymidas_HVHV_NaI_mf.env</v>
      </c>
    </row>
    <row r="2769" spans="1:17">
      <c r="A2769" t="s">
        <v>8236</v>
      </c>
      <c r="H2769" s="210"/>
      <c r="K2769" s="180"/>
      <c r="M2769" t="s">
        <v>2246</v>
      </c>
      <c r="N2769" t="s">
        <v>5571</v>
      </c>
      <c r="O2769" t="s">
        <v>4930</v>
      </c>
      <c r="Q2769" t="str">
        <f t="shared" si="123"/>
        <v>condorProc.py --series 07180909_0450 --donoise --dumps a --procenv environments/pymidas_HVHV_NaI_mf.env</v>
      </c>
    </row>
    <row r="2770" spans="1:17">
      <c r="A2770" t="s">
        <v>8237</v>
      </c>
      <c r="H2770" s="210"/>
      <c r="K2770" s="180"/>
      <c r="M2770" t="s">
        <v>2246</v>
      </c>
      <c r="N2770" t="s">
        <v>5571</v>
      </c>
      <c r="O2770" t="s">
        <v>4930</v>
      </c>
      <c r="Q2770" t="str">
        <f t="shared" si="123"/>
        <v>condorProc.py --series 07180909_0500 --donoise --dumps a --procenv environments/pymidas_HVHV_NaI_mf.env</v>
      </c>
    </row>
    <row r="2771" spans="1:17">
      <c r="A2771" s="176" t="s">
        <v>8238</v>
      </c>
      <c r="B2771" s="177"/>
      <c r="C2771" s="177"/>
      <c r="D2771" s="177"/>
      <c r="E2771" s="177"/>
      <c r="F2771" s="177">
        <v>10</v>
      </c>
      <c r="G2771" s="177" t="s">
        <v>18</v>
      </c>
      <c r="H2771" s="209">
        <v>-80</v>
      </c>
      <c r="I2771" s="177"/>
      <c r="J2771" s="177" t="s">
        <v>5577</v>
      </c>
      <c r="K2771" s="178" t="s">
        <v>5583</v>
      </c>
      <c r="L2771" s="1">
        <f>DATE(2000+MID(A2771,3,2),MID(A2771,5,2),MID(A2771,7,2))+TIME(MID(A2771,10,2),MID(A2771,12,2),0)</f>
        <v>43352.245138888888</v>
      </c>
      <c r="M2771" t="s">
        <v>2246</v>
      </c>
      <c r="N2771" t="s">
        <v>5571</v>
      </c>
      <c r="O2771" t="s">
        <v>4930</v>
      </c>
      <c r="Q2771" t="str">
        <f t="shared" si="123"/>
        <v>condorProc.py --series 07180909_0553 --donoise --dumps a --procenv environments/pymidas_HVHV_NaI_mf.env</v>
      </c>
    </row>
    <row r="2772" spans="1:17">
      <c r="A2772" s="179" t="s">
        <v>8239</v>
      </c>
      <c r="H2772" s="210"/>
      <c r="J2772" t="s">
        <v>5585</v>
      </c>
      <c r="K2772" s="180" t="s">
        <v>5671</v>
      </c>
      <c r="L2772" s="1">
        <f>L2771+4*(2+45/60)/24</f>
        <v>43352.703472222223</v>
      </c>
      <c r="M2772" t="s">
        <v>2246</v>
      </c>
      <c r="N2772" t="s">
        <v>5571</v>
      </c>
      <c r="O2772" t="s">
        <v>4930</v>
      </c>
      <c r="Q2772" t="str">
        <f t="shared" si="123"/>
        <v>condorProc.py --series 07180909_0603 --donoise --dumps a --procenv environments/pymidas_HVHV_NaI_mf.env</v>
      </c>
    </row>
    <row r="2773" spans="1:17">
      <c r="A2773" s="179" t="s">
        <v>8240</v>
      </c>
      <c r="H2773" s="210"/>
      <c r="K2773" s="187" t="s">
        <v>6206</v>
      </c>
      <c r="M2773" t="s">
        <v>2246</v>
      </c>
      <c r="N2773" t="s">
        <v>5571</v>
      </c>
      <c r="O2773" t="s">
        <v>4930</v>
      </c>
      <c r="Q2773" t="str">
        <f t="shared" si="123"/>
        <v>condorProc.py --series 07180909_0613 --donoise --dumps a --procenv environments/pymidas_HVHV_NaI_mf.env</v>
      </c>
    </row>
    <row r="2774" spans="1:17">
      <c r="A2774" s="179" t="s">
        <v>8241</v>
      </c>
      <c r="H2774" s="210"/>
      <c r="K2774" s="180"/>
      <c r="M2774" t="s">
        <v>2246</v>
      </c>
      <c r="N2774" t="s">
        <v>5571</v>
      </c>
      <c r="O2774" t="s">
        <v>4930</v>
      </c>
      <c r="Q2774" t="str">
        <f t="shared" si="123"/>
        <v>condorProc.py --series 07180909_0623 --donoise --dumps a --procenv environments/pymidas_HVHV_NaI_mf.env</v>
      </c>
    </row>
    <row r="2775" spans="1:17">
      <c r="A2775" s="179" t="s">
        <v>8242</v>
      </c>
      <c r="H2775" s="210"/>
      <c r="K2775" s="180"/>
      <c r="M2775" t="s">
        <v>2246</v>
      </c>
      <c r="N2775" t="s">
        <v>5571</v>
      </c>
      <c r="O2775" t="s">
        <v>4930</v>
      </c>
      <c r="Q2775" t="str">
        <f t="shared" si="123"/>
        <v>condorProc.py --series 07180909_0633 --donoise --dumps a --procenv environments/pymidas_HVHV_NaI_mf.env</v>
      </c>
    </row>
    <row r="2776" spans="1:17">
      <c r="A2776" s="179" t="s">
        <v>8243</v>
      </c>
      <c r="H2776" s="210"/>
      <c r="K2776" s="180"/>
      <c r="M2776" t="s">
        <v>2246</v>
      </c>
      <c r="N2776" t="s">
        <v>5571</v>
      </c>
      <c r="O2776" t="s">
        <v>4930</v>
      </c>
      <c r="Q2776" t="str">
        <f t="shared" si="123"/>
        <v>condorProc.py --series 07180909_0643 --donoise --dumps a --procenv environments/pymidas_HVHV_NaI_mf.env</v>
      </c>
    </row>
    <row r="2777" spans="1:17">
      <c r="A2777" s="179" t="s">
        <v>8244</v>
      </c>
      <c r="H2777" s="210"/>
      <c r="K2777" s="180"/>
      <c r="M2777" t="s">
        <v>2246</v>
      </c>
      <c r="N2777" t="s">
        <v>5571</v>
      </c>
      <c r="O2777" t="s">
        <v>4930</v>
      </c>
      <c r="Q2777" t="str">
        <f t="shared" si="123"/>
        <v>condorProc.py --series 07180909_0653 --donoise --dumps a --procenv environments/pymidas_HVHV_NaI_mf.env</v>
      </c>
    </row>
    <row r="2778" spans="1:17">
      <c r="A2778" s="179" t="s">
        <v>8245</v>
      </c>
      <c r="H2778" s="210"/>
      <c r="I2778" t="s">
        <v>75</v>
      </c>
      <c r="K2778" s="180"/>
      <c r="M2778" t="s">
        <v>2246</v>
      </c>
      <c r="N2778" t="s">
        <v>5571</v>
      </c>
      <c r="O2778" t="s">
        <v>4930</v>
      </c>
      <c r="Q2778" t="str">
        <f t="shared" si="123"/>
        <v>condorProc.py --series 07180909_0703 --donoise --dumps a --procenv environments/pymidas_HVHV_NaI_mf.env</v>
      </c>
    </row>
    <row r="2779" spans="1:17">
      <c r="A2779" s="179" t="s">
        <v>8246</v>
      </c>
      <c r="H2779" s="210"/>
      <c r="K2779" s="180"/>
      <c r="M2779" t="s">
        <v>2246</v>
      </c>
      <c r="N2779" t="s">
        <v>5571</v>
      </c>
      <c r="O2779" t="s">
        <v>4930</v>
      </c>
      <c r="Q2779" t="str">
        <f t="shared" si="123"/>
        <v>condorProc.py --series 07180909_0714 --donoise --dumps a --procenv environments/pymidas_HVHV_NaI_mf.env</v>
      </c>
    </row>
    <row r="2780" spans="1:17">
      <c r="A2780" s="179" t="s">
        <v>8247</v>
      </c>
      <c r="H2780" s="210"/>
      <c r="K2780" s="180"/>
      <c r="M2780" t="s">
        <v>2246</v>
      </c>
      <c r="N2780" t="s">
        <v>5571</v>
      </c>
      <c r="O2780" t="s">
        <v>4930</v>
      </c>
      <c r="Q2780" t="str">
        <f t="shared" si="123"/>
        <v>condorProc.py --series 07180909_0724 --donoise --dumps a --procenv environments/pymidas_HVHV_NaI_mf.env</v>
      </c>
    </row>
    <row r="2781" spans="1:17">
      <c r="A2781" s="179" t="s">
        <v>8248</v>
      </c>
      <c r="H2781" s="210"/>
      <c r="K2781" s="180"/>
      <c r="M2781" t="s">
        <v>2246</v>
      </c>
      <c r="N2781" t="s">
        <v>5571</v>
      </c>
      <c r="O2781" t="s">
        <v>4930</v>
      </c>
      <c r="Q2781" t="str">
        <f t="shared" si="123"/>
        <v>condorProc.py --series 07180909_0734 --donoise --dumps a --procenv environments/pymidas_HVHV_NaI_mf.env</v>
      </c>
    </row>
    <row r="2782" spans="1:17">
      <c r="A2782" s="181" t="s">
        <v>8249</v>
      </c>
      <c r="B2782" s="65"/>
      <c r="C2782" s="65"/>
      <c r="D2782" s="65"/>
      <c r="E2782" s="65"/>
      <c r="F2782" s="65"/>
      <c r="G2782" s="65"/>
      <c r="H2782" s="211"/>
      <c r="I2782" s="65"/>
      <c r="J2782" s="65"/>
      <c r="K2782" s="182"/>
      <c r="M2782" t="s">
        <v>2246</v>
      </c>
      <c r="N2782" t="s">
        <v>5571</v>
      </c>
      <c r="O2782" t="s">
        <v>4930</v>
      </c>
      <c r="Q2782" t="str">
        <f t="shared" si="123"/>
        <v>condorProc.py --series 07180909_0744 --donoise --dumps a --procenv environments/pymidas_HVHV_NaI_mf.env</v>
      </c>
    </row>
    <row r="2783" spans="1:17">
      <c r="A2783" t="s">
        <v>8250</v>
      </c>
      <c r="F2783">
        <v>10</v>
      </c>
      <c r="G2783" t="s">
        <v>18</v>
      </c>
      <c r="H2783" s="210">
        <v>-80</v>
      </c>
      <c r="J2783" t="s">
        <v>5577</v>
      </c>
      <c r="K2783" s="180" t="s">
        <v>5583</v>
      </c>
      <c r="L2783" s="1">
        <f>DATE(2000+MID(A2783,3,2),MID(A2783,5,2),MID(A2783,7,2))+TIME(MID(A2783,10,2),MID(A2783,12,2),0)</f>
        <v>43352.359027777777</v>
      </c>
      <c r="M2783" t="s">
        <v>2246</v>
      </c>
      <c r="N2783" t="s">
        <v>5571</v>
      </c>
      <c r="O2783" t="s">
        <v>4930</v>
      </c>
      <c r="Q2783" t="str">
        <f t="shared" si="123"/>
        <v>condorProc.py --series 07180909_0837 --donoise --dumps a --procenv environments/pymidas_HVHV_NaI_mf.env</v>
      </c>
    </row>
    <row r="2784" spans="1:17">
      <c r="A2784" t="s">
        <v>8251</v>
      </c>
      <c r="H2784" s="210"/>
      <c r="J2784" t="s">
        <v>5585</v>
      </c>
      <c r="K2784" s="180" t="s">
        <v>5671</v>
      </c>
      <c r="L2784" s="1">
        <f>L2783+3*(2+45/60)/24</f>
        <v>43352.702777777777</v>
      </c>
      <c r="M2784" t="s">
        <v>2246</v>
      </c>
      <c r="N2784" t="s">
        <v>5571</v>
      </c>
      <c r="O2784" t="s">
        <v>4930</v>
      </c>
      <c r="Q2784" t="str">
        <f t="shared" si="123"/>
        <v>condorProc.py --series 07180909_0847 --donoise --dumps a --procenv environments/pymidas_HVHV_NaI_mf.env</v>
      </c>
    </row>
    <row r="2785" spans="1:17">
      <c r="A2785" t="s">
        <v>8252</v>
      </c>
      <c r="H2785" s="210"/>
      <c r="K2785" s="187" t="s">
        <v>6206</v>
      </c>
      <c r="M2785" t="s">
        <v>2246</v>
      </c>
      <c r="N2785" t="s">
        <v>5571</v>
      </c>
      <c r="O2785" t="s">
        <v>4930</v>
      </c>
      <c r="Q2785" t="str">
        <f t="shared" si="123"/>
        <v>condorProc.py --series 07180909_0857 --donoise --dumps a --procenv environments/pymidas_HVHV_NaI_mf.env</v>
      </c>
    </row>
    <row r="2786" spans="1:17">
      <c r="A2786" t="s">
        <v>8253</v>
      </c>
      <c r="H2786" s="210"/>
      <c r="K2786" s="180"/>
      <c r="M2786" t="s">
        <v>2246</v>
      </c>
      <c r="N2786" t="s">
        <v>5571</v>
      </c>
      <c r="O2786" t="s">
        <v>4930</v>
      </c>
      <c r="Q2786" t="str">
        <f t="shared" si="123"/>
        <v>condorProc.py --series 07180909_0907 --donoise --dumps a --procenv environments/pymidas_HVHV_NaI_mf.env</v>
      </c>
    </row>
    <row r="2787" spans="1:17">
      <c r="A2787" t="s">
        <v>8254</v>
      </c>
      <c r="H2787" s="210"/>
      <c r="K2787" s="180"/>
      <c r="M2787" t="s">
        <v>2246</v>
      </c>
      <c r="N2787" t="s">
        <v>5571</v>
      </c>
      <c r="O2787" t="s">
        <v>4930</v>
      </c>
      <c r="Q2787" t="str">
        <f t="shared" si="123"/>
        <v>condorProc.py --series 07180909_0917 --donoise --dumps a --procenv environments/pymidas_HVHV_NaI_mf.env</v>
      </c>
    </row>
    <row r="2788" spans="1:17">
      <c r="A2788" t="s">
        <v>8255</v>
      </c>
      <c r="H2788" s="210"/>
      <c r="K2788" s="180"/>
      <c r="M2788" t="s">
        <v>2246</v>
      </c>
      <c r="N2788" t="s">
        <v>5571</v>
      </c>
      <c r="O2788" t="s">
        <v>4930</v>
      </c>
      <c r="Q2788" t="str">
        <f t="shared" si="123"/>
        <v>condorProc.py --series 07180909_0928 --donoise --dumps a --procenv environments/pymidas_HVHV_NaI_mf.env</v>
      </c>
    </row>
    <row r="2789" spans="1:17">
      <c r="A2789" t="s">
        <v>8256</v>
      </c>
      <c r="H2789" s="210"/>
      <c r="K2789" s="180"/>
      <c r="M2789" t="s">
        <v>2246</v>
      </c>
      <c r="N2789" t="s">
        <v>5571</v>
      </c>
      <c r="O2789" t="s">
        <v>4930</v>
      </c>
      <c r="Q2789" t="str">
        <f t="shared" si="123"/>
        <v>condorProc.py --series 07180909_0938 --donoise --dumps a --procenv environments/pymidas_HVHV_NaI_mf.env</v>
      </c>
    </row>
    <row r="2790" spans="1:17">
      <c r="A2790" t="s">
        <v>8257</v>
      </c>
      <c r="H2790" s="210"/>
      <c r="I2790" t="s">
        <v>75</v>
      </c>
      <c r="K2790" s="180"/>
      <c r="M2790" t="s">
        <v>2246</v>
      </c>
      <c r="N2790" t="s">
        <v>5571</v>
      </c>
      <c r="O2790" t="s">
        <v>4930</v>
      </c>
      <c r="Q2790" t="str">
        <f t="shared" si="123"/>
        <v>condorProc.py --series 07180909_0948 --donoise --dumps a --procenv environments/pymidas_HVHV_NaI_mf.env</v>
      </c>
    </row>
    <row r="2791" spans="1:17">
      <c r="A2791" t="s">
        <v>8258</v>
      </c>
      <c r="H2791" s="210"/>
      <c r="K2791" s="180"/>
      <c r="M2791" t="s">
        <v>2246</v>
      </c>
      <c r="N2791" t="s">
        <v>5571</v>
      </c>
      <c r="O2791" t="s">
        <v>4930</v>
      </c>
      <c r="Q2791" t="str">
        <f t="shared" si="123"/>
        <v>condorProc.py --series 07180909_0958 --donoise --dumps a --procenv environments/pymidas_HVHV_NaI_mf.env</v>
      </c>
    </row>
    <row r="2792" spans="1:17">
      <c r="A2792" t="s">
        <v>8259</v>
      </c>
      <c r="H2792" s="210"/>
      <c r="K2792" s="180"/>
      <c r="M2792" t="s">
        <v>2246</v>
      </c>
      <c r="N2792" t="s">
        <v>5571</v>
      </c>
      <c r="O2792" t="s">
        <v>4930</v>
      </c>
      <c r="Q2792" t="str">
        <f t="shared" si="123"/>
        <v>condorProc.py --series 07180909_1008 --donoise --dumps a --procenv environments/pymidas_HVHV_NaI_mf.env</v>
      </c>
    </row>
    <row r="2793" spans="1:17">
      <c r="A2793" t="s">
        <v>8260</v>
      </c>
      <c r="H2793" s="210"/>
      <c r="K2793" s="180"/>
      <c r="M2793" t="s">
        <v>2246</v>
      </c>
      <c r="N2793" t="s">
        <v>5571</v>
      </c>
      <c r="O2793" t="s">
        <v>4930</v>
      </c>
      <c r="Q2793" t="str">
        <f t="shared" si="123"/>
        <v>condorProc.py --series 07180909_1018 --donoise --dumps a --procenv environments/pymidas_HVHV_NaI_mf.env</v>
      </c>
    </row>
    <row r="2794" spans="1:17">
      <c r="A2794" t="s">
        <v>8261</v>
      </c>
      <c r="H2794" s="210"/>
      <c r="I2794" t="s">
        <v>75</v>
      </c>
      <c r="K2794" s="180"/>
      <c r="M2794" t="s">
        <v>2246</v>
      </c>
      <c r="N2794" t="s">
        <v>5571</v>
      </c>
      <c r="O2794" t="s">
        <v>4930</v>
      </c>
      <c r="Q2794" t="str">
        <f t="shared" si="123"/>
        <v>condorProc.py --series 07180909_1028 --donoise --dumps a --procenv environments/pymidas_HVHV_NaI_mf.env</v>
      </c>
    </row>
    <row r="2795" spans="1:17">
      <c r="A2795" s="176" t="s">
        <v>8262</v>
      </c>
      <c r="B2795" s="177"/>
      <c r="C2795" s="177"/>
      <c r="D2795" s="177"/>
      <c r="E2795" s="177"/>
      <c r="F2795" s="177">
        <v>10</v>
      </c>
      <c r="G2795" s="177" t="s">
        <v>18</v>
      </c>
      <c r="H2795" s="209">
        <v>-80</v>
      </c>
      <c r="I2795" s="177"/>
      <c r="J2795" s="177" t="s">
        <v>5577</v>
      </c>
      <c r="K2795" s="178" t="s">
        <v>5583</v>
      </c>
      <c r="L2795" s="1">
        <f>DATE(2000+MID(A2795,3,2),MID(A2795,5,2),MID(A2795,7,2))+TIME(MID(A2795,10,2),MID(A2795,12,2),0)</f>
        <v>43352.473611111112</v>
      </c>
      <c r="M2795" t="s">
        <v>2246</v>
      </c>
      <c r="N2795" t="s">
        <v>5571</v>
      </c>
      <c r="O2795" t="s">
        <v>4930</v>
      </c>
      <c r="Q2795" t="str">
        <f t="shared" si="123"/>
        <v>condorProc.py --series 07180909_1122 --donoise --dumps a --procenv environments/pymidas_HVHV_NaI_mf.env</v>
      </c>
    </row>
    <row r="2796" spans="1:17">
      <c r="A2796" s="179" t="s">
        <v>8263</v>
      </c>
      <c r="H2796" s="210"/>
      <c r="J2796" t="s">
        <v>5585</v>
      </c>
      <c r="K2796" s="180" t="s">
        <v>5671</v>
      </c>
      <c r="L2796" s="1">
        <f>L2795+2*(2+45/60)/24</f>
        <v>43352.702777777777</v>
      </c>
      <c r="M2796" t="s">
        <v>2246</v>
      </c>
      <c r="N2796" t="s">
        <v>5571</v>
      </c>
      <c r="O2796" t="s">
        <v>4930</v>
      </c>
      <c r="Q2796" t="str">
        <f t="shared" si="123"/>
        <v>condorProc.py --series 07180909_1132 --donoise --dumps a --procenv environments/pymidas_HVHV_NaI_mf.env</v>
      </c>
    </row>
    <row r="2797" spans="1:17">
      <c r="A2797" s="179" t="s">
        <v>8264</v>
      </c>
      <c r="H2797" s="210"/>
      <c r="K2797" s="187" t="s">
        <v>6206</v>
      </c>
      <c r="M2797" t="s">
        <v>2246</v>
      </c>
      <c r="N2797" t="s">
        <v>5571</v>
      </c>
      <c r="O2797" t="s">
        <v>4930</v>
      </c>
      <c r="Q2797" t="str">
        <f t="shared" si="123"/>
        <v>condorProc.py --series 07180909_1142 --donoise --dumps a --procenv environments/pymidas_HVHV_NaI_mf.env</v>
      </c>
    </row>
    <row r="2798" spans="1:17">
      <c r="A2798" s="179" t="s">
        <v>8265</v>
      </c>
      <c r="H2798" s="210"/>
      <c r="K2798" s="180"/>
      <c r="M2798" t="s">
        <v>2246</v>
      </c>
      <c r="N2798" t="s">
        <v>5571</v>
      </c>
      <c r="O2798" t="s">
        <v>4930</v>
      </c>
      <c r="Q2798" t="str">
        <f t="shared" si="123"/>
        <v>condorProc.py --series 07180909_1152 --donoise --dumps a --procenv environments/pymidas_HVHV_NaI_mf.env</v>
      </c>
    </row>
    <row r="2799" spans="1:17">
      <c r="A2799" s="179" t="s">
        <v>8266</v>
      </c>
      <c r="H2799" s="210"/>
      <c r="K2799" s="180"/>
      <c r="M2799" t="s">
        <v>2246</v>
      </c>
      <c r="N2799" t="s">
        <v>5571</v>
      </c>
      <c r="O2799" t="s">
        <v>4930</v>
      </c>
      <c r="Q2799" t="str">
        <f t="shared" si="123"/>
        <v>condorProc.py --series 07180909_1202 --donoise --dumps a --procenv environments/pymidas_HVHV_NaI_mf.env</v>
      </c>
    </row>
    <row r="2800" spans="1:17">
      <c r="A2800" s="179" t="s">
        <v>8267</v>
      </c>
      <c r="H2800" s="210"/>
      <c r="K2800" s="180"/>
      <c r="M2800" t="s">
        <v>2246</v>
      </c>
      <c r="N2800" t="s">
        <v>5571</v>
      </c>
      <c r="O2800" t="s">
        <v>4930</v>
      </c>
      <c r="Q2800" t="str">
        <f t="shared" si="123"/>
        <v>condorProc.py --series 07180909_1212 --donoise --dumps a --procenv environments/pymidas_HVHV_NaI_mf.env</v>
      </c>
    </row>
    <row r="2801" spans="1:17">
      <c r="A2801" s="179" t="s">
        <v>8268</v>
      </c>
      <c r="H2801" s="210"/>
      <c r="K2801" s="180"/>
      <c r="M2801" t="s">
        <v>2246</v>
      </c>
      <c r="N2801" t="s">
        <v>5571</v>
      </c>
      <c r="O2801" t="s">
        <v>4930</v>
      </c>
      <c r="Q2801" t="str">
        <f t="shared" ref="Q2801:Q2819" si="124">"condorProc.py --series "&amp;A2801&amp;" --donoise --dumps a --procenv environments/pymidas_HVHV_NaI_mf.env"</f>
        <v>condorProc.py --series 07180909_1222 --donoise --dumps a --procenv environments/pymidas_HVHV_NaI_mf.env</v>
      </c>
    </row>
    <row r="2802" spans="1:17">
      <c r="A2802" s="179" t="s">
        <v>8269</v>
      </c>
      <c r="H2802" s="210"/>
      <c r="K2802" s="180"/>
      <c r="M2802" t="s">
        <v>2246</v>
      </c>
      <c r="N2802" t="s">
        <v>5571</v>
      </c>
      <c r="O2802" t="s">
        <v>4930</v>
      </c>
      <c r="Q2802" t="str">
        <f t="shared" si="124"/>
        <v>condorProc.py --series 07180909_1232 --donoise --dumps a --procenv environments/pymidas_HVHV_NaI_mf.env</v>
      </c>
    </row>
    <row r="2803" spans="1:17">
      <c r="A2803" s="179" t="s">
        <v>8270</v>
      </c>
      <c r="H2803" s="210"/>
      <c r="K2803" s="180"/>
      <c r="M2803" t="s">
        <v>2246</v>
      </c>
      <c r="N2803" t="s">
        <v>5571</v>
      </c>
      <c r="O2803" t="s">
        <v>4930</v>
      </c>
      <c r="Q2803" t="str">
        <f t="shared" si="124"/>
        <v>condorProc.py --series 07180909_1243 --donoise --dumps a --procenv environments/pymidas_HVHV_NaI_mf.env</v>
      </c>
    </row>
    <row r="2804" spans="1:17">
      <c r="A2804" s="179" t="s">
        <v>8271</v>
      </c>
      <c r="H2804" s="210"/>
      <c r="K2804" s="180"/>
      <c r="M2804" t="s">
        <v>2246</v>
      </c>
      <c r="N2804" t="s">
        <v>5571</v>
      </c>
      <c r="O2804" t="s">
        <v>4930</v>
      </c>
      <c r="Q2804" t="str">
        <f t="shared" si="124"/>
        <v>condorProc.py --series 07180909_1253 --donoise --dumps a --procenv environments/pymidas_HVHV_NaI_mf.env</v>
      </c>
    </row>
    <row r="2805" spans="1:17">
      <c r="A2805" s="179" t="s">
        <v>8272</v>
      </c>
      <c r="H2805" s="210"/>
      <c r="K2805" s="180"/>
      <c r="M2805" t="s">
        <v>2246</v>
      </c>
      <c r="N2805" t="s">
        <v>5571</v>
      </c>
      <c r="O2805" t="s">
        <v>4930</v>
      </c>
      <c r="Q2805" t="str">
        <f t="shared" si="124"/>
        <v>condorProc.py --series 07180909_1303 --donoise --dumps a --procenv environments/pymidas_HVHV_NaI_mf.env</v>
      </c>
    </row>
    <row r="2806" spans="1:17">
      <c r="A2806" s="181" t="s">
        <v>8273</v>
      </c>
      <c r="B2806" s="65"/>
      <c r="C2806" s="65"/>
      <c r="D2806" s="65"/>
      <c r="E2806" s="65"/>
      <c r="F2806" s="65"/>
      <c r="G2806" s="65"/>
      <c r="H2806" s="211"/>
      <c r="I2806" s="65" t="s">
        <v>75</v>
      </c>
      <c r="J2806" s="65"/>
      <c r="K2806" s="182"/>
      <c r="M2806" t="s">
        <v>2246</v>
      </c>
      <c r="N2806" t="s">
        <v>5571</v>
      </c>
      <c r="O2806" t="s">
        <v>4930</v>
      </c>
      <c r="Q2806" t="str">
        <f t="shared" si="124"/>
        <v>condorProc.py --series 07180909_1313 --donoise --dumps a --procenv environments/pymidas_HVHV_NaI_mf.env</v>
      </c>
    </row>
    <row r="2807" spans="1:17">
      <c r="A2807" t="s">
        <v>8274</v>
      </c>
      <c r="F2807" s="177">
        <v>10</v>
      </c>
      <c r="G2807" s="177" t="s">
        <v>18</v>
      </c>
      <c r="H2807" s="209">
        <v>-80</v>
      </c>
      <c r="I2807" s="177"/>
      <c r="J2807" s="177" t="s">
        <v>5577</v>
      </c>
      <c r="K2807" s="178" t="s">
        <v>5583</v>
      </c>
      <c r="L2807" s="1">
        <f>DATE(2000+MID(A2807,3,2),MID(A2807,5,2),MID(A2807,7,2))+TIME(MID(A2807,10,2),MID(A2807,12,2),0)</f>
        <v>43352.588194444441</v>
      </c>
      <c r="M2807" t="s">
        <v>2246</v>
      </c>
      <c r="N2807" t="s">
        <v>5571</v>
      </c>
      <c r="O2807" t="s">
        <v>4930</v>
      </c>
      <c r="Q2807" t="str">
        <f t="shared" si="124"/>
        <v>condorProc.py --series 07180909_1407 --donoise --dumps a --procenv environments/pymidas_HVHV_NaI_mf.env</v>
      </c>
    </row>
    <row r="2808" spans="1:17">
      <c r="A2808" t="s">
        <v>8275</v>
      </c>
      <c r="H2808" s="210"/>
      <c r="J2808" t="s">
        <v>5585</v>
      </c>
      <c r="K2808" s="180" t="s">
        <v>5671</v>
      </c>
      <c r="L2808" s="1">
        <f>L2807+1*(2+45/60)/24</f>
        <v>43352.702777777777</v>
      </c>
      <c r="M2808" t="s">
        <v>2246</v>
      </c>
      <c r="N2808" t="s">
        <v>5571</v>
      </c>
      <c r="O2808" t="s">
        <v>4930</v>
      </c>
      <c r="Q2808" t="str">
        <f t="shared" si="124"/>
        <v>condorProc.py --series 07180909_1417 --donoise --dumps a --procenv environments/pymidas_HVHV_NaI_mf.env</v>
      </c>
    </row>
    <row r="2809" spans="1:17">
      <c r="A2809" t="s">
        <v>8276</v>
      </c>
      <c r="H2809" s="210"/>
      <c r="K2809" s="187" t="s">
        <v>6206</v>
      </c>
      <c r="M2809" t="s">
        <v>2246</v>
      </c>
      <c r="N2809" t="s">
        <v>5571</v>
      </c>
      <c r="O2809" t="s">
        <v>4930</v>
      </c>
      <c r="Q2809" t="str">
        <f t="shared" si="124"/>
        <v>condorProc.py --series 07180909_1427 --donoise --dumps a --procenv environments/pymidas_HVHV_NaI_mf.env</v>
      </c>
    </row>
    <row r="2810" spans="1:17">
      <c r="A2810" t="s">
        <v>8277</v>
      </c>
      <c r="H2810" s="210"/>
      <c r="K2810" s="180"/>
      <c r="M2810" t="s">
        <v>2246</v>
      </c>
      <c r="N2810" t="s">
        <v>5571</v>
      </c>
      <c r="O2810" t="s">
        <v>4930</v>
      </c>
      <c r="Q2810" t="str">
        <f t="shared" si="124"/>
        <v>condorProc.py --series 07180909_1437 --donoise --dumps a --procenv environments/pymidas_HVHV_NaI_mf.env</v>
      </c>
    </row>
    <row r="2811" spans="1:17">
      <c r="A2811" t="s">
        <v>8278</v>
      </c>
      <c r="H2811" s="210"/>
      <c r="K2811" s="180"/>
      <c r="M2811" t="s">
        <v>2246</v>
      </c>
      <c r="N2811" t="s">
        <v>5571</v>
      </c>
      <c r="O2811" t="s">
        <v>4930</v>
      </c>
      <c r="Q2811" t="str">
        <f t="shared" si="124"/>
        <v>condorProc.py --series 07180909_1447 --donoise --dumps a --procenv environments/pymidas_HVHV_NaI_mf.env</v>
      </c>
    </row>
    <row r="2812" spans="1:17">
      <c r="A2812" t="s">
        <v>8279</v>
      </c>
      <c r="H2812" s="210"/>
      <c r="K2812" s="180"/>
      <c r="M2812" t="s">
        <v>2246</v>
      </c>
      <c r="N2812" t="s">
        <v>5571</v>
      </c>
      <c r="O2812" t="s">
        <v>4930</v>
      </c>
      <c r="Q2812" t="str">
        <f t="shared" si="124"/>
        <v>condorProc.py --series 07180909_1458 --donoise --dumps a --procenv environments/pymidas_HVHV_NaI_mf.env</v>
      </c>
    </row>
    <row r="2813" spans="1:17">
      <c r="A2813" t="s">
        <v>8280</v>
      </c>
      <c r="H2813" s="210"/>
      <c r="K2813" s="180"/>
      <c r="M2813" t="s">
        <v>2246</v>
      </c>
      <c r="N2813" t="s">
        <v>5571</v>
      </c>
      <c r="O2813" t="s">
        <v>4930</v>
      </c>
      <c r="Q2813" t="str">
        <f t="shared" si="124"/>
        <v>condorProc.py --series 07180909_1508 --donoise --dumps a --procenv environments/pymidas_HVHV_NaI_mf.env</v>
      </c>
    </row>
    <row r="2814" spans="1:17">
      <c r="A2814" t="s">
        <v>8281</v>
      </c>
      <c r="H2814" s="210"/>
      <c r="K2814" s="180"/>
      <c r="M2814" t="s">
        <v>2246</v>
      </c>
      <c r="N2814" t="s">
        <v>5571</v>
      </c>
      <c r="O2814" t="s">
        <v>4930</v>
      </c>
      <c r="Q2814" t="str">
        <f t="shared" si="124"/>
        <v>condorProc.py --series 07180909_1518 --donoise --dumps a --procenv environments/pymidas_HVHV_NaI_mf.env</v>
      </c>
    </row>
    <row r="2815" spans="1:17">
      <c r="A2815" t="s">
        <v>8282</v>
      </c>
      <c r="H2815" s="210"/>
      <c r="K2815" s="180"/>
      <c r="M2815" t="s">
        <v>2246</v>
      </c>
      <c r="N2815" t="s">
        <v>5571</v>
      </c>
      <c r="O2815" t="s">
        <v>4930</v>
      </c>
      <c r="Q2815" t="str">
        <f t="shared" si="124"/>
        <v>condorProc.py --series 07180909_1528 --donoise --dumps a --procenv environments/pymidas_HVHV_NaI_mf.env</v>
      </c>
    </row>
    <row r="2816" spans="1:17">
      <c r="A2816" t="s">
        <v>8283</v>
      </c>
      <c r="H2816" s="210"/>
      <c r="K2816" s="180"/>
      <c r="M2816" t="s">
        <v>2246</v>
      </c>
      <c r="N2816" t="s">
        <v>5571</v>
      </c>
      <c r="O2816" t="s">
        <v>4930</v>
      </c>
      <c r="Q2816" t="str">
        <f t="shared" si="124"/>
        <v>condorProc.py --series 07180909_1538 --donoise --dumps a --procenv environments/pymidas_HVHV_NaI_mf.env</v>
      </c>
    </row>
    <row r="2817" spans="1:17">
      <c r="A2817" t="s">
        <v>8284</v>
      </c>
      <c r="H2817" s="210"/>
      <c r="K2817" s="180"/>
      <c r="M2817" t="s">
        <v>2246</v>
      </c>
      <c r="N2817" t="s">
        <v>5571</v>
      </c>
      <c r="O2817" t="s">
        <v>4930</v>
      </c>
      <c r="Q2817" t="str">
        <f t="shared" si="124"/>
        <v>condorProc.py --series 07180909_1548 --donoise --dumps a --procenv environments/pymidas_HVHV_NaI_mf.env</v>
      </c>
    </row>
    <row r="2818" spans="1:17">
      <c r="A2818" t="s">
        <v>8285</v>
      </c>
      <c r="F2818" s="65"/>
      <c r="G2818" s="65"/>
      <c r="H2818" s="211"/>
      <c r="I2818" s="65" t="s">
        <v>75</v>
      </c>
      <c r="J2818" s="65"/>
      <c r="K2818" s="182"/>
      <c r="M2818" t="s">
        <v>2246</v>
      </c>
      <c r="N2818" t="s">
        <v>5571</v>
      </c>
      <c r="O2818" t="s">
        <v>4930</v>
      </c>
      <c r="Q2818" t="str">
        <f t="shared" si="124"/>
        <v>condorProc.py --series 07180909_1558 --donoise --dumps a --procenv environments/pymidas_HVHV_NaI_mf.env</v>
      </c>
    </row>
    <row r="2819" spans="1:17">
      <c r="A2819" t="s">
        <v>8286</v>
      </c>
      <c r="F2819" s="177">
        <v>10</v>
      </c>
      <c r="G2819" s="177" t="s">
        <v>18</v>
      </c>
      <c r="H2819" s="209">
        <v>-80</v>
      </c>
      <c r="I2819" s="177" t="s">
        <v>75</v>
      </c>
      <c r="J2819" s="177" t="s">
        <v>5577</v>
      </c>
      <c r="K2819" s="178" t="s">
        <v>5583</v>
      </c>
      <c r="L2819" s="1">
        <f>DATE(2000+MID(A2819,3,2),MID(A2819,5,2),MID(A2819,7,2))+TIME(MID(A2819,10,2),MID(A2819,12,2),0)</f>
        <v>43352.734027777777</v>
      </c>
      <c r="M2819" t="s">
        <v>2246</v>
      </c>
      <c r="N2819" t="s">
        <v>5571</v>
      </c>
      <c r="O2819" t="s">
        <v>4930</v>
      </c>
      <c r="Q2819" t="str">
        <f t="shared" si="124"/>
        <v>condorProc.py --series 07180909_1737 --donoise --dumps a --procenv environments/pymidas_HVHV_NaI_mf.env</v>
      </c>
    </row>
    <row r="2820" spans="1:17">
      <c r="A2820" t="s">
        <v>8287</v>
      </c>
      <c r="H2820" s="210"/>
      <c r="I2820" s="197" t="s">
        <v>5434</v>
      </c>
      <c r="J2820" t="s">
        <v>5585</v>
      </c>
      <c r="K2820" s="180" t="s">
        <v>5671</v>
      </c>
      <c r="L2820" s="1">
        <f>L2819+1*(2+45/60)/24</f>
        <v>43352.848611111112</v>
      </c>
    </row>
    <row r="2821" spans="1:17">
      <c r="A2821" t="s">
        <v>8288</v>
      </c>
      <c r="H2821" s="210"/>
      <c r="I2821" s="197" t="s">
        <v>5434</v>
      </c>
      <c r="K2821" s="187" t="s">
        <v>6206</v>
      </c>
    </row>
    <row r="2822" spans="1:17">
      <c r="A2822" t="s">
        <v>8289</v>
      </c>
      <c r="H2822" s="210"/>
      <c r="I2822" s="197" t="s">
        <v>5434</v>
      </c>
      <c r="K2822" s="180"/>
    </row>
    <row r="2823" spans="1:17">
      <c r="A2823" t="s">
        <v>8290</v>
      </c>
      <c r="H2823" s="210"/>
      <c r="I2823" s="197" t="s">
        <v>5434</v>
      </c>
      <c r="K2823" s="180"/>
    </row>
    <row r="2824" spans="1:17">
      <c r="A2824" t="s">
        <v>8291</v>
      </c>
      <c r="H2824" s="210"/>
      <c r="I2824" s="197" t="s">
        <v>5434</v>
      </c>
      <c r="K2824" s="180"/>
    </row>
    <row r="2825" spans="1:17">
      <c r="A2825" t="s">
        <v>8292</v>
      </c>
      <c r="H2825" s="210"/>
      <c r="I2825" s="197" t="s">
        <v>5434</v>
      </c>
      <c r="K2825" s="180"/>
    </row>
    <row r="2826" spans="1:17">
      <c r="A2826" t="s">
        <v>8293</v>
      </c>
      <c r="H2826" s="210"/>
      <c r="I2826" s="197" t="s">
        <v>5434</v>
      </c>
      <c r="K2826" s="180"/>
    </row>
    <row r="2827" spans="1:17">
      <c r="A2827" t="s">
        <v>8294</v>
      </c>
      <c r="H2827" s="210"/>
      <c r="I2827" s="197" t="s">
        <v>5434</v>
      </c>
      <c r="K2827" s="180"/>
      <c r="L2827">
        <f>COUNTIF(O:O,"p40_PuBe_1")</f>
        <v>427</v>
      </c>
    </row>
    <row r="2828" spans="1:17">
      <c r="A2828" t="s">
        <v>8295</v>
      </c>
      <c r="H2828" s="210"/>
      <c r="I2828" s="197" t="s">
        <v>5434</v>
      </c>
      <c r="K2828" s="180"/>
      <c r="L2828">
        <f>L2827/6</f>
        <v>71.166666666666671</v>
      </c>
    </row>
    <row r="2829" spans="1:17">
      <c r="A2829" t="s">
        <v>8296</v>
      </c>
      <c r="H2829" s="210"/>
      <c r="I2829" s="197" t="s">
        <v>5434</v>
      </c>
      <c r="K2829" s="180"/>
    </row>
    <row r="2830" spans="1:17">
      <c r="A2830" t="s">
        <v>8297</v>
      </c>
      <c r="F2830" s="65"/>
      <c r="G2830" s="65"/>
      <c r="H2830" s="211"/>
      <c r="I2830" s="198" t="s">
        <v>5434</v>
      </c>
      <c r="J2830" s="65"/>
      <c r="K2830" s="182" t="s">
        <v>8298</v>
      </c>
    </row>
    <row r="2831" spans="1:17">
      <c r="A2831" t="s">
        <v>8299</v>
      </c>
      <c r="F2831" s="177">
        <v>10</v>
      </c>
      <c r="G2831" s="177" t="s">
        <v>18</v>
      </c>
      <c r="H2831" s="209">
        <v>-80</v>
      </c>
      <c r="I2831" s="177" t="s">
        <v>75</v>
      </c>
      <c r="J2831" s="177" t="s">
        <v>5577</v>
      </c>
      <c r="K2831" s="178" t="s">
        <v>5583</v>
      </c>
      <c r="M2831" t="s">
        <v>2246</v>
      </c>
      <c r="N2831" t="s">
        <v>5571</v>
      </c>
      <c r="O2831" t="s">
        <v>4930</v>
      </c>
      <c r="Q2831" t="str">
        <f t="shared" ref="Q2831:Q2894" si="125">"condorProc.py --series "&amp;A2831&amp;" --donoise --dumps a --procenv environments/pymidas_HVHV_NaI_mf.env"</f>
        <v>condorProc.py --series 07180909_2021 --donoise --dumps a --procenv environments/pymidas_HVHV_NaI_mf.env</v>
      </c>
    </row>
    <row r="2832" spans="1:17">
      <c r="A2832" t="s">
        <v>8300</v>
      </c>
      <c r="H2832" s="210"/>
      <c r="J2832" t="s">
        <v>5585</v>
      </c>
      <c r="K2832" s="180" t="s">
        <v>5671</v>
      </c>
      <c r="M2832" t="s">
        <v>2246</v>
      </c>
      <c r="N2832" t="s">
        <v>5571</v>
      </c>
      <c r="O2832" t="s">
        <v>4930</v>
      </c>
      <c r="Q2832" t="str">
        <f t="shared" si="125"/>
        <v>condorProc.py --series 07180909_2031 --donoise --dumps a --procenv environments/pymidas_HVHV_NaI_mf.env</v>
      </c>
    </row>
    <row r="2833" spans="1:17">
      <c r="A2833" t="s">
        <v>8301</v>
      </c>
      <c r="H2833" s="210"/>
      <c r="K2833" s="187" t="s">
        <v>6206</v>
      </c>
      <c r="M2833" t="s">
        <v>2246</v>
      </c>
      <c r="N2833" t="s">
        <v>5571</v>
      </c>
      <c r="O2833" t="s">
        <v>4930</v>
      </c>
      <c r="Q2833" t="str">
        <f t="shared" si="125"/>
        <v>condorProc.py --series 07180909_2041 --donoise --dumps a --procenv environments/pymidas_HVHV_NaI_mf.env</v>
      </c>
    </row>
    <row r="2834" spans="1:17">
      <c r="A2834" t="s">
        <v>8302</v>
      </c>
      <c r="H2834" s="210"/>
      <c r="K2834" s="180"/>
      <c r="M2834" t="s">
        <v>2246</v>
      </c>
      <c r="N2834" t="s">
        <v>5571</v>
      </c>
      <c r="O2834" t="s">
        <v>4930</v>
      </c>
      <c r="Q2834" t="str">
        <f t="shared" si="125"/>
        <v>condorProc.py --series 07180909_2052 --donoise --dumps a --procenv environments/pymidas_HVHV_NaI_mf.env</v>
      </c>
    </row>
    <row r="2835" spans="1:17">
      <c r="A2835" t="s">
        <v>8303</v>
      </c>
      <c r="H2835" s="210"/>
      <c r="K2835" s="180"/>
      <c r="M2835" t="s">
        <v>2246</v>
      </c>
      <c r="N2835" t="s">
        <v>5571</v>
      </c>
      <c r="O2835" t="s">
        <v>4930</v>
      </c>
      <c r="Q2835" t="str">
        <f t="shared" si="125"/>
        <v>condorProc.py --series 07180909_2102 --donoise --dumps a --procenv environments/pymidas_HVHV_NaI_mf.env</v>
      </c>
    </row>
    <row r="2836" spans="1:17">
      <c r="A2836" t="s">
        <v>8304</v>
      </c>
      <c r="H2836" s="210"/>
      <c r="I2836" t="s">
        <v>75</v>
      </c>
      <c r="K2836" s="180"/>
      <c r="M2836" t="s">
        <v>2246</v>
      </c>
      <c r="N2836" t="s">
        <v>5571</v>
      </c>
      <c r="O2836" t="s">
        <v>4930</v>
      </c>
      <c r="Q2836" t="str">
        <f t="shared" si="125"/>
        <v>condorProc.py --series 07180909_2112 --donoise --dumps a --procenv environments/pymidas_HVHV_NaI_mf.env</v>
      </c>
    </row>
    <row r="2837" spans="1:17">
      <c r="A2837" t="s">
        <v>8305</v>
      </c>
      <c r="H2837" s="210"/>
      <c r="K2837" s="180"/>
      <c r="M2837" t="s">
        <v>2246</v>
      </c>
      <c r="N2837" t="s">
        <v>5571</v>
      </c>
      <c r="O2837" t="s">
        <v>4930</v>
      </c>
      <c r="Q2837" t="str">
        <f t="shared" si="125"/>
        <v>condorProc.py --series 07180909_2122 --donoise --dumps a --procenv environments/pymidas_HVHV_NaI_mf.env</v>
      </c>
    </row>
    <row r="2838" spans="1:17">
      <c r="A2838" t="s">
        <v>8306</v>
      </c>
      <c r="H2838" s="210"/>
      <c r="K2838" s="180"/>
      <c r="M2838" t="s">
        <v>2246</v>
      </c>
      <c r="N2838" t="s">
        <v>5571</v>
      </c>
      <c r="O2838" t="s">
        <v>4930</v>
      </c>
      <c r="Q2838" t="str">
        <f t="shared" si="125"/>
        <v>condorProc.py --series 07180909_2132 --donoise --dumps a --procenv environments/pymidas_HVHV_NaI_mf.env</v>
      </c>
    </row>
    <row r="2839" spans="1:17">
      <c r="A2839" t="s">
        <v>8307</v>
      </c>
      <c r="H2839" s="210"/>
      <c r="K2839" s="180"/>
      <c r="M2839" t="s">
        <v>2246</v>
      </c>
      <c r="N2839" t="s">
        <v>5571</v>
      </c>
      <c r="O2839" t="s">
        <v>4930</v>
      </c>
      <c r="Q2839" t="str">
        <f t="shared" si="125"/>
        <v>condorProc.py --series 07180909_2142 --donoise --dumps a --procenv environments/pymidas_HVHV_NaI_mf.env</v>
      </c>
    </row>
    <row r="2840" spans="1:17">
      <c r="A2840" t="s">
        <v>8308</v>
      </c>
      <c r="H2840" s="210"/>
      <c r="K2840" s="180"/>
      <c r="M2840" t="s">
        <v>2246</v>
      </c>
      <c r="N2840" t="s">
        <v>5571</v>
      </c>
      <c r="O2840" t="s">
        <v>4930</v>
      </c>
      <c r="Q2840" t="str">
        <f t="shared" si="125"/>
        <v>condorProc.py --series 07180909_2152 --donoise --dumps a --procenv environments/pymidas_HVHV_NaI_mf.env</v>
      </c>
    </row>
    <row r="2841" spans="1:17">
      <c r="A2841" t="s">
        <v>8309</v>
      </c>
      <c r="H2841" s="210"/>
      <c r="K2841" s="180"/>
      <c r="M2841" t="s">
        <v>2246</v>
      </c>
      <c r="N2841" t="s">
        <v>5571</v>
      </c>
      <c r="O2841" t="s">
        <v>4930</v>
      </c>
      <c r="Q2841" t="str">
        <f t="shared" si="125"/>
        <v>condorProc.py --series 07180909_2202 --donoise --dumps a --procenv environments/pymidas_HVHV_NaI_mf.env</v>
      </c>
    </row>
    <row r="2842" spans="1:17">
      <c r="A2842" t="s">
        <v>8310</v>
      </c>
      <c r="F2842" s="65"/>
      <c r="G2842" s="65"/>
      <c r="H2842" s="211"/>
      <c r="I2842" s="65"/>
      <c r="J2842" s="65"/>
      <c r="K2842" s="182"/>
      <c r="M2842" t="s">
        <v>2246</v>
      </c>
      <c r="N2842" t="s">
        <v>5571</v>
      </c>
      <c r="O2842" t="s">
        <v>4930</v>
      </c>
      <c r="Q2842" t="str">
        <f t="shared" si="125"/>
        <v>condorProc.py --series 07180909_2213 --donoise --dumps a --procenv environments/pymidas_HVHV_NaI_mf.env</v>
      </c>
    </row>
    <row r="2843" spans="1:17">
      <c r="A2843" t="s">
        <v>8311</v>
      </c>
      <c r="F2843" s="177">
        <v>10</v>
      </c>
      <c r="G2843" s="177" t="s">
        <v>18</v>
      </c>
      <c r="H2843" s="209">
        <v>-80</v>
      </c>
      <c r="I2843" s="177"/>
      <c r="J2843" s="177" t="s">
        <v>5577</v>
      </c>
      <c r="K2843" s="178" t="s">
        <v>5583</v>
      </c>
      <c r="M2843" t="s">
        <v>2246</v>
      </c>
      <c r="N2843" t="s">
        <v>5571</v>
      </c>
      <c r="O2843" t="s">
        <v>4930</v>
      </c>
      <c r="Q2843" t="str">
        <f t="shared" si="125"/>
        <v>condorProc.py --series 07180909_2306 --donoise --dumps a --procenv environments/pymidas_HVHV_NaI_mf.env</v>
      </c>
    </row>
    <row r="2844" spans="1:17">
      <c r="A2844" t="s">
        <v>8312</v>
      </c>
      <c r="H2844" s="210"/>
      <c r="J2844" t="s">
        <v>5585</v>
      </c>
      <c r="K2844" s="180" t="s">
        <v>5671</v>
      </c>
      <c r="M2844" t="s">
        <v>2246</v>
      </c>
      <c r="N2844" t="s">
        <v>5571</v>
      </c>
      <c r="O2844" t="s">
        <v>4930</v>
      </c>
      <c r="Q2844" t="str">
        <f t="shared" si="125"/>
        <v>condorProc.py --series 07180909_2316 --donoise --dumps a --procenv environments/pymidas_HVHV_NaI_mf.env</v>
      </c>
    </row>
    <row r="2845" spans="1:17">
      <c r="A2845" t="s">
        <v>8313</v>
      </c>
      <c r="H2845" s="210"/>
      <c r="K2845" s="187" t="s">
        <v>6206</v>
      </c>
      <c r="M2845" t="s">
        <v>2246</v>
      </c>
      <c r="N2845" t="s">
        <v>5571</v>
      </c>
      <c r="O2845" t="s">
        <v>4930</v>
      </c>
      <c r="Q2845" t="str">
        <f t="shared" si="125"/>
        <v>condorProc.py --series 07180909_2326 --donoise --dumps a --procenv environments/pymidas_HVHV_NaI_mf.env</v>
      </c>
    </row>
    <row r="2846" spans="1:17">
      <c r="A2846" t="s">
        <v>8314</v>
      </c>
      <c r="H2846" s="210"/>
      <c r="K2846" s="180"/>
      <c r="M2846" t="s">
        <v>2246</v>
      </c>
      <c r="N2846" t="s">
        <v>5571</v>
      </c>
      <c r="O2846" t="s">
        <v>4930</v>
      </c>
      <c r="Q2846" t="str">
        <f t="shared" si="125"/>
        <v>condorProc.py --series 07180909_2336 --donoise --dumps a --procenv environments/pymidas_HVHV_NaI_mf.env</v>
      </c>
    </row>
    <row r="2847" spans="1:17">
      <c r="A2847" t="s">
        <v>8315</v>
      </c>
      <c r="H2847" s="210"/>
      <c r="K2847" s="180"/>
      <c r="M2847" t="s">
        <v>2246</v>
      </c>
      <c r="N2847" t="s">
        <v>5571</v>
      </c>
      <c r="O2847" t="s">
        <v>4930</v>
      </c>
      <c r="Q2847" t="str">
        <f t="shared" si="125"/>
        <v>condorProc.py --series 07180909_2346 --donoise --dumps a --procenv environments/pymidas_HVHV_NaI_mf.env</v>
      </c>
    </row>
    <row r="2848" spans="1:17">
      <c r="A2848" t="s">
        <v>8316</v>
      </c>
      <c r="H2848" s="210"/>
      <c r="K2848" s="180"/>
      <c r="M2848" t="s">
        <v>2246</v>
      </c>
      <c r="N2848" t="s">
        <v>5571</v>
      </c>
      <c r="O2848" t="s">
        <v>4930</v>
      </c>
      <c r="Q2848" t="str">
        <f t="shared" si="125"/>
        <v>condorProc.py --series 07180909_2356 --donoise --dumps a --procenv environments/pymidas_HVHV_NaI_mf.env</v>
      </c>
    </row>
    <row r="2849" spans="1:17">
      <c r="A2849" t="s">
        <v>8317</v>
      </c>
      <c r="H2849" s="210"/>
      <c r="K2849" s="180"/>
      <c r="M2849" t="s">
        <v>2246</v>
      </c>
      <c r="N2849" t="s">
        <v>5571</v>
      </c>
      <c r="O2849" t="s">
        <v>4930</v>
      </c>
      <c r="Q2849" t="str">
        <f t="shared" si="125"/>
        <v>condorProc.py --series 07180910_0006 --donoise --dumps a --procenv environments/pymidas_HVHV_NaI_mf.env</v>
      </c>
    </row>
    <row r="2850" spans="1:17">
      <c r="A2850" t="s">
        <v>8318</v>
      </c>
      <c r="H2850" s="210"/>
      <c r="K2850" s="180"/>
      <c r="M2850" t="s">
        <v>2246</v>
      </c>
      <c r="N2850" t="s">
        <v>5571</v>
      </c>
      <c r="O2850" t="s">
        <v>4930</v>
      </c>
      <c r="Q2850" t="str">
        <f t="shared" si="125"/>
        <v>condorProc.py --series 07180910_0016 --donoise --dumps a --procenv environments/pymidas_HVHV_NaI_mf.env</v>
      </c>
    </row>
    <row r="2851" spans="1:17">
      <c r="A2851" t="s">
        <v>8319</v>
      </c>
      <c r="H2851" s="210"/>
      <c r="K2851" s="180"/>
      <c r="M2851" t="s">
        <v>2246</v>
      </c>
      <c r="N2851" t="s">
        <v>5571</v>
      </c>
      <c r="O2851" t="s">
        <v>4930</v>
      </c>
      <c r="Q2851" t="str">
        <f t="shared" si="125"/>
        <v>condorProc.py --series 07180910_0026 --donoise --dumps a --procenv environments/pymidas_HVHV_NaI_mf.env</v>
      </c>
    </row>
    <row r="2852" spans="1:17">
      <c r="A2852" t="s">
        <v>8320</v>
      </c>
      <c r="H2852" s="210"/>
      <c r="K2852" s="180"/>
      <c r="M2852" t="s">
        <v>2246</v>
      </c>
      <c r="N2852" t="s">
        <v>5571</v>
      </c>
      <c r="O2852" t="s">
        <v>4930</v>
      </c>
      <c r="Q2852" t="str">
        <f t="shared" si="125"/>
        <v>condorProc.py --series 07180910_0037 --donoise --dumps a --procenv environments/pymidas_HVHV_NaI_mf.env</v>
      </c>
    </row>
    <row r="2853" spans="1:17">
      <c r="A2853" t="s">
        <v>8321</v>
      </c>
      <c r="H2853" s="210"/>
      <c r="K2853" s="180"/>
      <c r="M2853" t="s">
        <v>2246</v>
      </c>
      <c r="N2853" t="s">
        <v>5571</v>
      </c>
      <c r="O2853" t="s">
        <v>4930</v>
      </c>
      <c r="Q2853" t="str">
        <f t="shared" si="125"/>
        <v>condorProc.py --series 07180910_0047 --donoise --dumps a --procenv environments/pymidas_HVHV_NaI_mf.env</v>
      </c>
    </row>
    <row r="2854" spans="1:17">
      <c r="A2854" t="s">
        <v>8322</v>
      </c>
      <c r="F2854" s="65"/>
      <c r="G2854" s="65"/>
      <c r="H2854" s="211"/>
      <c r="I2854" s="65"/>
      <c r="J2854" s="65"/>
      <c r="K2854" s="182"/>
      <c r="M2854" t="s">
        <v>2246</v>
      </c>
      <c r="N2854" t="s">
        <v>5571</v>
      </c>
      <c r="O2854" t="s">
        <v>4930</v>
      </c>
      <c r="Q2854" t="str">
        <f t="shared" si="125"/>
        <v>condorProc.py --series 07180910_0057 --donoise --dumps a --procenv environments/pymidas_HVHV_NaI_mf.env</v>
      </c>
    </row>
    <row r="2855" spans="1:17">
      <c r="A2855" t="s">
        <v>8323</v>
      </c>
      <c r="F2855" s="177">
        <v>10</v>
      </c>
      <c r="G2855" s="177" t="s">
        <v>18</v>
      </c>
      <c r="H2855" s="209">
        <v>-80</v>
      </c>
      <c r="I2855" s="177"/>
      <c r="J2855" s="177" t="s">
        <v>5577</v>
      </c>
      <c r="K2855" s="178" t="s">
        <v>5583</v>
      </c>
      <c r="M2855" t="s">
        <v>2246</v>
      </c>
      <c r="N2855" t="s">
        <v>5571</v>
      </c>
      <c r="O2855" t="s">
        <v>4930</v>
      </c>
      <c r="Q2855" t="str">
        <f t="shared" si="125"/>
        <v>condorProc.py --series 07180910_0150 --donoise --dumps a --procenv environments/pymidas_HVHV_NaI_mf.env</v>
      </c>
    </row>
    <row r="2856" spans="1:17">
      <c r="A2856" t="s">
        <v>8324</v>
      </c>
      <c r="H2856" s="210"/>
      <c r="J2856" t="s">
        <v>5585</v>
      </c>
      <c r="K2856" s="180" t="s">
        <v>5671</v>
      </c>
      <c r="M2856" t="s">
        <v>2246</v>
      </c>
      <c r="N2856" t="s">
        <v>5571</v>
      </c>
      <c r="O2856" t="s">
        <v>4930</v>
      </c>
      <c r="Q2856" t="str">
        <f t="shared" si="125"/>
        <v>condorProc.py --series 07180910_0200 --donoise --dumps a --procenv environments/pymidas_HVHV_NaI_mf.env</v>
      </c>
    </row>
    <row r="2857" spans="1:17">
      <c r="A2857" t="s">
        <v>8325</v>
      </c>
      <c r="H2857" s="210"/>
      <c r="K2857" s="187" t="s">
        <v>6206</v>
      </c>
      <c r="M2857" t="s">
        <v>2246</v>
      </c>
      <c r="N2857" t="s">
        <v>5571</v>
      </c>
      <c r="O2857" t="s">
        <v>4930</v>
      </c>
      <c r="Q2857" t="str">
        <f t="shared" si="125"/>
        <v>condorProc.py --series 07180910_0210 --donoise --dumps a --procenv environments/pymidas_HVHV_NaI_mf.env</v>
      </c>
    </row>
    <row r="2858" spans="1:17">
      <c r="A2858" t="s">
        <v>8326</v>
      </c>
      <c r="H2858" s="210"/>
      <c r="K2858" s="180"/>
      <c r="M2858" t="s">
        <v>2246</v>
      </c>
      <c r="N2858" t="s">
        <v>5571</v>
      </c>
      <c r="O2858" t="s">
        <v>4930</v>
      </c>
      <c r="Q2858" t="str">
        <f t="shared" si="125"/>
        <v>condorProc.py --series 07180910_0220 --donoise --dumps a --procenv environments/pymidas_HVHV_NaI_mf.env</v>
      </c>
    </row>
    <row r="2859" spans="1:17">
      <c r="A2859" t="s">
        <v>8327</v>
      </c>
      <c r="H2859" s="210"/>
      <c r="K2859" s="180"/>
      <c r="M2859" t="s">
        <v>2246</v>
      </c>
      <c r="N2859" t="s">
        <v>5571</v>
      </c>
      <c r="O2859" t="s">
        <v>4930</v>
      </c>
      <c r="Q2859" t="str">
        <f t="shared" si="125"/>
        <v>condorProc.py --series 07180910_0230 --donoise --dumps a --procenv environments/pymidas_HVHV_NaI_mf.env</v>
      </c>
    </row>
    <row r="2860" spans="1:17">
      <c r="A2860" t="s">
        <v>8328</v>
      </c>
      <c r="H2860" s="210"/>
      <c r="K2860" s="180"/>
      <c r="M2860" t="s">
        <v>2246</v>
      </c>
      <c r="N2860" t="s">
        <v>5571</v>
      </c>
      <c r="O2860" t="s">
        <v>4930</v>
      </c>
      <c r="Q2860" t="str">
        <f t="shared" si="125"/>
        <v>condorProc.py --series 07180910_0241 --donoise --dumps a --procenv environments/pymidas_HVHV_NaI_mf.env</v>
      </c>
    </row>
    <row r="2861" spans="1:17">
      <c r="A2861" t="s">
        <v>8329</v>
      </c>
      <c r="H2861" s="210"/>
      <c r="K2861" s="180"/>
      <c r="M2861" t="s">
        <v>2246</v>
      </c>
      <c r="N2861" t="s">
        <v>5571</v>
      </c>
      <c r="O2861" t="s">
        <v>4930</v>
      </c>
      <c r="Q2861" t="str">
        <f t="shared" si="125"/>
        <v>condorProc.py --series 07180910_0251 --donoise --dumps a --procenv environments/pymidas_HVHV_NaI_mf.env</v>
      </c>
    </row>
    <row r="2862" spans="1:17">
      <c r="A2862" t="s">
        <v>8330</v>
      </c>
      <c r="H2862" s="210"/>
      <c r="K2862" s="180"/>
      <c r="M2862" t="s">
        <v>2246</v>
      </c>
      <c r="N2862" t="s">
        <v>5571</v>
      </c>
      <c r="O2862" t="s">
        <v>4930</v>
      </c>
      <c r="Q2862" t="str">
        <f t="shared" si="125"/>
        <v>condorProc.py --series 07180910_0301 --donoise --dumps a --procenv environments/pymidas_HVHV_NaI_mf.env</v>
      </c>
    </row>
    <row r="2863" spans="1:17">
      <c r="A2863" t="s">
        <v>8331</v>
      </c>
      <c r="H2863" s="210"/>
      <c r="K2863" s="180"/>
      <c r="M2863" t="s">
        <v>2246</v>
      </c>
      <c r="N2863" t="s">
        <v>5571</v>
      </c>
      <c r="O2863" t="s">
        <v>4930</v>
      </c>
      <c r="Q2863" t="str">
        <f t="shared" si="125"/>
        <v>condorProc.py --series 07180910_0311 --donoise --dumps a --procenv environments/pymidas_HVHV_NaI_mf.env</v>
      </c>
    </row>
    <row r="2864" spans="1:17">
      <c r="A2864" t="s">
        <v>8332</v>
      </c>
      <c r="H2864" s="210"/>
      <c r="K2864" s="180"/>
      <c r="M2864" t="s">
        <v>2246</v>
      </c>
      <c r="N2864" t="s">
        <v>5571</v>
      </c>
      <c r="O2864" t="s">
        <v>4930</v>
      </c>
      <c r="Q2864" t="str">
        <f t="shared" si="125"/>
        <v>condorProc.py --series 07180910_0321 --donoise --dumps a --procenv environments/pymidas_HVHV_NaI_mf.env</v>
      </c>
    </row>
    <row r="2865" spans="1:17">
      <c r="A2865" t="s">
        <v>8333</v>
      </c>
      <c r="H2865" s="210"/>
      <c r="K2865" s="180"/>
      <c r="M2865" t="s">
        <v>2246</v>
      </c>
      <c r="N2865" t="s">
        <v>5571</v>
      </c>
      <c r="O2865" t="s">
        <v>4930</v>
      </c>
      <c r="Q2865" t="str">
        <f t="shared" si="125"/>
        <v>condorProc.py --series 07180910_0331 --donoise --dumps a --procenv environments/pymidas_HVHV_NaI_mf.env</v>
      </c>
    </row>
    <row r="2866" spans="1:17">
      <c r="A2866" t="s">
        <v>8334</v>
      </c>
      <c r="F2866" s="65"/>
      <c r="G2866" s="65"/>
      <c r="H2866" s="211"/>
      <c r="I2866" s="65"/>
      <c r="J2866" s="65"/>
      <c r="K2866" s="182"/>
      <c r="M2866" t="s">
        <v>2246</v>
      </c>
      <c r="N2866" t="s">
        <v>5571</v>
      </c>
      <c r="O2866" t="s">
        <v>4930</v>
      </c>
      <c r="Q2866" t="str">
        <f t="shared" si="125"/>
        <v>condorProc.py --series 07180910_0341 --donoise --dumps a --procenv environments/pymidas_HVHV_NaI_mf.env</v>
      </c>
    </row>
    <row r="2867" spans="1:17">
      <c r="A2867" t="s">
        <v>8335</v>
      </c>
      <c r="F2867" s="177">
        <v>10</v>
      </c>
      <c r="G2867" s="177" t="s">
        <v>18</v>
      </c>
      <c r="H2867" s="209">
        <v>-80</v>
      </c>
      <c r="I2867" s="177"/>
      <c r="J2867" s="177" t="s">
        <v>5577</v>
      </c>
      <c r="K2867" s="178" t="s">
        <v>5583</v>
      </c>
      <c r="M2867" t="s">
        <v>2246</v>
      </c>
      <c r="N2867" t="s">
        <v>5571</v>
      </c>
      <c r="O2867" t="s">
        <v>4930</v>
      </c>
      <c r="Q2867" t="str">
        <f t="shared" si="125"/>
        <v>condorProc.py --series 07180910_0434 --donoise --dumps a --procenv environments/pymidas_HVHV_NaI_mf.env</v>
      </c>
    </row>
    <row r="2868" spans="1:17">
      <c r="A2868" t="s">
        <v>8336</v>
      </c>
      <c r="H2868" s="210"/>
      <c r="J2868" t="s">
        <v>5585</v>
      </c>
      <c r="K2868" s="180" t="s">
        <v>5671</v>
      </c>
      <c r="M2868" t="s">
        <v>2246</v>
      </c>
      <c r="N2868" t="s">
        <v>5571</v>
      </c>
      <c r="O2868" t="s">
        <v>4930</v>
      </c>
      <c r="Q2868" t="str">
        <f t="shared" si="125"/>
        <v>condorProc.py --series 07180910_0444 --donoise --dumps a --procenv environments/pymidas_HVHV_NaI_mf.env</v>
      </c>
    </row>
    <row r="2869" spans="1:17">
      <c r="A2869" t="s">
        <v>8337</v>
      </c>
      <c r="H2869" s="210"/>
      <c r="K2869" s="187" t="s">
        <v>6206</v>
      </c>
      <c r="M2869" t="s">
        <v>2246</v>
      </c>
      <c r="N2869" t="s">
        <v>5571</v>
      </c>
      <c r="O2869" t="s">
        <v>4930</v>
      </c>
      <c r="Q2869" t="str">
        <f t="shared" si="125"/>
        <v>condorProc.py --series 07180910_0455 --donoise --dumps a --procenv environments/pymidas_HVHV_NaI_mf.env</v>
      </c>
    </row>
    <row r="2870" spans="1:17">
      <c r="A2870" t="s">
        <v>8338</v>
      </c>
      <c r="H2870" s="210"/>
      <c r="K2870" s="180"/>
      <c r="M2870" t="s">
        <v>2246</v>
      </c>
      <c r="N2870" t="s">
        <v>5571</v>
      </c>
      <c r="O2870" t="s">
        <v>4930</v>
      </c>
      <c r="Q2870" t="str">
        <f t="shared" si="125"/>
        <v>condorProc.py --series 07180910_0505 --donoise --dumps a --procenv environments/pymidas_HVHV_NaI_mf.env</v>
      </c>
    </row>
    <row r="2871" spans="1:17">
      <c r="A2871" t="s">
        <v>8339</v>
      </c>
      <c r="H2871" s="210"/>
      <c r="K2871" s="180"/>
      <c r="M2871" t="s">
        <v>2246</v>
      </c>
      <c r="N2871" t="s">
        <v>5571</v>
      </c>
      <c r="O2871" t="s">
        <v>4930</v>
      </c>
      <c r="Q2871" t="str">
        <f t="shared" si="125"/>
        <v>condorProc.py --series 07180910_0515 --donoise --dumps a --procenv environments/pymidas_HVHV_NaI_mf.env</v>
      </c>
    </row>
    <row r="2872" spans="1:17">
      <c r="A2872" t="s">
        <v>8340</v>
      </c>
      <c r="H2872" s="210"/>
      <c r="K2872" s="180"/>
      <c r="M2872" t="s">
        <v>2246</v>
      </c>
      <c r="N2872" t="s">
        <v>5571</v>
      </c>
      <c r="O2872" t="s">
        <v>4930</v>
      </c>
      <c r="Q2872" t="str">
        <f t="shared" si="125"/>
        <v>condorProc.py --series 07180910_0525 --donoise --dumps a --procenv environments/pymidas_HVHV_NaI_mf.env</v>
      </c>
    </row>
    <row r="2873" spans="1:17">
      <c r="A2873" t="s">
        <v>8341</v>
      </c>
      <c r="H2873" s="210"/>
      <c r="K2873" s="180"/>
      <c r="M2873" t="s">
        <v>2246</v>
      </c>
      <c r="N2873" t="s">
        <v>5571</v>
      </c>
      <c r="O2873" t="s">
        <v>4930</v>
      </c>
      <c r="Q2873" t="str">
        <f t="shared" si="125"/>
        <v>condorProc.py --series 07180910_0535 --donoise --dumps a --procenv environments/pymidas_HVHV_NaI_mf.env</v>
      </c>
    </row>
    <row r="2874" spans="1:17">
      <c r="A2874" t="s">
        <v>8342</v>
      </c>
      <c r="H2874" s="210"/>
      <c r="K2874" s="180"/>
      <c r="M2874" t="s">
        <v>2246</v>
      </c>
      <c r="N2874" t="s">
        <v>5571</v>
      </c>
      <c r="O2874" t="s">
        <v>4930</v>
      </c>
      <c r="Q2874" t="str">
        <f t="shared" si="125"/>
        <v>condorProc.py --series 07180910_0545 --donoise --dumps a --procenv environments/pymidas_HVHV_NaI_mf.env</v>
      </c>
    </row>
    <row r="2875" spans="1:17">
      <c r="A2875" t="s">
        <v>8343</v>
      </c>
      <c r="H2875" s="210"/>
      <c r="K2875" s="180"/>
      <c r="M2875" t="s">
        <v>2246</v>
      </c>
      <c r="N2875" t="s">
        <v>5571</v>
      </c>
      <c r="O2875" t="s">
        <v>4930</v>
      </c>
      <c r="Q2875" t="str">
        <f t="shared" si="125"/>
        <v>condorProc.py --series 07180910_0555 --donoise --dumps a --procenv environments/pymidas_HVHV_NaI_mf.env</v>
      </c>
    </row>
    <row r="2876" spans="1:17">
      <c r="A2876" t="s">
        <v>8344</v>
      </c>
      <c r="H2876" s="210"/>
      <c r="K2876" s="180"/>
      <c r="M2876" t="s">
        <v>2246</v>
      </c>
      <c r="N2876" t="s">
        <v>5571</v>
      </c>
      <c r="O2876" t="s">
        <v>4930</v>
      </c>
      <c r="Q2876" t="str">
        <f t="shared" si="125"/>
        <v>condorProc.py --series 07180910_0606 --donoise --dumps a --procenv environments/pymidas_HVHV_NaI_mf.env</v>
      </c>
    </row>
    <row r="2877" spans="1:17">
      <c r="A2877" t="s">
        <v>8345</v>
      </c>
      <c r="H2877" s="210"/>
      <c r="K2877" s="180"/>
      <c r="M2877" t="s">
        <v>2246</v>
      </c>
      <c r="N2877" t="s">
        <v>5571</v>
      </c>
      <c r="O2877" t="s">
        <v>4930</v>
      </c>
      <c r="Q2877" t="str">
        <f t="shared" si="125"/>
        <v>condorProc.py --series 07180910_0616 --donoise --dumps a --procenv environments/pymidas_HVHV_NaI_mf.env</v>
      </c>
    </row>
    <row r="2878" spans="1:17">
      <c r="A2878" t="s">
        <v>8346</v>
      </c>
      <c r="F2878" s="65"/>
      <c r="G2878" s="65"/>
      <c r="H2878" s="211"/>
      <c r="I2878" s="65"/>
      <c r="J2878" s="65"/>
      <c r="K2878" s="182"/>
      <c r="M2878" t="s">
        <v>2246</v>
      </c>
      <c r="N2878" t="s">
        <v>5571</v>
      </c>
      <c r="O2878" t="s">
        <v>4930</v>
      </c>
      <c r="Q2878" t="str">
        <f t="shared" si="125"/>
        <v>condorProc.py --series 07180910_0626 --donoise --dumps a --procenv environments/pymidas_HVHV_NaI_mf.env</v>
      </c>
    </row>
    <row r="2879" spans="1:17">
      <c r="A2879" t="s">
        <v>8347</v>
      </c>
      <c r="F2879" s="177">
        <v>10</v>
      </c>
      <c r="G2879" s="177" t="s">
        <v>18</v>
      </c>
      <c r="H2879" s="209">
        <v>-80</v>
      </c>
      <c r="I2879" s="177" t="s">
        <v>75</v>
      </c>
      <c r="J2879" s="177" t="s">
        <v>5577</v>
      </c>
      <c r="K2879" s="178" t="s">
        <v>5583</v>
      </c>
      <c r="M2879" t="s">
        <v>2246</v>
      </c>
      <c r="N2879" t="s">
        <v>5571</v>
      </c>
      <c r="O2879" t="s">
        <v>4930</v>
      </c>
      <c r="Q2879" t="str">
        <f t="shared" si="125"/>
        <v>condorProc.py --series 07180910_0719 --donoise --dumps a --procenv environments/pymidas_HVHV_NaI_mf.env</v>
      </c>
    </row>
    <row r="2880" spans="1:17">
      <c r="A2880" t="s">
        <v>8348</v>
      </c>
      <c r="H2880" s="210"/>
      <c r="J2880" t="s">
        <v>5585</v>
      </c>
      <c r="K2880" s="180" t="s">
        <v>5671</v>
      </c>
      <c r="M2880" t="s">
        <v>2246</v>
      </c>
      <c r="N2880" t="s">
        <v>5571</v>
      </c>
      <c r="O2880" t="s">
        <v>4930</v>
      </c>
      <c r="Q2880" t="str">
        <f t="shared" si="125"/>
        <v>condorProc.py --series 07180910_0729 --donoise --dumps a --procenv environments/pymidas_HVHV_NaI_mf.env</v>
      </c>
    </row>
    <row r="2881" spans="1:17">
      <c r="A2881" t="s">
        <v>8349</v>
      </c>
      <c r="H2881" s="210"/>
      <c r="K2881" s="187" t="s">
        <v>6206</v>
      </c>
      <c r="M2881" t="s">
        <v>2246</v>
      </c>
      <c r="N2881" t="s">
        <v>5571</v>
      </c>
      <c r="O2881" t="s">
        <v>4930</v>
      </c>
      <c r="Q2881" t="str">
        <f t="shared" si="125"/>
        <v>condorProc.py --series 07180910_0739 --donoise --dumps a --procenv environments/pymidas_HVHV_NaI_mf.env</v>
      </c>
    </row>
    <row r="2882" spans="1:17">
      <c r="A2882" t="s">
        <v>8350</v>
      </c>
      <c r="H2882" s="210"/>
      <c r="K2882" s="180"/>
      <c r="M2882" t="s">
        <v>2246</v>
      </c>
      <c r="N2882" t="s">
        <v>5571</v>
      </c>
      <c r="O2882" t="s">
        <v>4930</v>
      </c>
      <c r="Q2882" t="str">
        <f t="shared" si="125"/>
        <v>condorProc.py --series 07180910_0749 --donoise --dumps a --procenv environments/pymidas_HVHV_NaI_mf.env</v>
      </c>
    </row>
    <row r="2883" spans="1:17">
      <c r="A2883" t="s">
        <v>8351</v>
      </c>
      <c r="H2883" s="210"/>
      <c r="K2883" s="180"/>
      <c r="M2883" t="s">
        <v>2246</v>
      </c>
      <c r="N2883" t="s">
        <v>5571</v>
      </c>
      <c r="O2883" t="s">
        <v>4930</v>
      </c>
      <c r="Q2883" t="str">
        <f t="shared" si="125"/>
        <v>condorProc.py --series 07180910_0759 --donoise --dumps a --procenv environments/pymidas_HVHV_NaI_mf.env</v>
      </c>
    </row>
    <row r="2884" spans="1:17">
      <c r="A2884" t="s">
        <v>8352</v>
      </c>
      <c r="H2884" s="210"/>
      <c r="K2884" s="180"/>
      <c r="M2884" t="s">
        <v>2246</v>
      </c>
      <c r="N2884" t="s">
        <v>5571</v>
      </c>
      <c r="O2884" t="s">
        <v>4930</v>
      </c>
      <c r="Q2884" t="str">
        <f t="shared" si="125"/>
        <v>condorProc.py --series 07180910_0809 --donoise --dumps a --procenv environments/pymidas_HVHV_NaI_mf.env</v>
      </c>
    </row>
    <row r="2885" spans="1:17">
      <c r="A2885" t="s">
        <v>8353</v>
      </c>
      <c r="H2885" s="210"/>
      <c r="K2885" s="180"/>
      <c r="M2885" t="s">
        <v>2246</v>
      </c>
      <c r="N2885" t="s">
        <v>5571</v>
      </c>
      <c r="O2885" t="s">
        <v>4930</v>
      </c>
      <c r="Q2885" t="str">
        <f t="shared" si="125"/>
        <v>condorProc.py --series 07180910_0819 --donoise --dumps a --procenv environments/pymidas_HVHV_NaI_mf.env</v>
      </c>
    </row>
    <row r="2886" spans="1:17">
      <c r="A2886" t="s">
        <v>8354</v>
      </c>
      <c r="H2886" s="210"/>
      <c r="K2886" s="180"/>
      <c r="M2886" t="s">
        <v>2246</v>
      </c>
      <c r="N2886" t="s">
        <v>5571</v>
      </c>
      <c r="O2886" t="s">
        <v>4930</v>
      </c>
      <c r="Q2886" t="str">
        <f t="shared" si="125"/>
        <v>condorProc.py --series 07180910_0830 --donoise --dumps a --procenv environments/pymidas_HVHV_NaI_mf.env</v>
      </c>
    </row>
    <row r="2887" spans="1:17">
      <c r="A2887" t="s">
        <v>8355</v>
      </c>
      <c r="H2887" s="210"/>
      <c r="K2887" s="180"/>
      <c r="M2887" t="s">
        <v>2246</v>
      </c>
      <c r="N2887" t="s">
        <v>5571</v>
      </c>
      <c r="O2887" t="s">
        <v>4930</v>
      </c>
      <c r="Q2887" t="str">
        <f t="shared" si="125"/>
        <v>condorProc.py --series 07180910_0840 --donoise --dumps a --procenv environments/pymidas_HVHV_NaI_mf.env</v>
      </c>
    </row>
    <row r="2888" spans="1:17">
      <c r="A2888" t="s">
        <v>8356</v>
      </c>
      <c r="H2888" s="210"/>
      <c r="K2888" s="180"/>
      <c r="M2888" t="s">
        <v>2246</v>
      </c>
      <c r="N2888" t="s">
        <v>5571</v>
      </c>
      <c r="O2888" t="s">
        <v>4930</v>
      </c>
      <c r="Q2888" t="str">
        <f t="shared" si="125"/>
        <v>condorProc.py --series 07180910_0850 --donoise --dumps a --procenv environments/pymidas_HVHV_NaI_mf.env</v>
      </c>
    </row>
    <row r="2889" spans="1:17">
      <c r="A2889" t="s">
        <v>8357</v>
      </c>
      <c r="H2889" s="210"/>
      <c r="K2889" s="180"/>
      <c r="M2889" t="s">
        <v>2246</v>
      </c>
      <c r="N2889" t="s">
        <v>5571</v>
      </c>
      <c r="O2889" t="s">
        <v>4930</v>
      </c>
      <c r="Q2889" t="str">
        <f t="shared" si="125"/>
        <v>condorProc.py --series 07180910_0900 --donoise --dumps a --procenv environments/pymidas_HVHV_NaI_mf.env</v>
      </c>
    </row>
    <row r="2890" spans="1:17">
      <c r="A2890" t="s">
        <v>8358</v>
      </c>
      <c r="F2890" s="65"/>
      <c r="G2890" s="65"/>
      <c r="H2890" s="211"/>
      <c r="I2890" s="65"/>
      <c r="J2890" s="65"/>
      <c r="K2890" s="182"/>
      <c r="M2890" t="s">
        <v>2246</v>
      </c>
      <c r="N2890" t="s">
        <v>5571</v>
      </c>
      <c r="O2890" t="s">
        <v>4930</v>
      </c>
      <c r="Q2890" t="str">
        <f t="shared" si="125"/>
        <v>condorProc.py --series 07180910_0910 --donoise --dumps a --procenv environments/pymidas_HVHV_NaI_mf.env</v>
      </c>
    </row>
    <row r="2891" spans="1:17">
      <c r="A2891" t="s">
        <v>8359</v>
      </c>
      <c r="F2891" s="177">
        <v>10</v>
      </c>
      <c r="G2891" s="177" t="s">
        <v>18</v>
      </c>
      <c r="H2891" s="209">
        <v>-80</v>
      </c>
      <c r="I2891" s="177" t="s">
        <v>75</v>
      </c>
      <c r="J2891" s="177" t="s">
        <v>5577</v>
      </c>
      <c r="K2891" s="178" t="s">
        <v>5583</v>
      </c>
      <c r="M2891" t="s">
        <v>2246</v>
      </c>
      <c r="N2891" t="s">
        <v>5571</v>
      </c>
      <c r="O2891" t="s">
        <v>4930</v>
      </c>
      <c r="Q2891" t="str">
        <f t="shared" si="125"/>
        <v>condorProc.py --series 07180910_1003 --donoise --dumps a --procenv environments/pymidas_HVHV_NaI_mf.env</v>
      </c>
    </row>
    <row r="2892" spans="1:17">
      <c r="A2892" t="s">
        <v>8360</v>
      </c>
      <c r="H2892" s="210"/>
      <c r="J2892" t="s">
        <v>5585</v>
      </c>
      <c r="K2892" s="180" t="s">
        <v>5671</v>
      </c>
      <c r="M2892" t="s">
        <v>2246</v>
      </c>
      <c r="N2892" t="s">
        <v>5571</v>
      </c>
      <c r="O2892" t="s">
        <v>4930</v>
      </c>
      <c r="Q2892" t="str">
        <f t="shared" si="125"/>
        <v>condorProc.py --series 07180910_1013 --donoise --dumps a --procenv environments/pymidas_HVHV_NaI_mf.env</v>
      </c>
    </row>
    <row r="2893" spans="1:17">
      <c r="A2893" t="s">
        <v>8361</v>
      </c>
      <c r="H2893" s="210"/>
      <c r="K2893" s="187" t="s">
        <v>6206</v>
      </c>
      <c r="M2893" t="s">
        <v>2246</v>
      </c>
      <c r="N2893" t="s">
        <v>5571</v>
      </c>
      <c r="O2893" t="s">
        <v>4930</v>
      </c>
      <c r="Q2893" t="str">
        <f t="shared" si="125"/>
        <v>condorProc.py --series 07180910_1023 --donoise --dumps a --procenv environments/pymidas_HVHV_NaI_mf.env</v>
      </c>
    </row>
    <row r="2894" spans="1:17">
      <c r="A2894" t="s">
        <v>8362</v>
      </c>
      <c r="H2894" s="210"/>
      <c r="K2894" s="180"/>
      <c r="M2894" t="s">
        <v>2246</v>
      </c>
      <c r="N2894" t="s">
        <v>5571</v>
      </c>
      <c r="O2894" t="s">
        <v>4930</v>
      </c>
      <c r="Q2894" t="str">
        <f t="shared" si="125"/>
        <v>condorProc.py --series 07180910_1033 --donoise --dumps a --procenv environments/pymidas_HVHV_NaI_mf.env</v>
      </c>
    </row>
    <row r="2895" spans="1:17">
      <c r="A2895" t="s">
        <v>8363</v>
      </c>
      <c r="H2895" s="210"/>
      <c r="K2895" s="180"/>
      <c r="M2895" t="s">
        <v>2246</v>
      </c>
      <c r="N2895" t="s">
        <v>5571</v>
      </c>
      <c r="O2895" t="s">
        <v>4930</v>
      </c>
      <c r="Q2895" t="str">
        <f t="shared" ref="Q2895:Q2958" si="126">"condorProc.py --series "&amp;A2895&amp;" --donoise --dumps a --procenv environments/pymidas_HVHV_NaI_mf.env"</f>
        <v>condorProc.py --series 07180910_1044 --donoise --dumps a --procenv environments/pymidas_HVHV_NaI_mf.env</v>
      </c>
    </row>
    <row r="2896" spans="1:17">
      <c r="A2896" t="s">
        <v>8364</v>
      </c>
      <c r="H2896" s="210"/>
      <c r="K2896" s="180"/>
      <c r="M2896" t="s">
        <v>2246</v>
      </c>
      <c r="N2896" t="s">
        <v>5571</v>
      </c>
      <c r="O2896" t="s">
        <v>4930</v>
      </c>
      <c r="Q2896" t="str">
        <f t="shared" si="126"/>
        <v>condorProc.py --series 07180910_1054 --donoise --dumps a --procenv environments/pymidas_HVHV_NaI_mf.env</v>
      </c>
    </row>
    <row r="2897" spans="1:17">
      <c r="A2897" t="s">
        <v>8365</v>
      </c>
      <c r="H2897" s="210"/>
      <c r="K2897" s="180"/>
      <c r="M2897" t="s">
        <v>2246</v>
      </c>
      <c r="N2897" t="s">
        <v>5571</v>
      </c>
      <c r="O2897" t="s">
        <v>4930</v>
      </c>
      <c r="Q2897" t="str">
        <f t="shared" si="126"/>
        <v>condorProc.py --series 07180910_1104 --donoise --dumps a --procenv environments/pymidas_HVHV_NaI_mf.env</v>
      </c>
    </row>
    <row r="2898" spans="1:17">
      <c r="A2898" t="s">
        <v>8366</v>
      </c>
      <c r="H2898" s="210"/>
      <c r="K2898" s="180"/>
      <c r="M2898" t="s">
        <v>2246</v>
      </c>
      <c r="N2898" t="s">
        <v>5571</v>
      </c>
      <c r="O2898" t="s">
        <v>4930</v>
      </c>
      <c r="Q2898" t="str">
        <f t="shared" si="126"/>
        <v>condorProc.py --series 07180910_1114 --donoise --dumps a --procenv environments/pymidas_HVHV_NaI_mf.env</v>
      </c>
    </row>
    <row r="2899" spans="1:17">
      <c r="A2899" t="s">
        <v>8367</v>
      </c>
      <c r="H2899" s="210"/>
      <c r="K2899" s="180"/>
      <c r="M2899" t="s">
        <v>2246</v>
      </c>
      <c r="N2899" t="s">
        <v>5571</v>
      </c>
      <c r="O2899" t="s">
        <v>4930</v>
      </c>
      <c r="Q2899" t="str">
        <f t="shared" si="126"/>
        <v>condorProc.py --series 07180910_1124 --donoise --dumps a --procenv environments/pymidas_HVHV_NaI_mf.env</v>
      </c>
    </row>
    <row r="2900" spans="1:17">
      <c r="A2900" t="s">
        <v>8368</v>
      </c>
      <c r="H2900" s="210"/>
      <c r="K2900" s="180"/>
      <c r="M2900" t="s">
        <v>2246</v>
      </c>
      <c r="N2900" t="s">
        <v>5571</v>
      </c>
      <c r="O2900" t="s">
        <v>4930</v>
      </c>
      <c r="Q2900" t="str">
        <f t="shared" si="126"/>
        <v>condorProc.py --series 07180910_1134 --donoise --dumps a --procenv environments/pymidas_HVHV_NaI_mf.env</v>
      </c>
    </row>
    <row r="2901" spans="1:17">
      <c r="A2901" t="s">
        <v>8369</v>
      </c>
      <c r="H2901" s="210"/>
      <c r="K2901" s="180"/>
      <c r="M2901" t="s">
        <v>2246</v>
      </c>
      <c r="N2901" t="s">
        <v>5571</v>
      </c>
      <c r="O2901" t="s">
        <v>4930</v>
      </c>
      <c r="Q2901" t="str">
        <f t="shared" si="126"/>
        <v>condorProc.py --series 07180910_1144 --donoise --dumps a --procenv environments/pymidas_HVHV_NaI_mf.env</v>
      </c>
    </row>
    <row r="2902" spans="1:17">
      <c r="A2902" t="s">
        <v>8370</v>
      </c>
      <c r="F2902" s="65"/>
      <c r="G2902" s="65"/>
      <c r="H2902" s="211"/>
      <c r="I2902" s="65" t="s">
        <v>75</v>
      </c>
      <c r="J2902" s="65"/>
      <c r="K2902" s="182"/>
      <c r="M2902" t="s">
        <v>2246</v>
      </c>
      <c r="N2902" t="s">
        <v>5571</v>
      </c>
      <c r="O2902" t="s">
        <v>4930</v>
      </c>
      <c r="Q2902" t="str">
        <f t="shared" si="126"/>
        <v>condorProc.py --series 07180910_1154 --donoise --dumps a --procenv environments/pymidas_HVHV_NaI_mf.env</v>
      </c>
    </row>
    <row r="2903" spans="1:17">
      <c r="A2903" t="s">
        <v>8371</v>
      </c>
    </row>
    <row r="2904" spans="1:17">
      <c r="A2904" t="s">
        <v>8372</v>
      </c>
      <c r="F2904" s="177">
        <v>10</v>
      </c>
      <c r="G2904" s="203" t="s">
        <v>5297</v>
      </c>
      <c r="H2904" s="209">
        <v>-80</v>
      </c>
      <c r="I2904" s="177"/>
      <c r="J2904" s="177" t="s">
        <v>5577</v>
      </c>
      <c r="K2904" s="178" t="s">
        <v>5583</v>
      </c>
      <c r="M2904" t="s">
        <v>2246</v>
      </c>
      <c r="N2904" t="s">
        <v>5571</v>
      </c>
      <c r="O2904" t="s">
        <v>4933</v>
      </c>
      <c r="Q2904" t="str">
        <f t="shared" si="126"/>
        <v>condorProc.py --series 07180910_1626 --donoise --dumps a --procenv environments/pymidas_HVHV_NaI_mf.env</v>
      </c>
    </row>
    <row r="2905" spans="1:17">
      <c r="A2905" t="s">
        <v>8373</v>
      </c>
      <c r="G2905" s="205"/>
      <c r="H2905" s="210"/>
      <c r="J2905" t="s">
        <v>5585</v>
      </c>
      <c r="K2905" s="180" t="s">
        <v>5671</v>
      </c>
      <c r="M2905" t="s">
        <v>2246</v>
      </c>
      <c r="N2905" t="s">
        <v>5571</v>
      </c>
      <c r="O2905" t="s">
        <v>4933</v>
      </c>
      <c r="Q2905" t="str">
        <f t="shared" si="126"/>
        <v>condorProc.py --series 07180910_1636 --donoise --dumps a --procenv environments/pymidas_HVHV_NaI_mf.env</v>
      </c>
    </row>
    <row r="2906" spans="1:17">
      <c r="A2906" t="s">
        <v>8374</v>
      </c>
      <c r="G2906" s="205"/>
      <c r="H2906" s="210"/>
      <c r="K2906" s="187" t="s">
        <v>6206</v>
      </c>
      <c r="M2906" t="s">
        <v>2246</v>
      </c>
      <c r="N2906" t="s">
        <v>5571</v>
      </c>
      <c r="O2906" t="s">
        <v>4933</v>
      </c>
      <c r="Q2906" t="str">
        <f t="shared" si="126"/>
        <v>condorProc.py --series 07180910_1646 --donoise --dumps a --procenv environments/pymidas_HVHV_NaI_mf.env</v>
      </c>
    </row>
    <row r="2907" spans="1:17">
      <c r="A2907" t="s">
        <v>8375</v>
      </c>
      <c r="G2907" s="205"/>
      <c r="H2907" s="210"/>
      <c r="K2907" s="180"/>
      <c r="M2907" t="s">
        <v>2246</v>
      </c>
      <c r="N2907" t="s">
        <v>5571</v>
      </c>
      <c r="O2907" t="s">
        <v>4933</v>
      </c>
      <c r="Q2907" t="str">
        <f t="shared" si="126"/>
        <v>condorProc.py --series 07180910_1656 --donoise --dumps a --procenv environments/pymidas_HVHV_NaI_mf.env</v>
      </c>
    </row>
    <row r="2908" spans="1:17">
      <c r="A2908" t="s">
        <v>8376</v>
      </c>
      <c r="G2908" s="205"/>
      <c r="H2908" s="210"/>
      <c r="K2908" s="180"/>
      <c r="M2908" t="s">
        <v>2246</v>
      </c>
      <c r="N2908" t="s">
        <v>5571</v>
      </c>
      <c r="O2908" t="s">
        <v>4933</v>
      </c>
      <c r="Q2908" t="str">
        <f t="shared" si="126"/>
        <v>condorProc.py --series 07180910_1706 --donoise --dumps a --procenv environments/pymidas_HVHV_NaI_mf.env</v>
      </c>
    </row>
    <row r="2909" spans="1:17">
      <c r="A2909" t="s">
        <v>8377</v>
      </c>
      <c r="G2909" s="205"/>
      <c r="H2909" s="210"/>
      <c r="K2909" s="180"/>
      <c r="M2909" t="s">
        <v>2246</v>
      </c>
      <c r="N2909" t="s">
        <v>5571</v>
      </c>
      <c r="O2909" t="s">
        <v>4933</v>
      </c>
      <c r="Q2909" t="str">
        <f t="shared" si="126"/>
        <v>condorProc.py --series 07180910_1716 --donoise --dumps a --procenv environments/pymidas_HVHV_NaI_mf.env</v>
      </c>
    </row>
    <row r="2910" spans="1:17">
      <c r="A2910" t="s">
        <v>8378</v>
      </c>
      <c r="G2910" s="205"/>
      <c r="H2910" s="210"/>
      <c r="K2910" s="180"/>
      <c r="M2910" t="s">
        <v>2246</v>
      </c>
      <c r="N2910" t="s">
        <v>5571</v>
      </c>
      <c r="O2910" t="s">
        <v>4933</v>
      </c>
      <c r="Q2910" t="str">
        <f t="shared" si="126"/>
        <v>condorProc.py --series 07180910_1726 --donoise --dumps a --procenv environments/pymidas_HVHV_NaI_mf.env</v>
      </c>
    </row>
    <row r="2911" spans="1:17">
      <c r="A2911" t="s">
        <v>8379</v>
      </c>
      <c r="G2911" s="205"/>
      <c r="H2911" s="210"/>
      <c r="K2911" s="180"/>
      <c r="M2911" t="s">
        <v>2246</v>
      </c>
      <c r="N2911" t="s">
        <v>5571</v>
      </c>
      <c r="O2911" t="s">
        <v>4933</v>
      </c>
      <c r="Q2911" t="str">
        <f t="shared" si="126"/>
        <v>condorProc.py --series 07180910_1737 --donoise --dumps a --procenv environments/pymidas_HVHV_NaI_mf.env</v>
      </c>
    </row>
    <row r="2912" spans="1:17">
      <c r="A2912" t="s">
        <v>8380</v>
      </c>
      <c r="G2912" s="205"/>
      <c r="H2912" s="210"/>
      <c r="K2912" s="180"/>
      <c r="M2912" t="s">
        <v>2246</v>
      </c>
      <c r="N2912" t="s">
        <v>5571</v>
      </c>
      <c r="O2912" t="s">
        <v>4933</v>
      </c>
      <c r="Q2912" t="str">
        <f t="shared" si="126"/>
        <v>condorProc.py --series 07180910_1747 --donoise --dumps a --procenv environments/pymidas_HVHV_NaI_mf.env</v>
      </c>
    </row>
    <row r="2913" spans="1:17">
      <c r="A2913" t="s">
        <v>8381</v>
      </c>
      <c r="G2913" s="205"/>
      <c r="H2913" s="210"/>
      <c r="K2913" s="180"/>
      <c r="M2913" t="s">
        <v>2246</v>
      </c>
      <c r="N2913" t="s">
        <v>5571</v>
      </c>
      <c r="O2913" t="s">
        <v>4933</v>
      </c>
      <c r="Q2913" t="str">
        <f t="shared" si="126"/>
        <v>condorProc.py --series 07180910_1757 --donoise --dumps a --procenv environments/pymidas_HVHV_NaI_mf.env</v>
      </c>
    </row>
    <row r="2914" spans="1:17">
      <c r="A2914" t="s">
        <v>8382</v>
      </c>
      <c r="G2914" s="205"/>
      <c r="H2914" s="210"/>
      <c r="I2914" t="s">
        <v>8383</v>
      </c>
      <c r="K2914" s="180" t="s">
        <v>8384</v>
      </c>
      <c r="M2914" t="s">
        <v>2246</v>
      </c>
      <c r="N2914" t="s">
        <v>5571</v>
      </c>
      <c r="Q2914" t="str">
        <f t="shared" si="126"/>
        <v>condorProc.py --series 07180910_1807 --donoise --dumps a --procenv environments/pymidas_HVHV_NaI_mf.env</v>
      </c>
    </row>
    <row r="2915" spans="1:17">
      <c r="A2915" s="176" t="s">
        <v>8385</v>
      </c>
      <c r="B2915" s="177"/>
      <c r="C2915" s="177"/>
      <c r="D2915" s="177"/>
      <c r="E2915" s="177"/>
      <c r="F2915" s="177">
        <v>10</v>
      </c>
      <c r="G2915" s="203" t="s">
        <v>5297</v>
      </c>
      <c r="H2915" s="209">
        <v>-80</v>
      </c>
      <c r="I2915" s="177"/>
      <c r="J2915" s="177" t="s">
        <v>5577</v>
      </c>
      <c r="K2915" s="178" t="s">
        <v>5583</v>
      </c>
      <c r="M2915" t="s">
        <v>2246</v>
      </c>
      <c r="N2915" t="s">
        <v>5571</v>
      </c>
      <c r="O2915" t="s">
        <v>4934</v>
      </c>
      <c r="Q2915" t="str">
        <f t="shared" si="126"/>
        <v>condorProc.py --series 07180910_1950 --donoise --dumps a --procenv environments/pymidas_HVHV_NaI_mf.env</v>
      </c>
    </row>
    <row r="2916" spans="1:17">
      <c r="A2916" s="179" t="s">
        <v>8386</v>
      </c>
      <c r="G2916" s="205"/>
      <c r="H2916" s="210"/>
      <c r="J2916" t="s">
        <v>5585</v>
      </c>
      <c r="K2916" s="218" t="s">
        <v>5586</v>
      </c>
      <c r="M2916" t="s">
        <v>2246</v>
      </c>
      <c r="N2916" t="s">
        <v>5571</v>
      </c>
      <c r="O2916" t="s">
        <v>4934</v>
      </c>
      <c r="Q2916" t="str">
        <f t="shared" si="126"/>
        <v>condorProc.py --series 07180910_2000 --donoise --dumps a --procenv environments/pymidas_HVHV_NaI_mf.env</v>
      </c>
    </row>
    <row r="2917" spans="1:17">
      <c r="A2917" s="179" t="s">
        <v>8387</v>
      </c>
      <c r="G2917" s="205"/>
      <c r="H2917" s="210"/>
      <c r="I2917" t="s">
        <v>75</v>
      </c>
      <c r="K2917" s="219" t="s">
        <v>8388</v>
      </c>
      <c r="M2917" t="s">
        <v>2246</v>
      </c>
      <c r="N2917" t="s">
        <v>5571</v>
      </c>
      <c r="O2917" t="s">
        <v>4934</v>
      </c>
      <c r="Q2917" t="str">
        <f t="shared" si="126"/>
        <v>condorProc.py --series 07180910_2010 --donoise --dumps a --procenv environments/pymidas_HVHV_NaI_mf.env</v>
      </c>
    </row>
    <row r="2918" spans="1:17">
      <c r="A2918" s="179" t="s">
        <v>8389</v>
      </c>
      <c r="G2918" s="205"/>
      <c r="H2918" s="210"/>
      <c r="K2918" s="180"/>
      <c r="M2918" t="s">
        <v>2246</v>
      </c>
      <c r="N2918" t="s">
        <v>5571</v>
      </c>
      <c r="O2918" t="s">
        <v>4934</v>
      </c>
      <c r="Q2918" t="str">
        <f t="shared" si="126"/>
        <v>condorProc.py --series 07180910_2020 --donoise --dumps a --procenv environments/pymidas_HVHV_NaI_mf.env</v>
      </c>
    </row>
    <row r="2919" spans="1:17">
      <c r="A2919" s="179" t="s">
        <v>8390</v>
      </c>
      <c r="G2919" s="205"/>
      <c r="H2919" s="210"/>
      <c r="K2919" s="180"/>
      <c r="M2919" t="s">
        <v>2246</v>
      </c>
      <c r="N2919" t="s">
        <v>5571</v>
      </c>
      <c r="O2919" t="s">
        <v>4934</v>
      </c>
      <c r="Q2919" t="str">
        <f t="shared" si="126"/>
        <v>condorProc.py --series 07180910_2030 --donoise --dumps a --procenv environments/pymidas_HVHV_NaI_mf.env</v>
      </c>
    </row>
    <row r="2920" spans="1:17">
      <c r="A2920" s="179" t="s">
        <v>8391</v>
      </c>
      <c r="G2920" s="205"/>
      <c r="H2920" s="210"/>
      <c r="K2920" s="180"/>
      <c r="M2920" t="s">
        <v>2246</v>
      </c>
      <c r="N2920" t="s">
        <v>5571</v>
      </c>
      <c r="O2920" t="s">
        <v>4934</v>
      </c>
      <c r="Q2920" t="str">
        <f t="shared" si="126"/>
        <v>condorProc.py --series 07180910_2040 --donoise --dumps a --procenv environments/pymidas_HVHV_NaI_mf.env</v>
      </c>
    </row>
    <row r="2921" spans="1:17">
      <c r="A2921" s="179" t="s">
        <v>8392</v>
      </c>
      <c r="G2921" s="205"/>
      <c r="H2921" s="210"/>
      <c r="K2921" s="180"/>
      <c r="M2921" t="s">
        <v>2246</v>
      </c>
      <c r="N2921" t="s">
        <v>5571</v>
      </c>
      <c r="O2921" t="s">
        <v>4934</v>
      </c>
      <c r="Q2921" t="str">
        <f t="shared" si="126"/>
        <v>condorProc.py --series 07180910_2050 --donoise --dumps a --procenv environments/pymidas_HVHV_NaI_mf.env</v>
      </c>
    </row>
    <row r="2922" spans="1:17">
      <c r="A2922" s="179" t="s">
        <v>8393</v>
      </c>
      <c r="G2922" s="205"/>
      <c r="H2922" s="210"/>
      <c r="K2922" s="180"/>
      <c r="M2922" t="s">
        <v>2246</v>
      </c>
      <c r="N2922" t="s">
        <v>5571</v>
      </c>
      <c r="O2922" t="s">
        <v>4934</v>
      </c>
      <c r="Q2922" t="str">
        <f t="shared" si="126"/>
        <v>condorProc.py --series 07180910_2100 --donoise --dumps a --procenv environments/pymidas_HVHV_NaI_mf.env</v>
      </c>
    </row>
    <row r="2923" spans="1:17">
      <c r="A2923" s="179" t="s">
        <v>8394</v>
      </c>
      <c r="G2923" s="205"/>
      <c r="H2923" s="210"/>
      <c r="K2923" s="180"/>
      <c r="M2923" t="s">
        <v>2246</v>
      </c>
      <c r="N2923" t="s">
        <v>5571</v>
      </c>
      <c r="O2923" t="s">
        <v>4934</v>
      </c>
      <c r="Q2923" t="str">
        <f t="shared" si="126"/>
        <v>condorProc.py --series 07180910_2110 --donoise --dumps a --procenv environments/pymidas_HVHV_NaI_mf.env</v>
      </c>
    </row>
    <row r="2924" spans="1:17">
      <c r="A2924" s="179" t="s">
        <v>8395</v>
      </c>
      <c r="G2924" s="205"/>
      <c r="H2924" s="210"/>
      <c r="K2924" s="180"/>
      <c r="M2924" t="s">
        <v>2246</v>
      </c>
      <c r="N2924" t="s">
        <v>5571</v>
      </c>
      <c r="O2924" t="s">
        <v>4934</v>
      </c>
      <c r="Q2924" t="str">
        <f t="shared" si="126"/>
        <v>condorProc.py --series 07180910_2120 --donoise --dumps a --procenv environments/pymidas_HVHV_NaI_mf.env</v>
      </c>
    </row>
    <row r="2925" spans="1:17">
      <c r="A2925" s="179" t="s">
        <v>8396</v>
      </c>
      <c r="G2925" s="205"/>
      <c r="H2925" s="210"/>
      <c r="K2925" s="180"/>
      <c r="M2925" t="s">
        <v>2246</v>
      </c>
      <c r="N2925" t="s">
        <v>5571</v>
      </c>
      <c r="O2925" t="s">
        <v>4934</v>
      </c>
      <c r="Q2925" t="str">
        <f t="shared" si="126"/>
        <v>condorProc.py --series 07180910_2130 --donoise --dumps a --procenv environments/pymidas_HVHV_NaI_mf.env</v>
      </c>
    </row>
    <row r="2926" spans="1:17">
      <c r="A2926" s="181" t="s">
        <v>8397</v>
      </c>
      <c r="B2926" s="65"/>
      <c r="C2926" s="65"/>
      <c r="D2926" s="65"/>
      <c r="E2926" s="65"/>
      <c r="F2926" s="65"/>
      <c r="G2926" s="204"/>
      <c r="H2926" s="211"/>
      <c r="I2926" s="65" t="s">
        <v>75</v>
      </c>
      <c r="J2926" s="65"/>
      <c r="K2926" s="182"/>
      <c r="M2926" t="s">
        <v>2246</v>
      </c>
      <c r="N2926" t="s">
        <v>5571</v>
      </c>
      <c r="O2926" t="s">
        <v>4934</v>
      </c>
      <c r="Q2926" t="str">
        <f t="shared" si="126"/>
        <v>condorProc.py --series 07180910_2141 --donoise --dumps a --procenv environments/pymidas_HVHV_NaI_mf.env</v>
      </c>
    </row>
    <row r="2927" spans="1:17">
      <c r="A2927" t="s">
        <v>8398</v>
      </c>
      <c r="F2927" s="177">
        <v>10</v>
      </c>
      <c r="G2927" s="203" t="s">
        <v>5297</v>
      </c>
      <c r="H2927" s="209">
        <v>-80</v>
      </c>
      <c r="I2927" s="177" t="s">
        <v>75</v>
      </c>
      <c r="J2927" s="177" t="s">
        <v>5577</v>
      </c>
      <c r="K2927" s="178" t="s">
        <v>5583</v>
      </c>
      <c r="M2927" t="s">
        <v>2246</v>
      </c>
      <c r="N2927" t="s">
        <v>5571</v>
      </c>
      <c r="O2927" t="s">
        <v>4934</v>
      </c>
      <c r="Q2927" t="str">
        <f t="shared" si="126"/>
        <v>condorProc.py --series 07180910_2232 --donoise --dumps a --procenv environments/pymidas_HVHV_NaI_mf.env</v>
      </c>
    </row>
    <row r="2928" spans="1:17">
      <c r="A2928" t="s">
        <v>8399</v>
      </c>
      <c r="G2928" s="205"/>
      <c r="H2928" s="210"/>
      <c r="I2928" s="197" t="s">
        <v>5434</v>
      </c>
      <c r="J2928" t="s">
        <v>5585</v>
      </c>
      <c r="K2928" s="218" t="s">
        <v>5586</v>
      </c>
      <c r="M2928" t="s">
        <v>2246</v>
      </c>
      <c r="N2928" t="s">
        <v>5571</v>
      </c>
      <c r="Q2928" t="str">
        <f t="shared" si="126"/>
        <v>condorProc.py --series 07180910_2243 --donoise --dumps a --procenv environments/pymidas_HVHV_NaI_mf.env</v>
      </c>
    </row>
    <row r="2929" spans="1:17">
      <c r="A2929" t="s">
        <v>8400</v>
      </c>
      <c r="G2929" s="205"/>
      <c r="H2929" s="210"/>
      <c r="I2929" s="197" t="s">
        <v>5434</v>
      </c>
      <c r="K2929" s="219" t="s">
        <v>8388</v>
      </c>
      <c r="M2929" t="s">
        <v>2246</v>
      </c>
      <c r="N2929" t="s">
        <v>5571</v>
      </c>
      <c r="Q2929" t="str">
        <f t="shared" si="126"/>
        <v>condorProc.py --series 07180910_2253 --donoise --dumps a --procenv environments/pymidas_HVHV_NaI_mf.env</v>
      </c>
    </row>
    <row r="2930" spans="1:17">
      <c r="A2930" t="s">
        <v>8401</v>
      </c>
      <c r="G2930" s="205"/>
      <c r="H2930" s="210"/>
      <c r="I2930" s="197" t="s">
        <v>5434</v>
      </c>
      <c r="M2930" t="s">
        <v>2246</v>
      </c>
      <c r="N2930" t="s">
        <v>5571</v>
      </c>
      <c r="Q2930" t="str">
        <f t="shared" si="126"/>
        <v>condorProc.py --series 07180910_2303 --donoise --dumps a --procenv environments/pymidas_HVHV_NaI_mf.env</v>
      </c>
    </row>
    <row r="2931" spans="1:17">
      <c r="A2931" t="s">
        <v>8402</v>
      </c>
      <c r="G2931" s="205"/>
      <c r="H2931" s="210"/>
      <c r="I2931" s="197" t="s">
        <v>5434</v>
      </c>
      <c r="K2931" s="180"/>
      <c r="M2931" t="s">
        <v>2246</v>
      </c>
      <c r="N2931" t="s">
        <v>5571</v>
      </c>
      <c r="Q2931" t="str">
        <f t="shared" si="126"/>
        <v>condorProc.py --series 07180910_2313 --donoise --dumps a --procenv environments/pymidas_HVHV_NaI_mf.env</v>
      </c>
    </row>
    <row r="2932" spans="1:17">
      <c r="A2932" t="s">
        <v>8403</v>
      </c>
      <c r="G2932" s="205"/>
      <c r="H2932" s="210"/>
      <c r="I2932" s="197" t="s">
        <v>5434</v>
      </c>
      <c r="K2932" s="180"/>
      <c r="M2932" t="s">
        <v>2246</v>
      </c>
      <c r="N2932" t="s">
        <v>5571</v>
      </c>
      <c r="Q2932" t="str">
        <f t="shared" si="126"/>
        <v>condorProc.py --series 07180910_2323 --donoise --dumps a --procenv environments/pymidas_HVHV_NaI_mf.env</v>
      </c>
    </row>
    <row r="2933" spans="1:17">
      <c r="A2933" t="s">
        <v>8404</v>
      </c>
      <c r="G2933" s="205"/>
      <c r="H2933" s="210"/>
      <c r="I2933" s="197" t="s">
        <v>5434</v>
      </c>
      <c r="K2933" s="180"/>
      <c r="M2933" t="s">
        <v>2246</v>
      </c>
      <c r="N2933" t="s">
        <v>5571</v>
      </c>
      <c r="Q2933" t="str">
        <f t="shared" si="126"/>
        <v>condorProc.py --series 07180910_2333 --donoise --dumps a --procenv environments/pymidas_HVHV_NaI_mf.env</v>
      </c>
    </row>
    <row r="2934" spans="1:17">
      <c r="A2934" t="s">
        <v>8405</v>
      </c>
      <c r="G2934" s="205"/>
      <c r="H2934" s="210"/>
      <c r="I2934" s="197" t="s">
        <v>5434</v>
      </c>
      <c r="K2934" s="180" t="s">
        <v>8298</v>
      </c>
      <c r="M2934" t="s">
        <v>2246</v>
      </c>
      <c r="N2934" t="s">
        <v>5571</v>
      </c>
      <c r="Q2934" t="str">
        <f t="shared" si="126"/>
        <v>condorProc.py --series 07180910_2343 --donoise --dumps a --procenv environments/pymidas_HVHV_NaI_mf.env</v>
      </c>
    </row>
    <row r="2935" spans="1:17">
      <c r="A2935" t="s">
        <v>8406</v>
      </c>
      <c r="G2935" s="205"/>
      <c r="H2935" s="210"/>
      <c r="I2935" s="197" t="s">
        <v>5434</v>
      </c>
      <c r="K2935" s="180"/>
      <c r="M2935" t="s">
        <v>2246</v>
      </c>
      <c r="N2935" t="s">
        <v>5571</v>
      </c>
      <c r="Q2935" t="str">
        <f t="shared" si="126"/>
        <v>condorProc.py --series 07180910_2353 --donoise --dumps a --procenv environments/pymidas_HVHV_NaI_mf.env</v>
      </c>
    </row>
    <row r="2936" spans="1:17">
      <c r="A2936" t="s">
        <v>8407</v>
      </c>
      <c r="G2936" s="205"/>
      <c r="H2936" s="210"/>
      <c r="I2936" s="197" t="s">
        <v>5434</v>
      </c>
      <c r="K2936" s="180"/>
      <c r="M2936" t="s">
        <v>2246</v>
      </c>
      <c r="N2936" t="s">
        <v>5571</v>
      </c>
      <c r="Q2936" t="str">
        <f t="shared" si="126"/>
        <v>condorProc.py --series 07180911_0003 --donoise --dumps a --procenv environments/pymidas_HVHV_NaI_mf.env</v>
      </c>
    </row>
    <row r="2937" spans="1:17">
      <c r="A2937" t="s">
        <v>8408</v>
      </c>
      <c r="G2937" s="205"/>
      <c r="H2937" s="210"/>
      <c r="I2937" s="197" t="s">
        <v>5434</v>
      </c>
      <c r="K2937" s="180"/>
      <c r="M2937" t="s">
        <v>2246</v>
      </c>
      <c r="N2937" t="s">
        <v>5571</v>
      </c>
      <c r="Q2937" t="str">
        <f t="shared" si="126"/>
        <v>condorProc.py --series 07180911_0013 --donoise --dumps a --procenv environments/pymidas_HVHV_NaI_mf.env</v>
      </c>
    </row>
    <row r="2938" spans="1:17">
      <c r="A2938" t="s">
        <v>8409</v>
      </c>
      <c r="F2938" s="65"/>
      <c r="G2938" s="204"/>
      <c r="H2938" s="211"/>
      <c r="I2938" s="197" t="s">
        <v>5434</v>
      </c>
      <c r="J2938" s="65"/>
      <c r="K2938" s="182"/>
      <c r="M2938" t="s">
        <v>2246</v>
      </c>
      <c r="N2938" t="s">
        <v>5571</v>
      </c>
      <c r="Q2938" t="str">
        <f t="shared" si="126"/>
        <v>condorProc.py --series 07180911_0023 --donoise --dumps a --procenv environments/pymidas_HVHV_NaI_mf.env</v>
      </c>
    </row>
    <row r="2939" spans="1:17">
      <c r="A2939" t="s">
        <v>8410</v>
      </c>
      <c r="F2939" s="177">
        <v>10</v>
      </c>
      <c r="G2939" s="203" t="s">
        <v>5297</v>
      </c>
      <c r="H2939" s="209">
        <v>-80</v>
      </c>
      <c r="I2939" s="197" t="s">
        <v>5434</v>
      </c>
      <c r="J2939" s="177" t="s">
        <v>5577</v>
      </c>
      <c r="K2939" s="178" t="s">
        <v>5583</v>
      </c>
      <c r="M2939" t="s">
        <v>2246</v>
      </c>
      <c r="N2939" t="s">
        <v>5571</v>
      </c>
      <c r="Q2939" t="str">
        <f t="shared" si="126"/>
        <v>condorProc.py --series 07180911_0115 --donoise --dumps a --procenv environments/pymidas_HVHV_NaI_mf.env</v>
      </c>
    </row>
    <row r="2940" spans="1:17">
      <c r="A2940" t="s">
        <v>8411</v>
      </c>
      <c r="G2940" s="205"/>
      <c r="H2940" s="210"/>
      <c r="I2940" s="197" t="s">
        <v>5434</v>
      </c>
      <c r="J2940" t="s">
        <v>5585</v>
      </c>
      <c r="K2940" s="218" t="s">
        <v>5586</v>
      </c>
      <c r="M2940" t="s">
        <v>2246</v>
      </c>
      <c r="N2940" t="s">
        <v>5571</v>
      </c>
      <c r="Q2940" t="str">
        <f t="shared" si="126"/>
        <v>condorProc.py --series 07180911_0125 --donoise --dumps a --procenv environments/pymidas_HVHV_NaI_mf.env</v>
      </c>
    </row>
    <row r="2941" spans="1:17">
      <c r="A2941" t="s">
        <v>8412</v>
      </c>
      <c r="G2941" s="205"/>
      <c r="H2941" s="210"/>
      <c r="I2941" s="197" t="s">
        <v>5434</v>
      </c>
      <c r="K2941" s="219" t="s">
        <v>8388</v>
      </c>
      <c r="M2941" t="s">
        <v>2246</v>
      </c>
      <c r="N2941" t="s">
        <v>5571</v>
      </c>
      <c r="Q2941" t="str">
        <f t="shared" si="126"/>
        <v>condorProc.py --series 07180911_0135 --donoise --dumps a --procenv environments/pymidas_HVHV_NaI_mf.env</v>
      </c>
    </row>
    <row r="2942" spans="1:17">
      <c r="A2942" t="s">
        <v>8413</v>
      </c>
      <c r="G2942" s="205"/>
      <c r="H2942" s="210"/>
      <c r="I2942" t="s">
        <v>75</v>
      </c>
      <c r="K2942" s="180"/>
      <c r="M2942" t="s">
        <v>2246</v>
      </c>
      <c r="N2942" t="s">
        <v>5571</v>
      </c>
      <c r="O2942" t="s">
        <v>4934</v>
      </c>
      <c r="Q2942" t="str">
        <f t="shared" si="126"/>
        <v>condorProc.py --series 07180911_0146 --donoise --dumps a --procenv environments/pymidas_HVHV_NaI_mf.env</v>
      </c>
    </row>
    <row r="2943" spans="1:17">
      <c r="A2943" t="s">
        <v>8414</v>
      </c>
      <c r="G2943" s="205"/>
      <c r="H2943" s="210"/>
      <c r="K2943" s="180"/>
      <c r="M2943" t="s">
        <v>2246</v>
      </c>
      <c r="N2943" t="s">
        <v>5571</v>
      </c>
      <c r="O2943" t="s">
        <v>4934</v>
      </c>
      <c r="Q2943" t="str">
        <f t="shared" si="126"/>
        <v>condorProc.py --series 07180911_0156 --donoise --dumps a --procenv environments/pymidas_HVHV_NaI_mf.env</v>
      </c>
    </row>
    <row r="2944" spans="1:17">
      <c r="A2944" t="s">
        <v>8415</v>
      </c>
      <c r="G2944" s="205"/>
      <c r="H2944" s="210"/>
      <c r="K2944" s="180"/>
      <c r="M2944" t="s">
        <v>2246</v>
      </c>
      <c r="N2944" t="s">
        <v>5571</v>
      </c>
      <c r="O2944" t="s">
        <v>4934</v>
      </c>
      <c r="Q2944" t="str">
        <f t="shared" si="126"/>
        <v>condorProc.py --series 07180911_0206 --donoise --dumps a --procenv environments/pymidas_HVHV_NaI_mf.env</v>
      </c>
    </row>
    <row r="2945" spans="1:17">
      <c r="A2945" t="s">
        <v>8416</v>
      </c>
      <c r="G2945" s="205"/>
      <c r="H2945" s="210"/>
      <c r="K2945" s="180"/>
      <c r="M2945" t="s">
        <v>2246</v>
      </c>
      <c r="N2945" t="s">
        <v>5571</v>
      </c>
      <c r="O2945" t="s">
        <v>4934</v>
      </c>
      <c r="Q2945" t="str">
        <f t="shared" si="126"/>
        <v>condorProc.py --series 07180911_0216 --donoise --dumps a --procenv environments/pymidas_HVHV_NaI_mf.env</v>
      </c>
    </row>
    <row r="2946" spans="1:17">
      <c r="A2946" t="s">
        <v>8417</v>
      </c>
      <c r="G2946" s="205"/>
      <c r="H2946" s="210"/>
      <c r="K2946" s="180"/>
      <c r="M2946" t="s">
        <v>2246</v>
      </c>
      <c r="N2946" t="s">
        <v>5571</v>
      </c>
      <c r="O2946" t="s">
        <v>4934</v>
      </c>
      <c r="Q2946" t="str">
        <f t="shared" si="126"/>
        <v>condorProc.py --series 07180911_0226 --donoise --dumps a --procenv environments/pymidas_HVHV_NaI_mf.env</v>
      </c>
    </row>
    <row r="2947" spans="1:17">
      <c r="A2947" t="s">
        <v>8418</v>
      </c>
      <c r="G2947" s="205"/>
      <c r="H2947" s="210"/>
      <c r="K2947" s="180"/>
      <c r="M2947" t="s">
        <v>2246</v>
      </c>
      <c r="N2947" t="s">
        <v>5571</v>
      </c>
      <c r="O2947" t="s">
        <v>4934</v>
      </c>
      <c r="Q2947" t="str">
        <f t="shared" si="126"/>
        <v>condorProc.py --series 07180911_0236 --donoise --dumps a --procenv environments/pymidas_HVHV_NaI_mf.env</v>
      </c>
    </row>
    <row r="2948" spans="1:17">
      <c r="A2948" t="s">
        <v>8419</v>
      </c>
      <c r="G2948" s="205"/>
      <c r="H2948" s="210"/>
      <c r="K2948" s="180"/>
      <c r="M2948" t="s">
        <v>2246</v>
      </c>
      <c r="N2948" t="s">
        <v>5571</v>
      </c>
      <c r="O2948" t="s">
        <v>4934</v>
      </c>
      <c r="Q2948" t="str">
        <f t="shared" si="126"/>
        <v>condorProc.py --series 07180911_0246 --donoise --dumps a --procenv environments/pymidas_HVHV_NaI_mf.env</v>
      </c>
    </row>
    <row r="2949" spans="1:17">
      <c r="A2949" t="s">
        <v>8420</v>
      </c>
      <c r="G2949" s="205"/>
      <c r="H2949" s="210"/>
      <c r="K2949" s="180"/>
      <c r="M2949" t="s">
        <v>2246</v>
      </c>
      <c r="N2949" t="s">
        <v>5571</v>
      </c>
      <c r="O2949" t="s">
        <v>4934</v>
      </c>
      <c r="Q2949" t="str">
        <f t="shared" si="126"/>
        <v>condorProc.py --series 07180911_0256 --donoise --dumps a --procenv environments/pymidas_HVHV_NaI_mf.env</v>
      </c>
    </row>
    <row r="2950" spans="1:17">
      <c r="A2950" t="s">
        <v>8421</v>
      </c>
      <c r="F2950" s="65"/>
      <c r="G2950" s="204"/>
      <c r="H2950" s="211"/>
      <c r="I2950" s="65" t="s">
        <v>75</v>
      </c>
      <c r="J2950" s="65"/>
      <c r="K2950" s="182"/>
      <c r="M2950" t="s">
        <v>2246</v>
      </c>
      <c r="N2950" t="s">
        <v>5571</v>
      </c>
      <c r="O2950" t="s">
        <v>4934</v>
      </c>
      <c r="Q2950" t="str">
        <f t="shared" si="126"/>
        <v>condorProc.py --series 07180911_0306 --donoise --dumps a --procenv environments/pymidas_HVHV_NaI_mf.env</v>
      </c>
    </row>
    <row r="2951" spans="1:17">
      <c r="A2951" t="s">
        <v>8422</v>
      </c>
      <c r="F2951" s="177">
        <v>10</v>
      </c>
      <c r="G2951" s="203" t="s">
        <v>5297</v>
      </c>
      <c r="H2951" s="209">
        <v>-80</v>
      </c>
      <c r="I2951" s="177"/>
      <c r="J2951" s="177" t="s">
        <v>5577</v>
      </c>
      <c r="K2951" s="178" t="s">
        <v>5583</v>
      </c>
      <c r="M2951" t="s">
        <v>2246</v>
      </c>
      <c r="N2951" t="s">
        <v>5571</v>
      </c>
      <c r="O2951" t="s">
        <v>4934</v>
      </c>
      <c r="Q2951" t="str">
        <f t="shared" si="126"/>
        <v>condorProc.py --series 07180911_0850 --donoise --dumps a --procenv environments/pymidas_HVHV_NaI_mf.env</v>
      </c>
    </row>
    <row r="2952" spans="1:17">
      <c r="A2952" t="s">
        <v>8423</v>
      </c>
      <c r="G2952" s="205"/>
      <c r="H2952" s="210"/>
      <c r="J2952" t="s">
        <v>5585</v>
      </c>
      <c r="K2952" s="218" t="s">
        <v>5586</v>
      </c>
      <c r="M2952" t="s">
        <v>2246</v>
      </c>
      <c r="N2952" t="s">
        <v>5571</v>
      </c>
      <c r="O2952" t="s">
        <v>4934</v>
      </c>
      <c r="Q2952" t="str">
        <f t="shared" si="126"/>
        <v>condorProc.py --series 07180911_0900 --donoise --dumps a --procenv environments/pymidas_HVHV_NaI_mf.env</v>
      </c>
    </row>
    <row r="2953" spans="1:17">
      <c r="A2953" t="s">
        <v>8424</v>
      </c>
      <c r="G2953" s="205"/>
      <c r="H2953" s="210"/>
      <c r="K2953" s="219" t="s">
        <v>8388</v>
      </c>
      <c r="M2953" t="s">
        <v>2246</v>
      </c>
      <c r="N2953" t="s">
        <v>5571</v>
      </c>
      <c r="O2953" t="s">
        <v>4934</v>
      </c>
      <c r="Q2953" t="str">
        <f t="shared" si="126"/>
        <v>condorProc.py --series 07180911_0910 --donoise --dumps a --procenv environments/pymidas_HVHV_NaI_mf.env</v>
      </c>
    </row>
    <row r="2954" spans="1:17">
      <c r="A2954" t="s">
        <v>8425</v>
      </c>
      <c r="G2954" s="205"/>
      <c r="H2954" s="210"/>
      <c r="K2954" s="180"/>
      <c r="M2954" t="s">
        <v>2246</v>
      </c>
      <c r="N2954" t="s">
        <v>5571</v>
      </c>
      <c r="O2954" t="s">
        <v>4934</v>
      </c>
      <c r="Q2954" t="str">
        <f t="shared" si="126"/>
        <v>condorProc.py --series 07180911_0920 --donoise --dumps a --procenv environments/pymidas_HVHV_NaI_mf.env</v>
      </c>
    </row>
    <row r="2955" spans="1:17">
      <c r="A2955" t="s">
        <v>8426</v>
      </c>
      <c r="G2955" s="205"/>
      <c r="H2955" s="210"/>
      <c r="K2955" s="180"/>
      <c r="M2955" t="s">
        <v>2246</v>
      </c>
      <c r="N2955" t="s">
        <v>5571</v>
      </c>
      <c r="O2955" t="s">
        <v>4934</v>
      </c>
      <c r="Q2955" t="str">
        <f t="shared" si="126"/>
        <v>condorProc.py --series 07180911_0930 --donoise --dumps a --procenv environments/pymidas_HVHV_NaI_mf.env</v>
      </c>
    </row>
    <row r="2956" spans="1:17">
      <c r="A2956" t="s">
        <v>8427</v>
      </c>
      <c r="G2956" s="205"/>
      <c r="H2956" s="210"/>
      <c r="K2956" s="180"/>
      <c r="M2956" t="s">
        <v>2246</v>
      </c>
      <c r="N2956" t="s">
        <v>5571</v>
      </c>
      <c r="O2956" t="s">
        <v>4934</v>
      </c>
      <c r="Q2956" t="str">
        <f t="shared" si="126"/>
        <v>condorProc.py --series 07180911_0941 --donoise --dumps a --procenv environments/pymidas_HVHV_NaI_mf.env</v>
      </c>
    </row>
    <row r="2957" spans="1:17">
      <c r="A2957" t="s">
        <v>8428</v>
      </c>
      <c r="G2957" s="205"/>
      <c r="H2957" s="210"/>
      <c r="K2957" s="180"/>
      <c r="M2957" t="s">
        <v>2246</v>
      </c>
      <c r="N2957" t="s">
        <v>5571</v>
      </c>
      <c r="O2957" t="s">
        <v>4934</v>
      </c>
      <c r="Q2957" t="str">
        <f t="shared" si="126"/>
        <v>condorProc.py --series 07180911_0951 --donoise --dumps a --procenv environments/pymidas_HVHV_NaI_mf.env</v>
      </c>
    </row>
    <row r="2958" spans="1:17">
      <c r="A2958" t="s">
        <v>8429</v>
      </c>
      <c r="G2958" s="205"/>
      <c r="H2958" s="210"/>
      <c r="K2958" s="180"/>
      <c r="M2958" t="s">
        <v>2246</v>
      </c>
      <c r="N2958" t="s">
        <v>5571</v>
      </c>
      <c r="O2958" t="s">
        <v>4934</v>
      </c>
      <c r="Q2958" t="str">
        <f t="shared" si="126"/>
        <v>condorProc.py --series 07180911_1001 --donoise --dumps a --procenv environments/pymidas_HVHV_NaI_mf.env</v>
      </c>
    </row>
    <row r="2959" spans="1:17">
      <c r="A2959" t="s">
        <v>8430</v>
      </c>
      <c r="G2959" s="205"/>
      <c r="H2959" s="210"/>
      <c r="K2959" s="180"/>
      <c r="M2959" t="s">
        <v>2246</v>
      </c>
      <c r="N2959" t="s">
        <v>5571</v>
      </c>
      <c r="O2959" t="s">
        <v>4934</v>
      </c>
      <c r="Q2959" t="str">
        <f t="shared" ref="Q2959:Q3022" si="127">"condorProc.py --series "&amp;A2959&amp;" --donoise --dumps a --procenv environments/pymidas_HVHV_NaI_mf.env"</f>
        <v>condorProc.py --series 07180911_1011 --donoise --dumps a --procenv environments/pymidas_HVHV_NaI_mf.env</v>
      </c>
    </row>
    <row r="2960" spans="1:17">
      <c r="A2960" t="s">
        <v>8431</v>
      </c>
      <c r="G2960" s="205"/>
      <c r="H2960" s="210"/>
      <c r="K2960" s="180"/>
      <c r="M2960" t="s">
        <v>2246</v>
      </c>
      <c r="N2960" t="s">
        <v>5571</v>
      </c>
      <c r="O2960" t="s">
        <v>4934</v>
      </c>
      <c r="Q2960" t="str">
        <f t="shared" si="127"/>
        <v>condorProc.py --series 07180911_1021 --donoise --dumps a --procenv environments/pymidas_HVHV_NaI_mf.env</v>
      </c>
    </row>
    <row r="2961" spans="1:17">
      <c r="A2961" t="s">
        <v>8432</v>
      </c>
      <c r="G2961" s="205"/>
      <c r="H2961" s="210"/>
      <c r="K2961" s="180"/>
      <c r="M2961" t="s">
        <v>2246</v>
      </c>
      <c r="N2961" t="s">
        <v>5571</v>
      </c>
      <c r="O2961" t="s">
        <v>4934</v>
      </c>
      <c r="Q2961" t="str">
        <f t="shared" si="127"/>
        <v>condorProc.py --series 07180911_1031 --donoise --dumps a --procenv environments/pymidas_HVHV_NaI_mf.env</v>
      </c>
    </row>
    <row r="2962" spans="1:17">
      <c r="A2962" t="s">
        <v>8433</v>
      </c>
      <c r="F2962" s="65"/>
      <c r="G2962" s="204"/>
      <c r="H2962" s="211"/>
      <c r="I2962" s="65" t="s">
        <v>75</v>
      </c>
      <c r="J2962" s="65"/>
      <c r="K2962" s="182"/>
      <c r="M2962" t="s">
        <v>2246</v>
      </c>
      <c r="N2962" t="s">
        <v>5571</v>
      </c>
      <c r="O2962" t="s">
        <v>4934</v>
      </c>
      <c r="Q2962" t="str">
        <f t="shared" si="127"/>
        <v>condorProc.py --series 07180911_1041 --donoise --dumps a --procenv environments/pymidas_HVHV_NaI_mf.env</v>
      </c>
    </row>
    <row r="2963" spans="1:17">
      <c r="A2963" t="s">
        <v>8434</v>
      </c>
      <c r="J2963" t="s">
        <v>5373</v>
      </c>
      <c r="M2963" t="s">
        <v>2246</v>
      </c>
      <c r="N2963" t="s">
        <v>5571</v>
      </c>
    </row>
    <row r="2964" spans="1:17">
      <c r="A2964" t="s">
        <v>8435</v>
      </c>
      <c r="F2964" s="177">
        <v>10</v>
      </c>
      <c r="G2964" s="203" t="s">
        <v>5297</v>
      </c>
      <c r="H2964" s="209">
        <v>-80</v>
      </c>
      <c r="I2964" s="177"/>
      <c r="J2964" s="177" t="s">
        <v>5577</v>
      </c>
      <c r="K2964" s="178" t="s">
        <v>5583</v>
      </c>
      <c r="M2964" t="s">
        <v>2246</v>
      </c>
      <c r="N2964" t="s">
        <v>5571</v>
      </c>
      <c r="O2964" t="s">
        <v>4934</v>
      </c>
      <c r="Q2964" t="str">
        <f t="shared" si="127"/>
        <v>condorProc.py --series 07180911_1614 --donoise --dumps a --procenv environments/pymidas_HVHV_NaI_mf.env</v>
      </c>
    </row>
    <row r="2965" spans="1:17">
      <c r="A2965" t="s">
        <v>8436</v>
      </c>
      <c r="G2965" s="205"/>
      <c r="H2965" s="210"/>
      <c r="J2965" t="s">
        <v>5585</v>
      </c>
      <c r="K2965" s="218" t="s">
        <v>5586</v>
      </c>
      <c r="M2965" t="s">
        <v>2246</v>
      </c>
      <c r="N2965" t="s">
        <v>5571</v>
      </c>
      <c r="O2965" t="s">
        <v>4934</v>
      </c>
      <c r="Q2965" t="str">
        <f t="shared" si="127"/>
        <v>condorProc.py --series 07180911_1624 --donoise --dumps a --procenv environments/pymidas_HVHV_NaI_mf.env</v>
      </c>
    </row>
    <row r="2966" spans="1:17">
      <c r="A2966" t="s">
        <v>8437</v>
      </c>
      <c r="G2966" s="205"/>
      <c r="H2966" s="210"/>
      <c r="K2966" s="219" t="s">
        <v>8388</v>
      </c>
      <c r="M2966" t="s">
        <v>2246</v>
      </c>
      <c r="N2966" t="s">
        <v>5571</v>
      </c>
      <c r="O2966" t="s">
        <v>4934</v>
      </c>
      <c r="Q2966" t="str">
        <f t="shared" si="127"/>
        <v>condorProc.py --series 07180911_1634 --donoise --dumps a --procenv environments/pymidas_HVHV_NaI_mf.env</v>
      </c>
    </row>
    <row r="2967" spans="1:17">
      <c r="A2967" t="s">
        <v>8438</v>
      </c>
      <c r="G2967" s="205"/>
      <c r="H2967" s="210"/>
      <c r="K2967" s="180"/>
      <c r="M2967" t="s">
        <v>2246</v>
      </c>
      <c r="N2967" t="s">
        <v>5571</v>
      </c>
      <c r="O2967" t="s">
        <v>4934</v>
      </c>
      <c r="Q2967" t="str">
        <f t="shared" si="127"/>
        <v>condorProc.py --series 07180911_1644 --donoise --dumps a --procenv environments/pymidas_HVHV_NaI_mf.env</v>
      </c>
    </row>
    <row r="2968" spans="1:17">
      <c r="A2968" t="s">
        <v>8439</v>
      </c>
      <c r="G2968" s="205"/>
      <c r="H2968" s="210"/>
      <c r="K2968" s="180"/>
      <c r="M2968" t="s">
        <v>2246</v>
      </c>
      <c r="N2968" t="s">
        <v>5571</v>
      </c>
      <c r="O2968" t="s">
        <v>4934</v>
      </c>
      <c r="Q2968" t="str">
        <f t="shared" si="127"/>
        <v>condorProc.py --series 07180911_1654 --donoise --dumps a --procenv environments/pymidas_HVHV_NaI_mf.env</v>
      </c>
    </row>
    <row r="2969" spans="1:17">
      <c r="A2969" t="s">
        <v>8440</v>
      </c>
      <c r="G2969" s="205"/>
      <c r="H2969" s="210"/>
      <c r="K2969" s="180"/>
      <c r="M2969" t="s">
        <v>2246</v>
      </c>
      <c r="N2969" t="s">
        <v>5571</v>
      </c>
      <c r="O2969" t="s">
        <v>4934</v>
      </c>
      <c r="Q2969" t="str">
        <f t="shared" si="127"/>
        <v>condorProc.py --series 07180911_1704 --donoise --dumps a --procenv environments/pymidas_HVHV_NaI_mf.env</v>
      </c>
    </row>
    <row r="2970" spans="1:17">
      <c r="A2970" t="s">
        <v>8441</v>
      </c>
      <c r="G2970" s="205"/>
      <c r="H2970" s="210"/>
      <c r="K2970" s="180"/>
      <c r="M2970" t="s">
        <v>2246</v>
      </c>
      <c r="N2970" t="s">
        <v>5571</v>
      </c>
      <c r="O2970" t="s">
        <v>4934</v>
      </c>
      <c r="Q2970" t="str">
        <f t="shared" si="127"/>
        <v>condorProc.py --series 07180911_1714 --donoise --dumps a --procenv environments/pymidas_HVHV_NaI_mf.env</v>
      </c>
    </row>
    <row r="2971" spans="1:17">
      <c r="A2971" t="s">
        <v>8442</v>
      </c>
      <c r="G2971" s="205"/>
      <c r="H2971" s="210"/>
      <c r="K2971" s="180"/>
      <c r="M2971" t="s">
        <v>2246</v>
      </c>
      <c r="N2971" t="s">
        <v>5571</v>
      </c>
      <c r="O2971" t="s">
        <v>4934</v>
      </c>
      <c r="Q2971" t="str">
        <f t="shared" si="127"/>
        <v>condorProc.py --series 07180911_1725 --donoise --dumps a --procenv environments/pymidas_HVHV_NaI_mf.env</v>
      </c>
    </row>
    <row r="2972" spans="1:17">
      <c r="A2972" t="s">
        <v>8443</v>
      </c>
      <c r="G2972" s="205"/>
      <c r="H2972" s="210"/>
      <c r="K2972" s="180"/>
      <c r="M2972" t="s">
        <v>2246</v>
      </c>
      <c r="N2972" t="s">
        <v>5571</v>
      </c>
      <c r="O2972" t="s">
        <v>4934</v>
      </c>
      <c r="Q2972" t="str">
        <f t="shared" si="127"/>
        <v>condorProc.py --series 07180911_1735 --donoise --dumps a --procenv environments/pymidas_HVHV_NaI_mf.env</v>
      </c>
    </row>
    <row r="2973" spans="1:17">
      <c r="A2973" t="s">
        <v>8444</v>
      </c>
      <c r="G2973" s="205"/>
      <c r="H2973" s="210"/>
      <c r="K2973" s="180"/>
      <c r="M2973" t="s">
        <v>2246</v>
      </c>
      <c r="N2973" t="s">
        <v>5571</v>
      </c>
      <c r="O2973" t="s">
        <v>4934</v>
      </c>
      <c r="Q2973" t="str">
        <f t="shared" si="127"/>
        <v>condorProc.py --series 07180911_1745 --donoise --dumps a --procenv environments/pymidas_HVHV_NaI_mf.env</v>
      </c>
    </row>
    <row r="2974" spans="1:17">
      <c r="A2974" t="s">
        <v>8445</v>
      </c>
      <c r="G2974" s="205"/>
      <c r="H2974" s="210"/>
      <c r="K2974" s="180"/>
      <c r="M2974" t="s">
        <v>2246</v>
      </c>
      <c r="N2974" t="s">
        <v>5571</v>
      </c>
      <c r="O2974" t="s">
        <v>4934</v>
      </c>
      <c r="Q2974" t="str">
        <f t="shared" si="127"/>
        <v>condorProc.py --series 07180911_1755 --donoise --dumps a --procenv environments/pymidas_HVHV_NaI_mf.env</v>
      </c>
    </row>
    <row r="2975" spans="1:17">
      <c r="A2975" t="s">
        <v>8446</v>
      </c>
      <c r="F2975" s="65"/>
      <c r="G2975" s="204"/>
      <c r="H2975" s="211"/>
      <c r="I2975" s="65"/>
      <c r="J2975" s="65"/>
      <c r="K2975" s="182"/>
      <c r="M2975" t="s">
        <v>2246</v>
      </c>
      <c r="N2975" t="s">
        <v>5571</v>
      </c>
      <c r="O2975" t="s">
        <v>4934</v>
      </c>
      <c r="Q2975" t="str">
        <f t="shared" si="127"/>
        <v>condorProc.py --series 07180911_1805 --donoise --dumps a --procenv environments/pymidas_HVHV_NaI_mf.env</v>
      </c>
    </row>
    <row r="2976" spans="1:17">
      <c r="A2976" t="s">
        <v>8447</v>
      </c>
      <c r="F2976" s="177">
        <v>10</v>
      </c>
      <c r="G2976" s="203" t="s">
        <v>5297</v>
      </c>
      <c r="H2976" s="209">
        <v>-80</v>
      </c>
      <c r="I2976" s="177"/>
      <c r="J2976" s="177" t="s">
        <v>5577</v>
      </c>
      <c r="K2976" s="178" t="s">
        <v>5583</v>
      </c>
      <c r="M2976" t="s">
        <v>2246</v>
      </c>
      <c r="N2976" t="s">
        <v>5571</v>
      </c>
      <c r="O2976" t="s">
        <v>4934</v>
      </c>
      <c r="Q2976" t="str">
        <f t="shared" si="127"/>
        <v>condorProc.py --series 07180911_1859 --donoise --dumps a --procenv environments/pymidas_HVHV_NaI_mf.env</v>
      </c>
    </row>
    <row r="2977" spans="1:17">
      <c r="A2977" t="s">
        <v>8448</v>
      </c>
      <c r="G2977" s="205"/>
      <c r="H2977" s="210"/>
      <c r="J2977" t="s">
        <v>5585</v>
      </c>
      <c r="K2977" s="218" t="s">
        <v>5586</v>
      </c>
      <c r="M2977" t="s">
        <v>2246</v>
      </c>
      <c r="N2977" t="s">
        <v>5571</v>
      </c>
      <c r="O2977" t="s">
        <v>4934</v>
      </c>
      <c r="Q2977" t="str">
        <f t="shared" si="127"/>
        <v>condorProc.py --series 07180911_1909 --donoise --dumps a --procenv environments/pymidas_HVHV_NaI_mf.env</v>
      </c>
    </row>
    <row r="2978" spans="1:17">
      <c r="A2978" t="s">
        <v>8449</v>
      </c>
      <c r="G2978" s="205"/>
      <c r="H2978" s="210"/>
      <c r="K2978" s="219" t="s">
        <v>8388</v>
      </c>
      <c r="M2978" t="s">
        <v>2246</v>
      </c>
      <c r="N2978" t="s">
        <v>5571</v>
      </c>
      <c r="O2978" t="s">
        <v>4934</v>
      </c>
      <c r="Q2978" t="str">
        <f t="shared" si="127"/>
        <v>condorProc.py --series 07180911_1919 --donoise --dumps a --procenv environments/pymidas_HVHV_NaI_mf.env</v>
      </c>
    </row>
    <row r="2979" spans="1:17">
      <c r="A2979" t="s">
        <v>8450</v>
      </c>
      <c r="G2979" s="205"/>
      <c r="H2979" s="210"/>
      <c r="K2979" s="180"/>
      <c r="M2979" t="s">
        <v>2246</v>
      </c>
      <c r="N2979" t="s">
        <v>5571</v>
      </c>
      <c r="O2979" t="s">
        <v>4934</v>
      </c>
      <c r="Q2979" t="str">
        <f t="shared" si="127"/>
        <v>condorProc.py --series 07180911_1929 --donoise --dumps a --procenv environments/pymidas_HVHV_NaI_mf.env</v>
      </c>
    </row>
    <row r="2980" spans="1:17">
      <c r="A2980" t="s">
        <v>8451</v>
      </c>
      <c r="G2980" s="205"/>
      <c r="H2980" s="210"/>
      <c r="K2980" s="180"/>
      <c r="M2980" t="s">
        <v>2246</v>
      </c>
      <c r="N2980" t="s">
        <v>5571</v>
      </c>
      <c r="O2980" t="s">
        <v>4934</v>
      </c>
      <c r="Q2980" t="str">
        <f t="shared" si="127"/>
        <v>condorProc.py --series 07180911_1939 --donoise --dumps a --procenv environments/pymidas_HVHV_NaI_mf.env</v>
      </c>
    </row>
    <row r="2981" spans="1:17">
      <c r="A2981" t="s">
        <v>8452</v>
      </c>
      <c r="G2981" s="205"/>
      <c r="H2981" s="210"/>
      <c r="K2981" s="180"/>
      <c r="M2981" t="s">
        <v>2246</v>
      </c>
      <c r="N2981" t="s">
        <v>5571</v>
      </c>
      <c r="O2981" t="s">
        <v>4934</v>
      </c>
      <c r="Q2981" t="str">
        <f t="shared" si="127"/>
        <v>condorProc.py --series 07180911_1950 --donoise --dumps a --procenv environments/pymidas_HVHV_NaI_mf.env</v>
      </c>
    </row>
    <row r="2982" spans="1:17">
      <c r="A2982" t="s">
        <v>8453</v>
      </c>
      <c r="G2982" s="205"/>
      <c r="H2982" s="210"/>
      <c r="K2982" s="180"/>
      <c r="M2982" t="s">
        <v>2246</v>
      </c>
      <c r="N2982" t="s">
        <v>5571</v>
      </c>
      <c r="O2982" t="s">
        <v>4934</v>
      </c>
      <c r="Q2982" t="str">
        <f t="shared" si="127"/>
        <v>condorProc.py --series 07180911_2000 --donoise --dumps a --procenv environments/pymidas_HVHV_NaI_mf.env</v>
      </c>
    </row>
    <row r="2983" spans="1:17">
      <c r="A2983" t="s">
        <v>8454</v>
      </c>
      <c r="G2983" s="205"/>
      <c r="H2983" s="210"/>
      <c r="K2983" s="180"/>
      <c r="M2983" t="s">
        <v>2246</v>
      </c>
      <c r="N2983" t="s">
        <v>5571</v>
      </c>
      <c r="O2983" t="s">
        <v>4934</v>
      </c>
      <c r="Q2983" t="str">
        <f t="shared" si="127"/>
        <v>condorProc.py --series 07180911_2010 --donoise --dumps a --procenv environments/pymidas_HVHV_NaI_mf.env</v>
      </c>
    </row>
    <row r="2984" spans="1:17">
      <c r="A2984" t="s">
        <v>8455</v>
      </c>
      <c r="G2984" s="205"/>
      <c r="H2984" s="210"/>
      <c r="K2984" s="180"/>
      <c r="M2984" t="s">
        <v>2246</v>
      </c>
      <c r="N2984" t="s">
        <v>5571</v>
      </c>
      <c r="O2984" t="s">
        <v>4934</v>
      </c>
      <c r="Q2984" t="str">
        <f t="shared" si="127"/>
        <v>condorProc.py --series 07180911_2020 --donoise --dumps a --procenv environments/pymidas_HVHV_NaI_mf.env</v>
      </c>
    </row>
    <row r="2985" spans="1:17">
      <c r="A2985" t="s">
        <v>8456</v>
      </c>
      <c r="G2985" s="205"/>
      <c r="H2985" s="210"/>
      <c r="K2985" s="180"/>
      <c r="M2985" t="s">
        <v>2246</v>
      </c>
      <c r="N2985" t="s">
        <v>5571</v>
      </c>
      <c r="O2985" t="s">
        <v>4934</v>
      </c>
      <c r="Q2985" t="str">
        <f t="shared" si="127"/>
        <v>condorProc.py --series 07180911_2030 --donoise --dumps a --procenv environments/pymidas_HVHV_NaI_mf.env</v>
      </c>
    </row>
    <row r="2986" spans="1:17">
      <c r="A2986" t="s">
        <v>8457</v>
      </c>
      <c r="G2986" s="205"/>
      <c r="H2986" s="210"/>
      <c r="K2986" s="180"/>
      <c r="M2986" t="s">
        <v>2246</v>
      </c>
      <c r="N2986" t="s">
        <v>5571</v>
      </c>
      <c r="O2986" t="s">
        <v>4934</v>
      </c>
      <c r="Q2986" t="str">
        <f t="shared" si="127"/>
        <v>condorProc.py --series 07180911_2040 --donoise --dumps a --procenv environments/pymidas_HVHV_NaI_mf.env</v>
      </c>
    </row>
    <row r="2987" spans="1:17">
      <c r="A2987" t="s">
        <v>8458</v>
      </c>
      <c r="F2987" s="65"/>
      <c r="G2987" s="204"/>
      <c r="H2987" s="211"/>
      <c r="I2987" s="65"/>
      <c r="J2987" s="65"/>
      <c r="K2987" s="182"/>
      <c r="M2987" t="s">
        <v>2246</v>
      </c>
      <c r="N2987" t="s">
        <v>5571</v>
      </c>
      <c r="O2987" t="s">
        <v>4934</v>
      </c>
      <c r="Q2987" t="str">
        <f t="shared" si="127"/>
        <v>condorProc.py --series 07180911_2050 --donoise --dumps a --procenv environments/pymidas_HVHV_NaI_mf.env</v>
      </c>
    </row>
    <row r="2988" spans="1:17">
      <c r="A2988" t="s">
        <v>8459</v>
      </c>
      <c r="F2988" s="177">
        <v>10</v>
      </c>
      <c r="G2988" s="203" t="s">
        <v>5297</v>
      </c>
      <c r="H2988" s="209">
        <v>-80</v>
      </c>
      <c r="I2988" s="177"/>
      <c r="J2988" s="177" t="s">
        <v>5577</v>
      </c>
      <c r="K2988" s="178" t="s">
        <v>5583</v>
      </c>
      <c r="M2988" t="s">
        <v>2246</v>
      </c>
      <c r="N2988" t="s">
        <v>5571</v>
      </c>
      <c r="O2988" t="s">
        <v>4934</v>
      </c>
      <c r="Q2988" t="str">
        <f t="shared" si="127"/>
        <v>condorProc.py --series 07180911_2144 --donoise --dumps a --procenv environments/pymidas_HVHV_NaI_mf.env</v>
      </c>
    </row>
    <row r="2989" spans="1:17">
      <c r="A2989" t="s">
        <v>8460</v>
      </c>
      <c r="G2989" s="205"/>
      <c r="H2989" s="210"/>
      <c r="J2989" t="s">
        <v>5585</v>
      </c>
      <c r="K2989" s="218" t="s">
        <v>5586</v>
      </c>
      <c r="M2989" t="s">
        <v>2246</v>
      </c>
      <c r="N2989" t="s">
        <v>5571</v>
      </c>
      <c r="O2989" t="s">
        <v>4934</v>
      </c>
      <c r="Q2989" t="str">
        <f t="shared" si="127"/>
        <v>condorProc.py --series 07180911_2154 --donoise --dumps a --procenv environments/pymidas_HVHV_NaI_mf.env</v>
      </c>
    </row>
    <row r="2990" spans="1:17">
      <c r="A2990" t="s">
        <v>8461</v>
      </c>
      <c r="G2990" s="205"/>
      <c r="H2990" s="210"/>
      <c r="I2990" t="s">
        <v>75</v>
      </c>
      <c r="K2990" s="219" t="s">
        <v>8388</v>
      </c>
      <c r="M2990" t="s">
        <v>2246</v>
      </c>
      <c r="N2990" t="s">
        <v>5571</v>
      </c>
      <c r="O2990" t="s">
        <v>4934</v>
      </c>
      <c r="Q2990" t="str">
        <f t="shared" si="127"/>
        <v>condorProc.py --series 07180911_2204 --donoise --dumps a --procenv environments/pymidas_HVHV_NaI_mf.env</v>
      </c>
    </row>
    <row r="2991" spans="1:17">
      <c r="A2991" t="s">
        <v>8462</v>
      </c>
      <c r="G2991" s="205"/>
      <c r="H2991" s="210"/>
      <c r="K2991" s="180"/>
      <c r="M2991" t="s">
        <v>2246</v>
      </c>
      <c r="N2991" t="s">
        <v>5571</v>
      </c>
      <c r="O2991" t="s">
        <v>4934</v>
      </c>
      <c r="Q2991" t="str">
        <f t="shared" si="127"/>
        <v>condorProc.py --series 07180911_2214 --donoise --dumps a --procenv environments/pymidas_HVHV_NaI_mf.env</v>
      </c>
    </row>
    <row r="2992" spans="1:17">
      <c r="A2992" t="s">
        <v>8463</v>
      </c>
      <c r="G2992" s="205"/>
      <c r="H2992" s="210"/>
      <c r="K2992" s="180"/>
      <c r="M2992" t="s">
        <v>2246</v>
      </c>
      <c r="N2992" t="s">
        <v>5571</v>
      </c>
      <c r="O2992" t="s">
        <v>4934</v>
      </c>
      <c r="Q2992" t="str">
        <f t="shared" si="127"/>
        <v>condorProc.py --series 07180911_2225 --donoise --dumps a --procenv environments/pymidas_HVHV_NaI_mf.env</v>
      </c>
    </row>
    <row r="2993" spans="1:17">
      <c r="A2993" t="s">
        <v>8464</v>
      </c>
      <c r="G2993" s="205"/>
      <c r="H2993" s="210"/>
      <c r="K2993" s="180"/>
      <c r="M2993" t="s">
        <v>2246</v>
      </c>
      <c r="N2993" t="s">
        <v>5571</v>
      </c>
      <c r="O2993" t="s">
        <v>4934</v>
      </c>
      <c r="Q2993" t="str">
        <f t="shared" si="127"/>
        <v>condorProc.py --series 07180911_2235 --donoise --dumps a --procenv environments/pymidas_HVHV_NaI_mf.env</v>
      </c>
    </row>
    <row r="2994" spans="1:17">
      <c r="A2994" t="s">
        <v>8465</v>
      </c>
      <c r="G2994" s="205"/>
      <c r="H2994" s="210"/>
      <c r="K2994" s="180"/>
      <c r="M2994" t="s">
        <v>2246</v>
      </c>
      <c r="N2994" t="s">
        <v>5571</v>
      </c>
      <c r="O2994" t="s">
        <v>4934</v>
      </c>
      <c r="Q2994" t="str">
        <f t="shared" si="127"/>
        <v>condorProc.py --series 07180911_2245 --donoise --dumps a --procenv environments/pymidas_HVHV_NaI_mf.env</v>
      </c>
    </row>
    <row r="2995" spans="1:17">
      <c r="A2995" t="s">
        <v>8466</v>
      </c>
      <c r="G2995" s="205"/>
      <c r="H2995" s="210"/>
      <c r="K2995" s="180"/>
      <c r="M2995" t="s">
        <v>2246</v>
      </c>
      <c r="N2995" t="s">
        <v>5571</v>
      </c>
      <c r="O2995" t="s">
        <v>4934</v>
      </c>
      <c r="Q2995" t="str">
        <f t="shared" si="127"/>
        <v>condorProc.py --series 07180911_2255 --donoise --dumps a --procenv environments/pymidas_HVHV_NaI_mf.env</v>
      </c>
    </row>
    <row r="2996" spans="1:17">
      <c r="A2996" t="s">
        <v>8467</v>
      </c>
      <c r="G2996" s="205"/>
      <c r="H2996" s="210"/>
      <c r="K2996" s="180"/>
      <c r="M2996" t="s">
        <v>2246</v>
      </c>
      <c r="N2996" t="s">
        <v>5571</v>
      </c>
      <c r="O2996" t="s">
        <v>4934</v>
      </c>
      <c r="Q2996" t="str">
        <f t="shared" si="127"/>
        <v>condorProc.py --series 07180911_2305 --donoise --dumps a --procenv environments/pymidas_HVHV_NaI_mf.env</v>
      </c>
    </row>
    <row r="2997" spans="1:17">
      <c r="A2997" t="s">
        <v>8468</v>
      </c>
      <c r="G2997" s="205"/>
      <c r="H2997" s="210"/>
      <c r="K2997" s="180"/>
      <c r="M2997" t="s">
        <v>2246</v>
      </c>
      <c r="N2997" t="s">
        <v>5571</v>
      </c>
      <c r="O2997" t="s">
        <v>4934</v>
      </c>
      <c r="Q2997" t="str">
        <f t="shared" si="127"/>
        <v>condorProc.py --series 07180911_2315 --donoise --dumps a --procenv environments/pymidas_HVHV_NaI_mf.env</v>
      </c>
    </row>
    <row r="2998" spans="1:17">
      <c r="A2998" t="s">
        <v>8469</v>
      </c>
      <c r="G2998" s="205"/>
      <c r="H2998" s="210"/>
      <c r="K2998" s="180"/>
      <c r="M2998" t="s">
        <v>2246</v>
      </c>
      <c r="N2998" t="s">
        <v>5571</v>
      </c>
      <c r="O2998" t="s">
        <v>4934</v>
      </c>
      <c r="Q2998" t="str">
        <f t="shared" si="127"/>
        <v>condorProc.py --series 07180911_2325 --donoise --dumps a --procenv environments/pymidas_HVHV_NaI_mf.env</v>
      </c>
    </row>
    <row r="2999" spans="1:17">
      <c r="A2999" t="s">
        <v>8470</v>
      </c>
      <c r="F2999" s="65"/>
      <c r="G2999" s="204"/>
      <c r="H2999" s="211"/>
      <c r="I2999" s="65"/>
      <c r="J2999" s="65"/>
      <c r="K2999" s="182"/>
      <c r="M2999" t="s">
        <v>2246</v>
      </c>
      <c r="N2999" t="s">
        <v>5571</v>
      </c>
      <c r="O2999" t="s">
        <v>4934</v>
      </c>
      <c r="Q2999" t="str">
        <f t="shared" si="127"/>
        <v>condorProc.py --series 07180911_2335 --donoise --dumps a --procenv environments/pymidas_HVHV_NaI_mf.env</v>
      </c>
    </row>
    <row r="3000" spans="1:17">
      <c r="A3000" t="s">
        <v>8471</v>
      </c>
      <c r="F3000" s="177">
        <v>10</v>
      </c>
      <c r="G3000" s="203" t="s">
        <v>5297</v>
      </c>
      <c r="H3000" s="209">
        <v>-80</v>
      </c>
      <c r="I3000" s="177"/>
      <c r="J3000" s="177" t="s">
        <v>5577</v>
      </c>
      <c r="K3000" s="178" t="s">
        <v>5583</v>
      </c>
      <c r="M3000" t="s">
        <v>2246</v>
      </c>
      <c r="N3000" t="s">
        <v>5571</v>
      </c>
      <c r="O3000" t="s">
        <v>4934</v>
      </c>
      <c r="Q3000" t="str">
        <f t="shared" si="127"/>
        <v>condorProc.py --series 07180912_0029 --donoise --dumps a --procenv environments/pymidas_HVHV_NaI_mf.env</v>
      </c>
    </row>
    <row r="3001" spans="1:17">
      <c r="A3001" t="s">
        <v>8472</v>
      </c>
      <c r="G3001" s="205"/>
      <c r="H3001" s="210"/>
      <c r="J3001" t="s">
        <v>5585</v>
      </c>
      <c r="K3001" s="218" t="s">
        <v>5586</v>
      </c>
      <c r="M3001" t="s">
        <v>2246</v>
      </c>
      <c r="N3001" t="s">
        <v>5571</v>
      </c>
      <c r="O3001" t="s">
        <v>4934</v>
      </c>
      <c r="Q3001" t="str">
        <f t="shared" si="127"/>
        <v>condorProc.py --series 07180912_0039 --donoise --dumps a --procenv environments/pymidas_HVHV_NaI_mf.env</v>
      </c>
    </row>
    <row r="3002" spans="1:17">
      <c r="A3002" t="s">
        <v>8473</v>
      </c>
      <c r="G3002" s="205"/>
      <c r="H3002" s="210"/>
      <c r="K3002" s="219" t="s">
        <v>8388</v>
      </c>
      <c r="M3002" t="s">
        <v>2246</v>
      </c>
      <c r="N3002" t="s">
        <v>5571</v>
      </c>
      <c r="O3002" t="s">
        <v>4934</v>
      </c>
      <c r="Q3002" t="str">
        <f t="shared" si="127"/>
        <v>condorProc.py --series 07180912_0050 --donoise --dumps a --procenv environments/pymidas_HVHV_NaI_mf.env</v>
      </c>
    </row>
    <row r="3003" spans="1:17">
      <c r="A3003" t="s">
        <v>8474</v>
      </c>
      <c r="G3003" s="205"/>
      <c r="H3003" s="210"/>
      <c r="K3003" s="180"/>
      <c r="M3003" t="s">
        <v>2246</v>
      </c>
      <c r="N3003" t="s">
        <v>5571</v>
      </c>
      <c r="O3003" t="s">
        <v>4934</v>
      </c>
      <c r="Q3003" t="str">
        <f t="shared" si="127"/>
        <v>condorProc.py --series 07180912_0100 --donoise --dumps a --procenv environments/pymidas_HVHV_NaI_mf.env</v>
      </c>
    </row>
    <row r="3004" spans="1:17">
      <c r="A3004" t="s">
        <v>8475</v>
      </c>
      <c r="G3004" s="205"/>
      <c r="H3004" s="210"/>
      <c r="K3004" s="180"/>
      <c r="M3004" t="s">
        <v>2246</v>
      </c>
      <c r="N3004" t="s">
        <v>5571</v>
      </c>
      <c r="O3004" t="s">
        <v>4934</v>
      </c>
      <c r="Q3004" t="str">
        <f t="shared" si="127"/>
        <v>condorProc.py --series 07180912_0110 --donoise --dumps a --procenv environments/pymidas_HVHV_NaI_mf.env</v>
      </c>
    </row>
    <row r="3005" spans="1:17">
      <c r="A3005" t="s">
        <v>8476</v>
      </c>
      <c r="G3005" s="205"/>
      <c r="H3005" s="210"/>
      <c r="K3005" s="180"/>
      <c r="M3005" t="s">
        <v>2246</v>
      </c>
      <c r="N3005" t="s">
        <v>5571</v>
      </c>
      <c r="O3005" t="s">
        <v>4934</v>
      </c>
      <c r="Q3005" t="str">
        <f t="shared" si="127"/>
        <v>condorProc.py --series 07180912_0120 --donoise --dumps a --procenv environments/pymidas_HVHV_NaI_mf.env</v>
      </c>
    </row>
    <row r="3006" spans="1:17">
      <c r="A3006" t="s">
        <v>8477</v>
      </c>
      <c r="G3006" s="205"/>
      <c r="H3006" s="210"/>
      <c r="K3006" s="180"/>
      <c r="M3006" t="s">
        <v>2246</v>
      </c>
      <c r="N3006" t="s">
        <v>5571</v>
      </c>
      <c r="O3006" t="s">
        <v>4934</v>
      </c>
      <c r="Q3006" t="str">
        <f t="shared" si="127"/>
        <v>condorProc.py --series 07180912_0130 --donoise --dumps a --procenv environments/pymidas_HVHV_NaI_mf.env</v>
      </c>
    </row>
    <row r="3007" spans="1:17">
      <c r="A3007" t="s">
        <v>8478</v>
      </c>
      <c r="G3007" s="205"/>
      <c r="H3007" s="210"/>
      <c r="K3007" s="180"/>
      <c r="M3007" t="s">
        <v>2246</v>
      </c>
      <c r="N3007" t="s">
        <v>5571</v>
      </c>
      <c r="O3007" t="s">
        <v>4934</v>
      </c>
      <c r="Q3007" t="str">
        <f t="shared" si="127"/>
        <v>condorProc.py --series 07180912_0140 --donoise --dumps a --procenv environments/pymidas_HVHV_NaI_mf.env</v>
      </c>
    </row>
    <row r="3008" spans="1:17">
      <c r="A3008" t="s">
        <v>8479</v>
      </c>
      <c r="G3008" s="205"/>
      <c r="H3008" s="210"/>
      <c r="K3008" s="180"/>
      <c r="M3008" t="s">
        <v>2246</v>
      </c>
      <c r="N3008" t="s">
        <v>5571</v>
      </c>
      <c r="O3008" t="s">
        <v>4934</v>
      </c>
      <c r="Q3008" t="str">
        <f t="shared" si="127"/>
        <v>condorProc.py --series 07180912_0150 --donoise --dumps a --procenv environments/pymidas_HVHV_NaI_mf.env</v>
      </c>
    </row>
    <row r="3009" spans="1:17">
      <c r="A3009" t="s">
        <v>8480</v>
      </c>
      <c r="G3009" s="205"/>
      <c r="H3009" s="210"/>
      <c r="K3009" s="180"/>
      <c r="M3009" t="s">
        <v>2246</v>
      </c>
      <c r="N3009" t="s">
        <v>5571</v>
      </c>
      <c r="O3009" t="s">
        <v>4934</v>
      </c>
      <c r="Q3009" t="str">
        <f t="shared" si="127"/>
        <v>condorProc.py --series 07180912_0201 --donoise --dumps a --procenv environments/pymidas_HVHV_NaI_mf.env</v>
      </c>
    </row>
    <row r="3010" spans="1:17">
      <c r="A3010" t="s">
        <v>8481</v>
      </c>
      <c r="G3010" s="205"/>
      <c r="H3010" s="210"/>
      <c r="K3010" s="180"/>
      <c r="M3010" t="s">
        <v>2246</v>
      </c>
      <c r="N3010" t="s">
        <v>5571</v>
      </c>
      <c r="O3010" t="s">
        <v>4934</v>
      </c>
      <c r="Q3010" t="str">
        <f t="shared" si="127"/>
        <v>condorProc.py --series 07180912_0211 --donoise --dumps a --procenv environments/pymidas_HVHV_NaI_mf.env</v>
      </c>
    </row>
    <row r="3011" spans="1:17">
      <c r="A3011" t="s">
        <v>8482</v>
      </c>
      <c r="F3011" s="65"/>
      <c r="G3011" s="204"/>
      <c r="H3011" s="211"/>
      <c r="I3011" s="65"/>
      <c r="J3011" s="65"/>
      <c r="K3011" s="182"/>
      <c r="M3011" t="s">
        <v>2246</v>
      </c>
      <c r="N3011" t="s">
        <v>5571</v>
      </c>
      <c r="O3011" t="s">
        <v>4934</v>
      </c>
      <c r="Q3011" t="str">
        <f t="shared" si="127"/>
        <v>condorProc.py --series 07180912_0221 --donoise --dumps a --procenv environments/pymidas_HVHV_NaI_mf.env</v>
      </c>
    </row>
    <row r="3012" spans="1:17">
      <c r="A3012" t="s">
        <v>8483</v>
      </c>
      <c r="F3012" s="177">
        <v>10</v>
      </c>
      <c r="G3012" s="203" t="s">
        <v>5297</v>
      </c>
      <c r="H3012" s="209">
        <v>-80</v>
      </c>
      <c r="I3012" s="177"/>
      <c r="J3012" s="177" t="s">
        <v>5577</v>
      </c>
      <c r="K3012" s="178" t="s">
        <v>5583</v>
      </c>
      <c r="M3012" t="s">
        <v>2246</v>
      </c>
      <c r="N3012" t="s">
        <v>5571</v>
      </c>
      <c r="O3012" t="s">
        <v>4934</v>
      </c>
      <c r="Q3012" t="str">
        <f t="shared" si="127"/>
        <v>condorProc.py --series 07180912_0315 --donoise --dumps a --procenv environments/pymidas_HVHV_NaI_mf.env</v>
      </c>
    </row>
    <row r="3013" spans="1:17">
      <c r="A3013" t="s">
        <v>8484</v>
      </c>
      <c r="G3013" s="205"/>
      <c r="H3013" s="210"/>
      <c r="J3013" t="s">
        <v>5585</v>
      </c>
      <c r="K3013" s="218" t="s">
        <v>5586</v>
      </c>
      <c r="M3013" t="s">
        <v>2246</v>
      </c>
      <c r="N3013" t="s">
        <v>5571</v>
      </c>
      <c r="O3013" t="s">
        <v>4934</v>
      </c>
      <c r="Q3013" t="str">
        <f t="shared" si="127"/>
        <v>condorProc.py --series 07180912_0325 --donoise --dumps a --procenv environments/pymidas_HVHV_NaI_mf.env</v>
      </c>
    </row>
    <row r="3014" spans="1:17">
      <c r="A3014" t="s">
        <v>8485</v>
      </c>
      <c r="G3014" s="205"/>
      <c r="H3014" s="210"/>
      <c r="K3014" s="219" t="s">
        <v>8388</v>
      </c>
      <c r="M3014" t="s">
        <v>2246</v>
      </c>
      <c r="N3014" t="s">
        <v>5571</v>
      </c>
      <c r="O3014" t="s">
        <v>4934</v>
      </c>
      <c r="Q3014" t="str">
        <f t="shared" si="127"/>
        <v>condorProc.py --series 07180912_0335 --donoise --dumps a --procenv environments/pymidas_HVHV_NaI_mf.env</v>
      </c>
    </row>
    <row r="3015" spans="1:17">
      <c r="A3015" t="s">
        <v>8486</v>
      </c>
      <c r="G3015" s="205"/>
      <c r="H3015" s="210"/>
      <c r="K3015" s="180"/>
      <c r="M3015" t="s">
        <v>2246</v>
      </c>
      <c r="N3015" t="s">
        <v>5571</v>
      </c>
      <c r="O3015" t="s">
        <v>4934</v>
      </c>
      <c r="Q3015" t="str">
        <f t="shared" si="127"/>
        <v>condorProc.py --series 07180912_0345 --donoise --dumps a --procenv environments/pymidas_HVHV_NaI_mf.env</v>
      </c>
    </row>
    <row r="3016" spans="1:17">
      <c r="A3016" t="s">
        <v>8487</v>
      </c>
      <c r="G3016" s="205"/>
      <c r="H3016" s="210"/>
      <c r="K3016" s="180"/>
      <c r="M3016" t="s">
        <v>2246</v>
      </c>
      <c r="N3016" t="s">
        <v>5571</v>
      </c>
      <c r="O3016" t="s">
        <v>4934</v>
      </c>
      <c r="Q3016" t="str">
        <f t="shared" si="127"/>
        <v>condorProc.py --series 07180912_0355 --donoise --dumps a --procenv environments/pymidas_HVHV_NaI_mf.env</v>
      </c>
    </row>
    <row r="3017" spans="1:17">
      <c r="A3017" t="s">
        <v>8488</v>
      </c>
      <c r="G3017" s="205"/>
      <c r="H3017" s="210"/>
      <c r="K3017" s="180"/>
      <c r="M3017" t="s">
        <v>2246</v>
      </c>
      <c r="N3017" t="s">
        <v>5571</v>
      </c>
      <c r="O3017" t="s">
        <v>4934</v>
      </c>
      <c r="Q3017" t="str">
        <f t="shared" si="127"/>
        <v>condorProc.py --series 07180912_0405 --donoise --dumps a --procenv environments/pymidas_HVHV_NaI_mf.env</v>
      </c>
    </row>
    <row r="3018" spans="1:17">
      <c r="A3018" t="s">
        <v>8489</v>
      </c>
      <c r="G3018" s="205"/>
      <c r="H3018" s="210"/>
      <c r="K3018" s="180"/>
      <c r="M3018" t="s">
        <v>2246</v>
      </c>
      <c r="N3018" t="s">
        <v>5571</v>
      </c>
      <c r="O3018" t="s">
        <v>4934</v>
      </c>
      <c r="Q3018" t="str">
        <f t="shared" si="127"/>
        <v>condorProc.py --series 07180912_0416 --donoise --dumps a --procenv environments/pymidas_HVHV_NaI_mf.env</v>
      </c>
    </row>
    <row r="3019" spans="1:17">
      <c r="A3019" t="s">
        <v>8490</v>
      </c>
      <c r="G3019" s="205"/>
      <c r="H3019" s="210"/>
      <c r="K3019" s="180"/>
      <c r="M3019" t="s">
        <v>2246</v>
      </c>
      <c r="N3019" t="s">
        <v>5571</v>
      </c>
      <c r="O3019" t="s">
        <v>4934</v>
      </c>
      <c r="Q3019" t="str">
        <f t="shared" si="127"/>
        <v>condorProc.py --series 07180912_0426 --donoise --dumps a --procenv environments/pymidas_HVHV_NaI_mf.env</v>
      </c>
    </row>
    <row r="3020" spans="1:17">
      <c r="A3020" t="s">
        <v>8491</v>
      </c>
      <c r="G3020" s="205"/>
      <c r="H3020" s="210"/>
      <c r="K3020" s="180"/>
      <c r="M3020" t="s">
        <v>2246</v>
      </c>
      <c r="N3020" t="s">
        <v>5571</v>
      </c>
      <c r="O3020" t="s">
        <v>4934</v>
      </c>
      <c r="Q3020" t="str">
        <f t="shared" si="127"/>
        <v>condorProc.py --series 07180912_0436 --donoise --dumps a --procenv environments/pymidas_HVHV_NaI_mf.env</v>
      </c>
    </row>
    <row r="3021" spans="1:17">
      <c r="A3021" t="s">
        <v>8492</v>
      </c>
      <c r="G3021" s="205"/>
      <c r="H3021" s="210"/>
      <c r="K3021" s="180"/>
      <c r="M3021" t="s">
        <v>2246</v>
      </c>
      <c r="N3021" t="s">
        <v>5571</v>
      </c>
      <c r="O3021" t="s">
        <v>4934</v>
      </c>
      <c r="Q3021" t="str">
        <f t="shared" si="127"/>
        <v>condorProc.py --series 07180912_0446 --donoise --dumps a --procenv environments/pymidas_HVHV_NaI_mf.env</v>
      </c>
    </row>
    <row r="3022" spans="1:17">
      <c r="A3022" t="s">
        <v>8493</v>
      </c>
      <c r="G3022" s="205"/>
      <c r="H3022" s="210"/>
      <c r="K3022" s="180"/>
      <c r="M3022" t="s">
        <v>2246</v>
      </c>
      <c r="N3022" t="s">
        <v>5571</v>
      </c>
      <c r="O3022" t="s">
        <v>4934</v>
      </c>
      <c r="Q3022" t="str">
        <f t="shared" si="127"/>
        <v>condorProc.py --series 07180912_0456 --donoise --dumps a --procenv environments/pymidas_HVHV_NaI_mf.env</v>
      </c>
    </row>
    <row r="3023" spans="1:17">
      <c r="A3023" t="s">
        <v>8494</v>
      </c>
      <c r="F3023" s="65"/>
      <c r="G3023" s="204"/>
      <c r="H3023" s="211"/>
      <c r="I3023" s="65"/>
      <c r="J3023" s="65"/>
      <c r="K3023" s="182"/>
      <c r="M3023" t="s">
        <v>2246</v>
      </c>
      <c r="N3023" t="s">
        <v>5571</v>
      </c>
      <c r="O3023" t="s">
        <v>4934</v>
      </c>
      <c r="Q3023" t="str">
        <f t="shared" ref="Q3023:Q3046" si="128">"condorProc.py --series "&amp;A3023&amp;" --donoise --dumps a --procenv environments/pymidas_HVHV_NaI_mf.env"</f>
        <v>condorProc.py --series 07180912_0506 --donoise --dumps a --procenv environments/pymidas_HVHV_NaI_mf.env</v>
      </c>
    </row>
    <row r="3024" spans="1:17">
      <c r="A3024" t="s">
        <v>8495</v>
      </c>
      <c r="F3024" s="177">
        <v>10</v>
      </c>
      <c r="G3024" s="203" t="s">
        <v>5297</v>
      </c>
      <c r="H3024" s="209">
        <v>-80</v>
      </c>
      <c r="I3024" s="177"/>
      <c r="J3024" s="177" t="s">
        <v>5577</v>
      </c>
      <c r="K3024" s="178" t="s">
        <v>5583</v>
      </c>
      <c r="M3024" t="s">
        <v>2246</v>
      </c>
      <c r="N3024" t="s">
        <v>5571</v>
      </c>
      <c r="O3024" t="s">
        <v>4934</v>
      </c>
      <c r="Q3024" t="str">
        <f t="shared" si="128"/>
        <v>condorProc.py --series 07180912_0600 --donoise --dumps a --procenv environments/pymidas_HVHV_NaI_mf.env</v>
      </c>
    </row>
    <row r="3025" spans="1:17">
      <c r="A3025" t="s">
        <v>8496</v>
      </c>
      <c r="G3025" s="205"/>
      <c r="H3025" s="210"/>
      <c r="J3025" t="s">
        <v>5585</v>
      </c>
      <c r="K3025" s="218" t="s">
        <v>5586</v>
      </c>
      <c r="M3025" t="s">
        <v>2246</v>
      </c>
      <c r="N3025" t="s">
        <v>5571</v>
      </c>
      <c r="O3025" t="s">
        <v>4934</v>
      </c>
      <c r="Q3025" t="str">
        <f t="shared" si="128"/>
        <v>condorProc.py --series 07180912_0610 --donoise --dumps a --procenv environments/pymidas_HVHV_NaI_mf.env</v>
      </c>
    </row>
    <row r="3026" spans="1:17">
      <c r="A3026" t="s">
        <v>8497</v>
      </c>
      <c r="G3026" s="205"/>
      <c r="H3026" s="210"/>
      <c r="K3026" s="219" t="s">
        <v>8388</v>
      </c>
      <c r="M3026" t="s">
        <v>2246</v>
      </c>
      <c r="N3026" t="s">
        <v>5571</v>
      </c>
      <c r="O3026" t="s">
        <v>4934</v>
      </c>
      <c r="Q3026" t="str">
        <f t="shared" si="128"/>
        <v>condorProc.py --series 07180912_0620 --donoise --dumps a --procenv environments/pymidas_HVHV_NaI_mf.env</v>
      </c>
    </row>
    <row r="3027" spans="1:17">
      <c r="A3027" t="s">
        <v>8498</v>
      </c>
      <c r="G3027" s="205"/>
      <c r="H3027" s="210"/>
      <c r="K3027" s="180"/>
      <c r="M3027" t="s">
        <v>2246</v>
      </c>
      <c r="N3027" t="s">
        <v>5571</v>
      </c>
      <c r="O3027" t="s">
        <v>4934</v>
      </c>
      <c r="Q3027" t="str">
        <f t="shared" si="128"/>
        <v>condorProc.py --series 07180912_0630 --donoise --dumps a --procenv environments/pymidas_HVHV_NaI_mf.env</v>
      </c>
    </row>
    <row r="3028" spans="1:17">
      <c r="A3028" t="s">
        <v>8499</v>
      </c>
      <c r="G3028" s="205"/>
      <c r="H3028" s="210"/>
      <c r="K3028" s="180"/>
      <c r="M3028" t="s">
        <v>2246</v>
      </c>
      <c r="N3028" t="s">
        <v>5571</v>
      </c>
      <c r="O3028" t="s">
        <v>4934</v>
      </c>
      <c r="Q3028" t="str">
        <f t="shared" si="128"/>
        <v>condorProc.py --series 07180912_0641 --donoise --dumps a --procenv environments/pymidas_HVHV_NaI_mf.env</v>
      </c>
    </row>
    <row r="3029" spans="1:17">
      <c r="A3029" t="s">
        <v>8500</v>
      </c>
      <c r="G3029" s="205"/>
      <c r="H3029" s="210"/>
      <c r="K3029" s="180"/>
      <c r="M3029" t="s">
        <v>2246</v>
      </c>
      <c r="N3029" t="s">
        <v>5571</v>
      </c>
      <c r="O3029" t="s">
        <v>4934</v>
      </c>
      <c r="Q3029" t="str">
        <f t="shared" si="128"/>
        <v>condorProc.py --series 07180912_0651 --donoise --dumps a --procenv environments/pymidas_HVHV_NaI_mf.env</v>
      </c>
    </row>
    <row r="3030" spans="1:17">
      <c r="A3030" t="s">
        <v>8501</v>
      </c>
      <c r="G3030" s="205"/>
      <c r="H3030" s="210"/>
      <c r="K3030" s="180"/>
      <c r="M3030" t="s">
        <v>2246</v>
      </c>
      <c r="N3030" t="s">
        <v>5571</v>
      </c>
      <c r="O3030" t="s">
        <v>4934</v>
      </c>
      <c r="Q3030" t="str">
        <f t="shared" si="128"/>
        <v>condorProc.py --series 07180912_0701 --donoise --dumps a --procenv environments/pymidas_HVHV_NaI_mf.env</v>
      </c>
    </row>
    <row r="3031" spans="1:17">
      <c r="A3031" t="s">
        <v>8502</v>
      </c>
      <c r="G3031" s="205"/>
      <c r="H3031" s="210"/>
      <c r="K3031" s="180"/>
      <c r="M3031" t="s">
        <v>2246</v>
      </c>
      <c r="N3031" t="s">
        <v>5571</v>
      </c>
      <c r="O3031" t="s">
        <v>4934</v>
      </c>
      <c r="Q3031" t="str">
        <f t="shared" si="128"/>
        <v>condorProc.py --series 07180912_0711 --donoise --dumps a --procenv environments/pymidas_HVHV_NaI_mf.env</v>
      </c>
    </row>
    <row r="3032" spans="1:17">
      <c r="A3032" t="s">
        <v>8503</v>
      </c>
      <c r="G3032" s="205"/>
      <c r="H3032" s="210"/>
      <c r="K3032" s="180"/>
      <c r="M3032" t="s">
        <v>2246</v>
      </c>
      <c r="N3032" t="s">
        <v>5571</v>
      </c>
      <c r="O3032" t="s">
        <v>4934</v>
      </c>
      <c r="Q3032" t="str">
        <f t="shared" si="128"/>
        <v>condorProc.py --series 07180912_0721 --donoise --dumps a --procenv environments/pymidas_HVHV_NaI_mf.env</v>
      </c>
    </row>
    <row r="3033" spans="1:17">
      <c r="A3033" t="s">
        <v>8504</v>
      </c>
      <c r="G3033" s="205"/>
      <c r="H3033" s="210"/>
      <c r="K3033" s="180"/>
      <c r="M3033" t="s">
        <v>2246</v>
      </c>
      <c r="N3033" t="s">
        <v>5571</v>
      </c>
      <c r="O3033" t="s">
        <v>4934</v>
      </c>
      <c r="Q3033" t="str">
        <f t="shared" si="128"/>
        <v>condorProc.py --series 07180912_0731 --donoise --dumps a --procenv environments/pymidas_HVHV_NaI_mf.env</v>
      </c>
    </row>
    <row r="3034" spans="1:17">
      <c r="A3034" t="s">
        <v>8505</v>
      </c>
      <c r="G3034" s="205"/>
      <c r="H3034" s="210"/>
      <c r="K3034" s="180"/>
      <c r="M3034" t="s">
        <v>2246</v>
      </c>
      <c r="N3034" t="s">
        <v>5571</v>
      </c>
      <c r="O3034" t="s">
        <v>4934</v>
      </c>
      <c r="Q3034" t="str">
        <f t="shared" si="128"/>
        <v>condorProc.py --series 07180912_0741 --donoise --dumps a --procenv environments/pymidas_HVHV_NaI_mf.env</v>
      </c>
    </row>
    <row r="3035" spans="1:17">
      <c r="A3035" t="s">
        <v>8506</v>
      </c>
      <c r="F3035" s="65"/>
      <c r="G3035" s="204"/>
      <c r="H3035" s="211"/>
      <c r="I3035" s="65"/>
      <c r="J3035" s="65"/>
      <c r="K3035" s="182"/>
      <c r="M3035" t="s">
        <v>2246</v>
      </c>
      <c r="N3035" t="s">
        <v>5571</v>
      </c>
      <c r="O3035" t="s">
        <v>4934</v>
      </c>
      <c r="Q3035" t="str">
        <f t="shared" si="128"/>
        <v>condorProc.py --series 07180912_0751 --donoise --dumps a --procenv environments/pymidas_HVHV_NaI_mf.env</v>
      </c>
    </row>
    <row r="3036" spans="1:17">
      <c r="A3036" t="s">
        <v>8507</v>
      </c>
      <c r="F3036" s="177">
        <v>10</v>
      </c>
      <c r="G3036" s="203" t="s">
        <v>5297</v>
      </c>
      <c r="H3036" s="209">
        <v>-80</v>
      </c>
      <c r="I3036" s="177" t="s">
        <v>75</v>
      </c>
      <c r="J3036" s="177" t="s">
        <v>5577</v>
      </c>
      <c r="K3036" s="178" t="s">
        <v>5583</v>
      </c>
      <c r="M3036" t="s">
        <v>2246</v>
      </c>
      <c r="N3036" t="s">
        <v>5571</v>
      </c>
      <c r="O3036" t="s">
        <v>4934</v>
      </c>
      <c r="Q3036" t="str">
        <f t="shared" si="128"/>
        <v>condorProc.py --series 07180912_0845 --donoise --dumps a --procenv environments/pymidas_HVHV_NaI_mf.env</v>
      </c>
    </row>
    <row r="3037" spans="1:17">
      <c r="A3037" t="s">
        <v>8508</v>
      </c>
      <c r="G3037" s="205"/>
      <c r="H3037" s="210"/>
      <c r="J3037" t="s">
        <v>5585</v>
      </c>
      <c r="K3037" s="218" t="s">
        <v>5586</v>
      </c>
      <c r="M3037" t="s">
        <v>2246</v>
      </c>
      <c r="N3037" t="s">
        <v>5571</v>
      </c>
      <c r="O3037" t="s">
        <v>4934</v>
      </c>
      <c r="Q3037" t="str">
        <f t="shared" si="128"/>
        <v>condorProc.py --series 07180912_0855 --donoise --dumps a --procenv environments/pymidas_HVHV_NaI_mf.env</v>
      </c>
    </row>
    <row r="3038" spans="1:17">
      <c r="A3038" t="s">
        <v>8509</v>
      </c>
      <c r="G3038" s="205"/>
      <c r="H3038" s="210"/>
      <c r="I3038" t="s">
        <v>75</v>
      </c>
      <c r="K3038" s="219" t="s">
        <v>8388</v>
      </c>
      <c r="M3038" t="s">
        <v>2246</v>
      </c>
      <c r="N3038" t="s">
        <v>5571</v>
      </c>
      <c r="O3038" t="s">
        <v>4934</v>
      </c>
      <c r="Q3038" t="str">
        <f t="shared" si="128"/>
        <v>condorProc.py --series 07180912_0906 --donoise --dumps a --procenv environments/pymidas_HVHV_NaI_mf.env</v>
      </c>
    </row>
    <row r="3039" spans="1:17">
      <c r="A3039" t="s">
        <v>8510</v>
      </c>
      <c r="G3039" s="205"/>
      <c r="H3039" s="210"/>
      <c r="I3039" s="197" t="s">
        <v>8511</v>
      </c>
      <c r="K3039" s="180" t="s">
        <v>8512</v>
      </c>
    </row>
    <row r="3040" spans="1:17">
      <c r="A3040" s="176" t="s">
        <v>8513</v>
      </c>
      <c r="B3040" s="177"/>
      <c r="C3040" s="177"/>
      <c r="D3040" s="177"/>
      <c r="E3040" s="177"/>
      <c r="F3040" s="177">
        <v>10</v>
      </c>
      <c r="G3040" s="203" t="s">
        <v>5297</v>
      </c>
      <c r="H3040" s="209">
        <v>-80</v>
      </c>
      <c r="I3040" s="177"/>
      <c r="J3040" s="177" t="s">
        <v>5577</v>
      </c>
      <c r="K3040" s="178" t="s">
        <v>5583</v>
      </c>
      <c r="M3040" t="s">
        <v>2246</v>
      </c>
      <c r="N3040" t="s">
        <v>5571</v>
      </c>
      <c r="O3040" t="s">
        <v>4934</v>
      </c>
      <c r="Q3040" t="str">
        <f t="shared" si="128"/>
        <v>condorProc.py --series 07180912_1109 --donoise --dumps a --procenv environments/pymidas_HVHV_NaI_mf.env</v>
      </c>
    </row>
    <row r="3041" spans="1:17">
      <c r="A3041" s="179" t="s">
        <v>8514</v>
      </c>
      <c r="G3041" s="205"/>
      <c r="H3041" s="210"/>
      <c r="J3041" t="s">
        <v>5585</v>
      </c>
      <c r="K3041" s="218" t="s">
        <v>5586</v>
      </c>
      <c r="M3041" t="s">
        <v>2246</v>
      </c>
      <c r="N3041" t="s">
        <v>5571</v>
      </c>
      <c r="O3041" t="s">
        <v>4934</v>
      </c>
      <c r="Q3041" t="str">
        <f t="shared" si="128"/>
        <v>condorProc.py --series 07180912_1119 --donoise --dumps a --procenv environments/pymidas_HVHV_NaI_mf.env</v>
      </c>
    </row>
    <row r="3042" spans="1:17">
      <c r="A3042" s="179" t="s">
        <v>8515</v>
      </c>
      <c r="G3042" s="205"/>
      <c r="H3042" s="210"/>
      <c r="K3042" s="219" t="s">
        <v>8388</v>
      </c>
      <c r="M3042" t="s">
        <v>2246</v>
      </c>
      <c r="N3042" t="s">
        <v>5571</v>
      </c>
      <c r="O3042" t="s">
        <v>4934</v>
      </c>
      <c r="Q3042" t="str">
        <f t="shared" si="128"/>
        <v>condorProc.py --series 07180912_1130 --donoise --dumps a --procenv environments/pymidas_HVHV_NaI_mf.env</v>
      </c>
    </row>
    <row r="3043" spans="1:17">
      <c r="A3043" s="179" t="s">
        <v>8516</v>
      </c>
      <c r="G3043" s="205"/>
      <c r="H3043" s="210"/>
      <c r="K3043" s="180"/>
      <c r="M3043" t="s">
        <v>2246</v>
      </c>
      <c r="N3043" t="s">
        <v>5571</v>
      </c>
      <c r="O3043" t="s">
        <v>4934</v>
      </c>
      <c r="Q3043" t="str">
        <f t="shared" si="128"/>
        <v>condorProc.py --series 07180912_1140 --donoise --dumps a --procenv environments/pymidas_HVHV_NaI_mf.env</v>
      </c>
    </row>
    <row r="3044" spans="1:17">
      <c r="A3044" s="179" t="s">
        <v>8517</v>
      </c>
      <c r="G3044" s="205"/>
      <c r="H3044" s="210"/>
      <c r="K3044" s="180"/>
      <c r="M3044" t="s">
        <v>2246</v>
      </c>
      <c r="N3044" t="s">
        <v>5571</v>
      </c>
      <c r="O3044" t="s">
        <v>4934</v>
      </c>
      <c r="Q3044" t="str">
        <f t="shared" si="128"/>
        <v>condorProc.py --series 07180912_1150 --donoise --dumps a --procenv environments/pymidas_HVHV_NaI_mf.env</v>
      </c>
    </row>
    <row r="3045" spans="1:17">
      <c r="A3045" s="179" t="s">
        <v>8518</v>
      </c>
      <c r="G3045" s="205"/>
      <c r="H3045" s="210"/>
      <c r="K3045" s="180"/>
      <c r="M3045" t="s">
        <v>2246</v>
      </c>
      <c r="N3045" t="s">
        <v>5571</v>
      </c>
      <c r="O3045" t="s">
        <v>4934</v>
      </c>
      <c r="Q3045" t="str">
        <f t="shared" si="128"/>
        <v>condorProc.py --series 07180912_1200 --donoise --dumps a --procenv environments/pymidas_HVHV_NaI_mf.env</v>
      </c>
    </row>
    <row r="3046" spans="1:17">
      <c r="A3046" s="179" t="s">
        <v>8519</v>
      </c>
      <c r="G3046" s="205"/>
      <c r="H3046" s="210"/>
      <c r="I3046" t="s">
        <v>75</v>
      </c>
      <c r="K3046" s="180"/>
      <c r="M3046" t="s">
        <v>2246</v>
      </c>
      <c r="N3046" t="s">
        <v>5571</v>
      </c>
      <c r="O3046" t="s">
        <v>4934</v>
      </c>
      <c r="Q3046" t="str">
        <f t="shared" si="128"/>
        <v>condorProc.py --series 07180912_1210 --donoise --dumps a --procenv environments/pymidas_HVHV_NaI_mf.env</v>
      </c>
    </row>
    <row r="3047" spans="1:17">
      <c r="A3047" s="179" t="s">
        <v>8520</v>
      </c>
      <c r="G3047" s="205"/>
      <c r="H3047" s="210"/>
      <c r="I3047" s="197" t="s">
        <v>5434</v>
      </c>
      <c r="K3047" s="180"/>
    </row>
    <row r="3048" spans="1:17">
      <c r="A3048" s="179" t="s">
        <v>8521</v>
      </c>
      <c r="G3048" s="205"/>
      <c r="H3048" s="210"/>
      <c r="I3048" s="197" t="s">
        <v>5434</v>
      </c>
      <c r="K3048" s="180"/>
    </row>
    <row r="3049" spans="1:17">
      <c r="A3049" s="179" t="s">
        <v>8522</v>
      </c>
      <c r="G3049" s="205"/>
      <c r="H3049" s="210"/>
      <c r="I3049" s="197" t="s">
        <v>5434</v>
      </c>
      <c r="K3049" s="180"/>
    </row>
    <row r="3050" spans="1:17">
      <c r="A3050" s="179" t="s">
        <v>8523</v>
      </c>
      <c r="G3050" s="205"/>
      <c r="H3050" s="210"/>
      <c r="I3050" s="197" t="s">
        <v>5434</v>
      </c>
      <c r="K3050" s="180"/>
    </row>
    <row r="3051" spans="1:17">
      <c r="A3051" s="181" t="s">
        <v>8524</v>
      </c>
      <c r="B3051" s="65"/>
      <c r="C3051" s="65"/>
      <c r="D3051" s="65"/>
      <c r="E3051" s="65"/>
      <c r="F3051" s="65"/>
      <c r="G3051" s="204"/>
      <c r="H3051" s="211"/>
      <c r="I3051" s="198" t="s">
        <v>5434</v>
      </c>
      <c r="J3051" s="65"/>
      <c r="K3051" s="182" t="s">
        <v>8525</v>
      </c>
    </row>
    <row r="3052" spans="1:17">
      <c r="A3052" t="s">
        <v>8526</v>
      </c>
      <c r="G3052" s="205"/>
      <c r="H3052" s="210"/>
      <c r="I3052" s="197" t="s">
        <v>1853</v>
      </c>
    </row>
    <row r="3053" spans="1:17">
      <c r="A3053" t="s">
        <v>8527</v>
      </c>
      <c r="F3053" s="177">
        <v>10</v>
      </c>
      <c r="G3053" s="203" t="s">
        <v>5297</v>
      </c>
      <c r="H3053" s="209">
        <v>-80</v>
      </c>
      <c r="I3053" s="177"/>
      <c r="J3053" s="177" t="s">
        <v>5577</v>
      </c>
      <c r="K3053" s="178" t="s">
        <v>5583</v>
      </c>
      <c r="M3053" t="s">
        <v>2246</v>
      </c>
      <c r="N3053" t="s">
        <v>5571</v>
      </c>
      <c r="O3053" t="s">
        <v>4934</v>
      </c>
      <c r="Q3053" t="str">
        <f t="shared" ref="Q3053:Q3116" si="129">"condorProc.py --series "&amp;A3053&amp;" --donoise --dumps a --procenv environments/pymidas_HVHV_NaI_mf.env"</f>
        <v>condorProc.py --series 07180912_1354 --donoise --dumps a --procenv environments/pymidas_HVHV_NaI_mf.env</v>
      </c>
    </row>
    <row r="3054" spans="1:17">
      <c r="A3054" t="s">
        <v>8528</v>
      </c>
      <c r="G3054" s="205"/>
      <c r="H3054" s="210"/>
      <c r="J3054" t="s">
        <v>5585</v>
      </c>
      <c r="K3054" s="218" t="s">
        <v>5586</v>
      </c>
      <c r="M3054" t="s">
        <v>2246</v>
      </c>
      <c r="N3054" t="s">
        <v>5571</v>
      </c>
      <c r="O3054" t="s">
        <v>4934</v>
      </c>
      <c r="Q3054" t="str">
        <f t="shared" si="129"/>
        <v>condorProc.py --series 07180912_1404 --donoise --dumps a --procenv environments/pymidas_HVHV_NaI_mf.env</v>
      </c>
    </row>
    <row r="3055" spans="1:17">
      <c r="A3055" t="s">
        <v>8529</v>
      </c>
      <c r="G3055" s="205"/>
      <c r="H3055" s="210"/>
      <c r="K3055" s="219" t="s">
        <v>8388</v>
      </c>
      <c r="M3055" t="s">
        <v>2246</v>
      </c>
      <c r="N3055" t="s">
        <v>5571</v>
      </c>
      <c r="O3055" t="s">
        <v>4934</v>
      </c>
      <c r="Q3055" t="str">
        <f t="shared" si="129"/>
        <v>condorProc.py --series 07180912_1414 --donoise --dumps a --procenv environments/pymidas_HVHV_NaI_mf.env</v>
      </c>
    </row>
    <row r="3056" spans="1:17">
      <c r="A3056" t="s">
        <v>8530</v>
      </c>
      <c r="G3056" s="205"/>
      <c r="H3056" s="210"/>
      <c r="K3056" s="180"/>
      <c r="M3056" t="s">
        <v>2246</v>
      </c>
      <c r="N3056" t="s">
        <v>5571</v>
      </c>
      <c r="O3056" t="s">
        <v>4934</v>
      </c>
      <c r="Q3056" t="str">
        <f t="shared" si="129"/>
        <v>condorProc.py --series 07180912_1425 --donoise --dumps a --procenv environments/pymidas_HVHV_NaI_mf.env</v>
      </c>
    </row>
    <row r="3057" spans="1:17">
      <c r="A3057" t="s">
        <v>8531</v>
      </c>
      <c r="G3057" s="205"/>
      <c r="H3057" s="210"/>
      <c r="K3057" s="180"/>
      <c r="M3057" t="s">
        <v>2246</v>
      </c>
      <c r="N3057" t="s">
        <v>5571</v>
      </c>
      <c r="O3057" t="s">
        <v>4934</v>
      </c>
      <c r="Q3057" t="str">
        <f t="shared" si="129"/>
        <v>condorProc.py --series 07180912_1435 --donoise --dumps a --procenv environments/pymidas_HVHV_NaI_mf.env</v>
      </c>
    </row>
    <row r="3058" spans="1:17">
      <c r="A3058" t="s">
        <v>8532</v>
      </c>
      <c r="G3058" s="205"/>
      <c r="H3058" s="210"/>
      <c r="K3058" s="180"/>
      <c r="M3058" t="s">
        <v>2246</v>
      </c>
      <c r="N3058" t="s">
        <v>5571</v>
      </c>
      <c r="O3058" t="s">
        <v>4934</v>
      </c>
      <c r="Q3058" t="str">
        <f t="shared" si="129"/>
        <v>condorProc.py --series 07180912_1445 --donoise --dumps a --procenv environments/pymidas_HVHV_NaI_mf.env</v>
      </c>
    </row>
    <row r="3059" spans="1:17">
      <c r="A3059" t="s">
        <v>8533</v>
      </c>
      <c r="G3059" s="205"/>
      <c r="H3059" s="210"/>
      <c r="K3059" s="180"/>
      <c r="M3059" t="s">
        <v>2246</v>
      </c>
      <c r="N3059" t="s">
        <v>5571</v>
      </c>
      <c r="O3059" t="s">
        <v>4934</v>
      </c>
      <c r="Q3059" t="str">
        <f t="shared" si="129"/>
        <v>condorProc.py --series 07180912_1455 --donoise --dumps a --procenv environments/pymidas_HVHV_NaI_mf.env</v>
      </c>
    </row>
    <row r="3060" spans="1:17">
      <c r="A3060" t="s">
        <v>8534</v>
      </c>
      <c r="G3060" s="205"/>
      <c r="H3060" s="210"/>
      <c r="K3060" s="180"/>
      <c r="M3060" t="s">
        <v>2246</v>
      </c>
      <c r="N3060" t="s">
        <v>5571</v>
      </c>
      <c r="O3060" t="s">
        <v>4934</v>
      </c>
      <c r="Q3060" t="str">
        <f t="shared" si="129"/>
        <v>condorProc.py --series 07180912_1505 --donoise --dumps a --procenv environments/pymidas_HVHV_NaI_mf.env</v>
      </c>
    </row>
    <row r="3061" spans="1:17">
      <c r="A3061" t="s">
        <v>8535</v>
      </c>
      <c r="G3061" s="205"/>
      <c r="H3061" s="210"/>
      <c r="K3061" s="180"/>
      <c r="M3061" t="s">
        <v>2246</v>
      </c>
      <c r="N3061" t="s">
        <v>5571</v>
      </c>
      <c r="O3061" t="s">
        <v>4934</v>
      </c>
      <c r="Q3061" t="str">
        <f t="shared" si="129"/>
        <v>condorProc.py --series 07180912_1515 --donoise --dumps a --procenv environments/pymidas_HVHV_NaI_mf.env</v>
      </c>
    </row>
    <row r="3062" spans="1:17">
      <c r="A3062" t="s">
        <v>8536</v>
      </c>
      <c r="G3062" s="205"/>
      <c r="H3062" s="210"/>
      <c r="K3062" s="180"/>
      <c r="M3062" t="s">
        <v>2246</v>
      </c>
      <c r="N3062" t="s">
        <v>5571</v>
      </c>
      <c r="O3062" t="s">
        <v>4934</v>
      </c>
      <c r="Q3062" t="str">
        <f t="shared" si="129"/>
        <v>condorProc.py --series 07180912_1525 --donoise --dumps a --procenv environments/pymidas_HVHV_NaI_mf.env</v>
      </c>
    </row>
    <row r="3063" spans="1:17">
      <c r="A3063" t="s">
        <v>8537</v>
      </c>
      <c r="G3063" s="205"/>
      <c r="H3063" s="210"/>
      <c r="K3063" s="180"/>
      <c r="M3063" t="s">
        <v>2246</v>
      </c>
      <c r="N3063" t="s">
        <v>5571</v>
      </c>
      <c r="O3063" t="s">
        <v>4934</v>
      </c>
      <c r="Q3063" t="str">
        <f t="shared" si="129"/>
        <v>condorProc.py --series 07180912_1535 --donoise --dumps a --procenv environments/pymidas_HVHV_NaI_mf.env</v>
      </c>
    </row>
    <row r="3064" spans="1:17">
      <c r="A3064" t="s">
        <v>8538</v>
      </c>
      <c r="F3064" s="65"/>
      <c r="G3064" s="204"/>
      <c r="H3064" s="211"/>
      <c r="I3064" s="65" t="s">
        <v>75</v>
      </c>
      <c r="J3064" s="65"/>
      <c r="K3064" s="182"/>
      <c r="M3064" t="s">
        <v>2246</v>
      </c>
      <c r="N3064" t="s">
        <v>5571</v>
      </c>
      <c r="O3064" t="s">
        <v>4934</v>
      </c>
      <c r="Q3064" t="str">
        <f t="shared" si="129"/>
        <v>condorProc.py --series 07180912_1546 --donoise --dumps a --procenv environments/pymidas_HVHV_NaI_mf.env</v>
      </c>
    </row>
    <row r="3065" spans="1:17">
      <c r="A3065" t="s">
        <v>8539</v>
      </c>
      <c r="F3065" s="177">
        <v>10</v>
      </c>
      <c r="G3065" s="203" t="s">
        <v>5297</v>
      </c>
      <c r="H3065" s="209">
        <v>-80</v>
      </c>
      <c r="I3065" s="177"/>
      <c r="J3065" s="177" t="s">
        <v>5577</v>
      </c>
      <c r="K3065" s="178" t="s">
        <v>5583</v>
      </c>
      <c r="M3065" t="s">
        <v>2246</v>
      </c>
      <c r="N3065" t="s">
        <v>5571</v>
      </c>
      <c r="O3065" t="s">
        <v>4934</v>
      </c>
      <c r="Q3065" t="str">
        <f t="shared" si="129"/>
        <v>condorProc.py --series 07180912_1804 --donoise --dumps a --procenv environments/pymidas_HVHV_NaI_mf.env</v>
      </c>
    </row>
    <row r="3066" spans="1:17">
      <c r="A3066" t="s">
        <v>8540</v>
      </c>
      <c r="G3066" s="205"/>
      <c r="H3066" s="210"/>
      <c r="J3066" t="s">
        <v>5585</v>
      </c>
      <c r="K3066" s="218" t="s">
        <v>5586</v>
      </c>
      <c r="M3066" t="s">
        <v>2246</v>
      </c>
      <c r="N3066" t="s">
        <v>5571</v>
      </c>
      <c r="O3066" t="s">
        <v>4934</v>
      </c>
      <c r="Q3066" t="str">
        <f t="shared" si="129"/>
        <v>condorProc.py --series 07180912_1814 --donoise --dumps a --procenv environments/pymidas_HVHV_NaI_mf.env</v>
      </c>
    </row>
    <row r="3067" spans="1:17">
      <c r="A3067" t="s">
        <v>8541</v>
      </c>
      <c r="G3067" s="205"/>
      <c r="H3067" s="210"/>
      <c r="K3067" s="219" t="s">
        <v>8388</v>
      </c>
      <c r="M3067" t="s">
        <v>2246</v>
      </c>
      <c r="N3067" t="s">
        <v>5571</v>
      </c>
      <c r="O3067" t="s">
        <v>4934</v>
      </c>
      <c r="Q3067" t="str">
        <f t="shared" si="129"/>
        <v>condorProc.py --series 07180912_1824 --donoise --dumps a --procenv environments/pymidas_HVHV_NaI_mf.env</v>
      </c>
    </row>
    <row r="3068" spans="1:17">
      <c r="A3068" t="s">
        <v>8542</v>
      </c>
      <c r="G3068" s="205"/>
      <c r="H3068" s="210"/>
      <c r="K3068" s="180"/>
      <c r="M3068" t="s">
        <v>2246</v>
      </c>
      <c r="N3068" t="s">
        <v>5571</v>
      </c>
      <c r="O3068" t="s">
        <v>4934</v>
      </c>
      <c r="Q3068" t="str">
        <f t="shared" si="129"/>
        <v>condorProc.py --series 07180912_1834 --donoise --dumps a --procenv environments/pymidas_HVHV_NaI_mf.env</v>
      </c>
    </row>
    <row r="3069" spans="1:17">
      <c r="A3069" t="s">
        <v>8543</v>
      </c>
      <c r="G3069" s="205"/>
      <c r="H3069" s="210"/>
      <c r="K3069" s="180"/>
      <c r="M3069" t="s">
        <v>2246</v>
      </c>
      <c r="N3069" t="s">
        <v>5571</v>
      </c>
      <c r="O3069" t="s">
        <v>4934</v>
      </c>
      <c r="Q3069" t="str">
        <f t="shared" si="129"/>
        <v>condorProc.py --series 07180912_1844 --donoise --dumps a --procenv environments/pymidas_HVHV_NaI_mf.env</v>
      </c>
    </row>
    <row r="3070" spans="1:17">
      <c r="A3070" t="s">
        <v>8544</v>
      </c>
      <c r="G3070" s="205"/>
      <c r="H3070" s="210"/>
      <c r="I3070" t="s">
        <v>75</v>
      </c>
      <c r="K3070" s="180"/>
      <c r="M3070" t="s">
        <v>2246</v>
      </c>
      <c r="N3070" t="s">
        <v>5571</v>
      </c>
      <c r="O3070" t="s">
        <v>4934</v>
      </c>
      <c r="Q3070" t="str">
        <f t="shared" si="129"/>
        <v>condorProc.py --series 07180912_1854 --donoise --dumps a --procenv environments/pymidas_HVHV_NaI_mf.env</v>
      </c>
    </row>
    <row r="3071" spans="1:17">
      <c r="A3071" t="s">
        <v>8545</v>
      </c>
      <c r="G3071" s="205"/>
      <c r="H3071" s="210"/>
      <c r="K3071" s="180"/>
      <c r="M3071" t="s">
        <v>2246</v>
      </c>
      <c r="N3071" t="s">
        <v>5571</v>
      </c>
      <c r="O3071" t="s">
        <v>4934</v>
      </c>
      <c r="Q3071" t="str">
        <f t="shared" si="129"/>
        <v>condorProc.py --series 07180912_1904 --donoise --dumps a --procenv environments/pymidas_HVHV_NaI_mf.env</v>
      </c>
    </row>
    <row r="3072" spans="1:17">
      <c r="A3072" t="s">
        <v>8546</v>
      </c>
      <c r="G3072" s="205"/>
      <c r="H3072" s="210"/>
      <c r="K3072" s="180"/>
      <c r="M3072" t="s">
        <v>2246</v>
      </c>
      <c r="N3072" t="s">
        <v>5571</v>
      </c>
      <c r="O3072" t="s">
        <v>4934</v>
      </c>
      <c r="Q3072" t="str">
        <f t="shared" si="129"/>
        <v>condorProc.py --series 07180912_1915 --donoise --dumps a --procenv environments/pymidas_HVHV_NaI_mf.env</v>
      </c>
    </row>
    <row r="3073" spans="1:17">
      <c r="A3073" t="s">
        <v>8547</v>
      </c>
      <c r="G3073" s="205"/>
      <c r="H3073" s="210"/>
      <c r="K3073" s="180"/>
      <c r="M3073" t="s">
        <v>2246</v>
      </c>
      <c r="N3073" t="s">
        <v>5571</v>
      </c>
      <c r="O3073" t="s">
        <v>4934</v>
      </c>
      <c r="Q3073" t="str">
        <f t="shared" si="129"/>
        <v>condorProc.py --series 07180912_1925 --donoise --dumps a --procenv environments/pymidas_HVHV_NaI_mf.env</v>
      </c>
    </row>
    <row r="3074" spans="1:17">
      <c r="A3074" t="s">
        <v>8548</v>
      </c>
      <c r="G3074" s="205"/>
      <c r="H3074" s="210"/>
      <c r="K3074" s="180"/>
      <c r="M3074" t="s">
        <v>2246</v>
      </c>
      <c r="N3074" t="s">
        <v>5571</v>
      </c>
      <c r="O3074" t="s">
        <v>4934</v>
      </c>
      <c r="Q3074" t="str">
        <f t="shared" si="129"/>
        <v>condorProc.py --series 07180912_1935 --donoise --dumps a --procenv environments/pymidas_HVHV_NaI_mf.env</v>
      </c>
    </row>
    <row r="3075" spans="1:17">
      <c r="A3075" t="s">
        <v>8549</v>
      </c>
      <c r="G3075" s="205"/>
      <c r="H3075" s="210"/>
      <c r="K3075" s="180"/>
      <c r="M3075" t="s">
        <v>2246</v>
      </c>
      <c r="N3075" t="s">
        <v>5571</v>
      </c>
      <c r="O3075" t="s">
        <v>4934</v>
      </c>
      <c r="Q3075" t="str">
        <f t="shared" si="129"/>
        <v>condorProc.py --series 07180912_1945 --donoise --dumps a --procenv environments/pymidas_HVHV_NaI_mf.env</v>
      </c>
    </row>
    <row r="3076" spans="1:17">
      <c r="A3076" t="s">
        <v>8550</v>
      </c>
      <c r="F3076" s="65"/>
      <c r="G3076" s="204"/>
      <c r="H3076" s="211"/>
      <c r="I3076" s="65" t="s">
        <v>75</v>
      </c>
      <c r="J3076" s="65"/>
      <c r="K3076" s="182"/>
      <c r="M3076" t="s">
        <v>2246</v>
      </c>
      <c r="N3076" t="s">
        <v>5571</v>
      </c>
      <c r="O3076" t="s">
        <v>4934</v>
      </c>
      <c r="Q3076" t="str">
        <f t="shared" si="129"/>
        <v>condorProc.py --series 07180912_1955 --donoise --dumps a --procenv environments/pymidas_HVHV_NaI_mf.env</v>
      </c>
    </row>
    <row r="3077" spans="1:17">
      <c r="A3077" t="s">
        <v>8551</v>
      </c>
      <c r="F3077" s="177">
        <v>10</v>
      </c>
      <c r="G3077" s="203" t="s">
        <v>5297</v>
      </c>
      <c r="H3077" s="209">
        <v>-80</v>
      </c>
      <c r="I3077" s="177"/>
      <c r="J3077" s="177" t="s">
        <v>5577</v>
      </c>
      <c r="K3077" s="178" t="s">
        <v>5583</v>
      </c>
      <c r="M3077" t="s">
        <v>2246</v>
      </c>
      <c r="N3077" t="s">
        <v>5571</v>
      </c>
      <c r="O3077" t="s">
        <v>4934</v>
      </c>
      <c r="Q3077" t="str">
        <f t="shared" si="129"/>
        <v>condorProc.py --series 07180912_2049 --donoise --dumps a --procenv environments/pymidas_HVHV_NaI_mf.env</v>
      </c>
    </row>
    <row r="3078" spans="1:17">
      <c r="A3078" t="s">
        <v>8552</v>
      </c>
      <c r="G3078" s="205"/>
      <c r="H3078" s="210"/>
      <c r="J3078" t="s">
        <v>5585</v>
      </c>
      <c r="K3078" s="218" t="s">
        <v>5586</v>
      </c>
      <c r="M3078" t="s">
        <v>2246</v>
      </c>
      <c r="N3078" t="s">
        <v>5571</v>
      </c>
      <c r="O3078" t="s">
        <v>4934</v>
      </c>
      <c r="Q3078" t="str">
        <f t="shared" si="129"/>
        <v>condorProc.py --series 07180912_2059 --donoise --dumps a --procenv environments/pymidas_HVHV_NaI_mf.env</v>
      </c>
    </row>
    <row r="3079" spans="1:17">
      <c r="A3079" t="s">
        <v>8553</v>
      </c>
      <c r="G3079" s="205"/>
      <c r="H3079" s="210"/>
      <c r="K3079" s="219" t="s">
        <v>8388</v>
      </c>
      <c r="M3079" t="s">
        <v>2246</v>
      </c>
      <c r="N3079" t="s">
        <v>5571</v>
      </c>
      <c r="O3079" t="s">
        <v>4934</v>
      </c>
      <c r="Q3079" t="str">
        <f t="shared" si="129"/>
        <v>condorProc.py --series 07180912_2109 --donoise --dumps a --procenv environments/pymidas_HVHV_NaI_mf.env</v>
      </c>
    </row>
    <row r="3080" spans="1:17">
      <c r="A3080" t="s">
        <v>8554</v>
      </c>
      <c r="G3080" s="205"/>
      <c r="H3080" s="210"/>
      <c r="K3080" s="180"/>
      <c r="M3080" t="s">
        <v>2246</v>
      </c>
      <c r="N3080" t="s">
        <v>5571</v>
      </c>
      <c r="O3080" t="s">
        <v>4934</v>
      </c>
      <c r="Q3080" t="str">
        <f t="shared" si="129"/>
        <v>condorProc.py --series 07180912_2119 --donoise --dumps a --procenv environments/pymidas_HVHV_NaI_mf.env</v>
      </c>
    </row>
    <row r="3081" spans="1:17">
      <c r="A3081" t="s">
        <v>8555</v>
      </c>
      <c r="G3081" s="205"/>
      <c r="H3081" s="210"/>
      <c r="K3081" s="180"/>
      <c r="M3081" t="s">
        <v>2246</v>
      </c>
      <c r="N3081" t="s">
        <v>5571</v>
      </c>
      <c r="O3081" t="s">
        <v>4934</v>
      </c>
      <c r="Q3081" t="str">
        <f t="shared" si="129"/>
        <v>condorProc.py --series 07180912_2130 --donoise --dumps a --procenv environments/pymidas_HVHV_NaI_mf.env</v>
      </c>
    </row>
    <row r="3082" spans="1:17">
      <c r="A3082" t="s">
        <v>8556</v>
      </c>
      <c r="G3082" s="205"/>
      <c r="H3082" s="210"/>
      <c r="K3082" s="180"/>
      <c r="M3082" t="s">
        <v>2246</v>
      </c>
      <c r="N3082" t="s">
        <v>5571</v>
      </c>
      <c r="O3082" t="s">
        <v>4934</v>
      </c>
      <c r="Q3082" t="str">
        <f t="shared" si="129"/>
        <v>condorProc.py --series 07180912_2140 --donoise --dumps a --procenv environments/pymidas_HVHV_NaI_mf.env</v>
      </c>
    </row>
    <row r="3083" spans="1:17">
      <c r="A3083" t="s">
        <v>8557</v>
      </c>
      <c r="G3083" s="205"/>
      <c r="H3083" s="210"/>
      <c r="I3083" t="s">
        <v>75</v>
      </c>
      <c r="K3083" s="180"/>
      <c r="M3083" t="s">
        <v>2246</v>
      </c>
      <c r="N3083" t="s">
        <v>5571</v>
      </c>
      <c r="O3083" t="s">
        <v>4934</v>
      </c>
      <c r="Q3083" t="str">
        <f t="shared" si="129"/>
        <v>condorProc.py --series 07180912_2150 --donoise --dumps a --procenv environments/pymidas_HVHV_NaI_mf.env</v>
      </c>
    </row>
    <row r="3084" spans="1:17">
      <c r="A3084" t="s">
        <v>8558</v>
      </c>
      <c r="G3084" s="205"/>
      <c r="H3084" s="210"/>
      <c r="K3084" s="180"/>
      <c r="M3084" t="s">
        <v>2246</v>
      </c>
      <c r="N3084" t="s">
        <v>5571</v>
      </c>
      <c r="O3084" t="s">
        <v>4934</v>
      </c>
      <c r="Q3084" t="str">
        <f t="shared" si="129"/>
        <v>condorProc.py --series 07180912_2200 --donoise --dumps a --procenv environments/pymidas_HVHV_NaI_mf.env</v>
      </c>
    </row>
    <row r="3085" spans="1:17">
      <c r="A3085" t="s">
        <v>8559</v>
      </c>
      <c r="G3085" s="205"/>
      <c r="H3085" s="210"/>
      <c r="K3085" s="180"/>
      <c r="M3085" t="s">
        <v>2246</v>
      </c>
      <c r="N3085" t="s">
        <v>5571</v>
      </c>
      <c r="O3085" t="s">
        <v>4934</v>
      </c>
      <c r="Q3085" t="str">
        <f t="shared" si="129"/>
        <v>condorProc.py --series 07180912_2210 --donoise --dumps a --procenv environments/pymidas_HVHV_NaI_mf.env</v>
      </c>
    </row>
    <row r="3086" spans="1:17">
      <c r="A3086" t="s">
        <v>8560</v>
      </c>
      <c r="G3086" s="205"/>
      <c r="H3086" s="210"/>
      <c r="K3086" s="180"/>
      <c r="M3086" t="s">
        <v>2246</v>
      </c>
      <c r="N3086" t="s">
        <v>5571</v>
      </c>
      <c r="O3086" t="s">
        <v>4934</v>
      </c>
      <c r="Q3086" t="str">
        <f t="shared" si="129"/>
        <v>condorProc.py --series 07180912_2220 --donoise --dumps a --procenv environments/pymidas_HVHV_NaI_mf.env</v>
      </c>
    </row>
    <row r="3087" spans="1:17">
      <c r="A3087" t="s">
        <v>8561</v>
      </c>
      <c r="G3087" s="205"/>
      <c r="H3087" s="210"/>
      <c r="K3087" s="180"/>
      <c r="M3087" t="s">
        <v>2246</v>
      </c>
      <c r="N3087" t="s">
        <v>5571</v>
      </c>
      <c r="O3087" t="s">
        <v>4934</v>
      </c>
      <c r="Q3087" t="str">
        <f t="shared" si="129"/>
        <v>condorProc.py --series 07180912_2230 --donoise --dumps a --procenv environments/pymidas_HVHV_NaI_mf.env</v>
      </c>
    </row>
    <row r="3088" spans="1:17">
      <c r="A3088" t="s">
        <v>8562</v>
      </c>
      <c r="F3088" s="65"/>
      <c r="G3088" s="204"/>
      <c r="H3088" s="211"/>
      <c r="I3088" s="65"/>
      <c r="J3088" s="65"/>
      <c r="K3088" s="182"/>
      <c r="M3088" t="s">
        <v>2246</v>
      </c>
      <c r="N3088" t="s">
        <v>5571</v>
      </c>
      <c r="O3088" t="s">
        <v>4934</v>
      </c>
      <c r="Q3088" t="str">
        <f t="shared" si="129"/>
        <v>condorProc.py --series 07180912_2240 --donoise --dumps a --procenv environments/pymidas_HVHV_NaI_mf.env</v>
      </c>
    </row>
    <row r="3089" spans="1:17">
      <c r="A3089" t="s">
        <v>8563</v>
      </c>
      <c r="F3089" s="177">
        <v>10</v>
      </c>
      <c r="G3089" s="203" t="s">
        <v>5297</v>
      </c>
      <c r="H3089" s="209">
        <v>-80</v>
      </c>
      <c r="I3089" s="177"/>
      <c r="J3089" s="177" t="s">
        <v>5577</v>
      </c>
      <c r="K3089" s="178" t="s">
        <v>5583</v>
      </c>
      <c r="M3089" t="s">
        <v>2246</v>
      </c>
      <c r="N3089" t="s">
        <v>5571</v>
      </c>
      <c r="O3089" t="s">
        <v>4934</v>
      </c>
      <c r="Q3089" t="str">
        <f t="shared" si="129"/>
        <v>condorProc.py --series 07180912_2334 --donoise --dumps a --procenv environments/pymidas_HVHV_NaI_mf.env</v>
      </c>
    </row>
    <row r="3090" spans="1:17">
      <c r="A3090" t="s">
        <v>8564</v>
      </c>
      <c r="G3090" s="205"/>
      <c r="H3090" s="210"/>
      <c r="J3090" t="s">
        <v>5585</v>
      </c>
      <c r="K3090" s="218" t="s">
        <v>5586</v>
      </c>
      <c r="M3090" t="s">
        <v>2246</v>
      </c>
      <c r="N3090" t="s">
        <v>5571</v>
      </c>
      <c r="O3090" t="s">
        <v>4934</v>
      </c>
      <c r="Q3090" t="str">
        <f t="shared" si="129"/>
        <v>condorProc.py --series 07180912_2344 --donoise --dumps a --procenv environments/pymidas_HVHV_NaI_mf.env</v>
      </c>
    </row>
    <row r="3091" spans="1:17">
      <c r="A3091" t="s">
        <v>8565</v>
      </c>
      <c r="G3091" s="205"/>
      <c r="H3091" s="210"/>
      <c r="K3091" s="219" t="s">
        <v>8388</v>
      </c>
      <c r="M3091" t="s">
        <v>2246</v>
      </c>
      <c r="N3091" t="s">
        <v>5571</v>
      </c>
      <c r="O3091" t="s">
        <v>4934</v>
      </c>
      <c r="Q3091" t="str">
        <f t="shared" si="129"/>
        <v>condorProc.py --series 07180912_2354 --donoise --dumps a --procenv environments/pymidas_HVHV_NaI_mf.env</v>
      </c>
    </row>
    <row r="3092" spans="1:17">
      <c r="A3092" t="s">
        <v>8566</v>
      </c>
      <c r="G3092" s="205"/>
      <c r="H3092" s="210"/>
      <c r="K3092" s="180"/>
      <c r="M3092" t="s">
        <v>2246</v>
      </c>
      <c r="N3092" t="s">
        <v>5571</v>
      </c>
      <c r="O3092" t="s">
        <v>4934</v>
      </c>
      <c r="Q3092" t="str">
        <f t="shared" si="129"/>
        <v>condorProc.py --series 07180913_0005 --donoise --dumps a --procenv environments/pymidas_HVHV_NaI_mf.env</v>
      </c>
    </row>
    <row r="3093" spans="1:17">
      <c r="A3093" t="s">
        <v>8567</v>
      </c>
      <c r="G3093" s="205"/>
      <c r="H3093" s="210"/>
      <c r="K3093" s="180"/>
      <c r="M3093" t="s">
        <v>2246</v>
      </c>
      <c r="N3093" t="s">
        <v>5571</v>
      </c>
      <c r="O3093" t="s">
        <v>4934</v>
      </c>
      <c r="Q3093" t="str">
        <f t="shared" si="129"/>
        <v>condorProc.py --series 07180913_0015 --donoise --dumps a --procenv environments/pymidas_HVHV_NaI_mf.env</v>
      </c>
    </row>
    <row r="3094" spans="1:17">
      <c r="A3094" t="s">
        <v>8568</v>
      </c>
      <c r="G3094" s="205"/>
      <c r="H3094" s="210"/>
      <c r="K3094" s="180"/>
      <c r="M3094" t="s">
        <v>2246</v>
      </c>
      <c r="N3094" t="s">
        <v>5571</v>
      </c>
      <c r="O3094" t="s">
        <v>4934</v>
      </c>
      <c r="Q3094" t="str">
        <f t="shared" si="129"/>
        <v>condorProc.py --series 07180913_0025 --donoise --dumps a --procenv environments/pymidas_HVHV_NaI_mf.env</v>
      </c>
    </row>
    <row r="3095" spans="1:17">
      <c r="A3095" t="s">
        <v>8569</v>
      </c>
      <c r="G3095" s="205"/>
      <c r="H3095" s="210"/>
      <c r="K3095" s="180"/>
      <c r="M3095" t="s">
        <v>2246</v>
      </c>
      <c r="N3095" t="s">
        <v>5571</v>
      </c>
      <c r="O3095" t="s">
        <v>4934</v>
      </c>
      <c r="Q3095" t="str">
        <f t="shared" si="129"/>
        <v>condorProc.py --series 07180913_0035 --donoise --dumps a --procenv environments/pymidas_HVHV_NaI_mf.env</v>
      </c>
    </row>
    <row r="3096" spans="1:17">
      <c r="A3096" t="s">
        <v>8570</v>
      </c>
      <c r="G3096" s="205"/>
      <c r="H3096" s="210"/>
      <c r="K3096" s="180"/>
      <c r="M3096" t="s">
        <v>2246</v>
      </c>
      <c r="N3096" t="s">
        <v>5571</v>
      </c>
      <c r="O3096" t="s">
        <v>4934</v>
      </c>
      <c r="Q3096" t="str">
        <f t="shared" si="129"/>
        <v>condorProc.py --series 07180913_0045 --donoise --dumps a --procenv environments/pymidas_HVHV_NaI_mf.env</v>
      </c>
    </row>
    <row r="3097" spans="1:17">
      <c r="A3097" t="s">
        <v>8571</v>
      </c>
      <c r="G3097" s="205"/>
      <c r="H3097" s="210"/>
      <c r="K3097" s="180"/>
      <c r="M3097" t="s">
        <v>2246</v>
      </c>
      <c r="N3097" t="s">
        <v>5571</v>
      </c>
      <c r="O3097" t="s">
        <v>4934</v>
      </c>
      <c r="Q3097" t="str">
        <f t="shared" si="129"/>
        <v>condorProc.py --series 07180913_0055 --donoise --dumps a --procenv environments/pymidas_HVHV_NaI_mf.env</v>
      </c>
    </row>
    <row r="3098" spans="1:17">
      <c r="A3098" t="s">
        <v>8572</v>
      </c>
      <c r="G3098" s="205"/>
      <c r="H3098" s="210"/>
      <c r="K3098" s="180"/>
      <c r="M3098" t="s">
        <v>2246</v>
      </c>
      <c r="N3098" t="s">
        <v>5571</v>
      </c>
      <c r="O3098" t="s">
        <v>4934</v>
      </c>
      <c r="Q3098" t="str">
        <f t="shared" si="129"/>
        <v>condorProc.py --series 07180913_0105 --donoise --dumps a --procenv environments/pymidas_HVHV_NaI_mf.env</v>
      </c>
    </row>
    <row r="3099" spans="1:17">
      <c r="A3099" t="s">
        <v>8573</v>
      </c>
      <c r="G3099" s="205"/>
      <c r="H3099" s="210"/>
      <c r="K3099" s="180"/>
      <c r="M3099" t="s">
        <v>2246</v>
      </c>
      <c r="N3099" t="s">
        <v>5571</v>
      </c>
      <c r="O3099" t="s">
        <v>4934</v>
      </c>
      <c r="Q3099" t="str">
        <f t="shared" si="129"/>
        <v>condorProc.py --series 07180913_0116 --donoise --dumps a --procenv environments/pymidas_HVHV_NaI_mf.env</v>
      </c>
    </row>
    <row r="3100" spans="1:17">
      <c r="A3100" t="s">
        <v>8574</v>
      </c>
      <c r="F3100" s="65"/>
      <c r="G3100" s="204"/>
      <c r="H3100" s="211"/>
      <c r="I3100" s="65"/>
      <c r="J3100" s="65"/>
      <c r="K3100" s="182"/>
      <c r="M3100" t="s">
        <v>2246</v>
      </c>
      <c r="N3100" t="s">
        <v>5571</v>
      </c>
      <c r="O3100" t="s">
        <v>4934</v>
      </c>
      <c r="Q3100" t="str">
        <f t="shared" si="129"/>
        <v>condorProc.py --series 07180913_0126 --donoise --dumps a --procenv environments/pymidas_HVHV_NaI_mf.env</v>
      </c>
    </row>
    <row r="3101" spans="1:17">
      <c r="A3101" t="s">
        <v>8575</v>
      </c>
      <c r="F3101" s="177">
        <v>10</v>
      </c>
      <c r="G3101" s="203" t="s">
        <v>5297</v>
      </c>
      <c r="H3101" s="209">
        <v>-80</v>
      </c>
      <c r="I3101" s="177"/>
      <c r="J3101" s="177" t="s">
        <v>5577</v>
      </c>
      <c r="K3101" s="178" t="s">
        <v>5583</v>
      </c>
      <c r="M3101" t="s">
        <v>2246</v>
      </c>
      <c r="N3101" t="s">
        <v>5571</v>
      </c>
      <c r="O3101" t="s">
        <v>4934</v>
      </c>
      <c r="Q3101" t="str">
        <f t="shared" si="129"/>
        <v>condorProc.py --series 07180913_0220 --donoise --dumps a --procenv environments/pymidas_HVHV_NaI_mf.env</v>
      </c>
    </row>
    <row r="3102" spans="1:17">
      <c r="A3102" t="s">
        <v>8576</v>
      </c>
      <c r="G3102" s="205"/>
      <c r="H3102" s="210"/>
      <c r="J3102" t="s">
        <v>5585</v>
      </c>
      <c r="K3102" s="218" t="s">
        <v>5586</v>
      </c>
      <c r="M3102" t="s">
        <v>2246</v>
      </c>
      <c r="N3102" t="s">
        <v>5571</v>
      </c>
      <c r="O3102" t="s">
        <v>4934</v>
      </c>
      <c r="Q3102" t="str">
        <f t="shared" si="129"/>
        <v>condorProc.py --series 07180913_0230 --donoise --dumps a --procenv environments/pymidas_HVHV_NaI_mf.env</v>
      </c>
    </row>
    <row r="3103" spans="1:17">
      <c r="A3103" t="s">
        <v>8577</v>
      </c>
      <c r="G3103" s="205"/>
      <c r="H3103" s="210"/>
      <c r="K3103" s="219" t="s">
        <v>8388</v>
      </c>
      <c r="M3103" t="s">
        <v>2246</v>
      </c>
      <c r="N3103" t="s">
        <v>5571</v>
      </c>
      <c r="O3103" t="s">
        <v>4934</v>
      </c>
      <c r="Q3103" t="str">
        <f t="shared" si="129"/>
        <v>condorProc.py --series 07180913_0240 --donoise --dumps a --procenv environments/pymidas_HVHV_NaI_mf.env</v>
      </c>
    </row>
    <row r="3104" spans="1:17">
      <c r="A3104" t="s">
        <v>8578</v>
      </c>
      <c r="G3104" s="205"/>
      <c r="H3104" s="210"/>
      <c r="K3104" s="180"/>
      <c r="M3104" t="s">
        <v>2246</v>
      </c>
      <c r="N3104" t="s">
        <v>5571</v>
      </c>
      <c r="O3104" t="s">
        <v>4934</v>
      </c>
      <c r="Q3104" t="str">
        <f t="shared" si="129"/>
        <v>condorProc.py --series 07180913_0250 --donoise --dumps a --procenv environments/pymidas_HVHV_NaI_mf.env</v>
      </c>
    </row>
    <row r="3105" spans="1:17">
      <c r="A3105" t="s">
        <v>8579</v>
      </c>
      <c r="G3105" s="205"/>
      <c r="H3105" s="210"/>
      <c r="K3105" s="180"/>
      <c r="M3105" t="s">
        <v>2246</v>
      </c>
      <c r="N3105" t="s">
        <v>5571</v>
      </c>
      <c r="O3105" t="s">
        <v>4934</v>
      </c>
      <c r="Q3105" t="str">
        <f t="shared" si="129"/>
        <v>condorProc.py --series 07180913_0300 --donoise --dumps a --procenv environments/pymidas_HVHV_NaI_mf.env</v>
      </c>
    </row>
    <row r="3106" spans="1:17">
      <c r="A3106" t="s">
        <v>8580</v>
      </c>
      <c r="G3106" s="205"/>
      <c r="H3106" s="210"/>
      <c r="K3106" s="180"/>
      <c r="M3106" t="s">
        <v>2246</v>
      </c>
      <c r="N3106" t="s">
        <v>5571</v>
      </c>
      <c r="O3106" t="s">
        <v>4934</v>
      </c>
      <c r="Q3106" t="str">
        <f t="shared" si="129"/>
        <v>condorProc.py --series 07180913_0310 --donoise --dumps a --procenv environments/pymidas_HVHV_NaI_mf.env</v>
      </c>
    </row>
    <row r="3107" spans="1:17">
      <c r="A3107" t="s">
        <v>8581</v>
      </c>
      <c r="G3107" s="205"/>
      <c r="H3107" s="210"/>
      <c r="K3107" s="180"/>
      <c r="M3107" t="s">
        <v>2246</v>
      </c>
      <c r="N3107" t="s">
        <v>5571</v>
      </c>
      <c r="O3107" t="s">
        <v>4934</v>
      </c>
      <c r="Q3107" t="str">
        <f t="shared" si="129"/>
        <v>condorProc.py --series 07180913_0321 --donoise --dumps a --procenv environments/pymidas_HVHV_NaI_mf.env</v>
      </c>
    </row>
    <row r="3108" spans="1:17">
      <c r="A3108" t="s">
        <v>8582</v>
      </c>
      <c r="G3108" s="205"/>
      <c r="H3108" s="210"/>
      <c r="K3108" s="180"/>
      <c r="M3108" t="s">
        <v>2246</v>
      </c>
      <c r="N3108" t="s">
        <v>5571</v>
      </c>
      <c r="O3108" t="s">
        <v>4934</v>
      </c>
      <c r="Q3108" t="str">
        <f t="shared" si="129"/>
        <v>condorProc.py --series 07180913_0331 --donoise --dumps a --procenv environments/pymidas_HVHV_NaI_mf.env</v>
      </c>
    </row>
    <row r="3109" spans="1:17">
      <c r="A3109" t="s">
        <v>8583</v>
      </c>
      <c r="G3109" s="205"/>
      <c r="H3109" s="210"/>
      <c r="K3109" s="180"/>
      <c r="M3109" t="s">
        <v>2246</v>
      </c>
      <c r="N3109" t="s">
        <v>5571</v>
      </c>
      <c r="O3109" t="s">
        <v>4934</v>
      </c>
      <c r="Q3109" t="str">
        <f t="shared" si="129"/>
        <v>condorProc.py --series 07180913_0341 --donoise --dumps a --procenv environments/pymidas_HVHV_NaI_mf.env</v>
      </c>
    </row>
    <row r="3110" spans="1:17">
      <c r="A3110" t="s">
        <v>8584</v>
      </c>
      <c r="G3110" s="205"/>
      <c r="H3110" s="210"/>
      <c r="K3110" s="180"/>
      <c r="M3110" t="s">
        <v>2246</v>
      </c>
      <c r="N3110" t="s">
        <v>5571</v>
      </c>
      <c r="O3110" t="s">
        <v>4934</v>
      </c>
      <c r="Q3110" t="str">
        <f t="shared" si="129"/>
        <v>condorProc.py --series 07180913_0351 --donoise --dumps a --procenv environments/pymidas_HVHV_NaI_mf.env</v>
      </c>
    </row>
    <row r="3111" spans="1:17">
      <c r="A3111" t="s">
        <v>8585</v>
      </c>
      <c r="G3111" s="205"/>
      <c r="H3111" s="210"/>
      <c r="K3111" s="180"/>
      <c r="M3111" t="s">
        <v>2246</v>
      </c>
      <c r="N3111" t="s">
        <v>5571</v>
      </c>
      <c r="O3111" t="s">
        <v>4934</v>
      </c>
      <c r="Q3111" t="str">
        <f t="shared" si="129"/>
        <v>condorProc.py --series 07180913_0401 --donoise --dumps a --procenv environments/pymidas_HVHV_NaI_mf.env</v>
      </c>
    </row>
    <row r="3112" spans="1:17">
      <c r="A3112" t="s">
        <v>8586</v>
      </c>
      <c r="F3112" s="65"/>
      <c r="G3112" s="204"/>
      <c r="H3112" s="211"/>
      <c r="I3112" s="65"/>
      <c r="J3112" s="65"/>
      <c r="K3112" s="182"/>
      <c r="M3112" t="s">
        <v>2246</v>
      </c>
      <c r="N3112" t="s">
        <v>5571</v>
      </c>
      <c r="O3112" t="s">
        <v>4934</v>
      </c>
      <c r="Q3112" t="str">
        <f t="shared" si="129"/>
        <v>condorProc.py --series 07180913_0411 --donoise --dumps a --procenv environments/pymidas_HVHV_NaI_mf.env</v>
      </c>
    </row>
    <row r="3113" spans="1:17">
      <c r="A3113" t="s">
        <v>8587</v>
      </c>
      <c r="F3113" s="177">
        <v>10</v>
      </c>
      <c r="G3113" s="203" t="s">
        <v>5297</v>
      </c>
      <c r="H3113" s="209">
        <v>-80</v>
      </c>
      <c r="I3113" s="177"/>
      <c r="J3113" s="177" t="s">
        <v>5577</v>
      </c>
      <c r="K3113" s="178" t="s">
        <v>5583</v>
      </c>
      <c r="M3113" t="s">
        <v>2246</v>
      </c>
      <c r="N3113" t="s">
        <v>5571</v>
      </c>
      <c r="O3113" t="s">
        <v>4934</v>
      </c>
      <c r="Q3113" t="str">
        <f t="shared" si="129"/>
        <v>condorProc.py --series 07180913_0505 --donoise --dumps a --procenv environments/pymidas_HVHV_NaI_mf.env</v>
      </c>
    </row>
    <row r="3114" spans="1:17">
      <c r="A3114" t="s">
        <v>8588</v>
      </c>
      <c r="G3114" s="205"/>
      <c r="H3114" s="210"/>
      <c r="J3114" t="s">
        <v>5585</v>
      </c>
      <c r="K3114" s="218" t="s">
        <v>5586</v>
      </c>
      <c r="M3114" t="s">
        <v>2246</v>
      </c>
      <c r="N3114" t="s">
        <v>5571</v>
      </c>
      <c r="O3114" t="s">
        <v>4934</v>
      </c>
      <c r="Q3114" t="str">
        <f t="shared" si="129"/>
        <v>condorProc.py --series 07180913_0516 --donoise --dumps a --procenv environments/pymidas_HVHV_NaI_mf.env</v>
      </c>
    </row>
    <row r="3115" spans="1:17">
      <c r="A3115" t="s">
        <v>8589</v>
      </c>
      <c r="G3115" s="205"/>
      <c r="H3115" s="210"/>
      <c r="K3115" s="219" t="s">
        <v>8388</v>
      </c>
      <c r="M3115" t="s">
        <v>2246</v>
      </c>
      <c r="N3115" t="s">
        <v>5571</v>
      </c>
      <c r="O3115" t="s">
        <v>4934</v>
      </c>
      <c r="Q3115" t="str">
        <f t="shared" si="129"/>
        <v>condorProc.py --series 07180913_0526 --donoise --dumps a --procenv environments/pymidas_HVHV_NaI_mf.env</v>
      </c>
    </row>
    <row r="3116" spans="1:17">
      <c r="A3116" t="s">
        <v>8590</v>
      </c>
      <c r="G3116" s="205"/>
      <c r="H3116" s="210"/>
      <c r="K3116" s="180"/>
      <c r="M3116" t="s">
        <v>2246</v>
      </c>
      <c r="N3116" t="s">
        <v>5571</v>
      </c>
      <c r="O3116" t="s">
        <v>4934</v>
      </c>
      <c r="Q3116" t="str">
        <f t="shared" si="129"/>
        <v>condorProc.py --series 07180913_0536 --donoise --dumps a --procenv environments/pymidas_HVHV_NaI_mf.env</v>
      </c>
    </row>
    <row r="3117" spans="1:17">
      <c r="A3117" t="s">
        <v>8591</v>
      </c>
      <c r="G3117" s="205"/>
      <c r="H3117" s="210"/>
      <c r="K3117" s="180"/>
      <c r="M3117" t="s">
        <v>2246</v>
      </c>
      <c r="N3117" t="s">
        <v>5571</v>
      </c>
      <c r="O3117" t="s">
        <v>4934</v>
      </c>
      <c r="Q3117" t="str">
        <f t="shared" ref="Q3117:Q3140" si="130">"condorProc.py --series "&amp;A3117&amp;" --donoise --dumps a --procenv environments/pymidas_HVHV_NaI_mf.env"</f>
        <v>condorProc.py --series 07180913_0546 --donoise --dumps a --procenv environments/pymidas_HVHV_NaI_mf.env</v>
      </c>
    </row>
    <row r="3118" spans="1:17">
      <c r="A3118" t="s">
        <v>8592</v>
      </c>
      <c r="G3118" s="205"/>
      <c r="H3118" s="210"/>
      <c r="K3118" s="180"/>
      <c r="M3118" t="s">
        <v>2246</v>
      </c>
      <c r="N3118" t="s">
        <v>5571</v>
      </c>
      <c r="O3118" t="s">
        <v>4934</v>
      </c>
      <c r="Q3118" t="str">
        <f t="shared" si="130"/>
        <v>condorProc.py --series 07180913_0556 --donoise --dumps a --procenv environments/pymidas_HVHV_NaI_mf.env</v>
      </c>
    </row>
    <row r="3119" spans="1:17">
      <c r="A3119" t="s">
        <v>8593</v>
      </c>
      <c r="G3119" s="205"/>
      <c r="H3119" s="210"/>
      <c r="K3119" s="180"/>
      <c r="M3119" t="s">
        <v>2246</v>
      </c>
      <c r="N3119" t="s">
        <v>5571</v>
      </c>
      <c r="O3119" t="s">
        <v>4934</v>
      </c>
      <c r="Q3119" t="str">
        <f t="shared" si="130"/>
        <v>condorProc.py --series 07180913_0606 --donoise --dumps a --procenv environments/pymidas_HVHV_NaI_mf.env</v>
      </c>
    </row>
    <row r="3120" spans="1:17">
      <c r="A3120" t="s">
        <v>8594</v>
      </c>
      <c r="G3120" s="205"/>
      <c r="H3120" s="210"/>
      <c r="K3120" s="180"/>
      <c r="M3120" t="s">
        <v>2246</v>
      </c>
      <c r="N3120" t="s">
        <v>5571</v>
      </c>
      <c r="O3120" t="s">
        <v>4934</v>
      </c>
      <c r="Q3120" t="str">
        <f t="shared" si="130"/>
        <v>condorProc.py --series 07180913_0616 --donoise --dumps a --procenv environments/pymidas_HVHV_NaI_mf.env</v>
      </c>
    </row>
    <row r="3121" spans="1:17">
      <c r="A3121" t="s">
        <v>8595</v>
      </c>
      <c r="G3121" s="205"/>
      <c r="H3121" s="210"/>
      <c r="K3121" s="180"/>
      <c r="M3121" t="s">
        <v>2246</v>
      </c>
      <c r="N3121" t="s">
        <v>5571</v>
      </c>
      <c r="O3121" t="s">
        <v>4934</v>
      </c>
      <c r="Q3121" t="str">
        <f t="shared" si="130"/>
        <v>condorProc.py --series 07180913_0626 --donoise --dumps a --procenv environments/pymidas_HVHV_NaI_mf.env</v>
      </c>
    </row>
    <row r="3122" spans="1:17">
      <c r="A3122" t="s">
        <v>8596</v>
      </c>
      <c r="G3122" s="205"/>
      <c r="H3122" s="210"/>
      <c r="I3122" t="s">
        <v>75</v>
      </c>
      <c r="K3122" s="180"/>
      <c r="M3122" t="s">
        <v>2246</v>
      </c>
      <c r="N3122" t="s">
        <v>5571</v>
      </c>
      <c r="O3122" t="s">
        <v>4934</v>
      </c>
      <c r="Q3122" t="str">
        <f t="shared" si="130"/>
        <v>condorProc.py --series 07180913_0637 --donoise --dumps a --procenv environments/pymidas_HVHV_NaI_mf.env</v>
      </c>
    </row>
    <row r="3123" spans="1:17">
      <c r="A3123" t="s">
        <v>8597</v>
      </c>
      <c r="G3123" s="205"/>
      <c r="H3123" s="210"/>
      <c r="K3123" s="180"/>
      <c r="M3123" t="s">
        <v>2246</v>
      </c>
      <c r="N3123" t="s">
        <v>5571</v>
      </c>
      <c r="O3123" t="s">
        <v>4934</v>
      </c>
      <c r="Q3123" t="str">
        <f t="shared" si="130"/>
        <v>condorProc.py --series 07180913_0647 --donoise --dumps a --procenv environments/pymidas_HVHV_NaI_mf.env</v>
      </c>
    </row>
    <row r="3124" spans="1:17">
      <c r="A3124" t="s">
        <v>8598</v>
      </c>
      <c r="F3124" s="65"/>
      <c r="G3124" s="204"/>
      <c r="H3124" s="211"/>
      <c r="I3124" s="65"/>
      <c r="J3124" s="65"/>
      <c r="K3124" s="182"/>
      <c r="M3124" t="s">
        <v>2246</v>
      </c>
      <c r="N3124" t="s">
        <v>5571</v>
      </c>
      <c r="O3124" t="s">
        <v>4934</v>
      </c>
      <c r="Q3124" t="str">
        <f t="shared" si="130"/>
        <v>condorProc.py --series 07180913_0657 --donoise --dumps a --procenv environments/pymidas_HVHV_NaI_mf.env</v>
      </c>
    </row>
    <row r="3125" spans="1:17">
      <c r="A3125" t="s">
        <v>8599</v>
      </c>
      <c r="F3125" s="177">
        <v>10</v>
      </c>
      <c r="G3125" s="203" t="s">
        <v>5297</v>
      </c>
      <c r="H3125" s="209">
        <v>-80</v>
      </c>
      <c r="I3125" s="177"/>
      <c r="J3125" s="177" t="s">
        <v>5577</v>
      </c>
      <c r="K3125" s="178" t="s">
        <v>5583</v>
      </c>
      <c r="M3125" t="s">
        <v>2246</v>
      </c>
      <c r="O3125" t="s">
        <v>4934</v>
      </c>
      <c r="Q3125" t="str">
        <f t="shared" si="130"/>
        <v>condorProc.py --series 07180913_0751 --donoise --dumps a --procenv environments/pymidas_HVHV_NaI_mf.env</v>
      </c>
    </row>
    <row r="3126" spans="1:17">
      <c r="A3126" t="s">
        <v>8600</v>
      </c>
      <c r="G3126" s="205"/>
      <c r="H3126" s="210"/>
      <c r="J3126" t="s">
        <v>5585</v>
      </c>
      <c r="K3126" s="218" t="s">
        <v>5586</v>
      </c>
      <c r="M3126" t="s">
        <v>2246</v>
      </c>
      <c r="O3126" t="s">
        <v>4934</v>
      </c>
      <c r="Q3126" t="str">
        <f t="shared" si="130"/>
        <v>condorProc.py --series 07180913_0801 --donoise --dumps a --procenv environments/pymidas_HVHV_NaI_mf.env</v>
      </c>
    </row>
    <row r="3127" spans="1:17">
      <c r="A3127" t="s">
        <v>8601</v>
      </c>
      <c r="G3127" s="205"/>
      <c r="H3127" s="210"/>
      <c r="K3127" s="219" t="s">
        <v>8388</v>
      </c>
      <c r="M3127" t="s">
        <v>2246</v>
      </c>
      <c r="O3127" t="s">
        <v>4934</v>
      </c>
      <c r="Q3127" t="str">
        <f t="shared" si="130"/>
        <v>condorProc.py --series 07180913_0811 --donoise --dumps a --procenv environments/pymidas_HVHV_NaI_mf.env</v>
      </c>
    </row>
    <row r="3128" spans="1:17">
      <c r="A3128" t="s">
        <v>8602</v>
      </c>
      <c r="G3128" s="205"/>
      <c r="H3128" s="210"/>
      <c r="I3128" t="s">
        <v>75</v>
      </c>
      <c r="K3128" s="180"/>
      <c r="M3128" t="s">
        <v>2246</v>
      </c>
      <c r="O3128" t="s">
        <v>4934</v>
      </c>
      <c r="Q3128" t="str">
        <f t="shared" si="130"/>
        <v>condorProc.py --series 07180913_0821 --donoise --dumps a --procenv environments/pymidas_HVHV_NaI_mf.env</v>
      </c>
    </row>
    <row r="3129" spans="1:17">
      <c r="A3129" t="s">
        <v>8603</v>
      </c>
      <c r="G3129" s="205"/>
      <c r="H3129" s="210"/>
      <c r="K3129" s="180"/>
      <c r="M3129" t="s">
        <v>2246</v>
      </c>
      <c r="O3129" t="s">
        <v>4934</v>
      </c>
      <c r="Q3129" t="str">
        <f t="shared" si="130"/>
        <v>condorProc.py --series 07180913_0831 --donoise --dumps a --procenv environments/pymidas_HVHV_NaI_mf.env</v>
      </c>
    </row>
    <row r="3130" spans="1:17">
      <c r="A3130" t="s">
        <v>8604</v>
      </c>
      <c r="G3130" s="205"/>
      <c r="H3130" s="210"/>
      <c r="K3130" s="180"/>
      <c r="M3130" t="s">
        <v>2246</v>
      </c>
      <c r="O3130" t="s">
        <v>4934</v>
      </c>
      <c r="Q3130" t="str">
        <f t="shared" si="130"/>
        <v>condorProc.py --series 07180913_0842 --donoise --dumps a --procenv environments/pymidas_HVHV_NaI_mf.env</v>
      </c>
    </row>
    <row r="3131" spans="1:17">
      <c r="A3131" t="s">
        <v>8605</v>
      </c>
      <c r="G3131" s="205"/>
      <c r="H3131" s="210"/>
      <c r="K3131" s="180"/>
      <c r="M3131" t="s">
        <v>2246</v>
      </c>
      <c r="O3131" t="s">
        <v>4934</v>
      </c>
      <c r="Q3131" t="str">
        <f t="shared" si="130"/>
        <v>condorProc.py --series 07180913_0852 --donoise --dumps a --procenv environments/pymidas_HVHV_NaI_mf.env</v>
      </c>
    </row>
    <row r="3132" spans="1:17">
      <c r="A3132" t="s">
        <v>8606</v>
      </c>
      <c r="G3132" s="205"/>
      <c r="H3132" s="210"/>
      <c r="K3132" s="180"/>
      <c r="M3132" t="s">
        <v>2246</v>
      </c>
      <c r="O3132" t="s">
        <v>4934</v>
      </c>
      <c r="Q3132" t="str">
        <f t="shared" si="130"/>
        <v>condorProc.py --series 07180913_0902 --donoise --dumps a --procenv environments/pymidas_HVHV_NaI_mf.env</v>
      </c>
    </row>
    <row r="3133" spans="1:17">
      <c r="A3133" t="s">
        <v>8607</v>
      </c>
      <c r="G3133" s="205"/>
      <c r="H3133" s="210"/>
      <c r="K3133" s="180"/>
      <c r="M3133" t="s">
        <v>2246</v>
      </c>
      <c r="O3133" t="s">
        <v>4934</v>
      </c>
      <c r="Q3133" t="str">
        <f t="shared" si="130"/>
        <v>condorProc.py --series 07180913_0912 --donoise --dumps a --procenv environments/pymidas_HVHV_NaI_mf.env</v>
      </c>
    </row>
    <row r="3134" spans="1:17">
      <c r="A3134" t="s">
        <v>8608</v>
      </c>
      <c r="G3134" s="205"/>
      <c r="H3134" s="210"/>
      <c r="K3134" s="180"/>
      <c r="M3134" t="s">
        <v>2246</v>
      </c>
      <c r="O3134" t="s">
        <v>4934</v>
      </c>
      <c r="Q3134" t="str">
        <f t="shared" si="130"/>
        <v>condorProc.py --series 07180913_0922 --donoise --dumps a --procenv environments/pymidas_HVHV_NaI_mf.env</v>
      </c>
    </row>
    <row r="3135" spans="1:17">
      <c r="A3135" t="s">
        <v>8609</v>
      </c>
      <c r="G3135" s="205"/>
      <c r="H3135" s="210"/>
      <c r="K3135" s="180"/>
      <c r="M3135" t="s">
        <v>2246</v>
      </c>
      <c r="O3135" t="s">
        <v>4934</v>
      </c>
      <c r="Q3135" t="str">
        <f t="shared" si="130"/>
        <v>condorProc.py --series 07180913_0932 --donoise --dumps a --procenv environments/pymidas_HVHV_NaI_mf.env</v>
      </c>
    </row>
    <row r="3136" spans="1:17">
      <c r="A3136" t="s">
        <v>8610</v>
      </c>
      <c r="F3136" s="65"/>
      <c r="G3136" s="204"/>
      <c r="H3136" s="211"/>
      <c r="I3136" s="65" t="s">
        <v>75</v>
      </c>
      <c r="J3136" s="65"/>
      <c r="K3136" s="182"/>
      <c r="M3136" t="s">
        <v>2246</v>
      </c>
      <c r="O3136" t="s">
        <v>4934</v>
      </c>
      <c r="Q3136" t="str">
        <f t="shared" si="130"/>
        <v>condorProc.py --series 07180913_0942 --donoise --dumps a --procenv environments/pymidas_HVHV_NaI_mf.env</v>
      </c>
    </row>
    <row r="3137" spans="1:17">
      <c r="A3137" t="s">
        <v>8611</v>
      </c>
      <c r="F3137" s="177">
        <v>10</v>
      </c>
      <c r="G3137" s="203" t="s">
        <v>5297</v>
      </c>
      <c r="H3137" s="209">
        <v>-80</v>
      </c>
      <c r="I3137" s="177" t="s">
        <v>75</v>
      </c>
      <c r="J3137" s="177" t="s">
        <v>5577</v>
      </c>
      <c r="K3137" s="178" t="s">
        <v>5583</v>
      </c>
      <c r="M3137" t="s">
        <v>2246</v>
      </c>
      <c r="O3137" t="s">
        <v>4934</v>
      </c>
      <c r="Q3137" t="str">
        <f t="shared" si="130"/>
        <v>condorProc.py --series 07180913_1036 --donoise --dumps a --procenv environments/pymidas_HVHV_NaI_mf.env</v>
      </c>
    </row>
    <row r="3138" spans="1:17">
      <c r="A3138" t="s">
        <v>8612</v>
      </c>
      <c r="G3138" s="205"/>
      <c r="H3138" s="210"/>
      <c r="J3138" t="s">
        <v>5585</v>
      </c>
      <c r="K3138" s="218" t="s">
        <v>5586</v>
      </c>
      <c r="M3138" t="s">
        <v>2246</v>
      </c>
      <c r="O3138" t="s">
        <v>4934</v>
      </c>
      <c r="Q3138" t="str">
        <f t="shared" si="130"/>
        <v>condorProc.py --series 07180913_1047 --donoise --dumps a --procenv environments/pymidas_HVHV_NaI_mf.env</v>
      </c>
    </row>
    <row r="3139" spans="1:17">
      <c r="A3139" t="s">
        <v>8613</v>
      </c>
      <c r="G3139" s="205"/>
      <c r="H3139" s="210"/>
      <c r="I3139" t="s">
        <v>75</v>
      </c>
      <c r="K3139" s="219" t="s">
        <v>8388</v>
      </c>
      <c r="M3139" t="s">
        <v>2246</v>
      </c>
      <c r="O3139" t="s">
        <v>4934</v>
      </c>
      <c r="Q3139" t="str">
        <f t="shared" si="130"/>
        <v>condorProc.py --series 07180913_1057 --donoise --dumps a --procenv environments/pymidas_HVHV_NaI_mf.env</v>
      </c>
    </row>
    <row r="3140" spans="1:17">
      <c r="A3140" t="s">
        <v>8614</v>
      </c>
      <c r="G3140" s="205"/>
      <c r="H3140" s="210"/>
      <c r="I3140" t="s">
        <v>75</v>
      </c>
      <c r="K3140" s="180"/>
      <c r="M3140" t="s">
        <v>2246</v>
      </c>
      <c r="O3140" t="s">
        <v>4934</v>
      </c>
      <c r="Q3140" t="str">
        <f t="shared" si="130"/>
        <v>condorProc.py --series 07180913_1107 --donoise --dumps a --procenv environments/pymidas_HVHV_NaI_mf.env</v>
      </c>
    </row>
    <row r="3141" spans="1:17">
      <c r="A3141" t="s">
        <v>8615</v>
      </c>
      <c r="G3141" s="205"/>
      <c r="H3141" s="210"/>
      <c r="I3141" s="197" t="s">
        <v>5434</v>
      </c>
      <c r="K3141" s="180"/>
    </row>
    <row r="3142" spans="1:17">
      <c r="A3142" t="s">
        <v>8616</v>
      </c>
      <c r="G3142" s="205"/>
      <c r="H3142" s="210"/>
      <c r="I3142" s="197" t="s">
        <v>5434</v>
      </c>
      <c r="K3142" s="180" t="s">
        <v>8617</v>
      </c>
    </row>
    <row r="3143" spans="1:17">
      <c r="A3143" t="s">
        <v>8618</v>
      </c>
      <c r="G3143" s="205"/>
      <c r="H3143" s="210"/>
      <c r="I3143" s="197" t="s">
        <v>5434</v>
      </c>
      <c r="K3143" s="180"/>
    </row>
    <row r="3144" spans="1:17">
      <c r="A3144" t="s">
        <v>8619</v>
      </c>
      <c r="G3144" s="205"/>
      <c r="H3144" s="210"/>
      <c r="I3144" s="197" t="s">
        <v>5434</v>
      </c>
      <c r="K3144" s="180"/>
    </row>
    <row r="3145" spans="1:17">
      <c r="A3145" t="s">
        <v>8620</v>
      </c>
      <c r="G3145" s="205"/>
      <c r="H3145" s="210"/>
      <c r="I3145" s="197" t="s">
        <v>5434</v>
      </c>
      <c r="K3145" s="180"/>
    </row>
    <row r="3146" spans="1:17">
      <c r="A3146" t="s">
        <v>8621</v>
      </c>
      <c r="G3146" s="205"/>
      <c r="H3146" s="210"/>
      <c r="I3146" s="197" t="s">
        <v>5434</v>
      </c>
      <c r="K3146" s="180"/>
    </row>
    <row r="3147" spans="1:17">
      <c r="A3147" t="s">
        <v>8622</v>
      </c>
      <c r="G3147" s="205"/>
      <c r="H3147" s="210"/>
      <c r="I3147" t="s">
        <v>75</v>
      </c>
      <c r="K3147" s="180"/>
      <c r="Q3147" t="str">
        <f>"condorProc.py --series "&amp;A3147&amp;" --donoise --dumps a --procenv environments/pymidas_HVHV_NaI_mf.env"</f>
        <v>condorProc.py --series 07180913_1218 --donoise --dumps a --procenv environments/pymidas_HVHV_NaI_mf.env</v>
      </c>
    </row>
    <row r="3148" spans="1:17">
      <c r="A3148" t="s">
        <v>8623</v>
      </c>
      <c r="G3148" s="205"/>
      <c r="H3148" s="210"/>
      <c r="I3148" t="s">
        <v>75</v>
      </c>
      <c r="K3148" s="180"/>
      <c r="Q3148" t="str">
        <f>"condorProc.py --series "&amp;A3148&amp;" --donoise --dumps a --procenv environments/pymidas_HVHV_NaI_mf.env"</f>
        <v>condorProc.py --series 07180913_1228 --donoise --dumps a --procenv environments/pymidas_HVHV_NaI_mf.env</v>
      </c>
    </row>
    <row r="3149" spans="1:17">
      <c r="A3149" s="176" t="s">
        <v>8624</v>
      </c>
      <c r="B3149" s="177"/>
      <c r="C3149" s="177"/>
      <c r="D3149" s="177"/>
      <c r="E3149" s="177"/>
      <c r="F3149" s="177">
        <v>10</v>
      </c>
      <c r="G3149" s="221" t="s">
        <v>8625</v>
      </c>
      <c r="H3149" s="206">
        <v>0</v>
      </c>
      <c r="I3149" s="177"/>
      <c r="J3149" s="177" t="s">
        <v>5577</v>
      </c>
      <c r="K3149" s="178" t="s">
        <v>5583</v>
      </c>
      <c r="L3149" t="s">
        <v>8626</v>
      </c>
      <c r="M3149" t="s">
        <v>2246</v>
      </c>
      <c r="N3149" t="s">
        <v>5571</v>
      </c>
      <c r="O3149" t="s">
        <v>8627</v>
      </c>
      <c r="Q3149" t="str">
        <f t="shared" ref="Q3149:Q3212" si="131">"condorProc.py --series "&amp;A3149&amp;" --donoise --dumps a --procenv environments/pymidas_HVHV_NaI_mf.env"</f>
        <v>condorProc.py --series 07180913_1302 --donoise --dumps a --procenv environments/pymidas_HVHV_NaI_mf.env</v>
      </c>
    </row>
    <row r="3150" spans="1:17">
      <c r="A3150" s="179" t="s">
        <v>8628</v>
      </c>
      <c r="G3150" s="222"/>
      <c r="H3150" s="207"/>
      <c r="J3150" t="s">
        <v>5585</v>
      </c>
      <c r="K3150" s="220" t="s">
        <v>8629</v>
      </c>
      <c r="M3150" t="s">
        <v>2246</v>
      </c>
      <c r="N3150" t="s">
        <v>5571</v>
      </c>
      <c r="O3150" t="s">
        <v>8627</v>
      </c>
      <c r="Q3150" t="str">
        <f t="shared" si="131"/>
        <v>condorProc.py --series 07180913_1312 --donoise --dumps a --procenv environments/pymidas_HVHV_NaI_mf.env</v>
      </c>
    </row>
    <row r="3151" spans="1:17">
      <c r="A3151" s="179" t="s">
        <v>8630</v>
      </c>
      <c r="G3151" s="222"/>
      <c r="H3151" s="207"/>
      <c r="K3151" s="220"/>
      <c r="M3151" t="s">
        <v>2246</v>
      </c>
      <c r="N3151" t="s">
        <v>5571</v>
      </c>
      <c r="O3151" t="s">
        <v>8627</v>
      </c>
      <c r="Q3151" t="str">
        <f t="shared" si="131"/>
        <v>condorProc.py --series 07180913_1322 --donoise --dumps a --procenv environments/pymidas_HVHV_NaI_mf.env</v>
      </c>
    </row>
    <row r="3152" spans="1:17">
      <c r="A3152" s="179" t="s">
        <v>8631</v>
      </c>
      <c r="G3152" s="222"/>
      <c r="H3152" s="207"/>
      <c r="K3152" s="180"/>
      <c r="M3152" t="s">
        <v>2246</v>
      </c>
      <c r="N3152" t="s">
        <v>5571</v>
      </c>
      <c r="O3152" t="s">
        <v>8627</v>
      </c>
      <c r="Q3152" t="str">
        <f t="shared" si="131"/>
        <v>condorProc.py --series 07180913_1332 --donoise --dumps a --procenv environments/pymidas_HVHV_NaI_mf.env</v>
      </c>
    </row>
    <row r="3153" spans="1:17">
      <c r="A3153" s="179" t="s">
        <v>8632</v>
      </c>
      <c r="G3153" s="222"/>
      <c r="H3153" s="207"/>
      <c r="K3153" s="180"/>
      <c r="M3153" t="s">
        <v>2246</v>
      </c>
      <c r="N3153" t="s">
        <v>5571</v>
      </c>
      <c r="O3153" t="s">
        <v>8627</v>
      </c>
      <c r="Q3153" t="str">
        <f t="shared" si="131"/>
        <v>condorProc.py --series 07180913_1342 --donoise --dumps a --procenv environments/pymidas_HVHV_NaI_mf.env</v>
      </c>
    </row>
    <row r="3154" spans="1:17">
      <c r="A3154" s="179" t="s">
        <v>8633</v>
      </c>
      <c r="G3154" s="222"/>
      <c r="H3154" s="207"/>
      <c r="K3154" s="180"/>
      <c r="M3154" t="s">
        <v>2246</v>
      </c>
      <c r="N3154" t="s">
        <v>5571</v>
      </c>
      <c r="O3154" t="s">
        <v>8627</v>
      </c>
      <c r="Q3154" t="str">
        <f t="shared" si="131"/>
        <v>condorProc.py --series 07180913_1352 --donoise --dumps a --procenv environments/pymidas_HVHV_NaI_mf.env</v>
      </c>
    </row>
    <row r="3155" spans="1:17">
      <c r="A3155" s="179" t="s">
        <v>8634</v>
      </c>
      <c r="G3155" s="222"/>
      <c r="H3155" s="207"/>
      <c r="K3155" s="180"/>
      <c r="M3155" t="s">
        <v>2246</v>
      </c>
      <c r="N3155" t="s">
        <v>5571</v>
      </c>
      <c r="O3155" t="s">
        <v>8627</v>
      </c>
      <c r="Q3155" t="str">
        <f t="shared" si="131"/>
        <v>condorProc.py --series 07180913_1402 --donoise --dumps a --procenv environments/pymidas_HVHV_NaI_mf.env</v>
      </c>
    </row>
    <row r="3156" spans="1:17">
      <c r="A3156" s="179" t="s">
        <v>8635</v>
      </c>
      <c r="G3156" s="222"/>
      <c r="H3156" s="207"/>
      <c r="K3156" s="180"/>
      <c r="M3156" t="s">
        <v>2246</v>
      </c>
      <c r="N3156" t="s">
        <v>5571</v>
      </c>
      <c r="O3156" t="s">
        <v>8627</v>
      </c>
      <c r="Q3156" t="str">
        <f t="shared" si="131"/>
        <v>condorProc.py --series 07180913_1412 --donoise --dumps a --procenv environments/pymidas_HVHV_NaI_mf.env</v>
      </c>
    </row>
    <row r="3157" spans="1:17">
      <c r="A3157" s="179" t="s">
        <v>8636</v>
      </c>
      <c r="G3157" s="222"/>
      <c r="H3157" s="207"/>
      <c r="K3157" s="180"/>
      <c r="M3157" t="s">
        <v>2246</v>
      </c>
      <c r="N3157" t="s">
        <v>5571</v>
      </c>
      <c r="O3157" t="s">
        <v>8627</v>
      </c>
      <c r="Q3157" t="str">
        <f t="shared" si="131"/>
        <v>condorProc.py --series 07180913_1423 --donoise --dumps a --procenv environments/pymidas_HVHV_NaI_mf.env</v>
      </c>
    </row>
    <row r="3158" spans="1:17">
      <c r="A3158" s="179" t="s">
        <v>8637</v>
      </c>
      <c r="G3158" s="222"/>
      <c r="H3158" s="207"/>
      <c r="K3158" s="180"/>
      <c r="M3158" t="s">
        <v>2246</v>
      </c>
      <c r="N3158" t="s">
        <v>5571</v>
      </c>
      <c r="O3158" t="s">
        <v>8627</v>
      </c>
      <c r="Q3158" t="str">
        <f t="shared" si="131"/>
        <v>condorProc.py --series 07180913_1433 --donoise --dumps a --procenv environments/pymidas_HVHV_NaI_mf.env</v>
      </c>
    </row>
    <row r="3159" spans="1:17">
      <c r="A3159" s="179" t="s">
        <v>8638</v>
      </c>
      <c r="G3159" s="222"/>
      <c r="H3159" s="207"/>
      <c r="K3159" s="180"/>
      <c r="M3159" t="s">
        <v>2246</v>
      </c>
      <c r="N3159" t="s">
        <v>5571</v>
      </c>
      <c r="O3159" t="s">
        <v>8627</v>
      </c>
      <c r="Q3159" t="str">
        <f t="shared" si="131"/>
        <v>condorProc.py --series 07180913_1443 --donoise --dumps a --procenv environments/pymidas_HVHV_NaI_mf.env</v>
      </c>
    </row>
    <row r="3160" spans="1:17">
      <c r="A3160" s="181" t="s">
        <v>8639</v>
      </c>
      <c r="B3160" s="65"/>
      <c r="C3160" s="65"/>
      <c r="D3160" s="65"/>
      <c r="E3160" s="65"/>
      <c r="F3160" s="65"/>
      <c r="G3160" s="223"/>
      <c r="H3160" s="208"/>
      <c r="I3160" s="65"/>
      <c r="J3160" s="65"/>
      <c r="K3160" s="182"/>
      <c r="M3160" t="s">
        <v>2246</v>
      </c>
      <c r="N3160" t="s">
        <v>5571</v>
      </c>
      <c r="O3160" t="s">
        <v>8627</v>
      </c>
      <c r="Q3160" t="str">
        <f t="shared" si="131"/>
        <v>condorProc.py --series 07180913_1453 --donoise --dumps a --procenv environments/pymidas_HVHV_NaI_mf.env</v>
      </c>
    </row>
    <row r="3161" spans="1:17">
      <c r="A3161" t="s">
        <v>8640</v>
      </c>
      <c r="F3161" s="177">
        <v>10</v>
      </c>
      <c r="G3161" s="224" t="s">
        <v>8641</v>
      </c>
      <c r="H3161" s="209">
        <v>-80</v>
      </c>
      <c r="I3161" s="177"/>
      <c r="J3161" s="177" t="s">
        <v>5577</v>
      </c>
      <c r="K3161" s="178" t="s">
        <v>5583</v>
      </c>
      <c r="M3161" t="s">
        <v>2246</v>
      </c>
      <c r="N3161" t="s">
        <v>5571</v>
      </c>
      <c r="O3161" t="s">
        <v>4935</v>
      </c>
      <c r="Q3161" t="str">
        <f t="shared" si="131"/>
        <v>condorProc.py --series 07180913_1637 --donoise --dumps a --procenv environments/pymidas_HVHV_NaI_mf.env</v>
      </c>
    </row>
    <row r="3162" spans="1:17">
      <c r="A3162" t="s">
        <v>8642</v>
      </c>
      <c r="G3162" s="225"/>
      <c r="H3162" s="210"/>
      <c r="J3162" t="s">
        <v>5585</v>
      </c>
      <c r="K3162" s="218" t="s">
        <v>5586</v>
      </c>
      <c r="M3162" t="s">
        <v>2246</v>
      </c>
      <c r="N3162" t="s">
        <v>5571</v>
      </c>
      <c r="O3162" t="s">
        <v>4935</v>
      </c>
      <c r="Q3162" t="str">
        <f t="shared" si="131"/>
        <v>condorProc.py --series 07180913_1647 --donoise --dumps a --procenv environments/pymidas_HVHV_NaI_mf.env</v>
      </c>
    </row>
    <row r="3163" spans="1:17">
      <c r="A3163" t="s">
        <v>8643</v>
      </c>
      <c r="G3163" s="225"/>
      <c r="H3163" s="210"/>
      <c r="K3163" s="219" t="s">
        <v>8388</v>
      </c>
      <c r="M3163" t="s">
        <v>2246</v>
      </c>
      <c r="N3163" t="s">
        <v>5571</v>
      </c>
      <c r="O3163" t="s">
        <v>4935</v>
      </c>
      <c r="Q3163" t="str">
        <f t="shared" si="131"/>
        <v>condorProc.py --series 07180913_1657 --donoise --dumps a --procenv environments/pymidas_HVHV_NaI_mf.env</v>
      </c>
    </row>
    <row r="3164" spans="1:17">
      <c r="A3164" t="s">
        <v>8644</v>
      </c>
      <c r="G3164" s="225"/>
      <c r="H3164" s="210"/>
      <c r="K3164" s="180"/>
      <c r="M3164" t="s">
        <v>2246</v>
      </c>
      <c r="N3164" t="s">
        <v>5571</v>
      </c>
      <c r="O3164" t="s">
        <v>4935</v>
      </c>
      <c r="Q3164" t="str">
        <f t="shared" si="131"/>
        <v>condorProc.py --series 07180913_1708 --donoise --dumps a --procenv environments/pymidas_HVHV_NaI_mf.env</v>
      </c>
    </row>
    <row r="3165" spans="1:17">
      <c r="A3165" t="s">
        <v>8645</v>
      </c>
      <c r="G3165" s="225"/>
      <c r="H3165" s="210"/>
      <c r="K3165" s="180"/>
      <c r="M3165" t="s">
        <v>2246</v>
      </c>
      <c r="N3165" t="s">
        <v>5571</v>
      </c>
      <c r="O3165" t="s">
        <v>4935</v>
      </c>
      <c r="Q3165" t="str">
        <f t="shared" si="131"/>
        <v>condorProc.py --series 07180913_1718 --donoise --dumps a --procenv environments/pymidas_HVHV_NaI_mf.env</v>
      </c>
    </row>
    <row r="3166" spans="1:17">
      <c r="A3166" t="s">
        <v>8646</v>
      </c>
      <c r="G3166" s="225"/>
      <c r="H3166" s="210"/>
      <c r="K3166" s="180"/>
      <c r="M3166" t="s">
        <v>2246</v>
      </c>
      <c r="N3166" t="s">
        <v>5571</v>
      </c>
      <c r="O3166" t="s">
        <v>4935</v>
      </c>
      <c r="Q3166" t="str">
        <f t="shared" si="131"/>
        <v>condorProc.py --series 07180913_1728 --donoise --dumps a --procenv environments/pymidas_HVHV_NaI_mf.env</v>
      </c>
    </row>
    <row r="3167" spans="1:17">
      <c r="A3167" t="s">
        <v>8647</v>
      </c>
      <c r="G3167" s="225"/>
      <c r="H3167" s="210"/>
      <c r="I3167" t="s">
        <v>75</v>
      </c>
      <c r="K3167" s="180"/>
      <c r="M3167" t="s">
        <v>2246</v>
      </c>
      <c r="N3167" t="s">
        <v>5571</v>
      </c>
      <c r="O3167" t="s">
        <v>4935</v>
      </c>
      <c r="Q3167" t="str">
        <f t="shared" si="131"/>
        <v>condorProc.py --series 07180913_1738 --donoise --dumps a --procenv environments/pymidas_HVHV_NaI_mf.env</v>
      </c>
    </row>
    <row r="3168" spans="1:17">
      <c r="A3168" t="s">
        <v>8648</v>
      </c>
      <c r="G3168" s="225"/>
      <c r="H3168" s="210"/>
      <c r="K3168" s="180"/>
      <c r="M3168" t="s">
        <v>2246</v>
      </c>
      <c r="N3168" t="s">
        <v>5571</v>
      </c>
      <c r="O3168" t="s">
        <v>4935</v>
      </c>
      <c r="Q3168" t="str">
        <f t="shared" si="131"/>
        <v>condorProc.py --series 07180913_1748 --donoise --dumps a --procenv environments/pymidas_HVHV_NaI_mf.env</v>
      </c>
    </row>
    <row r="3169" spans="1:17">
      <c r="A3169" t="s">
        <v>8649</v>
      </c>
      <c r="G3169" s="225"/>
      <c r="H3169" s="210"/>
      <c r="K3169" s="180"/>
      <c r="M3169" t="s">
        <v>2246</v>
      </c>
      <c r="N3169" t="s">
        <v>5571</v>
      </c>
      <c r="O3169" t="s">
        <v>4935</v>
      </c>
      <c r="Q3169" t="str">
        <f t="shared" si="131"/>
        <v>condorProc.py --series 07180913_1758 --donoise --dumps a --procenv environments/pymidas_HVHV_NaI_mf.env</v>
      </c>
    </row>
    <row r="3170" spans="1:17">
      <c r="A3170" t="s">
        <v>8650</v>
      </c>
      <c r="G3170" s="225"/>
      <c r="H3170" s="210"/>
      <c r="K3170" s="180"/>
      <c r="M3170" t="s">
        <v>2246</v>
      </c>
      <c r="N3170" t="s">
        <v>5571</v>
      </c>
      <c r="O3170" t="s">
        <v>4935</v>
      </c>
      <c r="Q3170" t="str">
        <f t="shared" si="131"/>
        <v>condorProc.py --series 07180913_1808 --donoise --dumps a --procenv environments/pymidas_HVHV_NaI_mf.env</v>
      </c>
    </row>
    <row r="3171" spans="1:17">
      <c r="A3171" t="s">
        <v>8651</v>
      </c>
      <c r="G3171" s="225"/>
      <c r="H3171" s="210"/>
      <c r="K3171" s="180"/>
      <c r="M3171" t="s">
        <v>2246</v>
      </c>
      <c r="N3171" t="s">
        <v>5571</v>
      </c>
      <c r="O3171" t="s">
        <v>4935</v>
      </c>
      <c r="Q3171" t="str">
        <f t="shared" si="131"/>
        <v>condorProc.py --series 07180913_1819 --donoise --dumps a --procenv environments/pymidas_HVHV_NaI_mf.env</v>
      </c>
    </row>
    <row r="3172" spans="1:17">
      <c r="A3172" t="s">
        <v>8652</v>
      </c>
      <c r="F3172" s="65"/>
      <c r="G3172" s="226"/>
      <c r="H3172" s="211"/>
      <c r="I3172" s="65"/>
      <c r="J3172" s="65"/>
      <c r="K3172" s="182"/>
      <c r="M3172" t="s">
        <v>2246</v>
      </c>
      <c r="N3172" t="s">
        <v>5571</v>
      </c>
      <c r="O3172" t="s">
        <v>4935</v>
      </c>
      <c r="Q3172" t="str">
        <f t="shared" si="131"/>
        <v>condorProc.py --series 07180913_1829 --donoise --dumps a --procenv environments/pymidas_HVHV_NaI_mf.env</v>
      </c>
    </row>
    <row r="3173" spans="1:17">
      <c r="A3173" t="s">
        <v>8653</v>
      </c>
      <c r="F3173" s="177">
        <v>10</v>
      </c>
      <c r="G3173" s="224" t="s">
        <v>8641</v>
      </c>
      <c r="H3173" s="209">
        <v>-80</v>
      </c>
      <c r="I3173" s="177"/>
      <c r="J3173" s="177" t="s">
        <v>5577</v>
      </c>
      <c r="K3173" s="178" t="s">
        <v>5583</v>
      </c>
      <c r="M3173" t="s">
        <v>2246</v>
      </c>
      <c r="N3173" t="s">
        <v>5571</v>
      </c>
      <c r="O3173" t="s">
        <v>4935</v>
      </c>
      <c r="Q3173" t="str">
        <f t="shared" si="131"/>
        <v>condorProc.py --series 07180913_1923 --donoise --dumps a --procenv environments/pymidas_HVHV_NaI_mf.env</v>
      </c>
    </row>
    <row r="3174" spans="1:17">
      <c r="A3174" t="s">
        <v>8654</v>
      </c>
      <c r="G3174" s="225"/>
      <c r="H3174" s="210"/>
      <c r="I3174" t="s">
        <v>75</v>
      </c>
      <c r="J3174" t="s">
        <v>5585</v>
      </c>
      <c r="K3174" s="218" t="s">
        <v>5586</v>
      </c>
      <c r="M3174" t="s">
        <v>2246</v>
      </c>
      <c r="N3174" t="s">
        <v>5571</v>
      </c>
      <c r="O3174" t="s">
        <v>4935</v>
      </c>
      <c r="Q3174" t="str">
        <f t="shared" si="131"/>
        <v>condorProc.py --series 07180913_1933 --donoise --dumps a --procenv environments/pymidas_HVHV_NaI_mf.env</v>
      </c>
    </row>
    <row r="3175" spans="1:17">
      <c r="A3175" t="s">
        <v>8655</v>
      </c>
      <c r="G3175" s="225"/>
      <c r="H3175" s="210"/>
      <c r="K3175" s="219" t="s">
        <v>8388</v>
      </c>
      <c r="M3175" t="s">
        <v>2246</v>
      </c>
      <c r="N3175" t="s">
        <v>5571</v>
      </c>
      <c r="O3175" t="s">
        <v>4935</v>
      </c>
      <c r="Q3175" t="str">
        <f t="shared" si="131"/>
        <v>condorProc.py --series 07180913_1943 --donoise --dumps a --procenv environments/pymidas_HVHV_NaI_mf.env</v>
      </c>
    </row>
    <row r="3176" spans="1:17">
      <c r="A3176" t="s">
        <v>8656</v>
      </c>
      <c r="G3176" s="225"/>
      <c r="H3176" s="210"/>
      <c r="K3176" s="180"/>
      <c r="M3176" t="s">
        <v>2246</v>
      </c>
      <c r="N3176" t="s">
        <v>5571</v>
      </c>
      <c r="O3176" t="s">
        <v>4935</v>
      </c>
      <c r="Q3176" t="str">
        <f t="shared" si="131"/>
        <v>condorProc.py --series 07180913_1953 --donoise --dumps a --procenv environments/pymidas_HVHV_NaI_mf.env</v>
      </c>
    </row>
    <row r="3177" spans="1:17">
      <c r="A3177" t="s">
        <v>8657</v>
      </c>
      <c r="G3177" s="225"/>
      <c r="H3177" s="210"/>
      <c r="K3177" s="180"/>
      <c r="M3177" t="s">
        <v>2246</v>
      </c>
      <c r="N3177" t="s">
        <v>5571</v>
      </c>
      <c r="O3177" t="s">
        <v>4935</v>
      </c>
      <c r="Q3177" t="str">
        <f t="shared" si="131"/>
        <v>condorProc.py --series 07180913_2003 --donoise --dumps a --procenv environments/pymidas_HVHV_NaI_mf.env</v>
      </c>
    </row>
    <row r="3178" spans="1:17">
      <c r="A3178" t="s">
        <v>8658</v>
      </c>
      <c r="G3178" s="225"/>
      <c r="H3178" s="210"/>
      <c r="K3178" s="180"/>
      <c r="M3178" t="s">
        <v>2246</v>
      </c>
      <c r="N3178" t="s">
        <v>5571</v>
      </c>
      <c r="O3178" t="s">
        <v>4935</v>
      </c>
      <c r="Q3178" t="str">
        <f t="shared" si="131"/>
        <v>condorProc.py --series 07180913_2013 --donoise --dumps a --procenv environments/pymidas_HVHV_NaI_mf.env</v>
      </c>
    </row>
    <row r="3179" spans="1:17">
      <c r="A3179" t="s">
        <v>8659</v>
      </c>
      <c r="G3179" s="225"/>
      <c r="H3179" s="210"/>
      <c r="K3179" s="180"/>
      <c r="M3179" t="s">
        <v>2246</v>
      </c>
      <c r="N3179" t="s">
        <v>5571</v>
      </c>
      <c r="O3179" t="s">
        <v>4935</v>
      </c>
      <c r="Q3179" t="str">
        <f t="shared" si="131"/>
        <v>condorProc.py --series 07180913_2024 --donoise --dumps a --procenv environments/pymidas_HVHV_NaI_mf.env</v>
      </c>
    </row>
    <row r="3180" spans="1:17">
      <c r="A3180" t="s">
        <v>8660</v>
      </c>
      <c r="G3180" s="225"/>
      <c r="H3180" s="210"/>
      <c r="K3180" s="180"/>
      <c r="M3180" t="s">
        <v>2246</v>
      </c>
      <c r="N3180" t="s">
        <v>5571</v>
      </c>
      <c r="O3180" t="s">
        <v>4935</v>
      </c>
      <c r="Q3180" t="str">
        <f t="shared" si="131"/>
        <v>condorProc.py --series 07180913_2034 --donoise --dumps a --procenv environments/pymidas_HVHV_NaI_mf.env</v>
      </c>
    </row>
    <row r="3181" spans="1:17">
      <c r="A3181" t="s">
        <v>8661</v>
      </c>
      <c r="G3181" s="225"/>
      <c r="H3181" s="210"/>
      <c r="K3181" s="180"/>
      <c r="M3181" t="s">
        <v>2246</v>
      </c>
      <c r="N3181" t="s">
        <v>5571</v>
      </c>
      <c r="O3181" t="s">
        <v>4935</v>
      </c>
      <c r="Q3181" t="str">
        <f t="shared" si="131"/>
        <v>condorProc.py --series 07180913_2044 --donoise --dumps a --procenv environments/pymidas_HVHV_NaI_mf.env</v>
      </c>
    </row>
    <row r="3182" spans="1:17">
      <c r="A3182" t="s">
        <v>8662</v>
      </c>
      <c r="G3182" s="225"/>
      <c r="H3182" s="210"/>
      <c r="K3182" s="180"/>
      <c r="M3182" t="s">
        <v>2246</v>
      </c>
      <c r="N3182" t="s">
        <v>5571</v>
      </c>
      <c r="O3182" t="s">
        <v>4935</v>
      </c>
      <c r="Q3182" t="str">
        <f t="shared" si="131"/>
        <v>condorProc.py --series 07180913_2054 --donoise --dumps a --procenv environments/pymidas_HVHV_NaI_mf.env</v>
      </c>
    </row>
    <row r="3183" spans="1:17">
      <c r="A3183" t="s">
        <v>8663</v>
      </c>
      <c r="G3183" s="225"/>
      <c r="H3183" s="210"/>
      <c r="K3183" s="180"/>
      <c r="M3183" t="s">
        <v>2246</v>
      </c>
      <c r="N3183" t="s">
        <v>5571</v>
      </c>
      <c r="O3183" t="s">
        <v>4935</v>
      </c>
      <c r="Q3183" t="str">
        <f t="shared" si="131"/>
        <v>condorProc.py --series 07180913_2104 --donoise --dumps a --procenv environments/pymidas_HVHV_NaI_mf.env</v>
      </c>
    </row>
    <row r="3184" spans="1:17">
      <c r="A3184" t="s">
        <v>8664</v>
      </c>
      <c r="F3184" s="65"/>
      <c r="G3184" s="226"/>
      <c r="H3184" s="211"/>
      <c r="I3184" s="65" t="s">
        <v>75</v>
      </c>
      <c r="J3184" s="65"/>
      <c r="K3184" s="182"/>
      <c r="M3184" t="s">
        <v>2246</v>
      </c>
      <c r="N3184" t="s">
        <v>5571</v>
      </c>
      <c r="O3184" t="s">
        <v>4935</v>
      </c>
      <c r="Q3184" t="str">
        <f t="shared" si="131"/>
        <v>condorProc.py --series 07180913_2114 --donoise --dumps a --procenv environments/pymidas_HVHV_NaI_mf.env</v>
      </c>
    </row>
    <row r="3185" spans="1:17">
      <c r="A3185" t="s">
        <v>8665</v>
      </c>
      <c r="F3185" s="177">
        <v>10</v>
      </c>
      <c r="G3185" s="224" t="s">
        <v>8641</v>
      </c>
      <c r="H3185" s="209">
        <v>-80</v>
      </c>
      <c r="I3185" s="177"/>
      <c r="J3185" s="177" t="s">
        <v>5577</v>
      </c>
      <c r="K3185" s="178" t="s">
        <v>5583</v>
      </c>
      <c r="M3185" t="s">
        <v>2246</v>
      </c>
      <c r="N3185" t="s">
        <v>5571</v>
      </c>
      <c r="O3185" t="s">
        <v>4935</v>
      </c>
      <c r="Q3185" t="str">
        <f t="shared" si="131"/>
        <v>condorProc.py --series 07180913_2208 --donoise --dumps a --procenv environments/pymidas_HVHV_NaI_mf.env</v>
      </c>
    </row>
    <row r="3186" spans="1:17">
      <c r="A3186" t="s">
        <v>8666</v>
      </c>
      <c r="G3186" s="225"/>
      <c r="H3186" s="210"/>
      <c r="J3186" t="s">
        <v>5585</v>
      </c>
      <c r="K3186" s="218" t="s">
        <v>5586</v>
      </c>
      <c r="M3186" t="s">
        <v>2246</v>
      </c>
      <c r="N3186" t="s">
        <v>5571</v>
      </c>
      <c r="O3186" t="s">
        <v>4935</v>
      </c>
      <c r="Q3186" t="str">
        <f t="shared" si="131"/>
        <v>condorProc.py --series 07180913_2218 --donoise --dumps a --procenv environments/pymidas_HVHV_NaI_mf.env</v>
      </c>
    </row>
    <row r="3187" spans="1:17">
      <c r="A3187" t="s">
        <v>8667</v>
      </c>
      <c r="G3187" s="225"/>
      <c r="H3187" s="210"/>
      <c r="K3187" s="219" t="s">
        <v>8388</v>
      </c>
      <c r="M3187" t="s">
        <v>2246</v>
      </c>
      <c r="N3187" t="s">
        <v>5571</v>
      </c>
      <c r="O3187" t="s">
        <v>4935</v>
      </c>
      <c r="Q3187" t="str">
        <f t="shared" si="131"/>
        <v>condorProc.py --series 07180913_2228 --donoise --dumps a --procenv environments/pymidas_HVHV_NaI_mf.env</v>
      </c>
    </row>
    <row r="3188" spans="1:17">
      <c r="A3188" t="s">
        <v>8668</v>
      </c>
      <c r="G3188" s="225"/>
      <c r="H3188" s="210"/>
      <c r="K3188" s="180"/>
      <c r="M3188" t="s">
        <v>2246</v>
      </c>
      <c r="N3188" t="s">
        <v>5571</v>
      </c>
      <c r="O3188" t="s">
        <v>4935</v>
      </c>
      <c r="Q3188" t="str">
        <f t="shared" si="131"/>
        <v>condorProc.py --series 07180913_2238 --donoise --dumps a --procenv environments/pymidas_HVHV_NaI_mf.env</v>
      </c>
    </row>
    <row r="3189" spans="1:17">
      <c r="A3189" t="s">
        <v>8669</v>
      </c>
      <c r="G3189" s="225"/>
      <c r="H3189" s="210"/>
      <c r="K3189" s="180"/>
      <c r="M3189" t="s">
        <v>2246</v>
      </c>
      <c r="N3189" t="s">
        <v>5571</v>
      </c>
      <c r="O3189" t="s">
        <v>4935</v>
      </c>
      <c r="Q3189" t="str">
        <f t="shared" si="131"/>
        <v>condorProc.py --series 07180913_2248 --donoise --dumps a --procenv environments/pymidas_HVHV_NaI_mf.env</v>
      </c>
    </row>
    <row r="3190" spans="1:17">
      <c r="A3190" t="s">
        <v>8670</v>
      </c>
      <c r="G3190" s="225"/>
      <c r="H3190" s="210"/>
      <c r="K3190" s="180"/>
      <c r="M3190" t="s">
        <v>2246</v>
      </c>
      <c r="N3190" t="s">
        <v>5571</v>
      </c>
      <c r="O3190" t="s">
        <v>4935</v>
      </c>
      <c r="Q3190" t="str">
        <f t="shared" si="131"/>
        <v>condorProc.py --series 07180913_2258 --donoise --dumps a --procenv environments/pymidas_HVHV_NaI_mf.env</v>
      </c>
    </row>
    <row r="3191" spans="1:17">
      <c r="A3191" t="s">
        <v>8671</v>
      </c>
      <c r="G3191" s="225"/>
      <c r="H3191" s="210"/>
      <c r="K3191" s="180"/>
      <c r="M3191" t="s">
        <v>2246</v>
      </c>
      <c r="N3191" t="s">
        <v>5571</v>
      </c>
      <c r="O3191" t="s">
        <v>4935</v>
      </c>
      <c r="Q3191" t="str">
        <f t="shared" si="131"/>
        <v>condorProc.py --series 07180913_2309 --donoise --dumps a --procenv environments/pymidas_HVHV_NaI_mf.env</v>
      </c>
    </row>
    <row r="3192" spans="1:17">
      <c r="A3192" t="s">
        <v>8672</v>
      </c>
      <c r="G3192" s="225"/>
      <c r="H3192" s="210"/>
      <c r="K3192" s="180"/>
      <c r="M3192" t="s">
        <v>2246</v>
      </c>
      <c r="N3192" t="s">
        <v>5571</v>
      </c>
      <c r="O3192" t="s">
        <v>4935</v>
      </c>
      <c r="Q3192" t="str">
        <f t="shared" si="131"/>
        <v>condorProc.py --series 07180913_2319 --donoise --dumps a --procenv environments/pymidas_HVHV_NaI_mf.env</v>
      </c>
    </row>
    <row r="3193" spans="1:17">
      <c r="A3193" t="s">
        <v>8673</v>
      </c>
      <c r="G3193" s="225"/>
      <c r="H3193" s="210"/>
      <c r="K3193" s="180"/>
      <c r="M3193" t="s">
        <v>2246</v>
      </c>
      <c r="N3193" t="s">
        <v>5571</v>
      </c>
      <c r="O3193" t="s">
        <v>4935</v>
      </c>
      <c r="Q3193" t="str">
        <f t="shared" si="131"/>
        <v>condorProc.py --series 07180913_2329 --donoise --dumps a --procenv environments/pymidas_HVHV_NaI_mf.env</v>
      </c>
    </row>
    <row r="3194" spans="1:17">
      <c r="A3194" t="s">
        <v>8674</v>
      </c>
      <c r="G3194" s="225"/>
      <c r="H3194" s="210"/>
      <c r="K3194" s="180"/>
      <c r="M3194" t="s">
        <v>2246</v>
      </c>
      <c r="N3194" t="s">
        <v>5571</v>
      </c>
      <c r="O3194" t="s">
        <v>4935</v>
      </c>
      <c r="Q3194" t="str">
        <f t="shared" si="131"/>
        <v>condorProc.py --series 07180913_2339 --donoise --dumps a --procenv environments/pymidas_HVHV_NaI_mf.env</v>
      </c>
    </row>
    <row r="3195" spans="1:17">
      <c r="A3195" t="s">
        <v>8675</v>
      </c>
      <c r="G3195" s="225"/>
      <c r="H3195" s="210"/>
      <c r="K3195" s="180"/>
      <c r="M3195" t="s">
        <v>2246</v>
      </c>
      <c r="N3195" t="s">
        <v>5571</v>
      </c>
      <c r="O3195" t="s">
        <v>4935</v>
      </c>
      <c r="Q3195" t="str">
        <f t="shared" si="131"/>
        <v>condorProc.py --series 07180913_2349 --donoise --dumps a --procenv environments/pymidas_HVHV_NaI_mf.env</v>
      </c>
    </row>
    <row r="3196" spans="1:17">
      <c r="A3196" t="s">
        <v>8676</v>
      </c>
      <c r="F3196" s="65"/>
      <c r="G3196" s="226"/>
      <c r="H3196" s="211"/>
      <c r="I3196" s="65"/>
      <c r="J3196" s="65"/>
      <c r="K3196" s="182"/>
      <c r="M3196" t="s">
        <v>2246</v>
      </c>
      <c r="N3196" t="s">
        <v>5571</v>
      </c>
      <c r="O3196" t="s">
        <v>4935</v>
      </c>
      <c r="Q3196" t="str">
        <f t="shared" si="131"/>
        <v>condorProc.py --series 07180913_2359 --donoise --dumps a --procenv environments/pymidas_HVHV_NaI_mf.env</v>
      </c>
    </row>
    <row r="3197" spans="1:17">
      <c r="A3197" t="s">
        <v>8677</v>
      </c>
      <c r="F3197" s="177">
        <v>10</v>
      </c>
      <c r="G3197" s="224" t="s">
        <v>8641</v>
      </c>
      <c r="H3197" s="209">
        <v>-80</v>
      </c>
      <c r="I3197" s="177"/>
      <c r="J3197" s="177" t="s">
        <v>5577</v>
      </c>
      <c r="K3197" s="178" t="s">
        <v>5583</v>
      </c>
      <c r="M3197" t="s">
        <v>2246</v>
      </c>
      <c r="N3197" t="s">
        <v>5571</v>
      </c>
      <c r="O3197" t="s">
        <v>4935</v>
      </c>
      <c r="Q3197" t="str">
        <f t="shared" si="131"/>
        <v>condorProc.py --series 07180914_0053 --donoise --dumps a --procenv environments/pymidas_HVHV_NaI_mf.env</v>
      </c>
    </row>
    <row r="3198" spans="1:17">
      <c r="A3198" t="s">
        <v>8678</v>
      </c>
      <c r="G3198" s="225"/>
      <c r="H3198" s="210"/>
      <c r="J3198" t="s">
        <v>5585</v>
      </c>
      <c r="K3198" s="218" t="s">
        <v>5586</v>
      </c>
      <c r="M3198" t="s">
        <v>2246</v>
      </c>
      <c r="N3198" t="s">
        <v>5571</v>
      </c>
      <c r="O3198" t="s">
        <v>4935</v>
      </c>
      <c r="Q3198" t="str">
        <f t="shared" si="131"/>
        <v>condorProc.py --series 07180914_0103 --donoise --dumps a --procenv environments/pymidas_HVHV_NaI_mf.env</v>
      </c>
    </row>
    <row r="3199" spans="1:17">
      <c r="A3199" t="s">
        <v>8679</v>
      </c>
      <c r="G3199" s="225"/>
      <c r="H3199" s="210"/>
      <c r="K3199" s="219" t="s">
        <v>8388</v>
      </c>
      <c r="M3199" t="s">
        <v>2246</v>
      </c>
      <c r="N3199" t="s">
        <v>5571</v>
      </c>
      <c r="O3199" t="s">
        <v>4935</v>
      </c>
      <c r="Q3199" t="str">
        <f t="shared" si="131"/>
        <v>condorProc.py --series 07180914_0113 --donoise --dumps a --procenv environments/pymidas_HVHV_NaI_mf.env</v>
      </c>
    </row>
    <row r="3200" spans="1:17">
      <c r="A3200" t="s">
        <v>8680</v>
      </c>
      <c r="G3200" s="225"/>
      <c r="H3200" s="210"/>
      <c r="I3200" t="s">
        <v>75</v>
      </c>
      <c r="K3200" s="180"/>
      <c r="M3200" t="s">
        <v>2246</v>
      </c>
      <c r="N3200" t="s">
        <v>5571</v>
      </c>
      <c r="O3200" t="s">
        <v>4935</v>
      </c>
      <c r="Q3200" t="str">
        <f t="shared" si="131"/>
        <v>condorProc.py --series 07180914_0124 --donoise --dumps a --procenv environments/pymidas_HVHV_NaI_mf.env</v>
      </c>
    </row>
    <row r="3201" spans="1:17">
      <c r="A3201" t="s">
        <v>8681</v>
      </c>
      <c r="G3201" s="225"/>
      <c r="H3201" s="210"/>
      <c r="K3201" s="180"/>
      <c r="M3201" t="s">
        <v>2246</v>
      </c>
      <c r="N3201" t="s">
        <v>5571</v>
      </c>
      <c r="O3201" t="s">
        <v>4935</v>
      </c>
      <c r="Q3201" t="str">
        <f t="shared" si="131"/>
        <v>condorProc.py --series 07180914_0134 --donoise --dumps a --procenv environments/pymidas_HVHV_NaI_mf.env</v>
      </c>
    </row>
    <row r="3202" spans="1:17">
      <c r="A3202" t="s">
        <v>8682</v>
      </c>
      <c r="G3202" s="225"/>
      <c r="H3202" s="210"/>
      <c r="K3202" s="180"/>
      <c r="M3202" t="s">
        <v>2246</v>
      </c>
      <c r="N3202" t="s">
        <v>5571</v>
      </c>
      <c r="O3202" t="s">
        <v>4935</v>
      </c>
      <c r="Q3202" t="str">
        <f t="shared" si="131"/>
        <v>condorProc.py --series 07180914_0144 --donoise --dumps a --procenv environments/pymidas_HVHV_NaI_mf.env</v>
      </c>
    </row>
    <row r="3203" spans="1:17">
      <c r="A3203" t="s">
        <v>8683</v>
      </c>
      <c r="G3203" s="225"/>
      <c r="H3203" s="210"/>
      <c r="K3203" s="180"/>
      <c r="M3203" t="s">
        <v>2246</v>
      </c>
      <c r="N3203" t="s">
        <v>5571</v>
      </c>
      <c r="O3203" t="s">
        <v>4935</v>
      </c>
      <c r="Q3203" t="str">
        <f t="shared" si="131"/>
        <v>condorProc.py --series 07180914_0154 --donoise --dumps a --procenv environments/pymidas_HVHV_NaI_mf.env</v>
      </c>
    </row>
    <row r="3204" spans="1:17">
      <c r="A3204" t="s">
        <v>8684</v>
      </c>
      <c r="G3204" s="225"/>
      <c r="H3204" s="210"/>
      <c r="K3204" s="180"/>
      <c r="M3204" t="s">
        <v>2246</v>
      </c>
      <c r="N3204" t="s">
        <v>5571</v>
      </c>
      <c r="O3204" t="s">
        <v>4935</v>
      </c>
      <c r="Q3204" t="str">
        <f t="shared" si="131"/>
        <v>condorProc.py --series 07180914_0204 --donoise --dumps a --procenv environments/pymidas_HVHV_NaI_mf.env</v>
      </c>
    </row>
    <row r="3205" spans="1:17">
      <c r="A3205" t="s">
        <v>8685</v>
      </c>
      <c r="G3205" s="225"/>
      <c r="H3205" s="210"/>
      <c r="K3205" s="180"/>
      <c r="M3205" t="s">
        <v>2246</v>
      </c>
      <c r="N3205" t="s">
        <v>5571</v>
      </c>
      <c r="O3205" t="s">
        <v>4935</v>
      </c>
      <c r="Q3205" t="str">
        <f t="shared" si="131"/>
        <v>condorProc.py --series 07180914_0214 --donoise --dumps a --procenv environments/pymidas_HVHV_NaI_mf.env</v>
      </c>
    </row>
    <row r="3206" spans="1:17">
      <c r="A3206" t="s">
        <v>8686</v>
      </c>
      <c r="G3206" s="225"/>
      <c r="H3206" s="210"/>
      <c r="I3206" t="s">
        <v>75</v>
      </c>
      <c r="K3206" s="180"/>
      <c r="M3206" t="s">
        <v>2246</v>
      </c>
      <c r="N3206" t="s">
        <v>5571</v>
      </c>
      <c r="O3206" t="s">
        <v>4935</v>
      </c>
      <c r="Q3206" t="str">
        <f t="shared" si="131"/>
        <v>condorProc.py --series 07180914_0224 --donoise --dumps a --procenv environments/pymidas_HVHV_NaI_mf.env</v>
      </c>
    </row>
    <row r="3207" spans="1:17">
      <c r="A3207" t="s">
        <v>8687</v>
      </c>
      <c r="G3207" s="225"/>
      <c r="H3207" s="210"/>
      <c r="K3207" s="180"/>
      <c r="M3207" t="s">
        <v>2246</v>
      </c>
      <c r="N3207" t="s">
        <v>5571</v>
      </c>
      <c r="O3207" t="s">
        <v>4935</v>
      </c>
      <c r="Q3207" t="str">
        <f t="shared" si="131"/>
        <v>condorProc.py --series 07180914_0234 --donoise --dumps a --procenv environments/pymidas_HVHV_NaI_mf.env</v>
      </c>
    </row>
    <row r="3208" spans="1:17">
      <c r="A3208" t="s">
        <v>8688</v>
      </c>
      <c r="F3208" s="65"/>
      <c r="G3208" s="226"/>
      <c r="H3208" s="211"/>
      <c r="I3208" s="65"/>
      <c r="J3208" s="65"/>
      <c r="K3208" s="182"/>
      <c r="M3208" t="s">
        <v>2246</v>
      </c>
      <c r="N3208" t="s">
        <v>5571</v>
      </c>
      <c r="O3208" t="s">
        <v>4935</v>
      </c>
      <c r="Q3208" t="str">
        <f t="shared" si="131"/>
        <v>condorProc.py --series 07180914_0245 --donoise --dumps a --procenv environments/pymidas_HVHV_NaI_mf.env</v>
      </c>
    </row>
    <row r="3209" spans="1:17">
      <c r="A3209" t="s">
        <v>8689</v>
      </c>
      <c r="F3209" s="177">
        <v>10</v>
      </c>
      <c r="G3209" s="224" t="s">
        <v>8641</v>
      </c>
      <c r="H3209" s="209">
        <v>-80</v>
      </c>
      <c r="I3209" s="177" t="s">
        <v>75</v>
      </c>
      <c r="J3209" s="177" t="s">
        <v>5577</v>
      </c>
      <c r="K3209" s="178" t="s">
        <v>5583</v>
      </c>
      <c r="M3209" t="s">
        <v>2246</v>
      </c>
      <c r="N3209" t="s">
        <v>5571</v>
      </c>
      <c r="O3209" t="s">
        <v>4935</v>
      </c>
      <c r="Q3209" t="str">
        <f t="shared" si="131"/>
        <v>condorProc.py --series 07180914_0339 --donoise --dumps a --procenv environments/pymidas_HVHV_NaI_mf.env</v>
      </c>
    </row>
    <row r="3210" spans="1:17">
      <c r="A3210" t="s">
        <v>8690</v>
      </c>
      <c r="G3210" s="225"/>
      <c r="H3210" s="210"/>
      <c r="J3210" t="s">
        <v>5585</v>
      </c>
      <c r="K3210" s="218" t="s">
        <v>5586</v>
      </c>
      <c r="M3210" t="s">
        <v>2246</v>
      </c>
      <c r="N3210" t="s">
        <v>5571</v>
      </c>
      <c r="O3210" t="s">
        <v>4935</v>
      </c>
      <c r="Q3210" t="str">
        <f t="shared" si="131"/>
        <v>condorProc.py --series 07180914_0349 --donoise --dumps a --procenv environments/pymidas_HVHV_NaI_mf.env</v>
      </c>
    </row>
    <row r="3211" spans="1:17">
      <c r="A3211" t="s">
        <v>8691</v>
      </c>
      <c r="G3211" s="225"/>
      <c r="H3211" s="210"/>
      <c r="I3211" t="s">
        <v>75</v>
      </c>
      <c r="K3211" s="219" t="s">
        <v>8388</v>
      </c>
      <c r="M3211" t="s">
        <v>2246</v>
      </c>
      <c r="N3211" t="s">
        <v>5571</v>
      </c>
      <c r="O3211" t="s">
        <v>4935</v>
      </c>
      <c r="Q3211" t="str">
        <f t="shared" si="131"/>
        <v>condorProc.py --series 07180914_0359 --donoise --dumps a --procenv environments/pymidas_HVHV_NaI_mf.env</v>
      </c>
    </row>
    <row r="3212" spans="1:17">
      <c r="A3212" t="s">
        <v>8692</v>
      </c>
      <c r="G3212" s="225"/>
      <c r="H3212" s="210"/>
      <c r="I3212" t="s">
        <v>75</v>
      </c>
      <c r="K3212" s="180"/>
      <c r="M3212" t="s">
        <v>2246</v>
      </c>
      <c r="N3212" t="s">
        <v>5571</v>
      </c>
      <c r="O3212" t="s">
        <v>4935</v>
      </c>
      <c r="Q3212" t="str">
        <f t="shared" si="131"/>
        <v>condorProc.py --series 07180914_0409 --donoise --dumps a --procenv environments/pymidas_HVHV_NaI_mf.env</v>
      </c>
    </row>
    <row r="3213" spans="1:17">
      <c r="A3213" t="s">
        <v>8693</v>
      </c>
      <c r="G3213" s="225"/>
      <c r="H3213" s="210"/>
      <c r="I3213" s="197" t="s">
        <v>5434</v>
      </c>
      <c r="K3213" s="180" t="s">
        <v>8525</v>
      </c>
    </row>
    <row r="3214" spans="1:17">
      <c r="A3214" t="s">
        <v>8694</v>
      </c>
      <c r="G3214" s="225"/>
      <c r="H3214" s="210"/>
      <c r="I3214" s="197" t="s">
        <v>5434</v>
      </c>
      <c r="K3214" s="180"/>
    </row>
    <row r="3215" spans="1:17">
      <c r="A3215" t="s">
        <v>8695</v>
      </c>
      <c r="G3215" s="225"/>
      <c r="H3215" s="210"/>
      <c r="I3215" s="197" t="s">
        <v>5434</v>
      </c>
      <c r="K3215" s="180"/>
    </row>
    <row r="3216" spans="1:17">
      <c r="A3216" t="s">
        <v>8696</v>
      </c>
      <c r="G3216" s="225"/>
      <c r="H3216" s="210"/>
      <c r="I3216" s="197" t="s">
        <v>5434</v>
      </c>
      <c r="K3216" s="180"/>
    </row>
    <row r="3217" spans="1:11">
      <c r="A3217" t="s">
        <v>8697</v>
      </c>
      <c r="G3217" s="225"/>
      <c r="H3217" s="210"/>
      <c r="I3217" s="197" t="s">
        <v>5434</v>
      </c>
      <c r="K3217" s="180"/>
    </row>
    <row r="3218" spans="1:11">
      <c r="A3218" t="s">
        <v>8698</v>
      </c>
      <c r="G3218" s="225"/>
      <c r="H3218" s="210"/>
      <c r="I3218" s="197" t="s">
        <v>5434</v>
      </c>
      <c r="K3218" s="180"/>
    </row>
    <row r="3219" spans="1:11">
      <c r="A3219" t="s">
        <v>8699</v>
      </c>
      <c r="G3219" s="225"/>
      <c r="H3219" s="210"/>
      <c r="I3219" s="197" t="s">
        <v>5434</v>
      </c>
      <c r="K3219" s="180"/>
    </row>
    <row r="3220" spans="1:11">
      <c r="A3220" t="s">
        <v>8700</v>
      </c>
      <c r="F3220" s="65"/>
      <c r="G3220" s="226"/>
      <c r="H3220" s="211"/>
      <c r="I3220" s="197" t="s">
        <v>5434</v>
      </c>
      <c r="J3220" s="65"/>
      <c r="K3220" s="182"/>
    </row>
    <row r="3221" spans="1:11">
      <c r="A3221" t="s">
        <v>8701</v>
      </c>
      <c r="F3221" s="177">
        <v>10</v>
      </c>
      <c r="G3221" s="224" t="s">
        <v>8641</v>
      </c>
      <c r="H3221" s="209">
        <v>-80</v>
      </c>
      <c r="I3221" s="197" t="s">
        <v>5434</v>
      </c>
      <c r="J3221" s="177" t="s">
        <v>5577</v>
      </c>
      <c r="K3221" s="178" t="s">
        <v>5583</v>
      </c>
    </row>
    <row r="3222" spans="1:11">
      <c r="A3222" t="s">
        <v>8702</v>
      </c>
      <c r="G3222" s="225"/>
      <c r="H3222" s="210"/>
      <c r="I3222" s="197" t="s">
        <v>5434</v>
      </c>
      <c r="J3222" t="s">
        <v>5585</v>
      </c>
      <c r="K3222" s="218" t="s">
        <v>5586</v>
      </c>
    </row>
    <row r="3223" spans="1:11">
      <c r="A3223" t="s">
        <v>8703</v>
      </c>
      <c r="G3223" s="225"/>
      <c r="H3223" s="210"/>
      <c r="I3223" s="197" t="s">
        <v>5434</v>
      </c>
      <c r="K3223" s="219" t="s">
        <v>8388</v>
      </c>
    </row>
    <row r="3224" spans="1:11">
      <c r="A3224" t="s">
        <v>8704</v>
      </c>
      <c r="G3224" s="225"/>
      <c r="H3224" s="210"/>
      <c r="I3224" s="197" t="s">
        <v>5434</v>
      </c>
      <c r="K3224" s="180"/>
    </row>
    <row r="3225" spans="1:11">
      <c r="A3225" t="s">
        <v>8705</v>
      </c>
      <c r="G3225" s="225"/>
      <c r="H3225" s="210"/>
      <c r="I3225" s="197" t="s">
        <v>5434</v>
      </c>
      <c r="K3225" s="180"/>
    </row>
    <row r="3226" spans="1:11">
      <c r="A3226" t="s">
        <v>8706</v>
      </c>
      <c r="G3226" s="225"/>
      <c r="H3226" s="210"/>
      <c r="I3226" s="197" t="s">
        <v>5434</v>
      </c>
      <c r="K3226" s="180"/>
    </row>
    <row r="3227" spans="1:11">
      <c r="A3227" t="s">
        <v>8707</v>
      </c>
      <c r="G3227" s="225"/>
      <c r="H3227" s="210"/>
      <c r="I3227" s="197" t="s">
        <v>5434</v>
      </c>
      <c r="K3227" s="180" t="s">
        <v>8525</v>
      </c>
    </row>
    <row r="3228" spans="1:11">
      <c r="A3228" t="s">
        <v>8708</v>
      </c>
      <c r="G3228" s="225"/>
      <c r="H3228" s="210"/>
      <c r="I3228" s="197" t="s">
        <v>5434</v>
      </c>
      <c r="K3228" s="180"/>
    </row>
    <row r="3229" spans="1:11">
      <c r="A3229" t="s">
        <v>8709</v>
      </c>
      <c r="G3229" s="225"/>
      <c r="H3229" s="210"/>
      <c r="I3229" s="197" t="s">
        <v>5434</v>
      </c>
      <c r="K3229" s="180"/>
    </row>
    <row r="3230" spans="1:11">
      <c r="A3230" t="s">
        <v>8710</v>
      </c>
      <c r="G3230" s="225"/>
      <c r="H3230" s="210"/>
      <c r="I3230" s="197" t="s">
        <v>5434</v>
      </c>
      <c r="K3230" s="180"/>
    </row>
    <row r="3231" spans="1:11">
      <c r="A3231" t="s">
        <v>8711</v>
      </c>
      <c r="G3231" s="225"/>
      <c r="H3231" s="210"/>
      <c r="I3231" s="197" t="s">
        <v>5434</v>
      </c>
      <c r="K3231" s="180"/>
    </row>
    <row r="3232" spans="1:11">
      <c r="A3232" t="s">
        <v>8712</v>
      </c>
      <c r="G3232" s="225"/>
      <c r="H3232" s="210"/>
      <c r="I3232" s="197" t="s">
        <v>5434</v>
      </c>
      <c r="K3232" s="180"/>
    </row>
    <row r="3233" spans="1:17">
      <c r="A3233" s="176" t="s">
        <v>8713</v>
      </c>
      <c r="B3233" s="177"/>
      <c r="C3233" s="177"/>
      <c r="D3233" s="177"/>
      <c r="E3233" s="177"/>
      <c r="F3233" s="177">
        <v>10</v>
      </c>
      <c r="G3233" s="224" t="s">
        <v>8641</v>
      </c>
      <c r="H3233" s="209">
        <v>-80</v>
      </c>
      <c r="I3233" s="199" t="s">
        <v>8714</v>
      </c>
      <c r="J3233" s="177" t="s">
        <v>5577</v>
      </c>
      <c r="K3233" s="178" t="s">
        <v>5583</v>
      </c>
      <c r="M3233" t="s">
        <v>2246</v>
      </c>
      <c r="N3233" t="s">
        <v>5571</v>
      </c>
      <c r="Q3233" t="str">
        <f t="shared" ref="Q3233:Q3296" si="132">"condorProc.py --series "&amp;A3233&amp;" --donoise --dumps a --procenv environments/pymidas_HVHV_NaI_mf.env"</f>
        <v>condorProc.py --series 07180914_0911 --donoise --dumps a --procenv environments/pymidas_HVHV_NaI_mf.env</v>
      </c>
    </row>
    <row r="3234" spans="1:17">
      <c r="A3234" s="179" t="s">
        <v>8715</v>
      </c>
      <c r="G3234" s="225"/>
      <c r="H3234" s="210"/>
      <c r="I3234" s="197" t="s">
        <v>8714</v>
      </c>
      <c r="J3234" t="s">
        <v>5585</v>
      </c>
      <c r="K3234" s="218" t="s">
        <v>5586</v>
      </c>
      <c r="M3234" t="s">
        <v>2246</v>
      </c>
      <c r="N3234" t="s">
        <v>5571</v>
      </c>
      <c r="Q3234" t="str">
        <f t="shared" si="132"/>
        <v>condorProc.py --series 07180914_0921 --donoise --dumps a --procenv environments/pymidas_HVHV_NaI_mf.env</v>
      </c>
    </row>
    <row r="3235" spans="1:17">
      <c r="A3235" s="179" t="s">
        <v>8716</v>
      </c>
      <c r="G3235" s="225"/>
      <c r="H3235" s="210"/>
      <c r="I3235" s="197" t="s">
        <v>8714</v>
      </c>
      <c r="K3235" s="219" t="s">
        <v>8388</v>
      </c>
      <c r="M3235" t="s">
        <v>2246</v>
      </c>
      <c r="N3235" t="s">
        <v>5571</v>
      </c>
      <c r="Q3235" t="str">
        <f t="shared" si="132"/>
        <v>condorProc.py --series 07180914_0931 --donoise --dumps a --procenv environments/pymidas_HVHV_NaI_mf.env</v>
      </c>
    </row>
    <row r="3236" spans="1:17">
      <c r="A3236" s="179" t="s">
        <v>8717</v>
      </c>
      <c r="G3236" s="225"/>
      <c r="H3236" s="210"/>
      <c r="I3236" s="197" t="s">
        <v>8714</v>
      </c>
      <c r="K3236" s="180"/>
      <c r="M3236" t="s">
        <v>2246</v>
      </c>
      <c r="N3236" t="s">
        <v>5571</v>
      </c>
      <c r="Q3236" t="str">
        <f t="shared" si="132"/>
        <v>condorProc.py --series 07180914_0941 --donoise --dumps a --procenv environments/pymidas_HVHV_NaI_mf.env</v>
      </c>
    </row>
    <row r="3237" spans="1:17">
      <c r="A3237" s="179" t="s">
        <v>8718</v>
      </c>
      <c r="G3237" s="225"/>
      <c r="H3237" s="210"/>
      <c r="I3237" s="197" t="s">
        <v>8714</v>
      </c>
      <c r="K3237" s="180"/>
      <c r="M3237" t="s">
        <v>2246</v>
      </c>
      <c r="N3237" t="s">
        <v>5571</v>
      </c>
      <c r="Q3237" t="str">
        <f t="shared" si="132"/>
        <v>condorProc.py --series 07180914_0951 --donoise --dumps a --procenv environments/pymidas_HVHV_NaI_mf.env</v>
      </c>
    </row>
    <row r="3238" spans="1:17">
      <c r="A3238" s="179" t="s">
        <v>8719</v>
      </c>
      <c r="G3238" s="225"/>
      <c r="H3238" s="210"/>
      <c r="I3238" s="197" t="s">
        <v>8714</v>
      </c>
      <c r="K3238" s="180"/>
      <c r="M3238" t="s">
        <v>2246</v>
      </c>
      <c r="N3238" t="s">
        <v>5571</v>
      </c>
      <c r="Q3238" t="str">
        <f t="shared" si="132"/>
        <v>condorProc.py --series 07180914_1001 --donoise --dumps a --procenv environments/pymidas_HVHV_NaI_mf.env</v>
      </c>
    </row>
    <row r="3239" spans="1:17">
      <c r="A3239" s="179" t="s">
        <v>8720</v>
      </c>
      <c r="G3239" s="225"/>
      <c r="H3239" s="210"/>
      <c r="I3239" s="197" t="s">
        <v>8714</v>
      </c>
      <c r="K3239" s="180"/>
      <c r="M3239" t="s">
        <v>2246</v>
      </c>
      <c r="N3239" t="s">
        <v>5571</v>
      </c>
      <c r="Q3239" t="str">
        <f t="shared" si="132"/>
        <v>condorProc.py --series 07180914_1011 --donoise --dumps a --procenv environments/pymidas_HVHV_NaI_mf.env</v>
      </c>
    </row>
    <row r="3240" spans="1:17">
      <c r="A3240" s="179" t="s">
        <v>8721</v>
      </c>
      <c r="G3240" s="225"/>
      <c r="H3240" s="210"/>
      <c r="I3240" s="197" t="s">
        <v>8714</v>
      </c>
      <c r="K3240" s="180"/>
      <c r="M3240" t="s">
        <v>2246</v>
      </c>
      <c r="N3240" t="s">
        <v>5571</v>
      </c>
      <c r="Q3240" t="str">
        <f t="shared" si="132"/>
        <v>condorProc.py --series 07180914_1021 --donoise --dumps a --procenv environments/pymidas_HVHV_NaI_mf.env</v>
      </c>
    </row>
    <row r="3241" spans="1:17">
      <c r="A3241" s="179" t="s">
        <v>8722</v>
      </c>
      <c r="G3241" s="225"/>
      <c r="H3241" s="210"/>
      <c r="I3241" s="197" t="s">
        <v>8714</v>
      </c>
      <c r="K3241" s="180"/>
      <c r="M3241" t="s">
        <v>2246</v>
      </c>
      <c r="N3241" t="s">
        <v>5571</v>
      </c>
      <c r="Q3241" t="str">
        <f t="shared" si="132"/>
        <v>condorProc.py --series 07180914_1032 --donoise --dumps a --procenv environments/pymidas_HVHV_NaI_mf.env</v>
      </c>
    </row>
    <row r="3242" spans="1:17">
      <c r="A3242" s="181" t="s">
        <v>8723</v>
      </c>
      <c r="B3242" s="65"/>
      <c r="C3242" s="65"/>
      <c r="D3242" s="65"/>
      <c r="E3242" s="65"/>
      <c r="F3242" s="65"/>
      <c r="G3242" s="226"/>
      <c r="H3242" s="211"/>
      <c r="I3242" s="198" t="s">
        <v>8714</v>
      </c>
      <c r="J3242" s="65"/>
      <c r="K3242" s="182"/>
      <c r="L3242">
        <f>((DATE(2000+MID(A3242,3,2),MID(A3242,5,2),MID(A3242,7,2))+TIME(MID(A3242,10,2),MID(A3242,12,2),0)-25569)*24+5)*3600</f>
        <v>1536939719.9999998</v>
      </c>
      <c r="M3242" t="s">
        <v>2246</v>
      </c>
      <c r="N3242" t="s">
        <v>5571</v>
      </c>
      <c r="Q3242" t="str">
        <f t="shared" si="132"/>
        <v>condorProc.py --series 07180914_1042 --donoise --dumps a --procenv environments/pymidas_HVHV_NaI_mf.env</v>
      </c>
    </row>
    <row r="3243" spans="1:17">
      <c r="A3243" t="s">
        <v>8724</v>
      </c>
      <c r="L3243" t="s">
        <v>8725</v>
      </c>
      <c r="M3243" t="s">
        <v>2246</v>
      </c>
      <c r="N3243" t="s">
        <v>5571</v>
      </c>
      <c r="Q3243" t="str">
        <f t="shared" si="132"/>
        <v>condorProc.py --series 07180914_1250 --donoise --dumps a --procenv environments/pymidas_HVHV_NaI_mf.env</v>
      </c>
    </row>
    <row r="3244" spans="1:17">
      <c r="A3244" t="s">
        <v>8726</v>
      </c>
      <c r="L3244">
        <f>((DATE(2000+MID(A3244,3,2),MID(A3244,5,2),MID(A3244,7,2))+TIME(MID(A3244,10,2),MID(A3244,12,2),0)-25569)*24+5)*3600</f>
        <v>1536948300.0000002</v>
      </c>
      <c r="M3244" t="s">
        <v>2246</v>
      </c>
      <c r="N3244" t="s">
        <v>5571</v>
      </c>
      <c r="Q3244" t="str">
        <f t="shared" si="132"/>
        <v>condorProc.py --series 07180914_1305 --donoise --dumps a --procenv environments/pymidas_HVHV_NaI_mf.env</v>
      </c>
    </row>
    <row r="3245" spans="1:17">
      <c r="A3245" t="s">
        <v>8727</v>
      </c>
      <c r="M3245" t="s">
        <v>2246</v>
      </c>
      <c r="N3245" t="s">
        <v>5571</v>
      </c>
      <c r="Q3245" t="str">
        <f t="shared" si="132"/>
        <v>condorProc.py --series 07180914_1322 --donoise --dumps a --procenv environments/pymidas_HVHV_NaI_mf.env</v>
      </c>
    </row>
    <row r="3246" spans="1:17">
      <c r="A3246" t="s">
        <v>8728</v>
      </c>
      <c r="M3246" t="s">
        <v>2246</v>
      </c>
      <c r="N3246" t="s">
        <v>5571</v>
      </c>
      <c r="Q3246" t="str">
        <f t="shared" si="132"/>
        <v>condorProc.py --series 07180914_1337 --donoise --dumps a --procenv environments/pymidas_HVHV_NaI_mf.env</v>
      </c>
    </row>
    <row r="3247" spans="1:17">
      <c r="A3247" s="176" t="s">
        <v>8729</v>
      </c>
      <c r="B3247" s="177"/>
      <c r="C3247" s="177"/>
      <c r="D3247" s="177"/>
      <c r="E3247" s="177"/>
      <c r="F3247" s="177">
        <v>10</v>
      </c>
      <c r="G3247" s="224" t="s">
        <v>8641</v>
      </c>
      <c r="H3247" s="209">
        <v>-80</v>
      </c>
      <c r="I3247" s="177"/>
      <c r="J3247" s="177" t="s">
        <v>5577</v>
      </c>
      <c r="K3247" s="178" t="s">
        <v>5583</v>
      </c>
      <c r="L3247">
        <f>((DATE(2000+MID(A3247,3,2),MID(A3247,5,2),MID(A3247,7,2))+TIME(MID(A3247,10,2),MID(A3247,12,2),0)-25569)*24+5)*3600</f>
        <v>1536958080</v>
      </c>
      <c r="M3247" t="s">
        <v>2246</v>
      </c>
      <c r="N3247" t="s">
        <v>5571</v>
      </c>
      <c r="O3247" t="s">
        <v>4936</v>
      </c>
      <c r="Q3247" t="str">
        <f t="shared" si="132"/>
        <v>condorProc.py --series 07180914_1548 --donoise --dumps a --procenv environments/pymidas_HVHV_NaI_mf.env</v>
      </c>
    </row>
    <row r="3248" spans="1:17">
      <c r="A3248" s="179" t="s">
        <v>8730</v>
      </c>
      <c r="G3248" s="225"/>
      <c r="H3248" s="210"/>
      <c r="J3248" t="s">
        <v>5585</v>
      </c>
      <c r="K3248" s="218" t="s">
        <v>5586</v>
      </c>
      <c r="M3248" t="s">
        <v>2246</v>
      </c>
      <c r="N3248" t="s">
        <v>5571</v>
      </c>
      <c r="O3248" t="s">
        <v>4936</v>
      </c>
      <c r="Q3248" t="str">
        <f t="shared" si="132"/>
        <v>condorProc.py --series 07180914_1558 --donoise --dumps a --procenv environments/pymidas_HVHV_NaI_mf.env</v>
      </c>
    </row>
    <row r="3249" spans="1:17">
      <c r="A3249" s="179" t="s">
        <v>8731</v>
      </c>
      <c r="G3249" s="225"/>
      <c r="H3249" s="210"/>
      <c r="K3249" s="219" t="s">
        <v>8388</v>
      </c>
      <c r="M3249" t="s">
        <v>2246</v>
      </c>
      <c r="N3249" t="s">
        <v>5571</v>
      </c>
      <c r="O3249" t="s">
        <v>4936</v>
      </c>
      <c r="Q3249" t="str">
        <f t="shared" si="132"/>
        <v>condorProc.py --series 07180914_1608 --donoise --dumps a --procenv environments/pymidas_HVHV_NaI_mf.env</v>
      </c>
    </row>
    <row r="3250" spans="1:17">
      <c r="A3250" s="181" t="s">
        <v>8732</v>
      </c>
      <c r="B3250" s="65"/>
      <c r="C3250" s="65"/>
      <c r="D3250" s="65"/>
      <c r="E3250" s="65"/>
      <c r="F3250" s="65"/>
      <c r="G3250" s="226"/>
      <c r="H3250" s="211"/>
      <c r="I3250" s="65" t="s">
        <v>75</v>
      </c>
      <c r="J3250" s="65"/>
      <c r="K3250" s="182"/>
      <c r="M3250" t="s">
        <v>2246</v>
      </c>
      <c r="N3250" t="s">
        <v>5571</v>
      </c>
      <c r="O3250" t="s">
        <v>4936</v>
      </c>
      <c r="Q3250" t="str">
        <f t="shared" si="132"/>
        <v>condorProc.py --series 07180914_1618 --donoise --dumps a --procenv environments/pymidas_HVHV_NaI_mf.env</v>
      </c>
    </row>
    <row r="3251" spans="1:17">
      <c r="A3251" t="s">
        <v>8733</v>
      </c>
      <c r="F3251" s="177">
        <v>10</v>
      </c>
      <c r="G3251" s="224" t="s">
        <v>8641</v>
      </c>
      <c r="H3251" s="209">
        <v>-80</v>
      </c>
      <c r="I3251" s="177"/>
      <c r="J3251" s="177" t="s">
        <v>5577</v>
      </c>
      <c r="K3251" s="178" t="s">
        <v>5583</v>
      </c>
      <c r="M3251" t="s">
        <v>2246</v>
      </c>
      <c r="N3251" t="s">
        <v>5571</v>
      </c>
      <c r="O3251" t="s">
        <v>4936</v>
      </c>
      <c r="Q3251" t="str">
        <f t="shared" si="132"/>
        <v>condorProc.py --series 07180914_1853 --donoise --dumps a --procenv environments/pymidas_HVHV_NaI_mf.env</v>
      </c>
    </row>
    <row r="3252" spans="1:17">
      <c r="A3252" t="s">
        <v>8734</v>
      </c>
      <c r="G3252" s="225"/>
      <c r="H3252" s="210"/>
      <c r="I3252" t="s">
        <v>75</v>
      </c>
      <c r="J3252" t="s">
        <v>5585</v>
      </c>
      <c r="K3252" s="218" t="s">
        <v>5586</v>
      </c>
      <c r="M3252" t="s">
        <v>2246</v>
      </c>
      <c r="N3252" t="s">
        <v>5571</v>
      </c>
      <c r="O3252" t="s">
        <v>4936</v>
      </c>
      <c r="Q3252" t="str">
        <f t="shared" si="132"/>
        <v>condorProc.py --series 07180914_1903 --donoise --dumps a --procenv environments/pymidas_HVHV_NaI_mf.env</v>
      </c>
    </row>
    <row r="3253" spans="1:17">
      <c r="A3253" t="s">
        <v>8735</v>
      </c>
      <c r="G3253" s="225"/>
      <c r="H3253" s="210"/>
      <c r="K3253" s="219" t="s">
        <v>8388</v>
      </c>
      <c r="M3253" t="s">
        <v>2246</v>
      </c>
      <c r="N3253" t="s">
        <v>5571</v>
      </c>
      <c r="O3253" t="s">
        <v>4936</v>
      </c>
      <c r="Q3253" t="str">
        <f t="shared" si="132"/>
        <v>condorProc.py --series 07180914_1913 --donoise --dumps a --procenv environments/pymidas_HVHV_NaI_mf.env</v>
      </c>
    </row>
    <row r="3254" spans="1:17">
      <c r="A3254" t="s">
        <v>8736</v>
      </c>
      <c r="G3254" s="225"/>
      <c r="H3254" s="210"/>
      <c r="K3254" s="180"/>
      <c r="M3254" t="s">
        <v>2246</v>
      </c>
      <c r="N3254" t="s">
        <v>5571</v>
      </c>
      <c r="O3254" t="s">
        <v>4936</v>
      </c>
      <c r="Q3254" t="str">
        <f t="shared" si="132"/>
        <v>condorProc.py --series 07180914_1923 --donoise --dumps a --procenv environments/pymidas_HVHV_NaI_mf.env</v>
      </c>
    </row>
    <row r="3255" spans="1:17">
      <c r="A3255" t="s">
        <v>8737</v>
      </c>
      <c r="G3255" s="225"/>
      <c r="H3255" s="210"/>
      <c r="K3255" s="180"/>
      <c r="M3255" t="s">
        <v>2246</v>
      </c>
      <c r="N3255" t="s">
        <v>5571</v>
      </c>
      <c r="O3255" t="s">
        <v>4936</v>
      </c>
      <c r="Q3255" t="str">
        <f t="shared" si="132"/>
        <v>condorProc.py --series 07180914_1934 --donoise --dumps a --procenv environments/pymidas_HVHV_NaI_mf.env</v>
      </c>
    </row>
    <row r="3256" spans="1:17">
      <c r="A3256" t="s">
        <v>8738</v>
      </c>
      <c r="G3256" s="225"/>
      <c r="H3256" s="210"/>
      <c r="K3256" s="180"/>
      <c r="M3256" t="s">
        <v>2246</v>
      </c>
      <c r="N3256" t="s">
        <v>5571</v>
      </c>
      <c r="O3256" t="s">
        <v>4936</v>
      </c>
      <c r="Q3256" t="str">
        <f t="shared" si="132"/>
        <v>condorProc.py --series 07180914_1944 --donoise --dumps a --procenv environments/pymidas_HVHV_NaI_mf.env</v>
      </c>
    </row>
    <row r="3257" spans="1:17">
      <c r="A3257" t="s">
        <v>8739</v>
      </c>
      <c r="G3257" s="225"/>
      <c r="H3257" s="210"/>
      <c r="K3257" s="180"/>
      <c r="M3257" t="s">
        <v>2246</v>
      </c>
      <c r="N3257" t="s">
        <v>5571</v>
      </c>
      <c r="O3257" t="s">
        <v>4936</v>
      </c>
      <c r="Q3257" t="str">
        <f t="shared" si="132"/>
        <v>condorProc.py --series 07180914_1954 --donoise --dumps a --procenv environments/pymidas_HVHV_NaI_mf.env</v>
      </c>
    </row>
    <row r="3258" spans="1:17">
      <c r="A3258" t="s">
        <v>8740</v>
      </c>
      <c r="G3258" s="225"/>
      <c r="H3258" s="210"/>
      <c r="K3258" s="180"/>
      <c r="M3258" t="s">
        <v>2246</v>
      </c>
      <c r="N3258" t="s">
        <v>5571</v>
      </c>
      <c r="O3258" t="s">
        <v>4936</v>
      </c>
      <c r="Q3258" t="str">
        <f t="shared" si="132"/>
        <v>condorProc.py --series 07180914_2004 --donoise --dumps a --procenv environments/pymidas_HVHV_NaI_mf.env</v>
      </c>
    </row>
    <row r="3259" spans="1:17">
      <c r="A3259" t="s">
        <v>8741</v>
      </c>
      <c r="G3259" s="225"/>
      <c r="H3259" s="210"/>
      <c r="K3259" s="180"/>
      <c r="M3259" t="s">
        <v>2246</v>
      </c>
      <c r="N3259" t="s">
        <v>5571</v>
      </c>
      <c r="O3259" t="s">
        <v>4936</v>
      </c>
      <c r="Q3259" t="str">
        <f t="shared" si="132"/>
        <v>condorProc.py --series 07180914_2014 --donoise --dumps a --procenv environments/pymidas_HVHV_NaI_mf.env</v>
      </c>
    </row>
    <row r="3260" spans="1:17">
      <c r="A3260" t="s">
        <v>8742</v>
      </c>
      <c r="G3260" s="225"/>
      <c r="H3260" s="210"/>
      <c r="K3260" s="180"/>
      <c r="M3260" t="s">
        <v>2246</v>
      </c>
      <c r="N3260" t="s">
        <v>5571</v>
      </c>
      <c r="O3260" t="s">
        <v>4936</v>
      </c>
      <c r="Q3260" t="str">
        <f t="shared" si="132"/>
        <v>condorProc.py --series 07180914_2024 --donoise --dumps a --procenv environments/pymidas_HVHV_NaI_mf.env</v>
      </c>
    </row>
    <row r="3261" spans="1:17">
      <c r="A3261" t="s">
        <v>8743</v>
      </c>
      <c r="G3261" s="225"/>
      <c r="H3261" s="210"/>
      <c r="K3261" s="180"/>
      <c r="M3261" t="s">
        <v>2246</v>
      </c>
      <c r="N3261" t="s">
        <v>5571</v>
      </c>
      <c r="O3261" t="s">
        <v>4936</v>
      </c>
      <c r="Q3261" t="str">
        <f t="shared" si="132"/>
        <v>condorProc.py --series 07180914_2035 --donoise --dumps a --procenv environments/pymidas_HVHV_NaI_mf.env</v>
      </c>
    </row>
    <row r="3262" spans="1:17">
      <c r="A3262" t="s">
        <v>8744</v>
      </c>
      <c r="F3262" s="65"/>
      <c r="G3262" s="226"/>
      <c r="H3262" s="211"/>
      <c r="I3262" s="65" t="s">
        <v>75</v>
      </c>
      <c r="J3262" s="65"/>
      <c r="K3262" s="182"/>
      <c r="M3262" t="s">
        <v>2246</v>
      </c>
      <c r="N3262" t="s">
        <v>5571</v>
      </c>
      <c r="O3262" t="s">
        <v>4936</v>
      </c>
      <c r="Q3262" t="str">
        <f t="shared" si="132"/>
        <v>condorProc.py --series 07180914_2045 --donoise --dumps a --procenv environments/pymidas_HVHV_NaI_mf.env</v>
      </c>
    </row>
    <row r="3263" spans="1:17">
      <c r="A3263" t="s">
        <v>8745</v>
      </c>
      <c r="F3263" s="177">
        <v>10</v>
      </c>
      <c r="G3263" s="224" t="s">
        <v>8641</v>
      </c>
      <c r="H3263" s="209">
        <v>-80</v>
      </c>
      <c r="I3263" s="177"/>
      <c r="J3263" s="177" t="s">
        <v>5577</v>
      </c>
      <c r="K3263" s="178" t="s">
        <v>5583</v>
      </c>
      <c r="M3263" t="s">
        <v>2246</v>
      </c>
      <c r="N3263" t="s">
        <v>5571</v>
      </c>
      <c r="O3263" t="s">
        <v>4936</v>
      </c>
      <c r="Q3263" t="str">
        <f t="shared" si="132"/>
        <v>condorProc.py --series 07180914_2139 --donoise --dumps a --procenv environments/pymidas_HVHV_NaI_mf.env</v>
      </c>
    </row>
    <row r="3264" spans="1:17">
      <c r="A3264" t="s">
        <v>8746</v>
      </c>
      <c r="G3264" s="225"/>
      <c r="H3264" s="210"/>
      <c r="J3264" t="s">
        <v>5585</v>
      </c>
      <c r="K3264" s="218" t="s">
        <v>5586</v>
      </c>
      <c r="M3264" t="s">
        <v>2246</v>
      </c>
      <c r="N3264" t="s">
        <v>5571</v>
      </c>
      <c r="O3264" t="s">
        <v>4936</v>
      </c>
      <c r="Q3264" t="str">
        <f t="shared" si="132"/>
        <v>condorProc.py --series 07180914_2149 --donoise --dumps a --procenv environments/pymidas_HVHV_NaI_mf.env</v>
      </c>
    </row>
    <row r="3265" spans="1:17">
      <c r="A3265" t="s">
        <v>8747</v>
      </c>
      <c r="G3265" s="225"/>
      <c r="H3265" s="210"/>
      <c r="K3265" s="219" t="s">
        <v>8388</v>
      </c>
      <c r="M3265" t="s">
        <v>2246</v>
      </c>
      <c r="N3265" t="s">
        <v>5571</v>
      </c>
      <c r="O3265" t="s">
        <v>4936</v>
      </c>
      <c r="Q3265" t="str">
        <f t="shared" si="132"/>
        <v>condorProc.py --series 07180914_2159 --donoise --dumps a --procenv environments/pymidas_HVHV_NaI_mf.env</v>
      </c>
    </row>
    <row r="3266" spans="1:17">
      <c r="A3266" t="s">
        <v>8748</v>
      </c>
      <c r="G3266" s="225"/>
      <c r="H3266" s="210"/>
      <c r="K3266" s="180"/>
      <c r="M3266" t="s">
        <v>2246</v>
      </c>
      <c r="N3266" t="s">
        <v>5571</v>
      </c>
      <c r="O3266" t="s">
        <v>4936</v>
      </c>
      <c r="Q3266" t="str">
        <f t="shared" si="132"/>
        <v>condorProc.py --series 07180914_2209 --donoise --dumps a --procenv environments/pymidas_HVHV_NaI_mf.env</v>
      </c>
    </row>
    <row r="3267" spans="1:17">
      <c r="A3267" t="s">
        <v>8749</v>
      </c>
      <c r="G3267" s="225"/>
      <c r="H3267" s="210"/>
      <c r="K3267" s="180"/>
      <c r="M3267" t="s">
        <v>2246</v>
      </c>
      <c r="N3267" t="s">
        <v>5571</v>
      </c>
      <c r="O3267" t="s">
        <v>4936</v>
      </c>
      <c r="Q3267" t="str">
        <f t="shared" si="132"/>
        <v>condorProc.py --series 07180914_2219 --donoise --dumps a --procenv environments/pymidas_HVHV_NaI_mf.env</v>
      </c>
    </row>
    <row r="3268" spans="1:17">
      <c r="A3268" t="s">
        <v>8750</v>
      </c>
      <c r="G3268" s="225"/>
      <c r="H3268" s="210"/>
      <c r="K3268" s="180"/>
      <c r="M3268" t="s">
        <v>2246</v>
      </c>
      <c r="N3268" t="s">
        <v>5571</v>
      </c>
      <c r="O3268" t="s">
        <v>4936</v>
      </c>
      <c r="Q3268" t="str">
        <f t="shared" si="132"/>
        <v>condorProc.py --series 07180914_2229 --donoise --dumps a --procenv environments/pymidas_HVHV_NaI_mf.env</v>
      </c>
    </row>
    <row r="3269" spans="1:17">
      <c r="A3269" t="s">
        <v>8751</v>
      </c>
      <c r="G3269" s="225"/>
      <c r="H3269" s="210"/>
      <c r="K3269" s="180"/>
      <c r="M3269" t="s">
        <v>2246</v>
      </c>
      <c r="N3269" t="s">
        <v>5571</v>
      </c>
      <c r="O3269" t="s">
        <v>4936</v>
      </c>
      <c r="Q3269" t="str">
        <f t="shared" si="132"/>
        <v>condorProc.py --series 07180914_2239 --donoise --dumps a --procenv environments/pymidas_HVHV_NaI_mf.env</v>
      </c>
    </row>
    <row r="3270" spans="1:17">
      <c r="A3270" t="s">
        <v>8752</v>
      </c>
      <c r="G3270" s="225"/>
      <c r="H3270" s="210"/>
      <c r="K3270" s="180"/>
      <c r="M3270" t="s">
        <v>2246</v>
      </c>
      <c r="N3270" t="s">
        <v>5571</v>
      </c>
      <c r="O3270" t="s">
        <v>4936</v>
      </c>
      <c r="Q3270" t="str">
        <f t="shared" si="132"/>
        <v>condorProc.py --series 07180914_2250 --donoise --dumps a --procenv environments/pymidas_HVHV_NaI_mf.env</v>
      </c>
    </row>
    <row r="3271" spans="1:17">
      <c r="A3271" t="s">
        <v>8753</v>
      </c>
      <c r="G3271" s="225"/>
      <c r="H3271" s="210"/>
      <c r="K3271" s="180"/>
      <c r="M3271" t="s">
        <v>2246</v>
      </c>
      <c r="N3271" t="s">
        <v>5571</v>
      </c>
      <c r="O3271" t="s">
        <v>4936</v>
      </c>
      <c r="Q3271" t="str">
        <f t="shared" si="132"/>
        <v>condorProc.py --series 07180914_2300 --donoise --dumps a --procenv environments/pymidas_HVHV_NaI_mf.env</v>
      </c>
    </row>
    <row r="3272" spans="1:17">
      <c r="A3272" t="s">
        <v>8754</v>
      </c>
      <c r="G3272" s="225"/>
      <c r="H3272" s="210"/>
      <c r="K3272" s="180"/>
      <c r="M3272" t="s">
        <v>2246</v>
      </c>
      <c r="N3272" t="s">
        <v>5571</v>
      </c>
      <c r="O3272" t="s">
        <v>4936</v>
      </c>
      <c r="Q3272" t="str">
        <f t="shared" si="132"/>
        <v>condorProc.py --series 07180914_2310 --donoise --dumps a --procenv environments/pymidas_HVHV_NaI_mf.env</v>
      </c>
    </row>
    <row r="3273" spans="1:17">
      <c r="A3273" t="s">
        <v>8755</v>
      </c>
      <c r="G3273" s="225"/>
      <c r="H3273" s="210"/>
      <c r="K3273" s="180"/>
      <c r="M3273" t="s">
        <v>2246</v>
      </c>
      <c r="N3273" t="s">
        <v>5571</v>
      </c>
      <c r="O3273" t="s">
        <v>4936</v>
      </c>
      <c r="Q3273" t="str">
        <f t="shared" si="132"/>
        <v>condorProc.py --series 07180914_2320 --donoise --dumps a --procenv environments/pymidas_HVHV_NaI_mf.env</v>
      </c>
    </row>
    <row r="3274" spans="1:17">
      <c r="A3274" t="s">
        <v>8756</v>
      </c>
      <c r="F3274" s="65"/>
      <c r="G3274" s="226"/>
      <c r="H3274" s="211"/>
      <c r="I3274" s="65"/>
      <c r="J3274" s="65"/>
      <c r="K3274" s="182"/>
      <c r="M3274" t="s">
        <v>2246</v>
      </c>
      <c r="N3274" t="s">
        <v>5571</v>
      </c>
      <c r="O3274" t="s">
        <v>4936</v>
      </c>
      <c r="Q3274" t="str">
        <f t="shared" si="132"/>
        <v>condorProc.py --series 07180914_2330 --donoise --dumps a --procenv environments/pymidas_HVHV_NaI_mf.env</v>
      </c>
    </row>
    <row r="3275" spans="1:17">
      <c r="A3275" t="s">
        <v>8757</v>
      </c>
      <c r="F3275" s="177">
        <v>10</v>
      </c>
      <c r="G3275" s="224" t="s">
        <v>8641</v>
      </c>
      <c r="H3275" s="209">
        <v>-80</v>
      </c>
      <c r="I3275" s="177"/>
      <c r="J3275" s="177" t="s">
        <v>5577</v>
      </c>
      <c r="K3275" s="178" t="s">
        <v>5583</v>
      </c>
      <c r="M3275" t="s">
        <v>2246</v>
      </c>
      <c r="N3275" t="s">
        <v>5571</v>
      </c>
      <c r="O3275" t="s">
        <v>4936</v>
      </c>
      <c r="Q3275" t="str">
        <f t="shared" si="132"/>
        <v>condorProc.py --series 07180915_0024 --donoise --dumps a --procenv environments/pymidas_HVHV_NaI_mf.env</v>
      </c>
    </row>
    <row r="3276" spans="1:17">
      <c r="A3276" t="s">
        <v>8758</v>
      </c>
      <c r="G3276" s="225"/>
      <c r="H3276" s="210"/>
      <c r="J3276" t="s">
        <v>5585</v>
      </c>
      <c r="K3276" s="218" t="s">
        <v>5586</v>
      </c>
      <c r="M3276" t="s">
        <v>2246</v>
      </c>
      <c r="N3276" t="s">
        <v>5571</v>
      </c>
      <c r="O3276" t="s">
        <v>4936</v>
      </c>
      <c r="Q3276" t="str">
        <f t="shared" si="132"/>
        <v>condorProc.py --series 07180915_0034 --donoise --dumps a --procenv environments/pymidas_HVHV_NaI_mf.env</v>
      </c>
    </row>
    <row r="3277" spans="1:17">
      <c r="A3277" t="s">
        <v>8759</v>
      </c>
      <c r="G3277" s="225"/>
      <c r="H3277" s="210"/>
      <c r="K3277" s="219" t="s">
        <v>8388</v>
      </c>
      <c r="M3277" t="s">
        <v>2246</v>
      </c>
      <c r="N3277" t="s">
        <v>5571</v>
      </c>
      <c r="O3277" t="s">
        <v>4936</v>
      </c>
      <c r="Q3277" t="str">
        <f t="shared" si="132"/>
        <v>condorProc.py --series 07180915_0045 --donoise --dumps a --procenv environments/pymidas_HVHV_NaI_mf.env</v>
      </c>
    </row>
    <row r="3278" spans="1:17">
      <c r="A3278" t="s">
        <v>8760</v>
      </c>
      <c r="G3278" s="225"/>
      <c r="H3278" s="210"/>
      <c r="K3278" s="180"/>
      <c r="M3278" t="s">
        <v>2246</v>
      </c>
      <c r="N3278" t="s">
        <v>5571</v>
      </c>
      <c r="O3278" t="s">
        <v>4936</v>
      </c>
      <c r="Q3278" t="str">
        <f t="shared" si="132"/>
        <v>condorProc.py --series 07180915_0055 --donoise --dumps a --procenv environments/pymidas_HVHV_NaI_mf.env</v>
      </c>
    </row>
    <row r="3279" spans="1:17">
      <c r="A3279" t="s">
        <v>8761</v>
      </c>
      <c r="G3279" s="225"/>
      <c r="H3279" s="210"/>
      <c r="K3279" s="180"/>
      <c r="M3279" t="s">
        <v>2246</v>
      </c>
      <c r="N3279" t="s">
        <v>5571</v>
      </c>
      <c r="O3279" t="s">
        <v>4936</v>
      </c>
      <c r="Q3279" t="str">
        <f t="shared" si="132"/>
        <v>condorProc.py --series 07180915_0105 --donoise --dumps a --procenv environments/pymidas_HVHV_NaI_mf.env</v>
      </c>
    </row>
    <row r="3280" spans="1:17">
      <c r="A3280" t="s">
        <v>8762</v>
      </c>
      <c r="G3280" s="225"/>
      <c r="H3280" s="210"/>
      <c r="K3280" s="180"/>
      <c r="M3280" t="s">
        <v>2246</v>
      </c>
      <c r="N3280" t="s">
        <v>5571</v>
      </c>
      <c r="O3280" t="s">
        <v>4936</v>
      </c>
      <c r="Q3280" t="str">
        <f t="shared" si="132"/>
        <v>condorProc.py --series 07180915_0115 --donoise --dumps a --procenv environments/pymidas_HVHV_NaI_mf.env</v>
      </c>
    </row>
    <row r="3281" spans="1:17">
      <c r="A3281" t="s">
        <v>8763</v>
      </c>
      <c r="G3281" s="225"/>
      <c r="H3281" s="210"/>
      <c r="K3281" s="180"/>
      <c r="M3281" t="s">
        <v>2246</v>
      </c>
      <c r="N3281" t="s">
        <v>5571</v>
      </c>
      <c r="O3281" t="s">
        <v>4936</v>
      </c>
      <c r="Q3281" t="str">
        <f t="shared" si="132"/>
        <v>condorProc.py --series 07180915_0125 --donoise --dumps a --procenv environments/pymidas_HVHV_NaI_mf.env</v>
      </c>
    </row>
    <row r="3282" spans="1:17">
      <c r="A3282" t="s">
        <v>8764</v>
      </c>
      <c r="G3282" s="225"/>
      <c r="H3282" s="210"/>
      <c r="K3282" s="180"/>
      <c r="M3282" t="s">
        <v>2246</v>
      </c>
      <c r="N3282" t="s">
        <v>5571</v>
      </c>
      <c r="O3282" t="s">
        <v>4936</v>
      </c>
      <c r="Q3282" t="str">
        <f t="shared" si="132"/>
        <v>condorProc.py --series 07180915_0135 --donoise --dumps a --procenv environments/pymidas_HVHV_NaI_mf.env</v>
      </c>
    </row>
    <row r="3283" spans="1:17">
      <c r="A3283" t="s">
        <v>8765</v>
      </c>
      <c r="G3283" s="225"/>
      <c r="H3283" s="210"/>
      <c r="K3283" s="180"/>
      <c r="M3283" t="s">
        <v>2246</v>
      </c>
      <c r="N3283" t="s">
        <v>5571</v>
      </c>
      <c r="O3283" t="s">
        <v>4936</v>
      </c>
      <c r="Q3283" t="str">
        <f t="shared" si="132"/>
        <v>condorProc.py --series 07180915_0145 --donoise --dumps a --procenv environments/pymidas_HVHV_NaI_mf.env</v>
      </c>
    </row>
    <row r="3284" spans="1:17">
      <c r="A3284" t="s">
        <v>8766</v>
      </c>
      <c r="G3284" s="225"/>
      <c r="H3284" s="210"/>
      <c r="K3284" s="180"/>
      <c r="M3284" t="s">
        <v>2246</v>
      </c>
      <c r="N3284" t="s">
        <v>5571</v>
      </c>
      <c r="O3284" t="s">
        <v>4936</v>
      </c>
      <c r="Q3284" t="str">
        <f t="shared" si="132"/>
        <v>condorProc.py --series 07180915_0155 --donoise --dumps a --procenv environments/pymidas_HVHV_NaI_mf.env</v>
      </c>
    </row>
    <row r="3285" spans="1:17">
      <c r="A3285" t="s">
        <v>8767</v>
      </c>
      <c r="G3285" s="225"/>
      <c r="H3285" s="210"/>
      <c r="K3285" s="180"/>
      <c r="M3285" t="s">
        <v>2246</v>
      </c>
      <c r="N3285" t="s">
        <v>5571</v>
      </c>
      <c r="O3285" t="s">
        <v>4936</v>
      </c>
      <c r="Q3285" t="str">
        <f t="shared" si="132"/>
        <v>condorProc.py --series 07180915_0205 --donoise --dumps a --procenv environments/pymidas_HVHV_NaI_mf.env</v>
      </c>
    </row>
    <row r="3286" spans="1:17">
      <c r="A3286" t="s">
        <v>8768</v>
      </c>
      <c r="F3286" s="65"/>
      <c r="G3286" s="226"/>
      <c r="H3286" s="211"/>
      <c r="I3286" s="65"/>
      <c r="J3286" s="65"/>
      <c r="K3286" s="182"/>
      <c r="M3286" t="s">
        <v>2246</v>
      </c>
      <c r="N3286" t="s">
        <v>5571</v>
      </c>
      <c r="O3286" t="s">
        <v>4936</v>
      </c>
      <c r="Q3286" t="str">
        <f t="shared" si="132"/>
        <v>condorProc.py --series 07180915_0216 --donoise --dumps a --procenv environments/pymidas_HVHV_NaI_mf.env</v>
      </c>
    </row>
    <row r="3287" spans="1:17">
      <c r="A3287" t="s">
        <v>8769</v>
      </c>
      <c r="F3287" s="177">
        <v>10</v>
      </c>
      <c r="G3287" s="224" t="s">
        <v>8641</v>
      </c>
      <c r="H3287" s="209">
        <v>-80</v>
      </c>
      <c r="I3287" s="177"/>
      <c r="J3287" s="177" t="s">
        <v>5577</v>
      </c>
      <c r="K3287" s="178" t="s">
        <v>5583</v>
      </c>
      <c r="M3287" t="s">
        <v>2246</v>
      </c>
      <c r="N3287" t="s">
        <v>5571</v>
      </c>
      <c r="O3287" t="s">
        <v>4936</v>
      </c>
      <c r="Q3287" t="str">
        <f t="shared" si="132"/>
        <v>condorProc.py --series 07180915_0310 --donoise --dumps a --procenv environments/pymidas_HVHV_NaI_mf.env</v>
      </c>
    </row>
    <row r="3288" spans="1:17">
      <c r="A3288" t="s">
        <v>8770</v>
      </c>
      <c r="G3288" s="225"/>
      <c r="H3288" s="210"/>
      <c r="J3288" t="s">
        <v>5585</v>
      </c>
      <c r="K3288" s="218" t="s">
        <v>5586</v>
      </c>
      <c r="M3288" t="s">
        <v>2246</v>
      </c>
      <c r="N3288" t="s">
        <v>5571</v>
      </c>
      <c r="O3288" t="s">
        <v>4936</v>
      </c>
      <c r="Q3288" t="str">
        <f t="shared" si="132"/>
        <v>condorProc.py --series 07180915_0320 --donoise --dumps a --procenv environments/pymidas_HVHV_NaI_mf.env</v>
      </c>
    </row>
    <row r="3289" spans="1:17">
      <c r="A3289" t="s">
        <v>8771</v>
      </c>
      <c r="G3289" s="225"/>
      <c r="H3289" s="210"/>
      <c r="K3289" s="219" t="s">
        <v>8388</v>
      </c>
      <c r="M3289" t="s">
        <v>2246</v>
      </c>
      <c r="N3289" t="s">
        <v>5571</v>
      </c>
      <c r="O3289" t="s">
        <v>4936</v>
      </c>
      <c r="Q3289" t="str">
        <f t="shared" si="132"/>
        <v>condorProc.py --series 07180915_0330 --donoise --dumps a --procenv environments/pymidas_HVHV_NaI_mf.env</v>
      </c>
    </row>
    <row r="3290" spans="1:17">
      <c r="A3290" t="s">
        <v>8772</v>
      </c>
      <c r="G3290" s="225"/>
      <c r="H3290" s="210"/>
      <c r="K3290" s="180"/>
      <c r="M3290" t="s">
        <v>2246</v>
      </c>
      <c r="N3290" t="s">
        <v>5571</v>
      </c>
      <c r="O3290" t="s">
        <v>4936</v>
      </c>
      <c r="Q3290" t="str">
        <f t="shared" si="132"/>
        <v>condorProc.py --series 07180915_0340 --donoise --dumps a --procenv environments/pymidas_HVHV_NaI_mf.env</v>
      </c>
    </row>
    <row r="3291" spans="1:17">
      <c r="A3291" t="s">
        <v>8773</v>
      </c>
      <c r="G3291" s="225"/>
      <c r="H3291" s="210"/>
      <c r="K3291" s="180"/>
      <c r="M3291" t="s">
        <v>2246</v>
      </c>
      <c r="N3291" t="s">
        <v>5571</v>
      </c>
      <c r="O3291" t="s">
        <v>4936</v>
      </c>
      <c r="Q3291" t="str">
        <f t="shared" si="132"/>
        <v>condorProc.py --series 07180915_0350 --donoise --dumps a --procenv environments/pymidas_HVHV_NaI_mf.env</v>
      </c>
    </row>
    <row r="3292" spans="1:17">
      <c r="A3292" t="s">
        <v>8774</v>
      </c>
      <c r="G3292" s="225"/>
      <c r="H3292" s="210"/>
      <c r="K3292" s="180"/>
      <c r="M3292" t="s">
        <v>2246</v>
      </c>
      <c r="N3292" t="s">
        <v>5571</v>
      </c>
      <c r="O3292" t="s">
        <v>4936</v>
      </c>
      <c r="Q3292" t="str">
        <f t="shared" si="132"/>
        <v>condorProc.py --series 07180915_0400 --donoise --dumps a --procenv environments/pymidas_HVHV_NaI_mf.env</v>
      </c>
    </row>
    <row r="3293" spans="1:17">
      <c r="A3293" t="s">
        <v>8775</v>
      </c>
      <c r="G3293" s="225"/>
      <c r="H3293" s="210"/>
      <c r="K3293" s="180"/>
      <c r="M3293" t="s">
        <v>2246</v>
      </c>
      <c r="N3293" t="s">
        <v>5571</v>
      </c>
      <c r="O3293" t="s">
        <v>4936</v>
      </c>
      <c r="Q3293" t="str">
        <f t="shared" si="132"/>
        <v>condorProc.py --series 07180915_0411 --donoise --dumps a --procenv environments/pymidas_HVHV_NaI_mf.env</v>
      </c>
    </row>
    <row r="3294" spans="1:17">
      <c r="A3294" t="s">
        <v>8776</v>
      </c>
      <c r="G3294" s="225"/>
      <c r="H3294" s="210"/>
      <c r="K3294" s="180"/>
      <c r="M3294" t="s">
        <v>2246</v>
      </c>
      <c r="N3294" t="s">
        <v>5571</v>
      </c>
      <c r="O3294" t="s">
        <v>4936</v>
      </c>
      <c r="Q3294" t="str">
        <f t="shared" si="132"/>
        <v>condorProc.py --series 07180915_0421 --donoise --dumps a --procenv environments/pymidas_HVHV_NaI_mf.env</v>
      </c>
    </row>
    <row r="3295" spans="1:17">
      <c r="A3295" t="s">
        <v>8777</v>
      </c>
      <c r="G3295" s="225"/>
      <c r="H3295" s="210"/>
      <c r="K3295" s="180"/>
      <c r="M3295" t="s">
        <v>2246</v>
      </c>
      <c r="N3295" t="s">
        <v>5571</v>
      </c>
      <c r="O3295" t="s">
        <v>4936</v>
      </c>
      <c r="Q3295" t="str">
        <f t="shared" si="132"/>
        <v>condorProc.py --series 07180915_0431 --donoise --dumps a --procenv environments/pymidas_HVHV_NaI_mf.env</v>
      </c>
    </row>
    <row r="3296" spans="1:17">
      <c r="A3296" t="s">
        <v>8778</v>
      </c>
      <c r="G3296" s="225"/>
      <c r="H3296" s="210"/>
      <c r="K3296" s="180"/>
      <c r="M3296" t="s">
        <v>2246</v>
      </c>
      <c r="N3296" t="s">
        <v>5571</v>
      </c>
      <c r="O3296" t="s">
        <v>4936</v>
      </c>
      <c r="Q3296" t="str">
        <f t="shared" si="132"/>
        <v>condorProc.py --series 07180915_0441 --donoise --dumps a --procenv environments/pymidas_HVHV_NaI_mf.env</v>
      </c>
    </row>
    <row r="3297" spans="1:17">
      <c r="A3297" t="s">
        <v>8779</v>
      </c>
      <c r="G3297" s="225"/>
      <c r="H3297" s="210"/>
      <c r="K3297" s="180"/>
      <c r="M3297" t="s">
        <v>2246</v>
      </c>
      <c r="N3297" t="s">
        <v>5571</v>
      </c>
      <c r="O3297" t="s">
        <v>4936</v>
      </c>
      <c r="Q3297" t="str">
        <f t="shared" ref="Q3297:Q3360" si="133">"condorProc.py --series "&amp;A3297&amp;" --donoise --dumps a --procenv environments/pymidas_HVHV_NaI_mf.env"</f>
        <v>condorProc.py --series 07180915_0451 --donoise --dumps a --procenv environments/pymidas_HVHV_NaI_mf.env</v>
      </c>
    </row>
    <row r="3298" spans="1:17">
      <c r="A3298" t="s">
        <v>8780</v>
      </c>
      <c r="F3298" s="65"/>
      <c r="G3298" s="226"/>
      <c r="H3298" s="211"/>
      <c r="I3298" s="65"/>
      <c r="J3298" s="65"/>
      <c r="K3298" s="182"/>
      <c r="M3298" t="s">
        <v>2246</v>
      </c>
      <c r="N3298" t="s">
        <v>5571</v>
      </c>
      <c r="O3298" t="s">
        <v>4936</v>
      </c>
      <c r="Q3298" t="str">
        <f t="shared" si="133"/>
        <v>condorProc.py --series 07180915_0501 --donoise --dumps a --procenv environments/pymidas_HVHV_NaI_mf.env</v>
      </c>
    </row>
    <row r="3299" spans="1:17">
      <c r="A3299" t="s">
        <v>8781</v>
      </c>
      <c r="F3299" s="177">
        <v>10</v>
      </c>
      <c r="G3299" s="224" t="s">
        <v>8641</v>
      </c>
      <c r="H3299" s="209">
        <v>-80</v>
      </c>
      <c r="I3299" s="177"/>
      <c r="J3299" s="177" t="s">
        <v>5577</v>
      </c>
      <c r="K3299" s="178" t="s">
        <v>5583</v>
      </c>
      <c r="M3299" t="s">
        <v>2246</v>
      </c>
      <c r="N3299" t="s">
        <v>5571</v>
      </c>
      <c r="O3299" t="s">
        <v>4936</v>
      </c>
      <c r="Q3299" t="str">
        <f t="shared" si="133"/>
        <v>condorProc.py --series 07180915_0555 --donoise --dumps a --procenv environments/pymidas_HVHV_NaI_mf.env</v>
      </c>
    </row>
    <row r="3300" spans="1:17">
      <c r="A3300" t="s">
        <v>8782</v>
      </c>
      <c r="G3300" s="225"/>
      <c r="H3300" s="210"/>
      <c r="J3300" t="s">
        <v>5585</v>
      </c>
      <c r="K3300" s="218" t="s">
        <v>5586</v>
      </c>
      <c r="M3300" t="s">
        <v>2246</v>
      </c>
      <c r="N3300" t="s">
        <v>5571</v>
      </c>
      <c r="O3300" t="s">
        <v>4936</v>
      </c>
      <c r="Q3300" t="str">
        <f t="shared" si="133"/>
        <v>condorProc.py --series 07180915_0605 --donoise --dumps a --procenv environments/pymidas_HVHV_NaI_mf.env</v>
      </c>
    </row>
    <row r="3301" spans="1:17">
      <c r="A3301" t="s">
        <v>8783</v>
      </c>
      <c r="G3301" s="225"/>
      <c r="H3301" s="210"/>
      <c r="K3301" s="219" t="s">
        <v>8388</v>
      </c>
      <c r="M3301" t="s">
        <v>2246</v>
      </c>
      <c r="N3301" t="s">
        <v>5571</v>
      </c>
      <c r="O3301" t="s">
        <v>4936</v>
      </c>
      <c r="Q3301" t="str">
        <f t="shared" si="133"/>
        <v>condorProc.py --series 07180915_0615 --donoise --dumps a --procenv environments/pymidas_HVHV_NaI_mf.env</v>
      </c>
    </row>
    <row r="3302" spans="1:17">
      <c r="A3302" t="s">
        <v>8784</v>
      </c>
      <c r="G3302" s="225"/>
      <c r="H3302" s="210"/>
      <c r="K3302" s="180"/>
      <c r="M3302" t="s">
        <v>2246</v>
      </c>
      <c r="N3302" t="s">
        <v>5571</v>
      </c>
      <c r="O3302" t="s">
        <v>4936</v>
      </c>
      <c r="Q3302" t="str">
        <f t="shared" si="133"/>
        <v>condorProc.py --series 07180915_0625 --donoise --dumps a --procenv environments/pymidas_HVHV_NaI_mf.env</v>
      </c>
    </row>
    <row r="3303" spans="1:17">
      <c r="A3303" t="s">
        <v>8785</v>
      </c>
      <c r="G3303" s="225"/>
      <c r="H3303" s="210"/>
      <c r="K3303" s="180"/>
      <c r="M3303" t="s">
        <v>2246</v>
      </c>
      <c r="N3303" t="s">
        <v>5571</v>
      </c>
      <c r="O3303" t="s">
        <v>4936</v>
      </c>
      <c r="Q3303" t="str">
        <f t="shared" si="133"/>
        <v>condorProc.py --series 07180915_0636 --donoise --dumps a --procenv environments/pymidas_HVHV_NaI_mf.env</v>
      </c>
    </row>
    <row r="3304" spans="1:17">
      <c r="A3304" t="s">
        <v>8786</v>
      </c>
      <c r="G3304" s="225"/>
      <c r="H3304" s="210"/>
      <c r="K3304" s="180"/>
      <c r="M3304" t="s">
        <v>2246</v>
      </c>
      <c r="N3304" t="s">
        <v>5571</v>
      </c>
      <c r="O3304" t="s">
        <v>4936</v>
      </c>
      <c r="Q3304" t="str">
        <f t="shared" si="133"/>
        <v>condorProc.py --series 07180915_0646 --donoise --dumps a --procenv environments/pymidas_HVHV_NaI_mf.env</v>
      </c>
    </row>
    <row r="3305" spans="1:17">
      <c r="A3305" t="s">
        <v>8787</v>
      </c>
      <c r="G3305" s="225"/>
      <c r="H3305" s="210"/>
      <c r="K3305" s="180"/>
      <c r="M3305" t="s">
        <v>2246</v>
      </c>
      <c r="N3305" t="s">
        <v>5571</v>
      </c>
      <c r="O3305" t="s">
        <v>4936</v>
      </c>
      <c r="Q3305" t="str">
        <f t="shared" si="133"/>
        <v>condorProc.py --series 07180915_0656 --donoise --dumps a --procenv environments/pymidas_HVHV_NaI_mf.env</v>
      </c>
    </row>
    <row r="3306" spans="1:17">
      <c r="A3306" t="s">
        <v>8788</v>
      </c>
      <c r="G3306" s="225"/>
      <c r="H3306" s="210"/>
      <c r="K3306" s="180"/>
      <c r="M3306" t="s">
        <v>2246</v>
      </c>
      <c r="N3306" t="s">
        <v>5571</v>
      </c>
      <c r="O3306" t="s">
        <v>4936</v>
      </c>
      <c r="Q3306" t="str">
        <f t="shared" si="133"/>
        <v>condorProc.py --series 07180915_0706 --donoise --dumps a --procenv environments/pymidas_HVHV_NaI_mf.env</v>
      </c>
    </row>
    <row r="3307" spans="1:17">
      <c r="A3307" t="s">
        <v>8789</v>
      </c>
      <c r="G3307" s="225"/>
      <c r="H3307" s="210"/>
      <c r="I3307" t="s">
        <v>75</v>
      </c>
      <c r="K3307" s="180"/>
      <c r="M3307" t="s">
        <v>2246</v>
      </c>
      <c r="N3307" t="s">
        <v>5571</v>
      </c>
      <c r="O3307" t="s">
        <v>4936</v>
      </c>
      <c r="Q3307" t="str">
        <f t="shared" si="133"/>
        <v>condorProc.py --series 07180915_0716 --donoise --dumps a --procenv environments/pymidas_HVHV_NaI_mf.env</v>
      </c>
    </row>
    <row r="3308" spans="1:17">
      <c r="A3308" t="s">
        <v>8790</v>
      </c>
      <c r="G3308" s="225"/>
      <c r="H3308" s="210"/>
      <c r="K3308" s="180"/>
      <c r="M3308" t="s">
        <v>2246</v>
      </c>
      <c r="N3308" t="s">
        <v>5571</v>
      </c>
      <c r="O3308" t="s">
        <v>4936</v>
      </c>
      <c r="Q3308" t="str">
        <f t="shared" si="133"/>
        <v>condorProc.py --series 07180915_0726 --donoise --dumps a --procenv environments/pymidas_HVHV_NaI_mf.env</v>
      </c>
    </row>
    <row r="3309" spans="1:17">
      <c r="A3309" t="s">
        <v>8791</v>
      </c>
      <c r="G3309" s="225"/>
      <c r="H3309" s="210"/>
      <c r="K3309" s="180"/>
      <c r="M3309" t="s">
        <v>2246</v>
      </c>
      <c r="N3309" t="s">
        <v>5571</v>
      </c>
      <c r="O3309" t="s">
        <v>4936</v>
      </c>
      <c r="Q3309" t="str">
        <f t="shared" si="133"/>
        <v>condorProc.py --series 07180915_0736 --donoise --dumps a --procenv environments/pymidas_HVHV_NaI_mf.env</v>
      </c>
    </row>
    <row r="3310" spans="1:17">
      <c r="A3310" t="s">
        <v>8792</v>
      </c>
      <c r="F3310" s="65"/>
      <c r="G3310" s="226"/>
      <c r="H3310" s="211"/>
      <c r="I3310" s="65"/>
      <c r="J3310" s="65"/>
      <c r="K3310" s="182"/>
      <c r="M3310" t="s">
        <v>2246</v>
      </c>
      <c r="N3310" t="s">
        <v>5571</v>
      </c>
      <c r="O3310" t="s">
        <v>4936</v>
      </c>
      <c r="Q3310" t="str">
        <f t="shared" si="133"/>
        <v>condorProc.py --series 07180915_0746 --donoise --dumps a --procenv environments/pymidas_HVHV_NaI_mf.env</v>
      </c>
    </row>
    <row r="3311" spans="1:17">
      <c r="A3311" t="s">
        <v>8793</v>
      </c>
      <c r="F3311" s="177">
        <v>10</v>
      </c>
      <c r="G3311" s="224" t="s">
        <v>8641</v>
      </c>
      <c r="H3311" s="209">
        <v>-80</v>
      </c>
      <c r="I3311" s="177"/>
      <c r="J3311" s="177" t="s">
        <v>5577</v>
      </c>
      <c r="K3311" s="178" t="s">
        <v>5583</v>
      </c>
      <c r="M3311" t="s">
        <v>2246</v>
      </c>
      <c r="N3311" t="s">
        <v>5571</v>
      </c>
      <c r="O3311" t="s">
        <v>4936</v>
      </c>
      <c r="Q3311" t="str">
        <f t="shared" si="133"/>
        <v>condorProc.py --series 07180915_0840 --donoise --dumps a --procenv environments/pymidas_HVHV_NaI_mf.env</v>
      </c>
    </row>
    <row r="3312" spans="1:17">
      <c r="A3312" t="s">
        <v>8794</v>
      </c>
      <c r="G3312" s="225"/>
      <c r="H3312" s="210"/>
      <c r="J3312" t="s">
        <v>5585</v>
      </c>
      <c r="K3312" s="218" t="s">
        <v>5586</v>
      </c>
      <c r="M3312" t="s">
        <v>2246</v>
      </c>
      <c r="N3312" t="s">
        <v>5571</v>
      </c>
      <c r="O3312" t="s">
        <v>4936</v>
      </c>
      <c r="Q3312" t="str">
        <f t="shared" si="133"/>
        <v>condorProc.py --series 07180915_0850 --donoise --dumps a --procenv environments/pymidas_HVHV_NaI_mf.env</v>
      </c>
    </row>
    <row r="3313" spans="1:17">
      <c r="A3313" t="s">
        <v>8795</v>
      </c>
      <c r="G3313" s="225"/>
      <c r="H3313" s="210"/>
      <c r="K3313" s="219" t="s">
        <v>8388</v>
      </c>
      <c r="M3313" t="s">
        <v>2246</v>
      </c>
      <c r="N3313" t="s">
        <v>5571</v>
      </c>
      <c r="O3313" t="s">
        <v>4936</v>
      </c>
      <c r="Q3313" t="str">
        <f t="shared" si="133"/>
        <v>condorProc.py --series 07180915_0901 --donoise --dumps a --procenv environments/pymidas_HVHV_NaI_mf.env</v>
      </c>
    </row>
    <row r="3314" spans="1:17">
      <c r="A3314" t="s">
        <v>8796</v>
      </c>
      <c r="G3314" s="225"/>
      <c r="H3314" s="210"/>
      <c r="K3314" s="180"/>
      <c r="M3314" t="s">
        <v>2246</v>
      </c>
      <c r="N3314" t="s">
        <v>5571</v>
      </c>
      <c r="O3314" t="s">
        <v>4936</v>
      </c>
      <c r="Q3314" t="str">
        <f t="shared" si="133"/>
        <v>condorProc.py --series 07180915_0911 --donoise --dumps a --procenv environments/pymidas_HVHV_NaI_mf.env</v>
      </c>
    </row>
    <row r="3315" spans="1:17">
      <c r="A3315" t="s">
        <v>8797</v>
      </c>
      <c r="G3315" s="225"/>
      <c r="H3315" s="210"/>
      <c r="K3315" s="180"/>
      <c r="M3315" t="s">
        <v>2246</v>
      </c>
      <c r="N3315" t="s">
        <v>5571</v>
      </c>
      <c r="O3315" t="s">
        <v>4936</v>
      </c>
      <c r="Q3315" t="str">
        <f t="shared" si="133"/>
        <v>condorProc.py --series 07180915_0921 --donoise --dumps a --procenv environments/pymidas_HVHV_NaI_mf.env</v>
      </c>
    </row>
    <row r="3316" spans="1:17">
      <c r="A3316" t="s">
        <v>8798</v>
      </c>
      <c r="G3316" s="225"/>
      <c r="H3316" s="210"/>
      <c r="K3316" s="180"/>
      <c r="M3316" t="s">
        <v>2246</v>
      </c>
      <c r="N3316" t="s">
        <v>5571</v>
      </c>
      <c r="O3316" t="s">
        <v>4936</v>
      </c>
      <c r="Q3316" t="str">
        <f t="shared" si="133"/>
        <v>condorProc.py --series 07180915_0931 --donoise --dumps a --procenv environments/pymidas_HVHV_NaI_mf.env</v>
      </c>
    </row>
    <row r="3317" spans="1:17">
      <c r="A3317" t="s">
        <v>8799</v>
      </c>
      <c r="G3317" s="225"/>
      <c r="H3317" s="210"/>
      <c r="K3317" s="180"/>
      <c r="M3317" t="s">
        <v>2246</v>
      </c>
      <c r="N3317" t="s">
        <v>5571</v>
      </c>
      <c r="O3317" t="s">
        <v>4936</v>
      </c>
      <c r="Q3317" t="str">
        <f t="shared" si="133"/>
        <v>condorProc.py --series 07180915_0941 --donoise --dumps a --procenv environments/pymidas_HVHV_NaI_mf.env</v>
      </c>
    </row>
    <row r="3318" spans="1:17">
      <c r="A3318" t="s">
        <v>8800</v>
      </c>
      <c r="G3318" s="225"/>
      <c r="H3318" s="210"/>
      <c r="K3318" s="180"/>
      <c r="M3318" t="s">
        <v>2246</v>
      </c>
      <c r="N3318" t="s">
        <v>5571</v>
      </c>
      <c r="O3318" t="s">
        <v>4936</v>
      </c>
      <c r="Q3318" t="str">
        <f t="shared" si="133"/>
        <v>condorProc.py --series 07180915_0951 --donoise --dumps a --procenv environments/pymidas_HVHV_NaI_mf.env</v>
      </c>
    </row>
    <row r="3319" spans="1:17">
      <c r="A3319" t="s">
        <v>8801</v>
      </c>
      <c r="G3319" s="225"/>
      <c r="H3319" s="210"/>
      <c r="K3319" s="180"/>
      <c r="M3319" t="s">
        <v>2246</v>
      </c>
      <c r="N3319" t="s">
        <v>5571</v>
      </c>
      <c r="O3319" t="s">
        <v>4936</v>
      </c>
      <c r="Q3319" t="str">
        <f t="shared" si="133"/>
        <v>condorProc.py --series 07180915_1001 --donoise --dumps a --procenv environments/pymidas_HVHV_NaI_mf.env</v>
      </c>
    </row>
    <row r="3320" spans="1:17">
      <c r="A3320" t="s">
        <v>8802</v>
      </c>
      <c r="G3320" s="225"/>
      <c r="H3320" s="210"/>
      <c r="K3320" s="180"/>
      <c r="M3320" t="s">
        <v>2246</v>
      </c>
      <c r="N3320" t="s">
        <v>5571</v>
      </c>
      <c r="O3320" t="s">
        <v>4936</v>
      </c>
      <c r="Q3320" t="str">
        <f t="shared" si="133"/>
        <v>condorProc.py --series 07180915_1011 --donoise --dumps a --procenv environments/pymidas_HVHV_NaI_mf.env</v>
      </c>
    </row>
    <row r="3321" spans="1:17">
      <c r="A3321" t="s">
        <v>8803</v>
      </c>
      <c r="G3321" s="225"/>
      <c r="H3321" s="210"/>
      <c r="K3321" s="180"/>
      <c r="M3321" t="s">
        <v>2246</v>
      </c>
      <c r="N3321" t="s">
        <v>5571</v>
      </c>
      <c r="O3321" t="s">
        <v>4936</v>
      </c>
      <c r="Q3321" t="str">
        <f t="shared" si="133"/>
        <v>condorProc.py --series 07180915_1021 --donoise --dumps a --procenv environments/pymidas_HVHV_NaI_mf.env</v>
      </c>
    </row>
    <row r="3322" spans="1:17">
      <c r="A3322" t="s">
        <v>8804</v>
      </c>
      <c r="F3322" s="65"/>
      <c r="G3322" s="226"/>
      <c r="H3322" s="211"/>
      <c r="I3322" s="65"/>
      <c r="J3322" s="65"/>
      <c r="K3322" s="182"/>
      <c r="M3322" t="s">
        <v>2246</v>
      </c>
      <c r="N3322" t="s">
        <v>5571</v>
      </c>
      <c r="O3322" t="s">
        <v>4936</v>
      </c>
      <c r="Q3322" t="str">
        <f t="shared" si="133"/>
        <v>condorProc.py --series 07180915_1032 --donoise --dumps a --procenv environments/pymidas_HVHV_NaI_mf.env</v>
      </c>
    </row>
    <row r="3323" spans="1:17">
      <c r="A3323" t="s">
        <v>8805</v>
      </c>
      <c r="F3323" s="177">
        <v>10</v>
      </c>
      <c r="G3323" s="224" t="s">
        <v>8641</v>
      </c>
      <c r="H3323" s="209">
        <v>-80</v>
      </c>
      <c r="I3323" s="177"/>
      <c r="J3323" s="177" t="s">
        <v>5577</v>
      </c>
      <c r="K3323" s="178" t="s">
        <v>5583</v>
      </c>
      <c r="M3323" t="s">
        <v>2246</v>
      </c>
      <c r="N3323" t="s">
        <v>5571</v>
      </c>
      <c r="O3323" t="s">
        <v>4936</v>
      </c>
      <c r="Q3323" t="str">
        <f t="shared" si="133"/>
        <v>condorProc.py --series 07180915_1125 --donoise --dumps a --procenv environments/pymidas_HVHV_NaI_mf.env</v>
      </c>
    </row>
    <row r="3324" spans="1:17">
      <c r="A3324" t="s">
        <v>8806</v>
      </c>
      <c r="G3324" s="225"/>
      <c r="H3324" s="210"/>
      <c r="J3324" t="s">
        <v>5585</v>
      </c>
      <c r="K3324" s="218" t="s">
        <v>5586</v>
      </c>
      <c r="M3324" t="s">
        <v>2246</v>
      </c>
      <c r="N3324" t="s">
        <v>5571</v>
      </c>
      <c r="O3324" t="s">
        <v>4936</v>
      </c>
      <c r="Q3324" t="str">
        <f t="shared" si="133"/>
        <v>condorProc.py --series 07180915_1135 --donoise --dumps a --procenv environments/pymidas_HVHV_NaI_mf.env</v>
      </c>
    </row>
    <row r="3325" spans="1:17">
      <c r="A3325" t="s">
        <v>8807</v>
      </c>
      <c r="G3325" s="225"/>
      <c r="H3325" s="210"/>
      <c r="K3325" s="219" t="s">
        <v>8388</v>
      </c>
      <c r="M3325" t="s">
        <v>2246</v>
      </c>
      <c r="N3325" t="s">
        <v>5571</v>
      </c>
      <c r="O3325" t="s">
        <v>4936</v>
      </c>
      <c r="Q3325" t="str">
        <f t="shared" si="133"/>
        <v>condorProc.py --series 07180915_1145 --donoise --dumps a --procenv environments/pymidas_HVHV_NaI_mf.env</v>
      </c>
    </row>
    <row r="3326" spans="1:17">
      <c r="A3326" t="s">
        <v>8808</v>
      </c>
      <c r="G3326" s="225"/>
      <c r="H3326" s="210"/>
      <c r="K3326" s="180"/>
      <c r="M3326" t="s">
        <v>2246</v>
      </c>
      <c r="N3326" t="s">
        <v>5571</v>
      </c>
      <c r="O3326" t="s">
        <v>4936</v>
      </c>
      <c r="Q3326" t="str">
        <f t="shared" si="133"/>
        <v>condorProc.py --series 07180915_1156 --donoise --dumps a --procenv environments/pymidas_HVHV_NaI_mf.env</v>
      </c>
    </row>
    <row r="3327" spans="1:17">
      <c r="A3327" t="s">
        <v>8809</v>
      </c>
      <c r="G3327" s="225"/>
      <c r="H3327" s="210"/>
      <c r="K3327" s="180"/>
      <c r="M3327" t="s">
        <v>2246</v>
      </c>
      <c r="N3327" t="s">
        <v>5571</v>
      </c>
      <c r="O3327" t="s">
        <v>4936</v>
      </c>
      <c r="Q3327" t="str">
        <f t="shared" si="133"/>
        <v>condorProc.py --series 07180915_1206 --donoise --dumps a --procenv environments/pymidas_HVHV_NaI_mf.env</v>
      </c>
    </row>
    <row r="3328" spans="1:17">
      <c r="A3328" t="s">
        <v>8810</v>
      </c>
      <c r="G3328" s="225"/>
      <c r="H3328" s="210"/>
      <c r="K3328" s="180"/>
      <c r="M3328" t="s">
        <v>2246</v>
      </c>
      <c r="N3328" t="s">
        <v>5571</v>
      </c>
      <c r="O3328" t="s">
        <v>4936</v>
      </c>
      <c r="Q3328" t="str">
        <f t="shared" si="133"/>
        <v>condorProc.py --series 07180915_1216 --donoise --dumps a --procenv environments/pymidas_HVHV_NaI_mf.env</v>
      </c>
    </row>
    <row r="3329" spans="1:17">
      <c r="A3329" t="s">
        <v>8811</v>
      </c>
      <c r="G3329" s="225"/>
      <c r="H3329" s="210"/>
      <c r="K3329" s="180"/>
      <c r="M3329" t="s">
        <v>2246</v>
      </c>
      <c r="N3329" t="s">
        <v>5571</v>
      </c>
      <c r="O3329" t="s">
        <v>4936</v>
      </c>
      <c r="Q3329" t="str">
        <f t="shared" si="133"/>
        <v>condorProc.py --series 07180915_1226 --donoise --dumps a --procenv environments/pymidas_HVHV_NaI_mf.env</v>
      </c>
    </row>
    <row r="3330" spans="1:17">
      <c r="A3330" t="s">
        <v>8812</v>
      </c>
      <c r="G3330" s="225"/>
      <c r="H3330" s="210"/>
      <c r="K3330" s="180"/>
      <c r="M3330" t="s">
        <v>2246</v>
      </c>
      <c r="N3330" t="s">
        <v>5571</v>
      </c>
      <c r="O3330" t="s">
        <v>4936</v>
      </c>
      <c r="Q3330" t="str">
        <f t="shared" si="133"/>
        <v>condorProc.py --series 07180915_1236 --donoise --dumps a --procenv environments/pymidas_HVHV_NaI_mf.env</v>
      </c>
    </row>
    <row r="3331" spans="1:17">
      <c r="A3331" t="s">
        <v>8813</v>
      </c>
      <c r="G3331" s="225"/>
      <c r="H3331" s="210"/>
      <c r="K3331" s="180"/>
      <c r="M3331" t="s">
        <v>2246</v>
      </c>
      <c r="N3331" t="s">
        <v>5571</v>
      </c>
      <c r="O3331" t="s">
        <v>4936</v>
      </c>
      <c r="Q3331" t="str">
        <f t="shared" si="133"/>
        <v>condorProc.py --series 07180915_1246 --donoise --dumps a --procenv environments/pymidas_HVHV_NaI_mf.env</v>
      </c>
    </row>
    <row r="3332" spans="1:17">
      <c r="A3332" t="s">
        <v>8814</v>
      </c>
      <c r="G3332" s="225"/>
      <c r="H3332" s="210"/>
      <c r="K3332" s="180"/>
      <c r="M3332" t="s">
        <v>2246</v>
      </c>
      <c r="N3332" t="s">
        <v>5571</v>
      </c>
      <c r="O3332" t="s">
        <v>4936</v>
      </c>
      <c r="Q3332" t="str">
        <f t="shared" si="133"/>
        <v>condorProc.py --series 07180915_1256 --donoise --dumps a --procenv environments/pymidas_HVHV_NaI_mf.env</v>
      </c>
    </row>
    <row r="3333" spans="1:17">
      <c r="A3333" t="s">
        <v>8815</v>
      </c>
      <c r="G3333" s="225"/>
      <c r="H3333" s="210"/>
      <c r="K3333" s="180"/>
      <c r="M3333" t="s">
        <v>2246</v>
      </c>
      <c r="N3333" t="s">
        <v>5571</v>
      </c>
      <c r="O3333" t="s">
        <v>4936</v>
      </c>
      <c r="Q3333" t="str">
        <f t="shared" si="133"/>
        <v>condorProc.py --series 07180915_1307 --donoise --dumps a --procenv environments/pymidas_HVHV_NaI_mf.env</v>
      </c>
    </row>
    <row r="3334" spans="1:17">
      <c r="A3334" t="s">
        <v>8816</v>
      </c>
      <c r="F3334" s="65"/>
      <c r="G3334" s="226"/>
      <c r="H3334" s="211"/>
      <c r="I3334" s="65"/>
      <c r="J3334" s="65"/>
      <c r="K3334" s="182"/>
      <c r="M3334" t="s">
        <v>2246</v>
      </c>
      <c r="N3334" t="s">
        <v>5571</v>
      </c>
      <c r="O3334" t="s">
        <v>4936</v>
      </c>
      <c r="Q3334" t="str">
        <f t="shared" si="133"/>
        <v>condorProc.py --series 07180915_1317 --donoise --dumps a --procenv environments/pymidas_HVHV_NaI_mf.env</v>
      </c>
    </row>
    <row r="3335" spans="1:17">
      <c r="A3335" t="s">
        <v>8817</v>
      </c>
      <c r="F3335" s="177">
        <v>10</v>
      </c>
      <c r="G3335" s="224" t="s">
        <v>8641</v>
      </c>
      <c r="H3335" s="209">
        <v>-80</v>
      </c>
      <c r="I3335" s="177"/>
      <c r="J3335" s="177" t="s">
        <v>5577</v>
      </c>
      <c r="K3335" s="178" t="s">
        <v>5583</v>
      </c>
      <c r="M3335" t="s">
        <v>2246</v>
      </c>
      <c r="N3335" t="s">
        <v>5571</v>
      </c>
      <c r="O3335" t="s">
        <v>4936</v>
      </c>
      <c r="Q3335" t="str">
        <f t="shared" si="133"/>
        <v>condorProc.py --series 07180915_1411 --donoise --dumps a --procenv environments/pymidas_HVHV_NaI_mf.env</v>
      </c>
    </row>
    <row r="3336" spans="1:17">
      <c r="A3336" t="s">
        <v>8818</v>
      </c>
      <c r="G3336" s="225"/>
      <c r="H3336" s="210"/>
      <c r="J3336" t="s">
        <v>5585</v>
      </c>
      <c r="K3336" s="218" t="s">
        <v>5586</v>
      </c>
      <c r="M3336" t="s">
        <v>2246</v>
      </c>
      <c r="N3336" t="s">
        <v>5571</v>
      </c>
      <c r="O3336" t="s">
        <v>4936</v>
      </c>
      <c r="Q3336" t="str">
        <f t="shared" si="133"/>
        <v>condorProc.py --series 07180915_1421 --donoise --dumps a --procenv environments/pymidas_HVHV_NaI_mf.env</v>
      </c>
    </row>
    <row r="3337" spans="1:17">
      <c r="A3337" t="s">
        <v>8819</v>
      </c>
      <c r="G3337" s="225"/>
      <c r="H3337" s="210"/>
      <c r="I3337" t="s">
        <v>75</v>
      </c>
      <c r="K3337" s="219" t="s">
        <v>8388</v>
      </c>
      <c r="M3337" t="s">
        <v>2246</v>
      </c>
      <c r="N3337" t="s">
        <v>5571</v>
      </c>
      <c r="O3337" t="s">
        <v>4936</v>
      </c>
      <c r="Q3337" t="str">
        <f t="shared" si="133"/>
        <v>condorProc.py --series 07180915_1431 --donoise --dumps a --procenv environments/pymidas_HVHV_NaI_mf.env</v>
      </c>
    </row>
    <row r="3338" spans="1:17">
      <c r="A3338" t="s">
        <v>8820</v>
      </c>
      <c r="G3338" s="225"/>
      <c r="H3338" s="210"/>
      <c r="K3338" s="180"/>
      <c r="M3338" t="s">
        <v>2246</v>
      </c>
      <c r="N3338" t="s">
        <v>5571</v>
      </c>
      <c r="O3338" t="s">
        <v>4936</v>
      </c>
      <c r="Q3338" t="str">
        <f t="shared" si="133"/>
        <v>condorProc.py --series 07180915_1441 --donoise --dumps a --procenv environments/pymidas_HVHV_NaI_mf.env</v>
      </c>
    </row>
    <row r="3339" spans="1:17">
      <c r="A3339" t="s">
        <v>8821</v>
      </c>
      <c r="G3339" s="225"/>
      <c r="H3339" s="210"/>
      <c r="K3339" s="180"/>
      <c r="M3339" t="s">
        <v>2246</v>
      </c>
      <c r="N3339" t="s">
        <v>5571</v>
      </c>
      <c r="O3339" t="s">
        <v>4936</v>
      </c>
      <c r="Q3339" t="str">
        <f t="shared" si="133"/>
        <v>condorProc.py --series 07180915_1451 --donoise --dumps a --procenv environments/pymidas_HVHV_NaI_mf.env</v>
      </c>
    </row>
    <row r="3340" spans="1:17">
      <c r="A3340" t="s">
        <v>8822</v>
      </c>
      <c r="G3340" s="225"/>
      <c r="H3340" s="210"/>
      <c r="K3340" s="180"/>
      <c r="M3340" t="s">
        <v>2246</v>
      </c>
      <c r="N3340" t="s">
        <v>5571</v>
      </c>
      <c r="O3340" t="s">
        <v>4936</v>
      </c>
      <c r="Q3340" t="str">
        <f t="shared" si="133"/>
        <v>condorProc.py --series 07180915_1501 --donoise --dumps a --procenv environments/pymidas_HVHV_NaI_mf.env</v>
      </c>
    </row>
    <row r="3341" spans="1:17">
      <c r="A3341" t="s">
        <v>8823</v>
      </c>
      <c r="G3341" s="225"/>
      <c r="H3341" s="210"/>
      <c r="K3341" s="180"/>
      <c r="M3341" t="s">
        <v>2246</v>
      </c>
      <c r="N3341" t="s">
        <v>5571</v>
      </c>
      <c r="O3341" t="s">
        <v>4936</v>
      </c>
      <c r="Q3341" t="str">
        <f t="shared" si="133"/>
        <v>condorProc.py --series 07180915_1511 --donoise --dumps a --procenv environments/pymidas_HVHV_NaI_mf.env</v>
      </c>
    </row>
    <row r="3342" spans="1:17">
      <c r="A3342" t="s">
        <v>8824</v>
      </c>
      <c r="G3342" s="225"/>
      <c r="H3342" s="210"/>
      <c r="K3342" s="180"/>
      <c r="M3342" t="s">
        <v>2246</v>
      </c>
      <c r="N3342" t="s">
        <v>5571</v>
      </c>
      <c r="O3342" t="s">
        <v>4936</v>
      </c>
      <c r="Q3342" t="str">
        <f t="shared" si="133"/>
        <v>condorProc.py --series 07180915_1522 --donoise --dumps a --procenv environments/pymidas_HVHV_NaI_mf.env</v>
      </c>
    </row>
    <row r="3343" spans="1:17">
      <c r="A3343" t="s">
        <v>8825</v>
      </c>
      <c r="G3343" s="225"/>
      <c r="H3343" s="210"/>
      <c r="K3343" s="180"/>
      <c r="M3343" t="s">
        <v>2246</v>
      </c>
      <c r="N3343" t="s">
        <v>5571</v>
      </c>
      <c r="O3343" t="s">
        <v>4936</v>
      </c>
      <c r="Q3343" t="str">
        <f t="shared" si="133"/>
        <v>condorProc.py --series 07180915_1532 --donoise --dumps a --procenv environments/pymidas_HVHV_NaI_mf.env</v>
      </c>
    </row>
    <row r="3344" spans="1:17">
      <c r="A3344" t="s">
        <v>8826</v>
      </c>
      <c r="G3344" s="225"/>
      <c r="H3344" s="210"/>
      <c r="K3344" s="180"/>
      <c r="M3344" t="s">
        <v>2246</v>
      </c>
      <c r="N3344" t="s">
        <v>5571</v>
      </c>
      <c r="O3344" t="s">
        <v>4936</v>
      </c>
      <c r="Q3344" t="str">
        <f t="shared" si="133"/>
        <v>condorProc.py --series 07180915_1542 --donoise --dumps a --procenv environments/pymidas_HVHV_NaI_mf.env</v>
      </c>
    </row>
    <row r="3345" spans="1:17">
      <c r="A3345" t="s">
        <v>8827</v>
      </c>
      <c r="G3345" s="225"/>
      <c r="H3345" s="210"/>
      <c r="K3345" s="180"/>
      <c r="M3345" t="s">
        <v>2246</v>
      </c>
      <c r="N3345" t="s">
        <v>5571</v>
      </c>
      <c r="O3345" t="s">
        <v>4936</v>
      </c>
      <c r="Q3345" t="str">
        <f t="shared" si="133"/>
        <v>condorProc.py --series 07180915_1552 --donoise --dumps a --procenv environments/pymidas_HVHV_NaI_mf.env</v>
      </c>
    </row>
    <row r="3346" spans="1:17">
      <c r="A3346" t="s">
        <v>8828</v>
      </c>
      <c r="F3346" s="65"/>
      <c r="G3346" s="226"/>
      <c r="H3346" s="211"/>
      <c r="I3346" s="65"/>
      <c r="J3346" s="65"/>
      <c r="K3346" s="182"/>
      <c r="M3346" t="s">
        <v>2246</v>
      </c>
      <c r="N3346" t="s">
        <v>5571</v>
      </c>
      <c r="O3346" t="s">
        <v>4936</v>
      </c>
      <c r="Q3346" t="str">
        <f t="shared" si="133"/>
        <v>condorProc.py --series 07180915_1602 --donoise --dumps a --procenv environments/pymidas_HVHV_NaI_mf.env</v>
      </c>
    </row>
    <row r="3347" spans="1:17">
      <c r="A3347" t="s">
        <v>8829</v>
      </c>
      <c r="F3347" s="177">
        <v>10</v>
      </c>
      <c r="G3347" s="224" t="s">
        <v>8641</v>
      </c>
      <c r="H3347" s="209">
        <v>-80</v>
      </c>
      <c r="I3347" s="177"/>
      <c r="J3347" s="177" t="s">
        <v>5577</v>
      </c>
      <c r="K3347" s="178" t="s">
        <v>5583</v>
      </c>
      <c r="M3347" t="s">
        <v>2246</v>
      </c>
      <c r="N3347" t="s">
        <v>5571</v>
      </c>
      <c r="O3347" t="s">
        <v>4936</v>
      </c>
      <c r="Q3347" t="str">
        <f t="shared" si="133"/>
        <v>condorProc.py --series 07180915_1656 --donoise --dumps a --procenv environments/pymidas_HVHV_NaI_mf.env</v>
      </c>
    </row>
    <row r="3348" spans="1:17">
      <c r="A3348" t="s">
        <v>8830</v>
      </c>
      <c r="G3348" s="225"/>
      <c r="H3348" s="210"/>
      <c r="J3348" t="s">
        <v>5585</v>
      </c>
      <c r="K3348" s="218" t="s">
        <v>5586</v>
      </c>
      <c r="M3348" t="s">
        <v>2246</v>
      </c>
      <c r="N3348" t="s">
        <v>5571</v>
      </c>
      <c r="O3348" t="s">
        <v>4936</v>
      </c>
      <c r="Q3348" t="str">
        <f t="shared" si="133"/>
        <v>condorProc.py --series 07180915_1706 --donoise --dumps a --procenv environments/pymidas_HVHV_NaI_mf.env</v>
      </c>
    </row>
    <row r="3349" spans="1:17">
      <c r="A3349" t="s">
        <v>8831</v>
      </c>
      <c r="G3349" s="225"/>
      <c r="H3349" s="210"/>
      <c r="I3349" t="s">
        <v>75</v>
      </c>
      <c r="K3349" s="219" t="s">
        <v>8388</v>
      </c>
      <c r="M3349" t="s">
        <v>2246</v>
      </c>
      <c r="N3349" t="s">
        <v>5571</v>
      </c>
      <c r="O3349" t="s">
        <v>4936</v>
      </c>
      <c r="Q3349" t="str">
        <f t="shared" si="133"/>
        <v>condorProc.py --series 07180915_1716 --donoise --dumps a --procenv environments/pymidas_HVHV_NaI_mf.env</v>
      </c>
    </row>
    <row r="3350" spans="1:17">
      <c r="A3350" t="s">
        <v>8832</v>
      </c>
      <c r="G3350" s="225"/>
      <c r="H3350" s="210"/>
      <c r="K3350" s="180"/>
      <c r="M3350" t="s">
        <v>2246</v>
      </c>
      <c r="N3350" t="s">
        <v>5571</v>
      </c>
      <c r="O3350" t="s">
        <v>4936</v>
      </c>
      <c r="Q3350" t="str">
        <f t="shared" si="133"/>
        <v>condorProc.py --series 07180915_1726 --donoise --dumps a --procenv environments/pymidas_HVHV_NaI_mf.env</v>
      </c>
    </row>
    <row r="3351" spans="1:17">
      <c r="A3351" t="s">
        <v>8833</v>
      </c>
      <c r="G3351" s="225"/>
      <c r="H3351" s="210"/>
      <c r="K3351" s="180"/>
      <c r="M3351" t="s">
        <v>2246</v>
      </c>
      <c r="N3351" t="s">
        <v>5571</v>
      </c>
      <c r="O3351" t="s">
        <v>4936</v>
      </c>
      <c r="Q3351" t="str">
        <f t="shared" si="133"/>
        <v>condorProc.py --series 07180915_1736 --donoise --dumps a --procenv environments/pymidas_HVHV_NaI_mf.env</v>
      </c>
    </row>
    <row r="3352" spans="1:17">
      <c r="A3352" t="s">
        <v>8834</v>
      </c>
      <c r="G3352" s="225"/>
      <c r="H3352" s="210"/>
      <c r="K3352" s="180"/>
      <c r="M3352" t="s">
        <v>2246</v>
      </c>
      <c r="N3352" t="s">
        <v>5571</v>
      </c>
      <c r="O3352" t="s">
        <v>4936</v>
      </c>
      <c r="Q3352" t="str">
        <f t="shared" si="133"/>
        <v>condorProc.py --series 07180915_1746 --donoise --dumps a --procenv environments/pymidas_HVHV_NaI_mf.env</v>
      </c>
    </row>
    <row r="3353" spans="1:17">
      <c r="A3353" t="s">
        <v>8835</v>
      </c>
      <c r="G3353" s="225"/>
      <c r="H3353" s="210"/>
      <c r="K3353" s="180"/>
      <c r="M3353" t="s">
        <v>2246</v>
      </c>
      <c r="N3353" t="s">
        <v>5571</v>
      </c>
      <c r="O3353" t="s">
        <v>4936</v>
      </c>
      <c r="Q3353" t="str">
        <f t="shared" si="133"/>
        <v>condorProc.py --series 07180915_1757 --donoise --dumps a --procenv environments/pymidas_HVHV_NaI_mf.env</v>
      </c>
    </row>
    <row r="3354" spans="1:17">
      <c r="A3354" t="s">
        <v>8836</v>
      </c>
      <c r="G3354" s="225"/>
      <c r="H3354" s="210"/>
      <c r="K3354" s="180"/>
      <c r="M3354" t="s">
        <v>2246</v>
      </c>
      <c r="N3354" t="s">
        <v>5571</v>
      </c>
      <c r="O3354" t="s">
        <v>4936</v>
      </c>
      <c r="Q3354" t="str">
        <f t="shared" si="133"/>
        <v>condorProc.py --series 07180915_1807 --donoise --dumps a --procenv environments/pymidas_HVHV_NaI_mf.env</v>
      </c>
    </row>
    <row r="3355" spans="1:17">
      <c r="A3355" t="s">
        <v>8837</v>
      </c>
      <c r="G3355" s="225"/>
      <c r="H3355" s="210"/>
      <c r="K3355" s="180"/>
      <c r="M3355" t="s">
        <v>2246</v>
      </c>
      <c r="N3355" t="s">
        <v>5571</v>
      </c>
      <c r="O3355" t="s">
        <v>4936</v>
      </c>
      <c r="Q3355" t="str">
        <f t="shared" si="133"/>
        <v>condorProc.py --series 07180915_1817 --donoise --dumps a --procenv environments/pymidas_HVHV_NaI_mf.env</v>
      </c>
    </row>
    <row r="3356" spans="1:17">
      <c r="A3356" t="s">
        <v>8838</v>
      </c>
      <c r="G3356" s="225"/>
      <c r="H3356" s="210"/>
      <c r="K3356" s="180"/>
      <c r="M3356" t="s">
        <v>2246</v>
      </c>
      <c r="N3356" t="s">
        <v>5571</v>
      </c>
      <c r="O3356" t="s">
        <v>4936</v>
      </c>
      <c r="Q3356" t="str">
        <f t="shared" si="133"/>
        <v>condorProc.py --series 07180915_1827 --donoise --dumps a --procenv environments/pymidas_HVHV_NaI_mf.env</v>
      </c>
    </row>
    <row r="3357" spans="1:17">
      <c r="A3357" t="s">
        <v>8839</v>
      </c>
      <c r="G3357" s="225"/>
      <c r="H3357" s="210"/>
      <c r="K3357" s="180"/>
      <c r="M3357" t="s">
        <v>2246</v>
      </c>
      <c r="N3357" t="s">
        <v>5571</v>
      </c>
      <c r="O3357" t="s">
        <v>4936</v>
      </c>
      <c r="Q3357" t="str">
        <f t="shared" si="133"/>
        <v>condorProc.py --series 07180915_1837 --donoise --dumps a --procenv environments/pymidas_HVHV_NaI_mf.env</v>
      </c>
    </row>
    <row r="3358" spans="1:17">
      <c r="A3358" t="s">
        <v>8840</v>
      </c>
      <c r="F3358" s="65"/>
      <c r="G3358" s="226"/>
      <c r="H3358" s="211"/>
      <c r="I3358" s="65"/>
      <c r="J3358" s="65"/>
      <c r="K3358" s="182"/>
      <c r="M3358" t="s">
        <v>2246</v>
      </c>
      <c r="N3358" t="s">
        <v>5571</v>
      </c>
      <c r="O3358" t="s">
        <v>4936</v>
      </c>
      <c r="Q3358" t="str">
        <f t="shared" si="133"/>
        <v>condorProc.py --series 07180915_1847 --donoise --dumps a --procenv environments/pymidas_HVHV_NaI_mf.env</v>
      </c>
    </row>
    <row r="3359" spans="1:17">
      <c r="A3359" t="s">
        <v>8841</v>
      </c>
      <c r="F3359" s="177">
        <v>10</v>
      </c>
      <c r="G3359" s="224" t="s">
        <v>8641</v>
      </c>
      <c r="H3359" s="209">
        <v>-80</v>
      </c>
      <c r="I3359" s="177"/>
      <c r="J3359" s="177" t="s">
        <v>5577</v>
      </c>
      <c r="K3359" s="178" t="s">
        <v>5583</v>
      </c>
      <c r="M3359" t="s">
        <v>2246</v>
      </c>
      <c r="N3359" t="s">
        <v>5571</v>
      </c>
      <c r="O3359" t="s">
        <v>4936</v>
      </c>
      <c r="Q3359" t="str">
        <f t="shared" si="133"/>
        <v>condorProc.py --series 07180915_1941 --donoise --dumps a --procenv environments/pymidas_HVHV_NaI_mf.env</v>
      </c>
    </row>
    <row r="3360" spans="1:17">
      <c r="A3360" t="s">
        <v>8842</v>
      </c>
      <c r="G3360" s="225"/>
      <c r="H3360" s="210"/>
      <c r="J3360" t="s">
        <v>5585</v>
      </c>
      <c r="K3360" s="218" t="s">
        <v>5586</v>
      </c>
      <c r="M3360" t="s">
        <v>2246</v>
      </c>
      <c r="N3360" t="s">
        <v>5571</v>
      </c>
      <c r="O3360" t="s">
        <v>4936</v>
      </c>
      <c r="Q3360" t="str">
        <f t="shared" si="133"/>
        <v>condorProc.py --series 07180915_1951 --donoise --dumps a --procenv environments/pymidas_HVHV_NaI_mf.env</v>
      </c>
    </row>
    <row r="3361" spans="1:17">
      <c r="A3361" t="s">
        <v>8843</v>
      </c>
      <c r="G3361" s="225"/>
      <c r="H3361" s="210"/>
      <c r="I3361" t="s">
        <v>75</v>
      </c>
      <c r="K3361" s="219" t="s">
        <v>8388</v>
      </c>
      <c r="M3361" t="s">
        <v>2246</v>
      </c>
      <c r="N3361" t="s">
        <v>5571</v>
      </c>
      <c r="O3361" t="s">
        <v>4936</v>
      </c>
      <c r="Q3361" t="str">
        <f t="shared" ref="Q3361:Q3424" si="134">"condorProc.py --series "&amp;A3361&amp;" --donoise --dumps a --procenv environments/pymidas_HVHV_NaI_mf.env"</f>
        <v>condorProc.py --series 07180915_2001 --donoise --dumps a --procenv environments/pymidas_HVHV_NaI_mf.env</v>
      </c>
    </row>
    <row r="3362" spans="1:17">
      <c r="A3362" t="s">
        <v>8844</v>
      </c>
      <c r="G3362" s="225"/>
      <c r="H3362" s="210"/>
      <c r="K3362" s="180"/>
      <c r="M3362" t="s">
        <v>2246</v>
      </c>
      <c r="N3362" t="s">
        <v>5571</v>
      </c>
      <c r="O3362" t="s">
        <v>4936</v>
      </c>
      <c r="Q3362" t="str">
        <f t="shared" si="134"/>
        <v>condorProc.py --series 07180915_2012 --donoise --dumps a --procenv environments/pymidas_HVHV_NaI_mf.env</v>
      </c>
    </row>
    <row r="3363" spans="1:17">
      <c r="A3363" t="s">
        <v>8845</v>
      </c>
      <c r="G3363" s="225"/>
      <c r="H3363" s="210"/>
      <c r="I3363" t="s">
        <v>75</v>
      </c>
      <c r="K3363" s="180"/>
      <c r="M3363" t="s">
        <v>2246</v>
      </c>
      <c r="N3363" t="s">
        <v>5571</v>
      </c>
      <c r="O3363" t="s">
        <v>4936</v>
      </c>
      <c r="Q3363" t="str">
        <f t="shared" si="134"/>
        <v>condorProc.py --series 07180915_2022 --donoise --dumps a --procenv environments/pymidas_HVHV_NaI_mf.env</v>
      </c>
    </row>
    <row r="3364" spans="1:17">
      <c r="A3364" t="s">
        <v>8846</v>
      </c>
      <c r="G3364" s="225"/>
      <c r="H3364" s="210"/>
      <c r="K3364" s="180"/>
      <c r="M3364" t="s">
        <v>2246</v>
      </c>
      <c r="N3364" t="s">
        <v>5571</v>
      </c>
      <c r="O3364" t="s">
        <v>4936</v>
      </c>
      <c r="Q3364" t="str">
        <f t="shared" si="134"/>
        <v>condorProc.py --series 07180915_2032 --donoise --dumps a --procenv environments/pymidas_HVHV_NaI_mf.env</v>
      </c>
    </row>
    <row r="3365" spans="1:17">
      <c r="A3365" t="s">
        <v>8847</v>
      </c>
      <c r="G3365" s="225"/>
      <c r="H3365" s="210"/>
      <c r="K3365" s="180"/>
      <c r="M3365" t="s">
        <v>2246</v>
      </c>
      <c r="N3365" t="s">
        <v>5571</v>
      </c>
      <c r="O3365" t="s">
        <v>4936</v>
      </c>
      <c r="Q3365" t="str">
        <f t="shared" si="134"/>
        <v>condorProc.py --series 07180915_2042 --donoise --dumps a --procenv environments/pymidas_HVHV_NaI_mf.env</v>
      </c>
    </row>
    <row r="3366" spans="1:17">
      <c r="A3366" t="s">
        <v>8848</v>
      </c>
      <c r="G3366" s="225"/>
      <c r="H3366" s="210"/>
      <c r="K3366" s="180"/>
      <c r="M3366" t="s">
        <v>2246</v>
      </c>
      <c r="N3366" t="s">
        <v>5571</v>
      </c>
      <c r="O3366" t="s">
        <v>4936</v>
      </c>
      <c r="Q3366" t="str">
        <f t="shared" si="134"/>
        <v>condorProc.py --series 07180915_2052 --donoise --dumps a --procenv environments/pymidas_HVHV_NaI_mf.env</v>
      </c>
    </row>
    <row r="3367" spans="1:17">
      <c r="A3367" t="s">
        <v>8849</v>
      </c>
      <c r="G3367" s="225"/>
      <c r="H3367" s="210"/>
      <c r="K3367" s="180"/>
      <c r="M3367" t="s">
        <v>2246</v>
      </c>
      <c r="N3367" t="s">
        <v>5571</v>
      </c>
      <c r="O3367" t="s">
        <v>4936</v>
      </c>
      <c r="Q3367" t="str">
        <f t="shared" si="134"/>
        <v>condorProc.py --series 07180915_2102 --donoise --dumps a --procenv environments/pymidas_HVHV_NaI_mf.env</v>
      </c>
    </row>
    <row r="3368" spans="1:17">
      <c r="A3368" t="s">
        <v>8850</v>
      </c>
      <c r="G3368" s="225"/>
      <c r="H3368" s="210"/>
      <c r="K3368" s="180"/>
      <c r="M3368" t="s">
        <v>2246</v>
      </c>
      <c r="N3368" t="s">
        <v>5571</v>
      </c>
      <c r="O3368" t="s">
        <v>4936</v>
      </c>
      <c r="Q3368" t="str">
        <f t="shared" si="134"/>
        <v>condorProc.py --series 07180915_2112 --donoise --dumps a --procenv environments/pymidas_HVHV_NaI_mf.env</v>
      </c>
    </row>
    <row r="3369" spans="1:17">
      <c r="A3369" t="s">
        <v>8851</v>
      </c>
      <c r="G3369" s="225"/>
      <c r="H3369" s="210"/>
      <c r="K3369" s="180"/>
      <c r="M3369" t="s">
        <v>2246</v>
      </c>
      <c r="N3369" t="s">
        <v>5571</v>
      </c>
      <c r="O3369" t="s">
        <v>4936</v>
      </c>
      <c r="Q3369" t="str">
        <f t="shared" si="134"/>
        <v>condorProc.py --series 07180915_2123 --donoise --dumps a --procenv environments/pymidas_HVHV_NaI_mf.env</v>
      </c>
    </row>
    <row r="3370" spans="1:17">
      <c r="A3370" t="s">
        <v>8852</v>
      </c>
      <c r="F3370" s="65"/>
      <c r="G3370" s="226"/>
      <c r="H3370" s="211"/>
      <c r="I3370" s="65"/>
      <c r="J3370" s="65"/>
      <c r="K3370" s="182"/>
      <c r="M3370" t="s">
        <v>2246</v>
      </c>
      <c r="N3370" t="s">
        <v>5571</v>
      </c>
      <c r="O3370" t="s">
        <v>4936</v>
      </c>
      <c r="Q3370" t="str">
        <f t="shared" si="134"/>
        <v>condorProc.py --series 07180915_2133 --donoise --dumps a --procenv environments/pymidas_HVHV_NaI_mf.env</v>
      </c>
    </row>
    <row r="3371" spans="1:17">
      <c r="A3371" t="s">
        <v>8853</v>
      </c>
      <c r="F3371" s="177">
        <v>10</v>
      </c>
      <c r="G3371" s="224" t="s">
        <v>8641</v>
      </c>
      <c r="H3371" s="209">
        <v>-80</v>
      </c>
      <c r="I3371" s="177"/>
      <c r="J3371" s="177" t="s">
        <v>5577</v>
      </c>
      <c r="K3371" s="178" t="s">
        <v>5583</v>
      </c>
      <c r="M3371" t="s">
        <v>2246</v>
      </c>
      <c r="N3371" t="s">
        <v>5571</v>
      </c>
      <c r="O3371" t="s">
        <v>4936</v>
      </c>
      <c r="Q3371" t="str">
        <f t="shared" si="134"/>
        <v>condorProc.py --series 07180915_2229 --donoise --dumps a --procenv environments/pymidas_HVHV_NaI_mf.env</v>
      </c>
    </row>
    <row r="3372" spans="1:17">
      <c r="A3372" t="s">
        <v>8854</v>
      </c>
      <c r="G3372" s="225"/>
      <c r="H3372" s="210"/>
      <c r="J3372" t="s">
        <v>5585</v>
      </c>
      <c r="K3372" s="218" t="s">
        <v>5586</v>
      </c>
      <c r="M3372" t="s">
        <v>2246</v>
      </c>
      <c r="N3372" t="s">
        <v>5571</v>
      </c>
      <c r="O3372" t="s">
        <v>4936</v>
      </c>
      <c r="Q3372" t="str">
        <f t="shared" si="134"/>
        <v>condorProc.py --series 07180915_2239 --donoise --dumps a --procenv environments/pymidas_HVHV_NaI_mf.env</v>
      </c>
    </row>
    <row r="3373" spans="1:17">
      <c r="A3373" t="s">
        <v>8855</v>
      </c>
      <c r="G3373" s="225"/>
      <c r="H3373" s="210"/>
      <c r="I3373" t="s">
        <v>75</v>
      </c>
      <c r="K3373" s="219" t="s">
        <v>8388</v>
      </c>
      <c r="M3373" t="s">
        <v>2246</v>
      </c>
      <c r="N3373" t="s">
        <v>5571</v>
      </c>
      <c r="O3373" t="s">
        <v>4936</v>
      </c>
      <c r="Q3373" t="str">
        <f t="shared" si="134"/>
        <v>condorProc.py --series 07180915_2249 --donoise --dumps a --procenv environments/pymidas_HVHV_NaI_mf.env</v>
      </c>
    </row>
    <row r="3374" spans="1:17">
      <c r="A3374" t="s">
        <v>8856</v>
      </c>
      <c r="G3374" s="225"/>
      <c r="H3374" s="210"/>
      <c r="K3374" s="180"/>
      <c r="M3374" t="s">
        <v>2246</v>
      </c>
      <c r="N3374" t="s">
        <v>5571</v>
      </c>
      <c r="O3374" t="s">
        <v>4936</v>
      </c>
      <c r="Q3374" t="str">
        <f t="shared" si="134"/>
        <v>condorProc.py --series 07180915_2259 --donoise --dumps a --procenv environments/pymidas_HVHV_NaI_mf.env</v>
      </c>
    </row>
    <row r="3375" spans="1:17">
      <c r="A3375" t="s">
        <v>8857</v>
      </c>
      <c r="G3375" s="225"/>
      <c r="H3375" s="210"/>
      <c r="K3375" s="180"/>
      <c r="M3375" t="s">
        <v>2246</v>
      </c>
      <c r="N3375" t="s">
        <v>5571</v>
      </c>
      <c r="O3375" t="s">
        <v>4936</v>
      </c>
      <c r="Q3375" t="str">
        <f t="shared" si="134"/>
        <v>condorProc.py --series 07180915_2310 --donoise --dumps a --procenv environments/pymidas_HVHV_NaI_mf.env</v>
      </c>
    </row>
    <row r="3376" spans="1:17">
      <c r="A3376" t="s">
        <v>8858</v>
      </c>
      <c r="G3376" s="225"/>
      <c r="H3376" s="210"/>
      <c r="K3376" s="180"/>
      <c r="M3376" t="s">
        <v>2246</v>
      </c>
      <c r="N3376" t="s">
        <v>5571</v>
      </c>
      <c r="O3376" t="s">
        <v>4936</v>
      </c>
      <c r="Q3376" t="str">
        <f t="shared" si="134"/>
        <v>condorProc.py --series 07180915_2320 --donoise --dumps a --procenv environments/pymidas_HVHV_NaI_mf.env</v>
      </c>
    </row>
    <row r="3377" spans="1:17">
      <c r="A3377" t="s">
        <v>8859</v>
      </c>
      <c r="G3377" s="225"/>
      <c r="H3377" s="210"/>
      <c r="K3377" s="180"/>
      <c r="M3377" t="s">
        <v>2246</v>
      </c>
      <c r="N3377" t="s">
        <v>5571</v>
      </c>
      <c r="O3377" t="s">
        <v>4936</v>
      </c>
      <c r="Q3377" t="str">
        <f t="shared" si="134"/>
        <v>condorProc.py --series 07180915_2330 --donoise --dumps a --procenv environments/pymidas_HVHV_NaI_mf.env</v>
      </c>
    </row>
    <row r="3378" spans="1:17">
      <c r="A3378" t="s">
        <v>8860</v>
      </c>
      <c r="G3378" s="225"/>
      <c r="H3378" s="210"/>
      <c r="K3378" s="180"/>
      <c r="M3378" t="s">
        <v>2246</v>
      </c>
      <c r="N3378" t="s">
        <v>5571</v>
      </c>
      <c r="O3378" t="s">
        <v>4936</v>
      </c>
      <c r="Q3378" t="str">
        <f t="shared" si="134"/>
        <v>condorProc.py --series 07180915_2340 --donoise --dumps a --procenv environments/pymidas_HVHV_NaI_mf.env</v>
      </c>
    </row>
    <row r="3379" spans="1:17">
      <c r="A3379" t="s">
        <v>8861</v>
      </c>
      <c r="G3379" s="225"/>
      <c r="H3379" s="210"/>
      <c r="K3379" s="180"/>
      <c r="M3379" t="s">
        <v>2246</v>
      </c>
      <c r="N3379" t="s">
        <v>5571</v>
      </c>
      <c r="O3379" t="s">
        <v>4936</v>
      </c>
      <c r="Q3379" t="str">
        <f t="shared" si="134"/>
        <v>condorProc.py --series 07180915_2350 --donoise --dumps a --procenv environments/pymidas_HVHV_NaI_mf.env</v>
      </c>
    </row>
    <row r="3380" spans="1:17">
      <c r="A3380" t="s">
        <v>8862</v>
      </c>
      <c r="G3380" s="225"/>
      <c r="H3380" s="210"/>
      <c r="K3380" s="180"/>
      <c r="M3380" t="s">
        <v>2246</v>
      </c>
      <c r="N3380" t="s">
        <v>5571</v>
      </c>
      <c r="O3380" t="s">
        <v>4936</v>
      </c>
      <c r="Q3380" t="str">
        <f t="shared" si="134"/>
        <v>condorProc.py --series 07180916_0000 --donoise --dumps a --procenv environments/pymidas_HVHV_NaI_mf.env</v>
      </c>
    </row>
    <row r="3381" spans="1:17">
      <c r="A3381" t="s">
        <v>8863</v>
      </c>
      <c r="G3381" s="225"/>
      <c r="H3381" s="210"/>
      <c r="K3381" s="180"/>
      <c r="M3381" t="s">
        <v>2246</v>
      </c>
      <c r="N3381" t="s">
        <v>5571</v>
      </c>
      <c r="O3381" t="s">
        <v>4936</v>
      </c>
      <c r="Q3381" t="str">
        <f t="shared" si="134"/>
        <v>condorProc.py --series 07180916_0010 --donoise --dumps a --procenv environments/pymidas_HVHV_NaI_mf.env</v>
      </c>
    </row>
    <row r="3382" spans="1:17">
      <c r="A3382" t="s">
        <v>8864</v>
      </c>
      <c r="F3382" s="65"/>
      <c r="G3382" s="226"/>
      <c r="H3382" s="211"/>
      <c r="I3382" s="65"/>
      <c r="J3382" s="65"/>
      <c r="K3382" s="182"/>
      <c r="M3382" t="s">
        <v>2246</v>
      </c>
      <c r="N3382" t="s">
        <v>5571</v>
      </c>
      <c r="O3382" t="s">
        <v>4936</v>
      </c>
      <c r="Q3382" t="str">
        <f t="shared" si="134"/>
        <v>condorProc.py --series 07180916_0020 --donoise --dumps a --procenv environments/pymidas_HVHV_NaI_mf.env</v>
      </c>
    </row>
    <row r="3383" spans="1:17">
      <c r="A3383" t="s">
        <v>8865</v>
      </c>
      <c r="F3383" s="177">
        <v>10</v>
      </c>
      <c r="G3383" s="224" t="s">
        <v>8641</v>
      </c>
      <c r="H3383" s="209">
        <v>-80</v>
      </c>
      <c r="I3383" s="177"/>
      <c r="J3383" s="177" t="s">
        <v>5577</v>
      </c>
      <c r="K3383" s="178" t="s">
        <v>5583</v>
      </c>
      <c r="M3383" t="s">
        <v>2246</v>
      </c>
      <c r="N3383" t="s">
        <v>5571</v>
      </c>
      <c r="O3383" t="s">
        <v>4936</v>
      </c>
      <c r="Q3383" t="str">
        <f t="shared" si="134"/>
        <v>condorProc.py --series 07180916_0115 --donoise --dumps a --procenv environments/pymidas_HVHV_NaI_mf.env</v>
      </c>
    </row>
    <row r="3384" spans="1:17">
      <c r="A3384" t="s">
        <v>8866</v>
      </c>
      <c r="G3384" s="225"/>
      <c r="H3384" s="210"/>
      <c r="J3384" t="s">
        <v>5585</v>
      </c>
      <c r="K3384" s="218" t="s">
        <v>5586</v>
      </c>
      <c r="M3384" t="s">
        <v>2246</v>
      </c>
      <c r="N3384" t="s">
        <v>5571</v>
      </c>
      <c r="O3384" t="s">
        <v>4936</v>
      </c>
      <c r="Q3384" t="str">
        <f t="shared" si="134"/>
        <v>condorProc.py --series 07180916_0125 --donoise --dumps a --procenv environments/pymidas_HVHV_NaI_mf.env</v>
      </c>
    </row>
    <row r="3385" spans="1:17">
      <c r="A3385" t="s">
        <v>8867</v>
      </c>
      <c r="G3385" s="225"/>
      <c r="H3385" s="210"/>
      <c r="K3385" s="219" t="s">
        <v>8388</v>
      </c>
      <c r="M3385" t="s">
        <v>2246</v>
      </c>
      <c r="N3385" t="s">
        <v>5571</v>
      </c>
      <c r="O3385" t="s">
        <v>4936</v>
      </c>
      <c r="Q3385" t="str">
        <f t="shared" si="134"/>
        <v>condorProc.py --series 07180916_0136 --donoise --dumps a --procenv environments/pymidas_HVHV_NaI_mf.env</v>
      </c>
    </row>
    <row r="3386" spans="1:17">
      <c r="A3386" t="s">
        <v>8868</v>
      </c>
      <c r="G3386" s="225"/>
      <c r="H3386" s="210"/>
      <c r="K3386" s="180"/>
      <c r="M3386" t="s">
        <v>2246</v>
      </c>
      <c r="N3386" t="s">
        <v>5571</v>
      </c>
      <c r="O3386" t="s">
        <v>4936</v>
      </c>
      <c r="Q3386" t="str">
        <f t="shared" si="134"/>
        <v>condorProc.py --series 07180916_0146 --donoise --dumps a --procenv environments/pymidas_HVHV_NaI_mf.env</v>
      </c>
    </row>
    <row r="3387" spans="1:17">
      <c r="A3387" t="s">
        <v>8869</v>
      </c>
      <c r="G3387" s="225"/>
      <c r="H3387" s="210"/>
      <c r="K3387" s="180"/>
      <c r="M3387" t="s">
        <v>2246</v>
      </c>
      <c r="N3387" t="s">
        <v>5571</v>
      </c>
      <c r="O3387" t="s">
        <v>4936</v>
      </c>
      <c r="Q3387" t="str">
        <f t="shared" si="134"/>
        <v>condorProc.py --series 07180916_0156 --donoise --dumps a --procenv environments/pymidas_HVHV_NaI_mf.env</v>
      </c>
    </row>
    <row r="3388" spans="1:17">
      <c r="A3388" t="s">
        <v>8870</v>
      </c>
      <c r="G3388" s="225"/>
      <c r="H3388" s="210"/>
      <c r="K3388" s="180"/>
      <c r="M3388" t="s">
        <v>2246</v>
      </c>
      <c r="N3388" t="s">
        <v>5571</v>
      </c>
      <c r="O3388" t="s">
        <v>4936</v>
      </c>
      <c r="Q3388" t="str">
        <f t="shared" si="134"/>
        <v>condorProc.py --series 07180916_0206 --donoise --dumps a --procenv environments/pymidas_HVHV_NaI_mf.env</v>
      </c>
    </row>
    <row r="3389" spans="1:17">
      <c r="A3389" t="s">
        <v>8871</v>
      </c>
      <c r="G3389" s="225"/>
      <c r="H3389" s="210"/>
      <c r="K3389" s="180"/>
      <c r="M3389" t="s">
        <v>2246</v>
      </c>
      <c r="N3389" t="s">
        <v>5571</v>
      </c>
      <c r="O3389" t="s">
        <v>4936</v>
      </c>
      <c r="Q3389" t="str">
        <f t="shared" si="134"/>
        <v>condorProc.py --series 07180916_0216 --donoise --dumps a --procenv environments/pymidas_HVHV_NaI_mf.env</v>
      </c>
    </row>
    <row r="3390" spans="1:17">
      <c r="A3390" t="s">
        <v>8872</v>
      </c>
      <c r="G3390" s="225"/>
      <c r="H3390" s="210"/>
      <c r="K3390" s="180"/>
      <c r="M3390" t="s">
        <v>2246</v>
      </c>
      <c r="N3390" t="s">
        <v>5571</v>
      </c>
      <c r="O3390" t="s">
        <v>4936</v>
      </c>
      <c r="Q3390" t="str">
        <f t="shared" si="134"/>
        <v>condorProc.py --series 07180916_0226 --donoise --dumps a --procenv environments/pymidas_HVHV_NaI_mf.env</v>
      </c>
    </row>
    <row r="3391" spans="1:17">
      <c r="A3391" t="s">
        <v>8873</v>
      </c>
      <c r="G3391" s="225"/>
      <c r="H3391" s="210"/>
      <c r="K3391" s="180"/>
      <c r="M3391" t="s">
        <v>2246</v>
      </c>
      <c r="N3391" t="s">
        <v>5571</v>
      </c>
      <c r="O3391" t="s">
        <v>4936</v>
      </c>
      <c r="Q3391" t="str">
        <f t="shared" si="134"/>
        <v>condorProc.py --series 07180916_0237 --donoise --dumps a --procenv environments/pymidas_HVHV_NaI_mf.env</v>
      </c>
    </row>
    <row r="3392" spans="1:17">
      <c r="A3392" t="s">
        <v>8874</v>
      </c>
      <c r="G3392" s="225"/>
      <c r="H3392" s="210"/>
      <c r="K3392" s="180"/>
      <c r="M3392" t="s">
        <v>2246</v>
      </c>
      <c r="N3392" t="s">
        <v>5571</v>
      </c>
      <c r="O3392" t="s">
        <v>4936</v>
      </c>
      <c r="Q3392" t="str">
        <f t="shared" si="134"/>
        <v>condorProc.py --series 07180916_0247 --donoise --dumps a --procenv environments/pymidas_HVHV_NaI_mf.env</v>
      </c>
    </row>
    <row r="3393" spans="1:17">
      <c r="A3393" t="s">
        <v>8875</v>
      </c>
      <c r="G3393" s="225"/>
      <c r="H3393" s="210"/>
      <c r="K3393" s="180"/>
      <c r="M3393" t="s">
        <v>2246</v>
      </c>
      <c r="N3393" t="s">
        <v>5571</v>
      </c>
      <c r="O3393" t="s">
        <v>4936</v>
      </c>
      <c r="Q3393" t="str">
        <f t="shared" si="134"/>
        <v>condorProc.py --series 07180916_0257 --donoise --dumps a --procenv environments/pymidas_HVHV_NaI_mf.env</v>
      </c>
    </row>
    <row r="3394" spans="1:17">
      <c r="A3394" t="s">
        <v>8876</v>
      </c>
      <c r="F3394" s="65"/>
      <c r="G3394" s="226"/>
      <c r="H3394" s="211"/>
      <c r="I3394" s="65"/>
      <c r="J3394" s="65"/>
      <c r="K3394" s="182"/>
      <c r="M3394" t="s">
        <v>2246</v>
      </c>
      <c r="N3394" t="s">
        <v>5571</v>
      </c>
      <c r="O3394" t="s">
        <v>4936</v>
      </c>
      <c r="Q3394" t="str">
        <f t="shared" si="134"/>
        <v>condorProc.py --series 07180916_0307 --donoise --dumps a --procenv environments/pymidas_HVHV_NaI_mf.env</v>
      </c>
    </row>
    <row r="3395" spans="1:17">
      <c r="A3395" t="s">
        <v>8877</v>
      </c>
      <c r="F3395" s="177">
        <v>10</v>
      </c>
      <c r="G3395" s="224" t="s">
        <v>8641</v>
      </c>
      <c r="H3395" s="209">
        <v>-80</v>
      </c>
      <c r="I3395" s="177"/>
      <c r="J3395" s="177" t="s">
        <v>5577</v>
      </c>
      <c r="K3395" s="178" t="s">
        <v>5583</v>
      </c>
      <c r="M3395" t="s">
        <v>2246</v>
      </c>
      <c r="N3395" t="s">
        <v>5571</v>
      </c>
      <c r="O3395" t="s">
        <v>4936</v>
      </c>
      <c r="Q3395" t="str">
        <f t="shared" si="134"/>
        <v>condorProc.py --series 07180916_0402 --donoise --dumps a --procenv environments/pymidas_HVHV_NaI_mf.env</v>
      </c>
    </row>
    <row r="3396" spans="1:17">
      <c r="A3396" t="s">
        <v>8878</v>
      </c>
      <c r="G3396" s="225"/>
      <c r="H3396" s="210"/>
      <c r="J3396" t="s">
        <v>5585</v>
      </c>
      <c r="K3396" s="218" t="s">
        <v>5586</v>
      </c>
      <c r="M3396" t="s">
        <v>2246</v>
      </c>
      <c r="N3396" t="s">
        <v>5571</v>
      </c>
      <c r="O3396" t="s">
        <v>4936</v>
      </c>
      <c r="Q3396" t="str">
        <f t="shared" si="134"/>
        <v>condorProc.py --series 07180916_0412 --donoise --dumps a --procenv environments/pymidas_HVHV_NaI_mf.env</v>
      </c>
    </row>
    <row r="3397" spans="1:17">
      <c r="A3397" t="s">
        <v>8879</v>
      </c>
      <c r="G3397" s="225"/>
      <c r="H3397" s="210"/>
      <c r="K3397" s="219" t="s">
        <v>8388</v>
      </c>
      <c r="M3397" t="s">
        <v>2246</v>
      </c>
      <c r="N3397" t="s">
        <v>5571</v>
      </c>
      <c r="O3397" t="s">
        <v>4936</v>
      </c>
      <c r="Q3397" t="str">
        <f t="shared" si="134"/>
        <v>condorProc.py --series 07180916_0422 --donoise --dumps a --procenv environments/pymidas_HVHV_NaI_mf.env</v>
      </c>
    </row>
    <row r="3398" spans="1:17">
      <c r="A3398" t="s">
        <v>8880</v>
      </c>
      <c r="G3398" s="225"/>
      <c r="H3398" s="210"/>
      <c r="K3398" s="180"/>
      <c r="M3398" t="s">
        <v>2246</v>
      </c>
      <c r="N3398" t="s">
        <v>5571</v>
      </c>
      <c r="O3398" t="s">
        <v>4936</v>
      </c>
      <c r="Q3398" t="str">
        <f t="shared" si="134"/>
        <v>condorProc.py --series 07180916_0433 --donoise --dumps a --procenv environments/pymidas_HVHV_NaI_mf.env</v>
      </c>
    </row>
    <row r="3399" spans="1:17">
      <c r="A3399" t="s">
        <v>8881</v>
      </c>
      <c r="G3399" s="225"/>
      <c r="H3399" s="210"/>
      <c r="K3399" s="180"/>
      <c r="M3399" t="s">
        <v>2246</v>
      </c>
      <c r="N3399" t="s">
        <v>5571</v>
      </c>
      <c r="O3399" t="s">
        <v>4936</v>
      </c>
      <c r="Q3399" t="str">
        <f t="shared" si="134"/>
        <v>condorProc.py --series 07180916_0443 --donoise --dumps a --procenv environments/pymidas_HVHV_NaI_mf.env</v>
      </c>
    </row>
    <row r="3400" spans="1:17">
      <c r="A3400" t="s">
        <v>8882</v>
      </c>
      <c r="G3400" s="225"/>
      <c r="H3400" s="210"/>
      <c r="K3400" s="180"/>
      <c r="M3400" t="s">
        <v>2246</v>
      </c>
      <c r="N3400" t="s">
        <v>5571</v>
      </c>
      <c r="O3400" t="s">
        <v>4936</v>
      </c>
      <c r="Q3400" t="str">
        <f t="shared" si="134"/>
        <v>condorProc.py --series 07180916_0453 --donoise --dumps a --procenv environments/pymidas_HVHV_NaI_mf.env</v>
      </c>
    </row>
    <row r="3401" spans="1:17">
      <c r="A3401" t="s">
        <v>8883</v>
      </c>
      <c r="G3401" s="225"/>
      <c r="H3401" s="210"/>
      <c r="K3401" s="180"/>
      <c r="M3401" t="s">
        <v>2246</v>
      </c>
      <c r="N3401" t="s">
        <v>5571</v>
      </c>
      <c r="O3401" t="s">
        <v>4936</v>
      </c>
      <c r="Q3401" t="str">
        <f t="shared" si="134"/>
        <v>condorProc.py --series 07180916_0503 --donoise --dumps a --procenv environments/pymidas_HVHV_NaI_mf.env</v>
      </c>
    </row>
    <row r="3402" spans="1:17">
      <c r="A3402" t="s">
        <v>8884</v>
      </c>
      <c r="G3402" s="225"/>
      <c r="H3402" s="210"/>
      <c r="K3402" s="180"/>
      <c r="M3402" t="s">
        <v>2246</v>
      </c>
      <c r="N3402" t="s">
        <v>5571</v>
      </c>
      <c r="O3402" t="s">
        <v>4936</v>
      </c>
      <c r="Q3402" t="str">
        <f t="shared" si="134"/>
        <v>condorProc.py --series 07180916_0513 --donoise --dumps a --procenv environments/pymidas_HVHV_NaI_mf.env</v>
      </c>
    </row>
    <row r="3403" spans="1:17">
      <c r="A3403" t="s">
        <v>8885</v>
      </c>
      <c r="G3403" s="225"/>
      <c r="H3403" s="210"/>
      <c r="K3403" s="180"/>
      <c r="M3403" t="s">
        <v>2246</v>
      </c>
      <c r="N3403" t="s">
        <v>5571</v>
      </c>
      <c r="O3403" t="s">
        <v>4936</v>
      </c>
      <c r="Q3403" t="str">
        <f t="shared" si="134"/>
        <v>condorProc.py --series 07180916_0523 --donoise --dumps a --procenv environments/pymidas_HVHV_NaI_mf.env</v>
      </c>
    </row>
    <row r="3404" spans="1:17">
      <c r="A3404" t="s">
        <v>8886</v>
      </c>
      <c r="G3404" s="225"/>
      <c r="H3404" s="210"/>
      <c r="K3404" s="180"/>
      <c r="M3404" t="s">
        <v>2246</v>
      </c>
      <c r="N3404" t="s">
        <v>5571</v>
      </c>
      <c r="O3404" t="s">
        <v>4936</v>
      </c>
      <c r="Q3404" t="str">
        <f t="shared" si="134"/>
        <v>condorProc.py --series 07180916_0533 --donoise --dumps a --procenv environments/pymidas_HVHV_NaI_mf.env</v>
      </c>
    </row>
    <row r="3405" spans="1:17">
      <c r="A3405" t="s">
        <v>8887</v>
      </c>
      <c r="G3405" s="225"/>
      <c r="H3405" s="210"/>
      <c r="K3405" s="180"/>
      <c r="M3405" t="s">
        <v>2246</v>
      </c>
      <c r="N3405" t="s">
        <v>5571</v>
      </c>
      <c r="O3405" t="s">
        <v>4936</v>
      </c>
      <c r="Q3405" t="str">
        <f t="shared" si="134"/>
        <v>condorProc.py --series 07180916_0544 --donoise --dumps a --procenv environments/pymidas_HVHV_NaI_mf.env</v>
      </c>
    </row>
    <row r="3406" spans="1:17">
      <c r="A3406" t="s">
        <v>8888</v>
      </c>
      <c r="F3406" s="65"/>
      <c r="G3406" s="226"/>
      <c r="H3406" s="211"/>
      <c r="I3406" s="65"/>
      <c r="J3406" s="65"/>
      <c r="K3406" s="182"/>
      <c r="M3406" t="s">
        <v>2246</v>
      </c>
      <c r="N3406" t="s">
        <v>5571</v>
      </c>
      <c r="O3406" t="s">
        <v>4936</v>
      </c>
      <c r="Q3406" t="str">
        <f t="shared" si="134"/>
        <v>condorProc.py --series 07180916_0554 --donoise --dumps a --procenv environments/pymidas_HVHV_NaI_mf.env</v>
      </c>
    </row>
    <row r="3407" spans="1:17">
      <c r="A3407" t="s">
        <v>8889</v>
      </c>
      <c r="F3407" s="177">
        <v>10</v>
      </c>
      <c r="G3407" s="224" t="s">
        <v>8641</v>
      </c>
      <c r="H3407" s="209">
        <v>-80</v>
      </c>
      <c r="I3407" s="177"/>
      <c r="J3407" s="177" t="s">
        <v>5577</v>
      </c>
      <c r="K3407" s="178" t="s">
        <v>5583</v>
      </c>
      <c r="M3407" t="s">
        <v>2246</v>
      </c>
      <c r="N3407" t="s">
        <v>5571</v>
      </c>
      <c r="O3407" t="s">
        <v>4936</v>
      </c>
      <c r="Q3407" t="str">
        <f t="shared" si="134"/>
        <v>condorProc.py --series 07180916_0648 --donoise --dumps a --procenv environments/pymidas_HVHV_NaI_mf.env</v>
      </c>
    </row>
    <row r="3408" spans="1:17">
      <c r="A3408" t="s">
        <v>8890</v>
      </c>
      <c r="G3408" s="225"/>
      <c r="H3408" s="210"/>
      <c r="J3408" t="s">
        <v>5585</v>
      </c>
      <c r="K3408" s="218" t="s">
        <v>5586</v>
      </c>
      <c r="M3408" t="s">
        <v>2246</v>
      </c>
      <c r="N3408" t="s">
        <v>5571</v>
      </c>
      <c r="O3408" t="s">
        <v>4936</v>
      </c>
      <c r="Q3408" t="str">
        <f t="shared" si="134"/>
        <v>condorProc.py --series 07180916_0658 --donoise --dumps a --procenv environments/pymidas_HVHV_NaI_mf.env</v>
      </c>
    </row>
    <row r="3409" spans="1:17">
      <c r="A3409" t="s">
        <v>8891</v>
      </c>
      <c r="G3409" s="225"/>
      <c r="H3409" s="210"/>
      <c r="K3409" s="219" t="s">
        <v>8388</v>
      </c>
      <c r="M3409" t="s">
        <v>2246</v>
      </c>
      <c r="N3409" t="s">
        <v>5571</v>
      </c>
      <c r="O3409" t="s">
        <v>4936</v>
      </c>
      <c r="Q3409" t="str">
        <f t="shared" si="134"/>
        <v>condorProc.py --series 07180916_0709 --donoise --dumps a --procenv environments/pymidas_HVHV_NaI_mf.env</v>
      </c>
    </row>
    <row r="3410" spans="1:17">
      <c r="A3410" t="s">
        <v>8892</v>
      </c>
      <c r="G3410" s="225"/>
      <c r="H3410" s="210"/>
      <c r="K3410" s="180"/>
      <c r="M3410" t="s">
        <v>2246</v>
      </c>
      <c r="N3410" t="s">
        <v>5571</v>
      </c>
      <c r="O3410" t="s">
        <v>4936</v>
      </c>
      <c r="Q3410" t="str">
        <f t="shared" si="134"/>
        <v>condorProc.py --series 07180916_0719 --donoise --dumps a --procenv environments/pymidas_HVHV_NaI_mf.env</v>
      </c>
    </row>
    <row r="3411" spans="1:17">
      <c r="A3411" t="s">
        <v>8893</v>
      </c>
      <c r="G3411" s="225"/>
      <c r="H3411" s="210"/>
      <c r="K3411" s="180"/>
      <c r="M3411" t="s">
        <v>2246</v>
      </c>
      <c r="N3411" t="s">
        <v>5571</v>
      </c>
      <c r="O3411" t="s">
        <v>4936</v>
      </c>
      <c r="Q3411" t="str">
        <f t="shared" si="134"/>
        <v>condorProc.py --series 07180916_0729 --donoise --dumps a --procenv environments/pymidas_HVHV_NaI_mf.env</v>
      </c>
    </row>
    <row r="3412" spans="1:17">
      <c r="A3412" t="s">
        <v>8894</v>
      </c>
      <c r="G3412" s="225"/>
      <c r="H3412" s="210"/>
      <c r="K3412" s="180"/>
      <c r="M3412" t="s">
        <v>2246</v>
      </c>
      <c r="N3412" t="s">
        <v>5571</v>
      </c>
      <c r="O3412" t="s">
        <v>4936</v>
      </c>
      <c r="Q3412" t="str">
        <f t="shared" si="134"/>
        <v>condorProc.py --series 07180916_0739 --donoise --dumps a --procenv environments/pymidas_HVHV_NaI_mf.env</v>
      </c>
    </row>
    <row r="3413" spans="1:17">
      <c r="A3413" t="s">
        <v>8895</v>
      </c>
      <c r="G3413" s="225"/>
      <c r="H3413" s="210"/>
      <c r="K3413" s="180"/>
      <c r="M3413" t="s">
        <v>2246</v>
      </c>
      <c r="N3413" t="s">
        <v>5571</v>
      </c>
      <c r="O3413" t="s">
        <v>4936</v>
      </c>
      <c r="Q3413" t="str">
        <f t="shared" si="134"/>
        <v>condorProc.py --series 07180916_0749 --donoise --dumps a --procenv environments/pymidas_HVHV_NaI_mf.env</v>
      </c>
    </row>
    <row r="3414" spans="1:17">
      <c r="A3414" t="s">
        <v>8896</v>
      </c>
      <c r="G3414" s="225"/>
      <c r="H3414" s="210"/>
      <c r="K3414" s="180"/>
      <c r="M3414" t="s">
        <v>2246</v>
      </c>
      <c r="N3414" t="s">
        <v>5571</v>
      </c>
      <c r="O3414" t="s">
        <v>4936</v>
      </c>
      <c r="Q3414" t="str">
        <f t="shared" si="134"/>
        <v>condorProc.py --series 07180916_0759 --donoise --dumps a --procenv environments/pymidas_HVHV_NaI_mf.env</v>
      </c>
    </row>
    <row r="3415" spans="1:17">
      <c r="A3415" t="s">
        <v>8897</v>
      </c>
      <c r="G3415" s="225"/>
      <c r="H3415" s="210"/>
      <c r="K3415" s="180"/>
      <c r="M3415" t="s">
        <v>2246</v>
      </c>
      <c r="N3415" t="s">
        <v>5571</v>
      </c>
      <c r="O3415" t="s">
        <v>4936</v>
      </c>
      <c r="Q3415" t="str">
        <f t="shared" si="134"/>
        <v>condorProc.py --series 07180916_0809 --donoise --dumps a --procenv environments/pymidas_HVHV_NaI_mf.env</v>
      </c>
    </row>
    <row r="3416" spans="1:17">
      <c r="A3416" t="s">
        <v>8898</v>
      </c>
      <c r="G3416" s="225"/>
      <c r="H3416" s="210"/>
      <c r="K3416" s="180"/>
      <c r="M3416" t="s">
        <v>2246</v>
      </c>
      <c r="N3416" t="s">
        <v>5571</v>
      </c>
      <c r="O3416" t="s">
        <v>4936</v>
      </c>
      <c r="Q3416" t="str">
        <f t="shared" si="134"/>
        <v>condorProc.py --series 07180916_0820 --donoise --dumps a --procenv environments/pymidas_HVHV_NaI_mf.env</v>
      </c>
    </row>
    <row r="3417" spans="1:17">
      <c r="A3417" t="s">
        <v>8899</v>
      </c>
      <c r="G3417" s="225"/>
      <c r="H3417" s="210"/>
      <c r="I3417" t="s">
        <v>75</v>
      </c>
      <c r="K3417" s="180"/>
      <c r="M3417" t="s">
        <v>2246</v>
      </c>
      <c r="N3417" t="s">
        <v>5571</v>
      </c>
      <c r="O3417" t="s">
        <v>4936</v>
      </c>
      <c r="Q3417" t="str">
        <f t="shared" si="134"/>
        <v>condorProc.py --series 07180916_0830 --donoise --dumps a --procenv environments/pymidas_HVHV_NaI_mf.env</v>
      </c>
    </row>
    <row r="3418" spans="1:17">
      <c r="A3418" t="s">
        <v>8900</v>
      </c>
      <c r="F3418" s="65"/>
      <c r="G3418" s="226"/>
      <c r="H3418" s="211"/>
      <c r="I3418" s="65"/>
      <c r="J3418" s="65"/>
      <c r="K3418" s="182"/>
      <c r="M3418" t="s">
        <v>2246</v>
      </c>
      <c r="N3418" t="s">
        <v>5571</v>
      </c>
      <c r="O3418" t="s">
        <v>4936</v>
      </c>
      <c r="Q3418" t="str">
        <f t="shared" si="134"/>
        <v>condorProc.py --series 07180916_0840 --donoise --dumps a --procenv environments/pymidas_HVHV_NaI_mf.env</v>
      </c>
    </row>
    <row r="3419" spans="1:17">
      <c r="A3419" t="s">
        <v>8901</v>
      </c>
      <c r="F3419" s="177">
        <v>10</v>
      </c>
      <c r="G3419" s="224" t="s">
        <v>8641</v>
      </c>
      <c r="H3419" s="209">
        <v>-80</v>
      </c>
      <c r="I3419" s="177"/>
      <c r="J3419" s="177" t="s">
        <v>5577</v>
      </c>
      <c r="K3419" s="178" t="s">
        <v>5583</v>
      </c>
      <c r="M3419" t="s">
        <v>2246</v>
      </c>
      <c r="N3419" t="s">
        <v>5571</v>
      </c>
      <c r="O3419" t="s">
        <v>4936</v>
      </c>
      <c r="Q3419" t="str">
        <f t="shared" si="134"/>
        <v>condorProc.py --series 07180916_0933 --donoise --dumps a --procenv environments/pymidas_HVHV_NaI_mf.env</v>
      </c>
    </row>
    <row r="3420" spans="1:17">
      <c r="A3420" t="s">
        <v>8902</v>
      </c>
      <c r="G3420" s="225"/>
      <c r="H3420" s="210"/>
      <c r="J3420" t="s">
        <v>5585</v>
      </c>
      <c r="K3420" s="218" t="s">
        <v>5586</v>
      </c>
      <c r="M3420" t="s">
        <v>2246</v>
      </c>
      <c r="N3420" t="s">
        <v>5571</v>
      </c>
      <c r="O3420" t="s">
        <v>4936</v>
      </c>
      <c r="Q3420" t="str">
        <f t="shared" si="134"/>
        <v>condorProc.py --series 07180916_0944 --donoise --dumps a --procenv environments/pymidas_HVHV_NaI_mf.env</v>
      </c>
    </row>
    <row r="3421" spans="1:17">
      <c r="A3421" t="s">
        <v>8903</v>
      </c>
      <c r="G3421" s="225"/>
      <c r="H3421" s="210"/>
      <c r="K3421" s="219" t="s">
        <v>8388</v>
      </c>
      <c r="M3421" t="s">
        <v>2246</v>
      </c>
      <c r="N3421" t="s">
        <v>5571</v>
      </c>
      <c r="O3421" t="s">
        <v>4936</v>
      </c>
      <c r="Q3421" t="str">
        <f t="shared" si="134"/>
        <v>condorProc.py --series 07180916_0954 --donoise --dumps a --procenv environments/pymidas_HVHV_NaI_mf.env</v>
      </c>
    </row>
    <row r="3422" spans="1:17">
      <c r="A3422" t="s">
        <v>8904</v>
      </c>
      <c r="G3422" s="225"/>
      <c r="H3422" s="210"/>
      <c r="K3422" s="180"/>
      <c r="M3422" t="s">
        <v>2246</v>
      </c>
      <c r="N3422" t="s">
        <v>5571</v>
      </c>
      <c r="O3422" t="s">
        <v>4936</v>
      </c>
      <c r="Q3422" t="str">
        <f t="shared" si="134"/>
        <v>condorProc.py --series 07180916_1004 --donoise --dumps a --procenv environments/pymidas_HVHV_NaI_mf.env</v>
      </c>
    </row>
    <row r="3423" spans="1:17">
      <c r="A3423" t="s">
        <v>8905</v>
      </c>
      <c r="G3423" s="225"/>
      <c r="H3423" s="210"/>
      <c r="K3423" s="180"/>
      <c r="M3423" t="s">
        <v>2246</v>
      </c>
      <c r="N3423" t="s">
        <v>5571</v>
      </c>
      <c r="O3423" t="s">
        <v>4936</v>
      </c>
      <c r="Q3423" t="str">
        <f t="shared" si="134"/>
        <v>condorProc.py --series 07180916_1014 --donoise --dumps a --procenv environments/pymidas_HVHV_NaI_mf.env</v>
      </c>
    </row>
    <row r="3424" spans="1:17">
      <c r="A3424" t="s">
        <v>8906</v>
      </c>
      <c r="G3424" s="225"/>
      <c r="H3424" s="210"/>
      <c r="K3424" s="180"/>
      <c r="M3424" t="s">
        <v>2246</v>
      </c>
      <c r="N3424" t="s">
        <v>5571</v>
      </c>
      <c r="O3424" t="s">
        <v>4936</v>
      </c>
      <c r="Q3424" t="str">
        <f t="shared" si="134"/>
        <v>condorProc.py --series 07180916_1024 --donoise --dumps a --procenv environments/pymidas_HVHV_NaI_mf.env</v>
      </c>
    </row>
    <row r="3425" spans="1:17">
      <c r="A3425" t="s">
        <v>8907</v>
      </c>
      <c r="G3425" s="225"/>
      <c r="H3425" s="210"/>
      <c r="K3425" s="180"/>
      <c r="M3425" t="s">
        <v>2246</v>
      </c>
      <c r="N3425" t="s">
        <v>5571</v>
      </c>
      <c r="O3425" t="s">
        <v>4936</v>
      </c>
      <c r="Q3425" t="str">
        <f t="shared" ref="Q3425:Q3488" si="135">"condorProc.py --series "&amp;A3425&amp;" --donoise --dumps a --procenv environments/pymidas_HVHV_NaI_mf.env"</f>
        <v>condorProc.py --series 07180916_1034 --donoise --dumps a --procenv environments/pymidas_HVHV_NaI_mf.env</v>
      </c>
    </row>
    <row r="3426" spans="1:17">
      <c r="A3426" t="s">
        <v>8908</v>
      </c>
      <c r="G3426" s="225"/>
      <c r="H3426" s="210"/>
      <c r="K3426" s="180"/>
      <c r="M3426" t="s">
        <v>2246</v>
      </c>
      <c r="N3426" t="s">
        <v>5571</v>
      </c>
      <c r="O3426" t="s">
        <v>4936</v>
      </c>
      <c r="Q3426" t="str">
        <f t="shared" si="135"/>
        <v>condorProc.py --series 07180916_1044 --donoise --dumps a --procenv environments/pymidas_HVHV_NaI_mf.env</v>
      </c>
    </row>
    <row r="3427" spans="1:17">
      <c r="A3427" t="s">
        <v>8909</v>
      </c>
      <c r="G3427" s="225"/>
      <c r="H3427" s="210"/>
      <c r="K3427" s="180"/>
      <c r="M3427" t="s">
        <v>2246</v>
      </c>
      <c r="N3427" t="s">
        <v>5571</v>
      </c>
      <c r="O3427" t="s">
        <v>4936</v>
      </c>
      <c r="Q3427" t="str">
        <f t="shared" si="135"/>
        <v>condorProc.py --series 07180916_1054 --donoise --dumps a --procenv environments/pymidas_HVHV_NaI_mf.env</v>
      </c>
    </row>
    <row r="3428" spans="1:17">
      <c r="A3428" t="s">
        <v>8910</v>
      </c>
      <c r="G3428" s="225"/>
      <c r="H3428" s="210"/>
      <c r="K3428" s="180"/>
      <c r="M3428" t="s">
        <v>2246</v>
      </c>
      <c r="N3428" t="s">
        <v>5571</v>
      </c>
      <c r="O3428" t="s">
        <v>4936</v>
      </c>
      <c r="Q3428" t="str">
        <f t="shared" si="135"/>
        <v>condorProc.py --series 07180916_1104 --donoise --dumps a --procenv environments/pymidas_HVHV_NaI_mf.env</v>
      </c>
    </row>
    <row r="3429" spans="1:17">
      <c r="A3429" t="s">
        <v>8911</v>
      </c>
      <c r="G3429" s="225"/>
      <c r="H3429" s="210"/>
      <c r="K3429" s="180"/>
      <c r="M3429" t="s">
        <v>2246</v>
      </c>
      <c r="N3429" t="s">
        <v>5571</v>
      </c>
      <c r="O3429" t="s">
        <v>4936</v>
      </c>
      <c r="Q3429" t="str">
        <f t="shared" si="135"/>
        <v>condorProc.py --series 07180916_1114 --donoise --dumps a --procenv environments/pymidas_HVHV_NaI_mf.env</v>
      </c>
    </row>
    <row r="3430" spans="1:17">
      <c r="A3430" t="s">
        <v>8912</v>
      </c>
      <c r="G3430" s="225"/>
      <c r="H3430" s="210"/>
      <c r="K3430" s="180"/>
      <c r="M3430" t="s">
        <v>2246</v>
      </c>
      <c r="N3430" t="s">
        <v>5571</v>
      </c>
      <c r="O3430" t="s">
        <v>4936</v>
      </c>
      <c r="Q3430" t="str">
        <f t="shared" si="135"/>
        <v>condorProc.py --series 07180916_1124 --donoise --dumps a --procenv environments/pymidas_HVHV_NaI_mf.env</v>
      </c>
    </row>
    <row r="3431" spans="1:17">
      <c r="A3431" s="176" t="s">
        <v>8913</v>
      </c>
      <c r="B3431" s="177"/>
      <c r="C3431" s="177"/>
      <c r="D3431" s="177"/>
      <c r="E3431" s="177"/>
      <c r="F3431" s="177">
        <v>10</v>
      </c>
      <c r="G3431" s="224" t="s">
        <v>8641</v>
      </c>
      <c r="H3431" s="209">
        <v>-80</v>
      </c>
      <c r="I3431" s="177"/>
      <c r="J3431" s="177" t="s">
        <v>5577</v>
      </c>
      <c r="K3431" s="178" t="s">
        <v>5583</v>
      </c>
      <c r="M3431" t="s">
        <v>2246</v>
      </c>
      <c r="N3431" t="s">
        <v>5571</v>
      </c>
      <c r="O3431" t="s">
        <v>4936</v>
      </c>
      <c r="Q3431" t="str">
        <f t="shared" si="135"/>
        <v>condorProc.py --series 07180916_1216 --donoise --dumps a --procenv environments/pymidas_HVHV_NaI_mf.env</v>
      </c>
    </row>
    <row r="3432" spans="1:17">
      <c r="A3432" s="179" t="s">
        <v>8914</v>
      </c>
      <c r="G3432" s="225"/>
      <c r="H3432" s="210"/>
      <c r="J3432" t="s">
        <v>5585</v>
      </c>
      <c r="K3432" s="218" t="s">
        <v>5586</v>
      </c>
      <c r="M3432" t="s">
        <v>2246</v>
      </c>
      <c r="N3432" t="s">
        <v>5571</v>
      </c>
      <c r="O3432" t="s">
        <v>4936</v>
      </c>
      <c r="Q3432" t="str">
        <f t="shared" si="135"/>
        <v>condorProc.py --series 07180916_1227 --donoise --dumps a --procenv environments/pymidas_HVHV_NaI_mf.env</v>
      </c>
    </row>
    <row r="3433" spans="1:17">
      <c r="A3433" s="179" t="s">
        <v>8915</v>
      </c>
      <c r="G3433" s="225"/>
      <c r="H3433" s="210"/>
      <c r="K3433" s="219" t="s">
        <v>8388</v>
      </c>
      <c r="M3433" t="s">
        <v>2246</v>
      </c>
      <c r="N3433" t="s">
        <v>5571</v>
      </c>
      <c r="O3433" t="s">
        <v>4936</v>
      </c>
      <c r="Q3433" t="str">
        <f t="shared" si="135"/>
        <v>condorProc.py --series 07180916_1237 --donoise --dumps a --procenv environments/pymidas_HVHV_NaI_mf.env</v>
      </c>
    </row>
    <row r="3434" spans="1:17">
      <c r="A3434" s="179" t="s">
        <v>8916</v>
      </c>
      <c r="G3434" s="225"/>
      <c r="H3434" s="210"/>
      <c r="I3434" t="s">
        <v>75</v>
      </c>
      <c r="K3434" s="180"/>
      <c r="M3434" t="s">
        <v>2246</v>
      </c>
      <c r="N3434" t="s">
        <v>5571</v>
      </c>
      <c r="O3434" t="s">
        <v>4936</v>
      </c>
      <c r="Q3434" t="str">
        <f t="shared" si="135"/>
        <v>condorProc.py --series 07180916_1247 --donoise --dumps a --procenv environments/pymidas_HVHV_NaI_mf.env</v>
      </c>
    </row>
    <row r="3435" spans="1:17">
      <c r="A3435" s="179" t="s">
        <v>8917</v>
      </c>
      <c r="G3435" s="225"/>
      <c r="H3435" s="210"/>
      <c r="I3435" t="s">
        <v>75</v>
      </c>
      <c r="K3435" s="180"/>
      <c r="M3435" t="s">
        <v>2246</v>
      </c>
      <c r="N3435" t="s">
        <v>5571</v>
      </c>
      <c r="O3435" t="s">
        <v>4936</v>
      </c>
      <c r="Q3435" t="str">
        <f t="shared" si="135"/>
        <v>condorProc.py --series 07180916_1257 --donoise --dumps a --procenv environments/pymidas_HVHV_NaI_mf.env</v>
      </c>
    </row>
    <row r="3436" spans="1:17">
      <c r="A3436" s="176" t="s">
        <v>8918</v>
      </c>
      <c r="B3436" s="177"/>
      <c r="C3436" s="177"/>
      <c r="D3436" s="177"/>
      <c r="E3436" s="177"/>
      <c r="F3436" s="177">
        <v>10</v>
      </c>
      <c r="G3436" s="224" t="s">
        <v>8641</v>
      </c>
      <c r="H3436" s="209">
        <v>-80</v>
      </c>
      <c r="I3436" s="177"/>
      <c r="J3436" s="177" t="s">
        <v>5577</v>
      </c>
      <c r="K3436" s="178" t="s">
        <v>5583</v>
      </c>
      <c r="M3436" t="s">
        <v>2246</v>
      </c>
      <c r="N3436" t="s">
        <v>5571</v>
      </c>
      <c r="O3436" t="s">
        <v>4936</v>
      </c>
      <c r="Q3436" t="str">
        <f t="shared" si="135"/>
        <v>condorProc.py --series 07180916_1430 --donoise --dumps a --procenv environments/pymidas_HVHV_NaI_mf.env</v>
      </c>
    </row>
    <row r="3437" spans="1:17">
      <c r="A3437" s="179" t="s">
        <v>8919</v>
      </c>
      <c r="G3437" s="225"/>
      <c r="H3437" s="210"/>
      <c r="J3437" t="s">
        <v>5585</v>
      </c>
      <c r="K3437" s="218" t="s">
        <v>5586</v>
      </c>
      <c r="M3437" t="s">
        <v>2246</v>
      </c>
      <c r="N3437" t="s">
        <v>5571</v>
      </c>
      <c r="O3437" t="s">
        <v>4936</v>
      </c>
      <c r="Q3437" t="str">
        <f t="shared" si="135"/>
        <v>condorProc.py --series 07180916_1441 --donoise --dumps a --procenv environments/pymidas_HVHV_NaI_mf.env</v>
      </c>
    </row>
    <row r="3438" spans="1:17">
      <c r="A3438" s="179" t="s">
        <v>8920</v>
      </c>
      <c r="G3438" s="225"/>
      <c r="H3438" s="210"/>
      <c r="K3438" s="219" t="s">
        <v>8388</v>
      </c>
      <c r="M3438" t="s">
        <v>2246</v>
      </c>
      <c r="N3438" t="s">
        <v>5571</v>
      </c>
      <c r="O3438" t="s">
        <v>4936</v>
      </c>
      <c r="Q3438" t="str">
        <f t="shared" si="135"/>
        <v>condorProc.py --series 07180916_1451 --donoise --dumps a --procenv environments/pymidas_HVHV_NaI_mf.env</v>
      </c>
    </row>
    <row r="3439" spans="1:17">
      <c r="A3439" s="179" t="s">
        <v>8921</v>
      </c>
      <c r="G3439" s="225"/>
      <c r="H3439" s="210"/>
      <c r="K3439" s="180"/>
      <c r="M3439" t="s">
        <v>2246</v>
      </c>
      <c r="N3439" t="s">
        <v>5571</v>
      </c>
      <c r="O3439" t="s">
        <v>4936</v>
      </c>
      <c r="Q3439" t="str">
        <f t="shared" si="135"/>
        <v>condorProc.py --series 07180916_1501 --donoise --dumps a --procenv environments/pymidas_HVHV_NaI_mf.env</v>
      </c>
    </row>
    <row r="3440" spans="1:17">
      <c r="A3440" s="179" t="s">
        <v>8922</v>
      </c>
      <c r="G3440" s="225"/>
      <c r="H3440" s="210"/>
      <c r="K3440" s="180"/>
      <c r="M3440" t="s">
        <v>2246</v>
      </c>
      <c r="N3440" t="s">
        <v>5571</v>
      </c>
      <c r="O3440" t="s">
        <v>4936</v>
      </c>
      <c r="Q3440" t="str">
        <f t="shared" si="135"/>
        <v>condorProc.py --series 07180916_1511 --donoise --dumps a --procenv environments/pymidas_HVHV_NaI_mf.env</v>
      </c>
    </row>
    <row r="3441" spans="1:17">
      <c r="A3441" s="179" t="s">
        <v>8923</v>
      </c>
      <c r="G3441" s="225"/>
      <c r="H3441" s="210"/>
      <c r="K3441" s="180"/>
      <c r="M3441" t="s">
        <v>2246</v>
      </c>
      <c r="N3441" t="s">
        <v>5571</v>
      </c>
      <c r="O3441" t="s">
        <v>4936</v>
      </c>
      <c r="Q3441" t="str">
        <f t="shared" si="135"/>
        <v>condorProc.py --series 07180916_1521 --donoise --dumps a --procenv environments/pymidas_HVHV_NaI_mf.env</v>
      </c>
    </row>
    <row r="3442" spans="1:17">
      <c r="A3442" s="179" t="s">
        <v>8924</v>
      </c>
      <c r="G3442" s="225"/>
      <c r="H3442" s="210"/>
      <c r="K3442" s="180"/>
      <c r="M3442" t="s">
        <v>2246</v>
      </c>
      <c r="N3442" t="s">
        <v>5571</v>
      </c>
      <c r="O3442" t="s">
        <v>4936</v>
      </c>
      <c r="Q3442" t="str">
        <f t="shared" si="135"/>
        <v>condorProc.py --series 07180916_1531 --donoise --dumps a --procenv environments/pymidas_HVHV_NaI_mf.env</v>
      </c>
    </row>
    <row r="3443" spans="1:17">
      <c r="A3443" s="179" t="s">
        <v>8925</v>
      </c>
      <c r="G3443" s="225"/>
      <c r="H3443" s="210"/>
      <c r="K3443" s="180"/>
      <c r="M3443" t="s">
        <v>2246</v>
      </c>
      <c r="N3443" t="s">
        <v>5571</v>
      </c>
      <c r="O3443" t="s">
        <v>4936</v>
      </c>
      <c r="Q3443" t="str">
        <f t="shared" si="135"/>
        <v>condorProc.py --series 07180916_1541 --donoise --dumps a --procenv environments/pymidas_HVHV_NaI_mf.env</v>
      </c>
    </row>
    <row r="3444" spans="1:17">
      <c r="A3444" s="179" t="s">
        <v>8926</v>
      </c>
      <c r="G3444" s="225"/>
      <c r="H3444" s="210"/>
      <c r="K3444" s="180"/>
      <c r="M3444" t="s">
        <v>2246</v>
      </c>
      <c r="N3444" t="s">
        <v>5571</v>
      </c>
      <c r="O3444" t="s">
        <v>4936</v>
      </c>
      <c r="Q3444" t="str">
        <f t="shared" si="135"/>
        <v>condorProc.py --series 07180916_1551 --donoise --dumps a --procenv environments/pymidas_HVHV_NaI_mf.env</v>
      </c>
    </row>
    <row r="3445" spans="1:17">
      <c r="A3445" s="179" t="s">
        <v>8927</v>
      </c>
      <c r="G3445" s="225"/>
      <c r="H3445" s="210"/>
      <c r="K3445" s="180"/>
      <c r="M3445" t="s">
        <v>2246</v>
      </c>
      <c r="N3445" t="s">
        <v>5571</v>
      </c>
      <c r="O3445" t="s">
        <v>4936</v>
      </c>
      <c r="Q3445" t="str">
        <f t="shared" si="135"/>
        <v>condorProc.py --series 07180916_1602 --donoise --dumps a --procenv environments/pymidas_HVHV_NaI_mf.env</v>
      </c>
    </row>
    <row r="3446" spans="1:17">
      <c r="A3446" s="179" t="s">
        <v>8928</v>
      </c>
      <c r="G3446" s="225"/>
      <c r="H3446" s="210"/>
      <c r="K3446" s="180"/>
      <c r="M3446" t="s">
        <v>2246</v>
      </c>
      <c r="N3446" t="s">
        <v>5571</v>
      </c>
      <c r="O3446" t="s">
        <v>4936</v>
      </c>
      <c r="Q3446" t="str">
        <f t="shared" si="135"/>
        <v>condorProc.py --series 07180916_1612 --donoise --dumps a --procenv environments/pymidas_HVHV_NaI_mf.env</v>
      </c>
    </row>
    <row r="3447" spans="1:17">
      <c r="A3447" s="181" t="s">
        <v>8929</v>
      </c>
      <c r="B3447" s="65"/>
      <c r="C3447" s="65"/>
      <c r="D3447" s="65"/>
      <c r="E3447" s="65"/>
      <c r="F3447" s="65"/>
      <c r="G3447" s="226"/>
      <c r="H3447" s="211"/>
      <c r="I3447" s="65" t="s">
        <v>75</v>
      </c>
      <c r="J3447" s="65"/>
      <c r="K3447" s="182"/>
      <c r="M3447" t="s">
        <v>2246</v>
      </c>
      <c r="N3447" t="s">
        <v>5571</v>
      </c>
      <c r="O3447" t="s">
        <v>4936</v>
      </c>
      <c r="Q3447" t="str">
        <f t="shared" si="135"/>
        <v>condorProc.py --series 07180916_1622 --donoise --dumps a --procenv environments/pymidas_HVHV_NaI_mf.env</v>
      </c>
    </row>
    <row r="3448" spans="1:17">
      <c r="A3448" t="s">
        <v>8930</v>
      </c>
      <c r="F3448" s="177">
        <v>10</v>
      </c>
      <c r="G3448" s="224" t="s">
        <v>8641</v>
      </c>
      <c r="H3448" s="209">
        <v>-80</v>
      </c>
      <c r="I3448" s="177"/>
      <c r="J3448" s="177" t="s">
        <v>5577</v>
      </c>
      <c r="K3448" s="178" t="s">
        <v>5583</v>
      </c>
      <c r="M3448" t="s">
        <v>2246</v>
      </c>
      <c r="N3448" t="s">
        <v>5571</v>
      </c>
      <c r="O3448" t="s">
        <v>4936</v>
      </c>
      <c r="Q3448" t="str">
        <f t="shared" si="135"/>
        <v>condorProc.py --series 07180916_1716 --donoise --dumps a --procenv environments/pymidas_HVHV_NaI_mf.env</v>
      </c>
    </row>
    <row r="3449" spans="1:17">
      <c r="A3449" t="s">
        <v>8931</v>
      </c>
      <c r="G3449" s="225"/>
      <c r="H3449" s="210"/>
      <c r="J3449" t="s">
        <v>5585</v>
      </c>
      <c r="K3449" s="218" t="s">
        <v>5586</v>
      </c>
      <c r="M3449" t="s">
        <v>2246</v>
      </c>
      <c r="N3449" t="s">
        <v>5571</v>
      </c>
      <c r="O3449" t="s">
        <v>4936</v>
      </c>
      <c r="Q3449" t="str">
        <f t="shared" si="135"/>
        <v>condorProc.py --series 07180916_1726 --donoise --dumps a --procenv environments/pymidas_HVHV_NaI_mf.env</v>
      </c>
    </row>
    <row r="3450" spans="1:17">
      <c r="A3450" t="s">
        <v>8932</v>
      </c>
      <c r="G3450" s="225"/>
      <c r="H3450" s="210"/>
      <c r="K3450" s="219" t="s">
        <v>8388</v>
      </c>
      <c r="M3450" t="s">
        <v>2246</v>
      </c>
      <c r="N3450" t="s">
        <v>5571</v>
      </c>
      <c r="O3450" t="s">
        <v>4936</v>
      </c>
      <c r="Q3450" t="str">
        <f t="shared" si="135"/>
        <v>condorProc.py --series 07180916_1736 --donoise --dumps a --procenv environments/pymidas_HVHV_NaI_mf.env</v>
      </c>
    </row>
    <row r="3451" spans="1:17">
      <c r="A3451" t="s">
        <v>8933</v>
      </c>
      <c r="G3451" s="225"/>
      <c r="H3451" s="210"/>
      <c r="K3451" s="180"/>
      <c r="M3451" t="s">
        <v>2246</v>
      </c>
      <c r="N3451" t="s">
        <v>5571</v>
      </c>
      <c r="O3451" t="s">
        <v>4936</v>
      </c>
      <c r="Q3451" t="str">
        <f t="shared" si="135"/>
        <v>condorProc.py --series 07180916_1746 --donoise --dumps a --procenv environments/pymidas_HVHV_NaI_mf.env</v>
      </c>
    </row>
    <row r="3452" spans="1:17">
      <c r="A3452" t="s">
        <v>8934</v>
      </c>
      <c r="G3452" s="225"/>
      <c r="H3452" s="210"/>
      <c r="K3452" s="180"/>
      <c r="M3452" t="s">
        <v>2246</v>
      </c>
      <c r="N3452" t="s">
        <v>5571</v>
      </c>
      <c r="O3452" t="s">
        <v>4936</v>
      </c>
      <c r="Q3452" t="str">
        <f t="shared" si="135"/>
        <v>condorProc.py --series 07180916_1756 --donoise --dumps a --procenv environments/pymidas_HVHV_NaI_mf.env</v>
      </c>
    </row>
    <row r="3453" spans="1:17">
      <c r="A3453" t="s">
        <v>8935</v>
      </c>
      <c r="G3453" s="225"/>
      <c r="H3453" s="210"/>
      <c r="K3453" s="180"/>
      <c r="M3453" t="s">
        <v>2246</v>
      </c>
      <c r="N3453" t="s">
        <v>5571</v>
      </c>
      <c r="O3453" t="s">
        <v>4936</v>
      </c>
      <c r="Q3453" t="str">
        <f t="shared" si="135"/>
        <v>condorProc.py --series 07180916_1806 --donoise --dumps a --procenv environments/pymidas_HVHV_NaI_mf.env</v>
      </c>
    </row>
    <row r="3454" spans="1:17">
      <c r="A3454" t="s">
        <v>8936</v>
      </c>
      <c r="G3454" s="225"/>
      <c r="H3454" s="210"/>
      <c r="K3454" s="180"/>
      <c r="M3454" t="s">
        <v>2246</v>
      </c>
      <c r="N3454" t="s">
        <v>5571</v>
      </c>
      <c r="O3454" t="s">
        <v>4936</v>
      </c>
      <c r="Q3454" t="str">
        <f t="shared" si="135"/>
        <v>condorProc.py --series 07180916_1816 --donoise --dumps a --procenv environments/pymidas_HVHV_NaI_mf.env</v>
      </c>
    </row>
    <row r="3455" spans="1:17">
      <c r="A3455" t="s">
        <v>8937</v>
      </c>
      <c r="G3455" s="225"/>
      <c r="H3455" s="210"/>
      <c r="K3455" s="180"/>
      <c r="M3455" t="s">
        <v>2246</v>
      </c>
      <c r="N3455" t="s">
        <v>5571</v>
      </c>
      <c r="O3455" t="s">
        <v>4936</v>
      </c>
      <c r="Q3455" t="str">
        <f t="shared" si="135"/>
        <v>condorProc.py --series 07180916_1827 --donoise --dumps a --procenv environments/pymidas_HVHV_NaI_mf.env</v>
      </c>
    </row>
    <row r="3456" spans="1:17">
      <c r="A3456" t="s">
        <v>8938</v>
      </c>
      <c r="G3456" s="225"/>
      <c r="H3456" s="210"/>
      <c r="K3456" s="180"/>
      <c r="M3456" t="s">
        <v>2246</v>
      </c>
      <c r="N3456" t="s">
        <v>5571</v>
      </c>
      <c r="O3456" t="s">
        <v>4936</v>
      </c>
      <c r="Q3456" t="str">
        <f t="shared" si="135"/>
        <v>condorProc.py --series 07180916_1837 --donoise --dumps a --procenv environments/pymidas_HVHV_NaI_mf.env</v>
      </c>
    </row>
    <row r="3457" spans="1:17">
      <c r="A3457" t="s">
        <v>8939</v>
      </c>
      <c r="G3457" s="225"/>
      <c r="H3457" s="210"/>
      <c r="K3457" s="180"/>
      <c r="M3457" t="s">
        <v>2246</v>
      </c>
      <c r="N3457" t="s">
        <v>5571</v>
      </c>
      <c r="O3457" t="s">
        <v>4936</v>
      </c>
      <c r="Q3457" t="str">
        <f t="shared" si="135"/>
        <v>condorProc.py --series 07180916_1847 --donoise --dumps a --procenv environments/pymidas_HVHV_NaI_mf.env</v>
      </c>
    </row>
    <row r="3458" spans="1:17">
      <c r="A3458" t="s">
        <v>8940</v>
      </c>
      <c r="G3458" s="225"/>
      <c r="H3458" s="210"/>
      <c r="K3458" s="180"/>
      <c r="M3458" t="s">
        <v>2246</v>
      </c>
      <c r="N3458" t="s">
        <v>5571</v>
      </c>
      <c r="O3458" t="s">
        <v>4936</v>
      </c>
      <c r="Q3458" t="str">
        <f t="shared" si="135"/>
        <v>condorProc.py --series 07180916_1857 --donoise --dumps a --procenv environments/pymidas_HVHV_NaI_mf.env</v>
      </c>
    </row>
    <row r="3459" spans="1:17">
      <c r="A3459" t="s">
        <v>8941</v>
      </c>
      <c r="F3459" s="65"/>
      <c r="G3459" s="226"/>
      <c r="H3459" s="211"/>
      <c r="I3459" s="65" t="s">
        <v>75</v>
      </c>
      <c r="J3459" s="65"/>
      <c r="K3459" s="182"/>
      <c r="M3459" t="s">
        <v>2246</v>
      </c>
      <c r="N3459" t="s">
        <v>5571</v>
      </c>
      <c r="O3459" t="s">
        <v>4936</v>
      </c>
      <c r="Q3459" t="str">
        <f t="shared" si="135"/>
        <v>condorProc.py --series 07180916_1907 --donoise --dumps a --procenv environments/pymidas_HVHV_NaI_mf.env</v>
      </c>
    </row>
    <row r="3460" spans="1:17">
      <c r="A3460" t="s">
        <v>8942</v>
      </c>
      <c r="F3460" s="177">
        <v>10</v>
      </c>
      <c r="G3460" s="224" t="s">
        <v>8641</v>
      </c>
      <c r="H3460" s="209">
        <v>-80</v>
      </c>
      <c r="I3460" s="177"/>
      <c r="J3460" s="177" t="s">
        <v>5577</v>
      </c>
      <c r="K3460" s="178" t="s">
        <v>5583</v>
      </c>
      <c r="M3460" t="s">
        <v>2246</v>
      </c>
      <c r="N3460" t="s">
        <v>5571</v>
      </c>
      <c r="O3460" t="s">
        <v>4936</v>
      </c>
      <c r="Q3460" t="str">
        <f t="shared" si="135"/>
        <v>condorProc.py --series 07180916_2001 --donoise --dumps a --procenv environments/pymidas_HVHV_NaI_mf.env</v>
      </c>
    </row>
    <row r="3461" spans="1:17">
      <c r="A3461" t="s">
        <v>8943</v>
      </c>
      <c r="G3461" s="225"/>
      <c r="H3461" s="210"/>
      <c r="J3461" t="s">
        <v>5585</v>
      </c>
      <c r="K3461" s="218" t="s">
        <v>5586</v>
      </c>
      <c r="M3461" t="s">
        <v>2246</v>
      </c>
      <c r="N3461" t="s">
        <v>5571</v>
      </c>
      <c r="O3461" t="s">
        <v>4936</v>
      </c>
      <c r="Q3461" t="str">
        <f t="shared" si="135"/>
        <v>condorProc.py --series 07180916_2011 --donoise --dumps a --procenv environments/pymidas_HVHV_NaI_mf.env</v>
      </c>
    </row>
    <row r="3462" spans="1:17">
      <c r="A3462" t="s">
        <v>8944</v>
      </c>
      <c r="G3462" s="225"/>
      <c r="H3462" s="210"/>
      <c r="K3462" s="219" t="s">
        <v>8388</v>
      </c>
      <c r="M3462" t="s">
        <v>2246</v>
      </c>
      <c r="N3462" t="s">
        <v>5571</v>
      </c>
      <c r="O3462" t="s">
        <v>4936</v>
      </c>
      <c r="Q3462" t="str">
        <f t="shared" si="135"/>
        <v>condorProc.py --series 07180916_2021 --donoise --dumps a --procenv environments/pymidas_HVHV_NaI_mf.env</v>
      </c>
    </row>
    <row r="3463" spans="1:17">
      <c r="A3463" t="s">
        <v>8945</v>
      </c>
      <c r="G3463" s="225"/>
      <c r="H3463" s="210"/>
      <c r="K3463" s="180"/>
      <c r="M3463" t="s">
        <v>2246</v>
      </c>
      <c r="N3463" t="s">
        <v>5571</v>
      </c>
      <c r="O3463" t="s">
        <v>4936</v>
      </c>
      <c r="Q3463" t="str">
        <f t="shared" si="135"/>
        <v>condorProc.py --series 07180916_2031 --donoise --dumps a --procenv environments/pymidas_HVHV_NaI_mf.env</v>
      </c>
    </row>
    <row r="3464" spans="1:17">
      <c r="A3464" t="s">
        <v>8946</v>
      </c>
      <c r="G3464" s="225"/>
      <c r="H3464" s="210"/>
      <c r="K3464" s="180"/>
      <c r="M3464" t="s">
        <v>2246</v>
      </c>
      <c r="N3464" t="s">
        <v>5571</v>
      </c>
      <c r="O3464" t="s">
        <v>4936</v>
      </c>
      <c r="Q3464" t="str">
        <f t="shared" si="135"/>
        <v>condorProc.py --series 07180916_2041 --donoise --dumps a --procenv environments/pymidas_HVHV_NaI_mf.env</v>
      </c>
    </row>
    <row r="3465" spans="1:17">
      <c r="A3465" t="s">
        <v>8947</v>
      </c>
      <c r="G3465" s="225"/>
      <c r="H3465" s="210"/>
      <c r="K3465" s="180"/>
      <c r="M3465" t="s">
        <v>2246</v>
      </c>
      <c r="N3465" t="s">
        <v>5571</v>
      </c>
      <c r="O3465" t="s">
        <v>4936</v>
      </c>
      <c r="Q3465" t="str">
        <f t="shared" si="135"/>
        <v>condorProc.py --series 07180916_2052 --donoise --dumps a --procenv environments/pymidas_HVHV_NaI_mf.env</v>
      </c>
    </row>
    <row r="3466" spans="1:17">
      <c r="A3466" t="s">
        <v>8948</v>
      </c>
      <c r="G3466" s="225"/>
      <c r="H3466" s="210"/>
      <c r="K3466" s="180"/>
      <c r="M3466" t="s">
        <v>2246</v>
      </c>
      <c r="N3466" t="s">
        <v>5571</v>
      </c>
      <c r="O3466" t="s">
        <v>4936</v>
      </c>
      <c r="Q3466" t="str">
        <f t="shared" si="135"/>
        <v>condorProc.py --series 07180916_2102 --donoise --dumps a --procenv environments/pymidas_HVHV_NaI_mf.env</v>
      </c>
    </row>
    <row r="3467" spans="1:17">
      <c r="A3467" t="s">
        <v>8949</v>
      </c>
      <c r="G3467" s="225"/>
      <c r="H3467" s="210"/>
      <c r="K3467" s="180"/>
      <c r="M3467" t="s">
        <v>2246</v>
      </c>
      <c r="N3467" t="s">
        <v>5571</v>
      </c>
      <c r="O3467" t="s">
        <v>4936</v>
      </c>
      <c r="Q3467" t="str">
        <f t="shared" si="135"/>
        <v>condorProc.py --series 07180916_2112 --donoise --dumps a --procenv environments/pymidas_HVHV_NaI_mf.env</v>
      </c>
    </row>
    <row r="3468" spans="1:17">
      <c r="A3468" t="s">
        <v>8950</v>
      </c>
      <c r="G3468" s="225"/>
      <c r="H3468" s="210"/>
      <c r="K3468" s="180"/>
      <c r="M3468" t="s">
        <v>2246</v>
      </c>
      <c r="N3468" t="s">
        <v>5571</v>
      </c>
      <c r="O3468" t="s">
        <v>4936</v>
      </c>
      <c r="Q3468" t="str">
        <f t="shared" si="135"/>
        <v>condorProc.py --series 07180916_2122 --donoise --dumps a --procenv environments/pymidas_HVHV_NaI_mf.env</v>
      </c>
    </row>
    <row r="3469" spans="1:17">
      <c r="A3469" t="s">
        <v>8951</v>
      </c>
      <c r="G3469" s="225"/>
      <c r="H3469" s="210"/>
      <c r="K3469" s="180"/>
      <c r="M3469" t="s">
        <v>2246</v>
      </c>
      <c r="N3469" t="s">
        <v>5571</v>
      </c>
      <c r="O3469" t="s">
        <v>4936</v>
      </c>
      <c r="Q3469" t="str">
        <f t="shared" si="135"/>
        <v>condorProc.py --series 07180916_2132 --donoise --dumps a --procenv environments/pymidas_HVHV_NaI_mf.env</v>
      </c>
    </row>
    <row r="3470" spans="1:17">
      <c r="A3470" t="s">
        <v>8952</v>
      </c>
      <c r="G3470" s="225"/>
      <c r="H3470" s="210"/>
      <c r="K3470" s="180"/>
      <c r="M3470" t="s">
        <v>2246</v>
      </c>
      <c r="N3470" t="s">
        <v>5571</v>
      </c>
      <c r="O3470" t="s">
        <v>4936</v>
      </c>
      <c r="Q3470" t="str">
        <f t="shared" si="135"/>
        <v>condorProc.py --series 07180916_2142 --donoise --dumps a --procenv environments/pymidas_HVHV_NaI_mf.env</v>
      </c>
    </row>
    <row r="3471" spans="1:17">
      <c r="A3471" t="s">
        <v>8953</v>
      </c>
      <c r="F3471" s="65"/>
      <c r="G3471" s="226"/>
      <c r="H3471" s="211"/>
      <c r="I3471" s="65" t="s">
        <v>75</v>
      </c>
      <c r="J3471" s="65"/>
      <c r="K3471" s="182"/>
      <c r="M3471" t="s">
        <v>2246</v>
      </c>
      <c r="N3471" t="s">
        <v>5571</v>
      </c>
      <c r="O3471" t="s">
        <v>4936</v>
      </c>
      <c r="Q3471" t="str">
        <f t="shared" si="135"/>
        <v>condorProc.py --series 07180916_2152 --donoise --dumps a --procenv environments/pymidas_HVHV_NaI_mf.env</v>
      </c>
    </row>
    <row r="3472" spans="1:17">
      <c r="A3472" t="s">
        <v>8954</v>
      </c>
      <c r="F3472" s="177">
        <v>10</v>
      </c>
      <c r="G3472" s="224" t="s">
        <v>8641</v>
      </c>
      <c r="H3472" s="209">
        <v>-80</v>
      </c>
      <c r="I3472" s="177"/>
      <c r="J3472" s="177" t="s">
        <v>5577</v>
      </c>
      <c r="K3472" s="178" t="s">
        <v>5583</v>
      </c>
      <c r="M3472" t="s">
        <v>2246</v>
      </c>
      <c r="N3472" t="s">
        <v>5571</v>
      </c>
      <c r="O3472" t="s">
        <v>4936</v>
      </c>
      <c r="Q3472" t="str">
        <f t="shared" si="135"/>
        <v>condorProc.py --series 07180916_2246 --donoise --dumps a --procenv environments/pymidas_HVHV_NaI_mf.env</v>
      </c>
    </row>
    <row r="3473" spans="1:17">
      <c r="A3473" t="s">
        <v>8955</v>
      </c>
      <c r="G3473" s="225"/>
      <c r="H3473" s="210"/>
      <c r="J3473" t="s">
        <v>5585</v>
      </c>
      <c r="K3473" s="218" t="s">
        <v>5586</v>
      </c>
      <c r="M3473" t="s">
        <v>2246</v>
      </c>
      <c r="N3473" t="s">
        <v>5571</v>
      </c>
      <c r="O3473" t="s">
        <v>4936</v>
      </c>
      <c r="Q3473" t="str">
        <f t="shared" si="135"/>
        <v>condorProc.py --series 07180916_2256 --donoise --dumps a --procenv environments/pymidas_HVHV_NaI_mf.env</v>
      </c>
    </row>
    <row r="3474" spans="1:17">
      <c r="A3474" t="s">
        <v>8956</v>
      </c>
      <c r="G3474" s="225"/>
      <c r="H3474" s="210"/>
      <c r="K3474" s="219" t="s">
        <v>8388</v>
      </c>
      <c r="M3474" t="s">
        <v>2246</v>
      </c>
      <c r="N3474" t="s">
        <v>5571</v>
      </c>
      <c r="O3474" t="s">
        <v>4936</v>
      </c>
      <c r="Q3474" t="str">
        <f t="shared" si="135"/>
        <v>condorProc.py --series 07180916_2306 --donoise --dumps a --procenv environments/pymidas_HVHV_NaI_mf.env</v>
      </c>
    </row>
    <row r="3475" spans="1:17">
      <c r="A3475" t="s">
        <v>8957</v>
      </c>
      <c r="G3475" s="225"/>
      <c r="H3475" s="210"/>
      <c r="K3475" s="180"/>
      <c r="M3475" t="s">
        <v>2246</v>
      </c>
      <c r="N3475" t="s">
        <v>5571</v>
      </c>
      <c r="O3475" t="s">
        <v>4936</v>
      </c>
      <c r="Q3475" t="str">
        <f t="shared" si="135"/>
        <v>condorProc.py --series 07180916_2317 --donoise --dumps a --procenv environments/pymidas_HVHV_NaI_mf.env</v>
      </c>
    </row>
    <row r="3476" spans="1:17">
      <c r="A3476" t="s">
        <v>8958</v>
      </c>
      <c r="G3476" s="225"/>
      <c r="H3476" s="210"/>
      <c r="K3476" s="180"/>
      <c r="M3476" t="s">
        <v>2246</v>
      </c>
      <c r="N3476" t="s">
        <v>5571</v>
      </c>
      <c r="O3476" t="s">
        <v>4936</v>
      </c>
      <c r="Q3476" t="str">
        <f t="shared" si="135"/>
        <v>condorProc.py --series 07180916_2327 --donoise --dumps a --procenv environments/pymidas_HVHV_NaI_mf.env</v>
      </c>
    </row>
    <row r="3477" spans="1:17">
      <c r="A3477" t="s">
        <v>8959</v>
      </c>
      <c r="G3477" s="225"/>
      <c r="H3477" s="210"/>
      <c r="K3477" s="180"/>
      <c r="M3477" t="s">
        <v>2246</v>
      </c>
      <c r="N3477" t="s">
        <v>5571</v>
      </c>
      <c r="O3477" t="s">
        <v>4936</v>
      </c>
      <c r="Q3477" t="str">
        <f t="shared" si="135"/>
        <v>condorProc.py --series 07180916_2337 --donoise --dumps a --procenv environments/pymidas_HVHV_NaI_mf.env</v>
      </c>
    </row>
    <row r="3478" spans="1:17">
      <c r="A3478" t="s">
        <v>8960</v>
      </c>
      <c r="G3478" s="225"/>
      <c r="H3478" s="210"/>
      <c r="K3478" s="180"/>
      <c r="M3478" t="s">
        <v>2246</v>
      </c>
      <c r="N3478" t="s">
        <v>5571</v>
      </c>
      <c r="O3478" t="s">
        <v>4936</v>
      </c>
      <c r="Q3478" t="str">
        <f t="shared" si="135"/>
        <v>condorProc.py --series 07180916_2347 --donoise --dumps a --procenv environments/pymidas_HVHV_NaI_mf.env</v>
      </c>
    </row>
    <row r="3479" spans="1:17">
      <c r="A3479" t="s">
        <v>8961</v>
      </c>
      <c r="G3479" s="225"/>
      <c r="H3479" s="210"/>
      <c r="K3479" s="180"/>
      <c r="M3479" t="s">
        <v>2246</v>
      </c>
      <c r="N3479" t="s">
        <v>5571</v>
      </c>
      <c r="O3479" t="s">
        <v>4936</v>
      </c>
      <c r="Q3479" t="str">
        <f t="shared" si="135"/>
        <v>condorProc.py --series 07180916_2357 --donoise --dumps a --procenv environments/pymidas_HVHV_NaI_mf.env</v>
      </c>
    </row>
    <row r="3480" spans="1:17">
      <c r="A3480" t="s">
        <v>8962</v>
      </c>
      <c r="G3480" s="225"/>
      <c r="H3480" s="210"/>
      <c r="K3480" s="180"/>
      <c r="M3480" t="s">
        <v>2246</v>
      </c>
      <c r="N3480" t="s">
        <v>5571</v>
      </c>
      <c r="O3480" t="s">
        <v>4936</v>
      </c>
      <c r="Q3480" t="str">
        <f t="shared" si="135"/>
        <v>condorProc.py --series 07180917_0007 --donoise --dumps a --procenv environments/pymidas_HVHV_NaI_mf.env</v>
      </c>
    </row>
    <row r="3481" spans="1:17">
      <c r="A3481" t="s">
        <v>8963</v>
      </c>
      <c r="G3481" s="225"/>
      <c r="H3481" s="210"/>
      <c r="K3481" s="180"/>
      <c r="M3481" t="s">
        <v>2246</v>
      </c>
      <c r="N3481" t="s">
        <v>5571</v>
      </c>
      <c r="O3481" t="s">
        <v>4936</v>
      </c>
      <c r="Q3481" t="str">
        <f t="shared" si="135"/>
        <v>condorProc.py --series 07180917_0017 --donoise --dumps a --procenv environments/pymidas_HVHV_NaI_mf.env</v>
      </c>
    </row>
    <row r="3482" spans="1:17">
      <c r="A3482" t="s">
        <v>8964</v>
      </c>
      <c r="G3482" s="225"/>
      <c r="H3482" s="210"/>
      <c r="K3482" s="180"/>
      <c r="M3482" t="s">
        <v>2246</v>
      </c>
      <c r="N3482" t="s">
        <v>5571</v>
      </c>
      <c r="O3482" t="s">
        <v>4936</v>
      </c>
      <c r="Q3482" t="str">
        <f t="shared" si="135"/>
        <v>condorProc.py --series 07180917_0027 --donoise --dumps a --procenv environments/pymidas_HVHV_NaI_mf.env</v>
      </c>
    </row>
    <row r="3483" spans="1:17">
      <c r="A3483" t="s">
        <v>8965</v>
      </c>
      <c r="F3483" s="65"/>
      <c r="G3483" s="226"/>
      <c r="H3483" s="211"/>
      <c r="I3483" s="65"/>
      <c r="J3483" s="65"/>
      <c r="K3483" s="182"/>
      <c r="M3483" t="s">
        <v>2246</v>
      </c>
      <c r="N3483" t="s">
        <v>5571</v>
      </c>
      <c r="O3483" t="s">
        <v>4936</v>
      </c>
      <c r="Q3483" t="str">
        <f t="shared" si="135"/>
        <v>condorProc.py --series 07180917_0038 --donoise --dumps a --procenv environments/pymidas_HVHV_NaI_mf.env</v>
      </c>
    </row>
    <row r="3484" spans="1:17">
      <c r="A3484" t="s">
        <v>8966</v>
      </c>
      <c r="F3484" s="177">
        <v>10</v>
      </c>
      <c r="G3484" s="224" t="s">
        <v>8641</v>
      </c>
      <c r="H3484" s="209">
        <v>-80</v>
      </c>
      <c r="I3484" s="177"/>
      <c r="J3484" s="177" t="s">
        <v>5577</v>
      </c>
      <c r="K3484" s="178" t="s">
        <v>5583</v>
      </c>
      <c r="M3484" t="s">
        <v>2246</v>
      </c>
      <c r="N3484" t="s">
        <v>5571</v>
      </c>
      <c r="O3484" t="s">
        <v>4936</v>
      </c>
      <c r="Q3484" t="str">
        <f t="shared" si="135"/>
        <v>condorProc.py --series 07180917_0132 --donoise --dumps a --procenv environments/pymidas_HVHV_NaI_mf.env</v>
      </c>
    </row>
    <row r="3485" spans="1:17">
      <c r="A3485" t="s">
        <v>8967</v>
      </c>
      <c r="G3485" s="225"/>
      <c r="H3485" s="210"/>
      <c r="J3485" t="s">
        <v>5585</v>
      </c>
      <c r="K3485" s="218" t="s">
        <v>5586</v>
      </c>
      <c r="M3485" t="s">
        <v>2246</v>
      </c>
      <c r="N3485" t="s">
        <v>5571</v>
      </c>
      <c r="O3485" t="s">
        <v>4936</v>
      </c>
      <c r="Q3485" t="str">
        <f t="shared" si="135"/>
        <v>condorProc.py --series 07180917_0142 --donoise --dumps a --procenv environments/pymidas_HVHV_NaI_mf.env</v>
      </c>
    </row>
    <row r="3486" spans="1:17">
      <c r="A3486" t="s">
        <v>8968</v>
      </c>
      <c r="G3486" s="225"/>
      <c r="H3486" s="210"/>
      <c r="K3486" s="219" t="s">
        <v>8388</v>
      </c>
      <c r="M3486" t="s">
        <v>2246</v>
      </c>
      <c r="N3486" t="s">
        <v>5571</v>
      </c>
      <c r="O3486" t="s">
        <v>4936</v>
      </c>
      <c r="Q3486" t="str">
        <f t="shared" si="135"/>
        <v>condorProc.py --series 07180917_0152 --donoise --dumps a --procenv environments/pymidas_HVHV_NaI_mf.env</v>
      </c>
    </row>
    <row r="3487" spans="1:17">
      <c r="A3487" t="s">
        <v>8969</v>
      </c>
      <c r="G3487" s="225"/>
      <c r="H3487" s="210"/>
      <c r="K3487" s="180"/>
      <c r="M3487" t="s">
        <v>2246</v>
      </c>
      <c r="N3487" t="s">
        <v>5571</v>
      </c>
      <c r="O3487" t="s">
        <v>4936</v>
      </c>
      <c r="Q3487" t="str">
        <f t="shared" si="135"/>
        <v>condorProc.py --series 07180917_0202 --donoise --dumps a --procenv environments/pymidas_HVHV_NaI_mf.env</v>
      </c>
    </row>
    <row r="3488" spans="1:17">
      <c r="A3488" t="s">
        <v>8970</v>
      </c>
      <c r="G3488" s="225"/>
      <c r="H3488" s="210"/>
      <c r="K3488" s="180"/>
      <c r="M3488" t="s">
        <v>2246</v>
      </c>
      <c r="N3488" t="s">
        <v>5571</v>
      </c>
      <c r="O3488" t="s">
        <v>4936</v>
      </c>
      <c r="Q3488" t="str">
        <f t="shared" si="135"/>
        <v>condorProc.py --series 07180917_0212 --donoise --dumps a --procenv environments/pymidas_HVHV_NaI_mf.env</v>
      </c>
    </row>
    <row r="3489" spans="1:17">
      <c r="A3489" t="s">
        <v>8971</v>
      </c>
      <c r="G3489" s="225"/>
      <c r="H3489" s="210"/>
      <c r="K3489" s="180"/>
      <c r="M3489" t="s">
        <v>2246</v>
      </c>
      <c r="N3489" t="s">
        <v>5571</v>
      </c>
      <c r="O3489" t="s">
        <v>4936</v>
      </c>
      <c r="Q3489" t="str">
        <f t="shared" ref="Q3489:Q3552" si="136">"condorProc.py --series "&amp;A3489&amp;" --donoise --dumps a --procenv environments/pymidas_HVHV_NaI_mf.env"</f>
        <v>condorProc.py --series 07180917_0222 --donoise --dumps a --procenv environments/pymidas_HVHV_NaI_mf.env</v>
      </c>
    </row>
    <row r="3490" spans="1:17">
      <c r="A3490" t="s">
        <v>8972</v>
      </c>
      <c r="G3490" s="225"/>
      <c r="H3490" s="210"/>
      <c r="K3490" s="180"/>
      <c r="M3490" t="s">
        <v>2246</v>
      </c>
      <c r="N3490" t="s">
        <v>5571</v>
      </c>
      <c r="O3490" t="s">
        <v>4936</v>
      </c>
      <c r="Q3490" t="str">
        <f t="shared" si="136"/>
        <v>condorProc.py --series 07180917_0232 --donoise --dumps a --procenv environments/pymidas_HVHV_NaI_mf.env</v>
      </c>
    </row>
    <row r="3491" spans="1:17">
      <c r="A3491" t="s">
        <v>8973</v>
      </c>
      <c r="G3491" s="225"/>
      <c r="H3491" s="210"/>
      <c r="K3491" s="180"/>
      <c r="M3491" t="s">
        <v>2246</v>
      </c>
      <c r="N3491" t="s">
        <v>5571</v>
      </c>
      <c r="O3491" t="s">
        <v>4936</v>
      </c>
      <c r="Q3491" t="str">
        <f t="shared" si="136"/>
        <v>condorProc.py --series 07180917_0242 --donoise --dumps a --procenv environments/pymidas_HVHV_NaI_mf.env</v>
      </c>
    </row>
    <row r="3492" spans="1:17">
      <c r="A3492" t="s">
        <v>8974</v>
      </c>
      <c r="G3492" s="225"/>
      <c r="H3492" s="210"/>
      <c r="K3492" s="180"/>
      <c r="M3492" t="s">
        <v>2246</v>
      </c>
      <c r="N3492" t="s">
        <v>5571</v>
      </c>
      <c r="O3492" t="s">
        <v>4936</v>
      </c>
      <c r="Q3492" t="str">
        <f t="shared" si="136"/>
        <v>condorProc.py --series 07180917_0253 --donoise --dumps a --procenv environments/pymidas_HVHV_NaI_mf.env</v>
      </c>
    </row>
    <row r="3493" spans="1:17">
      <c r="A3493" t="s">
        <v>8975</v>
      </c>
      <c r="G3493" s="225"/>
      <c r="H3493" s="210"/>
      <c r="K3493" s="180"/>
      <c r="M3493" t="s">
        <v>2246</v>
      </c>
      <c r="N3493" t="s">
        <v>5571</v>
      </c>
      <c r="O3493" t="s">
        <v>4936</v>
      </c>
      <c r="Q3493" t="str">
        <f t="shared" si="136"/>
        <v>condorProc.py --series 07180917_0303 --donoise --dumps a --procenv environments/pymidas_HVHV_NaI_mf.env</v>
      </c>
    </row>
    <row r="3494" spans="1:17">
      <c r="A3494" t="s">
        <v>8976</v>
      </c>
      <c r="G3494" s="225"/>
      <c r="H3494" s="210"/>
      <c r="I3494" s="197" t="s">
        <v>8977</v>
      </c>
      <c r="K3494" s="180"/>
      <c r="M3494" t="s">
        <v>2246</v>
      </c>
      <c r="N3494" s="16" t="s">
        <v>2037</v>
      </c>
      <c r="Q3494" t="str">
        <f t="shared" si="136"/>
        <v>condorProc.py --series 07180917_0313 --donoise --dumps a --procenv environments/pymidas_HVHV_NaI_mf.env</v>
      </c>
    </row>
    <row r="3495" spans="1:17">
      <c r="A3495" t="s">
        <v>8978</v>
      </c>
      <c r="F3495" s="65"/>
      <c r="G3495" s="226"/>
      <c r="H3495" s="211"/>
      <c r="I3495" s="65"/>
      <c r="J3495" s="65"/>
      <c r="K3495" s="182"/>
      <c r="M3495" t="s">
        <v>2246</v>
      </c>
      <c r="N3495" t="s">
        <v>5571</v>
      </c>
      <c r="O3495" t="s">
        <v>4936</v>
      </c>
      <c r="Q3495" t="str">
        <f t="shared" si="136"/>
        <v>condorProc.py --series 07180917_0323 --donoise --dumps a --procenv environments/pymidas_HVHV_NaI_mf.env</v>
      </c>
    </row>
    <row r="3496" spans="1:17">
      <c r="A3496" t="s">
        <v>8979</v>
      </c>
      <c r="F3496" s="177">
        <v>10</v>
      </c>
      <c r="G3496" s="224" t="s">
        <v>8641</v>
      </c>
      <c r="H3496" s="209">
        <v>-80</v>
      </c>
      <c r="I3496" s="177"/>
      <c r="J3496" s="177" t="s">
        <v>5577</v>
      </c>
      <c r="K3496" s="178" t="s">
        <v>5583</v>
      </c>
      <c r="M3496" t="s">
        <v>2246</v>
      </c>
      <c r="N3496" t="s">
        <v>5571</v>
      </c>
      <c r="O3496" t="s">
        <v>4936</v>
      </c>
      <c r="Q3496" t="str">
        <f t="shared" si="136"/>
        <v>condorProc.py --series 07180917_0417 --donoise --dumps a --procenv environments/pymidas_HVHV_NaI_mf.env</v>
      </c>
    </row>
    <row r="3497" spans="1:17">
      <c r="A3497" t="s">
        <v>8980</v>
      </c>
      <c r="G3497" s="225"/>
      <c r="H3497" s="210"/>
      <c r="J3497" t="s">
        <v>5585</v>
      </c>
      <c r="K3497" s="218" t="s">
        <v>5586</v>
      </c>
      <c r="M3497" t="s">
        <v>2246</v>
      </c>
      <c r="N3497" t="s">
        <v>5571</v>
      </c>
      <c r="O3497" t="s">
        <v>4936</v>
      </c>
      <c r="Q3497" t="str">
        <f t="shared" si="136"/>
        <v>condorProc.py --series 07180917_0427 --donoise --dumps a --procenv environments/pymidas_HVHV_NaI_mf.env</v>
      </c>
    </row>
    <row r="3498" spans="1:17">
      <c r="A3498" t="s">
        <v>8981</v>
      </c>
      <c r="G3498" s="225"/>
      <c r="H3498" s="210"/>
      <c r="K3498" s="219" t="s">
        <v>8388</v>
      </c>
      <c r="M3498" t="s">
        <v>2246</v>
      </c>
      <c r="N3498" t="s">
        <v>5571</v>
      </c>
      <c r="O3498" t="s">
        <v>4936</v>
      </c>
      <c r="Q3498" t="str">
        <f t="shared" si="136"/>
        <v>condorProc.py --series 07180917_0437 --donoise --dumps a --procenv environments/pymidas_HVHV_NaI_mf.env</v>
      </c>
    </row>
    <row r="3499" spans="1:17">
      <c r="A3499" t="s">
        <v>8982</v>
      </c>
      <c r="G3499" s="225"/>
      <c r="H3499" s="210"/>
      <c r="K3499" s="180"/>
      <c r="M3499" t="s">
        <v>2246</v>
      </c>
      <c r="N3499" t="s">
        <v>5571</v>
      </c>
      <c r="O3499" t="s">
        <v>4936</v>
      </c>
      <c r="Q3499" t="str">
        <f t="shared" si="136"/>
        <v>condorProc.py --series 07180917_0447 --donoise --dumps a --procenv environments/pymidas_HVHV_NaI_mf.env</v>
      </c>
    </row>
    <row r="3500" spans="1:17">
      <c r="A3500" t="s">
        <v>8983</v>
      </c>
      <c r="G3500" s="225"/>
      <c r="H3500" s="210"/>
      <c r="K3500" s="180"/>
      <c r="M3500" t="s">
        <v>2246</v>
      </c>
      <c r="N3500" t="s">
        <v>5571</v>
      </c>
      <c r="O3500" t="s">
        <v>4936</v>
      </c>
      <c r="Q3500" t="str">
        <f t="shared" si="136"/>
        <v>condorProc.py --series 07180917_0457 --donoise --dumps a --procenv environments/pymidas_HVHV_NaI_mf.env</v>
      </c>
    </row>
    <row r="3501" spans="1:17">
      <c r="A3501" t="s">
        <v>8984</v>
      </c>
      <c r="G3501" s="225"/>
      <c r="H3501" s="210"/>
      <c r="K3501" s="180"/>
      <c r="M3501" t="s">
        <v>2246</v>
      </c>
      <c r="N3501" t="s">
        <v>5571</v>
      </c>
      <c r="O3501" t="s">
        <v>4936</v>
      </c>
      <c r="Q3501" t="str">
        <f t="shared" si="136"/>
        <v>condorProc.py --series 07180917_0507 --donoise --dumps a --procenv environments/pymidas_HVHV_NaI_mf.env</v>
      </c>
    </row>
    <row r="3502" spans="1:17">
      <c r="A3502" t="s">
        <v>8985</v>
      </c>
      <c r="G3502" s="225"/>
      <c r="H3502" s="210"/>
      <c r="K3502" s="180"/>
      <c r="M3502" t="s">
        <v>2246</v>
      </c>
      <c r="N3502" t="s">
        <v>5571</v>
      </c>
      <c r="O3502" t="s">
        <v>4936</v>
      </c>
      <c r="Q3502" t="str">
        <f t="shared" si="136"/>
        <v>condorProc.py --series 07180917_0517 --donoise --dumps a --procenv environments/pymidas_HVHV_NaI_mf.env</v>
      </c>
    </row>
    <row r="3503" spans="1:17">
      <c r="A3503" t="s">
        <v>8986</v>
      </c>
      <c r="G3503" s="225"/>
      <c r="H3503" s="210"/>
      <c r="K3503" s="180"/>
      <c r="M3503" t="s">
        <v>2246</v>
      </c>
      <c r="N3503" t="s">
        <v>5571</v>
      </c>
      <c r="O3503" t="s">
        <v>4936</v>
      </c>
      <c r="Q3503" t="str">
        <f t="shared" si="136"/>
        <v>condorProc.py --series 07180917_0528 --donoise --dumps a --procenv environments/pymidas_HVHV_NaI_mf.env</v>
      </c>
    </row>
    <row r="3504" spans="1:17">
      <c r="A3504" t="s">
        <v>8987</v>
      </c>
      <c r="G3504" s="225"/>
      <c r="H3504" s="210"/>
      <c r="K3504" s="180"/>
      <c r="M3504" t="s">
        <v>2246</v>
      </c>
      <c r="N3504" t="s">
        <v>5571</v>
      </c>
      <c r="O3504" t="s">
        <v>4936</v>
      </c>
      <c r="Q3504" t="str">
        <f t="shared" si="136"/>
        <v>condorProc.py --series 07180917_0538 --donoise --dumps a --procenv environments/pymidas_HVHV_NaI_mf.env</v>
      </c>
    </row>
    <row r="3505" spans="1:17">
      <c r="A3505" t="s">
        <v>8988</v>
      </c>
      <c r="G3505" s="225"/>
      <c r="H3505" s="210"/>
      <c r="K3505" s="180"/>
      <c r="M3505" t="s">
        <v>2246</v>
      </c>
      <c r="N3505" t="s">
        <v>5571</v>
      </c>
      <c r="O3505" t="s">
        <v>4936</v>
      </c>
      <c r="Q3505" t="str">
        <f t="shared" si="136"/>
        <v>condorProc.py --series 07180917_0548 --donoise --dumps a --procenv environments/pymidas_HVHV_NaI_mf.env</v>
      </c>
    </row>
    <row r="3506" spans="1:17">
      <c r="A3506" t="s">
        <v>8989</v>
      </c>
      <c r="G3506" s="225"/>
      <c r="H3506" s="210"/>
      <c r="K3506" s="180"/>
      <c r="M3506" t="s">
        <v>2246</v>
      </c>
      <c r="N3506" t="s">
        <v>5571</v>
      </c>
      <c r="O3506" t="s">
        <v>4936</v>
      </c>
      <c r="Q3506" t="str">
        <f t="shared" si="136"/>
        <v>condorProc.py --series 07180917_0558 --donoise --dumps a --procenv environments/pymidas_HVHV_NaI_mf.env</v>
      </c>
    </row>
    <row r="3507" spans="1:17">
      <c r="A3507" t="s">
        <v>8990</v>
      </c>
      <c r="F3507" s="65"/>
      <c r="G3507" s="226"/>
      <c r="H3507" s="211"/>
      <c r="I3507" s="65"/>
      <c r="J3507" s="65"/>
      <c r="K3507" s="182"/>
      <c r="M3507" t="s">
        <v>2246</v>
      </c>
      <c r="N3507" t="s">
        <v>5571</v>
      </c>
      <c r="O3507" t="s">
        <v>4936</v>
      </c>
      <c r="Q3507" t="str">
        <f t="shared" si="136"/>
        <v>condorProc.py --series 07180917_0608 --donoise --dumps a --procenv environments/pymidas_HVHV_NaI_mf.env</v>
      </c>
    </row>
    <row r="3508" spans="1:17">
      <c r="A3508" t="s">
        <v>8991</v>
      </c>
      <c r="F3508" s="177">
        <v>10</v>
      </c>
      <c r="G3508" s="224" t="s">
        <v>8641</v>
      </c>
      <c r="H3508" s="209">
        <v>-80</v>
      </c>
      <c r="I3508" s="177"/>
      <c r="J3508" s="177" t="s">
        <v>5577</v>
      </c>
      <c r="K3508" s="178" t="s">
        <v>5583</v>
      </c>
      <c r="M3508" t="s">
        <v>2246</v>
      </c>
      <c r="N3508" t="s">
        <v>5571</v>
      </c>
      <c r="O3508" t="s">
        <v>4936</v>
      </c>
      <c r="Q3508" t="str">
        <f t="shared" si="136"/>
        <v>condorProc.py --series 07180917_0702 --donoise --dumps a --procenv environments/pymidas_HVHV_NaI_mf.env</v>
      </c>
    </row>
    <row r="3509" spans="1:17">
      <c r="A3509" t="s">
        <v>8992</v>
      </c>
      <c r="G3509" s="225"/>
      <c r="H3509" s="210"/>
      <c r="J3509" t="s">
        <v>5585</v>
      </c>
      <c r="K3509" s="218" t="s">
        <v>5586</v>
      </c>
      <c r="M3509" t="s">
        <v>2246</v>
      </c>
      <c r="N3509" t="s">
        <v>5571</v>
      </c>
      <c r="O3509" t="s">
        <v>4936</v>
      </c>
      <c r="Q3509" t="str">
        <f t="shared" si="136"/>
        <v>condorProc.py --series 07180917_0712 --donoise --dumps a --procenv environments/pymidas_HVHV_NaI_mf.env</v>
      </c>
    </row>
    <row r="3510" spans="1:17">
      <c r="A3510" t="s">
        <v>8993</v>
      </c>
      <c r="G3510" s="225"/>
      <c r="H3510" s="210"/>
      <c r="K3510" s="219" t="s">
        <v>8388</v>
      </c>
      <c r="M3510" t="s">
        <v>2246</v>
      </c>
      <c r="N3510" t="s">
        <v>5571</v>
      </c>
      <c r="O3510" t="s">
        <v>4936</v>
      </c>
      <c r="Q3510" t="str">
        <f t="shared" si="136"/>
        <v>condorProc.py --series 07180917_0722 --donoise --dumps a --procenv environments/pymidas_HVHV_NaI_mf.env</v>
      </c>
    </row>
    <row r="3511" spans="1:17">
      <c r="A3511" t="s">
        <v>8994</v>
      </c>
      <c r="G3511" s="225"/>
      <c r="H3511" s="210"/>
      <c r="K3511" s="180"/>
      <c r="M3511" t="s">
        <v>2246</v>
      </c>
      <c r="N3511" t="s">
        <v>5571</v>
      </c>
      <c r="O3511" t="s">
        <v>4936</v>
      </c>
      <c r="Q3511" t="str">
        <f t="shared" si="136"/>
        <v>condorProc.py --series 07180917_0732 --donoise --dumps a --procenv environments/pymidas_HVHV_NaI_mf.env</v>
      </c>
    </row>
    <row r="3512" spans="1:17">
      <c r="A3512" t="s">
        <v>8995</v>
      </c>
      <c r="G3512" s="225"/>
      <c r="H3512" s="210"/>
      <c r="K3512" s="180"/>
      <c r="M3512" t="s">
        <v>2246</v>
      </c>
      <c r="N3512" t="s">
        <v>5571</v>
      </c>
      <c r="O3512" t="s">
        <v>4936</v>
      </c>
      <c r="Q3512" t="str">
        <f t="shared" si="136"/>
        <v>condorProc.py --series 07180917_0742 --donoise --dumps a --procenv environments/pymidas_HVHV_NaI_mf.env</v>
      </c>
    </row>
    <row r="3513" spans="1:17">
      <c r="A3513" t="s">
        <v>8996</v>
      </c>
      <c r="G3513" s="225"/>
      <c r="H3513" s="210"/>
      <c r="K3513" s="180"/>
      <c r="M3513" t="s">
        <v>2246</v>
      </c>
      <c r="N3513" t="s">
        <v>5571</v>
      </c>
      <c r="O3513" t="s">
        <v>4936</v>
      </c>
      <c r="Q3513" t="str">
        <f t="shared" si="136"/>
        <v>condorProc.py --series 07180917_0752 --donoise --dumps a --procenv environments/pymidas_HVHV_NaI_mf.env</v>
      </c>
    </row>
    <row r="3514" spans="1:17">
      <c r="A3514" t="s">
        <v>8997</v>
      </c>
      <c r="G3514" s="225"/>
      <c r="H3514" s="210"/>
      <c r="K3514" s="180"/>
      <c r="M3514" t="s">
        <v>2246</v>
      </c>
      <c r="N3514" t="s">
        <v>5571</v>
      </c>
      <c r="O3514" t="s">
        <v>4936</v>
      </c>
      <c r="Q3514" t="str">
        <f t="shared" si="136"/>
        <v>condorProc.py --series 07180917_0802 --donoise --dumps a --procenv environments/pymidas_HVHV_NaI_mf.env</v>
      </c>
    </row>
    <row r="3515" spans="1:17">
      <c r="A3515" t="s">
        <v>8998</v>
      </c>
      <c r="G3515" s="225"/>
      <c r="H3515" s="210"/>
      <c r="K3515" s="180"/>
      <c r="M3515" t="s">
        <v>2246</v>
      </c>
      <c r="N3515" t="s">
        <v>5571</v>
      </c>
      <c r="O3515" t="s">
        <v>4936</v>
      </c>
      <c r="Q3515" t="str">
        <f t="shared" si="136"/>
        <v>condorProc.py --series 07180917_0813 --donoise --dumps a --procenv environments/pymidas_HVHV_NaI_mf.env</v>
      </c>
    </row>
    <row r="3516" spans="1:17">
      <c r="A3516" t="s">
        <v>8999</v>
      </c>
      <c r="G3516" s="225"/>
      <c r="H3516" s="210"/>
      <c r="K3516" s="180"/>
      <c r="M3516" t="s">
        <v>2246</v>
      </c>
      <c r="N3516" t="s">
        <v>5571</v>
      </c>
      <c r="O3516" t="s">
        <v>4936</v>
      </c>
      <c r="Q3516" t="str">
        <f t="shared" si="136"/>
        <v>condorProc.py --series 07180917_0823 --donoise --dumps a --procenv environments/pymidas_HVHV_NaI_mf.env</v>
      </c>
    </row>
    <row r="3517" spans="1:17">
      <c r="A3517" t="s">
        <v>9000</v>
      </c>
      <c r="G3517" s="225"/>
      <c r="H3517" s="210"/>
      <c r="K3517" s="180"/>
      <c r="M3517" t="s">
        <v>2246</v>
      </c>
      <c r="N3517" t="s">
        <v>5571</v>
      </c>
      <c r="O3517" t="s">
        <v>4936</v>
      </c>
      <c r="Q3517" t="str">
        <f t="shared" si="136"/>
        <v>condorProc.py --series 07180917_0833 --donoise --dumps a --procenv environments/pymidas_HVHV_NaI_mf.env</v>
      </c>
    </row>
    <row r="3518" spans="1:17">
      <c r="A3518" t="s">
        <v>9001</v>
      </c>
      <c r="G3518" s="225"/>
      <c r="H3518" s="210"/>
      <c r="K3518" s="180"/>
      <c r="M3518" t="s">
        <v>2246</v>
      </c>
      <c r="N3518" t="s">
        <v>5571</v>
      </c>
      <c r="O3518" t="s">
        <v>4936</v>
      </c>
      <c r="Q3518" t="str">
        <f t="shared" si="136"/>
        <v>condorProc.py --series 07180917_0843 --donoise --dumps a --procenv environments/pymidas_HVHV_NaI_mf.env</v>
      </c>
    </row>
    <row r="3519" spans="1:17">
      <c r="A3519" t="s">
        <v>9002</v>
      </c>
      <c r="F3519" s="65"/>
      <c r="G3519" s="226"/>
      <c r="H3519" s="211"/>
      <c r="I3519" s="65"/>
      <c r="J3519" s="65"/>
      <c r="K3519" s="182"/>
      <c r="M3519" t="s">
        <v>2246</v>
      </c>
      <c r="N3519" t="s">
        <v>5571</v>
      </c>
      <c r="O3519" t="s">
        <v>4936</v>
      </c>
      <c r="Q3519" t="str">
        <f t="shared" si="136"/>
        <v>condorProc.py --series 07180917_0853 --donoise --dumps a --procenv environments/pymidas_HVHV_NaI_mf.env</v>
      </c>
    </row>
    <row r="3520" spans="1:17">
      <c r="A3520" t="s">
        <v>9003</v>
      </c>
      <c r="F3520" s="177">
        <v>10</v>
      </c>
      <c r="G3520" s="224" t="s">
        <v>8641</v>
      </c>
      <c r="H3520" s="209">
        <v>-80</v>
      </c>
      <c r="I3520" s="177"/>
      <c r="J3520" s="177" t="s">
        <v>5577</v>
      </c>
      <c r="K3520" s="178" t="s">
        <v>5583</v>
      </c>
      <c r="M3520" t="s">
        <v>2246</v>
      </c>
      <c r="N3520" t="s">
        <v>5571</v>
      </c>
      <c r="O3520" t="s">
        <v>4936</v>
      </c>
      <c r="Q3520" t="str">
        <f t="shared" si="136"/>
        <v>condorProc.py --series 07180917_0947 --donoise --dumps a --procenv environments/pymidas_HVHV_NaI_mf.env</v>
      </c>
    </row>
    <row r="3521" spans="1:17">
      <c r="A3521" t="s">
        <v>9004</v>
      </c>
      <c r="G3521" s="225"/>
      <c r="H3521" s="210"/>
      <c r="J3521" t="s">
        <v>5585</v>
      </c>
      <c r="K3521" s="218" t="s">
        <v>5586</v>
      </c>
      <c r="M3521" t="s">
        <v>2246</v>
      </c>
      <c r="N3521" t="s">
        <v>5571</v>
      </c>
      <c r="O3521" t="s">
        <v>4936</v>
      </c>
      <c r="Q3521" t="str">
        <f t="shared" si="136"/>
        <v>condorProc.py --series 07180917_0957 --donoise --dumps a --procenv environments/pymidas_HVHV_NaI_mf.env</v>
      </c>
    </row>
    <row r="3522" spans="1:17">
      <c r="A3522" t="s">
        <v>9005</v>
      </c>
      <c r="G3522" s="225"/>
      <c r="H3522" s="210"/>
      <c r="K3522" s="219" t="s">
        <v>8388</v>
      </c>
      <c r="M3522" t="s">
        <v>2246</v>
      </c>
      <c r="N3522" t="s">
        <v>5571</v>
      </c>
      <c r="O3522" t="s">
        <v>4936</v>
      </c>
      <c r="Q3522" t="str">
        <f t="shared" si="136"/>
        <v>condorProc.py --series 07180917_1007 --donoise --dumps a --procenv environments/pymidas_HVHV_NaI_mf.env</v>
      </c>
    </row>
    <row r="3523" spans="1:17">
      <c r="A3523" t="s">
        <v>9006</v>
      </c>
      <c r="G3523" s="225"/>
      <c r="H3523" s="210"/>
      <c r="I3523" t="s">
        <v>75</v>
      </c>
      <c r="K3523" s="180"/>
      <c r="M3523" t="s">
        <v>2246</v>
      </c>
      <c r="N3523" t="s">
        <v>5571</v>
      </c>
      <c r="O3523" t="s">
        <v>4936</v>
      </c>
      <c r="Q3523" t="str">
        <f t="shared" si="136"/>
        <v>condorProc.py --series 07180917_1017 --donoise --dumps a --procenv environments/pymidas_HVHV_NaI_mf.env</v>
      </c>
    </row>
    <row r="3524" spans="1:17">
      <c r="A3524" t="s">
        <v>9007</v>
      </c>
      <c r="G3524" s="225"/>
      <c r="H3524" s="210"/>
      <c r="K3524" s="180"/>
      <c r="M3524" t="s">
        <v>2246</v>
      </c>
      <c r="N3524" t="s">
        <v>5571</v>
      </c>
      <c r="O3524" t="s">
        <v>4936</v>
      </c>
      <c r="Q3524" t="str">
        <f t="shared" si="136"/>
        <v>condorProc.py --series 07180917_1027 --donoise --dumps a --procenv environments/pymidas_HVHV_NaI_mf.env</v>
      </c>
    </row>
    <row r="3525" spans="1:17">
      <c r="A3525" t="s">
        <v>9008</v>
      </c>
      <c r="G3525" s="225"/>
      <c r="H3525" s="210"/>
      <c r="K3525" s="180"/>
      <c r="M3525" t="s">
        <v>2246</v>
      </c>
      <c r="N3525" t="s">
        <v>5571</v>
      </c>
      <c r="O3525" t="s">
        <v>4936</v>
      </c>
      <c r="Q3525" t="str">
        <f t="shared" si="136"/>
        <v>condorProc.py --series 07180917_1037 --donoise --dumps a --procenv environments/pymidas_HVHV_NaI_mf.env</v>
      </c>
    </row>
    <row r="3526" spans="1:17">
      <c r="A3526" t="s">
        <v>9009</v>
      </c>
      <c r="G3526" s="225"/>
      <c r="H3526" s="210"/>
      <c r="K3526" s="180"/>
      <c r="M3526" t="s">
        <v>2246</v>
      </c>
      <c r="N3526" t="s">
        <v>5571</v>
      </c>
      <c r="O3526" t="s">
        <v>4936</v>
      </c>
      <c r="Q3526" t="str">
        <f t="shared" si="136"/>
        <v>condorProc.py --series 07180917_1047 --donoise --dumps a --procenv environments/pymidas_HVHV_NaI_mf.env</v>
      </c>
    </row>
    <row r="3527" spans="1:17">
      <c r="A3527" t="s">
        <v>9010</v>
      </c>
      <c r="G3527" s="225"/>
      <c r="H3527" s="210"/>
      <c r="K3527" s="180"/>
      <c r="M3527" t="s">
        <v>2246</v>
      </c>
      <c r="N3527" t="s">
        <v>5571</v>
      </c>
      <c r="O3527" t="s">
        <v>4936</v>
      </c>
      <c r="Q3527" t="str">
        <f t="shared" si="136"/>
        <v>condorProc.py --series 07180917_1057 --donoise --dumps a --procenv environments/pymidas_HVHV_NaI_mf.env</v>
      </c>
    </row>
    <row r="3528" spans="1:17">
      <c r="A3528" t="s">
        <v>9011</v>
      </c>
      <c r="G3528" s="225"/>
      <c r="H3528" s="210"/>
      <c r="K3528" s="180"/>
      <c r="M3528" t="s">
        <v>2246</v>
      </c>
      <c r="N3528" t="s">
        <v>5571</v>
      </c>
      <c r="O3528" t="s">
        <v>4936</v>
      </c>
      <c r="Q3528" t="str">
        <f t="shared" si="136"/>
        <v>condorProc.py --series 07180917_1108 --donoise --dumps a --procenv environments/pymidas_HVHV_NaI_mf.env</v>
      </c>
    </row>
    <row r="3529" spans="1:17">
      <c r="A3529" t="s">
        <v>9012</v>
      </c>
      <c r="G3529" s="225"/>
      <c r="H3529" s="210"/>
      <c r="K3529" s="180"/>
      <c r="M3529" t="s">
        <v>2246</v>
      </c>
      <c r="N3529" t="s">
        <v>5571</v>
      </c>
      <c r="O3529" t="s">
        <v>4936</v>
      </c>
      <c r="Q3529" t="str">
        <f t="shared" si="136"/>
        <v>condorProc.py --series 07180917_1118 --donoise --dumps a --procenv environments/pymidas_HVHV_NaI_mf.env</v>
      </c>
    </row>
    <row r="3530" spans="1:17">
      <c r="A3530" t="s">
        <v>9013</v>
      </c>
      <c r="G3530" s="225"/>
      <c r="H3530" s="210"/>
      <c r="K3530" s="180"/>
      <c r="M3530" t="s">
        <v>2246</v>
      </c>
      <c r="N3530" t="s">
        <v>5571</v>
      </c>
      <c r="O3530" t="s">
        <v>4936</v>
      </c>
      <c r="Q3530" t="str">
        <f t="shared" si="136"/>
        <v>condorProc.py --series 07180917_1128 --donoise --dumps a --procenv environments/pymidas_HVHV_NaI_mf.env</v>
      </c>
    </row>
    <row r="3531" spans="1:17">
      <c r="A3531" t="s">
        <v>9014</v>
      </c>
      <c r="F3531" s="65"/>
      <c r="G3531" s="226"/>
      <c r="H3531" s="211"/>
      <c r="I3531" s="65"/>
      <c r="J3531" s="65"/>
      <c r="K3531" s="182"/>
      <c r="M3531" t="s">
        <v>2246</v>
      </c>
      <c r="N3531" t="s">
        <v>5571</v>
      </c>
      <c r="O3531" t="s">
        <v>4936</v>
      </c>
      <c r="Q3531" t="str">
        <f t="shared" si="136"/>
        <v>condorProc.py --series 07180917_1138 --donoise --dumps a --procenv environments/pymidas_HVHV_NaI_mf.env</v>
      </c>
    </row>
    <row r="3532" spans="1:17">
      <c r="A3532" t="s">
        <v>9015</v>
      </c>
      <c r="F3532" s="177">
        <v>10</v>
      </c>
      <c r="G3532" s="224" t="s">
        <v>8641</v>
      </c>
      <c r="H3532" s="209">
        <v>-80</v>
      </c>
      <c r="I3532" s="177"/>
      <c r="J3532" s="177" t="s">
        <v>5577</v>
      </c>
      <c r="K3532" s="178" t="s">
        <v>5583</v>
      </c>
      <c r="M3532" t="s">
        <v>2246</v>
      </c>
      <c r="N3532" t="s">
        <v>5571</v>
      </c>
      <c r="O3532" t="s">
        <v>4936</v>
      </c>
      <c r="Q3532" t="str">
        <f t="shared" si="136"/>
        <v>condorProc.py --series 07180917_1231 --donoise --dumps a --procenv environments/pymidas_HVHV_NaI_mf.env</v>
      </c>
    </row>
    <row r="3533" spans="1:17">
      <c r="A3533" t="s">
        <v>9016</v>
      </c>
      <c r="G3533" s="225"/>
      <c r="H3533" s="210"/>
      <c r="J3533" t="s">
        <v>5585</v>
      </c>
      <c r="K3533" s="218" t="s">
        <v>5586</v>
      </c>
      <c r="M3533" t="s">
        <v>2246</v>
      </c>
      <c r="N3533" t="s">
        <v>5571</v>
      </c>
      <c r="O3533" t="s">
        <v>4936</v>
      </c>
      <c r="Q3533" t="str">
        <f t="shared" si="136"/>
        <v>condorProc.py --series 07180917_1241 --donoise --dumps a --procenv environments/pymidas_HVHV_NaI_mf.env</v>
      </c>
    </row>
    <row r="3534" spans="1:17">
      <c r="A3534" t="s">
        <v>9017</v>
      </c>
      <c r="G3534" s="225"/>
      <c r="H3534" s="210"/>
      <c r="K3534" s="219" t="s">
        <v>8388</v>
      </c>
      <c r="M3534" t="s">
        <v>2246</v>
      </c>
      <c r="N3534" t="s">
        <v>5571</v>
      </c>
      <c r="O3534" t="s">
        <v>4936</v>
      </c>
      <c r="Q3534" t="str">
        <f t="shared" si="136"/>
        <v>condorProc.py --series 07180917_1252 --donoise --dumps a --procenv environments/pymidas_HVHV_NaI_mf.env</v>
      </c>
    </row>
    <row r="3535" spans="1:17">
      <c r="A3535" t="s">
        <v>9018</v>
      </c>
      <c r="G3535" s="225"/>
      <c r="H3535" s="210"/>
      <c r="I3535" t="s">
        <v>75</v>
      </c>
      <c r="K3535" s="180"/>
      <c r="M3535" t="s">
        <v>2246</v>
      </c>
      <c r="N3535" t="s">
        <v>5571</v>
      </c>
      <c r="O3535" t="s">
        <v>4936</v>
      </c>
      <c r="Q3535" t="str">
        <f t="shared" si="136"/>
        <v>condorProc.py --series 07180917_1302 --donoise --dumps a --procenv environments/pymidas_HVHV_NaI_mf.env</v>
      </c>
    </row>
    <row r="3536" spans="1:17">
      <c r="A3536" t="s">
        <v>9019</v>
      </c>
      <c r="G3536" s="225"/>
      <c r="H3536" s="210"/>
      <c r="K3536" s="180"/>
      <c r="M3536" t="s">
        <v>2246</v>
      </c>
      <c r="N3536" t="s">
        <v>5571</v>
      </c>
      <c r="O3536" t="s">
        <v>4936</v>
      </c>
      <c r="Q3536" t="str">
        <f t="shared" si="136"/>
        <v>condorProc.py --series 07180917_1312 --donoise --dumps a --procenv environments/pymidas_HVHV_NaI_mf.env</v>
      </c>
    </row>
    <row r="3537" spans="1:17">
      <c r="A3537" t="s">
        <v>9020</v>
      </c>
      <c r="G3537" s="225"/>
      <c r="H3537" s="210"/>
      <c r="K3537" s="180"/>
      <c r="M3537" t="s">
        <v>2246</v>
      </c>
      <c r="N3537" t="s">
        <v>5571</v>
      </c>
      <c r="O3537" t="s">
        <v>4936</v>
      </c>
      <c r="Q3537" t="str">
        <f t="shared" si="136"/>
        <v>condorProc.py --series 07180917_1322 --donoise --dumps a --procenv environments/pymidas_HVHV_NaI_mf.env</v>
      </c>
    </row>
    <row r="3538" spans="1:17">
      <c r="A3538" t="s">
        <v>9021</v>
      </c>
      <c r="G3538" s="225"/>
      <c r="H3538" s="210"/>
      <c r="K3538" s="180"/>
      <c r="M3538" t="s">
        <v>2246</v>
      </c>
      <c r="N3538" t="s">
        <v>5571</v>
      </c>
      <c r="O3538" t="s">
        <v>4936</v>
      </c>
      <c r="Q3538" t="str">
        <f t="shared" si="136"/>
        <v>condorProc.py --series 07180917_1332 --donoise --dumps a --procenv environments/pymidas_HVHV_NaI_mf.env</v>
      </c>
    </row>
    <row r="3539" spans="1:17">
      <c r="A3539" t="s">
        <v>9022</v>
      </c>
      <c r="G3539" s="225"/>
      <c r="H3539" s="210"/>
      <c r="K3539" s="180"/>
      <c r="M3539" t="s">
        <v>2246</v>
      </c>
      <c r="N3539" t="s">
        <v>5571</v>
      </c>
      <c r="O3539" t="s">
        <v>4936</v>
      </c>
      <c r="Q3539" t="str">
        <f t="shared" si="136"/>
        <v>condorProc.py --series 07180917_1342 --donoise --dumps a --procenv environments/pymidas_HVHV_NaI_mf.env</v>
      </c>
    </row>
    <row r="3540" spans="1:17">
      <c r="A3540" t="s">
        <v>9023</v>
      </c>
      <c r="G3540" s="225"/>
      <c r="H3540" s="210"/>
      <c r="K3540" s="180"/>
      <c r="M3540" t="s">
        <v>2246</v>
      </c>
      <c r="N3540" t="s">
        <v>5571</v>
      </c>
      <c r="O3540" t="s">
        <v>4936</v>
      </c>
      <c r="Q3540" t="str">
        <f t="shared" si="136"/>
        <v>condorProc.py --series 07180917_1352 --donoise --dumps a --procenv environments/pymidas_HVHV_NaI_mf.env</v>
      </c>
    </row>
    <row r="3541" spans="1:17">
      <c r="A3541" t="s">
        <v>9024</v>
      </c>
      <c r="G3541" s="225"/>
      <c r="H3541" s="210"/>
      <c r="K3541" s="180"/>
      <c r="M3541" t="s">
        <v>2246</v>
      </c>
      <c r="N3541" t="s">
        <v>5571</v>
      </c>
      <c r="O3541" t="s">
        <v>4936</v>
      </c>
      <c r="Q3541" t="str">
        <f t="shared" si="136"/>
        <v>condorProc.py --series 07180917_1402 --donoise --dumps a --procenv environments/pymidas_HVHV_NaI_mf.env</v>
      </c>
    </row>
    <row r="3542" spans="1:17">
      <c r="A3542" t="s">
        <v>9025</v>
      </c>
      <c r="G3542" s="225"/>
      <c r="H3542" s="210"/>
      <c r="K3542" s="180"/>
      <c r="M3542" t="s">
        <v>2246</v>
      </c>
      <c r="N3542" t="s">
        <v>5571</v>
      </c>
      <c r="O3542" t="s">
        <v>4936</v>
      </c>
      <c r="Q3542" t="str">
        <f t="shared" si="136"/>
        <v>condorProc.py --series 07180917_1413 --donoise --dumps a --procenv environments/pymidas_HVHV_NaI_mf.env</v>
      </c>
    </row>
    <row r="3543" spans="1:17">
      <c r="A3543" t="s">
        <v>9026</v>
      </c>
      <c r="G3543" s="225"/>
      <c r="H3543" s="210"/>
      <c r="I3543" t="s">
        <v>75</v>
      </c>
      <c r="K3543" s="180"/>
      <c r="M3543" t="s">
        <v>2246</v>
      </c>
      <c r="N3543" t="s">
        <v>5571</v>
      </c>
      <c r="O3543" t="s">
        <v>4936</v>
      </c>
      <c r="Q3543" t="str">
        <f t="shared" si="136"/>
        <v>condorProc.py --series 07180917_1423 --donoise --dumps a --procenv environments/pymidas_HVHV_NaI_mf.env</v>
      </c>
    </row>
    <row r="3544" spans="1:17">
      <c r="A3544" s="176" t="s">
        <v>9027</v>
      </c>
      <c r="B3544" s="177"/>
      <c r="C3544" s="177"/>
      <c r="D3544" s="177"/>
      <c r="E3544" s="177"/>
      <c r="F3544" s="177">
        <v>10</v>
      </c>
      <c r="G3544" s="177" t="s">
        <v>9028</v>
      </c>
      <c r="H3544" s="177">
        <v>0</v>
      </c>
      <c r="I3544" s="177"/>
      <c r="J3544" s="177" t="s">
        <v>5577</v>
      </c>
      <c r="K3544" s="178" t="s">
        <v>5583</v>
      </c>
      <c r="L3544" t="s">
        <v>6874</v>
      </c>
      <c r="M3544" t="s">
        <v>2246</v>
      </c>
      <c r="N3544" t="s">
        <v>5571</v>
      </c>
      <c r="Q3544" t="str">
        <f t="shared" si="136"/>
        <v>condorProc.py --series 07180917_1457 --donoise --dumps a --procenv environments/pymidas_HVHV_NaI_mf.env</v>
      </c>
    </row>
    <row r="3545" spans="1:17">
      <c r="A3545" s="179" t="s">
        <v>9029</v>
      </c>
      <c r="K3545" s="195" t="s">
        <v>6571</v>
      </c>
      <c r="M3545" t="s">
        <v>2246</v>
      </c>
      <c r="N3545" t="s">
        <v>5571</v>
      </c>
      <c r="Q3545" t="str">
        <f t="shared" si="136"/>
        <v>condorProc.py --series 07180917_1507 --donoise --dumps a --procenv environments/pymidas_HVHV_NaI_mf.env</v>
      </c>
    </row>
    <row r="3546" spans="1:17">
      <c r="A3546" s="179" t="s">
        <v>9030</v>
      </c>
      <c r="K3546" s="196" t="s">
        <v>9031</v>
      </c>
      <c r="M3546" t="s">
        <v>2246</v>
      </c>
      <c r="N3546" t="s">
        <v>5571</v>
      </c>
      <c r="Q3546" t="str">
        <f t="shared" si="136"/>
        <v>condorProc.py --series 07180917_1517 --donoise --dumps a --procenv environments/pymidas_HVHV_NaI_mf.env</v>
      </c>
    </row>
    <row r="3547" spans="1:17">
      <c r="A3547" s="179" t="s">
        <v>9032</v>
      </c>
      <c r="K3547" s="180"/>
      <c r="M3547" t="s">
        <v>2246</v>
      </c>
      <c r="N3547" t="s">
        <v>5571</v>
      </c>
      <c r="Q3547" t="str">
        <f t="shared" si="136"/>
        <v>condorProc.py --series 07180917_1527 --donoise --dumps a --procenv environments/pymidas_HVHV_NaI_mf.env</v>
      </c>
    </row>
    <row r="3548" spans="1:17">
      <c r="A3548" s="179" t="s">
        <v>9033</v>
      </c>
      <c r="K3548" s="180"/>
      <c r="M3548" t="s">
        <v>2246</v>
      </c>
      <c r="N3548" t="s">
        <v>5571</v>
      </c>
      <c r="Q3548" t="str">
        <f t="shared" si="136"/>
        <v>condorProc.py --series 07180917_1537 --donoise --dumps a --procenv environments/pymidas_HVHV_NaI_mf.env</v>
      </c>
    </row>
    <row r="3549" spans="1:17">
      <c r="A3549" s="179" t="s">
        <v>9034</v>
      </c>
      <c r="K3549" s="180"/>
      <c r="M3549" t="s">
        <v>2246</v>
      </c>
      <c r="N3549" t="s">
        <v>5571</v>
      </c>
      <c r="Q3549" t="str">
        <f t="shared" si="136"/>
        <v>condorProc.py --series 07180917_1547 --donoise --dumps a --procenv environments/pymidas_HVHV_NaI_mf.env</v>
      </c>
    </row>
    <row r="3550" spans="1:17">
      <c r="A3550" s="176" t="s">
        <v>9035</v>
      </c>
      <c r="B3550" s="177"/>
      <c r="C3550" s="177"/>
      <c r="D3550" s="177"/>
      <c r="E3550" s="177"/>
      <c r="F3550" s="177">
        <v>10</v>
      </c>
      <c r="G3550" s="177" t="s">
        <v>18</v>
      </c>
      <c r="H3550" s="177">
        <v>-50</v>
      </c>
      <c r="I3550" s="177"/>
      <c r="J3550" s="177" t="s">
        <v>5577</v>
      </c>
      <c r="K3550" s="178" t="s">
        <v>5583</v>
      </c>
      <c r="M3550" t="s">
        <v>2246</v>
      </c>
      <c r="N3550" t="s">
        <v>5571</v>
      </c>
      <c r="Q3550" t="str">
        <f t="shared" si="136"/>
        <v>condorProc.py --series 07180917_1644 --donoise --dumps a --procenv environments/pymidas_HVHV_NaI_mf.env</v>
      </c>
    </row>
    <row r="3551" spans="1:17">
      <c r="A3551" s="179" t="s">
        <v>9036</v>
      </c>
      <c r="J3551" t="s">
        <v>5585</v>
      </c>
      <c r="K3551" s="218" t="s">
        <v>5586</v>
      </c>
      <c r="M3551" t="s">
        <v>2246</v>
      </c>
      <c r="N3551" t="s">
        <v>5571</v>
      </c>
      <c r="Q3551" t="str">
        <f t="shared" si="136"/>
        <v>condorProc.py --series 07180917_1655 --donoise --dumps a --procenv environments/pymidas_HVHV_NaI_mf.env</v>
      </c>
    </row>
    <row r="3552" spans="1:17">
      <c r="A3552" s="179" t="s">
        <v>9037</v>
      </c>
      <c r="K3552" s="219" t="s">
        <v>8388</v>
      </c>
      <c r="M3552" t="s">
        <v>2246</v>
      </c>
      <c r="N3552" t="s">
        <v>5571</v>
      </c>
      <c r="Q3552" t="str">
        <f t="shared" si="136"/>
        <v>condorProc.py --series 07180917_1705 --donoise --dumps a --procenv environments/pymidas_HVHV_NaI_mf.env</v>
      </c>
    </row>
    <row r="3553" spans="1:17">
      <c r="A3553" s="179" t="s">
        <v>9038</v>
      </c>
      <c r="K3553" s="180"/>
      <c r="M3553" t="s">
        <v>2246</v>
      </c>
      <c r="N3553" t="s">
        <v>5571</v>
      </c>
      <c r="Q3553" t="str">
        <f t="shared" ref="Q3553:Q3616" si="137">"condorProc.py --series "&amp;A3553&amp;" --donoise --dumps a --procenv environments/pymidas_HVHV_NaI_mf.env"</f>
        <v>condorProc.py --series 07180917_1715 --donoise --dumps a --procenv environments/pymidas_HVHV_NaI_mf.env</v>
      </c>
    </row>
    <row r="3554" spans="1:17">
      <c r="A3554" s="179" t="s">
        <v>9039</v>
      </c>
      <c r="K3554" s="180"/>
      <c r="M3554" t="s">
        <v>2246</v>
      </c>
      <c r="N3554" t="s">
        <v>5571</v>
      </c>
      <c r="Q3554" t="str">
        <f t="shared" si="137"/>
        <v>condorProc.py --series 07180917_1725 --donoise --dumps a --procenv environments/pymidas_HVHV_NaI_mf.env</v>
      </c>
    </row>
    <row r="3555" spans="1:17">
      <c r="A3555" s="179" t="s">
        <v>9040</v>
      </c>
      <c r="K3555" s="180" t="s">
        <v>9041</v>
      </c>
      <c r="M3555" t="s">
        <v>2246</v>
      </c>
      <c r="N3555" t="s">
        <v>5571</v>
      </c>
      <c r="Q3555" t="str">
        <f t="shared" si="137"/>
        <v>condorProc.py --series 07180917_1735 --donoise --dumps a --procenv environments/pymidas_HVHV_NaI_mf.env</v>
      </c>
    </row>
    <row r="3556" spans="1:17">
      <c r="A3556" s="179" t="s">
        <v>9042</v>
      </c>
      <c r="K3556" s="180" t="s">
        <v>9043</v>
      </c>
      <c r="M3556" t="s">
        <v>2246</v>
      </c>
      <c r="N3556" t="s">
        <v>5571</v>
      </c>
      <c r="Q3556" t="str">
        <f t="shared" si="137"/>
        <v>condorProc.py --series 07180917_1745 --donoise --dumps a --procenv environments/pymidas_HVHV_NaI_mf.env</v>
      </c>
    </row>
    <row r="3557" spans="1:17">
      <c r="A3557" s="179" t="s">
        <v>9044</v>
      </c>
      <c r="K3557" s="180" t="s">
        <v>9045</v>
      </c>
      <c r="M3557" t="s">
        <v>2246</v>
      </c>
      <c r="N3557" t="s">
        <v>5571</v>
      </c>
      <c r="Q3557" t="str">
        <f t="shared" si="137"/>
        <v>condorProc.py --series 07180917_1755 --donoise --dumps a --procenv environments/pymidas_HVHV_NaI_mf.env</v>
      </c>
    </row>
    <row r="3558" spans="1:17">
      <c r="A3558" s="179" t="s">
        <v>9046</v>
      </c>
      <c r="K3558" s="180" t="s">
        <v>9047</v>
      </c>
      <c r="M3558" t="s">
        <v>2246</v>
      </c>
      <c r="N3558" t="s">
        <v>5571</v>
      </c>
      <c r="Q3558" t="str">
        <f t="shared" si="137"/>
        <v>condorProc.py --series 07180917_1805 --donoise --dumps a --procenv environments/pymidas_HVHV_NaI_mf.env</v>
      </c>
    </row>
    <row r="3559" spans="1:17">
      <c r="A3559" s="179" t="s">
        <v>9048</v>
      </c>
      <c r="K3559" s="180" t="s">
        <v>9049</v>
      </c>
      <c r="M3559" t="s">
        <v>2246</v>
      </c>
      <c r="N3559" t="s">
        <v>5571</v>
      </c>
      <c r="Q3559" t="str">
        <f t="shared" si="137"/>
        <v>condorProc.py --series 07180917_1815 --donoise --dumps a --procenv environments/pymidas_HVHV_NaI_mf.env</v>
      </c>
    </row>
    <row r="3560" spans="1:17">
      <c r="A3560" s="179" t="s">
        <v>9050</v>
      </c>
      <c r="K3560" s="180"/>
      <c r="M3560" t="s">
        <v>2246</v>
      </c>
      <c r="N3560" t="s">
        <v>5571</v>
      </c>
      <c r="Q3560" t="str">
        <f t="shared" si="137"/>
        <v>condorProc.py --series 07180917_1825 --donoise --dumps a --procenv environments/pymidas_HVHV_NaI_mf.env</v>
      </c>
    </row>
    <row r="3561" spans="1:17">
      <c r="A3561" s="179" t="s">
        <v>9051</v>
      </c>
      <c r="K3561" s="180"/>
      <c r="M3561" t="s">
        <v>2246</v>
      </c>
      <c r="N3561" t="s">
        <v>5571</v>
      </c>
      <c r="Q3561" t="str">
        <f t="shared" si="137"/>
        <v>condorProc.py --series 07180917_1836 --donoise --dumps a --procenv environments/pymidas_HVHV_NaI_mf.env</v>
      </c>
    </row>
    <row r="3562" spans="1:17">
      <c r="A3562" s="179" t="s">
        <v>9052</v>
      </c>
      <c r="K3562" s="180"/>
      <c r="M3562" t="s">
        <v>2246</v>
      </c>
      <c r="N3562" t="s">
        <v>5571</v>
      </c>
      <c r="Q3562" t="str">
        <f t="shared" si="137"/>
        <v>condorProc.py --series 07180917_1846 --donoise --dumps a --procenv environments/pymidas_HVHV_NaI_mf.env</v>
      </c>
    </row>
    <row r="3563" spans="1:17">
      <c r="A3563" s="179" t="s">
        <v>9053</v>
      </c>
      <c r="K3563" s="180"/>
      <c r="M3563" t="s">
        <v>2246</v>
      </c>
      <c r="N3563" t="s">
        <v>5571</v>
      </c>
      <c r="Q3563" t="str">
        <f t="shared" si="137"/>
        <v>condorProc.py --series 07180917_1856 --donoise --dumps a --procenv environments/pymidas_HVHV_NaI_mf.env</v>
      </c>
    </row>
    <row r="3564" spans="1:17">
      <c r="A3564" s="179" t="s">
        <v>9054</v>
      </c>
      <c r="K3564" s="180"/>
      <c r="M3564" t="s">
        <v>2246</v>
      </c>
      <c r="N3564" t="s">
        <v>5571</v>
      </c>
      <c r="Q3564" t="str">
        <f t="shared" si="137"/>
        <v>condorProc.py --series 07180917_1906 --donoise --dumps a --procenv environments/pymidas_HVHV_NaI_mf.env</v>
      </c>
    </row>
    <row r="3565" spans="1:17">
      <c r="A3565" s="179" t="s">
        <v>9055</v>
      </c>
      <c r="K3565" s="180"/>
      <c r="M3565" t="s">
        <v>2246</v>
      </c>
      <c r="N3565" t="s">
        <v>5571</v>
      </c>
      <c r="Q3565" t="str">
        <f t="shared" si="137"/>
        <v>condorProc.py --series 07180917_1916 --donoise --dumps a --procenv environments/pymidas_HVHV_NaI_mf.env</v>
      </c>
    </row>
    <row r="3566" spans="1:17">
      <c r="A3566" s="179" t="s">
        <v>9056</v>
      </c>
      <c r="K3566" s="180"/>
      <c r="M3566" t="s">
        <v>2246</v>
      </c>
      <c r="N3566" t="s">
        <v>5571</v>
      </c>
      <c r="Q3566" t="str">
        <f t="shared" si="137"/>
        <v>condorProc.py --series 07180917_1926 --donoise --dumps a --procenv environments/pymidas_HVHV_NaI_mf.env</v>
      </c>
    </row>
    <row r="3567" spans="1:17">
      <c r="A3567" s="179" t="s">
        <v>9057</v>
      </c>
      <c r="K3567" s="180"/>
      <c r="M3567" t="s">
        <v>2246</v>
      </c>
      <c r="N3567" t="s">
        <v>5571</v>
      </c>
      <c r="Q3567" t="str">
        <f t="shared" si="137"/>
        <v>condorProc.py --series 07180917_1936 --donoise --dumps a --procenv environments/pymidas_HVHV_NaI_mf.env</v>
      </c>
    </row>
    <row r="3568" spans="1:17">
      <c r="A3568" s="179" t="s">
        <v>9058</v>
      </c>
      <c r="K3568" s="180"/>
      <c r="M3568" t="s">
        <v>2246</v>
      </c>
      <c r="N3568" t="s">
        <v>5571</v>
      </c>
      <c r="Q3568" t="str">
        <f t="shared" si="137"/>
        <v>condorProc.py --series 07180917_1946 --donoise --dumps a --procenv environments/pymidas_HVHV_NaI_mf.env</v>
      </c>
    </row>
    <row r="3569" spans="1:17">
      <c r="A3569" s="179" t="s">
        <v>9059</v>
      </c>
      <c r="K3569" s="180"/>
      <c r="M3569" t="s">
        <v>2246</v>
      </c>
      <c r="N3569" t="s">
        <v>5571</v>
      </c>
      <c r="Q3569" t="str">
        <f t="shared" si="137"/>
        <v>condorProc.py --series 07180917_1956 --donoise --dumps a --procenv environments/pymidas_HVHV_NaI_mf.env</v>
      </c>
    </row>
    <row r="3570" spans="1:17">
      <c r="A3570" s="179" t="s">
        <v>9060</v>
      </c>
      <c r="K3570" s="180"/>
      <c r="M3570" t="s">
        <v>2246</v>
      </c>
      <c r="N3570" t="s">
        <v>5571</v>
      </c>
      <c r="Q3570" t="str">
        <f t="shared" si="137"/>
        <v>condorProc.py --series 07180917_2006 --donoise --dumps a --procenv environments/pymidas_HVHV_NaI_mf.env</v>
      </c>
    </row>
    <row r="3571" spans="1:17">
      <c r="A3571" s="179" t="s">
        <v>9061</v>
      </c>
      <c r="K3571" s="180"/>
      <c r="M3571" t="s">
        <v>2246</v>
      </c>
      <c r="N3571" t="s">
        <v>5571</v>
      </c>
      <c r="Q3571" t="str">
        <f t="shared" si="137"/>
        <v>condorProc.py --series 07180917_2017 --donoise --dumps a --procenv environments/pymidas_HVHV_NaI_mf.env</v>
      </c>
    </row>
    <row r="3572" spans="1:17">
      <c r="A3572" s="179" t="s">
        <v>9062</v>
      </c>
      <c r="K3572" s="180"/>
      <c r="M3572" t="s">
        <v>2246</v>
      </c>
      <c r="N3572" t="s">
        <v>5571</v>
      </c>
      <c r="Q3572" t="str">
        <f t="shared" si="137"/>
        <v>condorProc.py --series 07180917_2027 --donoise --dumps a --procenv environments/pymidas_HVHV_NaI_mf.env</v>
      </c>
    </row>
    <row r="3573" spans="1:17">
      <c r="A3573" s="179" t="s">
        <v>9063</v>
      </c>
      <c r="K3573" s="180"/>
      <c r="M3573" t="s">
        <v>2246</v>
      </c>
      <c r="N3573" t="s">
        <v>5571</v>
      </c>
      <c r="Q3573" t="str">
        <f t="shared" si="137"/>
        <v>condorProc.py --series 07180917_2037 --donoise --dumps a --procenv environments/pymidas_HVHV_NaI_mf.env</v>
      </c>
    </row>
    <row r="3574" spans="1:17">
      <c r="A3574" s="179" t="s">
        <v>9064</v>
      </c>
      <c r="K3574" s="180"/>
      <c r="M3574" t="s">
        <v>2246</v>
      </c>
      <c r="N3574" t="s">
        <v>5571</v>
      </c>
      <c r="Q3574" t="str">
        <f t="shared" si="137"/>
        <v>condorProc.py --series 07180917_2047 --donoise --dumps a --procenv environments/pymidas_HVHV_NaI_mf.env</v>
      </c>
    </row>
    <row r="3575" spans="1:17">
      <c r="A3575" s="179" t="s">
        <v>9065</v>
      </c>
      <c r="K3575" s="180"/>
      <c r="M3575" t="s">
        <v>2246</v>
      </c>
      <c r="N3575" t="s">
        <v>5571</v>
      </c>
      <c r="Q3575" t="str">
        <f t="shared" si="137"/>
        <v>condorProc.py --series 07180917_2057 --donoise --dumps a --procenv environments/pymidas_HVHV_NaI_mf.env</v>
      </c>
    </row>
    <row r="3576" spans="1:17">
      <c r="A3576" s="179" t="s">
        <v>9066</v>
      </c>
      <c r="K3576" s="180"/>
      <c r="M3576" t="s">
        <v>2246</v>
      </c>
      <c r="N3576" t="s">
        <v>5571</v>
      </c>
      <c r="Q3576" t="str">
        <f t="shared" si="137"/>
        <v>condorProc.py --series 07180917_2107 --donoise --dumps a --procenv environments/pymidas_HVHV_NaI_mf.env</v>
      </c>
    </row>
    <row r="3577" spans="1:17">
      <c r="A3577" s="179" t="s">
        <v>9067</v>
      </c>
      <c r="I3577" t="s">
        <v>75</v>
      </c>
      <c r="K3577" s="180"/>
      <c r="M3577" t="s">
        <v>2246</v>
      </c>
      <c r="N3577" t="s">
        <v>5571</v>
      </c>
      <c r="Q3577" t="str">
        <f t="shared" si="137"/>
        <v>condorProc.py --series 07180917_2117 --donoise --dumps a --procenv environments/pymidas_HVHV_NaI_mf.env</v>
      </c>
    </row>
    <row r="3578" spans="1:17">
      <c r="A3578" s="179" t="s">
        <v>9068</v>
      </c>
      <c r="K3578" s="180"/>
      <c r="M3578" t="s">
        <v>2246</v>
      </c>
      <c r="N3578" t="s">
        <v>5571</v>
      </c>
      <c r="Q3578" t="str">
        <f t="shared" si="137"/>
        <v>condorProc.py --series 07180917_2127 --donoise --dumps a --procenv environments/pymidas_HVHV_NaI_mf.env</v>
      </c>
    </row>
    <row r="3579" spans="1:17">
      <c r="A3579" s="179" t="s">
        <v>9069</v>
      </c>
      <c r="K3579" s="180"/>
      <c r="M3579" t="s">
        <v>2246</v>
      </c>
      <c r="N3579" t="s">
        <v>5571</v>
      </c>
      <c r="Q3579" t="str">
        <f t="shared" si="137"/>
        <v>condorProc.py --series 07180917_2137 --donoise --dumps a --procenv environments/pymidas_HVHV_NaI_mf.env</v>
      </c>
    </row>
    <row r="3580" spans="1:17">
      <c r="A3580" s="179" t="s">
        <v>9070</v>
      </c>
      <c r="K3580" s="180"/>
      <c r="M3580" t="s">
        <v>2246</v>
      </c>
      <c r="N3580" t="s">
        <v>5571</v>
      </c>
      <c r="Q3580" t="str">
        <f t="shared" si="137"/>
        <v>condorProc.py --series 07180917_2147 --donoise --dumps a --procenv environments/pymidas_HVHV_NaI_mf.env</v>
      </c>
    </row>
    <row r="3581" spans="1:17">
      <c r="A3581" s="179" t="s">
        <v>9071</v>
      </c>
      <c r="K3581" s="180"/>
      <c r="M3581" t="s">
        <v>2246</v>
      </c>
      <c r="N3581" t="s">
        <v>5571</v>
      </c>
      <c r="Q3581" t="str">
        <f t="shared" si="137"/>
        <v>condorProc.py --series 07180917_2158 --donoise --dumps a --procenv environments/pymidas_HVHV_NaI_mf.env</v>
      </c>
    </row>
    <row r="3582" spans="1:17">
      <c r="A3582" s="179" t="s">
        <v>9072</v>
      </c>
      <c r="K3582" s="180"/>
      <c r="M3582" t="s">
        <v>2246</v>
      </c>
      <c r="N3582" t="s">
        <v>5571</v>
      </c>
      <c r="Q3582" t="str">
        <f t="shared" si="137"/>
        <v>condorProc.py --series 07180917_2208 --donoise --dumps a --procenv environments/pymidas_HVHV_NaI_mf.env</v>
      </c>
    </row>
    <row r="3583" spans="1:17">
      <c r="A3583" s="179" t="s">
        <v>9073</v>
      </c>
      <c r="K3583" s="180"/>
      <c r="M3583" t="s">
        <v>2246</v>
      </c>
      <c r="N3583" t="s">
        <v>5571</v>
      </c>
      <c r="Q3583" t="str">
        <f t="shared" si="137"/>
        <v>condorProc.py --series 07180917_2218 --donoise --dumps a --procenv environments/pymidas_HVHV_NaI_mf.env</v>
      </c>
    </row>
    <row r="3584" spans="1:17">
      <c r="A3584" s="179" t="s">
        <v>9074</v>
      </c>
      <c r="K3584" s="180"/>
      <c r="M3584" t="s">
        <v>2246</v>
      </c>
      <c r="N3584" t="s">
        <v>5571</v>
      </c>
      <c r="Q3584" t="str">
        <f t="shared" si="137"/>
        <v>condorProc.py --series 07180917_2228 --donoise --dumps a --procenv environments/pymidas_HVHV_NaI_mf.env</v>
      </c>
    </row>
    <row r="3585" spans="1:17">
      <c r="A3585" s="179" t="s">
        <v>9075</v>
      </c>
      <c r="K3585" s="180"/>
      <c r="M3585" t="s">
        <v>2246</v>
      </c>
      <c r="N3585" t="s">
        <v>5571</v>
      </c>
      <c r="Q3585" t="str">
        <f t="shared" si="137"/>
        <v>condorProc.py --series 07180917_2238 --donoise --dumps a --procenv environments/pymidas_HVHV_NaI_mf.env</v>
      </c>
    </row>
    <row r="3586" spans="1:17">
      <c r="A3586" s="179" t="s">
        <v>9076</v>
      </c>
      <c r="K3586" s="180"/>
      <c r="M3586" t="s">
        <v>2246</v>
      </c>
      <c r="N3586" t="s">
        <v>5571</v>
      </c>
      <c r="Q3586" t="str">
        <f t="shared" si="137"/>
        <v>condorProc.py --series 07180917_2248 --donoise --dumps a --procenv environments/pymidas_HVHV_NaI_mf.env</v>
      </c>
    </row>
    <row r="3587" spans="1:17">
      <c r="A3587" s="179" t="s">
        <v>9077</v>
      </c>
      <c r="I3587" t="s">
        <v>75</v>
      </c>
      <c r="K3587" s="180"/>
      <c r="M3587" t="s">
        <v>2246</v>
      </c>
      <c r="N3587" t="s">
        <v>5571</v>
      </c>
      <c r="Q3587" t="str">
        <f t="shared" si="137"/>
        <v>condorProc.py --series 07180917_2258 --donoise --dumps a --procenv environments/pymidas_HVHV_NaI_mf.env</v>
      </c>
    </row>
    <row r="3588" spans="1:17">
      <c r="A3588" s="179" t="s">
        <v>9078</v>
      </c>
      <c r="K3588" s="180"/>
      <c r="M3588" t="s">
        <v>2246</v>
      </c>
      <c r="N3588" t="s">
        <v>5571</v>
      </c>
      <c r="Q3588" t="str">
        <f t="shared" si="137"/>
        <v>condorProc.py --series 07180917_2308 --donoise --dumps a --procenv environments/pymidas_HVHV_NaI_mf.env</v>
      </c>
    </row>
    <row r="3589" spans="1:17">
      <c r="A3589" s="179" t="s">
        <v>9079</v>
      </c>
      <c r="K3589" s="180"/>
      <c r="M3589" t="s">
        <v>2246</v>
      </c>
      <c r="N3589" t="s">
        <v>5571</v>
      </c>
      <c r="Q3589" t="str">
        <f t="shared" si="137"/>
        <v>condorProc.py --series 07180917_2318 --donoise --dumps a --procenv environments/pymidas_HVHV_NaI_mf.env</v>
      </c>
    </row>
    <row r="3590" spans="1:17">
      <c r="A3590" s="179" t="s">
        <v>9080</v>
      </c>
      <c r="K3590" s="180"/>
      <c r="M3590" t="s">
        <v>2246</v>
      </c>
      <c r="N3590" t="s">
        <v>5571</v>
      </c>
      <c r="Q3590" t="str">
        <f t="shared" si="137"/>
        <v>condorProc.py --series 07180917_2329 --donoise --dumps a --procenv environments/pymidas_HVHV_NaI_mf.env</v>
      </c>
    </row>
    <row r="3591" spans="1:17">
      <c r="A3591" s="179" t="s">
        <v>9081</v>
      </c>
      <c r="K3591" s="180"/>
      <c r="M3591" t="s">
        <v>2246</v>
      </c>
      <c r="N3591" t="s">
        <v>5571</v>
      </c>
      <c r="Q3591" t="str">
        <f t="shared" si="137"/>
        <v>condorProc.py --series 07180917_2339 --donoise --dumps a --procenv environments/pymidas_HVHV_NaI_mf.env</v>
      </c>
    </row>
    <row r="3592" spans="1:17">
      <c r="A3592" s="179" t="s">
        <v>9082</v>
      </c>
      <c r="K3592" s="180"/>
      <c r="M3592" t="s">
        <v>2246</v>
      </c>
      <c r="N3592" t="s">
        <v>5571</v>
      </c>
      <c r="Q3592" t="str">
        <f t="shared" si="137"/>
        <v>condorProc.py --series 07180917_2349 --donoise --dumps a --procenv environments/pymidas_HVHV_NaI_mf.env</v>
      </c>
    </row>
    <row r="3593" spans="1:17">
      <c r="A3593" s="179" t="s">
        <v>9083</v>
      </c>
      <c r="K3593" s="180"/>
      <c r="M3593" t="s">
        <v>2246</v>
      </c>
      <c r="N3593" t="s">
        <v>5571</v>
      </c>
      <c r="Q3593" t="str">
        <f t="shared" si="137"/>
        <v>condorProc.py --series 07180917_2359 --donoise --dumps a --procenv environments/pymidas_HVHV_NaI_mf.env</v>
      </c>
    </row>
    <row r="3594" spans="1:17">
      <c r="A3594" s="179" t="s">
        <v>9084</v>
      </c>
      <c r="K3594" s="180"/>
      <c r="M3594" t="s">
        <v>2246</v>
      </c>
      <c r="N3594" t="s">
        <v>5571</v>
      </c>
      <c r="Q3594" t="str">
        <f t="shared" si="137"/>
        <v>condorProc.py --series 07180918_0009 --donoise --dumps a --procenv environments/pymidas_HVHV_NaI_mf.env</v>
      </c>
    </row>
    <row r="3595" spans="1:17">
      <c r="A3595" s="179" t="s">
        <v>9085</v>
      </c>
      <c r="K3595" s="180"/>
      <c r="M3595" t="s">
        <v>2246</v>
      </c>
      <c r="N3595" t="s">
        <v>5571</v>
      </c>
      <c r="Q3595" t="str">
        <f t="shared" si="137"/>
        <v>condorProc.py --series 07180918_0019 --donoise --dumps a --procenv environments/pymidas_HVHV_NaI_mf.env</v>
      </c>
    </row>
    <row r="3596" spans="1:17">
      <c r="A3596" s="179" t="s">
        <v>9086</v>
      </c>
      <c r="K3596" s="180"/>
      <c r="M3596" t="s">
        <v>2246</v>
      </c>
      <c r="N3596" t="s">
        <v>5571</v>
      </c>
      <c r="Q3596" t="str">
        <f t="shared" si="137"/>
        <v>condorProc.py --series 07180918_0029 --donoise --dumps a --procenv environments/pymidas_HVHV_NaI_mf.env</v>
      </c>
    </row>
    <row r="3597" spans="1:17">
      <c r="A3597" s="179" t="s">
        <v>9087</v>
      </c>
      <c r="K3597" s="180"/>
      <c r="M3597" t="s">
        <v>2246</v>
      </c>
      <c r="N3597" t="s">
        <v>5571</v>
      </c>
      <c r="Q3597" t="str">
        <f t="shared" si="137"/>
        <v>condorProc.py --series 07180918_0039 --donoise --dumps a --procenv environments/pymidas_HVHV_NaI_mf.env</v>
      </c>
    </row>
    <row r="3598" spans="1:17">
      <c r="A3598" s="179" t="s">
        <v>9088</v>
      </c>
      <c r="K3598" s="180"/>
      <c r="M3598" t="s">
        <v>2246</v>
      </c>
      <c r="N3598" t="s">
        <v>5571</v>
      </c>
      <c r="Q3598" t="str">
        <f t="shared" si="137"/>
        <v>condorProc.py --series 07180918_0049 --donoise --dumps a --procenv environments/pymidas_HVHV_NaI_mf.env</v>
      </c>
    </row>
    <row r="3599" spans="1:17">
      <c r="A3599" s="179" t="s">
        <v>9089</v>
      </c>
      <c r="K3599" s="180"/>
      <c r="M3599" t="s">
        <v>2246</v>
      </c>
      <c r="N3599" t="s">
        <v>5571</v>
      </c>
      <c r="Q3599" t="str">
        <f t="shared" si="137"/>
        <v>condorProc.py --series 07180918_0100 --donoise --dumps a --procenv environments/pymidas_HVHV_NaI_mf.env</v>
      </c>
    </row>
    <row r="3600" spans="1:17">
      <c r="A3600" s="179" t="s">
        <v>9090</v>
      </c>
      <c r="K3600" s="180"/>
      <c r="M3600" t="s">
        <v>2246</v>
      </c>
      <c r="N3600" t="s">
        <v>5571</v>
      </c>
      <c r="Q3600" t="str">
        <f t="shared" si="137"/>
        <v>condorProc.py --series 07180918_0110 --donoise --dumps a --procenv environments/pymidas_HVHV_NaI_mf.env</v>
      </c>
    </row>
    <row r="3601" spans="1:17">
      <c r="A3601" s="179" t="s">
        <v>9091</v>
      </c>
      <c r="K3601" s="180"/>
      <c r="M3601" t="s">
        <v>2246</v>
      </c>
      <c r="N3601" t="s">
        <v>5571</v>
      </c>
      <c r="Q3601" t="str">
        <f t="shared" si="137"/>
        <v>condorProc.py --series 07180918_0120 --donoise --dumps a --procenv environments/pymidas_HVHV_NaI_mf.env</v>
      </c>
    </row>
    <row r="3602" spans="1:17">
      <c r="A3602" s="179" t="s">
        <v>9092</v>
      </c>
      <c r="K3602" s="180"/>
      <c r="M3602" t="s">
        <v>2246</v>
      </c>
      <c r="N3602" t="s">
        <v>5571</v>
      </c>
      <c r="Q3602" t="str">
        <f t="shared" si="137"/>
        <v>condorProc.py --series 07180918_0130 --donoise --dumps a --procenv environments/pymidas_HVHV_NaI_mf.env</v>
      </c>
    </row>
    <row r="3603" spans="1:17">
      <c r="A3603" s="179" t="s">
        <v>9093</v>
      </c>
      <c r="K3603" s="180"/>
      <c r="M3603" t="s">
        <v>2246</v>
      </c>
      <c r="N3603" t="s">
        <v>5571</v>
      </c>
      <c r="Q3603" t="str">
        <f t="shared" si="137"/>
        <v>condorProc.py --series 07180918_0140 --donoise --dumps a --procenv environments/pymidas_HVHV_NaI_mf.env</v>
      </c>
    </row>
    <row r="3604" spans="1:17">
      <c r="A3604" s="179" t="s">
        <v>9094</v>
      </c>
      <c r="K3604" s="180"/>
      <c r="M3604" t="s">
        <v>2246</v>
      </c>
      <c r="N3604" t="s">
        <v>5571</v>
      </c>
      <c r="Q3604" t="str">
        <f t="shared" si="137"/>
        <v>condorProc.py --series 07180918_0150 --donoise --dumps a --procenv environments/pymidas_HVHV_NaI_mf.env</v>
      </c>
    </row>
    <row r="3605" spans="1:17">
      <c r="A3605" s="179" t="s">
        <v>9095</v>
      </c>
      <c r="K3605" s="180"/>
      <c r="M3605" t="s">
        <v>2246</v>
      </c>
      <c r="N3605" t="s">
        <v>5571</v>
      </c>
      <c r="Q3605" t="str">
        <f t="shared" si="137"/>
        <v>condorProc.py --series 07180918_0200 --donoise --dumps a --procenv environments/pymidas_HVHV_NaI_mf.env</v>
      </c>
    </row>
    <row r="3606" spans="1:17">
      <c r="A3606" s="179" t="s">
        <v>9096</v>
      </c>
      <c r="K3606" s="180"/>
      <c r="M3606" t="s">
        <v>2246</v>
      </c>
      <c r="N3606" t="s">
        <v>5571</v>
      </c>
      <c r="Q3606" t="str">
        <f t="shared" si="137"/>
        <v>condorProc.py --series 07180918_0210 --donoise --dumps a --procenv environments/pymidas_HVHV_NaI_mf.env</v>
      </c>
    </row>
    <row r="3607" spans="1:17">
      <c r="A3607" s="179" t="s">
        <v>9097</v>
      </c>
      <c r="K3607" s="180"/>
      <c r="M3607" t="s">
        <v>2246</v>
      </c>
      <c r="N3607" t="s">
        <v>5571</v>
      </c>
      <c r="Q3607" t="str">
        <f t="shared" si="137"/>
        <v>condorProc.py --series 07180918_0220 --donoise --dumps a --procenv environments/pymidas_HVHV_NaI_mf.env</v>
      </c>
    </row>
    <row r="3608" spans="1:17">
      <c r="A3608" s="179" t="s">
        <v>9098</v>
      </c>
      <c r="K3608" s="180"/>
      <c r="M3608" t="s">
        <v>2246</v>
      </c>
      <c r="N3608" t="s">
        <v>5571</v>
      </c>
      <c r="Q3608" t="str">
        <f t="shared" si="137"/>
        <v>condorProc.py --series 07180918_0230 --donoise --dumps a --procenv environments/pymidas_HVHV_NaI_mf.env</v>
      </c>
    </row>
    <row r="3609" spans="1:17">
      <c r="A3609" s="179" t="s">
        <v>9099</v>
      </c>
      <c r="K3609" s="180"/>
      <c r="M3609" t="s">
        <v>2246</v>
      </c>
      <c r="N3609" t="s">
        <v>5571</v>
      </c>
      <c r="Q3609" t="str">
        <f t="shared" si="137"/>
        <v>condorProc.py --series 07180918_0241 --donoise --dumps a --procenv environments/pymidas_HVHV_NaI_mf.env</v>
      </c>
    </row>
    <row r="3610" spans="1:17">
      <c r="A3610" s="179" t="s">
        <v>9100</v>
      </c>
      <c r="K3610" s="180"/>
      <c r="M3610" t="s">
        <v>2246</v>
      </c>
      <c r="N3610" t="s">
        <v>5571</v>
      </c>
      <c r="Q3610" t="str">
        <f t="shared" si="137"/>
        <v>condorProc.py --series 07180918_0251 --donoise --dumps a --procenv environments/pymidas_HVHV_NaI_mf.env</v>
      </c>
    </row>
    <row r="3611" spans="1:17">
      <c r="A3611" s="179" t="s">
        <v>9101</v>
      </c>
      <c r="K3611" s="180"/>
      <c r="M3611" t="s">
        <v>2246</v>
      </c>
      <c r="N3611" t="s">
        <v>5571</v>
      </c>
      <c r="Q3611" t="str">
        <f t="shared" si="137"/>
        <v>condorProc.py --series 07180918_0301 --donoise --dumps a --procenv environments/pymidas_HVHV_NaI_mf.env</v>
      </c>
    </row>
    <row r="3612" spans="1:17">
      <c r="A3612" s="179" t="s">
        <v>9102</v>
      </c>
      <c r="K3612" s="180"/>
      <c r="M3612" t="s">
        <v>2246</v>
      </c>
      <c r="N3612" t="s">
        <v>5571</v>
      </c>
      <c r="Q3612" t="str">
        <f t="shared" si="137"/>
        <v>condorProc.py --series 07180918_0311 --donoise --dumps a --procenv environments/pymidas_HVHV_NaI_mf.env</v>
      </c>
    </row>
    <row r="3613" spans="1:17">
      <c r="A3613" s="179" t="s">
        <v>9103</v>
      </c>
      <c r="K3613" s="180"/>
      <c r="M3613" t="s">
        <v>2246</v>
      </c>
      <c r="N3613" t="s">
        <v>5571</v>
      </c>
      <c r="Q3613" t="str">
        <f t="shared" si="137"/>
        <v>condorProc.py --series 07180918_0321 --donoise --dumps a --procenv environments/pymidas_HVHV_NaI_mf.env</v>
      </c>
    </row>
    <row r="3614" spans="1:17">
      <c r="A3614" s="179" t="s">
        <v>9104</v>
      </c>
      <c r="K3614" s="180"/>
      <c r="M3614" t="s">
        <v>2246</v>
      </c>
      <c r="N3614" t="s">
        <v>5571</v>
      </c>
      <c r="Q3614" t="str">
        <f t="shared" si="137"/>
        <v>condorProc.py --series 07180918_0331 --donoise --dumps a --procenv environments/pymidas_HVHV_NaI_mf.env</v>
      </c>
    </row>
    <row r="3615" spans="1:17">
      <c r="A3615" s="179" t="s">
        <v>9105</v>
      </c>
      <c r="K3615" s="180"/>
      <c r="M3615" t="s">
        <v>2246</v>
      </c>
      <c r="N3615" t="s">
        <v>5571</v>
      </c>
      <c r="Q3615" t="str">
        <f t="shared" si="137"/>
        <v>condorProc.py --series 07180918_0341 --donoise --dumps a --procenv environments/pymidas_HVHV_NaI_mf.env</v>
      </c>
    </row>
    <row r="3616" spans="1:17">
      <c r="A3616" s="179" t="s">
        <v>9106</v>
      </c>
      <c r="K3616" s="180"/>
      <c r="M3616" t="s">
        <v>2246</v>
      </c>
      <c r="N3616" t="s">
        <v>5571</v>
      </c>
      <c r="Q3616" t="str">
        <f t="shared" si="137"/>
        <v>condorProc.py --series 07180918_0351 --donoise --dumps a --procenv environments/pymidas_HVHV_NaI_mf.env</v>
      </c>
    </row>
    <row r="3617" spans="1:17">
      <c r="A3617" s="179" t="s">
        <v>9107</v>
      </c>
      <c r="K3617" s="180"/>
      <c r="M3617" t="s">
        <v>2246</v>
      </c>
      <c r="N3617" t="s">
        <v>5571</v>
      </c>
      <c r="Q3617" t="str">
        <f t="shared" ref="Q3617:Q3680" si="138">"condorProc.py --series "&amp;A3617&amp;" --donoise --dumps a --procenv environments/pymidas_HVHV_NaI_mf.env"</f>
        <v>condorProc.py --series 07180918_0401 --donoise --dumps a --procenv environments/pymidas_HVHV_NaI_mf.env</v>
      </c>
    </row>
    <row r="3618" spans="1:17">
      <c r="A3618" s="179" t="s">
        <v>9108</v>
      </c>
      <c r="K3618" s="180"/>
      <c r="M3618" t="s">
        <v>2246</v>
      </c>
      <c r="N3618" t="s">
        <v>5571</v>
      </c>
      <c r="Q3618" t="str">
        <f t="shared" si="138"/>
        <v>condorProc.py --series 07180918_0411 --donoise --dumps a --procenv environments/pymidas_HVHV_NaI_mf.env</v>
      </c>
    </row>
    <row r="3619" spans="1:17">
      <c r="A3619" s="179" t="s">
        <v>9109</v>
      </c>
      <c r="K3619" s="180"/>
      <c r="M3619" t="s">
        <v>2246</v>
      </c>
      <c r="N3619" t="s">
        <v>5571</v>
      </c>
      <c r="Q3619" t="str">
        <f t="shared" si="138"/>
        <v>condorProc.py --series 07180918_0422 --donoise --dumps a --procenv environments/pymidas_HVHV_NaI_mf.env</v>
      </c>
    </row>
    <row r="3620" spans="1:17">
      <c r="A3620" s="179" t="s">
        <v>9110</v>
      </c>
      <c r="K3620" s="180"/>
      <c r="M3620" t="s">
        <v>2246</v>
      </c>
      <c r="N3620" t="s">
        <v>5571</v>
      </c>
      <c r="Q3620" t="str">
        <f t="shared" si="138"/>
        <v>condorProc.py --series 07180918_0432 --donoise --dumps a --procenv environments/pymidas_HVHV_NaI_mf.env</v>
      </c>
    </row>
    <row r="3621" spans="1:17">
      <c r="A3621" s="179" t="s">
        <v>9111</v>
      </c>
      <c r="K3621" s="180"/>
      <c r="M3621" t="s">
        <v>2246</v>
      </c>
      <c r="N3621" t="s">
        <v>5571</v>
      </c>
      <c r="Q3621" t="str">
        <f t="shared" si="138"/>
        <v>condorProc.py --series 07180918_0442 --donoise --dumps a --procenv environments/pymidas_HVHV_NaI_mf.env</v>
      </c>
    </row>
    <row r="3622" spans="1:17">
      <c r="A3622" s="179" t="s">
        <v>9112</v>
      </c>
      <c r="K3622" s="180"/>
      <c r="M3622" t="s">
        <v>2246</v>
      </c>
      <c r="N3622" t="s">
        <v>5571</v>
      </c>
      <c r="Q3622" t="str">
        <f t="shared" si="138"/>
        <v>condorProc.py --series 07180918_0452 --donoise --dumps a --procenv environments/pymidas_HVHV_NaI_mf.env</v>
      </c>
    </row>
    <row r="3623" spans="1:17">
      <c r="A3623" s="179" t="s">
        <v>9113</v>
      </c>
      <c r="K3623" s="180"/>
      <c r="M3623" t="s">
        <v>2246</v>
      </c>
      <c r="N3623" t="s">
        <v>5571</v>
      </c>
      <c r="Q3623" t="str">
        <f t="shared" si="138"/>
        <v>condorProc.py --series 07180918_0502 --donoise --dumps a --procenv environments/pymidas_HVHV_NaI_mf.env</v>
      </c>
    </row>
    <row r="3624" spans="1:17">
      <c r="A3624" s="179" t="s">
        <v>9114</v>
      </c>
      <c r="K3624" s="180"/>
      <c r="M3624" t="s">
        <v>2246</v>
      </c>
      <c r="N3624" t="s">
        <v>5571</v>
      </c>
      <c r="Q3624" t="str">
        <f t="shared" si="138"/>
        <v>condorProc.py --series 07180918_0512 --donoise --dumps a --procenv environments/pymidas_HVHV_NaI_mf.env</v>
      </c>
    </row>
    <row r="3625" spans="1:17">
      <c r="A3625" s="179" t="s">
        <v>9115</v>
      </c>
      <c r="K3625" s="180"/>
      <c r="M3625" t="s">
        <v>2246</v>
      </c>
      <c r="N3625" t="s">
        <v>5571</v>
      </c>
      <c r="Q3625" t="str">
        <f t="shared" si="138"/>
        <v>condorProc.py --series 07180918_0522 --donoise --dumps a --procenv environments/pymidas_HVHV_NaI_mf.env</v>
      </c>
    </row>
    <row r="3626" spans="1:17">
      <c r="A3626" s="179" t="s">
        <v>9116</v>
      </c>
      <c r="K3626" s="180"/>
      <c r="M3626" t="s">
        <v>2246</v>
      </c>
      <c r="N3626" t="s">
        <v>5571</v>
      </c>
      <c r="Q3626" t="str">
        <f t="shared" si="138"/>
        <v>condorProc.py --series 07180918_0532 --donoise --dumps a --procenv environments/pymidas_HVHV_NaI_mf.env</v>
      </c>
    </row>
    <row r="3627" spans="1:17">
      <c r="A3627" s="179" t="s">
        <v>9117</v>
      </c>
      <c r="K3627" s="180"/>
      <c r="M3627" t="s">
        <v>2246</v>
      </c>
      <c r="N3627" t="s">
        <v>5571</v>
      </c>
      <c r="Q3627" t="str">
        <f t="shared" si="138"/>
        <v>condorProc.py --series 07180918_0542 --donoise --dumps a --procenv environments/pymidas_HVHV_NaI_mf.env</v>
      </c>
    </row>
    <row r="3628" spans="1:17">
      <c r="A3628" s="179" t="s">
        <v>9118</v>
      </c>
      <c r="K3628" s="180"/>
      <c r="M3628" t="s">
        <v>2246</v>
      </c>
      <c r="N3628" t="s">
        <v>5571</v>
      </c>
      <c r="Q3628" t="str">
        <f t="shared" si="138"/>
        <v>condorProc.py --series 07180918_0552 --donoise --dumps a --procenv environments/pymidas_HVHV_NaI_mf.env</v>
      </c>
    </row>
    <row r="3629" spans="1:17">
      <c r="A3629" s="179" t="s">
        <v>9119</v>
      </c>
      <c r="K3629" s="180"/>
      <c r="M3629" t="s">
        <v>2246</v>
      </c>
      <c r="N3629" t="s">
        <v>5571</v>
      </c>
      <c r="Q3629" t="str">
        <f t="shared" si="138"/>
        <v>condorProc.py --series 07180918_0603 --donoise --dumps a --procenv environments/pymidas_HVHV_NaI_mf.env</v>
      </c>
    </row>
    <row r="3630" spans="1:17">
      <c r="A3630" s="179" t="s">
        <v>9120</v>
      </c>
      <c r="K3630" s="180"/>
      <c r="M3630" t="s">
        <v>2246</v>
      </c>
      <c r="N3630" t="s">
        <v>5571</v>
      </c>
      <c r="Q3630" t="str">
        <f t="shared" si="138"/>
        <v>condorProc.py --series 07180918_0613 --donoise --dumps a --procenv environments/pymidas_HVHV_NaI_mf.env</v>
      </c>
    </row>
    <row r="3631" spans="1:17">
      <c r="A3631" s="179" t="s">
        <v>9121</v>
      </c>
      <c r="K3631" s="180"/>
      <c r="M3631" t="s">
        <v>2246</v>
      </c>
      <c r="N3631" t="s">
        <v>5571</v>
      </c>
      <c r="Q3631" t="str">
        <f t="shared" si="138"/>
        <v>condorProc.py --series 07180918_0623 --donoise --dumps a --procenv environments/pymidas_HVHV_NaI_mf.env</v>
      </c>
    </row>
    <row r="3632" spans="1:17">
      <c r="A3632" s="179" t="s">
        <v>9122</v>
      </c>
      <c r="K3632" s="180"/>
      <c r="M3632" t="s">
        <v>2246</v>
      </c>
      <c r="N3632" t="s">
        <v>5571</v>
      </c>
      <c r="Q3632" t="str">
        <f t="shared" si="138"/>
        <v>condorProc.py --series 07180918_0633 --donoise --dumps a --procenv environments/pymidas_HVHV_NaI_mf.env</v>
      </c>
    </row>
    <row r="3633" spans="1:17">
      <c r="A3633" s="181" t="s">
        <v>9123</v>
      </c>
      <c r="B3633" s="65"/>
      <c r="C3633" s="65"/>
      <c r="D3633" s="65"/>
      <c r="E3633" s="65"/>
      <c r="F3633" s="65"/>
      <c r="G3633" s="65"/>
      <c r="H3633" s="65"/>
      <c r="I3633" s="65" t="s">
        <v>75</v>
      </c>
      <c r="J3633" s="65"/>
      <c r="K3633" s="182"/>
      <c r="M3633" t="s">
        <v>2246</v>
      </c>
      <c r="N3633" t="s">
        <v>5571</v>
      </c>
      <c r="Q3633" t="str">
        <f t="shared" si="138"/>
        <v>condorProc.py --series 07180918_0643 --donoise --dumps a --procenv environments/pymidas_HVHV_NaI_mf.env</v>
      </c>
    </row>
    <row r="3634" spans="1:17">
      <c r="A3634" s="179" t="s">
        <v>9124</v>
      </c>
      <c r="F3634" s="177">
        <v>10</v>
      </c>
      <c r="G3634" s="177" t="s">
        <v>18</v>
      </c>
      <c r="H3634" s="227" t="s">
        <v>9125</v>
      </c>
      <c r="I3634" s="177"/>
      <c r="J3634" s="177" t="s">
        <v>5577</v>
      </c>
      <c r="K3634" s="178" t="s">
        <v>5583</v>
      </c>
      <c r="M3634" t="s">
        <v>2246</v>
      </c>
      <c r="N3634" t="s">
        <v>5571</v>
      </c>
      <c r="Q3634" t="str">
        <f t="shared" si="138"/>
        <v>condorProc.py --series 07180918_1741 --donoise --dumps a --procenv environments/pymidas_HVHV_NaI_mf.env</v>
      </c>
    </row>
    <row r="3635" spans="1:17">
      <c r="A3635" s="179" t="s">
        <v>9126</v>
      </c>
      <c r="J3635" t="s">
        <v>5585</v>
      </c>
      <c r="K3635" s="218" t="s">
        <v>5586</v>
      </c>
      <c r="M3635" t="s">
        <v>2246</v>
      </c>
      <c r="N3635" t="s">
        <v>5571</v>
      </c>
      <c r="Q3635" t="str">
        <f t="shared" si="138"/>
        <v>condorProc.py --series 07180918_1751 --donoise --dumps a --procenv environments/pymidas_HVHV_NaI_mf.env</v>
      </c>
    </row>
    <row r="3636" spans="1:17">
      <c r="A3636" s="179" t="s">
        <v>9127</v>
      </c>
      <c r="K3636" s="219" t="s">
        <v>8388</v>
      </c>
      <c r="M3636" t="s">
        <v>2246</v>
      </c>
      <c r="N3636" t="s">
        <v>5571</v>
      </c>
      <c r="Q3636" t="str">
        <f t="shared" si="138"/>
        <v>condorProc.py --series 07180918_1801 --donoise --dumps a --procenv environments/pymidas_HVHV_NaI_mf.env</v>
      </c>
    </row>
    <row r="3637" spans="1:17">
      <c r="A3637" s="179" t="s">
        <v>9128</v>
      </c>
      <c r="K3637" s="180"/>
      <c r="M3637" t="s">
        <v>2246</v>
      </c>
      <c r="N3637" t="s">
        <v>5571</v>
      </c>
      <c r="Q3637" t="str">
        <f t="shared" si="138"/>
        <v>condorProc.py --series 07180918_1811 --donoise --dumps a --procenv environments/pymidas_HVHV_NaI_mf.env</v>
      </c>
    </row>
    <row r="3638" spans="1:17">
      <c r="A3638" s="179" t="s">
        <v>9129</v>
      </c>
      <c r="K3638" s="180"/>
      <c r="M3638" t="s">
        <v>2246</v>
      </c>
      <c r="N3638" t="s">
        <v>5571</v>
      </c>
      <c r="Q3638" t="str">
        <f t="shared" si="138"/>
        <v>condorProc.py --series 07180918_1821 --donoise --dumps a --procenv environments/pymidas_HVHV_NaI_mf.env</v>
      </c>
    </row>
    <row r="3639" spans="1:17">
      <c r="A3639" s="179" t="s">
        <v>9130</v>
      </c>
      <c r="K3639" s="180" t="s">
        <v>9041</v>
      </c>
      <c r="M3639" t="s">
        <v>2246</v>
      </c>
      <c r="N3639" t="s">
        <v>5571</v>
      </c>
      <c r="Q3639" t="str">
        <f t="shared" si="138"/>
        <v>condorProc.py --series 07180918_1831 --donoise --dumps a --procenv environments/pymidas_HVHV_NaI_mf.env</v>
      </c>
    </row>
    <row r="3640" spans="1:17">
      <c r="A3640" s="179" t="s">
        <v>9131</v>
      </c>
      <c r="K3640" s="180" t="s">
        <v>9043</v>
      </c>
      <c r="M3640" t="s">
        <v>2246</v>
      </c>
      <c r="N3640" t="s">
        <v>5571</v>
      </c>
      <c r="Q3640" t="str">
        <f t="shared" si="138"/>
        <v>condorProc.py --series 07180918_1841 --donoise --dumps a --procenv environments/pymidas_HVHV_NaI_mf.env</v>
      </c>
    </row>
    <row r="3641" spans="1:17">
      <c r="A3641" s="179" t="s">
        <v>9132</v>
      </c>
      <c r="K3641" s="180" t="s">
        <v>9045</v>
      </c>
      <c r="M3641" t="s">
        <v>2246</v>
      </c>
      <c r="N3641" t="s">
        <v>5571</v>
      </c>
      <c r="Q3641" t="str">
        <f t="shared" si="138"/>
        <v>condorProc.py --series 07180918_1852 --donoise --dumps a --procenv environments/pymidas_HVHV_NaI_mf.env</v>
      </c>
    </row>
    <row r="3642" spans="1:17">
      <c r="A3642" s="179" t="s">
        <v>9133</v>
      </c>
      <c r="K3642" s="180" t="s">
        <v>9047</v>
      </c>
      <c r="M3642" t="s">
        <v>2246</v>
      </c>
      <c r="N3642" t="s">
        <v>5571</v>
      </c>
      <c r="Q3642" t="str">
        <f t="shared" si="138"/>
        <v>condorProc.py --series 07180918_1902 --donoise --dumps a --procenv environments/pymidas_HVHV_NaI_mf.env</v>
      </c>
    </row>
    <row r="3643" spans="1:17">
      <c r="A3643" s="179" t="s">
        <v>9134</v>
      </c>
      <c r="K3643" s="180" t="s">
        <v>9135</v>
      </c>
      <c r="M3643" t="s">
        <v>2246</v>
      </c>
      <c r="N3643" t="s">
        <v>5571</v>
      </c>
      <c r="Q3643" t="str">
        <f t="shared" si="138"/>
        <v>condorProc.py --series 07180918_1912 --donoise --dumps a --procenv environments/pymidas_HVHV_NaI_mf.env</v>
      </c>
    </row>
    <row r="3644" spans="1:17">
      <c r="A3644" s="179" t="s">
        <v>9136</v>
      </c>
      <c r="K3644" s="180"/>
      <c r="M3644" t="s">
        <v>2246</v>
      </c>
      <c r="N3644" t="s">
        <v>5571</v>
      </c>
      <c r="Q3644" t="str">
        <f t="shared" si="138"/>
        <v>condorProc.py --series 07180918_1922 --donoise --dumps a --procenv environments/pymidas_HVHV_NaI_mf.env</v>
      </c>
    </row>
    <row r="3645" spans="1:17">
      <c r="A3645" s="179" t="s">
        <v>9137</v>
      </c>
      <c r="K3645" s="180"/>
      <c r="M3645" t="s">
        <v>2246</v>
      </c>
      <c r="N3645" t="s">
        <v>5571</v>
      </c>
      <c r="Q3645" t="str">
        <f t="shared" si="138"/>
        <v>condorProc.py --series 07180918_1932 --donoise --dumps a --procenv environments/pymidas_HVHV_NaI_mf.env</v>
      </c>
    </row>
    <row r="3646" spans="1:17">
      <c r="A3646" s="179" t="s">
        <v>9138</v>
      </c>
      <c r="K3646" s="180"/>
      <c r="M3646" t="s">
        <v>7561</v>
      </c>
      <c r="N3646" t="s">
        <v>5571</v>
      </c>
      <c r="Q3646" t="str">
        <f t="shared" si="138"/>
        <v>condorProc.py --series 07180918_1942 --donoise --dumps a --procenv environments/pymidas_HVHV_NaI_mf.env</v>
      </c>
    </row>
    <row r="3647" spans="1:17">
      <c r="A3647" s="179" t="s">
        <v>9139</v>
      </c>
      <c r="K3647" s="180"/>
      <c r="M3647" t="s">
        <v>7561</v>
      </c>
      <c r="N3647" t="s">
        <v>5571</v>
      </c>
      <c r="Q3647" t="str">
        <f t="shared" si="138"/>
        <v>condorProc.py --series 07180918_1952 --donoise --dumps a --procenv environments/pymidas_HVHV_NaI_mf.env</v>
      </c>
    </row>
    <row r="3648" spans="1:17">
      <c r="A3648" s="179" t="s">
        <v>9140</v>
      </c>
      <c r="K3648" s="180"/>
      <c r="M3648" t="s">
        <v>7561</v>
      </c>
      <c r="N3648" t="s">
        <v>5571</v>
      </c>
      <c r="Q3648" t="str">
        <f t="shared" si="138"/>
        <v>condorProc.py --series 07180918_2002 --donoise --dumps a --procenv environments/pymidas_HVHV_NaI_mf.env</v>
      </c>
    </row>
    <row r="3649" spans="1:17">
      <c r="A3649" s="179" t="s">
        <v>9141</v>
      </c>
      <c r="K3649" s="180"/>
      <c r="M3649" t="s">
        <v>7561</v>
      </c>
      <c r="N3649" t="s">
        <v>5571</v>
      </c>
      <c r="Q3649" t="str">
        <f t="shared" si="138"/>
        <v>condorProc.py --series 07180918_2012 --donoise --dumps a --procenv environments/pymidas_HVHV_NaI_mf.env</v>
      </c>
    </row>
    <row r="3650" spans="1:17">
      <c r="A3650" s="179" t="s">
        <v>9142</v>
      </c>
      <c r="K3650" s="180"/>
      <c r="M3650" t="s">
        <v>7561</v>
      </c>
      <c r="N3650" t="s">
        <v>5571</v>
      </c>
      <c r="Q3650" t="str">
        <f t="shared" si="138"/>
        <v>condorProc.py --series 07180918_2023 --donoise --dumps a --procenv environments/pymidas_HVHV_NaI_mf.env</v>
      </c>
    </row>
    <row r="3651" spans="1:17">
      <c r="A3651" s="179" t="s">
        <v>9143</v>
      </c>
      <c r="K3651" s="180"/>
      <c r="M3651" t="s">
        <v>7561</v>
      </c>
      <c r="N3651" t="s">
        <v>5571</v>
      </c>
      <c r="Q3651" t="str">
        <f t="shared" si="138"/>
        <v>condorProc.py --series 07180918_2033 --donoise --dumps a --procenv environments/pymidas_HVHV_NaI_mf.env</v>
      </c>
    </row>
    <row r="3652" spans="1:17">
      <c r="A3652" s="179" t="s">
        <v>9144</v>
      </c>
      <c r="K3652" s="180"/>
      <c r="M3652" t="s">
        <v>7561</v>
      </c>
      <c r="N3652" t="s">
        <v>5571</v>
      </c>
      <c r="Q3652" t="str">
        <f t="shared" si="138"/>
        <v>condorProc.py --series 07180918_2043 --donoise --dumps a --procenv environments/pymidas_HVHV_NaI_mf.env</v>
      </c>
    </row>
    <row r="3653" spans="1:17">
      <c r="A3653" s="179" t="s">
        <v>9145</v>
      </c>
      <c r="K3653" s="180"/>
      <c r="M3653" t="s">
        <v>7561</v>
      </c>
      <c r="N3653" t="s">
        <v>5571</v>
      </c>
      <c r="Q3653" t="str">
        <f t="shared" si="138"/>
        <v>condorProc.py --series 07180918_2053 --donoise --dumps a --procenv environments/pymidas_HVHV_NaI_mf.env</v>
      </c>
    </row>
    <row r="3654" spans="1:17">
      <c r="A3654" s="179" t="s">
        <v>9146</v>
      </c>
      <c r="K3654" s="180"/>
      <c r="M3654" t="s">
        <v>7561</v>
      </c>
      <c r="N3654" t="s">
        <v>5571</v>
      </c>
      <c r="Q3654" t="str">
        <f t="shared" si="138"/>
        <v>condorProc.py --series 07180918_2103 --donoise --dumps a --procenv environments/pymidas_HVHV_NaI_mf.env</v>
      </c>
    </row>
    <row r="3655" spans="1:17">
      <c r="A3655" s="179" t="s">
        <v>9147</v>
      </c>
      <c r="I3655" t="s">
        <v>75</v>
      </c>
      <c r="K3655" s="180"/>
      <c r="M3655" t="s">
        <v>7561</v>
      </c>
      <c r="N3655" t="s">
        <v>5571</v>
      </c>
      <c r="Q3655" t="str">
        <f t="shared" si="138"/>
        <v>condorProc.py --series 07180918_2113 --donoise --dumps a --procenv environments/pymidas_HVHV_NaI_mf.env</v>
      </c>
    </row>
    <row r="3656" spans="1:17">
      <c r="A3656" s="179" t="s">
        <v>9148</v>
      </c>
      <c r="K3656" s="180"/>
      <c r="M3656" t="s">
        <v>7561</v>
      </c>
      <c r="N3656" t="s">
        <v>5571</v>
      </c>
      <c r="Q3656" t="str">
        <f t="shared" si="138"/>
        <v>condorProc.py --series 07180918_2123 --donoise --dumps a --procenv environments/pymidas_HVHV_NaI_mf.env</v>
      </c>
    </row>
    <row r="3657" spans="1:17">
      <c r="A3657" s="179" t="s">
        <v>9149</v>
      </c>
      <c r="K3657" s="180"/>
      <c r="M3657" t="s">
        <v>7561</v>
      </c>
      <c r="N3657" t="s">
        <v>5571</v>
      </c>
      <c r="Q3657" t="str">
        <f t="shared" si="138"/>
        <v>condorProc.py --series 07180918_2133 --donoise --dumps a --procenv environments/pymidas_HVHV_NaI_mf.env</v>
      </c>
    </row>
    <row r="3658" spans="1:17">
      <c r="A3658" s="179" t="s">
        <v>9150</v>
      </c>
      <c r="K3658" s="180"/>
      <c r="M3658" t="s">
        <v>2246</v>
      </c>
      <c r="N3658" t="s">
        <v>5571</v>
      </c>
      <c r="Q3658" t="str">
        <f t="shared" si="138"/>
        <v>condorProc.py --series 07180918_2143 --donoise --dumps a --procenv environments/pymidas_HVHV_NaI_mf.env</v>
      </c>
    </row>
    <row r="3659" spans="1:17">
      <c r="A3659" s="179" t="s">
        <v>9151</v>
      </c>
      <c r="K3659" s="180"/>
      <c r="M3659" t="s">
        <v>2246</v>
      </c>
      <c r="N3659" t="s">
        <v>5571</v>
      </c>
      <c r="Q3659" t="str">
        <f t="shared" si="138"/>
        <v>condorProc.py --series 07180918_2154 --donoise --dumps a --procenv environments/pymidas_HVHV_NaI_mf.env</v>
      </c>
    </row>
    <row r="3660" spans="1:17">
      <c r="A3660" s="179" t="s">
        <v>9152</v>
      </c>
      <c r="K3660" s="180"/>
      <c r="M3660" t="s">
        <v>2246</v>
      </c>
      <c r="N3660" t="s">
        <v>5571</v>
      </c>
      <c r="Q3660" t="str">
        <f t="shared" si="138"/>
        <v>condorProc.py --series 07180918_2204 --donoise --dumps a --procenv environments/pymidas_HVHV_NaI_mf.env</v>
      </c>
    </row>
    <row r="3661" spans="1:17">
      <c r="A3661" s="179" t="s">
        <v>9153</v>
      </c>
      <c r="K3661" s="180"/>
      <c r="M3661" t="s">
        <v>2246</v>
      </c>
      <c r="N3661" t="s">
        <v>5571</v>
      </c>
      <c r="Q3661" t="str">
        <f t="shared" si="138"/>
        <v>condorProc.py --series 07180918_2214 --donoise --dumps a --procenv environments/pymidas_HVHV_NaI_mf.env</v>
      </c>
    </row>
    <row r="3662" spans="1:17">
      <c r="A3662" s="179" t="s">
        <v>9154</v>
      </c>
      <c r="K3662" s="180"/>
      <c r="M3662" t="s">
        <v>2246</v>
      </c>
      <c r="N3662" t="s">
        <v>5571</v>
      </c>
      <c r="Q3662" t="str">
        <f t="shared" si="138"/>
        <v>condorProc.py --series 07180918_2224 --donoise --dumps a --procenv environments/pymidas_HVHV_NaI_mf.env</v>
      </c>
    </row>
    <row r="3663" spans="1:17">
      <c r="A3663" s="179" t="s">
        <v>9155</v>
      </c>
      <c r="K3663" s="180"/>
      <c r="M3663" t="s">
        <v>2246</v>
      </c>
      <c r="N3663" t="s">
        <v>5571</v>
      </c>
      <c r="Q3663" t="str">
        <f t="shared" si="138"/>
        <v>condorProc.py --series 07180918_2234 --donoise --dumps a --procenv environments/pymidas_HVHV_NaI_mf.env</v>
      </c>
    </row>
    <row r="3664" spans="1:17">
      <c r="A3664" s="179" t="s">
        <v>9156</v>
      </c>
      <c r="K3664" s="180"/>
      <c r="M3664" t="s">
        <v>2246</v>
      </c>
      <c r="N3664" t="s">
        <v>5571</v>
      </c>
      <c r="Q3664" t="str">
        <f t="shared" si="138"/>
        <v>condorProc.py --series 07180918_2244 --donoise --dumps a --procenv environments/pymidas_HVHV_NaI_mf.env</v>
      </c>
    </row>
    <row r="3665" spans="1:17">
      <c r="A3665" s="179" t="s">
        <v>9157</v>
      </c>
      <c r="K3665" s="180"/>
      <c r="M3665" t="s">
        <v>2246</v>
      </c>
      <c r="N3665" t="s">
        <v>5571</v>
      </c>
      <c r="Q3665" t="str">
        <f t="shared" si="138"/>
        <v>condorProc.py --series 07180918_2254 --donoise --dumps a --procenv environments/pymidas_HVHV_NaI_mf.env</v>
      </c>
    </row>
    <row r="3666" spans="1:17">
      <c r="A3666" s="179" t="s">
        <v>9158</v>
      </c>
      <c r="K3666" s="180"/>
      <c r="M3666" t="s">
        <v>2246</v>
      </c>
      <c r="N3666" t="s">
        <v>5571</v>
      </c>
      <c r="Q3666" t="str">
        <f t="shared" si="138"/>
        <v>condorProc.py --series 07180918_2304 --donoise --dumps a --procenv environments/pymidas_HVHV_NaI_mf.env</v>
      </c>
    </row>
    <row r="3667" spans="1:17">
      <c r="A3667" s="179" t="s">
        <v>9159</v>
      </c>
      <c r="K3667" s="180"/>
      <c r="M3667" t="s">
        <v>2246</v>
      </c>
      <c r="N3667" t="s">
        <v>5571</v>
      </c>
      <c r="Q3667" t="str">
        <f t="shared" si="138"/>
        <v>condorProc.py --series 07180918_2314 --donoise --dumps a --procenv environments/pymidas_HVHV_NaI_mf.env</v>
      </c>
    </row>
    <row r="3668" spans="1:17">
      <c r="A3668" s="179" t="s">
        <v>9160</v>
      </c>
      <c r="K3668" s="180"/>
      <c r="M3668" t="s">
        <v>2246</v>
      </c>
      <c r="N3668" t="s">
        <v>5571</v>
      </c>
      <c r="Q3668" t="str">
        <f t="shared" si="138"/>
        <v>condorProc.py --series 07180918_2325 --donoise --dumps a --procenv environments/pymidas_HVHV_NaI_mf.env</v>
      </c>
    </row>
    <row r="3669" spans="1:17">
      <c r="A3669" s="179" t="s">
        <v>9161</v>
      </c>
      <c r="K3669" s="180"/>
      <c r="M3669" t="s">
        <v>2246</v>
      </c>
      <c r="N3669" t="s">
        <v>5571</v>
      </c>
      <c r="Q3669" t="str">
        <f t="shared" si="138"/>
        <v>condorProc.py --series 07180918_2335 --donoise --dumps a --procenv environments/pymidas_HVHV_NaI_mf.env</v>
      </c>
    </row>
    <row r="3670" spans="1:17">
      <c r="A3670" s="179" t="s">
        <v>9162</v>
      </c>
      <c r="K3670" s="180"/>
      <c r="M3670" t="s">
        <v>2246</v>
      </c>
      <c r="N3670" t="s">
        <v>5571</v>
      </c>
      <c r="Q3670" t="str">
        <f t="shared" si="138"/>
        <v>condorProc.py --series 07180918_2345 --donoise --dumps a --procenv environments/pymidas_HVHV_NaI_mf.env</v>
      </c>
    </row>
    <row r="3671" spans="1:17">
      <c r="A3671" s="179" t="s">
        <v>9163</v>
      </c>
      <c r="K3671" s="180"/>
      <c r="M3671" t="s">
        <v>2246</v>
      </c>
      <c r="N3671" t="s">
        <v>5571</v>
      </c>
      <c r="Q3671" t="str">
        <f t="shared" si="138"/>
        <v>condorProc.py --series 07180918_2355 --donoise --dumps a --procenv environments/pymidas_HVHV_NaI_mf.env</v>
      </c>
    </row>
    <row r="3672" spans="1:17">
      <c r="A3672" s="179" t="s">
        <v>9164</v>
      </c>
      <c r="K3672" s="180"/>
      <c r="M3672" t="s">
        <v>2246</v>
      </c>
      <c r="N3672" t="s">
        <v>5571</v>
      </c>
      <c r="Q3672" t="str">
        <f t="shared" si="138"/>
        <v>condorProc.py --series 07180919_0005 --donoise --dumps a --procenv environments/pymidas_HVHV_NaI_mf.env</v>
      </c>
    </row>
    <row r="3673" spans="1:17">
      <c r="A3673" s="179" t="s">
        <v>9165</v>
      </c>
      <c r="K3673" s="180"/>
      <c r="M3673" t="s">
        <v>2246</v>
      </c>
      <c r="N3673" t="s">
        <v>5571</v>
      </c>
      <c r="Q3673" t="str">
        <f t="shared" si="138"/>
        <v>condorProc.py --series 07180919_0015 --donoise --dumps a --procenv environments/pymidas_HVHV_NaI_mf.env</v>
      </c>
    </row>
    <row r="3674" spans="1:17">
      <c r="A3674" s="179" t="s">
        <v>9166</v>
      </c>
      <c r="K3674" s="180"/>
      <c r="M3674" t="s">
        <v>2246</v>
      </c>
      <c r="N3674" t="s">
        <v>5571</v>
      </c>
      <c r="Q3674" t="str">
        <f t="shared" si="138"/>
        <v>condorProc.py --series 07180919_0025 --donoise --dumps a --procenv environments/pymidas_HVHV_NaI_mf.env</v>
      </c>
    </row>
    <row r="3675" spans="1:17">
      <c r="A3675" s="179" t="s">
        <v>9167</v>
      </c>
      <c r="K3675" s="180"/>
      <c r="M3675" t="s">
        <v>2246</v>
      </c>
      <c r="N3675" t="s">
        <v>5571</v>
      </c>
      <c r="Q3675" t="str">
        <f t="shared" si="138"/>
        <v>condorProc.py --series 07180919_0035 --donoise --dumps a --procenv environments/pymidas_HVHV_NaI_mf.env</v>
      </c>
    </row>
    <row r="3676" spans="1:17">
      <c r="A3676" s="179" t="s">
        <v>9168</v>
      </c>
      <c r="K3676" s="180"/>
      <c r="M3676" t="s">
        <v>2246</v>
      </c>
      <c r="N3676" t="s">
        <v>5571</v>
      </c>
      <c r="Q3676" t="str">
        <f t="shared" si="138"/>
        <v>condorProc.py --series 07180919_0045 --donoise --dumps a --procenv environments/pymidas_HVHV_NaI_mf.env</v>
      </c>
    </row>
    <row r="3677" spans="1:17">
      <c r="A3677" s="179" t="s">
        <v>9169</v>
      </c>
      <c r="K3677" s="180"/>
      <c r="M3677" t="s">
        <v>2246</v>
      </c>
      <c r="N3677" t="s">
        <v>5571</v>
      </c>
      <c r="Q3677" t="str">
        <f t="shared" si="138"/>
        <v>condorProc.py --series 07180919_0055 --donoise --dumps a --procenv environments/pymidas_HVHV_NaI_mf.env</v>
      </c>
    </row>
    <row r="3678" spans="1:17">
      <c r="A3678" s="179" t="s">
        <v>9170</v>
      </c>
      <c r="K3678" s="180"/>
      <c r="M3678" t="s">
        <v>2246</v>
      </c>
      <c r="N3678" t="s">
        <v>5571</v>
      </c>
      <c r="Q3678" t="str">
        <f t="shared" si="138"/>
        <v>condorProc.py --series 07180919_0106 --donoise --dumps a --procenv environments/pymidas_HVHV_NaI_mf.env</v>
      </c>
    </row>
    <row r="3679" spans="1:17">
      <c r="A3679" s="179" t="s">
        <v>9171</v>
      </c>
      <c r="K3679" s="180"/>
      <c r="M3679" t="s">
        <v>2246</v>
      </c>
      <c r="N3679" t="s">
        <v>5571</v>
      </c>
      <c r="Q3679" t="str">
        <f t="shared" si="138"/>
        <v>condorProc.py --series 07180919_0116 --donoise --dumps a --procenv environments/pymidas_HVHV_NaI_mf.env</v>
      </c>
    </row>
    <row r="3680" spans="1:17">
      <c r="A3680" s="179" t="s">
        <v>9172</v>
      </c>
      <c r="K3680" s="180"/>
      <c r="M3680" t="s">
        <v>2246</v>
      </c>
      <c r="N3680" t="s">
        <v>5571</v>
      </c>
      <c r="Q3680" t="str">
        <f t="shared" si="138"/>
        <v>condorProc.py --series 07180919_0126 --donoise --dumps a --procenv environments/pymidas_HVHV_NaI_mf.env</v>
      </c>
    </row>
    <row r="3681" spans="1:17">
      <c r="A3681" s="179" t="s">
        <v>9173</v>
      </c>
      <c r="K3681" s="180"/>
      <c r="M3681" t="s">
        <v>2246</v>
      </c>
      <c r="N3681" t="s">
        <v>5571</v>
      </c>
      <c r="Q3681" t="str">
        <f t="shared" ref="Q3681:Q3740" si="139">"condorProc.py --series "&amp;A3681&amp;" --donoise --dumps a --procenv environments/pymidas_HVHV_NaI_mf.env"</f>
        <v>condorProc.py --series 07180919_0136 --donoise --dumps a --procenv environments/pymidas_HVHV_NaI_mf.env</v>
      </c>
    </row>
    <row r="3682" spans="1:17">
      <c r="A3682" s="179" t="s">
        <v>9174</v>
      </c>
      <c r="K3682" s="180"/>
      <c r="M3682" t="s">
        <v>2246</v>
      </c>
      <c r="N3682" t="s">
        <v>5571</v>
      </c>
      <c r="Q3682" t="str">
        <f t="shared" si="139"/>
        <v>condorProc.py --series 07180919_0146 --donoise --dumps a --procenv environments/pymidas_HVHV_NaI_mf.env</v>
      </c>
    </row>
    <row r="3683" spans="1:17">
      <c r="A3683" s="179" t="s">
        <v>9175</v>
      </c>
      <c r="K3683" s="180"/>
      <c r="M3683" t="s">
        <v>2246</v>
      </c>
      <c r="N3683" t="s">
        <v>5571</v>
      </c>
      <c r="Q3683" t="str">
        <f t="shared" si="139"/>
        <v>condorProc.py --series 07180919_0156 --donoise --dumps a --procenv environments/pymidas_HVHV_NaI_mf.env</v>
      </c>
    </row>
    <row r="3684" spans="1:17">
      <c r="A3684" s="179" t="s">
        <v>9176</v>
      </c>
      <c r="K3684" s="180"/>
      <c r="M3684" t="s">
        <v>2246</v>
      </c>
      <c r="N3684" t="s">
        <v>5571</v>
      </c>
      <c r="Q3684" t="str">
        <f t="shared" si="139"/>
        <v>condorProc.py --series 07180919_0206 --donoise --dumps a --procenv environments/pymidas_HVHV_NaI_mf.env</v>
      </c>
    </row>
    <row r="3685" spans="1:17">
      <c r="A3685" s="179" t="s">
        <v>9177</v>
      </c>
      <c r="K3685" s="180"/>
      <c r="M3685" t="s">
        <v>2246</v>
      </c>
      <c r="N3685" t="s">
        <v>5571</v>
      </c>
      <c r="Q3685" t="str">
        <f t="shared" si="139"/>
        <v>condorProc.py --series 07180919_0216 --donoise --dumps a --procenv environments/pymidas_HVHV_NaI_mf.env</v>
      </c>
    </row>
    <row r="3686" spans="1:17">
      <c r="A3686" s="179" t="s">
        <v>9178</v>
      </c>
      <c r="K3686" s="180"/>
      <c r="M3686" t="s">
        <v>2246</v>
      </c>
      <c r="N3686" t="s">
        <v>5571</v>
      </c>
      <c r="Q3686" t="str">
        <f t="shared" si="139"/>
        <v>condorProc.py --series 07180919_0226 --donoise --dumps a --procenv environments/pymidas_HVHV_NaI_mf.env</v>
      </c>
    </row>
    <row r="3687" spans="1:17">
      <c r="A3687" s="179" t="s">
        <v>9179</v>
      </c>
      <c r="K3687" s="180"/>
      <c r="M3687" t="s">
        <v>2246</v>
      </c>
      <c r="N3687" t="s">
        <v>5571</v>
      </c>
      <c r="Q3687" t="str">
        <f t="shared" si="139"/>
        <v>condorProc.py --series 07180919_0236 --donoise --dumps a --procenv environments/pymidas_HVHV_NaI_mf.env</v>
      </c>
    </row>
    <row r="3688" spans="1:17">
      <c r="A3688" s="179" t="s">
        <v>9180</v>
      </c>
      <c r="K3688" s="180"/>
      <c r="M3688" t="s">
        <v>2246</v>
      </c>
      <c r="N3688" t="s">
        <v>5571</v>
      </c>
      <c r="Q3688" t="str">
        <f t="shared" si="139"/>
        <v>condorProc.py --series 07180919_0247 --donoise --dumps a --procenv environments/pymidas_HVHV_NaI_mf.env</v>
      </c>
    </row>
    <row r="3689" spans="1:17">
      <c r="A3689" s="179" t="s">
        <v>9181</v>
      </c>
      <c r="K3689" s="180"/>
      <c r="M3689" t="s">
        <v>2246</v>
      </c>
      <c r="N3689" t="s">
        <v>5571</v>
      </c>
      <c r="Q3689" t="str">
        <f t="shared" si="139"/>
        <v>condorProc.py --series 07180919_0257 --donoise --dumps a --procenv environments/pymidas_HVHV_NaI_mf.env</v>
      </c>
    </row>
    <row r="3690" spans="1:17">
      <c r="A3690" s="179" t="s">
        <v>9182</v>
      </c>
      <c r="K3690" s="180"/>
      <c r="M3690" t="s">
        <v>2246</v>
      </c>
      <c r="N3690" t="s">
        <v>5571</v>
      </c>
      <c r="Q3690" t="str">
        <f t="shared" si="139"/>
        <v>condorProc.py --series 07180919_0307 --donoise --dumps a --procenv environments/pymidas_HVHV_NaI_mf.env</v>
      </c>
    </row>
    <row r="3691" spans="1:17">
      <c r="A3691" s="179" t="s">
        <v>9183</v>
      </c>
      <c r="K3691" s="180"/>
      <c r="M3691" t="s">
        <v>2246</v>
      </c>
      <c r="N3691" t="s">
        <v>5571</v>
      </c>
      <c r="Q3691" t="str">
        <f t="shared" si="139"/>
        <v>condorProc.py --series 07180919_0317 --donoise --dumps a --procenv environments/pymidas_HVHV_NaI_mf.env</v>
      </c>
    </row>
    <row r="3692" spans="1:17">
      <c r="A3692" s="179" t="s">
        <v>9184</v>
      </c>
      <c r="K3692" s="180"/>
      <c r="M3692" t="s">
        <v>2246</v>
      </c>
      <c r="N3692" t="s">
        <v>5571</v>
      </c>
      <c r="Q3692" t="str">
        <f t="shared" si="139"/>
        <v>condorProc.py --series 07180919_0327 --donoise --dumps a --procenv environments/pymidas_HVHV_NaI_mf.env</v>
      </c>
    </row>
    <row r="3693" spans="1:17">
      <c r="A3693" s="179" t="s">
        <v>9185</v>
      </c>
      <c r="K3693" s="180"/>
      <c r="M3693" t="s">
        <v>2246</v>
      </c>
      <c r="N3693" t="s">
        <v>5571</v>
      </c>
      <c r="Q3693" t="str">
        <f t="shared" si="139"/>
        <v>condorProc.py --series 07180919_0337 --donoise --dumps a --procenv environments/pymidas_HVHV_NaI_mf.env</v>
      </c>
    </row>
    <row r="3694" spans="1:17">
      <c r="A3694" s="179" t="s">
        <v>9186</v>
      </c>
      <c r="K3694" s="180"/>
      <c r="M3694" t="s">
        <v>2246</v>
      </c>
      <c r="N3694" t="s">
        <v>5571</v>
      </c>
      <c r="Q3694" t="str">
        <f t="shared" si="139"/>
        <v>condorProc.py --series 07180919_0347 --donoise --dumps a --procenv environments/pymidas_HVHV_NaI_mf.env</v>
      </c>
    </row>
    <row r="3695" spans="1:17">
      <c r="A3695" s="179" t="s">
        <v>9187</v>
      </c>
      <c r="K3695" s="180"/>
      <c r="M3695" t="s">
        <v>2246</v>
      </c>
      <c r="N3695" t="s">
        <v>5571</v>
      </c>
      <c r="Q3695" t="str">
        <f t="shared" si="139"/>
        <v>condorProc.py --series 07180919_0357 --donoise --dumps a --procenv environments/pymidas_HVHV_NaI_mf.env</v>
      </c>
    </row>
    <row r="3696" spans="1:17">
      <c r="A3696" s="179" t="s">
        <v>9188</v>
      </c>
      <c r="K3696" s="180"/>
      <c r="M3696" t="s">
        <v>2246</v>
      </c>
      <c r="N3696" t="s">
        <v>5571</v>
      </c>
      <c r="Q3696" t="str">
        <f t="shared" si="139"/>
        <v>condorProc.py --series 07180919_0407 --donoise --dumps a --procenv environments/pymidas_HVHV_NaI_mf.env</v>
      </c>
    </row>
    <row r="3697" spans="1:17">
      <c r="A3697" s="179" t="s">
        <v>9189</v>
      </c>
      <c r="K3697" s="180"/>
      <c r="M3697" t="s">
        <v>2246</v>
      </c>
      <c r="N3697" t="s">
        <v>5571</v>
      </c>
      <c r="Q3697" t="str">
        <f t="shared" si="139"/>
        <v>condorProc.py --series 07180919_0418 --donoise --dumps a --procenv environments/pymidas_HVHV_NaI_mf.env</v>
      </c>
    </row>
    <row r="3698" spans="1:17">
      <c r="A3698" s="179" t="s">
        <v>9190</v>
      </c>
      <c r="K3698" s="180"/>
      <c r="M3698" t="s">
        <v>2246</v>
      </c>
      <c r="N3698" t="s">
        <v>5571</v>
      </c>
      <c r="Q3698" t="str">
        <f t="shared" si="139"/>
        <v>condorProc.py --series 07180919_0428 --donoise --dumps a --procenv environments/pymidas_HVHV_NaI_mf.env</v>
      </c>
    </row>
    <row r="3699" spans="1:17">
      <c r="A3699" s="179" t="s">
        <v>9191</v>
      </c>
      <c r="K3699" s="180"/>
      <c r="M3699" t="s">
        <v>2246</v>
      </c>
      <c r="N3699" t="s">
        <v>5571</v>
      </c>
      <c r="Q3699" t="str">
        <f t="shared" si="139"/>
        <v>condorProc.py --series 07180919_0438 --donoise --dumps a --procenv environments/pymidas_HVHV_NaI_mf.env</v>
      </c>
    </row>
    <row r="3700" spans="1:17">
      <c r="A3700" s="179" t="s">
        <v>9192</v>
      </c>
      <c r="K3700" s="180"/>
      <c r="M3700" t="s">
        <v>2246</v>
      </c>
      <c r="N3700" t="s">
        <v>5571</v>
      </c>
      <c r="Q3700" t="str">
        <f t="shared" si="139"/>
        <v>condorProc.py --series 07180919_0448 --donoise --dumps a --procenv environments/pymidas_HVHV_NaI_mf.env</v>
      </c>
    </row>
    <row r="3701" spans="1:17">
      <c r="A3701" s="179" t="s">
        <v>9193</v>
      </c>
      <c r="K3701" s="180"/>
      <c r="M3701" t="s">
        <v>2246</v>
      </c>
      <c r="N3701" t="s">
        <v>5571</v>
      </c>
      <c r="Q3701" t="str">
        <f t="shared" si="139"/>
        <v>condorProc.py --series 07180919_0458 --donoise --dumps a --procenv environments/pymidas_HVHV_NaI_mf.env</v>
      </c>
    </row>
    <row r="3702" spans="1:17">
      <c r="A3702" s="179" t="s">
        <v>9194</v>
      </c>
      <c r="K3702" s="180"/>
      <c r="M3702" t="s">
        <v>2246</v>
      </c>
      <c r="N3702" t="s">
        <v>5571</v>
      </c>
      <c r="Q3702" t="str">
        <f t="shared" si="139"/>
        <v>condorProc.py --series 07180919_0508 --donoise --dumps a --procenv environments/pymidas_HVHV_NaI_mf.env</v>
      </c>
    </row>
    <row r="3703" spans="1:17">
      <c r="A3703" s="179" t="s">
        <v>9195</v>
      </c>
      <c r="K3703" s="180"/>
      <c r="M3703" t="s">
        <v>2246</v>
      </c>
      <c r="N3703" t="s">
        <v>5571</v>
      </c>
      <c r="Q3703" t="str">
        <f t="shared" si="139"/>
        <v>condorProc.py --series 07180919_0518 --donoise --dumps a --procenv environments/pymidas_HVHV_NaI_mf.env</v>
      </c>
    </row>
    <row r="3704" spans="1:17">
      <c r="A3704" s="179" t="s">
        <v>9196</v>
      </c>
      <c r="K3704" s="180"/>
      <c r="M3704" t="s">
        <v>2246</v>
      </c>
      <c r="N3704" t="s">
        <v>5571</v>
      </c>
      <c r="Q3704" t="str">
        <f t="shared" si="139"/>
        <v>condorProc.py --series 07180919_0528 --donoise --dumps a --procenv environments/pymidas_HVHV_NaI_mf.env</v>
      </c>
    </row>
    <row r="3705" spans="1:17">
      <c r="A3705" s="179" t="s">
        <v>9197</v>
      </c>
      <c r="K3705" s="180"/>
      <c r="M3705" t="s">
        <v>2246</v>
      </c>
      <c r="N3705" t="s">
        <v>5571</v>
      </c>
      <c r="Q3705" t="str">
        <f t="shared" si="139"/>
        <v>condorProc.py --series 07180919_0538 --donoise --dumps a --procenv environments/pymidas_HVHV_NaI_mf.env</v>
      </c>
    </row>
    <row r="3706" spans="1:17">
      <c r="A3706" s="179" t="s">
        <v>9198</v>
      </c>
      <c r="K3706" s="180"/>
      <c r="M3706" t="s">
        <v>2246</v>
      </c>
      <c r="N3706" t="s">
        <v>5571</v>
      </c>
      <c r="Q3706" t="str">
        <f t="shared" si="139"/>
        <v>condorProc.py --series 07180919_0548 --donoise --dumps a --procenv environments/pymidas_HVHV_NaI_mf.env</v>
      </c>
    </row>
    <row r="3707" spans="1:17">
      <c r="A3707" s="179" t="s">
        <v>9199</v>
      </c>
      <c r="K3707" s="180"/>
      <c r="M3707" t="s">
        <v>2246</v>
      </c>
      <c r="N3707" t="s">
        <v>5571</v>
      </c>
      <c r="Q3707" t="str">
        <f t="shared" si="139"/>
        <v>condorProc.py --series 07180919_0559 --donoise --dumps a --procenv environments/pymidas_HVHV_NaI_mf.env</v>
      </c>
    </row>
    <row r="3708" spans="1:17">
      <c r="A3708" s="179" t="s">
        <v>9200</v>
      </c>
      <c r="K3708" s="180"/>
      <c r="M3708" t="s">
        <v>2246</v>
      </c>
      <c r="N3708" t="s">
        <v>5571</v>
      </c>
      <c r="Q3708" t="str">
        <f t="shared" si="139"/>
        <v>condorProc.py --series 07180919_0609 --donoise --dumps a --procenv environments/pymidas_HVHV_NaI_mf.env</v>
      </c>
    </row>
    <row r="3709" spans="1:17">
      <c r="A3709" s="179" t="s">
        <v>9201</v>
      </c>
      <c r="K3709" s="180"/>
      <c r="M3709" t="s">
        <v>2246</v>
      </c>
      <c r="N3709" t="s">
        <v>5571</v>
      </c>
      <c r="Q3709" t="str">
        <f t="shared" si="139"/>
        <v>condorProc.py --series 07180919_0619 --donoise --dumps a --procenv environments/pymidas_HVHV_NaI_mf.env</v>
      </c>
    </row>
    <row r="3710" spans="1:17">
      <c r="A3710" s="179" t="s">
        <v>9202</v>
      </c>
      <c r="K3710" s="180"/>
      <c r="M3710" t="s">
        <v>2246</v>
      </c>
      <c r="N3710" t="s">
        <v>5571</v>
      </c>
      <c r="Q3710" t="str">
        <f t="shared" si="139"/>
        <v>condorProc.py --series 07180919_0629 --donoise --dumps a --procenv environments/pymidas_HVHV_NaI_mf.env</v>
      </c>
    </row>
    <row r="3711" spans="1:17">
      <c r="A3711" s="179" t="s">
        <v>9203</v>
      </c>
      <c r="K3711" s="180"/>
      <c r="M3711" t="s">
        <v>2246</v>
      </c>
      <c r="N3711" t="s">
        <v>5571</v>
      </c>
      <c r="Q3711" t="str">
        <f t="shared" si="139"/>
        <v>condorProc.py --series 07180919_0639 --donoise --dumps a --procenv environments/pymidas_HVHV_NaI_mf.env</v>
      </c>
    </row>
    <row r="3712" spans="1:17">
      <c r="A3712" s="179" t="s">
        <v>9204</v>
      </c>
      <c r="K3712" s="180"/>
      <c r="M3712" t="s">
        <v>2246</v>
      </c>
      <c r="N3712" t="s">
        <v>5571</v>
      </c>
      <c r="Q3712" t="str">
        <f t="shared" si="139"/>
        <v>condorProc.py --series 07180919_0649 --donoise --dumps a --procenv environments/pymidas_HVHV_NaI_mf.env</v>
      </c>
    </row>
    <row r="3713" spans="1:17">
      <c r="A3713" s="179" t="s">
        <v>9205</v>
      </c>
      <c r="K3713" s="180"/>
      <c r="M3713" t="s">
        <v>2246</v>
      </c>
      <c r="N3713" t="s">
        <v>5571</v>
      </c>
      <c r="Q3713" t="str">
        <f t="shared" si="139"/>
        <v>condorProc.py --series 07180919_0659 --donoise --dumps a --procenv environments/pymidas_HVHV_NaI_mf.env</v>
      </c>
    </row>
    <row r="3714" spans="1:17">
      <c r="A3714" s="179" t="s">
        <v>9206</v>
      </c>
      <c r="K3714" s="180"/>
      <c r="M3714" t="s">
        <v>2246</v>
      </c>
      <c r="N3714" t="s">
        <v>5571</v>
      </c>
      <c r="Q3714" t="str">
        <f t="shared" si="139"/>
        <v>condorProc.py --series 07180919_0709 --donoise --dumps a --procenv environments/pymidas_HVHV_NaI_mf.env</v>
      </c>
    </row>
    <row r="3715" spans="1:17">
      <c r="A3715" s="179" t="s">
        <v>9207</v>
      </c>
      <c r="K3715" s="180"/>
      <c r="M3715" t="s">
        <v>2246</v>
      </c>
      <c r="N3715" t="s">
        <v>5571</v>
      </c>
      <c r="Q3715" t="str">
        <f t="shared" si="139"/>
        <v>condorProc.py --series 07180919_0719 --donoise --dumps a --procenv environments/pymidas_HVHV_NaI_mf.env</v>
      </c>
    </row>
    <row r="3716" spans="1:17">
      <c r="A3716" s="179" t="s">
        <v>9208</v>
      </c>
      <c r="K3716" s="180"/>
      <c r="M3716" t="s">
        <v>2246</v>
      </c>
      <c r="N3716" t="s">
        <v>5571</v>
      </c>
      <c r="Q3716" t="str">
        <f t="shared" si="139"/>
        <v>condorProc.py --series 07180919_0730 --donoise --dumps a --procenv environments/pymidas_HVHV_NaI_mf.env</v>
      </c>
    </row>
    <row r="3717" spans="1:17">
      <c r="A3717" s="179" t="s">
        <v>9209</v>
      </c>
      <c r="I3717" t="s">
        <v>75</v>
      </c>
      <c r="K3717" s="180"/>
      <c r="M3717" t="s">
        <v>2246</v>
      </c>
      <c r="N3717" t="s">
        <v>5571</v>
      </c>
      <c r="Q3717" t="str">
        <f t="shared" si="139"/>
        <v>condorProc.py --series 07180919_0740 --donoise --dumps a --procenv environments/pymidas_HVHV_NaI_mf.env</v>
      </c>
    </row>
    <row r="3718" spans="1:17">
      <c r="A3718" s="176" t="s">
        <v>9210</v>
      </c>
      <c r="B3718" s="177"/>
      <c r="C3718" s="177"/>
      <c r="D3718" s="177"/>
      <c r="E3718" s="177"/>
      <c r="F3718" s="177">
        <v>10</v>
      </c>
      <c r="G3718" s="177" t="s">
        <v>18</v>
      </c>
      <c r="H3718" s="177" t="s">
        <v>9211</v>
      </c>
      <c r="I3718" s="177"/>
      <c r="J3718" s="177" t="s">
        <v>5577</v>
      </c>
      <c r="K3718" s="178" t="s">
        <v>5583</v>
      </c>
      <c r="M3718" t="s">
        <v>2246</v>
      </c>
      <c r="N3718" t="s">
        <v>5571</v>
      </c>
      <c r="Q3718" t="str">
        <f t="shared" si="139"/>
        <v>condorProc.py --series 07180919_0947 --donoise --dumps a --procenv environments/pymidas_HVHV_NaI_mf.env</v>
      </c>
    </row>
    <row r="3719" spans="1:17">
      <c r="A3719" s="179" t="s">
        <v>9212</v>
      </c>
      <c r="J3719" t="s">
        <v>9213</v>
      </c>
      <c r="K3719" s="218" t="s">
        <v>5586</v>
      </c>
      <c r="M3719" t="s">
        <v>2246</v>
      </c>
      <c r="N3719" t="s">
        <v>5571</v>
      </c>
      <c r="Q3719" t="str">
        <f t="shared" si="139"/>
        <v>condorProc.py --series 07180919_0958 --donoise --dumps a --procenv environments/pymidas_HVHV_NaI_mf.env</v>
      </c>
    </row>
    <row r="3720" spans="1:17">
      <c r="A3720" s="179" t="s">
        <v>9214</v>
      </c>
      <c r="J3720" t="s">
        <v>191</v>
      </c>
      <c r="K3720" s="219" t="s">
        <v>8388</v>
      </c>
      <c r="M3720" t="s">
        <v>2246</v>
      </c>
      <c r="N3720" t="s">
        <v>5571</v>
      </c>
      <c r="Q3720" t="str">
        <f t="shared" si="139"/>
        <v>condorProc.py --series 07180919_1008 --donoise --dumps a --procenv environments/pymidas_HVHV_NaI_mf.env</v>
      </c>
    </row>
    <row r="3721" spans="1:17">
      <c r="A3721" s="179" t="s">
        <v>9215</v>
      </c>
      <c r="K3721" s="180"/>
      <c r="M3721" t="s">
        <v>2246</v>
      </c>
      <c r="N3721" t="s">
        <v>5571</v>
      </c>
      <c r="Q3721" t="str">
        <f t="shared" si="139"/>
        <v>condorProc.py --series 07180919_1018 --donoise --dumps a --procenv environments/pymidas_HVHV_NaI_mf.env</v>
      </c>
    </row>
    <row r="3722" spans="1:17">
      <c r="A3722" s="179" t="s">
        <v>9216</v>
      </c>
      <c r="K3722" s="180"/>
      <c r="M3722" t="s">
        <v>2246</v>
      </c>
      <c r="N3722" t="s">
        <v>5571</v>
      </c>
      <c r="Q3722" t="str">
        <f t="shared" si="139"/>
        <v>condorProc.py --series 07180919_1028 --donoise --dumps a --procenv environments/pymidas_HVHV_NaI_mf.env</v>
      </c>
    </row>
    <row r="3723" spans="1:17">
      <c r="A3723" s="181" t="s">
        <v>9217</v>
      </c>
      <c r="B3723" s="65"/>
      <c r="C3723" s="65"/>
      <c r="D3723" s="65"/>
      <c r="E3723" s="65"/>
      <c r="F3723" s="65"/>
      <c r="G3723" s="65"/>
      <c r="H3723" s="65"/>
      <c r="I3723" s="65" t="s">
        <v>75</v>
      </c>
      <c r="J3723" s="65"/>
      <c r="K3723" s="182"/>
      <c r="M3723" t="s">
        <v>2246</v>
      </c>
      <c r="N3723" t="s">
        <v>5571</v>
      </c>
      <c r="Q3723" t="str">
        <f t="shared" si="139"/>
        <v>condorProc.py --series 07180919_1038 --donoise --dumps a --procenv environments/pymidas_HVHV_NaI_mf.env</v>
      </c>
    </row>
    <row r="3724" spans="1:17">
      <c r="A3724" t="s">
        <v>9218</v>
      </c>
      <c r="G3724" t="s">
        <v>18</v>
      </c>
      <c r="H3724">
        <v>0</v>
      </c>
      <c r="J3724" s="177" t="s">
        <v>5577</v>
      </c>
      <c r="K3724" t="s">
        <v>9219</v>
      </c>
      <c r="M3724" t="s">
        <v>2246</v>
      </c>
      <c r="N3724" s="16" t="s">
        <v>2037</v>
      </c>
      <c r="Q3724" t="str">
        <f t="shared" si="139"/>
        <v>condorProc.py --series 07180919_1219 --donoise --dumps a --procenv environments/pymidas_HVHV_NaI_mf.env</v>
      </c>
    </row>
    <row r="3725" spans="1:17">
      <c r="A3725" t="s">
        <v>9220</v>
      </c>
      <c r="J3725" t="s">
        <v>5577</v>
      </c>
      <c r="K3725" t="s">
        <v>9219</v>
      </c>
      <c r="M3725" t="s">
        <v>2246</v>
      </c>
      <c r="N3725" t="s">
        <v>5571</v>
      </c>
      <c r="Q3725" t="str">
        <f t="shared" si="139"/>
        <v>condorProc.py --series 07180919_1248 --donoise --dumps a --procenv environments/pymidas_HVHV_NaI_mf.env</v>
      </c>
    </row>
    <row r="3726" spans="1:17">
      <c r="A3726" s="176" t="s">
        <v>9221</v>
      </c>
      <c r="B3726" s="177"/>
      <c r="C3726" s="177"/>
      <c r="D3726" s="177"/>
      <c r="E3726" s="177"/>
      <c r="F3726" s="177">
        <v>10</v>
      </c>
      <c r="G3726" s="228" t="s">
        <v>18</v>
      </c>
      <c r="H3726" s="177">
        <v>80</v>
      </c>
      <c r="I3726" s="177"/>
      <c r="J3726" s="177" t="s">
        <v>5577</v>
      </c>
      <c r="K3726" s="178" t="s">
        <v>5583</v>
      </c>
      <c r="M3726" t="s">
        <v>2246</v>
      </c>
      <c r="N3726" t="s">
        <v>5571</v>
      </c>
      <c r="Q3726" t="str">
        <f t="shared" si="139"/>
        <v>condorProc.py --series 07180919_1339 --donoise --dumps a --procenv environments/pymidas_HVHV_NaI_mf.env</v>
      </c>
    </row>
    <row r="3727" spans="1:17">
      <c r="A3727" s="179" t="s">
        <v>9222</v>
      </c>
      <c r="G3727" s="229"/>
      <c r="J3727" t="s">
        <v>5585</v>
      </c>
      <c r="K3727" s="218" t="s">
        <v>5586</v>
      </c>
      <c r="M3727" t="s">
        <v>2246</v>
      </c>
      <c r="N3727" t="s">
        <v>5571</v>
      </c>
      <c r="Q3727" t="str">
        <f t="shared" si="139"/>
        <v>condorProc.py --series 07180919_1349 --donoise --dumps a --procenv environments/pymidas_HVHV_NaI_mf.env</v>
      </c>
    </row>
    <row r="3728" spans="1:17">
      <c r="A3728" s="179" t="s">
        <v>9223</v>
      </c>
      <c r="G3728" s="229"/>
      <c r="K3728" s="219" t="s">
        <v>8388</v>
      </c>
      <c r="M3728" t="s">
        <v>2246</v>
      </c>
      <c r="N3728" t="s">
        <v>5571</v>
      </c>
      <c r="Q3728" t="str">
        <f t="shared" si="139"/>
        <v>condorProc.py --series 07180919_1400 --donoise --dumps a --procenv environments/pymidas_HVHV_NaI_mf.env</v>
      </c>
    </row>
    <row r="3729" spans="1:18">
      <c r="A3729" s="179" t="s">
        <v>9224</v>
      </c>
      <c r="K3729" s="180"/>
      <c r="M3729" t="s">
        <v>2246</v>
      </c>
      <c r="N3729" t="s">
        <v>5571</v>
      </c>
      <c r="Q3729" t="str">
        <f t="shared" si="139"/>
        <v>condorProc.py --series 07180919_1410 --donoise --dumps a --procenv environments/pymidas_HVHV_NaI_mf.env</v>
      </c>
    </row>
    <row r="3730" spans="1:18">
      <c r="A3730" s="179" t="s">
        <v>9225</v>
      </c>
      <c r="K3730" s="180"/>
      <c r="M3730" t="s">
        <v>2246</v>
      </c>
      <c r="N3730" t="s">
        <v>5571</v>
      </c>
      <c r="Q3730" t="str">
        <f t="shared" si="139"/>
        <v>condorProc.py --series 07180919_1420 --donoise --dumps a --procenv environments/pymidas_HVHV_NaI_mf.env</v>
      </c>
    </row>
    <row r="3731" spans="1:18">
      <c r="A3731" s="179" t="s">
        <v>9226</v>
      </c>
      <c r="K3731" s="180"/>
      <c r="M3731" t="s">
        <v>2246</v>
      </c>
      <c r="N3731" t="s">
        <v>5571</v>
      </c>
      <c r="Q3731" t="str">
        <f t="shared" si="139"/>
        <v>condorProc.py --series 07180919_1430 --donoise --dumps a --procenv environments/pymidas_HVHV_NaI_mf.env</v>
      </c>
    </row>
    <row r="3732" spans="1:18">
      <c r="A3732" s="179" t="s">
        <v>9227</v>
      </c>
      <c r="K3732" s="180"/>
      <c r="M3732" t="s">
        <v>2246</v>
      </c>
      <c r="N3732" t="s">
        <v>5571</v>
      </c>
      <c r="Q3732" t="str">
        <f t="shared" si="139"/>
        <v>condorProc.py --series 07180919_1440 --donoise --dumps a --procenv environments/pymidas_HVHV_NaI_mf.env</v>
      </c>
    </row>
    <row r="3733" spans="1:18">
      <c r="A3733" s="179" t="s">
        <v>9228</v>
      </c>
      <c r="K3733" s="180"/>
      <c r="M3733" t="s">
        <v>2246</v>
      </c>
      <c r="N3733" t="s">
        <v>5571</v>
      </c>
      <c r="Q3733" t="str">
        <f t="shared" si="139"/>
        <v>condorProc.py --series 07180919_1450 --donoise --dumps a --procenv environments/pymidas_HVHV_NaI_mf.env</v>
      </c>
    </row>
    <row r="3734" spans="1:18">
      <c r="A3734" s="179" t="s">
        <v>9229</v>
      </c>
      <c r="K3734" s="180"/>
      <c r="M3734" t="s">
        <v>2246</v>
      </c>
      <c r="N3734" t="s">
        <v>5571</v>
      </c>
      <c r="Q3734" t="str">
        <f t="shared" si="139"/>
        <v>condorProc.py --series 07180919_1500 --donoise --dumps a --procenv environments/pymidas_HVHV_NaI_mf.env</v>
      </c>
    </row>
    <row r="3735" spans="1:18">
      <c r="A3735" s="179" t="s">
        <v>9230</v>
      </c>
      <c r="K3735" s="180"/>
      <c r="M3735" t="s">
        <v>2246</v>
      </c>
      <c r="N3735" t="s">
        <v>5571</v>
      </c>
      <c r="Q3735" t="str">
        <f t="shared" si="139"/>
        <v>condorProc.py --series 07180919_1510 --donoise --dumps a --procenv environments/pymidas_HVHV_NaI_mf.env</v>
      </c>
    </row>
    <row r="3736" spans="1:18">
      <c r="A3736" s="179" t="s">
        <v>9231</v>
      </c>
      <c r="K3736" s="180"/>
      <c r="M3736" t="s">
        <v>2246</v>
      </c>
      <c r="N3736" t="s">
        <v>5571</v>
      </c>
      <c r="Q3736" t="str">
        <f t="shared" si="139"/>
        <v>condorProc.py --series 07180919_1520 --donoise --dumps a --procenv environments/pymidas_HVHV_NaI_mf.env</v>
      </c>
    </row>
    <row r="3737" spans="1:18">
      <c r="A3737" s="181" t="s">
        <v>9232</v>
      </c>
      <c r="B3737" s="65"/>
      <c r="C3737" s="65"/>
      <c r="D3737" s="65"/>
      <c r="E3737" s="65"/>
      <c r="F3737" s="65"/>
      <c r="G3737" s="65"/>
      <c r="H3737" s="65"/>
      <c r="I3737" s="65" t="s">
        <v>75</v>
      </c>
      <c r="J3737" s="65"/>
      <c r="K3737" s="182"/>
      <c r="M3737" t="s">
        <v>2246</v>
      </c>
      <c r="N3737" t="s">
        <v>5571</v>
      </c>
      <c r="Q3737" t="str">
        <f t="shared" si="139"/>
        <v>condorProc.py --series 07180919_1531 --donoise --dumps a --procenv environments/pymidas_HVHV_NaI_mf.env</v>
      </c>
    </row>
    <row r="3738" spans="1:18">
      <c r="A3738" t="s">
        <v>9233</v>
      </c>
      <c r="G3738" t="s">
        <v>18</v>
      </c>
      <c r="H3738">
        <v>0</v>
      </c>
      <c r="J3738" s="177" t="s">
        <v>5577</v>
      </c>
      <c r="K3738" t="s">
        <v>9219</v>
      </c>
      <c r="M3738" t="s">
        <v>2246</v>
      </c>
      <c r="N3738" t="s">
        <v>5571</v>
      </c>
      <c r="Q3738" t="str">
        <f t="shared" si="139"/>
        <v>condorProc.py --series 07180919_1655 --donoise --dumps a --procenv environments/pymidas_HVHV_NaI_mf.env</v>
      </c>
    </row>
    <row r="3739" spans="1:18">
      <c r="A3739" t="s">
        <v>9234</v>
      </c>
      <c r="G3739" t="s">
        <v>18</v>
      </c>
      <c r="H3739">
        <v>0</v>
      </c>
      <c r="J3739" s="177" t="s">
        <v>5577</v>
      </c>
      <c r="K3739" t="s">
        <v>9235</v>
      </c>
      <c r="M3739" t="s">
        <v>9236</v>
      </c>
      <c r="N3739" t="s">
        <v>5571</v>
      </c>
      <c r="Q3739" t="str">
        <f>"condorProc.py --series "&amp;A3739&amp;" --donoise --dumps a --procenv environments/pymidas_HVHV_NaI-n_mf.env"</f>
        <v>condorProc.py --series 07180920_1519 --donoise --dumps a --procenv environments/pymidas_HVHV_NaI-n_mf.env</v>
      </c>
    </row>
    <row r="3740" spans="1:18">
      <c r="A3740" t="s">
        <v>9237</v>
      </c>
      <c r="G3740" t="s">
        <v>18</v>
      </c>
      <c r="J3740" t="s">
        <v>191</v>
      </c>
      <c r="K3740" t="s">
        <v>9238</v>
      </c>
      <c r="M3740" t="s">
        <v>2246</v>
      </c>
      <c r="N3740" t="s">
        <v>5571</v>
      </c>
      <c r="Q3740" t="str">
        <f t="shared" si="139"/>
        <v>condorProc.py --series 07180920_1604 --donoise --dumps a --procenv environments/pymidas_HVHV_NaI_mf.env</v>
      </c>
    </row>
    <row r="3741" spans="1:18">
      <c r="A3741" s="176" t="s">
        <v>9239</v>
      </c>
      <c r="B3741" s="177"/>
      <c r="C3741" s="177"/>
      <c r="D3741" s="177"/>
      <c r="E3741" s="177"/>
      <c r="F3741" s="177"/>
      <c r="G3741" s="177" t="s">
        <v>18</v>
      </c>
      <c r="H3741" s="177">
        <v>-240</v>
      </c>
      <c r="I3741" s="177"/>
      <c r="J3741" s="177" t="s">
        <v>5577</v>
      </c>
      <c r="K3741" s="178" t="s">
        <v>5583</v>
      </c>
      <c r="M3741" t="s">
        <v>9236</v>
      </c>
      <c r="N3741" t="s">
        <v>5571</v>
      </c>
      <c r="Q3741" t="str">
        <f t="shared" ref="Q3741:Q3748" si="140">"condorProc.py --series "&amp;A3741&amp;" --donoise --dumps a --procenv environments/pymidas_HVHV_NaI-n_mf.env"</f>
        <v>condorProc.py --series 07180920_1755 --donoise --dumps a --procenv environments/pymidas_HVHV_NaI-n_mf.env</v>
      </c>
      <c r="R3741" t="str">
        <f>""""&amp;A3741&amp;""""</f>
        <v>"07180920_1755"</v>
      </c>
    </row>
    <row r="3742" spans="1:18">
      <c r="A3742" s="179" t="s">
        <v>9240</v>
      </c>
      <c r="J3742" t="s">
        <v>5585</v>
      </c>
      <c r="K3742" s="218" t="s">
        <v>5586</v>
      </c>
      <c r="M3742" t="s">
        <v>9236</v>
      </c>
      <c r="N3742" t="s">
        <v>5571</v>
      </c>
      <c r="Q3742" t="str">
        <f t="shared" si="140"/>
        <v>condorProc.py --series 07180920_1805 --donoise --dumps a --procenv environments/pymidas_HVHV_NaI-n_mf.env</v>
      </c>
      <c r="R3742" t="str">
        <f>R3741&amp;", """&amp;A3742&amp;""""</f>
        <v>"07180920_1755", "07180920_1805"</v>
      </c>
    </row>
    <row r="3743" spans="1:18">
      <c r="A3743" s="179" t="s">
        <v>9241</v>
      </c>
      <c r="J3743" s="230" t="s">
        <v>9242</v>
      </c>
      <c r="K3743" s="219" t="s">
        <v>8388</v>
      </c>
      <c r="M3743" t="s">
        <v>9236</v>
      </c>
      <c r="N3743" t="s">
        <v>5571</v>
      </c>
      <c r="Q3743" t="str">
        <f t="shared" si="140"/>
        <v>condorProc.py --series 07180920_1815 --donoise --dumps a --procenv environments/pymidas_HVHV_NaI-n_mf.env</v>
      </c>
      <c r="R3743" t="str">
        <f t="shared" ref="R3743:R3748" si="141">R3742&amp;", """&amp;A3743&amp;""""</f>
        <v>"07180920_1755", "07180920_1805", "07180920_1815"</v>
      </c>
    </row>
    <row r="3744" spans="1:18">
      <c r="A3744" s="179" t="s">
        <v>9243</v>
      </c>
      <c r="K3744" s="180"/>
      <c r="M3744" t="s">
        <v>9236</v>
      </c>
      <c r="N3744" t="s">
        <v>5571</v>
      </c>
      <c r="Q3744" t="str">
        <f t="shared" si="140"/>
        <v>condorProc.py --series 07180920_1825 --donoise --dumps a --procenv environments/pymidas_HVHV_NaI-n_mf.env</v>
      </c>
      <c r="R3744" t="str">
        <f t="shared" si="141"/>
        <v>"07180920_1755", "07180920_1805", "07180920_1815", "07180920_1825"</v>
      </c>
    </row>
    <row r="3745" spans="1:18">
      <c r="A3745" s="179" t="s">
        <v>9244</v>
      </c>
      <c r="K3745" s="180"/>
      <c r="M3745" t="s">
        <v>9236</v>
      </c>
      <c r="N3745" t="s">
        <v>5571</v>
      </c>
      <c r="Q3745" t="str">
        <f t="shared" si="140"/>
        <v>condorProc.py --series 07180920_1835 --donoise --dumps a --procenv environments/pymidas_HVHV_NaI-n_mf.env</v>
      </c>
      <c r="R3745" t="str">
        <f t="shared" si="141"/>
        <v>"07180920_1755", "07180920_1805", "07180920_1815", "07180920_1825", "07180920_1835"</v>
      </c>
    </row>
    <row r="3746" spans="1:18">
      <c r="A3746" s="179" t="s">
        <v>9245</v>
      </c>
      <c r="K3746" s="180"/>
      <c r="M3746" t="s">
        <v>9236</v>
      </c>
      <c r="N3746" t="s">
        <v>5571</v>
      </c>
      <c r="Q3746" t="str">
        <f t="shared" si="140"/>
        <v>condorProc.py --series 07180920_1845 --donoise --dumps a --procenv environments/pymidas_HVHV_NaI-n_mf.env</v>
      </c>
      <c r="R3746" t="str">
        <f t="shared" si="141"/>
        <v>"07180920_1755", "07180920_1805", "07180920_1815", "07180920_1825", "07180920_1835", "07180920_1845"</v>
      </c>
    </row>
    <row r="3747" spans="1:18">
      <c r="A3747" s="179" t="s">
        <v>9246</v>
      </c>
      <c r="I3747" t="s">
        <v>75</v>
      </c>
      <c r="K3747" s="180"/>
      <c r="M3747" t="s">
        <v>9236</v>
      </c>
      <c r="N3747" t="s">
        <v>5571</v>
      </c>
      <c r="Q3747" t="str">
        <f t="shared" si="140"/>
        <v>condorProc.py --series 07180920_1856 --donoise --dumps a --procenv environments/pymidas_HVHV_NaI-n_mf.env</v>
      </c>
      <c r="R3747" t="str">
        <f t="shared" si="141"/>
        <v>"07180920_1755", "07180920_1805", "07180920_1815", "07180920_1825", "07180920_1835", "07180920_1845", "07180920_1856"</v>
      </c>
    </row>
    <row r="3748" spans="1:18">
      <c r="A3748" s="179" t="s">
        <v>9247</v>
      </c>
      <c r="K3748" s="180" t="s">
        <v>9248</v>
      </c>
      <c r="M3748" t="s">
        <v>9236</v>
      </c>
      <c r="N3748" t="s">
        <v>5571</v>
      </c>
      <c r="Q3748" t="str">
        <f t="shared" si="140"/>
        <v>condorProc.py --series 07180920_1906 --donoise --dumps a --procenv environments/pymidas_HVHV_NaI-n_mf.env</v>
      </c>
      <c r="R3748" t="str">
        <f t="shared" si="141"/>
        <v>"07180920_1755", "07180920_1805", "07180920_1815", "07180920_1825", "07180920_1835", "07180920_1845", "07180920_1856", "07180920_1906"</v>
      </c>
    </row>
    <row r="3749" spans="1:18">
      <c r="A3749" s="179" t="s">
        <v>9249</v>
      </c>
      <c r="I3749" s="197" t="s">
        <v>8511</v>
      </c>
    </row>
    <row r="3750" spans="1:18">
      <c r="A3750" s="179" t="s">
        <v>9250</v>
      </c>
      <c r="I3750" s="197" t="s">
        <v>8511</v>
      </c>
      <c r="K3750" s="180" t="s">
        <v>9251</v>
      </c>
    </row>
    <row r="3751" spans="1:18">
      <c r="A3751" s="179" t="s">
        <v>9252</v>
      </c>
      <c r="I3751" s="197" t="s">
        <v>8511</v>
      </c>
      <c r="K3751" s="180" t="s">
        <v>9253</v>
      </c>
    </row>
    <row r="3752" spans="1:18">
      <c r="A3752" s="179" t="s">
        <v>9254</v>
      </c>
      <c r="I3752" s="197" t="s">
        <v>8511</v>
      </c>
      <c r="K3752" s="180"/>
    </row>
    <row r="3753" spans="1:18">
      <c r="A3753" s="176" t="s">
        <v>9255</v>
      </c>
      <c r="B3753" s="177"/>
      <c r="C3753" s="177"/>
      <c r="D3753" s="177"/>
      <c r="E3753" s="177"/>
      <c r="F3753" s="177">
        <v>10</v>
      </c>
      <c r="G3753" s="177" t="s">
        <v>18</v>
      </c>
      <c r="H3753" s="177">
        <v>-240</v>
      </c>
      <c r="I3753" s="199" t="s">
        <v>5434</v>
      </c>
      <c r="J3753" s="177" t="s">
        <v>5577</v>
      </c>
      <c r="K3753" s="178" t="s">
        <v>5583</v>
      </c>
    </row>
    <row r="3754" spans="1:18">
      <c r="A3754" s="179" t="s">
        <v>9256</v>
      </c>
      <c r="I3754" s="197" t="s">
        <v>5434</v>
      </c>
      <c r="J3754" t="s">
        <v>5585</v>
      </c>
      <c r="K3754" s="218" t="s">
        <v>5586</v>
      </c>
    </row>
    <row r="3755" spans="1:18">
      <c r="A3755" s="179" t="s">
        <v>9257</v>
      </c>
      <c r="I3755" s="197" t="s">
        <v>5434</v>
      </c>
      <c r="J3755" s="230" t="s">
        <v>9242</v>
      </c>
      <c r="K3755" s="219" t="s">
        <v>8388</v>
      </c>
    </row>
    <row r="3756" spans="1:18">
      <c r="A3756" s="179" t="s">
        <v>9258</v>
      </c>
      <c r="I3756" s="197" t="s">
        <v>5434</v>
      </c>
      <c r="K3756" s="180"/>
    </row>
    <row r="3757" spans="1:18">
      <c r="A3757" s="179" t="s">
        <v>9259</v>
      </c>
      <c r="I3757" s="197" t="s">
        <v>5434</v>
      </c>
      <c r="K3757" s="180"/>
    </row>
    <row r="3758" spans="1:18">
      <c r="A3758" s="179" t="s">
        <v>9260</v>
      </c>
      <c r="I3758" s="197" t="s">
        <v>5434</v>
      </c>
      <c r="K3758" s="180"/>
    </row>
    <row r="3759" spans="1:18">
      <c r="A3759" s="179" t="s">
        <v>9261</v>
      </c>
      <c r="I3759" s="197" t="s">
        <v>5434</v>
      </c>
      <c r="K3759" s="180"/>
    </row>
    <row r="3760" spans="1:18">
      <c r="A3760" s="179" t="s">
        <v>9262</v>
      </c>
      <c r="I3760" s="197" t="s">
        <v>5434</v>
      </c>
      <c r="K3760" s="180"/>
    </row>
    <row r="3761" spans="1:17">
      <c r="A3761" s="179" t="s">
        <v>9263</v>
      </c>
      <c r="I3761" s="197" t="s">
        <v>5434</v>
      </c>
      <c r="K3761" s="180" t="s">
        <v>8298</v>
      </c>
    </row>
    <row r="3762" spans="1:17">
      <c r="A3762" s="179" t="s">
        <v>9264</v>
      </c>
      <c r="K3762" s="180"/>
      <c r="M3762" t="s">
        <v>9236</v>
      </c>
      <c r="N3762" t="s">
        <v>5571</v>
      </c>
      <c r="Q3762" t="str">
        <f t="shared" ref="Q3762:Q3776" si="142">"condorProc.py --series "&amp;A3762&amp;" --donoise --dumps a --procenv environments/pymidas_HVHV_NaI-n_mf.env"</f>
        <v>condorProc.py --series 07180921_1121 --donoise --dumps a --procenv environments/pymidas_HVHV_NaI-n_mf.env</v>
      </c>
    </row>
    <row r="3763" spans="1:17">
      <c r="A3763" s="179" t="s">
        <v>9265</v>
      </c>
      <c r="K3763" s="180"/>
      <c r="M3763" t="s">
        <v>9236</v>
      </c>
      <c r="N3763" t="s">
        <v>5571</v>
      </c>
      <c r="Q3763" t="str">
        <f t="shared" si="142"/>
        <v>condorProc.py --series 07180921_1131 --donoise --dumps a --procenv environments/pymidas_HVHV_NaI-n_mf.env</v>
      </c>
    </row>
    <row r="3764" spans="1:17">
      <c r="A3764" s="179" t="s">
        <v>9266</v>
      </c>
      <c r="I3764" t="s">
        <v>75</v>
      </c>
      <c r="K3764" s="180"/>
      <c r="M3764" t="s">
        <v>9236</v>
      </c>
      <c r="N3764" t="s">
        <v>5571</v>
      </c>
      <c r="Q3764" t="str">
        <f t="shared" si="142"/>
        <v>condorProc.py --series 07180921_1141 --donoise --dumps a --procenv environments/pymidas_HVHV_NaI-n_mf.env</v>
      </c>
    </row>
    <row r="3765" spans="1:17">
      <c r="A3765" s="176" t="s">
        <v>9267</v>
      </c>
      <c r="B3765" s="177"/>
      <c r="C3765" s="177"/>
      <c r="D3765" s="177"/>
      <c r="E3765" s="177"/>
      <c r="F3765" s="177">
        <v>10</v>
      </c>
      <c r="G3765" s="224" t="s">
        <v>8641</v>
      </c>
      <c r="H3765" s="177">
        <v>-240</v>
      </c>
      <c r="I3765" s="177"/>
      <c r="J3765" s="177" t="s">
        <v>5577</v>
      </c>
      <c r="K3765" s="178" t="s">
        <v>5583</v>
      </c>
      <c r="M3765" t="s">
        <v>9236</v>
      </c>
      <c r="N3765" t="s">
        <v>5571</v>
      </c>
      <c r="Q3765" t="str">
        <f t="shared" si="142"/>
        <v>condorProc.py --series 07180921_1244 --donoise --dumps a --procenv environments/pymidas_HVHV_NaI-n_mf.env</v>
      </c>
    </row>
    <row r="3766" spans="1:17">
      <c r="A3766" s="179" t="s">
        <v>9268</v>
      </c>
      <c r="J3766" t="s">
        <v>5585</v>
      </c>
      <c r="K3766" s="218" t="s">
        <v>5586</v>
      </c>
      <c r="M3766" t="s">
        <v>9236</v>
      </c>
      <c r="N3766" t="s">
        <v>5571</v>
      </c>
      <c r="Q3766" t="str">
        <f t="shared" si="142"/>
        <v>condorProc.py --series 07180921_1254 --donoise --dumps a --procenv environments/pymidas_HVHV_NaI-n_mf.env</v>
      </c>
    </row>
    <row r="3767" spans="1:17">
      <c r="A3767" s="179" t="s">
        <v>9269</v>
      </c>
      <c r="J3767" s="230" t="s">
        <v>9242</v>
      </c>
      <c r="K3767" s="219" t="s">
        <v>8388</v>
      </c>
      <c r="M3767" t="s">
        <v>9236</v>
      </c>
      <c r="N3767" t="s">
        <v>5571</v>
      </c>
      <c r="Q3767" t="str">
        <f t="shared" si="142"/>
        <v>condorProc.py --series 07180921_1304 --donoise --dumps a --procenv environments/pymidas_HVHV_NaI-n_mf.env</v>
      </c>
    </row>
    <row r="3768" spans="1:17">
      <c r="A3768" s="179" t="s">
        <v>9270</v>
      </c>
      <c r="K3768" s="180"/>
      <c r="M3768" t="s">
        <v>9236</v>
      </c>
      <c r="N3768" t="s">
        <v>5571</v>
      </c>
      <c r="Q3768" t="str">
        <f t="shared" si="142"/>
        <v>condorProc.py --series 07180921_1314 --donoise --dumps a --procenv environments/pymidas_HVHV_NaI-n_mf.env</v>
      </c>
    </row>
    <row r="3769" spans="1:17">
      <c r="A3769" s="179" t="s">
        <v>9271</v>
      </c>
      <c r="K3769" s="180"/>
      <c r="M3769" t="s">
        <v>9236</v>
      </c>
      <c r="N3769" t="s">
        <v>5571</v>
      </c>
      <c r="Q3769" t="str">
        <f t="shared" si="142"/>
        <v>condorProc.py --series 07180921_1324 --donoise --dumps a --procenv environments/pymidas_HVHV_NaI-n_mf.env</v>
      </c>
    </row>
    <row r="3770" spans="1:17">
      <c r="A3770" s="179" t="s">
        <v>9272</v>
      </c>
      <c r="K3770" s="180"/>
      <c r="M3770" t="s">
        <v>9236</v>
      </c>
      <c r="N3770" t="s">
        <v>5571</v>
      </c>
      <c r="Q3770" t="str">
        <f t="shared" si="142"/>
        <v>condorProc.py --series 07180921_1334 --donoise --dumps a --procenv environments/pymidas_HVHV_NaI-n_mf.env</v>
      </c>
    </row>
    <row r="3771" spans="1:17">
      <c r="A3771" s="179" t="s">
        <v>9273</v>
      </c>
      <c r="K3771" s="180"/>
      <c r="M3771" t="s">
        <v>9236</v>
      </c>
      <c r="N3771" t="s">
        <v>5571</v>
      </c>
      <c r="Q3771" t="str">
        <f t="shared" si="142"/>
        <v>condorProc.py --series 07180921_1407 --donoise --dumps a --procenv environments/pymidas_HVHV_NaI-n_mf.env</v>
      </c>
    </row>
    <row r="3772" spans="1:17">
      <c r="A3772" s="179" t="s">
        <v>9274</v>
      </c>
      <c r="K3772" s="180"/>
      <c r="M3772" t="s">
        <v>9236</v>
      </c>
      <c r="N3772" t="s">
        <v>5571</v>
      </c>
      <c r="Q3772" t="str">
        <f t="shared" si="142"/>
        <v>condorProc.py --series 07180921_1417 --donoise --dumps a --procenv environments/pymidas_HVHV_NaI-n_mf.env</v>
      </c>
    </row>
    <row r="3773" spans="1:17">
      <c r="A3773" s="179" t="s">
        <v>9275</v>
      </c>
      <c r="K3773" s="180"/>
      <c r="M3773" t="s">
        <v>9236</v>
      </c>
      <c r="N3773" t="s">
        <v>5571</v>
      </c>
      <c r="Q3773" t="str">
        <f t="shared" si="142"/>
        <v>condorProc.py --series 07180921_1427 --donoise --dumps a --procenv environments/pymidas_HVHV_NaI-n_mf.env</v>
      </c>
    </row>
    <row r="3774" spans="1:17">
      <c r="A3774" s="179" t="s">
        <v>9276</v>
      </c>
      <c r="K3774" s="180"/>
      <c r="M3774" t="s">
        <v>9236</v>
      </c>
      <c r="N3774" t="s">
        <v>5571</v>
      </c>
      <c r="Q3774" t="str">
        <f t="shared" si="142"/>
        <v>condorProc.py --series 07180921_1437 --donoise --dumps a --procenv environments/pymidas_HVHV_NaI-n_mf.env</v>
      </c>
    </row>
    <row r="3775" spans="1:17">
      <c r="A3775" s="179" t="s">
        <v>9277</v>
      </c>
      <c r="K3775" s="180"/>
      <c r="M3775" t="s">
        <v>9236</v>
      </c>
      <c r="N3775" t="s">
        <v>5571</v>
      </c>
      <c r="Q3775" t="str">
        <f t="shared" si="142"/>
        <v>condorProc.py --series 07180921_1447 --donoise --dumps a --procenv environments/pymidas_HVHV_NaI-n_mf.env</v>
      </c>
    </row>
    <row r="3776" spans="1:17">
      <c r="A3776" s="179" t="s">
        <v>9278</v>
      </c>
      <c r="I3776" t="s">
        <v>75</v>
      </c>
      <c r="K3776" s="180"/>
      <c r="M3776" t="s">
        <v>9236</v>
      </c>
      <c r="N3776" t="s">
        <v>5571</v>
      </c>
      <c r="Q3776" t="str">
        <f t="shared" si="142"/>
        <v>condorProc.py --series 07180921_1457 --donoise --dumps a --procenv environments/pymidas_HVHV_NaI-n_mf.env</v>
      </c>
    </row>
    <row r="3777" spans="1:17">
      <c r="A3777" s="176" t="s">
        <v>9279</v>
      </c>
      <c r="B3777" s="177"/>
      <c r="C3777" s="177"/>
      <c r="D3777" s="177"/>
      <c r="E3777" s="177"/>
      <c r="F3777" s="177">
        <v>10</v>
      </c>
      <c r="G3777" s="177" t="s">
        <v>9280</v>
      </c>
      <c r="H3777" s="177">
        <v>0</v>
      </c>
      <c r="I3777" s="177"/>
      <c r="J3777" s="177" t="s">
        <v>5577</v>
      </c>
      <c r="K3777" s="178"/>
      <c r="L3777" t="s">
        <v>6874</v>
      </c>
      <c r="M3777" t="s">
        <v>9236</v>
      </c>
      <c r="N3777" t="s">
        <v>5571</v>
      </c>
      <c r="Q3777" t="str">
        <f t="shared" ref="Q3777:Q3825" si="143">"condorProc.py --series "&amp;A3777&amp;" --donoise --dumps a --procenv environments/pymidas_HVHV_NaI_mf.env"</f>
        <v>condorProc.py --series 07180921_1535 --donoise --dumps a --procenv environments/pymidas_HVHV_NaI_mf.env</v>
      </c>
    </row>
    <row r="3778" spans="1:17">
      <c r="A3778" s="179" t="s">
        <v>9281</v>
      </c>
      <c r="J3778" s="230" t="s">
        <v>9242</v>
      </c>
      <c r="K3778" s="180"/>
      <c r="M3778" t="s">
        <v>9236</v>
      </c>
      <c r="N3778" t="s">
        <v>5571</v>
      </c>
      <c r="Q3778" t="str">
        <f t="shared" si="143"/>
        <v>condorProc.py --series 07180921_1545 --donoise --dumps a --procenv environments/pymidas_HVHV_NaI_mf.env</v>
      </c>
    </row>
    <row r="3779" spans="1:17">
      <c r="A3779" s="179" t="s">
        <v>9282</v>
      </c>
      <c r="K3779" s="180"/>
      <c r="M3779" t="s">
        <v>9236</v>
      </c>
      <c r="N3779" t="s">
        <v>5571</v>
      </c>
      <c r="Q3779" t="str">
        <f t="shared" si="143"/>
        <v>condorProc.py --series 07180921_1555 --donoise --dumps a --procenv environments/pymidas_HVHV_NaI_mf.env</v>
      </c>
    </row>
    <row r="3780" spans="1:17">
      <c r="A3780" s="179" t="s">
        <v>9283</v>
      </c>
      <c r="K3780" s="180"/>
      <c r="M3780" t="s">
        <v>9236</v>
      </c>
      <c r="N3780" t="s">
        <v>5571</v>
      </c>
      <c r="Q3780" t="str">
        <f t="shared" si="143"/>
        <v>condorProc.py --series 07180921_1605 --donoise --dumps a --procenv environments/pymidas_HVHV_NaI_mf.env</v>
      </c>
    </row>
    <row r="3781" spans="1:17">
      <c r="A3781" s="179" t="s">
        <v>9284</v>
      </c>
      <c r="K3781" s="180"/>
      <c r="M3781" t="s">
        <v>9236</v>
      </c>
      <c r="N3781" t="s">
        <v>5571</v>
      </c>
      <c r="Q3781" t="str">
        <f t="shared" si="143"/>
        <v>condorProc.py --series 07180921_1615 --donoise --dumps a --procenv environments/pymidas_HVHV_NaI_mf.env</v>
      </c>
    </row>
    <row r="3782" spans="1:17">
      <c r="A3782" s="179" t="s">
        <v>9285</v>
      </c>
      <c r="K3782" s="180"/>
      <c r="M3782" t="s">
        <v>9236</v>
      </c>
      <c r="N3782" t="s">
        <v>5571</v>
      </c>
      <c r="Q3782" t="str">
        <f t="shared" si="143"/>
        <v>condorProc.py --series 07180921_1625 --donoise --dumps a --procenv environments/pymidas_HVHV_NaI_mf.env</v>
      </c>
    </row>
    <row r="3783" spans="1:17">
      <c r="A3783" s="176" t="s">
        <v>9286</v>
      </c>
      <c r="B3783" s="177"/>
      <c r="C3783" s="177"/>
      <c r="D3783" s="177"/>
      <c r="E3783" s="177"/>
      <c r="F3783" s="177">
        <v>10</v>
      </c>
      <c r="G3783" s="177" t="s">
        <v>2248</v>
      </c>
      <c r="H3783" s="177">
        <v>0</v>
      </c>
      <c r="I3783" s="177"/>
      <c r="J3783" s="177" t="s">
        <v>5577</v>
      </c>
      <c r="K3783" s="178" t="s">
        <v>5583</v>
      </c>
      <c r="M3783" t="s">
        <v>9236</v>
      </c>
      <c r="N3783" t="s">
        <v>5571</v>
      </c>
      <c r="Q3783" t="str">
        <f t="shared" si="143"/>
        <v>condorProc.py --series 07180921_1740 --donoise --dumps a --procenv environments/pymidas_HVHV_NaI_mf.env</v>
      </c>
    </row>
    <row r="3784" spans="1:17">
      <c r="A3784" s="179" t="s">
        <v>9287</v>
      </c>
      <c r="J3784" s="230" t="s">
        <v>9242</v>
      </c>
      <c r="K3784" s="218" t="s">
        <v>5586</v>
      </c>
      <c r="M3784" t="s">
        <v>9236</v>
      </c>
      <c r="N3784" t="s">
        <v>5571</v>
      </c>
      <c r="Q3784" t="str">
        <f t="shared" si="143"/>
        <v>condorProc.py --series 07180921_1750 --donoise --dumps a --procenv environments/pymidas_HVHV_NaI_mf.env</v>
      </c>
    </row>
    <row r="3785" spans="1:17">
      <c r="A3785" s="179" t="s">
        <v>9288</v>
      </c>
      <c r="K3785" s="219" t="s">
        <v>8388</v>
      </c>
      <c r="M3785" t="s">
        <v>9236</v>
      </c>
      <c r="N3785" t="s">
        <v>5571</v>
      </c>
      <c r="Q3785" t="str">
        <f t="shared" si="143"/>
        <v>condorProc.py --series 07180921_1800 --donoise --dumps a --procenv environments/pymidas_HVHV_NaI_mf.env</v>
      </c>
    </row>
    <row r="3786" spans="1:17">
      <c r="A3786" s="179" t="s">
        <v>9289</v>
      </c>
      <c r="K3786" s="180"/>
      <c r="M3786" t="s">
        <v>9236</v>
      </c>
      <c r="N3786" t="s">
        <v>5571</v>
      </c>
      <c r="Q3786" t="str">
        <f t="shared" si="143"/>
        <v>condorProc.py --series 07180921_1810 --donoise --dumps a --procenv environments/pymidas_HVHV_NaI_mf.env</v>
      </c>
    </row>
    <row r="3787" spans="1:17">
      <c r="A3787" s="179" t="s">
        <v>9290</v>
      </c>
      <c r="K3787" s="180" t="s">
        <v>9291</v>
      </c>
      <c r="M3787" t="s">
        <v>9236</v>
      </c>
      <c r="N3787" t="s">
        <v>5571</v>
      </c>
      <c r="Q3787" t="str">
        <f t="shared" si="143"/>
        <v>condorProc.py --series 07180921_1820 --donoise --dumps a --procenv environments/pymidas_HVHV_NaI_mf.env</v>
      </c>
    </row>
    <row r="3788" spans="1:17">
      <c r="A3788" s="181" t="s">
        <v>9292</v>
      </c>
      <c r="B3788" s="65"/>
      <c r="C3788" s="65"/>
      <c r="D3788" s="65"/>
      <c r="E3788" s="65"/>
      <c r="F3788" s="65"/>
      <c r="G3788" s="65"/>
      <c r="H3788" s="65"/>
      <c r="I3788" s="65"/>
      <c r="J3788" s="65"/>
      <c r="K3788" s="182"/>
      <c r="M3788" t="s">
        <v>9236</v>
      </c>
      <c r="N3788" t="s">
        <v>5571</v>
      </c>
      <c r="Q3788" t="str">
        <f t="shared" si="143"/>
        <v>condorProc.py --series 07180921_1830 --donoise --dumps a --procenv environments/pymidas_HVHV_NaI_mf.env</v>
      </c>
    </row>
    <row r="3789" spans="1:17">
      <c r="A3789" t="s">
        <v>9293</v>
      </c>
      <c r="F3789" s="177">
        <v>10</v>
      </c>
      <c r="G3789" s="177" t="s">
        <v>2248</v>
      </c>
      <c r="H3789" s="177">
        <v>-50</v>
      </c>
      <c r="I3789" s="177"/>
      <c r="J3789" s="177" t="s">
        <v>5577</v>
      </c>
      <c r="K3789" s="178" t="s">
        <v>5583</v>
      </c>
      <c r="M3789" t="s">
        <v>9236</v>
      </c>
      <c r="N3789" t="s">
        <v>5571</v>
      </c>
      <c r="Q3789" t="str">
        <f t="shared" si="143"/>
        <v>condorProc.py --series 07180921_1849 --donoise --dumps a --procenv environments/pymidas_HVHV_NaI_mf.env</v>
      </c>
    </row>
    <row r="3790" spans="1:17">
      <c r="A3790" t="s">
        <v>9294</v>
      </c>
      <c r="J3790" s="230" t="s">
        <v>9242</v>
      </c>
      <c r="K3790" s="218" t="s">
        <v>5586</v>
      </c>
      <c r="M3790" t="s">
        <v>9236</v>
      </c>
      <c r="N3790" t="s">
        <v>5571</v>
      </c>
      <c r="Q3790" t="str">
        <f t="shared" si="143"/>
        <v>condorProc.py --series 07180921_1859 --donoise --dumps a --procenv environments/pymidas_HVHV_NaI_mf.env</v>
      </c>
    </row>
    <row r="3791" spans="1:17">
      <c r="A3791" t="s">
        <v>9295</v>
      </c>
      <c r="K3791" s="219" t="s">
        <v>8388</v>
      </c>
      <c r="M3791" t="s">
        <v>9236</v>
      </c>
      <c r="N3791" t="s">
        <v>5571</v>
      </c>
      <c r="Q3791" t="str">
        <f t="shared" si="143"/>
        <v>condorProc.py --series 07180921_1909 --donoise --dumps a --procenv environments/pymidas_HVHV_NaI_mf.env</v>
      </c>
    </row>
    <row r="3792" spans="1:17">
      <c r="A3792" t="s">
        <v>9296</v>
      </c>
      <c r="K3792" s="180"/>
      <c r="M3792" t="s">
        <v>9236</v>
      </c>
      <c r="N3792" t="s">
        <v>5571</v>
      </c>
      <c r="Q3792" t="str">
        <f t="shared" si="143"/>
        <v>condorProc.py --series 07180921_1919 --donoise --dumps a --procenv environments/pymidas_HVHV_NaI_mf.env</v>
      </c>
    </row>
    <row r="3793" spans="1:17">
      <c r="A3793" t="s">
        <v>9297</v>
      </c>
      <c r="K3793" s="180" t="s">
        <v>9291</v>
      </c>
      <c r="M3793" t="s">
        <v>9236</v>
      </c>
      <c r="N3793" t="s">
        <v>5571</v>
      </c>
      <c r="Q3793" t="str">
        <f t="shared" si="143"/>
        <v>condorProc.py --series 07180921_1929 --donoise --dumps a --procenv environments/pymidas_HVHV_NaI_mf.env</v>
      </c>
    </row>
    <row r="3794" spans="1:17">
      <c r="A3794" t="s">
        <v>9298</v>
      </c>
      <c r="F3794" s="65"/>
      <c r="G3794" s="65"/>
      <c r="H3794" s="65"/>
      <c r="I3794" s="65"/>
      <c r="J3794" s="65"/>
      <c r="K3794" s="182"/>
      <c r="M3794" t="s">
        <v>9236</v>
      </c>
      <c r="N3794" t="s">
        <v>5571</v>
      </c>
      <c r="Q3794" t="str">
        <f t="shared" si="143"/>
        <v>condorProc.py --series 07180921_1939 --donoise --dumps a --procenv environments/pymidas_HVHV_NaI_mf.env</v>
      </c>
    </row>
    <row r="3795" spans="1:17">
      <c r="A3795" t="s">
        <v>9299</v>
      </c>
      <c r="F3795" s="177">
        <v>10</v>
      </c>
      <c r="G3795" s="177" t="s">
        <v>2248</v>
      </c>
      <c r="H3795" s="177">
        <v>-75</v>
      </c>
      <c r="I3795" s="177"/>
      <c r="J3795" s="177" t="s">
        <v>5577</v>
      </c>
      <c r="K3795" s="178" t="s">
        <v>5583</v>
      </c>
      <c r="M3795" t="s">
        <v>9236</v>
      </c>
      <c r="N3795" t="s">
        <v>5571</v>
      </c>
      <c r="Q3795" t="str">
        <f t="shared" si="143"/>
        <v>condorProc.py --series 07180921_2032 --donoise --dumps a --procenv environments/pymidas_HVHV_NaI_mf.env</v>
      </c>
    </row>
    <row r="3796" spans="1:17">
      <c r="A3796" t="s">
        <v>9300</v>
      </c>
      <c r="J3796" s="230" t="s">
        <v>9242</v>
      </c>
      <c r="K3796" s="218" t="s">
        <v>5586</v>
      </c>
      <c r="M3796" t="s">
        <v>9236</v>
      </c>
      <c r="N3796" t="s">
        <v>5571</v>
      </c>
      <c r="Q3796" t="str">
        <f t="shared" si="143"/>
        <v>condorProc.py --series 07180921_2042 --donoise --dumps a --procenv environments/pymidas_HVHV_NaI_mf.env</v>
      </c>
    </row>
    <row r="3797" spans="1:17">
      <c r="A3797" t="s">
        <v>9301</v>
      </c>
      <c r="K3797" s="219" t="s">
        <v>8388</v>
      </c>
      <c r="M3797" t="s">
        <v>9236</v>
      </c>
      <c r="N3797" t="s">
        <v>5571</v>
      </c>
      <c r="Q3797" t="str">
        <f t="shared" si="143"/>
        <v>condorProc.py --series 07180921_2052 --donoise --dumps a --procenv environments/pymidas_HVHV_NaI_mf.env</v>
      </c>
    </row>
    <row r="3798" spans="1:17">
      <c r="A3798" t="s">
        <v>9302</v>
      </c>
      <c r="K3798" s="180"/>
      <c r="M3798" t="s">
        <v>9236</v>
      </c>
      <c r="N3798" t="s">
        <v>5571</v>
      </c>
      <c r="Q3798" t="str">
        <f t="shared" si="143"/>
        <v>condorProc.py --series 07180921_2103 --donoise --dumps a --procenv environments/pymidas_HVHV_NaI_mf.env</v>
      </c>
    </row>
    <row r="3799" spans="1:17">
      <c r="A3799" t="s">
        <v>9303</v>
      </c>
      <c r="K3799" s="180" t="s">
        <v>9291</v>
      </c>
      <c r="M3799" t="s">
        <v>9236</v>
      </c>
      <c r="N3799" t="s">
        <v>5571</v>
      </c>
      <c r="Q3799" t="str">
        <f t="shared" si="143"/>
        <v>condorProc.py --series 07180921_2113 --donoise --dumps a --procenv environments/pymidas_HVHV_NaI_mf.env</v>
      </c>
    </row>
    <row r="3800" spans="1:17">
      <c r="A3800" t="s">
        <v>9304</v>
      </c>
      <c r="F3800" s="65"/>
      <c r="G3800" s="65"/>
      <c r="H3800" s="65"/>
      <c r="I3800" s="65"/>
      <c r="J3800" s="65"/>
      <c r="K3800" s="182"/>
      <c r="M3800" t="s">
        <v>9236</v>
      </c>
      <c r="N3800" t="s">
        <v>5571</v>
      </c>
      <c r="Q3800" t="str">
        <f t="shared" si="143"/>
        <v>condorProc.py --series 07180921_2123 --donoise --dumps a --procenv environments/pymidas_HVHV_NaI_mf.env</v>
      </c>
    </row>
    <row r="3801" spans="1:17">
      <c r="A3801" t="s">
        <v>9305</v>
      </c>
      <c r="F3801" s="177">
        <v>10</v>
      </c>
      <c r="G3801" s="177" t="s">
        <v>2248</v>
      </c>
      <c r="H3801" s="177">
        <v>-100</v>
      </c>
      <c r="I3801" s="177"/>
      <c r="J3801" s="177" t="s">
        <v>5577</v>
      </c>
      <c r="K3801" s="178" t="s">
        <v>5583</v>
      </c>
      <c r="M3801" t="s">
        <v>9236</v>
      </c>
      <c r="N3801" t="s">
        <v>5571</v>
      </c>
      <c r="Q3801" t="str">
        <f t="shared" si="143"/>
        <v>condorProc.py --series 07180921_2219 --donoise --dumps a --procenv environments/pymidas_HVHV_NaI_mf.env</v>
      </c>
    </row>
    <row r="3802" spans="1:17">
      <c r="A3802" t="s">
        <v>9306</v>
      </c>
      <c r="J3802" s="230" t="s">
        <v>9242</v>
      </c>
      <c r="K3802" s="218" t="s">
        <v>5586</v>
      </c>
      <c r="M3802" t="s">
        <v>9236</v>
      </c>
      <c r="N3802" t="s">
        <v>5571</v>
      </c>
      <c r="Q3802" t="str">
        <f t="shared" si="143"/>
        <v>condorProc.py --series 07180921_2229 --donoise --dumps a --procenv environments/pymidas_HVHV_NaI_mf.env</v>
      </c>
    </row>
    <row r="3803" spans="1:17">
      <c r="A3803" t="s">
        <v>9307</v>
      </c>
      <c r="K3803" s="219" t="s">
        <v>8388</v>
      </c>
      <c r="M3803" t="s">
        <v>9236</v>
      </c>
      <c r="N3803" t="s">
        <v>5571</v>
      </c>
      <c r="Q3803" t="str">
        <f t="shared" si="143"/>
        <v>condorProc.py --series 07180921_2239 --donoise --dumps a --procenv environments/pymidas_HVHV_NaI_mf.env</v>
      </c>
    </row>
    <row r="3804" spans="1:17">
      <c r="A3804" t="s">
        <v>9308</v>
      </c>
      <c r="I3804" t="s">
        <v>75</v>
      </c>
      <c r="K3804" s="180"/>
      <c r="M3804" t="s">
        <v>9236</v>
      </c>
      <c r="N3804" t="s">
        <v>5571</v>
      </c>
      <c r="Q3804" t="str">
        <f t="shared" si="143"/>
        <v>condorProc.py --series 07180921_2249 --donoise --dumps a --procenv environments/pymidas_HVHV_NaI_mf.env</v>
      </c>
    </row>
    <row r="3805" spans="1:17">
      <c r="A3805" t="s">
        <v>9309</v>
      </c>
      <c r="K3805" s="180" t="s">
        <v>9291</v>
      </c>
      <c r="M3805" t="s">
        <v>9236</v>
      </c>
      <c r="N3805" t="s">
        <v>5571</v>
      </c>
      <c r="Q3805" t="str">
        <f t="shared" si="143"/>
        <v>condorProc.py --series 07180921_2259 --donoise --dumps a --procenv environments/pymidas_HVHV_NaI_mf.env</v>
      </c>
    </row>
    <row r="3806" spans="1:17">
      <c r="A3806" t="s">
        <v>9310</v>
      </c>
      <c r="F3806" s="65"/>
      <c r="G3806" s="65"/>
      <c r="H3806" s="65"/>
      <c r="I3806" s="65"/>
      <c r="J3806" s="65"/>
      <c r="K3806" s="182"/>
      <c r="M3806" t="s">
        <v>9236</v>
      </c>
      <c r="N3806" t="s">
        <v>5571</v>
      </c>
      <c r="Q3806" t="str">
        <f t="shared" si="143"/>
        <v>condorProc.py --series 07180921_2310 --donoise --dumps a --procenv environments/pymidas_HVHV_NaI_mf.env</v>
      </c>
    </row>
    <row r="3807" spans="1:17">
      <c r="A3807" t="s">
        <v>9311</v>
      </c>
      <c r="F3807" s="177">
        <v>10</v>
      </c>
      <c r="G3807" s="177" t="s">
        <v>2248</v>
      </c>
      <c r="H3807" s="177">
        <v>-125</v>
      </c>
      <c r="I3807" s="177"/>
      <c r="J3807" s="177" t="s">
        <v>5577</v>
      </c>
      <c r="K3807" s="178" t="s">
        <v>5583</v>
      </c>
      <c r="M3807" t="s">
        <v>9236</v>
      </c>
      <c r="N3807" t="s">
        <v>5571</v>
      </c>
      <c r="Q3807" t="str">
        <f t="shared" si="143"/>
        <v>condorProc.py --series 07180922_0007 --donoise --dumps a --procenv environments/pymidas_HVHV_NaI_mf.env</v>
      </c>
    </row>
    <row r="3808" spans="1:17">
      <c r="A3808" t="s">
        <v>9312</v>
      </c>
      <c r="J3808" s="230" t="s">
        <v>9242</v>
      </c>
      <c r="K3808" s="218" t="s">
        <v>5586</v>
      </c>
      <c r="M3808" t="s">
        <v>9236</v>
      </c>
      <c r="N3808" t="s">
        <v>5571</v>
      </c>
      <c r="Q3808" t="str">
        <f t="shared" si="143"/>
        <v>condorProc.py --series 07180922_0017 --donoise --dumps a --procenv environments/pymidas_HVHV_NaI_mf.env</v>
      </c>
    </row>
    <row r="3809" spans="1:17">
      <c r="A3809" t="s">
        <v>9313</v>
      </c>
      <c r="K3809" s="219" t="s">
        <v>8388</v>
      </c>
      <c r="M3809" t="s">
        <v>9236</v>
      </c>
      <c r="N3809" t="s">
        <v>5571</v>
      </c>
      <c r="Q3809" t="str">
        <f t="shared" si="143"/>
        <v>condorProc.py --series 07180922_0027 --donoise --dumps a --procenv environments/pymidas_HVHV_NaI_mf.env</v>
      </c>
    </row>
    <row r="3810" spans="1:17">
      <c r="A3810" t="s">
        <v>9314</v>
      </c>
      <c r="K3810" s="180"/>
      <c r="M3810" t="s">
        <v>9236</v>
      </c>
      <c r="N3810" t="s">
        <v>5571</v>
      </c>
      <c r="Q3810" t="str">
        <f t="shared" si="143"/>
        <v>condorProc.py --series 07180922_0037 --donoise --dumps a --procenv environments/pymidas_HVHV_NaI_mf.env</v>
      </c>
    </row>
    <row r="3811" spans="1:17">
      <c r="A3811" t="s">
        <v>9315</v>
      </c>
      <c r="K3811" s="180" t="s">
        <v>9291</v>
      </c>
      <c r="M3811" t="s">
        <v>9236</v>
      </c>
      <c r="N3811" t="s">
        <v>5571</v>
      </c>
      <c r="Q3811" t="str">
        <f t="shared" si="143"/>
        <v>condorProc.py --series 07180922_0047 --donoise --dumps a --procenv environments/pymidas_HVHV_NaI_mf.env</v>
      </c>
    </row>
    <row r="3812" spans="1:17">
      <c r="A3812" t="s">
        <v>9316</v>
      </c>
      <c r="F3812" s="65"/>
      <c r="G3812" s="65"/>
      <c r="H3812" s="65"/>
      <c r="I3812" s="65"/>
      <c r="J3812" s="65"/>
      <c r="K3812" s="182"/>
      <c r="M3812" t="s">
        <v>9236</v>
      </c>
      <c r="N3812" t="s">
        <v>5571</v>
      </c>
      <c r="Q3812" t="str">
        <f t="shared" si="143"/>
        <v>condorProc.py --series 07180922_0058 --donoise --dumps a --procenv environments/pymidas_HVHV_NaI_mf.env</v>
      </c>
    </row>
    <row r="3813" spans="1:17">
      <c r="A3813" t="s">
        <v>9317</v>
      </c>
      <c r="F3813" s="177">
        <v>10</v>
      </c>
      <c r="G3813" s="177" t="s">
        <v>2248</v>
      </c>
      <c r="H3813" s="177">
        <v>-150</v>
      </c>
      <c r="I3813" s="177"/>
      <c r="J3813" s="177" t="s">
        <v>5577</v>
      </c>
      <c r="K3813" s="178" t="s">
        <v>5583</v>
      </c>
      <c r="M3813" t="s">
        <v>9236</v>
      </c>
      <c r="N3813" t="s">
        <v>5571</v>
      </c>
      <c r="Q3813" t="str">
        <f t="shared" si="143"/>
        <v>condorProc.py --series 07180922_0158 --donoise --dumps a --procenv environments/pymidas_HVHV_NaI_mf.env</v>
      </c>
    </row>
    <row r="3814" spans="1:17">
      <c r="A3814" t="s">
        <v>9318</v>
      </c>
      <c r="J3814" s="230" t="s">
        <v>9242</v>
      </c>
      <c r="K3814" s="218" t="s">
        <v>5586</v>
      </c>
      <c r="M3814" t="s">
        <v>9236</v>
      </c>
      <c r="N3814" t="s">
        <v>5571</v>
      </c>
      <c r="Q3814" t="str">
        <f t="shared" si="143"/>
        <v>condorProc.py --series 07180922_0208 --donoise --dumps a --procenv environments/pymidas_HVHV_NaI_mf.env</v>
      </c>
    </row>
    <row r="3815" spans="1:17">
      <c r="A3815" t="s">
        <v>9319</v>
      </c>
      <c r="K3815" s="219" t="s">
        <v>8388</v>
      </c>
      <c r="M3815" t="s">
        <v>9236</v>
      </c>
      <c r="N3815" t="s">
        <v>5571</v>
      </c>
      <c r="Q3815" t="str">
        <f t="shared" si="143"/>
        <v>condorProc.py --series 07180922_0218 --donoise --dumps a --procenv environments/pymidas_HVHV_NaI_mf.env</v>
      </c>
    </row>
    <row r="3816" spans="1:17">
      <c r="A3816" t="s">
        <v>9320</v>
      </c>
      <c r="K3816" s="180"/>
      <c r="M3816" t="s">
        <v>9236</v>
      </c>
      <c r="N3816" t="s">
        <v>5571</v>
      </c>
      <c r="Q3816" t="str">
        <f t="shared" si="143"/>
        <v>condorProc.py --series 07180922_0229 --donoise --dumps a --procenv environments/pymidas_HVHV_NaI_mf.env</v>
      </c>
    </row>
    <row r="3817" spans="1:17">
      <c r="A3817" t="s">
        <v>9321</v>
      </c>
      <c r="K3817" s="180" t="s">
        <v>9291</v>
      </c>
      <c r="M3817" t="s">
        <v>9236</v>
      </c>
      <c r="N3817" t="s">
        <v>5571</v>
      </c>
      <c r="Q3817" t="str">
        <f t="shared" si="143"/>
        <v>condorProc.py --series 07180922_0239 --donoise --dumps a --procenv environments/pymidas_HVHV_NaI_mf.env</v>
      </c>
    </row>
    <row r="3818" spans="1:17">
      <c r="A3818" t="s">
        <v>9322</v>
      </c>
      <c r="F3818" s="65"/>
      <c r="G3818" s="65"/>
      <c r="H3818" s="65"/>
      <c r="I3818" s="65"/>
      <c r="J3818" s="65"/>
      <c r="K3818" s="182"/>
      <c r="M3818" t="s">
        <v>9236</v>
      </c>
      <c r="N3818" t="s">
        <v>5571</v>
      </c>
      <c r="Q3818" t="str">
        <f t="shared" si="143"/>
        <v>condorProc.py --series 07180922_0249 --donoise --dumps a --procenv environments/pymidas_HVHV_NaI_mf.env</v>
      </c>
    </row>
    <row r="3819" spans="1:17">
      <c r="A3819" t="s">
        <v>9323</v>
      </c>
      <c r="F3819" s="177">
        <v>10</v>
      </c>
      <c r="G3819" s="177" t="s">
        <v>2248</v>
      </c>
      <c r="H3819" s="177">
        <v>-175</v>
      </c>
      <c r="I3819" s="177"/>
      <c r="J3819" s="177" t="s">
        <v>5577</v>
      </c>
      <c r="K3819" s="178" t="s">
        <v>5583</v>
      </c>
      <c r="M3819" t="s">
        <v>9236</v>
      </c>
      <c r="N3819" t="s">
        <v>5571</v>
      </c>
      <c r="Q3819" t="str">
        <f t="shared" si="143"/>
        <v>condorProc.py --series 07180922_0353 --donoise --dumps a --procenv environments/pymidas_HVHV_NaI_mf.env</v>
      </c>
    </row>
    <row r="3820" spans="1:17">
      <c r="A3820" t="s">
        <v>9324</v>
      </c>
      <c r="J3820" s="230" t="s">
        <v>9242</v>
      </c>
      <c r="K3820" s="218" t="s">
        <v>5586</v>
      </c>
      <c r="M3820" t="s">
        <v>9236</v>
      </c>
      <c r="N3820" t="s">
        <v>5571</v>
      </c>
      <c r="Q3820" t="str">
        <f t="shared" si="143"/>
        <v>condorProc.py --series 07180922_0403 --donoise --dumps a --procenv environments/pymidas_HVHV_NaI_mf.env</v>
      </c>
    </row>
    <row r="3821" spans="1:17">
      <c r="A3821" t="s">
        <v>9325</v>
      </c>
      <c r="K3821" s="219" t="s">
        <v>8388</v>
      </c>
      <c r="M3821" t="s">
        <v>9236</v>
      </c>
      <c r="N3821" t="s">
        <v>5571</v>
      </c>
      <c r="Q3821" t="str">
        <f t="shared" si="143"/>
        <v>condorProc.py --series 07180922_0413 --donoise --dumps a --procenv environments/pymidas_HVHV_NaI_mf.env</v>
      </c>
    </row>
    <row r="3822" spans="1:17">
      <c r="A3822" t="s">
        <v>9326</v>
      </c>
      <c r="K3822" s="180"/>
      <c r="M3822" t="s">
        <v>9236</v>
      </c>
      <c r="N3822" t="s">
        <v>5571</v>
      </c>
      <c r="Q3822" t="str">
        <f t="shared" si="143"/>
        <v>condorProc.py --series 07180922_0423 --donoise --dumps a --procenv environments/pymidas_HVHV_NaI_mf.env</v>
      </c>
    </row>
    <row r="3823" spans="1:17">
      <c r="A3823" t="s">
        <v>9327</v>
      </c>
      <c r="K3823" s="180" t="s">
        <v>9291</v>
      </c>
      <c r="M3823" t="s">
        <v>9236</v>
      </c>
      <c r="N3823" t="s">
        <v>5571</v>
      </c>
      <c r="Q3823" t="str">
        <f t="shared" si="143"/>
        <v>condorProc.py --series 07180922_0433 --donoise --dumps a --procenv environments/pymidas_HVHV_NaI_mf.env</v>
      </c>
    </row>
    <row r="3824" spans="1:17">
      <c r="A3824" t="s">
        <v>9328</v>
      </c>
      <c r="F3824" s="65"/>
      <c r="G3824" s="65"/>
      <c r="H3824" s="65"/>
      <c r="I3824" s="65"/>
      <c r="J3824" s="65"/>
      <c r="K3824" s="182"/>
      <c r="M3824" t="s">
        <v>9236</v>
      </c>
      <c r="N3824" t="s">
        <v>5571</v>
      </c>
      <c r="Q3824" t="str">
        <f t="shared" si="143"/>
        <v>condorProc.py --series 07180922_0443 --donoise --dumps a --procenv environments/pymidas_HVHV_NaI_mf.env</v>
      </c>
    </row>
    <row r="3825" spans="1:29">
      <c r="A3825" t="s">
        <v>9329</v>
      </c>
      <c r="F3825" s="177">
        <v>10</v>
      </c>
      <c r="G3825" s="177" t="s">
        <v>2248</v>
      </c>
      <c r="H3825" s="177">
        <v>-200</v>
      </c>
      <c r="I3825" s="177"/>
      <c r="J3825" s="177" t="s">
        <v>5577</v>
      </c>
      <c r="K3825" s="178" t="s">
        <v>5583</v>
      </c>
      <c r="M3825" t="s">
        <v>9236</v>
      </c>
      <c r="N3825" t="s">
        <v>5571</v>
      </c>
      <c r="Q3825" t="str">
        <f t="shared" si="143"/>
        <v>condorProc.py --series 07180922_0548 --donoise --dumps a --procenv environments/pymidas_HVHV_NaI_mf.env</v>
      </c>
    </row>
    <row r="3826" spans="1:29">
      <c r="A3826" t="s">
        <v>9330</v>
      </c>
      <c r="J3826" s="230" t="s">
        <v>9242</v>
      </c>
      <c r="K3826" s="218" t="s">
        <v>5586</v>
      </c>
      <c r="M3826" t="s">
        <v>9236</v>
      </c>
      <c r="N3826" t="s">
        <v>5571</v>
      </c>
      <c r="Q3826" t="str">
        <f t="shared" ref="Q3826:Q3889" si="144">"condorProc.py --series "&amp;A3826&amp;" --donoise --dumps a --procenv environments/pymidas_HVHV_NaI_mf.env"</f>
        <v>condorProc.py --series 07180922_0558 --donoise --dumps a --procenv environments/pymidas_HVHV_NaI_mf.env</v>
      </c>
    </row>
    <row r="3827" spans="1:29">
      <c r="A3827" t="s">
        <v>9331</v>
      </c>
      <c r="K3827" s="219" t="s">
        <v>8388</v>
      </c>
      <c r="M3827" t="s">
        <v>9236</v>
      </c>
      <c r="N3827" t="s">
        <v>5571</v>
      </c>
      <c r="Q3827" t="str">
        <f t="shared" si="144"/>
        <v>condorProc.py --series 07180922_0608 --donoise --dumps a --procenv environments/pymidas_HVHV_NaI_mf.env</v>
      </c>
    </row>
    <row r="3828" spans="1:29">
      <c r="A3828" t="s">
        <v>9332</v>
      </c>
      <c r="K3828" s="180"/>
      <c r="M3828" t="s">
        <v>9236</v>
      </c>
      <c r="N3828" t="s">
        <v>5571</v>
      </c>
      <c r="Q3828" t="str">
        <f t="shared" si="144"/>
        <v>condorProc.py --series 07180922_0618 --donoise --dumps a --procenv environments/pymidas_HVHV_NaI_mf.env</v>
      </c>
    </row>
    <row r="3829" spans="1:29">
      <c r="A3829" t="s">
        <v>9333</v>
      </c>
      <c r="K3829" s="180" t="s">
        <v>9291</v>
      </c>
      <c r="M3829" t="s">
        <v>9236</v>
      </c>
      <c r="N3829" t="s">
        <v>5571</v>
      </c>
      <c r="Q3829" t="str">
        <f t="shared" si="144"/>
        <v>condorProc.py --series 07180922_0629 --donoise --dumps a --procenv environments/pymidas_HVHV_NaI_mf.env</v>
      </c>
    </row>
    <row r="3830" spans="1:29">
      <c r="A3830" t="s">
        <v>9334</v>
      </c>
      <c r="F3830" s="65"/>
      <c r="G3830" s="65"/>
      <c r="H3830" s="65"/>
      <c r="I3830" s="65"/>
      <c r="J3830" s="65"/>
      <c r="K3830" s="182"/>
      <c r="M3830" t="s">
        <v>9236</v>
      </c>
      <c r="N3830" t="s">
        <v>5571</v>
      </c>
      <c r="Q3830" t="str">
        <f t="shared" si="144"/>
        <v>condorProc.py --series 07180922_0639 --donoise --dumps a --procenv environments/pymidas_HVHV_NaI_mf.env</v>
      </c>
    </row>
    <row r="3831" spans="1:29">
      <c r="A3831" t="s">
        <v>9335</v>
      </c>
      <c r="F3831" s="177">
        <v>10</v>
      </c>
      <c r="G3831" s="177" t="s">
        <v>2248</v>
      </c>
      <c r="H3831" s="177">
        <v>-225</v>
      </c>
      <c r="I3831" s="177"/>
      <c r="J3831" s="177" t="s">
        <v>5577</v>
      </c>
      <c r="K3831" s="178" t="s">
        <v>5583</v>
      </c>
      <c r="M3831" t="s">
        <v>9236</v>
      </c>
      <c r="N3831" t="s">
        <v>5571</v>
      </c>
      <c r="Q3831" t="str">
        <f t="shared" si="144"/>
        <v>condorProc.py --series 07180922_0749 --donoise --dumps a --procenv environments/pymidas_HVHV_NaI_mf.env</v>
      </c>
    </row>
    <row r="3832" spans="1:29">
      <c r="A3832" t="s">
        <v>9336</v>
      </c>
      <c r="J3832" s="230" t="s">
        <v>9242</v>
      </c>
      <c r="K3832" s="218" t="s">
        <v>5586</v>
      </c>
      <c r="M3832" t="s">
        <v>9236</v>
      </c>
      <c r="N3832" t="s">
        <v>5571</v>
      </c>
      <c r="Q3832" t="str">
        <f t="shared" si="144"/>
        <v>condorProc.py --series 07180922_0759 --donoise --dumps a --procenv environments/pymidas_HVHV_NaI_mf.env</v>
      </c>
    </row>
    <row r="3833" spans="1:29">
      <c r="A3833" t="s">
        <v>9337</v>
      </c>
      <c r="K3833" s="219" t="s">
        <v>8388</v>
      </c>
      <c r="M3833" t="s">
        <v>9236</v>
      </c>
      <c r="N3833" t="s">
        <v>5571</v>
      </c>
      <c r="Q3833" t="str">
        <f t="shared" si="144"/>
        <v>condorProc.py --series 07180922_0809 --donoise --dumps a --procenv environments/pymidas_HVHV_NaI_mf.env</v>
      </c>
    </row>
    <row r="3834" spans="1:29">
      <c r="A3834" t="s">
        <v>9338</v>
      </c>
      <c r="K3834" s="180"/>
      <c r="M3834" t="s">
        <v>9236</v>
      </c>
      <c r="N3834" t="s">
        <v>5571</v>
      </c>
      <c r="Q3834" t="str">
        <f t="shared" si="144"/>
        <v>condorProc.py --series 07180922_0819 --donoise --dumps a --procenv environments/pymidas_HVHV_NaI_mf.env</v>
      </c>
    </row>
    <row r="3835" spans="1:29">
      <c r="A3835" t="s">
        <v>9339</v>
      </c>
      <c r="K3835" s="180" t="s">
        <v>9291</v>
      </c>
      <c r="M3835" t="s">
        <v>9236</v>
      </c>
      <c r="N3835" t="s">
        <v>5571</v>
      </c>
      <c r="Q3835" t="str">
        <f t="shared" si="144"/>
        <v>condorProc.py --series 07180922_0829 --donoise --dumps a --procenv environments/pymidas_HVHV_NaI_mf.env</v>
      </c>
    </row>
    <row r="3836" spans="1:29">
      <c r="A3836" t="s">
        <v>9340</v>
      </c>
      <c r="I3836" t="s">
        <v>75</v>
      </c>
      <c r="K3836" s="180"/>
      <c r="M3836" t="s">
        <v>9236</v>
      </c>
      <c r="N3836" t="s">
        <v>5571</v>
      </c>
      <c r="Q3836" t="str">
        <f t="shared" si="144"/>
        <v>condorProc.py --series 07180922_0840 --donoise --dumps a --procenv environments/pymidas_HVHV_NaI_mf.env</v>
      </c>
    </row>
    <row r="3837" spans="1:29">
      <c r="A3837" s="176" t="s">
        <v>9341</v>
      </c>
      <c r="B3837" s="177"/>
      <c r="C3837" s="177"/>
      <c r="D3837" s="177"/>
      <c r="E3837" s="177"/>
      <c r="F3837" s="177">
        <v>10</v>
      </c>
      <c r="G3837" s="192" t="s">
        <v>2248</v>
      </c>
      <c r="H3837" s="209">
        <v>-125</v>
      </c>
      <c r="I3837" s="177"/>
      <c r="J3837" s="177" t="s">
        <v>5577</v>
      </c>
      <c r="K3837" s="178" t="s">
        <v>5583</v>
      </c>
      <c r="M3837" t="s">
        <v>4945</v>
      </c>
      <c r="N3837" t="s">
        <v>5571</v>
      </c>
      <c r="O3837" t="s">
        <v>4937</v>
      </c>
      <c r="Q3837" t="str">
        <f t="shared" si="144"/>
        <v>condorProc.py --series 07180922_2130 --donoise --dumps a --procenv environments/pymidas_HVHV_NaI_mf.env</v>
      </c>
      <c r="R3837" t="str">
        <f>"ln -s ../../../../midasraw/byseries/"&amp;A3837&amp;" "&amp;A3837</f>
        <v>ln -s ../../../../midasraw/byseries/07180922_2130 07180922_2130</v>
      </c>
      <c r="Z3837" t="str">
        <f>A3837</f>
        <v>07180922_2130</v>
      </c>
      <c r="AB3837" t="s">
        <v>9342</v>
      </c>
      <c r="AC3837">
        <f>VALUE(LEFT(AB3837,FIND(" ",AB3837)))</f>
        <v>1768986</v>
      </c>
    </row>
    <row r="3838" spans="1:29">
      <c r="A3838" s="179" t="s">
        <v>9343</v>
      </c>
      <c r="G3838" s="191"/>
      <c r="H3838" s="210"/>
      <c r="J3838" t="s">
        <v>5585</v>
      </c>
      <c r="K3838" s="218" t="s">
        <v>5586</v>
      </c>
      <c r="M3838" t="s">
        <v>4945</v>
      </c>
      <c r="N3838" t="s">
        <v>5571</v>
      </c>
      <c r="O3838" t="s">
        <v>4937</v>
      </c>
      <c r="Q3838" t="str">
        <f t="shared" si="144"/>
        <v>condorProc.py --series 07180922_2140 --donoise --dumps a --procenv environments/pymidas_HVHV_NaI_mf.env</v>
      </c>
      <c r="R3838" t="str">
        <f t="shared" ref="R3838:R3901" si="145">"ln -s ../../../../midasraw/byseries/"&amp;A3838&amp;" "&amp;A3838</f>
        <v>ln -s ../../../../midasraw/byseries/07180922_2140 07180922_2140</v>
      </c>
      <c r="Z3838" t="str">
        <f>Z3837&amp;" "&amp;A3838</f>
        <v>07180922_2130 07180922_2140</v>
      </c>
      <c r="AB3838" t="s">
        <v>9344</v>
      </c>
      <c r="AC3838">
        <f t="shared" ref="AC3838:AC3860" si="146">VALUE(LEFT(AB3838,FIND(" ",AB3838)))</f>
        <v>1750775</v>
      </c>
    </row>
    <row r="3839" spans="1:29">
      <c r="A3839" s="179" t="s">
        <v>9345</v>
      </c>
      <c r="G3839" s="191"/>
      <c r="H3839" s="210"/>
      <c r="K3839" s="219" t="s">
        <v>8388</v>
      </c>
      <c r="M3839" t="s">
        <v>4945</v>
      </c>
      <c r="N3839" t="s">
        <v>5571</v>
      </c>
      <c r="O3839" t="s">
        <v>4937</v>
      </c>
      <c r="Q3839" t="str">
        <f t="shared" si="144"/>
        <v>condorProc.py --series 07180922_2150 --donoise --dumps a --procenv environments/pymidas_HVHV_NaI_mf.env</v>
      </c>
      <c r="R3839" t="str">
        <f t="shared" si="145"/>
        <v>ln -s ../../../../midasraw/byseries/07180922_2150 07180922_2150</v>
      </c>
      <c r="Z3839" t="str">
        <f t="shared" ref="Z3839:Z3848" si="147">Z3838&amp;" "&amp;A3839</f>
        <v>07180922_2130 07180922_2140 07180922_2150</v>
      </c>
      <c r="AB3839" t="s">
        <v>9346</v>
      </c>
      <c r="AC3839">
        <f t="shared" si="146"/>
        <v>1767864</v>
      </c>
    </row>
    <row r="3840" spans="1:29">
      <c r="A3840" s="179" t="s">
        <v>9347</v>
      </c>
      <c r="G3840" s="191"/>
      <c r="H3840" s="210"/>
      <c r="K3840" s="180"/>
      <c r="M3840" t="s">
        <v>4945</v>
      </c>
      <c r="N3840" t="s">
        <v>5571</v>
      </c>
      <c r="O3840" t="s">
        <v>4937</v>
      </c>
      <c r="Q3840" t="str">
        <f t="shared" si="144"/>
        <v>condorProc.py --series 07180922_2200 --donoise --dumps a --procenv environments/pymidas_HVHV_NaI_mf.env</v>
      </c>
      <c r="R3840" t="str">
        <f t="shared" si="145"/>
        <v>ln -s ../../../../midasraw/byseries/07180922_2200 07180922_2200</v>
      </c>
      <c r="Z3840" t="str">
        <f t="shared" si="147"/>
        <v>07180922_2130 07180922_2140 07180922_2150 07180922_2200</v>
      </c>
      <c r="AB3840" t="s">
        <v>9348</v>
      </c>
      <c r="AC3840">
        <f t="shared" si="146"/>
        <v>1763888</v>
      </c>
    </row>
    <row r="3841" spans="1:30">
      <c r="A3841" s="179" t="s">
        <v>9349</v>
      </c>
      <c r="G3841" s="191"/>
      <c r="H3841" s="210"/>
      <c r="K3841" s="180"/>
      <c r="M3841" t="s">
        <v>4945</v>
      </c>
      <c r="N3841" t="s">
        <v>5571</v>
      </c>
      <c r="O3841" t="s">
        <v>4937</v>
      </c>
      <c r="Q3841" t="str">
        <f t="shared" si="144"/>
        <v>condorProc.py --series 07180922_2211 --donoise --dumps a --procenv environments/pymidas_HVHV_NaI_mf.env</v>
      </c>
      <c r="R3841" t="str">
        <f t="shared" si="145"/>
        <v>ln -s ../../../../midasraw/byseries/07180922_2211 07180922_2211</v>
      </c>
      <c r="Z3841" t="str">
        <f t="shared" si="147"/>
        <v>07180922_2130 07180922_2140 07180922_2150 07180922_2200 07180922_2211</v>
      </c>
      <c r="AB3841" t="s">
        <v>9350</v>
      </c>
      <c r="AC3841">
        <f t="shared" si="146"/>
        <v>1719887</v>
      </c>
    </row>
    <row r="3842" spans="1:30">
      <c r="A3842" s="179" t="s">
        <v>9351</v>
      </c>
      <c r="G3842" s="191"/>
      <c r="H3842" s="210"/>
      <c r="K3842" s="180"/>
      <c r="M3842" t="s">
        <v>4945</v>
      </c>
      <c r="N3842" t="s">
        <v>5571</v>
      </c>
      <c r="O3842" t="s">
        <v>4937</v>
      </c>
      <c r="Q3842" t="str">
        <f t="shared" si="144"/>
        <v>condorProc.py --series 07180922_2221 --donoise --dumps a --procenv environments/pymidas_HVHV_NaI_mf.env</v>
      </c>
      <c r="R3842" t="str">
        <f t="shared" si="145"/>
        <v>ln -s ../../../../midasraw/byseries/07180922_2221 07180922_2221</v>
      </c>
      <c r="Z3842" t="str">
        <f t="shared" si="147"/>
        <v>07180922_2130 07180922_2140 07180922_2150 07180922_2200 07180922_2211 07180922_2221</v>
      </c>
      <c r="AB3842" t="s">
        <v>9352</v>
      </c>
      <c r="AC3842">
        <f t="shared" si="146"/>
        <v>1668531</v>
      </c>
    </row>
    <row r="3843" spans="1:30">
      <c r="A3843" s="179" t="s">
        <v>9353</v>
      </c>
      <c r="G3843" s="191"/>
      <c r="H3843" s="210"/>
      <c r="K3843" s="180"/>
      <c r="M3843" t="s">
        <v>4945</v>
      </c>
      <c r="N3843" t="s">
        <v>5571</v>
      </c>
      <c r="O3843" t="s">
        <v>4937</v>
      </c>
      <c r="Q3843" t="str">
        <f t="shared" si="144"/>
        <v>condorProc.py --series 07180922_2231 --donoise --dumps a --procenv environments/pymidas_HVHV_NaI_mf.env</v>
      </c>
      <c r="R3843" t="str">
        <f t="shared" si="145"/>
        <v>ln -s ../../../../midasraw/byseries/07180922_2231 07180922_2231</v>
      </c>
      <c r="Z3843" t="str">
        <f t="shared" si="147"/>
        <v>07180922_2130 07180922_2140 07180922_2150 07180922_2200 07180922_2211 07180922_2221 07180922_2231</v>
      </c>
      <c r="AB3843" t="s">
        <v>9354</v>
      </c>
      <c r="AC3843">
        <f t="shared" si="146"/>
        <v>1676151</v>
      </c>
    </row>
    <row r="3844" spans="1:30">
      <c r="A3844" s="179" t="s">
        <v>9355</v>
      </c>
      <c r="G3844" s="191"/>
      <c r="H3844" s="210"/>
      <c r="K3844" s="180"/>
      <c r="M3844" t="s">
        <v>4945</v>
      </c>
      <c r="N3844" t="s">
        <v>5571</v>
      </c>
      <c r="O3844" t="s">
        <v>4937</v>
      </c>
      <c r="Q3844" t="str">
        <f t="shared" si="144"/>
        <v>condorProc.py --series 07180922_2241 --donoise --dumps a --procenv environments/pymidas_HVHV_NaI_mf.env</v>
      </c>
      <c r="R3844" t="str">
        <f t="shared" si="145"/>
        <v>ln -s ../../../../midasraw/byseries/07180922_2241 07180922_2241</v>
      </c>
      <c r="Z3844" t="str">
        <f t="shared" si="147"/>
        <v>07180922_2130 07180922_2140 07180922_2150 07180922_2200 07180922_2211 07180922_2221 07180922_2231 07180922_2241</v>
      </c>
      <c r="AB3844" t="s">
        <v>9356</v>
      </c>
      <c r="AC3844">
        <f t="shared" si="146"/>
        <v>1676367</v>
      </c>
    </row>
    <row r="3845" spans="1:30">
      <c r="A3845" s="179" t="s">
        <v>9357</v>
      </c>
      <c r="G3845" s="191"/>
      <c r="H3845" s="210"/>
      <c r="K3845" s="180"/>
      <c r="M3845" t="s">
        <v>4945</v>
      </c>
      <c r="N3845" t="s">
        <v>5571</v>
      </c>
      <c r="O3845" t="s">
        <v>4937</v>
      </c>
      <c r="Q3845" t="str">
        <f t="shared" si="144"/>
        <v>condorProc.py --series 07180922_2251 --donoise --dumps a --procenv environments/pymidas_HVHV_NaI_mf.env</v>
      </c>
      <c r="R3845" t="str">
        <f t="shared" si="145"/>
        <v>ln -s ../../../../midasraw/byseries/07180922_2251 07180922_2251</v>
      </c>
      <c r="Z3845" t="str">
        <f t="shared" si="147"/>
        <v>07180922_2130 07180922_2140 07180922_2150 07180922_2200 07180922_2211 07180922_2221 07180922_2231 07180922_2241 07180922_2251</v>
      </c>
      <c r="AB3845" t="s">
        <v>9358</v>
      </c>
      <c r="AC3845">
        <f t="shared" si="146"/>
        <v>1669359</v>
      </c>
    </row>
    <row r="3846" spans="1:30">
      <c r="A3846" s="179" t="s">
        <v>9359</v>
      </c>
      <c r="G3846" s="191"/>
      <c r="H3846" s="210"/>
      <c r="K3846" s="180"/>
      <c r="M3846" t="s">
        <v>4945</v>
      </c>
      <c r="N3846" t="s">
        <v>5571</v>
      </c>
      <c r="O3846" t="s">
        <v>4937</v>
      </c>
      <c r="Q3846" t="str">
        <f t="shared" si="144"/>
        <v>condorProc.py --series 07180922_2301 --donoise --dumps a --procenv environments/pymidas_HVHV_NaI_mf.env</v>
      </c>
      <c r="R3846" t="str">
        <f t="shared" si="145"/>
        <v>ln -s ../../../../midasraw/byseries/07180922_2301 07180922_2301</v>
      </c>
      <c r="Z3846" t="str">
        <f t="shared" si="147"/>
        <v>07180922_2130 07180922_2140 07180922_2150 07180922_2200 07180922_2211 07180922_2221 07180922_2231 07180922_2241 07180922_2251 07180922_2301</v>
      </c>
      <c r="AB3846" t="s">
        <v>9360</v>
      </c>
      <c r="AC3846">
        <f t="shared" si="146"/>
        <v>1676643</v>
      </c>
    </row>
    <row r="3847" spans="1:30">
      <c r="A3847" s="179" t="s">
        <v>9361</v>
      </c>
      <c r="G3847" s="191"/>
      <c r="H3847" s="210"/>
      <c r="K3847" s="180"/>
      <c r="M3847" t="s">
        <v>4945</v>
      </c>
      <c r="N3847" t="s">
        <v>5571</v>
      </c>
      <c r="O3847" t="s">
        <v>4937</v>
      </c>
      <c r="Q3847" t="str">
        <f t="shared" si="144"/>
        <v>condorProc.py --series 07180922_2311 --donoise --dumps a --procenv environments/pymidas_HVHV_NaI_mf.env</v>
      </c>
      <c r="R3847" t="str">
        <f t="shared" si="145"/>
        <v>ln -s ../../../../midasraw/byseries/07180922_2311 07180922_2311</v>
      </c>
      <c r="Z3847" t="str">
        <f t="shared" si="147"/>
        <v>07180922_2130 07180922_2140 07180922_2150 07180922_2200 07180922_2211 07180922_2221 07180922_2231 07180922_2241 07180922_2251 07180922_2301 07180922_2311</v>
      </c>
      <c r="AB3847" t="s">
        <v>9362</v>
      </c>
      <c r="AC3847">
        <f t="shared" si="146"/>
        <v>1674261</v>
      </c>
    </row>
    <row r="3848" spans="1:30">
      <c r="A3848" s="181" t="s">
        <v>9363</v>
      </c>
      <c r="B3848" s="65"/>
      <c r="C3848" s="65"/>
      <c r="D3848" s="65"/>
      <c r="E3848" s="65"/>
      <c r="F3848" s="65"/>
      <c r="G3848" s="193"/>
      <c r="H3848" s="211"/>
      <c r="I3848" s="65"/>
      <c r="J3848" s="65"/>
      <c r="K3848" s="182"/>
      <c r="M3848" t="s">
        <v>4945</v>
      </c>
      <c r="N3848" t="s">
        <v>5571</v>
      </c>
      <c r="O3848" t="s">
        <v>4937</v>
      </c>
      <c r="Q3848" t="str">
        <f t="shared" si="144"/>
        <v>condorProc.py --series 07180922_2321 --donoise --dumps a --procenv environments/pymidas_HVHV_NaI_mf.env</v>
      </c>
      <c r="R3848" t="str">
        <f t="shared" si="145"/>
        <v>ln -s ../../../../midasraw/byseries/07180922_2321 07180922_2321</v>
      </c>
      <c r="Z3848" t="str">
        <f t="shared" si="147"/>
        <v>07180922_2130 07180922_2140 07180922_2150 07180922_2200 07180922_2211 07180922_2221 07180922_2231 07180922_2241 07180922_2251 07180922_2301 07180922_2311 07180922_2321</v>
      </c>
      <c r="AA3848" t="str">
        <f>"du "&amp;Z3848</f>
        <v>du 07180922_2130 07180922_2140 07180922_2150 07180922_2200 07180922_2211 07180922_2221 07180922_2231 07180922_2241 07180922_2251 07180922_2301 07180922_2311 07180922_2321</v>
      </c>
      <c r="AB3848" t="s">
        <v>9364</v>
      </c>
      <c r="AC3848">
        <f t="shared" si="146"/>
        <v>1678139</v>
      </c>
      <c r="AD3848">
        <f>SUM(AC3837:AC3848)</f>
        <v>20490851</v>
      </c>
    </row>
    <row r="3849" spans="1:30">
      <c r="A3849" t="s">
        <v>9365</v>
      </c>
      <c r="F3849" s="177">
        <v>10</v>
      </c>
      <c r="G3849" s="192" t="s">
        <v>2248</v>
      </c>
      <c r="H3849" s="209">
        <v>-125</v>
      </c>
      <c r="I3849" s="177"/>
      <c r="J3849" s="177" t="s">
        <v>5577</v>
      </c>
      <c r="K3849" s="178" t="s">
        <v>5583</v>
      </c>
      <c r="M3849" t="s">
        <v>4945</v>
      </c>
      <c r="N3849" t="s">
        <v>5571</v>
      </c>
      <c r="O3849" t="s">
        <v>4937</v>
      </c>
      <c r="Q3849" t="str">
        <f t="shared" si="144"/>
        <v>condorProc.py --series 07180923_0021 --donoise --dumps a --procenv environments/pymidas_HVHV_NaI_mf.env</v>
      </c>
      <c r="R3849" t="str">
        <f t="shared" si="145"/>
        <v>ln -s ../../../../midasraw/byseries/07180923_0021 07180923_0021</v>
      </c>
      <c r="Z3849" t="str">
        <f>A3849</f>
        <v>07180923_0021</v>
      </c>
      <c r="AB3849" t="s">
        <v>9366</v>
      </c>
      <c r="AC3849">
        <f>VALUE(LEFT(AB3849,FIND(" ",AB3849)))</f>
        <v>1750835</v>
      </c>
    </row>
    <row r="3850" spans="1:30">
      <c r="A3850" t="s">
        <v>9367</v>
      </c>
      <c r="G3850" s="191"/>
      <c r="H3850" s="210"/>
      <c r="J3850" t="s">
        <v>5585</v>
      </c>
      <c r="K3850" s="218" t="s">
        <v>5586</v>
      </c>
      <c r="M3850" t="s">
        <v>4945</v>
      </c>
      <c r="N3850" t="s">
        <v>5571</v>
      </c>
      <c r="O3850" t="s">
        <v>4937</v>
      </c>
      <c r="Q3850" t="str">
        <f t="shared" si="144"/>
        <v>condorProc.py --series 07180923_0031 --donoise --dumps a --procenv environments/pymidas_HVHV_NaI_mf.env</v>
      </c>
      <c r="R3850" t="str">
        <f t="shared" si="145"/>
        <v>ln -s ../../../../midasraw/byseries/07180923_0031 07180923_0031</v>
      </c>
      <c r="Z3850" t="str">
        <f>Z3849&amp;" "&amp;A3850</f>
        <v>07180923_0021 07180923_0031</v>
      </c>
      <c r="AB3850" t="s">
        <v>9368</v>
      </c>
      <c r="AC3850">
        <f t="shared" si="146"/>
        <v>1759251</v>
      </c>
    </row>
    <row r="3851" spans="1:30">
      <c r="A3851" t="s">
        <v>9369</v>
      </c>
      <c r="G3851" s="191"/>
      <c r="H3851" s="210"/>
      <c r="K3851" s="219" t="s">
        <v>8388</v>
      </c>
      <c r="M3851" t="s">
        <v>4945</v>
      </c>
      <c r="N3851" t="s">
        <v>5571</v>
      </c>
      <c r="O3851" t="s">
        <v>4937</v>
      </c>
      <c r="Q3851" t="str">
        <f t="shared" si="144"/>
        <v>condorProc.py --series 07180923_0042 --donoise --dumps a --procenv environments/pymidas_HVHV_NaI_mf.env</v>
      </c>
      <c r="R3851" t="str">
        <f t="shared" si="145"/>
        <v>ln -s ../../../../midasraw/byseries/07180923_0042 07180923_0042</v>
      </c>
      <c r="Z3851" t="str">
        <f t="shared" ref="Z3851:Z3860" si="148">Z3850&amp;" "&amp;A3851</f>
        <v>07180923_0021 07180923_0031 07180923_0042</v>
      </c>
      <c r="AB3851" t="s">
        <v>9370</v>
      </c>
      <c r="AC3851">
        <f t="shared" si="146"/>
        <v>1761574</v>
      </c>
    </row>
    <row r="3852" spans="1:30">
      <c r="A3852" t="s">
        <v>9371</v>
      </c>
      <c r="G3852" s="191"/>
      <c r="H3852" s="210"/>
      <c r="K3852" s="180"/>
      <c r="M3852" t="s">
        <v>4945</v>
      </c>
      <c r="N3852" t="s">
        <v>5571</v>
      </c>
      <c r="O3852" t="s">
        <v>4937</v>
      </c>
      <c r="Q3852" t="str">
        <f t="shared" si="144"/>
        <v>condorProc.py --series 07180923_0052 --donoise --dumps a --procenv environments/pymidas_HVHV_NaI_mf.env</v>
      </c>
      <c r="R3852" t="str">
        <f t="shared" si="145"/>
        <v>ln -s ../../../../midasraw/byseries/07180923_0052 07180923_0052</v>
      </c>
      <c r="Z3852" t="str">
        <f t="shared" si="148"/>
        <v>07180923_0021 07180923_0031 07180923_0042 07180923_0052</v>
      </c>
      <c r="AB3852" t="s">
        <v>9372</v>
      </c>
      <c r="AC3852">
        <f t="shared" si="146"/>
        <v>1750244</v>
      </c>
    </row>
    <row r="3853" spans="1:30">
      <c r="A3853" t="s">
        <v>9373</v>
      </c>
      <c r="G3853" s="191"/>
      <c r="H3853" s="210"/>
      <c r="K3853" s="180"/>
      <c r="M3853" t="s">
        <v>4945</v>
      </c>
      <c r="N3853" t="s">
        <v>5571</v>
      </c>
      <c r="O3853" t="s">
        <v>4937</v>
      </c>
      <c r="Q3853" t="str">
        <f t="shared" si="144"/>
        <v>condorProc.py --series 07180923_0102 --donoise --dumps a --procenv environments/pymidas_HVHV_NaI_mf.env</v>
      </c>
      <c r="R3853" t="str">
        <f t="shared" si="145"/>
        <v>ln -s ../../../../midasraw/byseries/07180923_0102 07180923_0102</v>
      </c>
      <c r="Z3853" t="str">
        <f t="shared" si="148"/>
        <v>07180923_0021 07180923_0031 07180923_0042 07180923_0052 07180923_0102</v>
      </c>
      <c r="AB3853" t="s">
        <v>9374</v>
      </c>
      <c r="AC3853">
        <f t="shared" si="146"/>
        <v>1755275</v>
      </c>
    </row>
    <row r="3854" spans="1:30">
      <c r="A3854" t="s">
        <v>9375</v>
      </c>
      <c r="G3854" s="191"/>
      <c r="H3854" s="210"/>
      <c r="K3854" s="180"/>
      <c r="M3854" t="s">
        <v>4945</v>
      </c>
      <c r="N3854" t="s">
        <v>5571</v>
      </c>
      <c r="O3854" t="s">
        <v>4937</v>
      </c>
      <c r="Q3854" t="str">
        <f t="shared" si="144"/>
        <v>condorProc.py --series 07180923_0112 --donoise --dumps a --procenv environments/pymidas_HVHV_NaI_mf.env</v>
      </c>
      <c r="R3854" t="str">
        <f t="shared" si="145"/>
        <v>ln -s ../../../../midasraw/byseries/07180923_0112 07180923_0112</v>
      </c>
      <c r="Z3854" t="str">
        <f t="shared" si="148"/>
        <v>07180923_0021 07180923_0031 07180923_0042 07180923_0052 07180923_0102 07180923_0112</v>
      </c>
      <c r="AB3854" t="s">
        <v>9376</v>
      </c>
      <c r="AC3854">
        <f t="shared" si="146"/>
        <v>1740765</v>
      </c>
    </row>
    <row r="3855" spans="1:30">
      <c r="A3855" t="s">
        <v>9377</v>
      </c>
      <c r="G3855" s="191"/>
      <c r="H3855" s="210"/>
      <c r="K3855" s="180"/>
      <c r="M3855" t="s">
        <v>4945</v>
      </c>
      <c r="N3855" t="s">
        <v>5571</v>
      </c>
      <c r="O3855" t="s">
        <v>4937</v>
      </c>
      <c r="Q3855" t="str">
        <f t="shared" si="144"/>
        <v>condorProc.py --series 07180923_0122 --donoise --dumps a --procenv environments/pymidas_HVHV_NaI_mf.env</v>
      </c>
      <c r="R3855" t="str">
        <f t="shared" si="145"/>
        <v>ln -s ../../../../midasraw/byseries/07180923_0122 07180923_0122</v>
      </c>
      <c r="Z3855" t="str">
        <f t="shared" si="148"/>
        <v>07180923_0021 07180923_0031 07180923_0042 07180923_0052 07180923_0102 07180923_0112 07180923_0122</v>
      </c>
      <c r="AB3855" t="s">
        <v>9378</v>
      </c>
      <c r="AC3855">
        <f t="shared" si="146"/>
        <v>1749211</v>
      </c>
    </row>
    <row r="3856" spans="1:30">
      <c r="A3856" t="s">
        <v>9379</v>
      </c>
      <c r="G3856" s="191"/>
      <c r="H3856" s="210"/>
      <c r="K3856" s="180"/>
      <c r="M3856" t="s">
        <v>4945</v>
      </c>
      <c r="N3856" t="s">
        <v>5571</v>
      </c>
      <c r="O3856" t="s">
        <v>4937</v>
      </c>
      <c r="Q3856" t="str">
        <f t="shared" si="144"/>
        <v>condorProc.py --series 07180923_0132 --donoise --dumps a --procenv environments/pymidas_HVHV_NaI_mf.env</v>
      </c>
      <c r="R3856" t="str">
        <f t="shared" si="145"/>
        <v>ln -s ../../../../midasraw/byseries/07180923_0132 07180923_0132</v>
      </c>
      <c r="Z3856" t="str">
        <f t="shared" si="148"/>
        <v>07180923_0021 07180923_0031 07180923_0042 07180923_0052 07180923_0102 07180923_0112 07180923_0122 07180923_0132</v>
      </c>
      <c r="AB3856" t="s">
        <v>9380</v>
      </c>
      <c r="AC3856">
        <f t="shared" si="146"/>
        <v>1757626</v>
      </c>
    </row>
    <row r="3857" spans="1:30">
      <c r="A3857" t="s">
        <v>9381</v>
      </c>
      <c r="G3857" s="191"/>
      <c r="H3857" s="210"/>
      <c r="K3857" s="180"/>
      <c r="M3857" t="s">
        <v>4945</v>
      </c>
      <c r="N3857" t="s">
        <v>5571</v>
      </c>
      <c r="O3857" t="s">
        <v>4937</v>
      </c>
      <c r="Q3857" t="str">
        <f t="shared" si="144"/>
        <v>condorProc.py --series 07180923_0142 --donoise --dumps a --procenv environments/pymidas_HVHV_NaI_mf.env</v>
      </c>
      <c r="R3857" t="str">
        <f t="shared" si="145"/>
        <v>ln -s ../../../../midasraw/byseries/07180923_0142 07180923_0142</v>
      </c>
      <c r="Z3857" t="str">
        <f t="shared" si="148"/>
        <v>07180923_0021 07180923_0031 07180923_0042 07180923_0052 07180923_0102 07180923_0112 07180923_0122 07180923_0132 07180923_0142</v>
      </c>
      <c r="AB3857" t="s">
        <v>9382</v>
      </c>
      <c r="AC3857">
        <f t="shared" si="146"/>
        <v>1764252</v>
      </c>
    </row>
    <row r="3858" spans="1:30">
      <c r="A3858" t="s">
        <v>9383</v>
      </c>
      <c r="G3858" s="191"/>
      <c r="H3858" s="210"/>
      <c r="K3858" s="180"/>
      <c r="M3858" t="s">
        <v>4945</v>
      </c>
      <c r="N3858" t="s">
        <v>5571</v>
      </c>
      <c r="O3858" t="s">
        <v>4937</v>
      </c>
      <c r="Q3858" t="str">
        <f t="shared" si="144"/>
        <v>condorProc.py --series 07180923_0153 --donoise --dumps a --procenv environments/pymidas_HVHV_NaI_mf.env</v>
      </c>
      <c r="R3858" t="str">
        <f t="shared" si="145"/>
        <v>ln -s ../../../../midasraw/byseries/07180923_0153 07180923_0153</v>
      </c>
      <c r="Z3858" t="str">
        <f t="shared" si="148"/>
        <v>07180923_0021 07180923_0031 07180923_0042 07180923_0052 07180923_0102 07180923_0112 07180923_0122 07180923_0132 07180923_0142 07180923_0153</v>
      </c>
      <c r="AB3858" t="s">
        <v>9384</v>
      </c>
      <c r="AC3858">
        <f t="shared" si="146"/>
        <v>1758512</v>
      </c>
    </row>
    <row r="3859" spans="1:30">
      <c r="A3859" t="s">
        <v>9385</v>
      </c>
      <c r="G3859" s="191"/>
      <c r="H3859" s="210"/>
      <c r="K3859" s="180"/>
      <c r="M3859" t="s">
        <v>4945</v>
      </c>
      <c r="N3859" t="s">
        <v>5571</v>
      </c>
      <c r="O3859" t="s">
        <v>4937</v>
      </c>
      <c r="Q3859" t="str">
        <f t="shared" si="144"/>
        <v>condorProc.py --series 07180923_0203 --donoise --dumps a --procenv environments/pymidas_HVHV_NaI_mf.env</v>
      </c>
      <c r="R3859" t="str">
        <f t="shared" si="145"/>
        <v>ln -s ../../../../midasraw/byseries/07180923_0203 07180923_0203</v>
      </c>
      <c r="Z3859" t="str">
        <f t="shared" si="148"/>
        <v>07180923_0021 07180923_0031 07180923_0042 07180923_0052 07180923_0102 07180923_0112 07180923_0122 07180923_0132 07180923_0142 07180923_0153 07180923_0203</v>
      </c>
      <c r="AB3859" t="s">
        <v>9386</v>
      </c>
      <c r="AC3859">
        <f t="shared" si="146"/>
        <v>1760836</v>
      </c>
    </row>
    <row r="3860" spans="1:30">
      <c r="A3860" t="s">
        <v>9387</v>
      </c>
      <c r="F3860" s="65"/>
      <c r="G3860" s="193"/>
      <c r="H3860" s="211"/>
      <c r="I3860" s="65"/>
      <c r="J3860" s="65"/>
      <c r="K3860" s="182"/>
      <c r="M3860" t="s">
        <v>4945</v>
      </c>
      <c r="N3860" t="s">
        <v>5571</v>
      </c>
      <c r="O3860" t="s">
        <v>4937</v>
      </c>
      <c r="Q3860" t="str">
        <f t="shared" si="144"/>
        <v>condorProc.py --series 07180923_0213 --donoise --dumps a --procenv environments/pymidas_HVHV_NaI_mf.env</v>
      </c>
      <c r="R3860" t="str">
        <f t="shared" si="145"/>
        <v>ln -s ../../../../midasraw/byseries/07180923_0213 07180923_0213</v>
      </c>
      <c r="Z3860" t="str">
        <f t="shared" si="148"/>
        <v>07180923_0021 07180923_0031 07180923_0042 07180923_0052 07180923_0102 07180923_0112 07180923_0122 07180923_0132 07180923_0142 07180923_0153 07180923_0203 07180923_0213</v>
      </c>
      <c r="AA3860" t="str">
        <f>"du "&amp;Z3860</f>
        <v>du 07180923_0021 07180923_0031 07180923_0042 07180923_0052 07180923_0102 07180923_0112 07180923_0122 07180923_0132 07180923_0142 07180923_0153 07180923_0203 07180923_0213</v>
      </c>
      <c r="AB3860" t="s">
        <v>9388</v>
      </c>
      <c r="AC3860">
        <f t="shared" si="146"/>
        <v>1761594</v>
      </c>
      <c r="AD3860">
        <f>SUM(AC3849:AC3860)</f>
        <v>21069975</v>
      </c>
    </row>
    <row r="3861" spans="1:30">
      <c r="A3861" t="s">
        <v>9389</v>
      </c>
      <c r="F3861" s="177">
        <v>10</v>
      </c>
      <c r="G3861" s="192" t="s">
        <v>2248</v>
      </c>
      <c r="H3861" s="209">
        <v>-125</v>
      </c>
      <c r="I3861" s="177"/>
      <c r="J3861" s="177" t="s">
        <v>5577</v>
      </c>
      <c r="K3861" s="178" t="s">
        <v>5583</v>
      </c>
      <c r="M3861" t="s">
        <v>4945</v>
      </c>
      <c r="N3861" t="s">
        <v>5571</v>
      </c>
      <c r="O3861" t="s">
        <v>4937</v>
      </c>
      <c r="Q3861" t="str">
        <f t="shared" si="144"/>
        <v>condorProc.py --series 07180923_0315 --donoise --dumps a --procenv environments/pymidas_HVHV_NaI_mf.env</v>
      </c>
      <c r="R3861" t="str">
        <f t="shared" si="145"/>
        <v>ln -s ../../../../midasraw/byseries/07180923_0315 07180923_0315</v>
      </c>
      <c r="AD3861">
        <f>AVERAGE(AD3848:AD3860)</f>
        <v>20780413</v>
      </c>
    </row>
    <row r="3862" spans="1:30">
      <c r="A3862" t="s">
        <v>9390</v>
      </c>
      <c r="G3862" s="191"/>
      <c r="H3862" s="210"/>
      <c r="J3862" t="s">
        <v>5585</v>
      </c>
      <c r="K3862" s="218" t="s">
        <v>5586</v>
      </c>
      <c r="M3862" t="s">
        <v>4945</v>
      </c>
      <c r="N3862" t="s">
        <v>5571</v>
      </c>
      <c r="O3862" t="s">
        <v>4937</v>
      </c>
      <c r="Q3862" t="str">
        <f t="shared" si="144"/>
        <v>condorProc.py --series 07180923_0325 --donoise --dumps a --procenv environments/pymidas_HVHV_NaI_mf.env</v>
      </c>
      <c r="R3862" t="str">
        <f t="shared" si="145"/>
        <v>ln -s ../../../../midasraw/byseries/07180923_0325 07180923_0325</v>
      </c>
    </row>
    <row r="3863" spans="1:30">
      <c r="A3863" t="s">
        <v>9391</v>
      </c>
      <c r="G3863" s="191"/>
      <c r="H3863" s="210"/>
      <c r="K3863" s="219" t="s">
        <v>8388</v>
      </c>
      <c r="M3863" t="s">
        <v>4945</v>
      </c>
      <c r="N3863" t="s">
        <v>5571</v>
      </c>
      <c r="O3863" t="s">
        <v>4937</v>
      </c>
      <c r="Q3863" t="str">
        <f t="shared" si="144"/>
        <v>condorProc.py --series 07180923_0335 --donoise --dumps a --procenv environments/pymidas_HVHV_NaI_mf.env</v>
      </c>
      <c r="R3863" t="str">
        <f t="shared" si="145"/>
        <v>ln -s ../../../../midasraw/byseries/07180923_0335 07180923_0335</v>
      </c>
    </row>
    <row r="3864" spans="1:30">
      <c r="A3864" t="s">
        <v>9392</v>
      </c>
      <c r="G3864" s="191"/>
      <c r="H3864" s="210"/>
      <c r="K3864" s="180"/>
      <c r="M3864" t="s">
        <v>4945</v>
      </c>
      <c r="N3864" t="s">
        <v>5571</v>
      </c>
      <c r="O3864" t="s">
        <v>4937</v>
      </c>
      <c r="Q3864" t="str">
        <f t="shared" si="144"/>
        <v>condorProc.py --series 07180923_0345 --donoise --dumps a --procenv environments/pymidas_HVHV_NaI_mf.env</v>
      </c>
      <c r="R3864" t="str">
        <f t="shared" si="145"/>
        <v>ln -s ../../../../midasraw/byseries/07180923_0345 07180923_0345</v>
      </c>
    </row>
    <row r="3865" spans="1:30">
      <c r="A3865" t="s">
        <v>9393</v>
      </c>
      <c r="G3865" s="191"/>
      <c r="H3865" s="210"/>
      <c r="K3865" s="180"/>
      <c r="M3865" t="s">
        <v>4945</v>
      </c>
      <c r="N3865" t="s">
        <v>5571</v>
      </c>
      <c r="O3865" t="s">
        <v>4937</v>
      </c>
      <c r="Q3865" t="str">
        <f t="shared" si="144"/>
        <v>condorProc.py --series 07180923_0355 --donoise --dumps a --procenv environments/pymidas_HVHV_NaI_mf.env</v>
      </c>
      <c r="R3865" t="str">
        <f t="shared" si="145"/>
        <v>ln -s ../../../../midasraw/byseries/07180923_0355 07180923_0355</v>
      </c>
    </row>
    <row r="3866" spans="1:30">
      <c r="A3866" t="s">
        <v>9394</v>
      </c>
      <c r="G3866" s="191"/>
      <c r="H3866" s="210"/>
      <c r="K3866" s="180"/>
      <c r="M3866" t="s">
        <v>4945</v>
      </c>
      <c r="N3866" t="s">
        <v>5571</v>
      </c>
      <c r="O3866" t="s">
        <v>4937</v>
      </c>
      <c r="Q3866" t="str">
        <f t="shared" si="144"/>
        <v>condorProc.py --series 07180923_0405 --donoise --dumps a --procenv environments/pymidas_HVHV_NaI_mf.env</v>
      </c>
      <c r="R3866" t="str">
        <f t="shared" si="145"/>
        <v>ln -s ../../../../midasraw/byseries/07180923_0405 07180923_0405</v>
      </c>
    </row>
    <row r="3867" spans="1:30">
      <c r="A3867" t="s">
        <v>9395</v>
      </c>
      <c r="G3867" s="191"/>
      <c r="H3867" s="210"/>
      <c r="K3867" s="180"/>
      <c r="M3867" t="s">
        <v>4945</v>
      </c>
      <c r="N3867" t="s">
        <v>5571</v>
      </c>
      <c r="O3867" t="s">
        <v>4937</v>
      </c>
      <c r="Q3867" t="str">
        <f t="shared" si="144"/>
        <v>condorProc.py --series 07180923_0415 --donoise --dumps a --procenv environments/pymidas_HVHV_NaI_mf.env</v>
      </c>
      <c r="R3867" t="str">
        <f t="shared" si="145"/>
        <v>ln -s ../../../../midasraw/byseries/07180923_0415 07180923_0415</v>
      </c>
    </row>
    <row r="3868" spans="1:30">
      <c r="A3868" t="s">
        <v>9396</v>
      </c>
      <c r="G3868" s="191"/>
      <c r="H3868" s="210"/>
      <c r="K3868" s="180"/>
      <c r="M3868" t="s">
        <v>4945</v>
      </c>
      <c r="N3868" t="s">
        <v>5571</v>
      </c>
      <c r="O3868" t="s">
        <v>4937</v>
      </c>
      <c r="Q3868" t="str">
        <f t="shared" si="144"/>
        <v>condorProc.py --series 07180923_0425 --donoise --dumps a --procenv environments/pymidas_HVHV_NaI_mf.env</v>
      </c>
      <c r="R3868" t="str">
        <f t="shared" si="145"/>
        <v>ln -s ../../../../midasraw/byseries/07180923_0425 07180923_0425</v>
      </c>
    </row>
    <row r="3869" spans="1:30">
      <c r="A3869" t="s">
        <v>9397</v>
      </c>
      <c r="G3869" s="191"/>
      <c r="H3869" s="210"/>
      <c r="K3869" s="180"/>
      <c r="M3869" t="s">
        <v>4945</v>
      </c>
      <c r="N3869" t="s">
        <v>5571</v>
      </c>
      <c r="O3869" t="s">
        <v>4937</v>
      </c>
      <c r="Q3869" t="str">
        <f t="shared" si="144"/>
        <v>condorProc.py --series 07180923_0436 --donoise --dumps a --procenv environments/pymidas_HVHV_NaI_mf.env</v>
      </c>
      <c r="R3869" t="str">
        <f t="shared" si="145"/>
        <v>ln -s ../../../../midasraw/byseries/07180923_0436 07180923_0436</v>
      </c>
    </row>
    <row r="3870" spans="1:30">
      <c r="A3870" t="s">
        <v>9398</v>
      </c>
      <c r="G3870" s="191"/>
      <c r="H3870" s="210"/>
      <c r="K3870" s="180"/>
      <c r="M3870" t="s">
        <v>4945</v>
      </c>
      <c r="N3870" t="s">
        <v>5571</v>
      </c>
      <c r="O3870" t="s">
        <v>4937</v>
      </c>
      <c r="Q3870" t="str">
        <f t="shared" si="144"/>
        <v>condorProc.py --series 07180923_0446 --donoise --dumps a --procenv environments/pymidas_HVHV_NaI_mf.env</v>
      </c>
      <c r="R3870" t="str">
        <f t="shared" si="145"/>
        <v>ln -s ../../../../midasraw/byseries/07180923_0446 07180923_0446</v>
      </c>
    </row>
    <row r="3871" spans="1:30">
      <c r="A3871" t="s">
        <v>9399</v>
      </c>
      <c r="G3871" s="191"/>
      <c r="H3871" s="210"/>
      <c r="K3871" s="180"/>
      <c r="M3871" t="s">
        <v>4945</v>
      </c>
      <c r="N3871" t="s">
        <v>5571</v>
      </c>
      <c r="O3871" t="s">
        <v>4937</v>
      </c>
      <c r="Q3871" t="str">
        <f t="shared" si="144"/>
        <v>condorProc.py --series 07180923_0456 --donoise --dumps a --procenv environments/pymidas_HVHV_NaI_mf.env</v>
      </c>
      <c r="R3871" t="str">
        <f t="shared" si="145"/>
        <v>ln -s ../../../../midasraw/byseries/07180923_0456 07180923_0456</v>
      </c>
    </row>
    <row r="3872" spans="1:30">
      <c r="A3872" t="s">
        <v>9400</v>
      </c>
      <c r="F3872" s="65"/>
      <c r="G3872" s="193"/>
      <c r="H3872" s="211"/>
      <c r="I3872" s="65"/>
      <c r="J3872" s="65"/>
      <c r="K3872" s="182"/>
      <c r="M3872" t="s">
        <v>4945</v>
      </c>
      <c r="N3872" t="s">
        <v>5571</v>
      </c>
      <c r="O3872" t="s">
        <v>4937</v>
      </c>
      <c r="Q3872" t="str">
        <f t="shared" si="144"/>
        <v>condorProc.py --series 07180923_0506 --donoise --dumps a --procenv environments/pymidas_HVHV_NaI_mf.env</v>
      </c>
      <c r="R3872" t="str">
        <f t="shared" si="145"/>
        <v>ln -s ../../../../midasraw/byseries/07180923_0506 07180923_0506</v>
      </c>
    </row>
    <row r="3873" spans="1:18">
      <c r="A3873" t="s">
        <v>9401</v>
      </c>
      <c r="F3873" s="177">
        <v>10</v>
      </c>
      <c r="G3873" s="192" t="s">
        <v>2248</v>
      </c>
      <c r="H3873" s="209">
        <v>-125</v>
      </c>
      <c r="I3873" s="177"/>
      <c r="J3873" s="177" t="s">
        <v>5577</v>
      </c>
      <c r="K3873" s="178" t="s">
        <v>5583</v>
      </c>
      <c r="M3873" t="s">
        <v>4945</v>
      </c>
      <c r="N3873" t="s">
        <v>5571</v>
      </c>
      <c r="O3873" t="s">
        <v>4937</v>
      </c>
      <c r="Q3873" t="str">
        <f t="shared" si="144"/>
        <v>condorProc.py --series 07180923_0606 --donoise --dumps a --procenv environments/pymidas_HVHV_NaI_mf.env</v>
      </c>
      <c r="R3873" t="str">
        <f t="shared" si="145"/>
        <v>ln -s ../../../../midasraw/byseries/07180923_0606 07180923_0606</v>
      </c>
    </row>
    <row r="3874" spans="1:18">
      <c r="A3874" t="s">
        <v>9402</v>
      </c>
      <c r="G3874" s="191"/>
      <c r="H3874" s="210"/>
      <c r="J3874" t="s">
        <v>5585</v>
      </c>
      <c r="K3874" s="218" t="s">
        <v>5586</v>
      </c>
      <c r="M3874" t="s">
        <v>4945</v>
      </c>
      <c r="N3874" t="s">
        <v>5571</v>
      </c>
      <c r="O3874" t="s">
        <v>4937</v>
      </c>
      <c r="Q3874" t="str">
        <f t="shared" si="144"/>
        <v>condorProc.py --series 07180923_0617 --donoise --dumps a --procenv environments/pymidas_HVHV_NaI_mf.env</v>
      </c>
      <c r="R3874" t="str">
        <f t="shared" si="145"/>
        <v>ln -s ../../../../midasraw/byseries/07180923_0617 07180923_0617</v>
      </c>
    </row>
    <row r="3875" spans="1:18">
      <c r="A3875" t="s">
        <v>9403</v>
      </c>
      <c r="G3875" s="191"/>
      <c r="H3875" s="210"/>
      <c r="K3875" s="219" t="s">
        <v>8388</v>
      </c>
      <c r="M3875" t="s">
        <v>4945</v>
      </c>
      <c r="N3875" t="s">
        <v>5571</v>
      </c>
      <c r="O3875" t="s">
        <v>4937</v>
      </c>
      <c r="Q3875" t="str">
        <f t="shared" si="144"/>
        <v>condorProc.py --series 07180923_0627 --donoise --dumps a --procenv environments/pymidas_HVHV_NaI_mf.env</v>
      </c>
      <c r="R3875" t="str">
        <f t="shared" si="145"/>
        <v>ln -s ../../../../midasraw/byseries/07180923_0627 07180923_0627</v>
      </c>
    </row>
    <row r="3876" spans="1:18">
      <c r="A3876" t="s">
        <v>9404</v>
      </c>
      <c r="G3876" s="191"/>
      <c r="H3876" s="210"/>
      <c r="K3876" s="180"/>
      <c r="M3876" t="s">
        <v>4945</v>
      </c>
      <c r="N3876" t="s">
        <v>5571</v>
      </c>
      <c r="O3876" t="s">
        <v>4937</v>
      </c>
      <c r="Q3876" t="str">
        <f t="shared" si="144"/>
        <v>condorProc.py --series 07180923_0637 --donoise --dumps a --procenv environments/pymidas_HVHV_NaI_mf.env</v>
      </c>
      <c r="R3876" t="str">
        <f t="shared" si="145"/>
        <v>ln -s ../../../../midasraw/byseries/07180923_0637 07180923_0637</v>
      </c>
    </row>
    <row r="3877" spans="1:18">
      <c r="A3877" t="s">
        <v>9405</v>
      </c>
      <c r="G3877" s="191"/>
      <c r="H3877" s="210"/>
      <c r="K3877" s="180"/>
      <c r="M3877" t="s">
        <v>4945</v>
      </c>
      <c r="N3877" t="s">
        <v>5571</v>
      </c>
      <c r="O3877" t="s">
        <v>4937</v>
      </c>
      <c r="Q3877" t="str">
        <f t="shared" si="144"/>
        <v>condorProc.py --series 07180923_0647 --donoise --dumps a --procenv environments/pymidas_HVHV_NaI_mf.env</v>
      </c>
      <c r="R3877" t="str">
        <f t="shared" si="145"/>
        <v>ln -s ../../../../midasraw/byseries/07180923_0647 07180923_0647</v>
      </c>
    </row>
    <row r="3878" spans="1:18">
      <c r="A3878" t="s">
        <v>9406</v>
      </c>
      <c r="G3878" s="191"/>
      <c r="H3878" s="210"/>
      <c r="K3878" s="180"/>
      <c r="M3878" t="s">
        <v>4945</v>
      </c>
      <c r="N3878" t="s">
        <v>5571</v>
      </c>
      <c r="O3878" t="s">
        <v>4937</v>
      </c>
      <c r="Q3878" t="str">
        <f t="shared" si="144"/>
        <v>condorProc.py --series 07180923_0657 --donoise --dumps a --procenv environments/pymidas_HVHV_NaI_mf.env</v>
      </c>
      <c r="R3878" t="str">
        <f t="shared" si="145"/>
        <v>ln -s ../../../../midasraw/byseries/07180923_0657 07180923_0657</v>
      </c>
    </row>
    <row r="3879" spans="1:18">
      <c r="A3879" t="s">
        <v>9407</v>
      </c>
      <c r="G3879" s="191"/>
      <c r="H3879" s="210"/>
      <c r="K3879" s="180"/>
      <c r="M3879" t="s">
        <v>4945</v>
      </c>
      <c r="N3879" t="s">
        <v>5571</v>
      </c>
      <c r="O3879" t="s">
        <v>4937</v>
      </c>
      <c r="Q3879" t="str">
        <f t="shared" si="144"/>
        <v>condorProc.py --series 07180923_0707 --donoise --dumps a --procenv environments/pymidas_HVHV_NaI_mf.env</v>
      </c>
      <c r="R3879" t="str">
        <f t="shared" si="145"/>
        <v>ln -s ../../../../midasraw/byseries/07180923_0707 07180923_0707</v>
      </c>
    </row>
    <row r="3880" spans="1:18">
      <c r="A3880" t="s">
        <v>9408</v>
      </c>
      <c r="G3880" s="191"/>
      <c r="H3880" s="210"/>
      <c r="K3880" s="180"/>
      <c r="M3880" t="s">
        <v>4945</v>
      </c>
      <c r="N3880" t="s">
        <v>5571</v>
      </c>
      <c r="O3880" t="s">
        <v>4937</v>
      </c>
      <c r="Q3880" t="str">
        <f t="shared" si="144"/>
        <v>condorProc.py --series 07180923_0717 --donoise --dumps a --procenv environments/pymidas_HVHV_NaI_mf.env</v>
      </c>
      <c r="R3880" t="str">
        <f t="shared" si="145"/>
        <v>ln -s ../../../../midasraw/byseries/07180923_0717 07180923_0717</v>
      </c>
    </row>
    <row r="3881" spans="1:18">
      <c r="A3881" t="s">
        <v>9409</v>
      </c>
      <c r="G3881" s="191"/>
      <c r="H3881" s="210"/>
      <c r="K3881" s="180"/>
      <c r="M3881" t="s">
        <v>4945</v>
      </c>
      <c r="N3881" t="s">
        <v>5571</v>
      </c>
      <c r="O3881" t="s">
        <v>4937</v>
      </c>
      <c r="Q3881" t="str">
        <f t="shared" si="144"/>
        <v>condorProc.py --series 07180923_0728 --donoise --dumps a --procenv environments/pymidas_HVHV_NaI_mf.env</v>
      </c>
      <c r="R3881" t="str">
        <f t="shared" si="145"/>
        <v>ln -s ../../../../midasraw/byseries/07180923_0728 07180923_0728</v>
      </c>
    </row>
    <row r="3882" spans="1:18">
      <c r="A3882" t="s">
        <v>9410</v>
      </c>
      <c r="G3882" s="191"/>
      <c r="H3882" s="210"/>
      <c r="K3882" s="180"/>
      <c r="M3882" t="s">
        <v>4945</v>
      </c>
      <c r="N3882" t="s">
        <v>5571</v>
      </c>
      <c r="O3882" t="s">
        <v>4937</v>
      </c>
      <c r="Q3882" t="str">
        <f t="shared" si="144"/>
        <v>condorProc.py --series 07180923_0738 --donoise --dumps a --procenv environments/pymidas_HVHV_NaI_mf.env</v>
      </c>
      <c r="R3882" t="str">
        <f t="shared" si="145"/>
        <v>ln -s ../../../../midasraw/byseries/07180923_0738 07180923_0738</v>
      </c>
    </row>
    <row r="3883" spans="1:18">
      <c r="A3883" t="s">
        <v>9411</v>
      </c>
      <c r="G3883" s="191"/>
      <c r="H3883" s="210"/>
      <c r="K3883" s="180"/>
      <c r="M3883" t="s">
        <v>4945</v>
      </c>
      <c r="N3883" t="s">
        <v>5571</v>
      </c>
      <c r="O3883" t="s">
        <v>4937</v>
      </c>
      <c r="Q3883" t="str">
        <f t="shared" si="144"/>
        <v>condorProc.py --series 07180923_0748 --donoise --dumps a --procenv environments/pymidas_HVHV_NaI_mf.env</v>
      </c>
      <c r="R3883" t="str">
        <f t="shared" si="145"/>
        <v>ln -s ../../../../midasraw/byseries/07180923_0748 07180923_0748</v>
      </c>
    </row>
    <row r="3884" spans="1:18">
      <c r="A3884" t="s">
        <v>9412</v>
      </c>
      <c r="F3884" s="65"/>
      <c r="G3884" s="193"/>
      <c r="H3884" s="211"/>
      <c r="I3884" s="65"/>
      <c r="J3884" s="65"/>
      <c r="K3884" s="182"/>
      <c r="M3884" t="s">
        <v>4945</v>
      </c>
      <c r="N3884" t="s">
        <v>5571</v>
      </c>
      <c r="O3884" t="s">
        <v>4937</v>
      </c>
      <c r="Q3884" t="str">
        <f t="shared" si="144"/>
        <v>condorProc.py --series 07180923_0758 --donoise --dumps a --procenv environments/pymidas_HVHV_NaI_mf.env</v>
      </c>
      <c r="R3884" t="str">
        <f t="shared" si="145"/>
        <v>ln -s ../../../../midasraw/byseries/07180923_0758 07180923_0758</v>
      </c>
    </row>
    <row r="3885" spans="1:18">
      <c r="A3885" t="s">
        <v>9413</v>
      </c>
      <c r="F3885" s="177">
        <v>10</v>
      </c>
      <c r="G3885" s="192" t="s">
        <v>2248</v>
      </c>
      <c r="H3885" s="209">
        <v>-125</v>
      </c>
      <c r="I3885" s="177"/>
      <c r="J3885" s="177" t="s">
        <v>5577</v>
      </c>
      <c r="K3885" s="178" t="s">
        <v>5583</v>
      </c>
      <c r="M3885" t="s">
        <v>4945</v>
      </c>
      <c r="N3885" t="s">
        <v>5571</v>
      </c>
      <c r="O3885" t="s">
        <v>4937</v>
      </c>
      <c r="Q3885" t="str">
        <f t="shared" si="144"/>
        <v>condorProc.py --series 07180923_0857 --donoise --dumps a --procenv environments/pymidas_HVHV_NaI_mf.env</v>
      </c>
      <c r="R3885" t="str">
        <f t="shared" si="145"/>
        <v>ln -s ../../../../midasraw/byseries/07180923_0857 07180923_0857</v>
      </c>
    </row>
    <row r="3886" spans="1:18">
      <c r="A3886" t="s">
        <v>9414</v>
      </c>
      <c r="G3886" s="191"/>
      <c r="H3886" s="210"/>
      <c r="J3886" t="s">
        <v>5585</v>
      </c>
      <c r="K3886" s="218" t="s">
        <v>5586</v>
      </c>
      <c r="M3886" t="s">
        <v>4945</v>
      </c>
      <c r="N3886" t="s">
        <v>5571</v>
      </c>
      <c r="O3886" t="s">
        <v>4937</v>
      </c>
      <c r="Q3886" t="str">
        <f t="shared" si="144"/>
        <v>condorProc.py --series 07180923_0907 --donoise --dumps a --procenv environments/pymidas_HVHV_NaI_mf.env</v>
      </c>
      <c r="R3886" t="str">
        <f t="shared" si="145"/>
        <v>ln -s ../../../../midasraw/byseries/07180923_0907 07180923_0907</v>
      </c>
    </row>
    <row r="3887" spans="1:18">
      <c r="A3887" t="s">
        <v>9415</v>
      </c>
      <c r="G3887" s="191"/>
      <c r="H3887" s="210"/>
      <c r="K3887" s="219" t="s">
        <v>8388</v>
      </c>
      <c r="M3887" t="s">
        <v>4945</v>
      </c>
      <c r="N3887" t="s">
        <v>5571</v>
      </c>
      <c r="O3887" t="s">
        <v>4937</v>
      </c>
      <c r="Q3887" t="str">
        <f t="shared" si="144"/>
        <v>condorProc.py --series 07180923_0917 --donoise --dumps a --procenv environments/pymidas_HVHV_NaI_mf.env</v>
      </c>
      <c r="R3887" t="str">
        <f t="shared" si="145"/>
        <v>ln -s ../../../../midasraw/byseries/07180923_0917 07180923_0917</v>
      </c>
    </row>
    <row r="3888" spans="1:18">
      <c r="A3888" t="s">
        <v>9416</v>
      </c>
      <c r="G3888" s="191"/>
      <c r="H3888" s="210"/>
      <c r="K3888" s="180"/>
      <c r="M3888" t="s">
        <v>4945</v>
      </c>
      <c r="N3888" t="s">
        <v>5571</v>
      </c>
      <c r="O3888" t="s">
        <v>4937</v>
      </c>
      <c r="Q3888" t="str">
        <f t="shared" si="144"/>
        <v>condorProc.py --series 07180923_0927 --donoise --dumps a --procenv environments/pymidas_HVHV_NaI_mf.env</v>
      </c>
      <c r="R3888" t="str">
        <f t="shared" si="145"/>
        <v>ln -s ../../../../midasraw/byseries/07180923_0927 07180923_0927</v>
      </c>
    </row>
    <row r="3889" spans="1:18">
      <c r="A3889" t="s">
        <v>9417</v>
      </c>
      <c r="G3889" s="191"/>
      <c r="H3889" s="210"/>
      <c r="K3889" s="180"/>
      <c r="M3889" t="s">
        <v>4945</v>
      </c>
      <c r="N3889" t="s">
        <v>5571</v>
      </c>
      <c r="O3889" t="s">
        <v>4937</v>
      </c>
      <c r="Q3889" t="str">
        <f t="shared" si="144"/>
        <v>condorProc.py --series 07180923_0938 --donoise --dumps a --procenv environments/pymidas_HVHV_NaI_mf.env</v>
      </c>
      <c r="R3889" t="str">
        <f t="shared" si="145"/>
        <v>ln -s ../../../../midasraw/byseries/07180923_0938 07180923_0938</v>
      </c>
    </row>
    <row r="3890" spans="1:18">
      <c r="A3890" t="s">
        <v>9418</v>
      </c>
      <c r="G3890" s="191"/>
      <c r="H3890" s="210"/>
      <c r="K3890" s="180"/>
      <c r="M3890" t="s">
        <v>4945</v>
      </c>
      <c r="N3890" t="s">
        <v>5571</v>
      </c>
      <c r="O3890" t="s">
        <v>4937</v>
      </c>
      <c r="Q3890" t="str">
        <f t="shared" ref="Q3890:Q3932" si="149">"condorProc.py --series "&amp;A3890&amp;" --donoise --dumps a --procenv environments/pymidas_HVHV_NaI_mf.env"</f>
        <v>condorProc.py --series 07180923_0948 --donoise --dumps a --procenv environments/pymidas_HVHV_NaI_mf.env</v>
      </c>
      <c r="R3890" t="str">
        <f t="shared" si="145"/>
        <v>ln -s ../../../../midasraw/byseries/07180923_0948 07180923_0948</v>
      </c>
    </row>
    <row r="3891" spans="1:18">
      <c r="A3891" t="s">
        <v>9419</v>
      </c>
      <c r="G3891" s="191"/>
      <c r="H3891" s="210"/>
      <c r="K3891" s="180"/>
      <c r="M3891" t="s">
        <v>4945</v>
      </c>
      <c r="N3891" t="s">
        <v>5571</v>
      </c>
      <c r="O3891" t="s">
        <v>4937</v>
      </c>
      <c r="Q3891" t="str">
        <f t="shared" si="149"/>
        <v>condorProc.py --series 07180923_0958 --donoise --dumps a --procenv environments/pymidas_HVHV_NaI_mf.env</v>
      </c>
      <c r="R3891" t="str">
        <f t="shared" si="145"/>
        <v>ln -s ../../../../midasraw/byseries/07180923_0958 07180923_0958</v>
      </c>
    </row>
    <row r="3892" spans="1:18">
      <c r="A3892" t="s">
        <v>9420</v>
      </c>
      <c r="G3892" s="191"/>
      <c r="H3892" s="210"/>
      <c r="K3892" s="180"/>
      <c r="M3892" t="s">
        <v>4945</v>
      </c>
      <c r="N3892" t="s">
        <v>5571</v>
      </c>
      <c r="O3892" t="s">
        <v>4937</v>
      </c>
      <c r="Q3892" t="str">
        <f t="shared" si="149"/>
        <v>condorProc.py --series 07180923_1008 --donoise --dumps a --procenv environments/pymidas_HVHV_NaI_mf.env</v>
      </c>
      <c r="R3892" t="str">
        <f t="shared" si="145"/>
        <v>ln -s ../../../../midasraw/byseries/07180923_1008 07180923_1008</v>
      </c>
    </row>
    <row r="3893" spans="1:18">
      <c r="A3893" t="s">
        <v>9421</v>
      </c>
      <c r="G3893" s="191"/>
      <c r="H3893" s="210"/>
      <c r="K3893" s="180"/>
      <c r="M3893" t="s">
        <v>4945</v>
      </c>
      <c r="N3893" t="s">
        <v>5571</v>
      </c>
      <c r="O3893" t="s">
        <v>4937</v>
      </c>
      <c r="Q3893" t="str">
        <f t="shared" si="149"/>
        <v>condorProc.py --series 07180923_1018 --donoise --dumps a --procenv environments/pymidas_HVHV_NaI_mf.env</v>
      </c>
      <c r="R3893" t="str">
        <f t="shared" si="145"/>
        <v>ln -s ../../../../midasraw/byseries/07180923_1018 07180923_1018</v>
      </c>
    </row>
    <row r="3894" spans="1:18">
      <c r="A3894" t="s">
        <v>9422</v>
      </c>
      <c r="G3894" s="191"/>
      <c r="H3894" s="210"/>
      <c r="K3894" s="180"/>
      <c r="M3894" t="s">
        <v>4945</v>
      </c>
      <c r="N3894" t="s">
        <v>5571</v>
      </c>
      <c r="O3894" t="s">
        <v>4937</v>
      </c>
      <c r="Q3894" t="str">
        <f t="shared" si="149"/>
        <v>condorProc.py --series 07180923_1028 --donoise --dumps a --procenv environments/pymidas_HVHV_NaI_mf.env</v>
      </c>
      <c r="R3894" t="str">
        <f t="shared" si="145"/>
        <v>ln -s ../../../../midasraw/byseries/07180923_1028 07180923_1028</v>
      </c>
    </row>
    <row r="3895" spans="1:18">
      <c r="A3895" t="s">
        <v>9423</v>
      </c>
      <c r="G3895" s="191"/>
      <c r="H3895" s="210"/>
      <c r="K3895" s="180"/>
      <c r="M3895" t="s">
        <v>4945</v>
      </c>
      <c r="N3895" t="s">
        <v>5571</v>
      </c>
      <c r="O3895" t="s">
        <v>4937</v>
      </c>
      <c r="Q3895" t="str">
        <f t="shared" si="149"/>
        <v>condorProc.py --series 07180923_1038 --donoise --dumps a --procenv environments/pymidas_HVHV_NaI_mf.env</v>
      </c>
      <c r="R3895" t="str">
        <f t="shared" si="145"/>
        <v>ln -s ../../../../midasraw/byseries/07180923_1038 07180923_1038</v>
      </c>
    </row>
    <row r="3896" spans="1:18">
      <c r="A3896" t="s">
        <v>9424</v>
      </c>
      <c r="F3896" s="65"/>
      <c r="G3896" s="193"/>
      <c r="H3896" s="211"/>
      <c r="I3896" s="65"/>
      <c r="J3896" s="65"/>
      <c r="K3896" s="182"/>
      <c r="M3896" t="s">
        <v>4945</v>
      </c>
      <c r="N3896" t="s">
        <v>5571</v>
      </c>
      <c r="O3896" t="s">
        <v>4937</v>
      </c>
      <c r="Q3896" t="str">
        <f t="shared" si="149"/>
        <v>condorProc.py --series 07180923_1049 --donoise --dumps a --procenv environments/pymidas_HVHV_NaI_mf.env</v>
      </c>
      <c r="R3896" t="str">
        <f t="shared" si="145"/>
        <v>ln -s ../../../../midasraw/byseries/07180923_1049 07180923_1049</v>
      </c>
    </row>
    <row r="3897" spans="1:18">
      <c r="A3897" t="s">
        <v>9425</v>
      </c>
      <c r="F3897" s="177">
        <v>10</v>
      </c>
      <c r="G3897" s="192" t="s">
        <v>2248</v>
      </c>
      <c r="H3897" s="209">
        <v>-125</v>
      </c>
      <c r="I3897" s="177"/>
      <c r="J3897" s="177" t="s">
        <v>5577</v>
      </c>
      <c r="K3897" s="178" t="s">
        <v>5583</v>
      </c>
      <c r="M3897" t="s">
        <v>4945</v>
      </c>
      <c r="N3897" t="s">
        <v>5571</v>
      </c>
      <c r="O3897" t="s">
        <v>4937</v>
      </c>
      <c r="Q3897" t="str">
        <f t="shared" si="149"/>
        <v>condorProc.py --series 07180923_1148 --donoise --dumps a --procenv environments/pymidas_HVHV_NaI_mf.env</v>
      </c>
      <c r="R3897" t="str">
        <f t="shared" si="145"/>
        <v>ln -s ../../../../midasraw/byseries/07180923_1148 07180923_1148</v>
      </c>
    </row>
    <row r="3898" spans="1:18">
      <c r="A3898" t="s">
        <v>9426</v>
      </c>
      <c r="G3898" s="191"/>
      <c r="H3898" s="210"/>
      <c r="J3898" t="s">
        <v>5585</v>
      </c>
      <c r="K3898" s="218" t="s">
        <v>5586</v>
      </c>
      <c r="M3898" t="s">
        <v>4945</v>
      </c>
      <c r="N3898" t="s">
        <v>5571</v>
      </c>
      <c r="O3898" t="s">
        <v>4937</v>
      </c>
      <c r="Q3898" t="str">
        <f t="shared" si="149"/>
        <v>condorProc.py --series 07180923_1158 --donoise --dumps a --procenv environments/pymidas_HVHV_NaI_mf.env</v>
      </c>
      <c r="R3898" t="str">
        <f t="shared" si="145"/>
        <v>ln -s ../../../../midasraw/byseries/07180923_1158 07180923_1158</v>
      </c>
    </row>
    <row r="3899" spans="1:18">
      <c r="A3899" t="s">
        <v>9427</v>
      </c>
      <c r="G3899" s="191"/>
      <c r="H3899" s="210"/>
      <c r="K3899" s="219" t="s">
        <v>8388</v>
      </c>
      <c r="M3899" t="s">
        <v>4945</v>
      </c>
      <c r="N3899" t="s">
        <v>5571</v>
      </c>
      <c r="O3899" t="s">
        <v>4937</v>
      </c>
      <c r="Q3899" t="str">
        <f t="shared" si="149"/>
        <v>condorProc.py --series 07180923_1208 --donoise --dumps a --procenv environments/pymidas_HVHV_NaI_mf.env</v>
      </c>
      <c r="R3899" t="str">
        <f t="shared" si="145"/>
        <v>ln -s ../../../../midasraw/byseries/07180923_1208 07180923_1208</v>
      </c>
    </row>
    <row r="3900" spans="1:18">
      <c r="A3900" t="s">
        <v>9428</v>
      </c>
      <c r="G3900" s="191"/>
      <c r="H3900" s="210"/>
      <c r="K3900" s="180"/>
      <c r="M3900" t="s">
        <v>4945</v>
      </c>
      <c r="N3900" t="s">
        <v>5571</v>
      </c>
      <c r="O3900" t="s">
        <v>4937</v>
      </c>
      <c r="Q3900" t="str">
        <f t="shared" si="149"/>
        <v>condorProc.py --series 07180923_1218 --donoise --dumps a --procenv environments/pymidas_HVHV_NaI_mf.env</v>
      </c>
      <c r="R3900" t="str">
        <f t="shared" si="145"/>
        <v>ln -s ../../../../midasraw/byseries/07180923_1218 07180923_1218</v>
      </c>
    </row>
    <row r="3901" spans="1:18">
      <c r="A3901" t="s">
        <v>9429</v>
      </c>
      <c r="G3901" s="191"/>
      <c r="H3901" s="210"/>
      <c r="K3901" s="180"/>
      <c r="M3901" t="s">
        <v>4945</v>
      </c>
      <c r="N3901" t="s">
        <v>5571</v>
      </c>
      <c r="O3901" t="s">
        <v>4937</v>
      </c>
      <c r="Q3901" t="str">
        <f t="shared" si="149"/>
        <v>condorProc.py --series 07180923_1229 --donoise --dumps a --procenv environments/pymidas_HVHV_NaI_mf.env</v>
      </c>
      <c r="R3901" t="str">
        <f t="shared" si="145"/>
        <v>ln -s ../../../../midasraw/byseries/07180923_1229 07180923_1229</v>
      </c>
    </row>
    <row r="3902" spans="1:18">
      <c r="A3902" t="s">
        <v>9430</v>
      </c>
      <c r="G3902" s="191"/>
      <c r="H3902" s="210"/>
      <c r="K3902" s="180"/>
      <c r="M3902" t="s">
        <v>4945</v>
      </c>
      <c r="N3902" t="s">
        <v>5571</v>
      </c>
      <c r="O3902" t="s">
        <v>4937</v>
      </c>
      <c r="Q3902" t="str">
        <f t="shared" si="149"/>
        <v>condorProc.py --series 07180923_1239 --donoise --dumps a --procenv environments/pymidas_HVHV_NaI_mf.env</v>
      </c>
      <c r="R3902" t="str">
        <f t="shared" ref="R3902:R3932" si="150">"ln -s ../../../../midasraw/byseries/"&amp;A3902&amp;" "&amp;A3902</f>
        <v>ln -s ../../../../midasraw/byseries/07180923_1239 07180923_1239</v>
      </c>
    </row>
    <row r="3903" spans="1:18">
      <c r="A3903" t="s">
        <v>9431</v>
      </c>
      <c r="G3903" s="191"/>
      <c r="H3903" s="210"/>
      <c r="K3903" s="180"/>
      <c r="M3903" t="s">
        <v>4945</v>
      </c>
      <c r="N3903" t="s">
        <v>5571</v>
      </c>
      <c r="O3903" t="s">
        <v>4937</v>
      </c>
      <c r="Q3903" t="str">
        <f t="shared" si="149"/>
        <v>condorProc.py --series 07180923_1249 --donoise --dumps a --procenv environments/pymidas_HVHV_NaI_mf.env</v>
      </c>
      <c r="R3903" t="str">
        <f t="shared" si="150"/>
        <v>ln -s ../../../../midasraw/byseries/07180923_1249 07180923_1249</v>
      </c>
    </row>
    <row r="3904" spans="1:18">
      <c r="A3904" t="s">
        <v>9432</v>
      </c>
      <c r="G3904" s="191"/>
      <c r="H3904" s="210"/>
      <c r="K3904" s="180"/>
      <c r="M3904" t="s">
        <v>4945</v>
      </c>
      <c r="N3904" t="s">
        <v>5571</v>
      </c>
      <c r="O3904" t="s">
        <v>4937</v>
      </c>
      <c r="Q3904" t="str">
        <f t="shared" si="149"/>
        <v>condorProc.py --series 07180923_1259 --donoise --dumps a --procenv environments/pymidas_HVHV_NaI_mf.env</v>
      </c>
      <c r="R3904" t="str">
        <f t="shared" si="150"/>
        <v>ln -s ../../../../midasraw/byseries/07180923_1259 07180923_1259</v>
      </c>
    </row>
    <row r="3905" spans="1:18">
      <c r="A3905" t="s">
        <v>9433</v>
      </c>
      <c r="G3905" s="191"/>
      <c r="H3905" s="210"/>
      <c r="K3905" s="180"/>
      <c r="M3905" t="s">
        <v>4945</v>
      </c>
      <c r="N3905" t="s">
        <v>5571</v>
      </c>
      <c r="O3905" t="s">
        <v>4937</v>
      </c>
      <c r="Q3905" t="str">
        <f t="shared" si="149"/>
        <v>condorProc.py --series 07180923_1309 --donoise --dumps a --procenv environments/pymidas_HVHV_NaI_mf.env</v>
      </c>
      <c r="R3905" t="str">
        <f t="shared" si="150"/>
        <v>ln -s ../../../../midasraw/byseries/07180923_1309 07180923_1309</v>
      </c>
    </row>
    <row r="3906" spans="1:18">
      <c r="A3906" t="s">
        <v>9434</v>
      </c>
      <c r="G3906" s="191"/>
      <c r="H3906" s="210"/>
      <c r="K3906" s="180"/>
      <c r="M3906" t="s">
        <v>4945</v>
      </c>
      <c r="N3906" t="s">
        <v>5571</v>
      </c>
      <c r="O3906" t="s">
        <v>4937</v>
      </c>
      <c r="Q3906" t="str">
        <f t="shared" si="149"/>
        <v>condorProc.py --series 07180923_1319 --donoise --dumps a --procenv environments/pymidas_HVHV_NaI_mf.env</v>
      </c>
      <c r="R3906" t="str">
        <f t="shared" si="150"/>
        <v>ln -s ../../../../midasraw/byseries/07180923_1319 07180923_1319</v>
      </c>
    </row>
    <row r="3907" spans="1:18">
      <c r="A3907" t="s">
        <v>9435</v>
      </c>
      <c r="G3907" s="191"/>
      <c r="H3907" s="210"/>
      <c r="K3907" s="180"/>
      <c r="M3907" t="s">
        <v>4945</v>
      </c>
      <c r="N3907" t="s">
        <v>5571</v>
      </c>
      <c r="O3907" t="s">
        <v>4937</v>
      </c>
      <c r="Q3907" t="str">
        <f t="shared" si="149"/>
        <v>condorProc.py --series 07180923_1329 --donoise --dumps a --procenv environments/pymidas_HVHV_NaI_mf.env</v>
      </c>
      <c r="R3907" t="str">
        <f t="shared" si="150"/>
        <v>ln -s ../../../../midasraw/byseries/07180923_1329 07180923_1329</v>
      </c>
    </row>
    <row r="3908" spans="1:18">
      <c r="A3908" t="s">
        <v>9436</v>
      </c>
      <c r="F3908" s="65"/>
      <c r="G3908" s="193"/>
      <c r="H3908" s="211"/>
      <c r="I3908" s="65"/>
      <c r="J3908" s="65"/>
      <c r="K3908" s="182"/>
      <c r="M3908" t="s">
        <v>4945</v>
      </c>
      <c r="N3908" t="s">
        <v>5571</v>
      </c>
      <c r="O3908" t="s">
        <v>4937</v>
      </c>
      <c r="Q3908" t="str">
        <f t="shared" si="149"/>
        <v>condorProc.py --series 07180923_1340 --donoise --dumps a --procenv environments/pymidas_HVHV_NaI_mf.env</v>
      </c>
      <c r="R3908" t="str">
        <f t="shared" si="150"/>
        <v>ln -s ../../../../midasraw/byseries/07180923_1340 07180923_1340</v>
      </c>
    </row>
    <row r="3909" spans="1:18">
      <c r="A3909" t="s">
        <v>9437</v>
      </c>
      <c r="F3909" s="177">
        <v>10</v>
      </c>
      <c r="G3909" s="192" t="s">
        <v>2248</v>
      </c>
      <c r="H3909" s="209">
        <v>-125</v>
      </c>
      <c r="I3909" s="177"/>
      <c r="J3909" s="177" t="s">
        <v>5577</v>
      </c>
      <c r="K3909" s="178" t="s">
        <v>5583</v>
      </c>
      <c r="M3909" t="s">
        <v>4945</v>
      </c>
      <c r="N3909" t="s">
        <v>5571</v>
      </c>
      <c r="O3909" t="s">
        <v>4937</v>
      </c>
      <c r="Q3909" t="str">
        <f t="shared" si="149"/>
        <v>condorProc.py --series 07180923_1441 --donoise --dumps a --procenv environments/pymidas_HVHV_NaI_mf.env</v>
      </c>
      <c r="R3909" t="str">
        <f t="shared" si="150"/>
        <v>ln -s ../../../../midasraw/byseries/07180923_1441 07180923_1441</v>
      </c>
    </row>
    <row r="3910" spans="1:18">
      <c r="A3910" t="s">
        <v>9438</v>
      </c>
      <c r="G3910" s="191"/>
      <c r="H3910" s="210"/>
      <c r="J3910" t="s">
        <v>5585</v>
      </c>
      <c r="K3910" s="218" t="s">
        <v>5586</v>
      </c>
      <c r="M3910" t="s">
        <v>4945</v>
      </c>
      <c r="N3910" t="s">
        <v>5571</v>
      </c>
      <c r="O3910" t="s">
        <v>4937</v>
      </c>
      <c r="Q3910" t="str">
        <f t="shared" si="149"/>
        <v>condorProc.py --series 07180923_1451 --donoise --dumps a --procenv environments/pymidas_HVHV_NaI_mf.env</v>
      </c>
      <c r="R3910" t="str">
        <f t="shared" si="150"/>
        <v>ln -s ../../../../midasraw/byseries/07180923_1451 07180923_1451</v>
      </c>
    </row>
    <row r="3911" spans="1:18">
      <c r="A3911" t="s">
        <v>9439</v>
      </c>
      <c r="G3911" s="191"/>
      <c r="H3911" s="210"/>
      <c r="K3911" s="219" t="s">
        <v>8388</v>
      </c>
      <c r="M3911" t="s">
        <v>4945</v>
      </c>
      <c r="N3911" t="s">
        <v>5571</v>
      </c>
      <c r="O3911" t="s">
        <v>4937</v>
      </c>
      <c r="Q3911" t="str">
        <f t="shared" si="149"/>
        <v>condorProc.py --series 07180923_1501 --donoise --dumps a --procenv environments/pymidas_HVHV_NaI_mf.env</v>
      </c>
      <c r="R3911" t="str">
        <f t="shared" si="150"/>
        <v>ln -s ../../../../midasraw/byseries/07180923_1501 07180923_1501</v>
      </c>
    </row>
    <row r="3912" spans="1:18">
      <c r="A3912" t="s">
        <v>9440</v>
      </c>
      <c r="G3912" s="191"/>
      <c r="H3912" s="210"/>
      <c r="K3912" s="180"/>
      <c r="M3912" t="s">
        <v>4945</v>
      </c>
      <c r="N3912" t="s">
        <v>5571</v>
      </c>
      <c r="O3912" t="s">
        <v>4937</v>
      </c>
      <c r="Q3912" t="str">
        <f t="shared" si="149"/>
        <v>condorProc.py --series 07180923_1511 --donoise --dumps a --procenv environments/pymidas_HVHV_NaI_mf.env</v>
      </c>
      <c r="R3912" t="str">
        <f t="shared" si="150"/>
        <v>ln -s ../../../../midasraw/byseries/07180923_1511 07180923_1511</v>
      </c>
    </row>
    <row r="3913" spans="1:18">
      <c r="A3913" t="s">
        <v>9441</v>
      </c>
      <c r="G3913" s="191"/>
      <c r="H3913" s="210"/>
      <c r="K3913" s="180"/>
      <c r="M3913" t="s">
        <v>4945</v>
      </c>
      <c r="N3913" t="s">
        <v>5571</v>
      </c>
      <c r="O3913" t="s">
        <v>4937</v>
      </c>
      <c r="Q3913" t="str">
        <f t="shared" si="149"/>
        <v>condorProc.py --series 07180923_1521 --donoise --dumps a --procenv environments/pymidas_HVHV_NaI_mf.env</v>
      </c>
      <c r="R3913" t="str">
        <f t="shared" si="150"/>
        <v>ln -s ../../../../midasraw/byseries/07180923_1521 07180923_1521</v>
      </c>
    </row>
    <row r="3914" spans="1:18">
      <c r="A3914" t="s">
        <v>9442</v>
      </c>
      <c r="G3914" s="191"/>
      <c r="H3914" s="210"/>
      <c r="K3914" s="180"/>
      <c r="M3914" t="s">
        <v>4945</v>
      </c>
      <c r="N3914" t="s">
        <v>5571</v>
      </c>
      <c r="O3914" t="s">
        <v>4937</v>
      </c>
      <c r="Q3914" t="str">
        <f t="shared" si="149"/>
        <v>condorProc.py --series 07180923_1531 --donoise --dumps a --procenv environments/pymidas_HVHV_NaI_mf.env</v>
      </c>
      <c r="R3914" t="str">
        <f t="shared" si="150"/>
        <v>ln -s ../../../../midasraw/byseries/07180923_1531 07180923_1531</v>
      </c>
    </row>
    <row r="3915" spans="1:18">
      <c r="A3915" t="s">
        <v>9443</v>
      </c>
      <c r="G3915" s="191"/>
      <c r="H3915" s="210"/>
      <c r="K3915" s="180"/>
      <c r="M3915" t="s">
        <v>4945</v>
      </c>
      <c r="N3915" t="s">
        <v>5571</v>
      </c>
      <c r="O3915" t="s">
        <v>4937</v>
      </c>
      <c r="Q3915" t="str">
        <f t="shared" si="149"/>
        <v>condorProc.py --series 07180923_1541 --donoise --dumps a --procenv environments/pymidas_HVHV_NaI_mf.env</v>
      </c>
      <c r="R3915" t="str">
        <f t="shared" si="150"/>
        <v>ln -s ../../../../midasraw/byseries/07180923_1541 07180923_1541</v>
      </c>
    </row>
    <row r="3916" spans="1:18">
      <c r="A3916" t="s">
        <v>9444</v>
      </c>
      <c r="G3916" s="191"/>
      <c r="H3916" s="210"/>
      <c r="K3916" s="180"/>
      <c r="M3916" t="s">
        <v>4945</v>
      </c>
      <c r="N3916" t="s">
        <v>5571</v>
      </c>
      <c r="O3916" t="s">
        <v>4937</v>
      </c>
      <c r="Q3916" t="str">
        <f t="shared" si="149"/>
        <v>condorProc.py --series 07180923_1552 --donoise --dumps a --procenv environments/pymidas_HVHV_NaI_mf.env</v>
      </c>
      <c r="R3916" t="str">
        <f t="shared" si="150"/>
        <v>ln -s ../../../../midasraw/byseries/07180923_1552 07180923_1552</v>
      </c>
    </row>
    <row r="3917" spans="1:18">
      <c r="A3917" t="s">
        <v>9445</v>
      </c>
      <c r="G3917" s="191"/>
      <c r="H3917" s="210"/>
      <c r="K3917" s="180"/>
      <c r="M3917" t="s">
        <v>4945</v>
      </c>
      <c r="N3917" t="s">
        <v>5571</v>
      </c>
      <c r="O3917" t="s">
        <v>4937</v>
      </c>
      <c r="Q3917" t="str">
        <f t="shared" si="149"/>
        <v>condorProc.py --series 07180923_1602 --donoise --dumps a --procenv environments/pymidas_HVHV_NaI_mf.env</v>
      </c>
      <c r="R3917" t="str">
        <f t="shared" si="150"/>
        <v>ln -s ../../../../midasraw/byseries/07180923_1602 07180923_1602</v>
      </c>
    </row>
    <row r="3918" spans="1:18">
      <c r="A3918" t="s">
        <v>9446</v>
      </c>
      <c r="G3918" s="191"/>
      <c r="H3918" s="210"/>
      <c r="K3918" s="180"/>
      <c r="M3918" t="s">
        <v>4945</v>
      </c>
      <c r="N3918" t="s">
        <v>5571</v>
      </c>
      <c r="O3918" t="s">
        <v>4937</v>
      </c>
      <c r="Q3918" t="str">
        <f t="shared" si="149"/>
        <v>condorProc.py --series 07180923_1612 --donoise --dumps a --procenv environments/pymidas_HVHV_NaI_mf.env</v>
      </c>
      <c r="R3918" t="str">
        <f t="shared" si="150"/>
        <v>ln -s ../../../../midasraw/byseries/07180923_1612 07180923_1612</v>
      </c>
    </row>
    <row r="3919" spans="1:18">
      <c r="A3919" t="s">
        <v>9447</v>
      </c>
      <c r="G3919" s="191"/>
      <c r="H3919" s="210"/>
      <c r="K3919" s="180"/>
      <c r="M3919" t="s">
        <v>4945</v>
      </c>
      <c r="N3919" t="s">
        <v>5571</v>
      </c>
      <c r="O3919" t="s">
        <v>4937</v>
      </c>
      <c r="Q3919" t="str">
        <f t="shared" si="149"/>
        <v>condorProc.py --series 07180923_1622 --donoise --dumps a --procenv environments/pymidas_HVHV_NaI_mf.env</v>
      </c>
      <c r="R3919" t="str">
        <f t="shared" si="150"/>
        <v>ln -s ../../../../midasraw/byseries/07180923_1622 07180923_1622</v>
      </c>
    </row>
    <row r="3920" spans="1:18">
      <c r="A3920" t="s">
        <v>9448</v>
      </c>
      <c r="F3920" s="65"/>
      <c r="G3920" s="193"/>
      <c r="H3920" s="211"/>
      <c r="I3920" s="65" t="s">
        <v>75</v>
      </c>
      <c r="J3920" s="65"/>
      <c r="K3920" s="182"/>
      <c r="M3920" t="s">
        <v>4945</v>
      </c>
      <c r="N3920" t="s">
        <v>5571</v>
      </c>
      <c r="O3920" t="s">
        <v>4937</v>
      </c>
      <c r="Q3920" t="str">
        <f t="shared" si="149"/>
        <v>condorProc.py --series 07180923_1632 --donoise --dumps a --procenv environments/pymidas_HVHV_NaI_mf.env</v>
      </c>
      <c r="R3920" t="str">
        <f t="shared" si="150"/>
        <v>ln -s ../../../../midasraw/byseries/07180923_1632 07180923_1632</v>
      </c>
    </row>
    <row r="3921" spans="1:18">
      <c r="A3921" t="s">
        <v>9449</v>
      </c>
      <c r="F3921" s="177">
        <v>10</v>
      </c>
      <c r="G3921" s="192" t="s">
        <v>2248</v>
      </c>
      <c r="H3921" s="209">
        <v>-125</v>
      </c>
      <c r="I3921" s="177"/>
      <c r="J3921" s="177" t="s">
        <v>5577</v>
      </c>
      <c r="K3921" s="178" t="s">
        <v>5583</v>
      </c>
      <c r="M3921" t="s">
        <v>4945</v>
      </c>
      <c r="N3921" t="s">
        <v>5571</v>
      </c>
      <c r="O3921" t="s">
        <v>4937</v>
      </c>
      <c r="Q3921" t="str">
        <f t="shared" si="149"/>
        <v>condorProc.py --series 07180923_1733 --donoise --dumps a --procenv environments/pymidas_HVHV_NaI_mf.env</v>
      </c>
      <c r="R3921" t="str">
        <f t="shared" si="150"/>
        <v>ln -s ../../../../midasraw/byseries/07180923_1733 07180923_1733</v>
      </c>
    </row>
    <row r="3922" spans="1:18">
      <c r="A3922" t="s">
        <v>9450</v>
      </c>
      <c r="G3922" s="191"/>
      <c r="H3922" s="210"/>
      <c r="J3922" t="s">
        <v>5585</v>
      </c>
      <c r="K3922" s="218" t="s">
        <v>5586</v>
      </c>
      <c r="M3922" t="s">
        <v>4945</v>
      </c>
      <c r="N3922" t="s">
        <v>5571</v>
      </c>
      <c r="O3922" t="s">
        <v>4937</v>
      </c>
      <c r="Q3922" t="str">
        <f t="shared" si="149"/>
        <v>condorProc.py --series 07180923_1744 --donoise --dumps a --procenv environments/pymidas_HVHV_NaI_mf.env</v>
      </c>
      <c r="R3922" t="str">
        <f t="shared" si="150"/>
        <v>ln -s ../../../../midasraw/byseries/07180923_1744 07180923_1744</v>
      </c>
    </row>
    <row r="3923" spans="1:18">
      <c r="A3923" t="s">
        <v>9451</v>
      </c>
      <c r="G3923" s="191"/>
      <c r="H3923" s="210"/>
      <c r="K3923" s="219" t="s">
        <v>8388</v>
      </c>
      <c r="M3923" t="s">
        <v>4945</v>
      </c>
      <c r="N3923" t="s">
        <v>5571</v>
      </c>
      <c r="O3923" t="s">
        <v>4937</v>
      </c>
      <c r="Q3923" t="str">
        <f t="shared" si="149"/>
        <v>condorProc.py --series 07180923_1754 --donoise --dumps a --procenv environments/pymidas_HVHV_NaI_mf.env</v>
      </c>
      <c r="R3923" t="str">
        <f t="shared" si="150"/>
        <v>ln -s ../../../../midasraw/byseries/07180923_1754 07180923_1754</v>
      </c>
    </row>
    <row r="3924" spans="1:18">
      <c r="A3924" t="s">
        <v>9452</v>
      </c>
      <c r="G3924" s="191"/>
      <c r="H3924" s="210"/>
      <c r="K3924" s="180"/>
      <c r="M3924" t="s">
        <v>4945</v>
      </c>
      <c r="N3924" t="s">
        <v>5571</v>
      </c>
      <c r="O3924" t="s">
        <v>4937</v>
      </c>
      <c r="Q3924" t="str">
        <f t="shared" si="149"/>
        <v>condorProc.py --series 07180923_1804 --donoise --dumps a --procenv environments/pymidas_HVHV_NaI_mf.env</v>
      </c>
      <c r="R3924" t="str">
        <f t="shared" si="150"/>
        <v>ln -s ../../../../midasraw/byseries/07180923_1804 07180923_1804</v>
      </c>
    </row>
    <row r="3925" spans="1:18">
      <c r="A3925" t="s">
        <v>9453</v>
      </c>
      <c r="G3925" s="191"/>
      <c r="H3925" s="210"/>
      <c r="K3925" s="180"/>
      <c r="M3925" t="s">
        <v>4945</v>
      </c>
      <c r="N3925" t="s">
        <v>5571</v>
      </c>
      <c r="O3925" t="s">
        <v>4937</v>
      </c>
      <c r="Q3925" t="str">
        <f t="shared" si="149"/>
        <v>condorProc.py --series 07180923_1814 --donoise --dumps a --procenv environments/pymidas_HVHV_NaI_mf.env</v>
      </c>
      <c r="R3925" t="str">
        <f t="shared" si="150"/>
        <v>ln -s ../../../../midasraw/byseries/07180923_1814 07180923_1814</v>
      </c>
    </row>
    <row r="3926" spans="1:18">
      <c r="A3926" t="s">
        <v>9454</v>
      </c>
      <c r="G3926" s="191"/>
      <c r="H3926" s="210"/>
      <c r="K3926" s="180"/>
      <c r="M3926" t="s">
        <v>4945</v>
      </c>
      <c r="N3926" t="s">
        <v>5571</v>
      </c>
      <c r="O3926" t="s">
        <v>4937</v>
      </c>
      <c r="Q3926" t="str">
        <f t="shared" si="149"/>
        <v>condorProc.py --series 07180923_1824 --donoise --dumps a --procenv environments/pymidas_HVHV_NaI_mf.env</v>
      </c>
      <c r="R3926" t="str">
        <f t="shared" si="150"/>
        <v>ln -s ../../../../midasraw/byseries/07180923_1824 07180923_1824</v>
      </c>
    </row>
    <row r="3927" spans="1:18">
      <c r="A3927" t="s">
        <v>9455</v>
      </c>
      <c r="G3927" s="191"/>
      <c r="H3927" s="210"/>
      <c r="K3927" s="180"/>
      <c r="M3927" t="s">
        <v>4945</v>
      </c>
      <c r="N3927" t="s">
        <v>5571</v>
      </c>
      <c r="O3927" t="s">
        <v>4937</v>
      </c>
      <c r="Q3927" t="str">
        <f t="shared" si="149"/>
        <v>condorProc.py --series 07180923_1834 --donoise --dumps a --procenv environments/pymidas_HVHV_NaI_mf.env</v>
      </c>
      <c r="R3927" t="str">
        <f t="shared" si="150"/>
        <v>ln -s ../../../../midasraw/byseries/07180923_1834 07180923_1834</v>
      </c>
    </row>
    <row r="3928" spans="1:18">
      <c r="A3928" t="s">
        <v>9456</v>
      </c>
      <c r="G3928" s="191"/>
      <c r="H3928" s="210"/>
      <c r="K3928" s="180"/>
      <c r="M3928" t="s">
        <v>4945</v>
      </c>
      <c r="N3928" t="s">
        <v>5571</v>
      </c>
      <c r="O3928" t="s">
        <v>4937</v>
      </c>
      <c r="Q3928" t="str">
        <f t="shared" si="149"/>
        <v>condorProc.py --series 07180923_1844 --donoise --dumps a --procenv environments/pymidas_HVHV_NaI_mf.env</v>
      </c>
      <c r="R3928" t="str">
        <f t="shared" si="150"/>
        <v>ln -s ../../../../midasraw/byseries/07180923_1844 07180923_1844</v>
      </c>
    </row>
    <row r="3929" spans="1:18">
      <c r="A3929" t="s">
        <v>9457</v>
      </c>
      <c r="G3929" s="191"/>
      <c r="H3929" s="210"/>
      <c r="K3929" s="180"/>
      <c r="M3929" t="s">
        <v>4945</v>
      </c>
      <c r="N3929" t="s">
        <v>5571</v>
      </c>
      <c r="O3929" t="s">
        <v>4937</v>
      </c>
      <c r="Q3929" t="str">
        <f t="shared" si="149"/>
        <v>condorProc.py --series 07180923_1855 --donoise --dumps a --procenv environments/pymidas_HVHV_NaI_mf.env</v>
      </c>
      <c r="R3929" t="str">
        <f t="shared" si="150"/>
        <v>ln -s ../../../../midasraw/byseries/07180923_1855 07180923_1855</v>
      </c>
    </row>
    <row r="3930" spans="1:18">
      <c r="A3930" t="s">
        <v>9458</v>
      </c>
      <c r="G3930" s="191"/>
      <c r="H3930" s="210"/>
      <c r="K3930" s="180"/>
      <c r="M3930" t="s">
        <v>4945</v>
      </c>
      <c r="N3930" t="s">
        <v>5571</v>
      </c>
      <c r="O3930" t="s">
        <v>4937</v>
      </c>
      <c r="Q3930" t="str">
        <f t="shared" si="149"/>
        <v>condorProc.py --series 07180923_1905 --donoise --dumps a --procenv environments/pymidas_HVHV_NaI_mf.env</v>
      </c>
      <c r="R3930" t="str">
        <f t="shared" si="150"/>
        <v>ln -s ../../../../midasraw/byseries/07180923_1905 07180923_1905</v>
      </c>
    </row>
    <row r="3931" spans="1:18">
      <c r="A3931" t="s">
        <v>9459</v>
      </c>
      <c r="G3931" s="191"/>
      <c r="H3931" s="210"/>
      <c r="K3931" s="180"/>
      <c r="M3931" t="s">
        <v>4945</v>
      </c>
      <c r="N3931" t="s">
        <v>5571</v>
      </c>
      <c r="O3931" t="s">
        <v>4937</v>
      </c>
      <c r="Q3931" t="str">
        <f t="shared" si="149"/>
        <v>condorProc.py --series 07180923_1915 --donoise --dumps a --procenv environments/pymidas_HVHV_NaI_mf.env</v>
      </c>
      <c r="R3931" t="str">
        <f t="shared" si="150"/>
        <v>ln -s ../../../../midasraw/byseries/07180923_1915 07180923_1915</v>
      </c>
    </row>
    <row r="3932" spans="1:18">
      <c r="A3932" t="s">
        <v>9460</v>
      </c>
      <c r="F3932" s="65"/>
      <c r="G3932" s="193"/>
      <c r="H3932" s="211"/>
      <c r="I3932" s="65" t="s">
        <v>75</v>
      </c>
      <c r="J3932" s="65"/>
      <c r="K3932" s="182"/>
      <c r="M3932" t="s">
        <v>4945</v>
      </c>
      <c r="N3932" t="s">
        <v>5571</v>
      </c>
      <c r="O3932" t="s">
        <v>4937</v>
      </c>
      <c r="Q3932" t="str">
        <f t="shared" si="149"/>
        <v>condorProc.py --series 07180923_1925 --donoise --dumps a --procenv environments/pymidas_HVHV_NaI_mf.env</v>
      </c>
      <c r="R3932" t="str">
        <f t="shared" si="150"/>
        <v>ln -s ../../../../midasraw/byseries/07180923_1925 07180923_1925</v>
      </c>
    </row>
    <row r="3933" spans="1:18">
      <c r="A3933" t="s">
        <v>9461</v>
      </c>
      <c r="F3933" s="177">
        <v>10</v>
      </c>
      <c r="G3933" s="192" t="s">
        <v>2248</v>
      </c>
      <c r="H3933" s="209">
        <v>-125</v>
      </c>
      <c r="I3933" s="199" t="s">
        <v>5434</v>
      </c>
      <c r="J3933" s="177" t="s">
        <v>5577</v>
      </c>
      <c r="K3933" s="178" t="s">
        <v>5583</v>
      </c>
    </row>
    <row r="3934" spans="1:18">
      <c r="A3934" t="s">
        <v>9462</v>
      </c>
      <c r="G3934" s="191"/>
      <c r="H3934" s="210"/>
      <c r="I3934" s="197" t="s">
        <v>5434</v>
      </c>
      <c r="J3934" t="s">
        <v>5585</v>
      </c>
      <c r="K3934" s="218" t="s">
        <v>5586</v>
      </c>
    </row>
    <row r="3935" spans="1:18">
      <c r="A3935" t="s">
        <v>9463</v>
      </c>
      <c r="G3935" s="191"/>
      <c r="H3935" s="210"/>
      <c r="I3935" s="197" t="s">
        <v>5434</v>
      </c>
      <c r="K3935" s="219" t="s">
        <v>8388</v>
      </c>
    </row>
    <row r="3936" spans="1:18">
      <c r="A3936" t="s">
        <v>9464</v>
      </c>
      <c r="G3936" s="191"/>
      <c r="H3936" s="210"/>
      <c r="I3936" s="197" t="s">
        <v>5434</v>
      </c>
      <c r="K3936" s="180"/>
    </row>
    <row r="3937" spans="1:11">
      <c r="A3937" t="s">
        <v>9465</v>
      </c>
      <c r="G3937" s="191"/>
      <c r="H3937" s="210"/>
      <c r="I3937" s="197" t="s">
        <v>5434</v>
      </c>
      <c r="K3937" s="180"/>
    </row>
    <row r="3938" spans="1:11">
      <c r="A3938" t="s">
        <v>9466</v>
      </c>
      <c r="G3938" s="191"/>
      <c r="H3938" s="210"/>
      <c r="I3938" s="197" t="s">
        <v>5434</v>
      </c>
      <c r="K3938" s="180"/>
    </row>
    <row r="3939" spans="1:11">
      <c r="A3939" t="s">
        <v>9467</v>
      </c>
      <c r="G3939" s="191"/>
      <c r="H3939" s="210"/>
      <c r="I3939" s="197" t="s">
        <v>5434</v>
      </c>
      <c r="K3939" s="180"/>
    </row>
    <row r="3940" spans="1:11">
      <c r="A3940" t="s">
        <v>9468</v>
      </c>
      <c r="G3940" s="191"/>
      <c r="H3940" s="210"/>
      <c r="I3940" s="197" t="s">
        <v>5434</v>
      </c>
      <c r="K3940" s="180"/>
    </row>
    <row r="3941" spans="1:11">
      <c r="A3941" t="s">
        <v>9469</v>
      </c>
      <c r="G3941" s="191"/>
      <c r="H3941" s="210"/>
      <c r="I3941" s="197" t="s">
        <v>5434</v>
      </c>
      <c r="K3941" s="180"/>
    </row>
    <row r="3942" spans="1:11">
      <c r="A3942" t="s">
        <v>9470</v>
      </c>
      <c r="G3942" s="191"/>
      <c r="H3942" s="210"/>
      <c r="I3942" s="197" t="s">
        <v>5434</v>
      </c>
      <c r="K3942" s="180"/>
    </row>
    <row r="3943" spans="1:11">
      <c r="A3943" t="s">
        <v>9471</v>
      </c>
      <c r="G3943" s="191"/>
      <c r="H3943" s="210"/>
      <c r="I3943" s="197" t="s">
        <v>5434</v>
      </c>
      <c r="K3943" s="180"/>
    </row>
    <row r="3944" spans="1:11">
      <c r="A3944" t="s">
        <v>9472</v>
      </c>
      <c r="F3944" s="65"/>
      <c r="G3944" s="193"/>
      <c r="H3944" s="211"/>
      <c r="I3944" s="198" t="s">
        <v>5434</v>
      </c>
      <c r="J3944" s="65"/>
      <c r="K3944" s="182"/>
    </row>
    <row r="3945" spans="1:11">
      <c r="A3945" t="s">
        <v>9473</v>
      </c>
      <c r="F3945" s="177">
        <v>10</v>
      </c>
      <c r="G3945" s="192" t="s">
        <v>2248</v>
      </c>
      <c r="H3945" s="209">
        <v>-125</v>
      </c>
      <c r="I3945" s="199" t="s">
        <v>5434</v>
      </c>
      <c r="J3945" s="177" t="s">
        <v>5577</v>
      </c>
      <c r="K3945" s="178" t="s">
        <v>5583</v>
      </c>
    </row>
    <row r="3946" spans="1:11">
      <c r="A3946" t="s">
        <v>9474</v>
      </c>
      <c r="G3946" s="191"/>
      <c r="H3946" s="210"/>
      <c r="I3946" s="197" t="s">
        <v>5434</v>
      </c>
      <c r="J3946" t="s">
        <v>5585</v>
      </c>
      <c r="K3946" s="218" t="s">
        <v>5586</v>
      </c>
    </row>
    <row r="3947" spans="1:11">
      <c r="A3947" t="s">
        <v>9475</v>
      </c>
      <c r="G3947" s="191"/>
      <c r="H3947" s="210"/>
      <c r="I3947" s="197" t="s">
        <v>5434</v>
      </c>
      <c r="K3947" s="219" t="s">
        <v>8388</v>
      </c>
    </row>
    <row r="3948" spans="1:11">
      <c r="A3948" t="s">
        <v>9476</v>
      </c>
      <c r="G3948" s="191"/>
      <c r="H3948" s="210"/>
      <c r="I3948" s="197" t="s">
        <v>5434</v>
      </c>
      <c r="K3948" s="180"/>
    </row>
    <row r="3949" spans="1:11">
      <c r="A3949" t="s">
        <v>9477</v>
      </c>
      <c r="G3949" s="191"/>
      <c r="H3949" s="210"/>
      <c r="I3949" s="197" t="s">
        <v>5434</v>
      </c>
      <c r="K3949" s="180"/>
    </row>
    <row r="3950" spans="1:11">
      <c r="A3950" t="s">
        <v>9478</v>
      </c>
      <c r="G3950" s="191"/>
      <c r="H3950" s="210"/>
      <c r="I3950" s="197" t="s">
        <v>5434</v>
      </c>
      <c r="K3950" s="180"/>
    </row>
    <row r="3951" spans="1:11">
      <c r="A3951" t="s">
        <v>9479</v>
      </c>
      <c r="G3951" s="191"/>
      <c r="H3951" s="210"/>
      <c r="I3951" s="197" t="s">
        <v>5434</v>
      </c>
      <c r="K3951" s="180"/>
    </row>
    <row r="3952" spans="1:11">
      <c r="A3952" t="s">
        <v>9480</v>
      </c>
      <c r="G3952" s="191"/>
      <c r="H3952" s="210"/>
      <c r="I3952" s="197" t="s">
        <v>5434</v>
      </c>
      <c r="K3952" s="180"/>
    </row>
    <row r="3953" spans="1:11">
      <c r="A3953" t="s">
        <v>9481</v>
      </c>
      <c r="G3953" s="191"/>
      <c r="H3953" s="210"/>
      <c r="I3953" s="197" t="s">
        <v>5434</v>
      </c>
      <c r="K3953" s="180"/>
    </row>
    <row r="3954" spans="1:11">
      <c r="A3954" t="s">
        <v>9482</v>
      </c>
      <c r="G3954" s="191"/>
      <c r="H3954" s="210"/>
      <c r="I3954" s="197" t="s">
        <v>5434</v>
      </c>
      <c r="K3954" s="180"/>
    </row>
    <row r="3955" spans="1:11">
      <c r="A3955" t="s">
        <v>9483</v>
      </c>
      <c r="G3955" s="191"/>
      <c r="H3955" s="210"/>
      <c r="I3955" s="197" t="s">
        <v>5434</v>
      </c>
      <c r="K3955" s="180"/>
    </row>
    <row r="3956" spans="1:11">
      <c r="A3956" t="s">
        <v>9484</v>
      </c>
      <c r="F3956" s="65"/>
      <c r="G3956" s="193"/>
      <c r="H3956" s="211"/>
      <c r="I3956" s="198" t="s">
        <v>5434</v>
      </c>
      <c r="J3956" s="65"/>
      <c r="K3956" s="182"/>
    </row>
    <row r="3957" spans="1:11">
      <c r="A3957" t="s">
        <v>9485</v>
      </c>
      <c r="F3957" s="177">
        <v>10</v>
      </c>
      <c r="G3957" s="192" t="s">
        <v>2248</v>
      </c>
      <c r="H3957" s="209">
        <v>-125</v>
      </c>
      <c r="I3957" s="199" t="s">
        <v>5434</v>
      </c>
      <c r="J3957" s="177" t="s">
        <v>5577</v>
      </c>
      <c r="K3957" s="178" t="s">
        <v>5583</v>
      </c>
    </row>
    <row r="3958" spans="1:11">
      <c r="A3958" t="s">
        <v>9486</v>
      </c>
      <c r="G3958" s="191"/>
      <c r="H3958" s="210"/>
      <c r="I3958" s="197" t="s">
        <v>5434</v>
      </c>
      <c r="J3958" t="s">
        <v>5585</v>
      </c>
      <c r="K3958" s="218" t="s">
        <v>5586</v>
      </c>
    </row>
    <row r="3959" spans="1:11">
      <c r="A3959" t="s">
        <v>9487</v>
      </c>
      <c r="G3959" s="191"/>
      <c r="H3959" s="210"/>
      <c r="I3959" s="197" t="s">
        <v>5434</v>
      </c>
      <c r="K3959" s="219" t="s">
        <v>8388</v>
      </c>
    </row>
    <row r="3960" spans="1:11">
      <c r="A3960" t="s">
        <v>9488</v>
      </c>
      <c r="G3960" s="191"/>
      <c r="H3960" s="210"/>
      <c r="I3960" s="197" t="s">
        <v>5434</v>
      </c>
      <c r="K3960" s="180"/>
    </row>
    <row r="3961" spans="1:11">
      <c r="A3961" t="s">
        <v>9489</v>
      </c>
      <c r="G3961" s="191"/>
      <c r="H3961" s="210"/>
      <c r="I3961" s="197" t="s">
        <v>5434</v>
      </c>
      <c r="K3961" s="180"/>
    </row>
    <row r="3962" spans="1:11">
      <c r="A3962" t="s">
        <v>9490</v>
      </c>
      <c r="G3962" s="191"/>
      <c r="H3962" s="210"/>
      <c r="I3962" s="197" t="s">
        <v>5434</v>
      </c>
      <c r="K3962" s="180"/>
    </row>
    <row r="3963" spans="1:11">
      <c r="A3963" t="s">
        <v>9491</v>
      </c>
      <c r="G3963" s="191"/>
      <c r="H3963" s="210"/>
      <c r="I3963" s="197" t="s">
        <v>5434</v>
      </c>
      <c r="K3963" s="180"/>
    </row>
    <row r="3964" spans="1:11">
      <c r="A3964" t="s">
        <v>9492</v>
      </c>
      <c r="G3964" s="191"/>
      <c r="H3964" s="210"/>
      <c r="I3964" s="197" t="s">
        <v>5434</v>
      </c>
      <c r="K3964" s="180"/>
    </row>
    <row r="3965" spans="1:11">
      <c r="A3965" t="s">
        <v>9493</v>
      </c>
      <c r="G3965" s="191"/>
      <c r="H3965" s="210"/>
      <c r="I3965" s="197" t="s">
        <v>5434</v>
      </c>
      <c r="K3965" s="180"/>
    </row>
    <row r="3966" spans="1:11">
      <c r="A3966" t="s">
        <v>9494</v>
      </c>
      <c r="G3966" s="191"/>
      <c r="H3966" s="210"/>
      <c r="I3966" s="197" t="s">
        <v>5434</v>
      </c>
      <c r="K3966" s="180"/>
    </row>
    <row r="3967" spans="1:11">
      <c r="A3967" t="s">
        <v>9495</v>
      </c>
      <c r="G3967" s="191"/>
      <c r="H3967" s="210"/>
      <c r="I3967" s="197" t="s">
        <v>5434</v>
      </c>
      <c r="K3967" s="180"/>
    </row>
    <row r="3968" spans="1:11">
      <c r="A3968" t="s">
        <v>9496</v>
      </c>
      <c r="F3968" s="65"/>
      <c r="G3968" s="193"/>
      <c r="H3968" s="211"/>
      <c r="I3968" s="198" t="s">
        <v>5434</v>
      </c>
      <c r="J3968" s="65"/>
      <c r="K3968" s="182"/>
    </row>
    <row r="3969" spans="1:18">
      <c r="A3969" t="s">
        <v>9497</v>
      </c>
      <c r="F3969" s="177">
        <v>10</v>
      </c>
      <c r="G3969" s="192" t="s">
        <v>2248</v>
      </c>
      <c r="H3969" s="209">
        <v>-125</v>
      </c>
      <c r="I3969" s="199" t="s">
        <v>5434</v>
      </c>
      <c r="J3969" s="177" t="s">
        <v>5577</v>
      </c>
      <c r="K3969" s="178" t="s">
        <v>5583</v>
      </c>
    </row>
    <row r="3970" spans="1:18">
      <c r="A3970" t="s">
        <v>9498</v>
      </c>
      <c r="G3970" s="191"/>
      <c r="H3970" s="210"/>
      <c r="I3970" s="197" t="s">
        <v>5434</v>
      </c>
      <c r="J3970" t="s">
        <v>5585</v>
      </c>
      <c r="K3970" s="218" t="s">
        <v>5586</v>
      </c>
    </row>
    <row r="3971" spans="1:18">
      <c r="A3971" t="s">
        <v>9499</v>
      </c>
      <c r="G3971" s="191"/>
      <c r="H3971" s="210"/>
      <c r="I3971" s="197" t="s">
        <v>5434</v>
      </c>
      <c r="K3971" s="219" t="s">
        <v>8388</v>
      </c>
    </row>
    <row r="3972" spans="1:18">
      <c r="A3972" t="s">
        <v>9500</v>
      </c>
      <c r="G3972" s="191"/>
      <c r="H3972" s="210"/>
      <c r="I3972" s="197" t="s">
        <v>5434</v>
      </c>
      <c r="K3972" s="180"/>
    </row>
    <row r="3973" spans="1:18">
      <c r="A3973" t="s">
        <v>9501</v>
      </c>
      <c r="G3973" s="191"/>
      <c r="H3973" s="210"/>
      <c r="I3973" s="197" t="s">
        <v>5434</v>
      </c>
      <c r="K3973" s="180"/>
    </row>
    <row r="3974" spans="1:18">
      <c r="A3974" t="s">
        <v>9502</v>
      </c>
      <c r="G3974" s="191"/>
      <c r="H3974" s="210"/>
      <c r="I3974" s="197" t="s">
        <v>5434</v>
      </c>
      <c r="K3974" s="180"/>
    </row>
    <row r="3975" spans="1:18">
      <c r="A3975" t="s">
        <v>9503</v>
      </c>
      <c r="G3975" s="191"/>
      <c r="H3975" s="210"/>
      <c r="I3975" s="197" t="s">
        <v>5434</v>
      </c>
      <c r="K3975" s="180"/>
    </row>
    <row r="3976" spans="1:18">
      <c r="A3976" t="s">
        <v>9504</v>
      </c>
      <c r="G3976" s="191"/>
      <c r="H3976" s="210"/>
      <c r="I3976" s="197" t="s">
        <v>5434</v>
      </c>
      <c r="K3976" s="180"/>
    </row>
    <row r="3977" spans="1:18">
      <c r="A3977" t="s">
        <v>9505</v>
      </c>
      <c r="G3977" s="191"/>
      <c r="H3977" s="210"/>
      <c r="I3977" s="197" t="s">
        <v>5434</v>
      </c>
      <c r="K3977" s="180"/>
    </row>
    <row r="3978" spans="1:18">
      <c r="A3978" t="s">
        <v>9506</v>
      </c>
      <c r="G3978" s="191"/>
      <c r="H3978" s="210"/>
      <c r="I3978" s="197" t="s">
        <v>5434</v>
      </c>
      <c r="K3978" s="180"/>
    </row>
    <row r="3979" spans="1:18">
      <c r="A3979" t="s">
        <v>9507</v>
      </c>
      <c r="G3979" s="191"/>
      <c r="H3979" s="210"/>
      <c r="I3979" s="197" t="s">
        <v>5434</v>
      </c>
      <c r="K3979" s="180"/>
    </row>
    <row r="3980" spans="1:18">
      <c r="A3980" t="s">
        <v>9508</v>
      </c>
      <c r="F3980" s="65"/>
      <c r="G3980" s="193"/>
      <c r="H3980" s="211"/>
      <c r="I3980" s="198" t="s">
        <v>5434</v>
      </c>
      <c r="J3980" s="65"/>
      <c r="K3980" s="182" t="s">
        <v>8298</v>
      </c>
    </row>
    <row r="3981" spans="1:18">
      <c r="A3981" t="s">
        <v>9509</v>
      </c>
      <c r="I3981" t="s">
        <v>1853</v>
      </c>
      <c r="J3981" t="s">
        <v>1853</v>
      </c>
      <c r="N3981" t="s">
        <v>5571</v>
      </c>
    </row>
    <row r="3982" spans="1:18">
      <c r="A3982" t="s">
        <v>9510</v>
      </c>
      <c r="L3982" t="s">
        <v>6874</v>
      </c>
      <c r="N3982" t="s">
        <v>5571</v>
      </c>
    </row>
    <row r="3983" spans="1:18">
      <c r="A3983" t="s">
        <v>9511</v>
      </c>
      <c r="F3983" s="177">
        <v>10</v>
      </c>
      <c r="G3983" s="192" t="s">
        <v>2248</v>
      </c>
      <c r="H3983" s="209">
        <v>-125</v>
      </c>
      <c r="I3983" s="177"/>
      <c r="J3983" s="177" t="s">
        <v>5577</v>
      </c>
      <c r="K3983" s="178" t="s">
        <v>5583</v>
      </c>
      <c r="M3983" t="s">
        <v>4945</v>
      </c>
      <c r="N3983" t="s">
        <v>5571</v>
      </c>
      <c r="O3983" t="s">
        <v>4937</v>
      </c>
      <c r="Q3983" t="str">
        <f t="shared" ref="Q3983:Q4046" si="151">"condorProc.py --series "&amp;A3983&amp;" --donoise --dumps a --procenv environments/pymidas_HVHV_NaI_mf.env"</f>
        <v>condorProc.py --series 07180924_1241 --donoise --dumps a --procenv environments/pymidas_HVHV_NaI_mf.env</v>
      </c>
      <c r="R3983" t="str">
        <f t="shared" ref="R3983:R4046" si="152">"ln -s ../../../../midasraw/byseries/"&amp;A3983&amp;" "&amp;A3983</f>
        <v>ln -s ../../../../midasraw/byseries/07180924_1241 07180924_1241</v>
      </c>
    </row>
    <row r="3984" spans="1:18">
      <c r="A3984" t="s">
        <v>9512</v>
      </c>
      <c r="G3984" s="191"/>
      <c r="H3984" s="210"/>
      <c r="J3984" t="s">
        <v>5585</v>
      </c>
      <c r="K3984" s="218" t="s">
        <v>5586</v>
      </c>
      <c r="M3984" t="s">
        <v>4945</v>
      </c>
      <c r="N3984" t="s">
        <v>5571</v>
      </c>
      <c r="O3984" t="s">
        <v>4937</v>
      </c>
      <c r="Q3984" t="str">
        <f t="shared" si="151"/>
        <v>condorProc.py --series 07180924_1252 --donoise --dumps a --procenv environments/pymidas_HVHV_NaI_mf.env</v>
      </c>
      <c r="R3984" t="str">
        <f t="shared" si="152"/>
        <v>ln -s ../../../../midasraw/byseries/07180924_1252 07180924_1252</v>
      </c>
    </row>
    <row r="3985" spans="1:18">
      <c r="A3985" t="s">
        <v>9513</v>
      </c>
      <c r="G3985" s="191"/>
      <c r="H3985" s="210"/>
      <c r="K3985" s="219" t="s">
        <v>8388</v>
      </c>
      <c r="M3985" t="s">
        <v>4945</v>
      </c>
      <c r="N3985" t="s">
        <v>5571</v>
      </c>
      <c r="O3985" t="s">
        <v>4937</v>
      </c>
      <c r="Q3985" t="str">
        <f t="shared" si="151"/>
        <v>condorProc.py --series 07180924_1302 --donoise --dumps a --procenv environments/pymidas_HVHV_NaI_mf.env</v>
      </c>
      <c r="R3985" t="str">
        <f t="shared" si="152"/>
        <v>ln -s ../../../../midasraw/byseries/07180924_1302 07180924_1302</v>
      </c>
    </row>
    <row r="3986" spans="1:18">
      <c r="A3986" t="s">
        <v>9514</v>
      </c>
      <c r="G3986" s="191"/>
      <c r="H3986" s="210"/>
      <c r="K3986" s="180"/>
      <c r="M3986" t="s">
        <v>4945</v>
      </c>
      <c r="N3986" t="s">
        <v>5571</v>
      </c>
      <c r="O3986" t="s">
        <v>4937</v>
      </c>
      <c r="Q3986" t="str">
        <f t="shared" si="151"/>
        <v>condorProc.py --series 07180924_1312 --donoise --dumps a --procenv environments/pymidas_HVHV_NaI_mf.env</v>
      </c>
      <c r="R3986" t="str">
        <f t="shared" si="152"/>
        <v>ln -s ../../../../midasraw/byseries/07180924_1312 07180924_1312</v>
      </c>
    </row>
    <row r="3987" spans="1:18">
      <c r="A3987" t="s">
        <v>9515</v>
      </c>
      <c r="G3987" s="191"/>
      <c r="H3987" s="210"/>
      <c r="K3987" s="180"/>
      <c r="M3987" t="s">
        <v>4945</v>
      </c>
      <c r="N3987" t="s">
        <v>5571</v>
      </c>
      <c r="O3987" t="s">
        <v>4937</v>
      </c>
      <c r="Q3987" t="str">
        <f t="shared" si="151"/>
        <v>condorProc.py --series 07180924_1322 --donoise --dumps a --procenv environments/pymidas_HVHV_NaI_mf.env</v>
      </c>
      <c r="R3987" t="str">
        <f t="shared" si="152"/>
        <v>ln -s ../../../../midasraw/byseries/07180924_1322 07180924_1322</v>
      </c>
    </row>
    <row r="3988" spans="1:18">
      <c r="A3988" t="s">
        <v>9516</v>
      </c>
      <c r="G3988" s="191"/>
      <c r="H3988" s="210"/>
      <c r="K3988" s="180"/>
      <c r="M3988" t="s">
        <v>4945</v>
      </c>
      <c r="N3988" t="s">
        <v>5571</v>
      </c>
      <c r="O3988" t="s">
        <v>4937</v>
      </c>
      <c r="Q3988" t="str">
        <f t="shared" si="151"/>
        <v>condorProc.py --series 07180924_1332 --donoise --dumps a --procenv environments/pymidas_HVHV_NaI_mf.env</v>
      </c>
      <c r="R3988" t="str">
        <f t="shared" si="152"/>
        <v>ln -s ../../../../midasraw/byseries/07180924_1332 07180924_1332</v>
      </c>
    </row>
    <row r="3989" spans="1:18">
      <c r="A3989" t="s">
        <v>9517</v>
      </c>
      <c r="G3989" s="191"/>
      <c r="H3989" s="210"/>
      <c r="K3989" s="180"/>
      <c r="M3989" t="s">
        <v>4945</v>
      </c>
      <c r="N3989" t="s">
        <v>5571</v>
      </c>
      <c r="O3989" t="s">
        <v>4937</v>
      </c>
      <c r="Q3989" t="str">
        <f t="shared" si="151"/>
        <v>condorProc.py --series 07180924_1342 --donoise --dumps a --procenv environments/pymidas_HVHV_NaI_mf.env</v>
      </c>
      <c r="R3989" t="str">
        <f t="shared" si="152"/>
        <v>ln -s ../../../../midasraw/byseries/07180924_1342 07180924_1342</v>
      </c>
    </row>
    <row r="3990" spans="1:18">
      <c r="A3990" t="s">
        <v>9518</v>
      </c>
      <c r="G3990" s="191"/>
      <c r="H3990" s="210"/>
      <c r="K3990" s="180"/>
      <c r="M3990" t="s">
        <v>4945</v>
      </c>
      <c r="N3990" t="s">
        <v>5571</v>
      </c>
      <c r="O3990" t="s">
        <v>4937</v>
      </c>
      <c r="Q3990" t="str">
        <f t="shared" si="151"/>
        <v>condorProc.py --series 07180924_1352 --donoise --dumps a --procenv environments/pymidas_HVHV_NaI_mf.env</v>
      </c>
      <c r="R3990" t="str">
        <f t="shared" si="152"/>
        <v>ln -s ../../../../midasraw/byseries/07180924_1352 07180924_1352</v>
      </c>
    </row>
    <row r="3991" spans="1:18">
      <c r="A3991" t="s">
        <v>9519</v>
      </c>
      <c r="G3991" s="191"/>
      <c r="H3991" s="210"/>
      <c r="K3991" s="180"/>
      <c r="M3991" t="s">
        <v>4945</v>
      </c>
      <c r="N3991" t="s">
        <v>5571</v>
      </c>
      <c r="O3991" t="s">
        <v>4937</v>
      </c>
      <c r="Q3991" t="str">
        <f t="shared" si="151"/>
        <v>condorProc.py --series 07180924_1403 --donoise --dumps a --procenv environments/pymidas_HVHV_NaI_mf.env</v>
      </c>
      <c r="R3991" t="str">
        <f t="shared" si="152"/>
        <v>ln -s ../../../../midasraw/byseries/07180924_1403 07180924_1403</v>
      </c>
    </row>
    <row r="3992" spans="1:18">
      <c r="A3992" t="s">
        <v>9520</v>
      </c>
      <c r="G3992" s="191"/>
      <c r="H3992" s="210"/>
      <c r="K3992" s="180"/>
      <c r="M3992" t="s">
        <v>4945</v>
      </c>
      <c r="N3992" t="s">
        <v>5571</v>
      </c>
      <c r="O3992" t="s">
        <v>4937</v>
      </c>
      <c r="Q3992" t="str">
        <f t="shared" si="151"/>
        <v>condorProc.py --series 07180924_1413 --donoise --dumps a --procenv environments/pymidas_HVHV_NaI_mf.env</v>
      </c>
      <c r="R3992" t="str">
        <f t="shared" si="152"/>
        <v>ln -s ../../../../midasraw/byseries/07180924_1413 07180924_1413</v>
      </c>
    </row>
    <row r="3993" spans="1:18">
      <c r="A3993" t="s">
        <v>9521</v>
      </c>
      <c r="G3993" s="191"/>
      <c r="H3993" s="210"/>
      <c r="K3993" s="180"/>
      <c r="M3993" t="s">
        <v>4945</v>
      </c>
      <c r="N3993" t="s">
        <v>5571</v>
      </c>
      <c r="O3993" t="s">
        <v>4937</v>
      </c>
      <c r="Q3993" t="str">
        <f t="shared" si="151"/>
        <v>condorProc.py --series 07180924_1423 --donoise --dumps a --procenv environments/pymidas_HVHV_NaI_mf.env</v>
      </c>
      <c r="R3993" t="str">
        <f t="shared" si="152"/>
        <v>ln -s ../../../../midasraw/byseries/07180924_1423 07180924_1423</v>
      </c>
    </row>
    <row r="3994" spans="1:18">
      <c r="A3994" t="s">
        <v>9522</v>
      </c>
      <c r="F3994" s="65"/>
      <c r="G3994" s="193"/>
      <c r="H3994" s="211"/>
      <c r="I3994" s="65" t="s">
        <v>75</v>
      </c>
      <c r="J3994" s="65"/>
      <c r="K3994" s="182"/>
      <c r="M3994" t="s">
        <v>4945</v>
      </c>
      <c r="N3994" t="s">
        <v>5571</v>
      </c>
      <c r="O3994" t="s">
        <v>4937</v>
      </c>
      <c r="Q3994" t="str">
        <f t="shared" si="151"/>
        <v>condorProc.py --series 07180924_1433 --donoise --dumps a --procenv environments/pymidas_HVHV_NaI_mf.env</v>
      </c>
      <c r="R3994" t="str">
        <f t="shared" si="152"/>
        <v>ln -s ../../../../midasraw/byseries/07180924_1433 07180924_1433</v>
      </c>
    </row>
    <row r="3995" spans="1:18">
      <c r="A3995" t="s">
        <v>9523</v>
      </c>
      <c r="F3995" s="177">
        <v>10</v>
      </c>
      <c r="G3995" s="192" t="s">
        <v>2248</v>
      </c>
      <c r="H3995" s="209">
        <v>-125</v>
      </c>
      <c r="I3995" s="177" t="s">
        <v>9524</v>
      </c>
      <c r="J3995" s="177" t="s">
        <v>5577</v>
      </c>
      <c r="K3995" s="178"/>
    </row>
    <row r="3996" spans="1:18">
      <c r="A3996" t="s">
        <v>9525</v>
      </c>
      <c r="F3996" s="177">
        <v>10</v>
      </c>
      <c r="G3996" s="192" t="s">
        <v>2248</v>
      </c>
      <c r="H3996" s="209">
        <v>-125</v>
      </c>
      <c r="I3996" s="177"/>
      <c r="J3996" s="177" t="s">
        <v>5577</v>
      </c>
      <c r="K3996" s="178" t="s">
        <v>5583</v>
      </c>
      <c r="M3996" t="s">
        <v>4945</v>
      </c>
      <c r="N3996" t="s">
        <v>5571</v>
      </c>
      <c r="O3996" t="s">
        <v>4938</v>
      </c>
      <c r="Q3996" t="str">
        <f t="shared" si="151"/>
        <v>condorProc.py --series 07180924_1710 --donoise --dumps a --procenv environments/pymidas_HVHV_NaI_mf.env</v>
      </c>
      <c r="R3996" t="str">
        <f t="shared" si="152"/>
        <v>ln -s ../../../../midasraw/byseries/07180924_1710 07180924_1710</v>
      </c>
    </row>
    <row r="3997" spans="1:18">
      <c r="A3997" t="s">
        <v>9526</v>
      </c>
      <c r="G3997" s="191"/>
      <c r="H3997" s="210"/>
      <c r="J3997" t="s">
        <v>5585</v>
      </c>
      <c r="K3997" s="218" t="s">
        <v>5586</v>
      </c>
      <c r="M3997" t="s">
        <v>4945</v>
      </c>
      <c r="N3997" t="s">
        <v>5571</v>
      </c>
      <c r="O3997" t="s">
        <v>4938</v>
      </c>
      <c r="Q3997" t="str">
        <f t="shared" si="151"/>
        <v>condorProc.py --series 07180924_1720 --donoise --dumps a --procenv environments/pymidas_HVHV_NaI_mf.env</v>
      </c>
      <c r="R3997" t="str">
        <f t="shared" si="152"/>
        <v>ln -s ../../../../midasraw/byseries/07180924_1720 07180924_1720</v>
      </c>
    </row>
    <row r="3998" spans="1:18">
      <c r="A3998" t="s">
        <v>9527</v>
      </c>
      <c r="G3998" s="191"/>
      <c r="H3998" s="210"/>
      <c r="K3998" s="219" t="s">
        <v>8388</v>
      </c>
      <c r="M3998" t="s">
        <v>4945</v>
      </c>
      <c r="N3998" t="s">
        <v>5571</v>
      </c>
      <c r="O3998" t="s">
        <v>4938</v>
      </c>
      <c r="Q3998" t="str">
        <f t="shared" si="151"/>
        <v>condorProc.py --series 07180924_1730 --donoise --dumps a --procenv environments/pymidas_HVHV_NaI_mf.env</v>
      </c>
      <c r="R3998" t="str">
        <f t="shared" si="152"/>
        <v>ln -s ../../../../midasraw/byseries/07180924_1730 07180924_1730</v>
      </c>
    </row>
    <row r="3999" spans="1:18">
      <c r="A3999" t="s">
        <v>9528</v>
      </c>
      <c r="G3999" s="191"/>
      <c r="H3999" s="210"/>
      <c r="K3999" s="180" t="s">
        <v>9529</v>
      </c>
      <c r="M3999" t="s">
        <v>4945</v>
      </c>
      <c r="N3999" t="s">
        <v>5571</v>
      </c>
      <c r="O3999" t="s">
        <v>4938</v>
      </c>
      <c r="Q3999" t="str">
        <f t="shared" si="151"/>
        <v>condorProc.py --series 07180924_1740 --donoise --dumps a --procenv environments/pymidas_HVHV_NaI_mf.env</v>
      </c>
      <c r="R3999" t="str">
        <f t="shared" si="152"/>
        <v>ln -s ../../../../midasraw/byseries/07180924_1740 07180924_1740</v>
      </c>
    </row>
    <row r="4000" spans="1:18">
      <c r="A4000" t="s">
        <v>9530</v>
      </c>
      <c r="G4000" s="191"/>
      <c r="H4000" s="210"/>
      <c r="K4000" s="180"/>
      <c r="M4000" t="s">
        <v>4945</v>
      </c>
      <c r="N4000" t="s">
        <v>5571</v>
      </c>
      <c r="O4000" t="s">
        <v>4938</v>
      </c>
      <c r="Q4000" t="str">
        <f t="shared" si="151"/>
        <v>condorProc.py --series 07180924_1750 --donoise --dumps a --procenv environments/pymidas_HVHV_NaI_mf.env</v>
      </c>
      <c r="R4000" t="str">
        <f t="shared" si="152"/>
        <v>ln -s ../../../../midasraw/byseries/07180924_1750 07180924_1750</v>
      </c>
    </row>
    <row r="4001" spans="1:18">
      <c r="A4001" t="s">
        <v>9531</v>
      </c>
      <c r="G4001" s="191"/>
      <c r="H4001" s="210"/>
      <c r="K4001" s="180"/>
      <c r="M4001" t="s">
        <v>4945</v>
      </c>
      <c r="N4001" t="s">
        <v>5571</v>
      </c>
      <c r="O4001" t="s">
        <v>4938</v>
      </c>
      <c r="Q4001" t="str">
        <f t="shared" si="151"/>
        <v>condorProc.py --series 07180924_1800 --donoise --dumps a --procenv environments/pymidas_HVHV_NaI_mf.env</v>
      </c>
      <c r="R4001" t="str">
        <f t="shared" si="152"/>
        <v>ln -s ../../../../midasraw/byseries/07180924_1800 07180924_1800</v>
      </c>
    </row>
    <row r="4002" spans="1:18">
      <c r="A4002" t="s">
        <v>9532</v>
      </c>
      <c r="G4002" s="191"/>
      <c r="H4002" s="210"/>
      <c r="K4002" s="180"/>
      <c r="M4002" t="s">
        <v>4945</v>
      </c>
      <c r="N4002" t="s">
        <v>5571</v>
      </c>
      <c r="O4002" t="s">
        <v>4938</v>
      </c>
      <c r="Q4002" t="str">
        <f t="shared" si="151"/>
        <v>condorProc.py --series 07180924_1810 --donoise --dumps a --procenv environments/pymidas_HVHV_NaI_mf.env</v>
      </c>
      <c r="R4002" t="str">
        <f t="shared" si="152"/>
        <v>ln -s ../../../../midasraw/byseries/07180924_1810 07180924_1810</v>
      </c>
    </row>
    <row r="4003" spans="1:18">
      <c r="A4003" t="s">
        <v>9533</v>
      </c>
      <c r="G4003" s="191"/>
      <c r="H4003" s="210"/>
      <c r="K4003" s="180"/>
      <c r="M4003" t="s">
        <v>4945</v>
      </c>
      <c r="N4003" t="s">
        <v>5571</v>
      </c>
      <c r="O4003" t="s">
        <v>4938</v>
      </c>
      <c r="Q4003" t="str">
        <f t="shared" si="151"/>
        <v>condorProc.py --series 07180924_1821 --donoise --dumps a --procenv environments/pymidas_HVHV_NaI_mf.env</v>
      </c>
      <c r="R4003" t="str">
        <f t="shared" si="152"/>
        <v>ln -s ../../../../midasraw/byseries/07180924_1821 07180924_1821</v>
      </c>
    </row>
    <row r="4004" spans="1:18">
      <c r="A4004" t="s">
        <v>9534</v>
      </c>
      <c r="G4004" s="191"/>
      <c r="H4004" s="210"/>
      <c r="K4004" s="180"/>
      <c r="M4004" t="s">
        <v>4945</v>
      </c>
      <c r="N4004" t="s">
        <v>5571</v>
      </c>
      <c r="O4004" t="s">
        <v>4938</v>
      </c>
      <c r="Q4004" t="str">
        <f t="shared" si="151"/>
        <v>condorProc.py --series 07180924_1831 --donoise --dumps a --procenv environments/pymidas_HVHV_NaI_mf.env</v>
      </c>
      <c r="R4004" t="str">
        <f t="shared" si="152"/>
        <v>ln -s ../../../../midasraw/byseries/07180924_1831 07180924_1831</v>
      </c>
    </row>
    <row r="4005" spans="1:18">
      <c r="A4005" t="s">
        <v>9535</v>
      </c>
      <c r="G4005" s="191"/>
      <c r="H4005" s="210"/>
      <c r="K4005" s="180"/>
      <c r="M4005" t="s">
        <v>4945</v>
      </c>
      <c r="N4005" t="s">
        <v>5571</v>
      </c>
      <c r="O4005" t="s">
        <v>4938</v>
      </c>
      <c r="Q4005" t="str">
        <f t="shared" si="151"/>
        <v>condorProc.py --series 07180924_1841 --donoise --dumps a --procenv environments/pymidas_HVHV_NaI_mf.env</v>
      </c>
      <c r="R4005" t="str">
        <f t="shared" si="152"/>
        <v>ln -s ../../../../midasraw/byseries/07180924_1841 07180924_1841</v>
      </c>
    </row>
    <row r="4006" spans="1:18">
      <c r="A4006" t="s">
        <v>9536</v>
      </c>
      <c r="G4006" s="191"/>
      <c r="H4006" s="210"/>
      <c r="K4006" s="180"/>
      <c r="M4006" t="s">
        <v>4945</v>
      </c>
      <c r="N4006" t="s">
        <v>5571</v>
      </c>
      <c r="O4006" t="s">
        <v>4938</v>
      </c>
      <c r="Q4006" t="str">
        <f t="shared" si="151"/>
        <v>condorProc.py --series 07180924_1851 --donoise --dumps a --procenv environments/pymidas_HVHV_NaI_mf.env</v>
      </c>
      <c r="R4006" t="str">
        <f t="shared" si="152"/>
        <v>ln -s ../../../../midasraw/byseries/07180924_1851 07180924_1851</v>
      </c>
    </row>
    <row r="4007" spans="1:18">
      <c r="A4007" t="s">
        <v>9537</v>
      </c>
      <c r="F4007" s="65"/>
      <c r="G4007" s="193"/>
      <c r="H4007" s="211"/>
      <c r="I4007" s="65"/>
      <c r="J4007" s="65"/>
      <c r="K4007" s="182"/>
      <c r="M4007" t="s">
        <v>4945</v>
      </c>
      <c r="N4007" t="s">
        <v>5571</v>
      </c>
      <c r="O4007" t="s">
        <v>4938</v>
      </c>
      <c r="Q4007" t="str">
        <f t="shared" si="151"/>
        <v>condorProc.py --series 07180924_1901 --donoise --dumps a --procenv environments/pymidas_HVHV_NaI_mf.env</v>
      </c>
      <c r="R4007" t="str">
        <f t="shared" si="152"/>
        <v>ln -s ../../../../midasraw/byseries/07180924_1901 07180924_1901</v>
      </c>
    </row>
    <row r="4008" spans="1:18">
      <c r="A4008" t="s">
        <v>9538</v>
      </c>
      <c r="F4008" s="177">
        <v>10</v>
      </c>
      <c r="G4008" s="192" t="s">
        <v>2248</v>
      </c>
      <c r="H4008" s="209">
        <v>-125</v>
      </c>
      <c r="I4008" s="177"/>
      <c r="J4008" s="177" t="s">
        <v>5577</v>
      </c>
      <c r="K4008" s="178" t="s">
        <v>5583</v>
      </c>
      <c r="M4008" t="s">
        <v>4945</v>
      </c>
      <c r="N4008" t="s">
        <v>5571</v>
      </c>
      <c r="O4008" t="s">
        <v>4938</v>
      </c>
      <c r="Q4008" t="str">
        <f t="shared" si="151"/>
        <v>condorProc.py --series 07180924_2004 --donoise --dumps a --procenv environments/pymidas_HVHV_NaI_mf.env</v>
      </c>
      <c r="R4008" t="str">
        <f t="shared" si="152"/>
        <v>ln -s ../../../../midasraw/byseries/07180924_2004 07180924_2004</v>
      </c>
    </row>
    <row r="4009" spans="1:18">
      <c r="A4009" t="s">
        <v>9539</v>
      </c>
      <c r="G4009" s="191"/>
      <c r="H4009" s="210"/>
      <c r="J4009" t="s">
        <v>5585</v>
      </c>
      <c r="K4009" s="218" t="s">
        <v>5586</v>
      </c>
      <c r="M4009" t="s">
        <v>4945</v>
      </c>
      <c r="N4009" t="s">
        <v>5571</v>
      </c>
      <c r="O4009" t="s">
        <v>4938</v>
      </c>
      <c r="Q4009" t="str">
        <f t="shared" si="151"/>
        <v>condorProc.py --series 07180924_2015 --donoise --dumps a --procenv environments/pymidas_HVHV_NaI_mf.env</v>
      </c>
      <c r="R4009" t="str">
        <f t="shared" si="152"/>
        <v>ln -s ../../../../midasraw/byseries/07180924_2015 07180924_2015</v>
      </c>
    </row>
    <row r="4010" spans="1:18">
      <c r="A4010" t="s">
        <v>9540</v>
      </c>
      <c r="G4010" s="191"/>
      <c r="H4010" s="210"/>
      <c r="K4010" s="219" t="s">
        <v>8388</v>
      </c>
      <c r="M4010" t="s">
        <v>4945</v>
      </c>
      <c r="N4010" t="s">
        <v>5571</v>
      </c>
      <c r="O4010" t="s">
        <v>4938</v>
      </c>
      <c r="Q4010" t="str">
        <f t="shared" si="151"/>
        <v>condorProc.py --series 07180924_2025 --donoise --dumps a --procenv environments/pymidas_HVHV_NaI_mf.env</v>
      </c>
      <c r="R4010" t="str">
        <f t="shared" si="152"/>
        <v>ln -s ../../../../midasraw/byseries/07180924_2025 07180924_2025</v>
      </c>
    </row>
    <row r="4011" spans="1:18">
      <c r="A4011" t="s">
        <v>9541</v>
      </c>
      <c r="G4011" s="191"/>
      <c r="H4011" s="210"/>
      <c r="K4011" s="180"/>
      <c r="M4011" t="s">
        <v>4945</v>
      </c>
      <c r="N4011" t="s">
        <v>5571</v>
      </c>
      <c r="O4011" t="s">
        <v>4938</v>
      </c>
      <c r="Q4011" t="str">
        <f t="shared" si="151"/>
        <v>condorProc.py --series 07180924_2035 --donoise --dumps a --procenv environments/pymidas_HVHV_NaI_mf.env</v>
      </c>
      <c r="R4011" t="str">
        <f t="shared" si="152"/>
        <v>ln -s ../../../../midasraw/byseries/07180924_2035 07180924_2035</v>
      </c>
    </row>
    <row r="4012" spans="1:18">
      <c r="A4012" t="s">
        <v>9542</v>
      </c>
      <c r="G4012" s="191"/>
      <c r="H4012" s="210"/>
      <c r="K4012" s="180"/>
      <c r="M4012" t="s">
        <v>4945</v>
      </c>
      <c r="N4012" t="s">
        <v>5571</v>
      </c>
      <c r="O4012" t="s">
        <v>4938</v>
      </c>
      <c r="Q4012" t="str">
        <f t="shared" si="151"/>
        <v>condorProc.py --series 07180924_2045 --donoise --dumps a --procenv environments/pymidas_HVHV_NaI_mf.env</v>
      </c>
      <c r="R4012" t="str">
        <f t="shared" si="152"/>
        <v>ln -s ../../../../midasraw/byseries/07180924_2045 07180924_2045</v>
      </c>
    </row>
    <row r="4013" spans="1:18">
      <c r="A4013" t="s">
        <v>9543</v>
      </c>
      <c r="G4013" s="191"/>
      <c r="H4013" s="210"/>
      <c r="K4013" s="180"/>
      <c r="M4013" t="s">
        <v>4945</v>
      </c>
      <c r="N4013" t="s">
        <v>5571</v>
      </c>
      <c r="O4013" t="s">
        <v>4938</v>
      </c>
      <c r="Q4013" t="str">
        <f t="shared" si="151"/>
        <v>condorProc.py --series 07180924_2055 --donoise --dumps a --procenv environments/pymidas_HVHV_NaI_mf.env</v>
      </c>
      <c r="R4013" t="str">
        <f t="shared" si="152"/>
        <v>ln -s ../../../../midasraw/byseries/07180924_2055 07180924_2055</v>
      </c>
    </row>
    <row r="4014" spans="1:18">
      <c r="A4014" t="s">
        <v>9544</v>
      </c>
      <c r="G4014" s="191"/>
      <c r="H4014" s="210"/>
      <c r="K4014" s="180"/>
      <c r="M4014" t="s">
        <v>4945</v>
      </c>
      <c r="N4014" t="s">
        <v>5571</v>
      </c>
      <c r="O4014" t="s">
        <v>4938</v>
      </c>
      <c r="Q4014" t="str">
        <f t="shared" si="151"/>
        <v>condorProc.py --series 07180924_2105 --donoise --dumps a --procenv environments/pymidas_HVHV_NaI_mf.env</v>
      </c>
      <c r="R4014" t="str">
        <f t="shared" si="152"/>
        <v>ln -s ../../../../midasraw/byseries/07180924_2105 07180924_2105</v>
      </c>
    </row>
    <row r="4015" spans="1:18">
      <c r="A4015" t="s">
        <v>9545</v>
      </c>
      <c r="G4015" s="191"/>
      <c r="H4015" s="210"/>
      <c r="K4015" s="180"/>
      <c r="M4015" t="s">
        <v>4945</v>
      </c>
      <c r="N4015" t="s">
        <v>5571</v>
      </c>
      <c r="O4015" t="s">
        <v>4938</v>
      </c>
      <c r="Q4015" t="str">
        <f t="shared" si="151"/>
        <v>condorProc.py --series 07180924_2115 --donoise --dumps a --procenv environments/pymidas_HVHV_NaI_mf.env</v>
      </c>
      <c r="R4015" t="str">
        <f t="shared" si="152"/>
        <v>ln -s ../../../../midasraw/byseries/07180924_2115 07180924_2115</v>
      </c>
    </row>
    <row r="4016" spans="1:18">
      <c r="A4016" t="s">
        <v>9546</v>
      </c>
      <c r="G4016" s="191"/>
      <c r="H4016" s="210"/>
      <c r="K4016" s="180"/>
      <c r="M4016" t="s">
        <v>4945</v>
      </c>
      <c r="N4016" t="s">
        <v>5571</v>
      </c>
      <c r="O4016" t="s">
        <v>4938</v>
      </c>
      <c r="Q4016" t="str">
        <f t="shared" si="151"/>
        <v>condorProc.py --series 07180924_2125 --donoise --dumps a --procenv environments/pymidas_HVHV_NaI_mf.env</v>
      </c>
      <c r="R4016" t="str">
        <f t="shared" si="152"/>
        <v>ln -s ../../../../midasraw/byseries/07180924_2125 07180924_2125</v>
      </c>
    </row>
    <row r="4017" spans="1:18">
      <c r="A4017" t="s">
        <v>9547</v>
      </c>
      <c r="G4017" s="191"/>
      <c r="H4017" s="210"/>
      <c r="K4017" s="180"/>
      <c r="M4017" t="s">
        <v>4945</v>
      </c>
      <c r="N4017" t="s">
        <v>5571</v>
      </c>
      <c r="O4017" t="s">
        <v>4938</v>
      </c>
      <c r="Q4017" t="str">
        <f t="shared" si="151"/>
        <v>condorProc.py --series 07180924_2136 --donoise --dumps a --procenv environments/pymidas_HVHV_NaI_mf.env</v>
      </c>
      <c r="R4017" t="str">
        <f t="shared" si="152"/>
        <v>ln -s ../../../../midasraw/byseries/07180924_2136 07180924_2136</v>
      </c>
    </row>
    <row r="4018" spans="1:18">
      <c r="A4018" t="s">
        <v>9548</v>
      </c>
      <c r="G4018" s="191"/>
      <c r="H4018" s="210"/>
      <c r="K4018" s="180"/>
      <c r="M4018" t="s">
        <v>4945</v>
      </c>
      <c r="N4018" t="s">
        <v>5571</v>
      </c>
      <c r="O4018" t="s">
        <v>4938</v>
      </c>
      <c r="Q4018" t="str">
        <f t="shared" si="151"/>
        <v>condorProc.py --series 07180924_2146 --donoise --dumps a --procenv environments/pymidas_HVHV_NaI_mf.env</v>
      </c>
      <c r="R4018" t="str">
        <f t="shared" si="152"/>
        <v>ln -s ../../../../midasraw/byseries/07180924_2146 07180924_2146</v>
      </c>
    </row>
    <row r="4019" spans="1:18">
      <c r="A4019" t="s">
        <v>9549</v>
      </c>
      <c r="F4019" s="65"/>
      <c r="G4019" s="193"/>
      <c r="H4019" s="211"/>
      <c r="I4019" s="65" t="s">
        <v>75</v>
      </c>
      <c r="J4019" s="65"/>
      <c r="K4019" s="182"/>
      <c r="M4019" t="s">
        <v>4945</v>
      </c>
      <c r="N4019" t="s">
        <v>5571</v>
      </c>
      <c r="O4019" t="s">
        <v>4938</v>
      </c>
      <c r="Q4019" t="str">
        <f t="shared" si="151"/>
        <v>condorProc.py --series 07180924_2156 --donoise --dumps a --procenv environments/pymidas_HVHV_NaI_mf.env</v>
      </c>
      <c r="R4019" t="str">
        <f t="shared" si="152"/>
        <v>ln -s ../../../../midasraw/byseries/07180924_2156 07180924_2156</v>
      </c>
    </row>
    <row r="4020" spans="1:18">
      <c r="A4020" t="s">
        <v>9550</v>
      </c>
      <c r="F4020" s="177">
        <v>10</v>
      </c>
      <c r="G4020" s="192" t="s">
        <v>2248</v>
      </c>
      <c r="H4020" s="209">
        <v>-125</v>
      </c>
      <c r="I4020" s="177"/>
      <c r="J4020" s="177" t="s">
        <v>5577</v>
      </c>
      <c r="K4020" s="178" t="s">
        <v>5583</v>
      </c>
      <c r="M4020" t="s">
        <v>4945</v>
      </c>
      <c r="N4020" t="s">
        <v>5571</v>
      </c>
      <c r="O4020" t="s">
        <v>4938</v>
      </c>
      <c r="Q4020" t="str">
        <f t="shared" si="151"/>
        <v>condorProc.py --series 07180924_2259 --donoise --dumps a --procenv environments/pymidas_HVHV_NaI_mf.env</v>
      </c>
      <c r="R4020" t="str">
        <f t="shared" si="152"/>
        <v>ln -s ../../../../midasraw/byseries/07180924_2259 07180924_2259</v>
      </c>
    </row>
    <row r="4021" spans="1:18">
      <c r="A4021" t="s">
        <v>9551</v>
      </c>
      <c r="G4021" s="191"/>
      <c r="H4021" s="210"/>
      <c r="J4021" t="s">
        <v>5585</v>
      </c>
      <c r="K4021" s="218" t="s">
        <v>5586</v>
      </c>
      <c r="M4021" t="s">
        <v>4945</v>
      </c>
      <c r="N4021" t="s">
        <v>5571</v>
      </c>
      <c r="O4021" t="s">
        <v>4938</v>
      </c>
      <c r="Q4021" t="str">
        <f t="shared" si="151"/>
        <v>condorProc.py --series 07180924_2309 --donoise --dumps a --procenv environments/pymidas_HVHV_NaI_mf.env</v>
      </c>
      <c r="R4021" t="str">
        <f t="shared" si="152"/>
        <v>ln -s ../../../../midasraw/byseries/07180924_2309 07180924_2309</v>
      </c>
    </row>
    <row r="4022" spans="1:18">
      <c r="A4022" t="s">
        <v>9552</v>
      </c>
      <c r="G4022" s="191"/>
      <c r="H4022" s="210"/>
      <c r="K4022" s="219" t="s">
        <v>8388</v>
      </c>
      <c r="M4022" t="s">
        <v>4945</v>
      </c>
      <c r="N4022" t="s">
        <v>5571</v>
      </c>
      <c r="O4022" t="s">
        <v>4938</v>
      </c>
      <c r="Q4022" t="str">
        <f t="shared" si="151"/>
        <v>condorProc.py --series 07180924_2319 --donoise --dumps a --procenv environments/pymidas_HVHV_NaI_mf.env</v>
      </c>
      <c r="R4022" t="str">
        <f t="shared" si="152"/>
        <v>ln -s ../../../../midasraw/byseries/07180924_2319 07180924_2319</v>
      </c>
    </row>
    <row r="4023" spans="1:18">
      <c r="A4023" t="s">
        <v>9553</v>
      </c>
      <c r="G4023" s="191"/>
      <c r="H4023" s="210"/>
      <c r="K4023" s="180"/>
      <c r="M4023" t="s">
        <v>4945</v>
      </c>
      <c r="N4023" t="s">
        <v>5571</v>
      </c>
      <c r="O4023" t="s">
        <v>4938</v>
      </c>
      <c r="Q4023" t="str">
        <f t="shared" si="151"/>
        <v>condorProc.py --series 07180924_2329 --donoise --dumps a --procenv environments/pymidas_HVHV_NaI_mf.env</v>
      </c>
      <c r="R4023" t="str">
        <f t="shared" si="152"/>
        <v>ln -s ../../../../midasraw/byseries/07180924_2329 07180924_2329</v>
      </c>
    </row>
    <row r="4024" spans="1:18">
      <c r="A4024" t="s">
        <v>9554</v>
      </c>
      <c r="G4024" s="191"/>
      <c r="H4024" s="210"/>
      <c r="K4024" s="180"/>
      <c r="M4024" t="s">
        <v>4945</v>
      </c>
      <c r="N4024" t="s">
        <v>5571</v>
      </c>
      <c r="O4024" t="s">
        <v>4938</v>
      </c>
      <c r="Q4024" t="str">
        <f t="shared" si="151"/>
        <v>condorProc.py --series 07180924_2340 --donoise --dumps a --procenv environments/pymidas_HVHV_NaI_mf.env</v>
      </c>
      <c r="R4024" t="str">
        <f t="shared" si="152"/>
        <v>ln -s ../../../../midasraw/byseries/07180924_2340 07180924_2340</v>
      </c>
    </row>
    <row r="4025" spans="1:18">
      <c r="A4025" t="s">
        <v>9555</v>
      </c>
      <c r="G4025" s="191"/>
      <c r="H4025" s="210"/>
      <c r="K4025" s="180"/>
      <c r="M4025" t="s">
        <v>4945</v>
      </c>
      <c r="N4025" t="s">
        <v>5571</v>
      </c>
      <c r="O4025" t="s">
        <v>4938</v>
      </c>
      <c r="Q4025" t="str">
        <f t="shared" si="151"/>
        <v>condorProc.py --series 07180924_2350 --donoise --dumps a --procenv environments/pymidas_HVHV_NaI_mf.env</v>
      </c>
      <c r="R4025" t="str">
        <f t="shared" si="152"/>
        <v>ln -s ../../../../midasraw/byseries/07180924_2350 07180924_2350</v>
      </c>
    </row>
    <row r="4026" spans="1:18">
      <c r="A4026" t="s">
        <v>9556</v>
      </c>
      <c r="G4026" s="191"/>
      <c r="H4026" s="210"/>
      <c r="K4026" s="180"/>
      <c r="M4026" t="s">
        <v>4945</v>
      </c>
      <c r="N4026" t="s">
        <v>9557</v>
      </c>
      <c r="O4026" t="s">
        <v>4938</v>
      </c>
      <c r="Q4026" t="str">
        <f t="shared" si="151"/>
        <v>condorProc.py --series 07180925_0000 --donoise --dumps a --procenv environments/pymidas_HVHV_NaI_mf.env</v>
      </c>
      <c r="R4026" t="str">
        <f t="shared" si="152"/>
        <v>ln -s ../../../../midasraw/byseries/07180925_0000 07180925_0000</v>
      </c>
    </row>
    <row r="4027" spans="1:18">
      <c r="A4027" t="s">
        <v>9558</v>
      </c>
      <c r="G4027" s="191"/>
      <c r="H4027" s="210"/>
      <c r="K4027" s="180"/>
      <c r="M4027" t="s">
        <v>4945</v>
      </c>
      <c r="N4027" t="s">
        <v>5571</v>
      </c>
      <c r="O4027" t="s">
        <v>4938</v>
      </c>
      <c r="Q4027" t="str">
        <f t="shared" si="151"/>
        <v>condorProc.py --series 07180925_0010 --donoise --dumps a --procenv environments/pymidas_HVHV_NaI_mf.env</v>
      </c>
      <c r="R4027" t="str">
        <f t="shared" si="152"/>
        <v>ln -s ../../../../midasraw/byseries/07180925_0010 07180925_0010</v>
      </c>
    </row>
    <row r="4028" spans="1:18">
      <c r="A4028" t="s">
        <v>9559</v>
      </c>
      <c r="G4028" s="191"/>
      <c r="H4028" s="210"/>
      <c r="K4028" s="180"/>
      <c r="M4028" t="s">
        <v>4945</v>
      </c>
      <c r="N4028" t="s">
        <v>5571</v>
      </c>
      <c r="O4028" t="s">
        <v>4938</v>
      </c>
      <c r="Q4028" t="str">
        <f t="shared" si="151"/>
        <v>condorProc.py --series 07180925_0020 --donoise --dumps a --procenv environments/pymidas_HVHV_NaI_mf.env</v>
      </c>
      <c r="R4028" t="str">
        <f t="shared" si="152"/>
        <v>ln -s ../../../../midasraw/byseries/07180925_0020 07180925_0020</v>
      </c>
    </row>
    <row r="4029" spans="1:18">
      <c r="A4029" t="s">
        <v>9560</v>
      </c>
      <c r="G4029" s="191"/>
      <c r="H4029" s="210"/>
      <c r="K4029" s="180"/>
      <c r="M4029" t="s">
        <v>4945</v>
      </c>
      <c r="N4029" t="s">
        <v>5571</v>
      </c>
      <c r="O4029" t="s">
        <v>4938</v>
      </c>
      <c r="Q4029" t="str">
        <f t="shared" si="151"/>
        <v>condorProc.py --series 07180925_0030 --donoise --dumps a --procenv environments/pymidas_HVHV_NaI_mf.env</v>
      </c>
      <c r="R4029" t="str">
        <f t="shared" si="152"/>
        <v>ln -s ../../../../midasraw/byseries/07180925_0030 07180925_0030</v>
      </c>
    </row>
    <row r="4030" spans="1:18">
      <c r="A4030" t="s">
        <v>9561</v>
      </c>
      <c r="G4030" s="191"/>
      <c r="H4030" s="210"/>
      <c r="K4030" s="180"/>
      <c r="M4030" t="s">
        <v>4945</v>
      </c>
      <c r="N4030" t="s">
        <v>5571</v>
      </c>
      <c r="O4030" t="s">
        <v>4938</v>
      </c>
      <c r="Q4030" t="str">
        <f t="shared" si="151"/>
        <v>condorProc.py --series 07180925_0040 --donoise --dumps a --procenv environments/pymidas_HVHV_NaI_mf.env</v>
      </c>
      <c r="R4030" t="str">
        <f t="shared" si="152"/>
        <v>ln -s ../../../../midasraw/byseries/07180925_0040 07180925_0040</v>
      </c>
    </row>
    <row r="4031" spans="1:18">
      <c r="A4031" t="s">
        <v>9562</v>
      </c>
      <c r="F4031" s="65"/>
      <c r="G4031" s="193"/>
      <c r="H4031" s="211"/>
      <c r="I4031" s="65"/>
      <c r="J4031" s="65"/>
      <c r="K4031" s="182"/>
      <c r="M4031" t="s">
        <v>4945</v>
      </c>
      <c r="N4031" t="s">
        <v>5571</v>
      </c>
      <c r="O4031" t="s">
        <v>4938</v>
      </c>
      <c r="Q4031" t="str">
        <f t="shared" si="151"/>
        <v>condorProc.py --series 07180925_0050 --donoise --dumps a --procenv environments/pymidas_HVHV_NaI_mf.env</v>
      </c>
      <c r="R4031" t="str">
        <f t="shared" si="152"/>
        <v>ln -s ../../../../midasraw/byseries/07180925_0050 07180925_0050</v>
      </c>
    </row>
    <row r="4032" spans="1:18">
      <c r="A4032" t="s">
        <v>9563</v>
      </c>
      <c r="F4032" s="177">
        <v>10</v>
      </c>
      <c r="G4032" s="192" t="s">
        <v>2248</v>
      </c>
      <c r="H4032" s="209">
        <v>-125</v>
      </c>
      <c r="I4032" s="177"/>
      <c r="J4032" s="177" t="s">
        <v>5577</v>
      </c>
      <c r="K4032" s="178" t="s">
        <v>5583</v>
      </c>
      <c r="M4032" t="s">
        <v>4945</v>
      </c>
      <c r="N4032" t="s">
        <v>5571</v>
      </c>
      <c r="O4032" t="s">
        <v>4938</v>
      </c>
      <c r="Q4032" t="str">
        <f t="shared" si="151"/>
        <v>condorProc.py --series 07180925_0153 --donoise --dumps a --procenv environments/pymidas_HVHV_NaI_mf.env</v>
      </c>
      <c r="R4032" t="str">
        <f t="shared" si="152"/>
        <v>ln -s ../../../../midasraw/byseries/07180925_0153 07180925_0153</v>
      </c>
    </row>
    <row r="4033" spans="1:18">
      <c r="A4033" t="s">
        <v>9564</v>
      </c>
      <c r="G4033" s="191"/>
      <c r="H4033" s="210"/>
      <c r="J4033" t="s">
        <v>5585</v>
      </c>
      <c r="K4033" s="218" t="s">
        <v>5586</v>
      </c>
      <c r="M4033" t="s">
        <v>4945</v>
      </c>
      <c r="N4033" t="s">
        <v>5571</v>
      </c>
      <c r="O4033" t="s">
        <v>4938</v>
      </c>
      <c r="Q4033" t="str">
        <f t="shared" si="151"/>
        <v>condorProc.py --series 07180925_0204 --donoise --dumps a --procenv environments/pymidas_HVHV_NaI_mf.env</v>
      </c>
      <c r="R4033" t="str">
        <f t="shared" si="152"/>
        <v>ln -s ../../../../midasraw/byseries/07180925_0204 07180925_0204</v>
      </c>
    </row>
    <row r="4034" spans="1:18">
      <c r="A4034" t="s">
        <v>9565</v>
      </c>
      <c r="G4034" s="191"/>
      <c r="H4034" s="210"/>
      <c r="K4034" s="219" t="s">
        <v>8388</v>
      </c>
      <c r="M4034" t="s">
        <v>4945</v>
      </c>
      <c r="N4034" t="s">
        <v>5571</v>
      </c>
      <c r="O4034" t="s">
        <v>4938</v>
      </c>
      <c r="Q4034" t="str">
        <f t="shared" si="151"/>
        <v>condorProc.py --series 07180925_0214 --donoise --dumps a --procenv environments/pymidas_HVHV_NaI_mf.env</v>
      </c>
      <c r="R4034" t="str">
        <f t="shared" si="152"/>
        <v>ln -s ../../../../midasraw/byseries/07180925_0214 07180925_0214</v>
      </c>
    </row>
    <row r="4035" spans="1:18">
      <c r="A4035" t="s">
        <v>9566</v>
      </c>
      <c r="G4035" s="191"/>
      <c r="H4035" s="210"/>
      <c r="K4035" s="180"/>
      <c r="M4035" t="s">
        <v>4945</v>
      </c>
      <c r="N4035" t="s">
        <v>5571</v>
      </c>
      <c r="O4035" t="s">
        <v>4938</v>
      </c>
      <c r="Q4035" t="str">
        <f t="shared" si="151"/>
        <v>condorProc.py --series 07180925_0224 --donoise --dumps a --procenv environments/pymidas_HVHV_NaI_mf.env</v>
      </c>
      <c r="R4035" t="str">
        <f t="shared" si="152"/>
        <v>ln -s ../../../../midasraw/byseries/07180925_0224 07180925_0224</v>
      </c>
    </row>
    <row r="4036" spans="1:18">
      <c r="A4036" t="s">
        <v>9567</v>
      </c>
      <c r="G4036" s="191"/>
      <c r="H4036" s="210"/>
      <c r="K4036" s="180"/>
      <c r="M4036" t="s">
        <v>4945</v>
      </c>
      <c r="N4036" t="s">
        <v>5571</v>
      </c>
      <c r="O4036" t="s">
        <v>4938</v>
      </c>
      <c r="Q4036" t="str">
        <f t="shared" si="151"/>
        <v>condorProc.py --series 07180925_0234 --donoise --dumps a --procenv environments/pymidas_HVHV_NaI_mf.env</v>
      </c>
      <c r="R4036" t="str">
        <f t="shared" si="152"/>
        <v>ln -s ../../../../midasraw/byseries/07180925_0234 07180925_0234</v>
      </c>
    </row>
    <row r="4037" spans="1:18">
      <c r="A4037" t="s">
        <v>9568</v>
      </c>
      <c r="G4037" s="191"/>
      <c r="H4037" s="210"/>
      <c r="K4037" s="180"/>
      <c r="M4037" t="s">
        <v>4945</v>
      </c>
      <c r="N4037" t="s">
        <v>5571</v>
      </c>
      <c r="O4037" t="s">
        <v>4938</v>
      </c>
      <c r="Q4037" t="str">
        <f t="shared" si="151"/>
        <v>condorProc.py --series 07180925_0244 --donoise --dumps a --procenv environments/pymidas_HVHV_NaI_mf.env</v>
      </c>
      <c r="R4037" t="str">
        <f t="shared" si="152"/>
        <v>ln -s ../../../../midasraw/byseries/07180925_0244 07180925_0244</v>
      </c>
    </row>
    <row r="4038" spans="1:18">
      <c r="A4038" t="s">
        <v>9569</v>
      </c>
      <c r="G4038" s="191"/>
      <c r="H4038" s="210"/>
      <c r="K4038" s="180"/>
      <c r="M4038" t="s">
        <v>4945</v>
      </c>
      <c r="N4038" t="s">
        <v>5571</v>
      </c>
      <c r="O4038" t="s">
        <v>4938</v>
      </c>
      <c r="Q4038" t="str">
        <f t="shared" si="151"/>
        <v>condorProc.py --series 07180925_0254 --donoise --dumps a --procenv environments/pymidas_HVHV_NaI_mf.env</v>
      </c>
      <c r="R4038" t="str">
        <f t="shared" si="152"/>
        <v>ln -s ../../../../midasraw/byseries/07180925_0254 07180925_0254</v>
      </c>
    </row>
    <row r="4039" spans="1:18">
      <c r="A4039" t="s">
        <v>9570</v>
      </c>
      <c r="G4039" s="191"/>
      <c r="H4039" s="210"/>
      <c r="K4039" s="180"/>
      <c r="M4039" t="s">
        <v>4945</v>
      </c>
      <c r="N4039" t="s">
        <v>5571</v>
      </c>
      <c r="O4039" t="s">
        <v>4938</v>
      </c>
      <c r="Q4039" t="str">
        <f t="shared" si="151"/>
        <v>condorProc.py --series 07180925_0304 --donoise --dumps a --procenv environments/pymidas_HVHV_NaI_mf.env</v>
      </c>
      <c r="R4039" t="str">
        <f t="shared" si="152"/>
        <v>ln -s ../../../../midasraw/byseries/07180925_0304 07180925_0304</v>
      </c>
    </row>
    <row r="4040" spans="1:18">
      <c r="A4040" t="s">
        <v>9571</v>
      </c>
      <c r="G4040" s="191"/>
      <c r="H4040" s="210"/>
      <c r="K4040" s="180"/>
      <c r="M4040" t="s">
        <v>4945</v>
      </c>
      <c r="N4040" t="s">
        <v>5571</v>
      </c>
      <c r="O4040" t="s">
        <v>4938</v>
      </c>
      <c r="Q4040" t="str">
        <f t="shared" si="151"/>
        <v>condorProc.py --series 07180925_0315 --donoise --dumps a --procenv environments/pymidas_HVHV_NaI_mf.env</v>
      </c>
      <c r="R4040" t="str">
        <f t="shared" si="152"/>
        <v>ln -s ../../../../midasraw/byseries/07180925_0315 07180925_0315</v>
      </c>
    </row>
    <row r="4041" spans="1:18">
      <c r="A4041" t="s">
        <v>9572</v>
      </c>
      <c r="G4041" s="191"/>
      <c r="H4041" s="210"/>
      <c r="K4041" s="180"/>
      <c r="M4041" t="s">
        <v>4945</v>
      </c>
      <c r="N4041" t="s">
        <v>5571</v>
      </c>
      <c r="O4041" t="s">
        <v>4938</v>
      </c>
      <c r="Q4041" t="str">
        <f t="shared" si="151"/>
        <v>condorProc.py --series 07180925_0325 --donoise --dumps a --procenv environments/pymidas_HVHV_NaI_mf.env</v>
      </c>
      <c r="R4041" t="str">
        <f t="shared" si="152"/>
        <v>ln -s ../../../../midasraw/byseries/07180925_0325 07180925_0325</v>
      </c>
    </row>
    <row r="4042" spans="1:18">
      <c r="A4042" t="s">
        <v>9573</v>
      </c>
      <c r="G4042" s="191"/>
      <c r="H4042" s="210"/>
      <c r="K4042" s="180"/>
      <c r="M4042" t="s">
        <v>4945</v>
      </c>
      <c r="N4042" t="s">
        <v>5571</v>
      </c>
      <c r="O4042" t="s">
        <v>4938</v>
      </c>
      <c r="Q4042" t="str">
        <f t="shared" si="151"/>
        <v>condorProc.py --series 07180925_0335 --donoise --dumps a --procenv environments/pymidas_HVHV_NaI_mf.env</v>
      </c>
      <c r="R4042" t="str">
        <f t="shared" si="152"/>
        <v>ln -s ../../../../midasraw/byseries/07180925_0335 07180925_0335</v>
      </c>
    </row>
    <row r="4043" spans="1:18">
      <c r="A4043" t="s">
        <v>9574</v>
      </c>
      <c r="F4043" s="65"/>
      <c r="G4043" s="193"/>
      <c r="H4043" s="211"/>
      <c r="I4043" s="65"/>
      <c r="J4043" s="65"/>
      <c r="K4043" s="182"/>
      <c r="M4043" t="s">
        <v>4945</v>
      </c>
      <c r="N4043" t="s">
        <v>5571</v>
      </c>
      <c r="O4043" t="s">
        <v>4938</v>
      </c>
      <c r="Q4043" t="str">
        <f t="shared" si="151"/>
        <v>condorProc.py --series 07180925_0345 --donoise --dumps a --procenv environments/pymidas_HVHV_NaI_mf.env</v>
      </c>
      <c r="R4043" t="str">
        <f t="shared" si="152"/>
        <v>ln -s ../../../../midasraw/byseries/07180925_0345 07180925_0345</v>
      </c>
    </row>
    <row r="4044" spans="1:18">
      <c r="A4044" t="s">
        <v>9575</v>
      </c>
      <c r="F4044" s="177">
        <v>10</v>
      </c>
      <c r="G4044" s="192" t="s">
        <v>2248</v>
      </c>
      <c r="H4044" s="209">
        <v>-125</v>
      </c>
      <c r="I4044" s="177"/>
      <c r="J4044" s="177" t="s">
        <v>5577</v>
      </c>
      <c r="K4044" s="178" t="s">
        <v>5583</v>
      </c>
      <c r="M4044" t="s">
        <v>4945</v>
      </c>
      <c r="N4044" t="s">
        <v>5571</v>
      </c>
      <c r="O4044" t="s">
        <v>4938</v>
      </c>
      <c r="Q4044" t="str">
        <f t="shared" si="151"/>
        <v>condorProc.py --series 07180925_0448 --donoise --dumps a --procenv environments/pymidas_HVHV_NaI_mf.env</v>
      </c>
      <c r="R4044" t="str">
        <f t="shared" si="152"/>
        <v>ln -s ../../../../midasraw/byseries/07180925_0448 07180925_0448</v>
      </c>
    </row>
    <row r="4045" spans="1:18">
      <c r="A4045" t="s">
        <v>9576</v>
      </c>
      <c r="G4045" s="191"/>
      <c r="H4045" s="210"/>
      <c r="J4045" t="s">
        <v>5585</v>
      </c>
      <c r="K4045" s="218" t="s">
        <v>5586</v>
      </c>
      <c r="M4045" t="s">
        <v>4945</v>
      </c>
      <c r="N4045" t="s">
        <v>5571</v>
      </c>
      <c r="O4045" t="s">
        <v>4938</v>
      </c>
      <c r="Q4045" t="str">
        <f t="shared" si="151"/>
        <v>condorProc.py --series 07180925_0458 --donoise --dumps a --procenv environments/pymidas_HVHV_NaI_mf.env</v>
      </c>
      <c r="R4045" t="str">
        <f t="shared" si="152"/>
        <v>ln -s ../../../../midasraw/byseries/07180925_0458 07180925_0458</v>
      </c>
    </row>
    <row r="4046" spans="1:18">
      <c r="A4046" t="s">
        <v>9577</v>
      </c>
      <c r="G4046" s="191"/>
      <c r="H4046" s="210"/>
      <c r="K4046" s="219" t="s">
        <v>8388</v>
      </c>
      <c r="M4046" t="s">
        <v>4945</v>
      </c>
      <c r="N4046" t="s">
        <v>5571</v>
      </c>
      <c r="O4046" t="s">
        <v>4938</v>
      </c>
      <c r="Q4046" t="str">
        <f t="shared" si="151"/>
        <v>condorProc.py --series 07180925_0508 --donoise --dumps a --procenv environments/pymidas_HVHV_NaI_mf.env</v>
      </c>
      <c r="R4046" t="str">
        <f t="shared" si="152"/>
        <v>ln -s ../../../../midasraw/byseries/07180925_0508 07180925_0508</v>
      </c>
    </row>
    <row r="4047" spans="1:18">
      <c r="A4047" t="s">
        <v>9578</v>
      </c>
      <c r="G4047" s="191"/>
      <c r="H4047" s="210"/>
      <c r="K4047" s="180"/>
      <c r="M4047" t="s">
        <v>4945</v>
      </c>
      <c r="N4047" t="s">
        <v>5571</v>
      </c>
      <c r="O4047" t="s">
        <v>4938</v>
      </c>
      <c r="Q4047" t="str">
        <f t="shared" ref="Q4047:Q4110" si="153">"condorProc.py --series "&amp;A4047&amp;" --donoise --dumps a --procenv environments/pymidas_HVHV_NaI_mf.env"</f>
        <v>condorProc.py --series 07180925_0518 --donoise --dumps a --procenv environments/pymidas_HVHV_NaI_mf.env</v>
      </c>
      <c r="R4047" t="str">
        <f t="shared" ref="R4047:R4110" si="154">"ln -s ../../../../midasraw/byseries/"&amp;A4047&amp;" "&amp;A4047</f>
        <v>ln -s ../../../../midasraw/byseries/07180925_0518 07180925_0518</v>
      </c>
    </row>
    <row r="4048" spans="1:18">
      <c r="A4048" t="s">
        <v>9579</v>
      </c>
      <c r="G4048" s="191"/>
      <c r="H4048" s="210"/>
      <c r="K4048" s="180"/>
      <c r="M4048" t="s">
        <v>4945</v>
      </c>
      <c r="N4048" t="s">
        <v>5571</v>
      </c>
      <c r="O4048" t="s">
        <v>4938</v>
      </c>
      <c r="Q4048" t="str">
        <f t="shared" si="153"/>
        <v>condorProc.py --series 07180925_0528 --donoise --dumps a --procenv environments/pymidas_HVHV_NaI_mf.env</v>
      </c>
      <c r="R4048" t="str">
        <f t="shared" si="154"/>
        <v>ln -s ../../../../midasraw/byseries/07180925_0528 07180925_0528</v>
      </c>
    </row>
    <row r="4049" spans="1:18">
      <c r="A4049" t="s">
        <v>9580</v>
      </c>
      <c r="G4049" s="191"/>
      <c r="H4049" s="210"/>
      <c r="K4049" s="180"/>
      <c r="M4049" t="s">
        <v>4945</v>
      </c>
      <c r="N4049" t="s">
        <v>5571</v>
      </c>
      <c r="O4049" t="s">
        <v>4938</v>
      </c>
      <c r="Q4049" t="str">
        <f t="shared" si="153"/>
        <v>condorProc.py --series 07180925_0538 --donoise --dumps a --procenv environments/pymidas_HVHV_NaI_mf.env</v>
      </c>
      <c r="R4049" t="str">
        <f t="shared" si="154"/>
        <v>ln -s ../../../../midasraw/byseries/07180925_0538 07180925_0538</v>
      </c>
    </row>
    <row r="4050" spans="1:18">
      <c r="A4050" t="s">
        <v>9581</v>
      </c>
      <c r="G4050" s="191"/>
      <c r="H4050" s="210"/>
      <c r="K4050" s="180"/>
      <c r="M4050" t="s">
        <v>4945</v>
      </c>
      <c r="N4050" t="s">
        <v>5571</v>
      </c>
      <c r="O4050" t="s">
        <v>4938</v>
      </c>
      <c r="Q4050" t="str">
        <f t="shared" si="153"/>
        <v>condorProc.py --series 07180925_0548 --donoise --dumps a --procenv environments/pymidas_HVHV_NaI_mf.env</v>
      </c>
      <c r="R4050" t="str">
        <f t="shared" si="154"/>
        <v>ln -s ../../../../midasraw/byseries/07180925_0548 07180925_0548</v>
      </c>
    </row>
    <row r="4051" spans="1:18">
      <c r="A4051" t="s">
        <v>9582</v>
      </c>
      <c r="G4051" s="191"/>
      <c r="H4051" s="210"/>
      <c r="K4051" s="180"/>
      <c r="M4051" t="s">
        <v>4945</v>
      </c>
      <c r="N4051" t="s">
        <v>5571</v>
      </c>
      <c r="O4051" t="s">
        <v>4938</v>
      </c>
      <c r="Q4051" t="str">
        <f t="shared" si="153"/>
        <v>condorProc.py --series 07180925_0559 --donoise --dumps a --procenv environments/pymidas_HVHV_NaI_mf.env</v>
      </c>
      <c r="R4051" t="str">
        <f t="shared" si="154"/>
        <v>ln -s ../../../../midasraw/byseries/07180925_0559 07180925_0559</v>
      </c>
    </row>
    <row r="4052" spans="1:18">
      <c r="A4052" t="s">
        <v>9583</v>
      </c>
      <c r="G4052" s="191"/>
      <c r="H4052" s="210"/>
      <c r="K4052" s="180"/>
      <c r="M4052" t="s">
        <v>4945</v>
      </c>
      <c r="N4052" t="s">
        <v>5571</v>
      </c>
      <c r="O4052" t="s">
        <v>4938</v>
      </c>
      <c r="Q4052" t="str">
        <f t="shared" si="153"/>
        <v>condorProc.py --series 07180925_0609 --donoise --dumps a --procenv environments/pymidas_HVHV_NaI_mf.env</v>
      </c>
      <c r="R4052" t="str">
        <f t="shared" si="154"/>
        <v>ln -s ../../../../midasraw/byseries/07180925_0609 07180925_0609</v>
      </c>
    </row>
    <row r="4053" spans="1:18">
      <c r="A4053" t="s">
        <v>9584</v>
      </c>
      <c r="G4053" s="191"/>
      <c r="H4053" s="210"/>
      <c r="K4053" s="180"/>
      <c r="M4053" t="s">
        <v>4945</v>
      </c>
      <c r="N4053" t="s">
        <v>5571</v>
      </c>
      <c r="O4053" t="s">
        <v>4938</v>
      </c>
      <c r="Q4053" t="str">
        <f t="shared" si="153"/>
        <v>condorProc.py --series 07180925_0619 --donoise --dumps a --procenv environments/pymidas_HVHV_NaI_mf.env</v>
      </c>
      <c r="R4053" t="str">
        <f t="shared" si="154"/>
        <v>ln -s ../../../../midasraw/byseries/07180925_0619 07180925_0619</v>
      </c>
    </row>
    <row r="4054" spans="1:18">
      <c r="A4054" t="s">
        <v>9585</v>
      </c>
      <c r="G4054" s="191"/>
      <c r="H4054" s="210"/>
      <c r="K4054" s="180"/>
      <c r="M4054" t="s">
        <v>4945</v>
      </c>
      <c r="N4054" t="s">
        <v>5571</v>
      </c>
      <c r="O4054" t="s">
        <v>4938</v>
      </c>
      <c r="Q4054" t="str">
        <f t="shared" si="153"/>
        <v>condorProc.py --series 07180925_0629 --donoise --dumps a --procenv environments/pymidas_HVHV_NaI_mf.env</v>
      </c>
      <c r="R4054" t="str">
        <f t="shared" si="154"/>
        <v>ln -s ../../../../midasraw/byseries/07180925_0629 07180925_0629</v>
      </c>
    </row>
    <row r="4055" spans="1:18">
      <c r="A4055" t="s">
        <v>9586</v>
      </c>
      <c r="F4055" s="65"/>
      <c r="G4055" s="193"/>
      <c r="H4055" s="211"/>
      <c r="I4055" s="65" t="s">
        <v>75</v>
      </c>
      <c r="J4055" s="65"/>
      <c r="K4055" s="182"/>
      <c r="M4055" t="s">
        <v>4945</v>
      </c>
      <c r="N4055" t="s">
        <v>5571</v>
      </c>
      <c r="O4055" t="s">
        <v>4938</v>
      </c>
      <c r="Q4055" t="str">
        <f t="shared" si="153"/>
        <v>condorProc.py --series 07180925_0639 --donoise --dumps a --procenv environments/pymidas_HVHV_NaI_mf.env</v>
      </c>
      <c r="R4055" t="str">
        <f t="shared" si="154"/>
        <v>ln -s ../../../../midasraw/byseries/07180925_0639 07180925_0639</v>
      </c>
    </row>
    <row r="4056" spans="1:18">
      <c r="A4056" t="s">
        <v>9587</v>
      </c>
      <c r="F4056" s="177">
        <v>10</v>
      </c>
      <c r="G4056" s="192" t="s">
        <v>2248</v>
      </c>
      <c r="H4056" s="209">
        <v>-125</v>
      </c>
      <c r="I4056" s="177"/>
      <c r="J4056" s="177" t="s">
        <v>5577</v>
      </c>
      <c r="K4056" s="178" t="s">
        <v>5583</v>
      </c>
      <c r="M4056" t="s">
        <v>4945</v>
      </c>
      <c r="N4056" t="s">
        <v>5571</v>
      </c>
      <c r="O4056" t="s">
        <v>4938</v>
      </c>
      <c r="Q4056" t="str">
        <f t="shared" si="153"/>
        <v>condorProc.py --series 07180925_0742 --donoise --dumps a --procenv environments/pymidas_HVHV_NaI_mf.env</v>
      </c>
      <c r="R4056" t="str">
        <f t="shared" si="154"/>
        <v>ln -s ../../../../midasraw/byseries/07180925_0742 07180925_0742</v>
      </c>
    </row>
    <row r="4057" spans="1:18">
      <c r="A4057" t="s">
        <v>9588</v>
      </c>
      <c r="G4057" s="191"/>
      <c r="H4057" s="210"/>
      <c r="J4057" t="s">
        <v>5585</v>
      </c>
      <c r="K4057" s="218" t="s">
        <v>5586</v>
      </c>
      <c r="M4057" t="s">
        <v>4945</v>
      </c>
      <c r="N4057" t="s">
        <v>5571</v>
      </c>
      <c r="O4057" t="s">
        <v>4938</v>
      </c>
      <c r="Q4057" t="str">
        <f t="shared" si="153"/>
        <v>condorProc.py --series 07180925_0752 --donoise --dumps a --procenv environments/pymidas_HVHV_NaI_mf.env</v>
      </c>
      <c r="R4057" t="str">
        <f t="shared" si="154"/>
        <v>ln -s ../../../../midasraw/byseries/07180925_0752 07180925_0752</v>
      </c>
    </row>
    <row r="4058" spans="1:18">
      <c r="A4058" t="s">
        <v>9589</v>
      </c>
      <c r="G4058" s="191"/>
      <c r="H4058" s="210"/>
      <c r="K4058" s="219" t="s">
        <v>8388</v>
      </c>
      <c r="M4058" t="s">
        <v>4945</v>
      </c>
      <c r="N4058" t="s">
        <v>5571</v>
      </c>
      <c r="O4058" t="s">
        <v>4938</v>
      </c>
      <c r="Q4058" t="str">
        <f t="shared" si="153"/>
        <v>condorProc.py --series 07180925_0802 --donoise --dumps a --procenv environments/pymidas_HVHV_NaI_mf.env</v>
      </c>
      <c r="R4058" t="str">
        <f t="shared" si="154"/>
        <v>ln -s ../../../../midasraw/byseries/07180925_0802 07180925_0802</v>
      </c>
    </row>
    <row r="4059" spans="1:18">
      <c r="A4059" t="s">
        <v>9590</v>
      </c>
      <c r="G4059" s="191"/>
      <c r="H4059" s="210"/>
      <c r="K4059" s="180"/>
      <c r="M4059" t="s">
        <v>4945</v>
      </c>
      <c r="N4059" t="s">
        <v>5571</v>
      </c>
      <c r="O4059" t="s">
        <v>4938</v>
      </c>
      <c r="Q4059" t="str">
        <f t="shared" si="153"/>
        <v>condorProc.py --series 07180925_0812 --donoise --dumps a --procenv environments/pymidas_HVHV_NaI_mf.env</v>
      </c>
      <c r="R4059" t="str">
        <f t="shared" si="154"/>
        <v>ln -s ../../../../midasraw/byseries/07180925_0812 07180925_0812</v>
      </c>
    </row>
    <row r="4060" spans="1:18">
      <c r="A4060" t="s">
        <v>9591</v>
      </c>
      <c r="G4060" s="191"/>
      <c r="H4060" s="210"/>
      <c r="K4060" s="180"/>
      <c r="M4060" t="s">
        <v>4945</v>
      </c>
      <c r="N4060" t="s">
        <v>5571</v>
      </c>
      <c r="O4060" t="s">
        <v>4938</v>
      </c>
      <c r="Q4060" t="str">
        <f t="shared" si="153"/>
        <v>condorProc.py --series 07180925_0822 --donoise --dumps a --procenv environments/pymidas_HVHV_NaI_mf.env</v>
      </c>
      <c r="R4060" t="str">
        <f t="shared" si="154"/>
        <v>ln -s ../../../../midasraw/byseries/07180925_0822 07180925_0822</v>
      </c>
    </row>
    <row r="4061" spans="1:18">
      <c r="A4061" t="s">
        <v>9592</v>
      </c>
      <c r="G4061" s="191"/>
      <c r="H4061" s="210"/>
      <c r="K4061" s="180"/>
      <c r="M4061" t="s">
        <v>4945</v>
      </c>
      <c r="N4061" t="s">
        <v>5571</v>
      </c>
      <c r="O4061" t="s">
        <v>4938</v>
      </c>
      <c r="Q4061" t="str">
        <f t="shared" si="153"/>
        <v>condorProc.py --series 07180925_0832 --donoise --dumps a --procenv environments/pymidas_HVHV_NaI_mf.env</v>
      </c>
      <c r="R4061" t="str">
        <f t="shared" si="154"/>
        <v>ln -s ../../../../midasraw/byseries/07180925_0832 07180925_0832</v>
      </c>
    </row>
    <row r="4062" spans="1:18">
      <c r="A4062" t="s">
        <v>9593</v>
      </c>
      <c r="G4062" s="191"/>
      <c r="H4062" s="210"/>
      <c r="K4062" s="180"/>
      <c r="M4062" t="s">
        <v>4945</v>
      </c>
      <c r="N4062" t="s">
        <v>5571</v>
      </c>
      <c r="O4062" t="s">
        <v>4938</v>
      </c>
      <c r="Q4062" t="str">
        <f t="shared" si="153"/>
        <v>condorProc.py --series 07180925_0842 --donoise --dumps a --procenv environments/pymidas_HVHV_NaI_mf.env</v>
      </c>
      <c r="R4062" t="str">
        <f t="shared" si="154"/>
        <v>ln -s ../../../../midasraw/byseries/07180925_0842 07180925_0842</v>
      </c>
    </row>
    <row r="4063" spans="1:18">
      <c r="A4063" t="s">
        <v>9594</v>
      </c>
      <c r="G4063" s="191"/>
      <c r="H4063" s="210"/>
      <c r="K4063" s="180"/>
      <c r="M4063" t="s">
        <v>4945</v>
      </c>
      <c r="N4063" t="s">
        <v>5571</v>
      </c>
      <c r="O4063" t="s">
        <v>4938</v>
      </c>
      <c r="Q4063" t="str">
        <f t="shared" si="153"/>
        <v>condorProc.py --series 07180925_0853 --donoise --dumps a --procenv environments/pymidas_HVHV_NaI_mf.env</v>
      </c>
      <c r="R4063" t="str">
        <f t="shared" si="154"/>
        <v>ln -s ../../../../midasraw/byseries/07180925_0853 07180925_0853</v>
      </c>
    </row>
    <row r="4064" spans="1:18">
      <c r="A4064" t="s">
        <v>9595</v>
      </c>
      <c r="G4064" s="191"/>
      <c r="H4064" s="210"/>
      <c r="K4064" s="180"/>
      <c r="M4064" t="s">
        <v>4945</v>
      </c>
      <c r="N4064" t="s">
        <v>5571</v>
      </c>
      <c r="O4064" t="s">
        <v>4938</v>
      </c>
      <c r="Q4064" t="str">
        <f t="shared" si="153"/>
        <v>condorProc.py --series 07180925_0903 --donoise --dumps a --procenv environments/pymidas_HVHV_NaI_mf.env</v>
      </c>
      <c r="R4064" t="str">
        <f t="shared" si="154"/>
        <v>ln -s ../../../../midasraw/byseries/07180925_0903 07180925_0903</v>
      </c>
    </row>
    <row r="4065" spans="1:18">
      <c r="A4065" t="s">
        <v>9596</v>
      </c>
      <c r="G4065" s="191"/>
      <c r="H4065" s="210"/>
      <c r="K4065" s="180"/>
      <c r="M4065" t="s">
        <v>4945</v>
      </c>
      <c r="N4065" t="s">
        <v>5571</v>
      </c>
      <c r="O4065" t="s">
        <v>4938</v>
      </c>
      <c r="Q4065" t="str">
        <f t="shared" si="153"/>
        <v>condorProc.py --series 07180925_0913 --donoise --dumps a --procenv environments/pymidas_HVHV_NaI_mf.env</v>
      </c>
      <c r="R4065" t="str">
        <f t="shared" si="154"/>
        <v>ln -s ../../../../midasraw/byseries/07180925_0913 07180925_0913</v>
      </c>
    </row>
    <row r="4066" spans="1:18">
      <c r="A4066" t="s">
        <v>9597</v>
      </c>
      <c r="G4066" s="191"/>
      <c r="H4066" s="210"/>
      <c r="K4066" s="180"/>
      <c r="M4066" t="s">
        <v>4945</v>
      </c>
      <c r="N4066" t="s">
        <v>5571</v>
      </c>
      <c r="O4066" t="s">
        <v>4938</v>
      </c>
      <c r="Q4066" t="str">
        <f t="shared" si="153"/>
        <v>condorProc.py --series 07180925_0923 --donoise --dumps a --procenv environments/pymidas_HVHV_NaI_mf.env</v>
      </c>
      <c r="R4066" t="str">
        <f t="shared" si="154"/>
        <v>ln -s ../../../../midasraw/byseries/07180925_0923 07180925_0923</v>
      </c>
    </row>
    <row r="4067" spans="1:18">
      <c r="A4067" t="s">
        <v>9598</v>
      </c>
      <c r="F4067" s="65"/>
      <c r="G4067" s="193"/>
      <c r="H4067" s="211"/>
      <c r="I4067" s="65"/>
      <c r="J4067" s="65"/>
      <c r="K4067" s="182"/>
      <c r="M4067" t="s">
        <v>4945</v>
      </c>
      <c r="N4067" t="s">
        <v>5571</v>
      </c>
      <c r="O4067" t="s">
        <v>4938</v>
      </c>
      <c r="Q4067" t="str">
        <f t="shared" si="153"/>
        <v>condorProc.py --series 07180925_0933 --donoise --dumps a --procenv environments/pymidas_HVHV_NaI_mf.env</v>
      </c>
      <c r="R4067" t="str">
        <f t="shared" si="154"/>
        <v>ln -s ../../../../midasraw/byseries/07180925_0933 07180925_0933</v>
      </c>
    </row>
    <row r="4068" spans="1:18">
      <c r="A4068" t="s">
        <v>9599</v>
      </c>
      <c r="F4068" s="177">
        <v>10</v>
      </c>
      <c r="G4068" s="192" t="s">
        <v>2248</v>
      </c>
      <c r="H4068" s="209">
        <v>-125</v>
      </c>
      <c r="I4068" s="177"/>
      <c r="J4068" s="177" t="s">
        <v>5577</v>
      </c>
      <c r="K4068" s="178" t="s">
        <v>5583</v>
      </c>
      <c r="M4068" t="s">
        <v>4945</v>
      </c>
      <c r="N4068" t="s">
        <v>5571</v>
      </c>
      <c r="O4068" t="s">
        <v>4938</v>
      </c>
      <c r="Q4068" t="str">
        <f t="shared" si="153"/>
        <v>condorProc.py --series 07180925_1036 --donoise --dumps a --procenv environments/pymidas_HVHV_NaI_mf.env</v>
      </c>
      <c r="R4068" t="str">
        <f t="shared" si="154"/>
        <v>ln -s ../../../../midasraw/byseries/07180925_1036 07180925_1036</v>
      </c>
    </row>
    <row r="4069" spans="1:18">
      <c r="A4069" t="s">
        <v>9600</v>
      </c>
      <c r="G4069" s="191"/>
      <c r="H4069" s="210"/>
      <c r="J4069" t="s">
        <v>5585</v>
      </c>
      <c r="K4069" s="218" t="s">
        <v>5586</v>
      </c>
      <c r="M4069" t="s">
        <v>4945</v>
      </c>
      <c r="N4069" t="s">
        <v>5571</v>
      </c>
      <c r="O4069" t="s">
        <v>4938</v>
      </c>
      <c r="Q4069" t="str">
        <f t="shared" si="153"/>
        <v>condorProc.py --series 07180925_1046 --donoise --dumps a --procenv environments/pymidas_HVHV_NaI_mf.env</v>
      </c>
      <c r="R4069" t="str">
        <f t="shared" si="154"/>
        <v>ln -s ../../../../midasraw/byseries/07180925_1046 07180925_1046</v>
      </c>
    </row>
    <row r="4070" spans="1:18">
      <c r="A4070" t="s">
        <v>9601</v>
      </c>
      <c r="G4070" s="191"/>
      <c r="H4070" s="210"/>
      <c r="K4070" s="219" t="s">
        <v>8388</v>
      </c>
      <c r="M4070" t="s">
        <v>4945</v>
      </c>
      <c r="N4070" t="s">
        <v>5571</v>
      </c>
      <c r="O4070" t="s">
        <v>4938</v>
      </c>
      <c r="Q4070" t="str">
        <f t="shared" si="153"/>
        <v>condorProc.py --series 07180925_1056 --donoise --dumps a --procenv environments/pymidas_HVHV_NaI_mf.env</v>
      </c>
      <c r="R4070" t="str">
        <f t="shared" si="154"/>
        <v>ln -s ../../../../midasraw/byseries/07180925_1056 07180925_1056</v>
      </c>
    </row>
    <row r="4071" spans="1:18">
      <c r="A4071" t="s">
        <v>9602</v>
      </c>
      <c r="G4071" s="191"/>
      <c r="H4071" s="210"/>
      <c r="K4071" s="180"/>
      <c r="M4071" t="s">
        <v>4945</v>
      </c>
      <c r="N4071" t="s">
        <v>5571</v>
      </c>
      <c r="O4071" t="s">
        <v>4938</v>
      </c>
      <c r="Q4071" t="str">
        <f t="shared" si="153"/>
        <v>condorProc.py --series 07180925_1107 --donoise --dumps a --procenv environments/pymidas_HVHV_NaI_mf.env</v>
      </c>
      <c r="R4071" t="str">
        <f t="shared" si="154"/>
        <v>ln -s ../../../../midasraw/byseries/07180925_1107 07180925_1107</v>
      </c>
    </row>
    <row r="4072" spans="1:18">
      <c r="A4072" t="s">
        <v>9603</v>
      </c>
      <c r="G4072" s="191"/>
      <c r="H4072" s="210"/>
      <c r="K4072" s="180"/>
      <c r="M4072" t="s">
        <v>4945</v>
      </c>
      <c r="N4072" t="s">
        <v>5571</v>
      </c>
      <c r="O4072" t="s">
        <v>4938</v>
      </c>
      <c r="Q4072" t="str">
        <f t="shared" si="153"/>
        <v>condorProc.py --series 07180925_1117 --donoise --dumps a --procenv environments/pymidas_HVHV_NaI_mf.env</v>
      </c>
      <c r="R4072" t="str">
        <f t="shared" si="154"/>
        <v>ln -s ../../../../midasraw/byseries/07180925_1117 07180925_1117</v>
      </c>
    </row>
    <row r="4073" spans="1:18">
      <c r="A4073" t="s">
        <v>9604</v>
      </c>
      <c r="G4073" s="191"/>
      <c r="H4073" s="210"/>
      <c r="K4073" s="180"/>
      <c r="M4073" t="s">
        <v>4945</v>
      </c>
      <c r="N4073" t="s">
        <v>5571</v>
      </c>
      <c r="O4073" t="s">
        <v>4938</v>
      </c>
      <c r="Q4073" t="str">
        <f t="shared" si="153"/>
        <v>condorProc.py --series 07180925_1127 --donoise --dumps a --procenv environments/pymidas_HVHV_NaI_mf.env</v>
      </c>
      <c r="R4073" t="str">
        <f t="shared" si="154"/>
        <v>ln -s ../../../../midasraw/byseries/07180925_1127 07180925_1127</v>
      </c>
    </row>
    <row r="4074" spans="1:18">
      <c r="A4074" t="s">
        <v>9605</v>
      </c>
      <c r="G4074" s="191"/>
      <c r="H4074" s="210"/>
      <c r="K4074" s="180"/>
      <c r="M4074" t="s">
        <v>4945</v>
      </c>
      <c r="N4074" t="s">
        <v>5571</v>
      </c>
      <c r="O4074" t="s">
        <v>4938</v>
      </c>
      <c r="Q4074" t="str">
        <f t="shared" si="153"/>
        <v>condorProc.py --series 07180925_1137 --donoise --dumps a --procenv environments/pymidas_HVHV_NaI_mf.env</v>
      </c>
      <c r="R4074" t="str">
        <f t="shared" si="154"/>
        <v>ln -s ../../../../midasraw/byseries/07180925_1137 07180925_1137</v>
      </c>
    </row>
    <row r="4075" spans="1:18">
      <c r="A4075" t="s">
        <v>9606</v>
      </c>
      <c r="G4075" s="191"/>
      <c r="H4075" s="210"/>
      <c r="K4075" s="180"/>
      <c r="M4075" t="s">
        <v>4945</v>
      </c>
      <c r="N4075" t="s">
        <v>5571</v>
      </c>
      <c r="O4075" t="s">
        <v>4938</v>
      </c>
      <c r="Q4075" t="str">
        <f t="shared" si="153"/>
        <v>condorProc.py --series 07180925_1147 --donoise --dumps a --procenv environments/pymidas_HVHV_NaI_mf.env</v>
      </c>
      <c r="R4075" t="str">
        <f t="shared" si="154"/>
        <v>ln -s ../../../../midasraw/byseries/07180925_1147 07180925_1147</v>
      </c>
    </row>
    <row r="4076" spans="1:18">
      <c r="A4076" t="s">
        <v>9607</v>
      </c>
      <c r="G4076" s="191"/>
      <c r="H4076" s="210"/>
      <c r="K4076" s="180"/>
      <c r="M4076" t="s">
        <v>4945</v>
      </c>
      <c r="N4076" t="s">
        <v>5571</v>
      </c>
      <c r="O4076" t="s">
        <v>4938</v>
      </c>
      <c r="Q4076" t="str">
        <f t="shared" si="153"/>
        <v>condorProc.py --series 07180925_1157 --donoise --dumps a --procenv environments/pymidas_HVHV_NaI_mf.env</v>
      </c>
      <c r="R4076" t="str">
        <f t="shared" si="154"/>
        <v>ln -s ../../../../midasraw/byseries/07180925_1157 07180925_1157</v>
      </c>
    </row>
    <row r="4077" spans="1:18">
      <c r="A4077" t="s">
        <v>9608</v>
      </c>
      <c r="G4077" s="191"/>
      <c r="H4077" s="210"/>
      <c r="K4077" s="180"/>
      <c r="M4077" t="s">
        <v>4945</v>
      </c>
      <c r="N4077" t="s">
        <v>5571</v>
      </c>
      <c r="O4077" t="s">
        <v>4938</v>
      </c>
      <c r="Q4077" t="str">
        <f t="shared" si="153"/>
        <v>condorProc.py --series 07180925_1207 --donoise --dumps a --procenv environments/pymidas_HVHV_NaI_mf.env</v>
      </c>
      <c r="R4077" t="str">
        <f t="shared" si="154"/>
        <v>ln -s ../../../../midasraw/byseries/07180925_1207 07180925_1207</v>
      </c>
    </row>
    <row r="4078" spans="1:18">
      <c r="A4078" t="s">
        <v>9609</v>
      </c>
      <c r="G4078" s="191"/>
      <c r="H4078" s="210"/>
      <c r="K4078" s="180"/>
      <c r="M4078" t="s">
        <v>4945</v>
      </c>
      <c r="N4078" t="s">
        <v>5571</v>
      </c>
      <c r="O4078" t="s">
        <v>4938</v>
      </c>
      <c r="Q4078" t="str">
        <f t="shared" si="153"/>
        <v>condorProc.py --series 07180925_1218 --donoise --dumps a --procenv environments/pymidas_HVHV_NaI_mf.env</v>
      </c>
      <c r="R4078" t="str">
        <f t="shared" si="154"/>
        <v>ln -s ../../../../midasraw/byseries/07180925_1218 07180925_1218</v>
      </c>
    </row>
    <row r="4079" spans="1:18">
      <c r="A4079" t="s">
        <v>9610</v>
      </c>
      <c r="F4079" s="65"/>
      <c r="G4079" s="193"/>
      <c r="H4079" s="211"/>
      <c r="I4079" s="65" t="s">
        <v>75</v>
      </c>
      <c r="J4079" s="65"/>
      <c r="K4079" s="182"/>
      <c r="M4079" t="s">
        <v>4945</v>
      </c>
      <c r="N4079" t="s">
        <v>5571</v>
      </c>
      <c r="O4079" t="s">
        <v>4938</v>
      </c>
      <c r="Q4079" t="str">
        <f t="shared" si="153"/>
        <v>condorProc.py --series 07180925_1228 --donoise --dumps a --procenv environments/pymidas_HVHV_NaI_mf.env</v>
      </c>
      <c r="R4079" t="str">
        <f t="shared" si="154"/>
        <v>ln -s ../../../../midasraw/byseries/07180925_1228 07180925_1228</v>
      </c>
    </row>
    <row r="4080" spans="1:18">
      <c r="A4080" t="s">
        <v>9611</v>
      </c>
      <c r="L4080" t="s">
        <v>8626</v>
      </c>
      <c r="M4080" t="s">
        <v>9236</v>
      </c>
      <c r="N4080" t="s">
        <v>5571</v>
      </c>
      <c r="Q4080" t="str">
        <f t="shared" si="153"/>
        <v>condorProc.py --series 07180925_1303 --donoise --dumps a --procenv environments/pymidas_HVHV_NaI_mf.env</v>
      </c>
    </row>
    <row r="4081" spans="1:29">
      <c r="A4081" t="s">
        <v>9612</v>
      </c>
      <c r="F4081" s="177">
        <v>10</v>
      </c>
      <c r="G4081" s="192" t="s">
        <v>2248</v>
      </c>
      <c r="H4081" s="209">
        <v>-125</v>
      </c>
      <c r="I4081" s="177"/>
      <c r="J4081" s="177" t="s">
        <v>5577</v>
      </c>
      <c r="K4081" s="178" t="s">
        <v>5583</v>
      </c>
      <c r="M4081" t="s">
        <v>4945</v>
      </c>
      <c r="N4081" t="s">
        <v>5571</v>
      </c>
      <c r="O4081" t="s">
        <v>4938</v>
      </c>
      <c r="Q4081" t="str">
        <f>"condorProc.py --series "&amp;A4081&amp;" --donoise --dumps a --procenv environments/pymidas_HVHV_NaI_mf.env"</f>
        <v>condorProc.py --series 07180925_1329 --donoise --dumps a --procenv environments/pymidas_HVHV_NaI_mf.env</v>
      </c>
      <c r="R4081" t="str">
        <f t="shared" si="154"/>
        <v>ln -s ../../../../midasraw/byseries/07180925_1329 07180925_1329</v>
      </c>
    </row>
    <row r="4082" spans="1:29">
      <c r="A4082" t="s">
        <v>9613</v>
      </c>
      <c r="G4082" s="191"/>
      <c r="H4082" s="210"/>
      <c r="J4082" t="s">
        <v>5585</v>
      </c>
      <c r="K4082" s="218" t="s">
        <v>5586</v>
      </c>
      <c r="M4082" t="s">
        <v>4945</v>
      </c>
      <c r="N4082" t="s">
        <v>5571</v>
      </c>
      <c r="O4082" t="s">
        <v>4938</v>
      </c>
      <c r="Q4082" t="str">
        <f t="shared" si="153"/>
        <v>condorProc.py --series 07180925_1339 --donoise --dumps a --procenv environments/pymidas_HVHV_NaI_mf.env</v>
      </c>
      <c r="R4082" t="str">
        <f t="shared" si="154"/>
        <v>ln -s ../../../../midasraw/byseries/07180925_1339 07180925_1339</v>
      </c>
    </row>
    <row r="4083" spans="1:29">
      <c r="A4083" t="s">
        <v>9614</v>
      </c>
      <c r="G4083" s="191"/>
      <c r="H4083" s="210"/>
      <c r="K4083" s="219" t="s">
        <v>8388</v>
      </c>
      <c r="M4083" t="s">
        <v>4945</v>
      </c>
      <c r="N4083" t="s">
        <v>5571</v>
      </c>
      <c r="O4083" t="s">
        <v>4938</v>
      </c>
      <c r="Q4083" t="str">
        <f t="shared" si="153"/>
        <v>condorProc.py --series 07180925_1349 --donoise --dumps a --procenv environments/pymidas_HVHV_NaI_mf.env</v>
      </c>
      <c r="R4083" t="str">
        <f t="shared" si="154"/>
        <v>ln -s ../../../../midasraw/byseries/07180925_1349 07180925_1349</v>
      </c>
    </row>
    <row r="4084" spans="1:29">
      <c r="A4084" t="s">
        <v>9615</v>
      </c>
      <c r="G4084" s="191"/>
      <c r="H4084" s="210"/>
      <c r="K4084" s="180"/>
      <c r="M4084" t="s">
        <v>4945</v>
      </c>
      <c r="N4084" t="s">
        <v>5571</v>
      </c>
      <c r="O4084" t="s">
        <v>4938</v>
      </c>
      <c r="Q4084" t="str">
        <f t="shared" si="153"/>
        <v>condorProc.py --series 07180925_1359 --donoise --dumps a --procenv environments/pymidas_HVHV_NaI_mf.env</v>
      </c>
      <c r="R4084" t="str">
        <f t="shared" si="154"/>
        <v>ln -s ../../../../midasraw/byseries/07180925_1359 07180925_1359</v>
      </c>
    </row>
    <row r="4085" spans="1:29">
      <c r="A4085" t="s">
        <v>9616</v>
      </c>
      <c r="G4085" s="191"/>
      <c r="H4085" s="210"/>
      <c r="K4085" s="180"/>
      <c r="M4085" t="s">
        <v>4945</v>
      </c>
      <c r="N4085" t="s">
        <v>5571</v>
      </c>
      <c r="O4085" t="s">
        <v>4938</v>
      </c>
      <c r="Q4085" t="str">
        <f t="shared" si="153"/>
        <v>condorProc.py --series 07180925_1410 --donoise --dumps a --procenv environments/pymidas_HVHV_NaI_mf.env</v>
      </c>
      <c r="R4085" t="str">
        <f t="shared" si="154"/>
        <v>ln -s ../../../../midasraw/byseries/07180925_1410 07180925_1410</v>
      </c>
    </row>
    <row r="4086" spans="1:29">
      <c r="A4086" t="s">
        <v>9617</v>
      </c>
      <c r="G4086" s="191"/>
      <c r="H4086" s="210"/>
      <c r="K4086" s="180"/>
      <c r="M4086" t="s">
        <v>4945</v>
      </c>
      <c r="N4086" t="s">
        <v>5571</v>
      </c>
      <c r="O4086" t="s">
        <v>4938</v>
      </c>
      <c r="Q4086" t="str">
        <f t="shared" si="153"/>
        <v>condorProc.py --series 07180925_1420 --donoise --dumps a --procenv environments/pymidas_HVHV_NaI_mf.env</v>
      </c>
      <c r="R4086" t="str">
        <f t="shared" si="154"/>
        <v>ln -s ../../../../midasraw/byseries/07180925_1420 07180925_1420</v>
      </c>
    </row>
    <row r="4087" spans="1:29">
      <c r="A4087" t="s">
        <v>9618</v>
      </c>
      <c r="G4087" s="191"/>
      <c r="H4087" s="210"/>
      <c r="K4087" s="180"/>
      <c r="M4087" t="s">
        <v>4945</v>
      </c>
      <c r="N4087" t="s">
        <v>5571</v>
      </c>
      <c r="O4087" t="s">
        <v>4938</v>
      </c>
      <c r="Q4087" t="str">
        <f t="shared" si="153"/>
        <v>condorProc.py --series 07180925_1430 --donoise --dumps a --procenv environments/pymidas_HVHV_NaI_mf.env</v>
      </c>
      <c r="R4087" t="str">
        <f t="shared" si="154"/>
        <v>ln -s ../../../../midasraw/byseries/07180925_1430 07180925_1430</v>
      </c>
    </row>
    <row r="4088" spans="1:29">
      <c r="A4088" t="s">
        <v>9619</v>
      </c>
      <c r="G4088" s="191"/>
      <c r="H4088" s="210"/>
      <c r="K4088" s="180"/>
      <c r="M4088" t="s">
        <v>4945</v>
      </c>
      <c r="N4088" t="s">
        <v>5571</v>
      </c>
      <c r="O4088" t="s">
        <v>4938</v>
      </c>
      <c r="Q4088" t="str">
        <f t="shared" si="153"/>
        <v>condorProc.py --series 07180925_1440 --donoise --dumps a --procenv environments/pymidas_HVHV_NaI_mf.env</v>
      </c>
      <c r="R4088" t="str">
        <f t="shared" si="154"/>
        <v>ln -s ../../../../midasraw/byseries/07180925_1440 07180925_1440</v>
      </c>
    </row>
    <row r="4089" spans="1:29">
      <c r="A4089" t="s">
        <v>9620</v>
      </c>
      <c r="G4089" s="191"/>
      <c r="H4089" s="210"/>
      <c r="K4089" s="180"/>
      <c r="M4089" t="s">
        <v>4945</v>
      </c>
      <c r="N4089" t="s">
        <v>5571</v>
      </c>
      <c r="O4089" t="s">
        <v>4938</v>
      </c>
      <c r="Q4089" t="str">
        <f t="shared" si="153"/>
        <v>condorProc.py --series 07180925_1450 --donoise --dumps a --procenv environments/pymidas_HVHV_NaI_mf.env</v>
      </c>
      <c r="R4089" t="str">
        <f t="shared" si="154"/>
        <v>ln -s ../../../../midasraw/byseries/07180925_1450 07180925_1450</v>
      </c>
    </row>
    <row r="4090" spans="1:29">
      <c r="A4090" t="s">
        <v>9621</v>
      </c>
      <c r="G4090" s="191"/>
      <c r="H4090" s="210"/>
      <c r="K4090" s="180"/>
      <c r="M4090" t="s">
        <v>4945</v>
      </c>
      <c r="N4090" t="s">
        <v>5571</v>
      </c>
      <c r="O4090" t="s">
        <v>4938</v>
      </c>
      <c r="Q4090" t="str">
        <f t="shared" si="153"/>
        <v>condorProc.py --series 07180925_1500 --donoise --dumps a --procenv environments/pymidas_HVHV_NaI_mf.env</v>
      </c>
      <c r="R4090" t="str">
        <f t="shared" si="154"/>
        <v>ln -s ../../../../midasraw/byseries/07180925_1500 07180925_1500</v>
      </c>
    </row>
    <row r="4091" spans="1:29">
      <c r="A4091" t="s">
        <v>9622</v>
      </c>
      <c r="G4091" s="191"/>
      <c r="H4091" s="210"/>
      <c r="K4091" s="180"/>
      <c r="M4091" t="s">
        <v>4945</v>
      </c>
      <c r="N4091" t="s">
        <v>5571</v>
      </c>
      <c r="O4091" t="s">
        <v>4938</v>
      </c>
      <c r="Q4091" t="str">
        <f t="shared" si="153"/>
        <v>condorProc.py --series 07180925_1510 --donoise --dumps a --procenv environments/pymidas_HVHV_NaI_mf.env</v>
      </c>
      <c r="R4091" t="str">
        <f t="shared" si="154"/>
        <v>ln -s ../../../../midasraw/byseries/07180925_1510 07180925_1510</v>
      </c>
    </row>
    <row r="4092" spans="1:29">
      <c r="A4092" t="s">
        <v>9623</v>
      </c>
      <c r="F4092" s="65"/>
      <c r="G4092" s="193"/>
      <c r="H4092" s="211"/>
      <c r="I4092" s="65"/>
      <c r="J4092" s="65"/>
      <c r="K4092" s="182"/>
      <c r="M4092" t="s">
        <v>4945</v>
      </c>
      <c r="N4092" t="s">
        <v>5571</v>
      </c>
      <c r="O4092" t="s">
        <v>4938</v>
      </c>
      <c r="Q4092" t="str">
        <f t="shared" si="153"/>
        <v>condorProc.py --series 07180925_1520 --donoise --dumps a --procenv environments/pymidas_HVHV_NaI_mf.env</v>
      </c>
      <c r="R4092" t="str">
        <f t="shared" si="154"/>
        <v>ln -s ../../../../midasraw/byseries/07180925_1520 07180925_1520</v>
      </c>
    </row>
    <row r="4093" spans="1:29">
      <c r="A4093" t="s">
        <v>9624</v>
      </c>
      <c r="F4093" s="177">
        <v>10</v>
      </c>
      <c r="G4093" s="224" t="s">
        <v>8641</v>
      </c>
      <c r="H4093" s="209">
        <v>-125</v>
      </c>
      <c r="I4093" s="177"/>
      <c r="J4093" s="177" t="s">
        <v>5577</v>
      </c>
      <c r="K4093" s="178" t="s">
        <v>5583</v>
      </c>
      <c r="M4093" t="s">
        <v>4945</v>
      </c>
      <c r="N4093" t="s">
        <v>5571</v>
      </c>
      <c r="O4093" t="s">
        <v>4943</v>
      </c>
      <c r="Q4093" t="str">
        <f t="shared" si="153"/>
        <v>condorProc.py --series 07180925_1642 --donoise --dumps a --procenv environments/pymidas_HVHV_NaI_mf.env</v>
      </c>
      <c r="R4093" t="str">
        <f t="shared" si="154"/>
        <v>ln -s ../../../../midasraw/byseries/07180925_1642 07180925_1642</v>
      </c>
      <c r="Z4093" t="str">
        <f>A4093</f>
        <v>07180925_1642</v>
      </c>
      <c r="AB4093" t="s">
        <v>9625</v>
      </c>
      <c r="AC4093">
        <f>VALUE(LEFT(AB4093,FIND(" ",AB4093)))</f>
        <v>1914585</v>
      </c>
    </row>
    <row r="4094" spans="1:29">
      <c r="A4094" t="s">
        <v>9626</v>
      </c>
      <c r="G4094" s="225"/>
      <c r="H4094" s="210"/>
      <c r="J4094" t="s">
        <v>5585</v>
      </c>
      <c r="K4094" s="218" t="s">
        <v>5586</v>
      </c>
      <c r="M4094" t="s">
        <v>4945</v>
      </c>
      <c r="N4094" t="s">
        <v>5571</v>
      </c>
      <c r="O4094" t="s">
        <v>4943</v>
      </c>
      <c r="Q4094" t="str">
        <f t="shared" si="153"/>
        <v>condorProc.py --series 07180925_1652 --donoise --dumps a --procenv environments/pymidas_HVHV_NaI_mf.env</v>
      </c>
      <c r="R4094" t="str">
        <f t="shared" si="154"/>
        <v>ln -s ../../../../midasraw/byseries/07180925_1652 07180925_1652</v>
      </c>
      <c r="Z4094" t="str">
        <f>Z4093&amp;" "&amp;A4094</f>
        <v>07180925_1642 07180925_1652</v>
      </c>
      <c r="AB4094" t="s">
        <v>9627</v>
      </c>
      <c r="AC4094">
        <f t="shared" ref="AC4094:AC4116" si="155">VALUE(LEFT(AB4094,FIND(" ",AB4094)))</f>
        <v>1927924</v>
      </c>
    </row>
    <row r="4095" spans="1:29">
      <c r="A4095" t="s">
        <v>9628</v>
      </c>
      <c r="G4095" s="225"/>
      <c r="H4095" s="210"/>
      <c r="K4095" s="219" t="s">
        <v>8388</v>
      </c>
      <c r="M4095" t="s">
        <v>4945</v>
      </c>
      <c r="N4095" t="s">
        <v>5571</v>
      </c>
      <c r="O4095" t="s">
        <v>4943</v>
      </c>
      <c r="Q4095" t="str">
        <f t="shared" si="153"/>
        <v>condorProc.py --series 07180925_1702 --donoise --dumps a --procenv environments/pymidas_HVHV_NaI_mf.env</v>
      </c>
      <c r="R4095" t="str">
        <f t="shared" si="154"/>
        <v>ln -s ../../../../midasraw/byseries/07180925_1702 07180925_1702</v>
      </c>
      <c r="Z4095" t="str">
        <f t="shared" ref="Z4095:Z4104" si="156">Z4094&amp;" "&amp;A4095</f>
        <v>07180925_1642 07180925_1652 07180925_1702</v>
      </c>
      <c r="AB4095" t="s">
        <v>9629</v>
      </c>
      <c r="AC4095">
        <f t="shared" si="155"/>
        <v>1918070</v>
      </c>
    </row>
    <row r="4096" spans="1:29">
      <c r="A4096" t="s">
        <v>9630</v>
      </c>
      <c r="G4096" s="225"/>
      <c r="H4096" s="210"/>
      <c r="K4096" s="180"/>
      <c r="M4096" t="s">
        <v>4945</v>
      </c>
      <c r="N4096" t="s">
        <v>5571</v>
      </c>
      <c r="O4096" t="s">
        <v>4943</v>
      </c>
      <c r="Q4096" t="str">
        <f t="shared" si="153"/>
        <v>condorProc.py --series 07180925_1712 --donoise --dumps a --procenv environments/pymidas_HVHV_NaI_mf.env</v>
      </c>
      <c r="R4096" t="str">
        <f t="shared" si="154"/>
        <v>ln -s ../../../../midasraw/byseries/07180925_1712 07180925_1712</v>
      </c>
      <c r="Z4096" t="str">
        <f t="shared" si="156"/>
        <v>07180925_1642 07180925_1652 07180925_1702 07180925_1712</v>
      </c>
      <c r="AB4096" t="s">
        <v>9631</v>
      </c>
      <c r="AC4096">
        <f t="shared" si="155"/>
        <v>1937610</v>
      </c>
    </row>
    <row r="4097" spans="1:30">
      <c r="A4097" t="s">
        <v>9632</v>
      </c>
      <c r="G4097" s="225"/>
      <c r="H4097" s="210"/>
      <c r="K4097" s="180"/>
      <c r="M4097" t="s">
        <v>4945</v>
      </c>
      <c r="N4097" t="s">
        <v>5571</v>
      </c>
      <c r="O4097" t="s">
        <v>4943</v>
      </c>
      <c r="Q4097" t="str">
        <f t="shared" si="153"/>
        <v>condorProc.py --series 07180925_1722 --donoise --dumps a --procenv environments/pymidas_HVHV_NaI_mf.env</v>
      </c>
      <c r="R4097" t="str">
        <f t="shared" si="154"/>
        <v>ln -s ../../../../midasraw/byseries/07180925_1722 07180925_1722</v>
      </c>
      <c r="Z4097" t="str">
        <f t="shared" si="156"/>
        <v>07180925_1642 07180925_1652 07180925_1702 07180925_1712 07180925_1722</v>
      </c>
      <c r="AB4097" t="s">
        <v>9633</v>
      </c>
      <c r="AC4097">
        <f t="shared" si="155"/>
        <v>1936498</v>
      </c>
    </row>
    <row r="4098" spans="1:30">
      <c r="A4098" t="s">
        <v>9634</v>
      </c>
      <c r="G4098" s="225"/>
      <c r="H4098" s="210"/>
      <c r="K4098" s="180"/>
      <c r="M4098" t="s">
        <v>4945</v>
      </c>
      <c r="N4098" t="s">
        <v>5571</v>
      </c>
      <c r="O4098" t="s">
        <v>4943</v>
      </c>
      <c r="Q4098" t="str">
        <f t="shared" si="153"/>
        <v>condorProc.py --series 07180925_1732 --donoise --dumps a --procenv environments/pymidas_HVHV_NaI_mf.env</v>
      </c>
      <c r="R4098" t="str">
        <f t="shared" si="154"/>
        <v>ln -s ../../../../midasraw/byseries/07180925_1732 07180925_1732</v>
      </c>
      <c r="Z4098" t="str">
        <f t="shared" si="156"/>
        <v>07180925_1642 07180925_1652 07180925_1702 07180925_1712 07180925_1722 07180925_1732</v>
      </c>
      <c r="AB4098" t="s">
        <v>9635</v>
      </c>
      <c r="AC4098">
        <f t="shared" si="155"/>
        <v>1940671</v>
      </c>
    </row>
    <row r="4099" spans="1:30">
      <c r="A4099" t="s">
        <v>9636</v>
      </c>
      <c r="G4099" s="225"/>
      <c r="H4099" s="210"/>
      <c r="K4099" s="180"/>
      <c r="M4099" t="s">
        <v>4945</v>
      </c>
      <c r="N4099" t="s">
        <v>5571</v>
      </c>
      <c r="O4099" t="s">
        <v>4943</v>
      </c>
      <c r="Q4099" t="str">
        <f t="shared" si="153"/>
        <v>condorProc.py --series 07180925_1742 --donoise --dumps a --procenv environments/pymidas_HVHV_NaI_mf.env</v>
      </c>
      <c r="R4099" t="str">
        <f t="shared" si="154"/>
        <v>ln -s ../../../../midasraw/byseries/07180925_1742 07180925_1742</v>
      </c>
      <c r="Z4099" t="str">
        <f t="shared" si="156"/>
        <v>07180925_1642 07180925_1652 07180925_1702 07180925_1712 07180925_1722 07180925_1732 07180925_1742</v>
      </c>
      <c r="AB4099" t="s">
        <v>9637</v>
      </c>
      <c r="AC4099">
        <f t="shared" si="155"/>
        <v>1940760</v>
      </c>
    </row>
    <row r="4100" spans="1:30">
      <c r="A4100" t="s">
        <v>9638</v>
      </c>
      <c r="G4100" s="225"/>
      <c r="H4100" s="210"/>
      <c r="K4100" s="180"/>
      <c r="M4100" t="s">
        <v>4945</v>
      </c>
      <c r="N4100" t="s">
        <v>5571</v>
      </c>
      <c r="O4100" t="s">
        <v>4943</v>
      </c>
      <c r="Q4100" t="str">
        <f t="shared" si="153"/>
        <v>condorProc.py --series 07180925_1753 --donoise --dumps a --procenv environments/pymidas_HVHV_NaI_mf.env</v>
      </c>
      <c r="R4100" t="str">
        <f t="shared" si="154"/>
        <v>ln -s ../../../../midasraw/byseries/07180925_1753 07180925_1753</v>
      </c>
      <c r="Z4100" t="str">
        <f t="shared" si="156"/>
        <v>07180925_1642 07180925_1652 07180925_1702 07180925_1712 07180925_1722 07180925_1732 07180925_1742 07180925_1753</v>
      </c>
      <c r="AB4100" t="s">
        <v>9639</v>
      </c>
      <c r="AC4100">
        <f t="shared" si="155"/>
        <v>1945386</v>
      </c>
    </row>
    <row r="4101" spans="1:30">
      <c r="A4101" t="s">
        <v>9640</v>
      </c>
      <c r="G4101" s="225"/>
      <c r="H4101" s="210"/>
      <c r="K4101" s="180"/>
      <c r="M4101" t="s">
        <v>4945</v>
      </c>
      <c r="N4101" t="s">
        <v>5571</v>
      </c>
      <c r="O4101" t="s">
        <v>4943</v>
      </c>
      <c r="Q4101" t="str">
        <f t="shared" si="153"/>
        <v>condorProc.py --series 07180925_1803 --donoise --dumps a --procenv environments/pymidas_HVHV_NaI_mf.env</v>
      </c>
      <c r="R4101" t="str">
        <f t="shared" si="154"/>
        <v>ln -s ../../../../midasraw/byseries/07180925_1803 07180925_1803</v>
      </c>
      <c r="Z4101" t="str">
        <f t="shared" si="156"/>
        <v>07180925_1642 07180925_1652 07180925_1702 07180925_1712 07180925_1722 07180925_1732 07180925_1742 07180925_1753 07180925_1803</v>
      </c>
      <c r="AB4101" t="s">
        <v>9641</v>
      </c>
      <c r="AC4101">
        <f t="shared" si="155"/>
        <v>1943309</v>
      </c>
    </row>
    <row r="4102" spans="1:30">
      <c r="A4102" t="s">
        <v>9642</v>
      </c>
      <c r="G4102" s="225"/>
      <c r="H4102" s="210"/>
      <c r="K4102" s="180"/>
      <c r="M4102" t="s">
        <v>4945</v>
      </c>
      <c r="N4102" t="s">
        <v>5571</v>
      </c>
      <c r="O4102" t="s">
        <v>4943</v>
      </c>
      <c r="Q4102" t="str">
        <f t="shared" si="153"/>
        <v>condorProc.py --series 07180925_1813 --donoise --dumps a --procenv environments/pymidas_HVHV_NaI_mf.env</v>
      </c>
      <c r="R4102" t="str">
        <f t="shared" si="154"/>
        <v>ln -s ../../../../midasraw/byseries/07180925_1813 07180925_1813</v>
      </c>
      <c r="Z4102" t="str">
        <f t="shared" si="156"/>
        <v>07180925_1642 07180925_1652 07180925_1702 07180925_1712 07180925_1722 07180925_1732 07180925_1742 07180925_1753 07180925_1803 07180925_1813</v>
      </c>
      <c r="AB4102" t="s">
        <v>9643</v>
      </c>
      <c r="AC4102">
        <f t="shared" si="155"/>
        <v>1925403</v>
      </c>
    </row>
    <row r="4103" spans="1:30">
      <c r="A4103" t="s">
        <v>9644</v>
      </c>
      <c r="G4103" s="225"/>
      <c r="H4103" s="210"/>
      <c r="K4103" s="180"/>
      <c r="M4103" t="s">
        <v>4945</v>
      </c>
      <c r="N4103" t="s">
        <v>5571</v>
      </c>
      <c r="O4103" t="s">
        <v>4943</v>
      </c>
      <c r="Q4103" t="str">
        <f t="shared" si="153"/>
        <v>condorProc.py --series 07180925_1823 --donoise --dumps a --procenv environments/pymidas_HVHV_NaI_mf.env</v>
      </c>
      <c r="R4103" t="str">
        <f t="shared" si="154"/>
        <v>ln -s ../../../../midasraw/byseries/07180925_1823 07180925_1823</v>
      </c>
      <c r="Z4103" t="str">
        <f t="shared" si="156"/>
        <v>07180925_1642 07180925_1652 07180925_1702 07180925_1712 07180925_1722 07180925_1732 07180925_1742 07180925_1753 07180925_1803 07180925_1813 07180925_1823</v>
      </c>
      <c r="AB4103" t="s">
        <v>9645</v>
      </c>
      <c r="AC4103">
        <f t="shared" si="155"/>
        <v>1929587</v>
      </c>
    </row>
    <row r="4104" spans="1:30">
      <c r="A4104" t="s">
        <v>9646</v>
      </c>
      <c r="F4104" s="65"/>
      <c r="G4104" s="226"/>
      <c r="H4104" s="211"/>
      <c r="I4104" s="65"/>
      <c r="J4104" s="65"/>
      <c r="K4104" s="182"/>
      <c r="M4104" t="s">
        <v>4945</v>
      </c>
      <c r="N4104" t="s">
        <v>5571</v>
      </c>
      <c r="O4104" t="s">
        <v>4943</v>
      </c>
      <c r="Q4104" t="str">
        <f t="shared" si="153"/>
        <v>condorProc.py --series 07180925_1833 --donoise --dumps a --procenv environments/pymidas_HVHV_NaI_mf.env</v>
      </c>
      <c r="R4104" t="str">
        <f t="shared" si="154"/>
        <v>ln -s ../../../../midasraw/byseries/07180925_1833 07180925_1833</v>
      </c>
      <c r="Z4104" t="str">
        <f t="shared" si="156"/>
        <v>07180925_1642 07180925_1652 07180925_1702 07180925_1712 07180925_1722 07180925_1732 07180925_1742 07180925_1753 07180925_1803 07180925_1813 07180925_1823 07180925_1833</v>
      </c>
      <c r="AA4104" t="str">
        <f>"du "&amp;Z4104</f>
        <v>du 07180925_1642 07180925_1652 07180925_1702 07180925_1712 07180925_1722 07180925_1732 07180925_1742 07180925_1753 07180925_1803 07180925_1813 07180925_1823 07180925_1833</v>
      </c>
      <c r="AB4104" t="s">
        <v>9647</v>
      </c>
      <c r="AC4104">
        <f t="shared" si="155"/>
        <v>1940318</v>
      </c>
      <c r="AD4104">
        <f>SUM(AC4093:AC4104)</f>
        <v>23200121</v>
      </c>
    </row>
    <row r="4105" spans="1:30">
      <c r="A4105" t="s">
        <v>9648</v>
      </c>
      <c r="F4105" s="177">
        <v>10</v>
      </c>
      <c r="G4105" s="224" t="s">
        <v>8641</v>
      </c>
      <c r="H4105" s="209">
        <v>-125</v>
      </c>
      <c r="I4105" s="177"/>
      <c r="J4105" s="177" t="s">
        <v>5577</v>
      </c>
      <c r="K4105" s="178" t="s">
        <v>5583</v>
      </c>
      <c r="M4105" t="s">
        <v>4945</v>
      </c>
      <c r="N4105" t="s">
        <v>5571</v>
      </c>
      <c r="O4105" t="s">
        <v>4943</v>
      </c>
      <c r="Q4105" t="str">
        <f t="shared" si="153"/>
        <v>condorProc.py --series 07180925_1935 --donoise --dumps a --procenv environments/pymidas_HVHV_NaI_mf.env</v>
      </c>
      <c r="R4105" t="str">
        <f t="shared" si="154"/>
        <v>ln -s ../../../../midasraw/byseries/07180925_1935 07180925_1935</v>
      </c>
      <c r="Z4105" t="str">
        <f>A4105</f>
        <v>07180925_1935</v>
      </c>
      <c r="AB4105" t="s">
        <v>9649</v>
      </c>
      <c r="AC4105">
        <f>VALUE(LEFT(AB4105,FIND(" ",AB4105)))</f>
        <v>1935504</v>
      </c>
    </row>
    <row r="4106" spans="1:30">
      <c r="A4106" t="s">
        <v>9650</v>
      </c>
      <c r="G4106" s="225"/>
      <c r="H4106" s="210"/>
      <c r="J4106" t="s">
        <v>5585</v>
      </c>
      <c r="K4106" s="218" t="s">
        <v>5586</v>
      </c>
      <c r="M4106" t="s">
        <v>4945</v>
      </c>
      <c r="N4106" t="s">
        <v>5571</v>
      </c>
      <c r="O4106" t="s">
        <v>4943</v>
      </c>
      <c r="Q4106" t="str">
        <f t="shared" si="153"/>
        <v>condorProc.py --series 07180925_1945 --donoise --dumps a --procenv environments/pymidas_HVHV_NaI_mf.env</v>
      </c>
      <c r="R4106" t="str">
        <f t="shared" si="154"/>
        <v>ln -s ../../../../midasraw/byseries/07180925_1945 07180925_1945</v>
      </c>
      <c r="Z4106" t="str">
        <f>Z4105&amp;" "&amp;A4106</f>
        <v>07180925_1935 07180925_1945</v>
      </c>
      <c r="AB4106" t="s">
        <v>9651</v>
      </c>
      <c r="AC4106">
        <f t="shared" si="155"/>
        <v>1945337</v>
      </c>
    </row>
    <row r="4107" spans="1:30">
      <c r="A4107" t="s">
        <v>9652</v>
      </c>
      <c r="G4107" s="225"/>
      <c r="H4107" s="210"/>
      <c r="K4107" s="219" t="s">
        <v>8388</v>
      </c>
      <c r="M4107" t="s">
        <v>4945</v>
      </c>
      <c r="N4107" t="s">
        <v>5571</v>
      </c>
      <c r="O4107" t="s">
        <v>4943</v>
      </c>
      <c r="Q4107" t="str">
        <f t="shared" si="153"/>
        <v>condorProc.py --series 07180925_1955 --donoise --dumps a --procenv environments/pymidas_HVHV_NaI_mf.env</v>
      </c>
      <c r="R4107" t="str">
        <f t="shared" si="154"/>
        <v>ln -s ../../../../midasraw/byseries/07180925_1955 07180925_1955</v>
      </c>
      <c r="Z4107" t="str">
        <f t="shared" ref="Z4107:Z4116" si="157">Z4106&amp;" "&amp;A4107</f>
        <v>07180925_1935 07180925_1945 07180925_1955</v>
      </c>
      <c r="AB4107" t="s">
        <v>9653</v>
      </c>
      <c r="AC4107">
        <f t="shared" si="155"/>
        <v>1933387</v>
      </c>
    </row>
    <row r="4108" spans="1:30">
      <c r="A4108" t="s">
        <v>9654</v>
      </c>
      <c r="G4108" s="225"/>
      <c r="H4108" s="210"/>
      <c r="K4108" s="180"/>
      <c r="M4108" t="s">
        <v>4945</v>
      </c>
      <c r="N4108" t="s">
        <v>5571</v>
      </c>
      <c r="O4108" t="s">
        <v>4943</v>
      </c>
      <c r="Q4108" t="str">
        <f t="shared" si="153"/>
        <v>condorProc.py --series 07180925_2005 --donoise --dumps a --procenv environments/pymidas_HVHV_NaI_mf.env</v>
      </c>
      <c r="R4108" t="str">
        <f t="shared" si="154"/>
        <v>ln -s ../../../../midasraw/byseries/07180925_2005 07180925_2005</v>
      </c>
      <c r="Z4108" t="str">
        <f t="shared" si="157"/>
        <v>07180925_1935 07180925_1945 07180925_1955 07180925_2005</v>
      </c>
      <c r="AB4108" t="s">
        <v>9655</v>
      </c>
      <c r="AC4108">
        <f t="shared" si="155"/>
        <v>1931045</v>
      </c>
    </row>
    <row r="4109" spans="1:30">
      <c r="A4109" t="s">
        <v>9656</v>
      </c>
      <c r="G4109" s="225"/>
      <c r="H4109" s="210"/>
      <c r="K4109" s="180"/>
      <c r="M4109" t="s">
        <v>4945</v>
      </c>
      <c r="N4109" t="s">
        <v>5571</v>
      </c>
      <c r="O4109" t="s">
        <v>4943</v>
      </c>
      <c r="Q4109" t="str">
        <f t="shared" si="153"/>
        <v>condorProc.py --series 07180925_2015 --donoise --dumps a --procenv environments/pymidas_HVHV_NaI_mf.env</v>
      </c>
      <c r="R4109" t="str">
        <f t="shared" si="154"/>
        <v>ln -s ../../../../midasraw/byseries/07180925_2015 07180925_2015</v>
      </c>
      <c r="Z4109" t="str">
        <f t="shared" si="157"/>
        <v>07180925_1935 07180925_1945 07180925_1955 07180925_2005 07180925_2015</v>
      </c>
      <c r="AB4109" t="s">
        <v>9657</v>
      </c>
      <c r="AC4109">
        <f t="shared" si="155"/>
        <v>1946617</v>
      </c>
    </row>
    <row r="4110" spans="1:30">
      <c r="A4110" t="s">
        <v>9658</v>
      </c>
      <c r="G4110" s="225"/>
      <c r="H4110" s="210"/>
      <c r="K4110" s="180"/>
      <c r="M4110" t="s">
        <v>4945</v>
      </c>
      <c r="N4110" t="s">
        <v>5571</v>
      </c>
      <c r="O4110" t="s">
        <v>4943</v>
      </c>
      <c r="Q4110" t="str">
        <f t="shared" si="153"/>
        <v>condorProc.py --series 07180925_2026 --donoise --dumps a --procenv environments/pymidas_HVHV_NaI_mf.env</v>
      </c>
      <c r="R4110" t="str">
        <f t="shared" si="154"/>
        <v>ln -s ../../../../midasraw/byseries/07180925_2026 07180925_2026</v>
      </c>
      <c r="Z4110" t="str">
        <f t="shared" si="157"/>
        <v>07180925_1935 07180925_1945 07180925_1955 07180925_2005 07180925_2015 07180925_2026</v>
      </c>
      <c r="AB4110" t="s">
        <v>9659</v>
      </c>
      <c r="AC4110">
        <f t="shared" si="155"/>
        <v>1939264</v>
      </c>
    </row>
    <row r="4111" spans="1:30">
      <c r="A4111" t="s">
        <v>9660</v>
      </c>
      <c r="G4111" s="225"/>
      <c r="H4111" s="210"/>
      <c r="K4111" s="180"/>
      <c r="M4111" t="s">
        <v>4945</v>
      </c>
      <c r="N4111" t="s">
        <v>5571</v>
      </c>
      <c r="O4111" t="s">
        <v>4943</v>
      </c>
      <c r="Q4111" t="str">
        <f t="shared" ref="Q4111:Q4174" si="158">"condorProc.py --series "&amp;A4111&amp;" --donoise --dumps a --procenv environments/pymidas_HVHV_NaI_mf.env"</f>
        <v>condorProc.py --series 07180925_2036 --donoise --dumps a --procenv environments/pymidas_HVHV_NaI_mf.env</v>
      </c>
      <c r="R4111" t="str">
        <f t="shared" ref="R4111:R4174" si="159">"ln -s ../../../../midasraw/byseries/"&amp;A4111&amp;" "&amp;A4111</f>
        <v>ln -s ../../../../midasraw/byseries/07180925_2036 07180925_2036</v>
      </c>
      <c r="Z4111" t="str">
        <f t="shared" si="157"/>
        <v>07180925_1935 07180925_1945 07180925_1955 07180925_2005 07180925_2015 07180925_2026 07180925_2036</v>
      </c>
      <c r="AB4111" t="s">
        <v>9661</v>
      </c>
      <c r="AC4111">
        <f t="shared" si="155"/>
        <v>1914763</v>
      </c>
    </row>
    <row r="4112" spans="1:30">
      <c r="A4112" t="s">
        <v>9662</v>
      </c>
      <c r="G4112" s="225"/>
      <c r="H4112" s="210"/>
      <c r="K4112" s="180"/>
      <c r="M4112" t="s">
        <v>4945</v>
      </c>
      <c r="N4112" t="s">
        <v>5571</v>
      </c>
      <c r="O4112" t="s">
        <v>4943</v>
      </c>
      <c r="Q4112" t="str">
        <f t="shared" si="158"/>
        <v>condorProc.py --series 07180925_2046 --donoise --dumps a --procenv environments/pymidas_HVHV_NaI_mf.env</v>
      </c>
      <c r="R4112" t="str">
        <f t="shared" si="159"/>
        <v>ln -s ../../../../midasraw/byseries/07180925_2046 07180925_2046</v>
      </c>
      <c r="Z4112" t="str">
        <f t="shared" si="157"/>
        <v>07180925_1935 07180925_1945 07180925_1955 07180925_2005 07180925_2015 07180925_2026 07180925_2036 07180925_2046</v>
      </c>
      <c r="AB4112" t="s">
        <v>9663</v>
      </c>
      <c r="AC4112">
        <f t="shared" si="155"/>
        <v>1927028</v>
      </c>
    </row>
    <row r="4113" spans="1:30">
      <c r="A4113" t="s">
        <v>9664</v>
      </c>
      <c r="G4113" s="225"/>
      <c r="H4113" s="210"/>
      <c r="I4113" t="s">
        <v>75</v>
      </c>
      <c r="K4113" s="180"/>
      <c r="M4113" t="s">
        <v>4945</v>
      </c>
      <c r="N4113" t="s">
        <v>5571</v>
      </c>
      <c r="O4113" t="s">
        <v>4943</v>
      </c>
      <c r="Q4113" t="str">
        <f t="shared" si="158"/>
        <v>condorProc.py --series 07180925_2056 --donoise --dumps a --procenv environments/pymidas_HVHV_NaI_mf.env</v>
      </c>
      <c r="R4113" t="str">
        <f t="shared" si="159"/>
        <v>ln -s ../../../../midasraw/byseries/07180925_2056 07180925_2056</v>
      </c>
      <c r="Z4113" t="str">
        <f t="shared" si="157"/>
        <v>07180925_1935 07180925_1945 07180925_1955 07180925_2005 07180925_2015 07180925_2026 07180925_2036 07180925_2046 07180925_2056</v>
      </c>
      <c r="AB4113" t="s">
        <v>9665</v>
      </c>
      <c r="AC4113">
        <f t="shared" si="155"/>
        <v>1942994</v>
      </c>
    </row>
    <row r="4114" spans="1:30">
      <c r="A4114" t="s">
        <v>9666</v>
      </c>
      <c r="G4114" s="225"/>
      <c r="H4114" s="210"/>
      <c r="K4114" s="180"/>
      <c r="M4114" t="s">
        <v>4945</v>
      </c>
      <c r="N4114" t="s">
        <v>5571</v>
      </c>
      <c r="O4114" t="s">
        <v>4943</v>
      </c>
      <c r="Q4114" t="str">
        <f t="shared" si="158"/>
        <v>condorProc.py --series 07180925_2106 --donoise --dumps a --procenv environments/pymidas_HVHV_NaI_mf.env</v>
      </c>
      <c r="R4114" t="str">
        <f t="shared" si="159"/>
        <v>ln -s ../../../../midasraw/byseries/07180925_2106 07180925_2106</v>
      </c>
      <c r="Z4114" t="str">
        <f t="shared" si="157"/>
        <v>07180925_1935 07180925_1945 07180925_1955 07180925_2005 07180925_2015 07180925_2026 07180925_2036 07180925_2046 07180925_2056 07180925_2106</v>
      </c>
      <c r="AB4114" t="s">
        <v>9667</v>
      </c>
      <c r="AC4114">
        <f t="shared" si="155"/>
        <v>1935533</v>
      </c>
    </row>
    <row r="4115" spans="1:30">
      <c r="A4115" t="s">
        <v>9668</v>
      </c>
      <c r="G4115" s="225"/>
      <c r="H4115" s="210"/>
      <c r="K4115" s="180"/>
      <c r="M4115" t="s">
        <v>4945</v>
      </c>
      <c r="N4115" t="s">
        <v>5571</v>
      </c>
      <c r="O4115" t="s">
        <v>4943</v>
      </c>
      <c r="Q4115" t="str">
        <f t="shared" si="158"/>
        <v>condorProc.py --series 07180925_2116 --donoise --dumps a --procenv environments/pymidas_HVHV_NaI_mf.env</v>
      </c>
      <c r="R4115" t="str">
        <f t="shared" si="159"/>
        <v>ln -s ../../../../midasraw/byseries/07180925_2116 07180925_2116</v>
      </c>
      <c r="Z4115" t="str">
        <f t="shared" si="157"/>
        <v>07180925_1935 07180925_1945 07180925_1955 07180925_2005 07180925_2015 07180925_2026 07180925_2036 07180925_2046 07180925_2056 07180925_2106 07180925_2116</v>
      </c>
      <c r="AB4115" t="s">
        <v>9669</v>
      </c>
      <c r="AC4115">
        <f t="shared" si="155"/>
        <v>1946548</v>
      </c>
    </row>
    <row r="4116" spans="1:30">
      <c r="A4116" t="s">
        <v>9670</v>
      </c>
      <c r="F4116" s="65"/>
      <c r="G4116" s="226"/>
      <c r="H4116" s="211"/>
      <c r="I4116" s="65"/>
      <c r="J4116" s="65"/>
      <c r="K4116" s="182"/>
      <c r="M4116" t="s">
        <v>4945</v>
      </c>
      <c r="N4116" t="s">
        <v>5571</v>
      </c>
      <c r="O4116" t="s">
        <v>4943</v>
      </c>
      <c r="Q4116" t="str">
        <f t="shared" si="158"/>
        <v>condorProc.py --series 07180925_2126 --donoise --dumps a --procenv environments/pymidas_HVHV_NaI_mf.env</v>
      </c>
      <c r="R4116" t="str">
        <f t="shared" si="159"/>
        <v>ln -s ../../../../midasraw/byseries/07180925_2126 07180925_2126</v>
      </c>
      <c r="Z4116" t="str">
        <f t="shared" si="157"/>
        <v>07180925_1935 07180925_1945 07180925_1955 07180925_2005 07180925_2015 07180925_2026 07180925_2036 07180925_2046 07180925_2056 07180925_2106 07180925_2116 07180925_2126</v>
      </c>
      <c r="AA4116" t="str">
        <f>"du "&amp;Z4116</f>
        <v>du 07180925_1935 07180925_1945 07180925_1955 07180925_2005 07180925_2015 07180925_2026 07180925_2036 07180925_2046 07180925_2056 07180925_2106 07180925_2116 07180925_2126</v>
      </c>
      <c r="AB4116" t="s">
        <v>9671</v>
      </c>
      <c r="AC4116">
        <f t="shared" si="155"/>
        <v>1939529</v>
      </c>
      <c r="AD4116">
        <f>SUM(AC4105:AC4116)</f>
        <v>23237549</v>
      </c>
    </row>
    <row r="4117" spans="1:30">
      <c r="A4117" t="s">
        <v>9672</v>
      </c>
      <c r="F4117" s="177">
        <v>10</v>
      </c>
      <c r="G4117" s="224" t="s">
        <v>8641</v>
      </c>
      <c r="H4117" s="209">
        <v>-125</v>
      </c>
      <c r="I4117" s="177"/>
      <c r="J4117" s="177" t="s">
        <v>5577</v>
      </c>
      <c r="K4117" s="178" t="s">
        <v>5583</v>
      </c>
      <c r="M4117" t="s">
        <v>4945</v>
      </c>
      <c r="N4117" t="s">
        <v>5571</v>
      </c>
      <c r="O4117" t="s">
        <v>4943</v>
      </c>
      <c r="Q4117" t="str">
        <f t="shared" si="158"/>
        <v>condorProc.py --series 07180925_2229 --donoise --dumps a --procenv environments/pymidas_HVHV_NaI_mf.env</v>
      </c>
      <c r="R4117" t="str">
        <f t="shared" si="159"/>
        <v>ln -s ../../../../midasraw/byseries/07180925_2229 07180925_2229</v>
      </c>
      <c r="AD4117">
        <f>AVERAGE(AD4104:AD4116)</f>
        <v>23218835</v>
      </c>
    </row>
    <row r="4118" spans="1:30">
      <c r="A4118" t="s">
        <v>9673</v>
      </c>
      <c r="G4118" s="225"/>
      <c r="H4118" s="210"/>
      <c r="J4118" t="s">
        <v>5585</v>
      </c>
      <c r="K4118" s="218" t="s">
        <v>5586</v>
      </c>
      <c r="M4118" t="s">
        <v>4945</v>
      </c>
      <c r="N4118" t="s">
        <v>5571</v>
      </c>
      <c r="O4118" t="s">
        <v>4943</v>
      </c>
      <c r="Q4118" t="str">
        <f t="shared" si="158"/>
        <v>condorProc.py --series 07180925_2239 --donoise --dumps a --procenv environments/pymidas_HVHV_NaI_mf.env</v>
      </c>
      <c r="R4118" t="str">
        <f t="shared" si="159"/>
        <v>ln -s ../../../../midasraw/byseries/07180925_2239 07180925_2239</v>
      </c>
    </row>
    <row r="4119" spans="1:30">
      <c r="A4119" t="s">
        <v>9674</v>
      </c>
      <c r="G4119" s="225"/>
      <c r="H4119" s="210"/>
      <c r="K4119" s="219" t="s">
        <v>8388</v>
      </c>
      <c r="M4119" t="s">
        <v>4945</v>
      </c>
      <c r="N4119" t="s">
        <v>5571</v>
      </c>
      <c r="O4119" t="s">
        <v>4943</v>
      </c>
      <c r="Q4119" t="str">
        <f t="shared" si="158"/>
        <v>condorProc.py --series 07180925_2249 --donoise --dumps a --procenv environments/pymidas_HVHV_NaI_mf.env</v>
      </c>
      <c r="R4119" t="str">
        <f t="shared" si="159"/>
        <v>ln -s ../../../../midasraw/byseries/07180925_2249 07180925_2249</v>
      </c>
    </row>
    <row r="4120" spans="1:30">
      <c r="A4120" t="s">
        <v>9675</v>
      </c>
      <c r="G4120" s="225"/>
      <c r="H4120" s="210"/>
      <c r="K4120" s="180"/>
      <c r="M4120" t="s">
        <v>4945</v>
      </c>
      <c r="N4120" t="s">
        <v>5571</v>
      </c>
      <c r="O4120" t="s">
        <v>4943</v>
      </c>
      <c r="Q4120" t="str">
        <f t="shared" si="158"/>
        <v>condorProc.py --series 07180925_2259 --donoise --dumps a --procenv environments/pymidas_HVHV_NaI_mf.env</v>
      </c>
      <c r="R4120" t="str">
        <f t="shared" si="159"/>
        <v>ln -s ../../../../midasraw/byseries/07180925_2259 07180925_2259</v>
      </c>
    </row>
    <row r="4121" spans="1:30">
      <c r="A4121" t="s">
        <v>9676</v>
      </c>
      <c r="G4121" s="225"/>
      <c r="H4121" s="210"/>
      <c r="K4121" s="180"/>
      <c r="M4121" t="s">
        <v>4945</v>
      </c>
      <c r="N4121" t="s">
        <v>5571</v>
      </c>
      <c r="O4121" t="s">
        <v>4943</v>
      </c>
      <c r="Q4121" t="str">
        <f t="shared" si="158"/>
        <v>condorProc.py --series 07180925_2309 --donoise --dumps a --procenv environments/pymidas_HVHV_NaI_mf.env</v>
      </c>
      <c r="R4121" t="str">
        <f t="shared" si="159"/>
        <v>ln -s ../../../../midasraw/byseries/07180925_2309 07180925_2309</v>
      </c>
    </row>
    <row r="4122" spans="1:30">
      <c r="A4122" t="s">
        <v>9677</v>
      </c>
      <c r="G4122" s="225"/>
      <c r="H4122" s="210"/>
      <c r="K4122" s="180"/>
      <c r="M4122" t="s">
        <v>4945</v>
      </c>
      <c r="N4122" t="s">
        <v>5571</v>
      </c>
      <c r="O4122" t="s">
        <v>4943</v>
      </c>
      <c r="Q4122" t="str">
        <f t="shared" si="158"/>
        <v>condorProc.py --series 07180925_2320 --donoise --dumps a --procenv environments/pymidas_HVHV_NaI_mf.env</v>
      </c>
      <c r="R4122" t="str">
        <f t="shared" si="159"/>
        <v>ln -s ../../../../midasraw/byseries/07180925_2320 07180925_2320</v>
      </c>
    </row>
    <row r="4123" spans="1:30">
      <c r="A4123" t="s">
        <v>9678</v>
      </c>
      <c r="G4123" s="225"/>
      <c r="H4123" s="210"/>
      <c r="K4123" s="180"/>
      <c r="M4123" t="s">
        <v>4945</v>
      </c>
      <c r="N4123" t="s">
        <v>5571</v>
      </c>
      <c r="O4123" t="s">
        <v>4943</v>
      </c>
      <c r="Q4123" t="str">
        <f t="shared" si="158"/>
        <v>condorProc.py --series 07180925_2330 --donoise --dumps a --procenv environments/pymidas_HVHV_NaI_mf.env</v>
      </c>
      <c r="R4123" t="str">
        <f t="shared" si="159"/>
        <v>ln -s ../../../../midasraw/byseries/07180925_2330 07180925_2330</v>
      </c>
    </row>
    <row r="4124" spans="1:30">
      <c r="A4124" t="s">
        <v>9679</v>
      </c>
      <c r="G4124" s="225"/>
      <c r="H4124" s="210"/>
      <c r="K4124" s="180"/>
      <c r="M4124" t="s">
        <v>4945</v>
      </c>
      <c r="N4124" t="s">
        <v>5571</v>
      </c>
      <c r="O4124" t="s">
        <v>4943</v>
      </c>
      <c r="Q4124" t="str">
        <f t="shared" si="158"/>
        <v>condorProc.py --series 07180925_2340 --donoise --dumps a --procenv environments/pymidas_HVHV_NaI_mf.env</v>
      </c>
      <c r="R4124" t="str">
        <f t="shared" si="159"/>
        <v>ln -s ../../../../midasraw/byseries/07180925_2340 07180925_2340</v>
      </c>
    </row>
    <row r="4125" spans="1:30">
      <c r="A4125" t="s">
        <v>9680</v>
      </c>
      <c r="G4125" s="225"/>
      <c r="H4125" s="210"/>
      <c r="K4125" s="180"/>
      <c r="M4125" t="s">
        <v>4945</v>
      </c>
      <c r="N4125" t="s">
        <v>5571</v>
      </c>
      <c r="O4125" t="s">
        <v>4943</v>
      </c>
      <c r="Q4125" t="str">
        <f t="shared" si="158"/>
        <v>condorProc.py --series 07180925_2350 --donoise --dumps a --procenv environments/pymidas_HVHV_NaI_mf.env</v>
      </c>
      <c r="R4125" t="str">
        <f t="shared" si="159"/>
        <v>ln -s ../../../../midasraw/byseries/07180925_2350 07180925_2350</v>
      </c>
    </row>
    <row r="4126" spans="1:30">
      <c r="A4126" t="s">
        <v>9681</v>
      </c>
      <c r="G4126" s="225"/>
      <c r="H4126" s="210"/>
      <c r="K4126" s="180"/>
      <c r="M4126" t="s">
        <v>4945</v>
      </c>
      <c r="N4126" t="s">
        <v>5571</v>
      </c>
      <c r="O4126" t="s">
        <v>4943</v>
      </c>
      <c r="Q4126" t="str">
        <f t="shared" si="158"/>
        <v>condorProc.py --series 07180926_0000 --donoise --dumps a --procenv environments/pymidas_HVHV_NaI_mf.env</v>
      </c>
      <c r="R4126" t="str">
        <f t="shared" si="159"/>
        <v>ln -s ../../../../midasraw/byseries/07180926_0000 07180926_0000</v>
      </c>
    </row>
    <row r="4127" spans="1:30">
      <c r="A4127" t="s">
        <v>9682</v>
      </c>
      <c r="G4127" s="225"/>
      <c r="H4127" s="210"/>
      <c r="K4127" s="180"/>
      <c r="M4127" t="s">
        <v>4945</v>
      </c>
      <c r="N4127" t="s">
        <v>5571</v>
      </c>
      <c r="O4127" t="s">
        <v>4943</v>
      </c>
      <c r="Q4127" t="str">
        <f t="shared" si="158"/>
        <v>condorProc.py --series 07180926_0010 --donoise --dumps a --procenv environments/pymidas_HVHV_NaI_mf.env</v>
      </c>
      <c r="R4127" t="str">
        <f t="shared" si="159"/>
        <v>ln -s ../../../../midasraw/byseries/07180926_0010 07180926_0010</v>
      </c>
    </row>
    <row r="4128" spans="1:30">
      <c r="A4128" t="s">
        <v>9683</v>
      </c>
      <c r="F4128" s="65"/>
      <c r="G4128" s="226"/>
      <c r="H4128" s="211"/>
      <c r="I4128" s="65"/>
      <c r="J4128" s="65"/>
      <c r="K4128" s="182"/>
      <c r="M4128" t="s">
        <v>4945</v>
      </c>
      <c r="N4128" t="s">
        <v>5571</v>
      </c>
      <c r="O4128" t="s">
        <v>4943</v>
      </c>
      <c r="Q4128" t="str">
        <f t="shared" si="158"/>
        <v>condorProc.py --series 07180926_0020 --donoise --dumps a --procenv environments/pymidas_HVHV_NaI_mf.env</v>
      </c>
      <c r="R4128" t="str">
        <f t="shared" si="159"/>
        <v>ln -s ../../../../midasraw/byseries/07180926_0020 07180926_0020</v>
      </c>
    </row>
    <row r="4129" spans="1:18">
      <c r="A4129" t="s">
        <v>9684</v>
      </c>
      <c r="F4129" s="177">
        <v>10</v>
      </c>
      <c r="G4129" s="224" t="s">
        <v>8641</v>
      </c>
      <c r="H4129" s="209">
        <v>-125</v>
      </c>
      <c r="I4129" s="177"/>
      <c r="J4129" s="177" t="s">
        <v>5577</v>
      </c>
      <c r="K4129" s="178" t="s">
        <v>5583</v>
      </c>
      <c r="M4129" t="s">
        <v>4945</v>
      </c>
      <c r="N4129" t="s">
        <v>5571</v>
      </c>
      <c r="O4129" t="s">
        <v>4943</v>
      </c>
      <c r="Q4129" t="str">
        <f t="shared" si="158"/>
        <v>condorProc.py --series 07180926_0122 --donoise --dumps a --procenv environments/pymidas_HVHV_NaI_mf.env</v>
      </c>
      <c r="R4129" t="str">
        <f t="shared" si="159"/>
        <v>ln -s ../../../../midasraw/byseries/07180926_0122 07180926_0122</v>
      </c>
    </row>
    <row r="4130" spans="1:18">
      <c r="A4130" t="s">
        <v>9685</v>
      </c>
      <c r="G4130" s="225"/>
      <c r="H4130" s="210"/>
      <c r="J4130" t="s">
        <v>5585</v>
      </c>
      <c r="K4130" s="218" t="s">
        <v>5586</v>
      </c>
      <c r="M4130" t="s">
        <v>4945</v>
      </c>
      <c r="N4130" t="s">
        <v>5571</v>
      </c>
      <c r="O4130" t="s">
        <v>4943</v>
      </c>
      <c r="Q4130" t="str">
        <f t="shared" si="158"/>
        <v>condorProc.py --series 07180926_0132 --donoise --dumps a --procenv environments/pymidas_HVHV_NaI_mf.env</v>
      </c>
      <c r="R4130" t="str">
        <f t="shared" si="159"/>
        <v>ln -s ../../../../midasraw/byseries/07180926_0132 07180926_0132</v>
      </c>
    </row>
    <row r="4131" spans="1:18">
      <c r="A4131" t="s">
        <v>9686</v>
      </c>
      <c r="G4131" s="225"/>
      <c r="H4131" s="210"/>
      <c r="K4131" s="219" t="s">
        <v>8388</v>
      </c>
      <c r="M4131" t="s">
        <v>4945</v>
      </c>
      <c r="N4131" t="s">
        <v>5571</v>
      </c>
      <c r="O4131" t="s">
        <v>4943</v>
      </c>
      <c r="Q4131" t="str">
        <f t="shared" si="158"/>
        <v>condorProc.py --series 07180926_0142 --donoise --dumps a --procenv environments/pymidas_HVHV_NaI_mf.env</v>
      </c>
      <c r="R4131" t="str">
        <f t="shared" si="159"/>
        <v>ln -s ../../../../midasraw/byseries/07180926_0142 07180926_0142</v>
      </c>
    </row>
    <row r="4132" spans="1:18">
      <c r="A4132" t="s">
        <v>9687</v>
      </c>
      <c r="G4132" s="225"/>
      <c r="H4132" s="210"/>
      <c r="K4132" s="180"/>
      <c r="M4132" t="s">
        <v>4945</v>
      </c>
      <c r="N4132" t="s">
        <v>5571</v>
      </c>
      <c r="O4132" t="s">
        <v>4943</v>
      </c>
      <c r="Q4132" t="str">
        <f t="shared" si="158"/>
        <v>condorProc.py --series 07180926_0152 --donoise --dumps a --procenv environments/pymidas_HVHV_NaI_mf.env</v>
      </c>
      <c r="R4132" t="str">
        <f t="shared" si="159"/>
        <v>ln -s ../../../../midasraw/byseries/07180926_0152 07180926_0152</v>
      </c>
    </row>
    <row r="4133" spans="1:18">
      <c r="A4133" t="s">
        <v>9688</v>
      </c>
      <c r="G4133" s="225"/>
      <c r="H4133" s="210"/>
      <c r="K4133" s="180"/>
      <c r="M4133" t="s">
        <v>4945</v>
      </c>
      <c r="N4133" t="s">
        <v>5571</v>
      </c>
      <c r="O4133" t="s">
        <v>4943</v>
      </c>
      <c r="Q4133" t="str">
        <f t="shared" si="158"/>
        <v>condorProc.py --series 07180926_0203 --donoise --dumps a --procenv environments/pymidas_HVHV_NaI_mf.env</v>
      </c>
      <c r="R4133" t="str">
        <f t="shared" si="159"/>
        <v>ln -s ../../../../midasraw/byseries/07180926_0203 07180926_0203</v>
      </c>
    </row>
    <row r="4134" spans="1:18">
      <c r="A4134" t="s">
        <v>9689</v>
      </c>
      <c r="G4134" s="225"/>
      <c r="H4134" s="210"/>
      <c r="K4134" s="180"/>
      <c r="M4134" t="s">
        <v>4945</v>
      </c>
      <c r="N4134" t="s">
        <v>5571</v>
      </c>
      <c r="O4134" t="s">
        <v>4943</v>
      </c>
      <c r="Q4134" t="str">
        <f t="shared" si="158"/>
        <v>condorProc.py --series 07180926_0213 --donoise --dumps a --procenv environments/pymidas_HVHV_NaI_mf.env</v>
      </c>
      <c r="R4134" t="str">
        <f t="shared" si="159"/>
        <v>ln -s ../../../../midasraw/byseries/07180926_0213 07180926_0213</v>
      </c>
    </row>
    <row r="4135" spans="1:18">
      <c r="A4135" t="s">
        <v>9690</v>
      </c>
      <c r="G4135" s="225"/>
      <c r="H4135" s="210"/>
      <c r="K4135" s="180"/>
      <c r="M4135" t="s">
        <v>4945</v>
      </c>
      <c r="N4135" t="s">
        <v>5571</v>
      </c>
      <c r="O4135" t="s">
        <v>4943</v>
      </c>
      <c r="Q4135" t="str">
        <f t="shared" si="158"/>
        <v>condorProc.py --series 07180926_0223 --donoise --dumps a --procenv environments/pymidas_HVHV_NaI_mf.env</v>
      </c>
      <c r="R4135" t="str">
        <f t="shared" si="159"/>
        <v>ln -s ../../../../midasraw/byseries/07180926_0223 07180926_0223</v>
      </c>
    </row>
    <row r="4136" spans="1:18">
      <c r="A4136" t="s">
        <v>9691</v>
      </c>
      <c r="G4136" s="225"/>
      <c r="H4136" s="210"/>
      <c r="K4136" s="180"/>
      <c r="M4136" t="s">
        <v>4945</v>
      </c>
      <c r="N4136" t="s">
        <v>5571</v>
      </c>
      <c r="O4136" t="s">
        <v>4943</v>
      </c>
      <c r="Q4136" t="str">
        <f t="shared" si="158"/>
        <v>condorProc.py --series 07180926_0233 --donoise --dumps a --procenv environments/pymidas_HVHV_NaI_mf.env</v>
      </c>
      <c r="R4136" t="str">
        <f t="shared" si="159"/>
        <v>ln -s ../../../../midasraw/byseries/07180926_0233 07180926_0233</v>
      </c>
    </row>
    <row r="4137" spans="1:18">
      <c r="A4137" t="s">
        <v>9692</v>
      </c>
      <c r="G4137" s="225"/>
      <c r="H4137" s="210"/>
      <c r="K4137" s="180"/>
      <c r="M4137" t="s">
        <v>4945</v>
      </c>
      <c r="N4137" t="s">
        <v>5571</v>
      </c>
      <c r="O4137" t="s">
        <v>4943</v>
      </c>
      <c r="Q4137" t="str">
        <f t="shared" si="158"/>
        <v>condorProc.py --series 07180926_0243 --donoise --dumps a --procenv environments/pymidas_HVHV_NaI_mf.env</v>
      </c>
      <c r="R4137" t="str">
        <f t="shared" si="159"/>
        <v>ln -s ../../../../midasraw/byseries/07180926_0243 07180926_0243</v>
      </c>
    </row>
    <row r="4138" spans="1:18">
      <c r="A4138" t="s">
        <v>9693</v>
      </c>
      <c r="G4138" s="225"/>
      <c r="H4138" s="210"/>
      <c r="K4138" s="180"/>
      <c r="M4138" t="s">
        <v>4945</v>
      </c>
      <c r="N4138" t="s">
        <v>5571</v>
      </c>
      <c r="O4138" t="s">
        <v>4943</v>
      </c>
      <c r="Q4138" t="str">
        <f t="shared" si="158"/>
        <v>condorProc.py --series 07180926_0253 --donoise --dumps a --procenv environments/pymidas_HVHV_NaI_mf.env</v>
      </c>
      <c r="R4138" t="str">
        <f t="shared" si="159"/>
        <v>ln -s ../../../../midasraw/byseries/07180926_0253 07180926_0253</v>
      </c>
    </row>
    <row r="4139" spans="1:18">
      <c r="A4139" t="s">
        <v>9694</v>
      </c>
      <c r="G4139" s="225"/>
      <c r="H4139" s="210"/>
      <c r="K4139" s="180"/>
      <c r="M4139" t="s">
        <v>4945</v>
      </c>
      <c r="N4139" t="s">
        <v>5571</v>
      </c>
      <c r="O4139" t="s">
        <v>4943</v>
      </c>
      <c r="Q4139" t="str">
        <f t="shared" si="158"/>
        <v>condorProc.py --series 07180926_0303 --donoise --dumps a --procenv environments/pymidas_HVHV_NaI_mf.env</v>
      </c>
      <c r="R4139" t="str">
        <f t="shared" si="159"/>
        <v>ln -s ../../../../midasraw/byseries/07180926_0303 07180926_0303</v>
      </c>
    </row>
    <row r="4140" spans="1:18">
      <c r="A4140" t="s">
        <v>9695</v>
      </c>
      <c r="F4140" s="65"/>
      <c r="G4140" s="226"/>
      <c r="H4140" s="211"/>
      <c r="I4140" s="65"/>
      <c r="J4140" s="65"/>
      <c r="K4140" s="182"/>
      <c r="M4140" t="s">
        <v>4945</v>
      </c>
      <c r="N4140" t="s">
        <v>5571</v>
      </c>
      <c r="O4140" t="s">
        <v>4943</v>
      </c>
      <c r="Q4140" t="str">
        <f t="shared" si="158"/>
        <v>condorProc.py --series 07180926_0313 --donoise --dumps a --procenv environments/pymidas_HVHV_NaI_mf.env</v>
      </c>
      <c r="R4140" t="str">
        <f t="shared" si="159"/>
        <v>ln -s ../../../../midasraw/byseries/07180926_0313 07180926_0313</v>
      </c>
    </row>
    <row r="4141" spans="1:18">
      <c r="A4141" t="s">
        <v>9696</v>
      </c>
      <c r="F4141" s="177">
        <v>10</v>
      </c>
      <c r="G4141" s="224" t="s">
        <v>8641</v>
      </c>
      <c r="H4141" s="209">
        <v>-125</v>
      </c>
      <c r="I4141" s="177"/>
      <c r="J4141" s="177" t="s">
        <v>5577</v>
      </c>
      <c r="K4141" s="178" t="s">
        <v>5583</v>
      </c>
      <c r="M4141" t="s">
        <v>4945</v>
      </c>
      <c r="N4141" t="s">
        <v>5571</v>
      </c>
      <c r="O4141" t="s">
        <v>4943</v>
      </c>
      <c r="Q4141" t="str">
        <f t="shared" si="158"/>
        <v>condorProc.py --series 07180926_0415 --donoise --dumps a --procenv environments/pymidas_HVHV_NaI_mf.env</v>
      </c>
      <c r="R4141" t="str">
        <f t="shared" si="159"/>
        <v>ln -s ../../../../midasraw/byseries/07180926_0415 07180926_0415</v>
      </c>
    </row>
    <row r="4142" spans="1:18">
      <c r="A4142" t="s">
        <v>9697</v>
      </c>
      <c r="G4142" s="225"/>
      <c r="H4142" s="210"/>
      <c r="J4142" t="s">
        <v>5585</v>
      </c>
      <c r="K4142" s="218" t="s">
        <v>5586</v>
      </c>
      <c r="M4142" t="s">
        <v>4945</v>
      </c>
      <c r="N4142" t="s">
        <v>5571</v>
      </c>
      <c r="O4142" t="s">
        <v>4943</v>
      </c>
      <c r="Q4142" t="str">
        <f t="shared" si="158"/>
        <v>condorProc.py --series 07180926_0426 --donoise --dumps a --procenv environments/pymidas_HVHV_NaI_mf.env</v>
      </c>
      <c r="R4142" t="str">
        <f t="shared" si="159"/>
        <v>ln -s ../../../../midasraw/byseries/07180926_0426 07180926_0426</v>
      </c>
    </row>
    <row r="4143" spans="1:18">
      <c r="A4143" t="s">
        <v>9698</v>
      </c>
      <c r="G4143" s="225"/>
      <c r="H4143" s="210"/>
      <c r="K4143" s="219" t="s">
        <v>8388</v>
      </c>
      <c r="M4143" t="s">
        <v>4945</v>
      </c>
      <c r="N4143" t="s">
        <v>5571</v>
      </c>
      <c r="O4143" t="s">
        <v>4943</v>
      </c>
      <c r="Q4143" t="str">
        <f t="shared" si="158"/>
        <v>condorProc.py --series 07180926_0436 --donoise --dumps a --procenv environments/pymidas_HVHV_NaI_mf.env</v>
      </c>
      <c r="R4143" t="str">
        <f t="shared" si="159"/>
        <v>ln -s ../../../../midasraw/byseries/07180926_0436 07180926_0436</v>
      </c>
    </row>
    <row r="4144" spans="1:18">
      <c r="A4144" t="s">
        <v>9699</v>
      </c>
      <c r="G4144" s="225"/>
      <c r="H4144" s="210"/>
      <c r="K4144" s="180"/>
      <c r="M4144" t="s">
        <v>4945</v>
      </c>
      <c r="N4144" t="s">
        <v>5571</v>
      </c>
      <c r="O4144" t="s">
        <v>4943</v>
      </c>
      <c r="Q4144" t="str">
        <f t="shared" si="158"/>
        <v>condorProc.py --series 07180926_0446 --donoise --dumps a --procenv environments/pymidas_HVHV_NaI_mf.env</v>
      </c>
      <c r="R4144" t="str">
        <f t="shared" si="159"/>
        <v>ln -s ../../../../midasraw/byseries/07180926_0446 07180926_0446</v>
      </c>
    </row>
    <row r="4145" spans="1:18">
      <c r="A4145" t="s">
        <v>9700</v>
      </c>
      <c r="G4145" s="225"/>
      <c r="H4145" s="210"/>
      <c r="K4145" s="180"/>
      <c r="M4145" t="s">
        <v>4945</v>
      </c>
      <c r="N4145" t="s">
        <v>5571</v>
      </c>
      <c r="O4145" t="s">
        <v>4943</v>
      </c>
      <c r="Q4145" t="str">
        <f t="shared" si="158"/>
        <v>condorProc.py --series 07180926_0456 --donoise --dumps a --procenv environments/pymidas_HVHV_NaI_mf.env</v>
      </c>
      <c r="R4145" t="str">
        <f t="shared" si="159"/>
        <v>ln -s ../../../../midasraw/byseries/07180926_0456 07180926_0456</v>
      </c>
    </row>
    <row r="4146" spans="1:18">
      <c r="A4146" t="s">
        <v>9701</v>
      </c>
      <c r="G4146" s="225"/>
      <c r="H4146" s="210"/>
      <c r="K4146" s="180"/>
      <c r="M4146" t="s">
        <v>4945</v>
      </c>
      <c r="N4146" t="s">
        <v>5571</v>
      </c>
      <c r="O4146" t="s">
        <v>4943</v>
      </c>
      <c r="Q4146" t="str">
        <f t="shared" si="158"/>
        <v>condorProc.py --series 07180926_0506 --donoise --dumps a --procenv environments/pymidas_HVHV_NaI_mf.env</v>
      </c>
      <c r="R4146" t="str">
        <f t="shared" si="159"/>
        <v>ln -s ../../../../midasraw/byseries/07180926_0506 07180926_0506</v>
      </c>
    </row>
    <row r="4147" spans="1:18">
      <c r="A4147" t="s">
        <v>9702</v>
      </c>
      <c r="G4147" s="225"/>
      <c r="H4147" s="210"/>
      <c r="K4147" s="180"/>
      <c r="M4147" t="s">
        <v>4945</v>
      </c>
      <c r="N4147" t="s">
        <v>5571</v>
      </c>
      <c r="O4147" t="s">
        <v>4943</v>
      </c>
      <c r="Q4147" t="str">
        <f t="shared" si="158"/>
        <v>condorProc.py --series 07180926_0516 --donoise --dumps a --procenv environments/pymidas_HVHV_NaI_mf.env</v>
      </c>
      <c r="R4147" t="str">
        <f t="shared" si="159"/>
        <v>ln -s ../../../../midasraw/byseries/07180926_0516 07180926_0516</v>
      </c>
    </row>
    <row r="4148" spans="1:18">
      <c r="A4148" t="s">
        <v>9703</v>
      </c>
      <c r="G4148" s="225"/>
      <c r="H4148" s="210"/>
      <c r="K4148" s="180"/>
      <c r="M4148" t="s">
        <v>4945</v>
      </c>
      <c r="N4148" t="s">
        <v>5571</v>
      </c>
      <c r="O4148" t="s">
        <v>4943</v>
      </c>
      <c r="Q4148" t="str">
        <f t="shared" si="158"/>
        <v>condorProc.py --series 07180926_0526 --donoise --dumps a --procenv environments/pymidas_HVHV_NaI_mf.env</v>
      </c>
      <c r="R4148" t="str">
        <f t="shared" si="159"/>
        <v>ln -s ../../../../midasraw/byseries/07180926_0526 07180926_0526</v>
      </c>
    </row>
    <row r="4149" spans="1:18">
      <c r="A4149" t="s">
        <v>9704</v>
      </c>
      <c r="G4149" s="225"/>
      <c r="H4149" s="210"/>
      <c r="K4149" s="180"/>
      <c r="M4149" t="s">
        <v>4945</v>
      </c>
      <c r="N4149" t="s">
        <v>5571</v>
      </c>
      <c r="O4149" t="s">
        <v>4943</v>
      </c>
      <c r="Q4149" t="str">
        <f t="shared" si="158"/>
        <v>condorProc.py --series 07180926_0537 --donoise --dumps a --procenv environments/pymidas_HVHV_NaI_mf.env</v>
      </c>
      <c r="R4149" t="str">
        <f t="shared" si="159"/>
        <v>ln -s ../../../../midasraw/byseries/07180926_0537 07180926_0537</v>
      </c>
    </row>
    <row r="4150" spans="1:18">
      <c r="A4150" t="s">
        <v>9705</v>
      </c>
      <c r="G4150" s="225"/>
      <c r="H4150" s="210"/>
      <c r="K4150" s="180"/>
      <c r="M4150" t="s">
        <v>4945</v>
      </c>
      <c r="N4150" t="s">
        <v>5571</v>
      </c>
      <c r="O4150" t="s">
        <v>4943</v>
      </c>
      <c r="Q4150" t="str">
        <f t="shared" si="158"/>
        <v>condorProc.py --series 07180926_0547 --donoise --dumps a --procenv environments/pymidas_HVHV_NaI_mf.env</v>
      </c>
      <c r="R4150" t="str">
        <f t="shared" si="159"/>
        <v>ln -s ../../../../midasraw/byseries/07180926_0547 07180926_0547</v>
      </c>
    </row>
    <row r="4151" spans="1:18">
      <c r="A4151" t="s">
        <v>9706</v>
      </c>
      <c r="G4151" s="225"/>
      <c r="H4151" s="210"/>
      <c r="K4151" s="180"/>
      <c r="M4151" t="s">
        <v>4945</v>
      </c>
      <c r="N4151" t="s">
        <v>5571</v>
      </c>
      <c r="O4151" t="s">
        <v>4943</v>
      </c>
      <c r="Q4151" t="str">
        <f t="shared" si="158"/>
        <v>condorProc.py --series 07180926_0557 --donoise --dumps a --procenv environments/pymidas_HVHV_NaI_mf.env</v>
      </c>
      <c r="R4151" t="str">
        <f t="shared" si="159"/>
        <v>ln -s ../../../../midasraw/byseries/07180926_0557 07180926_0557</v>
      </c>
    </row>
    <row r="4152" spans="1:18">
      <c r="A4152" t="s">
        <v>9707</v>
      </c>
      <c r="F4152" s="65"/>
      <c r="G4152" s="226"/>
      <c r="H4152" s="211"/>
      <c r="I4152" s="65"/>
      <c r="J4152" s="65"/>
      <c r="K4152" s="182"/>
      <c r="M4152" t="s">
        <v>4945</v>
      </c>
      <c r="N4152" t="s">
        <v>5571</v>
      </c>
      <c r="O4152" t="s">
        <v>4943</v>
      </c>
      <c r="Q4152" t="str">
        <f t="shared" si="158"/>
        <v>condorProc.py --series 07180926_0607 --donoise --dumps a --procenv environments/pymidas_HVHV_NaI_mf.env</v>
      </c>
      <c r="R4152" t="str">
        <f t="shared" si="159"/>
        <v>ln -s ../../../../midasraw/byseries/07180926_0607 07180926_0607</v>
      </c>
    </row>
    <row r="4153" spans="1:18">
      <c r="A4153" t="s">
        <v>9708</v>
      </c>
      <c r="F4153" s="177">
        <v>10</v>
      </c>
      <c r="G4153" s="224" t="s">
        <v>8641</v>
      </c>
      <c r="H4153" s="209">
        <v>-125</v>
      </c>
      <c r="I4153" s="177"/>
      <c r="J4153" s="177" t="s">
        <v>5577</v>
      </c>
      <c r="K4153" s="178" t="s">
        <v>5583</v>
      </c>
      <c r="M4153" t="s">
        <v>4945</v>
      </c>
      <c r="N4153" t="s">
        <v>5571</v>
      </c>
      <c r="O4153" t="s">
        <v>4943</v>
      </c>
      <c r="Q4153" t="str">
        <f t="shared" si="158"/>
        <v>condorProc.py --series 07180926_0709 --donoise --dumps a --procenv environments/pymidas_HVHV_NaI_mf.env</v>
      </c>
      <c r="R4153" t="str">
        <f t="shared" si="159"/>
        <v>ln -s ../../../../midasraw/byseries/07180926_0709 07180926_0709</v>
      </c>
    </row>
    <row r="4154" spans="1:18">
      <c r="A4154" t="s">
        <v>9709</v>
      </c>
      <c r="G4154" s="225"/>
      <c r="H4154" s="210"/>
      <c r="J4154" t="s">
        <v>5585</v>
      </c>
      <c r="K4154" s="218" t="s">
        <v>5586</v>
      </c>
      <c r="M4154" t="s">
        <v>4945</v>
      </c>
      <c r="N4154" t="s">
        <v>5571</v>
      </c>
      <c r="O4154" t="s">
        <v>4943</v>
      </c>
      <c r="Q4154" t="str">
        <f t="shared" si="158"/>
        <v>condorProc.py --series 07180926_0719 --donoise --dumps a --procenv environments/pymidas_HVHV_NaI_mf.env</v>
      </c>
      <c r="R4154" t="str">
        <f t="shared" si="159"/>
        <v>ln -s ../../../../midasraw/byseries/07180926_0719 07180926_0719</v>
      </c>
    </row>
    <row r="4155" spans="1:18">
      <c r="A4155" t="s">
        <v>9710</v>
      </c>
      <c r="G4155" s="225"/>
      <c r="H4155" s="210"/>
      <c r="K4155" s="219" t="s">
        <v>8388</v>
      </c>
      <c r="M4155" t="s">
        <v>4945</v>
      </c>
      <c r="N4155" t="s">
        <v>5571</v>
      </c>
      <c r="O4155" t="s">
        <v>4943</v>
      </c>
      <c r="Q4155" t="str">
        <f t="shared" si="158"/>
        <v>condorProc.py --series 07180926_0729 --donoise --dumps a --procenv environments/pymidas_HVHV_NaI_mf.env</v>
      </c>
      <c r="R4155" t="str">
        <f t="shared" si="159"/>
        <v>ln -s ../../../../midasraw/byseries/07180926_0729 07180926_0729</v>
      </c>
    </row>
    <row r="4156" spans="1:18">
      <c r="A4156" t="s">
        <v>9711</v>
      </c>
      <c r="G4156" s="225"/>
      <c r="H4156" s="210"/>
      <c r="I4156" t="s">
        <v>75</v>
      </c>
      <c r="K4156" s="180"/>
      <c r="M4156" t="s">
        <v>4945</v>
      </c>
      <c r="N4156" t="s">
        <v>5571</v>
      </c>
      <c r="O4156" t="s">
        <v>4943</v>
      </c>
      <c r="Q4156" t="str">
        <f t="shared" si="158"/>
        <v>condorProc.py --series 07180926_0740 --donoise --dumps a --procenv environments/pymidas_HVHV_NaI_mf.env</v>
      </c>
      <c r="R4156" t="str">
        <f t="shared" si="159"/>
        <v>ln -s ../../../../midasraw/byseries/07180926_0740 07180926_0740</v>
      </c>
    </row>
    <row r="4157" spans="1:18">
      <c r="A4157" t="s">
        <v>9712</v>
      </c>
      <c r="G4157" s="225"/>
      <c r="H4157" s="210"/>
      <c r="K4157" s="180"/>
      <c r="M4157" t="s">
        <v>4945</v>
      </c>
      <c r="N4157" t="s">
        <v>5571</v>
      </c>
      <c r="O4157" t="s">
        <v>4943</v>
      </c>
      <c r="Q4157" t="str">
        <f t="shared" si="158"/>
        <v>condorProc.py --series 07180926_0750 --donoise --dumps a --procenv environments/pymidas_HVHV_NaI_mf.env</v>
      </c>
      <c r="R4157" t="str">
        <f t="shared" si="159"/>
        <v>ln -s ../../../../midasraw/byseries/07180926_0750 07180926_0750</v>
      </c>
    </row>
    <row r="4158" spans="1:18">
      <c r="A4158" t="s">
        <v>9713</v>
      </c>
      <c r="G4158" s="225"/>
      <c r="H4158" s="210"/>
      <c r="K4158" s="180"/>
      <c r="M4158" t="s">
        <v>4945</v>
      </c>
      <c r="N4158" t="s">
        <v>5571</v>
      </c>
      <c r="O4158" t="s">
        <v>4943</v>
      </c>
      <c r="Q4158" t="str">
        <f t="shared" si="158"/>
        <v>condorProc.py --series 07180926_0800 --donoise --dumps a --procenv environments/pymidas_HVHV_NaI_mf.env</v>
      </c>
      <c r="R4158" t="str">
        <f t="shared" si="159"/>
        <v>ln -s ../../../../midasraw/byseries/07180926_0800 07180926_0800</v>
      </c>
    </row>
    <row r="4159" spans="1:18">
      <c r="A4159" t="s">
        <v>9714</v>
      </c>
      <c r="G4159" s="225"/>
      <c r="H4159" s="210"/>
      <c r="K4159" s="180"/>
      <c r="M4159" t="s">
        <v>4945</v>
      </c>
      <c r="N4159" t="s">
        <v>5571</v>
      </c>
      <c r="O4159" t="s">
        <v>4943</v>
      </c>
      <c r="Q4159" t="str">
        <f t="shared" si="158"/>
        <v>condorProc.py --series 07180926_0810 --donoise --dumps a --procenv environments/pymidas_HVHV_NaI_mf.env</v>
      </c>
      <c r="R4159" t="str">
        <f t="shared" si="159"/>
        <v>ln -s ../../../../midasraw/byseries/07180926_0810 07180926_0810</v>
      </c>
    </row>
    <row r="4160" spans="1:18">
      <c r="A4160" t="s">
        <v>9715</v>
      </c>
      <c r="G4160" s="225"/>
      <c r="H4160" s="210"/>
      <c r="K4160" s="180"/>
      <c r="M4160" t="s">
        <v>4945</v>
      </c>
      <c r="N4160" t="s">
        <v>5571</v>
      </c>
      <c r="O4160" t="s">
        <v>4943</v>
      </c>
      <c r="Q4160" t="str">
        <f t="shared" si="158"/>
        <v>condorProc.py --series 07180926_0820 --donoise --dumps a --procenv environments/pymidas_HVHV_NaI_mf.env</v>
      </c>
      <c r="R4160" t="str">
        <f t="shared" si="159"/>
        <v>ln -s ../../../../midasraw/byseries/07180926_0820 07180926_0820</v>
      </c>
    </row>
    <row r="4161" spans="1:18">
      <c r="A4161" t="s">
        <v>9716</v>
      </c>
      <c r="G4161" s="225"/>
      <c r="H4161" s="210"/>
      <c r="K4161" s="180"/>
      <c r="M4161" t="s">
        <v>4945</v>
      </c>
      <c r="N4161" t="s">
        <v>5571</v>
      </c>
      <c r="O4161" t="s">
        <v>4943</v>
      </c>
      <c r="Q4161" t="str">
        <f t="shared" si="158"/>
        <v>condorProc.py --series 07180926_0830 --donoise --dumps a --procenv environments/pymidas_HVHV_NaI_mf.env</v>
      </c>
      <c r="R4161" t="str">
        <f t="shared" si="159"/>
        <v>ln -s ../../../../midasraw/byseries/07180926_0830 07180926_0830</v>
      </c>
    </row>
    <row r="4162" spans="1:18">
      <c r="A4162" t="s">
        <v>9717</v>
      </c>
      <c r="G4162" s="225"/>
      <c r="H4162" s="210"/>
      <c r="K4162" s="180"/>
      <c r="M4162" t="s">
        <v>4945</v>
      </c>
      <c r="N4162" t="s">
        <v>5571</v>
      </c>
      <c r="O4162" t="s">
        <v>4943</v>
      </c>
      <c r="Q4162" t="str">
        <f t="shared" si="158"/>
        <v>condorProc.py --series 07180926_0840 --donoise --dumps a --procenv environments/pymidas_HVHV_NaI_mf.env</v>
      </c>
      <c r="R4162" t="str">
        <f t="shared" si="159"/>
        <v>ln -s ../../../../midasraw/byseries/07180926_0840 07180926_0840</v>
      </c>
    </row>
    <row r="4163" spans="1:18">
      <c r="A4163" t="s">
        <v>9718</v>
      </c>
      <c r="G4163" s="225"/>
      <c r="H4163" s="210"/>
      <c r="K4163" s="180"/>
      <c r="M4163" t="s">
        <v>4945</v>
      </c>
      <c r="N4163" t="s">
        <v>5571</v>
      </c>
      <c r="O4163" t="s">
        <v>4943</v>
      </c>
      <c r="Q4163" t="str">
        <f t="shared" si="158"/>
        <v>condorProc.py --series 07180926_0851 --donoise --dumps a --procenv environments/pymidas_HVHV_NaI_mf.env</v>
      </c>
      <c r="R4163" t="str">
        <f t="shared" si="159"/>
        <v>ln -s ../../../../midasraw/byseries/07180926_0851 07180926_0851</v>
      </c>
    </row>
    <row r="4164" spans="1:18">
      <c r="A4164" t="s">
        <v>9719</v>
      </c>
      <c r="F4164" s="65"/>
      <c r="G4164" s="226"/>
      <c r="H4164" s="211"/>
      <c r="I4164" s="65"/>
      <c r="J4164" s="65"/>
      <c r="K4164" s="182"/>
      <c r="M4164" t="s">
        <v>4945</v>
      </c>
      <c r="N4164" t="s">
        <v>5571</v>
      </c>
      <c r="O4164" t="s">
        <v>4943</v>
      </c>
      <c r="Q4164" t="str">
        <f t="shared" si="158"/>
        <v>condorProc.py --series 07180926_0901 --donoise --dumps a --procenv environments/pymidas_HVHV_NaI_mf.env</v>
      </c>
      <c r="R4164" t="str">
        <f t="shared" si="159"/>
        <v>ln -s ../../../../midasraw/byseries/07180926_0901 07180926_0901</v>
      </c>
    </row>
    <row r="4165" spans="1:18">
      <c r="A4165" t="s">
        <v>9720</v>
      </c>
      <c r="F4165" s="177">
        <v>10</v>
      </c>
      <c r="G4165" s="224" t="s">
        <v>8641</v>
      </c>
      <c r="H4165" s="209">
        <v>-125</v>
      </c>
      <c r="I4165" s="177"/>
      <c r="J4165" s="177" t="s">
        <v>5577</v>
      </c>
      <c r="K4165" s="178" t="s">
        <v>5583</v>
      </c>
      <c r="M4165" t="s">
        <v>4945</v>
      </c>
      <c r="N4165" t="s">
        <v>5571</v>
      </c>
      <c r="O4165" t="s">
        <v>4943</v>
      </c>
      <c r="Q4165" t="str">
        <f t="shared" si="158"/>
        <v>condorProc.py --series 07180926_1003 --donoise --dumps a --procenv environments/pymidas_HVHV_NaI_mf.env</v>
      </c>
      <c r="R4165" t="str">
        <f t="shared" si="159"/>
        <v>ln -s ../../../../midasraw/byseries/07180926_1003 07180926_1003</v>
      </c>
    </row>
    <row r="4166" spans="1:18">
      <c r="A4166" t="s">
        <v>9721</v>
      </c>
      <c r="G4166" s="225"/>
      <c r="H4166" s="210"/>
      <c r="J4166" t="s">
        <v>5585</v>
      </c>
      <c r="K4166" s="218" t="s">
        <v>5586</v>
      </c>
      <c r="M4166" t="s">
        <v>4945</v>
      </c>
      <c r="N4166" t="s">
        <v>5571</v>
      </c>
      <c r="O4166" t="s">
        <v>4943</v>
      </c>
      <c r="Q4166" t="str">
        <f t="shared" si="158"/>
        <v>condorProc.py --series 07180926_1014 --donoise --dumps a --procenv environments/pymidas_HVHV_NaI_mf.env</v>
      </c>
      <c r="R4166" t="str">
        <f t="shared" si="159"/>
        <v>ln -s ../../../../midasraw/byseries/07180926_1014 07180926_1014</v>
      </c>
    </row>
    <row r="4167" spans="1:18">
      <c r="A4167" t="s">
        <v>9722</v>
      </c>
      <c r="G4167" s="225"/>
      <c r="H4167" s="210"/>
      <c r="K4167" s="219" t="s">
        <v>8388</v>
      </c>
      <c r="M4167" t="s">
        <v>4945</v>
      </c>
      <c r="N4167" t="s">
        <v>5571</v>
      </c>
      <c r="O4167" t="s">
        <v>4943</v>
      </c>
      <c r="Q4167" t="str">
        <f t="shared" si="158"/>
        <v>condorProc.py --series 07180926_1024 --donoise --dumps a --procenv environments/pymidas_HVHV_NaI_mf.env</v>
      </c>
      <c r="R4167" t="str">
        <f t="shared" si="159"/>
        <v>ln -s ../../../../midasraw/byseries/07180926_1024 07180926_1024</v>
      </c>
    </row>
    <row r="4168" spans="1:18">
      <c r="A4168" t="s">
        <v>9723</v>
      </c>
      <c r="G4168" s="225"/>
      <c r="H4168" s="210"/>
      <c r="K4168" s="180"/>
      <c r="M4168" t="s">
        <v>4945</v>
      </c>
      <c r="N4168" t="s">
        <v>5571</v>
      </c>
      <c r="O4168" t="s">
        <v>4943</v>
      </c>
      <c r="Q4168" t="str">
        <f t="shared" si="158"/>
        <v>condorProc.py --series 07180926_1034 --donoise --dumps a --procenv environments/pymidas_HVHV_NaI_mf.env</v>
      </c>
      <c r="R4168" t="str">
        <f t="shared" si="159"/>
        <v>ln -s ../../../../midasraw/byseries/07180926_1034 07180926_1034</v>
      </c>
    </row>
    <row r="4169" spans="1:18">
      <c r="A4169" t="s">
        <v>9724</v>
      </c>
      <c r="G4169" s="225"/>
      <c r="H4169" s="210"/>
      <c r="K4169" s="180"/>
      <c r="M4169" t="s">
        <v>4945</v>
      </c>
      <c r="N4169" t="s">
        <v>5571</v>
      </c>
      <c r="O4169" t="s">
        <v>4943</v>
      </c>
      <c r="Q4169" t="str">
        <f t="shared" si="158"/>
        <v>condorProc.py --series 07180926_1044 --donoise --dumps a --procenv environments/pymidas_HVHV_NaI_mf.env</v>
      </c>
      <c r="R4169" t="str">
        <f t="shared" si="159"/>
        <v>ln -s ../../../../midasraw/byseries/07180926_1044 07180926_1044</v>
      </c>
    </row>
    <row r="4170" spans="1:18">
      <c r="A4170" t="s">
        <v>9725</v>
      </c>
      <c r="G4170" s="225"/>
      <c r="H4170" s="210"/>
      <c r="K4170" s="180"/>
      <c r="M4170" t="s">
        <v>4945</v>
      </c>
      <c r="N4170" t="s">
        <v>5571</v>
      </c>
      <c r="O4170" t="s">
        <v>4943</v>
      </c>
      <c r="Q4170" t="str">
        <f t="shared" si="158"/>
        <v>condorProc.py --series 07180926_1054 --donoise --dumps a --procenv environments/pymidas_HVHV_NaI_mf.env</v>
      </c>
      <c r="R4170" t="str">
        <f t="shared" si="159"/>
        <v>ln -s ../../../../midasraw/byseries/07180926_1054 07180926_1054</v>
      </c>
    </row>
    <row r="4171" spans="1:18">
      <c r="A4171" t="s">
        <v>9726</v>
      </c>
      <c r="G4171" s="225"/>
      <c r="H4171" s="210"/>
      <c r="K4171" s="180"/>
      <c r="M4171" t="s">
        <v>4945</v>
      </c>
      <c r="N4171" t="s">
        <v>5571</v>
      </c>
      <c r="O4171" t="s">
        <v>4943</v>
      </c>
      <c r="Q4171" t="str">
        <f t="shared" si="158"/>
        <v>condorProc.py --series 07180926_1104 --donoise --dumps a --procenv environments/pymidas_HVHV_NaI_mf.env</v>
      </c>
      <c r="R4171" t="str">
        <f t="shared" si="159"/>
        <v>ln -s ../../../../midasraw/byseries/07180926_1104 07180926_1104</v>
      </c>
    </row>
    <row r="4172" spans="1:18">
      <c r="A4172" t="s">
        <v>9727</v>
      </c>
      <c r="G4172" s="225"/>
      <c r="H4172" s="210"/>
      <c r="K4172" s="180"/>
      <c r="M4172" t="s">
        <v>4945</v>
      </c>
      <c r="N4172" t="s">
        <v>5571</v>
      </c>
      <c r="O4172" t="s">
        <v>4943</v>
      </c>
      <c r="Q4172" t="str">
        <f t="shared" si="158"/>
        <v>condorProc.py --series 07180926_1114 --donoise --dumps a --procenv environments/pymidas_HVHV_NaI_mf.env</v>
      </c>
      <c r="R4172" t="str">
        <f t="shared" si="159"/>
        <v>ln -s ../../../../midasraw/byseries/07180926_1114 07180926_1114</v>
      </c>
    </row>
    <row r="4173" spans="1:18">
      <c r="A4173" t="s">
        <v>9728</v>
      </c>
      <c r="G4173" s="225"/>
      <c r="H4173" s="210"/>
      <c r="K4173" s="180"/>
      <c r="M4173" t="s">
        <v>4945</v>
      </c>
      <c r="N4173" t="s">
        <v>5571</v>
      </c>
      <c r="O4173" t="s">
        <v>4943</v>
      </c>
      <c r="Q4173" t="str">
        <f t="shared" si="158"/>
        <v>condorProc.py --series 07180926_1124 --donoise --dumps a --procenv environments/pymidas_HVHV_NaI_mf.env</v>
      </c>
      <c r="R4173" t="str">
        <f t="shared" si="159"/>
        <v>ln -s ../../../../midasraw/byseries/07180926_1124 07180926_1124</v>
      </c>
    </row>
    <row r="4174" spans="1:18">
      <c r="A4174" t="s">
        <v>9729</v>
      </c>
      <c r="G4174" s="225"/>
      <c r="H4174" s="210"/>
      <c r="K4174" s="180"/>
      <c r="M4174" t="s">
        <v>4945</v>
      </c>
      <c r="N4174" t="s">
        <v>5571</v>
      </c>
      <c r="O4174" t="s">
        <v>4943</v>
      </c>
      <c r="Q4174" t="str">
        <f t="shared" si="158"/>
        <v>condorProc.py --series 07180926_1135 --donoise --dumps a --procenv environments/pymidas_HVHV_NaI_mf.env</v>
      </c>
      <c r="R4174" t="str">
        <f t="shared" si="159"/>
        <v>ln -s ../../../../midasraw/byseries/07180926_1135 07180926_1135</v>
      </c>
    </row>
    <row r="4175" spans="1:18">
      <c r="A4175" t="s">
        <v>9730</v>
      </c>
      <c r="G4175" s="225"/>
      <c r="H4175" s="210"/>
      <c r="K4175" s="180"/>
      <c r="M4175" t="s">
        <v>4945</v>
      </c>
      <c r="N4175" t="s">
        <v>5571</v>
      </c>
      <c r="O4175" t="s">
        <v>4943</v>
      </c>
      <c r="Q4175" t="str">
        <f t="shared" ref="Q4175:Q4238" si="160">"condorProc.py --series "&amp;A4175&amp;" --donoise --dumps a --procenv environments/pymidas_HVHV_NaI_mf.env"</f>
        <v>condorProc.py --series 07180926_1145 --donoise --dumps a --procenv environments/pymidas_HVHV_NaI_mf.env</v>
      </c>
      <c r="R4175" t="str">
        <f t="shared" ref="R4175:R4238" si="161">"ln -s ../../../../midasraw/byseries/"&amp;A4175&amp;" "&amp;A4175</f>
        <v>ln -s ../../../../midasraw/byseries/07180926_1145 07180926_1145</v>
      </c>
    </row>
    <row r="4176" spans="1:18">
      <c r="A4176" t="s">
        <v>9731</v>
      </c>
      <c r="F4176" s="65"/>
      <c r="G4176" s="226"/>
      <c r="H4176" s="211"/>
      <c r="I4176" s="65" t="s">
        <v>75</v>
      </c>
      <c r="J4176" s="65"/>
      <c r="K4176" s="182"/>
      <c r="M4176" t="s">
        <v>4945</v>
      </c>
      <c r="N4176" t="s">
        <v>5571</v>
      </c>
      <c r="O4176" t="s">
        <v>4943</v>
      </c>
      <c r="Q4176" t="str">
        <f t="shared" si="160"/>
        <v>condorProc.py --series 07180926_1155 --donoise --dumps a --procenv environments/pymidas_HVHV_NaI_mf.env</v>
      </c>
      <c r="R4176" t="str">
        <f t="shared" si="161"/>
        <v>ln -s ../../../../midasraw/byseries/07180926_1155 07180926_1155</v>
      </c>
    </row>
    <row r="4177" spans="1:29">
      <c r="A4177" t="s">
        <v>9732</v>
      </c>
      <c r="F4177" s="177">
        <v>10</v>
      </c>
      <c r="G4177" s="224" t="s">
        <v>8641</v>
      </c>
      <c r="H4177" s="209">
        <v>-125</v>
      </c>
      <c r="I4177" s="177"/>
      <c r="J4177" s="177" t="s">
        <v>5577</v>
      </c>
      <c r="K4177" s="178" t="s">
        <v>5583</v>
      </c>
      <c r="M4177" t="s">
        <v>4945</v>
      </c>
      <c r="N4177" t="s">
        <v>5571</v>
      </c>
      <c r="O4177" t="s">
        <v>4943</v>
      </c>
      <c r="Q4177" t="str">
        <f t="shared" si="160"/>
        <v>condorProc.py --series 07180926_1255 --donoise --dumps a --procenv environments/pymidas_HVHV_NaI_mf.env</v>
      </c>
      <c r="R4177" t="str">
        <f t="shared" si="161"/>
        <v>ln -s ../../../../midasraw/byseries/07180926_1255 07180926_1255</v>
      </c>
    </row>
    <row r="4178" spans="1:29">
      <c r="A4178" t="s">
        <v>9733</v>
      </c>
      <c r="G4178" s="225"/>
      <c r="H4178" s="210"/>
      <c r="J4178" t="s">
        <v>5585</v>
      </c>
      <c r="K4178" s="218" t="s">
        <v>5586</v>
      </c>
      <c r="M4178" t="s">
        <v>4945</v>
      </c>
      <c r="N4178" t="s">
        <v>5571</v>
      </c>
      <c r="O4178" t="s">
        <v>4943</v>
      </c>
      <c r="Q4178" t="str">
        <f t="shared" si="160"/>
        <v>condorProc.py --series 07180926_1305 --donoise --dumps a --procenv environments/pymidas_HVHV_NaI_mf.env</v>
      </c>
      <c r="R4178" t="str">
        <f t="shared" si="161"/>
        <v>ln -s ../../../../midasraw/byseries/07180926_1305 07180926_1305</v>
      </c>
    </row>
    <row r="4179" spans="1:29">
      <c r="A4179" t="s">
        <v>9734</v>
      </c>
      <c r="G4179" s="225"/>
      <c r="H4179" s="210"/>
      <c r="K4179" s="219" t="s">
        <v>8388</v>
      </c>
      <c r="M4179" t="s">
        <v>4945</v>
      </c>
      <c r="N4179" t="s">
        <v>5571</v>
      </c>
      <c r="O4179" t="s">
        <v>4943</v>
      </c>
      <c r="Q4179" t="str">
        <f t="shared" si="160"/>
        <v>condorProc.py --series 07180926_1315 --donoise --dumps a --procenv environments/pymidas_HVHV_NaI_mf.env</v>
      </c>
      <c r="R4179" t="str">
        <f t="shared" si="161"/>
        <v>ln -s ../../../../midasraw/byseries/07180926_1315 07180926_1315</v>
      </c>
    </row>
    <row r="4180" spans="1:29">
      <c r="A4180" t="s">
        <v>9735</v>
      </c>
      <c r="G4180" s="225"/>
      <c r="H4180" s="210"/>
      <c r="K4180" s="180"/>
      <c r="M4180" t="s">
        <v>4945</v>
      </c>
      <c r="N4180" t="s">
        <v>5571</v>
      </c>
      <c r="O4180" t="s">
        <v>4943</v>
      </c>
      <c r="Q4180" t="str">
        <f t="shared" si="160"/>
        <v>condorProc.py --series 07180926_1326 --donoise --dumps a --procenv environments/pymidas_HVHV_NaI_mf.env</v>
      </c>
      <c r="R4180" t="str">
        <f t="shared" si="161"/>
        <v>ln -s ../../../../midasraw/byseries/07180926_1326 07180926_1326</v>
      </c>
    </row>
    <row r="4181" spans="1:29">
      <c r="A4181" t="s">
        <v>9736</v>
      </c>
      <c r="G4181" s="225"/>
      <c r="H4181" s="210"/>
      <c r="K4181" s="180"/>
      <c r="M4181" t="s">
        <v>4945</v>
      </c>
      <c r="N4181" t="s">
        <v>5571</v>
      </c>
      <c r="O4181" t="s">
        <v>4943</v>
      </c>
      <c r="Q4181" t="str">
        <f t="shared" si="160"/>
        <v>condorProc.py --series 07180926_1336 --donoise --dumps a --procenv environments/pymidas_HVHV_NaI_mf.env</v>
      </c>
      <c r="R4181" t="str">
        <f t="shared" si="161"/>
        <v>ln -s ../../../../midasraw/byseries/07180926_1336 07180926_1336</v>
      </c>
    </row>
    <row r="4182" spans="1:29">
      <c r="A4182" t="s">
        <v>9737</v>
      </c>
      <c r="G4182" s="225"/>
      <c r="H4182" s="210"/>
      <c r="K4182" s="180"/>
      <c r="M4182" t="s">
        <v>4945</v>
      </c>
      <c r="N4182" t="s">
        <v>5571</v>
      </c>
      <c r="O4182" t="s">
        <v>4943</v>
      </c>
      <c r="Q4182" t="str">
        <f t="shared" si="160"/>
        <v>condorProc.py --series 07180926_1346 --donoise --dumps a --procenv environments/pymidas_HVHV_NaI_mf.env</v>
      </c>
      <c r="R4182" t="str">
        <f t="shared" si="161"/>
        <v>ln -s ../../../../midasraw/byseries/07180926_1346 07180926_1346</v>
      </c>
    </row>
    <row r="4183" spans="1:29">
      <c r="A4183" t="s">
        <v>9738</v>
      </c>
      <c r="G4183" s="225"/>
      <c r="H4183" s="210"/>
      <c r="K4183" s="180"/>
      <c r="M4183" t="s">
        <v>4945</v>
      </c>
      <c r="N4183" t="s">
        <v>5571</v>
      </c>
      <c r="O4183" t="s">
        <v>4943</v>
      </c>
      <c r="Q4183" t="str">
        <f t="shared" si="160"/>
        <v>condorProc.py --series 07180926_1356 --donoise --dumps a --procenv environments/pymidas_HVHV_NaI_mf.env</v>
      </c>
      <c r="R4183" t="str">
        <f t="shared" si="161"/>
        <v>ln -s ../../../../midasraw/byseries/07180926_1356 07180926_1356</v>
      </c>
    </row>
    <row r="4184" spans="1:29">
      <c r="A4184" t="s">
        <v>9739</v>
      </c>
      <c r="G4184" s="225"/>
      <c r="H4184" s="210"/>
      <c r="K4184" s="180"/>
      <c r="M4184" t="s">
        <v>4945</v>
      </c>
      <c r="N4184" t="s">
        <v>5571</v>
      </c>
      <c r="O4184" t="s">
        <v>4943</v>
      </c>
      <c r="Q4184" t="str">
        <f t="shared" si="160"/>
        <v>condorProc.py --series 07180926_1406 --donoise --dumps a --procenv environments/pymidas_HVHV_NaI_mf.env</v>
      </c>
      <c r="R4184" t="str">
        <f t="shared" si="161"/>
        <v>ln -s ../../../../midasraw/byseries/07180926_1406 07180926_1406</v>
      </c>
    </row>
    <row r="4185" spans="1:29">
      <c r="A4185" t="s">
        <v>9740</v>
      </c>
      <c r="G4185" s="225"/>
      <c r="H4185" s="210"/>
      <c r="K4185" s="180"/>
      <c r="M4185" t="s">
        <v>4945</v>
      </c>
      <c r="N4185" t="s">
        <v>5571</v>
      </c>
      <c r="O4185" t="s">
        <v>4943</v>
      </c>
      <c r="Q4185" t="str">
        <f t="shared" si="160"/>
        <v>condorProc.py --series 07180926_1416 --donoise --dumps a --procenv environments/pymidas_HVHV_NaI_mf.env</v>
      </c>
      <c r="R4185" t="str">
        <f t="shared" si="161"/>
        <v>ln -s ../../../../midasraw/byseries/07180926_1416 07180926_1416</v>
      </c>
    </row>
    <row r="4186" spans="1:29">
      <c r="A4186" t="s">
        <v>9741</v>
      </c>
      <c r="G4186" s="225"/>
      <c r="H4186" s="210"/>
      <c r="K4186" s="180"/>
      <c r="M4186" t="s">
        <v>4945</v>
      </c>
      <c r="N4186" t="s">
        <v>5571</v>
      </c>
      <c r="O4186" t="s">
        <v>4943</v>
      </c>
      <c r="Q4186" t="str">
        <f t="shared" si="160"/>
        <v>condorProc.py --series 07180926_1426 --donoise --dumps a --procenv environments/pymidas_HVHV_NaI_mf.env</v>
      </c>
      <c r="R4186" t="str">
        <f t="shared" si="161"/>
        <v>ln -s ../../../../midasraw/byseries/07180926_1426 07180926_1426</v>
      </c>
    </row>
    <row r="4187" spans="1:29">
      <c r="A4187" t="s">
        <v>9742</v>
      </c>
      <c r="G4187" s="225"/>
      <c r="H4187" s="210"/>
      <c r="K4187" s="180"/>
      <c r="M4187" t="s">
        <v>4945</v>
      </c>
      <c r="N4187" t="s">
        <v>5571</v>
      </c>
      <c r="O4187" t="s">
        <v>4943</v>
      </c>
      <c r="Q4187" t="str">
        <f t="shared" si="160"/>
        <v>condorProc.py --series 07180926_1437 --donoise --dumps a --procenv environments/pymidas_HVHV_NaI_mf.env</v>
      </c>
      <c r="R4187" t="str">
        <f t="shared" si="161"/>
        <v>ln -s ../../../../midasraw/byseries/07180926_1437 07180926_1437</v>
      </c>
    </row>
    <row r="4188" spans="1:29">
      <c r="A4188" t="s">
        <v>9743</v>
      </c>
      <c r="F4188" s="65"/>
      <c r="G4188" s="226"/>
      <c r="H4188" s="211"/>
      <c r="I4188" s="65" t="s">
        <v>75</v>
      </c>
      <c r="J4188" s="65"/>
      <c r="K4188" s="182"/>
      <c r="M4188" t="s">
        <v>4945</v>
      </c>
      <c r="N4188" t="s">
        <v>5571</v>
      </c>
      <c r="O4188" t="s">
        <v>4943</v>
      </c>
      <c r="Q4188" t="str">
        <f t="shared" si="160"/>
        <v>condorProc.py --series 07180926_1447 --donoise --dumps a --procenv environments/pymidas_HVHV_NaI_mf.env</v>
      </c>
      <c r="R4188" t="str">
        <f t="shared" si="161"/>
        <v>ln -s ../../../../midasraw/byseries/07180926_1447 07180926_1447</v>
      </c>
    </row>
    <row r="4189" spans="1:29">
      <c r="A4189" t="s">
        <v>9744</v>
      </c>
      <c r="L4189" t="s">
        <v>8626</v>
      </c>
      <c r="M4189" t="s">
        <v>9236</v>
      </c>
      <c r="N4189" t="s">
        <v>5571</v>
      </c>
      <c r="Q4189" t="str">
        <f t="shared" si="160"/>
        <v>condorProc.py --series 07180926_1536 --donoise --dumps a --procenv environments/pymidas_HVHV_NaI_mf.env</v>
      </c>
    </row>
    <row r="4190" spans="1:29">
      <c r="A4190" t="s">
        <v>9745</v>
      </c>
      <c r="F4190" s="177">
        <v>10</v>
      </c>
      <c r="G4190" s="228" t="s">
        <v>18</v>
      </c>
      <c r="H4190" s="209">
        <v>-125</v>
      </c>
      <c r="I4190" s="177" t="s">
        <v>75</v>
      </c>
      <c r="J4190" s="177" t="s">
        <v>5577</v>
      </c>
      <c r="K4190" s="178" t="s">
        <v>5583</v>
      </c>
      <c r="M4190" t="s">
        <v>4945</v>
      </c>
      <c r="N4190" t="s">
        <v>5571</v>
      </c>
      <c r="O4190" t="s">
        <v>4941</v>
      </c>
      <c r="Q4190" t="str">
        <f t="shared" si="160"/>
        <v>condorProc.py --series 07180926_1715 --donoise --dumps a --procenv environments/pymidas_HVHV_NaI_mf.env</v>
      </c>
      <c r="R4190" t="str">
        <f t="shared" si="161"/>
        <v>ln -s ../../../../midasraw/byseries/07180926_1715 07180926_1715</v>
      </c>
      <c r="Z4190" t="str">
        <f>A4190</f>
        <v>07180926_1715</v>
      </c>
      <c r="AB4190" t="s">
        <v>9746</v>
      </c>
      <c r="AC4190">
        <f>VALUE(LEFT(AB4190,FIND(" ",AB4190)))</f>
        <v>1635013</v>
      </c>
    </row>
    <row r="4191" spans="1:29">
      <c r="A4191" t="s">
        <v>9747</v>
      </c>
      <c r="G4191" s="229"/>
      <c r="H4191" s="210"/>
      <c r="J4191" t="s">
        <v>5585</v>
      </c>
      <c r="K4191" s="218" t="s">
        <v>5586</v>
      </c>
      <c r="M4191" t="s">
        <v>4945</v>
      </c>
      <c r="N4191" t="s">
        <v>5571</v>
      </c>
      <c r="O4191" t="s">
        <v>4941</v>
      </c>
      <c r="Q4191" t="str">
        <f t="shared" si="160"/>
        <v>condorProc.py --series 07180926_1725 --donoise --dumps a --procenv environments/pymidas_HVHV_NaI_mf.env</v>
      </c>
      <c r="R4191" t="str">
        <f t="shared" si="161"/>
        <v>ln -s ../../../../midasraw/byseries/07180926_1725 07180926_1725</v>
      </c>
      <c r="Z4191" t="str">
        <f>Z4190&amp;" "&amp;A4191</f>
        <v>07180926_1715 07180926_1725</v>
      </c>
      <c r="AB4191" t="s">
        <v>9748</v>
      </c>
      <c r="AC4191">
        <f t="shared" ref="AC4191:AC4213" si="162">VALUE(LEFT(AB4191,FIND(" ",AB4191)))</f>
        <v>1625121</v>
      </c>
    </row>
    <row r="4192" spans="1:29">
      <c r="A4192" t="s">
        <v>9749</v>
      </c>
      <c r="G4192" s="229"/>
      <c r="H4192" s="210"/>
      <c r="K4192" s="219" t="s">
        <v>8388</v>
      </c>
      <c r="M4192" t="s">
        <v>4945</v>
      </c>
      <c r="N4192" t="s">
        <v>5571</v>
      </c>
      <c r="O4192" t="s">
        <v>4941</v>
      </c>
      <c r="Q4192" t="str">
        <f t="shared" si="160"/>
        <v>condorProc.py --series 07180926_1735 --donoise --dumps a --procenv environments/pymidas_HVHV_NaI_mf.env</v>
      </c>
      <c r="R4192" t="str">
        <f t="shared" si="161"/>
        <v>ln -s ../../../../midasraw/byseries/07180926_1735 07180926_1735</v>
      </c>
      <c r="Z4192" t="str">
        <f t="shared" ref="Z4192:Z4201" si="163">Z4191&amp;" "&amp;A4192</f>
        <v>07180926_1715 07180926_1725 07180926_1735</v>
      </c>
      <c r="AB4192" t="s">
        <v>9750</v>
      </c>
      <c r="AC4192">
        <f t="shared" si="162"/>
        <v>1624450</v>
      </c>
    </row>
    <row r="4193" spans="1:30">
      <c r="A4193" t="s">
        <v>9751</v>
      </c>
      <c r="G4193" s="229"/>
      <c r="H4193" s="210"/>
      <c r="K4193" s="180"/>
      <c r="M4193" t="s">
        <v>4945</v>
      </c>
      <c r="N4193" t="s">
        <v>5571</v>
      </c>
      <c r="O4193" t="s">
        <v>4941</v>
      </c>
      <c r="Q4193" t="str">
        <f t="shared" si="160"/>
        <v>condorProc.py --series 07180926_1745 --donoise --dumps a --procenv environments/pymidas_HVHV_NaI_mf.env</v>
      </c>
      <c r="R4193" t="str">
        <f t="shared" si="161"/>
        <v>ln -s ../../../../midasraw/byseries/07180926_1745 07180926_1745</v>
      </c>
      <c r="Z4193" t="str">
        <f t="shared" si="163"/>
        <v>07180926_1715 07180926_1725 07180926_1735 07180926_1745</v>
      </c>
      <c r="AB4193" t="s">
        <v>9752</v>
      </c>
      <c r="AC4193">
        <f t="shared" si="162"/>
        <v>1626026</v>
      </c>
    </row>
    <row r="4194" spans="1:30">
      <c r="A4194" t="s">
        <v>9753</v>
      </c>
      <c r="G4194" s="229"/>
      <c r="H4194" s="210"/>
      <c r="K4194" s="180"/>
      <c r="M4194" t="s">
        <v>4945</v>
      </c>
      <c r="N4194" t="s">
        <v>5571</v>
      </c>
      <c r="O4194" t="s">
        <v>4941</v>
      </c>
      <c r="Q4194" t="str">
        <f t="shared" si="160"/>
        <v>condorProc.py --series 07180926_1755 --donoise --dumps a --procenv environments/pymidas_HVHV_NaI_mf.env</v>
      </c>
      <c r="R4194" t="str">
        <f t="shared" si="161"/>
        <v>ln -s ../../../../midasraw/byseries/07180926_1755 07180926_1755</v>
      </c>
      <c r="Z4194" t="str">
        <f t="shared" si="163"/>
        <v>07180926_1715 07180926_1725 07180926_1735 07180926_1745 07180926_1755</v>
      </c>
      <c r="AB4194" t="s">
        <v>9754</v>
      </c>
      <c r="AC4194">
        <f t="shared" si="162"/>
        <v>1638715</v>
      </c>
    </row>
    <row r="4195" spans="1:30">
      <c r="A4195" t="s">
        <v>9755</v>
      </c>
      <c r="G4195" s="229"/>
      <c r="H4195" s="210"/>
      <c r="K4195" s="180"/>
      <c r="M4195" t="s">
        <v>4945</v>
      </c>
      <c r="N4195" t="s">
        <v>5571</v>
      </c>
      <c r="O4195" t="s">
        <v>4941</v>
      </c>
      <c r="Q4195" t="str">
        <f t="shared" si="160"/>
        <v>condorProc.py --series 07180926_1805 --donoise --dumps a --procenv environments/pymidas_HVHV_NaI_mf.env</v>
      </c>
      <c r="R4195" t="str">
        <f t="shared" si="161"/>
        <v>ln -s ../../../../midasraw/byseries/07180926_1805 07180926_1805</v>
      </c>
      <c r="Z4195" t="str">
        <f t="shared" si="163"/>
        <v>07180926_1715 07180926_1725 07180926_1735 07180926_1745 07180926_1755 07180926_1805</v>
      </c>
      <c r="AB4195" t="s">
        <v>9756</v>
      </c>
      <c r="AC4195">
        <f t="shared" si="162"/>
        <v>1643409</v>
      </c>
    </row>
    <row r="4196" spans="1:30">
      <c r="A4196" t="s">
        <v>9757</v>
      </c>
      <c r="G4196" s="229"/>
      <c r="H4196" s="210"/>
      <c r="K4196" s="180"/>
      <c r="M4196" t="s">
        <v>4945</v>
      </c>
      <c r="N4196" t="s">
        <v>5571</v>
      </c>
      <c r="O4196" t="s">
        <v>4941</v>
      </c>
      <c r="Q4196" t="str">
        <f t="shared" si="160"/>
        <v>condorProc.py --series 07180926_1815 --donoise --dumps a --procenv environments/pymidas_HVHV_NaI_mf.env</v>
      </c>
      <c r="R4196" t="str">
        <f t="shared" si="161"/>
        <v>ln -s ../../../../midasraw/byseries/07180926_1815 07180926_1815</v>
      </c>
      <c r="Z4196" t="str">
        <f t="shared" si="163"/>
        <v>07180926_1715 07180926_1725 07180926_1735 07180926_1745 07180926_1755 07180926_1805 07180926_1815</v>
      </c>
      <c r="AB4196" t="s">
        <v>9758</v>
      </c>
      <c r="AC4196">
        <f t="shared" si="162"/>
        <v>1641687</v>
      </c>
    </row>
    <row r="4197" spans="1:30">
      <c r="A4197" t="s">
        <v>9759</v>
      </c>
      <c r="G4197" s="229"/>
      <c r="H4197" s="210"/>
      <c r="K4197" s="180"/>
      <c r="M4197" t="s">
        <v>4945</v>
      </c>
      <c r="N4197" t="s">
        <v>5571</v>
      </c>
      <c r="O4197" t="s">
        <v>4941</v>
      </c>
      <c r="Q4197" t="str">
        <f t="shared" si="160"/>
        <v>condorProc.py --series 07180926_1826 --donoise --dumps a --procenv environments/pymidas_HVHV_NaI_mf.env</v>
      </c>
      <c r="R4197" t="str">
        <f t="shared" si="161"/>
        <v>ln -s ../../../../midasraw/byseries/07180926_1826 07180926_1826</v>
      </c>
      <c r="Z4197" t="str">
        <f t="shared" si="163"/>
        <v>07180926_1715 07180926_1725 07180926_1735 07180926_1745 07180926_1755 07180926_1805 07180926_1815 07180926_1826</v>
      </c>
      <c r="AB4197" t="s">
        <v>9760</v>
      </c>
      <c r="AC4197">
        <f t="shared" si="162"/>
        <v>1637543</v>
      </c>
    </row>
    <row r="4198" spans="1:30">
      <c r="A4198" t="s">
        <v>9761</v>
      </c>
      <c r="G4198" s="229"/>
      <c r="H4198" s="210"/>
      <c r="K4198" s="180"/>
      <c r="M4198" t="s">
        <v>4945</v>
      </c>
      <c r="N4198" t="s">
        <v>5571</v>
      </c>
      <c r="O4198" t="s">
        <v>4941</v>
      </c>
      <c r="Q4198" t="str">
        <f t="shared" si="160"/>
        <v>condorProc.py --series 07180926_1836 --donoise --dumps a --procenv environments/pymidas_HVHV_NaI_mf.env</v>
      </c>
      <c r="R4198" t="str">
        <f t="shared" si="161"/>
        <v>ln -s ../../../../midasraw/byseries/07180926_1836 07180926_1836</v>
      </c>
      <c r="Z4198" t="str">
        <f t="shared" si="163"/>
        <v>07180926_1715 07180926_1725 07180926_1735 07180926_1745 07180926_1755 07180926_1805 07180926_1815 07180926_1826 07180926_1836</v>
      </c>
      <c r="AB4198" t="s">
        <v>9762</v>
      </c>
      <c r="AC4198">
        <f t="shared" si="162"/>
        <v>1638302</v>
      </c>
    </row>
    <row r="4199" spans="1:30">
      <c r="A4199" t="s">
        <v>9763</v>
      </c>
      <c r="G4199" s="229"/>
      <c r="H4199" s="210"/>
      <c r="K4199" s="180"/>
      <c r="M4199" t="s">
        <v>4945</v>
      </c>
      <c r="N4199" t="s">
        <v>5571</v>
      </c>
      <c r="O4199" t="s">
        <v>4941</v>
      </c>
      <c r="Q4199" t="str">
        <f t="shared" si="160"/>
        <v>condorProc.py --series 07180926_1846 --donoise --dumps a --procenv environments/pymidas_HVHV_NaI_mf.env</v>
      </c>
      <c r="R4199" t="str">
        <f t="shared" si="161"/>
        <v>ln -s ../../../../midasraw/byseries/07180926_1846 07180926_1846</v>
      </c>
      <c r="Z4199" t="str">
        <f t="shared" si="163"/>
        <v>07180926_1715 07180926_1725 07180926_1735 07180926_1745 07180926_1755 07180926_1805 07180926_1815 07180926_1826 07180926_1836 07180926_1846</v>
      </c>
      <c r="AB4199" t="s">
        <v>9764</v>
      </c>
      <c r="AC4199">
        <f t="shared" si="162"/>
        <v>1628171</v>
      </c>
    </row>
    <row r="4200" spans="1:30">
      <c r="A4200" t="s">
        <v>9765</v>
      </c>
      <c r="G4200" s="229"/>
      <c r="H4200" s="210"/>
      <c r="K4200" s="180"/>
      <c r="M4200" t="s">
        <v>4945</v>
      </c>
      <c r="N4200" t="s">
        <v>5571</v>
      </c>
      <c r="O4200" t="s">
        <v>4941</v>
      </c>
      <c r="Q4200" t="str">
        <f t="shared" si="160"/>
        <v>condorProc.py --series 07180926_1856 --donoise --dumps a --procenv environments/pymidas_HVHV_NaI_mf.env</v>
      </c>
      <c r="R4200" t="str">
        <f t="shared" si="161"/>
        <v>ln -s ../../../../midasraw/byseries/07180926_1856 07180926_1856</v>
      </c>
      <c r="Z4200" t="str">
        <f t="shared" si="163"/>
        <v>07180926_1715 07180926_1725 07180926_1735 07180926_1745 07180926_1755 07180926_1805 07180926_1815 07180926_1826 07180926_1836 07180926_1846 07180926_1856</v>
      </c>
      <c r="AB4200" t="s">
        <v>9766</v>
      </c>
      <c r="AC4200">
        <f t="shared" si="162"/>
        <v>1638734</v>
      </c>
    </row>
    <row r="4201" spans="1:30">
      <c r="A4201" t="s">
        <v>9767</v>
      </c>
      <c r="F4201" s="65"/>
      <c r="G4201" s="231"/>
      <c r="H4201" s="211"/>
      <c r="I4201" s="65"/>
      <c r="J4201" s="65"/>
      <c r="K4201" s="182"/>
      <c r="M4201" t="s">
        <v>4945</v>
      </c>
      <c r="N4201" t="s">
        <v>5571</v>
      </c>
      <c r="O4201" t="s">
        <v>4941</v>
      </c>
      <c r="Q4201" t="str">
        <f t="shared" si="160"/>
        <v>condorProc.py --series 07180926_1906 --donoise --dumps a --procenv environments/pymidas_HVHV_NaI_mf.env</v>
      </c>
      <c r="R4201" t="str">
        <f t="shared" si="161"/>
        <v>ln -s ../../../../midasraw/byseries/07180926_1906 07180926_1906</v>
      </c>
      <c r="Z4201" t="str">
        <f t="shared" si="163"/>
        <v>07180926_1715 07180926_1725 07180926_1735 07180926_1745 07180926_1755 07180926_1805 07180926_1815 07180926_1826 07180926_1836 07180926_1846 07180926_1856 07180926_1906</v>
      </c>
      <c r="AA4201" t="str">
        <f>"du "&amp;Z4201</f>
        <v>du 07180926_1715 07180926_1725 07180926_1735 07180926_1745 07180926_1755 07180926_1805 07180926_1815 07180926_1826 07180926_1836 07180926_1846 07180926_1856 07180926_1906</v>
      </c>
      <c r="AB4201" t="s">
        <v>9768</v>
      </c>
      <c r="AC4201">
        <f t="shared" si="162"/>
        <v>1642721</v>
      </c>
      <c r="AD4201">
        <f>SUM(AC4190:AC4201)</f>
        <v>19619892</v>
      </c>
    </row>
    <row r="4202" spans="1:30">
      <c r="A4202" t="s">
        <v>9769</v>
      </c>
      <c r="F4202" s="177">
        <v>10</v>
      </c>
      <c r="G4202" s="228" t="s">
        <v>18</v>
      </c>
      <c r="H4202" s="209">
        <v>-125</v>
      </c>
      <c r="I4202" s="177" t="s">
        <v>75</v>
      </c>
      <c r="J4202" s="177" t="s">
        <v>5577</v>
      </c>
      <c r="K4202" s="178" t="s">
        <v>5583</v>
      </c>
      <c r="M4202" t="s">
        <v>4945</v>
      </c>
      <c r="N4202" t="s">
        <v>5571</v>
      </c>
      <c r="O4202" t="s">
        <v>4941</v>
      </c>
      <c r="Q4202" t="str">
        <f t="shared" si="160"/>
        <v>condorProc.py --series 07180926_2009 --donoise --dumps a --procenv environments/pymidas_HVHV_NaI_mf.env</v>
      </c>
      <c r="R4202" t="str">
        <f t="shared" si="161"/>
        <v>ln -s ../../../../midasraw/byseries/07180926_2009 07180926_2009</v>
      </c>
      <c r="Z4202" t="str">
        <f>A4202</f>
        <v>07180926_2009</v>
      </c>
      <c r="AB4202" t="s">
        <v>9770</v>
      </c>
      <c r="AC4202">
        <f>VALUE(LEFT(AB4202,FIND(" ",AB4202)))</f>
        <v>1634216</v>
      </c>
    </row>
    <row r="4203" spans="1:30">
      <c r="A4203" t="s">
        <v>9771</v>
      </c>
      <c r="G4203" s="229"/>
      <c r="H4203" s="210"/>
      <c r="J4203" t="s">
        <v>5585</v>
      </c>
      <c r="K4203" s="218" t="s">
        <v>5586</v>
      </c>
      <c r="M4203" t="s">
        <v>4945</v>
      </c>
      <c r="N4203" t="s">
        <v>5571</v>
      </c>
      <c r="O4203" t="s">
        <v>4941</v>
      </c>
      <c r="Q4203" t="str">
        <f t="shared" si="160"/>
        <v>condorProc.py --series 07180926_2019 --donoise --dumps a --procenv environments/pymidas_HVHV_NaI_mf.env</v>
      </c>
      <c r="R4203" t="str">
        <f t="shared" si="161"/>
        <v>ln -s ../../../../midasraw/byseries/07180926_2019 07180926_2019</v>
      </c>
      <c r="Z4203" t="str">
        <f>Z4202&amp;" "&amp;A4203</f>
        <v>07180926_2009 07180926_2019</v>
      </c>
      <c r="AB4203" t="s">
        <v>9772</v>
      </c>
      <c r="AC4203">
        <f t="shared" si="162"/>
        <v>1632316</v>
      </c>
    </row>
    <row r="4204" spans="1:30">
      <c r="A4204" t="s">
        <v>9773</v>
      </c>
      <c r="G4204" s="229"/>
      <c r="H4204" s="210"/>
      <c r="K4204" s="219" t="s">
        <v>8388</v>
      </c>
      <c r="M4204" t="s">
        <v>4945</v>
      </c>
      <c r="N4204" t="s">
        <v>5571</v>
      </c>
      <c r="O4204" t="s">
        <v>4941</v>
      </c>
      <c r="Q4204" t="str">
        <f t="shared" si="160"/>
        <v>condorProc.py --series 07180926_2029 --donoise --dumps a --procenv environments/pymidas_HVHV_NaI_mf.env</v>
      </c>
      <c r="R4204" t="str">
        <f t="shared" si="161"/>
        <v>ln -s ../../../../midasraw/byseries/07180926_2029 07180926_2029</v>
      </c>
      <c r="Z4204" t="str">
        <f t="shared" ref="Z4204:Z4213" si="164">Z4203&amp;" "&amp;A4204</f>
        <v>07180926_2009 07180926_2019 07180926_2029</v>
      </c>
      <c r="AB4204" t="s">
        <v>9774</v>
      </c>
      <c r="AC4204">
        <f t="shared" si="162"/>
        <v>1632474</v>
      </c>
    </row>
    <row r="4205" spans="1:30">
      <c r="A4205" t="s">
        <v>9775</v>
      </c>
      <c r="G4205" s="229"/>
      <c r="H4205" s="210"/>
      <c r="K4205" s="180"/>
      <c r="M4205" t="s">
        <v>4945</v>
      </c>
      <c r="N4205" t="s">
        <v>5571</v>
      </c>
      <c r="O4205" t="s">
        <v>4941</v>
      </c>
      <c r="Q4205" t="str">
        <f t="shared" si="160"/>
        <v>condorProc.py --series 07180926_2040 --donoise --dumps a --procenv environments/pymidas_HVHV_NaI_mf.env</v>
      </c>
      <c r="R4205" t="str">
        <f t="shared" si="161"/>
        <v>ln -s ../../../../midasraw/byseries/07180926_2040 07180926_2040</v>
      </c>
      <c r="Z4205" t="str">
        <f t="shared" si="164"/>
        <v>07180926_2009 07180926_2019 07180926_2029 07180926_2040</v>
      </c>
      <c r="AB4205" t="s">
        <v>9776</v>
      </c>
      <c r="AC4205">
        <f t="shared" si="162"/>
        <v>1647229</v>
      </c>
    </row>
    <row r="4206" spans="1:30">
      <c r="A4206" t="s">
        <v>9777</v>
      </c>
      <c r="G4206" s="229"/>
      <c r="H4206" s="210"/>
      <c r="K4206" s="180"/>
      <c r="M4206" t="s">
        <v>4945</v>
      </c>
      <c r="N4206" t="s">
        <v>5571</v>
      </c>
      <c r="O4206" t="s">
        <v>4941</v>
      </c>
      <c r="Q4206" t="str">
        <f t="shared" si="160"/>
        <v>condorProc.py --series 07180926_2050 --donoise --dumps a --procenv environments/pymidas_HVHV_NaI_mf.env</v>
      </c>
      <c r="R4206" t="str">
        <f t="shared" si="161"/>
        <v>ln -s ../../../../midasraw/byseries/07180926_2050 07180926_2050</v>
      </c>
      <c r="Z4206" t="str">
        <f t="shared" si="164"/>
        <v>07180926_2009 07180926_2019 07180926_2029 07180926_2040 07180926_2050</v>
      </c>
      <c r="AB4206" t="s">
        <v>9778</v>
      </c>
      <c r="AC4206">
        <f t="shared" si="162"/>
        <v>1647623</v>
      </c>
    </row>
    <row r="4207" spans="1:30">
      <c r="A4207" t="s">
        <v>9779</v>
      </c>
      <c r="G4207" s="229"/>
      <c r="H4207" s="210"/>
      <c r="K4207" s="180"/>
      <c r="M4207" t="s">
        <v>4945</v>
      </c>
      <c r="N4207" t="s">
        <v>5571</v>
      </c>
      <c r="O4207" t="s">
        <v>4941</v>
      </c>
      <c r="Q4207" t="str">
        <f t="shared" si="160"/>
        <v>condorProc.py --series 07180926_2100 --donoise --dumps a --procenv environments/pymidas_HVHV_NaI_mf.env</v>
      </c>
      <c r="R4207" t="str">
        <f t="shared" si="161"/>
        <v>ln -s ../../../../midasraw/byseries/07180926_2100 07180926_2100</v>
      </c>
      <c r="Z4207" t="str">
        <f t="shared" si="164"/>
        <v>07180926_2009 07180926_2019 07180926_2029 07180926_2040 07180926_2050 07180926_2100</v>
      </c>
      <c r="AB4207" t="s">
        <v>9780</v>
      </c>
      <c r="AC4207">
        <f t="shared" si="162"/>
        <v>1645526</v>
      </c>
    </row>
    <row r="4208" spans="1:30">
      <c r="A4208" t="s">
        <v>9781</v>
      </c>
      <c r="G4208" s="229"/>
      <c r="H4208" s="210"/>
      <c r="K4208" s="180"/>
      <c r="M4208" t="s">
        <v>4945</v>
      </c>
      <c r="N4208" t="s">
        <v>5571</v>
      </c>
      <c r="O4208" t="s">
        <v>4941</v>
      </c>
      <c r="Q4208" t="str">
        <f t="shared" si="160"/>
        <v>condorProc.py --series 07180926_2110 --donoise --dumps a --procenv environments/pymidas_HVHV_NaI_mf.env</v>
      </c>
      <c r="R4208" t="str">
        <f t="shared" si="161"/>
        <v>ln -s ../../../../midasraw/byseries/07180926_2110 07180926_2110</v>
      </c>
      <c r="Z4208" t="str">
        <f t="shared" si="164"/>
        <v>07180926_2009 07180926_2019 07180926_2029 07180926_2040 07180926_2050 07180926_2100 07180926_2110</v>
      </c>
      <c r="AB4208" t="s">
        <v>9782</v>
      </c>
      <c r="AC4208">
        <f t="shared" si="162"/>
        <v>1633831</v>
      </c>
    </row>
    <row r="4209" spans="1:30">
      <c r="A4209" t="s">
        <v>9783</v>
      </c>
      <c r="G4209" s="229"/>
      <c r="H4209" s="210"/>
      <c r="K4209" s="180"/>
      <c r="M4209" t="s">
        <v>4945</v>
      </c>
      <c r="N4209" t="s">
        <v>5571</v>
      </c>
      <c r="O4209" t="s">
        <v>4941</v>
      </c>
      <c r="Q4209" t="str">
        <f t="shared" si="160"/>
        <v>condorProc.py --series 07180926_2120 --donoise --dumps a --procenv environments/pymidas_HVHV_NaI_mf.env</v>
      </c>
      <c r="R4209" t="str">
        <f t="shared" si="161"/>
        <v>ln -s ../../../../midasraw/byseries/07180926_2120 07180926_2120</v>
      </c>
      <c r="Z4209" t="str">
        <f t="shared" si="164"/>
        <v>07180926_2009 07180926_2019 07180926_2029 07180926_2040 07180926_2050 07180926_2100 07180926_2110 07180926_2120</v>
      </c>
      <c r="AB4209" t="s">
        <v>9784</v>
      </c>
      <c r="AC4209">
        <f t="shared" si="162"/>
        <v>1637730</v>
      </c>
    </row>
    <row r="4210" spans="1:30">
      <c r="A4210" t="s">
        <v>9785</v>
      </c>
      <c r="G4210" s="229"/>
      <c r="H4210" s="210"/>
      <c r="I4210" t="s">
        <v>75</v>
      </c>
      <c r="K4210" s="180"/>
      <c r="M4210" t="s">
        <v>4945</v>
      </c>
      <c r="N4210" t="s">
        <v>5571</v>
      </c>
      <c r="O4210" t="s">
        <v>4941</v>
      </c>
      <c r="Q4210" t="str">
        <f t="shared" si="160"/>
        <v>condorProc.py --series 07180926_2130 --donoise --dumps a --procenv environments/pymidas_HVHV_NaI_mf.env</v>
      </c>
      <c r="R4210" t="str">
        <f t="shared" si="161"/>
        <v>ln -s ../../../../midasraw/byseries/07180926_2130 07180926_2130</v>
      </c>
      <c r="Z4210" t="str">
        <f t="shared" si="164"/>
        <v>07180926_2009 07180926_2019 07180926_2029 07180926_2040 07180926_2050 07180926_2100 07180926_2110 07180926_2120 07180926_2130</v>
      </c>
      <c r="AB4210" t="s">
        <v>9786</v>
      </c>
      <c r="AC4210">
        <f t="shared" si="162"/>
        <v>1642918</v>
      </c>
    </row>
    <row r="4211" spans="1:30">
      <c r="A4211" t="s">
        <v>9787</v>
      </c>
      <c r="G4211" s="229"/>
      <c r="H4211" s="210"/>
      <c r="K4211" s="180"/>
      <c r="M4211" t="s">
        <v>4945</v>
      </c>
      <c r="N4211" t="s">
        <v>5571</v>
      </c>
      <c r="O4211" t="s">
        <v>4941</v>
      </c>
      <c r="Q4211" t="str">
        <f t="shared" si="160"/>
        <v>condorProc.py --series 07180926_2140 --donoise --dumps a --procenv environments/pymidas_HVHV_NaI_mf.env</v>
      </c>
      <c r="R4211" t="str">
        <f t="shared" si="161"/>
        <v>ln -s ../../../../midasraw/byseries/07180926_2140 07180926_2140</v>
      </c>
      <c r="Z4211" t="str">
        <f t="shared" si="164"/>
        <v>07180926_2009 07180926_2019 07180926_2029 07180926_2040 07180926_2050 07180926_2100 07180926_2110 07180926_2120 07180926_2130 07180926_2140</v>
      </c>
      <c r="AB4211" t="s">
        <v>9788</v>
      </c>
      <c r="AC4211">
        <f t="shared" si="162"/>
        <v>1620652</v>
      </c>
    </row>
    <row r="4212" spans="1:30">
      <c r="A4212" t="s">
        <v>9789</v>
      </c>
      <c r="G4212" s="229"/>
      <c r="H4212" s="210"/>
      <c r="K4212" s="180"/>
      <c r="M4212" t="s">
        <v>4945</v>
      </c>
      <c r="N4212" t="s">
        <v>5571</v>
      </c>
      <c r="O4212" t="s">
        <v>4941</v>
      </c>
      <c r="Q4212" t="str">
        <f t="shared" si="160"/>
        <v>condorProc.py --series 07180926_2150 --donoise --dumps a --procenv environments/pymidas_HVHV_NaI_mf.env</v>
      </c>
      <c r="R4212" t="str">
        <f t="shared" si="161"/>
        <v>ln -s ../../../../midasraw/byseries/07180926_2150 07180926_2150</v>
      </c>
      <c r="Z4212" t="str">
        <f t="shared" si="164"/>
        <v>07180926_2009 07180926_2019 07180926_2029 07180926_2040 07180926_2050 07180926_2100 07180926_2110 07180926_2120 07180926_2130 07180926_2140 07180926_2150</v>
      </c>
      <c r="AB4212" t="s">
        <v>9790</v>
      </c>
      <c r="AC4212">
        <f t="shared" si="162"/>
        <v>1615365</v>
      </c>
    </row>
    <row r="4213" spans="1:30">
      <c r="A4213" t="s">
        <v>9791</v>
      </c>
      <c r="F4213" s="65"/>
      <c r="G4213" s="231"/>
      <c r="H4213" s="211"/>
      <c r="I4213" s="65" t="s">
        <v>75</v>
      </c>
      <c r="J4213" s="65"/>
      <c r="K4213" s="182"/>
      <c r="M4213" t="s">
        <v>4945</v>
      </c>
      <c r="N4213" t="s">
        <v>5571</v>
      </c>
      <c r="O4213" t="s">
        <v>4941</v>
      </c>
      <c r="Q4213" t="str">
        <f t="shared" si="160"/>
        <v>condorProc.py --series 07180926_2201 --donoise --dumps a --procenv environments/pymidas_HVHV_NaI_mf.env</v>
      </c>
      <c r="R4213" t="str">
        <f t="shared" si="161"/>
        <v>ln -s ../../../../midasraw/byseries/07180926_2201 07180926_2201</v>
      </c>
      <c r="Z4213" t="str">
        <f t="shared" si="164"/>
        <v>07180926_2009 07180926_2019 07180926_2029 07180926_2040 07180926_2050 07180926_2100 07180926_2110 07180926_2120 07180926_2130 07180926_2140 07180926_2150 07180926_2201</v>
      </c>
      <c r="AA4213" t="str">
        <f>"du "&amp;Z4213</f>
        <v>du 07180926_2009 07180926_2019 07180926_2029 07180926_2040 07180926_2050 07180926_2100 07180926_2110 07180926_2120 07180926_2130 07180926_2140 07180926_2150 07180926_2201</v>
      </c>
      <c r="AB4213" t="s">
        <v>9792</v>
      </c>
      <c r="AC4213">
        <f t="shared" si="162"/>
        <v>1602883</v>
      </c>
      <c r="AD4213">
        <f>SUM(AC4202:AC4213)</f>
        <v>19592763</v>
      </c>
    </row>
    <row r="4214" spans="1:30">
      <c r="A4214" t="s">
        <v>9793</v>
      </c>
      <c r="F4214" s="177">
        <v>10</v>
      </c>
      <c r="G4214" s="228" t="s">
        <v>18</v>
      </c>
      <c r="H4214" s="209">
        <v>-125</v>
      </c>
      <c r="I4214" s="177"/>
      <c r="J4214" s="177" t="s">
        <v>5577</v>
      </c>
      <c r="K4214" s="178" t="s">
        <v>5583</v>
      </c>
      <c r="M4214" t="s">
        <v>4945</v>
      </c>
      <c r="N4214" t="s">
        <v>5571</v>
      </c>
      <c r="O4214" t="s">
        <v>4941</v>
      </c>
      <c r="Q4214" t="str">
        <f t="shared" si="160"/>
        <v>condorProc.py --series 07180926_2304 --donoise --dumps a --procenv environments/pymidas_HVHV_NaI_mf.env</v>
      </c>
      <c r="R4214" t="str">
        <f t="shared" si="161"/>
        <v>ln -s ../../../../midasraw/byseries/07180926_2304 07180926_2304</v>
      </c>
      <c r="AD4214">
        <f>AVERAGE(AD4201:AD4213)</f>
        <v>19606327.5</v>
      </c>
    </row>
    <row r="4215" spans="1:30">
      <c r="A4215" t="s">
        <v>9794</v>
      </c>
      <c r="G4215" s="229"/>
      <c r="H4215" s="210"/>
      <c r="J4215" t="s">
        <v>5585</v>
      </c>
      <c r="K4215" s="218" t="s">
        <v>5586</v>
      </c>
      <c r="M4215" t="s">
        <v>4945</v>
      </c>
      <c r="N4215" t="s">
        <v>5571</v>
      </c>
      <c r="O4215" t="s">
        <v>4941</v>
      </c>
      <c r="Q4215" t="str">
        <f t="shared" si="160"/>
        <v>condorProc.py --series 07180926_2314 --donoise --dumps a --procenv environments/pymidas_HVHV_NaI_mf.env</v>
      </c>
      <c r="R4215" t="str">
        <f t="shared" si="161"/>
        <v>ln -s ../../../../midasraw/byseries/07180926_2314 07180926_2314</v>
      </c>
    </row>
    <row r="4216" spans="1:30">
      <c r="A4216" t="s">
        <v>9795</v>
      </c>
      <c r="G4216" s="229"/>
      <c r="H4216" s="210"/>
      <c r="K4216" s="219" t="s">
        <v>8388</v>
      </c>
      <c r="M4216" t="s">
        <v>4945</v>
      </c>
      <c r="N4216" t="s">
        <v>5571</v>
      </c>
      <c r="O4216" t="s">
        <v>4941</v>
      </c>
      <c r="Q4216" t="str">
        <f t="shared" si="160"/>
        <v>condorProc.py --series 07180926_2324 --donoise --dumps a --procenv environments/pymidas_HVHV_NaI_mf.env</v>
      </c>
      <c r="R4216" t="str">
        <f t="shared" si="161"/>
        <v>ln -s ../../../../midasraw/byseries/07180926_2324 07180926_2324</v>
      </c>
    </row>
    <row r="4217" spans="1:30">
      <c r="A4217" t="s">
        <v>9796</v>
      </c>
      <c r="G4217" s="229"/>
      <c r="H4217" s="210"/>
      <c r="K4217" s="180"/>
      <c r="M4217" t="s">
        <v>4945</v>
      </c>
      <c r="N4217" t="s">
        <v>5571</v>
      </c>
      <c r="O4217" t="s">
        <v>4941</v>
      </c>
      <c r="Q4217" t="str">
        <f t="shared" si="160"/>
        <v>condorProc.py --series 07180926_2334 --donoise --dumps a --procenv environments/pymidas_HVHV_NaI_mf.env</v>
      </c>
      <c r="R4217" t="str">
        <f t="shared" si="161"/>
        <v>ln -s ../../../../midasraw/byseries/07180926_2334 07180926_2334</v>
      </c>
    </row>
    <row r="4218" spans="1:30">
      <c r="A4218" t="s">
        <v>9797</v>
      </c>
      <c r="G4218" s="229"/>
      <c r="H4218" s="210"/>
      <c r="K4218" s="180"/>
      <c r="M4218" t="s">
        <v>4945</v>
      </c>
      <c r="N4218" t="s">
        <v>5571</v>
      </c>
      <c r="O4218" t="s">
        <v>4941</v>
      </c>
      <c r="Q4218" t="str">
        <f t="shared" si="160"/>
        <v>condorProc.py --series 07180926_2345 --donoise --dumps a --procenv environments/pymidas_HVHV_NaI_mf.env</v>
      </c>
      <c r="R4218" t="str">
        <f t="shared" si="161"/>
        <v>ln -s ../../../../midasraw/byseries/07180926_2345 07180926_2345</v>
      </c>
    </row>
    <row r="4219" spans="1:30">
      <c r="A4219" t="s">
        <v>9798</v>
      </c>
      <c r="G4219" s="229"/>
      <c r="H4219" s="210"/>
      <c r="K4219" s="180"/>
      <c r="M4219" t="s">
        <v>4945</v>
      </c>
      <c r="N4219" t="s">
        <v>5571</v>
      </c>
      <c r="O4219" t="s">
        <v>4941</v>
      </c>
      <c r="Q4219" t="str">
        <f t="shared" si="160"/>
        <v>condorProc.py --series 07180926_2355 --donoise --dumps a --procenv environments/pymidas_HVHV_NaI_mf.env</v>
      </c>
      <c r="R4219" t="str">
        <f t="shared" si="161"/>
        <v>ln -s ../../../../midasraw/byseries/07180926_2355 07180926_2355</v>
      </c>
    </row>
    <row r="4220" spans="1:30">
      <c r="A4220" t="s">
        <v>9799</v>
      </c>
      <c r="G4220" s="229"/>
      <c r="H4220" s="210"/>
      <c r="K4220" s="180"/>
      <c r="M4220" t="s">
        <v>4945</v>
      </c>
      <c r="N4220" t="s">
        <v>5571</v>
      </c>
      <c r="O4220" t="s">
        <v>4941</v>
      </c>
      <c r="Q4220" t="str">
        <f t="shared" si="160"/>
        <v>condorProc.py --series 07180927_0005 --donoise --dumps a --procenv environments/pymidas_HVHV_NaI_mf.env</v>
      </c>
      <c r="R4220" t="str">
        <f t="shared" si="161"/>
        <v>ln -s ../../../../midasraw/byseries/07180927_0005 07180927_0005</v>
      </c>
    </row>
    <row r="4221" spans="1:30">
      <c r="A4221" t="s">
        <v>9800</v>
      </c>
      <c r="G4221" s="229"/>
      <c r="H4221" s="210"/>
      <c r="K4221" s="180"/>
      <c r="M4221" t="s">
        <v>4945</v>
      </c>
      <c r="N4221" t="s">
        <v>5571</v>
      </c>
      <c r="O4221" t="s">
        <v>4941</v>
      </c>
      <c r="Q4221" t="str">
        <f t="shared" si="160"/>
        <v>condorProc.py --series 07180927_0015 --donoise --dumps a --procenv environments/pymidas_HVHV_NaI_mf.env</v>
      </c>
      <c r="R4221" t="str">
        <f t="shared" si="161"/>
        <v>ln -s ../../../../midasraw/byseries/07180927_0015 07180927_0015</v>
      </c>
    </row>
    <row r="4222" spans="1:30">
      <c r="A4222" t="s">
        <v>9801</v>
      </c>
      <c r="G4222" s="229"/>
      <c r="H4222" s="210"/>
      <c r="K4222" s="180"/>
      <c r="M4222" t="s">
        <v>4945</v>
      </c>
      <c r="N4222" t="s">
        <v>5571</v>
      </c>
      <c r="O4222" t="s">
        <v>4941</v>
      </c>
      <c r="Q4222" t="str">
        <f t="shared" si="160"/>
        <v>condorProc.py --series 07180927_0025 --donoise --dumps a --procenv environments/pymidas_HVHV_NaI_mf.env</v>
      </c>
      <c r="R4222" t="str">
        <f t="shared" si="161"/>
        <v>ln -s ../../../../midasraw/byseries/07180927_0025 07180927_0025</v>
      </c>
    </row>
    <row r="4223" spans="1:30">
      <c r="A4223" t="s">
        <v>9802</v>
      </c>
      <c r="G4223" s="229"/>
      <c r="H4223" s="210"/>
      <c r="K4223" s="180"/>
      <c r="M4223" t="s">
        <v>4945</v>
      </c>
      <c r="N4223" t="s">
        <v>5571</v>
      </c>
      <c r="O4223" t="s">
        <v>4941</v>
      </c>
      <c r="Q4223" t="str">
        <f t="shared" si="160"/>
        <v>condorProc.py --series 07180927_0035 --donoise --dumps a --procenv environments/pymidas_HVHV_NaI_mf.env</v>
      </c>
      <c r="R4223" t="str">
        <f t="shared" si="161"/>
        <v>ln -s ../../../../midasraw/byseries/07180927_0035 07180927_0035</v>
      </c>
    </row>
    <row r="4224" spans="1:30">
      <c r="A4224" t="s">
        <v>9803</v>
      </c>
      <c r="G4224" s="229"/>
      <c r="H4224" s="210"/>
      <c r="K4224" s="180"/>
      <c r="M4224" t="s">
        <v>4945</v>
      </c>
      <c r="N4224" t="s">
        <v>5571</v>
      </c>
      <c r="O4224" t="s">
        <v>4941</v>
      </c>
      <c r="Q4224" t="str">
        <f t="shared" si="160"/>
        <v>condorProc.py --series 07180927_0045 --donoise --dumps a --procenv environments/pymidas_HVHV_NaI_mf.env</v>
      </c>
      <c r="R4224" t="str">
        <f t="shared" si="161"/>
        <v>ln -s ../../../../midasraw/byseries/07180927_0045 07180927_0045</v>
      </c>
    </row>
    <row r="4225" spans="1:18">
      <c r="A4225" t="s">
        <v>9804</v>
      </c>
      <c r="F4225" s="65"/>
      <c r="G4225" s="231"/>
      <c r="H4225" s="211"/>
      <c r="I4225" s="65"/>
      <c r="J4225" s="65"/>
      <c r="K4225" s="182"/>
      <c r="M4225" t="s">
        <v>4945</v>
      </c>
      <c r="N4225" t="s">
        <v>5571</v>
      </c>
      <c r="O4225" t="s">
        <v>4941</v>
      </c>
      <c r="Q4225" t="str">
        <f t="shared" si="160"/>
        <v>condorProc.py --series 07180927_0056 --donoise --dumps a --procenv environments/pymidas_HVHV_NaI_mf.env</v>
      </c>
      <c r="R4225" t="str">
        <f t="shared" si="161"/>
        <v>ln -s ../../../../midasraw/byseries/07180927_0056 07180927_0056</v>
      </c>
    </row>
    <row r="4226" spans="1:18">
      <c r="A4226" t="s">
        <v>9805</v>
      </c>
      <c r="F4226" s="177">
        <v>10</v>
      </c>
      <c r="G4226" s="228" t="s">
        <v>18</v>
      </c>
      <c r="H4226" s="209">
        <v>-125</v>
      </c>
      <c r="I4226" s="177"/>
      <c r="J4226" s="177" t="s">
        <v>5577</v>
      </c>
      <c r="K4226" s="178" t="s">
        <v>5583</v>
      </c>
      <c r="M4226" t="s">
        <v>4945</v>
      </c>
      <c r="N4226" t="s">
        <v>5571</v>
      </c>
      <c r="O4226" t="s">
        <v>4941</v>
      </c>
      <c r="Q4226" t="str">
        <f t="shared" si="160"/>
        <v>condorProc.py --series 07180927_0158 --donoise --dumps a --procenv environments/pymidas_HVHV_NaI_mf.env</v>
      </c>
      <c r="R4226" t="str">
        <f t="shared" si="161"/>
        <v>ln -s ../../../../midasraw/byseries/07180927_0158 07180927_0158</v>
      </c>
    </row>
    <row r="4227" spans="1:18">
      <c r="A4227" t="s">
        <v>9806</v>
      </c>
      <c r="G4227" s="229"/>
      <c r="H4227" s="210"/>
      <c r="J4227" t="s">
        <v>5585</v>
      </c>
      <c r="K4227" s="218" t="s">
        <v>5586</v>
      </c>
      <c r="M4227" t="s">
        <v>4945</v>
      </c>
      <c r="N4227" t="s">
        <v>5571</v>
      </c>
      <c r="O4227" t="s">
        <v>4941</v>
      </c>
      <c r="Q4227" t="str">
        <f t="shared" si="160"/>
        <v>condorProc.py --series 07180927_0208 --donoise --dumps a --procenv environments/pymidas_HVHV_NaI_mf.env</v>
      </c>
      <c r="R4227" t="str">
        <f t="shared" si="161"/>
        <v>ln -s ../../../../midasraw/byseries/07180927_0208 07180927_0208</v>
      </c>
    </row>
    <row r="4228" spans="1:18">
      <c r="A4228" t="s">
        <v>9807</v>
      </c>
      <c r="G4228" s="229"/>
      <c r="H4228" s="210"/>
      <c r="K4228" s="219" t="s">
        <v>8388</v>
      </c>
      <c r="M4228" t="s">
        <v>4945</v>
      </c>
      <c r="N4228" t="s">
        <v>5571</v>
      </c>
      <c r="O4228" t="s">
        <v>4941</v>
      </c>
      <c r="Q4228" t="str">
        <f t="shared" si="160"/>
        <v>condorProc.py --series 07180927_0219 --donoise --dumps a --procenv environments/pymidas_HVHV_NaI_mf.env</v>
      </c>
      <c r="R4228" t="str">
        <f t="shared" si="161"/>
        <v>ln -s ../../../../midasraw/byseries/07180927_0219 07180927_0219</v>
      </c>
    </row>
    <row r="4229" spans="1:18">
      <c r="A4229" t="s">
        <v>9808</v>
      </c>
      <c r="G4229" s="229"/>
      <c r="H4229" s="210"/>
      <c r="K4229" s="180"/>
      <c r="M4229" t="s">
        <v>4945</v>
      </c>
      <c r="N4229" t="s">
        <v>5571</v>
      </c>
      <c r="O4229" t="s">
        <v>4941</v>
      </c>
      <c r="Q4229" t="str">
        <f t="shared" si="160"/>
        <v>condorProc.py --series 07180927_0229 --donoise --dumps a --procenv environments/pymidas_HVHV_NaI_mf.env</v>
      </c>
      <c r="R4229" t="str">
        <f t="shared" si="161"/>
        <v>ln -s ../../../../midasraw/byseries/07180927_0229 07180927_0229</v>
      </c>
    </row>
    <row r="4230" spans="1:18">
      <c r="A4230" t="s">
        <v>9809</v>
      </c>
      <c r="G4230" s="229"/>
      <c r="H4230" s="210"/>
      <c r="K4230" s="180"/>
      <c r="M4230" t="s">
        <v>4945</v>
      </c>
      <c r="N4230" t="s">
        <v>5571</v>
      </c>
      <c r="O4230" t="s">
        <v>4941</v>
      </c>
      <c r="Q4230" t="str">
        <f t="shared" si="160"/>
        <v>condorProc.py --series 07180927_0239 --donoise --dumps a --procenv environments/pymidas_HVHV_NaI_mf.env</v>
      </c>
      <c r="R4230" t="str">
        <f t="shared" si="161"/>
        <v>ln -s ../../../../midasraw/byseries/07180927_0239 07180927_0239</v>
      </c>
    </row>
    <row r="4231" spans="1:18">
      <c r="A4231" t="s">
        <v>9810</v>
      </c>
      <c r="G4231" s="229"/>
      <c r="H4231" s="210"/>
      <c r="K4231" s="180"/>
      <c r="M4231" t="s">
        <v>4945</v>
      </c>
      <c r="N4231" t="s">
        <v>5571</v>
      </c>
      <c r="O4231" t="s">
        <v>4941</v>
      </c>
      <c r="Q4231" t="str">
        <f t="shared" si="160"/>
        <v>condorProc.py --series 07180927_0249 --donoise --dumps a --procenv environments/pymidas_HVHV_NaI_mf.env</v>
      </c>
      <c r="R4231" t="str">
        <f t="shared" si="161"/>
        <v>ln -s ../../../../midasraw/byseries/07180927_0249 07180927_0249</v>
      </c>
    </row>
    <row r="4232" spans="1:18">
      <c r="A4232" t="s">
        <v>9811</v>
      </c>
      <c r="G4232" s="229"/>
      <c r="H4232" s="210"/>
      <c r="K4232" s="180"/>
      <c r="M4232" t="s">
        <v>4945</v>
      </c>
      <c r="N4232" t="s">
        <v>5571</v>
      </c>
      <c r="O4232" t="s">
        <v>4941</v>
      </c>
      <c r="Q4232" t="str">
        <f t="shared" si="160"/>
        <v>condorProc.py --series 07180927_0259 --donoise --dumps a --procenv environments/pymidas_HVHV_NaI_mf.env</v>
      </c>
      <c r="R4232" t="str">
        <f t="shared" si="161"/>
        <v>ln -s ../../../../midasraw/byseries/07180927_0259 07180927_0259</v>
      </c>
    </row>
    <row r="4233" spans="1:18">
      <c r="A4233" t="s">
        <v>9812</v>
      </c>
      <c r="G4233" s="229"/>
      <c r="H4233" s="210"/>
      <c r="K4233" s="180"/>
      <c r="M4233" t="s">
        <v>4945</v>
      </c>
      <c r="N4233" t="s">
        <v>5571</v>
      </c>
      <c r="O4233" t="s">
        <v>4941</v>
      </c>
      <c r="Q4233" t="str">
        <f t="shared" si="160"/>
        <v>condorProc.py --series 07180927_0309 --donoise --dumps a --procenv environments/pymidas_HVHV_NaI_mf.env</v>
      </c>
      <c r="R4233" t="str">
        <f t="shared" si="161"/>
        <v>ln -s ../../../../midasraw/byseries/07180927_0309 07180927_0309</v>
      </c>
    </row>
    <row r="4234" spans="1:18">
      <c r="A4234" t="s">
        <v>9813</v>
      </c>
      <c r="G4234" s="229"/>
      <c r="H4234" s="210"/>
      <c r="K4234" s="180"/>
      <c r="M4234" t="s">
        <v>4945</v>
      </c>
      <c r="N4234" t="s">
        <v>5571</v>
      </c>
      <c r="O4234" t="s">
        <v>4941</v>
      </c>
      <c r="Q4234" t="str">
        <f t="shared" si="160"/>
        <v>condorProc.py --series 07180927_0319 --donoise --dumps a --procenv environments/pymidas_HVHV_NaI_mf.env</v>
      </c>
      <c r="R4234" t="str">
        <f t="shared" si="161"/>
        <v>ln -s ../../../../midasraw/byseries/07180927_0319 07180927_0319</v>
      </c>
    </row>
    <row r="4235" spans="1:18">
      <c r="A4235" t="s">
        <v>9814</v>
      </c>
      <c r="G4235" s="229"/>
      <c r="H4235" s="210"/>
      <c r="K4235" s="180"/>
      <c r="M4235" t="s">
        <v>4945</v>
      </c>
      <c r="N4235" t="s">
        <v>5571</v>
      </c>
      <c r="O4235" t="s">
        <v>4941</v>
      </c>
      <c r="Q4235" t="str">
        <f t="shared" si="160"/>
        <v>condorProc.py --series 07180927_0330 --donoise --dumps a --procenv environments/pymidas_HVHV_NaI_mf.env</v>
      </c>
      <c r="R4235" t="str">
        <f t="shared" si="161"/>
        <v>ln -s ../../../../midasraw/byseries/07180927_0330 07180927_0330</v>
      </c>
    </row>
    <row r="4236" spans="1:18">
      <c r="A4236" t="s">
        <v>9815</v>
      </c>
      <c r="G4236" s="229"/>
      <c r="H4236" s="210"/>
      <c r="K4236" s="180"/>
      <c r="M4236" t="s">
        <v>4945</v>
      </c>
      <c r="N4236" t="s">
        <v>5571</v>
      </c>
      <c r="O4236" t="s">
        <v>4941</v>
      </c>
      <c r="Q4236" t="str">
        <f t="shared" si="160"/>
        <v>condorProc.py --series 07180927_0340 --donoise --dumps a --procenv environments/pymidas_HVHV_NaI_mf.env</v>
      </c>
      <c r="R4236" t="str">
        <f t="shared" si="161"/>
        <v>ln -s ../../../../midasraw/byseries/07180927_0340 07180927_0340</v>
      </c>
    </row>
    <row r="4237" spans="1:18">
      <c r="A4237" t="s">
        <v>9816</v>
      </c>
      <c r="F4237" s="65"/>
      <c r="G4237" s="231"/>
      <c r="H4237" s="211"/>
      <c r="I4237" s="65"/>
      <c r="J4237" s="65"/>
      <c r="K4237" s="182"/>
      <c r="M4237" t="s">
        <v>4945</v>
      </c>
      <c r="N4237" t="s">
        <v>5571</v>
      </c>
      <c r="O4237" t="s">
        <v>4941</v>
      </c>
      <c r="Q4237" t="str">
        <f t="shared" si="160"/>
        <v>condorProc.py --series 07180927_0350 --donoise --dumps a --procenv environments/pymidas_HVHV_NaI_mf.env</v>
      </c>
      <c r="R4237" t="str">
        <f t="shared" si="161"/>
        <v>ln -s ../../../../midasraw/byseries/07180927_0350 07180927_0350</v>
      </c>
    </row>
    <row r="4238" spans="1:18">
      <c r="A4238" t="s">
        <v>9817</v>
      </c>
      <c r="F4238" s="177">
        <v>10</v>
      </c>
      <c r="G4238" s="228" t="s">
        <v>18</v>
      </c>
      <c r="H4238" s="209">
        <v>-125</v>
      </c>
      <c r="I4238" s="177"/>
      <c r="J4238" s="177" t="s">
        <v>5577</v>
      </c>
      <c r="K4238" s="178" t="s">
        <v>5583</v>
      </c>
      <c r="M4238" t="s">
        <v>4945</v>
      </c>
      <c r="N4238" t="s">
        <v>5571</v>
      </c>
      <c r="O4238" t="s">
        <v>4941</v>
      </c>
      <c r="Q4238" t="str">
        <f t="shared" si="160"/>
        <v>condorProc.py --series 07180927_0453 --donoise --dumps a --procenv environments/pymidas_HVHV_NaI_mf.env</v>
      </c>
      <c r="R4238" t="str">
        <f t="shared" si="161"/>
        <v>ln -s ../../../../midasraw/byseries/07180927_0453 07180927_0453</v>
      </c>
    </row>
    <row r="4239" spans="1:18">
      <c r="A4239" t="s">
        <v>9818</v>
      </c>
      <c r="G4239" s="229"/>
      <c r="H4239" s="210"/>
      <c r="J4239" t="s">
        <v>5585</v>
      </c>
      <c r="K4239" s="218" t="s">
        <v>5586</v>
      </c>
      <c r="M4239" t="s">
        <v>4945</v>
      </c>
      <c r="N4239" t="s">
        <v>5571</v>
      </c>
      <c r="O4239" t="s">
        <v>4941</v>
      </c>
      <c r="Q4239" t="str">
        <f t="shared" ref="Q4239:Q4302" si="165">"condorProc.py --series "&amp;A4239&amp;" --donoise --dumps a --procenv environments/pymidas_HVHV_NaI_mf.env"</f>
        <v>condorProc.py --series 07180927_0503 --donoise --dumps a --procenv environments/pymidas_HVHV_NaI_mf.env</v>
      </c>
      <c r="R4239" t="str">
        <f t="shared" ref="R4239:R4302" si="166">"ln -s ../../../../midasraw/byseries/"&amp;A4239&amp;" "&amp;A4239</f>
        <v>ln -s ../../../../midasraw/byseries/07180927_0503 07180927_0503</v>
      </c>
    </row>
    <row r="4240" spans="1:18">
      <c r="A4240" t="s">
        <v>9819</v>
      </c>
      <c r="G4240" s="229"/>
      <c r="H4240" s="210"/>
      <c r="K4240" s="219" t="s">
        <v>8388</v>
      </c>
      <c r="M4240" t="s">
        <v>4945</v>
      </c>
      <c r="N4240" t="s">
        <v>5571</v>
      </c>
      <c r="O4240" t="s">
        <v>4941</v>
      </c>
      <c r="Q4240" t="str">
        <f t="shared" si="165"/>
        <v>condorProc.py --series 07180927_0513 --donoise --dumps a --procenv environments/pymidas_HVHV_NaI_mf.env</v>
      </c>
      <c r="R4240" t="str">
        <f t="shared" si="166"/>
        <v>ln -s ../../../../midasraw/byseries/07180927_0513 07180927_0513</v>
      </c>
    </row>
    <row r="4241" spans="1:18">
      <c r="A4241" t="s">
        <v>9820</v>
      </c>
      <c r="G4241" s="229"/>
      <c r="H4241" s="210"/>
      <c r="K4241" s="180"/>
      <c r="M4241" t="s">
        <v>4945</v>
      </c>
      <c r="N4241" t="s">
        <v>5571</v>
      </c>
      <c r="O4241" t="s">
        <v>4941</v>
      </c>
      <c r="Q4241" t="str">
        <f t="shared" si="165"/>
        <v>condorProc.py --series 07180927_0523 --donoise --dumps a --procenv environments/pymidas_HVHV_NaI_mf.env</v>
      </c>
      <c r="R4241" t="str">
        <f t="shared" si="166"/>
        <v>ln -s ../../../../midasraw/byseries/07180927_0523 07180927_0523</v>
      </c>
    </row>
    <row r="4242" spans="1:18">
      <c r="A4242" t="s">
        <v>9821</v>
      </c>
      <c r="G4242" s="229"/>
      <c r="H4242" s="210"/>
      <c r="K4242" s="180"/>
      <c r="M4242" t="s">
        <v>4945</v>
      </c>
      <c r="N4242" t="s">
        <v>5571</v>
      </c>
      <c r="O4242" t="s">
        <v>4941</v>
      </c>
      <c r="Q4242" t="str">
        <f t="shared" si="165"/>
        <v>condorProc.py --series 07180927_0533 --donoise --dumps a --procenv environments/pymidas_HVHV_NaI_mf.env</v>
      </c>
      <c r="R4242" t="str">
        <f t="shared" si="166"/>
        <v>ln -s ../../../../midasraw/byseries/07180927_0533 07180927_0533</v>
      </c>
    </row>
    <row r="4243" spans="1:18">
      <c r="A4243" t="s">
        <v>9822</v>
      </c>
      <c r="G4243" s="229"/>
      <c r="H4243" s="210"/>
      <c r="K4243" s="180"/>
      <c r="M4243" t="s">
        <v>4945</v>
      </c>
      <c r="N4243" t="s">
        <v>5571</v>
      </c>
      <c r="O4243" t="s">
        <v>4941</v>
      </c>
      <c r="Q4243" t="str">
        <f t="shared" si="165"/>
        <v>condorProc.py --series 07180927_0543 --donoise --dumps a --procenv environments/pymidas_HVHV_NaI_mf.env</v>
      </c>
      <c r="R4243" t="str">
        <f t="shared" si="166"/>
        <v>ln -s ../../../../midasraw/byseries/07180927_0543 07180927_0543</v>
      </c>
    </row>
    <row r="4244" spans="1:18">
      <c r="A4244" t="s">
        <v>9823</v>
      </c>
      <c r="G4244" s="229"/>
      <c r="H4244" s="210"/>
      <c r="K4244" s="180"/>
      <c r="M4244" t="s">
        <v>4945</v>
      </c>
      <c r="N4244" t="s">
        <v>5571</v>
      </c>
      <c r="O4244" t="s">
        <v>4941</v>
      </c>
      <c r="Q4244" t="str">
        <f t="shared" si="165"/>
        <v>condorProc.py --series 07180927_0553 --donoise --dumps a --procenv environments/pymidas_HVHV_NaI_mf.env</v>
      </c>
      <c r="R4244" t="str">
        <f t="shared" si="166"/>
        <v>ln -s ../../../../midasraw/byseries/07180927_0553 07180927_0553</v>
      </c>
    </row>
    <row r="4245" spans="1:18">
      <c r="A4245" t="s">
        <v>9824</v>
      </c>
      <c r="G4245" s="229"/>
      <c r="H4245" s="210"/>
      <c r="K4245" s="180"/>
      <c r="M4245" t="s">
        <v>4945</v>
      </c>
      <c r="N4245" t="s">
        <v>5571</v>
      </c>
      <c r="O4245" t="s">
        <v>4941</v>
      </c>
      <c r="Q4245" t="str">
        <f t="shared" si="165"/>
        <v>condorProc.py --series 07180927_0604 --donoise --dumps a --procenv environments/pymidas_HVHV_NaI_mf.env</v>
      </c>
      <c r="R4245" t="str">
        <f t="shared" si="166"/>
        <v>ln -s ../../../../midasraw/byseries/07180927_0604 07180927_0604</v>
      </c>
    </row>
    <row r="4246" spans="1:18">
      <c r="A4246" t="s">
        <v>9825</v>
      </c>
      <c r="G4246" s="229"/>
      <c r="H4246" s="210"/>
      <c r="K4246" s="180"/>
      <c r="M4246" t="s">
        <v>4945</v>
      </c>
      <c r="N4246" t="s">
        <v>5571</v>
      </c>
      <c r="O4246" t="s">
        <v>4941</v>
      </c>
      <c r="Q4246" t="str">
        <f t="shared" si="165"/>
        <v>condorProc.py --series 07180927_0614 --donoise --dumps a --procenv environments/pymidas_HVHV_NaI_mf.env</v>
      </c>
      <c r="R4246" t="str">
        <f t="shared" si="166"/>
        <v>ln -s ../../../../midasraw/byseries/07180927_0614 07180927_0614</v>
      </c>
    </row>
    <row r="4247" spans="1:18">
      <c r="A4247" t="s">
        <v>9826</v>
      </c>
      <c r="G4247" s="229"/>
      <c r="H4247" s="210"/>
      <c r="K4247" s="180"/>
      <c r="M4247" t="s">
        <v>4945</v>
      </c>
      <c r="N4247" t="s">
        <v>5571</v>
      </c>
      <c r="O4247" t="s">
        <v>4941</v>
      </c>
      <c r="Q4247" t="str">
        <f t="shared" si="165"/>
        <v>condorProc.py --series 07180927_0624 --donoise --dumps a --procenv environments/pymidas_HVHV_NaI_mf.env</v>
      </c>
      <c r="R4247" t="str">
        <f t="shared" si="166"/>
        <v>ln -s ../../../../midasraw/byseries/07180927_0624 07180927_0624</v>
      </c>
    </row>
    <row r="4248" spans="1:18">
      <c r="A4248" t="s">
        <v>9827</v>
      </c>
      <c r="G4248" s="229"/>
      <c r="H4248" s="210"/>
      <c r="K4248" s="180"/>
      <c r="M4248" t="s">
        <v>4945</v>
      </c>
      <c r="N4248" t="s">
        <v>5571</v>
      </c>
      <c r="O4248" t="s">
        <v>4941</v>
      </c>
      <c r="Q4248" t="str">
        <f t="shared" si="165"/>
        <v>condorProc.py --series 07180927_0634 --donoise --dumps a --procenv environments/pymidas_HVHV_NaI_mf.env</v>
      </c>
      <c r="R4248" t="str">
        <f t="shared" si="166"/>
        <v>ln -s ../../../../midasraw/byseries/07180927_0634 07180927_0634</v>
      </c>
    </row>
    <row r="4249" spans="1:18">
      <c r="A4249" t="s">
        <v>9828</v>
      </c>
      <c r="F4249" s="65"/>
      <c r="G4249" s="231"/>
      <c r="H4249" s="211"/>
      <c r="I4249" s="65" t="s">
        <v>75</v>
      </c>
      <c r="J4249" s="65"/>
      <c r="K4249" s="182"/>
      <c r="M4249" t="s">
        <v>4945</v>
      </c>
      <c r="N4249" t="s">
        <v>5571</v>
      </c>
      <c r="O4249" t="s">
        <v>4941</v>
      </c>
      <c r="Q4249" t="str">
        <f t="shared" si="165"/>
        <v>condorProc.py --series 07180927_0644 --donoise --dumps a --procenv environments/pymidas_HVHV_NaI_mf.env</v>
      </c>
      <c r="R4249" t="str">
        <f t="shared" si="166"/>
        <v>ln -s ../../../../midasraw/byseries/07180927_0644 07180927_0644</v>
      </c>
    </row>
    <row r="4250" spans="1:18">
      <c r="A4250" t="s">
        <v>9829</v>
      </c>
      <c r="F4250" s="177">
        <v>10</v>
      </c>
      <c r="G4250" s="228" t="s">
        <v>18</v>
      </c>
      <c r="H4250" s="209">
        <v>-125</v>
      </c>
      <c r="I4250" s="177"/>
      <c r="J4250" s="177" t="s">
        <v>5577</v>
      </c>
      <c r="K4250" s="178" t="s">
        <v>5583</v>
      </c>
      <c r="M4250" t="s">
        <v>4945</v>
      </c>
      <c r="N4250" t="s">
        <v>5571</v>
      </c>
      <c r="O4250" t="s">
        <v>4941</v>
      </c>
      <c r="Q4250" t="str">
        <f t="shared" si="165"/>
        <v>condorProc.py --series 07180927_0748 --donoise --dumps a --procenv environments/pymidas_HVHV_NaI_mf.env</v>
      </c>
      <c r="R4250" t="str">
        <f t="shared" si="166"/>
        <v>ln -s ../../../../midasraw/byseries/07180927_0748 07180927_0748</v>
      </c>
    </row>
    <row r="4251" spans="1:18">
      <c r="A4251" t="s">
        <v>9830</v>
      </c>
      <c r="G4251" s="229"/>
      <c r="H4251" s="210"/>
      <c r="J4251" t="s">
        <v>5585</v>
      </c>
      <c r="K4251" s="218" t="s">
        <v>5586</v>
      </c>
      <c r="M4251" t="s">
        <v>4945</v>
      </c>
      <c r="N4251" t="s">
        <v>5571</v>
      </c>
      <c r="O4251" t="s">
        <v>4941</v>
      </c>
      <c r="Q4251" t="str">
        <f t="shared" si="165"/>
        <v>condorProc.py --series 07180927_0758 --donoise --dumps a --procenv environments/pymidas_HVHV_NaI_mf.env</v>
      </c>
      <c r="R4251" t="str">
        <f t="shared" si="166"/>
        <v>ln -s ../../../../midasraw/byseries/07180927_0758 07180927_0758</v>
      </c>
    </row>
    <row r="4252" spans="1:18">
      <c r="A4252" t="s">
        <v>9831</v>
      </c>
      <c r="G4252" s="229"/>
      <c r="H4252" s="210"/>
      <c r="K4252" s="219" t="s">
        <v>8388</v>
      </c>
      <c r="M4252" t="s">
        <v>4945</v>
      </c>
      <c r="N4252" t="s">
        <v>5571</v>
      </c>
      <c r="O4252" t="s">
        <v>4941</v>
      </c>
      <c r="Q4252" t="str">
        <f t="shared" si="165"/>
        <v>condorProc.py --series 07180927_0808 --donoise --dumps a --procenv environments/pymidas_HVHV_NaI_mf.env</v>
      </c>
      <c r="R4252" t="str">
        <f t="shared" si="166"/>
        <v>ln -s ../../../../midasraw/byseries/07180927_0808 07180927_0808</v>
      </c>
    </row>
    <row r="4253" spans="1:18">
      <c r="A4253" t="s">
        <v>9832</v>
      </c>
      <c r="G4253" s="229"/>
      <c r="H4253" s="210"/>
      <c r="K4253" s="180"/>
      <c r="M4253" t="s">
        <v>4945</v>
      </c>
      <c r="N4253" t="s">
        <v>5571</v>
      </c>
      <c r="O4253" t="s">
        <v>4941</v>
      </c>
      <c r="Q4253" t="str">
        <f t="shared" si="165"/>
        <v>condorProc.py --series 07180927_0818 --donoise --dumps a --procenv environments/pymidas_HVHV_NaI_mf.env</v>
      </c>
      <c r="R4253" t="str">
        <f t="shared" si="166"/>
        <v>ln -s ../../../../midasraw/byseries/07180927_0818 07180927_0818</v>
      </c>
    </row>
    <row r="4254" spans="1:18">
      <c r="A4254" t="s">
        <v>9833</v>
      </c>
      <c r="G4254" s="229"/>
      <c r="H4254" s="210"/>
      <c r="K4254" s="180"/>
      <c r="M4254" t="s">
        <v>4945</v>
      </c>
      <c r="N4254" t="s">
        <v>5571</v>
      </c>
      <c r="O4254" t="s">
        <v>4941</v>
      </c>
      <c r="Q4254" t="str">
        <f t="shared" si="165"/>
        <v>condorProc.py --series 07180927_0829 --donoise --dumps a --procenv environments/pymidas_HVHV_NaI_mf.env</v>
      </c>
      <c r="R4254" t="str">
        <f t="shared" si="166"/>
        <v>ln -s ../../../../midasraw/byseries/07180927_0829 07180927_0829</v>
      </c>
    </row>
    <row r="4255" spans="1:18">
      <c r="A4255" t="s">
        <v>9834</v>
      </c>
      <c r="G4255" s="229"/>
      <c r="H4255" s="210"/>
      <c r="K4255" s="180"/>
      <c r="M4255" t="s">
        <v>4945</v>
      </c>
      <c r="N4255" t="s">
        <v>5571</v>
      </c>
      <c r="O4255" t="s">
        <v>4941</v>
      </c>
      <c r="Q4255" t="str">
        <f t="shared" si="165"/>
        <v>condorProc.py --series 07180927_0839 --donoise --dumps a --procenv environments/pymidas_HVHV_NaI_mf.env</v>
      </c>
      <c r="R4255" t="str">
        <f t="shared" si="166"/>
        <v>ln -s ../../../../midasraw/byseries/07180927_0839 07180927_0839</v>
      </c>
    </row>
    <row r="4256" spans="1:18">
      <c r="A4256" t="s">
        <v>9835</v>
      </c>
      <c r="G4256" s="229"/>
      <c r="H4256" s="210"/>
      <c r="K4256" s="180"/>
      <c r="M4256" t="s">
        <v>4945</v>
      </c>
      <c r="N4256" t="s">
        <v>5571</v>
      </c>
      <c r="O4256" t="s">
        <v>4941</v>
      </c>
      <c r="Q4256" t="str">
        <f t="shared" si="165"/>
        <v>condorProc.py --series 07180927_0849 --donoise --dumps a --procenv environments/pymidas_HVHV_NaI_mf.env</v>
      </c>
      <c r="R4256" t="str">
        <f t="shared" si="166"/>
        <v>ln -s ../../../../midasraw/byseries/07180927_0849 07180927_0849</v>
      </c>
    </row>
    <row r="4257" spans="1:18">
      <c r="A4257" t="s">
        <v>9836</v>
      </c>
      <c r="G4257" s="229"/>
      <c r="H4257" s="210"/>
      <c r="K4257" s="180"/>
      <c r="M4257" t="s">
        <v>4945</v>
      </c>
      <c r="N4257" t="s">
        <v>5571</v>
      </c>
      <c r="O4257" t="s">
        <v>4941</v>
      </c>
      <c r="Q4257" t="str">
        <f t="shared" si="165"/>
        <v>condorProc.py --series 07180927_0859 --donoise --dumps a --procenv environments/pymidas_HVHV_NaI_mf.env</v>
      </c>
      <c r="R4257" t="str">
        <f t="shared" si="166"/>
        <v>ln -s ../../../../midasraw/byseries/07180927_0859 07180927_0859</v>
      </c>
    </row>
    <row r="4258" spans="1:18">
      <c r="A4258" t="s">
        <v>9837</v>
      </c>
      <c r="G4258" s="229"/>
      <c r="H4258" s="210"/>
      <c r="K4258" s="180"/>
      <c r="M4258" t="s">
        <v>4945</v>
      </c>
      <c r="N4258" t="s">
        <v>5571</v>
      </c>
      <c r="O4258" t="s">
        <v>4941</v>
      </c>
      <c r="Q4258" t="str">
        <f t="shared" si="165"/>
        <v>condorProc.py --series 07180927_0909 --donoise --dumps a --procenv environments/pymidas_HVHV_NaI_mf.env</v>
      </c>
      <c r="R4258" t="str">
        <f t="shared" si="166"/>
        <v>ln -s ../../../../midasraw/byseries/07180927_0909 07180927_0909</v>
      </c>
    </row>
    <row r="4259" spans="1:18">
      <c r="A4259" t="s">
        <v>9838</v>
      </c>
      <c r="G4259" s="229"/>
      <c r="H4259" s="210"/>
      <c r="K4259" s="180"/>
      <c r="M4259" t="s">
        <v>4945</v>
      </c>
      <c r="N4259" t="s">
        <v>5571</v>
      </c>
      <c r="O4259" t="s">
        <v>4941</v>
      </c>
      <c r="Q4259" t="str">
        <f t="shared" si="165"/>
        <v>condorProc.py --series 07180927_0919 --donoise --dumps a --procenv environments/pymidas_HVHV_NaI_mf.env</v>
      </c>
      <c r="R4259" t="str">
        <f t="shared" si="166"/>
        <v>ln -s ../../../../midasraw/byseries/07180927_0919 07180927_0919</v>
      </c>
    </row>
    <row r="4260" spans="1:18">
      <c r="A4260" t="s">
        <v>9839</v>
      </c>
      <c r="G4260" s="229"/>
      <c r="H4260" s="210"/>
      <c r="K4260" s="180"/>
      <c r="M4260" t="s">
        <v>4945</v>
      </c>
      <c r="N4260" t="s">
        <v>5571</v>
      </c>
      <c r="O4260" t="s">
        <v>4941</v>
      </c>
      <c r="Q4260" t="str">
        <f t="shared" si="165"/>
        <v>condorProc.py --series 07180927_0929 --donoise --dumps a --procenv environments/pymidas_HVHV_NaI_mf.env</v>
      </c>
      <c r="R4260" t="str">
        <f t="shared" si="166"/>
        <v>ln -s ../../../../midasraw/byseries/07180927_0929 07180927_0929</v>
      </c>
    </row>
    <row r="4261" spans="1:18">
      <c r="A4261" t="s">
        <v>9840</v>
      </c>
      <c r="F4261" s="65"/>
      <c r="G4261" s="231"/>
      <c r="H4261" s="211"/>
      <c r="I4261" s="65" t="s">
        <v>75</v>
      </c>
      <c r="J4261" s="65"/>
      <c r="K4261" s="182"/>
      <c r="M4261" t="s">
        <v>4945</v>
      </c>
      <c r="N4261" t="s">
        <v>5571</v>
      </c>
      <c r="O4261" t="s">
        <v>4941</v>
      </c>
      <c r="Q4261" t="str">
        <f t="shared" si="165"/>
        <v>condorProc.py --series 07180927_0940 --donoise --dumps a --procenv environments/pymidas_HVHV_NaI_mf.env</v>
      </c>
      <c r="R4261" t="str">
        <f t="shared" si="166"/>
        <v>ln -s ../../../../midasraw/byseries/07180927_0940 07180927_0940</v>
      </c>
    </row>
    <row r="4262" spans="1:18">
      <c r="A4262" t="s">
        <v>9841</v>
      </c>
      <c r="F4262" s="177">
        <v>10</v>
      </c>
      <c r="G4262" s="192" t="s">
        <v>2248</v>
      </c>
      <c r="H4262" s="209">
        <v>-125</v>
      </c>
      <c r="I4262" s="177"/>
      <c r="J4262" s="177" t="s">
        <v>5577</v>
      </c>
      <c r="K4262" s="178" t="s">
        <v>5583</v>
      </c>
      <c r="M4262" t="s">
        <v>4945</v>
      </c>
      <c r="N4262" t="s">
        <v>5571</v>
      </c>
      <c r="O4262" t="s">
        <v>4939</v>
      </c>
      <c r="Q4262" t="str">
        <f t="shared" si="165"/>
        <v>condorProc.py --series 07180927_1432 --donoise --dumps a --procenv environments/pymidas_HVHV_NaI_mf.env</v>
      </c>
      <c r="R4262" t="str">
        <f t="shared" si="166"/>
        <v>ln -s ../../../../midasraw/byseries/07180927_1432 07180927_1432</v>
      </c>
    </row>
    <row r="4263" spans="1:18">
      <c r="A4263" t="s">
        <v>9842</v>
      </c>
      <c r="G4263" s="191"/>
      <c r="H4263" s="210"/>
      <c r="J4263" t="s">
        <v>5585</v>
      </c>
      <c r="K4263" s="218" t="s">
        <v>5586</v>
      </c>
      <c r="M4263" t="s">
        <v>4945</v>
      </c>
      <c r="N4263" t="s">
        <v>5571</v>
      </c>
      <c r="O4263" t="s">
        <v>4939</v>
      </c>
      <c r="Q4263" t="str">
        <f t="shared" si="165"/>
        <v>condorProc.py --series 07180927_1443 --donoise --dumps a --procenv environments/pymidas_HVHV_NaI_mf.env</v>
      </c>
      <c r="R4263" t="str">
        <f t="shared" si="166"/>
        <v>ln -s ../../../../midasraw/byseries/07180927_1443 07180927_1443</v>
      </c>
    </row>
    <row r="4264" spans="1:18">
      <c r="A4264" t="s">
        <v>9843</v>
      </c>
      <c r="G4264" s="191"/>
      <c r="H4264" s="210"/>
      <c r="K4264" s="219" t="s">
        <v>8388</v>
      </c>
      <c r="M4264" t="s">
        <v>4945</v>
      </c>
      <c r="N4264" t="s">
        <v>5571</v>
      </c>
      <c r="O4264" t="s">
        <v>4939</v>
      </c>
      <c r="Q4264" t="str">
        <f t="shared" si="165"/>
        <v>condorProc.py --series 07180927_1453 --donoise --dumps a --procenv environments/pymidas_HVHV_NaI_mf.env</v>
      </c>
      <c r="R4264" t="str">
        <f t="shared" si="166"/>
        <v>ln -s ../../../../midasraw/byseries/07180927_1453 07180927_1453</v>
      </c>
    </row>
    <row r="4265" spans="1:18">
      <c r="A4265" t="s">
        <v>9844</v>
      </c>
      <c r="G4265" s="191"/>
      <c r="H4265" s="210"/>
      <c r="K4265" s="180" t="s">
        <v>9845</v>
      </c>
      <c r="M4265" t="s">
        <v>4945</v>
      </c>
      <c r="N4265" t="s">
        <v>5571</v>
      </c>
      <c r="O4265" t="s">
        <v>4939</v>
      </c>
      <c r="Q4265" t="str">
        <f t="shared" si="165"/>
        <v>condorProc.py --series 07180927_1503 --donoise --dumps a --procenv environments/pymidas_HVHV_NaI_mf.env</v>
      </c>
      <c r="R4265" t="str">
        <f t="shared" si="166"/>
        <v>ln -s ../../../../midasraw/byseries/07180927_1503 07180927_1503</v>
      </c>
    </row>
    <row r="4266" spans="1:18">
      <c r="A4266" t="s">
        <v>9846</v>
      </c>
      <c r="G4266" s="191"/>
      <c r="H4266" s="210"/>
      <c r="K4266" s="180" t="s">
        <v>9847</v>
      </c>
      <c r="M4266" t="s">
        <v>4945</v>
      </c>
      <c r="N4266" t="s">
        <v>5571</v>
      </c>
      <c r="O4266" t="s">
        <v>4939</v>
      </c>
      <c r="Q4266" t="str">
        <f t="shared" si="165"/>
        <v>condorProc.py --series 07180927_1513 --donoise --dumps a --procenv environments/pymidas_HVHV_NaI_mf.env</v>
      </c>
      <c r="R4266" t="str">
        <f t="shared" si="166"/>
        <v>ln -s ../../../../midasraw/byseries/07180927_1513 07180927_1513</v>
      </c>
    </row>
    <row r="4267" spans="1:18">
      <c r="A4267" t="s">
        <v>9848</v>
      </c>
      <c r="G4267" s="191"/>
      <c r="H4267" s="210"/>
      <c r="K4267" s="180" t="s">
        <v>9849</v>
      </c>
      <c r="M4267" t="s">
        <v>4945</v>
      </c>
      <c r="N4267" t="s">
        <v>5571</v>
      </c>
      <c r="O4267" t="s">
        <v>4939</v>
      </c>
      <c r="Q4267" t="str">
        <f t="shared" si="165"/>
        <v>condorProc.py --series 07180927_1523 --donoise --dumps a --procenv environments/pymidas_HVHV_NaI_mf.env</v>
      </c>
      <c r="R4267" t="str">
        <f t="shared" si="166"/>
        <v>ln -s ../../../../midasraw/byseries/07180927_1523 07180927_1523</v>
      </c>
    </row>
    <row r="4268" spans="1:18">
      <c r="A4268" t="s">
        <v>9850</v>
      </c>
      <c r="G4268" s="191"/>
      <c r="H4268" s="210"/>
      <c r="K4268" s="180" t="s">
        <v>9851</v>
      </c>
      <c r="M4268" t="s">
        <v>4945</v>
      </c>
      <c r="N4268" t="s">
        <v>5571</v>
      </c>
      <c r="O4268" t="s">
        <v>4939</v>
      </c>
      <c r="Q4268" t="str">
        <f t="shared" si="165"/>
        <v>condorProc.py --series 07180927_1533 --donoise --dumps a --procenv environments/pymidas_HVHV_NaI_mf.env</v>
      </c>
      <c r="R4268" t="str">
        <f t="shared" si="166"/>
        <v>ln -s ../../../../midasraw/byseries/07180927_1533 07180927_1533</v>
      </c>
    </row>
    <row r="4269" spans="1:18">
      <c r="A4269" t="s">
        <v>9852</v>
      </c>
      <c r="G4269" s="191"/>
      <c r="H4269" s="210"/>
      <c r="K4269" s="180"/>
      <c r="M4269" t="s">
        <v>4945</v>
      </c>
      <c r="N4269" t="s">
        <v>5571</v>
      </c>
      <c r="O4269" t="s">
        <v>4939</v>
      </c>
      <c r="Q4269" t="str">
        <f t="shared" si="165"/>
        <v>condorProc.py --series 07180927_1543 --donoise --dumps a --procenv environments/pymidas_HVHV_NaI_mf.env</v>
      </c>
      <c r="R4269" t="str">
        <f t="shared" si="166"/>
        <v>ln -s ../../../../midasraw/byseries/07180927_1543 07180927_1543</v>
      </c>
    </row>
    <row r="4270" spans="1:18">
      <c r="A4270" t="s">
        <v>9853</v>
      </c>
      <c r="G4270" s="191"/>
      <c r="H4270" s="210"/>
      <c r="K4270" s="180"/>
      <c r="M4270" t="s">
        <v>4945</v>
      </c>
      <c r="N4270" t="s">
        <v>5571</v>
      </c>
      <c r="O4270" t="s">
        <v>4939</v>
      </c>
      <c r="Q4270" t="str">
        <f t="shared" si="165"/>
        <v>condorProc.py --series 07180927_1554 --donoise --dumps a --procenv environments/pymidas_HVHV_NaI_mf.env</v>
      </c>
      <c r="R4270" t="str">
        <f t="shared" si="166"/>
        <v>ln -s ../../../../midasraw/byseries/07180927_1554 07180927_1554</v>
      </c>
    </row>
    <row r="4271" spans="1:18">
      <c r="A4271" t="s">
        <v>9854</v>
      </c>
      <c r="G4271" s="191"/>
      <c r="H4271" s="210"/>
      <c r="K4271" s="180"/>
      <c r="M4271" t="s">
        <v>4945</v>
      </c>
      <c r="N4271" t="s">
        <v>5571</v>
      </c>
      <c r="O4271" t="s">
        <v>4939</v>
      </c>
      <c r="Q4271" t="str">
        <f t="shared" si="165"/>
        <v>condorProc.py --series 07180927_1604 --donoise --dumps a --procenv environments/pymidas_HVHV_NaI_mf.env</v>
      </c>
      <c r="R4271" t="str">
        <f t="shared" si="166"/>
        <v>ln -s ../../../../midasraw/byseries/07180927_1604 07180927_1604</v>
      </c>
    </row>
    <row r="4272" spans="1:18">
      <c r="A4272" t="s">
        <v>9855</v>
      </c>
      <c r="G4272" s="191"/>
      <c r="H4272" s="210"/>
      <c r="I4272" t="s">
        <v>75</v>
      </c>
      <c r="K4272" s="180"/>
      <c r="M4272" t="s">
        <v>4945</v>
      </c>
      <c r="N4272" t="s">
        <v>5571</v>
      </c>
      <c r="O4272" t="s">
        <v>4939</v>
      </c>
      <c r="Q4272" t="str">
        <f t="shared" si="165"/>
        <v>condorProc.py --series 07180927_1614 --donoise --dumps a --procenv environments/pymidas_HVHV_NaI_mf.env</v>
      </c>
      <c r="R4272" t="str">
        <f t="shared" si="166"/>
        <v>ln -s ../../../../midasraw/byseries/07180927_1614 07180927_1614</v>
      </c>
    </row>
    <row r="4273" spans="1:18">
      <c r="A4273" t="s">
        <v>9856</v>
      </c>
      <c r="F4273" s="65"/>
      <c r="G4273" s="193"/>
      <c r="H4273" s="211"/>
      <c r="I4273" s="65" t="s">
        <v>75</v>
      </c>
      <c r="J4273" s="65"/>
      <c r="K4273" s="182"/>
      <c r="M4273" t="s">
        <v>4945</v>
      </c>
      <c r="N4273" t="s">
        <v>5571</v>
      </c>
      <c r="O4273" t="s">
        <v>4939</v>
      </c>
      <c r="Q4273" t="str">
        <f t="shared" si="165"/>
        <v>condorProc.py --series 07180927_1624 --donoise --dumps a --procenv environments/pymidas_HVHV_NaI_mf.env</v>
      </c>
      <c r="R4273" t="str">
        <f t="shared" si="166"/>
        <v>ln -s ../../../../midasraw/byseries/07180927_1624 07180927_1624</v>
      </c>
    </row>
    <row r="4274" spans="1:18">
      <c r="A4274" t="s">
        <v>9857</v>
      </c>
      <c r="F4274" s="177">
        <v>10</v>
      </c>
      <c r="G4274" s="192" t="s">
        <v>2248</v>
      </c>
      <c r="H4274" s="209">
        <v>-125</v>
      </c>
      <c r="I4274" s="177"/>
      <c r="J4274" s="177" t="s">
        <v>5577</v>
      </c>
      <c r="K4274" s="178" t="s">
        <v>5583</v>
      </c>
      <c r="M4274" t="s">
        <v>4945</v>
      </c>
      <c r="N4274" t="s">
        <v>5571</v>
      </c>
      <c r="O4274" t="s">
        <v>4939</v>
      </c>
      <c r="Q4274" t="str">
        <f t="shared" si="165"/>
        <v>condorProc.py --series 07180927_1726 --donoise --dumps a --procenv environments/pymidas_HVHV_NaI_mf.env</v>
      </c>
      <c r="R4274" t="str">
        <f t="shared" si="166"/>
        <v>ln -s ../../../../midasraw/byseries/07180927_1726 07180927_1726</v>
      </c>
    </row>
    <row r="4275" spans="1:18">
      <c r="A4275" t="s">
        <v>9858</v>
      </c>
      <c r="G4275" s="191"/>
      <c r="H4275" s="210"/>
      <c r="J4275" t="s">
        <v>5585</v>
      </c>
      <c r="K4275" s="218" t="s">
        <v>5586</v>
      </c>
      <c r="M4275" t="s">
        <v>4945</v>
      </c>
      <c r="N4275" t="s">
        <v>5571</v>
      </c>
      <c r="O4275" t="s">
        <v>4939</v>
      </c>
      <c r="Q4275" t="str">
        <f t="shared" si="165"/>
        <v>condorProc.py --series 07180927_1736 --donoise --dumps a --procenv environments/pymidas_HVHV_NaI_mf.env</v>
      </c>
      <c r="R4275" t="str">
        <f t="shared" si="166"/>
        <v>ln -s ../../../../midasraw/byseries/07180927_1736 07180927_1736</v>
      </c>
    </row>
    <row r="4276" spans="1:18">
      <c r="A4276" t="s">
        <v>9859</v>
      </c>
      <c r="G4276" s="191"/>
      <c r="H4276" s="210"/>
      <c r="K4276" s="219" t="s">
        <v>8388</v>
      </c>
      <c r="M4276" t="s">
        <v>4945</v>
      </c>
      <c r="N4276" t="s">
        <v>5571</v>
      </c>
      <c r="O4276" t="s">
        <v>4939</v>
      </c>
      <c r="Q4276" t="str">
        <f t="shared" si="165"/>
        <v>condorProc.py --series 07180927_1746 --donoise --dumps a --procenv environments/pymidas_HVHV_NaI_mf.env</v>
      </c>
      <c r="R4276" t="str">
        <f t="shared" si="166"/>
        <v>ln -s ../../../../midasraw/byseries/07180927_1746 07180927_1746</v>
      </c>
    </row>
    <row r="4277" spans="1:18">
      <c r="A4277" t="s">
        <v>9860</v>
      </c>
      <c r="G4277" s="191"/>
      <c r="H4277" s="210"/>
      <c r="K4277" s="180"/>
      <c r="M4277" t="s">
        <v>4945</v>
      </c>
      <c r="N4277" t="s">
        <v>5571</v>
      </c>
      <c r="O4277" t="s">
        <v>4939</v>
      </c>
      <c r="Q4277" t="str">
        <f t="shared" si="165"/>
        <v>condorProc.py --series 07180927_1756 --donoise --dumps a --procenv environments/pymidas_HVHV_NaI_mf.env</v>
      </c>
      <c r="R4277" t="str">
        <f t="shared" si="166"/>
        <v>ln -s ../../../../midasraw/byseries/07180927_1756 07180927_1756</v>
      </c>
    </row>
    <row r="4278" spans="1:18">
      <c r="A4278" t="s">
        <v>9861</v>
      </c>
      <c r="G4278" s="191"/>
      <c r="H4278" s="210"/>
      <c r="K4278" s="180"/>
      <c r="M4278" t="s">
        <v>4945</v>
      </c>
      <c r="N4278" t="s">
        <v>5571</v>
      </c>
      <c r="O4278" t="s">
        <v>4939</v>
      </c>
      <c r="Q4278" t="str">
        <f t="shared" si="165"/>
        <v>condorProc.py --series 07180927_1807 --donoise --dumps a --procenv environments/pymidas_HVHV_NaI_mf.env</v>
      </c>
      <c r="R4278" t="str">
        <f t="shared" si="166"/>
        <v>ln -s ../../../../midasraw/byseries/07180927_1807 07180927_1807</v>
      </c>
    </row>
    <row r="4279" spans="1:18">
      <c r="A4279" t="s">
        <v>9862</v>
      </c>
      <c r="G4279" s="191"/>
      <c r="H4279" s="210"/>
      <c r="K4279" s="180"/>
      <c r="M4279" t="s">
        <v>4945</v>
      </c>
      <c r="N4279" t="s">
        <v>5571</v>
      </c>
      <c r="O4279" t="s">
        <v>4939</v>
      </c>
      <c r="Q4279" t="str">
        <f t="shared" si="165"/>
        <v>condorProc.py --series 07180927_1817 --donoise --dumps a --procenv environments/pymidas_HVHV_NaI_mf.env</v>
      </c>
      <c r="R4279" t="str">
        <f t="shared" si="166"/>
        <v>ln -s ../../../../midasraw/byseries/07180927_1817 07180927_1817</v>
      </c>
    </row>
    <row r="4280" spans="1:18">
      <c r="A4280" t="s">
        <v>9863</v>
      </c>
      <c r="G4280" s="191"/>
      <c r="H4280" s="210"/>
      <c r="K4280" s="180"/>
      <c r="M4280" t="s">
        <v>4945</v>
      </c>
      <c r="N4280" t="s">
        <v>5571</v>
      </c>
      <c r="O4280" t="s">
        <v>4939</v>
      </c>
      <c r="Q4280" t="str">
        <f t="shared" si="165"/>
        <v>condorProc.py --series 07180927_1827 --donoise --dumps a --procenv environments/pymidas_HVHV_NaI_mf.env</v>
      </c>
      <c r="R4280" t="str">
        <f t="shared" si="166"/>
        <v>ln -s ../../../../midasraw/byseries/07180927_1827 07180927_1827</v>
      </c>
    </row>
    <row r="4281" spans="1:18">
      <c r="A4281" t="s">
        <v>9864</v>
      </c>
      <c r="G4281" s="191"/>
      <c r="H4281" s="210"/>
      <c r="K4281" s="180"/>
      <c r="M4281" t="s">
        <v>4945</v>
      </c>
      <c r="N4281" t="s">
        <v>5571</v>
      </c>
      <c r="O4281" t="s">
        <v>4939</v>
      </c>
      <c r="Q4281" t="str">
        <f t="shared" si="165"/>
        <v>condorProc.py --series 07180927_1837 --donoise --dumps a --procenv environments/pymidas_HVHV_NaI_mf.env</v>
      </c>
      <c r="R4281" t="str">
        <f t="shared" si="166"/>
        <v>ln -s ../../../../midasraw/byseries/07180927_1837 07180927_1837</v>
      </c>
    </row>
    <row r="4282" spans="1:18">
      <c r="A4282" t="s">
        <v>9865</v>
      </c>
      <c r="G4282" s="191"/>
      <c r="H4282" s="210"/>
      <c r="K4282" s="180"/>
      <c r="M4282" t="s">
        <v>4945</v>
      </c>
      <c r="N4282" t="s">
        <v>5571</v>
      </c>
      <c r="O4282" t="s">
        <v>4939</v>
      </c>
      <c r="Q4282" t="str">
        <f t="shared" si="165"/>
        <v>condorProc.py --series 07180927_1847 --donoise --dumps a --procenv environments/pymidas_HVHV_NaI_mf.env</v>
      </c>
      <c r="R4282" t="str">
        <f t="shared" si="166"/>
        <v>ln -s ../../../../midasraw/byseries/07180927_1847 07180927_1847</v>
      </c>
    </row>
    <row r="4283" spans="1:18">
      <c r="A4283" t="s">
        <v>9866</v>
      </c>
      <c r="G4283" s="191"/>
      <c r="H4283" s="210"/>
      <c r="K4283" s="180"/>
      <c r="M4283" t="s">
        <v>4945</v>
      </c>
      <c r="N4283" t="s">
        <v>5571</v>
      </c>
      <c r="O4283" t="s">
        <v>4939</v>
      </c>
      <c r="Q4283" t="str">
        <f t="shared" si="165"/>
        <v>condorProc.py --series 07180927_1857 --donoise --dumps a --procenv environments/pymidas_HVHV_NaI_mf.env</v>
      </c>
      <c r="R4283" t="str">
        <f t="shared" si="166"/>
        <v>ln -s ../../../../midasraw/byseries/07180927_1857 07180927_1857</v>
      </c>
    </row>
    <row r="4284" spans="1:18">
      <c r="A4284" t="s">
        <v>9867</v>
      </c>
      <c r="G4284" s="191"/>
      <c r="H4284" s="210"/>
      <c r="K4284" s="180"/>
      <c r="M4284" t="s">
        <v>4945</v>
      </c>
      <c r="N4284" t="s">
        <v>5571</v>
      </c>
      <c r="O4284" t="s">
        <v>4939</v>
      </c>
      <c r="Q4284" t="str">
        <f t="shared" si="165"/>
        <v>condorProc.py --series 07180927_1907 --donoise --dumps a --procenv environments/pymidas_HVHV_NaI_mf.env</v>
      </c>
      <c r="R4284" t="str">
        <f t="shared" si="166"/>
        <v>ln -s ../../../../midasraw/byseries/07180927_1907 07180927_1907</v>
      </c>
    </row>
    <row r="4285" spans="1:18">
      <c r="A4285" t="s">
        <v>9868</v>
      </c>
      <c r="F4285" s="65"/>
      <c r="G4285" s="193"/>
      <c r="H4285" s="211"/>
      <c r="I4285" s="65" t="s">
        <v>75</v>
      </c>
      <c r="J4285" s="65"/>
      <c r="K4285" s="182"/>
      <c r="M4285" t="s">
        <v>4945</v>
      </c>
      <c r="N4285" t="s">
        <v>5571</v>
      </c>
      <c r="O4285" t="s">
        <v>4939</v>
      </c>
      <c r="Q4285" t="str">
        <f t="shared" si="165"/>
        <v>condorProc.py --series 07180927_1918 --donoise --dumps a --procenv environments/pymidas_HVHV_NaI_mf.env</v>
      </c>
      <c r="R4285" t="str">
        <f t="shared" si="166"/>
        <v>ln -s ../../../../midasraw/byseries/07180927_1918 07180927_1918</v>
      </c>
    </row>
    <row r="4286" spans="1:18">
      <c r="A4286" t="s">
        <v>9869</v>
      </c>
      <c r="F4286" s="177">
        <v>10</v>
      </c>
      <c r="G4286" s="192" t="s">
        <v>2248</v>
      </c>
      <c r="H4286" s="209">
        <v>-125</v>
      </c>
      <c r="I4286" s="177"/>
      <c r="J4286" s="177" t="s">
        <v>5577</v>
      </c>
      <c r="K4286" s="178" t="s">
        <v>5583</v>
      </c>
      <c r="M4286" t="s">
        <v>4945</v>
      </c>
      <c r="N4286" t="s">
        <v>5571</v>
      </c>
      <c r="O4286" t="s">
        <v>4939</v>
      </c>
      <c r="Q4286" t="str">
        <f t="shared" si="165"/>
        <v>condorProc.py --series 07180927_2017 --donoise --dumps a --procenv environments/pymidas_HVHV_NaI_mf.env</v>
      </c>
      <c r="R4286" t="str">
        <f t="shared" si="166"/>
        <v>ln -s ../../../../midasraw/byseries/07180927_2017 07180927_2017</v>
      </c>
    </row>
    <row r="4287" spans="1:18">
      <c r="A4287" t="s">
        <v>9870</v>
      </c>
      <c r="G4287" s="191"/>
      <c r="H4287" s="210"/>
      <c r="J4287" t="s">
        <v>5585</v>
      </c>
      <c r="K4287" s="218" t="s">
        <v>5586</v>
      </c>
      <c r="M4287" t="s">
        <v>4945</v>
      </c>
      <c r="N4287" t="s">
        <v>5571</v>
      </c>
      <c r="O4287" t="s">
        <v>4939</v>
      </c>
      <c r="Q4287" t="str">
        <f t="shared" si="165"/>
        <v>condorProc.py --series 07180927_2027 --donoise --dumps a --procenv environments/pymidas_HVHV_NaI_mf.env</v>
      </c>
      <c r="R4287" t="str">
        <f t="shared" si="166"/>
        <v>ln -s ../../../../midasraw/byseries/07180927_2027 07180927_2027</v>
      </c>
    </row>
    <row r="4288" spans="1:18">
      <c r="A4288" t="s">
        <v>9871</v>
      </c>
      <c r="G4288" s="191"/>
      <c r="H4288" s="210"/>
      <c r="K4288" s="219" t="s">
        <v>8388</v>
      </c>
      <c r="M4288" t="s">
        <v>4945</v>
      </c>
      <c r="N4288" t="s">
        <v>5571</v>
      </c>
      <c r="O4288" t="s">
        <v>4939</v>
      </c>
      <c r="Q4288" t="str">
        <f t="shared" si="165"/>
        <v>condorProc.py --series 07180927_2037 --donoise --dumps a --procenv environments/pymidas_HVHV_NaI_mf.env</v>
      </c>
      <c r="R4288" t="str">
        <f t="shared" si="166"/>
        <v>ln -s ../../../../midasraw/byseries/07180927_2037 07180927_2037</v>
      </c>
    </row>
    <row r="4289" spans="1:18">
      <c r="A4289" t="s">
        <v>9872</v>
      </c>
      <c r="G4289" s="191"/>
      <c r="H4289" s="210"/>
      <c r="K4289" s="180"/>
      <c r="M4289" t="s">
        <v>4945</v>
      </c>
      <c r="N4289" t="s">
        <v>5571</v>
      </c>
      <c r="O4289" t="s">
        <v>4939</v>
      </c>
      <c r="Q4289" t="str">
        <f t="shared" si="165"/>
        <v>condorProc.py --series 07180927_2048 --donoise --dumps a --procenv environments/pymidas_HVHV_NaI_mf.env</v>
      </c>
      <c r="R4289" t="str">
        <f t="shared" si="166"/>
        <v>ln -s ../../../../midasraw/byseries/07180927_2048 07180927_2048</v>
      </c>
    </row>
    <row r="4290" spans="1:18">
      <c r="A4290" t="s">
        <v>9873</v>
      </c>
      <c r="G4290" s="191"/>
      <c r="H4290" s="210"/>
      <c r="K4290" s="180"/>
      <c r="M4290" t="s">
        <v>4945</v>
      </c>
      <c r="N4290" t="s">
        <v>5571</v>
      </c>
      <c r="O4290" t="s">
        <v>4939</v>
      </c>
      <c r="Q4290" t="str">
        <f t="shared" si="165"/>
        <v>condorProc.py --series 07180927_2058 --donoise --dumps a --procenv environments/pymidas_HVHV_NaI_mf.env</v>
      </c>
      <c r="R4290" t="str">
        <f t="shared" si="166"/>
        <v>ln -s ../../../../midasraw/byseries/07180927_2058 07180927_2058</v>
      </c>
    </row>
    <row r="4291" spans="1:18">
      <c r="A4291" t="s">
        <v>9874</v>
      </c>
      <c r="G4291" s="191"/>
      <c r="H4291" s="210"/>
      <c r="K4291" s="180"/>
      <c r="M4291" t="s">
        <v>4945</v>
      </c>
      <c r="N4291" t="s">
        <v>5571</v>
      </c>
      <c r="O4291" t="s">
        <v>4939</v>
      </c>
      <c r="Q4291" t="str">
        <f t="shared" si="165"/>
        <v>condorProc.py --series 07180927_2108 --donoise --dumps a --procenv environments/pymidas_HVHV_NaI_mf.env</v>
      </c>
      <c r="R4291" t="str">
        <f t="shared" si="166"/>
        <v>ln -s ../../../../midasraw/byseries/07180927_2108 07180927_2108</v>
      </c>
    </row>
    <row r="4292" spans="1:18">
      <c r="A4292" t="s">
        <v>9875</v>
      </c>
      <c r="G4292" s="191"/>
      <c r="H4292" s="210"/>
      <c r="K4292" s="180"/>
      <c r="M4292" t="s">
        <v>4945</v>
      </c>
      <c r="N4292" t="s">
        <v>5571</v>
      </c>
      <c r="O4292" t="s">
        <v>4939</v>
      </c>
      <c r="Q4292" t="str">
        <f t="shared" si="165"/>
        <v>condorProc.py --series 07180927_2118 --donoise --dumps a --procenv environments/pymidas_HVHV_NaI_mf.env</v>
      </c>
      <c r="R4292" t="str">
        <f t="shared" si="166"/>
        <v>ln -s ../../../../midasraw/byseries/07180927_2118 07180927_2118</v>
      </c>
    </row>
    <row r="4293" spans="1:18">
      <c r="A4293" t="s">
        <v>9876</v>
      </c>
      <c r="G4293" s="191"/>
      <c r="H4293" s="210"/>
      <c r="K4293" s="180"/>
      <c r="M4293" t="s">
        <v>4945</v>
      </c>
      <c r="N4293" t="s">
        <v>5571</v>
      </c>
      <c r="O4293" t="s">
        <v>4939</v>
      </c>
      <c r="Q4293" t="str">
        <f t="shared" si="165"/>
        <v>condorProc.py --series 07180927_2128 --donoise --dumps a --procenv environments/pymidas_HVHV_NaI_mf.env</v>
      </c>
      <c r="R4293" t="str">
        <f t="shared" si="166"/>
        <v>ln -s ../../../../midasraw/byseries/07180927_2128 07180927_2128</v>
      </c>
    </row>
    <row r="4294" spans="1:18">
      <c r="A4294" t="s">
        <v>9877</v>
      </c>
      <c r="G4294" s="191"/>
      <c r="H4294" s="210"/>
      <c r="K4294" s="180"/>
      <c r="M4294" t="s">
        <v>4945</v>
      </c>
      <c r="N4294" t="s">
        <v>5571</v>
      </c>
      <c r="O4294" t="s">
        <v>4939</v>
      </c>
      <c r="Q4294" t="str">
        <f t="shared" si="165"/>
        <v>condorProc.py --series 07180927_2138 --donoise --dumps a --procenv environments/pymidas_HVHV_NaI_mf.env</v>
      </c>
      <c r="R4294" t="str">
        <f t="shared" si="166"/>
        <v>ln -s ../../../../midasraw/byseries/07180927_2138 07180927_2138</v>
      </c>
    </row>
    <row r="4295" spans="1:18">
      <c r="A4295" t="s">
        <v>9878</v>
      </c>
      <c r="G4295" s="191"/>
      <c r="H4295" s="210"/>
      <c r="K4295" s="180"/>
      <c r="M4295" t="s">
        <v>4945</v>
      </c>
      <c r="N4295" t="s">
        <v>5571</v>
      </c>
      <c r="O4295" t="s">
        <v>4939</v>
      </c>
      <c r="Q4295" t="str">
        <f t="shared" si="165"/>
        <v>condorProc.py --series 07180927_2148 --donoise --dumps a --procenv environments/pymidas_HVHV_NaI_mf.env</v>
      </c>
      <c r="R4295" t="str">
        <f t="shared" si="166"/>
        <v>ln -s ../../../../midasraw/byseries/07180927_2148 07180927_2148</v>
      </c>
    </row>
    <row r="4296" spans="1:18">
      <c r="A4296" t="s">
        <v>9879</v>
      </c>
      <c r="G4296" s="191"/>
      <c r="H4296" s="210"/>
      <c r="K4296" s="180"/>
      <c r="M4296" t="s">
        <v>4945</v>
      </c>
      <c r="N4296" t="s">
        <v>5571</v>
      </c>
      <c r="O4296" t="s">
        <v>4939</v>
      </c>
      <c r="Q4296" t="str">
        <f t="shared" si="165"/>
        <v>condorProc.py --series 07180927_2158 --donoise --dumps a --procenv environments/pymidas_HVHV_NaI_mf.env</v>
      </c>
      <c r="R4296" t="str">
        <f t="shared" si="166"/>
        <v>ln -s ../../../../midasraw/byseries/07180927_2158 07180927_2158</v>
      </c>
    </row>
    <row r="4297" spans="1:18">
      <c r="A4297" t="s">
        <v>9880</v>
      </c>
      <c r="F4297" s="65"/>
      <c r="G4297" s="193"/>
      <c r="H4297" s="211"/>
      <c r="I4297" s="65" t="s">
        <v>75</v>
      </c>
      <c r="J4297" s="65"/>
      <c r="K4297" s="182"/>
      <c r="M4297" t="s">
        <v>4945</v>
      </c>
      <c r="N4297" t="s">
        <v>5571</v>
      </c>
      <c r="O4297" t="s">
        <v>4939</v>
      </c>
      <c r="Q4297" t="str">
        <f t="shared" si="165"/>
        <v>condorProc.py --series 07180927_2208 --donoise --dumps a --procenv environments/pymidas_HVHV_NaI_mf.env</v>
      </c>
      <c r="R4297" t="str">
        <f t="shared" si="166"/>
        <v>ln -s ../../../../midasraw/byseries/07180927_2208 07180927_2208</v>
      </c>
    </row>
    <row r="4298" spans="1:18">
      <c r="A4298" t="s">
        <v>9881</v>
      </c>
      <c r="F4298" s="177">
        <v>10</v>
      </c>
      <c r="G4298" s="192" t="s">
        <v>2248</v>
      </c>
      <c r="H4298" s="209">
        <v>-125</v>
      </c>
      <c r="I4298" s="177"/>
      <c r="J4298" s="177" t="s">
        <v>5577</v>
      </c>
      <c r="K4298" s="178" t="s">
        <v>5583</v>
      </c>
      <c r="M4298" t="s">
        <v>4945</v>
      </c>
      <c r="N4298" t="s">
        <v>5571</v>
      </c>
      <c r="O4298" t="s">
        <v>4939</v>
      </c>
      <c r="Q4298" t="str">
        <f t="shared" si="165"/>
        <v>condorProc.py --series 07180927_2309 --donoise --dumps a --procenv environments/pymidas_HVHV_NaI_mf.env</v>
      </c>
      <c r="R4298" t="str">
        <f t="shared" si="166"/>
        <v>ln -s ../../../../midasraw/byseries/07180927_2309 07180927_2309</v>
      </c>
    </row>
    <row r="4299" spans="1:18">
      <c r="A4299" t="s">
        <v>9882</v>
      </c>
      <c r="G4299" s="191"/>
      <c r="H4299" s="210"/>
      <c r="J4299" t="s">
        <v>5585</v>
      </c>
      <c r="K4299" s="218" t="s">
        <v>5586</v>
      </c>
      <c r="M4299" t="s">
        <v>4945</v>
      </c>
      <c r="N4299" t="s">
        <v>5571</v>
      </c>
      <c r="O4299" t="s">
        <v>4939</v>
      </c>
      <c r="Q4299" t="str">
        <f t="shared" si="165"/>
        <v>condorProc.py --series 07180927_2319 --donoise --dumps a --procenv environments/pymidas_HVHV_NaI_mf.env</v>
      </c>
      <c r="R4299" t="str">
        <f t="shared" si="166"/>
        <v>ln -s ../../../../midasraw/byseries/07180927_2319 07180927_2319</v>
      </c>
    </row>
    <row r="4300" spans="1:18">
      <c r="A4300" t="s">
        <v>9883</v>
      </c>
      <c r="G4300" s="191"/>
      <c r="H4300" s="210"/>
      <c r="K4300" s="219" t="s">
        <v>8388</v>
      </c>
      <c r="M4300" t="s">
        <v>4945</v>
      </c>
      <c r="N4300" t="s">
        <v>5571</v>
      </c>
      <c r="O4300" t="s">
        <v>4939</v>
      </c>
      <c r="Q4300" t="str">
        <f t="shared" si="165"/>
        <v>condorProc.py --series 07180927_2329 --donoise --dumps a --procenv environments/pymidas_HVHV_NaI_mf.env</v>
      </c>
      <c r="R4300" t="str">
        <f t="shared" si="166"/>
        <v>ln -s ../../../../midasraw/byseries/07180927_2329 07180927_2329</v>
      </c>
    </row>
    <row r="4301" spans="1:18">
      <c r="A4301" t="s">
        <v>9884</v>
      </c>
      <c r="G4301" s="191"/>
      <c r="H4301" s="210"/>
      <c r="K4301" s="180"/>
      <c r="M4301" t="s">
        <v>4945</v>
      </c>
      <c r="N4301" t="s">
        <v>5571</v>
      </c>
      <c r="O4301" t="s">
        <v>4939</v>
      </c>
      <c r="Q4301" t="str">
        <f t="shared" si="165"/>
        <v>condorProc.py --series 07180927_2339 --donoise --dumps a --procenv environments/pymidas_HVHV_NaI_mf.env</v>
      </c>
      <c r="R4301" t="str">
        <f t="shared" si="166"/>
        <v>ln -s ../../../../midasraw/byseries/07180927_2339 07180927_2339</v>
      </c>
    </row>
    <row r="4302" spans="1:18">
      <c r="A4302" t="s">
        <v>9885</v>
      </c>
      <c r="G4302" s="191"/>
      <c r="H4302" s="210"/>
      <c r="K4302" s="180"/>
      <c r="M4302" t="s">
        <v>4945</v>
      </c>
      <c r="N4302" t="s">
        <v>5571</v>
      </c>
      <c r="O4302" t="s">
        <v>4939</v>
      </c>
      <c r="Q4302" t="str">
        <f t="shared" si="165"/>
        <v>condorProc.py --series 07180927_2349 --donoise --dumps a --procenv environments/pymidas_HVHV_NaI_mf.env</v>
      </c>
      <c r="R4302" t="str">
        <f t="shared" si="166"/>
        <v>ln -s ../../../../midasraw/byseries/07180927_2349 07180927_2349</v>
      </c>
    </row>
    <row r="4303" spans="1:18">
      <c r="A4303" t="s">
        <v>9886</v>
      </c>
      <c r="G4303" s="191"/>
      <c r="H4303" s="210"/>
      <c r="K4303" s="180"/>
      <c r="M4303" t="s">
        <v>4945</v>
      </c>
      <c r="N4303" t="s">
        <v>5571</v>
      </c>
      <c r="O4303" t="s">
        <v>4939</v>
      </c>
      <c r="Q4303" t="str">
        <f t="shared" ref="Q4303:Q4341" si="167">"condorProc.py --series "&amp;A4303&amp;" --donoise --dumps a --procenv environments/pymidas_HVHV_NaI_mf.env"</f>
        <v>condorProc.py --series 07180927_2359 --donoise --dumps a --procenv environments/pymidas_HVHV_NaI_mf.env</v>
      </c>
      <c r="R4303" t="str">
        <f t="shared" ref="R4303:R4341" si="168">"ln -s ../../../../midasraw/byseries/"&amp;A4303&amp;" "&amp;A4303</f>
        <v>ln -s ../../../../midasraw/byseries/07180927_2359 07180927_2359</v>
      </c>
    </row>
    <row r="4304" spans="1:18">
      <c r="A4304" t="s">
        <v>9887</v>
      </c>
      <c r="G4304" s="191"/>
      <c r="H4304" s="210"/>
      <c r="K4304" s="180"/>
      <c r="M4304" t="s">
        <v>4945</v>
      </c>
      <c r="N4304" t="s">
        <v>5571</v>
      </c>
      <c r="O4304" t="s">
        <v>4939</v>
      </c>
      <c r="Q4304" t="str">
        <f t="shared" si="167"/>
        <v>condorProc.py --series 07180928_0009 --donoise --dumps a --procenv environments/pymidas_HVHV_NaI_mf.env</v>
      </c>
      <c r="R4304" t="str">
        <f t="shared" si="168"/>
        <v>ln -s ../../../../midasraw/byseries/07180928_0009 07180928_0009</v>
      </c>
    </row>
    <row r="4305" spans="1:18">
      <c r="A4305" t="s">
        <v>9888</v>
      </c>
      <c r="G4305" s="191"/>
      <c r="H4305" s="210"/>
      <c r="K4305" s="180"/>
      <c r="M4305" t="s">
        <v>4945</v>
      </c>
      <c r="N4305" t="s">
        <v>5571</v>
      </c>
      <c r="O4305" t="s">
        <v>4939</v>
      </c>
      <c r="Q4305" t="str">
        <f t="shared" si="167"/>
        <v>condorProc.py --series 07180928_0019 --donoise --dumps a --procenv environments/pymidas_HVHV_NaI_mf.env</v>
      </c>
      <c r="R4305" t="str">
        <f t="shared" si="168"/>
        <v>ln -s ../../../../midasraw/byseries/07180928_0019 07180928_0019</v>
      </c>
    </row>
    <row r="4306" spans="1:18">
      <c r="A4306" t="s">
        <v>9889</v>
      </c>
      <c r="G4306" s="191"/>
      <c r="H4306" s="210"/>
      <c r="K4306" s="180"/>
      <c r="M4306" t="s">
        <v>4945</v>
      </c>
      <c r="N4306" t="s">
        <v>5571</v>
      </c>
      <c r="O4306" t="s">
        <v>4939</v>
      </c>
      <c r="Q4306" t="str">
        <f t="shared" si="167"/>
        <v>condorProc.py --series 07180928_0030 --donoise --dumps a --procenv environments/pymidas_HVHV_NaI_mf.env</v>
      </c>
      <c r="R4306" t="str">
        <f t="shared" si="168"/>
        <v>ln -s ../../../../midasraw/byseries/07180928_0030 07180928_0030</v>
      </c>
    </row>
    <row r="4307" spans="1:18">
      <c r="A4307" t="s">
        <v>9890</v>
      </c>
      <c r="G4307" s="191"/>
      <c r="H4307" s="210"/>
      <c r="K4307" s="180"/>
      <c r="M4307" t="s">
        <v>4945</v>
      </c>
      <c r="N4307" t="s">
        <v>5571</v>
      </c>
      <c r="O4307" t="s">
        <v>4939</v>
      </c>
      <c r="Q4307" t="str">
        <f t="shared" si="167"/>
        <v>condorProc.py --series 07180928_0040 --donoise --dumps a --procenv environments/pymidas_HVHV_NaI_mf.env</v>
      </c>
      <c r="R4307" t="str">
        <f t="shared" si="168"/>
        <v>ln -s ../../../../midasraw/byseries/07180928_0040 07180928_0040</v>
      </c>
    </row>
    <row r="4308" spans="1:18">
      <c r="A4308" t="s">
        <v>9891</v>
      </c>
      <c r="G4308" s="191"/>
      <c r="H4308" s="210"/>
      <c r="K4308" s="180"/>
      <c r="M4308" t="s">
        <v>4945</v>
      </c>
      <c r="N4308" t="s">
        <v>5571</v>
      </c>
      <c r="O4308" t="s">
        <v>4939</v>
      </c>
      <c r="Q4308" t="str">
        <f t="shared" si="167"/>
        <v>condorProc.py --series 07180928_0050 --donoise --dumps a --procenv environments/pymidas_HVHV_NaI_mf.env</v>
      </c>
      <c r="R4308" t="str">
        <f t="shared" si="168"/>
        <v>ln -s ../../../../midasraw/byseries/07180928_0050 07180928_0050</v>
      </c>
    </row>
    <row r="4309" spans="1:18">
      <c r="A4309" t="s">
        <v>9892</v>
      </c>
      <c r="F4309" s="65"/>
      <c r="G4309" s="193"/>
      <c r="H4309" s="211"/>
      <c r="I4309" s="65"/>
      <c r="J4309" s="65"/>
      <c r="K4309" s="182"/>
      <c r="M4309" t="s">
        <v>4945</v>
      </c>
      <c r="N4309" t="s">
        <v>5571</v>
      </c>
      <c r="O4309" t="s">
        <v>4939</v>
      </c>
      <c r="Q4309" t="str">
        <f t="shared" si="167"/>
        <v>condorProc.py --series 07180928_0100 --donoise --dumps a --procenv environments/pymidas_HVHV_NaI_mf.env</v>
      </c>
      <c r="R4309" t="str">
        <f t="shared" si="168"/>
        <v>ln -s ../../../../midasraw/byseries/07180928_0100 07180928_0100</v>
      </c>
    </row>
    <row r="4310" spans="1:18">
      <c r="A4310" t="s">
        <v>9893</v>
      </c>
      <c r="F4310" s="177">
        <v>10</v>
      </c>
      <c r="G4310" s="192" t="s">
        <v>2248</v>
      </c>
      <c r="H4310" s="209">
        <v>-125</v>
      </c>
      <c r="I4310" s="177"/>
      <c r="J4310" s="177" t="s">
        <v>5577</v>
      </c>
      <c r="K4310" s="178" t="s">
        <v>5583</v>
      </c>
      <c r="M4310" t="s">
        <v>4945</v>
      </c>
      <c r="N4310" t="s">
        <v>5571</v>
      </c>
      <c r="O4310" t="s">
        <v>4939</v>
      </c>
      <c r="Q4310" t="str">
        <f t="shared" si="167"/>
        <v>condorProc.py --series 07180928_0200 --donoise --dumps a --procenv environments/pymidas_HVHV_NaI_mf.env</v>
      </c>
      <c r="R4310" t="str">
        <f t="shared" si="168"/>
        <v>ln -s ../../../../midasraw/byseries/07180928_0200 07180928_0200</v>
      </c>
    </row>
    <row r="4311" spans="1:18">
      <c r="A4311" t="s">
        <v>9894</v>
      </c>
      <c r="G4311" s="191"/>
      <c r="H4311" s="210"/>
      <c r="J4311" t="s">
        <v>5585</v>
      </c>
      <c r="K4311" s="218" t="s">
        <v>5586</v>
      </c>
      <c r="M4311" t="s">
        <v>4945</v>
      </c>
      <c r="N4311" t="s">
        <v>5571</v>
      </c>
      <c r="O4311" t="s">
        <v>4939</v>
      </c>
      <c r="Q4311" t="str">
        <f t="shared" si="167"/>
        <v>condorProc.py --series 07180928_0210 --donoise --dumps a --procenv environments/pymidas_HVHV_NaI_mf.env</v>
      </c>
      <c r="R4311" t="str">
        <f t="shared" si="168"/>
        <v>ln -s ../../../../midasraw/byseries/07180928_0210 07180928_0210</v>
      </c>
    </row>
    <row r="4312" spans="1:18">
      <c r="A4312" t="s">
        <v>9895</v>
      </c>
      <c r="G4312" s="191"/>
      <c r="H4312" s="210"/>
      <c r="K4312" s="219" t="s">
        <v>8388</v>
      </c>
      <c r="M4312" t="s">
        <v>4945</v>
      </c>
      <c r="N4312" t="s">
        <v>5571</v>
      </c>
      <c r="O4312" t="s">
        <v>4939</v>
      </c>
      <c r="Q4312" t="str">
        <f t="shared" si="167"/>
        <v>condorProc.py --series 07180928_0220 --donoise --dumps a --procenv environments/pymidas_HVHV_NaI_mf.env</v>
      </c>
      <c r="R4312" t="str">
        <f t="shared" si="168"/>
        <v>ln -s ../../../../midasraw/byseries/07180928_0220 07180928_0220</v>
      </c>
    </row>
    <row r="4313" spans="1:18">
      <c r="A4313" t="s">
        <v>9896</v>
      </c>
      <c r="G4313" s="191"/>
      <c r="H4313" s="210"/>
      <c r="K4313" s="180"/>
      <c r="M4313" t="s">
        <v>4945</v>
      </c>
      <c r="N4313" t="s">
        <v>5571</v>
      </c>
      <c r="O4313" t="s">
        <v>4939</v>
      </c>
      <c r="Q4313" t="str">
        <f t="shared" si="167"/>
        <v>condorProc.py --series 07180928_0230 --donoise --dumps a --procenv environments/pymidas_HVHV_NaI_mf.env</v>
      </c>
      <c r="R4313" t="str">
        <f t="shared" si="168"/>
        <v>ln -s ../../../../midasraw/byseries/07180928_0230 07180928_0230</v>
      </c>
    </row>
    <row r="4314" spans="1:18">
      <c r="A4314" t="s">
        <v>9897</v>
      </c>
      <c r="G4314" s="191"/>
      <c r="H4314" s="210"/>
      <c r="K4314" s="180"/>
      <c r="M4314" t="s">
        <v>4945</v>
      </c>
      <c r="N4314" t="s">
        <v>5571</v>
      </c>
      <c r="O4314" t="s">
        <v>4939</v>
      </c>
      <c r="Q4314" t="str">
        <f t="shared" si="167"/>
        <v>condorProc.py --series 07180928_0240 --donoise --dumps a --procenv environments/pymidas_HVHV_NaI_mf.env</v>
      </c>
      <c r="R4314" t="str">
        <f t="shared" si="168"/>
        <v>ln -s ../../../../midasraw/byseries/07180928_0240 07180928_0240</v>
      </c>
    </row>
    <row r="4315" spans="1:18">
      <c r="A4315" t="s">
        <v>9898</v>
      </c>
      <c r="G4315" s="191"/>
      <c r="H4315" s="210"/>
      <c r="K4315" s="180"/>
      <c r="M4315" t="s">
        <v>4945</v>
      </c>
      <c r="N4315" t="s">
        <v>5571</v>
      </c>
      <c r="O4315" t="s">
        <v>4939</v>
      </c>
      <c r="Q4315" t="str">
        <f t="shared" si="167"/>
        <v>condorProc.py --series 07180928_0250 --donoise --dumps a --procenv environments/pymidas_HVHV_NaI_mf.env</v>
      </c>
      <c r="R4315" t="str">
        <f t="shared" si="168"/>
        <v>ln -s ../../../../midasraw/byseries/07180928_0250 07180928_0250</v>
      </c>
    </row>
    <row r="4316" spans="1:18">
      <c r="A4316" t="s">
        <v>9899</v>
      </c>
      <c r="G4316" s="191"/>
      <c r="H4316" s="210"/>
      <c r="K4316" s="180"/>
      <c r="M4316" t="s">
        <v>4945</v>
      </c>
      <c r="N4316" t="s">
        <v>5571</v>
      </c>
      <c r="O4316" t="s">
        <v>4939</v>
      </c>
      <c r="Q4316" t="str">
        <f t="shared" si="167"/>
        <v>condorProc.py --series 07180928_0300 --donoise --dumps a --procenv environments/pymidas_HVHV_NaI_mf.env</v>
      </c>
      <c r="R4316" t="str">
        <f t="shared" si="168"/>
        <v>ln -s ../../../../midasraw/byseries/07180928_0300 07180928_0300</v>
      </c>
    </row>
    <row r="4317" spans="1:18">
      <c r="A4317" t="s">
        <v>9900</v>
      </c>
      <c r="G4317" s="191"/>
      <c r="H4317" s="210"/>
      <c r="K4317" s="180"/>
      <c r="M4317" t="s">
        <v>4945</v>
      </c>
      <c r="N4317" t="s">
        <v>5571</v>
      </c>
      <c r="O4317" t="s">
        <v>4939</v>
      </c>
      <c r="Q4317" t="str">
        <f t="shared" si="167"/>
        <v>condorProc.py --series 07180928_0310 --donoise --dumps a --procenv environments/pymidas_HVHV_NaI_mf.env</v>
      </c>
      <c r="R4317" t="str">
        <f t="shared" si="168"/>
        <v>ln -s ../../../../midasraw/byseries/07180928_0310 07180928_0310</v>
      </c>
    </row>
    <row r="4318" spans="1:18">
      <c r="A4318" t="s">
        <v>9901</v>
      </c>
      <c r="G4318" s="191"/>
      <c r="H4318" s="210"/>
      <c r="K4318" s="180"/>
      <c r="M4318" t="s">
        <v>4945</v>
      </c>
      <c r="N4318" t="s">
        <v>5571</v>
      </c>
      <c r="O4318" t="s">
        <v>4939</v>
      </c>
      <c r="Q4318" t="str">
        <f t="shared" si="167"/>
        <v>condorProc.py --series 07180928_0320 --donoise --dumps a --procenv environments/pymidas_HVHV_NaI_mf.env</v>
      </c>
      <c r="R4318" t="str">
        <f t="shared" si="168"/>
        <v>ln -s ../../../../midasraw/byseries/07180928_0320 07180928_0320</v>
      </c>
    </row>
    <row r="4319" spans="1:18">
      <c r="A4319" t="s">
        <v>9902</v>
      </c>
      <c r="G4319" s="191"/>
      <c r="H4319" s="210"/>
      <c r="K4319" s="180"/>
      <c r="M4319" t="s">
        <v>4945</v>
      </c>
      <c r="N4319" t="s">
        <v>5571</v>
      </c>
      <c r="O4319" t="s">
        <v>4939</v>
      </c>
      <c r="Q4319" t="str">
        <f t="shared" si="167"/>
        <v>condorProc.py --series 07180928_0331 --donoise --dumps a --procenv environments/pymidas_HVHV_NaI_mf.env</v>
      </c>
      <c r="R4319" t="str">
        <f t="shared" si="168"/>
        <v>ln -s ../../../../midasraw/byseries/07180928_0331 07180928_0331</v>
      </c>
    </row>
    <row r="4320" spans="1:18">
      <c r="A4320" t="s">
        <v>9903</v>
      </c>
      <c r="G4320" s="191"/>
      <c r="H4320" s="210"/>
      <c r="K4320" s="180"/>
      <c r="M4320" t="s">
        <v>4945</v>
      </c>
      <c r="N4320" t="s">
        <v>5571</v>
      </c>
      <c r="O4320" t="s">
        <v>4939</v>
      </c>
      <c r="Q4320" t="str">
        <f t="shared" si="167"/>
        <v>condorProc.py --series 07180928_0341 --donoise --dumps a --procenv environments/pymidas_HVHV_NaI_mf.env</v>
      </c>
      <c r="R4320" t="str">
        <f t="shared" si="168"/>
        <v>ln -s ../../../../midasraw/byseries/07180928_0341 07180928_0341</v>
      </c>
    </row>
    <row r="4321" spans="1:18">
      <c r="A4321" t="s">
        <v>9904</v>
      </c>
      <c r="F4321" s="65"/>
      <c r="G4321" s="193"/>
      <c r="H4321" s="211"/>
      <c r="I4321" s="65"/>
      <c r="J4321" s="65"/>
      <c r="K4321" s="182"/>
      <c r="M4321" t="s">
        <v>4945</v>
      </c>
      <c r="N4321" t="s">
        <v>5571</v>
      </c>
      <c r="O4321" t="s">
        <v>4939</v>
      </c>
      <c r="Q4321" t="str">
        <f t="shared" si="167"/>
        <v>condorProc.py --series 07180928_0351 --donoise --dumps a --procenv environments/pymidas_HVHV_NaI_mf.env</v>
      </c>
      <c r="R4321" t="str">
        <f t="shared" si="168"/>
        <v>ln -s ../../../../midasraw/byseries/07180928_0351 07180928_0351</v>
      </c>
    </row>
    <row r="4322" spans="1:18">
      <c r="A4322" t="s">
        <v>9905</v>
      </c>
      <c r="F4322" s="177">
        <v>10</v>
      </c>
      <c r="G4322" s="192" t="s">
        <v>2248</v>
      </c>
      <c r="H4322" s="209">
        <v>-125</v>
      </c>
      <c r="I4322" s="177"/>
      <c r="J4322" s="177" t="s">
        <v>5577</v>
      </c>
      <c r="K4322" s="178" t="s">
        <v>5583</v>
      </c>
      <c r="M4322" t="s">
        <v>4945</v>
      </c>
      <c r="N4322" t="s">
        <v>5571</v>
      </c>
      <c r="O4322" t="s">
        <v>4939</v>
      </c>
      <c r="Q4322" t="str">
        <f t="shared" si="167"/>
        <v>condorProc.py --series 07180928_0451 --donoise --dumps a --procenv environments/pymidas_HVHV_NaI_mf.env</v>
      </c>
      <c r="R4322" t="str">
        <f t="shared" si="168"/>
        <v>ln -s ../../../../midasraw/byseries/07180928_0451 07180928_0451</v>
      </c>
    </row>
    <row r="4323" spans="1:18">
      <c r="A4323" t="s">
        <v>9906</v>
      </c>
      <c r="G4323" s="191"/>
      <c r="H4323" s="210"/>
      <c r="J4323" t="s">
        <v>5585</v>
      </c>
      <c r="K4323" s="218" t="s">
        <v>5586</v>
      </c>
      <c r="M4323" t="s">
        <v>4945</v>
      </c>
      <c r="N4323" t="s">
        <v>5571</v>
      </c>
      <c r="O4323" t="s">
        <v>4939</v>
      </c>
      <c r="Q4323" t="str">
        <f t="shared" si="167"/>
        <v>condorProc.py --series 07180928_0501 --donoise --dumps a --procenv environments/pymidas_HVHV_NaI_mf.env</v>
      </c>
      <c r="R4323" t="str">
        <f t="shared" si="168"/>
        <v>ln -s ../../../../midasraw/byseries/07180928_0501 07180928_0501</v>
      </c>
    </row>
    <row r="4324" spans="1:18">
      <c r="A4324" t="s">
        <v>9907</v>
      </c>
      <c r="G4324" s="191"/>
      <c r="H4324" s="210"/>
      <c r="K4324" s="219" t="s">
        <v>8388</v>
      </c>
      <c r="M4324" t="s">
        <v>4945</v>
      </c>
      <c r="N4324" t="s">
        <v>5571</v>
      </c>
      <c r="O4324" t="s">
        <v>4939</v>
      </c>
      <c r="Q4324" t="str">
        <f t="shared" si="167"/>
        <v>condorProc.py --series 07180928_0511 --donoise --dumps a --procenv environments/pymidas_HVHV_NaI_mf.env</v>
      </c>
      <c r="R4324" t="str">
        <f t="shared" si="168"/>
        <v>ln -s ../../../../midasraw/byseries/07180928_0511 07180928_0511</v>
      </c>
    </row>
    <row r="4325" spans="1:18">
      <c r="A4325" t="s">
        <v>9908</v>
      </c>
      <c r="G4325" s="191"/>
      <c r="H4325" s="210"/>
      <c r="K4325" s="180"/>
      <c r="M4325" t="s">
        <v>4945</v>
      </c>
      <c r="N4325" t="s">
        <v>5571</v>
      </c>
      <c r="O4325" t="s">
        <v>4939</v>
      </c>
      <c r="Q4325" t="str">
        <f t="shared" si="167"/>
        <v>condorProc.py --series 07180928_0521 --donoise --dumps a --procenv environments/pymidas_HVHV_NaI_mf.env</v>
      </c>
      <c r="R4325" t="str">
        <f t="shared" si="168"/>
        <v>ln -s ../../../../midasraw/byseries/07180928_0521 07180928_0521</v>
      </c>
    </row>
    <row r="4326" spans="1:18">
      <c r="A4326" t="s">
        <v>9909</v>
      </c>
      <c r="G4326" s="191"/>
      <c r="H4326" s="210"/>
      <c r="I4326" t="s">
        <v>75</v>
      </c>
      <c r="K4326" s="180"/>
      <c r="M4326" t="s">
        <v>4945</v>
      </c>
      <c r="N4326" t="s">
        <v>5571</v>
      </c>
      <c r="O4326" t="s">
        <v>4939</v>
      </c>
      <c r="Q4326" t="str">
        <f t="shared" si="167"/>
        <v>condorProc.py --series 07180928_0531 --donoise --dumps a --procenv environments/pymidas_HVHV_NaI_mf.env</v>
      </c>
      <c r="R4326" t="str">
        <f t="shared" si="168"/>
        <v>ln -s ../../../../midasraw/byseries/07180928_0531 07180928_0531</v>
      </c>
    </row>
    <row r="4327" spans="1:18">
      <c r="A4327" t="s">
        <v>9910</v>
      </c>
      <c r="F4327" s="177">
        <v>10</v>
      </c>
      <c r="G4327" s="192" t="s">
        <v>2248</v>
      </c>
      <c r="H4327" s="209">
        <v>-125</v>
      </c>
      <c r="I4327" s="177"/>
      <c r="J4327" s="177" t="s">
        <v>5577</v>
      </c>
      <c r="K4327" s="178" t="s">
        <v>5583</v>
      </c>
      <c r="M4327" t="s">
        <v>4945</v>
      </c>
      <c r="N4327" t="s">
        <v>5571</v>
      </c>
      <c r="O4327" t="s">
        <v>4939</v>
      </c>
      <c r="Q4327" t="str">
        <f t="shared" si="167"/>
        <v>condorProc.py --series 07180928_1014 --donoise --dumps a --procenv environments/pymidas_HVHV_NaI_mf.env</v>
      </c>
      <c r="R4327" t="str">
        <f t="shared" si="168"/>
        <v>ln -s ../../../../midasraw/byseries/07180928_1014 07180928_1014</v>
      </c>
    </row>
    <row r="4328" spans="1:18">
      <c r="A4328" t="s">
        <v>9911</v>
      </c>
      <c r="G4328" s="191"/>
      <c r="H4328" s="210"/>
      <c r="J4328" t="s">
        <v>5585</v>
      </c>
      <c r="K4328" s="218" t="s">
        <v>5586</v>
      </c>
      <c r="M4328" t="s">
        <v>4945</v>
      </c>
      <c r="N4328" t="s">
        <v>5571</v>
      </c>
      <c r="O4328" t="s">
        <v>4939</v>
      </c>
      <c r="Q4328" t="str">
        <f t="shared" si="167"/>
        <v>condorProc.py --series 07180928_1024 --donoise --dumps a --procenv environments/pymidas_HVHV_NaI_mf.env</v>
      </c>
      <c r="R4328" t="str">
        <f t="shared" si="168"/>
        <v>ln -s ../../../../midasraw/byseries/07180928_1024 07180928_1024</v>
      </c>
    </row>
    <row r="4329" spans="1:18">
      <c r="A4329" t="s">
        <v>9912</v>
      </c>
      <c r="G4329" s="191"/>
      <c r="H4329" s="210"/>
      <c r="I4329" t="s">
        <v>75</v>
      </c>
      <c r="K4329" s="219" t="s">
        <v>8388</v>
      </c>
      <c r="M4329" t="s">
        <v>4945</v>
      </c>
      <c r="N4329" t="s">
        <v>5571</v>
      </c>
      <c r="O4329" t="s">
        <v>4939</v>
      </c>
      <c r="Q4329" t="str">
        <f t="shared" si="167"/>
        <v>condorProc.py --series 07180928_1034 --donoise --dumps a --procenv environments/pymidas_HVHV_NaI_mf.env</v>
      </c>
      <c r="R4329" t="str">
        <f t="shared" si="168"/>
        <v>ln -s ../../../../midasraw/byseries/07180928_1034 07180928_1034</v>
      </c>
    </row>
    <row r="4330" spans="1:18">
      <c r="A4330" t="s">
        <v>9913</v>
      </c>
      <c r="G4330" s="191"/>
      <c r="H4330" s="210"/>
      <c r="K4330" s="180"/>
      <c r="M4330" t="s">
        <v>4945</v>
      </c>
      <c r="N4330" t="s">
        <v>5571</v>
      </c>
      <c r="O4330" t="s">
        <v>4939</v>
      </c>
      <c r="Q4330" t="str">
        <f t="shared" si="167"/>
        <v>condorProc.py --series 07180928_1044 --donoise --dumps a --procenv environments/pymidas_HVHV_NaI_mf.env</v>
      </c>
      <c r="R4330" t="str">
        <f t="shared" si="168"/>
        <v>ln -s ../../../../midasraw/byseries/07180928_1044 07180928_1044</v>
      </c>
    </row>
    <row r="4331" spans="1:18">
      <c r="A4331" t="s">
        <v>9914</v>
      </c>
      <c r="C4331" t="s">
        <v>4939</v>
      </c>
      <c r="G4331" s="191"/>
      <c r="H4331" s="210"/>
      <c r="K4331" s="180"/>
      <c r="M4331" t="s">
        <v>4945</v>
      </c>
      <c r="N4331" t="s">
        <v>5571</v>
      </c>
      <c r="O4331" t="s">
        <v>4939</v>
      </c>
      <c r="Q4331" t="str">
        <f t="shared" si="167"/>
        <v>condorProc.py --series 07180928_1055 --donoise --dumps a --procenv environments/pymidas_HVHV_NaI_mf.env</v>
      </c>
      <c r="R4331" t="str">
        <f t="shared" si="168"/>
        <v>ln -s ../../../../midasraw/byseries/07180928_1055 07180928_1055</v>
      </c>
    </row>
    <row r="4332" spans="1:18">
      <c r="A4332" t="s">
        <v>9915</v>
      </c>
      <c r="G4332" s="191"/>
      <c r="H4332" s="210"/>
      <c r="K4332" s="180"/>
      <c r="M4332" t="s">
        <v>4945</v>
      </c>
      <c r="N4332" t="s">
        <v>5571</v>
      </c>
      <c r="O4332" t="s">
        <v>4939</v>
      </c>
      <c r="Q4332" t="str">
        <f t="shared" si="167"/>
        <v>condorProc.py --series 07180928_1105 --donoise --dumps a --procenv environments/pymidas_HVHV_NaI_mf.env</v>
      </c>
      <c r="R4332" t="str">
        <f t="shared" si="168"/>
        <v>ln -s ../../../../midasraw/byseries/07180928_1105 07180928_1105</v>
      </c>
    </row>
    <row r="4333" spans="1:18">
      <c r="A4333" t="s">
        <v>9916</v>
      </c>
      <c r="G4333" s="191"/>
      <c r="H4333" s="210"/>
      <c r="K4333" s="180"/>
      <c r="M4333" t="s">
        <v>4945</v>
      </c>
      <c r="N4333" t="s">
        <v>5571</v>
      </c>
      <c r="O4333" t="s">
        <v>4939</v>
      </c>
      <c r="Q4333" t="str">
        <f t="shared" si="167"/>
        <v>condorProc.py --series 07180928_1115 --donoise --dumps a --procenv environments/pymidas_HVHV_NaI_mf.env</v>
      </c>
      <c r="R4333" t="str">
        <f t="shared" si="168"/>
        <v>ln -s ../../../../midasraw/byseries/07180928_1115 07180928_1115</v>
      </c>
    </row>
    <row r="4334" spans="1:18">
      <c r="A4334" t="s">
        <v>9917</v>
      </c>
      <c r="G4334" s="191"/>
      <c r="H4334" s="210"/>
      <c r="K4334" s="180"/>
      <c r="M4334" t="s">
        <v>4945</v>
      </c>
      <c r="N4334" t="s">
        <v>5571</v>
      </c>
      <c r="O4334" t="s">
        <v>4939</v>
      </c>
      <c r="Q4334" t="str">
        <f t="shared" si="167"/>
        <v>condorProc.py --series 07180928_1125 --donoise --dumps a --procenv environments/pymidas_HVHV_NaI_mf.env</v>
      </c>
      <c r="R4334" t="str">
        <f t="shared" si="168"/>
        <v>ln -s ../../../../midasraw/byseries/07180928_1125 07180928_1125</v>
      </c>
    </row>
    <row r="4335" spans="1:18">
      <c r="A4335" t="s">
        <v>9918</v>
      </c>
      <c r="G4335" s="191"/>
      <c r="H4335" s="210"/>
      <c r="K4335" s="180"/>
      <c r="M4335" t="s">
        <v>4945</v>
      </c>
      <c r="N4335" t="s">
        <v>5571</v>
      </c>
      <c r="O4335" t="s">
        <v>4939</v>
      </c>
      <c r="Q4335" t="str">
        <f t="shared" si="167"/>
        <v>condorProc.py --series 07180928_1135 --donoise --dumps a --procenv environments/pymidas_HVHV_NaI_mf.env</v>
      </c>
      <c r="R4335" t="str">
        <f t="shared" si="168"/>
        <v>ln -s ../../../../midasraw/byseries/07180928_1135 07180928_1135</v>
      </c>
    </row>
    <row r="4336" spans="1:18">
      <c r="A4336" t="s">
        <v>9919</v>
      </c>
      <c r="G4336" s="191"/>
      <c r="H4336" s="210"/>
      <c r="K4336" s="180"/>
      <c r="M4336" t="s">
        <v>4945</v>
      </c>
      <c r="N4336" t="s">
        <v>5571</v>
      </c>
      <c r="O4336" t="s">
        <v>4939</v>
      </c>
      <c r="Q4336" t="str">
        <f t="shared" si="167"/>
        <v>condorProc.py --series 07180928_1145 --donoise --dumps a --procenv environments/pymidas_HVHV_NaI_mf.env</v>
      </c>
      <c r="R4336" t="str">
        <f t="shared" si="168"/>
        <v>ln -s ../../../../midasraw/byseries/07180928_1145 07180928_1145</v>
      </c>
    </row>
    <row r="4337" spans="1:18">
      <c r="A4337" t="s">
        <v>9920</v>
      </c>
      <c r="G4337" s="191"/>
      <c r="H4337" s="210"/>
      <c r="K4337" s="180"/>
      <c r="M4337" t="s">
        <v>4945</v>
      </c>
      <c r="N4337" t="s">
        <v>5571</v>
      </c>
      <c r="O4337" t="s">
        <v>4939</v>
      </c>
      <c r="Q4337" t="str">
        <f t="shared" si="167"/>
        <v>condorProc.py --series 07180928_1155 --donoise --dumps a --procenv environments/pymidas_HVHV_NaI_mf.env</v>
      </c>
      <c r="R4337" t="str">
        <f t="shared" si="168"/>
        <v>ln -s ../../../../midasraw/byseries/07180928_1155 07180928_1155</v>
      </c>
    </row>
    <row r="4338" spans="1:18">
      <c r="A4338" t="s">
        <v>9921</v>
      </c>
      <c r="G4338" s="191"/>
      <c r="H4338" s="210"/>
      <c r="I4338" t="s">
        <v>75</v>
      </c>
      <c r="K4338" s="180"/>
      <c r="M4338" t="s">
        <v>4945</v>
      </c>
      <c r="N4338" t="s">
        <v>5571</v>
      </c>
      <c r="O4338" t="s">
        <v>4939</v>
      </c>
      <c r="Q4338" t="str">
        <f t="shared" si="167"/>
        <v>condorProc.py --series 07180928_1205 --donoise --dumps a --procenv environments/pymidas_HVHV_NaI_mf.env</v>
      </c>
      <c r="R4338" t="str">
        <f t="shared" si="168"/>
        <v>ln -s ../../../../midasraw/byseries/07180928_1205 07180928_1205</v>
      </c>
    </row>
    <row r="4339" spans="1:18">
      <c r="A4339" s="176" t="s">
        <v>9922</v>
      </c>
      <c r="B4339" s="177"/>
      <c r="C4339" s="177"/>
      <c r="D4339" s="177"/>
      <c r="E4339" s="177"/>
      <c r="F4339" s="177">
        <v>10</v>
      </c>
      <c r="G4339" s="192" t="s">
        <v>2248</v>
      </c>
      <c r="H4339" s="209">
        <v>-125</v>
      </c>
      <c r="I4339" s="177" t="s">
        <v>75</v>
      </c>
      <c r="J4339" s="177" t="s">
        <v>5577</v>
      </c>
      <c r="K4339" s="178" t="s">
        <v>5583</v>
      </c>
      <c r="M4339" t="s">
        <v>4945</v>
      </c>
      <c r="N4339" t="s">
        <v>5571</v>
      </c>
      <c r="O4339" t="s">
        <v>4939</v>
      </c>
      <c r="Q4339" t="str">
        <f t="shared" si="167"/>
        <v>condorProc.py --series 07180928_1303 --donoise --dumps a --procenv environments/pymidas_HVHV_NaI_mf.env</v>
      </c>
      <c r="R4339" t="str">
        <f t="shared" si="168"/>
        <v>ln -s ../../../../midasraw/byseries/07180928_1303 07180928_1303</v>
      </c>
    </row>
    <row r="4340" spans="1:18">
      <c r="A4340" s="179" t="s">
        <v>9923</v>
      </c>
      <c r="G4340" s="191"/>
      <c r="H4340" s="210"/>
      <c r="I4340" t="s">
        <v>75</v>
      </c>
      <c r="J4340" t="s">
        <v>5585</v>
      </c>
      <c r="K4340" s="218" t="s">
        <v>5586</v>
      </c>
      <c r="M4340" t="s">
        <v>4945</v>
      </c>
      <c r="N4340" t="s">
        <v>5571</v>
      </c>
      <c r="O4340" t="s">
        <v>4939</v>
      </c>
      <c r="Q4340" t="str">
        <f t="shared" si="167"/>
        <v>condorProc.py --series 07180928_1313 --donoise --dumps a --procenv environments/pymidas_HVHV_NaI_mf.env</v>
      </c>
      <c r="R4340" t="str">
        <f t="shared" si="168"/>
        <v>ln -s ../../../../midasraw/byseries/07180928_1313 07180928_1313</v>
      </c>
    </row>
    <row r="4341" spans="1:18">
      <c r="A4341" s="179" t="s">
        <v>9924</v>
      </c>
      <c r="G4341" s="191"/>
      <c r="H4341" s="210"/>
      <c r="I4341" t="s">
        <v>75</v>
      </c>
      <c r="K4341" s="219" t="s">
        <v>8388</v>
      </c>
      <c r="M4341" t="s">
        <v>4945</v>
      </c>
      <c r="N4341" t="s">
        <v>5571</v>
      </c>
      <c r="O4341" t="s">
        <v>4939</v>
      </c>
      <c r="Q4341" t="str">
        <f t="shared" si="167"/>
        <v>condorProc.py --series 07180928_1323 --donoise --dumps a --procenv environments/pymidas_HVHV_NaI_mf.env</v>
      </c>
      <c r="R4341" t="str">
        <f t="shared" si="168"/>
        <v>ln -s ../../../../midasraw/byseries/07180928_1323 07180928_1323</v>
      </c>
    </row>
    <row r="4342" spans="1:18">
      <c r="A4342" s="179" t="s">
        <v>9925</v>
      </c>
      <c r="G4342" s="191"/>
      <c r="H4342" s="210"/>
      <c r="I4342" s="197" t="s">
        <v>9926</v>
      </c>
      <c r="K4342" s="180"/>
    </row>
    <row r="4343" spans="1:18">
      <c r="A4343" s="179" t="s">
        <v>9927</v>
      </c>
      <c r="G4343" s="191"/>
      <c r="H4343" s="210"/>
      <c r="I4343" s="197" t="s">
        <v>9928</v>
      </c>
      <c r="K4343" s="180"/>
    </row>
    <row r="4344" spans="1:18">
      <c r="A4344" s="179" t="s">
        <v>9929</v>
      </c>
      <c r="G4344" s="191"/>
      <c r="H4344" s="210"/>
      <c r="I4344" s="197" t="s">
        <v>5434</v>
      </c>
      <c r="K4344" s="180"/>
    </row>
    <row r="4345" spans="1:18">
      <c r="A4345" s="179" t="s">
        <v>9930</v>
      </c>
      <c r="G4345" s="191"/>
      <c r="H4345" s="210"/>
      <c r="I4345" s="197" t="s">
        <v>5434</v>
      </c>
      <c r="K4345" s="180"/>
    </row>
    <row r="4346" spans="1:18">
      <c r="A4346" s="179" t="s">
        <v>9931</v>
      </c>
      <c r="G4346" s="191"/>
      <c r="H4346" s="210"/>
      <c r="I4346" s="197" t="s">
        <v>5434</v>
      </c>
      <c r="K4346" s="180"/>
    </row>
    <row r="4347" spans="1:18">
      <c r="A4347" s="179" t="s">
        <v>9932</v>
      </c>
      <c r="G4347" s="191"/>
      <c r="H4347" s="210"/>
      <c r="I4347" s="197" t="s">
        <v>5434</v>
      </c>
      <c r="K4347" s="180"/>
    </row>
    <row r="4348" spans="1:18">
      <c r="A4348" s="179" t="s">
        <v>9933</v>
      </c>
      <c r="G4348" s="191"/>
      <c r="H4348" s="210"/>
      <c r="I4348" s="197" t="s">
        <v>5434</v>
      </c>
      <c r="K4348" s="180"/>
    </row>
    <row r="4349" spans="1:18">
      <c r="A4349" s="179" t="s">
        <v>9934</v>
      </c>
      <c r="G4349" s="191"/>
      <c r="H4349" s="210"/>
      <c r="I4349" s="197" t="s">
        <v>5434</v>
      </c>
      <c r="K4349" s="180"/>
    </row>
    <row r="4350" spans="1:18">
      <c r="A4350" s="179" t="s">
        <v>9935</v>
      </c>
      <c r="G4350" s="191"/>
      <c r="H4350" s="210"/>
      <c r="I4350" s="197" t="s">
        <v>5434</v>
      </c>
      <c r="K4350" s="180"/>
    </row>
    <row r="4351" spans="1:18">
      <c r="A4351" s="176" t="s">
        <v>9936</v>
      </c>
      <c r="B4351" s="177"/>
      <c r="C4351" s="177"/>
      <c r="D4351" s="177"/>
      <c r="E4351" s="177"/>
      <c r="F4351" s="177">
        <v>10</v>
      </c>
      <c r="G4351" s="192" t="s">
        <v>2248</v>
      </c>
      <c r="H4351" s="209">
        <v>-125</v>
      </c>
      <c r="I4351" s="177"/>
      <c r="J4351" s="177" t="s">
        <v>5577</v>
      </c>
      <c r="K4351" s="178" t="s">
        <v>5583</v>
      </c>
      <c r="M4351" t="s">
        <v>4945</v>
      </c>
      <c r="N4351" t="s">
        <v>5571</v>
      </c>
      <c r="O4351" t="s">
        <v>4940</v>
      </c>
      <c r="Q4351" t="str">
        <f t="shared" ref="Q4351:Q4414" si="169">"condorProc.py --series "&amp;A4351&amp;" --donoise --dumps a --procenv environments/pymidas_HVHV_NaI_mf.env"</f>
        <v>condorProc.py --series 07180928_1722 --donoise --dumps a --procenv environments/pymidas_HVHV_NaI_mf.env</v>
      </c>
      <c r="R4351" t="str">
        <f>"ln -s ../../../../midasraw/byseries/"&amp;A4351&amp;" "&amp;A4351</f>
        <v>ln -s ../../../../midasraw/byseries/07180928_1722 07180928_1722</v>
      </c>
    </row>
    <row r="4352" spans="1:18">
      <c r="A4352" s="179" t="s">
        <v>9937</v>
      </c>
      <c r="G4352" s="191"/>
      <c r="H4352" s="210"/>
      <c r="J4352" t="s">
        <v>5585</v>
      </c>
      <c r="K4352" s="218" t="s">
        <v>5586</v>
      </c>
      <c r="M4352" t="s">
        <v>4945</v>
      </c>
      <c r="N4352" t="s">
        <v>5571</v>
      </c>
      <c r="O4352" t="s">
        <v>4940</v>
      </c>
      <c r="Q4352" t="str">
        <f t="shared" si="169"/>
        <v>condorProc.py --series 07180928_1732 --donoise --dumps a --procenv environments/pymidas_HVHV_NaI_mf.env</v>
      </c>
      <c r="R4352" t="str">
        <f t="shared" ref="R4352:R4415" si="170">"ln -s ../../../../midasraw/byseries/"&amp;A4352&amp;" "&amp;A4352</f>
        <v>ln -s ../../../../midasraw/byseries/07180928_1732 07180928_1732</v>
      </c>
    </row>
    <row r="4353" spans="1:18">
      <c r="A4353" s="179" t="s">
        <v>9938</v>
      </c>
      <c r="G4353" s="191"/>
      <c r="H4353" s="210"/>
      <c r="K4353" s="219" t="s">
        <v>8388</v>
      </c>
      <c r="M4353" t="s">
        <v>4945</v>
      </c>
      <c r="N4353" t="s">
        <v>5571</v>
      </c>
      <c r="O4353" t="s">
        <v>4940</v>
      </c>
      <c r="Q4353" t="str">
        <f t="shared" si="169"/>
        <v>condorProc.py --series 07180928_1742 --donoise --dumps a --procenv environments/pymidas_HVHV_NaI_mf.env</v>
      </c>
      <c r="R4353" t="str">
        <f t="shared" si="170"/>
        <v>ln -s ../../../../midasraw/byseries/07180928_1742 07180928_1742</v>
      </c>
    </row>
    <row r="4354" spans="1:18">
      <c r="A4354" s="179" t="s">
        <v>9939</v>
      </c>
      <c r="G4354" s="191"/>
      <c r="H4354" s="210"/>
      <c r="K4354" s="180"/>
      <c r="M4354" t="s">
        <v>4945</v>
      </c>
      <c r="N4354" t="s">
        <v>5571</v>
      </c>
      <c r="O4354" t="s">
        <v>4940</v>
      </c>
      <c r="Q4354" t="str">
        <f t="shared" si="169"/>
        <v>condorProc.py --series 07180928_1752 --donoise --dumps a --procenv environments/pymidas_HVHV_NaI_mf.env</v>
      </c>
      <c r="R4354" t="str">
        <f t="shared" si="170"/>
        <v>ln -s ../../../../midasraw/byseries/07180928_1752 07180928_1752</v>
      </c>
    </row>
    <row r="4355" spans="1:18">
      <c r="A4355" s="179" t="s">
        <v>9940</v>
      </c>
      <c r="G4355" s="191"/>
      <c r="H4355" s="210"/>
      <c r="K4355" s="180" t="s">
        <v>9845</v>
      </c>
      <c r="M4355" t="s">
        <v>4945</v>
      </c>
      <c r="N4355" t="s">
        <v>5571</v>
      </c>
      <c r="O4355" t="s">
        <v>4940</v>
      </c>
      <c r="Q4355" t="str">
        <f t="shared" si="169"/>
        <v>condorProc.py --series 07180928_1802 --donoise --dumps a --procenv environments/pymidas_HVHV_NaI_mf.env</v>
      </c>
      <c r="R4355" t="str">
        <f t="shared" si="170"/>
        <v>ln -s ../../../../midasraw/byseries/07180928_1802 07180928_1802</v>
      </c>
    </row>
    <row r="4356" spans="1:18">
      <c r="A4356" s="179" t="s">
        <v>9941</v>
      </c>
      <c r="G4356" s="191"/>
      <c r="H4356" s="210"/>
      <c r="K4356" s="180" t="s">
        <v>9851</v>
      </c>
      <c r="M4356" t="s">
        <v>4945</v>
      </c>
      <c r="N4356" t="s">
        <v>5571</v>
      </c>
      <c r="O4356" t="s">
        <v>4940</v>
      </c>
      <c r="Q4356" t="str">
        <f t="shared" si="169"/>
        <v>condorProc.py --series 07180928_1813 --donoise --dumps a --procenv environments/pymidas_HVHV_NaI_mf.env</v>
      </c>
      <c r="R4356" t="str">
        <f t="shared" si="170"/>
        <v>ln -s ../../../../midasraw/byseries/07180928_1813 07180928_1813</v>
      </c>
    </row>
    <row r="4357" spans="1:18">
      <c r="A4357" s="179" t="s">
        <v>9942</v>
      </c>
      <c r="G4357" s="191"/>
      <c r="H4357" s="210"/>
      <c r="K4357" s="180"/>
      <c r="M4357" t="s">
        <v>4945</v>
      </c>
      <c r="N4357" t="s">
        <v>5571</v>
      </c>
      <c r="O4357" t="s">
        <v>4940</v>
      </c>
      <c r="Q4357" t="str">
        <f t="shared" si="169"/>
        <v>condorProc.py --series 07180928_1823 --donoise --dumps a --procenv environments/pymidas_HVHV_NaI_mf.env</v>
      </c>
      <c r="R4357" t="str">
        <f t="shared" si="170"/>
        <v>ln -s ../../../../midasraw/byseries/07180928_1823 07180928_1823</v>
      </c>
    </row>
    <row r="4358" spans="1:18">
      <c r="A4358" s="179" t="s">
        <v>9943</v>
      </c>
      <c r="G4358" s="191"/>
      <c r="H4358" s="210"/>
      <c r="K4358" s="180"/>
      <c r="M4358" t="s">
        <v>4945</v>
      </c>
      <c r="N4358" t="s">
        <v>5571</v>
      </c>
      <c r="O4358" t="s">
        <v>4940</v>
      </c>
      <c r="Q4358" t="str">
        <f t="shared" si="169"/>
        <v>condorProc.py --series 07180928_1833 --donoise --dumps a --procenv environments/pymidas_HVHV_NaI_mf.env</v>
      </c>
      <c r="R4358" t="str">
        <f t="shared" si="170"/>
        <v>ln -s ../../../../midasraw/byseries/07180928_1833 07180928_1833</v>
      </c>
    </row>
    <row r="4359" spans="1:18">
      <c r="A4359" s="179" t="s">
        <v>9944</v>
      </c>
      <c r="G4359" s="191"/>
      <c r="H4359" s="210"/>
      <c r="K4359" s="180"/>
      <c r="M4359" t="s">
        <v>4945</v>
      </c>
      <c r="N4359" t="s">
        <v>5571</v>
      </c>
      <c r="O4359" t="s">
        <v>4940</v>
      </c>
      <c r="Q4359" t="str">
        <f t="shared" si="169"/>
        <v>condorProc.py --series 07180928_1843 --donoise --dumps a --procenv environments/pymidas_HVHV_NaI_mf.env</v>
      </c>
      <c r="R4359" t="str">
        <f t="shared" si="170"/>
        <v>ln -s ../../../../midasraw/byseries/07180928_1843 07180928_1843</v>
      </c>
    </row>
    <row r="4360" spans="1:18">
      <c r="A4360" s="179" t="s">
        <v>9945</v>
      </c>
      <c r="G4360" s="191"/>
      <c r="H4360" s="210"/>
      <c r="K4360" s="180"/>
      <c r="M4360" t="s">
        <v>4945</v>
      </c>
      <c r="N4360" t="s">
        <v>5571</v>
      </c>
      <c r="O4360" t="s">
        <v>4940</v>
      </c>
      <c r="Q4360" t="str">
        <f t="shared" si="169"/>
        <v>condorProc.py --series 07180928_1853 --donoise --dumps a --procenv environments/pymidas_HVHV_NaI_mf.env</v>
      </c>
      <c r="R4360" t="str">
        <f t="shared" si="170"/>
        <v>ln -s ../../../../midasraw/byseries/07180928_1853 07180928_1853</v>
      </c>
    </row>
    <row r="4361" spans="1:18">
      <c r="A4361" s="179" t="s">
        <v>9946</v>
      </c>
      <c r="G4361" s="191"/>
      <c r="H4361" s="210"/>
      <c r="K4361" s="180"/>
      <c r="M4361" t="s">
        <v>4945</v>
      </c>
      <c r="N4361" t="s">
        <v>5571</v>
      </c>
      <c r="O4361" t="s">
        <v>4940</v>
      </c>
      <c r="Q4361" t="str">
        <f t="shared" si="169"/>
        <v>condorProc.py --series 07180928_1903 --donoise --dumps a --procenv environments/pymidas_HVHV_NaI_mf.env</v>
      </c>
      <c r="R4361" t="str">
        <f t="shared" si="170"/>
        <v>ln -s ../../../../midasraw/byseries/07180928_1903 07180928_1903</v>
      </c>
    </row>
    <row r="4362" spans="1:18">
      <c r="A4362" s="181" t="s">
        <v>9947</v>
      </c>
      <c r="B4362" s="65"/>
      <c r="C4362" s="65"/>
      <c r="D4362" s="65"/>
      <c r="E4362" s="65"/>
      <c r="F4362" s="65"/>
      <c r="G4362" s="193"/>
      <c r="H4362" s="211"/>
      <c r="I4362" s="65" t="s">
        <v>75</v>
      </c>
      <c r="J4362" s="65"/>
      <c r="K4362" s="182"/>
      <c r="M4362" t="s">
        <v>4945</v>
      </c>
      <c r="N4362" t="s">
        <v>5571</v>
      </c>
      <c r="O4362" t="s">
        <v>4940</v>
      </c>
      <c r="Q4362" t="str">
        <f t="shared" si="169"/>
        <v>condorProc.py --series 07180928_1913 --donoise --dumps a --procenv environments/pymidas_HVHV_NaI_mf.env</v>
      </c>
      <c r="R4362" t="str">
        <f t="shared" si="170"/>
        <v>ln -s ../../../../midasraw/byseries/07180928_1913 07180928_1913</v>
      </c>
    </row>
    <row r="4363" spans="1:18">
      <c r="A4363" t="s">
        <v>9948</v>
      </c>
      <c r="F4363" s="177">
        <v>10</v>
      </c>
      <c r="G4363" s="192" t="s">
        <v>2248</v>
      </c>
      <c r="H4363" s="209">
        <v>-125</v>
      </c>
      <c r="I4363" s="177"/>
      <c r="J4363" s="177" t="s">
        <v>5577</v>
      </c>
      <c r="K4363" s="178" t="s">
        <v>5583</v>
      </c>
      <c r="M4363" t="s">
        <v>4945</v>
      </c>
      <c r="N4363" t="s">
        <v>5571</v>
      </c>
      <c r="O4363" t="s">
        <v>4940</v>
      </c>
      <c r="Q4363" t="str">
        <f t="shared" si="169"/>
        <v>condorProc.py --series 07180928_2011 --donoise --dumps a --procenv environments/pymidas_HVHV_NaI_mf.env</v>
      </c>
      <c r="R4363" t="str">
        <f t="shared" si="170"/>
        <v>ln -s ../../../../midasraw/byseries/07180928_2011 07180928_2011</v>
      </c>
    </row>
    <row r="4364" spans="1:18">
      <c r="A4364" t="s">
        <v>9949</v>
      </c>
      <c r="G4364" s="191"/>
      <c r="H4364" s="210"/>
      <c r="J4364" t="s">
        <v>5585</v>
      </c>
      <c r="K4364" s="218" t="s">
        <v>5586</v>
      </c>
      <c r="M4364" t="s">
        <v>4945</v>
      </c>
      <c r="N4364" t="s">
        <v>5571</v>
      </c>
      <c r="O4364" t="s">
        <v>4940</v>
      </c>
      <c r="Q4364" t="str">
        <f t="shared" si="169"/>
        <v>condorProc.py --series 07180928_2021 --donoise --dumps a --procenv environments/pymidas_HVHV_NaI_mf.env</v>
      </c>
      <c r="R4364" t="str">
        <f t="shared" si="170"/>
        <v>ln -s ../../../../midasraw/byseries/07180928_2021 07180928_2021</v>
      </c>
    </row>
    <row r="4365" spans="1:18">
      <c r="A4365" t="s">
        <v>9950</v>
      </c>
      <c r="G4365" s="191"/>
      <c r="H4365" s="210"/>
      <c r="K4365" s="219" t="s">
        <v>8388</v>
      </c>
      <c r="M4365" t="s">
        <v>4945</v>
      </c>
      <c r="N4365" t="s">
        <v>5571</v>
      </c>
      <c r="O4365" t="s">
        <v>4940</v>
      </c>
      <c r="Q4365" t="str">
        <f t="shared" si="169"/>
        <v>condorProc.py --series 07180928_2031 --donoise --dumps a --procenv environments/pymidas_HVHV_NaI_mf.env</v>
      </c>
      <c r="R4365" t="str">
        <f t="shared" si="170"/>
        <v>ln -s ../../../../midasraw/byseries/07180928_2031 07180928_2031</v>
      </c>
    </row>
    <row r="4366" spans="1:18">
      <c r="A4366" t="s">
        <v>9951</v>
      </c>
      <c r="G4366" s="191"/>
      <c r="H4366" s="210"/>
      <c r="K4366" s="180"/>
      <c r="M4366" t="s">
        <v>4945</v>
      </c>
      <c r="N4366" t="s">
        <v>5571</v>
      </c>
      <c r="O4366" t="s">
        <v>4940</v>
      </c>
      <c r="Q4366" t="str">
        <f t="shared" si="169"/>
        <v>condorProc.py --series 07180928_2041 --donoise --dumps a --procenv environments/pymidas_HVHV_NaI_mf.env</v>
      </c>
      <c r="R4366" t="str">
        <f t="shared" si="170"/>
        <v>ln -s ../../../../midasraw/byseries/07180928_2041 07180928_2041</v>
      </c>
    </row>
    <row r="4367" spans="1:18">
      <c r="A4367" t="s">
        <v>9952</v>
      </c>
      <c r="G4367" s="191"/>
      <c r="H4367" s="210"/>
      <c r="K4367" s="180"/>
      <c r="M4367" t="s">
        <v>4945</v>
      </c>
      <c r="N4367" t="s">
        <v>5571</v>
      </c>
      <c r="O4367" t="s">
        <v>4940</v>
      </c>
      <c r="Q4367" t="str">
        <f t="shared" si="169"/>
        <v>condorProc.py --series 07180928_2051 --donoise --dumps a --procenv environments/pymidas_HVHV_NaI_mf.env</v>
      </c>
      <c r="R4367" t="str">
        <f t="shared" si="170"/>
        <v>ln -s ../../../../midasraw/byseries/07180928_2051 07180928_2051</v>
      </c>
    </row>
    <row r="4368" spans="1:18">
      <c r="A4368" t="s">
        <v>9953</v>
      </c>
      <c r="G4368" s="191"/>
      <c r="H4368" s="210"/>
      <c r="K4368" s="180"/>
      <c r="M4368" t="s">
        <v>4945</v>
      </c>
      <c r="N4368" t="s">
        <v>5571</v>
      </c>
      <c r="O4368" t="s">
        <v>4940</v>
      </c>
      <c r="Q4368" t="str">
        <f t="shared" si="169"/>
        <v>condorProc.py --series 07180928_2102 --donoise --dumps a --procenv environments/pymidas_HVHV_NaI_mf.env</v>
      </c>
      <c r="R4368" t="str">
        <f t="shared" si="170"/>
        <v>ln -s ../../../../midasraw/byseries/07180928_2102 07180928_2102</v>
      </c>
    </row>
    <row r="4369" spans="1:18">
      <c r="A4369" t="s">
        <v>9954</v>
      </c>
      <c r="G4369" s="191"/>
      <c r="H4369" s="210"/>
      <c r="K4369" s="180"/>
      <c r="M4369" t="s">
        <v>4945</v>
      </c>
      <c r="N4369" t="s">
        <v>5571</v>
      </c>
      <c r="O4369" t="s">
        <v>4940</v>
      </c>
      <c r="Q4369" t="str">
        <f t="shared" si="169"/>
        <v>condorProc.py --series 07180928_2112 --donoise --dumps a --procenv environments/pymidas_HVHV_NaI_mf.env</v>
      </c>
      <c r="R4369" t="str">
        <f t="shared" si="170"/>
        <v>ln -s ../../../../midasraw/byseries/07180928_2112 07180928_2112</v>
      </c>
    </row>
    <row r="4370" spans="1:18">
      <c r="A4370" t="s">
        <v>9955</v>
      </c>
      <c r="G4370" s="191"/>
      <c r="H4370" s="210"/>
      <c r="K4370" s="180"/>
      <c r="M4370" t="s">
        <v>4945</v>
      </c>
      <c r="N4370" t="s">
        <v>5571</v>
      </c>
      <c r="O4370" t="s">
        <v>4940</v>
      </c>
      <c r="Q4370" t="str">
        <f t="shared" si="169"/>
        <v>condorProc.py --series 07180928_2122 --donoise --dumps a --procenv environments/pymidas_HVHV_NaI_mf.env</v>
      </c>
      <c r="R4370" t="str">
        <f t="shared" si="170"/>
        <v>ln -s ../../../../midasraw/byseries/07180928_2122 07180928_2122</v>
      </c>
    </row>
    <row r="4371" spans="1:18">
      <c r="A4371" t="s">
        <v>9956</v>
      </c>
      <c r="G4371" s="191"/>
      <c r="H4371" s="210"/>
      <c r="K4371" s="180"/>
      <c r="M4371" t="s">
        <v>4945</v>
      </c>
      <c r="N4371" t="s">
        <v>5571</v>
      </c>
      <c r="O4371" t="s">
        <v>4940</v>
      </c>
      <c r="Q4371" t="str">
        <f t="shared" si="169"/>
        <v>condorProc.py --series 07180928_2132 --donoise --dumps a --procenv environments/pymidas_HVHV_NaI_mf.env</v>
      </c>
      <c r="R4371" t="str">
        <f t="shared" si="170"/>
        <v>ln -s ../../../../midasraw/byseries/07180928_2132 07180928_2132</v>
      </c>
    </row>
    <row r="4372" spans="1:18">
      <c r="A4372" t="s">
        <v>9957</v>
      </c>
      <c r="G4372" s="191"/>
      <c r="H4372" s="210"/>
      <c r="K4372" s="180"/>
      <c r="M4372" t="s">
        <v>4945</v>
      </c>
      <c r="N4372" t="s">
        <v>5571</v>
      </c>
      <c r="O4372" t="s">
        <v>4940</v>
      </c>
      <c r="Q4372" t="str">
        <f t="shared" si="169"/>
        <v>condorProc.py --series 07180928_2142 --donoise --dumps a --procenv environments/pymidas_HVHV_NaI_mf.env</v>
      </c>
      <c r="R4372" t="str">
        <f t="shared" si="170"/>
        <v>ln -s ../../../../midasraw/byseries/07180928_2142 07180928_2142</v>
      </c>
    </row>
    <row r="4373" spans="1:18">
      <c r="A4373" t="s">
        <v>9958</v>
      </c>
      <c r="G4373" s="191"/>
      <c r="H4373" s="210"/>
      <c r="K4373" s="180"/>
      <c r="M4373" t="s">
        <v>4945</v>
      </c>
      <c r="N4373" t="s">
        <v>5571</v>
      </c>
      <c r="O4373" t="s">
        <v>4940</v>
      </c>
      <c r="Q4373" t="str">
        <f t="shared" si="169"/>
        <v>condorProc.py --series 07180928_2152 --donoise --dumps a --procenv environments/pymidas_HVHV_NaI_mf.env</v>
      </c>
      <c r="R4373" t="str">
        <f t="shared" si="170"/>
        <v>ln -s ../../../../midasraw/byseries/07180928_2152 07180928_2152</v>
      </c>
    </row>
    <row r="4374" spans="1:18">
      <c r="A4374" t="s">
        <v>9959</v>
      </c>
      <c r="F4374" s="65"/>
      <c r="G4374" s="193"/>
      <c r="H4374" s="211"/>
      <c r="I4374" s="65"/>
      <c r="J4374" s="65"/>
      <c r="K4374" s="182"/>
      <c r="M4374" t="s">
        <v>4945</v>
      </c>
      <c r="N4374" t="s">
        <v>5571</v>
      </c>
      <c r="O4374" t="s">
        <v>4940</v>
      </c>
      <c r="Q4374" t="str">
        <f t="shared" si="169"/>
        <v>condorProc.py --series 07180928_2202 --donoise --dumps a --procenv environments/pymidas_HVHV_NaI_mf.env</v>
      </c>
      <c r="R4374" t="str">
        <f t="shared" si="170"/>
        <v>ln -s ../../../../midasraw/byseries/07180928_2202 07180928_2202</v>
      </c>
    </row>
    <row r="4375" spans="1:18">
      <c r="A4375" t="s">
        <v>9960</v>
      </c>
      <c r="F4375" s="177">
        <v>10</v>
      </c>
      <c r="G4375" s="192" t="s">
        <v>2248</v>
      </c>
      <c r="H4375" s="209">
        <v>-125</v>
      </c>
      <c r="I4375" s="177"/>
      <c r="J4375" s="177" t="s">
        <v>5577</v>
      </c>
      <c r="K4375" s="178" t="s">
        <v>5583</v>
      </c>
      <c r="M4375" t="s">
        <v>4945</v>
      </c>
      <c r="N4375" t="s">
        <v>5571</v>
      </c>
      <c r="O4375" t="s">
        <v>4940</v>
      </c>
      <c r="Q4375" t="str">
        <f t="shared" si="169"/>
        <v>condorProc.py --series 07180928_2300 --donoise --dumps a --procenv environments/pymidas_HVHV_NaI_mf.env</v>
      </c>
      <c r="R4375" t="str">
        <f t="shared" si="170"/>
        <v>ln -s ../../../../midasraw/byseries/07180928_2300 07180928_2300</v>
      </c>
    </row>
    <row r="4376" spans="1:18">
      <c r="A4376" t="s">
        <v>9961</v>
      </c>
      <c r="G4376" s="191"/>
      <c r="H4376" s="210"/>
      <c r="J4376" t="s">
        <v>5585</v>
      </c>
      <c r="K4376" s="218" t="s">
        <v>5586</v>
      </c>
      <c r="M4376" t="s">
        <v>4945</v>
      </c>
      <c r="N4376" t="s">
        <v>5571</v>
      </c>
      <c r="O4376" t="s">
        <v>4940</v>
      </c>
      <c r="Q4376" t="str">
        <f t="shared" si="169"/>
        <v>condorProc.py --series 07180928_2310 --donoise --dumps a --procenv environments/pymidas_HVHV_NaI_mf.env</v>
      </c>
      <c r="R4376" t="str">
        <f t="shared" si="170"/>
        <v>ln -s ../../../../midasraw/byseries/07180928_2310 07180928_2310</v>
      </c>
    </row>
    <row r="4377" spans="1:18">
      <c r="A4377" t="s">
        <v>9962</v>
      </c>
      <c r="G4377" s="191"/>
      <c r="H4377" s="210"/>
      <c r="K4377" s="219" t="s">
        <v>8388</v>
      </c>
      <c r="M4377" t="s">
        <v>4945</v>
      </c>
      <c r="N4377" t="s">
        <v>5571</v>
      </c>
      <c r="O4377" t="s">
        <v>4940</v>
      </c>
      <c r="Q4377" t="str">
        <f t="shared" si="169"/>
        <v>condorProc.py --series 07180928_2320 --donoise --dumps a --procenv environments/pymidas_HVHV_NaI_mf.env</v>
      </c>
      <c r="R4377" t="str">
        <f t="shared" si="170"/>
        <v>ln -s ../../../../midasraw/byseries/07180928_2320 07180928_2320</v>
      </c>
    </row>
    <row r="4378" spans="1:18">
      <c r="A4378" t="s">
        <v>9963</v>
      </c>
      <c r="G4378" s="191"/>
      <c r="H4378" s="210"/>
      <c r="K4378" s="180"/>
      <c r="M4378" t="s">
        <v>4945</v>
      </c>
      <c r="N4378" t="s">
        <v>5571</v>
      </c>
      <c r="O4378" t="s">
        <v>4940</v>
      </c>
      <c r="Q4378" t="str">
        <f t="shared" si="169"/>
        <v>condorProc.py --series 07180928_2330 --donoise --dumps a --procenv environments/pymidas_HVHV_NaI_mf.env</v>
      </c>
      <c r="R4378" t="str">
        <f t="shared" si="170"/>
        <v>ln -s ../../../../midasraw/byseries/07180928_2330 07180928_2330</v>
      </c>
    </row>
    <row r="4379" spans="1:18">
      <c r="A4379" t="s">
        <v>9964</v>
      </c>
      <c r="G4379" s="191"/>
      <c r="H4379" s="210"/>
      <c r="K4379" s="180"/>
      <c r="M4379" t="s">
        <v>4945</v>
      </c>
      <c r="N4379" t="s">
        <v>5571</v>
      </c>
      <c r="O4379" t="s">
        <v>4940</v>
      </c>
      <c r="Q4379" t="str">
        <f t="shared" si="169"/>
        <v>condorProc.py --series 07180928_2340 --donoise --dumps a --procenv environments/pymidas_HVHV_NaI_mf.env</v>
      </c>
      <c r="R4379" t="str">
        <f t="shared" si="170"/>
        <v>ln -s ../../../../midasraw/byseries/07180928_2340 07180928_2340</v>
      </c>
    </row>
    <row r="4380" spans="1:18">
      <c r="A4380" t="s">
        <v>9965</v>
      </c>
      <c r="G4380" s="191"/>
      <c r="H4380" s="210"/>
      <c r="K4380" s="180"/>
      <c r="M4380" t="s">
        <v>4945</v>
      </c>
      <c r="N4380" t="s">
        <v>5571</v>
      </c>
      <c r="O4380" t="s">
        <v>4940</v>
      </c>
      <c r="Q4380" t="str">
        <f t="shared" si="169"/>
        <v>condorProc.py --series 07180928_2350 --donoise --dumps a --procenv environments/pymidas_HVHV_NaI_mf.env</v>
      </c>
      <c r="R4380" t="str">
        <f t="shared" si="170"/>
        <v>ln -s ../../../../midasraw/byseries/07180928_2350 07180928_2350</v>
      </c>
    </row>
    <row r="4381" spans="1:18">
      <c r="A4381" t="s">
        <v>9966</v>
      </c>
      <c r="G4381" s="191"/>
      <c r="H4381" s="210"/>
      <c r="K4381" s="180"/>
      <c r="M4381" t="s">
        <v>4945</v>
      </c>
      <c r="N4381" t="s">
        <v>5571</v>
      </c>
      <c r="O4381" t="s">
        <v>4940</v>
      </c>
      <c r="Q4381" t="str">
        <f t="shared" si="169"/>
        <v>condorProc.py --series 07180929_0001 --donoise --dumps a --procenv environments/pymidas_HVHV_NaI_mf.env</v>
      </c>
      <c r="R4381" t="str">
        <f t="shared" si="170"/>
        <v>ln -s ../../../../midasraw/byseries/07180929_0001 07180929_0001</v>
      </c>
    </row>
    <row r="4382" spans="1:18">
      <c r="A4382" t="s">
        <v>9967</v>
      </c>
      <c r="G4382" s="191"/>
      <c r="H4382" s="210"/>
      <c r="K4382" s="180"/>
      <c r="M4382" t="s">
        <v>4945</v>
      </c>
      <c r="N4382" t="s">
        <v>5571</v>
      </c>
      <c r="O4382" t="s">
        <v>4940</v>
      </c>
      <c r="Q4382" t="str">
        <f t="shared" si="169"/>
        <v>condorProc.py --series 07180929_0011 --donoise --dumps a --procenv environments/pymidas_HVHV_NaI_mf.env</v>
      </c>
      <c r="R4382" t="str">
        <f t="shared" si="170"/>
        <v>ln -s ../../../../midasraw/byseries/07180929_0011 07180929_0011</v>
      </c>
    </row>
    <row r="4383" spans="1:18">
      <c r="A4383" t="s">
        <v>9968</v>
      </c>
      <c r="G4383" s="191"/>
      <c r="H4383" s="210"/>
      <c r="K4383" s="180"/>
      <c r="M4383" t="s">
        <v>4945</v>
      </c>
      <c r="N4383" t="s">
        <v>5571</v>
      </c>
      <c r="O4383" t="s">
        <v>4940</v>
      </c>
      <c r="Q4383" t="str">
        <f t="shared" si="169"/>
        <v>condorProc.py --series 07180929_0021 --donoise --dumps a --procenv environments/pymidas_HVHV_NaI_mf.env</v>
      </c>
      <c r="R4383" t="str">
        <f t="shared" si="170"/>
        <v>ln -s ../../../../midasraw/byseries/07180929_0021 07180929_0021</v>
      </c>
    </row>
    <row r="4384" spans="1:18">
      <c r="A4384" t="s">
        <v>9969</v>
      </c>
      <c r="G4384" s="191"/>
      <c r="H4384" s="210"/>
      <c r="K4384" s="180"/>
      <c r="M4384" t="s">
        <v>4945</v>
      </c>
      <c r="N4384" t="s">
        <v>5571</v>
      </c>
      <c r="O4384" t="s">
        <v>4940</v>
      </c>
      <c r="Q4384" t="str">
        <f t="shared" si="169"/>
        <v>condorProc.py --series 07180929_0031 --donoise --dumps a --procenv environments/pymidas_HVHV_NaI_mf.env</v>
      </c>
      <c r="R4384" t="str">
        <f t="shared" si="170"/>
        <v>ln -s ../../../../midasraw/byseries/07180929_0031 07180929_0031</v>
      </c>
    </row>
    <row r="4385" spans="1:18">
      <c r="A4385" t="s">
        <v>9970</v>
      </c>
      <c r="G4385" s="191"/>
      <c r="H4385" s="210"/>
      <c r="K4385" s="180"/>
      <c r="M4385" t="s">
        <v>4945</v>
      </c>
      <c r="N4385" t="s">
        <v>5571</v>
      </c>
      <c r="O4385" t="s">
        <v>4940</v>
      </c>
      <c r="Q4385" t="str">
        <f t="shared" si="169"/>
        <v>condorProc.py --series 07180929_0041 --donoise --dumps a --procenv environments/pymidas_HVHV_NaI_mf.env</v>
      </c>
      <c r="R4385" t="str">
        <f t="shared" si="170"/>
        <v>ln -s ../../../../midasraw/byseries/07180929_0041 07180929_0041</v>
      </c>
    </row>
    <row r="4386" spans="1:18">
      <c r="A4386" t="s">
        <v>9971</v>
      </c>
      <c r="F4386" s="65"/>
      <c r="G4386" s="193"/>
      <c r="H4386" s="211"/>
      <c r="I4386" s="65"/>
      <c r="J4386" s="65"/>
      <c r="K4386" s="182"/>
      <c r="M4386" t="s">
        <v>4945</v>
      </c>
      <c r="N4386" t="s">
        <v>5571</v>
      </c>
      <c r="O4386" t="s">
        <v>4940</v>
      </c>
      <c r="Q4386" t="str">
        <f t="shared" si="169"/>
        <v>condorProc.py --series 07180929_0051 --donoise --dumps a --procenv environments/pymidas_HVHV_NaI_mf.env</v>
      </c>
      <c r="R4386" t="str">
        <f t="shared" si="170"/>
        <v>ln -s ../../../../midasraw/byseries/07180929_0051 07180929_0051</v>
      </c>
    </row>
    <row r="4387" spans="1:18">
      <c r="A4387" t="s">
        <v>9972</v>
      </c>
      <c r="F4387" s="177">
        <v>10</v>
      </c>
      <c r="G4387" s="192" t="s">
        <v>2248</v>
      </c>
      <c r="H4387" s="209">
        <v>-125</v>
      </c>
      <c r="I4387" s="177"/>
      <c r="J4387" s="177" t="s">
        <v>5577</v>
      </c>
      <c r="K4387" s="178" t="s">
        <v>5583</v>
      </c>
      <c r="M4387" t="s">
        <v>4945</v>
      </c>
      <c r="N4387" t="s">
        <v>5571</v>
      </c>
      <c r="O4387" t="s">
        <v>4940</v>
      </c>
      <c r="Q4387" t="str">
        <f t="shared" si="169"/>
        <v>condorProc.py --series 07180929_0149 --donoise --dumps a --procenv environments/pymidas_HVHV_NaI_mf.env</v>
      </c>
      <c r="R4387" t="str">
        <f t="shared" si="170"/>
        <v>ln -s ../../../../midasraw/byseries/07180929_0149 07180929_0149</v>
      </c>
    </row>
    <row r="4388" spans="1:18">
      <c r="A4388" t="s">
        <v>9973</v>
      </c>
      <c r="G4388" s="191"/>
      <c r="H4388" s="210"/>
      <c r="J4388" t="s">
        <v>5585</v>
      </c>
      <c r="K4388" s="218" t="s">
        <v>5586</v>
      </c>
      <c r="M4388" t="s">
        <v>4945</v>
      </c>
      <c r="N4388" t="s">
        <v>5571</v>
      </c>
      <c r="O4388" t="s">
        <v>4940</v>
      </c>
      <c r="Q4388" t="str">
        <f t="shared" si="169"/>
        <v>condorProc.py --series 07180929_0159 --donoise --dumps a --procenv environments/pymidas_HVHV_NaI_mf.env</v>
      </c>
      <c r="R4388" t="str">
        <f t="shared" si="170"/>
        <v>ln -s ../../../../midasraw/byseries/07180929_0159 07180929_0159</v>
      </c>
    </row>
    <row r="4389" spans="1:18">
      <c r="A4389" t="s">
        <v>9974</v>
      </c>
      <c r="G4389" s="191"/>
      <c r="H4389" s="210"/>
      <c r="K4389" s="219" t="s">
        <v>8388</v>
      </c>
      <c r="M4389" t="s">
        <v>4945</v>
      </c>
      <c r="N4389" t="s">
        <v>5571</v>
      </c>
      <c r="O4389" t="s">
        <v>4940</v>
      </c>
      <c r="Q4389" t="str">
        <f t="shared" si="169"/>
        <v>condorProc.py --series 07180929_0209 --donoise --dumps a --procenv environments/pymidas_HVHV_NaI_mf.env</v>
      </c>
      <c r="R4389" t="str">
        <f t="shared" si="170"/>
        <v>ln -s ../../../../midasraw/byseries/07180929_0209 07180929_0209</v>
      </c>
    </row>
    <row r="4390" spans="1:18">
      <c r="A4390" t="s">
        <v>9975</v>
      </c>
      <c r="G4390" s="191"/>
      <c r="H4390" s="210"/>
      <c r="K4390" s="180"/>
      <c r="M4390" t="s">
        <v>4945</v>
      </c>
      <c r="N4390" t="s">
        <v>5571</v>
      </c>
      <c r="O4390" t="s">
        <v>4940</v>
      </c>
      <c r="Q4390" t="str">
        <f t="shared" si="169"/>
        <v>condorProc.py --series 07180929_0219 --donoise --dumps a --procenv environments/pymidas_HVHV_NaI_mf.env</v>
      </c>
      <c r="R4390" t="str">
        <f t="shared" si="170"/>
        <v>ln -s ../../../../midasraw/byseries/07180929_0219 07180929_0219</v>
      </c>
    </row>
    <row r="4391" spans="1:18">
      <c r="A4391" t="s">
        <v>9976</v>
      </c>
      <c r="G4391" s="191"/>
      <c r="H4391" s="210"/>
      <c r="K4391" s="180"/>
      <c r="M4391" t="s">
        <v>4945</v>
      </c>
      <c r="N4391" t="s">
        <v>5571</v>
      </c>
      <c r="O4391" t="s">
        <v>4940</v>
      </c>
      <c r="Q4391" t="str">
        <f t="shared" si="169"/>
        <v>condorProc.py --series 07180929_0229 --donoise --dumps a --procenv environments/pymidas_HVHV_NaI_mf.env</v>
      </c>
      <c r="R4391" t="str">
        <f t="shared" si="170"/>
        <v>ln -s ../../../../midasraw/byseries/07180929_0229 07180929_0229</v>
      </c>
    </row>
    <row r="4392" spans="1:18">
      <c r="A4392" t="s">
        <v>9977</v>
      </c>
      <c r="G4392" s="191"/>
      <c r="H4392" s="210"/>
      <c r="K4392" s="180"/>
      <c r="M4392" t="s">
        <v>4945</v>
      </c>
      <c r="N4392" t="s">
        <v>5571</v>
      </c>
      <c r="O4392" t="s">
        <v>4940</v>
      </c>
      <c r="Q4392" t="str">
        <f t="shared" si="169"/>
        <v>condorProc.py --series 07180929_0239 --donoise --dumps a --procenv environments/pymidas_HVHV_NaI_mf.env</v>
      </c>
      <c r="R4392" t="str">
        <f t="shared" si="170"/>
        <v>ln -s ../../../../midasraw/byseries/07180929_0239 07180929_0239</v>
      </c>
    </row>
    <row r="4393" spans="1:18">
      <c r="A4393" t="s">
        <v>9978</v>
      </c>
      <c r="G4393" s="191"/>
      <c r="H4393" s="210"/>
      <c r="K4393" s="180"/>
      <c r="M4393" t="s">
        <v>4945</v>
      </c>
      <c r="N4393" t="s">
        <v>5571</v>
      </c>
      <c r="O4393" t="s">
        <v>4940</v>
      </c>
      <c r="Q4393" t="str">
        <f t="shared" si="169"/>
        <v>condorProc.py --series 07180929_0250 --donoise --dumps a --procenv environments/pymidas_HVHV_NaI_mf.env</v>
      </c>
      <c r="R4393" t="str">
        <f t="shared" si="170"/>
        <v>ln -s ../../../../midasraw/byseries/07180929_0250 07180929_0250</v>
      </c>
    </row>
    <row r="4394" spans="1:18">
      <c r="A4394" t="s">
        <v>9979</v>
      </c>
      <c r="G4394" s="191"/>
      <c r="H4394" s="210"/>
      <c r="K4394" s="180"/>
      <c r="M4394" t="s">
        <v>4945</v>
      </c>
      <c r="N4394" t="s">
        <v>5571</v>
      </c>
      <c r="O4394" t="s">
        <v>4940</v>
      </c>
      <c r="Q4394" t="str">
        <f t="shared" si="169"/>
        <v>condorProc.py --series 07180929_0300 --donoise --dumps a --procenv environments/pymidas_HVHV_NaI_mf.env</v>
      </c>
      <c r="R4394" t="str">
        <f t="shared" si="170"/>
        <v>ln -s ../../../../midasraw/byseries/07180929_0300 07180929_0300</v>
      </c>
    </row>
    <row r="4395" spans="1:18">
      <c r="A4395" t="s">
        <v>9980</v>
      </c>
      <c r="G4395" s="191"/>
      <c r="H4395" s="210"/>
      <c r="K4395" s="180"/>
      <c r="M4395" t="s">
        <v>4945</v>
      </c>
      <c r="N4395" t="s">
        <v>5571</v>
      </c>
      <c r="O4395" t="s">
        <v>4940</v>
      </c>
      <c r="Q4395" t="str">
        <f t="shared" si="169"/>
        <v>condorProc.py --series 07180929_0310 --donoise --dumps a --procenv environments/pymidas_HVHV_NaI_mf.env</v>
      </c>
      <c r="R4395" t="str">
        <f t="shared" si="170"/>
        <v>ln -s ../../../../midasraw/byseries/07180929_0310 07180929_0310</v>
      </c>
    </row>
    <row r="4396" spans="1:18">
      <c r="A4396" t="s">
        <v>9981</v>
      </c>
      <c r="G4396" s="191"/>
      <c r="H4396" s="210"/>
      <c r="K4396" s="180"/>
      <c r="M4396" t="s">
        <v>4945</v>
      </c>
      <c r="N4396" t="s">
        <v>5571</v>
      </c>
      <c r="O4396" t="s">
        <v>4940</v>
      </c>
      <c r="Q4396" t="str">
        <f t="shared" si="169"/>
        <v>condorProc.py --series 07180929_0320 --donoise --dumps a --procenv environments/pymidas_HVHV_NaI_mf.env</v>
      </c>
      <c r="R4396" t="str">
        <f t="shared" si="170"/>
        <v>ln -s ../../../../midasraw/byseries/07180929_0320 07180929_0320</v>
      </c>
    </row>
    <row r="4397" spans="1:18">
      <c r="A4397" t="s">
        <v>9982</v>
      </c>
      <c r="G4397" s="191"/>
      <c r="H4397" s="210"/>
      <c r="K4397" s="180"/>
      <c r="M4397" t="s">
        <v>4945</v>
      </c>
      <c r="N4397" t="s">
        <v>5571</v>
      </c>
      <c r="O4397" t="s">
        <v>4940</v>
      </c>
      <c r="Q4397" t="str">
        <f t="shared" si="169"/>
        <v>condorProc.py --series 07180929_0330 --donoise --dumps a --procenv environments/pymidas_HVHV_NaI_mf.env</v>
      </c>
      <c r="R4397" t="str">
        <f t="shared" si="170"/>
        <v>ln -s ../../../../midasraw/byseries/07180929_0330 07180929_0330</v>
      </c>
    </row>
    <row r="4398" spans="1:18">
      <c r="A4398" t="s">
        <v>9983</v>
      </c>
      <c r="F4398" s="65"/>
      <c r="G4398" s="193"/>
      <c r="H4398" s="211"/>
      <c r="I4398" s="65"/>
      <c r="J4398" s="65"/>
      <c r="K4398" s="182"/>
      <c r="M4398" t="s">
        <v>4945</v>
      </c>
      <c r="N4398" t="s">
        <v>5571</v>
      </c>
      <c r="O4398" t="s">
        <v>4940</v>
      </c>
      <c r="Q4398" t="str">
        <f t="shared" si="169"/>
        <v>condorProc.py --series 07180929_0340 --donoise --dumps a --procenv environments/pymidas_HVHV_NaI_mf.env</v>
      </c>
      <c r="R4398" t="str">
        <f t="shared" si="170"/>
        <v>ln -s ../../../../midasraw/byseries/07180929_0340 07180929_0340</v>
      </c>
    </row>
    <row r="4399" spans="1:18">
      <c r="A4399" t="s">
        <v>9984</v>
      </c>
      <c r="F4399" s="177">
        <v>10</v>
      </c>
      <c r="G4399" s="192" t="s">
        <v>2248</v>
      </c>
      <c r="H4399" s="209">
        <v>-125</v>
      </c>
      <c r="I4399" s="177"/>
      <c r="J4399" s="177" t="s">
        <v>5577</v>
      </c>
      <c r="K4399" s="178" t="s">
        <v>5583</v>
      </c>
      <c r="M4399" t="s">
        <v>4945</v>
      </c>
      <c r="N4399" t="s">
        <v>5571</v>
      </c>
      <c r="O4399" t="s">
        <v>4940</v>
      </c>
      <c r="Q4399" t="str">
        <f t="shared" si="169"/>
        <v>condorProc.py --series 07180929_0438 --donoise --dumps a --procenv environments/pymidas_HVHV_NaI_mf.env</v>
      </c>
      <c r="R4399" t="str">
        <f t="shared" si="170"/>
        <v>ln -s ../../../../midasraw/byseries/07180929_0438 07180929_0438</v>
      </c>
    </row>
    <row r="4400" spans="1:18">
      <c r="A4400" t="s">
        <v>9985</v>
      </c>
      <c r="G4400" s="191"/>
      <c r="H4400" s="210"/>
      <c r="J4400" t="s">
        <v>5585</v>
      </c>
      <c r="K4400" s="218" t="s">
        <v>5586</v>
      </c>
      <c r="M4400" t="s">
        <v>4945</v>
      </c>
      <c r="N4400" t="s">
        <v>5571</v>
      </c>
      <c r="O4400" t="s">
        <v>4940</v>
      </c>
      <c r="Q4400" t="str">
        <f t="shared" si="169"/>
        <v>condorProc.py --series 07180929_0448 --donoise --dumps a --procenv environments/pymidas_HVHV_NaI_mf.env</v>
      </c>
      <c r="R4400" t="str">
        <f t="shared" si="170"/>
        <v>ln -s ../../../../midasraw/byseries/07180929_0448 07180929_0448</v>
      </c>
    </row>
    <row r="4401" spans="1:18">
      <c r="A4401" t="s">
        <v>9986</v>
      </c>
      <c r="G4401" s="191"/>
      <c r="H4401" s="210"/>
      <c r="K4401" s="219" t="s">
        <v>8388</v>
      </c>
      <c r="M4401" t="s">
        <v>4945</v>
      </c>
      <c r="N4401" t="s">
        <v>5571</v>
      </c>
      <c r="O4401" t="s">
        <v>4940</v>
      </c>
      <c r="Q4401" t="str">
        <f t="shared" si="169"/>
        <v>condorProc.py --series 07180929_0458 --donoise --dumps a --procenv environments/pymidas_HVHV_NaI_mf.env</v>
      </c>
      <c r="R4401" t="str">
        <f t="shared" si="170"/>
        <v>ln -s ../../../../midasraw/byseries/07180929_0458 07180929_0458</v>
      </c>
    </row>
    <row r="4402" spans="1:18">
      <c r="A4402" t="s">
        <v>9987</v>
      </c>
      <c r="G4402" s="191"/>
      <c r="H4402" s="210"/>
      <c r="K4402" s="180"/>
      <c r="M4402" t="s">
        <v>4945</v>
      </c>
      <c r="N4402" t="s">
        <v>5571</v>
      </c>
      <c r="O4402" t="s">
        <v>4940</v>
      </c>
      <c r="Q4402" t="str">
        <f t="shared" si="169"/>
        <v>condorProc.py --series 07180929_0508 --donoise --dumps a --procenv environments/pymidas_HVHV_NaI_mf.env</v>
      </c>
      <c r="R4402" t="str">
        <f t="shared" si="170"/>
        <v>ln -s ../../../../midasraw/byseries/07180929_0508 07180929_0508</v>
      </c>
    </row>
    <row r="4403" spans="1:18">
      <c r="A4403" t="s">
        <v>9988</v>
      </c>
      <c r="G4403" s="191"/>
      <c r="H4403" s="210"/>
      <c r="K4403" s="180"/>
      <c r="M4403" t="s">
        <v>4945</v>
      </c>
      <c r="N4403" t="s">
        <v>5571</v>
      </c>
      <c r="O4403" t="s">
        <v>4940</v>
      </c>
      <c r="Q4403" t="str">
        <f t="shared" si="169"/>
        <v>condorProc.py --series 07180929_0518 --donoise --dumps a --procenv environments/pymidas_HVHV_NaI_mf.env</v>
      </c>
      <c r="R4403" t="str">
        <f t="shared" si="170"/>
        <v>ln -s ../../../../midasraw/byseries/07180929_0518 07180929_0518</v>
      </c>
    </row>
    <row r="4404" spans="1:18">
      <c r="A4404" t="s">
        <v>9989</v>
      </c>
      <c r="G4404" s="191"/>
      <c r="H4404" s="210"/>
      <c r="I4404" t="s">
        <v>9990</v>
      </c>
      <c r="K4404" s="180"/>
      <c r="M4404" t="s">
        <v>9236</v>
      </c>
      <c r="N4404" s="16" t="s">
        <v>2037</v>
      </c>
      <c r="Q4404" t="str">
        <f t="shared" si="169"/>
        <v>condorProc.py --series 07180929_0528 --donoise --dumps a --procenv environments/pymidas_HVHV_NaI_mf.env</v>
      </c>
    </row>
    <row r="4405" spans="1:18">
      <c r="A4405" t="s">
        <v>9991</v>
      </c>
      <c r="G4405" s="191"/>
      <c r="H4405" s="210"/>
      <c r="K4405" s="180"/>
      <c r="M4405" t="s">
        <v>4945</v>
      </c>
      <c r="N4405" t="s">
        <v>5571</v>
      </c>
      <c r="O4405" t="s">
        <v>4940</v>
      </c>
      <c r="Q4405" t="str">
        <f t="shared" si="169"/>
        <v>condorProc.py --series 07180929_0538 --donoise --dumps a --procenv environments/pymidas_HVHV_NaI_mf.env</v>
      </c>
      <c r="R4405" t="str">
        <f t="shared" si="170"/>
        <v>ln -s ../../../../midasraw/byseries/07180929_0538 07180929_0538</v>
      </c>
    </row>
    <row r="4406" spans="1:18">
      <c r="A4406" t="s">
        <v>9992</v>
      </c>
      <c r="G4406" s="191"/>
      <c r="H4406" s="210"/>
      <c r="K4406" s="180"/>
      <c r="M4406" t="s">
        <v>4945</v>
      </c>
      <c r="N4406" t="s">
        <v>5571</v>
      </c>
      <c r="O4406" t="s">
        <v>4940</v>
      </c>
      <c r="Q4406" t="str">
        <f t="shared" si="169"/>
        <v>condorProc.py --series 07180929_0549 --donoise --dumps a --procenv environments/pymidas_HVHV_NaI_mf.env</v>
      </c>
      <c r="R4406" t="str">
        <f t="shared" si="170"/>
        <v>ln -s ../../../../midasraw/byseries/07180929_0549 07180929_0549</v>
      </c>
    </row>
    <row r="4407" spans="1:18">
      <c r="A4407" t="s">
        <v>9993</v>
      </c>
      <c r="G4407" s="191"/>
      <c r="H4407" s="210"/>
      <c r="K4407" s="180"/>
      <c r="M4407" t="s">
        <v>4945</v>
      </c>
      <c r="N4407" t="s">
        <v>5571</v>
      </c>
      <c r="O4407" t="s">
        <v>4940</v>
      </c>
      <c r="Q4407" t="str">
        <f t="shared" si="169"/>
        <v>condorProc.py --series 07180929_0559 --donoise --dumps a --procenv environments/pymidas_HVHV_NaI_mf.env</v>
      </c>
      <c r="R4407" t="str">
        <f t="shared" si="170"/>
        <v>ln -s ../../../../midasraw/byseries/07180929_0559 07180929_0559</v>
      </c>
    </row>
    <row r="4408" spans="1:18">
      <c r="A4408" t="s">
        <v>9994</v>
      </c>
      <c r="G4408" s="191"/>
      <c r="H4408" s="210"/>
      <c r="K4408" s="180"/>
      <c r="M4408" t="s">
        <v>4945</v>
      </c>
      <c r="N4408" t="s">
        <v>5571</v>
      </c>
      <c r="O4408" t="s">
        <v>4940</v>
      </c>
      <c r="Q4408" t="str">
        <f t="shared" si="169"/>
        <v>condorProc.py --series 07180929_0609 --donoise --dumps a --procenv environments/pymidas_HVHV_NaI_mf.env</v>
      </c>
      <c r="R4408" t="str">
        <f t="shared" si="170"/>
        <v>ln -s ../../../../midasraw/byseries/07180929_0609 07180929_0609</v>
      </c>
    </row>
    <row r="4409" spans="1:18">
      <c r="A4409" t="s">
        <v>9995</v>
      </c>
      <c r="G4409" s="191"/>
      <c r="H4409" s="210"/>
      <c r="K4409" s="180"/>
      <c r="M4409" t="s">
        <v>4945</v>
      </c>
      <c r="N4409" t="s">
        <v>5571</v>
      </c>
      <c r="O4409" t="s">
        <v>4940</v>
      </c>
      <c r="Q4409" t="str">
        <f t="shared" si="169"/>
        <v>condorProc.py --series 07180929_0619 --donoise --dumps a --procenv environments/pymidas_HVHV_NaI_mf.env</v>
      </c>
      <c r="R4409" t="str">
        <f t="shared" si="170"/>
        <v>ln -s ../../../../midasraw/byseries/07180929_0619 07180929_0619</v>
      </c>
    </row>
    <row r="4410" spans="1:18">
      <c r="A4410" t="s">
        <v>9996</v>
      </c>
      <c r="F4410" s="65"/>
      <c r="G4410" s="193"/>
      <c r="H4410" s="211"/>
      <c r="I4410" s="65"/>
      <c r="J4410" s="65"/>
      <c r="K4410" s="182"/>
      <c r="M4410" t="s">
        <v>4945</v>
      </c>
      <c r="N4410" t="s">
        <v>5571</v>
      </c>
      <c r="O4410" t="s">
        <v>4940</v>
      </c>
      <c r="Q4410" t="str">
        <f t="shared" si="169"/>
        <v>condorProc.py --series 07180929_0629 --donoise --dumps a --procenv environments/pymidas_HVHV_NaI_mf.env</v>
      </c>
      <c r="R4410" t="str">
        <f t="shared" si="170"/>
        <v>ln -s ../../../../midasraw/byseries/07180929_0629 07180929_0629</v>
      </c>
    </row>
    <row r="4411" spans="1:18">
      <c r="A4411" t="s">
        <v>9997</v>
      </c>
      <c r="F4411" s="177">
        <v>10</v>
      </c>
      <c r="G4411" s="192" t="s">
        <v>2248</v>
      </c>
      <c r="H4411" s="209">
        <v>-125</v>
      </c>
      <c r="I4411" s="177"/>
      <c r="J4411" s="177" t="s">
        <v>5577</v>
      </c>
      <c r="K4411" s="178" t="s">
        <v>5583</v>
      </c>
      <c r="M4411" t="s">
        <v>4945</v>
      </c>
      <c r="N4411" t="s">
        <v>5571</v>
      </c>
      <c r="O4411" t="s">
        <v>4940</v>
      </c>
      <c r="Q4411" t="str">
        <f t="shared" si="169"/>
        <v>condorProc.py --series 07180929_0726 --donoise --dumps a --procenv environments/pymidas_HVHV_NaI_mf.env</v>
      </c>
      <c r="R4411" t="str">
        <f t="shared" si="170"/>
        <v>ln -s ../../../../midasraw/byseries/07180929_0726 07180929_0726</v>
      </c>
    </row>
    <row r="4412" spans="1:18">
      <c r="A4412" t="s">
        <v>9998</v>
      </c>
      <c r="G4412" s="191"/>
      <c r="H4412" s="210"/>
      <c r="J4412" t="s">
        <v>5585</v>
      </c>
      <c r="K4412" s="218" t="s">
        <v>5586</v>
      </c>
      <c r="M4412" t="s">
        <v>4945</v>
      </c>
      <c r="N4412" t="s">
        <v>5571</v>
      </c>
      <c r="O4412" t="s">
        <v>4940</v>
      </c>
      <c r="Q4412" t="str">
        <f t="shared" si="169"/>
        <v>condorProc.py --series 07180929_0736 --donoise --dumps a --procenv environments/pymidas_HVHV_NaI_mf.env</v>
      </c>
      <c r="R4412" t="str">
        <f t="shared" si="170"/>
        <v>ln -s ../../../../midasraw/byseries/07180929_0736 07180929_0736</v>
      </c>
    </row>
    <row r="4413" spans="1:18">
      <c r="A4413" t="s">
        <v>9999</v>
      </c>
      <c r="G4413" s="191"/>
      <c r="H4413" s="210"/>
      <c r="K4413" s="219" t="s">
        <v>8388</v>
      </c>
      <c r="M4413" t="s">
        <v>4945</v>
      </c>
      <c r="N4413" t="s">
        <v>5571</v>
      </c>
      <c r="O4413" t="s">
        <v>4940</v>
      </c>
      <c r="Q4413" t="str">
        <f t="shared" si="169"/>
        <v>condorProc.py --series 07180929_0747 --donoise --dumps a --procenv environments/pymidas_HVHV_NaI_mf.env</v>
      </c>
      <c r="R4413" t="str">
        <f t="shared" si="170"/>
        <v>ln -s ../../../../midasraw/byseries/07180929_0747 07180929_0747</v>
      </c>
    </row>
    <row r="4414" spans="1:18">
      <c r="A4414" t="s">
        <v>10000</v>
      </c>
      <c r="G4414" s="191"/>
      <c r="H4414" s="210"/>
      <c r="K4414" s="180"/>
      <c r="M4414" t="s">
        <v>4945</v>
      </c>
      <c r="N4414" t="s">
        <v>5571</v>
      </c>
      <c r="O4414" t="s">
        <v>4940</v>
      </c>
      <c r="Q4414" t="str">
        <f t="shared" si="169"/>
        <v>condorProc.py --series 07180929_0757 --donoise --dumps a --procenv environments/pymidas_HVHV_NaI_mf.env</v>
      </c>
      <c r="R4414" t="str">
        <f t="shared" si="170"/>
        <v>ln -s ../../../../midasraw/byseries/07180929_0757 07180929_0757</v>
      </c>
    </row>
    <row r="4415" spans="1:18">
      <c r="A4415" t="s">
        <v>10001</v>
      </c>
      <c r="G4415" s="191"/>
      <c r="H4415" s="210"/>
      <c r="K4415" s="180"/>
      <c r="M4415" t="s">
        <v>4945</v>
      </c>
      <c r="N4415" t="s">
        <v>5571</v>
      </c>
      <c r="O4415" t="s">
        <v>4940</v>
      </c>
      <c r="Q4415" t="str">
        <f t="shared" ref="Q4415:Q4478" si="171">"condorProc.py --series "&amp;A4415&amp;" --donoise --dumps a --procenv environments/pymidas_HVHV_NaI_mf.env"</f>
        <v>condorProc.py --series 07180929_0807 --donoise --dumps a --procenv environments/pymidas_HVHV_NaI_mf.env</v>
      </c>
      <c r="R4415" t="str">
        <f t="shared" si="170"/>
        <v>ln -s ../../../../midasraw/byseries/07180929_0807 07180929_0807</v>
      </c>
    </row>
    <row r="4416" spans="1:18">
      <c r="A4416" t="s">
        <v>10002</v>
      </c>
      <c r="G4416" s="191"/>
      <c r="H4416" s="210"/>
      <c r="K4416" s="180"/>
      <c r="M4416" t="s">
        <v>4945</v>
      </c>
      <c r="N4416" t="s">
        <v>5571</v>
      </c>
      <c r="O4416" t="s">
        <v>4940</v>
      </c>
      <c r="Q4416" t="str">
        <f t="shared" si="171"/>
        <v>condorProc.py --series 07180929_0817 --donoise --dumps a --procenv environments/pymidas_HVHV_NaI_mf.env</v>
      </c>
      <c r="R4416" t="str">
        <f t="shared" ref="R4416:R4479" si="172">"ln -s ../../../../midasraw/byseries/"&amp;A4416&amp;" "&amp;A4416</f>
        <v>ln -s ../../../../midasraw/byseries/07180929_0817 07180929_0817</v>
      </c>
    </row>
    <row r="4417" spans="1:18">
      <c r="A4417" t="s">
        <v>10003</v>
      </c>
      <c r="G4417" s="191"/>
      <c r="H4417" s="210"/>
      <c r="K4417" s="180"/>
      <c r="M4417" t="s">
        <v>4945</v>
      </c>
      <c r="N4417" t="s">
        <v>5571</v>
      </c>
      <c r="O4417" t="s">
        <v>4940</v>
      </c>
      <c r="Q4417" t="str">
        <f t="shared" si="171"/>
        <v>condorProc.py --series 07180929_0827 --donoise --dumps a --procenv environments/pymidas_HVHV_NaI_mf.env</v>
      </c>
      <c r="R4417" t="str">
        <f t="shared" si="172"/>
        <v>ln -s ../../../../midasraw/byseries/07180929_0827 07180929_0827</v>
      </c>
    </row>
    <row r="4418" spans="1:18">
      <c r="A4418" t="s">
        <v>10004</v>
      </c>
      <c r="G4418" s="191"/>
      <c r="H4418" s="210"/>
      <c r="K4418" s="180"/>
      <c r="M4418" t="s">
        <v>4945</v>
      </c>
      <c r="N4418" t="s">
        <v>5571</v>
      </c>
      <c r="O4418" t="s">
        <v>4940</v>
      </c>
      <c r="Q4418" t="str">
        <f t="shared" si="171"/>
        <v>condorProc.py --series 07180929_0837 --donoise --dumps a --procenv environments/pymidas_HVHV_NaI_mf.env</v>
      </c>
      <c r="R4418" t="str">
        <f t="shared" si="172"/>
        <v>ln -s ../../../../midasraw/byseries/07180929_0837 07180929_0837</v>
      </c>
    </row>
    <row r="4419" spans="1:18">
      <c r="A4419" t="s">
        <v>10005</v>
      </c>
      <c r="G4419" s="191"/>
      <c r="H4419" s="210"/>
      <c r="K4419" s="180"/>
      <c r="M4419" t="s">
        <v>4945</v>
      </c>
      <c r="N4419" t="s">
        <v>5571</v>
      </c>
      <c r="O4419" t="s">
        <v>4940</v>
      </c>
      <c r="Q4419" t="str">
        <f t="shared" si="171"/>
        <v>condorProc.py --series 07180929_0847 --donoise --dumps a --procenv environments/pymidas_HVHV_NaI_mf.env</v>
      </c>
      <c r="R4419" t="str">
        <f t="shared" si="172"/>
        <v>ln -s ../../../../midasraw/byseries/07180929_0847 07180929_0847</v>
      </c>
    </row>
    <row r="4420" spans="1:18">
      <c r="A4420" t="s">
        <v>10006</v>
      </c>
      <c r="G4420" s="191"/>
      <c r="H4420" s="210"/>
      <c r="K4420" s="180"/>
      <c r="M4420" t="s">
        <v>4945</v>
      </c>
      <c r="N4420" t="s">
        <v>5571</v>
      </c>
      <c r="O4420" t="s">
        <v>4940</v>
      </c>
      <c r="Q4420" t="str">
        <f t="shared" si="171"/>
        <v>condorProc.py --series 07180929_0857 --donoise --dumps a --procenv environments/pymidas_HVHV_NaI_mf.env</v>
      </c>
      <c r="R4420" t="str">
        <f t="shared" si="172"/>
        <v>ln -s ../../../../midasraw/byseries/07180929_0857 07180929_0857</v>
      </c>
    </row>
    <row r="4421" spans="1:18">
      <c r="A4421" t="s">
        <v>10007</v>
      </c>
      <c r="G4421" s="191"/>
      <c r="H4421" s="210"/>
      <c r="K4421" s="180"/>
      <c r="M4421" t="s">
        <v>4945</v>
      </c>
      <c r="N4421" t="s">
        <v>5571</v>
      </c>
      <c r="O4421" t="s">
        <v>4940</v>
      </c>
      <c r="Q4421" t="str">
        <f t="shared" si="171"/>
        <v>condorProc.py --series 07180929_0907 --donoise --dumps a --procenv environments/pymidas_HVHV_NaI_mf.env</v>
      </c>
      <c r="R4421" t="str">
        <f t="shared" si="172"/>
        <v>ln -s ../../../../midasraw/byseries/07180929_0907 07180929_0907</v>
      </c>
    </row>
    <row r="4422" spans="1:18">
      <c r="A4422" t="s">
        <v>10008</v>
      </c>
      <c r="F4422" s="65"/>
      <c r="G4422" s="193"/>
      <c r="H4422" s="211"/>
      <c r="I4422" s="65"/>
      <c r="J4422" s="65"/>
      <c r="K4422" s="182"/>
      <c r="M4422" t="s">
        <v>4945</v>
      </c>
      <c r="N4422" t="s">
        <v>5571</v>
      </c>
      <c r="O4422" t="s">
        <v>4940</v>
      </c>
      <c r="Q4422" t="str">
        <f t="shared" si="171"/>
        <v>condorProc.py --series 07180929_0918 --donoise --dumps a --procenv environments/pymidas_HVHV_NaI_mf.env</v>
      </c>
      <c r="R4422" t="str">
        <f t="shared" si="172"/>
        <v>ln -s ../../../../midasraw/byseries/07180929_0918 07180929_0918</v>
      </c>
    </row>
    <row r="4423" spans="1:18">
      <c r="A4423" t="s">
        <v>10009</v>
      </c>
      <c r="F4423" s="177">
        <v>10</v>
      </c>
      <c r="G4423" s="192" t="s">
        <v>2248</v>
      </c>
      <c r="H4423" s="209">
        <v>-125</v>
      </c>
      <c r="I4423" s="177"/>
      <c r="J4423" s="177" t="s">
        <v>5577</v>
      </c>
      <c r="K4423" s="178" t="s">
        <v>5583</v>
      </c>
      <c r="M4423" t="s">
        <v>4945</v>
      </c>
      <c r="N4423" t="s">
        <v>5571</v>
      </c>
      <c r="O4423" t="s">
        <v>4940</v>
      </c>
      <c r="Q4423" t="str">
        <f t="shared" si="171"/>
        <v>condorProc.py --series 07180929_1015 --donoise --dumps a --procenv environments/pymidas_HVHV_NaI_mf.env</v>
      </c>
      <c r="R4423" t="str">
        <f t="shared" si="172"/>
        <v>ln -s ../../../../midasraw/byseries/07180929_1015 07180929_1015</v>
      </c>
    </row>
    <row r="4424" spans="1:18">
      <c r="A4424" t="s">
        <v>10010</v>
      </c>
      <c r="G4424" s="191"/>
      <c r="H4424" s="210"/>
      <c r="I4424" t="s">
        <v>75</v>
      </c>
      <c r="J4424" t="s">
        <v>5585</v>
      </c>
      <c r="K4424" s="218" t="s">
        <v>5586</v>
      </c>
      <c r="M4424" t="s">
        <v>4945</v>
      </c>
      <c r="N4424" t="s">
        <v>5571</v>
      </c>
      <c r="O4424" t="s">
        <v>4940</v>
      </c>
      <c r="Q4424" t="str">
        <f t="shared" si="171"/>
        <v>condorProc.py --series 07180929_1025 --donoise --dumps a --procenv environments/pymidas_HVHV_NaI_mf.env</v>
      </c>
      <c r="R4424" t="str">
        <f t="shared" si="172"/>
        <v>ln -s ../../../../midasraw/byseries/07180929_1025 07180929_1025</v>
      </c>
    </row>
    <row r="4425" spans="1:18">
      <c r="A4425" t="s">
        <v>10011</v>
      </c>
      <c r="G4425" s="191"/>
      <c r="H4425" s="210"/>
      <c r="K4425" s="219" t="s">
        <v>8388</v>
      </c>
      <c r="M4425" t="s">
        <v>4945</v>
      </c>
      <c r="N4425" t="s">
        <v>5571</v>
      </c>
      <c r="O4425" t="s">
        <v>4940</v>
      </c>
      <c r="Q4425" t="str">
        <f t="shared" si="171"/>
        <v>condorProc.py --series 07180929_1035 --donoise --dumps a --procenv environments/pymidas_HVHV_NaI_mf.env</v>
      </c>
      <c r="R4425" t="str">
        <f t="shared" si="172"/>
        <v>ln -s ../../../../midasraw/byseries/07180929_1035 07180929_1035</v>
      </c>
    </row>
    <row r="4426" spans="1:18">
      <c r="A4426" t="s">
        <v>10012</v>
      </c>
      <c r="G4426" s="191"/>
      <c r="H4426" s="210"/>
      <c r="K4426" s="180"/>
      <c r="M4426" t="s">
        <v>4945</v>
      </c>
      <c r="N4426" t="s">
        <v>5571</v>
      </c>
      <c r="O4426" t="s">
        <v>4940</v>
      </c>
      <c r="Q4426" t="str">
        <f t="shared" si="171"/>
        <v>condorProc.py --series 07180929_1046 --donoise --dumps a --procenv environments/pymidas_HVHV_NaI_mf.env</v>
      </c>
      <c r="R4426" t="str">
        <f t="shared" si="172"/>
        <v>ln -s ../../../../midasraw/byseries/07180929_1046 07180929_1046</v>
      </c>
    </row>
    <row r="4427" spans="1:18">
      <c r="A4427" t="s">
        <v>10013</v>
      </c>
      <c r="G4427" s="191"/>
      <c r="H4427" s="210"/>
      <c r="K4427" s="180"/>
      <c r="M4427" t="s">
        <v>4945</v>
      </c>
      <c r="N4427" t="s">
        <v>5571</v>
      </c>
      <c r="O4427" t="s">
        <v>4940</v>
      </c>
      <c r="Q4427" t="str">
        <f t="shared" si="171"/>
        <v>condorProc.py --series 07180929_1056 --donoise --dumps a --procenv environments/pymidas_HVHV_NaI_mf.env</v>
      </c>
      <c r="R4427" t="str">
        <f t="shared" si="172"/>
        <v>ln -s ../../../../midasraw/byseries/07180929_1056 07180929_1056</v>
      </c>
    </row>
    <row r="4428" spans="1:18">
      <c r="A4428" t="s">
        <v>10014</v>
      </c>
      <c r="G4428" s="191"/>
      <c r="H4428" s="210"/>
      <c r="K4428" s="180"/>
      <c r="M4428" t="s">
        <v>4945</v>
      </c>
      <c r="N4428" t="s">
        <v>5571</v>
      </c>
      <c r="O4428" t="s">
        <v>4940</v>
      </c>
      <c r="Q4428" t="str">
        <f t="shared" si="171"/>
        <v>condorProc.py --series 07180929_1106 --donoise --dumps a --procenv environments/pymidas_HVHV_NaI_mf.env</v>
      </c>
      <c r="R4428" t="str">
        <f t="shared" si="172"/>
        <v>ln -s ../../../../midasraw/byseries/07180929_1106 07180929_1106</v>
      </c>
    </row>
    <row r="4429" spans="1:18">
      <c r="A4429" t="s">
        <v>10015</v>
      </c>
      <c r="G4429" s="191"/>
      <c r="H4429" s="210"/>
      <c r="K4429" s="180"/>
      <c r="M4429" t="s">
        <v>4945</v>
      </c>
      <c r="N4429" t="s">
        <v>5571</v>
      </c>
      <c r="O4429" t="s">
        <v>4940</v>
      </c>
      <c r="Q4429" t="str">
        <f t="shared" si="171"/>
        <v>condorProc.py --series 07180929_1116 --donoise --dumps a --procenv environments/pymidas_HVHV_NaI_mf.env</v>
      </c>
      <c r="R4429" t="str">
        <f t="shared" si="172"/>
        <v>ln -s ../../../../midasraw/byseries/07180929_1116 07180929_1116</v>
      </c>
    </row>
    <row r="4430" spans="1:18">
      <c r="A4430" t="s">
        <v>10016</v>
      </c>
      <c r="G4430" s="191"/>
      <c r="H4430" s="210"/>
      <c r="K4430" s="180"/>
      <c r="M4430" t="s">
        <v>4945</v>
      </c>
      <c r="N4430" t="s">
        <v>5571</v>
      </c>
      <c r="O4430" t="s">
        <v>4940</v>
      </c>
      <c r="Q4430" t="str">
        <f t="shared" si="171"/>
        <v>condorProc.py --series 07180929_1126 --donoise --dumps a --procenv environments/pymidas_HVHV_NaI_mf.env</v>
      </c>
      <c r="R4430" t="str">
        <f t="shared" si="172"/>
        <v>ln -s ../../../../midasraw/byseries/07180929_1126 07180929_1126</v>
      </c>
    </row>
    <row r="4431" spans="1:18">
      <c r="A4431" t="s">
        <v>10017</v>
      </c>
      <c r="G4431" s="191"/>
      <c r="H4431" s="210"/>
      <c r="K4431" s="180"/>
      <c r="M4431" t="s">
        <v>4945</v>
      </c>
      <c r="N4431" t="s">
        <v>5571</v>
      </c>
      <c r="O4431" t="s">
        <v>4940</v>
      </c>
      <c r="Q4431" t="str">
        <f t="shared" si="171"/>
        <v>condorProc.py --series 07180929_1136 --donoise --dumps a --procenv environments/pymidas_HVHV_NaI_mf.env</v>
      </c>
      <c r="R4431" t="str">
        <f t="shared" si="172"/>
        <v>ln -s ../../../../midasraw/byseries/07180929_1136 07180929_1136</v>
      </c>
    </row>
    <row r="4432" spans="1:18">
      <c r="A4432" t="s">
        <v>10018</v>
      </c>
      <c r="G4432" s="191"/>
      <c r="H4432" s="210"/>
      <c r="K4432" s="180"/>
      <c r="M4432" t="s">
        <v>4945</v>
      </c>
      <c r="N4432" t="s">
        <v>5571</v>
      </c>
      <c r="O4432" t="s">
        <v>4940</v>
      </c>
      <c r="Q4432" t="str">
        <f t="shared" si="171"/>
        <v>condorProc.py --series 07180929_1146 --donoise --dumps a --procenv environments/pymidas_HVHV_NaI_mf.env</v>
      </c>
      <c r="R4432" t="str">
        <f t="shared" si="172"/>
        <v>ln -s ../../../../midasraw/byseries/07180929_1146 07180929_1146</v>
      </c>
    </row>
    <row r="4433" spans="1:18">
      <c r="A4433" t="s">
        <v>10019</v>
      </c>
      <c r="G4433" s="191"/>
      <c r="H4433" s="210"/>
      <c r="K4433" s="180"/>
      <c r="M4433" t="s">
        <v>4945</v>
      </c>
      <c r="N4433" t="s">
        <v>5571</v>
      </c>
      <c r="O4433" t="s">
        <v>4940</v>
      </c>
      <c r="Q4433" t="str">
        <f t="shared" si="171"/>
        <v>condorProc.py --series 07180929_1156 --donoise --dumps a --procenv environments/pymidas_HVHV_NaI_mf.env</v>
      </c>
      <c r="R4433" t="str">
        <f t="shared" si="172"/>
        <v>ln -s ../../../../midasraw/byseries/07180929_1156 07180929_1156</v>
      </c>
    </row>
    <row r="4434" spans="1:18">
      <c r="A4434" t="s">
        <v>10020</v>
      </c>
      <c r="F4434" s="65"/>
      <c r="G4434" s="193"/>
      <c r="H4434" s="211"/>
      <c r="I4434" s="65"/>
      <c r="J4434" s="65"/>
      <c r="K4434" s="182"/>
      <c r="M4434" t="s">
        <v>4945</v>
      </c>
      <c r="N4434" t="s">
        <v>5571</v>
      </c>
      <c r="O4434" t="s">
        <v>4940</v>
      </c>
      <c r="Q4434" t="str">
        <f t="shared" si="171"/>
        <v>condorProc.py --series 07180929_1206 --donoise --dumps a --procenv environments/pymidas_HVHV_NaI_mf.env</v>
      </c>
      <c r="R4434" t="str">
        <f t="shared" si="172"/>
        <v>ln -s ../../../../midasraw/byseries/07180929_1206 07180929_1206</v>
      </c>
    </row>
    <row r="4435" spans="1:18">
      <c r="A4435" t="s">
        <v>10021</v>
      </c>
      <c r="F4435" s="177">
        <v>10</v>
      </c>
      <c r="G4435" s="192" t="s">
        <v>2248</v>
      </c>
      <c r="H4435" s="209">
        <v>-125</v>
      </c>
      <c r="I4435" s="177"/>
      <c r="J4435" s="177" t="s">
        <v>5577</v>
      </c>
      <c r="K4435" s="178" t="s">
        <v>5583</v>
      </c>
      <c r="M4435" t="s">
        <v>4945</v>
      </c>
      <c r="N4435" t="s">
        <v>5571</v>
      </c>
      <c r="O4435" t="s">
        <v>4940</v>
      </c>
      <c r="Q4435" t="str">
        <f t="shared" si="171"/>
        <v>condorProc.py --series 07180929_1304 --donoise --dumps a --procenv environments/pymidas_HVHV_NaI_mf.env</v>
      </c>
      <c r="R4435" t="str">
        <f t="shared" si="172"/>
        <v>ln -s ../../../../midasraw/byseries/07180929_1304 07180929_1304</v>
      </c>
    </row>
    <row r="4436" spans="1:18">
      <c r="A4436" t="s">
        <v>10022</v>
      </c>
      <c r="G4436" s="191"/>
      <c r="H4436" s="210"/>
      <c r="J4436" t="s">
        <v>5585</v>
      </c>
      <c r="K4436" s="218" t="s">
        <v>5586</v>
      </c>
      <c r="M4436" t="s">
        <v>4945</v>
      </c>
      <c r="N4436" t="s">
        <v>5571</v>
      </c>
      <c r="O4436" t="s">
        <v>4940</v>
      </c>
      <c r="Q4436" t="str">
        <f t="shared" si="171"/>
        <v>condorProc.py --series 07180929_1314 --donoise --dumps a --procenv environments/pymidas_HVHV_NaI_mf.env</v>
      </c>
      <c r="R4436" t="str">
        <f t="shared" si="172"/>
        <v>ln -s ../../../../midasraw/byseries/07180929_1314 07180929_1314</v>
      </c>
    </row>
    <row r="4437" spans="1:18">
      <c r="A4437" t="s">
        <v>10023</v>
      </c>
      <c r="G4437" s="191"/>
      <c r="H4437" s="210"/>
      <c r="K4437" s="219" t="s">
        <v>8388</v>
      </c>
      <c r="M4437" t="s">
        <v>4945</v>
      </c>
      <c r="N4437" t="s">
        <v>5571</v>
      </c>
      <c r="O4437" t="s">
        <v>4940</v>
      </c>
      <c r="Q4437" t="str">
        <f t="shared" si="171"/>
        <v>condorProc.py --series 07180929_1324 --donoise --dumps a --procenv environments/pymidas_HVHV_NaI_mf.env</v>
      </c>
      <c r="R4437" t="str">
        <f t="shared" si="172"/>
        <v>ln -s ../../../../midasraw/byseries/07180929_1324 07180929_1324</v>
      </c>
    </row>
    <row r="4438" spans="1:18">
      <c r="A4438" t="s">
        <v>10024</v>
      </c>
      <c r="G4438" s="191"/>
      <c r="H4438" s="210"/>
      <c r="K4438" s="180"/>
      <c r="M4438" t="s">
        <v>4945</v>
      </c>
      <c r="N4438" t="s">
        <v>5571</v>
      </c>
      <c r="O4438" t="s">
        <v>4940</v>
      </c>
      <c r="Q4438" t="str">
        <f t="shared" si="171"/>
        <v>condorProc.py --series 07180929_1334 --donoise --dumps a --procenv environments/pymidas_HVHV_NaI_mf.env</v>
      </c>
      <c r="R4438" t="str">
        <f t="shared" si="172"/>
        <v>ln -s ../../../../midasraw/byseries/07180929_1334 07180929_1334</v>
      </c>
    </row>
    <row r="4439" spans="1:18">
      <c r="A4439" t="s">
        <v>10025</v>
      </c>
      <c r="G4439" s="191"/>
      <c r="H4439" s="210"/>
      <c r="K4439" s="180"/>
      <c r="M4439" t="s">
        <v>4945</v>
      </c>
      <c r="N4439" t="s">
        <v>5571</v>
      </c>
      <c r="O4439" t="s">
        <v>4940</v>
      </c>
      <c r="Q4439" t="str">
        <f t="shared" si="171"/>
        <v>condorProc.py --series 07180929_1344 --donoise --dumps a --procenv environments/pymidas_HVHV_NaI_mf.env</v>
      </c>
      <c r="R4439" t="str">
        <f t="shared" si="172"/>
        <v>ln -s ../../../../midasraw/byseries/07180929_1344 07180929_1344</v>
      </c>
    </row>
    <row r="4440" spans="1:18">
      <c r="A4440" t="s">
        <v>10026</v>
      </c>
      <c r="G4440" s="191"/>
      <c r="H4440" s="210"/>
      <c r="K4440" s="180"/>
      <c r="M4440" t="s">
        <v>4945</v>
      </c>
      <c r="N4440" t="s">
        <v>5571</v>
      </c>
      <c r="O4440" t="s">
        <v>4940</v>
      </c>
      <c r="Q4440" t="str">
        <f t="shared" si="171"/>
        <v>condorProc.py --series 07180929_1355 --donoise --dumps a --procenv environments/pymidas_HVHV_NaI_mf.env</v>
      </c>
      <c r="R4440" t="str">
        <f t="shared" si="172"/>
        <v>ln -s ../../../../midasraw/byseries/07180929_1355 07180929_1355</v>
      </c>
    </row>
    <row r="4441" spans="1:18">
      <c r="A4441" t="s">
        <v>10027</v>
      </c>
      <c r="G4441" s="191"/>
      <c r="H4441" s="210"/>
      <c r="K4441" s="180"/>
      <c r="M4441" t="s">
        <v>4945</v>
      </c>
      <c r="N4441" t="s">
        <v>5571</v>
      </c>
      <c r="O4441" t="s">
        <v>4940</v>
      </c>
      <c r="Q4441" t="str">
        <f t="shared" si="171"/>
        <v>condorProc.py --series 07180929_1405 --donoise --dumps a --procenv environments/pymidas_HVHV_NaI_mf.env</v>
      </c>
      <c r="R4441" t="str">
        <f t="shared" si="172"/>
        <v>ln -s ../../../../midasraw/byseries/07180929_1405 07180929_1405</v>
      </c>
    </row>
    <row r="4442" spans="1:18">
      <c r="A4442" t="s">
        <v>10028</v>
      </c>
      <c r="G4442" s="191"/>
      <c r="H4442" s="210"/>
      <c r="K4442" s="180"/>
      <c r="M4442" t="s">
        <v>4945</v>
      </c>
      <c r="N4442" t="s">
        <v>5571</v>
      </c>
      <c r="O4442" t="s">
        <v>4940</v>
      </c>
      <c r="Q4442" t="str">
        <f t="shared" si="171"/>
        <v>condorProc.py --series 07180929_1415 --donoise --dumps a --procenv environments/pymidas_HVHV_NaI_mf.env</v>
      </c>
      <c r="R4442" t="str">
        <f t="shared" si="172"/>
        <v>ln -s ../../../../midasraw/byseries/07180929_1415 07180929_1415</v>
      </c>
    </row>
    <row r="4443" spans="1:18">
      <c r="A4443" t="s">
        <v>10029</v>
      </c>
      <c r="G4443" s="191"/>
      <c r="H4443" s="210"/>
      <c r="K4443" s="180"/>
      <c r="M4443" t="s">
        <v>4945</v>
      </c>
      <c r="N4443" t="s">
        <v>5571</v>
      </c>
      <c r="O4443" t="s">
        <v>4940</v>
      </c>
      <c r="Q4443" t="str">
        <f t="shared" si="171"/>
        <v>condorProc.py --series 07180929_1425 --donoise --dumps a --procenv environments/pymidas_HVHV_NaI_mf.env</v>
      </c>
      <c r="R4443" t="str">
        <f t="shared" si="172"/>
        <v>ln -s ../../../../midasraw/byseries/07180929_1425 07180929_1425</v>
      </c>
    </row>
    <row r="4444" spans="1:18">
      <c r="A4444" t="s">
        <v>10030</v>
      </c>
      <c r="G4444" s="191"/>
      <c r="H4444" s="210"/>
      <c r="K4444" s="180"/>
      <c r="M4444" t="s">
        <v>4945</v>
      </c>
      <c r="N4444" t="s">
        <v>5571</v>
      </c>
      <c r="O4444" t="s">
        <v>4940</v>
      </c>
      <c r="Q4444" t="str">
        <f t="shared" si="171"/>
        <v>condorProc.py --series 07180929_1435 --donoise --dumps a --procenv environments/pymidas_HVHV_NaI_mf.env</v>
      </c>
      <c r="R4444" t="str">
        <f t="shared" si="172"/>
        <v>ln -s ../../../../midasraw/byseries/07180929_1435 07180929_1435</v>
      </c>
    </row>
    <row r="4445" spans="1:18">
      <c r="A4445" t="s">
        <v>10031</v>
      </c>
      <c r="G4445" s="191"/>
      <c r="H4445" s="210"/>
      <c r="K4445" s="180"/>
      <c r="M4445" t="s">
        <v>4945</v>
      </c>
      <c r="N4445" t="s">
        <v>5571</v>
      </c>
      <c r="O4445" t="s">
        <v>4940</v>
      </c>
      <c r="Q4445" t="str">
        <f t="shared" si="171"/>
        <v>condorProc.py --series 07180929_1445 --donoise --dumps a --procenv environments/pymidas_HVHV_NaI_mf.env</v>
      </c>
      <c r="R4445" t="str">
        <f t="shared" si="172"/>
        <v>ln -s ../../../../midasraw/byseries/07180929_1445 07180929_1445</v>
      </c>
    </row>
    <row r="4446" spans="1:18">
      <c r="A4446" t="s">
        <v>10032</v>
      </c>
      <c r="F4446" s="65"/>
      <c r="G4446" s="193"/>
      <c r="H4446" s="211"/>
      <c r="I4446" s="65" t="s">
        <v>75</v>
      </c>
      <c r="J4446" s="65"/>
      <c r="K4446" s="182"/>
      <c r="M4446" t="s">
        <v>4945</v>
      </c>
      <c r="N4446" t="s">
        <v>5571</v>
      </c>
      <c r="O4446" t="s">
        <v>4940</v>
      </c>
      <c r="Q4446" t="str">
        <f t="shared" si="171"/>
        <v>condorProc.py --series 07180929_1455 --donoise --dumps a --procenv environments/pymidas_HVHV_NaI_mf.env</v>
      </c>
      <c r="R4446" t="str">
        <f t="shared" si="172"/>
        <v>ln -s ../../../../midasraw/byseries/07180929_1455 07180929_1455</v>
      </c>
    </row>
    <row r="4447" spans="1:18">
      <c r="A4447" t="s">
        <v>10033</v>
      </c>
      <c r="F4447" s="177">
        <v>10</v>
      </c>
      <c r="G4447" s="192" t="s">
        <v>2248</v>
      </c>
      <c r="H4447" s="209">
        <v>-125</v>
      </c>
      <c r="I4447" s="177"/>
      <c r="J4447" s="177" t="s">
        <v>5577</v>
      </c>
      <c r="K4447" s="178" t="s">
        <v>5583</v>
      </c>
      <c r="M4447" t="s">
        <v>4945</v>
      </c>
      <c r="N4447" t="s">
        <v>5571</v>
      </c>
      <c r="O4447" t="s">
        <v>4940</v>
      </c>
      <c r="Q4447" t="str">
        <f t="shared" si="171"/>
        <v>condorProc.py --series 07180929_1737 --donoise --dumps a --procenv environments/pymidas_HVHV_NaI_mf.env</v>
      </c>
      <c r="R4447" t="str">
        <f t="shared" si="172"/>
        <v>ln -s ../../../../midasraw/byseries/07180929_1737 07180929_1737</v>
      </c>
    </row>
    <row r="4448" spans="1:18">
      <c r="A4448" t="s">
        <v>10034</v>
      </c>
      <c r="G4448" s="191"/>
      <c r="H4448" s="210"/>
      <c r="J4448" t="s">
        <v>5585</v>
      </c>
      <c r="K4448" s="218" t="s">
        <v>5586</v>
      </c>
      <c r="M4448" t="s">
        <v>4945</v>
      </c>
      <c r="N4448" t="s">
        <v>5571</v>
      </c>
      <c r="O4448" t="s">
        <v>4940</v>
      </c>
      <c r="Q4448" t="str">
        <f t="shared" si="171"/>
        <v>condorProc.py --series 07180929_1747 --donoise --dumps a --procenv environments/pymidas_HVHV_NaI_mf.env</v>
      </c>
      <c r="R4448" t="str">
        <f t="shared" si="172"/>
        <v>ln -s ../../../../midasraw/byseries/07180929_1747 07180929_1747</v>
      </c>
    </row>
    <row r="4449" spans="1:18">
      <c r="A4449" t="s">
        <v>10035</v>
      </c>
      <c r="G4449" s="191"/>
      <c r="H4449" s="210"/>
      <c r="K4449" s="219" t="s">
        <v>8388</v>
      </c>
      <c r="M4449" t="s">
        <v>4945</v>
      </c>
      <c r="N4449" t="s">
        <v>5571</v>
      </c>
      <c r="O4449" t="s">
        <v>4940</v>
      </c>
      <c r="Q4449" t="str">
        <f t="shared" si="171"/>
        <v>condorProc.py --series 07180929_1757 --donoise --dumps a --procenv environments/pymidas_HVHV_NaI_mf.env</v>
      </c>
      <c r="R4449" t="str">
        <f t="shared" si="172"/>
        <v>ln -s ../../../../midasraw/byseries/07180929_1757 07180929_1757</v>
      </c>
    </row>
    <row r="4450" spans="1:18">
      <c r="A4450" t="s">
        <v>10036</v>
      </c>
      <c r="G4450" s="191"/>
      <c r="H4450" s="210"/>
      <c r="K4450" s="180"/>
      <c r="M4450" t="s">
        <v>4945</v>
      </c>
      <c r="N4450" t="s">
        <v>5571</v>
      </c>
      <c r="O4450" t="s">
        <v>4940</v>
      </c>
      <c r="Q4450" t="str">
        <f t="shared" si="171"/>
        <v>condorProc.py --series 07180929_1807 --donoise --dumps a --procenv environments/pymidas_HVHV_NaI_mf.env</v>
      </c>
      <c r="R4450" t="str">
        <f t="shared" si="172"/>
        <v>ln -s ../../../../midasraw/byseries/07180929_1807 07180929_1807</v>
      </c>
    </row>
    <row r="4451" spans="1:18">
      <c r="A4451" t="s">
        <v>10037</v>
      </c>
      <c r="G4451" s="191"/>
      <c r="H4451" s="210"/>
      <c r="K4451" s="180"/>
      <c r="M4451" t="s">
        <v>4945</v>
      </c>
      <c r="N4451" t="s">
        <v>5571</v>
      </c>
      <c r="O4451" t="s">
        <v>4940</v>
      </c>
      <c r="Q4451" t="str">
        <f t="shared" si="171"/>
        <v>condorProc.py --series 07180929_1817 --donoise --dumps a --procenv environments/pymidas_HVHV_NaI_mf.env</v>
      </c>
      <c r="R4451" t="str">
        <f t="shared" si="172"/>
        <v>ln -s ../../../../midasraw/byseries/07180929_1817 07180929_1817</v>
      </c>
    </row>
    <row r="4452" spans="1:18">
      <c r="A4452" t="s">
        <v>10038</v>
      </c>
      <c r="G4452" s="191"/>
      <c r="H4452" s="210"/>
      <c r="K4452" s="180"/>
      <c r="M4452" t="s">
        <v>4945</v>
      </c>
      <c r="N4452" t="s">
        <v>5571</v>
      </c>
      <c r="O4452" t="s">
        <v>4940</v>
      </c>
      <c r="Q4452" t="str">
        <f t="shared" si="171"/>
        <v>condorProc.py --series 07180929_1827 --donoise --dumps a --procenv environments/pymidas_HVHV_NaI_mf.env</v>
      </c>
      <c r="R4452" t="str">
        <f t="shared" si="172"/>
        <v>ln -s ../../../../midasraw/byseries/07180929_1827 07180929_1827</v>
      </c>
    </row>
    <row r="4453" spans="1:18">
      <c r="A4453" t="s">
        <v>10039</v>
      </c>
      <c r="G4453" s="191"/>
      <c r="H4453" s="210"/>
      <c r="K4453" s="180"/>
      <c r="M4453" t="s">
        <v>4945</v>
      </c>
      <c r="N4453" t="s">
        <v>5571</v>
      </c>
      <c r="O4453" t="s">
        <v>4940</v>
      </c>
      <c r="Q4453" t="str">
        <f t="shared" si="171"/>
        <v>condorProc.py --series 07180929_1837 --donoise --dumps a --procenv environments/pymidas_HVHV_NaI_mf.env</v>
      </c>
      <c r="R4453" t="str">
        <f t="shared" si="172"/>
        <v>ln -s ../../../../midasraw/byseries/07180929_1837 07180929_1837</v>
      </c>
    </row>
    <row r="4454" spans="1:18">
      <c r="A4454" t="s">
        <v>10040</v>
      </c>
      <c r="G4454" s="191"/>
      <c r="H4454" s="210"/>
      <c r="K4454" s="180"/>
      <c r="M4454" t="s">
        <v>4945</v>
      </c>
      <c r="N4454" t="s">
        <v>5571</v>
      </c>
      <c r="O4454" t="s">
        <v>4940</v>
      </c>
      <c r="Q4454" t="str">
        <f t="shared" si="171"/>
        <v>condorProc.py --series 07180929_1847 --donoise --dumps a --procenv environments/pymidas_HVHV_NaI_mf.env</v>
      </c>
      <c r="R4454" t="str">
        <f t="shared" si="172"/>
        <v>ln -s ../../../../midasraw/byseries/07180929_1847 07180929_1847</v>
      </c>
    </row>
    <row r="4455" spans="1:18">
      <c r="A4455" t="s">
        <v>10041</v>
      </c>
      <c r="G4455" s="191"/>
      <c r="H4455" s="210"/>
      <c r="K4455" s="180"/>
      <c r="M4455" t="s">
        <v>4945</v>
      </c>
      <c r="N4455" t="s">
        <v>5571</v>
      </c>
      <c r="O4455" t="s">
        <v>4940</v>
      </c>
      <c r="Q4455" t="str">
        <f t="shared" si="171"/>
        <v>condorProc.py --series 07180929_1858 --donoise --dumps a --procenv environments/pymidas_HVHV_NaI_mf.env</v>
      </c>
      <c r="R4455" t="str">
        <f t="shared" si="172"/>
        <v>ln -s ../../../../midasraw/byseries/07180929_1858 07180929_1858</v>
      </c>
    </row>
    <row r="4456" spans="1:18">
      <c r="A4456" t="s">
        <v>10042</v>
      </c>
      <c r="G4456" s="191"/>
      <c r="H4456" s="210"/>
      <c r="K4456" s="180"/>
      <c r="M4456" t="s">
        <v>4945</v>
      </c>
      <c r="N4456" t="s">
        <v>5571</v>
      </c>
      <c r="O4456" t="s">
        <v>4940</v>
      </c>
      <c r="Q4456" t="str">
        <f t="shared" si="171"/>
        <v>condorProc.py --series 07180929_1908 --donoise --dumps a --procenv environments/pymidas_HVHV_NaI_mf.env</v>
      </c>
      <c r="R4456" t="str">
        <f t="shared" si="172"/>
        <v>ln -s ../../../../midasraw/byseries/07180929_1908 07180929_1908</v>
      </c>
    </row>
    <row r="4457" spans="1:18">
      <c r="A4457" t="s">
        <v>10043</v>
      </c>
      <c r="G4457" s="191"/>
      <c r="H4457" s="210"/>
      <c r="K4457" s="180"/>
      <c r="M4457" t="s">
        <v>4945</v>
      </c>
      <c r="N4457" t="s">
        <v>5571</v>
      </c>
      <c r="O4457" t="s">
        <v>4940</v>
      </c>
      <c r="Q4457" t="str">
        <f t="shared" si="171"/>
        <v>condorProc.py --series 07180929_1918 --donoise --dumps a --procenv environments/pymidas_HVHV_NaI_mf.env</v>
      </c>
      <c r="R4457" t="str">
        <f t="shared" si="172"/>
        <v>ln -s ../../../../midasraw/byseries/07180929_1918 07180929_1918</v>
      </c>
    </row>
    <row r="4458" spans="1:18">
      <c r="A4458" t="s">
        <v>10044</v>
      </c>
      <c r="F4458" s="65"/>
      <c r="G4458" s="193"/>
      <c r="H4458" s="211"/>
      <c r="I4458" s="65"/>
      <c r="J4458" s="65"/>
      <c r="K4458" s="182"/>
      <c r="L4458" s="1">
        <f>DATE(2000+MID(A4458,3,2),MID(A4458,5,2),MID(A4458,7,2))+TIME(MID(A4458,10,2),MID(A4458,12,2),0)+17/60/24</f>
        <v>43372.822916666672</v>
      </c>
      <c r="M4458" t="s">
        <v>4945</v>
      </c>
      <c r="N4458" t="s">
        <v>5571</v>
      </c>
      <c r="O4458" t="s">
        <v>4940</v>
      </c>
      <c r="Q4458" t="str">
        <f t="shared" si="171"/>
        <v>condorProc.py --series 07180929_1928 --donoise --dumps a --procenv environments/pymidas_HVHV_NaI_mf.env</v>
      </c>
      <c r="R4458" t="str">
        <f t="shared" si="172"/>
        <v>ln -s ../../../../midasraw/byseries/07180929_1928 07180929_1928</v>
      </c>
    </row>
    <row r="4459" spans="1:18">
      <c r="A4459" t="s">
        <v>10045</v>
      </c>
      <c r="F4459" s="177">
        <v>10</v>
      </c>
      <c r="G4459" s="192" t="s">
        <v>2248</v>
      </c>
      <c r="H4459" s="209">
        <v>-125</v>
      </c>
      <c r="I4459" s="177"/>
      <c r="J4459" s="177" t="s">
        <v>5577</v>
      </c>
      <c r="K4459" s="178" t="s">
        <v>5583</v>
      </c>
      <c r="M4459" t="s">
        <v>4945</v>
      </c>
      <c r="N4459" t="s">
        <v>5571</v>
      </c>
      <c r="O4459" t="s">
        <v>4940</v>
      </c>
      <c r="Q4459" t="str">
        <f t="shared" si="171"/>
        <v>condorProc.py --series 07180929_2026 --donoise --dumps a --procenv environments/pymidas_HVHV_NaI_mf.env</v>
      </c>
      <c r="R4459" t="str">
        <f t="shared" si="172"/>
        <v>ln -s ../../../../midasraw/byseries/07180929_2026 07180929_2026</v>
      </c>
    </row>
    <row r="4460" spans="1:18">
      <c r="A4460" t="s">
        <v>10046</v>
      </c>
      <c r="G4460" s="191"/>
      <c r="H4460" s="210"/>
      <c r="J4460" t="s">
        <v>5585</v>
      </c>
      <c r="K4460" s="218" t="s">
        <v>5586</v>
      </c>
      <c r="M4460" t="s">
        <v>4945</v>
      </c>
      <c r="N4460" t="s">
        <v>5571</v>
      </c>
      <c r="O4460" t="s">
        <v>4940</v>
      </c>
      <c r="Q4460" t="str">
        <f t="shared" si="171"/>
        <v>condorProc.py --series 07180929_2036 --donoise --dumps a --procenv environments/pymidas_HVHV_NaI_mf.env</v>
      </c>
      <c r="R4460" t="str">
        <f t="shared" si="172"/>
        <v>ln -s ../../../../midasraw/byseries/07180929_2036 07180929_2036</v>
      </c>
    </row>
    <row r="4461" spans="1:18">
      <c r="A4461" t="s">
        <v>10047</v>
      </c>
      <c r="G4461" s="191"/>
      <c r="H4461" s="210"/>
      <c r="K4461" s="219" t="s">
        <v>8388</v>
      </c>
      <c r="M4461" t="s">
        <v>4945</v>
      </c>
      <c r="N4461" t="s">
        <v>5571</v>
      </c>
      <c r="O4461" t="s">
        <v>4940</v>
      </c>
      <c r="Q4461" t="str">
        <f t="shared" si="171"/>
        <v>condorProc.py --series 07180929_2046 --donoise --dumps a --procenv environments/pymidas_HVHV_NaI_mf.env</v>
      </c>
      <c r="R4461" t="str">
        <f t="shared" si="172"/>
        <v>ln -s ../../../../midasraw/byseries/07180929_2046 07180929_2046</v>
      </c>
    </row>
    <row r="4462" spans="1:18">
      <c r="A4462" t="s">
        <v>10048</v>
      </c>
      <c r="G4462" s="191"/>
      <c r="H4462" s="210"/>
      <c r="K4462" s="180"/>
      <c r="M4462" t="s">
        <v>4945</v>
      </c>
      <c r="N4462" t="s">
        <v>5571</v>
      </c>
      <c r="O4462" t="s">
        <v>4940</v>
      </c>
      <c r="Q4462" t="str">
        <f t="shared" si="171"/>
        <v>condorProc.py --series 07180929_2056 --donoise --dumps a --procenv environments/pymidas_HVHV_NaI_mf.env</v>
      </c>
      <c r="R4462" t="str">
        <f t="shared" si="172"/>
        <v>ln -s ../../../../midasraw/byseries/07180929_2056 07180929_2056</v>
      </c>
    </row>
    <row r="4463" spans="1:18">
      <c r="A4463" t="s">
        <v>10049</v>
      </c>
      <c r="G4463" s="191"/>
      <c r="H4463" s="210"/>
      <c r="K4463" s="180"/>
      <c r="M4463" t="s">
        <v>4945</v>
      </c>
      <c r="N4463" t="s">
        <v>5571</v>
      </c>
      <c r="O4463" t="s">
        <v>4940</v>
      </c>
      <c r="Q4463" t="str">
        <f t="shared" si="171"/>
        <v>condorProc.py --series 07180929_2106 --donoise --dumps a --procenv environments/pymidas_HVHV_NaI_mf.env</v>
      </c>
      <c r="R4463" t="str">
        <f t="shared" si="172"/>
        <v>ln -s ../../../../midasraw/byseries/07180929_2106 07180929_2106</v>
      </c>
    </row>
    <row r="4464" spans="1:18">
      <c r="A4464" t="s">
        <v>10050</v>
      </c>
      <c r="G4464" s="191"/>
      <c r="H4464" s="210"/>
      <c r="K4464" s="180"/>
      <c r="M4464" t="s">
        <v>4945</v>
      </c>
      <c r="N4464" t="s">
        <v>5571</v>
      </c>
      <c r="O4464" t="s">
        <v>4940</v>
      </c>
      <c r="Q4464" t="str">
        <f t="shared" si="171"/>
        <v>condorProc.py --series 07180929_2116 --donoise --dumps a --procenv environments/pymidas_HVHV_NaI_mf.env</v>
      </c>
      <c r="R4464" t="str">
        <f t="shared" si="172"/>
        <v>ln -s ../../../../midasraw/byseries/07180929_2116 07180929_2116</v>
      </c>
    </row>
    <row r="4465" spans="1:18">
      <c r="A4465" t="s">
        <v>10051</v>
      </c>
      <c r="G4465" s="191"/>
      <c r="H4465" s="210"/>
      <c r="K4465" s="180"/>
      <c r="M4465" t="s">
        <v>4945</v>
      </c>
      <c r="N4465" t="s">
        <v>5571</v>
      </c>
      <c r="O4465" t="s">
        <v>4940</v>
      </c>
      <c r="Q4465" t="str">
        <f t="shared" si="171"/>
        <v>condorProc.py --series 07180929_2126 --donoise --dumps a --procenv environments/pymidas_HVHV_NaI_mf.env</v>
      </c>
      <c r="R4465" t="str">
        <f t="shared" si="172"/>
        <v>ln -s ../../../../midasraw/byseries/07180929_2126 07180929_2126</v>
      </c>
    </row>
    <row r="4466" spans="1:18">
      <c r="A4466" t="s">
        <v>10052</v>
      </c>
      <c r="G4466" s="191"/>
      <c r="H4466" s="210"/>
      <c r="K4466" s="180"/>
      <c r="M4466" t="s">
        <v>4945</v>
      </c>
      <c r="N4466" t="s">
        <v>5571</v>
      </c>
      <c r="O4466" t="s">
        <v>4940</v>
      </c>
      <c r="Q4466" t="str">
        <f t="shared" si="171"/>
        <v>condorProc.py --series 07180929_2136 --donoise --dumps a --procenv environments/pymidas_HVHV_NaI_mf.env</v>
      </c>
      <c r="R4466" t="str">
        <f t="shared" si="172"/>
        <v>ln -s ../../../../midasraw/byseries/07180929_2136 07180929_2136</v>
      </c>
    </row>
    <row r="4467" spans="1:18">
      <c r="A4467" t="s">
        <v>10053</v>
      </c>
      <c r="G4467" s="191"/>
      <c r="H4467" s="210"/>
      <c r="K4467" s="180"/>
      <c r="M4467" t="s">
        <v>4945</v>
      </c>
      <c r="N4467" t="s">
        <v>5571</v>
      </c>
      <c r="O4467" t="s">
        <v>4940</v>
      </c>
      <c r="Q4467" t="str">
        <f t="shared" si="171"/>
        <v>condorProc.py --series 07180929_2147 --donoise --dumps a --procenv environments/pymidas_HVHV_NaI_mf.env</v>
      </c>
      <c r="R4467" t="str">
        <f t="shared" si="172"/>
        <v>ln -s ../../../../midasraw/byseries/07180929_2147 07180929_2147</v>
      </c>
    </row>
    <row r="4468" spans="1:18">
      <c r="A4468" t="s">
        <v>10054</v>
      </c>
      <c r="G4468" s="191"/>
      <c r="H4468" s="210"/>
      <c r="K4468" s="180"/>
      <c r="M4468" t="s">
        <v>4945</v>
      </c>
      <c r="N4468" t="s">
        <v>5571</v>
      </c>
      <c r="O4468" t="s">
        <v>4940</v>
      </c>
      <c r="Q4468" t="str">
        <f t="shared" si="171"/>
        <v>condorProc.py --series 07180929_2157 --donoise --dumps a --procenv environments/pymidas_HVHV_NaI_mf.env</v>
      </c>
      <c r="R4468" t="str">
        <f t="shared" si="172"/>
        <v>ln -s ../../../../midasraw/byseries/07180929_2157 07180929_2157</v>
      </c>
    </row>
    <row r="4469" spans="1:18">
      <c r="A4469" t="s">
        <v>10055</v>
      </c>
      <c r="G4469" s="191"/>
      <c r="H4469" s="210"/>
      <c r="K4469" s="180"/>
      <c r="M4469" t="s">
        <v>4945</v>
      </c>
      <c r="N4469" t="s">
        <v>5571</v>
      </c>
      <c r="O4469" t="s">
        <v>4940</v>
      </c>
      <c r="Q4469" t="str">
        <f t="shared" si="171"/>
        <v>condorProc.py --series 07180929_2207 --donoise --dumps a --procenv environments/pymidas_HVHV_NaI_mf.env</v>
      </c>
      <c r="R4469" t="str">
        <f t="shared" si="172"/>
        <v>ln -s ../../../../midasraw/byseries/07180929_2207 07180929_2207</v>
      </c>
    </row>
    <row r="4470" spans="1:18">
      <c r="A4470" t="s">
        <v>10056</v>
      </c>
      <c r="F4470" s="65"/>
      <c r="G4470" s="193"/>
      <c r="H4470" s="211"/>
      <c r="I4470" s="65" t="s">
        <v>75</v>
      </c>
      <c r="J4470" s="65"/>
      <c r="K4470" s="182"/>
      <c r="L4470" s="1">
        <f>DATE(2000+MID(A4470,3,2),MID(A4470,5,2),MID(A4470,7,2))+TIME(MID(A4470,10,2),MID(A4470,12,2),0)+17/60/24</f>
        <v>43372.94027777778</v>
      </c>
      <c r="M4470" t="s">
        <v>4945</v>
      </c>
      <c r="N4470" t="s">
        <v>5571</v>
      </c>
      <c r="O4470" t="s">
        <v>4940</v>
      </c>
      <c r="Q4470" t="str">
        <f t="shared" si="171"/>
        <v>condorProc.py --series 07180929_2217 --donoise --dumps a --procenv environments/pymidas_HVHV_NaI_mf.env</v>
      </c>
      <c r="R4470" t="str">
        <f t="shared" si="172"/>
        <v>ln -s ../../../../midasraw/byseries/07180929_2217 07180929_2217</v>
      </c>
    </row>
    <row r="4471" spans="1:18">
      <c r="A4471" t="s">
        <v>10057</v>
      </c>
      <c r="F4471" s="177">
        <v>10</v>
      </c>
      <c r="G4471" s="192" t="s">
        <v>2248</v>
      </c>
      <c r="H4471" s="209">
        <v>-125</v>
      </c>
      <c r="I4471" s="177"/>
      <c r="J4471" s="177" t="s">
        <v>5577</v>
      </c>
      <c r="K4471" s="178" t="s">
        <v>5583</v>
      </c>
      <c r="L4471" s="1">
        <f>L4470+L4470-L4458</f>
        <v>43373.057638888888</v>
      </c>
      <c r="M4471" t="s">
        <v>4945</v>
      </c>
      <c r="N4471" t="s">
        <v>5571</v>
      </c>
      <c r="O4471" t="s">
        <v>4940</v>
      </c>
      <c r="Q4471" t="str">
        <f t="shared" si="171"/>
        <v>condorProc.py --series 07180929_2315 --donoise --dumps a --procenv environments/pymidas_HVHV_NaI_mf.env</v>
      </c>
      <c r="R4471" t="str">
        <f t="shared" si="172"/>
        <v>ln -s ../../../../midasraw/byseries/07180929_2315 07180929_2315</v>
      </c>
    </row>
    <row r="4472" spans="1:18">
      <c r="A4472" t="s">
        <v>10058</v>
      </c>
      <c r="G4472" s="191"/>
      <c r="H4472" s="210"/>
      <c r="J4472" t="s">
        <v>5585</v>
      </c>
      <c r="K4472" s="218" t="s">
        <v>5586</v>
      </c>
      <c r="L4472" s="1">
        <f>L4471+L4471-L4470</f>
        <v>43373.174999999996</v>
      </c>
      <c r="M4472" t="s">
        <v>4945</v>
      </c>
      <c r="N4472" t="s">
        <v>5571</v>
      </c>
      <c r="O4472" t="s">
        <v>4940</v>
      </c>
      <c r="Q4472" t="str">
        <f t="shared" si="171"/>
        <v>condorProc.py --series 07180929_2325 --donoise --dumps a --procenv environments/pymidas_HVHV_NaI_mf.env</v>
      </c>
      <c r="R4472" t="str">
        <f t="shared" si="172"/>
        <v>ln -s ../../../../midasraw/byseries/07180929_2325 07180929_2325</v>
      </c>
    </row>
    <row r="4473" spans="1:18">
      <c r="A4473" t="s">
        <v>10059</v>
      </c>
      <c r="G4473" s="191"/>
      <c r="H4473" s="210"/>
      <c r="K4473" s="219" t="s">
        <v>8388</v>
      </c>
      <c r="L4473" s="1">
        <f>L4506</f>
        <v>43373.291666666672</v>
      </c>
      <c r="M4473" t="s">
        <v>4945</v>
      </c>
      <c r="N4473" t="s">
        <v>5571</v>
      </c>
      <c r="O4473" t="s">
        <v>4940</v>
      </c>
      <c r="Q4473" t="str">
        <f t="shared" si="171"/>
        <v>condorProc.py --series 07180929_2335 --donoise --dumps a --procenv environments/pymidas_HVHV_NaI_mf.env</v>
      </c>
      <c r="R4473" t="str">
        <f t="shared" si="172"/>
        <v>ln -s ../../../../midasraw/byseries/07180929_2335 07180929_2335</v>
      </c>
    </row>
    <row r="4474" spans="1:18">
      <c r="A4474" t="s">
        <v>10060</v>
      </c>
      <c r="G4474" s="191"/>
      <c r="H4474" s="210"/>
      <c r="K4474" s="180"/>
      <c r="L4474" s="1">
        <f>L4473+L4473-L4472</f>
        <v>43373.408333333347</v>
      </c>
      <c r="M4474" t="s">
        <v>4945</v>
      </c>
      <c r="N4474" t="s">
        <v>5571</v>
      </c>
      <c r="O4474" t="s">
        <v>4940</v>
      </c>
      <c r="Q4474" t="str">
        <f t="shared" si="171"/>
        <v>condorProc.py --series 07180929_2345 --donoise --dumps a --procenv environments/pymidas_HVHV_NaI_mf.env</v>
      </c>
      <c r="R4474" t="str">
        <f t="shared" si="172"/>
        <v>ln -s ../../../../midasraw/byseries/07180929_2345 07180929_2345</v>
      </c>
    </row>
    <row r="4475" spans="1:18">
      <c r="A4475" t="s">
        <v>10061</v>
      </c>
      <c r="G4475" s="191"/>
      <c r="H4475" s="210"/>
      <c r="K4475" s="180"/>
      <c r="L4475" s="1">
        <f>L4474+L4474-L4473</f>
        <v>43373.525000000023</v>
      </c>
      <c r="M4475" t="s">
        <v>4945</v>
      </c>
      <c r="N4475" t="s">
        <v>5571</v>
      </c>
      <c r="O4475" t="s">
        <v>4940</v>
      </c>
      <c r="Q4475" t="str">
        <f t="shared" si="171"/>
        <v>condorProc.py --series 07180929_2355 --donoise --dumps a --procenv environments/pymidas_HVHV_NaI_mf.env</v>
      </c>
      <c r="R4475" t="str">
        <f t="shared" si="172"/>
        <v>ln -s ../../../../midasraw/byseries/07180929_2355 07180929_2355</v>
      </c>
    </row>
    <row r="4476" spans="1:18">
      <c r="A4476" t="s">
        <v>10062</v>
      </c>
      <c r="G4476" s="191"/>
      <c r="H4476" s="210"/>
      <c r="K4476" s="180"/>
      <c r="L4476" s="1">
        <f>L4475+L4475-L4474</f>
        <v>43373.641666666699</v>
      </c>
      <c r="M4476" t="s">
        <v>4945</v>
      </c>
      <c r="N4476" t="s">
        <v>5571</v>
      </c>
      <c r="O4476" t="s">
        <v>4940</v>
      </c>
      <c r="Q4476" t="str">
        <f t="shared" si="171"/>
        <v>condorProc.py --series 07180930_0005 --donoise --dumps a --procenv environments/pymidas_HVHV_NaI_mf.env</v>
      </c>
      <c r="R4476" t="str">
        <f t="shared" si="172"/>
        <v>ln -s ../../../../midasraw/byseries/07180930_0005 07180930_0005</v>
      </c>
    </row>
    <row r="4477" spans="1:18">
      <c r="A4477" t="s">
        <v>10063</v>
      </c>
      <c r="G4477" s="191"/>
      <c r="H4477" s="210"/>
      <c r="K4477" s="180"/>
      <c r="M4477" t="s">
        <v>4945</v>
      </c>
      <c r="N4477" t="s">
        <v>5571</v>
      </c>
      <c r="O4477" t="s">
        <v>4940</v>
      </c>
      <c r="Q4477" t="str">
        <f t="shared" si="171"/>
        <v>condorProc.py --series 07180930_0015 --donoise --dumps a --procenv environments/pymidas_HVHV_NaI_mf.env</v>
      </c>
      <c r="R4477" t="str">
        <f t="shared" si="172"/>
        <v>ln -s ../../../../midasraw/byseries/07180930_0015 07180930_0015</v>
      </c>
    </row>
    <row r="4478" spans="1:18">
      <c r="A4478" t="s">
        <v>10064</v>
      </c>
      <c r="G4478" s="191"/>
      <c r="H4478" s="210"/>
      <c r="K4478" s="180"/>
      <c r="M4478" t="s">
        <v>4945</v>
      </c>
      <c r="N4478" t="s">
        <v>5571</v>
      </c>
      <c r="O4478" t="s">
        <v>4940</v>
      </c>
      <c r="Q4478" t="str">
        <f t="shared" si="171"/>
        <v>condorProc.py --series 07180930_0025 --donoise --dumps a --procenv environments/pymidas_HVHV_NaI_mf.env</v>
      </c>
      <c r="R4478" t="str">
        <f t="shared" si="172"/>
        <v>ln -s ../../../../midasraw/byseries/07180930_0025 07180930_0025</v>
      </c>
    </row>
    <row r="4479" spans="1:18">
      <c r="A4479" t="s">
        <v>10065</v>
      </c>
      <c r="G4479" s="191"/>
      <c r="H4479" s="210"/>
      <c r="K4479" s="180"/>
      <c r="M4479" t="s">
        <v>4945</v>
      </c>
      <c r="N4479" t="s">
        <v>5571</v>
      </c>
      <c r="O4479" t="s">
        <v>4940</v>
      </c>
      <c r="Q4479" t="str">
        <f t="shared" ref="Q4479:Q4542" si="173">"condorProc.py --series "&amp;A4479&amp;" --donoise --dumps a --procenv environments/pymidas_HVHV_NaI_mf.env"</f>
        <v>condorProc.py --series 07180930_0036 --donoise --dumps a --procenv environments/pymidas_HVHV_NaI_mf.env</v>
      </c>
      <c r="R4479" t="str">
        <f t="shared" si="172"/>
        <v>ln -s ../../../../midasraw/byseries/07180930_0036 07180930_0036</v>
      </c>
    </row>
    <row r="4480" spans="1:18">
      <c r="A4480" t="s">
        <v>10066</v>
      </c>
      <c r="G4480" s="191"/>
      <c r="H4480" s="210"/>
      <c r="K4480" s="180"/>
      <c r="M4480" t="s">
        <v>4945</v>
      </c>
      <c r="N4480" t="s">
        <v>5571</v>
      </c>
      <c r="O4480" t="s">
        <v>4940</v>
      </c>
      <c r="Q4480" t="str">
        <f t="shared" si="173"/>
        <v>condorProc.py --series 07180930_0046 --donoise --dumps a --procenv environments/pymidas_HVHV_NaI_mf.env</v>
      </c>
      <c r="R4480" t="str">
        <f t="shared" ref="R4480:R4542" si="174">"ln -s ../../../../midasraw/byseries/"&amp;A4480&amp;" "&amp;A4480</f>
        <v>ln -s ../../../../midasraw/byseries/07180930_0046 07180930_0046</v>
      </c>
    </row>
    <row r="4481" spans="1:18">
      <c r="A4481" t="s">
        <v>10067</v>
      </c>
      <c r="G4481" s="191"/>
      <c r="H4481" s="210"/>
      <c r="K4481" s="180"/>
      <c r="M4481" t="s">
        <v>4945</v>
      </c>
      <c r="N4481" t="s">
        <v>5571</v>
      </c>
      <c r="O4481" t="s">
        <v>4940</v>
      </c>
      <c r="Q4481" t="str">
        <f t="shared" si="173"/>
        <v>condorProc.py --series 07180930_0056 --donoise --dumps a --procenv environments/pymidas_HVHV_NaI_mf.env</v>
      </c>
      <c r="R4481" t="str">
        <f t="shared" si="174"/>
        <v>ln -s ../../../../midasraw/byseries/07180930_0056 07180930_0056</v>
      </c>
    </row>
    <row r="4482" spans="1:18">
      <c r="A4482" t="s">
        <v>10068</v>
      </c>
      <c r="F4482" s="65"/>
      <c r="G4482" s="193"/>
      <c r="H4482" s="211"/>
      <c r="I4482" s="65"/>
      <c r="J4482" s="65"/>
      <c r="K4482" s="182"/>
      <c r="L4482" s="1">
        <f>DATE(2000+MID(A4482,3,2),MID(A4482,5,2),MID(A4482,7,2))+TIME(MID(A4482,10,2),MID(A4482,12,2),0)+17/60/24</f>
        <v>43373.057638888888</v>
      </c>
      <c r="M4482" t="s">
        <v>4945</v>
      </c>
      <c r="N4482" t="s">
        <v>5571</v>
      </c>
      <c r="O4482" t="s">
        <v>4940</v>
      </c>
      <c r="Q4482" t="str">
        <f t="shared" si="173"/>
        <v>condorProc.py --series 07180930_0106 --donoise --dumps a --procenv environments/pymidas_HVHV_NaI_mf.env</v>
      </c>
      <c r="R4482" t="str">
        <f t="shared" si="174"/>
        <v>ln -s ../../../../midasraw/byseries/07180930_0106 07180930_0106</v>
      </c>
    </row>
    <row r="4483" spans="1:18">
      <c r="A4483" t="s">
        <v>10069</v>
      </c>
      <c r="F4483" s="177">
        <v>10</v>
      </c>
      <c r="G4483" s="192" t="s">
        <v>2248</v>
      </c>
      <c r="H4483" s="209">
        <v>-125</v>
      </c>
      <c r="I4483" s="177"/>
      <c r="J4483" s="177" t="s">
        <v>5577</v>
      </c>
      <c r="K4483" s="178" t="s">
        <v>5583</v>
      </c>
      <c r="M4483" t="s">
        <v>4945</v>
      </c>
      <c r="N4483" t="s">
        <v>5571</v>
      </c>
      <c r="O4483" t="s">
        <v>4940</v>
      </c>
      <c r="Q4483" t="str">
        <f t="shared" si="173"/>
        <v>condorProc.py --series 07180930_0204 --donoise --dumps a --procenv environments/pymidas_HVHV_NaI_mf.env</v>
      </c>
      <c r="R4483" t="str">
        <f t="shared" si="174"/>
        <v>ln -s ../../../../midasraw/byseries/07180930_0204 07180930_0204</v>
      </c>
    </row>
    <row r="4484" spans="1:18">
      <c r="A4484" t="s">
        <v>10070</v>
      </c>
      <c r="G4484" s="191"/>
      <c r="H4484" s="210"/>
      <c r="J4484" t="s">
        <v>5585</v>
      </c>
      <c r="K4484" s="218" t="s">
        <v>5586</v>
      </c>
      <c r="M4484" t="s">
        <v>4945</v>
      </c>
      <c r="N4484" t="s">
        <v>5571</v>
      </c>
      <c r="O4484" t="s">
        <v>4940</v>
      </c>
      <c r="Q4484" t="str">
        <f t="shared" si="173"/>
        <v>condorProc.py --series 07180930_0214 --donoise --dumps a --procenv environments/pymidas_HVHV_NaI_mf.env</v>
      </c>
      <c r="R4484" t="str">
        <f t="shared" si="174"/>
        <v>ln -s ../../../../midasraw/byseries/07180930_0214 07180930_0214</v>
      </c>
    </row>
    <row r="4485" spans="1:18">
      <c r="A4485" t="s">
        <v>10071</v>
      </c>
      <c r="G4485" s="191"/>
      <c r="H4485" s="210"/>
      <c r="K4485" s="219" t="s">
        <v>8388</v>
      </c>
      <c r="M4485" t="s">
        <v>4945</v>
      </c>
      <c r="N4485" t="s">
        <v>5571</v>
      </c>
      <c r="O4485" t="s">
        <v>4940</v>
      </c>
      <c r="Q4485" t="str">
        <f t="shared" si="173"/>
        <v>condorProc.py --series 07180930_0224 --donoise --dumps a --procenv environments/pymidas_HVHV_NaI_mf.env</v>
      </c>
      <c r="R4485" t="str">
        <f t="shared" si="174"/>
        <v>ln -s ../../../../midasraw/byseries/07180930_0224 07180930_0224</v>
      </c>
    </row>
    <row r="4486" spans="1:18">
      <c r="A4486" t="s">
        <v>10072</v>
      </c>
      <c r="G4486" s="191"/>
      <c r="H4486" s="210"/>
      <c r="K4486" s="180"/>
      <c r="M4486" t="s">
        <v>4945</v>
      </c>
      <c r="N4486" t="s">
        <v>5571</v>
      </c>
      <c r="O4486" t="s">
        <v>4940</v>
      </c>
      <c r="Q4486" t="str">
        <f t="shared" si="173"/>
        <v>condorProc.py --series 07180930_0234 --donoise --dumps a --procenv environments/pymidas_HVHV_NaI_mf.env</v>
      </c>
      <c r="R4486" t="str">
        <f t="shared" si="174"/>
        <v>ln -s ../../../../midasraw/byseries/07180930_0234 07180930_0234</v>
      </c>
    </row>
    <row r="4487" spans="1:18">
      <c r="A4487" t="s">
        <v>10073</v>
      </c>
      <c r="G4487" s="191"/>
      <c r="H4487" s="210"/>
      <c r="K4487" s="180"/>
      <c r="M4487" t="s">
        <v>4945</v>
      </c>
      <c r="N4487" t="s">
        <v>5571</v>
      </c>
      <c r="O4487" t="s">
        <v>4940</v>
      </c>
      <c r="Q4487" t="str">
        <f t="shared" si="173"/>
        <v>condorProc.py --series 07180930_0244 --donoise --dumps a --procenv environments/pymidas_HVHV_NaI_mf.env</v>
      </c>
      <c r="R4487" t="str">
        <f t="shared" si="174"/>
        <v>ln -s ../../../../midasraw/byseries/07180930_0244 07180930_0244</v>
      </c>
    </row>
    <row r="4488" spans="1:18">
      <c r="A4488" t="s">
        <v>10074</v>
      </c>
      <c r="G4488" s="191"/>
      <c r="H4488" s="210"/>
      <c r="K4488" s="180"/>
      <c r="M4488" t="s">
        <v>4945</v>
      </c>
      <c r="N4488" t="s">
        <v>5571</v>
      </c>
      <c r="O4488" t="s">
        <v>4940</v>
      </c>
      <c r="Q4488" t="str">
        <f t="shared" si="173"/>
        <v>condorProc.py --series 07180930_0254 --donoise --dumps a --procenv environments/pymidas_HVHV_NaI_mf.env</v>
      </c>
      <c r="R4488" t="str">
        <f t="shared" si="174"/>
        <v>ln -s ../../../../midasraw/byseries/07180930_0254 07180930_0254</v>
      </c>
    </row>
    <row r="4489" spans="1:18">
      <c r="A4489" t="s">
        <v>10075</v>
      </c>
      <c r="G4489" s="191"/>
      <c r="H4489" s="210"/>
      <c r="K4489" s="180"/>
      <c r="M4489" t="s">
        <v>4945</v>
      </c>
      <c r="N4489" t="s">
        <v>5571</v>
      </c>
      <c r="O4489" t="s">
        <v>4940</v>
      </c>
      <c r="Q4489" t="str">
        <f t="shared" si="173"/>
        <v>condorProc.py --series 07180930_0304 --donoise --dumps a --procenv environments/pymidas_HVHV_NaI_mf.env</v>
      </c>
      <c r="R4489" t="str">
        <f t="shared" si="174"/>
        <v>ln -s ../../../../midasraw/byseries/07180930_0304 07180930_0304</v>
      </c>
    </row>
    <row r="4490" spans="1:18">
      <c r="A4490" t="s">
        <v>10076</v>
      </c>
      <c r="G4490" s="191"/>
      <c r="H4490" s="210"/>
      <c r="K4490" s="180"/>
      <c r="M4490" t="s">
        <v>4945</v>
      </c>
      <c r="N4490" t="s">
        <v>5571</v>
      </c>
      <c r="O4490" t="s">
        <v>4940</v>
      </c>
      <c r="Q4490" t="str">
        <f t="shared" si="173"/>
        <v>condorProc.py --series 07180930_0314 --donoise --dumps a --procenv environments/pymidas_HVHV_NaI_mf.env</v>
      </c>
      <c r="R4490" t="str">
        <f t="shared" si="174"/>
        <v>ln -s ../../../../midasraw/byseries/07180930_0314 07180930_0314</v>
      </c>
    </row>
    <row r="4491" spans="1:18">
      <c r="A4491" t="s">
        <v>10077</v>
      </c>
      <c r="G4491" s="191"/>
      <c r="H4491" s="210"/>
      <c r="K4491" s="180"/>
      <c r="M4491" t="s">
        <v>4945</v>
      </c>
      <c r="N4491" t="s">
        <v>5571</v>
      </c>
      <c r="O4491" t="s">
        <v>4940</v>
      </c>
      <c r="Q4491" t="str">
        <f t="shared" si="173"/>
        <v>condorProc.py --series 07180930_0324 --donoise --dumps a --procenv environments/pymidas_HVHV_NaI_mf.env</v>
      </c>
      <c r="R4491" t="str">
        <f t="shared" si="174"/>
        <v>ln -s ../../../../midasraw/byseries/07180930_0324 07180930_0324</v>
      </c>
    </row>
    <row r="4492" spans="1:18">
      <c r="A4492" t="s">
        <v>10078</v>
      </c>
      <c r="G4492" s="191"/>
      <c r="H4492" s="210"/>
      <c r="K4492" s="180"/>
      <c r="M4492" t="s">
        <v>4945</v>
      </c>
      <c r="N4492" t="s">
        <v>5571</v>
      </c>
      <c r="O4492" t="s">
        <v>4940</v>
      </c>
      <c r="Q4492" t="str">
        <f t="shared" si="173"/>
        <v>condorProc.py --series 07180930_0334 --donoise --dumps a --procenv environments/pymidas_HVHV_NaI_mf.env</v>
      </c>
      <c r="R4492" t="str">
        <f t="shared" si="174"/>
        <v>ln -s ../../../../midasraw/byseries/07180930_0334 07180930_0334</v>
      </c>
    </row>
    <row r="4493" spans="1:18">
      <c r="A4493" t="s">
        <v>10079</v>
      </c>
      <c r="G4493" s="191"/>
      <c r="H4493" s="210"/>
      <c r="K4493" s="180"/>
      <c r="M4493" t="s">
        <v>4945</v>
      </c>
      <c r="N4493" t="s">
        <v>5571</v>
      </c>
      <c r="O4493" t="s">
        <v>4940</v>
      </c>
      <c r="Q4493" t="str">
        <f t="shared" si="173"/>
        <v>condorProc.py --series 07180930_0345 --donoise --dumps a --procenv environments/pymidas_HVHV_NaI_mf.env</v>
      </c>
      <c r="R4493" t="str">
        <f t="shared" si="174"/>
        <v>ln -s ../../../../midasraw/byseries/07180930_0345 07180930_0345</v>
      </c>
    </row>
    <row r="4494" spans="1:18">
      <c r="A4494" t="s">
        <v>10080</v>
      </c>
      <c r="F4494" s="65"/>
      <c r="G4494" s="193"/>
      <c r="H4494" s="211"/>
      <c r="I4494" s="65"/>
      <c r="J4494" s="65"/>
      <c r="K4494" s="182"/>
      <c r="L4494" s="1">
        <f>DATE(2000+MID(A4494,3,2),MID(A4494,5,2),MID(A4494,7,2))+TIME(MID(A4494,10,2),MID(A4494,12,2),0)+17/60/24</f>
        <v>43373.175000000003</v>
      </c>
      <c r="M4494" t="s">
        <v>4945</v>
      </c>
      <c r="N4494" t="s">
        <v>5571</v>
      </c>
      <c r="O4494" t="s">
        <v>4940</v>
      </c>
      <c r="Q4494" t="str">
        <f t="shared" si="173"/>
        <v>condorProc.py --series 07180930_0355 --donoise --dumps a --procenv environments/pymidas_HVHV_NaI_mf.env</v>
      </c>
      <c r="R4494" t="str">
        <f t="shared" si="174"/>
        <v>ln -s ../../../../midasraw/byseries/07180930_0355 07180930_0355</v>
      </c>
    </row>
    <row r="4495" spans="1:18">
      <c r="A4495" t="s">
        <v>10081</v>
      </c>
      <c r="F4495" s="177">
        <v>10</v>
      </c>
      <c r="G4495" s="192" t="s">
        <v>2248</v>
      </c>
      <c r="H4495" s="209">
        <v>-125</v>
      </c>
      <c r="I4495" s="177"/>
      <c r="J4495" s="177" t="s">
        <v>5577</v>
      </c>
      <c r="K4495" s="178" t="s">
        <v>5583</v>
      </c>
      <c r="M4495" t="s">
        <v>4945</v>
      </c>
      <c r="N4495" t="s">
        <v>5571</v>
      </c>
      <c r="O4495" t="s">
        <v>4940</v>
      </c>
      <c r="Q4495" t="str">
        <f t="shared" si="173"/>
        <v>condorProc.py --series 07180930_0452 --donoise --dumps a --procenv environments/pymidas_HVHV_NaI_mf.env</v>
      </c>
      <c r="R4495" t="str">
        <f t="shared" si="174"/>
        <v>ln -s ../../../../midasraw/byseries/07180930_0452 07180930_0452</v>
      </c>
    </row>
    <row r="4496" spans="1:18">
      <c r="A4496" t="s">
        <v>10082</v>
      </c>
      <c r="G4496" s="191"/>
      <c r="H4496" s="210"/>
      <c r="J4496" t="s">
        <v>5585</v>
      </c>
      <c r="K4496" s="218" t="s">
        <v>5586</v>
      </c>
      <c r="M4496" t="s">
        <v>4945</v>
      </c>
      <c r="N4496" t="s">
        <v>5571</v>
      </c>
      <c r="O4496" t="s">
        <v>4940</v>
      </c>
      <c r="Q4496" t="str">
        <f t="shared" si="173"/>
        <v>condorProc.py --series 07180930_0502 --donoise --dumps a --procenv environments/pymidas_HVHV_NaI_mf.env</v>
      </c>
      <c r="R4496" t="str">
        <f t="shared" si="174"/>
        <v>ln -s ../../../../midasraw/byseries/07180930_0502 07180930_0502</v>
      </c>
    </row>
    <row r="4497" spans="1:18">
      <c r="A4497" t="s">
        <v>10083</v>
      </c>
      <c r="G4497" s="191"/>
      <c r="H4497" s="210"/>
      <c r="K4497" s="219" t="s">
        <v>8388</v>
      </c>
      <c r="M4497" t="s">
        <v>4945</v>
      </c>
      <c r="N4497" t="s">
        <v>5571</v>
      </c>
      <c r="O4497" t="s">
        <v>4940</v>
      </c>
      <c r="Q4497" t="str">
        <f t="shared" si="173"/>
        <v>condorProc.py --series 07180930_0512 --donoise --dumps a --procenv environments/pymidas_HVHV_NaI_mf.env</v>
      </c>
      <c r="R4497" t="str">
        <f t="shared" si="174"/>
        <v>ln -s ../../../../midasraw/byseries/07180930_0512 07180930_0512</v>
      </c>
    </row>
    <row r="4498" spans="1:18">
      <c r="A4498" t="s">
        <v>10084</v>
      </c>
      <c r="G4498" s="191"/>
      <c r="H4498" s="210"/>
      <c r="K4498" s="180"/>
      <c r="M4498" t="s">
        <v>4945</v>
      </c>
      <c r="N4498" t="s">
        <v>5571</v>
      </c>
      <c r="O4498" t="s">
        <v>4940</v>
      </c>
      <c r="Q4498" t="str">
        <f t="shared" si="173"/>
        <v>condorProc.py --series 07180930_0522 --donoise --dumps a --procenv environments/pymidas_HVHV_NaI_mf.env</v>
      </c>
      <c r="R4498" t="str">
        <f t="shared" si="174"/>
        <v>ln -s ../../../../midasraw/byseries/07180930_0522 07180930_0522</v>
      </c>
    </row>
    <row r="4499" spans="1:18">
      <c r="A4499" t="s">
        <v>10085</v>
      </c>
      <c r="G4499" s="191"/>
      <c r="H4499" s="210"/>
      <c r="K4499" s="180"/>
      <c r="M4499" t="s">
        <v>4945</v>
      </c>
      <c r="N4499" t="s">
        <v>5571</v>
      </c>
      <c r="O4499" t="s">
        <v>4940</v>
      </c>
      <c r="Q4499" t="str">
        <f t="shared" si="173"/>
        <v>condorProc.py --series 07180930_0532 --donoise --dumps a --procenv environments/pymidas_HVHV_NaI_mf.env</v>
      </c>
      <c r="R4499" t="str">
        <f t="shared" si="174"/>
        <v>ln -s ../../../../midasraw/byseries/07180930_0532 07180930_0532</v>
      </c>
    </row>
    <row r="4500" spans="1:18">
      <c r="A4500" t="s">
        <v>10086</v>
      </c>
      <c r="G4500" s="191"/>
      <c r="H4500" s="210"/>
      <c r="K4500" s="180"/>
      <c r="M4500" t="s">
        <v>4945</v>
      </c>
      <c r="N4500" t="s">
        <v>5571</v>
      </c>
      <c r="O4500" t="s">
        <v>4940</v>
      </c>
      <c r="Q4500" t="str">
        <f t="shared" si="173"/>
        <v>condorProc.py --series 07180930_0543 --donoise --dumps a --procenv environments/pymidas_HVHV_NaI_mf.env</v>
      </c>
      <c r="R4500" t="str">
        <f t="shared" si="174"/>
        <v>ln -s ../../../../midasraw/byseries/07180930_0543 07180930_0543</v>
      </c>
    </row>
    <row r="4501" spans="1:18">
      <c r="A4501" t="s">
        <v>10087</v>
      </c>
      <c r="G4501" s="191"/>
      <c r="H4501" s="210"/>
      <c r="K4501" s="180"/>
      <c r="M4501" t="s">
        <v>4945</v>
      </c>
      <c r="N4501" t="s">
        <v>5571</v>
      </c>
      <c r="O4501" t="s">
        <v>4940</v>
      </c>
      <c r="Q4501" t="str">
        <f t="shared" si="173"/>
        <v>condorProc.py --series 07180930_0553 --donoise --dumps a --procenv environments/pymidas_HVHV_NaI_mf.env</v>
      </c>
      <c r="R4501" t="str">
        <f t="shared" si="174"/>
        <v>ln -s ../../../../midasraw/byseries/07180930_0553 07180930_0553</v>
      </c>
    </row>
    <row r="4502" spans="1:18">
      <c r="A4502" t="s">
        <v>10088</v>
      </c>
      <c r="G4502" s="191"/>
      <c r="H4502" s="210"/>
      <c r="K4502" s="180"/>
      <c r="M4502" t="s">
        <v>4945</v>
      </c>
      <c r="N4502" t="s">
        <v>5571</v>
      </c>
      <c r="O4502" t="s">
        <v>4940</v>
      </c>
      <c r="Q4502" t="str">
        <f t="shared" si="173"/>
        <v>condorProc.py --series 07180930_0603 --donoise --dumps a --procenv environments/pymidas_HVHV_NaI_mf.env</v>
      </c>
      <c r="R4502" t="str">
        <f t="shared" si="174"/>
        <v>ln -s ../../../../midasraw/byseries/07180930_0603 07180930_0603</v>
      </c>
    </row>
    <row r="4503" spans="1:18">
      <c r="A4503" t="s">
        <v>10089</v>
      </c>
      <c r="G4503" s="191"/>
      <c r="H4503" s="210"/>
      <c r="K4503" s="180"/>
      <c r="M4503" t="s">
        <v>4945</v>
      </c>
      <c r="N4503" t="s">
        <v>5571</v>
      </c>
      <c r="O4503" t="s">
        <v>4940</v>
      </c>
      <c r="Q4503" t="str">
        <f t="shared" si="173"/>
        <v>condorProc.py --series 07180930_0613 --donoise --dumps a --procenv environments/pymidas_HVHV_NaI_mf.env</v>
      </c>
      <c r="R4503" t="str">
        <f t="shared" si="174"/>
        <v>ln -s ../../../../midasraw/byseries/07180930_0613 07180930_0613</v>
      </c>
    </row>
    <row r="4504" spans="1:18">
      <c r="A4504" t="s">
        <v>10090</v>
      </c>
      <c r="G4504" s="191"/>
      <c r="H4504" s="210"/>
      <c r="K4504" s="180"/>
      <c r="M4504" t="s">
        <v>4945</v>
      </c>
      <c r="N4504" t="s">
        <v>5571</v>
      </c>
      <c r="O4504" t="s">
        <v>4940</v>
      </c>
      <c r="Q4504" t="str">
        <f t="shared" si="173"/>
        <v>condorProc.py --series 07180930_0623 --donoise --dumps a --procenv environments/pymidas_HVHV_NaI_mf.env</v>
      </c>
      <c r="R4504" t="str">
        <f t="shared" si="174"/>
        <v>ln -s ../../../../midasraw/byseries/07180930_0623 07180930_0623</v>
      </c>
    </row>
    <row r="4505" spans="1:18">
      <c r="A4505" t="s">
        <v>10091</v>
      </c>
      <c r="G4505" s="191"/>
      <c r="H4505" s="210"/>
      <c r="K4505" s="180"/>
      <c r="M4505" t="s">
        <v>4945</v>
      </c>
      <c r="N4505" t="s">
        <v>5571</v>
      </c>
      <c r="O4505" t="s">
        <v>4940</v>
      </c>
      <c r="Q4505" t="str">
        <f t="shared" si="173"/>
        <v>condorProc.py --series 07180930_0633 --donoise --dumps a --procenv environments/pymidas_HVHV_NaI_mf.env</v>
      </c>
      <c r="R4505" t="str">
        <f t="shared" si="174"/>
        <v>ln -s ../../../../midasraw/byseries/07180930_0633 07180930_0633</v>
      </c>
    </row>
    <row r="4506" spans="1:18">
      <c r="A4506" t="s">
        <v>10092</v>
      </c>
      <c r="F4506" s="65"/>
      <c r="G4506" s="193"/>
      <c r="H4506" s="211"/>
      <c r="I4506" s="65"/>
      <c r="J4506" s="65"/>
      <c r="K4506" s="182"/>
      <c r="L4506" s="1">
        <f>DATE(2000+MID(A4506,3,2),MID(A4506,5,2),MID(A4506,7,2))+TIME(MID(A4506,10,2),MID(A4506,12,2),0)+17/60/24</f>
        <v>43373.291666666672</v>
      </c>
      <c r="M4506" t="s">
        <v>4945</v>
      </c>
      <c r="N4506" t="s">
        <v>5571</v>
      </c>
      <c r="O4506" t="s">
        <v>4940</v>
      </c>
      <c r="Q4506" t="str">
        <f t="shared" si="173"/>
        <v>condorProc.py --series 07180930_0643 --donoise --dumps a --procenv environments/pymidas_HVHV_NaI_mf.env</v>
      </c>
      <c r="R4506" t="str">
        <f t="shared" si="174"/>
        <v>ln -s ../../../../midasraw/byseries/07180930_0643 07180930_0643</v>
      </c>
    </row>
    <row r="4507" spans="1:18">
      <c r="A4507" t="s">
        <v>10093</v>
      </c>
      <c r="F4507" s="177">
        <v>10</v>
      </c>
      <c r="G4507" s="192" t="s">
        <v>2248</v>
      </c>
      <c r="H4507" s="209">
        <v>-125</v>
      </c>
      <c r="I4507" s="177"/>
      <c r="J4507" s="177" t="s">
        <v>5577</v>
      </c>
      <c r="K4507" s="178" t="s">
        <v>5583</v>
      </c>
      <c r="M4507" t="s">
        <v>4945</v>
      </c>
      <c r="N4507" t="s">
        <v>5571</v>
      </c>
      <c r="O4507" t="s">
        <v>4940</v>
      </c>
      <c r="Q4507" t="str">
        <f t="shared" si="173"/>
        <v>condorProc.py --series 07180930_0741 --donoise --dumps a --procenv environments/pymidas_HVHV_NaI_mf.env</v>
      </c>
      <c r="R4507" t="str">
        <f t="shared" si="174"/>
        <v>ln -s ../../../../midasraw/byseries/07180930_0741 07180930_0741</v>
      </c>
    </row>
    <row r="4508" spans="1:18">
      <c r="A4508" t="s">
        <v>10094</v>
      </c>
      <c r="G4508" s="191"/>
      <c r="H4508" s="210"/>
      <c r="J4508" t="s">
        <v>5585</v>
      </c>
      <c r="K4508" s="218" t="s">
        <v>5586</v>
      </c>
      <c r="M4508" t="s">
        <v>4945</v>
      </c>
      <c r="N4508" t="s">
        <v>5571</v>
      </c>
      <c r="O4508" t="s">
        <v>4940</v>
      </c>
      <c r="Q4508" t="str">
        <f t="shared" si="173"/>
        <v>condorProc.py --series 07180930_0751 --donoise --dumps a --procenv environments/pymidas_HVHV_NaI_mf.env</v>
      </c>
      <c r="R4508" t="str">
        <f t="shared" si="174"/>
        <v>ln -s ../../../../midasraw/byseries/07180930_0751 07180930_0751</v>
      </c>
    </row>
    <row r="4509" spans="1:18">
      <c r="A4509" t="s">
        <v>10095</v>
      </c>
      <c r="G4509" s="191"/>
      <c r="H4509" s="210"/>
      <c r="K4509" s="219" t="s">
        <v>8388</v>
      </c>
      <c r="M4509" t="s">
        <v>4945</v>
      </c>
      <c r="N4509" t="s">
        <v>5571</v>
      </c>
      <c r="O4509" t="s">
        <v>4940</v>
      </c>
      <c r="Q4509" t="str">
        <f t="shared" si="173"/>
        <v>condorProc.py --series 07180930_0801 --donoise --dumps a --procenv environments/pymidas_HVHV_NaI_mf.env</v>
      </c>
      <c r="R4509" t="str">
        <f t="shared" si="174"/>
        <v>ln -s ../../../../midasraw/byseries/07180930_0801 07180930_0801</v>
      </c>
    </row>
    <row r="4510" spans="1:18">
      <c r="A4510" t="s">
        <v>10096</v>
      </c>
      <c r="G4510" s="191"/>
      <c r="H4510" s="210"/>
      <c r="K4510" s="180"/>
      <c r="M4510" t="s">
        <v>4945</v>
      </c>
      <c r="N4510" t="s">
        <v>5571</v>
      </c>
      <c r="O4510" t="s">
        <v>4940</v>
      </c>
      <c r="Q4510" t="str">
        <f t="shared" si="173"/>
        <v>condorProc.py --series 07180930_0811 --donoise --dumps a --procenv environments/pymidas_HVHV_NaI_mf.env</v>
      </c>
      <c r="R4510" t="str">
        <f t="shared" si="174"/>
        <v>ln -s ../../../../midasraw/byseries/07180930_0811 07180930_0811</v>
      </c>
    </row>
    <row r="4511" spans="1:18">
      <c r="A4511" t="s">
        <v>10097</v>
      </c>
      <c r="G4511" s="191"/>
      <c r="H4511" s="210"/>
      <c r="K4511" s="180"/>
      <c r="M4511" t="s">
        <v>4945</v>
      </c>
      <c r="N4511" t="s">
        <v>5571</v>
      </c>
      <c r="O4511" t="s">
        <v>4940</v>
      </c>
      <c r="Q4511" t="str">
        <f t="shared" si="173"/>
        <v>condorProc.py --series 07180930_0821 --donoise --dumps a --procenv environments/pymidas_HVHV_NaI_mf.env</v>
      </c>
      <c r="R4511" t="str">
        <f t="shared" si="174"/>
        <v>ln -s ../../../../midasraw/byseries/07180930_0821 07180930_0821</v>
      </c>
    </row>
    <row r="4512" spans="1:18">
      <c r="A4512" t="s">
        <v>10098</v>
      </c>
      <c r="G4512" s="191"/>
      <c r="H4512" s="210"/>
      <c r="K4512" s="180"/>
      <c r="M4512" t="s">
        <v>4945</v>
      </c>
      <c r="N4512" t="s">
        <v>5571</v>
      </c>
      <c r="O4512" t="s">
        <v>4940</v>
      </c>
      <c r="Q4512" t="str">
        <f t="shared" si="173"/>
        <v>condorProc.py --series 07180930_0831 --donoise --dumps a --procenv environments/pymidas_HVHV_NaI_mf.env</v>
      </c>
      <c r="R4512" t="str">
        <f t="shared" si="174"/>
        <v>ln -s ../../../../midasraw/byseries/07180930_0831 07180930_0831</v>
      </c>
    </row>
    <row r="4513" spans="1:18">
      <c r="A4513" t="s">
        <v>10099</v>
      </c>
      <c r="G4513" s="191"/>
      <c r="H4513" s="210"/>
      <c r="K4513" s="180"/>
      <c r="M4513" t="s">
        <v>4945</v>
      </c>
      <c r="N4513" t="s">
        <v>5571</v>
      </c>
      <c r="O4513" t="s">
        <v>4940</v>
      </c>
      <c r="Q4513" t="str">
        <f t="shared" si="173"/>
        <v>condorProc.py --series 07180930_0841 --donoise --dumps a --procenv environments/pymidas_HVHV_NaI_mf.env</v>
      </c>
      <c r="R4513" t="str">
        <f t="shared" si="174"/>
        <v>ln -s ../../../../midasraw/byseries/07180930_0841 07180930_0841</v>
      </c>
    </row>
    <row r="4514" spans="1:18">
      <c r="A4514" t="s">
        <v>10100</v>
      </c>
      <c r="G4514" s="191"/>
      <c r="H4514" s="210"/>
      <c r="K4514" s="180"/>
      <c r="M4514" t="s">
        <v>4945</v>
      </c>
      <c r="N4514" t="s">
        <v>5571</v>
      </c>
      <c r="O4514" t="s">
        <v>4940</v>
      </c>
      <c r="Q4514" t="str">
        <f t="shared" si="173"/>
        <v>condorProc.py --series 07180930_0852 --donoise --dumps a --procenv environments/pymidas_HVHV_NaI_mf.env</v>
      </c>
      <c r="R4514" t="str">
        <f t="shared" si="174"/>
        <v>ln -s ../../../../midasraw/byseries/07180930_0852 07180930_0852</v>
      </c>
    </row>
    <row r="4515" spans="1:18">
      <c r="A4515" t="s">
        <v>10101</v>
      </c>
      <c r="G4515" s="191"/>
      <c r="H4515" s="210"/>
      <c r="I4515" t="s">
        <v>75</v>
      </c>
      <c r="K4515" s="180"/>
      <c r="M4515" t="s">
        <v>4945</v>
      </c>
      <c r="N4515" t="s">
        <v>5571</v>
      </c>
      <c r="O4515" t="s">
        <v>4940</v>
      </c>
      <c r="Q4515" t="str">
        <f t="shared" si="173"/>
        <v>condorProc.py --series 07180930_0902 --donoise --dumps a --procenv environments/pymidas_HVHV_NaI_mf.env</v>
      </c>
      <c r="R4515" t="str">
        <f t="shared" si="174"/>
        <v>ln -s ../../../../midasraw/byseries/07180930_0902 07180930_0902</v>
      </c>
    </row>
    <row r="4516" spans="1:18">
      <c r="A4516" t="s">
        <v>10102</v>
      </c>
      <c r="G4516" s="191"/>
      <c r="H4516" s="210"/>
      <c r="K4516" s="180"/>
      <c r="M4516" t="s">
        <v>4945</v>
      </c>
      <c r="N4516" t="s">
        <v>5571</v>
      </c>
      <c r="O4516" t="s">
        <v>4940</v>
      </c>
      <c r="Q4516" t="str">
        <f t="shared" si="173"/>
        <v>condorProc.py --series 07180930_0912 --donoise --dumps a --procenv environments/pymidas_HVHV_NaI_mf.env</v>
      </c>
      <c r="R4516" t="str">
        <f t="shared" si="174"/>
        <v>ln -s ../../../../midasraw/byseries/07180930_0912 07180930_0912</v>
      </c>
    </row>
    <row r="4517" spans="1:18">
      <c r="A4517" t="s">
        <v>10103</v>
      </c>
      <c r="G4517" s="191"/>
      <c r="H4517" s="210"/>
      <c r="K4517" s="180"/>
      <c r="M4517" t="s">
        <v>4945</v>
      </c>
      <c r="N4517" t="s">
        <v>5571</v>
      </c>
      <c r="O4517" t="s">
        <v>4940</v>
      </c>
      <c r="Q4517" t="str">
        <f t="shared" si="173"/>
        <v>condorProc.py --series 07180930_0922 --donoise --dumps a --procenv environments/pymidas_HVHV_NaI_mf.env</v>
      </c>
      <c r="R4517" t="str">
        <f t="shared" si="174"/>
        <v>ln -s ../../../../midasraw/byseries/07180930_0922 07180930_0922</v>
      </c>
    </row>
    <row r="4518" spans="1:18">
      <c r="A4518" t="s">
        <v>10104</v>
      </c>
      <c r="F4518" s="65"/>
      <c r="G4518" s="193"/>
      <c r="H4518" s="211"/>
      <c r="I4518" s="65"/>
      <c r="J4518" s="65"/>
      <c r="K4518" s="182"/>
      <c r="M4518" t="s">
        <v>4945</v>
      </c>
      <c r="N4518" t="s">
        <v>5571</v>
      </c>
      <c r="O4518" t="s">
        <v>4940</v>
      </c>
      <c r="Q4518" t="str">
        <f t="shared" si="173"/>
        <v>condorProc.py --series 07180930_0932 --donoise --dumps a --procenv environments/pymidas_HVHV_NaI_mf.env</v>
      </c>
      <c r="R4518" t="str">
        <f t="shared" si="174"/>
        <v>ln -s ../../../../midasraw/byseries/07180930_0932 07180930_0932</v>
      </c>
    </row>
    <row r="4519" spans="1:18">
      <c r="A4519" t="s">
        <v>10105</v>
      </c>
      <c r="F4519" s="177">
        <v>10</v>
      </c>
      <c r="G4519" s="192" t="s">
        <v>2248</v>
      </c>
      <c r="H4519" s="209">
        <v>-125</v>
      </c>
      <c r="I4519" s="177"/>
      <c r="J4519" s="177" t="s">
        <v>5577</v>
      </c>
      <c r="K4519" s="178" t="s">
        <v>5583</v>
      </c>
      <c r="L4519" s="1">
        <f>DATE(2000+MID(A4519,3,2),MID(A4519,5,2),MID(A4519,7,2))+TIME(MID(A4519,10,2),MID(A4519,12,2),0)+(2+7/60)/24</f>
        <v>43373.525694444441</v>
      </c>
      <c r="M4519" t="s">
        <v>4945</v>
      </c>
      <c r="N4519" t="s">
        <v>5571</v>
      </c>
      <c r="O4519" t="s">
        <v>4940</v>
      </c>
      <c r="Q4519" t="str">
        <f t="shared" si="173"/>
        <v>condorProc.py --series 07180930_1030 --donoise --dumps a --procenv environments/pymidas_HVHV_NaI_mf.env</v>
      </c>
      <c r="R4519" t="str">
        <f t="shared" si="174"/>
        <v>ln -s ../../../../midasraw/byseries/07180930_1030 07180930_1030</v>
      </c>
    </row>
    <row r="4520" spans="1:18">
      <c r="A4520" t="s">
        <v>10106</v>
      </c>
      <c r="G4520" s="191"/>
      <c r="H4520" s="210"/>
      <c r="J4520" t="s">
        <v>5585</v>
      </c>
      <c r="K4520" s="218" t="s">
        <v>5586</v>
      </c>
      <c r="L4520" s="158">
        <f>L4519+31/60/24</f>
        <v>43373.547222222216</v>
      </c>
      <c r="M4520" t="s">
        <v>4945</v>
      </c>
      <c r="N4520" t="s">
        <v>5571</v>
      </c>
      <c r="O4520" t="s">
        <v>4940</v>
      </c>
      <c r="Q4520" t="str">
        <f t="shared" si="173"/>
        <v>condorProc.py --series 07180930_1040 --donoise --dumps a --procenv environments/pymidas_HVHV_NaI_mf.env</v>
      </c>
      <c r="R4520" t="str">
        <f t="shared" si="174"/>
        <v>ln -s ../../../../midasraw/byseries/07180930_1040 07180930_1040</v>
      </c>
    </row>
    <row r="4521" spans="1:18">
      <c r="A4521" t="s">
        <v>10107</v>
      </c>
      <c r="G4521" s="191"/>
      <c r="H4521" s="210"/>
      <c r="K4521" s="219" t="s">
        <v>8388</v>
      </c>
      <c r="L4521" s="158">
        <f>DATE(2000+MID(A4519,3,2),MID(A4519,5,2),MID(A4519,7,2))+TIME(MID(A4519,10,2),MID(A4519,12,2),0)+(2+51/60)/24</f>
        <v>43373.556250000001</v>
      </c>
      <c r="M4521" t="s">
        <v>4945</v>
      </c>
      <c r="N4521" t="s">
        <v>5571</v>
      </c>
      <c r="O4521" t="s">
        <v>4940</v>
      </c>
      <c r="Q4521" t="str">
        <f t="shared" si="173"/>
        <v>condorProc.py --series 07180930_1050 --donoise --dumps a --procenv environments/pymidas_HVHV_NaI_mf.env</v>
      </c>
      <c r="R4521" t="str">
        <f t="shared" si="174"/>
        <v>ln -s ../../../../midasraw/byseries/07180930_1050 07180930_1050</v>
      </c>
    </row>
    <row r="4522" spans="1:18">
      <c r="A4522" t="s">
        <v>10108</v>
      </c>
      <c r="G4522" s="191"/>
      <c r="H4522" s="210"/>
      <c r="K4522" s="180"/>
      <c r="M4522" t="s">
        <v>4945</v>
      </c>
      <c r="N4522" t="s">
        <v>5571</v>
      </c>
      <c r="O4522" t="s">
        <v>4940</v>
      </c>
      <c r="Q4522" t="str">
        <f t="shared" si="173"/>
        <v>condorProc.py --series 07180930_1101 --donoise --dumps a --procenv environments/pymidas_HVHV_NaI_mf.env</v>
      </c>
      <c r="R4522" t="str">
        <f t="shared" si="174"/>
        <v>ln -s ../../../../midasraw/byseries/07180930_1101 07180930_1101</v>
      </c>
    </row>
    <row r="4523" spans="1:18">
      <c r="A4523" t="s">
        <v>10109</v>
      </c>
      <c r="G4523" s="191"/>
      <c r="H4523" s="210"/>
      <c r="K4523" s="180"/>
      <c r="M4523" t="s">
        <v>4945</v>
      </c>
      <c r="N4523" t="s">
        <v>5571</v>
      </c>
      <c r="O4523" t="s">
        <v>4940</v>
      </c>
      <c r="Q4523" t="str">
        <f t="shared" si="173"/>
        <v>condorProc.py --series 07180930_1111 --donoise --dumps a --procenv environments/pymidas_HVHV_NaI_mf.env</v>
      </c>
      <c r="R4523" t="str">
        <f t="shared" si="174"/>
        <v>ln -s ../../../../midasraw/byseries/07180930_1111 07180930_1111</v>
      </c>
    </row>
    <row r="4524" spans="1:18">
      <c r="A4524" t="s">
        <v>10110</v>
      </c>
      <c r="G4524" s="191"/>
      <c r="H4524" s="210"/>
      <c r="K4524" s="180"/>
      <c r="M4524" t="s">
        <v>4945</v>
      </c>
      <c r="N4524" t="s">
        <v>5571</v>
      </c>
      <c r="O4524" t="s">
        <v>4940</v>
      </c>
      <c r="Q4524" t="str">
        <f t="shared" si="173"/>
        <v>condorProc.py --series 07180930_1121 --donoise --dumps a --procenv environments/pymidas_HVHV_NaI_mf.env</v>
      </c>
      <c r="R4524" t="str">
        <f t="shared" si="174"/>
        <v>ln -s ../../../../midasraw/byseries/07180930_1121 07180930_1121</v>
      </c>
    </row>
    <row r="4525" spans="1:18">
      <c r="A4525" t="s">
        <v>10111</v>
      </c>
      <c r="G4525" s="191"/>
      <c r="H4525" s="210"/>
      <c r="K4525" s="180"/>
      <c r="M4525" t="s">
        <v>4945</v>
      </c>
      <c r="N4525" t="s">
        <v>5571</v>
      </c>
      <c r="O4525" t="s">
        <v>4940</v>
      </c>
      <c r="Q4525" t="str">
        <f t="shared" si="173"/>
        <v>condorProc.py --series 07180930_1131 --donoise --dumps a --procenv environments/pymidas_HVHV_NaI_mf.env</v>
      </c>
      <c r="R4525" t="str">
        <f t="shared" si="174"/>
        <v>ln -s ../../../../midasraw/byseries/07180930_1131 07180930_1131</v>
      </c>
    </row>
    <row r="4526" spans="1:18">
      <c r="A4526" t="s">
        <v>10112</v>
      </c>
      <c r="G4526" s="191"/>
      <c r="H4526" s="210"/>
      <c r="K4526" s="180"/>
      <c r="M4526" t="s">
        <v>4945</v>
      </c>
      <c r="N4526" t="s">
        <v>5571</v>
      </c>
      <c r="O4526" t="s">
        <v>4940</v>
      </c>
      <c r="Q4526" t="str">
        <f t="shared" si="173"/>
        <v>condorProc.py --series 07180930_1141 --donoise --dumps a --procenv environments/pymidas_HVHV_NaI_mf.env</v>
      </c>
      <c r="R4526" t="str">
        <f t="shared" si="174"/>
        <v>ln -s ../../../../midasraw/byseries/07180930_1141 07180930_1141</v>
      </c>
    </row>
    <row r="4527" spans="1:18">
      <c r="A4527" t="s">
        <v>10113</v>
      </c>
      <c r="G4527" s="191"/>
      <c r="H4527" s="210"/>
      <c r="K4527" s="180"/>
      <c r="M4527" t="s">
        <v>4945</v>
      </c>
      <c r="N4527" t="s">
        <v>5571</v>
      </c>
      <c r="O4527" t="s">
        <v>4940</v>
      </c>
      <c r="Q4527" t="str">
        <f t="shared" si="173"/>
        <v>condorProc.py --series 07180930_1151 --donoise --dumps a --procenv environments/pymidas_HVHV_NaI_mf.env</v>
      </c>
      <c r="R4527" t="str">
        <f t="shared" si="174"/>
        <v>ln -s ../../../../midasraw/byseries/07180930_1151 07180930_1151</v>
      </c>
    </row>
    <row r="4528" spans="1:18">
      <c r="A4528" t="s">
        <v>10114</v>
      </c>
      <c r="G4528" s="191"/>
      <c r="H4528" s="210"/>
      <c r="K4528" s="180"/>
      <c r="M4528" t="s">
        <v>4945</v>
      </c>
      <c r="N4528" t="s">
        <v>5571</v>
      </c>
      <c r="O4528" t="s">
        <v>4940</v>
      </c>
      <c r="Q4528" t="str">
        <f t="shared" si="173"/>
        <v>condorProc.py --series 07180930_1201 --donoise --dumps a --procenv environments/pymidas_HVHV_NaI_mf.env</v>
      </c>
      <c r="R4528" t="str">
        <f t="shared" si="174"/>
        <v>ln -s ../../../../midasraw/byseries/07180930_1201 07180930_1201</v>
      </c>
    </row>
    <row r="4529" spans="1:18">
      <c r="A4529" t="s">
        <v>10115</v>
      </c>
      <c r="G4529" s="191"/>
      <c r="H4529" s="210"/>
      <c r="K4529" s="180"/>
      <c r="M4529" t="s">
        <v>4945</v>
      </c>
      <c r="N4529" t="s">
        <v>5571</v>
      </c>
      <c r="O4529" t="s">
        <v>4940</v>
      </c>
      <c r="Q4529" t="str">
        <f t="shared" si="173"/>
        <v>condorProc.py --series 07180930_1211 --donoise --dumps a --procenv environments/pymidas_HVHV_NaI_mf.env</v>
      </c>
      <c r="R4529" t="str">
        <f t="shared" si="174"/>
        <v>ln -s ../../../../midasraw/byseries/07180930_1211 07180930_1211</v>
      </c>
    </row>
    <row r="4530" spans="1:18">
      <c r="A4530" t="s">
        <v>10116</v>
      </c>
      <c r="F4530" s="65"/>
      <c r="G4530" s="193"/>
      <c r="H4530" s="211"/>
      <c r="I4530" s="65" t="s">
        <v>75</v>
      </c>
      <c r="J4530" s="65"/>
      <c r="K4530" s="182"/>
      <c r="M4530" t="s">
        <v>4945</v>
      </c>
      <c r="N4530" t="s">
        <v>5571</v>
      </c>
      <c r="O4530" t="s">
        <v>4940</v>
      </c>
      <c r="Q4530" t="str">
        <f t="shared" si="173"/>
        <v>condorProc.py --series 07180930_1221 --donoise --dumps a --procenv environments/pymidas_HVHV_NaI_mf.env</v>
      </c>
      <c r="R4530" t="str">
        <f t="shared" si="174"/>
        <v>ln -s ../../../../midasraw/byseries/07180930_1221 07180930_1221</v>
      </c>
    </row>
    <row r="4531" spans="1:18">
      <c r="A4531" t="s">
        <v>10117</v>
      </c>
      <c r="F4531" s="177">
        <v>10</v>
      </c>
      <c r="G4531" s="192" t="s">
        <v>2248</v>
      </c>
      <c r="H4531" s="209">
        <v>-125</v>
      </c>
      <c r="I4531" s="177"/>
      <c r="J4531" s="177" t="s">
        <v>5577</v>
      </c>
      <c r="K4531" s="178" t="s">
        <v>5583</v>
      </c>
      <c r="L4531" s="1"/>
      <c r="M4531" t="s">
        <v>4945</v>
      </c>
      <c r="N4531" t="s">
        <v>5571</v>
      </c>
      <c r="O4531" t="s">
        <v>4940</v>
      </c>
      <c r="Q4531" t="str">
        <f t="shared" si="173"/>
        <v>condorProc.py --series 07180930_1321 --donoise --dumps a --procenv environments/pymidas_HVHV_NaI_mf.env</v>
      </c>
      <c r="R4531" t="str">
        <f t="shared" si="174"/>
        <v>ln -s ../../../../midasraw/byseries/07180930_1321 07180930_1321</v>
      </c>
    </row>
    <row r="4532" spans="1:18">
      <c r="A4532" t="s">
        <v>10118</v>
      </c>
      <c r="G4532" s="191"/>
      <c r="H4532" s="210"/>
      <c r="J4532" t="s">
        <v>5585</v>
      </c>
      <c r="K4532" s="218" t="s">
        <v>5586</v>
      </c>
      <c r="L4532" s="158"/>
      <c r="M4532" t="s">
        <v>4945</v>
      </c>
      <c r="N4532" t="s">
        <v>5571</v>
      </c>
      <c r="O4532" t="s">
        <v>4940</v>
      </c>
      <c r="Q4532" t="str">
        <f t="shared" si="173"/>
        <v>condorProc.py --series 07180930_1331 --donoise --dumps a --procenv environments/pymidas_HVHV_NaI_mf.env</v>
      </c>
      <c r="R4532" t="str">
        <f t="shared" si="174"/>
        <v>ln -s ../../../../midasraw/byseries/07180930_1331 07180930_1331</v>
      </c>
    </row>
    <row r="4533" spans="1:18">
      <c r="A4533" t="s">
        <v>10119</v>
      </c>
      <c r="G4533" s="191"/>
      <c r="H4533" s="210"/>
      <c r="K4533" s="219" t="s">
        <v>8388</v>
      </c>
      <c r="L4533" s="158"/>
      <c r="M4533" t="s">
        <v>4945</v>
      </c>
      <c r="N4533" t="s">
        <v>5571</v>
      </c>
      <c r="O4533" t="s">
        <v>4940</v>
      </c>
      <c r="Q4533" t="str">
        <f t="shared" si="173"/>
        <v>condorProc.py --series 07180930_1341 --donoise --dumps a --procenv environments/pymidas_HVHV_NaI_mf.env</v>
      </c>
      <c r="R4533" t="str">
        <f t="shared" si="174"/>
        <v>ln -s ../../../../midasraw/byseries/07180930_1341 07180930_1341</v>
      </c>
    </row>
    <row r="4534" spans="1:18">
      <c r="A4534" t="s">
        <v>10120</v>
      </c>
      <c r="G4534" s="191"/>
      <c r="H4534" s="210"/>
      <c r="K4534" s="180"/>
      <c r="L4534" s="158"/>
      <c r="M4534" t="s">
        <v>4945</v>
      </c>
      <c r="N4534" t="s">
        <v>5571</v>
      </c>
      <c r="O4534" t="s">
        <v>4940</v>
      </c>
      <c r="Q4534" t="str">
        <f t="shared" si="173"/>
        <v>condorProc.py --series 07180930_1351 --donoise --dumps a --procenv environments/pymidas_HVHV_NaI_mf.env</v>
      </c>
      <c r="R4534" t="str">
        <f t="shared" si="174"/>
        <v>ln -s ../../../../midasraw/byseries/07180930_1351 07180930_1351</v>
      </c>
    </row>
    <row r="4535" spans="1:18">
      <c r="A4535" t="s">
        <v>10121</v>
      </c>
      <c r="G4535" s="191"/>
      <c r="H4535" s="210"/>
      <c r="K4535" s="180"/>
      <c r="L4535" s="158"/>
      <c r="M4535" t="s">
        <v>4945</v>
      </c>
      <c r="N4535" t="s">
        <v>5571</v>
      </c>
      <c r="O4535" t="s">
        <v>4940</v>
      </c>
      <c r="Q4535" t="str">
        <f t="shared" si="173"/>
        <v>condorProc.py --series 07180930_1401 --donoise --dumps a --procenv environments/pymidas_HVHV_NaI_mf.env</v>
      </c>
      <c r="R4535" t="str">
        <f t="shared" si="174"/>
        <v>ln -s ../../../../midasraw/byseries/07180930_1401 07180930_1401</v>
      </c>
    </row>
    <row r="4536" spans="1:18">
      <c r="A4536" t="s">
        <v>10122</v>
      </c>
      <c r="G4536" s="191"/>
      <c r="H4536" s="210"/>
      <c r="K4536" s="180"/>
      <c r="M4536" t="s">
        <v>4945</v>
      </c>
      <c r="N4536" t="s">
        <v>5571</v>
      </c>
      <c r="O4536" t="s">
        <v>4940</v>
      </c>
      <c r="Q4536" t="str">
        <f t="shared" si="173"/>
        <v>condorProc.py --series 07180930_1412 --donoise --dumps a --procenv environments/pymidas_HVHV_NaI_mf.env</v>
      </c>
      <c r="R4536" t="str">
        <f t="shared" si="174"/>
        <v>ln -s ../../../../midasraw/byseries/07180930_1412 07180930_1412</v>
      </c>
    </row>
    <row r="4537" spans="1:18">
      <c r="A4537" t="s">
        <v>10123</v>
      </c>
      <c r="G4537" s="191"/>
      <c r="H4537" s="210"/>
      <c r="K4537" s="180"/>
      <c r="M4537" t="s">
        <v>4945</v>
      </c>
      <c r="N4537" t="s">
        <v>5571</v>
      </c>
      <c r="O4537" t="s">
        <v>4940</v>
      </c>
      <c r="Q4537" t="str">
        <f t="shared" si="173"/>
        <v>condorProc.py --series 07180930_1422 --donoise --dumps a --procenv environments/pymidas_HVHV_NaI_mf.env</v>
      </c>
      <c r="R4537" t="str">
        <f t="shared" si="174"/>
        <v>ln -s ../../../../midasraw/byseries/07180930_1422 07180930_1422</v>
      </c>
    </row>
    <row r="4538" spans="1:18">
      <c r="A4538" t="s">
        <v>10124</v>
      </c>
      <c r="G4538" s="191"/>
      <c r="H4538" s="210"/>
      <c r="K4538" s="180"/>
      <c r="M4538" t="s">
        <v>4945</v>
      </c>
      <c r="N4538" t="s">
        <v>5571</v>
      </c>
      <c r="O4538" t="s">
        <v>4940</v>
      </c>
      <c r="Q4538" t="str">
        <f t="shared" si="173"/>
        <v>condorProc.py --series 07180930_1432 --donoise --dumps a --procenv environments/pymidas_HVHV_NaI_mf.env</v>
      </c>
      <c r="R4538" t="str">
        <f t="shared" si="174"/>
        <v>ln -s ../../../../midasraw/byseries/07180930_1432 07180930_1432</v>
      </c>
    </row>
    <row r="4539" spans="1:18">
      <c r="A4539" t="s">
        <v>10125</v>
      </c>
      <c r="G4539" s="191"/>
      <c r="H4539" s="210"/>
      <c r="K4539" s="180"/>
      <c r="M4539" t="s">
        <v>4945</v>
      </c>
      <c r="N4539" t="s">
        <v>5571</v>
      </c>
      <c r="O4539" t="s">
        <v>4940</v>
      </c>
      <c r="Q4539" t="str">
        <f t="shared" si="173"/>
        <v>condorProc.py --series 07180930_1442 --donoise --dumps a --procenv environments/pymidas_HVHV_NaI_mf.env</v>
      </c>
      <c r="R4539" t="str">
        <f t="shared" si="174"/>
        <v>ln -s ../../../../midasraw/byseries/07180930_1442 07180930_1442</v>
      </c>
    </row>
    <row r="4540" spans="1:18">
      <c r="A4540" t="s">
        <v>10126</v>
      </c>
      <c r="G4540" s="191"/>
      <c r="H4540" s="210"/>
      <c r="K4540" s="180"/>
      <c r="M4540" t="s">
        <v>4945</v>
      </c>
      <c r="N4540" t="s">
        <v>5571</v>
      </c>
      <c r="O4540" t="s">
        <v>4940</v>
      </c>
      <c r="Q4540" t="str">
        <f t="shared" si="173"/>
        <v>condorProc.py --series 07180930_1452 --donoise --dumps a --procenv environments/pymidas_HVHV_NaI_mf.env</v>
      </c>
      <c r="R4540" t="str">
        <f t="shared" si="174"/>
        <v>ln -s ../../../../midasraw/byseries/07180930_1452 07180930_1452</v>
      </c>
    </row>
    <row r="4541" spans="1:18">
      <c r="A4541" t="s">
        <v>10127</v>
      </c>
      <c r="G4541" s="191"/>
      <c r="H4541" s="210"/>
      <c r="K4541" s="180"/>
      <c r="M4541" t="s">
        <v>4945</v>
      </c>
      <c r="N4541" t="s">
        <v>5571</v>
      </c>
      <c r="O4541" t="s">
        <v>4940</v>
      </c>
      <c r="Q4541" t="str">
        <f t="shared" si="173"/>
        <v>condorProc.py --series 07180930_1502 --donoise --dumps a --procenv environments/pymidas_HVHV_NaI_mf.env</v>
      </c>
      <c r="R4541" t="str">
        <f t="shared" si="174"/>
        <v>ln -s ../../../../midasraw/byseries/07180930_1502 07180930_1502</v>
      </c>
    </row>
    <row r="4542" spans="1:18">
      <c r="A4542" t="s">
        <v>10128</v>
      </c>
      <c r="F4542" s="65"/>
      <c r="G4542" s="193"/>
      <c r="H4542" s="211"/>
      <c r="I4542" s="65" t="s">
        <v>75</v>
      </c>
      <c r="J4542" s="65"/>
      <c r="K4542" s="182"/>
      <c r="M4542" t="s">
        <v>4945</v>
      </c>
      <c r="N4542" t="s">
        <v>5571</v>
      </c>
      <c r="O4542" t="s">
        <v>4940</v>
      </c>
      <c r="Q4542" t="str">
        <f t="shared" si="173"/>
        <v>condorProc.py --series 07180930_1512 --donoise --dumps a --procenv environments/pymidas_HVHV_NaI_mf.env</v>
      </c>
      <c r="R4542" t="str">
        <f t="shared" si="174"/>
        <v>ln -s ../../../../midasraw/byseries/07180930_1512 07180930_1512</v>
      </c>
    </row>
    <row r="4543" spans="1:18">
      <c r="A4543" t="s">
        <v>10129</v>
      </c>
      <c r="F4543" s="177">
        <v>10</v>
      </c>
      <c r="G4543" s="192" t="s">
        <v>2248</v>
      </c>
      <c r="H4543" s="209">
        <v>-125</v>
      </c>
      <c r="I4543" s="199" t="s">
        <v>5434</v>
      </c>
      <c r="J4543" s="177" t="s">
        <v>5577</v>
      </c>
      <c r="K4543" s="178" t="s">
        <v>5583</v>
      </c>
    </row>
    <row r="4544" spans="1:18">
      <c r="A4544" t="s">
        <v>10130</v>
      </c>
      <c r="G4544" s="191"/>
      <c r="H4544" s="210"/>
      <c r="I4544" s="197" t="s">
        <v>5434</v>
      </c>
      <c r="J4544" t="s">
        <v>5585</v>
      </c>
      <c r="K4544" s="218" t="s">
        <v>5586</v>
      </c>
    </row>
    <row r="4545" spans="1:18">
      <c r="A4545" t="s">
        <v>10131</v>
      </c>
      <c r="G4545" s="191"/>
      <c r="H4545" s="210"/>
      <c r="I4545" s="197" t="s">
        <v>5434</v>
      </c>
      <c r="K4545" s="219" t="s">
        <v>8388</v>
      </c>
    </row>
    <row r="4546" spans="1:18">
      <c r="A4546" t="s">
        <v>10132</v>
      </c>
      <c r="G4546" s="191"/>
      <c r="H4546" s="210"/>
      <c r="I4546" s="197" t="s">
        <v>5434</v>
      </c>
      <c r="K4546" s="180"/>
    </row>
    <row r="4547" spans="1:18">
      <c r="A4547" t="s">
        <v>10133</v>
      </c>
      <c r="G4547" s="191"/>
      <c r="H4547" s="210"/>
      <c r="I4547" s="197" t="s">
        <v>5434</v>
      </c>
      <c r="K4547" s="180"/>
    </row>
    <row r="4548" spans="1:18">
      <c r="A4548" t="s">
        <v>10134</v>
      </c>
      <c r="G4548" s="191"/>
      <c r="H4548" s="210"/>
      <c r="I4548" s="197" t="s">
        <v>5434</v>
      </c>
      <c r="K4548" s="180"/>
    </row>
    <row r="4549" spans="1:18">
      <c r="A4549" t="s">
        <v>10135</v>
      </c>
      <c r="G4549" s="191"/>
      <c r="H4549" s="210"/>
      <c r="I4549" s="197" t="s">
        <v>5434</v>
      </c>
      <c r="K4549" s="180"/>
    </row>
    <row r="4550" spans="1:18">
      <c r="A4550" t="s">
        <v>10136</v>
      </c>
      <c r="G4550" s="191"/>
      <c r="H4550" s="210"/>
      <c r="I4550" t="s">
        <v>75</v>
      </c>
      <c r="K4550" s="180"/>
      <c r="M4550" t="s">
        <v>4945</v>
      </c>
      <c r="N4550" t="s">
        <v>5571</v>
      </c>
      <c r="O4550" t="s">
        <v>4940</v>
      </c>
      <c r="Q4550" t="str">
        <f t="shared" ref="Q4550:Q4613" si="175">"condorProc.py --series "&amp;A4550&amp;" --donoise --dumps a --procenv environments/pymidas_HVHV_NaI_mf.env"</f>
        <v>condorProc.py --series 07180930_1808 --donoise --dumps a --procenv environments/pymidas_HVHV_NaI_mf.env</v>
      </c>
      <c r="R4550" t="str">
        <f t="shared" ref="R4550:R4613" si="176">"ln -s ../../../../midasraw/byseries/"&amp;A4550&amp;" "&amp;A4550</f>
        <v>ln -s ../../../../midasraw/byseries/07180930_1808 07180930_1808</v>
      </c>
    </row>
    <row r="4551" spans="1:18">
      <c r="A4551" t="s">
        <v>10137</v>
      </c>
      <c r="G4551" s="191"/>
      <c r="H4551" s="210"/>
      <c r="K4551" s="180"/>
      <c r="M4551" t="s">
        <v>4945</v>
      </c>
      <c r="N4551" t="s">
        <v>5571</v>
      </c>
      <c r="O4551" t="s">
        <v>4940</v>
      </c>
      <c r="Q4551" t="str">
        <f t="shared" si="175"/>
        <v>condorProc.py --series 07180930_1818 --donoise --dumps a --procenv environments/pymidas_HVHV_NaI_mf.env</v>
      </c>
      <c r="R4551" t="str">
        <f t="shared" si="176"/>
        <v>ln -s ../../../../midasraw/byseries/07180930_1818 07180930_1818</v>
      </c>
    </row>
    <row r="4552" spans="1:18">
      <c r="A4552" t="s">
        <v>10138</v>
      </c>
      <c r="G4552" s="191"/>
      <c r="H4552" s="210"/>
      <c r="K4552" s="180"/>
      <c r="M4552" t="s">
        <v>4945</v>
      </c>
      <c r="N4552" t="s">
        <v>5571</v>
      </c>
      <c r="O4552" t="s">
        <v>4940</v>
      </c>
      <c r="Q4552" t="str">
        <f t="shared" si="175"/>
        <v>condorProc.py --series 07180930_1829 --donoise --dumps a --procenv environments/pymidas_HVHV_NaI_mf.env</v>
      </c>
      <c r="R4552" t="str">
        <f t="shared" si="176"/>
        <v>ln -s ../../../../midasraw/byseries/07180930_1829 07180930_1829</v>
      </c>
    </row>
    <row r="4553" spans="1:18">
      <c r="A4553" t="s">
        <v>10139</v>
      </c>
      <c r="G4553" s="191"/>
      <c r="H4553" s="210"/>
      <c r="K4553" s="180"/>
      <c r="M4553" t="s">
        <v>4945</v>
      </c>
      <c r="N4553" t="s">
        <v>5571</v>
      </c>
      <c r="O4553" t="s">
        <v>4940</v>
      </c>
      <c r="Q4553" t="str">
        <f t="shared" si="175"/>
        <v>condorProc.py --series 07180930_1839 --donoise --dumps a --procenv environments/pymidas_HVHV_NaI_mf.env</v>
      </c>
      <c r="R4553" t="str">
        <f t="shared" si="176"/>
        <v>ln -s ../../../../midasraw/byseries/07180930_1839 07180930_1839</v>
      </c>
    </row>
    <row r="4554" spans="1:18">
      <c r="A4554" t="s">
        <v>10140</v>
      </c>
      <c r="F4554" s="65"/>
      <c r="G4554" s="193"/>
      <c r="H4554" s="211"/>
      <c r="I4554" s="65" t="s">
        <v>75</v>
      </c>
      <c r="J4554" s="65"/>
      <c r="K4554" s="182"/>
      <c r="M4554" t="s">
        <v>4945</v>
      </c>
      <c r="N4554" t="s">
        <v>5571</v>
      </c>
      <c r="O4554" t="s">
        <v>4940</v>
      </c>
      <c r="Q4554" t="str">
        <f t="shared" si="175"/>
        <v>condorProc.py --series 07180930_1849 --donoise --dumps a --procenv environments/pymidas_HVHV_NaI_mf.env</v>
      </c>
      <c r="R4554" t="str">
        <f t="shared" si="176"/>
        <v>ln -s ../../../../midasraw/byseries/07180930_1849 07180930_1849</v>
      </c>
    </row>
    <row r="4555" spans="1:18">
      <c r="A4555" t="s">
        <v>10141</v>
      </c>
      <c r="F4555" s="177">
        <v>10</v>
      </c>
      <c r="G4555" s="192" t="s">
        <v>2248</v>
      </c>
      <c r="H4555" s="209">
        <v>-125</v>
      </c>
      <c r="I4555" s="177"/>
      <c r="J4555" s="177" t="s">
        <v>5577</v>
      </c>
      <c r="K4555" s="178" t="s">
        <v>5583</v>
      </c>
      <c r="M4555" t="s">
        <v>4945</v>
      </c>
      <c r="N4555" t="s">
        <v>5571</v>
      </c>
      <c r="O4555" t="s">
        <v>4940</v>
      </c>
      <c r="Q4555" t="str">
        <f t="shared" si="175"/>
        <v>condorProc.py --series 07180930_1946 --donoise --dumps a --procenv environments/pymidas_HVHV_NaI_mf.env</v>
      </c>
      <c r="R4555" t="str">
        <f t="shared" si="176"/>
        <v>ln -s ../../../../midasraw/byseries/07180930_1946 07180930_1946</v>
      </c>
    </row>
    <row r="4556" spans="1:18">
      <c r="A4556" t="s">
        <v>10142</v>
      </c>
      <c r="G4556" s="191"/>
      <c r="H4556" s="210"/>
      <c r="J4556" t="s">
        <v>5585</v>
      </c>
      <c r="K4556" s="218" t="s">
        <v>5586</v>
      </c>
      <c r="M4556" t="s">
        <v>4945</v>
      </c>
      <c r="N4556" t="s">
        <v>5571</v>
      </c>
      <c r="O4556" t="s">
        <v>4940</v>
      </c>
      <c r="Q4556" t="str">
        <f t="shared" si="175"/>
        <v>condorProc.py --series 07180930_1956 --donoise --dumps a --procenv environments/pymidas_HVHV_NaI_mf.env</v>
      </c>
      <c r="R4556" t="str">
        <f t="shared" si="176"/>
        <v>ln -s ../../../../midasraw/byseries/07180930_1956 07180930_1956</v>
      </c>
    </row>
    <row r="4557" spans="1:18">
      <c r="A4557" t="s">
        <v>10143</v>
      </c>
      <c r="G4557" s="191"/>
      <c r="H4557" s="210"/>
      <c r="K4557" s="219" t="s">
        <v>8388</v>
      </c>
      <c r="M4557" t="s">
        <v>4945</v>
      </c>
      <c r="N4557" t="s">
        <v>5571</v>
      </c>
      <c r="O4557" t="s">
        <v>4940</v>
      </c>
      <c r="Q4557" t="str">
        <f t="shared" si="175"/>
        <v>condorProc.py --series 07180930_2006 --donoise --dumps a --procenv environments/pymidas_HVHV_NaI_mf.env</v>
      </c>
      <c r="R4557" t="str">
        <f t="shared" si="176"/>
        <v>ln -s ../../../../midasraw/byseries/07180930_2006 07180930_2006</v>
      </c>
    </row>
    <row r="4558" spans="1:18">
      <c r="A4558" t="s">
        <v>10144</v>
      </c>
      <c r="G4558" s="191"/>
      <c r="H4558" s="210"/>
      <c r="K4558" s="180"/>
      <c r="M4558" t="s">
        <v>4945</v>
      </c>
      <c r="N4558" t="s">
        <v>5571</v>
      </c>
      <c r="O4558" t="s">
        <v>4940</v>
      </c>
      <c r="Q4558" t="str">
        <f t="shared" si="175"/>
        <v>condorProc.py --series 07180930_2016 --donoise --dumps a --procenv environments/pymidas_HVHV_NaI_mf.env</v>
      </c>
      <c r="R4558" t="str">
        <f t="shared" si="176"/>
        <v>ln -s ../../../../midasraw/byseries/07180930_2016 07180930_2016</v>
      </c>
    </row>
    <row r="4559" spans="1:18">
      <c r="A4559" t="s">
        <v>10145</v>
      </c>
      <c r="G4559" s="191"/>
      <c r="H4559" s="210"/>
      <c r="K4559" s="180"/>
      <c r="M4559" t="s">
        <v>4945</v>
      </c>
      <c r="N4559" t="s">
        <v>5571</v>
      </c>
      <c r="O4559" t="s">
        <v>4940</v>
      </c>
      <c r="Q4559" t="str">
        <f t="shared" si="175"/>
        <v>condorProc.py --series 07180930_2027 --donoise --dumps a --procenv environments/pymidas_HVHV_NaI_mf.env</v>
      </c>
      <c r="R4559" t="str">
        <f t="shared" si="176"/>
        <v>ln -s ../../../../midasraw/byseries/07180930_2027 07180930_2027</v>
      </c>
    </row>
    <row r="4560" spans="1:18">
      <c r="A4560" t="s">
        <v>10146</v>
      </c>
      <c r="G4560" s="191"/>
      <c r="H4560" s="210"/>
      <c r="K4560" s="180"/>
      <c r="M4560" t="s">
        <v>4945</v>
      </c>
      <c r="N4560" t="s">
        <v>5571</v>
      </c>
      <c r="O4560" t="s">
        <v>4940</v>
      </c>
      <c r="Q4560" t="str">
        <f t="shared" si="175"/>
        <v>condorProc.py --series 07180930_2037 --donoise --dumps a --procenv environments/pymidas_HVHV_NaI_mf.env</v>
      </c>
      <c r="R4560" t="str">
        <f t="shared" si="176"/>
        <v>ln -s ../../../../midasraw/byseries/07180930_2037 07180930_2037</v>
      </c>
    </row>
    <row r="4561" spans="1:18">
      <c r="A4561" t="s">
        <v>10147</v>
      </c>
      <c r="G4561" s="191"/>
      <c r="H4561" s="210"/>
      <c r="K4561" s="180"/>
      <c r="M4561" t="s">
        <v>4945</v>
      </c>
      <c r="N4561" t="s">
        <v>5571</v>
      </c>
      <c r="O4561" t="s">
        <v>4940</v>
      </c>
      <c r="Q4561" t="str">
        <f t="shared" si="175"/>
        <v>condorProc.py --series 07180930_2047 --donoise --dumps a --procenv environments/pymidas_HVHV_NaI_mf.env</v>
      </c>
      <c r="R4561" t="str">
        <f t="shared" si="176"/>
        <v>ln -s ../../../../midasraw/byseries/07180930_2047 07180930_2047</v>
      </c>
    </row>
    <row r="4562" spans="1:18">
      <c r="A4562" t="s">
        <v>10148</v>
      </c>
      <c r="G4562" s="191"/>
      <c r="H4562" s="210"/>
      <c r="K4562" s="180"/>
      <c r="M4562" t="s">
        <v>4945</v>
      </c>
      <c r="N4562" t="s">
        <v>5571</v>
      </c>
      <c r="O4562" t="s">
        <v>4940</v>
      </c>
      <c r="Q4562" t="str">
        <f t="shared" si="175"/>
        <v>condorProc.py --series 07180930_2057 --donoise --dumps a --procenv environments/pymidas_HVHV_NaI_mf.env</v>
      </c>
      <c r="R4562" t="str">
        <f t="shared" si="176"/>
        <v>ln -s ../../../../midasraw/byseries/07180930_2057 07180930_2057</v>
      </c>
    </row>
    <row r="4563" spans="1:18">
      <c r="A4563" t="s">
        <v>10149</v>
      </c>
      <c r="G4563" s="191"/>
      <c r="H4563" s="210"/>
      <c r="K4563" s="180"/>
      <c r="M4563" t="s">
        <v>4945</v>
      </c>
      <c r="N4563" t="s">
        <v>5571</v>
      </c>
      <c r="O4563" t="s">
        <v>4940</v>
      </c>
      <c r="Q4563" t="str">
        <f t="shared" si="175"/>
        <v>condorProc.py --series 07180930_2107 --donoise --dumps a --procenv environments/pymidas_HVHV_NaI_mf.env</v>
      </c>
      <c r="R4563" t="str">
        <f t="shared" si="176"/>
        <v>ln -s ../../../../midasraw/byseries/07180930_2107 07180930_2107</v>
      </c>
    </row>
    <row r="4564" spans="1:18">
      <c r="A4564" t="s">
        <v>10150</v>
      </c>
      <c r="G4564" s="191"/>
      <c r="H4564" s="210"/>
      <c r="K4564" s="180"/>
      <c r="M4564" t="s">
        <v>4945</v>
      </c>
      <c r="N4564" t="s">
        <v>5571</v>
      </c>
      <c r="O4564" t="s">
        <v>4940</v>
      </c>
      <c r="Q4564" t="str">
        <f t="shared" si="175"/>
        <v>condorProc.py --series 07180930_2117 --donoise --dumps a --procenv environments/pymidas_HVHV_NaI_mf.env</v>
      </c>
      <c r="R4564" t="str">
        <f t="shared" si="176"/>
        <v>ln -s ../../../../midasraw/byseries/07180930_2117 07180930_2117</v>
      </c>
    </row>
    <row r="4565" spans="1:18">
      <c r="A4565" t="s">
        <v>10151</v>
      </c>
      <c r="G4565" s="191"/>
      <c r="H4565" s="210"/>
      <c r="K4565" s="180"/>
      <c r="M4565" t="s">
        <v>4945</v>
      </c>
      <c r="N4565" t="s">
        <v>5571</v>
      </c>
      <c r="O4565" t="s">
        <v>4940</v>
      </c>
      <c r="Q4565" t="str">
        <f t="shared" si="175"/>
        <v>condorProc.py --series 07180930_2127 --donoise --dumps a --procenv environments/pymidas_HVHV_NaI_mf.env</v>
      </c>
      <c r="R4565" t="str">
        <f t="shared" si="176"/>
        <v>ln -s ../../../../midasraw/byseries/07180930_2127 07180930_2127</v>
      </c>
    </row>
    <row r="4566" spans="1:18">
      <c r="A4566" t="s">
        <v>10152</v>
      </c>
      <c r="F4566" s="65"/>
      <c r="G4566" s="193"/>
      <c r="H4566" s="211"/>
      <c r="I4566" s="65" t="s">
        <v>75</v>
      </c>
      <c r="J4566" s="65"/>
      <c r="K4566" s="182"/>
      <c r="M4566" t="s">
        <v>4945</v>
      </c>
      <c r="N4566" t="s">
        <v>5571</v>
      </c>
      <c r="O4566" t="s">
        <v>4940</v>
      </c>
      <c r="Q4566" t="str">
        <f t="shared" si="175"/>
        <v>condorProc.py --series 07180930_2137 --donoise --dumps a --procenv environments/pymidas_HVHV_NaI_mf.env</v>
      </c>
      <c r="R4566" t="str">
        <f t="shared" si="176"/>
        <v>ln -s ../../../../midasraw/byseries/07180930_2137 07180930_2137</v>
      </c>
    </row>
    <row r="4567" spans="1:18">
      <c r="A4567" t="s">
        <v>10153</v>
      </c>
      <c r="F4567" s="177">
        <v>10</v>
      </c>
      <c r="G4567" s="192" t="s">
        <v>2248</v>
      </c>
      <c r="H4567" s="209">
        <v>-125</v>
      </c>
      <c r="I4567" s="177"/>
      <c r="J4567" s="177" t="s">
        <v>5577</v>
      </c>
      <c r="K4567" s="178" t="s">
        <v>5583</v>
      </c>
      <c r="M4567" t="s">
        <v>4945</v>
      </c>
      <c r="N4567" t="s">
        <v>5571</v>
      </c>
      <c r="O4567" t="s">
        <v>4940</v>
      </c>
      <c r="Q4567" t="str">
        <f t="shared" si="175"/>
        <v>condorProc.py --series 07180930_2235 --donoise --dumps a --procenv environments/pymidas_HVHV_NaI_mf.env</v>
      </c>
      <c r="R4567" t="str">
        <f t="shared" si="176"/>
        <v>ln -s ../../../../midasraw/byseries/07180930_2235 07180930_2235</v>
      </c>
    </row>
    <row r="4568" spans="1:18">
      <c r="A4568" t="s">
        <v>10154</v>
      </c>
      <c r="G4568" s="191"/>
      <c r="H4568" s="210"/>
      <c r="J4568" t="s">
        <v>5585</v>
      </c>
      <c r="K4568" s="218" t="s">
        <v>5586</v>
      </c>
      <c r="M4568" t="s">
        <v>4945</v>
      </c>
      <c r="N4568" t="s">
        <v>5571</v>
      </c>
      <c r="O4568" t="s">
        <v>4940</v>
      </c>
      <c r="Q4568" t="str">
        <f t="shared" si="175"/>
        <v>condorProc.py --series 07180930_2245 --donoise --dumps a --procenv environments/pymidas_HVHV_NaI_mf.env</v>
      </c>
      <c r="R4568" t="str">
        <f t="shared" si="176"/>
        <v>ln -s ../../../../midasraw/byseries/07180930_2245 07180930_2245</v>
      </c>
    </row>
    <row r="4569" spans="1:18">
      <c r="A4569" t="s">
        <v>10155</v>
      </c>
      <c r="G4569" s="191"/>
      <c r="H4569" s="210"/>
      <c r="K4569" s="219" t="s">
        <v>8388</v>
      </c>
      <c r="M4569" t="s">
        <v>4945</v>
      </c>
      <c r="N4569" t="s">
        <v>5571</v>
      </c>
      <c r="O4569" t="s">
        <v>4940</v>
      </c>
      <c r="Q4569" t="str">
        <f t="shared" si="175"/>
        <v>condorProc.py --series 07180930_2255 --donoise --dumps a --procenv environments/pymidas_HVHV_NaI_mf.env</v>
      </c>
      <c r="R4569" t="str">
        <f t="shared" si="176"/>
        <v>ln -s ../../../../midasraw/byseries/07180930_2255 07180930_2255</v>
      </c>
    </row>
    <row r="4570" spans="1:18">
      <c r="A4570" t="s">
        <v>10156</v>
      </c>
      <c r="G4570" s="191"/>
      <c r="H4570" s="210"/>
      <c r="K4570" s="180"/>
      <c r="M4570" t="s">
        <v>4945</v>
      </c>
      <c r="N4570" t="s">
        <v>5571</v>
      </c>
      <c r="O4570" t="s">
        <v>4940</v>
      </c>
      <c r="Q4570" t="str">
        <f t="shared" si="175"/>
        <v>condorProc.py --series 07180930_2305 --donoise --dumps a --procenv environments/pymidas_HVHV_NaI_mf.env</v>
      </c>
      <c r="R4570" t="str">
        <f t="shared" si="176"/>
        <v>ln -s ../../../../midasraw/byseries/07180930_2305 07180930_2305</v>
      </c>
    </row>
    <row r="4571" spans="1:18">
      <c r="A4571" t="s">
        <v>10157</v>
      </c>
      <c r="G4571" s="191"/>
      <c r="H4571" s="210"/>
      <c r="K4571" s="180"/>
      <c r="M4571" t="s">
        <v>4945</v>
      </c>
      <c r="N4571" t="s">
        <v>5571</v>
      </c>
      <c r="O4571" t="s">
        <v>4940</v>
      </c>
      <c r="Q4571" t="str">
        <f t="shared" si="175"/>
        <v>condorProc.py --series 07180930_2315 --donoise --dumps a --procenv environments/pymidas_HVHV_NaI_mf.env</v>
      </c>
      <c r="R4571" t="str">
        <f t="shared" si="176"/>
        <v>ln -s ../../../../midasraw/byseries/07180930_2315 07180930_2315</v>
      </c>
    </row>
    <row r="4572" spans="1:18">
      <c r="A4572" t="s">
        <v>10158</v>
      </c>
      <c r="G4572" s="191"/>
      <c r="H4572" s="210"/>
      <c r="K4572" s="180"/>
      <c r="M4572" t="s">
        <v>4945</v>
      </c>
      <c r="N4572" t="s">
        <v>5571</v>
      </c>
      <c r="O4572" t="s">
        <v>4940</v>
      </c>
      <c r="Q4572" t="str">
        <f t="shared" si="175"/>
        <v>condorProc.py --series 07180930_2325 --donoise --dumps a --procenv environments/pymidas_HVHV_NaI_mf.env</v>
      </c>
      <c r="R4572" t="str">
        <f t="shared" si="176"/>
        <v>ln -s ../../../../midasraw/byseries/07180930_2325 07180930_2325</v>
      </c>
    </row>
    <row r="4573" spans="1:18">
      <c r="A4573" t="s">
        <v>10159</v>
      </c>
      <c r="G4573" s="191"/>
      <c r="H4573" s="210"/>
      <c r="K4573" s="180"/>
      <c r="M4573" t="s">
        <v>4945</v>
      </c>
      <c r="N4573" t="s">
        <v>5571</v>
      </c>
      <c r="O4573" t="s">
        <v>4940</v>
      </c>
      <c r="Q4573" t="str">
        <f t="shared" si="175"/>
        <v>condorProc.py --series 07180930_2335 --donoise --dumps a --procenv environments/pymidas_HVHV_NaI_mf.env</v>
      </c>
      <c r="R4573" t="str">
        <f t="shared" si="176"/>
        <v>ln -s ../../../../midasraw/byseries/07180930_2335 07180930_2335</v>
      </c>
    </row>
    <row r="4574" spans="1:18">
      <c r="A4574" t="s">
        <v>10160</v>
      </c>
      <c r="G4574" s="191"/>
      <c r="H4574" s="210"/>
      <c r="K4574" s="180"/>
      <c r="M4574" t="s">
        <v>4945</v>
      </c>
      <c r="N4574" t="s">
        <v>5571</v>
      </c>
      <c r="O4574" t="s">
        <v>4940</v>
      </c>
      <c r="Q4574" t="str">
        <f t="shared" si="175"/>
        <v>condorProc.py --series 07180930_2345 --donoise --dumps a --procenv environments/pymidas_HVHV_NaI_mf.env</v>
      </c>
      <c r="R4574" t="str">
        <f t="shared" si="176"/>
        <v>ln -s ../../../../midasraw/byseries/07180930_2345 07180930_2345</v>
      </c>
    </row>
    <row r="4575" spans="1:18">
      <c r="A4575" t="s">
        <v>10161</v>
      </c>
      <c r="G4575" s="191"/>
      <c r="H4575" s="210"/>
      <c r="K4575" s="180"/>
      <c r="M4575" t="s">
        <v>4945</v>
      </c>
      <c r="N4575" t="s">
        <v>5571</v>
      </c>
      <c r="O4575" t="s">
        <v>4940</v>
      </c>
      <c r="Q4575" t="str">
        <f t="shared" si="175"/>
        <v>condorProc.py --series 07180930_2355 --donoise --dumps a --procenv environments/pymidas_HVHV_NaI_mf.env</v>
      </c>
      <c r="R4575" t="str">
        <f t="shared" si="176"/>
        <v>ln -s ../../../../midasraw/byseries/07180930_2355 07180930_2355</v>
      </c>
    </row>
    <row r="4576" spans="1:18">
      <c r="A4576" t="s">
        <v>10162</v>
      </c>
      <c r="G4576" s="191"/>
      <c r="H4576" s="210"/>
      <c r="K4576" s="180"/>
      <c r="M4576" t="s">
        <v>4945</v>
      </c>
      <c r="N4576" t="s">
        <v>5571</v>
      </c>
      <c r="O4576" t="s">
        <v>4940</v>
      </c>
      <c r="Q4576" t="str">
        <f t="shared" si="175"/>
        <v>condorProc.py --series 07181001_0006 --donoise --dumps a --procenv environments/pymidas_HVHV_NaI_mf.env</v>
      </c>
      <c r="R4576" t="str">
        <f t="shared" si="176"/>
        <v>ln -s ../../../../midasraw/byseries/07181001_0006 07181001_0006</v>
      </c>
    </row>
    <row r="4577" spans="1:18">
      <c r="A4577" t="s">
        <v>10163</v>
      </c>
      <c r="G4577" s="191"/>
      <c r="H4577" s="210"/>
      <c r="K4577" s="180"/>
      <c r="M4577" t="s">
        <v>4945</v>
      </c>
      <c r="N4577" t="s">
        <v>5571</v>
      </c>
      <c r="O4577" t="s">
        <v>4940</v>
      </c>
      <c r="Q4577" t="str">
        <f t="shared" si="175"/>
        <v>condorProc.py --series 07181001_0016 --donoise --dumps a --procenv environments/pymidas_HVHV_NaI_mf.env</v>
      </c>
      <c r="R4577" t="str">
        <f t="shared" si="176"/>
        <v>ln -s ../../../../midasraw/byseries/07181001_0016 07181001_0016</v>
      </c>
    </row>
    <row r="4578" spans="1:18">
      <c r="A4578" t="s">
        <v>10164</v>
      </c>
      <c r="F4578" s="65"/>
      <c r="G4578" s="193"/>
      <c r="H4578" s="211"/>
      <c r="I4578" s="65"/>
      <c r="J4578" s="65"/>
      <c r="K4578" s="182"/>
      <c r="M4578" t="s">
        <v>4945</v>
      </c>
      <c r="N4578" t="s">
        <v>5571</v>
      </c>
      <c r="O4578" t="s">
        <v>4940</v>
      </c>
      <c r="Q4578" t="str">
        <f t="shared" si="175"/>
        <v>condorProc.py --series 07181001_0026 --donoise --dumps a --procenv environments/pymidas_HVHV_NaI_mf.env</v>
      </c>
      <c r="R4578" t="str">
        <f t="shared" si="176"/>
        <v>ln -s ../../../../midasraw/byseries/07181001_0026 07181001_0026</v>
      </c>
    </row>
    <row r="4579" spans="1:18">
      <c r="A4579" t="s">
        <v>10165</v>
      </c>
      <c r="F4579" s="177">
        <v>10</v>
      </c>
      <c r="G4579" s="192" t="s">
        <v>2248</v>
      </c>
      <c r="H4579" s="209">
        <v>-125</v>
      </c>
      <c r="I4579" s="177"/>
      <c r="J4579" s="177" t="s">
        <v>5577</v>
      </c>
      <c r="K4579" s="178" t="s">
        <v>5583</v>
      </c>
      <c r="M4579" t="s">
        <v>4945</v>
      </c>
      <c r="N4579" t="s">
        <v>5571</v>
      </c>
      <c r="O4579" t="s">
        <v>4940</v>
      </c>
      <c r="Q4579" t="str">
        <f t="shared" si="175"/>
        <v>condorProc.py --series 07181001_0124 --donoise --dumps a --procenv environments/pymidas_HVHV_NaI_mf.env</v>
      </c>
      <c r="R4579" t="str">
        <f t="shared" si="176"/>
        <v>ln -s ../../../../midasraw/byseries/07181001_0124 07181001_0124</v>
      </c>
    </row>
    <row r="4580" spans="1:18">
      <c r="A4580" t="s">
        <v>10166</v>
      </c>
      <c r="G4580" s="191"/>
      <c r="H4580" s="210"/>
      <c r="J4580" t="s">
        <v>5585</v>
      </c>
      <c r="K4580" s="218" t="s">
        <v>5586</v>
      </c>
      <c r="M4580" t="s">
        <v>4945</v>
      </c>
      <c r="N4580" t="s">
        <v>5571</v>
      </c>
      <c r="O4580" t="s">
        <v>4940</v>
      </c>
      <c r="Q4580" t="str">
        <f t="shared" si="175"/>
        <v>condorProc.py --series 07181001_0134 --donoise --dumps a --procenv environments/pymidas_HVHV_NaI_mf.env</v>
      </c>
      <c r="R4580" t="str">
        <f t="shared" si="176"/>
        <v>ln -s ../../../../midasraw/byseries/07181001_0134 07181001_0134</v>
      </c>
    </row>
    <row r="4581" spans="1:18">
      <c r="A4581" t="s">
        <v>10167</v>
      </c>
      <c r="G4581" s="191"/>
      <c r="H4581" s="210"/>
      <c r="K4581" s="219" t="s">
        <v>8388</v>
      </c>
      <c r="M4581" t="s">
        <v>4945</v>
      </c>
      <c r="N4581" t="s">
        <v>5571</v>
      </c>
      <c r="O4581" t="s">
        <v>4940</v>
      </c>
      <c r="Q4581" t="str">
        <f t="shared" si="175"/>
        <v>condorProc.py --series 07181001_0144 --donoise --dumps a --procenv environments/pymidas_HVHV_NaI_mf.env</v>
      </c>
      <c r="R4581" t="str">
        <f t="shared" si="176"/>
        <v>ln -s ../../../../midasraw/byseries/07181001_0144 07181001_0144</v>
      </c>
    </row>
    <row r="4582" spans="1:18">
      <c r="A4582" t="s">
        <v>10168</v>
      </c>
      <c r="G4582" s="191"/>
      <c r="H4582" s="210"/>
      <c r="K4582" s="180"/>
      <c r="M4582" t="s">
        <v>4945</v>
      </c>
      <c r="N4582" t="s">
        <v>5571</v>
      </c>
      <c r="O4582" t="s">
        <v>4940</v>
      </c>
      <c r="Q4582" t="str">
        <f t="shared" si="175"/>
        <v>condorProc.py --series 07181001_0154 --donoise --dumps a --procenv environments/pymidas_HVHV_NaI_mf.env</v>
      </c>
      <c r="R4582" t="str">
        <f t="shared" si="176"/>
        <v>ln -s ../../../../midasraw/byseries/07181001_0154 07181001_0154</v>
      </c>
    </row>
    <row r="4583" spans="1:18">
      <c r="A4583" t="s">
        <v>10169</v>
      </c>
      <c r="G4583" s="191"/>
      <c r="H4583" s="210"/>
      <c r="K4583" s="180"/>
      <c r="M4583" t="s">
        <v>4945</v>
      </c>
      <c r="N4583" t="s">
        <v>5571</v>
      </c>
      <c r="O4583" t="s">
        <v>4940</v>
      </c>
      <c r="Q4583" t="str">
        <f t="shared" si="175"/>
        <v>condorProc.py --series 07181001_0204 --donoise --dumps a --procenv environments/pymidas_HVHV_NaI_mf.env</v>
      </c>
      <c r="R4583" t="str">
        <f t="shared" si="176"/>
        <v>ln -s ../../../../midasraw/byseries/07181001_0204 07181001_0204</v>
      </c>
    </row>
    <row r="4584" spans="1:18">
      <c r="A4584" t="s">
        <v>10170</v>
      </c>
      <c r="G4584" s="191"/>
      <c r="H4584" s="210"/>
      <c r="K4584" s="180"/>
      <c r="M4584" t="s">
        <v>4945</v>
      </c>
      <c r="N4584" t="s">
        <v>5571</v>
      </c>
      <c r="O4584" t="s">
        <v>4940</v>
      </c>
      <c r="Q4584" t="str">
        <f t="shared" si="175"/>
        <v>condorProc.py --series 07181001_0214 --donoise --dumps a --procenv environments/pymidas_HVHV_NaI_mf.env</v>
      </c>
      <c r="R4584" t="str">
        <f t="shared" si="176"/>
        <v>ln -s ../../../../midasraw/byseries/07181001_0214 07181001_0214</v>
      </c>
    </row>
    <row r="4585" spans="1:18">
      <c r="A4585" t="s">
        <v>10171</v>
      </c>
      <c r="G4585" s="191"/>
      <c r="H4585" s="210"/>
      <c r="K4585" s="180"/>
      <c r="M4585" t="s">
        <v>4945</v>
      </c>
      <c r="N4585" t="s">
        <v>5571</v>
      </c>
      <c r="O4585" t="s">
        <v>4940</v>
      </c>
      <c r="Q4585" t="str">
        <f t="shared" si="175"/>
        <v>condorProc.py --series 07181001_0224 --donoise --dumps a --procenv environments/pymidas_HVHV_NaI_mf.env</v>
      </c>
      <c r="R4585" t="str">
        <f t="shared" si="176"/>
        <v>ln -s ../../../../midasraw/byseries/07181001_0224 07181001_0224</v>
      </c>
    </row>
    <row r="4586" spans="1:18">
      <c r="A4586" t="s">
        <v>10172</v>
      </c>
      <c r="G4586" s="191"/>
      <c r="H4586" s="210"/>
      <c r="K4586" s="180"/>
      <c r="M4586" t="s">
        <v>4945</v>
      </c>
      <c r="N4586" t="s">
        <v>5571</v>
      </c>
      <c r="O4586" t="s">
        <v>4940</v>
      </c>
      <c r="Q4586" t="str">
        <f t="shared" si="175"/>
        <v>condorProc.py --series 07181001_0234 --donoise --dumps a --procenv environments/pymidas_HVHV_NaI_mf.env</v>
      </c>
      <c r="R4586" t="str">
        <f t="shared" si="176"/>
        <v>ln -s ../../../../midasraw/byseries/07181001_0234 07181001_0234</v>
      </c>
    </row>
    <row r="4587" spans="1:18">
      <c r="A4587" t="s">
        <v>10173</v>
      </c>
      <c r="G4587" s="191"/>
      <c r="H4587" s="210"/>
      <c r="K4587" s="180"/>
      <c r="M4587" t="s">
        <v>4945</v>
      </c>
      <c r="N4587" t="s">
        <v>5571</v>
      </c>
      <c r="O4587" t="s">
        <v>4940</v>
      </c>
      <c r="Q4587" t="str">
        <f t="shared" si="175"/>
        <v>condorProc.py --series 07181001_0244 --donoise --dumps a --procenv environments/pymidas_HVHV_NaI_mf.env</v>
      </c>
      <c r="R4587" t="str">
        <f t="shared" si="176"/>
        <v>ln -s ../../../../midasraw/byseries/07181001_0244 07181001_0244</v>
      </c>
    </row>
    <row r="4588" spans="1:18">
      <c r="A4588" t="s">
        <v>10174</v>
      </c>
      <c r="G4588" s="191"/>
      <c r="H4588" s="210"/>
      <c r="K4588" s="180"/>
      <c r="M4588" t="s">
        <v>4945</v>
      </c>
      <c r="N4588" t="s">
        <v>5571</v>
      </c>
      <c r="O4588" t="s">
        <v>4940</v>
      </c>
      <c r="Q4588" t="str">
        <f t="shared" si="175"/>
        <v>condorProc.py --series 07181001_0255 --donoise --dumps a --procenv environments/pymidas_HVHV_NaI_mf.env</v>
      </c>
      <c r="R4588" t="str">
        <f t="shared" si="176"/>
        <v>ln -s ../../../../midasraw/byseries/07181001_0255 07181001_0255</v>
      </c>
    </row>
    <row r="4589" spans="1:18">
      <c r="A4589" t="s">
        <v>10175</v>
      </c>
      <c r="G4589" s="191"/>
      <c r="H4589" s="210"/>
      <c r="K4589" s="180"/>
      <c r="M4589" t="s">
        <v>4945</v>
      </c>
      <c r="N4589" t="s">
        <v>5571</v>
      </c>
      <c r="O4589" t="s">
        <v>4940</v>
      </c>
      <c r="Q4589" t="str">
        <f t="shared" si="175"/>
        <v>condorProc.py --series 07181001_0305 --donoise --dumps a --procenv environments/pymidas_HVHV_NaI_mf.env</v>
      </c>
      <c r="R4589" t="str">
        <f t="shared" si="176"/>
        <v>ln -s ../../../../midasraw/byseries/07181001_0305 07181001_0305</v>
      </c>
    </row>
    <row r="4590" spans="1:18">
      <c r="A4590" t="s">
        <v>10176</v>
      </c>
      <c r="F4590" s="65"/>
      <c r="G4590" s="193"/>
      <c r="H4590" s="211"/>
      <c r="I4590" s="65"/>
      <c r="J4590" s="65"/>
      <c r="K4590" s="182"/>
      <c r="M4590" t="s">
        <v>4945</v>
      </c>
      <c r="N4590" t="s">
        <v>5571</v>
      </c>
      <c r="O4590" t="s">
        <v>4940</v>
      </c>
      <c r="Q4590" t="str">
        <f t="shared" si="175"/>
        <v>condorProc.py --series 07181001_0315 --donoise --dumps a --procenv environments/pymidas_HVHV_NaI_mf.env</v>
      </c>
      <c r="R4590" t="str">
        <f t="shared" si="176"/>
        <v>ln -s ../../../../midasraw/byseries/07181001_0315 07181001_0315</v>
      </c>
    </row>
    <row r="4591" spans="1:18">
      <c r="A4591" t="s">
        <v>10177</v>
      </c>
      <c r="F4591" s="177">
        <v>10</v>
      </c>
      <c r="G4591" s="192" t="s">
        <v>2248</v>
      </c>
      <c r="H4591" s="209">
        <v>-125</v>
      </c>
      <c r="I4591" s="177"/>
      <c r="J4591" s="177" t="s">
        <v>5577</v>
      </c>
      <c r="K4591" s="178" t="s">
        <v>5583</v>
      </c>
      <c r="M4591" t="s">
        <v>4945</v>
      </c>
      <c r="N4591" t="s">
        <v>5571</v>
      </c>
      <c r="O4591" t="s">
        <v>4940</v>
      </c>
      <c r="Q4591" t="str">
        <f t="shared" si="175"/>
        <v>condorProc.py --series 07181001_0412 --donoise --dumps a --procenv environments/pymidas_HVHV_NaI_mf.env</v>
      </c>
      <c r="R4591" t="str">
        <f t="shared" si="176"/>
        <v>ln -s ../../../../midasraw/byseries/07181001_0412 07181001_0412</v>
      </c>
    </row>
    <row r="4592" spans="1:18">
      <c r="A4592" t="s">
        <v>10178</v>
      </c>
      <c r="G4592" s="191"/>
      <c r="H4592" s="210"/>
      <c r="J4592" t="s">
        <v>5585</v>
      </c>
      <c r="K4592" s="218" t="s">
        <v>5586</v>
      </c>
      <c r="M4592" t="s">
        <v>4945</v>
      </c>
      <c r="N4592" t="s">
        <v>5571</v>
      </c>
      <c r="O4592" t="s">
        <v>4940</v>
      </c>
      <c r="Q4592" t="str">
        <f t="shared" si="175"/>
        <v>condorProc.py --series 07181001_0422 --donoise --dumps a --procenv environments/pymidas_HVHV_NaI_mf.env</v>
      </c>
      <c r="R4592" t="str">
        <f t="shared" si="176"/>
        <v>ln -s ../../../../midasraw/byseries/07181001_0422 07181001_0422</v>
      </c>
    </row>
    <row r="4593" spans="1:18">
      <c r="A4593" t="s">
        <v>10179</v>
      </c>
      <c r="G4593" s="191"/>
      <c r="H4593" s="210"/>
      <c r="K4593" s="219" t="s">
        <v>8388</v>
      </c>
      <c r="M4593" t="s">
        <v>4945</v>
      </c>
      <c r="N4593" t="s">
        <v>5571</v>
      </c>
      <c r="O4593" t="s">
        <v>4940</v>
      </c>
      <c r="Q4593" t="str">
        <f t="shared" si="175"/>
        <v>condorProc.py --series 07181001_0432 --donoise --dumps a --procenv environments/pymidas_HVHV_NaI_mf.env</v>
      </c>
      <c r="R4593" t="str">
        <f t="shared" si="176"/>
        <v>ln -s ../../../../midasraw/byseries/07181001_0432 07181001_0432</v>
      </c>
    </row>
    <row r="4594" spans="1:18">
      <c r="A4594" t="s">
        <v>10180</v>
      </c>
      <c r="G4594" s="191"/>
      <c r="H4594" s="210"/>
      <c r="K4594" s="180"/>
      <c r="M4594" t="s">
        <v>4945</v>
      </c>
      <c r="N4594" t="s">
        <v>5571</v>
      </c>
      <c r="O4594" t="s">
        <v>4940</v>
      </c>
      <c r="Q4594" t="str">
        <f t="shared" si="175"/>
        <v>condorProc.py --series 07181001_0443 --donoise --dumps a --procenv environments/pymidas_HVHV_NaI_mf.env</v>
      </c>
      <c r="R4594" t="str">
        <f t="shared" si="176"/>
        <v>ln -s ../../../../midasraw/byseries/07181001_0443 07181001_0443</v>
      </c>
    </row>
    <row r="4595" spans="1:18">
      <c r="A4595" t="s">
        <v>10181</v>
      </c>
      <c r="G4595" s="191"/>
      <c r="H4595" s="210"/>
      <c r="K4595" s="180"/>
      <c r="M4595" t="s">
        <v>4945</v>
      </c>
      <c r="N4595" t="s">
        <v>5571</v>
      </c>
      <c r="O4595" t="s">
        <v>4940</v>
      </c>
      <c r="Q4595" t="str">
        <f t="shared" si="175"/>
        <v>condorProc.py --series 07181001_0453 --donoise --dumps a --procenv environments/pymidas_HVHV_NaI_mf.env</v>
      </c>
      <c r="R4595" t="str">
        <f t="shared" si="176"/>
        <v>ln -s ../../../../midasraw/byseries/07181001_0453 07181001_0453</v>
      </c>
    </row>
    <row r="4596" spans="1:18">
      <c r="A4596" t="s">
        <v>10182</v>
      </c>
      <c r="G4596" s="191"/>
      <c r="H4596" s="210"/>
      <c r="K4596" s="180"/>
      <c r="M4596" t="s">
        <v>4945</v>
      </c>
      <c r="N4596" t="s">
        <v>5571</v>
      </c>
      <c r="O4596" t="s">
        <v>4940</v>
      </c>
      <c r="Q4596" t="str">
        <f t="shared" si="175"/>
        <v>condorProc.py --series 07181001_0503 --donoise --dumps a --procenv environments/pymidas_HVHV_NaI_mf.env</v>
      </c>
      <c r="R4596" t="str">
        <f t="shared" si="176"/>
        <v>ln -s ../../../../midasraw/byseries/07181001_0503 07181001_0503</v>
      </c>
    </row>
    <row r="4597" spans="1:18">
      <c r="A4597" t="s">
        <v>10183</v>
      </c>
      <c r="G4597" s="191"/>
      <c r="H4597" s="210"/>
      <c r="K4597" s="180"/>
      <c r="M4597" t="s">
        <v>4945</v>
      </c>
      <c r="N4597" t="s">
        <v>5571</v>
      </c>
      <c r="O4597" t="s">
        <v>4940</v>
      </c>
      <c r="Q4597" t="str">
        <f t="shared" si="175"/>
        <v>condorProc.py --series 07181001_0513 --donoise --dumps a --procenv environments/pymidas_HVHV_NaI_mf.env</v>
      </c>
      <c r="R4597" t="str">
        <f t="shared" si="176"/>
        <v>ln -s ../../../../midasraw/byseries/07181001_0513 07181001_0513</v>
      </c>
    </row>
    <row r="4598" spans="1:18">
      <c r="A4598" t="s">
        <v>10184</v>
      </c>
      <c r="G4598" s="191"/>
      <c r="H4598" s="210"/>
      <c r="K4598" s="180"/>
      <c r="M4598" t="s">
        <v>4945</v>
      </c>
      <c r="N4598" t="s">
        <v>5571</v>
      </c>
      <c r="O4598" t="s">
        <v>4940</v>
      </c>
      <c r="Q4598" t="str">
        <f t="shared" si="175"/>
        <v>condorProc.py --series 07181001_0523 --donoise --dumps a --procenv environments/pymidas_HVHV_NaI_mf.env</v>
      </c>
      <c r="R4598" t="str">
        <f t="shared" si="176"/>
        <v>ln -s ../../../../midasraw/byseries/07181001_0523 07181001_0523</v>
      </c>
    </row>
    <row r="4599" spans="1:18">
      <c r="A4599" t="s">
        <v>10185</v>
      </c>
      <c r="G4599" s="191"/>
      <c r="H4599" s="210"/>
      <c r="K4599" s="180"/>
      <c r="M4599" t="s">
        <v>4945</v>
      </c>
      <c r="N4599" t="s">
        <v>5571</v>
      </c>
      <c r="O4599" t="s">
        <v>4940</v>
      </c>
      <c r="Q4599" t="str">
        <f t="shared" si="175"/>
        <v>condorProc.py --series 07181001_0533 --donoise --dumps a --procenv environments/pymidas_HVHV_NaI_mf.env</v>
      </c>
      <c r="R4599" t="str">
        <f t="shared" si="176"/>
        <v>ln -s ../../../../midasraw/byseries/07181001_0533 07181001_0533</v>
      </c>
    </row>
    <row r="4600" spans="1:18">
      <c r="A4600" t="s">
        <v>10186</v>
      </c>
      <c r="G4600" s="191"/>
      <c r="H4600" s="210"/>
      <c r="K4600" s="180"/>
      <c r="M4600" t="s">
        <v>4945</v>
      </c>
      <c r="N4600" t="s">
        <v>5571</v>
      </c>
      <c r="O4600" t="s">
        <v>4940</v>
      </c>
      <c r="Q4600" t="str">
        <f t="shared" si="175"/>
        <v>condorProc.py --series 07181001_0543 --donoise --dumps a --procenv environments/pymidas_HVHV_NaI_mf.env</v>
      </c>
      <c r="R4600" t="str">
        <f t="shared" si="176"/>
        <v>ln -s ../../../../midasraw/byseries/07181001_0543 07181001_0543</v>
      </c>
    </row>
    <row r="4601" spans="1:18">
      <c r="A4601" t="s">
        <v>10187</v>
      </c>
      <c r="G4601" s="191"/>
      <c r="H4601" s="210"/>
      <c r="K4601" s="180"/>
      <c r="M4601" t="s">
        <v>4945</v>
      </c>
      <c r="N4601" t="s">
        <v>5571</v>
      </c>
      <c r="O4601" t="s">
        <v>4940</v>
      </c>
      <c r="Q4601" t="str">
        <f t="shared" si="175"/>
        <v>condorProc.py --series 07181001_0553 --donoise --dumps a --procenv environments/pymidas_HVHV_NaI_mf.env</v>
      </c>
      <c r="R4601" t="str">
        <f t="shared" si="176"/>
        <v>ln -s ../../../../midasraw/byseries/07181001_0553 07181001_0553</v>
      </c>
    </row>
    <row r="4602" spans="1:18">
      <c r="A4602" t="s">
        <v>10188</v>
      </c>
      <c r="F4602" s="65"/>
      <c r="G4602" s="193"/>
      <c r="H4602" s="211"/>
      <c r="I4602" s="65"/>
      <c r="J4602" s="65"/>
      <c r="K4602" s="182"/>
      <c r="M4602" t="s">
        <v>4945</v>
      </c>
      <c r="N4602" t="s">
        <v>5571</v>
      </c>
      <c r="O4602" t="s">
        <v>4940</v>
      </c>
      <c r="Q4602" t="str">
        <f t="shared" si="175"/>
        <v>condorProc.py --series 07181001_0603 --donoise --dumps a --procenv environments/pymidas_HVHV_NaI_mf.env</v>
      </c>
      <c r="R4602" t="str">
        <f t="shared" si="176"/>
        <v>ln -s ../../../../midasraw/byseries/07181001_0603 07181001_0603</v>
      </c>
    </row>
    <row r="4603" spans="1:18">
      <c r="A4603" t="s">
        <v>10189</v>
      </c>
      <c r="F4603" s="177">
        <v>10</v>
      </c>
      <c r="G4603" s="192" t="s">
        <v>2248</v>
      </c>
      <c r="H4603" s="209">
        <v>-125</v>
      </c>
      <c r="I4603" s="177"/>
      <c r="J4603" s="177" t="s">
        <v>5577</v>
      </c>
      <c r="K4603" s="178" t="s">
        <v>5583</v>
      </c>
      <c r="M4603" t="s">
        <v>4945</v>
      </c>
      <c r="N4603" t="s">
        <v>5571</v>
      </c>
      <c r="O4603" t="s">
        <v>4940</v>
      </c>
      <c r="Q4603" t="str">
        <f t="shared" si="175"/>
        <v>condorProc.py --series 07181001_0701 --donoise --dumps a --procenv environments/pymidas_HVHV_NaI_mf.env</v>
      </c>
      <c r="R4603" t="str">
        <f t="shared" si="176"/>
        <v>ln -s ../../../../midasraw/byseries/07181001_0701 07181001_0701</v>
      </c>
    </row>
    <row r="4604" spans="1:18">
      <c r="A4604" t="s">
        <v>10190</v>
      </c>
      <c r="G4604" s="191"/>
      <c r="H4604" s="210"/>
      <c r="J4604" t="s">
        <v>5585</v>
      </c>
      <c r="K4604" s="218" t="s">
        <v>5586</v>
      </c>
      <c r="M4604" t="s">
        <v>4945</v>
      </c>
      <c r="N4604" t="s">
        <v>5571</v>
      </c>
      <c r="O4604" t="s">
        <v>4940</v>
      </c>
      <c r="Q4604" t="str">
        <f t="shared" si="175"/>
        <v>condorProc.py --series 07181001_0711 --donoise --dumps a --procenv environments/pymidas_HVHV_NaI_mf.env</v>
      </c>
      <c r="R4604" t="str">
        <f t="shared" si="176"/>
        <v>ln -s ../../../../midasraw/byseries/07181001_0711 07181001_0711</v>
      </c>
    </row>
    <row r="4605" spans="1:18">
      <c r="A4605" t="s">
        <v>10191</v>
      </c>
      <c r="G4605" s="191"/>
      <c r="H4605" s="210"/>
      <c r="I4605" t="s">
        <v>75</v>
      </c>
      <c r="K4605" s="219" t="s">
        <v>8388</v>
      </c>
      <c r="M4605" t="s">
        <v>4945</v>
      </c>
      <c r="N4605" t="s">
        <v>5571</v>
      </c>
      <c r="O4605" t="s">
        <v>4940</v>
      </c>
      <c r="Q4605" t="str">
        <f t="shared" si="175"/>
        <v>condorProc.py --series 07181001_0721 --donoise --dumps a --procenv environments/pymidas_HVHV_NaI_mf.env</v>
      </c>
      <c r="R4605" t="str">
        <f t="shared" si="176"/>
        <v>ln -s ../../../../midasraw/byseries/07181001_0721 07181001_0721</v>
      </c>
    </row>
    <row r="4606" spans="1:18">
      <c r="A4606" t="s">
        <v>10192</v>
      </c>
      <c r="G4606" s="191"/>
      <c r="H4606" s="210"/>
      <c r="K4606" s="180"/>
      <c r="M4606" t="s">
        <v>4945</v>
      </c>
      <c r="N4606" t="s">
        <v>5571</v>
      </c>
      <c r="O4606" t="s">
        <v>4940</v>
      </c>
      <c r="Q4606" t="str">
        <f t="shared" si="175"/>
        <v>condorProc.py --series 07181001_0731 --donoise --dumps a --procenv environments/pymidas_HVHV_NaI_mf.env</v>
      </c>
      <c r="R4606" t="str">
        <f t="shared" si="176"/>
        <v>ln -s ../../../../midasraw/byseries/07181001_0731 07181001_0731</v>
      </c>
    </row>
    <row r="4607" spans="1:18">
      <c r="A4607" t="s">
        <v>10193</v>
      </c>
      <c r="G4607" s="191"/>
      <c r="H4607" s="210"/>
      <c r="K4607" s="180"/>
      <c r="M4607" t="s">
        <v>4945</v>
      </c>
      <c r="N4607" t="s">
        <v>5571</v>
      </c>
      <c r="O4607" t="s">
        <v>4940</v>
      </c>
      <c r="Q4607" t="str">
        <f t="shared" si="175"/>
        <v>condorProc.py --series 07181001_0741 --donoise --dumps a --procenv environments/pymidas_HVHV_NaI_mf.env</v>
      </c>
      <c r="R4607" t="str">
        <f t="shared" si="176"/>
        <v>ln -s ../../../../midasraw/byseries/07181001_0741 07181001_0741</v>
      </c>
    </row>
    <row r="4608" spans="1:18">
      <c r="A4608" t="s">
        <v>10194</v>
      </c>
      <c r="G4608" s="191"/>
      <c r="H4608" s="210"/>
      <c r="K4608" s="180"/>
      <c r="M4608" t="s">
        <v>4945</v>
      </c>
      <c r="N4608" t="s">
        <v>5571</v>
      </c>
      <c r="O4608" t="s">
        <v>4940</v>
      </c>
      <c r="Q4608" t="str">
        <f t="shared" si="175"/>
        <v>condorProc.py --series 07181001_0751 --donoise --dumps a --procenv environments/pymidas_HVHV_NaI_mf.env</v>
      </c>
      <c r="R4608" t="str">
        <f t="shared" si="176"/>
        <v>ln -s ../../../../midasraw/byseries/07181001_0751 07181001_0751</v>
      </c>
    </row>
    <row r="4609" spans="1:18">
      <c r="A4609" t="s">
        <v>10195</v>
      </c>
      <c r="G4609" s="191"/>
      <c r="H4609" s="210"/>
      <c r="K4609" s="180"/>
      <c r="M4609" t="s">
        <v>4945</v>
      </c>
      <c r="N4609" t="s">
        <v>5571</v>
      </c>
      <c r="O4609" t="s">
        <v>4940</v>
      </c>
      <c r="Q4609" t="str">
        <f t="shared" si="175"/>
        <v>condorProc.py --series 07181001_0802 --donoise --dumps a --procenv environments/pymidas_HVHV_NaI_mf.env</v>
      </c>
      <c r="R4609" t="str">
        <f t="shared" si="176"/>
        <v>ln -s ../../../../midasraw/byseries/07181001_0802 07181001_0802</v>
      </c>
    </row>
    <row r="4610" spans="1:18">
      <c r="A4610" t="s">
        <v>10196</v>
      </c>
      <c r="G4610" s="191"/>
      <c r="H4610" s="210"/>
      <c r="K4610" s="180"/>
      <c r="M4610" t="s">
        <v>4945</v>
      </c>
      <c r="N4610" t="s">
        <v>5571</v>
      </c>
      <c r="O4610" t="s">
        <v>4940</v>
      </c>
      <c r="Q4610" t="str">
        <f t="shared" si="175"/>
        <v>condorProc.py --series 07181001_0812 --donoise --dumps a --procenv environments/pymidas_HVHV_NaI_mf.env</v>
      </c>
      <c r="R4610" t="str">
        <f t="shared" si="176"/>
        <v>ln -s ../../../../midasraw/byseries/07181001_0812 07181001_0812</v>
      </c>
    </row>
    <row r="4611" spans="1:18">
      <c r="A4611" t="s">
        <v>10197</v>
      </c>
      <c r="G4611" s="191"/>
      <c r="H4611" s="210"/>
      <c r="K4611" s="180"/>
      <c r="M4611" t="s">
        <v>4945</v>
      </c>
      <c r="N4611" t="s">
        <v>5571</v>
      </c>
      <c r="O4611" t="s">
        <v>4940</v>
      </c>
      <c r="Q4611" t="str">
        <f t="shared" si="175"/>
        <v>condorProc.py --series 07181001_0822 --donoise --dumps a --procenv environments/pymidas_HVHV_NaI_mf.env</v>
      </c>
      <c r="R4611" t="str">
        <f t="shared" si="176"/>
        <v>ln -s ../../../../midasraw/byseries/07181001_0822 07181001_0822</v>
      </c>
    </row>
    <row r="4612" spans="1:18">
      <c r="A4612" t="s">
        <v>10198</v>
      </c>
      <c r="G4612" s="191"/>
      <c r="H4612" s="210"/>
      <c r="K4612" s="180"/>
      <c r="M4612" t="s">
        <v>4945</v>
      </c>
      <c r="N4612" t="s">
        <v>5571</v>
      </c>
      <c r="O4612" t="s">
        <v>4940</v>
      </c>
      <c r="Q4612" t="str">
        <f t="shared" si="175"/>
        <v>condorProc.py --series 07181001_0832 --donoise --dumps a --procenv environments/pymidas_HVHV_NaI_mf.env</v>
      </c>
      <c r="R4612" t="str">
        <f t="shared" si="176"/>
        <v>ln -s ../../../../midasraw/byseries/07181001_0832 07181001_0832</v>
      </c>
    </row>
    <row r="4613" spans="1:18">
      <c r="A4613" t="s">
        <v>10199</v>
      </c>
      <c r="G4613" s="191"/>
      <c r="H4613" s="210"/>
      <c r="K4613" s="180"/>
      <c r="M4613" t="s">
        <v>4945</v>
      </c>
      <c r="N4613" t="s">
        <v>5571</v>
      </c>
      <c r="O4613" t="s">
        <v>4940</v>
      </c>
      <c r="Q4613" t="str">
        <f t="shared" si="175"/>
        <v>condorProc.py --series 07181001_0842 --donoise --dumps a --procenv environments/pymidas_HVHV_NaI_mf.env</v>
      </c>
      <c r="R4613" t="str">
        <f t="shared" si="176"/>
        <v>ln -s ../../../../midasraw/byseries/07181001_0842 07181001_0842</v>
      </c>
    </row>
    <row r="4614" spans="1:18">
      <c r="A4614" t="s">
        <v>10200</v>
      </c>
      <c r="F4614" s="65"/>
      <c r="G4614" s="193"/>
      <c r="H4614" s="211"/>
      <c r="I4614" s="65" t="s">
        <v>75</v>
      </c>
      <c r="J4614" s="65"/>
      <c r="K4614" s="182"/>
      <c r="M4614" t="s">
        <v>4945</v>
      </c>
      <c r="N4614" t="s">
        <v>5571</v>
      </c>
      <c r="O4614" t="s">
        <v>4940</v>
      </c>
      <c r="Q4614" t="str">
        <f t="shared" ref="Q4614:Q4620" si="177">"condorProc.py --series "&amp;A4614&amp;" --donoise --dumps a --procenv environments/pymidas_HVHV_NaI_mf.env"</f>
        <v>condorProc.py --series 07181001_0852 --donoise --dumps a --procenv environments/pymidas_HVHV_NaI_mf.env</v>
      </c>
      <c r="R4614" t="str">
        <f t="shared" ref="R4614:R4620" si="178">"ln -s ../../../../midasraw/byseries/"&amp;A4614&amp;" "&amp;A4614</f>
        <v>ln -s ../../../../midasraw/byseries/07181001_0852 07181001_0852</v>
      </c>
    </row>
    <row r="4615" spans="1:18">
      <c r="A4615" t="s">
        <v>10201</v>
      </c>
      <c r="F4615" s="177">
        <v>10</v>
      </c>
      <c r="G4615" s="192" t="s">
        <v>2248</v>
      </c>
      <c r="H4615" s="209">
        <v>-125</v>
      </c>
      <c r="I4615" s="177"/>
      <c r="J4615" s="177" t="s">
        <v>5577</v>
      </c>
      <c r="K4615" s="178" t="s">
        <v>5583</v>
      </c>
      <c r="M4615" t="s">
        <v>4945</v>
      </c>
      <c r="N4615" t="s">
        <v>5571</v>
      </c>
      <c r="O4615" t="s">
        <v>4940</v>
      </c>
      <c r="Q4615" t="str">
        <f t="shared" si="177"/>
        <v>condorProc.py --series 07181001_0950 --donoise --dumps a --procenv environments/pymidas_HVHV_NaI_mf.env</v>
      </c>
      <c r="R4615" t="str">
        <f t="shared" si="178"/>
        <v>ln -s ../../../../midasraw/byseries/07181001_0950 07181001_0950</v>
      </c>
    </row>
    <row r="4616" spans="1:18">
      <c r="A4616" t="s">
        <v>10202</v>
      </c>
      <c r="G4616" s="191"/>
      <c r="H4616" s="210"/>
      <c r="J4616" t="s">
        <v>5585</v>
      </c>
      <c r="K4616" s="218" t="s">
        <v>5586</v>
      </c>
      <c r="M4616" t="s">
        <v>4945</v>
      </c>
      <c r="N4616" t="s">
        <v>5571</v>
      </c>
      <c r="O4616" t="s">
        <v>4940</v>
      </c>
      <c r="Q4616" t="str">
        <f t="shared" si="177"/>
        <v>condorProc.py --series 07181001_1000 --donoise --dumps a --procenv environments/pymidas_HVHV_NaI_mf.env</v>
      </c>
      <c r="R4616" t="str">
        <f t="shared" si="178"/>
        <v>ln -s ../../../../midasraw/byseries/07181001_1000 07181001_1000</v>
      </c>
    </row>
    <row r="4617" spans="1:18">
      <c r="A4617" t="s">
        <v>10203</v>
      </c>
      <c r="G4617" s="191"/>
      <c r="H4617" s="210"/>
      <c r="K4617" s="219" t="s">
        <v>8388</v>
      </c>
      <c r="M4617" t="s">
        <v>4945</v>
      </c>
      <c r="N4617" t="s">
        <v>5571</v>
      </c>
      <c r="O4617" t="s">
        <v>4940</v>
      </c>
      <c r="Q4617" t="str">
        <f t="shared" si="177"/>
        <v>condorProc.py --series 07181001_1010 --donoise --dumps a --procenv environments/pymidas_HVHV_NaI_mf.env</v>
      </c>
      <c r="R4617" t="str">
        <f t="shared" si="178"/>
        <v>ln -s ../../../../midasraw/byseries/07181001_1010 07181001_1010</v>
      </c>
    </row>
    <row r="4618" spans="1:18">
      <c r="A4618" t="s">
        <v>10204</v>
      </c>
      <c r="G4618" s="191"/>
      <c r="H4618" s="210"/>
      <c r="K4618" s="180"/>
      <c r="M4618" t="s">
        <v>4945</v>
      </c>
      <c r="N4618" t="s">
        <v>5571</v>
      </c>
      <c r="O4618" t="s">
        <v>4940</v>
      </c>
      <c r="Q4618" t="str">
        <f t="shared" si="177"/>
        <v>condorProc.py --series 07181001_1020 --donoise --dumps a --procenv environments/pymidas_HVHV_NaI_mf.env</v>
      </c>
      <c r="R4618" t="str">
        <f t="shared" si="178"/>
        <v>ln -s ../../../../midasraw/byseries/07181001_1020 07181001_1020</v>
      </c>
    </row>
    <row r="4619" spans="1:18">
      <c r="A4619" t="s">
        <v>10205</v>
      </c>
      <c r="G4619" s="191"/>
      <c r="H4619" s="210"/>
      <c r="K4619" s="180"/>
      <c r="M4619" t="s">
        <v>4945</v>
      </c>
      <c r="N4619" t="s">
        <v>5571</v>
      </c>
      <c r="O4619" t="s">
        <v>4940</v>
      </c>
      <c r="Q4619" t="str">
        <f t="shared" si="177"/>
        <v>condorProc.py --series 07181001_1030 --donoise --dumps a --procenv environments/pymidas_HVHV_NaI_mf.env</v>
      </c>
      <c r="R4619" t="str">
        <f t="shared" si="178"/>
        <v>ln -s ../../../../midasraw/byseries/07181001_1030 07181001_1030</v>
      </c>
    </row>
    <row r="4620" spans="1:18">
      <c r="A4620" t="s">
        <v>10206</v>
      </c>
      <c r="G4620" s="191"/>
      <c r="H4620" s="210"/>
      <c r="I4620" t="s">
        <v>75</v>
      </c>
      <c r="K4620" s="180"/>
      <c r="M4620" t="s">
        <v>4945</v>
      </c>
      <c r="N4620" t="s">
        <v>5571</v>
      </c>
      <c r="O4620" t="s">
        <v>4940</v>
      </c>
      <c r="Q4620" t="str">
        <f t="shared" si="177"/>
        <v>condorProc.py --series 07181001_1040 --donoise --dumps a --procenv environments/pymidas_HVHV_NaI_mf.env</v>
      </c>
      <c r="R4620" t="str">
        <f t="shared" si="178"/>
        <v>ln -s ../../../../midasraw/byseries/07181001_1040 07181001_1040</v>
      </c>
    </row>
    <row r="4621" spans="1:18">
      <c r="A4621" t="s">
        <v>10207</v>
      </c>
      <c r="G4621" s="191"/>
      <c r="H4621" s="210"/>
      <c r="I4621" s="197" t="s">
        <v>5434</v>
      </c>
      <c r="K4621" s="180"/>
    </row>
    <row r="4622" spans="1:18">
      <c r="A4622" t="s">
        <v>10208</v>
      </c>
      <c r="G4622" s="191"/>
      <c r="H4622" s="210"/>
      <c r="I4622" s="197" t="s">
        <v>5434</v>
      </c>
      <c r="K4622" s="180"/>
    </row>
    <row r="4623" spans="1:18">
      <c r="A4623" t="s">
        <v>10209</v>
      </c>
      <c r="G4623" s="191"/>
      <c r="H4623" s="210"/>
      <c r="I4623" s="197" t="s">
        <v>5434</v>
      </c>
      <c r="K4623" s="180"/>
    </row>
    <row r="4624" spans="1:18">
      <c r="A4624" t="s">
        <v>10210</v>
      </c>
      <c r="G4624" s="191"/>
      <c r="H4624" s="210"/>
      <c r="I4624" s="197" t="s">
        <v>5434</v>
      </c>
      <c r="K4624" s="180"/>
    </row>
    <row r="4625" spans="1:18">
      <c r="A4625" t="s">
        <v>10211</v>
      </c>
      <c r="G4625" s="191"/>
      <c r="H4625" s="210"/>
      <c r="I4625" s="197" t="s">
        <v>5434</v>
      </c>
      <c r="K4625" s="180"/>
    </row>
    <row r="4626" spans="1:18">
      <c r="A4626" t="s">
        <v>10212</v>
      </c>
      <c r="F4626" s="65"/>
      <c r="G4626" s="193"/>
      <c r="H4626" s="211"/>
      <c r="I4626" s="198" t="s">
        <v>5434</v>
      </c>
      <c r="J4626" s="65"/>
      <c r="K4626" s="182" t="s">
        <v>10213</v>
      </c>
    </row>
    <row r="4627" spans="1:18">
      <c r="A4627" t="s">
        <v>10214</v>
      </c>
      <c r="F4627" s="177">
        <v>10</v>
      </c>
      <c r="G4627" s="192" t="s">
        <v>2248</v>
      </c>
      <c r="H4627" s="209">
        <v>-125</v>
      </c>
      <c r="I4627" s="177" t="s">
        <v>75</v>
      </c>
      <c r="J4627" s="177" t="s">
        <v>5577</v>
      </c>
      <c r="K4627" s="178" t="s">
        <v>5583</v>
      </c>
      <c r="M4627" t="s">
        <v>4945</v>
      </c>
      <c r="N4627" t="s">
        <v>5571</v>
      </c>
      <c r="O4627" t="s">
        <v>4940</v>
      </c>
      <c r="Q4627" t="str">
        <f t="shared" ref="Q4627:Q4690" si="179">"condorProc.py --series "&amp;A4627&amp;" --donoise --dumps a --procenv environments/pymidas_HVHV_NaI_mf.env"</f>
        <v>condorProc.py --series 07181001_1240 --donoise --dumps a --procenv environments/pymidas_HVHV_NaI_mf.env</v>
      </c>
      <c r="R4627" t="str">
        <f t="shared" ref="R4627:R4638" si="180">"ln -s ../../../../midasraw/byseries/"&amp;A4627&amp;" "&amp;A4627</f>
        <v>ln -s ../../../../midasraw/byseries/07181001_1240 07181001_1240</v>
      </c>
    </row>
    <row r="4628" spans="1:18">
      <c r="A4628" t="s">
        <v>10215</v>
      </c>
      <c r="G4628" s="191"/>
      <c r="H4628" s="210"/>
      <c r="J4628" t="s">
        <v>5585</v>
      </c>
      <c r="K4628" s="218" t="s">
        <v>5586</v>
      </c>
      <c r="M4628" t="s">
        <v>4945</v>
      </c>
      <c r="N4628" t="s">
        <v>5571</v>
      </c>
      <c r="O4628" t="s">
        <v>4940</v>
      </c>
      <c r="Q4628" t="str">
        <f t="shared" si="179"/>
        <v>condorProc.py --series 07181001_1250 --donoise --dumps a --procenv environments/pymidas_HVHV_NaI_mf.env</v>
      </c>
      <c r="R4628" t="str">
        <f t="shared" si="180"/>
        <v>ln -s ../../../../midasraw/byseries/07181001_1250 07181001_1250</v>
      </c>
    </row>
    <row r="4629" spans="1:18">
      <c r="A4629" t="s">
        <v>10216</v>
      </c>
      <c r="G4629" s="191"/>
      <c r="H4629" s="210"/>
      <c r="K4629" s="219" t="s">
        <v>8388</v>
      </c>
      <c r="M4629" t="s">
        <v>4945</v>
      </c>
      <c r="N4629" t="s">
        <v>5571</v>
      </c>
      <c r="O4629" t="s">
        <v>4940</v>
      </c>
      <c r="Q4629" t="str">
        <f t="shared" si="179"/>
        <v>condorProc.py --series 07181001_1300 --donoise --dumps a --procenv environments/pymidas_HVHV_NaI_mf.env</v>
      </c>
      <c r="R4629" t="str">
        <f t="shared" si="180"/>
        <v>ln -s ../../../../midasraw/byseries/07181001_1300 07181001_1300</v>
      </c>
    </row>
    <row r="4630" spans="1:18">
      <c r="A4630" t="s">
        <v>10217</v>
      </c>
      <c r="G4630" s="191"/>
      <c r="H4630" s="210"/>
      <c r="K4630" s="180"/>
      <c r="M4630" t="s">
        <v>4945</v>
      </c>
      <c r="N4630" t="s">
        <v>5571</v>
      </c>
      <c r="O4630" t="s">
        <v>4940</v>
      </c>
      <c r="Q4630" t="str">
        <f t="shared" si="179"/>
        <v>condorProc.py --series 07181001_1311 --donoise --dumps a --procenv environments/pymidas_HVHV_NaI_mf.env</v>
      </c>
      <c r="R4630" t="str">
        <f t="shared" si="180"/>
        <v>ln -s ../../../../midasraw/byseries/07181001_1311 07181001_1311</v>
      </c>
    </row>
    <row r="4631" spans="1:18">
      <c r="A4631" t="s">
        <v>10218</v>
      </c>
      <c r="G4631" s="191"/>
      <c r="H4631" s="210"/>
      <c r="K4631" s="180"/>
      <c r="M4631" t="s">
        <v>4945</v>
      </c>
      <c r="N4631" t="s">
        <v>5571</v>
      </c>
      <c r="O4631" t="s">
        <v>4940</v>
      </c>
      <c r="Q4631" t="str">
        <f t="shared" si="179"/>
        <v>condorProc.py --series 07181001_1321 --donoise --dumps a --procenv environments/pymidas_HVHV_NaI_mf.env</v>
      </c>
      <c r="R4631" t="str">
        <f t="shared" si="180"/>
        <v>ln -s ../../../../midasraw/byseries/07181001_1321 07181001_1321</v>
      </c>
    </row>
    <row r="4632" spans="1:18">
      <c r="A4632" t="s">
        <v>10219</v>
      </c>
      <c r="G4632" s="191"/>
      <c r="H4632" s="210"/>
      <c r="K4632" s="180"/>
      <c r="M4632" t="s">
        <v>4945</v>
      </c>
      <c r="N4632" t="s">
        <v>5571</v>
      </c>
      <c r="O4632" t="s">
        <v>4940</v>
      </c>
      <c r="Q4632" t="str">
        <f t="shared" si="179"/>
        <v>condorProc.py --series 07181001_1331 --donoise --dumps a --procenv environments/pymidas_HVHV_NaI_mf.env</v>
      </c>
      <c r="R4632" t="str">
        <f t="shared" si="180"/>
        <v>ln -s ../../../../midasraw/byseries/07181001_1331 07181001_1331</v>
      </c>
    </row>
    <row r="4633" spans="1:18">
      <c r="A4633" t="s">
        <v>10220</v>
      </c>
      <c r="G4633" s="191"/>
      <c r="H4633" s="210"/>
      <c r="K4633" s="180"/>
      <c r="M4633" t="s">
        <v>4945</v>
      </c>
      <c r="N4633" t="s">
        <v>5571</v>
      </c>
      <c r="O4633" t="s">
        <v>4940</v>
      </c>
      <c r="Q4633" t="str">
        <f t="shared" si="179"/>
        <v>condorProc.py --series 07181001_1341 --donoise --dumps a --procenv environments/pymidas_HVHV_NaI_mf.env</v>
      </c>
      <c r="R4633" t="str">
        <f t="shared" si="180"/>
        <v>ln -s ../../../../midasraw/byseries/07181001_1341 07181001_1341</v>
      </c>
    </row>
    <row r="4634" spans="1:18">
      <c r="A4634" t="s">
        <v>10221</v>
      </c>
      <c r="G4634" s="191"/>
      <c r="H4634" s="210"/>
      <c r="K4634" s="180"/>
      <c r="M4634" t="s">
        <v>4945</v>
      </c>
      <c r="N4634" t="s">
        <v>5571</v>
      </c>
      <c r="O4634" t="s">
        <v>4940</v>
      </c>
      <c r="Q4634" t="str">
        <f t="shared" si="179"/>
        <v>condorProc.py --series 07181001_1351 --donoise --dumps a --procenv environments/pymidas_HVHV_NaI_mf.env</v>
      </c>
      <c r="R4634" t="str">
        <f t="shared" si="180"/>
        <v>ln -s ../../../../midasraw/byseries/07181001_1351 07181001_1351</v>
      </c>
    </row>
    <row r="4635" spans="1:18">
      <c r="A4635" t="s">
        <v>10222</v>
      </c>
      <c r="G4635" s="191"/>
      <c r="H4635" s="210"/>
      <c r="K4635" s="180"/>
      <c r="M4635" t="s">
        <v>4945</v>
      </c>
      <c r="N4635" t="s">
        <v>5571</v>
      </c>
      <c r="O4635" t="s">
        <v>4940</v>
      </c>
      <c r="Q4635" t="str">
        <f t="shared" si="179"/>
        <v>condorProc.py --series 07181001_1401 --donoise --dumps a --procenv environments/pymidas_HVHV_NaI_mf.env</v>
      </c>
      <c r="R4635" t="str">
        <f t="shared" si="180"/>
        <v>ln -s ../../../../midasraw/byseries/07181001_1401 07181001_1401</v>
      </c>
    </row>
    <row r="4636" spans="1:18">
      <c r="A4636" t="s">
        <v>10223</v>
      </c>
      <c r="G4636" s="191"/>
      <c r="H4636" s="210"/>
      <c r="K4636" s="180"/>
      <c r="M4636" t="s">
        <v>4945</v>
      </c>
      <c r="N4636" t="s">
        <v>5571</v>
      </c>
      <c r="O4636" t="s">
        <v>4940</v>
      </c>
      <c r="Q4636" t="str">
        <f t="shared" si="179"/>
        <v>condorProc.py --series 07181001_1411 --donoise --dumps a --procenv environments/pymidas_HVHV_NaI_mf.env</v>
      </c>
      <c r="R4636" t="str">
        <f t="shared" si="180"/>
        <v>ln -s ../../../../midasraw/byseries/07181001_1411 07181001_1411</v>
      </c>
    </row>
    <row r="4637" spans="1:18">
      <c r="A4637" t="s">
        <v>10224</v>
      </c>
      <c r="G4637" s="191"/>
      <c r="H4637" s="210"/>
      <c r="K4637" s="180"/>
      <c r="M4637" t="s">
        <v>4945</v>
      </c>
      <c r="N4637" t="s">
        <v>5571</v>
      </c>
      <c r="O4637" t="s">
        <v>4940</v>
      </c>
      <c r="Q4637" t="str">
        <f t="shared" si="179"/>
        <v>condorProc.py --series 07181001_1421 --donoise --dumps a --procenv environments/pymidas_HVHV_NaI_mf.env</v>
      </c>
      <c r="R4637" t="str">
        <f t="shared" si="180"/>
        <v>ln -s ../../../../midasraw/byseries/07181001_1421 07181001_1421</v>
      </c>
    </row>
    <row r="4638" spans="1:18">
      <c r="A4638" t="s">
        <v>10225</v>
      </c>
      <c r="F4638" s="65"/>
      <c r="G4638" s="193"/>
      <c r="H4638" s="211"/>
      <c r="I4638" s="65" t="s">
        <v>75</v>
      </c>
      <c r="J4638" s="65"/>
      <c r="K4638" s="182"/>
      <c r="M4638" t="s">
        <v>4945</v>
      </c>
      <c r="N4638" t="s">
        <v>5571</v>
      </c>
      <c r="O4638" t="s">
        <v>4940</v>
      </c>
      <c r="Q4638" t="str">
        <f t="shared" si="179"/>
        <v>condorProc.py --series 07181001_1432 --donoise --dumps a --procenv environments/pymidas_HVHV_NaI_mf.env</v>
      </c>
      <c r="R4638" t="str">
        <f t="shared" si="180"/>
        <v>ln -s ../../../../midasraw/byseries/07181001_1432 07181001_1432</v>
      </c>
    </row>
    <row r="4639" spans="1:18">
      <c r="A4639" t="s">
        <v>10226</v>
      </c>
      <c r="F4639" s="177">
        <v>10</v>
      </c>
      <c r="G4639" s="192" t="s">
        <v>2248</v>
      </c>
      <c r="H4639" s="209">
        <v>-125</v>
      </c>
      <c r="I4639" s="177"/>
      <c r="J4639" s="177" t="s">
        <v>5577</v>
      </c>
      <c r="K4639" s="178" t="s">
        <v>5583</v>
      </c>
      <c r="M4639" t="s">
        <v>9236</v>
      </c>
      <c r="N4639" t="s">
        <v>5571</v>
      </c>
      <c r="Q4639" t="str">
        <f t="shared" si="179"/>
        <v>condorProc.py --series 07181001_1608 --donoise --dumps a --procenv environments/pymidas_HVHV_NaI_mf.env</v>
      </c>
    </row>
    <row r="4640" spans="1:18">
      <c r="A4640" t="s">
        <v>10227</v>
      </c>
      <c r="G4640" s="191"/>
      <c r="H4640" s="210"/>
      <c r="J4640" t="s">
        <v>5585</v>
      </c>
      <c r="K4640" s="218" t="s">
        <v>5586</v>
      </c>
      <c r="M4640" t="s">
        <v>9236</v>
      </c>
      <c r="N4640" t="s">
        <v>5571</v>
      </c>
      <c r="Q4640" t="str">
        <f t="shared" si="179"/>
        <v>condorProc.py --series 07181001_1618 --donoise --dumps a --procenv environments/pymidas_HVHV_NaI_mf.env</v>
      </c>
    </row>
    <row r="4641" spans="1:18">
      <c r="A4641" t="s">
        <v>10228</v>
      </c>
      <c r="G4641" s="191"/>
      <c r="H4641" s="210"/>
      <c r="K4641" s="219" t="s">
        <v>8388</v>
      </c>
      <c r="M4641" t="s">
        <v>9236</v>
      </c>
      <c r="N4641" t="s">
        <v>5571</v>
      </c>
      <c r="Q4641" t="str">
        <f t="shared" si="179"/>
        <v>condorProc.py --series 07181001_1628 --donoise --dumps a --procenv environments/pymidas_HVHV_NaI_mf.env</v>
      </c>
    </row>
    <row r="4642" spans="1:18">
      <c r="A4642" t="s">
        <v>10229</v>
      </c>
      <c r="G4642" s="191"/>
      <c r="H4642" s="210"/>
      <c r="K4642" s="232" t="s">
        <v>10230</v>
      </c>
      <c r="M4642" t="s">
        <v>9236</v>
      </c>
      <c r="N4642" t="s">
        <v>5571</v>
      </c>
      <c r="Q4642" t="str">
        <f t="shared" si="179"/>
        <v>condorProc.py --series 07181001_1638 --donoise --dumps a --procenv environments/pymidas_HVHV_NaI_mf.env</v>
      </c>
    </row>
    <row r="4643" spans="1:18">
      <c r="A4643" t="s">
        <v>10231</v>
      </c>
      <c r="G4643" s="191"/>
      <c r="H4643" s="210"/>
      <c r="K4643" s="180"/>
      <c r="M4643" t="s">
        <v>9236</v>
      </c>
      <c r="N4643" t="s">
        <v>5571</v>
      </c>
      <c r="Q4643" t="str">
        <f t="shared" si="179"/>
        <v>condorProc.py --series 07181001_1648 --donoise --dumps a --procenv environments/pymidas_HVHV_NaI_mf.env</v>
      </c>
    </row>
    <row r="4644" spans="1:18">
      <c r="A4644" t="s">
        <v>10232</v>
      </c>
      <c r="G4644" s="191"/>
      <c r="H4644" s="210"/>
      <c r="K4644" s="180"/>
      <c r="M4644" t="s">
        <v>9236</v>
      </c>
      <c r="N4644" t="s">
        <v>5571</v>
      </c>
      <c r="Q4644" t="str">
        <f t="shared" si="179"/>
        <v>condorProc.py --series 07181001_1658 --donoise --dumps a --procenv environments/pymidas_HVHV_NaI_mf.env</v>
      </c>
    </row>
    <row r="4645" spans="1:18">
      <c r="A4645" t="s">
        <v>10233</v>
      </c>
      <c r="G4645" s="191"/>
      <c r="H4645" s="210"/>
      <c r="K4645" s="180"/>
      <c r="M4645" t="s">
        <v>9236</v>
      </c>
      <c r="N4645" t="s">
        <v>5571</v>
      </c>
      <c r="Q4645" t="str">
        <f t="shared" si="179"/>
        <v>condorProc.py --series 07181001_1709 --donoise --dumps a --procenv environments/pymidas_HVHV_NaI_mf.env</v>
      </c>
    </row>
    <row r="4646" spans="1:18">
      <c r="A4646" t="s">
        <v>10234</v>
      </c>
      <c r="G4646" s="191"/>
      <c r="H4646" s="210"/>
      <c r="K4646" s="180"/>
      <c r="M4646" t="s">
        <v>9236</v>
      </c>
      <c r="N4646" t="s">
        <v>5571</v>
      </c>
      <c r="Q4646" t="str">
        <f t="shared" si="179"/>
        <v>condorProc.py --series 07181001_1719 --donoise --dumps a --procenv environments/pymidas_HVHV_NaI_mf.env</v>
      </c>
    </row>
    <row r="4647" spans="1:18">
      <c r="A4647" t="s">
        <v>10235</v>
      </c>
      <c r="G4647" s="191"/>
      <c r="H4647" s="210"/>
      <c r="K4647" s="180"/>
      <c r="M4647" t="s">
        <v>9236</v>
      </c>
      <c r="N4647" t="s">
        <v>5571</v>
      </c>
      <c r="Q4647" t="str">
        <f t="shared" si="179"/>
        <v>condorProc.py --series 07181001_1729 --donoise --dumps a --procenv environments/pymidas_HVHV_NaI_mf.env</v>
      </c>
    </row>
    <row r="4648" spans="1:18">
      <c r="A4648" t="s">
        <v>10236</v>
      </c>
      <c r="G4648" s="191"/>
      <c r="H4648" s="210"/>
      <c r="K4648" s="180"/>
      <c r="M4648" t="s">
        <v>9236</v>
      </c>
      <c r="N4648" t="s">
        <v>5571</v>
      </c>
      <c r="Q4648" t="str">
        <f t="shared" si="179"/>
        <v>condorProc.py --series 07181001_1739 --donoise --dumps a --procenv environments/pymidas_HVHV_NaI_mf.env</v>
      </c>
    </row>
    <row r="4649" spans="1:18">
      <c r="A4649" t="s">
        <v>10237</v>
      </c>
      <c r="G4649" s="191"/>
      <c r="H4649" s="210"/>
      <c r="K4649" s="180"/>
      <c r="M4649" t="s">
        <v>9236</v>
      </c>
      <c r="N4649" t="s">
        <v>5571</v>
      </c>
      <c r="Q4649" t="str">
        <f t="shared" si="179"/>
        <v>condorProc.py --series 07181001_1749 --donoise --dumps a --procenv environments/pymidas_HVHV_NaI_mf.env</v>
      </c>
    </row>
    <row r="4650" spans="1:18">
      <c r="A4650" t="s">
        <v>10238</v>
      </c>
      <c r="F4650" s="65"/>
      <c r="G4650" s="193"/>
      <c r="H4650" s="211"/>
      <c r="I4650" s="65"/>
      <c r="J4650" s="65"/>
      <c r="K4650" s="182"/>
      <c r="M4650" t="s">
        <v>9236</v>
      </c>
      <c r="N4650" t="s">
        <v>5571</v>
      </c>
      <c r="Q4650" t="str">
        <f t="shared" si="179"/>
        <v>condorProc.py --series 07181001_1759 --donoise --dumps a --procenv environments/pymidas_HVHV_NaI_mf.env</v>
      </c>
    </row>
    <row r="4651" spans="1:18">
      <c r="A4651" t="s">
        <v>10239</v>
      </c>
      <c r="F4651" s="177">
        <v>10</v>
      </c>
      <c r="G4651" s="192" t="s">
        <v>2248</v>
      </c>
      <c r="H4651" s="209">
        <v>-125</v>
      </c>
      <c r="I4651" s="177"/>
      <c r="J4651" s="177" t="s">
        <v>5577</v>
      </c>
      <c r="K4651" s="178" t="s">
        <v>5583</v>
      </c>
      <c r="M4651" t="s">
        <v>4945</v>
      </c>
      <c r="N4651" t="s">
        <v>5571</v>
      </c>
      <c r="O4651" t="s">
        <v>4940</v>
      </c>
      <c r="Q4651" t="str">
        <f t="shared" si="179"/>
        <v>condorProc.py --series 07181001_1855 --donoise --dumps a --procenv environments/pymidas_HVHV_NaI_mf.env</v>
      </c>
      <c r="R4651" t="str">
        <f t="shared" ref="R4651:R4662" si="181">"ln -s ../../../../midasraw/byseries/"&amp;A4651&amp;" "&amp;A4651</f>
        <v>ln -s ../../../../midasraw/byseries/07181001_1855 07181001_1855</v>
      </c>
    </row>
    <row r="4652" spans="1:18">
      <c r="A4652" t="s">
        <v>10240</v>
      </c>
      <c r="G4652" s="191"/>
      <c r="H4652" s="210"/>
      <c r="J4652" t="s">
        <v>5585</v>
      </c>
      <c r="K4652" s="218" t="s">
        <v>5586</v>
      </c>
      <c r="M4652" t="s">
        <v>4945</v>
      </c>
      <c r="N4652" t="s">
        <v>5571</v>
      </c>
      <c r="O4652" t="s">
        <v>4940</v>
      </c>
      <c r="Q4652" t="str">
        <f t="shared" si="179"/>
        <v>condorProc.py --series 07181001_1905 --donoise --dumps a --procenv environments/pymidas_HVHV_NaI_mf.env</v>
      </c>
      <c r="R4652" t="str">
        <f t="shared" si="181"/>
        <v>ln -s ../../../../midasraw/byseries/07181001_1905 07181001_1905</v>
      </c>
    </row>
    <row r="4653" spans="1:18">
      <c r="A4653" t="s">
        <v>10241</v>
      </c>
      <c r="G4653" s="191"/>
      <c r="H4653" s="210"/>
      <c r="K4653" s="219" t="s">
        <v>8388</v>
      </c>
      <c r="M4653" t="s">
        <v>4945</v>
      </c>
      <c r="N4653" t="s">
        <v>5571</v>
      </c>
      <c r="O4653" t="s">
        <v>4940</v>
      </c>
      <c r="Q4653" t="str">
        <f t="shared" si="179"/>
        <v>condorProc.py --series 07181001_1915 --donoise --dumps a --procenv environments/pymidas_HVHV_NaI_mf.env</v>
      </c>
      <c r="R4653" t="str">
        <f t="shared" si="181"/>
        <v>ln -s ../../../../midasraw/byseries/07181001_1915 07181001_1915</v>
      </c>
    </row>
    <row r="4654" spans="1:18">
      <c r="A4654" t="s">
        <v>10242</v>
      </c>
      <c r="G4654" s="191"/>
      <c r="H4654" s="210"/>
      <c r="K4654" s="180" t="s">
        <v>10243</v>
      </c>
      <c r="M4654" t="s">
        <v>4945</v>
      </c>
      <c r="N4654" t="s">
        <v>5571</v>
      </c>
      <c r="O4654" t="s">
        <v>4940</v>
      </c>
      <c r="Q4654" t="str">
        <f t="shared" si="179"/>
        <v>condorProc.py --series 07181001_1925 --donoise --dumps a --procenv environments/pymidas_HVHV_NaI_mf.env</v>
      </c>
      <c r="R4654" t="str">
        <f t="shared" si="181"/>
        <v>ln -s ../../../../midasraw/byseries/07181001_1925 07181001_1925</v>
      </c>
    </row>
    <row r="4655" spans="1:18">
      <c r="A4655" t="s">
        <v>10244</v>
      </c>
      <c r="G4655" s="191"/>
      <c r="H4655" s="210"/>
      <c r="K4655" s="180"/>
      <c r="M4655" t="s">
        <v>4945</v>
      </c>
      <c r="N4655" t="s">
        <v>5571</v>
      </c>
      <c r="O4655" t="s">
        <v>4940</v>
      </c>
      <c r="Q4655" t="str">
        <f t="shared" si="179"/>
        <v>condorProc.py --series 07181001_1935 --donoise --dumps a --procenv environments/pymidas_HVHV_NaI_mf.env</v>
      </c>
      <c r="R4655" t="str">
        <f t="shared" si="181"/>
        <v>ln -s ../../../../midasraw/byseries/07181001_1935 07181001_1935</v>
      </c>
    </row>
    <row r="4656" spans="1:18">
      <c r="A4656" t="s">
        <v>10245</v>
      </c>
      <c r="G4656" s="191"/>
      <c r="H4656" s="210"/>
      <c r="K4656" s="180"/>
      <c r="M4656" t="s">
        <v>4945</v>
      </c>
      <c r="N4656" t="s">
        <v>5571</v>
      </c>
      <c r="O4656" t="s">
        <v>4940</v>
      </c>
      <c r="Q4656" t="str">
        <f t="shared" si="179"/>
        <v>condorProc.py --series 07181001_1945 --donoise --dumps a --procenv environments/pymidas_HVHV_NaI_mf.env</v>
      </c>
      <c r="R4656" t="str">
        <f t="shared" si="181"/>
        <v>ln -s ../../../../midasraw/byseries/07181001_1945 07181001_1945</v>
      </c>
    </row>
    <row r="4657" spans="1:18">
      <c r="A4657" t="s">
        <v>10246</v>
      </c>
      <c r="G4657" s="191"/>
      <c r="H4657" s="210"/>
      <c r="K4657" s="180"/>
      <c r="M4657" t="s">
        <v>4945</v>
      </c>
      <c r="N4657" t="s">
        <v>5571</v>
      </c>
      <c r="O4657" t="s">
        <v>4940</v>
      </c>
      <c r="Q4657" t="str">
        <f t="shared" si="179"/>
        <v>condorProc.py --series 07181001_1955 --donoise --dumps a --procenv environments/pymidas_HVHV_NaI_mf.env</v>
      </c>
      <c r="R4657" t="str">
        <f t="shared" si="181"/>
        <v>ln -s ../../../../midasraw/byseries/07181001_1955 07181001_1955</v>
      </c>
    </row>
    <row r="4658" spans="1:18">
      <c r="A4658" t="s">
        <v>10247</v>
      </c>
      <c r="G4658" s="191"/>
      <c r="H4658" s="210"/>
      <c r="K4658" s="180"/>
      <c r="M4658" t="s">
        <v>4945</v>
      </c>
      <c r="N4658" t="s">
        <v>5571</v>
      </c>
      <c r="O4658" t="s">
        <v>4940</v>
      </c>
      <c r="Q4658" t="str">
        <f t="shared" si="179"/>
        <v>condorProc.py --series 07181001_2006 --donoise --dumps a --procenv environments/pymidas_HVHV_NaI_mf.env</v>
      </c>
      <c r="R4658" t="str">
        <f t="shared" si="181"/>
        <v>ln -s ../../../../midasraw/byseries/07181001_2006 07181001_2006</v>
      </c>
    </row>
    <row r="4659" spans="1:18">
      <c r="A4659" t="s">
        <v>10248</v>
      </c>
      <c r="G4659" s="191"/>
      <c r="H4659" s="210"/>
      <c r="K4659" s="180"/>
      <c r="M4659" t="s">
        <v>4945</v>
      </c>
      <c r="N4659" t="s">
        <v>5571</v>
      </c>
      <c r="O4659" t="s">
        <v>4940</v>
      </c>
      <c r="Q4659" t="str">
        <f t="shared" si="179"/>
        <v>condorProc.py --series 07181001_2016 --donoise --dumps a --procenv environments/pymidas_HVHV_NaI_mf.env</v>
      </c>
      <c r="R4659" t="str">
        <f t="shared" si="181"/>
        <v>ln -s ../../../../midasraw/byseries/07181001_2016 07181001_2016</v>
      </c>
    </row>
    <row r="4660" spans="1:18">
      <c r="A4660" t="s">
        <v>10249</v>
      </c>
      <c r="G4660" s="191"/>
      <c r="H4660" s="210"/>
      <c r="K4660" s="180"/>
      <c r="M4660" t="s">
        <v>4945</v>
      </c>
      <c r="N4660" t="s">
        <v>5571</v>
      </c>
      <c r="O4660" t="s">
        <v>4940</v>
      </c>
      <c r="Q4660" t="str">
        <f t="shared" si="179"/>
        <v>condorProc.py --series 07181001_2026 --donoise --dumps a --procenv environments/pymidas_HVHV_NaI_mf.env</v>
      </c>
      <c r="R4660" t="str">
        <f t="shared" si="181"/>
        <v>ln -s ../../../../midasraw/byseries/07181001_2026 07181001_2026</v>
      </c>
    </row>
    <row r="4661" spans="1:18">
      <c r="A4661" t="s">
        <v>10250</v>
      </c>
      <c r="G4661" s="191"/>
      <c r="H4661" s="210"/>
      <c r="K4661" s="180"/>
      <c r="M4661" t="s">
        <v>4945</v>
      </c>
      <c r="N4661" t="s">
        <v>5571</v>
      </c>
      <c r="O4661" t="s">
        <v>4940</v>
      </c>
      <c r="Q4661" t="str">
        <f t="shared" si="179"/>
        <v>condorProc.py --series 07181001_2036 --donoise --dumps a --procenv environments/pymidas_HVHV_NaI_mf.env</v>
      </c>
      <c r="R4661" t="str">
        <f t="shared" si="181"/>
        <v>ln -s ../../../../midasraw/byseries/07181001_2036 07181001_2036</v>
      </c>
    </row>
    <row r="4662" spans="1:18">
      <c r="A4662" t="s">
        <v>10251</v>
      </c>
      <c r="F4662" s="65"/>
      <c r="G4662" s="193"/>
      <c r="H4662" s="211"/>
      <c r="I4662" s="65" t="s">
        <v>75</v>
      </c>
      <c r="J4662" s="65"/>
      <c r="K4662" s="182"/>
      <c r="M4662" t="s">
        <v>4945</v>
      </c>
      <c r="N4662" t="s">
        <v>5571</v>
      </c>
      <c r="O4662" t="s">
        <v>4940</v>
      </c>
      <c r="Q4662" t="str">
        <f t="shared" si="179"/>
        <v>condorProc.py --series 07181001_2046 --donoise --dumps a --procenv environments/pymidas_HVHV_NaI_mf.env</v>
      </c>
      <c r="R4662" t="str">
        <f t="shared" si="181"/>
        <v>ln -s ../../../../midasraw/byseries/07181001_2046 07181001_2046</v>
      </c>
    </row>
    <row r="4663" spans="1:18">
      <c r="A4663" t="s">
        <v>10252</v>
      </c>
      <c r="F4663" s="177">
        <v>10</v>
      </c>
      <c r="G4663" s="192" t="s">
        <v>2248</v>
      </c>
      <c r="H4663" s="209">
        <v>-125</v>
      </c>
      <c r="I4663" s="177"/>
      <c r="J4663" s="177" t="s">
        <v>5577</v>
      </c>
      <c r="K4663" s="178" t="s">
        <v>5583</v>
      </c>
      <c r="M4663" t="s">
        <v>9236</v>
      </c>
      <c r="N4663" t="s">
        <v>5571</v>
      </c>
      <c r="Q4663" t="str">
        <f t="shared" si="179"/>
        <v>condorProc.py --series 07181001_2142 --donoise --dumps a --procenv environments/pymidas_HVHV_NaI_mf.env</v>
      </c>
    </row>
    <row r="4664" spans="1:18">
      <c r="A4664" t="s">
        <v>10253</v>
      </c>
      <c r="G4664" s="191"/>
      <c r="H4664" s="210"/>
      <c r="J4664" t="s">
        <v>5585</v>
      </c>
      <c r="K4664" s="218" t="s">
        <v>5586</v>
      </c>
      <c r="M4664" t="s">
        <v>9236</v>
      </c>
      <c r="N4664" t="s">
        <v>5571</v>
      </c>
      <c r="Q4664" t="str">
        <f t="shared" si="179"/>
        <v>condorProc.py --series 07181001_2152 --donoise --dumps a --procenv environments/pymidas_HVHV_NaI_mf.env</v>
      </c>
    </row>
    <row r="4665" spans="1:18">
      <c r="A4665" t="s">
        <v>10254</v>
      </c>
      <c r="G4665" s="191"/>
      <c r="H4665" s="210"/>
      <c r="K4665" s="219" t="s">
        <v>8388</v>
      </c>
      <c r="M4665" t="s">
        <v>9236</v>
      </c>
      <c r="N4665" t="s">
        <v>5571</v>
      </c>
      <c r="Q4665" t="str">
        <f t="shared" si="179"/>
        <v>condorProc.py --series 07181001_2202 --donoise --dumps a --procenv environments/pymidas_HVHV_NaI_mf.env</v>
      </c>
    </row>
    <row r="4666" spans="1:18">
      <c r="A4666" t="s">
        <v>10255</v>
      </c>
      <c r="G4666" s="191"/>
      <c r="H4666" s="210"/>
      <c r="K4666" s="232" t="s">
        <v>10256</v>
      </c>
      <c r="M4666" t="s">
        <v>9236</v>
      </c>
      <c r="N4666" t="s">
        <v>5571</v>
      </c>
      <c r="Q4666" t="str">
        <f t="shared" si="179"/>
        <v>condorProc.py --series 07181001_2212 --donoise --dumps a --procenv environments/pymidas_HVHV_NaI_mf.env</v>
      </c>
    </row>
    <row r="4667" spans="1:18">
      <c r="A4667" t="s">
        <v>10257</v>
      </c>
      <c r="G4667" s="191"/>
      <c r="H4667" s="210"/>
      <c r="K4667" s="180"/>
      <c r="M4667" t="s">
        <v>9236</v>
      </c>
      <c r="N4667" t="s">
        <v>5571</v>
      </c>
      <c r="Q4667" t="str">
        <f t="shared" si="179"/>
        <v>condorProc.py --series 07181001_2222 --donoise --dumps a --procenv environments/pymidas_HVHV_NaI_mf.env</v>
      </c>
    </row>
    <row r="4668" spans="1:18">
      <c r="A4668" t="s">
        <v>10258</v>
      </c>
      <c r="G4668" s="191"/>
      <c r="H4668" s="210"/>
      <c r="K4668" s="180"/>
      <c r="M4668" t="s">
        <v>9236</v>
      </c>
      <c r="N4668" t="s">
        <v>5571</v>
      </c>
      <c r="Q4668" t="str">
        <f t="shared" si="179"/>
        <v>condorProc.py --series 07181001_2232 --donoise --dumps a --procenv environments/pymidas_HVHV_NaI_mf.env</v>
      </c>
    </row>
    <row r="4669" spans="1:18">
      <c r="A4669" t="s">
        <v>10259</v>
      </c>
      <c r="G4669" s="191"/>
      <c r="H4669" s="210"/>
      <c r="K4669" s="180"/>
      <c r="M4669" t="s">
        <v>9236</v>
      </c>
      <c r="N4669" t="s">
        <v>5571</v>
      </c>
      <c r="Q4669" t="str">
        <f t="shared" si="179"/>
        <v>condorProc.py --series 07181001_2243 --donoise --dumps a --procenv environments/pymidas_HVHV_NaI_mf.env</v>
      </c>
    </row>
    <row r="4670" spans="1:18">
      <c r="A4670" t="s">
        <v>10260</v>
      </c>
      <c r="G4670" s="191"/>
      <c r="H4670" s="210"/>
      <c r="K4670" s="180"/>
      <c r="M4670" t="s">
        <v>9236</v>
      </c>
      <c r="N4670" t="s">
        <v>5571</v>
      </c>
      <c r="Q4670" t="str">
        <f t="shared" si="179"/>
        <v>condorProc.py --series 07181001_2253 --donoise --dumps a --procenv environments/pymidas_HVHV_NaI_mf.env</v>
      </c>
    </row>
    <row r="4671" spans="1:18">
      <c r="A4671" t="s">
        <v>10261</v>
      </c>
      <c r="G4671" s="191"/>
      <c r="H4671" s="210"/>
      <c r="K4671" s="180"/>
      <c r="M4671" t="s">
        <v>9236</v>
      </c>
      <c r="N4671" t="s">
        <v>5571</v>
      </c>
      <c r="Q4671" t="str">
        <f t="shared" si="179"/>
        <v>condorProc.py --series 07181001_2303 --donoise --dumps a --procenv environments/pymidas_HVHV_NaI_mf.env</v>
      </c>
    </row>
    <row r="4672" spans="1:18">
      <c r="A4672" t="s">
        <v>10262</v>
      </c>
      <c r="G4672" s="191"/>
      <c r="H4672" s="210"/>
      <c r="K4672" s="180"/>
      <c r="M4672" t="s">
        <v>9236</v>
      </c>
      <c r="N4672" t="s">
        <v>5571</v>
      </c>
      <c r="Q4672" t="str">
        <f t="shared" si="179"/>
        <v>condorProc.py --series 07181001_2313 --donoise --dumps a --procenv environments/pymidas_HVHV_NaI_mf.env</v>
      </c>
    </row>
    <row r="4673" spans="1:18">
      <c r="A4673" t="s">
        <v>10263</v>
      </c>
      <c r="G4673" s="191"/>
      <c r="H4673" s="210"/>
      <c r="K4673" s="180"/>
      <c r="M4673" t="s">
        <v>9236</v>
      </c>
      <c r="N4673" t="s">
        <v>5571</v>
      </c>
      <c r="Q4673" t="str">
        <f t="shared" si="179"/>
        <v>condorProc.py --series 07181001_2323 --donoise --dumps a --procenv environments/pymidas_HVHV_NaI_mf.env</v>
      </c>
    </row>
    <row r="4674" spans="1:18">
      <c r="A4674" t="s">
        <v>10264</v>
      </c>
      <c r="F4674" s="65"/>
      <c r="G4674" s="193"/>
      <c r="H4674" s="211"/>
      <c r="I4674" s="65"/>
      <c r="J4674" s="65"/>
      <c r="K4674" s="182"/>
      <c r="M4674" t="s">
        <v>9236</v>
      </c>
      <c r="N4674" t="s">
        <v>5571</v>
      </c>
      <c r="Q4674" t="str">
        <f t="shared" si="179"/>
        <v>condorProc.py --series 07181001_2333 --donoise --dumps a --procenv environments/pymidas_HVHV_NaI_mf.env</v>
      </c>
    </row>
    <row r="4675" spans="1:18">
      <c r="A4675" t="s">
        <v>10265</v>
      </c>
      <c r="F4675" s="177">
        <v>10</v>
      </c>
      <c r="G4675" s="192" t="s">
        <v>2248</v>
      </c>
      <c r="H4675" s="209">
        <v>-125</v>
      </c>
      <c r="I4675" s="177"/>
      <c r="J4675" s="177" t="s">
        <v>5577</v>
      </c>
      <c r="K4675" s="178" t="s">
        <v>5583</v>
      </c>
      <c r="M4675" t="s">
        <v>9236</v>
      </c>
      <c r="N4675" t="s">
        <v>5571</v>
      </c>
      <c r="Q4675" t="str">
        <f t="shared" si="179"/>
        <v>condorProc.py --series 07181002_0030 --donoise --dumps a --procenv environments/pymidas_HVHV_NaI_mf.env</v>
      </c>
    </row>
    <row r="4676" spans="1:18">
      <c r="A4676" t="s">
        <v>10266</v>
      </c>
      <c r="G4676" s="191"/>
      <c r="H4676" s="210"/>
      <c r="J4676" t="s">
        <v>5585</v>
      </c>
      <c r="K4676" s="218" t="s">
        <v>5586</v>
      </c>
      <c r="M4676" t="s">
        <v>9236</v>
      </c>
      <c r="N4676" t="s">
        <v>5571</v>
      </c>
      <c r="Q4676" t="str">
        <f t="shared" si="179"/>
        <v>condorProc.py --series 07181002_0040 --donoise --dumps a --procenv environments/pymidas_HVHV_NaI_mf.env</v>
      </c>
    </row>
    <row r="4677" spans="1:18">
      <c r="A4677" t="s">
        <v>10267</v>
      </c>
      <c r="G4677" s="191"/>
      <c r="H4677" s="210"/>
      <c r="K4677" s="219" t="s">
        <v>8388</v>
      </c>
      <c r="M4677" t="s">
        <v>9236</v>
      </c>
      <c r="N4677" t="s">
        <v>5571</v>
      </c>
      <c r="Q4677" t="str">
        <f t="shared" si="179"/>
        <v>condorProc.py --series 07181002_0050 --donoise --dumps a --procenv environments/pymidas_HVHV_NaI_mf.env</v>
      </c>
    </row>
    <row r="4678" spans="1:18">
      <c r="A4678" t="s">
        <v>10268</v>
      </c>
      <c r="G4678" s="191"/>
      <c r="H4678" s="210"/>
      <c r="K4678" s="232" t="s">
        <v>10269</v>
      </c>
      <c r="M4678" t="s">
        <v>9236</v>
      </c>
      <c r="N4678" t="s">
        <v>5571</v>
      </c>
      <c r="Q4678" t="str">
        <f t="shared" si="179"/>
        <v>condorProc.py --series 07181002_0100 --donoise --dumps a --procenv environments/pymidas_HVHV_NaI_mf.env</v>
      </c>
    </row>
    <row r="4679" spans="1:18">
      <c r="A4679" t="s">
        <v>10270</v>
      </c>
      <c r="G4679" s="191"/>
      <c r="H4679" s="210"/>
      <c r="K4679" s="180"/>
      <c r="M4679" t="s">
        <v>9236</v>
      </c>
      <c r="N4679" t="s">
        <v>5571</v>
      </c>
      <c r="Q4679" t="str">
        <f t="shared" si="179"/>
        <v>condorProc.py --series 07181002_0110 --donoise --dumps a --procenv environments/pymidas_HVHV_NaI_mf.env</v>
      </c>
    </row>
    <row r="4680" spans="1:18">
      <c r="A4680" t="s">
        <v>10271</v>
      </c>
      <c r="G4680" s="191"/>
      <c r="H4680" s="210"/>
      <c r="K4680" s="180"/>
      <c r="M4680" t="s">
        <v>9236</v>
      </c>
      <c r="N4680" t="s">
        <v>5571</v>
      </c>
      <c r="Q4680" t="str">
        <f t="shared" si="179"/>
        <v>condorProc.py --series 07181002_0120 --donoise --dumps a --procenv environments/pymidas_HVHV_NaI_mf.env</v>
      </c>
    </row>
    <row r="4681" spans="1:18">
      <c r="A4681" t="s">
        <v>10272</v>
      </c>
      <c r="G4681" s="191"/>
      <c r="H4681" s="210"/>
      <c r="K4681" s="180"/>
      <c r="M4681" t="s">
        <v>9236</v>
      </c>
      <c r="N4681" t="s">
        <v>5571</v>
      </c>
      <c r="Q4681" t="str">
        <f t="shared" si="179"/>
        <v>condorProc.py --series 07181002_0131 --donoise --dumps a --procenv environments/pymidas_HVHV_NaI_mf.env</v>
      </c>
    </row>
    <row r="4682" spans="1:18">
      <c r="A4682" t="s">
        <v>10273</v>
      </c>
      <c r="G4682" s="191"/>
      <c r="H4682" s="210"/>
      <c r="K4682" s="180"/>
      <c r="M4682" t="s">
        <v>9236</v>
      </c>
      <c r="N4682" t="s">
        <v>5571</v>
      </c>
      <c r="Q4682" t="str">
        <f t="shared" si="179"/>
        <v>condorProc.py --series 07181002_0141 --donoise --dumps a --procenv environments/pymidas_HVHV_NaI_mf.env</v>
      </c>
    </row>
    <row r="4683" spans="1:18">
      <c r="A4683" t="s">
        <v>10274</v>
      </c>
      <c r="G4683" s="191"/>
      <c r="H4683" s="210"/>
      <c r="K4683" s="180"/>
      <c r="M4683" t="s">
        <v>9236</v>
      </c>
      <c r="N4683" t="s">
        <v>5571</v>
      </c>
      <c r="Q4683" t="str">
        <f t="shared" si="179"/>
        <v>condorProc.py --series 07181002_0151 --donoise --dumps a --procenv environments/pymidas_HVHV_NaI_mf.env</v>
      </c>
    </row>
    <row r="4684" spans="1:18">
      <c r="A4684" t="s">
        <v>10275</v>
      </c>
      <c r="G4684" s="191"/>
      <c r="H4684" s="210"/>
      <c r="K4684" s="180"/>
      <c r="M4684" t="s">
        <v>9236</v>
      </c>
      <c r="N4684" t="s">
        <v>5571</v>
      </c>
      <c r="Q4684" t="str">
        <f t="shared" si="179"/>
        <v>condorProc.py --series 07181002_0201 --donoise --dumps a --procenv environments/pymidas_HVHV_NaI_mf.env</v>
      </c>
    </row>
    <row r="4685" spans="1:18">
      <c r="A4685" t="s">
        <v>10276</v>
      </c>
      <c r="G4685" s="191"/>
      <c r="H4685" s="210"/>
      <c r="K4685" s="180"/>
      <c r="M4685" t="s">
        <v>9236</v>
      </c>
      <c r="N4685" t="s">
        <v>5571</v>
      </c>
      <c r="Q4685" t="str">
        <f t="shared" si="179"/>
        <v>condorProc.py --series 07181002_0211 --donoise --dumps a --procenv environments/pymidas_HVHV_NaI_mf.env</v>
      </c>
    </row>
    <row r="4686" spans="1:18">
      <c r="A4686" t="s">
        <v>10277</v>
      </c>
      <c r="F4686" s="65"/>
      <c r="G4686" s="193"/>
      <c r="H4686" s="211"/>
      <c r="I4686" s="65" t="s">
        <v>75</v>
      </c>
      <c r="J4686" s="65"/>
      <c r="K4686" s="182"/>
      <c r="M4686" t="s">
        <v>9236</v>
      </c>
      <c r="N4686" t="s">
        <v>5571</v>
      </c>
      <c r="Q4686" t="str">
        <f t="shared" si="179"/>
        <v>condorProc.py --series 07181002_0221 --donoise --dumps a --procenv environments/pymidas_HVHV_NaI_mf.env</v>
      </c>
    </row>
    <row r="4687" spans="1:18">
      <c r="A4687" t="s">
        <v>10278</v>
      </c>
      <c r="G4687" s="192" t="s">
        <v>2248</v>
      </c>
      <c r="H4687" s="209">
        <v>-125</v>
      </c>
      <c r="J4687" t="s">
        <v>5373</v>
      </c>
      <c r="M4687" t="s">
        <v>2246</v>
      </c>
    </row>
    <row r="4688" spans="1:18">
      <c r="A4688" t="s">
        <v>10279</v>
      </c>
      <c r="F4688" s="177">
        <v>10</v>
      </c>
      <c r="G4688" s="192" t="s">
        <v>2248</v>
      </c>
      <c r="H4688" s="209">
        <v>-125</v>
      </c>
      <c r="I4688" s="177"/>
      <c r="J4688" s="177" t="s">
        <v>5577</v>
      </c>
      <c r="K4688" s="178" t="s">
        <v>5583</v>
      </c>
      <c r="L4688" t="s">
        <v>8725</v>
      </c>
      <c r="M4688" t="s">
        <v>4945</v>
      </c>
      <c r="N4688" t="s">
        <v>5571</v>
      </c>
      <c r="O4688" t="s">
        <v>4940</v>
      </c>
      <c r="Q4688" t="str">
        <f t="shared" si="179"/>
        <v>condorProc.py --series 07181002_1831 --donoise --dumps a --procenv environments/pymidas_HVHV_NaI_mf.env</v>
      </c>
      <c r="R4688" t="str">
        <f t="shared" ref="R4688:R4751" si="182">"ln -s ../../../../midasraw/byseries/"&amp;A4688&amp;" "&amp;A4688</f>
        <v>ln -s ../../../../midasraw/byseries/07181002_1831 07181002_1831</v>
      </c>
    </row>
    <row r="4689" spans="1:18">
      <c r="A4689" t="s">
        <v>10280</v>
      </c>
      <c r="G4689" s="191"/>
      <c r="H4689" s="210"/>
      <c r="J4689" t="s">
        <v>5585</v>
      </c>
      <c r="K4689" s="218" t="s">
        <v>5586</v>
      </c>
      <c r="M4689" t="s">
        <v>4945</v>
      </c>
      <c r="N4689" t="s">
        <v>5571</v>
      </c>
      <c r="O4689" t="s">
        <v>4940</v>
      </c>
      <c r="Q4689" t="str">
        <f t="shared" si="179"/>
        <v>condorProc.py --series 07181002_1841 --donoise --dumps a --procenv environments/pymidas_HVHV_NaI_mf.env</v>
      </c>
      <c r="R4689" t="str">
        <f t="shared" si="182"/>
        <v>ln -s ../../../../midasraw/byseries/07181002_1841 07181002_1841</v>
      </c>
    </row>
    <row r="4690" spans="1:18">
      <c r="A4690" t="s">
        <v>10281</v>
      </c>
      <c r="G4690" s="191"/>
      <c r="H4690" s="210"/>
      <c r="K4690" s="219" t="s">
        <v>8388</v>
      </c>
      <c r="M4690" t="s">
        <v>4945</v>
      </c>
      <c r="N4690" t="s">
        <v>5571</v>
      </c>
      <c r="O4690" t="s">
        <v>4940</v>
      </c>
      <c r="Q4690" t="str">
        <f t="shared" si="179"/>
        <v>condorProc.py --series 07181002_1851 --donoise --dumps a --procenv environments/pymidas_HVHV_NaI_mf.env</v>
      </c>
      <c r="R4690" t="str">
        <f t="shared" si="182"/>
        <v>ln -s ../../../../midasraw/byseries/07181002_1851 07181002_1851</v>
      </c>
    </row>
    <row r="4691" spans="1:18">
      <c r="A4691" t="s">
        <v>10282</v>
      </c>
      <c r="G4691" s="191"/>
      <c r="H4691" s="210"/>
      <c r="K4691" s="180"/>
      <c r="M4691" t="s">
        <v>4945</v>
      </c>
      <c r="N4691" t="s">
        <v>5571</v>
      </c>
      <c r="O4691" t="s">
        <v>4940</v>
      </c>
      <c r="Q4691" t="str">
        <f t="shared" ref="Q4691:Q4754" si="183">"condorProc.py --series "&amp;A4691&amp;" --donoise --dumps a --procenv environments/pymidas_HVHV_NaI_mf.env"</f>
        <v>condorProc.py --series 07181002_1901 --donoise --dumps a --procenv environments/pymidas_HVHV_NaI_mf.env</v>
      </c>
      <c r="R4691" t="str">
        <f t="shared" si="182"/>
        <v>ln -s ../../../../midasraw/byseries/07181002_1901 07181002_1901</v>
      </c>
    </row>
    <row r="4692" spans="1:18">
      <c r="A4692" t="s">
        <v>10283</v>
      </c>
      <c r="G4692" s="191"/>
      <c r="H4692" s="210"/>
      <c r="K4692" s="212" t="s">
        <v>10284</v>
      </c>
      <c r="M4692" t="s">
        <v>4945</v>
      </c>
      <c r="N4692" t="s">
        <v>5571</v>
      </c>
      <c r="O4692" t="s">
        <v>4940</v>
      </c>
      <c r="Q4692" t="str">
        <f t="shared" si="183"/>
        <v>condorProc.py --series 07181002_1911 --donoise --dumps a --procenv environments/pymidas_HVHV_NaI_mf.env</v>
      </c>
      <c r="R4692" t="str">
        <f t="shared" si="182"/>
        <v>ln -s ../../../../midasraw/byseries/07181002_1911 07181002_1911</v>
      </c>
    </row>
    <row r="4693" spans="1:18">
      <c r="A4693" t="s">
        <v>10285</v>
      </c>
      <c r="G4693" s="191"/>
      <c r="H4693" s="210"/>
      <c r="K4693" s="212" t="s">
        <v>10286</v>
      </c>
      <c r="M4693" t="s">
        <v>4945</v>
      </c>
      <c r="N4693" t="s">
        <v>5571</v>
      </c>
      <c r="O4693" t="s">
        <v>4940</v>
      </c>
      <c r="Q4693" t="str">
        <f t="shared" si="183"/>
        <v>condorProc.py --series 07181002_1922 --donoise --dumps a --procenv environments/pymidas_HVHV_NaI_mf.env</v>
      </c>
      <c r="R4693" t="str">
        <f t="shared" si="182"/>
        <v>ln -s ../../../../midasraw/byseries/07181002_1922 07181002_1922</v>
      </c>
    </row>
    <row r="4694" spans="1:18">
      <c r="A4694" t="s">
        <v>10287</v>
      </c>
      <c r="G4694" s="191"/>
      <c r="H4694" s="210"/>
      <c r="K4694" s="180"/>
      <c r="M4694" t="s">
        <v>4945</v>
      </c>
      <c r="N4694" t="s">
        <v>5571</v>
      </c>
      <c r="O4694" t="s">
        <v>4940</v>
      </c>
      <c r="Q4694" t="str">
        <f t="shared" si="183"/>
        <v>condorProc.py --series 07181002_1932 --donoise --dumps a --procenv environments/pymidas_HVHV_NaI_mf.env</v>
      </c>
      <c r="R4694" t="str">
        <f t="shared" si="182"/>
        <v>ln -s ../../../../midasraw/byseries/07181002_1932 07181002_1932</v>
      </c>
    </row>
    <row r="4695" spans="1:18">
      <c r="A4695" t="s">
        <v>10288</v>
      </c>
      <c r="G4695" s="191"/>
      <c r="H4695" s="210"/>
      <c r="K4695" s="180"/>
      <c r="M4695" t="s">
        <v>4945</v>
      </c>
      <c r="N4695" t="s">
        <v>5571</v>
      </c>
      <c r="O4695" t="s">
        <v>4940</v>
      </c>
      <c r="Q4695" t="str">
        <f t="shared" si="183"/>
        <v>condorProc.py --series 07181002_1942 --donoise --dumps a --procenv environments/pymidas_HVHV_NaI_mf.env</v>
      </c>
      <c r="R4695" t="str">
        <f t="shared" si="182"/>
        <v>ln -s ../../../../midasraw/byseries/07181002_1942 07181002_1942</v>
      </c>
    </row>
    <row r="4696" spans="1:18">
      <c r="A4696" t="s">
        <v>10289</v>
      </c>
      <c r="G4696" s="191"/>
      <c r="H4696" s="210"/>
      <c r="K4696" s="180"/>
      <c r="M4696" t="s">
        <v>4945</v>
      </c>
      <c r="N4696" t="s">
        <v>5571</v>
      </c>
      <c r="O4696" t="s">
        <v>4940</v>
      </c>
      <c r="Q4696" t="str">
        <f t="shared" si="183"/>
        <v>condorProc.py --series 07181002_1952 --donoise --dumps a --procenv environments/pymidas_HVHV_NaI_mf.env</v>
      </c>
      <c r="R4696" t="str">
        <f t="shared" si="182"/>
        <v>ln -s ../../../../midasraw/byseries/07181002_1952 07181002_1952</v>
      </c>
    </row>
    <row r="4697" spans="1:18">
      <c r="A4697" t="s">
        <v>10290</v>
      </c>
      <c r="G4697" s="191"/>
      <c r="H4697" s="210"/>
      <c r="K4697" s="180"/>
      <c r="M4697" t="s">
        <v>4945</v>
      </c>
      <c r="N4697" t="s">
        <v>5571</v>
      </c>
      <c r="O4697" t="s">
        <v>4940</v>
      </c>
      <c r="Q4697" t="str">
        <f t="shared" si="183"/>
        <v>condorProc.py --series 07181002_2002 --donoise --dumps a --procenv environments/pymidas_HVHV_NaI_mf.env</v>
      </c>
      <c r="R4697" t="str">
        <f t="shared" si="182"/>
        <v>ln -s ../../../../midasraw/byseries/07181002_2002 07181002_2002</v>
      </c>
    </row>
    <row r="4698" spans="1:18">
      <c r="A4698" t="s">
        <v>10291</v>
      </c>
      <c r="G4698" s="191"/>
      <c r="H4698" s="210"/>
      <c r="K4698" s="180"/>
      <c r="M4698" t="s">
        <v>4945</v>
      </c>
      <c r="N4698" t="s">
        <v>5571</v>
      </c>
      <c r="O4698" t="s">
        <v>4940</v>
      </c>
      <c r="Q4698" t="str">
        <f t="shared" si="183"/>
        <v>condorProc.py --series 07181002_2012 --donoise --dumps a --procenv environments/pymidas_HVHV_NaI_mf.env</v>
      </c>
      <c r="R4698" t="str">
        <f t="shared" si="182"/>
        <v>ln -s ../../../../midasraw/byseries/07181002_2012 07181002_2012</v>
      </c>
    </row>
    <row r="4699" spans="1:18">
      <c r="A4699" t="s">
        <v>10292</v>
      </c>
      <c r="F4699" s="65"/>
      <c r="G4699" s="193"/>
      <c r="H4699" s="211"/>
      <c r="I4699" s="65"/>
      <c r="J4699" s="65"/>
      <c r="K4699" s="182"/>
      <c r="M4699" t="s">
        <v>4945</v>
      </c>
      <c r="N4699" t="s">
        <v>5571</v>
      </c>
      <c r="O4699" t="s">
        <v>4940</v>
      </c>
      <c r="Q4699" t="str">
        <f t="shared" si="183"/>
        <v>condorProc.py --series 07181002_2022 --donoise --dumps a --procenv environments/pymidas_HVHV_NaI_mf.env</v>
      </c>
      <c r="R4699" t="str">
        <f t="shared" si="182"/>
        <v>ln -s ../../../../midasraw/byseries/07181002_2022 07181002_2022</v>
      </c>
    </row>
    <row r="4700" spans="1:18">
      <c r="A4700" t="s">
        <v>10293</v>
      </c>
      <c r="F4700" s="177">
        <v>10</v>
      </c>
      <c r="G4700" s="192" t="s">
        <v>2248</v>
      </c>
      <c r="H4700" s="209">
        <v>-125</v>
      </c>
      <c r="I4700" s="177"/>
      <c r="J4700" s="177" t="s">
        <v>5577</v>
      </c>
      <c r="K4700" s="178" t="s">
        <v>5583</v>
      </c>
      <c r="M4700" t="s">
        <v>4945</v>
      </c>
      <c r="N4700" t="s">
        <v>5571</v>
      </c>
      <c r="O4700" t="s">
        <v>4940</v>
      </c>
      <c r="Q4700" t="str">
        <f t="shared" si="183"/>
        <v>condorProc.py --series 07181002_2121 --donoise --dumps a --procenv environments/pymidas_HVHV_NaI_mf.env</v>
      </c>
      <c r="R4700" t="str">
        <f t="shared" si="182"/>
        <v>ln -s ../../../../midasraw/byseries/07181002_2121 07181002_2121</v>
      </c>
    </row>
    <row r="4701" spans="1:18">
      <c r="A4701" t="s">
        <v>10294</v>
      </c>
      <c r="G4701" s="191"/>
      <c r="H4701" s="210"/>
      <c r="J4701" t="s">
        <v>5585</v>
      </c>
      <c r="K4701" s="218" t="s">
        <v>5586</v>
      </c>
      <c r="M4701" t="s">
        <v>4945</v>
      </c>
      <c r="N4701" t="s">
        <v>5571</v>
      </c>
      <c r="O4701" t="s">
        <v>4940</v>
      </c>
      <c r="Q4701" t="str">
        <f t="shared" si="183"/>
        <v>condorProc.py --series 07181002_2131 --donoise --dumps a --procenv environments/pymidas_HVHV_NaI_mf.env</v>
      </c>
      <c r="R4701" t="str">
        <f t="shared" si="182"/>
        <v>ln -s ../../../../midasraw/byseries/07181002_2131 07181002_2131</v>
      </c>
    </row>
    <row r="4702" spans="1:18">
      <c r="A4702" t="s">
        <v>10295</v>
      </c>
      <c r="G4702" s="191"/>
      <c r="H4702" s="210"/>
      <c r="K4702" s="219" t="s">
        <v>8388</v>
      </c>
      <c r="M4702" t="s">
        <v>4945</v>
      </c>
      <c r="N4702" t="s">
        <v>5571</v>
      </c>
      <c r="O4702" t="s">
        <v>4940</v>
      </c>
      <c r="Q4702" t="str">
        <f t="shared" si="183"/>
        <v>condorProc.py --series 07181002_2141 --donoise --dumps a --procenv environments/pymidas_HVHV_NaI_mf.env</v>
      </c>
      <c r="R4702" t="str">
        <f t="shared" si="182"/>
        <v>ln -s ../../../../midasraw/byseries/07181002_2141 07181002_2141</v>
      </c>
    </row>
    <row r="4703" spans="1:18">
      <c r="A4703" t="s">
        <v>10296</v>
      </c>
      <c r="G4703" s="191"/>
      <c r="H4703" s="210"/>
      <c r="K4703" s="180"/>
      <c r="M4703" t="s">
        <v>4945</v>
      </c>
      <c r="N4703" t="s">
        <v>5571</v>
      </c>
      <c r="O4703" t="s">
        <v>4940</v>
      </c>
      <c r="Q4703" t="str">
        <f t="shared" si="183"/>
        <v>condorProc.py --series 07181002_2151 --donoise --dumps a --procenv environments/pymidas_HVHV_NaI_mf.env</v>
      </c>
      <c r="R4703" t="str">
        <f t="shared" si="182"/>
        <v>ln -s ../../../../midasraw/byseries/07181002_2151 07181002_2151</v>
      </c>
    </row>
    <row r="4704" spans="1:18">
      <c r="A4704" t="s">
        <v>10297</v>
      </c>
      <c r="G4704" s="191"/>
      <c r="H4704" s="210"/>
      <c r="K4704" s="212" t="s">
        <v>10284</v>
      </c>
      <c r="M4704" t="s">
        <v>4945</v>
      </c>
      <c r="N4704" t="s">
        <v>5571</v>
      </c>
      <c r="O4704" t="s">
        <v>4940</v>
      </c>
      <c r="Q4704" t="str">
        <f t="shared" si="183"/>
        <v>condorProc.py --series 07181002_2202 --donoise --dumps a --procenv environments/pymidas_HVHV_NaI_mf.env</v>
      </c>
      <c r="R4704" t="str">
        <f t="shared" si="182"/>
        <v>ln -s ../../../../midasraw/byseries/07181002_2202 07181002_2202</v>
      </c>
    </row>
    <row r="4705" spans="1:18">
      <c r="A4705" t="s">
        <v>10298</v>
      </c>
      <c r="G4705" s="191"/>
      <c r="H4705" s="210"/>
      <c r="K4705" s="212" t="s">
        <v>10286</v>
      </c>
      <c r="M4705" t="s">
        <v>4945</v>
      </c>
      <c r="N4705" t="s">
        <v>5571</v>
      </c>
      <c r="O4705" t="s">
        <v>4940</v>
      </c>
      <c r="Q4705" t="str">
        <f t="shared" si="183"/>
        <v>condorProc.py --series 07181002_2212 --donoise --dumps a --procenv environments/pymidas_HVHV_NaI_mf.env</v>
      </c>
      <c r="R4705" t="str">
        <f t="shared" si="182"/>
        <v>ln -s ../../../../midasraw/byseries/07181002_2212 07181002_2212</v>
      </c>
    </row>
    <row r="4706" spans="1:18">
      <c r="A4706" t="s">
        <v>10299</v>
      </c>
      <c r="G4706" s="191"/>
      <c r="H4706" s="210"/>
      <c r="K4706" s="180"/>
      <c r="M4706" t="s">
        <v>4945</v>
      </c>
      <c r="N4706" t="s">
        <v>5571</v>
      </c>
      <c r="O4706" t="s">
        <v>4940</v>
      </c>
      <c r="Q4706" t="str">
        <f t="shared" si="183"/>
        <v>condorProc.py --series 07181002_2222 --donoise --dumps a --procenv environments/pymidas_HVHV_NaI_mf.env</v>
      </c>
      <c r="R4706" t="str">
        <f t="shared" si="182"/>
        <v>ln -s ../../../../midasraw/byseries/07181002_2222 07181002_2222</v>
      </c>
    </row>
    <row r="4707" spans="1:18">
      <c r="A4707" t="s">
        <v>10300</v>
      </c>
      <c r="G4707" s="191"/>
      <c r="H4707" s="210"/>
      <c r="K4707" s="180"/>
      <c r="M4707" t="s">
        <v>4945</v>
      </c>
      <c r="N4707" t="s">
        <v>5571</v>
      </c>
      <c r="O4707" t="s">
        <v>4940</v>
      </c>
      <c r="Q4707" t="str">
        <f t="shared" si="183"/>
        <v>condorProc.py --series 07181002_2232 --donoise --dumps a --procenv environments/pymidas_HVHV_NaI_mf.env</v>
      </c>
      <c r="R4707" t="str">
        <f t="shared" si="182"/>
        <v>ln -s ../../../../midasraw/byseries/07181002_2232 07181002_2232</v>
      </c>
    </row>
    <row r="4708" spans="1:18">
      <c r="A4708" t="s">
        <v>10301</v>
      </c>
      <c r="G4708" s="191"/>
      <c r="H4708" s="210"/>
      <c r="K4708" s="180"/>
      <c r="M4708" t="s">
        <v>4945</v>
      </c>
      <c r="N4708" t="s">
        <v>5571</v>
      </c>
      <c r="O4708" t="s">
        <v>4940</v>
      </c>
      <c r="Q4708" t="str">
        <f t="shared" si="183"/>
        <v>condorProc.py --series 07181002_2242 --donoise --dumps a --procenv environments/pymidas_HVHV_NaI_mf.env</v>
      </c>
      <c r="R4708" t="str">
        <f t="shared" si="182"/>
        <v>ln -s ../../../../midasraw/byseries/07181002_2242 07181002_2242</v>
      </c>
    </row>
    <row r="4709" spans="1:18">
      <c r="A4709" t="s">
        <v>10302</v>
      </c>
      <c r="G4709" s="191"/>
      <c r="H4709" s="210"/>
      <c r="K4709" s="180"/>
      <c r="M4709" t="s">
        <v>4945</v>
      </c>
      <c r="N4709" t="s">
        <v>5571</v>
      </c>
      <c r="O4709" t="s">
        <v>4940</v>
      </c>
      <c r="Q4709" t="str">
        <f t="shared" si="183"/>
        <v>condorProc.py --series 07181002_2252 --donoise --dumps a --procenv environments/pymidas_HVHV_NaI_mf.env</v>
      </c>
      <c r="R4709" t="str">
        <f t="shared" si="182"/>
        <v>ln -s ../../../../midasraw/byseries/07181002_2252 07181002_2252</v>
      </c>
    </row>
    <row r="4710" spans="1:18">
      <c r="A4710" t="s">
        <v>10303</v>
      </c>
      <c r="G4710" s="191"/>
      <c r="H4710" s="210"/>
      <c r="K4710" s="180"/>
      <c r="M4710" t="s">
        <v>4945</v>
      </c>
      <c r="N4710" t="s">
        <v>5571</v>
      </c>
      <c r="O4710" t="s">
        <v>4940</v>
      </c>
      <c r="Q4710" t="str">
        <f t="shared" si="183"/>
        <v>condorProc.py --series 07181002_2302 --donoise --dumps a --procenv environments/pymidas_HVHV_NaI_mf.env</v>
      </c>
      <c r="R4710" t="str">
        <f t="shared" si="182"/>
        <v>ln -s ../../../../midasraw/byseries/07181002_2302 07181002_2302</v>
      </c>
    </row>
    <row r="4711" spans="1:18">
      <c r="A4711" t="s">
        <v>10304</v>
      </c>
      <c r="F4711" s="65"/>
      <c r="G4711" s="193"/>
      <c r="H4711" s="211"/>
      <c r="I4711" s="65"/>
      <c r="J4711" s="65"/>
      <c r="K4711" s="182"/>
      <c r="M4711" t="s">
        <v>4945</v>
      </c>
      <c r="N4711" t="s">
        <v>5571</v>
      </c>
      <c r="O4711" t="s">
        <v>4940</v>
      </c>
      <c r="Q4711" t="str">
        <f t="shared" si="183"/>
        <v>condorProc.py --series 07181002_2313 --donoise --dumps a --procenv environments/pymidas_HVHV_NaI_mf.env</v>
      </c>
      <c r="R4711" t="str">
        <f t="shared" si="182"/>
        <v>ln -s ../../../../midasraw/byseries/07181002_2313 07181002_2313</v>
      </c>
    </row>
    <row r="4712" spans="1:18">
      <c r="A4712" t="s">
        <v>10305</v>
      </c>
      <c r="F4712" s="177">
        <v>10</v>
      </c>
      <c r="G4712" s="192" t="s">
        <v>2248</v>
      </c>
      <c r="H4712" s="209">
        <v>-125</v>
      </c>
      <c r="I4712" s="177"/>
      <c r="J4712" s="177" t="s">
        <v>5577</v>
      </c>
      <c r="K4712" s="178" t="s">
        <v>5583</v>
      </c>
      <c r="M4712" t="s">
        <v>4945</v>
      </c>
      <c r="N4712" t="s">
        <v>5571</v>
      </c>
      <c r="O4712" t="s">
        <v>4940</v>
      </c>
      <c r="Q4712" t="str">
        <f t="shared" si="183"/>
        <v>condorProc.py --series 07181003_0011 --donoise --dumps a --procenv environments/pymidas_HVHV_NaI_mf.env</v>
      </c>
      <c r="R4712" t="str">
        <f t="shared" si="182"/>
        <v>ln -s ../../../../midasraw/byseries/07181003_0011 07181003_0011</v>
      </c>
    </row>
    <row r="4713" spans="1:18">
      <c r="A4713" t="s">
        <v>10306</v>
      </c>
      <c r="G4713" s="191"/>
      <c r="H4713" s="210"/>
      <c r="J4713" t="s">
        <v>5585</v>
      </c>
      <c r="K4713" s="218" t="s">
        <v>5586</v>
      </c>
      <c r="M4713" t="s">
        <v>4945</v>
      </c>
      <c r="N4713" t="s">
        <v>5571</v>
      </c>
      <c r="O4713" t="s">
        <v>4940</v>
      </c>
      <c r="Q4713" t="str">
        <f t="shared" si="183"/>
        <v>condorProc.py --series 07181003_0021 --donoise --dumps a --procenv environments/pymidas_HVHV_NaI_mf.env</v>
      </c>
      <c r="R4713" t="str">
        <f t="shared" si="182"/>
        <v>ln -s ../../../../midasraw/byseries/07181003_0021 07181003_0021</v>
      </c>
    </row>
    <row r="4714" spans="1:18">
      <c r="A4714" t="s">
        <v>10307</v>
      </c>
      <c r="G4714" s="191"/>
      <c r="H4714" s="210"/>
      <c r="K4714" s="219" t="s">
        <v>8388</v>
      </c>
      <c r="M4714" t="s">
        <v>4945</v>
      </c>
      <c r="N4714" t="s">
        <v>5571</v>
      </c>
      <c r="O4714" t="s">
        <v>4940</v>
      </c>
      <c r="Q4714" t="str">
        <f t="shared" si="183"/>
        <v>condorProc.py --series 07181003_0031 --donoise --dumps a --procenv environments/pymidas_HVHV_NaI_mf.env</v>
      </c>
      <c r="R4714" t="str">
        <f t="shared" si="182"/>
        <v>ln -s ../../../../midasraw/byseries/07181003_0031 07181003_0031</v>
      </c>
    </row>
    <row r="4715" spans="1:18">
      <c r="A4715" t="s">
        <v>10308</v>
      </c>
      <c r="G4715" s="191"/>
      <c r="H4715" s="210"/>
      <c r="K4715" s="180"/>
      <c r="M4715" t="s">
        <v>4945</v>
      </c>
      <c r="N4715" t="s">
        <v>5571</v>
      </c>
      <c r="O4715" t="s">
        <v>4940</v>
      </c>
      <c r="Q4715" t="str">
        <f t="shared" si="183"/>
        <v>condorProc.py --series 07181003_0041 --donoise --dumps a --procenv environments/pymidas_HVHV_NaI_mf.env</v>
      </c>
      <c r="R4715" t="str">
        <f t="shared" si="182"/>
        <v>ln -s ../../../../midasraw/byseries/07181003_0041 07181003_0041</v>
      </c>
    </row>
    <row r="4716" spans="1:18">
      <c r="A4716" t="s">
        <v>10309</v>
      </c>
      <c r="G4716" s="191"/>
      <c r="H4716" s="210"/>
      <c r="K4716" s="212" t="s">
        <v>10284</v>
      </c>
      <c r="M4716" t="s">
        <v>4945</v>
      </c>
      <c r="N4716" t="s">
        <v>5571</v>
      </c>
      <c r="O4716" t="s">
        <v>4940</v>
      </c>
      <c r="Q4716" t="str">
        <f t="shared" si="183"/>
        <v>condorProc.py --series 07181003_0051 --donoise --dumps a --procenv environments/pymidas_HVHV_NaI_mf.env</v>
      </c>
      <c r="R4716" t="str">
        <f t="shared" si="182"/>
        <v>ln -s ../../../../midasraw/byseries/07181003_0051 07181003_0051</v>
      </c>
    </row>
    <row r="4717" spans="1:18">
      <c r="A4717" t="s">
        <v>10310</v>
      </c>
      <c r="G4717" s="191"/>
      <c r="H4717" s="210"/>
      <c r="K4717" s="212" t="s">
        <v>10286</v>
      </c>
      <c r="M4717" t="s">
        <v>4945</v>
      </c>
      <c r="N4717" t="s">
        <v>5571</v>
      </c>
      <c r="O4717" t="s">
        <v>4940</v>
      </c>
      <c r="Q4717" t="str">
        <f t="shared" si="183"/>
        <v>condorProc.py --series 07181003_0101 --donoise --dumps a --procenv environments/pymidas_HVHV_NaI_mf.env</v>
      </c>
      <c r="R4717" t="str">
        <f t="shared" si="182"/>
        <v>ln -s ../../../../midasraw/byseries/07181003_0101 07181003_0101</v>
      </c>
    </row>
    <row r="4718" spans="1:18">
      <c r="A4718" t="s">
        <v>10311</v>
      </c>
      <c r="G4718" s="191"/>
      <c r="H4718" s="210"/>
      <c r="K4718" s="180"/>
      <c r="M4718" t="s">
        <v>4945</v>
      </c>
      <c r="N4718" t="s">
        <v>5571</v>
      </c>
      <c r="O4718" t="s">
        <v>4940</v>
      </c>
      <c r="Q4718" t="str">
        <f t="shared" si="183"/>
        <v>condorProc.py --series 07181003_0112 --donoise --dumps a --procenv environments/pymidas_HVHV_NaI_mf.env</v>
      </c>
      <c r="R4718" t="str">
        <f t="shared" si="182"/>
        <v>ln -s ../../../../midasraw/byseries/07181003_0112 07181003_0112</v>
      </c>
    </row>
    <row r="4719" spans="1:18">
      <c r="A4719" t="s">
        <v>10312</v>
      </c>
      <c r="G4719" s="191"/>
      <c r="H4719" s="210"/>
      <c r="K4719" s="180"/>
      <c r="M4719" t="s">
        <v>4945</v>
      </c>
      <c r="N4719" t="s">
        <v>5571</v>
      </c>
      <c r="O4719" t="s">
        <v>4940</v>
      </c>
      <c r="Q4719" t="str">
        <f t="shared" si="183"/>
        <v>condorProc.py --series 07181003_0122 --donoise --dumps a --procenv environments/pymidas_HVHV_NaI_mf.env</v>
      </c>
      <c r="R4719" t="str">
        <f t="shared" si="182"/>
        <v>ln -s ../../../../midasraw/byseries/07181003_0122 07181003_0122</v>
      </c>
    </row>
    <row r="4720" spans="1:18">
      <c r="A4720" t="s">
        <v>10313</v>
      </c>
      <c r="G4720" s="191"/>
      <c r="H4720" s="210"/>
      <c r="K4720" s="180"/>
      <c r="M4720" t="s">
        <v>4945</v>
      </c>
      <c r="N4720" t="s">
        <v>5571</v>
      </c>
      <c r="O4720" t="s">
        <v>4940</v>
      </c>
      <c r="Q4720" t="str">
        <f t="shared" si="183"/>
        <v>condorProc.py --series 07181003_0132 --donoise --dumps a --procenv environments/pymidas_HVHV_NaI_mf.env</v>
      </c>
      <c r="R4720" t="str">
        <f t="shared" si="182"/>
        <v>ln -s ../../../../midasraw/byseries/07181003_0132 07181003_0132</v>
      </c>
    </row>
    <row r="4721" spans="1:18">
      <c r="A4721" t="s">
        <v>10314</v>
      </c>
      <c r="G4721" s="191"/>
      <c r="H4721" s="210"/>
      <c r="K4721" s="180"/>
      <c r="M4721" t="s">
        <v>4945</v>
      </c>
      <c r="N4721" t="s">
        <v>5571</v>
      </c>
      <c r="O4721" t="s">
        <v>4940</v>
      </c>
      <c r="Q4721" t="str">
        <f t="shared" si="183"/>
        <v>condorProc.py --series 07181003_0142 --donoise --dumps a --procenv environments/pymidas_HVHV_NaI_mf.env</v>
      </c>
      <c r="R4721" t="str">
        <f t="shared" si="182"/>
        <v>ln -s ../../../../midasraw/byseries/07181003_0142 07181003_0142</v>
      </c>
    </row>
    <row r="4722" spans="1:18">
      <c r="A4722" t="s">
        <v>10315</v>
      </c>
      <c r="G4722" s="191"/>
      <c r="H4722" s="210"/>
      <c r="K4722" s="180"/>
      <c r="M4722" t="s">
        <v>4945</v>
      </c>
      <c r="N4722" t="s">
        <v>5571</v>
      </c>
      <c r="O4722" t="s">
        <v>4940</v>
      </c>
      <c r="Q4722" t="str">
        <f t="shared" si="183"/>
        <v>condorProc.py --series 07181003_0152 --donoise --dumps a --procenv environments/pymidas_HVHV_NaI_mf.env</v>
      </c>
      <c r="R4722" t="str">
        <f t="shared" si="182"/>
        <v>ln -s ../../../../midasraw/byseries/07181003_0152 07181003_0152</v>
      </c>
    </row>
    <row r="4723" spans="1:18">
      <c r="A4723" t="s">
        <v>10316</v>
      </c>
      <c r="F4723" s="65"/>
      <c r="G4723" s="193"/>
      <c r="H4723" s="211"/>
      <c r="I4723" s="65"/>
      <c r="J4723" s="65"/>
      <c r="K4723" s="182"/>
      <c r="M4723" t="s">
        <v>4945</v>
      </c>
      <c r="N4723" t="s">
        <v>5571</v>
      </c>
      <c r="O4723" t="s">
        <v>4940</v>
      </c>
      <c r="Q4723" t="str">
        <f t="shared" si="183"/>
        <v>condorProc.py --series 07181003_0202 --donoise --dumps a --procenv environments/pymidas_HVHV_NaI_mf.env</v>
      </c>
      <c r="R4723" t="str">
        <f t="shared" si="182"/>
        <v>ln -s ../../../../midasraw/byseries/07181003_0202 07181003_0202</v>
      </c>
    </row>
    <row r="4724" spans="1:18">
      <c r="A4724" t="s">
        <v>10317</v>
      </c>
      <c r="F4724" s="177">
        <v>10</v>
      </c>
      <c r="G4724" s="192" t="s">
        <v>2248</v>
      </c>
      <c r="H4724" s="209">
        <v>-125</v>
      </c>
      <c r="I4724" s="177"/>
      <c r="J4724" s="177" t="s">
        <v>5577</v>
      </c>
      <c r="K4724" s="178" t="s">
        <v>5583</v>
      </c>
      <c r="M4724" t="s">
        <v>4945</v>
      </c>
      <c r="N4724" t="s">
        <v>5571</v>
      </c>
      <c r="O4724" t="s">
        <v>4940</v>
      </c>
      <c r="Q4724" t="str">
        <f t="shared" si="183"/>
        <v>condorProc.py --series 07181003_0300 --donoise --dumps a --procenv environments/pymidas_HVHV_NaI_mf.env</v>
      </c>
      <c r="R4724" t="str">
        <f t="shared" si="182"/>
        <v>ln -s ../../../../midasraw/byseries/07181003_0300 07181003_0300</v>
      </c>
    </row>
    <row r="4725" spans="1:18">
      <c r="A4725" t="s">
        <v>10318</v>
      </c>
      <c r="G4725" s="191"/>
      <c r="H4725" s="210"/>
      <c r="J4725" t="s">
        <v>5585</v>
      </c>
      <c r="K4725" s="218" t="s">
        <v>5586</v>
      </c>
      <c r="M4725" t="s">
        <v>4945</v>
      </c>
      <c r="N4725" t="s">
        <v>5571</v>
      </c>
      <c r="O4725" t="s">
        <v>4940</v>
      </c>
      <c r="Q4725" t="str">
        <f t="shared" si="183"/>
        <v>condorProc.py --series 07181003_0311 --donoise --dumps a --procenv environments/pymidas_HVHV_NaI_mf.env</v>
      </c>
      <c r="R4725" t="str">
        <f t="shared" si="182"/>
        <v>ln -s ../../../../midasraw/byseries/07181003_0311 07181003_0311</v>
      </c>
    </row>
    <row r="4726" spans="1:18">
      <c r="A4726" t="s">
        <v>10319</v>
      </c>
      <c r="G4726" s="191"/>
      <c r="H4726" s="210"/>
      <c r="K4726" s="219" t="s">
        <v>8388</v>
      </c>
      <c r="M4726" t="s">
        <v>4945</v>
      </c>
      <c r="N4726" t="s">
        <v>5571</v>
      </c>
      <c r="O4726" t="s">
        <v>4940</v>
      </c>
      <c r="Q4726" t="str">
        <f t="shared" si="183"/>
        <v>condorProc.py --series 07181003_0321 --donoise --dumps a --procenv environments/pymidas_HVHV_NaI_mf.env</v>
      </c>
      <c r="R4726" t="str">
        <f t="shared" si="182"/>
        <v>ln -s ../../../../midasraw/byseries/07181003_0321 07181003_0321</v>
      </c>
    </row>
    <row r="4727" spans="1:18">
      <c r="A4727" t="s">
        <v>10320</v>
      </c>
      <c r="G4727" s="191"/>
      <c r="H4727" s="210"/>
      <c r="K4727" s="180"/>
      <c r="M4727" t="s">
        <v>4945</v>
      </c>
      <c r="N4727" t="s">
        <v>5571</v>
      </c>
      <c r="O4727" t="s">
        <v>4940</v>
      </c>
      <c r="Q4727" t="str">
        <f t="shared" si="183"/>
        <v>condorProc.py --series 07181003_0331 --donoise --dumps a --procenv environments/pymidas_HVHV_NaI_mf.env</v>
      </c>
      <c r="R4727" t="str">
        <f t="shared" si="182"/>
        <v>ln -s ../../../../midasraw/byseries/07181003_0331 07181003_0331</v>
      </c>
    </row>
    <row r="4728" spans="1:18">
      <c r="A4728" t="s">
        <v>10321</v>
      </c>
      <c r="G4728" s="191"/>
      <c r="H4728" s="210"/>
      <c r="K4728" s="212" t="s">
        <v>10284</v>
      </c>
      <c r="M4728" t="s">
        <v>4945</v>
      </c>
      <c r="N4728" t="s">
        <v>5571</v>
      </c>
      <c r="O4728" t="s">
        <v>4940</v>
      </c>
      <c r="Q4728" t="str">
        <f t="shared" si="183"/>
        <v>condorProc.py --series 07181003_0341 --donoise --dumps a --procenv environments/pymidas_HVHV_NaI_mf.env</v>
      </c>
      <c r="R4728" t="str">
        <f t="shared" si="182"/>
        <v>ln -s ../../../../midasraw/byseries/07181003_0341 07181003_0341</v>
      </c>
    </row>
    <row r="4729" spans="1:18">
      <c r="A4729" t="s">
        <v>10322</v>
      </c>
      <c r="G4729" s="191"/>
      <c r="H4729" s="210"/>
      <c r="K4729" s="212" t="s">
        <v>10286</v>
      </c>
      <c r="M4729" t="s">
        <v>4945</v>
      </c>
      <c r="N4729" t="s">
        <v>5571</v>
      </c>
      <c r="O4729" t="s">
        <v>4940</v>
      </c>
      <c r="Q4729" t="str">
        <f t="shared" si="183"/>
        <v>condorProc.py --series 07181003_0351 --donoise --dumps a --procenv environments/pymidas_HVHV_NaI_mf.env</v>
      </c>
      <c r="R4729" t="str">
        <f t="shared" si="182"/>
        <v>ln -s ../../../../midasraw/byseries/07181003_0351 07181003_0351</v>
      </c>
    </row>
    <row r="4730" spans="1:18">
      <c r="A4730" t="s">
        <v>10323</v>
      </c>
      <c r="G4730" s="191"/>
      <c r="H4730" s="210"/>
      <c r="K4730" s="180"/>
      <c r="M4730" t="s">
        <v>4945</v>
      </c>
      <c r="N4730" t="s">
        <v>5571</v>
      </c>
      <c r="O4730" t="s">
        <v>4940</v>
      </c>
      <c r="Q4730" t="str">
        <f t="shared" si="183"/>
        <v>condorProc.py --series 07181003_0401 --donoise --dumps a --procenv environments/pymidas_HVHV_NaI_mf.env</v>
      </c>
      <c r="R4730" t="str">
        <f t="shared" si="182"/>
        <v>ln -s ../../../../midasraw/byseries/07181003_0401 07181003_0401</v>
      </c>
    </row>
    <row r="4731" spans="1:18">
      <c r="A4731" t="s">
        <v>10324</v>
      </c>
      <c r="G4731" s="191"/>
      <c r="H4731" s="210"/>
      <c r="K4731" s="180"/>
      <c r="M4731" t="s">
        <v>4945</v>
      </c>
      <c r="N4731" t="s">
        <v>5571</v>
      </c>
      <c r="O4731" t="s">
        <v>4940</v>
      </c>
      <c r="Q4731" t="str">
        <f t="shared" si="183"/>
        <v>condorProc.py --series 07181003_0411 --donoise --dumps a --procenv environments/pymidas_HVHV_NaI_mf.env</v>
      </c>
      <c r="R4731" t="str">
        <f t="shared" si="182"/>
        <v>ln -s ../../../../midasraw/byseries/07181003_0411 07181003_0411</v>
      </c>
    </row>
    <row r="4732" spans="1:18">
      <c r="A4732" t="s">
        <v>10325</v>
      </c>
      <c r="G4732" s="191"/>
      <c r="H4732" s="210"/>
      <c r="K4732" s="180"/>
      <c r="M4732" t="s">
        <v>4945</v>
      </c>
      <c r="N4732" t="s">
        <v>5571</v>
      </c>
      <c r="O4732" t="s">
        <v>4940</v>
      </c>
      <c r="Q4732" t="str">
        <f t="shared" si="183"/>
        <v>condorProc.py --series 07181003_0422 --donoise --dumps a --procenv environments/pymidas_HVHV_NaI_mf.env</v>
      </c>
      <c r="R4732" t="str">
        <f t="shared" si="182"/>
        <v>ln -s ../../../../midasraw/byseries/07181003_0422 07181003_0422</v>
      </c>
    </row>
    <row r="4733" spans="1:18">
      <c r="A4733" t="s">
        <v>10326</v>
      </c>
      <c r="G4733" s="191"/>
      <c r="H4733" s="210"/>
      <c r="K4733" s="180"/>
      <c r="M4733" t="s">
        <v>4945</v>
      </c>
      <c r="N4733" t="s">
        <v>5571</v>
      </c>
      <c r="O4733" t="s">
        <v>4940</v>
      </c>
      <c r="Q4733" t="str">
        <f t="shared" si="183"/>
        <v>condorProc.py --series 07181003_0432 --donoise --dumps a --procenv environments/pymidas_HVHV_NaI_mf.env</v>
      </c>
      <c r="R4733" t="str">
        <f t="shared" si="182"/>
        <v>ln -s ../../../../midasraw/byseries/07181003_0432 07181003_0432</v>
      </c>
    </row>
    <row r="4734" spans="1:18">
      <c r="A4734" t="s">
        <v>10327</v>
      </c>
      <c r="G4734" s="191"/>
      <c r="H4734" s="210"/>
      <c r="K4734" s="180"/>
      <c r="M4734" t="s">
        <v>4945</v>
      </c>
      <c r="N4734" t="s">
        <v>5571</v>
      </c>
      <c r="O4734" t="s">
        <v>4940</v>
      </c>
      <c r="Q4734" t="str">
        <f t="shared" si="183"/>
        <v>condorProc.py --series 07181003_0442 --donoise --dumps a --procenv environments/pymidas_HVHV_NaI_mf.env</v>
      </c>
      <c r="R4734" t="str">
        <f t="shared" si="182"/>
        <v>ln -s ../../../../midasraw/byseries/07181003_0442 07181003_0442</v>
      </c>
    </row>
    <row r="4735" spans="1:18">
      <c r="A4735" t="s">
        <v>10328</v>
      </c>
      <c r="F4735" s="65"/>
      <c r="G4735" s="193"/>
      <c r="H4735" s="211"/>
      <c r="I4735" s="65"/>
      <c r="J4735" s="65"/>
      <c r="K4735" s="182"/>
      <c r="M4735" t="s">
        <v>4945</v>
      </c>
      <c r="N4735" t="s">
        <v>5571</v>
      </c>
      <c r="O4735" t="s">
        <v>4940</v>
      </c>
      <c r="Q4735" t="str">
        <f t="shared" si="183"/>
        <v>condorProc.py --series 07181003_0452 --donoise --dumps a --procenv environments/pymidas_HVHV_NaI_mf.env</v>
      </c>
      <c r="R4735" t="str">
        <f t="shared" si="182"/>
        <v>ln -s ../../../../midasraw/byseries/07181003_0452 07181003_0452</v>
      </c>
    </row>
    <row r="4736" spans="1:18">
      <c r="A4736" t="s">
        <v>10329</v>
      </c>
      <c r="F4736" s="177">
        <v>10</v>
      </c>
      <c r="G4736" s="192" t="s">
        <v>2248</v>
      </c>
      <c r="H4736" s="209">
        <v>-125</v>
      </c>
      <c r="I4736" s="177"/>
      <c r="J4736" s="177" t="s">
        <v>5577</v>
      </c>
      <c r="K4736" s="178" t="s">
        <v>5583</v>
      </c>
      <c r="M4736" t="s">
        <v>4945</v>
      </c>
      <c r="N4736" t="s">
        <v>5571</v>
      </c>
      <c r="O4736" t="s">
        <v>4940</v>
      </c>
      <c r="Q4736" t="str">
        <f t="shared" si="183"/>
        <v>condorProc.py --series 07181003_0550 --donoise --dumps a --procenv environments/pymidas_HVHV_NaI_mf.env</v>
      </c>
      <c r="R4736" t="str">
        <f t="shared" si="182"/>
        <v>ln -s ../../../../midasraw/byseries/07181003_0550 07181003_0550</v>
      </c>
    </row>
    <row r="4737" spans="1:18">
      <c r="A4737" t="s">
        <v>10330</v>
      </c>
      <c r="G4737" s="191"/>
      <c r="H4737" s="210"/>
      <c r="J4737" t="s">
        <v>5585</v>
      </c>
      <c r="K4737" s="218" t="s">
        <v>5586</v>
      </c>
      <c r="M4737" t="s">
        <v>4945</v>
      </c>
      <c r="N4737" t="s">
        <v>5571</v>
      </c>
      <c r="O4737" t="s">
        <v>4940</v>
      </c>
      <c r="Q4737" t="str">
        <f t="shared" si="183"/>
        <v>condorProc.py --series 07181003_0600 --donoise --dumps a --procenv environments/pymidas_HVHV_NaI_mf.env</v>
      </c>
      <c r="R4737" t="str">
        <f t="shared" si="182"/>
        <v>ln -s ../../../../midasraw/byseries/07181003_0600 07181003_0600</v>
      </c>
    </row>
    <row r="4738" spans="1:18">
      <c r="A4738" t="s">
        <v>10331</v>
      </c>
      <c r="G4738" s="191"/>
      <c r="H4738" s="210"/>
      <c r="K4738" s="219" t="s">
        <v>8388</v>
      </c>
      <c r="M4738" t="s">
        <v>4945</v>
      </c>
      <c r="N4738" t="s">
        <v>5571</v>
      </c>
      <c r="O4738" t="s">
        <v>4940</v>
      </c>
      <c r="Q4738" t="str">
        <f t="shared" si="183"/>
        <v>condorProc.py --series 07181003_0610 --donoise --dumps a --procenv environments/pymidas_HVHV_NaI_mf.env</v>
      </c>
      <c r="R4738" t="str">
        <f t="shared" si="182"/>
        <v>ln -s ../../../../midasraw/byseries/07181003_0610 07181003_0610</v>
      </c>
    </row>
    <row r="4739" spans="1:18">
      <c r="A4739" t="s">
        <v>10332</v>
      </c>
      <c r="G4739" s="191"/>
      <c r="H4739" s="210"/>
      <c r="K4739" s="180"/>
      <c r="M4739" t="s">
        <v>4945</v>
      </c>
      <c r="N4739" t="s">
        <v>5571</v>
      </c>
      <c r="O4739" t="s">
        <v>4940</v>
      </c>
      <c r="Q4739" t="str">
        <f t="shared" si="183"/>
        <v>condorProc.py --series 07181003_0620 --donoise --dumps a --procenv environments/pymidas_HVHV_NaI_mf.env</v>
      </c>
      <c r="R4739" t="str">
        <f t="shared" si="182"/>
        <v>ln -s ../../../../midasraw/byseries/07181003_0620 07181003_0620</v>
      </c>
    </row>
    <row r="4740" spans="1:18">
      <c r="A4740" t="s">
        <v>10333</v>
      </c>
      <c r="G4740" s="191"/>
      <c r="H4740" s="210"/>
      <c r="K4740" s="212" t="s">
        <v>10284</v>
      </c>
      <c r="M4740" t="s">
        <v>4945</v>
      </c>
      <c r="N4740" t="s">
        <v>5571</v>
      </c>
      <c r="O4740" t="s">
        <v>4940</v>
      </c>
      <c r="Q4740" t="str">
        <f t="shared" si="183"/>
        <v>condorProc.py --series 07181003_0630 --donoise --dumps a --procenv environments/pymidas_HVHV_NaI_mf.env</v>
      </c>
      <c r="R4740" t="str">
        <f t="shared" si="182"/>
        <v>ln -s ../../../../midasraw/byseries/07181003_0630 07181003_0630</v>
      </c>
    </row>
    <row r="4741" spans="1:18">
      <c r="A4741" t="s">
        <v>10334</v>
      </c>
      <c r="G4741" s="191"/>
      <c r="H4741" s="210"/>
      <c r="K4741" s="212" t="s">
        <v>10286</v>
      </c>
      <c r="M4741" t="s">
        <v>4945</v>
      </c>
      <c r="N4741" t="s">
        <v>5571</v>
      </c>
      <c r="O4741" t="s">
        <v>4940</v>
      </c>
      <c r="Q4741" t="str">
        <f t="shared" si="183"/>
        <v>condorProc.py --series 07181003_0641 --donoise --dumps a --procenv environments/pymidas_HVHV_NaI_mf.env</v>
      </c>
      <c r="R4741" t="str">
        <f t="shared" si="182"/>
        <v>ln -s ../../../../midasraw/byseries/07181003_0641 07181003_0641</v>
      </c>
    </row>
    <row r="4742" spans="1:18">
      <c r="A4742" t="s">
        <v>10335</v>
      </c>
      <c r="G4742" s="191"/>
      <c r="H4742" s="210"/>
      <c r="K4742" s="180"/>
      <c r="M4742" t="s">
        <v>4945</v>
      </c>
      <c r="N4742" t="s">
        <v>5571</v>
      </c>
      <c r="O4742" t="s">
        <v>4940</v>
      </c>
      <c r="Q4742" t="str">
        <f t="shared" si="183"/>
        <v>condorProc.py --series 07181003_0651 --donoise --dumps a --procenv environments/pymidas_HVHV_NaI_mf.env</v>
      </c>
      <c r="R4742" t="str">
        <f t="shared" si="182"/>
        <v>ln -s ../../../../midasraw/byseries/07181003_0651 07181003_0651</v>
      </c>
    </row>
    <row r="4743" spans="1:18">
      <c r="A4743" t="s">
        <v>10336</v>
      </c>
      <c r="G4743" s="191"/>
      <c r="H4743" s="210"/>
      <c r="K4743" s="180"/>
      <c r="M4743" t="s">
        <v>4945</v>
      </c>
      <c r="N4743" t="s">
        <v>5571</v>
      </c>
      <c r="O4743" t="s">
        <v>4940</v>
      </c>
      <c r="Q4743" t="str">
        <f t="shared" si="183"/>
        <v>condorProc.py --series 07181003_0701 --donoise --dumps a --procenv environments/pymidas_HVHV_NaI_mf.env</v>
      </c>
      <c r="R4743" t="str">
        <f t="shared" si="182"/>
        <v>ln -s ../../../../midasraw/byseries/07181003_0701 07181003_0701</v>
      </c>
    </row>
    <row r="4744" spans="1:18">
      <c r="A4744" t="s">
        <v>10337</v>
      </c>
      <c r="G4744" s="191"/>
      <c r="H4744" s="210"/>
      <c r="K4744" s="180"/>
      <c r="M4744" t="s">
        <v>4945</v>
      </c>
      <c r="N4744" t="s">
        <v>5571</v>
      </c>
      <c r="O4744" t="s">
        <v>4940</v>
      </c>
      <c r="Q4744" t="str">
        <f t="shared" si="183"/>
        <v>condorProc.py --series 07181003_0711 --donoise --dumps a --procenv environments/pymidas_HVHV_NaI_mf.env</v>
      </c>
      <c r="R4744" t="str">
        <f t="shared" si="182"/>
        <v>ln -s ../../../../midasraw/byseries/07181003_0711 07181003_0711</v>
      </c>
    </row>
    <row r="4745" spans="1:18">
      <c r="A4745" t="s">
        <v>10338</v>
      </c>
      <c r="G4745" s="191"/>
      <c r="H4745" s="210"/>
      <c r="K4745" s="180"/>
      <c r="M4745" t="s">
        <v>4945</v>
      </c>
      <c r="N4745" t="s">
        <v>5571</v>
      </c>
      <c r="O4745" t="s">
        <v>4940</v>
      </c>
      <c r="Q4745" t="str">
        <f t="shared" si="183"/>
        <v>condorProc.py --series 07181003_0721 --donoise --dumps a --procenv environments/pymidas_HVHV_NaI_mf.env</v>
      </c>
      <c r="R4745" t="str">
        <f t="shared" si="182"/>
        <v>ln -s ../../../../midasraw/byseries/07181003_0721 07181003_0721</v>
      </c>
    </row>
    <row r="4746" spans="1:18">
      <c r="A4746" t="s">
        <v>10339</v>
      </c>
      <c r="G4746" s="191"/>
      <c r="H4746" s="210"/>
      <c r="K4746" s="180"/>
      <c r="M4746" t="s">
        <v>4945</v>
      </c>
      <c r="N4746" t="s">
        <v>5571</v>
      </c>
      <c r="O4746" t="s">
        <v>4940</v>
      </c>
      <c r="Q4746" t="str">
        <f t="shared" si="183"/>
        <v>condorProc.py --series 07181003_0731 --donoise --dumps a --procenv environments/pymidas_HVHV_NaI_mf.env</v>
      </c>
      <c r="R4746" t="str">
        <f t="shared" si="182"/>
        <v>ln -s ../../../../midasraw/byseries/07181003_0731 07181003_0731</v>
      </c>
    </row>
    <row r="4747" spans="1:18">
      <c r="A4747" t="s">
        <v>10340</v>
      </c>
      <c r="F4747" s="65"/>
      <c r="G4747" s="193"/>
      <c r="H4747" s="211"/>
      <c r="I4747" s="65" t="s">
        <v>75</v>
      </c>
      <c r="J4747" s="65"/>
      <c r="K4747" s="182"/>
      <c r="M4747" t="s">
        <v>4945</v>
      </c>
      <c r="N4747" t="s">
        <v>5571</v>
      </c>
      <c r="O4747" t="s">
        <v>4940</v>
      </c>
      <c r="Q4747" t="str">
        <f t="shared" si="183"/>
        <v>condorProc.py --series 07181003_0741 --donoise --dumps a --procenv environments/pymidas_HVHV_NaI_mf.env</v>
      </c>
      <c r="R4747" t="str">
        <f t="shared" si="182"/>
        <v>ln -s ../../../../midasraw/byseries/07181003_0741 07181003_0741</v>
      </c>
    </row>
    <row r="4748" spans="1:18">
      <c r="A4748" t="s">
        <v>10341</v>
      </c>
      <c r="F4748" s="177">
        <v>10</v>
      </c>
      <c r="G4748" s="192" t="s">
        <v>2248</v>
      </c>
      <c r="H4748" s="209">
        <v>-125</v>
      </c>
      <c r="I4748" s="177"/>
      <c r="J4748" s="177" t="s">
        <v>5577</v>
      </c>
      <c r="K4748" s="178" t="s">
        <v>5583</v>
      </c>
      <c r="M4748" t="s">
        <v>4945</v>
      </c>
      <c r="N4748" t="s">
        <v>5571</v>
      </c>
      <c r="O4748" t="s">
        <v>4940</v>
      </c>
      <c r="Q4748" t="str">
        <f t="shared" si="183"/>
        <v>condorProc.py --series 07181003_0840 --donoise --dumps a --procenv environments/pymidas_HVHV_NaI_mf.env</v>
      </c>
      <c r="R4748" t="str">
        <f t="shared" si="182"/>
        <v>ln -s ../../../../midasraw/byseries/07181003_0840 07181003_0840</v>
      </c>
    </row>
    <row r="4749" spans="1:18">
      <c r="A4749" t="s">
        <v>10342</v>
      </c>
      <c r="G4749" s="191"/>
      <c r="H4749" s="210"/>
      <c r="J4749" t="s">
        <v>5585</v>
      </c>
      <c r="K4749" s="218" t="s">
        <v>5586</v>
      </c>
      <c r="M4749" t="s">
        <v>4945</v>
      </c>
      <c r="N4749" t="s">
        <v>5571</v>
      </c>
      <c r="O4749" t="s">
        <v>4940</v>
      </c>
      <c r="Q4749" t="str">
        <f t="shared" si="183"/>
        <v>condorProc.py --series 07181003_0850 --donoise --dumps a --procenv environments/pymidas_HVHV_NaI_mf.env</v>
      </c>
      <c r="R4749" t="str">
        <f t="shared" si="182"/>
        <v>ln -s ../../../../midasraw/byseries/07181003_0850 07181003_0850</v>
      </c>
    </row>
    <row r="4750" spans="1:18">
      <c r="A4750" t="s">
        <v>10343</v>
      </c>
      <c r="G4750" s="191"/>
      <c r="H4750" s="210"/>
      <c r="K4750" s="219" t="s">
        <v>8388</v>
      </c>
      <c r="M4750" t="s">
        <v>4945</v>
      </c>
      <c r="N4750" t="s">
        <v>5571</v>
      </c>
      <c r="O4750" t="s">
        <v>4940</v>
      </c>
      <c r="Q4750" t="str">
        <f t="shared" si="183"/>
        <v>condorProc.py --series 07181003_0900 --donoise --dumps a --procenv environments/pymidas_HVHV_NaI_mf.env</v>
      </c>
      <c r="R4750" t="str">
        <f t="shared" si="182"/>
        <v>ln -s ../../../../midasraw/byseries/07181003_0900 07181003_0900</v>
      </c>
    </row>
    <row r="4751" spans="1:18">
      <c r="A4751" t="s">
        <v>10344</v>
      </c>
      <c r="G4751" s="191"/>
      <c r="H4751" s="210"/>
      <c r="K4751" s="180"/>
      <c r="M4751" t="s">
        <v>4945</v>
      </c>
      <c r="N4751" t="s">
        <v>5571</v>
      </c>
      <c r="O4751" t="s">
        <v>4940</v>
      </c>
      <c r="Q4751" t="str">
        <f t="shared" si="183"/>
        <v>condorProc.py --series 07181003_0910 --donoise --dumps a --procenv environments/pymidas_HVHV_NaI_mf.env</v>
      </c>
      <c r="R4751" t="str">
        <f t="shared" si="182"/>
        <v>ln -s ../../../../midasraw/byseries/07181003_0910 07181003_0910</v>
      </c>
    </row>
    <row r="4752" spans="1:18">
      <c r="A4752" t="s">
        <v>10345</v>
      </c>
      <c r="G4752" s="191"/>
      <c r="H4752" s="210"/>
      <c r="K4752" s="212" t="s">
        <v>10284</v>
      </c>
      <c r="M4752" t="s">
        <v>4945</v>
      </c>
      <c r="N4752" t="s">
        <v>5571</v>
      </c>
      <c r="O4752" t="s">
        <v>4940</v>
      </c>
      <c r="Q4752" t="str">
        <f t="shared" si="183"/>
        <v>condorProc.py --series 07181003_0920 --donoise --dumps a --procenv environments/pymidas_HVHV_NaI_mf.env</v>
      </c>
      <c r="R4752" t="str">
        <f t="shared" ref="R4752:R4757" si="184">"ln -s ../../../../midasraw/byseries/"&amp;A4752&amp;" "&amp;A4752</f>
        <v>ln -s ../../../../midasraw/byseries/07181003_0920 07181003_0920</v>
      </c>
    </row>
    <row r="4753" spans="1:18">
      <c r="A4753" t="s">
        <v>10346</v>
      </c>
      <c r="G4753" s="191"/>
      <c r="H4753" s="210"/>
      <c r="K4753" s="212" t="s">
        <v>10286</v>
      </c>
      <c r="M4753" t="s">
        <v>4945</v>
      </c>
      <c r="N4753" t="s">
        <v>5571</v>
      </c>
      <c r="O4753" t="s">
        <v>4940</v>
      </c>
      <c r="Q4753" t="str">
        <f t="shared" si="183"/>
        <v>condorProc.py --series 07181003_0930 --donoise --dumps a --procenv environments/pymidas_HVHV_NaI_mf.env</v>
      </c>
      <c r="R4753" t="str">
        <f t="shared" si="184"/>
        <v>ln -s ../../../../midasraw/byseries/07181003_0930 07181003_0930</v>
      </c>
    </row>
    <row r="4754" spans="1:18">
      <c r="A4754" t="s">
        <v>10347</v>
      </c>
      <c r="G4754" s="191"/>
      <c r="H4754" s="210"/>
      <c r="K4754" s="180"/>
      <c r="M4754" t="s">
        <v>4945</v>
      </c>
      <c r="N4754" t="s">
        <v>5571</v>
      </c>
      <c r="O4754" t="s">
        <v>4940</v>
      </c>
      <c r="Q4754" t="str">
        <f t="shared" si="183"/>
        <v>condorProc.py --series 07181003_0940 --donoise --dumps a --procenv environments/pymidas_HVHV_NaI_mf.env</v>
      </c>
      <c r="R4754" t="str">
        <f t="shared" si="184"/>
        <v>ln -s ../../../../midasraw/byseries/07181003_0940 07181003_0940</v>
      </c>
    </row>
    <row r="4755" spans="1:18">
      <c r="A4755" t="s">
        <v>10348</v>
      </c>
      <c r="G4755" s="191"/>
      <c r="H4755" s="210"/>
      <c r="K4755" s="180"/>
      <c r="M4755" t="s">
        <v>4945</v>
      </c>
      <c r="N4755" t="s">
        <v>5571</v>
      </c>
      <c r="O4755" t="s">
        <v>4940</v>
      </c>
      <c r="Q4755" t="str">
        <f t="shared" ref="Q4755:Q4818" si="185">"condorProc.py --series "&amp;A4755&amp;" --donoise --dumps a --procenv environments/pymidas_HVHV_NaI_mf.env"</f>
        <v>condorProc.py --series 07181003_0951 --donoise --dumps a --procenv environments/pymidas_HVHV_NaI_mf.env</v>
      </c>
      <c r="R4755" t="str">
        <f t="shared" si="184"/>
        <v>ln -s ../../../../midasraw/byseries/07181003_0951 07181003_0951</v>
      </c>
    </row>
    <row r="4756" spans="1:18">
      <c r="A4756" t="s">
        <v>10349</v>
      </c>
      <c r="G4756" s="191"/>
      <c r="H4756" s="210"/>
      <c r="K4756" s="180"/>
      <c r="M4756" t="s">
        <v>4945</v>
      </c>
      <c r="N4756" t="s">
        <v>5571</v>
      </c>
      <c r="O4756" t="s">
        <v>4940</v>
      </c>
      <c r="Q4756" t="str">
        <f t="shared" si="185"/>
        <v>condorProc.py --series 07181003_1001 --donoise --dumps a --procenv environments/pymidas_HVHV_NaI_mf.env</v>
      </c>
      <c r="R4756" t="str">
        <f t="shared" si="184"/>
        <v>ln -s ../../../../midasraw/byseries/07181003_1001 07181003_1001</v>
      </c>
    </row>
    <row r="4757" spans="1:18">
      <c r="A4757" t="s">
        <v>10350</v>
      </c>
      <c r="G4757" s="191"/>
      <c r="H4757" s="210"/>
      <c r="K4757" s="180"/>
      <c r="M4757" t="s">
        <v>4945</v>
      </c>
      <c r="N4757" t="s">
        <v>5571</v>
      </c>
      <c r="O4757" t="s">
        <v>4940</v>
      </c>
      <c r="Q4757" t="str">
        <f t="shared" si="185"/>
        <v>condorProc.py --series 07181003_1011 --donoise --dumps a --procenv environments/pymidas_HVHV_NaI_mf.env</v>
      </c>
      <c r="R4757" t="str">
        <f t="shared" si="184"/>
        <v>ln -s ../../../../midasraw/byseries/07181003_1011 07181003_1011</v>
      </c>
    </row>
    <row r="4758" spans="1:18">
      <c r="A4758" t="s">
        <v>10351</v>
      </c>
      <c r="H4758" s="210"/>
      <c r="K4758" s="180" t="s">
        <v>10352</v>
      </c>
      <c r="M4758" t="s">
        <v>9236</v>
      </c>
      <c r="N4758" t="s">
        <v>5571</v>
      </c>
      <c r="Q4758" t="str">
        <f t="shared" si="185"/>
        <v>condorProc.py --series 07181003_1021 --donoise --dumps a --procenv environments/pymidas_HVHV_NaI_mf.env</v>
      </c>
    </row>
    <row r="4759" spans="1:18">
      <c r="A4759" t="s">
        <v>10353</v>
      </c>
      <c r="F4759" s="65"/>
      <c r="G4759" s="65" t="s">
        <v>18</v>
      </c>
      <c r="H4759" s="211"/>
      <c r="I4759" s="65"/>
      <c r="J4759" s="65"/>
      <c r="K4759" s="182"/>
      <c r="M4759" t="s">
        <v>4945</v>
      </c>
      <c r="N4759" t="s">
        <v>5571</v>
      </c>
      <c r="O4759" t="s">
        <v>4942</v>
      </c>
      <c r="Q4759" t="str">
        <f t="shared" si="185"/>
        <v>condorProc.py --series 07181003_1031 --donoise --dumps a --procenv environments/pymidas_HVHV_NaI_mf.env</v>
      </c>
      <c r="R4759" t="str">
        <f t="shared" ref="R4759:R4822" si="186">"ln -s ../../../../midasraw/byseries/"&amp;A4759&amp;" "&amp;A4759</f>
        <v>ln -s ../../../../midasraw/byseries/07181003_1031 07181003_1031</v>
      </c>
    </row>
    <row r="4760" spans="1:18">
      <c r="A4760" t="s">
        <v>10354</v>
      </c>
      <c r="F4760" s="177">
        <v>10</v>
      </c>
      <c r="G4760" s="177" t="s">
        <v>18</v>
      </c>
      <c r="H4760" s="209">
        <v>-125</v>
      </c>
      <c r="I4760" s="177"/>
      <c r="J4760" s="177" t="s">
        <v>5577</v>
      </c>
      <c r="K4760" s="178" t="s">
        <v>5583</v>
      </c>
      <c r="M4760" t="s">
        <v>4945</v>
      </c>
      <c r="N4760" t="s">
        <v>5571</v>
      </c>
      <c r="O4760" t="s">
        <v>4942</v>
      </c>
      <c r="Q4760" t="str">
        <f t="shared" si="185"/>
        <v>condorProc.py --series 07181003_1131 --donoise --dumps a --procenv environments/pymidas_HVHV_NaI_mf.env</v>
      </c>
      <c r="R4760" t="str">
        <f t="shared" si="186"/>
        <v>ln -s ../../../../midasraw/byseries/07181003_1131 07181003_1131</v>
      </c>
    </row>
    <row r="4761" spans="1:18">
      <c r="A4761" t="s">
        <v>10355</v>
      </c>
      <c r="H4761" s="210"/>
      <c r="J4761" t="s">
        <v>5585</v>
      </c>
      <c r="K4761" s="218" t="s">
        <v>5586</v>
      </c>
      <c r="M4761" t="s">
        <v>4945</v>
      </c>
      <c r="N4761" t="s">
        <v>5571</v>
      </c>
      <c r="O4761" t="s">
        <v>4942</v>
      </c>
      <c r="Q4761" t="str">
        <f t="shared" si="185"/>
        <v>condorProc.py --series 07181003_1141 --donoise --dumps a --procenv environments/pymidas_HVHV_NaI_mf.env</v>
      </c>
      <c r="R4761" t="str">
        <f t="shared" si="186"/>
        <v>ln -s ../../../../midasraw/byseries/07181003_1141 07181003_1141</v>
      </c>
    </row>
    <row r="4762" spans="1:18">
      <c r="A4762" t="s">
        <v>10356</v>
      </c>
      <c r="H4762" s="210"/>
      <c r="K4762" s="219" t="s">
        <v>8388</v>
      </c>
      <c r="M4762" t="s">
        <v>4945</v>
      </c>
      <c r="N4762" t="s">
        <v>5571</v>
      </c>
      <c r="O4762" t="s">
        <v>4942</v>
      </c>
      <c r="Q4762" t="str">
        <f t="shared" si="185"/>
        <v>condorProc.py --series 07181003_1151 --donoise --dumps a --procenv environments/pymidas_HVHV_NaI_mf.env</v>
      </c>
      <c r="R4762" t="str">
        <f t="shared" si="186"/>
        <v>ln -s ../../../../midasraw/byseries/07181003_1151 07181003_1151</v>
      </c>
    </row>
    <row r="4763" spans="1:18">
      <c r="A4763" t="s">
        <v>10357</v>
      </c>
      <c r="H4763" s="210"/>
      <c r="K4763" s="180"/>
      <c r="M4763" t="s">
        <v>4945</v>
      </c>
      <c r="N4763" t="s">
        <v>5571</v>
      </c>
      <c r="O4763" t="s">
        <v>4942</v>
      </c>
      <c r="Q4763" t="str">
        <f t="shared" si="185"/>
        <v>condorProc.py --series 07181003_1202 --donoise --dumps a --procenv environments/pymidas_HVHV_NaI_mf.env</v>
      </c>
      <c r="R4763" t="str">
        <f t="shared" si="186"/>
        <v>ln -s ../../../../midasraw/byseries/07181003_1202 07181003_1202</v>
      </c>
    </row>
    <row r="4764" spans="1:18">
      <c r="A4764" t="s">
        <v>10358</v>
      </c>
      <c r="H4764" s="210"/>
      <c r="K4764" s="212" t="s">
        <v>10284</v>
      </c>
      <c r="M4764" t="s">
        <v>4945</v>
      </c>
      <c r="N4764" t="s">
        <v>5571</v>
      </c>
      <c r="O4764" t="s">
        <v>4942</v>
      </c>
      <c r="Q4764" t="str">
        <f t="shared" si="185"/>
        <v>condorProc.py --series 07181003_1212 --donoise --dumps a --procenv environments/pymidas_HVHV_NaI_mf.env</v>
      </c>
      <c r="R4764" t="str">
        <f t="shared" si="186"/>
        <v>ln -s ../../../../midasraw/byseries/07181003_1212 07181003_1212</v>
      </c>
    </row>
    <row r="4765" spans="1:18">
      <c r="A4765" t="s">
        <v>10359</v>
      </c>
      <c r="H4765" s="210"/>
      <c r="K4765" s="212" t="s">
        <v>10286</v>
      </c>
      <c r="M4765" t="s">
        <v>4945</v>
      </c>
      <c r="N4765" t="s">
        <v>5571</v>
      </c>
      <c r="O4765" t="s">
        <v>4942</v>
      </c>
      <c r="Q4765" t="str">
        <f t="shared" si="185"/>
        <v>condorProc.py --series 07181003_1222 --donoise --dumps a --procenv environments/pymidas_HVHV_NaI_mf.env</v>
      </c>
      <c r="R4765" t="str">
        <f t="shared" si="186"/>
        <v>ln -s ../../../../midasraw/byseries/07181003_1222 07181003_1222</v>
      </c>
    </row>
    <row r="4766" spans="1:18">
      <c r="A4766" t="s">
        <v>10360</v>
      </c>
      <c r="H4766" s="210"/>
      <c r="I4766" t="s">
        <v>75</v>
      </c>
      <c r="K4766" s="180"/>
      <c r="M4766" t="s">
        <v>4945</v>
      </c>
      <c r="N4766" t="s">
        <v>5571</v>
      </c>
      <c r="O4766" t="s">
        <v>4942</v>
      </c>
      <c r="Q4766" t="str">
        <f t="shared" si="185"/>
        <v>condorProc.py --series 07181003_1232 --donoise --dumps a --procenv environments/pymidas_HVHV_NaI_mf.env</v>
      </c>
      <c r="R4766" t="str">
        <f t="shared" si="186"/>
        <v>ln -s ../../../../midasraw/byseries/07181003_1232 07181003_1232</v>
      </c>
    </row>
    <row r="4767" spans="1:18">
      <c r="A4767" t="s">
        <v>10361</v>
      </c>
      <c r="H4767" s="210"/>
      <c r="K4767" s="180"/>
      <c r="M4767" t="s">
        <v>4945</v>
      </c>
      <c r="N4767" t="s">
        <v>5571</v>
      </c>
      <c r="O4767" t="s">
        <v>4942</v>
      </c>
      <c r="Q4767" t="str">
        <f t="shared" si="185"/>
        <v>condorProc.py --series 07181003_1242 --donoise --dumps a --procenv environments/pymidas_HVHV_NaI_mf.env</v>
      </c>
      <c r="R4767" t="str">
        <f t="shared" si="186"/>
        <v>ln -s ../../../../midasraw/byseries/07181003_1242 07181003_1242</v>
      </c>
    </row>
    <row r="4768" spans="1:18">
      <c r="A4768" t="s">
        <v>10362</v>
      </c>
      <c r="H4768" s="210"/>
      <c r="K4768" s="180"/>
      <c r="M4768" t="s">
        <v>4945</v>
      </c>
      <c r="N4768" t="s">
        <v>5571</v>
      </c>
      <c r="O4768" t="s">
        <v>4942</v>
      </c>
      <c r="Q4768" t="str">
        <f t="shared" si="185"/>
        <v>condorProc.py --series 07181003_1252 --donoise --dumps a --procenv environments/pymidas_HVHV_NaI_mf.env</v>
      </c>
      <c r="R4768" t="str">
        <f t="shared" si="186"/>
        <v>ln -s ../../../../midasraw/byseries/07181003_1252 07181003_1252</v>
      </c>
    </row>
    <row r="4769" spans="1:18">
      <c r="A4769" t="s">
        <v>10363</v>
      </c>
      <c r="H4769" s="210"/>
      <c r="K4769" s="180"/>
      <c r="M4769" t="s">
        <v>4945</v>
      </c>
      <c r="N4769" t="s">
        <v>5571</v>
      </c>
      <c r="O4769" t="s">
        <v>4942</v>
      </c>
      <c r="Q4769" t="str">
        <f t="shared" si="185"/>
        <v>condorProc.py --series 07181003_1302 --donoise --dumps a --procenv environments/pymidas_HVHV_NaI_mf.env</v>
      </c>
      <c r="R4769" t="str">
        <f t="shared" si="186"/>
        <v>ln -s ../../../../midasraw/byseries/07181003_1302 07181003_1302</v>
      </c>
    </row>
    <row r="4770" spans="1:18">
      <c r="A4770" t="s">
        <v>10364</v>
      </c>
      <c r="H4770" s="210"/>
      <c r="K4770" s="180"/>
      <c r="M4770" t="s">
        <v>4945</v>
      </c>
      <c r="N4770" t="s">
        <v>5571</v>
      </c>
      <c r="O4770" t="s">
        <v>4942</v>
      </c>
      <c r="Q4770" t="str">
        <f t="shared" si="185"/>
        <v>condorProc.py --series 07181003_1312 --donoise --dumps a --procenv environments/pymidas_HVHV_NaI_mf.env</v>
      </c>
      <c r="R4770" t="str">
        <f t="shared" si="186"/>
        <v>ln -s ../../../../midasraw/byseries/07181003_1312 07181003_1312</v>
      </c>
    </row>
    <row r="4771" spans="1:18">
      <c r="A4771" t="s">
        <v>10365</v>
      </c>
      <c r="F4771" s="65"/>
      <c r="G4771" s="65"/>
      <c r="H4771" s="211"/>
      <c r="I4771" s="65"/>
      <c r="J4771" s="65"/>
      <c r="K4771" s="182"/>
      <c r="M4771" t="s">
        <v>4945</v>
      </c>
      <c r="N4771" t="s">
        <v>5571</v>
      </c>
      <c r="O4771" t="s">
        <v>4942</v>
      </c>
      <c r="Q4771" t="str">
        <f t="shared" si="185"/>
        <v>condorProc.py --series 07181003_1323 --donoise --dumps a --procenv environments/pymidas_HVHV_NaI_mf.env</v>
      </c>
      <c r="R4771" t="str">
        <f t="shared" si="186"/>
        <v>ln -s ../../../../midasraw/byseries/07181003_1323 07181003_1323</v>
      </c>
    </row>
    <row r="4772" spans="1:18">
      <c r="A4772" t="s">
        <v>10366</v>
      </c>
      <c r="F4772" s="177">
        <v>10</v>
      </c>
      <c r="G4772" s="177" t="s">
        <v>18</v>
      </c>
      <c r="H4772" s="209">
        <v>-125</v>
      </c>
      <c r="I4772" s="177"/>
      <c r="J4772" s="177" t="s">
        <v>5577</v>
      </c>
      <c r="K4772" s="178" t="s">
        <v>5583</v>
      </c>
      <c r="M4772" t="s">
        <v>4945</v>
      </c>
      <c r="N4772" t="s">
        <v>5571</v>
      </c>
      <c r="O4772" t="s">
        <v>4942</v>
      </c>
      <c r="Q4772" t="str">
        <f t="shared" si="185"/>
        <v>condorProc.py --series 07181003_1421 --donoise --dumps a --procenv environments/pymidas_HVHV_NaI_mf.env</v>
      </c>
      <c r="R4772" t="str">
        <f t="shared" si="186"/>
        <v>ln -s ../../../../midasraw/byseries/07181003_1421 07181003_1421</v>
      </c>
    </row>
    <row r="4773" spans="1:18">
      <c r="A4773" t="s">
        <v>10367</v>
      </c>
      <c r="H4773" s="210"/>
      <c r="J4773" t="s">
        <v>5585</v>
      </c>
      <c r="K4773" s="218" t="s">
        <v>5586</v>
      </c>
      <c r="M4773" t="s">
        <v>4945</v>
      </c>
      <c r="N4773" t="s">
        <v>5571</v>
      </c>
      <c r="O4773" t="s">
        <v>4942</v>
      </c>
      <c r="Q4773" t="str">
        <f t="shared" si="185"/>
        <v>condorProc.py --series 07181003_1431 --donoise --dumps a --procenv environments/pymidas_HVHV_NaI_mf.env</v>
      </c>
      <c r="R4773" t="str">
        <f t="shared" si="186"/>
        <v>ln -s ../../../../midasraw/byseries/07181003_1431 07181003_1431</v>
      </c>
    </row>
    <row r="4774" spans="1:18">
      <c r="A4774" t="s">
        <v>10368</v>
      </c>
      <c r="H4774" s="210"/>
      <c r="K4774" s="219" t="s">
        <v>8388</v>
      </c>
      <c r="M4774" t="s">
        <v>4945</v>
      </c>
      <c r="N4774" t="s">
        <v>5571</v>
      </c>
      <c r="O4774" t="s">
        <v>4942</v>
      </c>
      <c r="Q4774" t="str">
        <f t="shared" si="185"/>
        <v>condorProc.py --series 07181003_1441 --donoise --dumps a --procenv environments/pymidas_HVHV_NaI_mf.env</v>
      </c>
      <c r="R4774" t="str">
        <f t="shared" si="186"/>
        <v>ln -s ../../../../midasraw/byseries/07181003_1441 07181003_1441</v>
      </c>
    </row>
    <row r="4775" spans="1:18">
      <c r="A4775" t="s">
        <v>10369</v>
      </c>
      <c r="H4775" s="210"/>
      <c r="K4775" s="180"/>
      <c r="M4775" t="s">
        <v>4945</v>
      </c>
      <c r="N4775" t="s">
        <v>5571</v>
      </c>
      <c r="O4775" t="s">
        <v>4942</v>
      </c>
      <c r="Q4775" t="str">
        <f t="shared" si="185"/>
        <v>condorProc.py --series 07181003_1451 --donoise --dumps a --procenv environments/pymidas_HVHV_NaI_mf.env</v>
      </c>
      <c r="R4775" t="str">
        <f t="shared" si="186"/>
        <v>ln -s ../../../../midasraw/byseries/07181003_1451 07181003_1451</v>
      </c>
    </row>
    <row r="4776" spans="1:18">
      <c r="A4776" t="s">
        <v>10370</v>
      </c>
      <c r="H4776" s="210"/>
      <c r="K4776" s="212" t="s">
        <v>10284</v>
      </c>
      <c r="M4776" t="s">
        <v>4945</v>
      </c>
      <c r="N4776" t="s">
        <v>5571</v>
      </c>
      <c r="O4776" t="s">
        <v>4942</v>
      </c>
      <c r="Q4776" t="str">
        <f t="shared" si="185"/>
        <v>condorProc.py --series 07181003_1502 --donoise --dumps a --procenv environments/pymidas_HVHV_NaI_mf.env</v>
      </c>
      <c r="R4776" t="str">
        <f t="shared" si="186"/>
        <v>ln -s ../../../../midasraw/byseries/07181003_1502 07181003_1502</v>
      </c>
    </row>
    <row r="4777" spans="1:18">
      <c r="A4777" t="s">
        <v>10371</v>
      </c>
      <c r="H4777" s="210"/>
      <c r="K4777" s="212" t="s">
        <v>10286</v>
      </c>
      <c r="M4777" t="s">
        <v>4945</v>
      </c>
      <c r="N4777" t="s">
        <v>5571</v>
      </c>
      <c r="O4777" t="s">
        <v>4942</v>
      </c>
      <c r="Q4777" t="str">
        <f t="shared" si="185"/>
        <v>condorProc.py --series 07181003_1512 --donoise --dumps a --procenv environments/pymidas_HVHV_NaI_mf.env</v>
      </c>
      <c r="R4777" t="str">
        <f t="shared" si="186"/>
        <v>ln -s ../../../../midasraw/byseries/07181003_1512 07181003_1512</v>
      </c>
    </row>
    <row r="4778" spans="1:18">
      <c r="A4778" t="s">
        <v>10372</v>
      </c>
      <c r="H4778" s="210"/>
      <c r="K4778" s="180"/>
      <c r="M4778" t="s">
        <v>4945</v>
      </c>
      <c r="N4778" t="s">
        <v>5571</v>
      </c>
      <c r="O4778" t="s">
        <v>4942</v>
      </c>
      <c r="Q4778" t="str">
        <f t="shared" si="185"/>
        <v>condorProc.py --series 07181003_1522 --donoise --dumps a --procenv environments/pymidas_HVHV_NaI_mf.env</v>
      </c>
      <c r="R4778" t="str">
        <f t="shared" si="186"/>
        <v>ln -s ../../../../midasraw/byseries/07181003_1522 07181003_1522</v>
      </c>
    </row>
    <row r="4779" spans="1:18">
      <c r="A4779" t="s">
        <v>10373</v>
      </c>
      <c r="H4779" s="210"/>
      <c r="K4779" s="180"/>
      <c r="M4779" t="s">
        <v>4945</v>
      </c>
      <c r="N4779" t="s">
        <v>5571</v>
      </c>
      <c r="O4779" t="s">
        <v>4942</v>
      </c>
      <c r="Q4779" t="str">
        <f t="shared" si="185"/>
        <v>condorProc.py --series 07181003_1532 --donoise --dumps a --procenv environments/pymidas_HVHV_NaI_mf.env</v>
      </c>
      <c r="R4779" t="str">
        <f t="shared" si="186"/>
        <v>ln -s ../../../../midasraw/byseries/07181003_1532 07181003_1532</v>
      </c>
    </row>
    <row r="4780" spans="1:18">
      <c r="A4780" t="s">
        <v>10374</v>
      </c>
      <c r="H4780" s="210"/>
      <c r="K4780" s="180"/>
      <c r="M4780" t="s">
        <v>4945</v>
      </c>
      <c r="N4780" t="s">
        <v>5571</v>
      </c>
      <c r="O4780" t="s">
        <v>4942</v>
      </c>
      <c r="Q4780" t="str">
        <f t="shared" si="185"/>
        <v>condorProc.py --series 07181003_1542 --donoise --dumps a --procenv environments/pymidas_HVHV_NaI_mf.env</v>
      </c>
      <c r="R4780" t="str">
        <f t="shared" si="186"/>
        <v>ln -s ../../../../midasraw/byseries/07181003_1542 07181003_1542</v>
      </c>
    </row>
    <row r="4781" spans="1:18">
      <c r="A4781" t="s">
        <v>10375</v>
      </c>
      <c r="H4781" s="210"/>
      <c r="K4781" s="180"/>
      <c r="M4781" t="s">
        <v>4945</v>
      </c>
      <c r="N4781" t="s">
        <v>5571</v>
      </c>
      <c r="O4781" t="s">
        <v>4942</v>
      </c>
      <c r="Q4781" t="str">
        <f t="shared" si="185"/>
        <v>condorProc.py --series 07181003_1552 --donoise --dumps a --procenv environments/pymidas_HVHV_NaI_mf.env</v>
      </c>
      <c r="R4781" t="str">
        <f t="shared" si="186"/>
        <v>ln -s ../../../../midasraw/byseries/07181003_1552 07181003_1552</v>
      </c>
    </row>
    <row r="4782" spans="1:18">
      <c r="A4782" t="s">
        <v>10376</v>
      </c>
      <c r="H4782" s="210"/>
      <c r="K4782" s="180"/>
      <c r="M4782" t="s">
        <v>4945</v>
      </c>
      <c r="N4782" t="s">
        <v>5571</v>
      </c>
      <c r="O4782" t="s">
        <v>4942</v>
      </c>
      <c r="Q4782" t="str">
        <f t="shared" si="185"/>
        <v>condorProc.py --series 07181003_1602 --donoise --dumps a --procenv environments/pymidas_HVHV_NaI_mf.env</v>
      </c>
      <c r="R4782" t="str">
        <f t="shared" si="186"/>
        <v>ln -s ../../../../midasraw/byseries/07181003_1602 07181003_1602</v>
      </c>
    </row>
    <row r="4783" spans="1:18">
      <c r="A4783" t="s">
        <v>10377</v>
      </c>
      <c r="F4783" s="65"/>
      <c r="G4783" s="65"/>
      <c r="H4783" s="211"/>
      <c r="I4783" s="65" t="s">
        <v>75</v>
      </c>
      <c r="J4783" s="65"/>
      <c r="K4783" s="182"/>
      <c r="M4783" t="s">
        <v>4945</v>
      </c>
      <c r="N4783" t="s">
        <v>5571</v>
      </c>
      <c r="O4783" t="s">
        <v>4942</v>
      </c>
      <c r="Q4783" t="str">
        <f t="shared" si="185"/>
        <v>condorProc.py --series 07181003_1613 --donoise --dumps a --procenv environments/pymidas_HVHV_NaI_mf.env</v>
      </c>
      <c r="R4783" t="str">
        <f t="shared" si="186"/>
        <v>ln -s ../../../../midasraw/byseries/07181003_1613 07181003_1613</v>
      </c>
    </row>
    <row r="4784" spans="1:18">
      <c r="A4784" t="s">
        <v>10378</v>
      </c>
      <c r="F4784" s="177">
        <v>10</v>
      </c>
      <c r="G4784" s="224" t="s">
        <v>8641</v>
      </c>
      <c r="H4784" s="209">
        <v>-125</v>
      </c>
      <c r="I4784" s="177"/>
      <c r="J4784" s="177" t="s">
        <v>5577</v>
      </c>
      <c r="K4784" s="178" t="s">
        <v>5583</v>
      </c>
      <c r="M4784" t="s">
        <v>4945</v>
      </c>
      <c r="N4784" t="s">
        <v>5571</v>
      </c>
      <c r="O4784" t="s">
        <v>4944</v>
      </c>
      <c r="Q4784" t="str">
        <f t="shared" si="185"/>
        <v>condorProc.py --series 07181003_1740 --donoise --dumps a --procenv environments/pymidas_HVHV_NaI_mf.env</v>
      </c>
      <c r="R4784" t="str">
        <f t="shared" si="186"/>
        <v>ln -s ../../../../midasraw/byseries/07181003_1740 07181003_1740</v>
      </c>
    </row>
    <row r="4785" spans="1:18">
      <c r="A4785" t="s">
        <v>10379</v>
      </c>
      <c r="G4785" s="225"/>
      <c r="H4785" s="210"/>
      <c r="J4785" t="s">
        <v>5585</v>
      </c>
      <c r="K4785" s="218" t="s">
        <v>5586</v>
      </c>
      <c r="M4785" t="s">
        <v>4945</v>
      </c>
      <c r="N4785" t="s">
        <v>5571</v>
      </c>
      <c r="O4785" t="s">
        <v>4944</v>
      </c>
      <c r="Q4785" t="str">
        <f t="shared" si="185"/>
        <v>condorProc.py --series 07181003_1750 --donoise --dumps a --procenv environments/pymidas_HVHV_NaI_mf.env</v>
      </c>
      <c r="R4785" t="str">
        <f t="shared" si="186"/>
        <v>ln -s ../../../../midasraw/byseries/07181003_1750 07181003_1750</v>
      </c>
    </row>
    <row r="4786" spans="1:18">
      <c r="A4786" t="s">
        <v>10380</v>
      </c>
      <c r="G4786" s="225"/>
      <c r="H4786" s="210"/>
      <c r="K4786" s="219" t="s">
        <v>8388</v>
      </c>
      <c r="M4786" t="s">
        <v>4945</v>
      </c>
      <c r="N4786" t="s">
        <v>5571</v>
      </c>
      <c r="O4786" t="s">
        <v>4944</v>
      </c>
      <c r="Q4786" t="str">
        <f t="shared" si="185"/>
        <v>condorProc.py --series 07181003_1800 --donoise --dumps a --procenv environments/pymidas_HVHV_NaI_mf.env</v>
      </c>
      <c r="R4786" t="str">
        <f t="shared" si="186"/>
        <v>ln -s ../../../../midasraw/byseries/07181003_1800 07181003_1800</v>
      </c>
    </row>
    <row r="4787" spans="1:18">
      <c r="A4787" t="s">
        <v>10381</v>
      </c>
      <c r="G4787" s="225"/>
      <c r="H4787" s="210"/>
      <c r="K4787" s="180"/>
      <c r="M4787" t="s">
        <v>4945</v>
      </c>
      <c r="N4787" t="s">
        <v>5571</v>
      </c>
      <c r="O4787" t="s">
        <v>4944</v>
      </c>
      <c r="Q4787" t="str">
        <f t="shared" si="185"/>
        <v>condorProc.py --series 07181003_1810 --donoise --dumps a --procenv environments/pymidas_HVHV_NaI_mf.env</v>
      </c>
      <c r="R4787" t="str">
        <f t="shared" si="186"/>
        <v>ln -s ../../../../midasraw/byseries/07181003_1810 07181003_1810</v>
      </c>
    </row>
    <row r="4788" spans="1:18">
      <c r="A4788" t="s">
        <v>10382</v>
      </c>
      <c r="G4788" s="225"/>
      <c r="H4788" s="210"/>
      <c r="K4788" s="212" t="s">
        <v>10284</v>
      </c>
      <c r="M4788" t="s">
        <v>4945</v>
      </c>
      <c r="N4788" t="s">
        <v>5571</v>
      </c>
      <c r="O4788" t="s">
        <v>4944</v>
      </c>
      <c r="Q4788" t="str">
        <f t="shared" si="185"/>
        <v>condorProc.py --series 07181003_1820 --donoise --dumps a --procenv environments/pymidas_HVHV_NaI_mf.env</v>
      </c>
      <c r="R4788" t="str">
        <f t="shared" si="186"/>
        <v>ln -s ../../../../midasraw/byseries/07181003_1820 07181003_1820</v>
      </c>
    </row>
    <row r="4789" spans="1:18">
      <c r="A4789" t="s">
        <v>10383</v>
      </c>
      <c r="G4789" s="225"/>
      <c r="H4789" s="210"/>
      <c r="K4789" s="212" t="s">
        <v>10286</v>
      </c>
      <c r="M4789" t="s">
        <v>4945</v>
      </c>
      <c r="N4789" t="s">
        <v>5571</v>
      </c>
      <c r="O4789" t="s">
        <v>4944</v>
      </c>
      <c r="Q4789" t="str">
        <f t="shared" si="185"/>
        <v>condorProc.py --series 07181003_1830 --donoise --dumps a --procenv environments/pymidas_HVHV_NaI_mf.env</v>
      </c>
      <c r="R4789" t="str">
        <f t="shared" si="186"/>
        <v>ln -s ../../../../midasraw/byseries/07181003_1830 07181003_1830</v>
      </c>
    </row>
    <row r="4790" spans="1:18">
      <c r="A4790" t="s">
        <v>10384</v>
      </c>
      <c r="G4790" s="225"/>
      <c r="H4790" s="210"/>
      <c r="K4790" s="180"/>
      <c r="M4790" t="s">
        <v>4945</v>
      </c>
      <c r="N4790" t="s">
        <v>5571</v>
      </c>
      <c r="O4790" t="s">
        <v>4944</v>
      </c>
      <c r="Q4790" t="str">
        <f t="shared" si="185"/>
        <v>condorProc.py --series 07181003_1840 --donoise --dumps a --procenv environments/pymidas_HVHV_NaI_mf.env</v>
      </c>
      <c r="R4790" t="str">
        <f t="shared" si="186"/>
        <v>ln -s ../../../../midasraw/byseries/07181003_1840 07181003_1840</v>
      </c>
    </row>
    <row r="4791" spans="1:18">
      <c r="A4791" t="s">
        <v>10385</v>
      </c>
      <c r="G4791" s="225"/>
      <c r="H4791" s="210"/>
      <c r="K4791" s="180"/>
      <c r="M4791" t="s">
        <v>4945</v>
      </c>
      <c r="N4791" t="s">
        <v>5571</v>
      </c>
      <c r="O4791" t="s">
        <v>4944</v>
      </c>
      <c r="Q4791" t="str">
        <f t="shared" si="185"/>
        <v>condorProc.py --series 07181003_1851 --donoise --dumps a --procenv environments/pymidas_HVHV_NaI_mf.env</v>
      </c>
      <c r="R4791" t="str">
        <f t="shared" si="186"/>
        <v>ln -s ../../../../midasraw/byseries/07181003_1851 07181003_1851</v>
      </c>
    </row>
    <row r="4792" spans="1:18">
      <c r="A4792" t="s">
        <v>10386</v>
      </c>
      <c r="G4792" s="225"/>
      <c r="H4792" s="210"/>
      <c r="K4792" s="180"/>
      <c r="M4792" t="s">
        <v>4945</v>
      </c>
      <c r="N4792" t="s">
        <v>5571</v>
      </c>
      <c r="O4792" t="s">
        <v>4944</v>
      </c>
      <c r="Q4792" t="str">
        <f t="shared" si="185"/>
        <v>condorProc.py --series 07181003_1901 --donoise --dumps a --procenv environments/pymidas_HVHV_NaI_mf.env</v>
      </c>
      <c r="R4792" t="str">
        <f t="shared" si="186"/>
        <v>ln -s ../../../../midasraw/byseries/07181003_1901 07181003_1901</v>
      </c>
    </row>
    <row r="4793" spans="1:18">
      <c r="A4793" t="s">
        <v>10387</v>
      </c>
      <c r="G4793" s="225"/>
      <c r="H4793" s="210"/>
      <c r="K4793" s="180"/>
      <c r="M4793" t="s">
        <v>4945</v>
      </c>
      <c r="N4793" t="s">
        <v>5571</v>
      </c>
      <c r="O4793" t="s">
        <v>4944</v>
      </c>
      <c r="Q4793" t="str">
        <f t="shared" si="185"/>
        <v>condorProc.py --series 07181003_1911 --donoise --dumps a --procenv environments/pymidas_HVHV_NaI_mf.env</v>
      </c>
      <c r="R4793" t="str">
        <f t="shared" si="186"/>
        <v>ln -s ../../../../midasraw/byseries/07181003_1911 07181003_1911</v>
      </c>
    </row>
    <row r="4794" spans="1:18">
      <c r="A4794" t="s">
        <v>10388</v>
      </c>
      <c r="G4794" s="225"/>
      <c r="H4794" s="210"/>
      <c r="K4794" s="180"/>
      <c r="M4794" t="s">
        <v>4945</v>
      </c>
      <c r="N4794" t="s">
        <v>5571</v>
      </c>
      <c r="O4794" t="s">
        <v>4944</v>
      </c>
      <c r="Q4794" t="str">
        <f t="shared" si="185"/>
        <v>condorProc.py --series 07181003_1921 --donoise --dumps a --procenv environments/pymidas_HVHV_NaI_mf.env</v>
      </c>
      <c r="R4794" t="str">
        <f t="shared" si="186"/>
        <v>ln -s ../../../../midasraw/byseries/07181003_1921 07181003_1921</v>
      </c>
    </row>
    <row r="4795" spans="1:18">
      <c r="A4795" t="s">
        <v>10389</v>
      </c>
      <c r="F4795" s="65"/>
      <c r="G4795" s="226"/>
      <c r="H4795" s="211"/>
      <c r="I4795" s="65" t="s">
        <v>75</v>
      </c>
      <c r="J4795" s="65"/>
      <c r="K4795" s="182"/>
      <c r="M4795" t="s">
        <v>4945</v>
      </c>
      <c r="N4795" t="s">
        <v>5571</v>
      </c>
      <c r="O4795" t="s">
        <v>4944</v>
      </c>
      <c r="Q4795" t="str">
        <f t="shared" si="185"/>
        <v>condorProc.py --series 07181003_1931 --donoise --dumps a --procenv environments/pymidas_HVHV_NaI_mf.env</v>
      </c>
      <c r="R4795" t="str">
        <f t="shared" si="186"/>
        <v>ln -s ../../../../midasraw/byseries/07181003_1931 07181003_1931</v>
      </c>
    </row>
    <row r="4796" spans="1:18">
      <c r="A4796" t="s">
        <v>10390</v>
      </c>
      <c r="F4796" s="177">
        <v>10</v>
      </c>
      <c r="G4796" s="224" t="s">
        <v>8641</v>
      </c>
      <c r="H4796" s="209">
        <v>-125</v>
      </c>
      <c r="I4796" s="177"/>
      <c r="J4796" s="177" t="s">
        <v>5577</v>
      </c>
      <c r="K4796" s="178" t="s">
        <v>5583</v>
      </c>
      <c r="M4796" t="s">
        <v>4945</v>
      </c>
      <c r="N4796" t="s">
        <v>5571</v>
      </c>
      <c r="O4796" t="s">
        <v>4944</v>
      </c>
      <c r="Q4796" t="str">
        <f t="shared" si="185"/>
        <v>condorProc.py --series 07181003_2031 --donoise --dumps a --procenv environments/pymidas_HVHV_NaI_mf.env</v>
      </c>
      <c r="R4796" t="str">
        <f t="shared" si="186"/>
        <v>ln -s ../../../../midasraw/byseries/07181003_2031 07181003_2031</v>
      </c>
    </row>
    <row r="4797" spans="1:18">
      <c r="A4797" t="s">
        <v>10391</v>
      </c>
      <c r="G4797" s="225"/>
      <c r="H4797" s="210"/>
      <c r="J4797" t="s">
        <v>5585</v>
      </c>
      <c r="K4797" s="218" t="s">
        <v>5586</v>
      </c>
      <c r="M4797" t="s">
        <v>4945</v>
      </c>
      <c r="N4797" t="s">
        <v>5571</v>
      </c>
      <c r="O4797" t="s">
        <v>4944</v>
      </c>
      <c r="Q4797" t="str">
        <f t="shared" si="185"/>
        <v>condorProc.py --series 07181003_2041 --donoise --dumps a --procenv environments/pymidas_HVHV_NaI_mf.env</v>
      </c>
      <c r="R4797" t="str">
        <f t="shared" si="186"/>
        <v>ln -s ../../../../midasraw/byseries/07181003_2041 07181003_2041</v>
      </c>
    </row>
    <row r="4798" spans="1:18">
      <c r="A4798" t="s">
        <v>10392</v>
      </c>
      <c r="G4798" s="225"/>
      <c r="H4798" s="210"/>
      <c r="K4798" s="219" t="s">
        <v>8388</v>
      </c>
      <c r="M4798" t="s">
        <v>4945</v>
      </c>
      <c r="N4798" t="s">
        <v>5571</v>
      </c>
      <c r="O4798" t="s">
        <v>4944</v>
      </c>
      <c r="Q4798" t="str">
        <f t="shared" si="185"/>
        <v>condorProc.py --series 07181003_2051 --donoise --dumps a --procenv environments/pymidas_HVHV_NaI_mf.env</v>
      </c>
      <c r="R4798" t="str">
        <f t="shared" si="186"/>
        <v>ln -s ../../../../midasraw/byseries/07181003_2051 07181003_2051</v>
      </c>
    </row>
    <row r="4799" spans="1:18">
      <c r="A4799" t="s">
        <v>10393</v>
      </c>
      <c r="G4799" s="225"/>
      <c r="H4799" s="210"/>
      <c r="K4799" s="180"/>
      <c r="M4799" t="s">
        <v>4945</v>
      </c>
      <c r="N4799" t="s">
        <v>5571</v>
      </c>
      <c r="O4799" t="s">
        <v>4944</v>
      </c>
      <c r="Q4799" t="str">
        <f t="shared" si="185"/>
        <v>condorProc.py --series 07181003_2102 --donoise --dumps a --procenv environments/pymidas_HVHV_NaI_mf.env</v>
      </c>
      <c r="R4799" t="str">
        <f t="shared" si="186"/>
        <v>ln -s ../../../../midasraw/byseries/07181003_2102 07181003_2102</v>
      </c>
    </row>
    <row r="4800" spans="1:18">
      <c r="A4800" t="s">
        <v>10394</v>
      </c>
      <c r="G4800" s="225"/>
      <c r="H4800" s="210"/>
      <c r="K4800" s="212" t="s">
        <v>10284</v>
      </c>
      <c r="M4800" t="s">
        <v>4945</v>
      </c>
      <c r="N4800" t="s">
        <v>5571</v>
      </c>
      <c r="O4800" t="s">
        <v>4944</v>
      </c>
      <c r="Q4800" t="str">
        <f t="shared" si="185"/>
        <v>condorProc.py --series 07181003_2112 --donoise --dumps a --procenv environments/pymidas_HVHV_NaI_mf.env</v>
      </c>
      <c r="R4800" t="str">
        <f t="shared" si="186"/>
        <v>ln -s ../../../../midasraw/byseries/07181003_2112 07181003_2112</v>
      </c>
    </row>
    <row r="4801" spans="1:18">
      <c r="A4801" t="s">
        <v>10395</v>
      </c>
      <c r="G4801" s="225"/>
      <c r="H4801" s="210"/>
      <c r="K4801" s="212" t="s">
        <v>10286</v>
      </c>
      <c r="M4801" t="s">
        <v>4945</v>
      </c>
      <c r="N4801" t="s">
        <v>5571</v>
      </c>
      <c r="O4801" t="s">
        <v>4944</v>
      </c>
      <c r="Q4801" t="str">
        <f t="shared" si="185"/>
        <v>condorProc.py --series 07181003_2122 --donoise --dumps a --procenv environments/pymidas_HVHV_NaI_mf.env</v>
      </c>
      <c r="R4801" t="str">
        <f t="shared" si="186"/>
        <v>ln -s ../../../../midasraw/byseries/07181003_2122 07181003_2122</v>
      </c>
    </row>
    <row r="4802" spans="1:18">
      <c r="A4802" t="s">
        <v>10396</v>
      </c>
      <c r="G4802" s="225"/>
      <c r="H4802" s="210"/>
      <c r="K4802" s="180"/>
      <c r="M4802" t="s">
        <v>4945</v>
      </c>
      <c r="N4802" t="s">
        <v>5571</v>
      </c>
      <c r="O4802" t="s">
        <v>4944</v>
      </c>
      <c r="Q4802" t="str">
        <f t="shared" si="185"/>
        <v>condorProc.py --series 07181003_2132 --donoise --dumps a --procenv environments/pymidas_HVHV_NaI_mf.env</v>
      </c>
      <c r="R4802" t="str">
        <f t="shared" si="186"/>
        <v>ln -s ../../../../midasraw/byseries/07181003_2132 07181003_2132</v>
      </c>
    </row>
    <row r="4803" spans="1:18">
      <c r="A4803" t="s">
        <v>10397</v>
      </c>
      <c r="G4803" s="225"/>
      <c r="H4803" s="210"/>
      <c r="K4803" s="180"/>
      <c r="M4803" t="s">
        <v>4945</v>
      </c>
      <c r="N4803" t="s">
        <v>5571</v>
      </c>
      <c r="O4803" t="s">
        <v>4944</v>
      </c>
      <c r="Q4803" t="str">
        <f t="shared" si="185"/>
        <v>condorProc.py --series 07181003_2142 --donoise --dumps a --procenv environments/pymidas_HVHV_NaI_mf.env</v>
      </c>
      <c r="R4803" t="str">
        <f t="shared" si="186"/>
        <v>ln -s ../../../../midasraw/byseries/07181003_2142 07181003_2142</v>
      </c>
    </row>
    <row r="4804" spans="1:18">
      <c r="A4804" t="s">
        <v>10398</v>
      </c>
      <c r="G4804" s="225"/>
      <c r="H4804" s="210"/>
      <c r="K4804" s="180"/>
      <c r="M4804" t="s">
        <v>4945</v>
      </c>
      <c r="N4804" t="s">
        <v>5571</v>
      </c>
      <c r="O4804" t="s">
        <v>4944</v>
      </c>
      <c r="Q4804" t="str">
        <f t="shared" si="185"/>
        <v>condorProc.py --series 07181003_2152 --donoise --dumps a --procenv environments/pymidas_HVHV_NaI_mf.env</v>
      </c>
      <c r="R4804" t="str">
        <f t="shared" si="186"/>
        <v>ln -s ../../../../midasraw/byseries/07181003_2152 07181003_2152</v>
      </c>
    </row>
    <row r="4805" spans="1:18">
      <c r="A4805" t="s">
        <v>10399</v>
      </c>
      <c r="G4805" s="225"/>
      <c r="H4805" s="210"/>
      <c r="K4805" s="180"/>
      <c r="M4805" t="s">
        <v>4945</v>
      </c>
      <c r="N4805" t="s">
        <v>5571</v>
      </c>
      <c r="O4805" t="s">
        <v>4944</v>
      </c>
      <c r="Q4805" t="str">
        <f t="shared" si="185"/>
        <v>condorProc.py --series 07181003_2202 --donoise --dumps a --procenv environments/pymidas_HVHV_NaI_mf.env</v>
      </c>
      <c r="R4805" t="str">
        <f t="shared" si="186"/>
        <v>ln -s ../../../../midasraw/byseries/07181003_2202 07181003_2202</v>
      </c>
    </row>
    <row r="4806" spans="1:18">
      <c r="A4806" t="s">
        <v>10400</v>
      </c>
      <c r="G4806" s="225"/>
      <c r="H4806" s="210"/>
      <c r="K4806" s="180"/>
      <c r="M4806" t="s">
        <v>4945</v>
      </c>
      <c r="N4806" t="s">
        <v>5571</v>
      </c>
      <c r="O4806" t="s">
        <v>4944</v>
      </c>
      <c r="Q4806" t="str">
        <f t="shared" si="185"/>
        <v>condorProc.py --series 07181003_2212 --donoise --dumps a --procenv environments/pymidas_HVHV_NaI_mf.env</v>
      </c>
      <c r="R4806" t="str">
        <f t="shared" si="186"/>
        <v>ln -s ../../../../midasraw/byseries/07181003_2212 07181003_2212</v>
      </c>
    </row>
    <row r="4807" spans="1:18">
      <c r="A4807" t="s">
        <v>10401</v>
      </c>
      <c r="F4807" s="65"/>
      <c r="G4807" s="226"/>
      <c r="H4807" s="211"/>
      <c r="I4807" s="65"/>
      <c r="J4807" s="65"/>
      <c r="K4807" s="182"/>
      <c r="M4807" t="s">
        <v>4945</v>
      </c>
      <c r="N4807" t="s">
        <v>5571</v>
      </c>
      <c r="O4807" t="s">
        <v>4944</v>
      </c>
      <c r="Q4807" t="str">
        <f t="shared" si="185"/>
        <v>condorProc.py --series 07181003_2223 --donoise --dumps a --procenv environments/pymidas_HVHV_NaI_mf.env</v>
      </c>
      <c r="R4807" t="str">
        <f t="shared" si="186"/>
        <v>ln -s ../../../../midasraw/byseries/07181003_2223 07181003_2223</v>
      </c>
    </row>
    <row r="4808" spans="1:18">
      <c r="A4808" t="s">
        <v>10402</v>
      </c>
      <c r="F4808" s="177">
        <v>10</v>
      </c>
      <c r="G4808" s="224" t="s">
        <v>8641</v>
      </c>
      <c r="H4808" s="209">
        <v>-125</v>
      </c>
      <c r="I4808" s="177"/>
      <c r="J4808" s="177" t="s">
        <v>5577</v>
      </c>
      <c r="K4808" s="178" t="s">
        <v>5583</v>
      </c>
      <c r="M4808" t="s">
        <v>4945</v>
      </c>
      <c r="N4808" t="s">
        <v>5571</v>
      </c>
      <c r="O4808" t="s">
        <v>4944</v>
      </c>
      <c r="Q4808" t="str">
        <f t="shared" si="185"/>
        <v>condorProc.py --series 07181003_2322 --donoise --dumps a --procenv environments/pymidas_HVHV_NaI_mf.env</v>
      </c>
      <c r="R4808" t="str">
        <f t="shared" si="186"/>
        <v>ln -s ../../../../midasraw/byseries/07181003_2322 07181003_2322</v>
      </c>
    </row>
    <row r="4809" spans="1:18">
      <c r="A4809" t="s">
        <v>10403</v>
      </c>
      <c r="G4809" s="225"/>
      <c r="H4809" s="210"/>
      <c r="J4809" t="s">
        <v>5585</v>
      </c>
      <c r="K4809" s="218" t="s">
        <v>5586</v>
      </c>
      <c r="M4809" t="s">
        <v>4945</v>
      </c>
      <c r="N4809" t="s">
        <v>5571</v>
      </c>
      <c r="O4809" t="s">
        <v>4944</v>
      </c>
      <c r="Q4809" t="str">
        <f t="shared" si="185"/>
        <v>condorProc.py --series 07181003_2332 --donoise --dumps a --procenv environments/pymidas_HVHV_NaI_mf.env</v>
      </c>
      <c r="R4809" t="str">
        <f t="shared" si="186"/>
        <v>ln -s ../../../../midasraw/byseries/07181003_2332 07181003_2332</v>
      </c>
    </row>
    <row r="4810" spans="1:18">
      <c r="A4810" t="s">
        <v>10404</v>
      </c>
      <c r="G4810" s="225"/>
      <c r="H4810" s="210"/>
      <c r="K4810" s="219" t="s">
        <v>8388</v>
      </c>
      <c r="M4810" t="s">
        <v>4945</v>
      </c>
      <c r="N4810" t="s">
        <v>5571</v>
      </c>
      <c r="O4810" t="s">
        <v>4944</v>
      </c>
      <c r="Q4810" t="str">
        <f t="shared" si="185"/>
        <v>condorProc.py --series 07181003_2342 --donoise --dumps a --procenv environments/pymidas_HVHV_NaI_mf.env</v>
      </c>
      <c r="R4810" t="str">
        <f t="shared" si="186"/>
        <v>ln -s ../../../../midasraw/byseries/07181003_2342 07181003_2342</v>
      </c>
    </row>
    <row r="4811" spans="1:18">
      <c r="A4811" t="s">
        <v>10405</v>
      </c>
      <c r="G4811" s="225"/>
      <c r="H4811" s="210"/>
      <c r="K4811" s="180"/>
      <c r="M4811" t="s">
        <v>4945</v>
      </c>
      <c r="N4811" t="s">
        <v>5571</v>
      </c>
      <c r="O4811" t="s">
        <v>4944</v>
      </c>
      <c r="Q4811" t="str">
        <f t="shared" si="185"/>
        <v>condorProc.py --series 07181003_2353 --donoise --dumps a --procenv environments/pymidas_HVHV_NaI_mf.env</v>
      </c>
      <c r="R4811" t="str">
        <f t="shared" si="186"/>
        <v>ln -s ../../../../midasraw/byseries/07181003_2353 07181003_2353</v>
      </c>
    </row>
    <row r="4812" spans="1:18">
      <c r="A4812" t="s">
        <v>10406</v>
      </c>
      <c r="G4812" s="225"/>
      <c r="H4812" s="210"/>
      <c r="K4812" s="212" t="s">
        <v>10284</v>
      </c>
      <c r="M4812" t="s">
        <v>4945</v>
      </c>
      <c r="N4812" t="s">
        <v>5571</v>
      </c>
      <c r="O4812" t="s">
        <v>4944</v>
      </c>
      <c r="Q4812" t="str">
        <f t="shared" si="185"/>
        <v>condorProc.py --series 07181004_0003 --donoise --dumps a --procenv environments/pymidas_HVHV_NaI_mf.env</v>
      </c>
      <c r="R4812" t="str">
        <f t="shared" si="186"/>
        <v>ln -s ../../../../midasraw/byseries/07181004_0003 07181004_0003</v>
      </c>
    </row>
    <row r="4813" spans="1:18">
      <c r="A4813" t="s">
        <v>10407</v>
      </c>
      <c r="G4813" s="225"/>
      <c r="H4813" s="210"/>
      <c r="K4813" s="212" t="s">
        <v>10286</v>
      </c>
      <c r="M4813" t="s">
        <v>4945</v>
      </c>
      <c r="N4813" t="s">
        <v>5571</v>
      </c>
      <c r="O4813" t="s">
        <v>4944</v>
      </c>
      <c r="Q4813" t="str">
        <f t="shared" si="185"/>
        <v>condorProc.py --series 07181004_0013 --donoise --dumps a --procenv environments/pymidas_HVHV_NaI_mf.env</v>
      </c>
      <c r="R4813" t="str">
        <f t="shared" si="186"/>
        <v>ln -s ../../../../midasraw/byseries/07181004_0013 07181004_0013</v>
      </c>
    </row>
    <row r="4814" spans="1:18">
      <c r="A4814" t="s">
        <v>10408</v>
      </c>
      <c r="G4814" s="225"/>
      <c r="H4814" s="210"/>
      <c r="K4814" s="180"/>
      <c r="M4814" t="s">
        <v>4945</v>
      </c>
      <c r="N4814" t="s">
        <v>5571</v>
      </c>
      <c r="O4814" t="s">
        <v>4944</v>
      </c>
      <c r="Q4814" t="str">
        <f t="shared" si="185"/>
        <v>condorProc.py --series 07181004_0023 --donoise --dumps a --procenv environments/pymidas_HVHV_NaI_mf.env</v>
      </c>
      <c r="R4814" t="str">
        <f t="shared" si="186"/>
        <v>ln -s ../../../../midasraw/byseries/07181004_0023 07181004_0023</v>
      </c>
    </row>
    <row r="4815" spans="1:18">
      <c r="A4815" t="s">
        <v>10409</v>
      </c>
      <c r="G4815" s="225"/>
      <c r="H4815" s="210"/>
      <c r="K4815" s="180"/>
      <c r="M4815" t="s">
        <v>4945</v>
      </c>
      <c r="N4815" t="s">
        <v>5571</v>
      </c>
      <c r="O4815" t="s">
        <v>4944</v>
      </c>
      <c r="Q4815" t="str">
        <f t="shared" si="185"/>
        <v>condorProc.py --series 07181004_0033 --donoise --dumps a --procenv environments/pymidas_HVHV_NaI_mf.env</v>
      </c>
      <c r="R4815" t="str">
        <f t="shared" si="186"/>
        <v>ln -s ../../../../midasraw/byseries/07181004_0033 07181004_0033</v>
      </c>
    </row>
    <row r="4816" spans="1:18">
      <c r="A4816" t="s">
        <v>10410</v>
      </c>
      <c r="G4816" s="225"/>
      <c r="H4816" s="210"/>
      <c r="K4816" s="180"/>
      <c r="M4816" t="s">
        <v>4945</v>
      </c>
      <c r="N4816" t="s">
        <v>5571</v>
      </c>
      <c r="O4816" t="s">
        <v>4944</v>
      </c>
      <c r="Q4816" t="str">
        <f t="shared" si="185"/>
        <v>condorProc.py --series 07181004_0043 --donoise --dumps a --procenv environments/pymidas_HVHV_NaI_mf.env</v>
      </c>
      <c r="R4816" t="str">
        <f t="shared" si="186"/>
        <v>ln -s ../../../../midasraw/byseries/07181004_0043 07181004_0043</v>
      </c>
    </row>
    <row r="4817" spans="1:18">
      <c r="A4817" t="s">
        <v>10411</v>
      </c>
      <c r="G4817" s="225"/>
      <c r="H4817" s="210"/>
      <c r="K4817" s="180"/>
      <c r="M4817" t="s">
        <v>4945</v>
      </c>
      <c r="N4817" t="s">
        <v>5571</v>
      </c>
      <c r="O4817" t="s">
        <v>4944</v>
      </c>
      <c r="Q4817" t="str">
        <f t="shared" si="185"/>
        <v>condorProc.py --series 07181004_0053 --donoise --dumps a --procenv environments/pymidas_HVHV_NaI_mf.env</v>
      </c>
      <c r="R4817" t="str">
        <f t="shared" si="186"/>
        <v>ln -s ../../../../midasraw/byseries/07181004_0053 07181004_0053</v>
      </c>
    </row>
    <row r="4818" spans="1:18">
      <c r="A4818" t="s">
        <v>10412</v>
      </c>
      <c r="G4818" s="225"/>
      <c r="H4818" s="210"/>
      <c r="K4818" s="180"/>
      <c r="M4818" t="s">
        <v>4945</v>
      </c>
      <c r="N4818" t="s">
        <v>5571</v>
      </c>
      <c r="O4818" t="s">
        <v>4944</v>
      </c>
      <c r="Q4818" t="str">
        <f t="shared" si="185"/>
        <v>condorProc.py --series 07181004_0103 --donoise --dumps a --procenv environments/pymidas_HVHV_NaI_mf.env</v>
      </c>
      <c r="R4818" t="str">
        <f t="shared" si="186"/>
        <v>ln -s ../../../../midasraw/byseries/07181004_0103 07181004_0103</v>
      </c>
    </row>
    <row r="4819" spans="1:18">
      <c r="A4819" t="s">
        <v>10413</v>
      </c>
      <c r="F4819" s="65"/>
      <c r="G4819" s="226"/>
      <c r="H4819" s="211"/>
      <c r="I4819" s="65"/>
      <c r="J4819" s="65"/>
      <c r="K4819" s="182"/>
      <c r="M4819" t="s">
        <v>4945</v>
      </c>
      <c r="N4819" t="s">
        <v>5571</v>
      </c>
      <c r="O4819" t="s">
        <v>4944</v>
      </c>
      <c r="Q4819" t="str">
        <f t="shared" ref="Q4819:Q4882" si="187">"condorProc.py --series "&amp;A4819&amp;" --donoise --dumps a --procenv environments/pymidas_HVHV_NaI_mf.env"</f>
        <v>condorProc.py --series 07181004_0113 --donoise --dumps a --procenv environments/pymidas_HVHV_NaI_mf.env</v>
      </c>
      <c r="R4819" t="str">
        <f t="shared" si="186"/>
        <v>ln -s ../../../../midasraw/byseries/07181004_0113 07181004_0113</v>
      </c>
    </row>
    <row r="4820" spans="1:18">
      <c r="A4820" t="s">
        <v>10414</v>
      </c>
      <c r="F4820" s="177">
        <v>10</v>
      </c>
      <c r="G4820" s="224" t="s">
        <v>8641</v>
      </c>
      <c r="H4820" s="209">
        <v>-125</v>
      </c>
      <c r="I4820" s="177"/>
      <c r="J4820" s="177" t="s">
        <v>5577</v>
      </c>
      <c r="K4820" s="178" t="s">
        <v>5583</v>
      </c>
      <c r="M4820" t="s">
        <v>4945</v>
      </c>
      <c r="N4820" t="s">
        <v>5571</v>
      </c>
      <c r="O4820" t="s">
        <v>4944</v>
      </c>
      <c r="Q4820" t="str">
        <f t="shared" si="187"/>
        <v>condorProc.py --series 07181004_0213 --donoise --dumps a --procenv environments/pymidas_HVHV_NaI_mf.env</v>
      </c>
      <c r="R4820" t="str">
        <f t="shared" si="186"/>
        <v>ln -s ../../../../midasraw/byseries/07181004_0213 07181004_0213</v>
      </c>
    </row>
    <row r="4821" spans="1:18">
      <c r="A4821" t="s">
        <v>10415</v>
      </c>
      <c r="G4821" s="225"/>
      <c r="H4821" s="210"/>
      <c r="J4821" t="s">
        <v>5585</v>
      </c>
      <c r="K4821" s="218" t="s">
        <v>5586</v>
      </c>
      <c r="M4821" t="s">
        <v>4945</v>
      </c>
      <c r="N4821" t="s">
        <v>5571</v>
      </c>
      <c r="O4821" t="s">
        <v>4944</v>
      </c>
      <c r="Q4821" t="str">
        <f t="shared" si="187"/>
        <v>condorProc.py --series 07181004_0223 --donoise --dumps a --procenv environments/pymidas_HVHV_NaI_mf.env</v>
      </c>
      <c r="R4821" t="str">
        <f t="shared" si="186"/>
        <v>ln -s ../../../../midasraw/byseries/07181004_0223 07181004_0223</v>
      </c>
    </row>
    <row r="4822" spans="1:18">
      <c r="A4822" t="s">
        <v>10416</v>
      </c>
      <c r="G4822" s="225"/>
      <c r="H4822" s="210"/>
      <c r="K4822" s="219" t="s">
        <v>8388</v>
      </c>
      <c r="M4822" t="s">
        <v>4945</v>
      </c>
      <c r="N4822" t="s">
        <v>5571</v>
      </c>
      <c r="O4822" t="s">
        <v>4944</v>
      </c>
      <c r="Q4822" t="str">
        <f t="shared" si="187"/>
        <v>condorProc.py --series 07181004_0233 --donoise --dumps a --procenv environments/pymidas_HVHV_NaI_mf.env</v>
      </c>
      <c r="R4822" t="str">
        <f t="shared" si="186"/>
        <v>ln -s ../../../../midasraw/byseries/07181004_0233 07181004_0233</v>
      </c>
    </row>
    <row r="4823" spans="1:18">
      <c r="A4823" t="s">
        <v>10417</v>
      </c>
      <c r="G4823" s="225"/>
      <c r="H4823" s="210"/>
      <c r="K4823" s="180"/>
      <c r="M4823" t="s">
        <v>4945</v>
      </c>
      <c r="N4823" t="s">
        <v>5571</v>
      </c>
      <c r="O4823" t="s">
        <v>4944</v>
      </c>
      <c r="Q4823" t="str">
        <f t="shared" si="187"/>
        <v>condorProc.py --series 07181004_0244 --donoise --dumps a --procenv environments/pymidas_HVHV_NaI_mf.env</v>
      </c>
      <c r="R4823" t="str">
        <f t="shared" ref="R4823:R4886" si="188">"ln -s ../../../../midasraw/byseries/"&amp;A4823&amp;" "&amp;A4823</f>
        <v>ln -s ../../../../midasraw/byseries/07181004_0244 07181004_0244</v>
      </c>
    </row>
    <row r="4824" spans="1:18">
      <c r="A4824" t="s">
        <v>10418</v>
      </c>
      <c r="G4824" s="225"/>
      <c r="H4824" s="210"/>
      <c r="K4824" s="212" t="s">
        <v>10284</v>
      </c>
      <c r="M4824" t="s">
        <v>4945</v>
      </c>
      <c r="N4824" t="s">
        <v>5571</v>
      </c>
      <c r="O4824" t="s">
        <v>4944</v>
      </c>
      <c r="Q4824" t="str">
        <f t="shared" si="187"/>
        <v>condorProc.py --series 07181004_0254 --donoise --dumps a --procenv environments/pymidas_HVHV_NaI_mf.env</v>
      </c>
      <c r="R4824" t="str">
        <f t="shared" si="188"/>
        <v>ln -s ../../../../midasraw/byseries/07181004_0254 07181004_0254</v>
      </c>
    </row>
    <row r="4825" spans="1:18">
      <c r="A4825" t="s">
        <v>10419</v>
      </c>
      <c r="G4825" s="225"/>
      <c r="H4825" s="210"/>
      <c r="K4825" s="212" t="s">
        <v>10286</v>
      </c>
      <c r="M4825" t="s">
        <v>4945</v>
      </c>
      <c r="N4825" t="s">
        <v>5571</v>
      </c>
      <c r="O4825" t="s">
        <v>4944</v>
      </c>
      <c r="Q4825" t="str">
        <f t="shared" si="187"/>
        <v>condorProc.py --series 07181004_0304 --donoise --dumps a --procenv environments/pymidas_HVHV_NaI_mf.env</v>
      </c>
      <c r="R4825" t="str">
        <f t="shared" si="188"/>
        <v>ln -s ../../../../midasraw/byseries/07181004_0304 07181004_0304</v>
      </c>
    </row>
    <row r="4826" spans="1:18">
      <c r="A4826" t="s">
        <v>10420</v>
      </c>
      <c r="G4826" s="225"/>
      <c r="H4826" s="210"/>
      <c r="K4826" s="180"/>
      <c r="M4826" t="s">
        <v>4945</v>
      </c>
      <c r="N4826" t="s">
        <v>5571</v>
      </c>
      <c r="O4826" t="s">
        <v>4944</v>
      </c>
      <c r="Q4826" t="str">
        <f t="shared" si="187"/>
        <v>condorProc.py --series 07181004_0314 --donoise --dumps a --procenv environments/pymidas_HVHV_NaI_mf.env</v>
      </c>
      <c r="R4826" t="str">
        <f t="shared" si="188"/>
        <v>ln -s ../../../../midasraw/byseries/07181004_0314 07181004_0314</v>
      </c>
    </row>
    <row r="4827" spans="1:18">
      <c r="A4827" t="s">
        <v>10421</v>
      </c>
      <c r="G4827" s="225"/>
      <c r="H4827" s="210"/>
      <c r="K4827" s="180"/>
      <c r="M4827" t="s">
        <v>4945</v>
      </c>
      <c r="N4827" t="s">
        <v>5571</v>
      </c>
      <c r="O4827" t="s">
        <v>4944</v>
      </c>
      <c r="Q4827" t="str">
        <f t="shared" si="187"/>
        <v>condorProc.py --series 07181004_0324 --donoise --dumps a --procenv environments/pymidas_HVHV_NaI_mf.env</v>
      </c>
      <c r="R4827" t="str">
        <f t="shared" si="188"/>
        <v>ln -s ../../../../midasraw/byseries/07181004_0324 07181004_0324</v>
      </c>
    </row>
    <row r="4828" spans="1:18">
      <c r="A4828" t="s">
        <v>10422</v>
      </c>
      <c r="G4828" s="225"/>
      <c r="H4828" s="210"/>
      <c r="K4828" s="180"/>
      <c r="M4828" t="s">
        <v>4945</v>
      </c>
      <c r="N4828" t="s">
        <v>5571</v>
      </c>
      <c r="O4828" t="s">
        <v>4944</v>
      </c>
      <c r="Q4828" t="str">
        <f t="shared" si="187"/>
        <v>condorProc.py --series 07181004_0334 --donoise --dumps a --procenv environments/pymidas_HVHV_NaI_mf.env</v>
      </c>
      <c r="R4828" t="str">
        <f t="shared" si="188"/>
        <v>ln -s ../../../../midasraw/byseries/07181004_0334 07181004_0334</v>
      </c>
    </row>
    <row r="4829" spans="1:18">
      <c r="A4829" t="s">
        <v>10423</v>
      </c>
      <c r="G4829" s="225"/>
      <c r="H4829" s="210"/>
      <c r="K4829" s="180"/>
      <c r="M4829" t="s">
        <v>4945</v>
      </c>
      <c r="N4829" t="s">
        <v>5571</v>
      </c>
      <c r="O4829" t="s">
        <v>4944</v>
      </c>
      <c r="Q4829" t="str">
        <f t="shared" si="187"/>
        <v>condorProc.py --series 07181004_0344 --donoise --dumps a --procenv environments/pymidas_HVHV_NaI_mf.env</v>
      </c>
      <c r="R4829" t="str">
        <f t="shared" si="188"/>
        <v>ln -s ../../../../midasraw/byseries/07181004_0344 07181004_0344</v>
      </c>
    </row>
    <row r="4830" spans="1:18">
      <c r="A4830" t="s">
        <v>10424</v>
      </c>
      <c r="G4830" s="225"/>
      <c r="H4830" s="210"/>
      <c r="K4830" s="180"/>
      <c r="M4830" t="s">
        <v>4945</v>
      </c>
      <c r="N4830" t="s">
        <v>5571</v>
      </c>
      <c r="O4830" t="s">
        <v>4944</v>
      </c>
      <c r="Q4830" t="str">
        <f t="shared" si="187"/>
        <v>condorProc.py --series 07181004_0355 --donoise --dumps a --procenv environments/pymidas_HVHV_NaI_mf.env</v>
      </c>
      <c r="R4830" t="str">
        <f t="shared" si="188"/>
        <v>ln -s ../../../../midasraw/byseries/07181004_0355 07181004_0355</v>
      </c>
    </row>
    <row r="4831" spans="1:18">
      <c r="A4831" t="s">
        <v>10425</v>
      </c>
      <c r="F4831" s="65"/>
      <c r="G4831" s="226"/>
      <c r="H4831" s="211"/>
      <c r="I4831" s="65"/>
      <c r="J4831" s="65"/>
      <c r="K4831" s="182"/>
      <c r="M4831" t="s">
        <v>4945</v>
      </c>
      <c r="N4831" t="s">
        <v>5571</v>
      </c>
      <c r="O4831" t="s">
        <v>4944</v>
      </c>
      <c r="Q4831" t="str">
        <f t="shared" si="187"/>
        <v>condorProc.py --series 07181004_0405 --donoise --dumps a --procenv environments/pymidas_HVHV_NaI_mf.env</v>
      </c>
      <c r="R4831" t="str">
        <f t="shared" si="188"/>
        <v>ln -s ../../../../midasraw/byseries/07181004_0405 07181004_0405</v>
      </c>
    </row>
    <row r="4832" spans="1:18">
      <c r="A4832" t="s">
        <v>10426</v>
      </c>
      <c r="F4832" s="177">
        <v>10</v>
      </c>
      <c r="G4832" s="224" t="s">
        <v>8641</v>
      </c>
      <c r="H4832" s="209">
        <v>-125</v>
      </c>
      <c r="I4832" s="177"/>
      <c r="J4832" s="177" t="s">
        <v>5577</v>
      </c>
      <c r="K4832" s="178" t="s">
        <v>5583</v>
      </c>
      <c r="M4832" t="s">
        <v>4945</v>
      </c>
      <c r="N4832" t="s">
        <v>5571</v>
      </c>
      <c r="O4832" t="s">
        <v>4944</v>
      </c>
      <c r="Q4832" t="str">
        <f t="shared" si="187"/>
        <v>condorProc.py --series 07181004_0504 --donoise --dumps a --procenv environments/pymidas_HVHV_NaI_mf.env</v>
      </c>
      <c r="R4832" t="str">
        <f t="shared" si="188"/>
        <v>ln -s ../../../../midasraw/byseries/07181004_0504 07181004_0504</v>
      </c>
    </row>
    <row r="4833" spans="1:18">
      <c r="A4833" t="s">
        <v>10427</v>
      </c>
      <c r="G4833" s="225"/>
      <c r="H4833" s="210"/>
      <c r="J4833" t="s">
        <v>5585</v>
      </c>
      <c r="K4833" s="218" t="s">
        <v>5586</v>
      </c>
      <c r="M4833" t="s">
        <v>4945</v>
      </c>
      <c r="N4833" t="s">
        <v>5571</v>
      </c>
      <c r="O4833" t="s">
        <v>4944</v>
      </c>
      <c r="Q4833" t="str">
        <f t="shared" si="187"/>
        <v>condorProc.py --series 07181004_0514 --donoise --dumps a --procenv environments/pymidas_HVHV_NaI_mf.env</v>
      </c>
      <c r="R4833" t="str">
        <f t="shared" si="188"/>
        <v>ln -s ../../../../midasraw/byseries/07181004_0514 07181004_0514</v>
      </c>
    </row>
    <row r="4834" spans="1:18">
      <c r="A4834" t="s">
        <v>10428</v>
      </c>
      <c r="G4834" s="225"/>
      <c r="H4834" s="210"/>
      <c r="K4834" s="219" t="s">
        <v>8388</v>
      </c>
      <c r="M4834" t="s">
        <v>4945</v>
      </c>
      <c r="N4834" t="s">
        <v>5571</v>
      </c>
      <c r="O4834" t="s">
        <v>4944</v>
      </c>
      <c r="Q4834" t="str">
        <f t="shared" si="187"/>
        <v>condorProc.py --series 07181004_0524 --donoise --dumps a --procenv environments/pymidas_HVHV_NaI_mf.env</v>
      </c>
      <c r="R4834" t="str">
        <f t="shared" si="188"/>
        <v>ln -s ../../../../midasraw/byseries/07181004_0524 07181004_0524</v>
      </c>
    </row>
    <row r="4835" spans="1:18">
      <c r="A4835" t="s">
        <v>10429</v>
      </c>
      <c r="G4835" s="225"/>
      <c r="H4835" s="210"/>
      <c r="K4835" s="180"/>
      <c r="M4835" t="s">
        <v>4945</v>
      </c>
      <c r="N4835" t="s">
        <v>5571</v>
      </c>
      <c r="O4835" t="s">
        <v>4944</v>
      </c>
      <c r="Q4835" t="str">
        <f t="shared" si="187"/>
        <v>condorProc.py --series 07181004_0534 --donoise --dumps a --procenv environments/pymidas_HVHV_NaI_mf.env</v>
      </c>
      <c r="R4835" t="str">
        <f t="shared" si="188"/>
        <v>ln -s ../../../../midasraw/byseries/07181004_0534 07181004_0534</v>
      </c>
    </row>
    <row r="4836" spans="1:18">
      <c r="A4836" t="s">
        <v>10430</v>
      </c>
      <c r="G4836" s="225"/>
      <c r="H4836" s="210"/>
      <c r="K4836" s="212" t="s">
        <v>10284</v>
      </c>
      <c r="M4836" t="s">
        <v>4945</v>
      </c>
      <c r="N4836" t="s">
        <v>5571</v>
      </c>
      <c r="O4836" t="s">
        <v>4944</v>
      </c>
      <c r="Q4836" t="str">
        <f t="shared" si="187"/>
        <v>condorProc.py --series 07181004_0545 --donoise --dumps a --procenv environments/pymidas_HVHV_NaI_mf.env</v>
      </c>
      <c r="R4836" t="str">
        <f t="shared" si="188"/>
        <v>ln -s ../../../../midasraw/byseries/07181004_0545 07181004_0545</v>
      </c>
    </row>
    <row r="4837" spans="1:18">
      <c r="A4837" t="s">
        <v>10431</v>
      </c>
      <c r="G4837" s="225"/>
      <c r="H4837" s="210"/>
      <c r="K4837" s="212" t="s">
        <v>10286</v>
      </c>
      <c r="M4837" t="s">
        <v>4945</v>
      </c>
      <c r="N4837" t="s">
        <v>5571</v>
      </c>
      <c r="O4837" t="s">
        <v>4944</v>
      </c>
      <c r="Q4837" t="str">
        <f t="shared" si="187"/>
        <v>condorProc.py --series 07181004_0555 --donoise --dumps a --procenv environments/pymidas_HVHV_NaI_mf.env</v>
      </c>
      <c r="R4837" t="str">
        <f t="shared" si="188"/>
        <v>ln -s ../../../../midasraw/byseries/07181004_0555 07181004_0555</v>
      </c>
    </row>
    <row r="4838" spans="1:18">
      <c r="A4838" t="s">
        <v>10432</v>
      </c>
      <c r="G4838" s="225"/>
      <c r="H4838" s="210"/>
      <c r="K4838" s="180"/>
      <c r="M4838" t="s">
        <v>4945</v>
      </c>
      <c r="N4838" t="s">
        <v>5571</v>
      </c>
      <c r="O4838" t="s">
        <v>4944</v>
      </c>
      <c r="Q4838" t="str">
        <f t="shared" si="187"/>
        <v>condorProc.py --series 07181004_0605 --donoise --dumps a --procenv environments/pymidas_HVHV_NaI_mf.env</v>
      </c>
      <c r="R4838" t="str">
        <f t="shared" si="188"/>
        <v>ln -s ../../../../midasraw/byseries/07181004_0605 07181004_0605</v>
      </c>
    </row>
    <row r="4839" spans="1:18">
      <c r="A4839" t="s">
        <v>10433</v>
      </c>
      <c r="G4839" s="225"/>
      <c r="H4839" s="210"/>
      <c r="K4839" s="180"/>
      <c r="M4839" t="s">
        <v>4945</v>
      </c>
      <c r="N4839" t="s">
        <v>5571</v>
      </c>
      <c r="O4839" t="s">
        <v>4944</v>
      </c>
      <c r="Q4839" t="str">
        <f t="shared" si="187"/>
        <v>condorProc.py --series 07181004_0615 --donoise --dumps a --procenv environments/pymidas_HVHV_NaI_mf.env</v>
      </c>
      <c r="R4839" t="str">
        <f t="shared" si="188"/>
        <v>ln -s ../../../../midasraw/byseries/07181004_0615 07181004_0615</v>
      </c>
    </row>
    <row r="4840" spans="1:18">
      <c r="A4840" t="s">
        <v>10434</v>
      </c>
      <c r="G4840" s="225"/>
      <c r="H4840" s="210"/>
      <c r="K4840" s="180"/>
      <c r="M4840" t="s">
        <v>4945</v>
      </c>
      <c r="N4840" t="s">
        <v>5571</v>
      </c>
      <c r="O4840" t="s">
        <v>4944</v>
      </c>
      <c r="Q4840" t="str">
        <f t="shared" si="187"/>
        <v>condorProc.py --series 07181004_0625 --donoise --dumps a --procenv environments/pymidas_HVHV_NaI_mf.env</v>
      </c>
      <c r="R4840" t="str">
        <f t="shared" si="188"/>
        <v>ln -s ../../../../midasraw/byseries/07181004_0625 07181004_0625</v>
      </c>
    </row>
    <row r="4841" spans="1:18">
      <c r="A4841" t="s">
        <v>10435</v>
      </c>
      <c r="G4841" s="225"/>
      <c r="H4841" s="210"/>
      <c r="K4841" s="180"/>
      <c r="M4841" t="s">
        <v>4945</v>
      </c>
      <c r="N4841" t="s">
        <v>5571</v>
      </c>
      <c r="O4841" t="s">
        <v>4944</v>
      </c>
      <c r="Q4841" t="str">
        <f t="shared" si="187"/>
        <v>condorProc.py --series 07181004_0635 --donoise --dumps a --procenv environments/pymidas_HVHV_NaI_mf.env</v>
      </c>
      <c r="R4841" t="str">
        <f t="shared" si="188"/>
        <v>ln -s ../../../../midasraw/byseries/07181004_0635 07181004_0635</v>
      </c>
    </row>
    <row r="4842" spans="1:18">
      <c r="A4842" t="s">
        <v>10436</v>
      </c>
      <c r="G4842" s="225"/>
      <c r="H4842" s="210"/>
      <c r="K4842" s="180"/>
      <c r="M4842" t="s">
        <v>4945</v>
      </c>
      <c r="N4842" t="s">
        <v>5571</v>
      </c>
      <c r="O4842" t="s">
        <v>4944</v>
      </c>
      <c r="Q4842" t="str">
        <f t="shared" si="187"/>
        <v>condorProc.py --series 07181004_0645 --donoise --dumps a --procenv environments/pymidas_HVHV_NaI_mf.env</v>
      </c>
      <c r="R4842" t="str">
        <f t="shared" si="188"/>
        <v>ln -s ../../../../midasraw/byseries/07181004_0645 07181004_0645</v>
      </c>
    </row>
    <row r="4843" spans="1:18">
      <c r="A4843" t="s">
        <v>10437</v>
      </c>
      <c r="F4843" s="65"/>
      <c r="G4843" s="226"/>
      <c r="H4843" s="211"/>
      <c r="I4843" s="65"/>
      <c r="J4843" s="65"/>
      <c r="K4843" s="182"/>
      <c r="M4843" t="s">
        <v>4945</v>
      </c>
      <c r="N4843" t="s">
        <v>5571</v>
      </c>
      <c r="O4843" t="s">
        <v>4944</v>
      </c>
      <c r="Q4843" t="str">
        <f t="shared" si="187"/>
        <v>condorProc.py --series 07181004_0655 --donoise --dumps a --procenv environments/pymidas_HVHV_NaI_mf.env</v>
      </c>
      <c r="R4843" t="str">
        <f t="shared" si="188"/>
        <v>ln -s ../../../../midasraw/byseries/07181004_0655 07181004_0655</v>
      </c>
    </row>
    <row r="4844" spans="1:18">
      <c r="A4844" t="s">
        <v>10438</v>
      </c>
      <c r="F4844" s="177">
        <v>10</v>
      </c>
      <c r="G4844" s="224" t="s">
        <v>8641</v>
      </c>
      <c r="H4844" s="209">
        <v>-125</v>
      </c>
      <c r="I4844" s="177"/>
      <c r="J4844" s="177" t="s">
        <v>5577</v>
      </c>
      <c r="K4844" s="178" t="s">
        <v>5583</v>
      </c>
      <c r="M4844" t="s">
        <v>4945</v>
      </c>
      <c r="N4844" t="s">
        <v>5571</v>
      </c>
      <c r="O4844" t="s">
        <v>4944</v>
      </c>
      <c r="Q4844" t="str">
        <f t="shared" si="187"/>
        <v>condorProc.py --series 07181004_0755 --donoise --dumps a --procenv environments/pymidas_HVHV_NaI_mf.env</v>
      </c>
      <c r="R4844" t="str">
        <f t="shared" si="188"/>
        <v>ln -s ../../../../midasraw/byseries/07181004_0755 07181004_0755</v>
      </c>
    </row>
    <row r="4845" spans="1:18">
      <c r="A4845" t="s">
        <v>10439</v>
      </c>
      <c r="G4845" s="225"/>
      <c r="H4845" s="210"/>
      <c r="J4845" t="s">
        <v>5585</v>
      </c>
      <c r="K4845" s="218" t="s">
        <v>5586</v>
      </c>
      <c r="M4845" t="s">
        <v>4945</v>
      </c>
      <c r="N4845" t="s">
        <v>5571</v>
      </c>
      <c r="O4845" t="s">
        <v>4944</v>
      </c>
      <c r="Q4845" t="str">
        <f t="shared" si="187"/>
        <v>condorProc.py --series 07181004_0805 --donoise --dumps a --procenv environments/pymidas_HVHV_NaI_mf.env</v>
      </c>
      <c r="R4845" t="str">
        <f t="shared" si="188"/>
        <v>ln -s ../../../../midasraw/byseries/07181004_0805 07181004_0805</v>
      </c>
    </row>
    <row r="4846" spans="1:18">
      <c r="A4846" t="s">
        <v>10440</v>
      </c>
      <c r="G4846" s="225"/>
      <c r="H4846" s="210"/>
      <c r="K4846" s="219" t="s">
        <v>8388</v>
      </c>
      <c r="M4846" t="s">
        <v>4945</v>
      </c>
      <c r="N4846" t="s">
        <v>5571</v>
      </c>
      <c r="O4846" t="s">
        <v>4944</v>
      </c>
      <c r="Q4846" t="str">
        <f t="shared" si="187"/>
        <v>condorProc.py --series 07181004_0815 --donoise --dumps a --procenv environments/pymidas_HVHV_NaI_mf.env</v>
      </c>
      <c r="R4846" t="str">
        <f t="shared" si="188"/>
        <v>ln -s ../../../../midasraw/byseries/07181004_0815 07181004_0815</v>
      </c>
    </row>
    <row r="4847" spans="1:18">
      <c r="A4847" t="s">
        <v>10441</v>
      </c>
      <c r="G4847" s="225"/>
      <c r="H4847" s="210"/>
      <c r="K4847" s="180"/>
      <c r="M4847" t="s">
        <v>4945</v>
      </c>
      <c r="N4847" t="s">
        <v>5571</v>
      </c>
      <c r="O4847" t="s">
        <v>4944</v>
      </c>
      <c r="Q4847" t="str">
        <f t="shared" si="187"/>
        <v>condorProc.py --series 07181004_0825 --donoise --dumps a --procenv environments/pymidas_HVHV_NaI_mf.env</v>
      </c>
      <c r="R4847" t="str">
        <f t="shared" si="188"/>
        <v>ln -s ../../../../midasraw/byseries/07181004_0825 07181004_0825</v>
      </c>
    </row>
    <row r="4848" spans="1:18">
      <c r="A4848" t="s">
        <v>10442</v>
      </c>
      <c r="G4848" s="225"/>
      <c r="H4848" s="210"/>
      <c r="K4848" s="212" t="s">
        <v>10284</v>
      </c>
      <c r="M4848" t="s">
        <v>4945</v>
      </c>
      <c r="N4848" t="s">
        <v>5571</v>
      </c>
      <c r="O4848" t="s">
        <v>4944</v>
      </c>
      <c r="Q4848" t="str">
        <f t="shared" si="187"/>
        <v>condorProc.py --series 07181004_0835 --donoise --dumps a --procenv environments/pymidas_HVHV_NaI_mf.env</v>
      </c>
      <c r="R4848" t="str">
        <f t="shared" si="188"/>
        <v>ln -s ../../../../midasraw/byseries/07181004_0835 07181004_0835</v>
      </c>
    </row>
    <row r="4849" spans="1:18">
      <c r="A4849" t="s">
        <v>10443</v>
      </c>
      <c r="G4849" s="225"/>
      <c r="H4849" s="210"/>
      <c r="K4849" s="212" t="s">
        <v>10286</v>
      </c>
      <c r="M4849" t="s">
        <v>4945</v>
      </c>
      <c r="N4849" t="s">
        <v>5571</v>
      </c>
      <c r="O4849" t="s">
        <v>4944</v>
      </c>
      <c r="Q4849" t="str">
        <f t="shared" si="187"/>
        <v>condorProc.py --series 07181004_0846 --donoise --dumps a --procenv environments/pymidas_HVHV_NaI_mf.env</v>
      </c>
      <c r="R4849" t="str">
        <f t="shared" si="188"/>
        <v>ln -s ../../../../midasraw/byseries/07181004_0846 07181004_0846</v>
      </c>
    </row>
    <row r="4850" spans="1:18">
      <c r="A4850" t="s">
        <v>10444</v>
      </c>
      <c r="G4850" s="225"/>
      <c r="H4850" s="210"/>
      <c r="K4850" s="180"/>
      <c r="M4850" t="s">
        <v>4945</v>
      </c>
      <c r="N4850" t="s">
        <v>5571</v>
      </c>
      <c r="O4850" t="s">
        <v>4944</v>
      </c>
      <c r="Q4850" t="str">
        <f t="shared" si="187"/>
        <v>condorProc.py --series 07181004_0856 --donoise --dumps a --procenv environments/pymidas_HVHV_NaI_mf.env</v>
      </c>
      <c r="R4850" t="str">
        <f t="shared" si="188"/>
        <v>ln -s ../../../../midasraw/byseries/07181004_0856 07181004_0856</v>
      </c>
    </row>
    <row r="4851" spans="1:18">
      <c r="A4851" t="s">
        <v>10445</v>
      </c>
      <c r="G4851" s="225"/>
      <c r="H4851" s="210"/>
      <c r="K4851" s="180"/>
      <c r="M4851" t="s">
        <v>4945</v>
      </c>
      <c r="N4851" t="s">
        <v>5571</v>
      </c>
      <c r="O4851" t="s">
        <v>4944</v>
      </c>
      <c r="Q4851" t="str">
        <f t="shared" si="187"/>
        <v>condorProc.py --series 07181004_0906 --donoise --dumps a --procenv environments/pymidas_HVHV_NaI_mf.env</v>
      </c>
      <c r="R4851" t="str">
        <f t="shared" si="188"/>
        <v>ln -s ../../../../midasraw/byseries/07181004_0906 07181004_0906</v>
      </c>
    </row>
    <row r="4852" spans="1:18">
      <c r="A4852" t="s">
        <v>10446</v>
      </c>
      <c r="G4852" s="225"/>
      <c r="H4852" s="210"/>
      <c r="K4852" s="180"/>
      <c r="M4852" t="s">
        <v>4945</v>
      </c>
      <c r="N4852" t="s">
        <v>5571</v>
      </c>
      <c r="O4852" t="s">
        <v>4944</v>
      </c>
      <c r="Q4852" t="str">
        <f t="shared" si="187"/>
        <v>condorProc.py --series 07181004_0916 --donoise --dumps a --procenv environments/pymidas_HVHV_NaI_mf.env</v>
      </c>
      <c r="R4852" t="str">
        <f t="shared" si="188"/>
        <v>ln -s ../../../../midasraw/byseries/07181004_0916 07181004_0916</v>
      </c>
    </row>
    <row r="4853" spans="1:18">
      <c r="A4853" t="s">
        <v>10447</v>
      </c>
      <c r="G4853" s="225"/>
      <c r="H4853" s="210"/>
      <c r="K4853" s="180"/>
      <c r="M4853" t="s">
        <v>4945</v>
      </c>
      <c r="N4853" t="s">
        <v>5571</v>
      </c>
      <c r="O4853" t="s">
        <v>4944</v>
      </c>
      <c r="Q4853" t="str">
        <f t="shared" si="187"/>
        <v>condorProc.py --series 07181004_0926 --donoise --dumps a --procenv environments/pymidas_HVHV_NaI_mf.env</v>
      </c>
      <c r="R4853" t="str">
        <f t="shared" si="188"/>
        <v>ln -s ../../../../midasraw/byseries/07181004_0926 07181004_0926</v>
      </c>
    </row>
    <row r="4854" spans="1:18">
      <c r="A4854" t="s">
        <v>10448</v>
      </c>
      <c r="G4854" s="225"/>
      <c r="H4854" s="210"/>
      <c r="K4854" s="180"/>
      <c r="M4854" t="s">
        <v>4945</v>
      </c>
      <c r="N4854" t="s">
        <v>5571</v>
      </c>
      <c r="O4854" t="s">
        <v>4944</v>
      </c>
      <c r="Q4854" t="str">
        <f t="shared" si="187"/>
        <v>condorProc.py --series 07181004_0936 --donoise --dumps a --procenv environments/pymidas_HVHV_NaI_mf.env</v>
      </c>
      <c r="R4854" t="str">
        <f t="shared" si="188"/>
        <v>ln -s ../../../../midasraw/byseries/07181004_0936 07181004_0936</v>
      </c>
    </row>
    <row r="4855" spans="1:18">
      <c r="A4855" t="s">
        <v>10449</v>
      </c>
      <c r="F4855" s="65"/>
      <c r="G4855" s="226"/>
      <c r="H4855" s="211"/>
      <c r="I4855" s="65"/>
      <c r="J4855" s="65"/>
      <c r="K4855" s="182"/>
      <c r="M4855" t="s">
        <v>4945</v>
      </c>
      <c r="N4855" t="s">
        <v>5571</v>
      </c>
      <c r="O4855" t="s">
        <v>4944</v>
      </c>
      <c r="Q4855" t="str">
        <f t="shared" si="187"/>
        <v>condorProc.py --series 07181004_0946 --donoise --dumps a --procenv environments/pymidas_HVHV_NaI_mf.env</v>
      </c>
      <c r="R4855" t="str">
        <f t="shared" si="188"/>
        <v>ln -s ../../../../midasraw/byseries/07181004_0946 07181004_0946</v>
      </c>
    </row>
    <row r="4856" spans="1:18">
      <c r="A4856" t="s">
        <v>10450</v>
      </c>
      <c r="F4856" s="177">
        <v>10</v>
      </c>
      <c r="G4856" s="224" t="s">
        <v>8641</v>
      </c>
      <c r="H4856" s="209">
        <v>-125</v>
      </c>
      <c r="I4856" s="177"/>
      <c r="J4856" s="177" t="s">
        <v>5577</v>
      </c>
      <c r="K4856" s="178" t="s">
        <v>5583</v>
      </c>
      <c r="M4856" t="s">
        <v>4945</v>
      </c>
      <c r="N4856" t="s">
        <v>5571</v>
      </c>
      <c r="O4856" t="s">
        <v>4944</v>
      </c>
      <c r="Q4856" t="str">
        <f t="shared" si="187"/>
        <v>condorProc.py --series 07181004_1045 --donoise --dumps a --procenv environments/pymidas_HVHV_NaI_mf.env</v>
      </c>
      <c r="R4856" t="str">
        <f t="shared" si="188"/>
        <v>ln -s ../../../../midasraw/byseries/07181004_1045 07181004_1045</v>
      </c>
    </row>
    <row r="4857" spans="1:18">
      <c r="A4857" t="s">
        <v>10451</v>
      </c>
      <c r="G4857" s="225"/>
      <c r="H4857" s="210"/>
      <c r="J4857" t="s">
        <v>5585</v>
      </c>
      <c r="K4857" s="218" t="s">
        <v>5586</v>
      </c>
      <c r="M4857" t="s">
        <v>4945</v>
      </c>
      <c r="N4857" t="s">
        <v>5571</v>
      </c>
      <c r="O4857" t="s">
        <v>4944</v>
      </c>
      <c r="Q4857" t="str">
        <f t="shared" si="187"/>
        <v>condorProc.py --series 07181004_1056 --donoise --dumps a --procenv environments/pymidas_HVHV_NaI_mf.env</v>
      </c>
      <c r="R4857" t="str">
        <f t="shared" si="188"/>
        <v>ln -s ../../../../midasraw/byseries/07181004_1056 07181004_1056</v>
      </c>
    </row>
    <row r="4858" spans="1:18">
      <c r="A4858" t="s">
        <v>10452</v>
      </c>
      <c r="G4858" s="225"/>
      <c r="H4858" s="210"/>
      <c r="K4858" s="219" t="s">
        <v>8388</v>
      </c>
      <c r="M4858" t="s">
        <v>4945</v>
      </c>
      <c r="N4858" t="s">
        <v>5571</v>
      </c>
      <c r="O4858" t="s">
        <v>4944</v>
      </c>
      <c r="Q4858" t="str">
        <f t="shared" si="187"/>
        <v>condorProc.py --series 07181004_1106 --donoise --dumps a --procenv environments/pymidas_HVHV_NaI_mf.env</v>
      </c>
      <c r="R4858" t="str">
        <f t="shared" si="188"/>
        <v>ln -s ../../../../midasraw/byseries/07181004_1106 07181004_1106</v>
      </c>
    </row>
    <row r="4859" spans="1:18">
      <c r="A4859" t="s">
        <v>10453</v>
      </c>
      <c r="G4859" s="225"/>
      <c r="H4859" s="210"/>
      <c r="I4859" t="s">
        <v>75</v>
      </c>
      <c r="K4859" s="180"/>
      <c r="M4859" t="s">
        <v>4945</v>
      </c>
      <c r="N4859" t="s">
        <v>5571</v>
      </c>
      <c r="O4859" t="s">
        <v>4944</v>
      </c>
      <c r="Q4859" t="str">
        <f t="shared" si="187"/>
        <v>condorProc.py --series 07181004_1116 --donoise --dumps a --procenv environments/pymidas_HVHV_NaI_mf.env</v>
      </c>
      <c r="R4859" t="str">
        <f t="shared" si="188"/>
        <v>ln -s ../../../../midasraw/byseries/07181004_1116 07181004_1116</v>
      </c>
    </row>
    <row r="4860" spans="1:18">
      <c r="A4860" t="s">
        <v>10454</v>
      </c>
      <c r="G4860" s="225"/>
      <c r="H4860" s="210"/>
      <c r="K4860" s="212" t="s">
        <v>10284</v>
      </c>
      <c r="M4860" t="s">
        <v>4945</v>
      </c>
      <c r="N4860" t="s">
        <v>5571</v>
      </c>
      <c r="O4860" t="s">
        <v>4944</v>
      </c>
      <c r="Q4860" t="str">
        <f t="shared" si="187"/>
        <v>condorProc.py --series 07181004_1126 --donoise --dumps a --procenv environments/pymidas_HVHV_NaI_mf.env</v>
      </c>
      <c r="R4860" t="str">
        <f t="shared" si="188"/>
        <v>ln -s ../../../../midasraw/byseries/07181004_1126 07181004_1126</v>
      </c>
    </row>
    <row r="4861" spans="1:18">
      <c r="A4861" t="s">
        <v>10455</v>
      </c>
      <c r="G4861" s="225"/>
      <c r="H4861" s="210"/>
      <c r="K4861" s="212" t="s">
        <v>10286</v>
      </c>
      <c r="M4861" t="s">
        <v>4945</v>
      </c>
      <c r="N4861" t="s">
        <v>5571</v>
      </c>
      <c r="O4861" t="s">
        <v>4944</v>
      </c>
      <c r="Q4861" t="str">
        <f t="shared" si="187"/>
        <v>condorProc.py --series 07181004_1136 --donoise --dumps a --procenv environments/pymidas_HVHV_NaI_mf.env</v>
      </c>
      <c r="R4861" t="str">
        <f t="shared" si="188"/>
        <v>ln -s ../../../../midasraw/byseries/07181004_1136 07181004_1136</v>
      </c>
    </row>
    <row r="4862" spans="1:18">
      <c r="A4862" t="s">
        <v>10456</v>
      </c>
      <c r="G4862" s="225"/>
      <c r="H4862" s="210"/>
      <c r="K4862" s="180"/>
      <c r="M4862" t="s">
        <v>4945</v>
      </c>
      <c r="N4862" t="s">
        <v>5571</v>
      </c>
      <c r="O4862" t="s">
        <v>4944</v>
      </c>
      <c r="Q4862" t="str">
        <f t="shared" si="187"/>
        <v>condorProc.py --series 07181004_1146 --donoise --dumps a --procenv environments/pymidas_HVHV_NaI_mf.env</v>
      </c>
      <c r="R4862" t="str">
        <f t="shared" si="188"/>
        <v>ln -s ../../../../midasraw/byseries/07181004_1146 07181004_1146</v>
      </c>
    </row>
    <row r="4863" spans="1:18">
      <c r="A4863" t="s">
        <v>10457</v>
      </c>
      <c r="G4863" s="225"/>
      <c r="H4863" s="210"/>
      <c r="K4863" s="180"/>
      <c r="M4863" t="s">
        <v>4945</v>
      </c>
      <c r="N4863" t="s">
        <v>5571</v>
      </c>
      <c r="O4863" t="s">
        <v>4944</v>
      </c>
      <c r="Q4863" t="str">
        <f t="shared" si="187"/>
        <v>condorProc.py --series 07181004_1156 --donoise --dumps a --procenv environments/pymidas_HVHV_NaI_mf.env</v>
      </c>
      <c r="R4863" t="str">
        <f t="shared" si="188"/>
        <v>ln -s ../../../../midasraw/byseries/07181004_1156 07181004_1156</v>
      </c>
    </row>
    <row r="4864" spans="1:18">
      <c r="A4864" t="s">
        <v>10458</v>
      </c>
      <c r="G4864" s="225"/>
      <c r="H4864" s="210"/>
      <c r="K4864" s="180"/>
      <c r="M4864" t="s">
        <v>4945</v>
      </c>
      <c r="N4864" t="s">
        <v>5571</v>
      </c>
      <c r="O4864" t="s">
        <v>4944</v>
      </c>
      <c r="Q4864" t="str">
        <f t="shared" si="187"/>
        <v>condorProc.py --series 07181004_1206 --donoise --dumps a --procenv environments/pymidas_HVHV_NaI_mf.env</v>
      </c>
      <c r="R4864" t="str">
        <f t="shared" si="188"/>
        <v>ln -s ../../../../midasraw/byseries/07181004_1206 07181004_1206</v>
      </c>
    </row>
    <row r="4865" spans="1:18">
      <c r="A4865" t="s">
        <v>10459</v>
      </c>
      <c r="G4865" s="225"/>
      <c r="H4865" s="210"/>
      <c r="K4865" s="180"/>
      <c r="M4865" t="s">
        <v>4945</v>
      </c>
      <c r="N4865" t="s">
        <v>5571</v>
      </c>
      <c r="O4865" t="s">
        <v>4944</v>
      </c>
      <c r="Q4865" t="str">
        <f t="shared" si="187"/>
        <v>condorProc.py --series 07181004_1217 --donoise --dumps a --procenv environments/pymidas_HVHV_NaI_mf.env</v>
      </c>
      <c r="R4865" t="str">
        <f t="shared" si="188"/>
        <v>ln -s ../../../../midasraw/byseries/07181004_1217 07181004_1217</v>
      </c>
    </row>
    <row r="4866" spans="1:18">
      <c r="A4866" t="s">
        <v>10460</v>
      </c>
      <c r="G4866" s="225"/>
      <c r="H4866" s="210"/>
      <c r="K4866" s="180"/>
      <c r="M4866" t="s">
        <v>4945</v>
      </c>
      <c r="N4866" t="s">
        <v>5571</v>
      </c>
      <c r="O4866" t="s">
        <v>4944</v>
      </c>
      <c r="Q4866" t="str">
        <f t="shared" si="187"/>
        <v>condorProc.py --series 07181004_1227 --donoise --dumps a --procenv environments/pymidas_HVHV_NaI_mf.env</v>
      </c>
      <c r="R4866" t="str">
        <f t="shared" si="188"/>
        <v>ln -s ../../../../midasraw/byseries/07181004_1227 07181004_1227</v>
      </c>
    </row>
    <row r="4867" spans="1:18">
      <c r="A4867" t="s">
        <v>10461</v>
      </c>
      <c r="F4867" s="65"/>
      <c r="G4867" s="226"/>
      <c r="H4867" s="211"/>
      <c r="I4867" s="65"/>
      <c r="J4867" s="65"/>
      <c r="K4867" s="182"/>
      <c r="M4867" t="s">
        <v>4945</v>
      </c>
      <c r="N4867" t="s">
        <v>5571</v>
      </c>
      <c r="O4867" t="s">
        <v>4944</v>
      </c>
      <c r="Q4867" t="str">
        <f t="shared" si="187"/>
        <v>condorProc.py --series 07181004_1237 --donoise --dumps a --procenv environments/pymidas_HVHV_NaI_mf.env</v>
      </c>
      <c r="R4867" t="str">
        <f t="shared" si="188"/>
        <v>ln -s ../../../../midasraw/byseries/07181004_1237 07181004_1237</v>
      </c>
    </row>
    <row r="4868" spans="1:18">
      <c r="A4868" t="s">
        <v>10462</v>
      </c>
      <c r="F4868" s="177">
        <v>10</v>
      </c>
      <c r="G4868" s="224" t="s">
        <v>8641</v>
      </c>
      <c r="H4868" s="209">
        <v>-125</v>
      </c>
      <c r="I4868" s="177"/>
      <c r="J4868" s="177" t="s">
        <v>5577</v>
      </c>
      <c r="K4868" s="178" t="s">
        <v>5583</v>
      </c>
      <c r="M4868" t="s">
        <v>4945</v>
      </c>
      <c r="N4868" t="s">
        <v>5571</v>
      </c>
      <c r="O4868" t="s">
        <v>4944</v>
      </c>
      <c r="Q4868" t="str">
        <f t="shared" si="187"/>
        <v>condorProc.py --series 07181004_1336 --donoise --dumps a --procenv environments/pymidas_HVHV_NaI_mf.env</v>
      </c>
      <c r="R4868" t="str">
        <f t="shared" si="188"/>
        <v>ln -s ../../../../midasraw/byseries/07181004_1336 07181004_1336</v>
      </c>
    </row>
    <row r="4869" spans="1:18">
      <c r="A4869" t="s">
        <v>10463</v>
      </c>
      <c r="G4869" s="225"/>
      <c r="H4869" s="210"/>
      <c r="J4869" t="s">
        <v>5585</v>
      </c>
      <c r="K4869" s="218" t="s">
        <v>5586</v>
      </c>
      <c r="M4869" t="s">
        <v>4945</v>
      </c>
      <c r="N4869" t="s">
        <v>5571</v>
      </c>
      <c r="O4869" t="s">
        <v>4944</v>
      </c>
      <c r="Q4869" t="str">
        <f t="shared" si="187"/>
        <v>condorProc.py --series 07181004_1346 --donoise --dumps a --procenv environments/pymidas_HVHV_NaI_mf.env</v>
      </c>
      <c r="R4869" t="str">
        <f t="shared" si="188"/>
        <v>ln -s ../../../../midasraw/byseries/07181004_1346 07181004_1346</v>
      </c>
    </row>
    <row r="4870" spans="1:18">
      <c r="A4870" t="s">
        <v>10464</v>
      </c>
      <c r="G4870" s="225"/>
      <c r="H4870" s="210"/>
      <c r="K4870" s="219" t="s">
        <v>8388</v>
      </c>
      <c r="M4870" t="s">
        <v>4945</v>
      </c>
      <c r="N4870" t="s">
        <v>5571</v>
      </c>
      <c r="O4870" t="s">
        <v>4944</v>
      </c>
      <c r="Q4870" t="str">
        <f t="shared" si="187"/>
        <v>condorProc.py --series 07181004_1357 --donoise --dumps a --procenv environments/pymidas_HVHV_NaI_mf.env</v>
      </c>
      <c r="R4870" t="str">
        <f t="shared" si="188"/>
        <v>ln -s ../../../../midasraw/byseries/07181004_1357 07181004_1357</v>
      </c>
    </row>
    <row r="4871" spans="1:18">
      <c r="A4871" t="s">
        <v>10465</v>
      </c>
      <c r="G4871" s="225"/>
      <c r="H4871" s="210"/>
      <c r="K4871" s="180"/>
      <c r="M4871" t="s">
        <v>4945</v>
      </c>
      <c r="N4871" t="s">
        <v>5571</v>
      </c>
      <c r="O4871" t="s">
        <v>4944</v>
      </c>
      <c r="Q4871" t="str">
        <f t="shared" si="187"/>
        <v>condorProc.py --series 07181004_1407 --donoise --dumps a --procenv environments/pymidas_HVHV_NaI_mf.env</v>
      </c>
      <c r="R4871" t="str">
        <f t="shared" si="188"/>
        <v>ln -s ../../../../midasraw/byseries/07181004_1407 07181004_1407</v>
      </c>
    </row>
    <row r="4872" spans="1:18">
      <c r="A4872" t="s">
        <v>10466</v>
      </c>
      <c r="G4872" s="225"/>
      <c r="H4872" s="210"/>
      <c r="K4872" s="212" t="s">
        <v>10284</v>
      </c>
      <c r="M4872" t="s">
        <v>4945</v>
      </c>
      <c r="N4872" t="s">
        <v>5571</v>
      </c>
      <c r="O4872" t="s">
        <v>4944</v>
      </c>
      <c r="Q4872" t="str">
        <f t="shared" si="187"/>
        <v>condorProc.py --series 07181004_1417 --donoise --dumps a --procenv environments/pymidas_HVHV_NaI_mf.env</v>
      </c>
      <c r="R4872" t="str">
        <f t="shared" si="188"/>
        <v>ln -s ../../../../midasraw/byseries/07181004_1417 07181004_1417</v>
      </c>
    </row>
    <row r="4873" spans="1:18">
      <c r="A4873" t="s">
        <v>10467</v>
      </c>
      <c r="G4873" s="225"/>
      <c r="H4873" s="210"/>
      <c r="K4873" s="212" t="s">
        <v>10286</v>
      </c>
      <c r="M4873" t="s">
        <v>4945</v>
      </c>
      <c r="N4873" t="s">
        <v>5571</v>
      </c>
      <c r="O4873" t="s">
        <v>4944</v>
      </c>
      <c r="Q4873" t="str">
        <f t="shared" si="187"/>
        <v>condorProc.py --series 07181004_1427 --donoise --dumps a --procenv environments/pymidas_HVHV_NaI_mf.env</v>
      </c>
      <c r="R4873" t="str">
        <f t="shared" si="188"/>
        <v>ln -s ../../../../midasraw/byseries/07181004_1427 07181004_1427</v>
      </c>
    </row>
    <row r="4874" spans="1:18">
      <c r="A4874" t="s">
        <v>10468</v>
      </c>
      <c r="G4874" s="225"/>
      <c r="H4874" s="210"/>
      <c r="K4874" s="180"/>
      <c r="M4874" t="s">
        <v>4945</v>
      </c>
      <c r="N4874" t="s">
        <v>5571</v>
      </c>
      <c r="O4874" t="s">
        <v>4944</v>
      </c>
      <c r="Q4874" t="str">
        <f t="shared" si="187"/>
        <v>condorProc.py --series 07181004_1437 --donoise --dumps a --procenv environments/pymidas_HVHV_NaI_mf.env</v>
      </c>
      <c r="R4874" t="str">
        <f t="shared" si="188"/>
        <v>ln -s ../../../../midasraw/byseries/07181004_1437 07181004_1437</v>
      </c>
    </row>
    <row r="4875" spans="1:18">
      <c r="A4875" t="s">
        <v>10469</v>
      </c>
      <c r="G4875" s="225"/>
      <c r="H4875" s="210"/>
      <c r="K4875" s="180"/>
      <c r="M4875" t="s">
        <v>4945</v>
      </c>
      <c r="N4875" t="s">
        <v>5571</v>
      </c>
      <c r="O4875" t="s">
        <v>4944</v>
      </c>
      <c r="Q4875" t="str">
        <f t="shared" si="187"/>
        <v>condorProc.py --series 07181004_1447 --donoise --dumps a --procenv environments/pymidas_HVHV_NaI_mf.env</v>
      </c>
      <c r="R4875" t="str">
        <f t="shared" si="188"/>
        <v>ln -s ../../../../midasraw/byseries/07181004_1447 07181004_1447</v>
      </c>
    </row>
    <row r="4876" spans="1:18">
      <c r="A4876" t="s">
        <v>10470</v>
      </c>
      <c r="G4876" s="225"/>
      <c r="H4876" s="210"/>
      <c r="K4876" s="180"/>
      <c r="M4876" t="s">
        <v>4945</v>
      </c>
      <c r="N4876" t="s">
        <v>5571</v>
      </c>
      <c r="O4876" t="s">
        <v>4944</v>
      </c>
      <c r="Q4876" t="str">
        <f t="shared" si="187"/>
        <v>condorProc.py --series 07181004_1457 --donoise --dumps a --procenv environments/pymidas_HVHV_NaI_mf.env</v>
      </c>
      <c r="R4876" t="str">
        <f t="shared" si="188"/>
        <v>ln -s ../../../../midasraw/byseries/07181004_1457 07181004_1457</v>
      </c>
    </row>
    <row r="4877" spans="1:18">
      <c r="A4877" t="s">
        <v>10471</v>
      </c>
      <c r="G4877" s="225"/>
      <c r="H4877" s="210"/>
      <c r="K4877" s="180"/>
      <c r="M4877" t="s">
        <v>4945</v>
      </c>
      <c r="N4877" t="s">
        <v>5571</v>
      </c>
      <c r="O4877" t="s">
        <v>4944</v>
      </c>
      <c r="Q4877" t="str">
        <f t="shared" si="187"/>
        <v>condorProc.py --series 07181004_1507 --donoise --dumps a --procenv environments/pymidas_HVHV_NaI_mf.env</v>
      </c>
      <c r="R4877" t="str">
        <f t="shared" si="188"/>
        <v>ln -s ../../../../midasraw/byseries/07181004_1507 07181004_1507</v>
      </c>
    </row>
    <row r="4878" spans="1:18">
      <c r="A4878" t="s">
        <v>10472</v>
      </c>
      <c r="G4878" s="225"/>
      <c r="H4878" s="210"/>
      <c r="K4878" s="180"/>
      <c r="M4878" t="s">
        <v>4945</v>
      </c>
      <c r="N4878" t="s">
        <v>5571</v>
      </c>
      <c r="O4878" t="s">
        <v>4944</v>
      </c>
      <c r="Q4878" t="str">
        <f t="shared" si="187"/>
        <v>condorProc.py --series 07181004_1517 --donoise --dumps a --procenv environments/pymidas_HVHV_NaI_mf.env</v>
      </c>
      <c r="R4878" t="str">
        <f t="shared" si="188"/>
        <v>ln -s ../../../../midasraw/byseries/07181004_1517 07181004_1517</v>
      </c>
    </row>
    <row r="4879" spans="1:18">
      <c r="A4879" t="s">
        <v>10473</v>
      </c>
      <c r="F4879" s="65"/>
      <c r="G4879" s="226"/>
      <c r="H4879" s="211"/>
      <c r="I4879" s="65" t="s">
        <v>75</v>
      </c>
      <c r="J4879" s="65"/>
      <c r="K4879" s="182"/>
      <c r="M4879" t="s">
        <v>4945</v>
      </c>
      <c r="N4879" t="s">
        <v>5571</v>
      </c>
      <c r="O4879" t="s">
        <v>4944</v>
      </c>
      <c r="Q4879" t="str">
        <f t="shared" si="187"/>
        <v>condorProc.py --series 07181004_1528 --donoise --dumps a --procenv environments/pymidas_HVHV_NaI_mf.env</v>
      </c>
      <c r="R4879" t="str">
        <f t="shared" si="188"/>
        <v>ln -s ../../../../midasraw/byseries/07181004_1528 07181004_1528</v>
      </c>
    </row>
    <row r="4880" spans="1:18">
      <c r="A4880" t="s">
        <v>10474</v>
      </c>
      <c r="F4880" s="177">
        <v>10</v>
      </c>
      <c r="G4880" s="224" t="s">
        <v>8641</v>
      </c>
      <c r="H4880" s="209">
        <v>-125</v>
      </c>
      <c r="I4880" s="177"/>
      <c r="J4880" s="177" t="s">
        <v>5577</v>
      </c>
      <c r="K4880" s="178" t="s">
        <v>5583</v>
      </c>
      <c r="M4880" t="s">
        <v>4945</v>
      </c>
      <c r="N4880" t="s">
        <v>5571</v>
      </c>
      <c r="O4880" t="s">
        <v>4944</v>
      </c>
      <c r="Q4880" t="str">
        <f t="shared" si="187"/>
        <v>condorProc.py --series 07181004_1717 --donoise --dumps a --procenv environments/pymidas_HVHV_NaI_mf.env</v>
      </c>
      <c r="R4880" t="str">
        <f t="shared" si="188"/>
        <v>ln -s ../../../../midasraw/byseries/07181004_1717 07181004_1717</v>
      </c>
    </row>
    <row r="4881" spans="1:18">
      <c r="A4881" t="s">
        <v>10475</v>
      </c>
      <c r="G4881" s="225"/>
      <c r="H4881" s="210"/>
      <c r="J4881" t="s">
        <v>5585</v>
      </c>
      <c r="K4881" s="218" t="s">
        <v>5586</v>
      </c>
      <c r="M4881" t="s">
        <v>4945</v>
      </c>
      <c r="N4881" t="s">
        <v>5571</v>
      </c>
      <c r="O4881" t="s">
        <v>4944</v>
      </c>
      <c r="Q4881" t="str">
        <f t="shared" si="187"/>
        <v>condorProc.py --series 07181004_1727 --donoise --dumps a --procenv environments/pymidas_HVHV_NaI_mf.env</v>
      </c>
      <c r="R4881" t="str">
        <f t="shared" si="188"/>
        <v>ln -s ../../../../midasraw/byseries/07181004_1727 07181004_1727</v>
      </c>
    </row>
    <row r="4882" spans="1:18">
      <c r="A4882" t="s">
        <v>10476</v>
      </c>
      <c r="G4882" s="225"/>
      <c r="H4882" s="210"/>
      <c r="K4882" s="219" t="s">
        <v>8388</v>
      </c>
      <c r="M4882" t="s">
        <v>4945</v>
      </c>
      <c r="N4882" t="s">
        <v>5571</v>
      </c>
      <c r="O4882" t="s">
        <v>4944</v>
      </c>
      <c r="Q4882" t="str">
        <f t="shared" si="187"/>
        <v>condorProc.py --series 07181004_1737 --donoise --dumps a --procenv environments/pymidas_HVHV_NaI_mf.env</v>
      </c>
      <c r="R4882" t="str">
        <f t="shared" si="188"/>
        <v>ln -s ../../../../midasraw/byseries/07181004_1737 07181004_1737</v>
      </c>
    </row>
    <row r="4883" spans="1:18">
      <c r="A4883" t="s">
        <v>10477</v>
      </c>
      <c r="G4883" s="225"/>
      <c r="H4883" s="210"/>
      <c r="K4883" s="180"/>
      <c r="M4883" t="s">
        <v>4945</v>
      </c>
      <c r="N4883" t="s">
        <v>5571</v>
      </c>
      <c r="O4883" t="s">
        <v>4944</v>
      </c>
      <c r="Q4883" t="str">
        <f t="shared" ref="Q4883:Q4946" si="189">"condorProc.py --series "&amp;A4883&amp;" --donoise --dumps a --procenv environments/pymidas_HVHV_NaI_mf.env"</f>
        <v>condorProc.py --series 07181004_1747 --donoise --dumps a --procenv environments/pymidas_HVHV_NaI_mf.env</v>
      </c>
      <c r="R4883" t="str">
        <f t="shared" si="188"/>
        <v>ln -s ../../../../midasraw/byseries/07181004_1747 07181004_1747</v>
      </c>
    </row>
    <row r="4884" spans="1:18">
      <c r="A4884" t="s">
        <v>10478</v>
      </c>
      <c r="G4884" s="225"/>
      <c r="H4884" s="210"/>
      <c r="K4884" s="212" t="s">
        <v>10284</v>
      </c>
      <c r="M4884" t="s">
        <v>4945</v>
      </c>
      <c r="N4884" t="s">
        <v>5571</v>
      </c>
      <c r="O4884" t="s">
        <v>4944</v>
      </c>
      <c r="Q4884" t="str">
        <f t="shared" si="189"/>
        <v>condorProc.py --series 07181004_1757 --donoise --dumps a --procenv environments/pymidas_HVHV_NaI_mf.env</v>
      </c>
      <c r="R4884" t="str">
        <f t="shared" si="188"/>
        <v>ln -s ../../../../midasraw/byseries/07181004_1757 07181004_1757</v>
      </c>
    </row>
    <row r="4885" spans="1:18">
      <c r="A4885" t="s">
        <v>10479</v>
      </c>
      <c r="G4885" s="225"/>
      <c r="H4885" s="210"/>
      <c r="K4885" s="212" t="s">
        <v>10286</v>
      </c>
      <c r="M4885" t="s">
        <v>4945</v>
      </c>
      <c r="N4885" t="s">
        <v>5571</v>
      </c>
      <c r="O4885" t="s">
        <v>4944</v>
      </c>
      <c r="Q4885" t="str">
        <f t="shared" si="189"/>
        <v>condorProc.py --series 07181004_1808 --donoise --dumps a --procenv environments/pymidas_HVHV_NaI_mf.env</v>
      </c>
      <c r="R4885" t="str">
        <f t="shared" si="188"/>
        <v>ln -s ../../../../midasraw/byseries/07181004_1808 07181004_1808</v>
      </c>
    </row>
    <row r="4886" spans="1:18">
      <c r="A4886" t="s">
        <v>10480</v>
      </c>
      <c r="G4886" s="225"/>
      <c r="H4886" s="210"/>
      <c r="K4886" s="180"/>
      <c r="M4886" t="s">
        <v>4945</v>
      </c>
      <c r="N4886" t="s">
        <v>5571</v>
      </c>
      <c r="O4886" t="s">
        <v>4944</v>
      </c>
      <c r="Q4886" t="str">
        <f t="shared" si="189"/>
        <v>condorProc.py --series 07181004_1818 --donoise --dumps a --procenv environments/pymidas_HVHV_NaI_mf.env</v>
      </c>
      <c r="R4886" t="str">
        <f t="shared" si="188"/>
        <v>ln -s ../../../../midasraw/byseries/07181004_1818 07181004_1818</v>
      </c>
    </row>
    <row r="4887" spans="1:18">
      <c r="A4887" t="s">
        <v>10481</v>
      </c>
      <c r="G4887" s="225"/>
      <c r="H4887" s="210"/>
      <c r="K4887" s="180"/>
      <c r="M4887" t="s">
        <v>4945</v>
      </c>
      <c r="N4887" t="s">
        <v>5571</v>
      </c>
      <c r="O4887" t="s">
        <v>4944</v>
      </c>
      <c r="Q4887" t="str">
        <f t="shared" si="189"/>
        <v>condorProc.py --series 07181004_1828 --donoise --dumps a --procenv environments/pymidas_HVHV_NaI_mf.env</v>
      </c>
      <c r="R4887" t="str">
        <f t="shared" ref="R4887:R4950" si="190">"ln -s ../../../../midasraw/byseries/"&amp;A4887&amp;" "&amp;A4887</f>
        <v>ln -s ../../../../midasraw/byseries/07181004_1828 07181004_1828</v>
      </c>
    </row>
    <row r="4888" spans="1:18">
      <c r="A4888" t="s">
        <v>10482</v>
      </c>
      <c r="G4888" s="225"/>
      <c r="H4888" s="210"/>
      <c r="K4888" s="180"/>
      <c r="M4888" t="s">
        <v>4945</v>
      </c>
      <c r="N4888" t="s">
        <v>5571</v>
      </c>
      <c r="O4888" t="s">
        <v>4944</v>
      </c>
      <c r="Q4888" t="str">
        <f t="shared" si="189"/>
        <v>condorProc.py --series 07181004_1838 --donoise --dumps a --procenv environments/pymidas_HVHV_NaI_mf.env</v>
      </c>
      <c r="R4888" t="str">
        <f t="shared" si="190"/>
        <v>ln -s ../../../../midasraw/byseries/07181004_1838 07181004_1838</v>
      </c>
    </row>
    <row r="4889" spans="1:18">
      <c r="A4889" t="s">
        <v>10483</v>
      </c>
      <c r="G4889" s="225"/>
      <c r="H4889" s="210"/>
      <c r="K4889" s="180"/>
      <c r="M4889" t="s">
        <v>4945</v>
      </c>
      <c r="N4889" t="s">
        <v>5571</v>
      </c>
      <c r="O4889" t="s">
        <v>4944</v>
      </c>
      <c r="Q4889" t="str">
        <f t="shared" si="189"/>
        <v>condorProc.py --series 07181004_1848 --donoise --dumps a --procenv environments/pymidas_HVHV_NaI_mf.env</v>
      </c>
      <c r="R4889" t="str">
        <f t="shared" si="190"/>
        <v>ln -s ../../../../midasraw/byseries/07181004_1848 07181004_1848</v>
      </c>
    </row>
    <row r="4890" spans="1:18">
      <c r="A4890" t="s">
        <v>10484</v>
      </c>
      <c r="G4890" s="225"/>
      <c r="H4890" s="210"/>
      <c r="K4890" s="180"/>
      <c r="M4890" t="s">
        <v>4945</v>
      </c>
      <c r="N4890" t="s">
        <v>5571</v>
      </c>
      <c r="O4890" t="s">
        <v>4944</v>
      </c>
      <c r="Q4890" t="str">
        <f t="shared" si="189"/>
        <v>condorProc.py --series 07181004_1858 --donoise --dumps a --procenv environments/pymidas_HVHV_NaI_mf.env</v>
      </c>
      <c r="R4890" t="str">
        <f t="shared" si="190"/>
        <v>ln -s ../../../../midasraw/byseries/07181004_1858 07181004_1858</v>
      </c>
    </row>
    <row r="4891" spans="1:18">
      <c r="A4891" t="s">
        <v>10485</v>
      </c>
      <c r="F4891" s="65"/>
      <c r="G4891" s="226"/>
      <c r="H4891" s="211"/>
      <c r="I4891" s="65"/>
      <c r="J4891" s="65"/>
      <c r="K4891" s="182"/>
      <c r="M4891" t="s">
        <v>4945</v>
      </c>
      <c r="N4891" t="s">
        <v>5571</v>
      </c>
      <c r="O4891" t="s">
        <v>4944</v>
      </c>
      <c r="Q4891" t="str">
        <f t="shared" si="189"/>
        <v>condorProc.py --series 07181004_1908 --donoise --dumps a --procenv environments/pymidas_HVHV_NaI_mf.env</v>
      </c>
      <c r="R4891" t="str">
        <f t="shared" si="190"/>
        <v>ln -s ../../../../midasraw/byseries/07181004_1908 07181004_1908</v>
      </c>
    </row>
    <row r="4892" spans="1:18">
      <c r="A4892" t="s">
        <v>10486</v>
      </c>
      <c r="F4892" s="177">
        <v>10</v>
      </c>
      <c r="G4892" s="224" t="s">
        <v>8641</v>
      </c>
      <c r="H4892" s="209">
        <v>-125</v>
      </c>
      <c r="I4892" s="177"/>
      <c r="J4892" s="177" t="s">
        <v>5577</v>
      </c>
      <c r="K4892" s="178" t="s">
        <v>5583</v>
      </c>
      <c r="M4892" t="s">
        <v>4945</v>
      </c>
      <c r="N4892" t="s">
        <v>5571</v>
      </c>
      <c r="O4892" t="s">
        <v>4944</v>
      </c>
      <c r="Q4892" t="str">
        <f t="shared" si="189"/>
        <v>condorProc.py --series 07181004_2008 --donoise --dumps a --procenv environments/pymidas_HVHV_NaI_mf.env</v>
      </c>
      <c r="R4892" t="str">
        <f t="shared" si="190"/>
        <v>ln -s ../../../../midasraw/byseries/07181004_2008 07181004_2008</v>
      </c>
    </row>
    <row r="4893" spans="1:18">
      <c r="A4893" t="s">
        <v>10487</v>
      </c>
      <c r="G4893" s="225"/>
      <c r="H4893" s="210"/>
      <c r="J4893" t="s">
        <v>5585</v>
      </c>
      <c r="K4893" s="218" t="s">
        <v>5586</v>
      </c>
      <c r="M4893" t="s">
        <v>4945</v>
      </c>
      <c r="N4893" t="s">
        <v>5571</v>
      </c>
      <c r="O4893" t="s">
        <v>4944</v>
      </c>
      <c r="Q4893" t="str">
        <f t="shared" si="189"/>
        <v>condorProc.py --series 07181004_2018 --donoise --dumps a --procenv environments/pymidas_HVHV_NaI_mf.env</v>
      </c>
      <c r="R4893" t="str">
        <f t="shared" si="190"/>
        <v>ln -s ../../../../midasraw/byseries/07181004_2018 07181004_2018</v>
      </c>
    </row>
    <row r="4894" spans="1:18">
      <c r="A4894" t="s">
        <v>10488</v>
      </c>
      <c r="G4894" s="225"/>
      <c r="H4894" s="210"/>
      <c r="K4894" s="219" t="s">
        <v>8388</v>
      </c>
      <c r="M4894" t="s">
        <v>4945</v>
      </c>
      <c r="N4894" t="s">
        <v>5571</v>
      </c>
      <c r="O4894" t="s">
        <v>4944</v>
      </c>
      <c r="Q4894" t="str">
        <f t="shared" si="189"/>
        <v>condorProc.py --series 07181004_2028 --donoise --dumps a --procenv environments/pymidas_HVHV_NaI_mf.env</v>
      </c>
      <c r="R4894" t="str">
        <f t="shared" si="190"/>
        <v>ln -s ../../../../midasraw/byseries/07181004_2028 07181004_2028</v>
      </c>
    </row>
    <row r="4895" spans="1:18">
      <c r="A4895" t="s">
        <v>10489</v>
      </c>
      <c r="G4895" s="225"/>
      <c r="H4895" s="210"/>
      <c r="I4895" t="s">
        <v>75</v>
      </c>
      <c r="K4895" s="180"/>
      <c r="M4895" t="s">
        <v>4945</v>
      </c>
      <c r="N4895" t="s">
        <v>5571</v>
      </c>
      <c r="O4895" t="s">
        <v>4944</v>
      </c>
      <c r="Q4895" t="str">
        <f t="shared" si="189"/>
        <v>condorProc.py --series 07181004_2039 --donoise --dumps a --procenv environments/pymidas_HVHV_NaI_mf.env</v>
      </c>
      <c r="R4895" t="str">
        <f t="shared" si="190"/>
        <v>ln -s ../../../../midasraw/byseries/07181004_2039 07181004_2039</v>
      </c>
    </row>
    <row r="4896" spans="1:18">
      <c r="A4896" t="s">
        <v>10490</v>
      </c>
      <c r="G4896" s="225"/>
      <c r="H4896" s="210"/>
      <c r="K4896" s="212" t="s">
        <v>10284</v>
      </c>
      <c r="M4896" t="s">
        <v>4945</v>
      </c>
      <c r="N4896" t="s">
        <v>5571</v>
      </c>
      <c r="O4896" t="s">
        <v>4944</v>
      </c>
      <c r="Q4896" t="str">
        <f t="shared" si="189"/>
        <v>condorProc.py --series 07181004_2049 --donoise --dumps a --procenv environments/pymidas_HVHV_NaI_mf.env</v>
      </c>
      <c r="R4896" t="str">
        <f t="shared" si="190"/>
        <v>ln -s ../../../../midasraw/byseries/07181004_2049 07181004_2049</v>
      </c>
    </row>
    <row r="4897" spans="1:18">
      <c r="A4897" t="s">
        <v>10491</v>
      </c>
      <c r="G4897" s="225"/>
      <c r="H4897" s="210"/>
      <c r="K4897" s="212" t="s">
        <v>10286</v>
      </c>
      <c r="M4897" t="s">
        <v>4945</v>
      </c>
      <c r="N4897" t="s">
        <v>5571</v>
      </c>
      <c r="O4897" t="s">
        <v>4944</v>
      </c>
      <c r="Q4897" t="str">
        <f t="shared" si="189"/>
        <v>condorProc.py --series 07181004_2059 --donoise --dumps a --procenv environments/pymidas_HVHV_NaI_mf.env</v>
      </c>
      <c r="R4897" t="str">
        <f t="shared" si="190"/>
        <v>ln -s ../../../../midasraw/byseries/07181004_2059 07181004_2059</v>
      </c>
    </row>
    <row r="4898" spans="1:18">
      <c r="A4898" t="s">
        <v>10492</v>
      </c>
      <c r="G4898" s="225"/>
      <c r="H4898" s="210"/>
      <c r="K4898" s="180"/>
      <c r="M4898" t="s">
        <v>4945</v>
      </c>
      <c r="N4898" t="s">
        <v>5571</v>
      </c>
      <c r="O4898" t="s">
        <v>4944</v>
      </c>
      <c r="Q4898" t="str">
        <f t="shared" si="189"/>
        <v>condorProc.py --series 07181004_2109 --donoise --dumps a --procenv environments/pymidas_HVHV_NaI_mf.env</v>
      </c>
      <c r="R4898" t="str">
        <f t="shared" si="190"/>
        <v>ln -s ../../../../midasraw/byseries/07181004_2109 07181004_2109</v>
      </c>
    </row>
    <row r="4899" spans="1:18">
      <c r="A4899" t="s">
        <v>10493</v>
      </c>
      <c r="G4899" s="225"/>
      <c r="H4899" s="210"/>
      <c r="K4899" s="180"/>
      <c r="M4899" t="s">
        <v>4945</v>
      </c>
      <c r="N4899" t="s">
        <v>5571</v>
      </c>
      <c r="O4899" t="s">
        <v>4944</v>
      </c>
      <c r="Q4899" t="str">
        <f t="shared" si="189"/>
        <v>condorProc.py --series 07181004_2119 --donoise --dumps a --procenv environments/pymidas_HVHV_NaI_mf.env</v>
      </c>
      <c r="R4899" t="str">
        <f t="shared" si="190"/>
        <v>ln -s ../../../../midasraw/byseries/07181004_2119 07181004_2119</v>
      </c>
    </row>
    <row r="4900" spans="1:18">
      <c r="A4900" t="s">
        <v>10494</v>
      </c>
      <c r="G4900" s="225"/>
      <c r="H4900" s="210"/>
      <c r="K4900" s="180"/>
      <c r="M4900" t="s">
        <v>4945</v>
      </c>
      <c r="N4900" t="s">
        <v>5571</v>
      </c>
      <c r="O4900" t="s">
        <v>4944</v>
      </c>
      <c r="Q4900" t="str">
        <f t="shared" si="189"/>
        <v>condorProc.py --series 07181004_2129 --donoise --dumps a --procenv environments/pymidas_HVHV_NaI_mf.env</v>
      </c>
      <c r="R4900" t="str">
        <f t="shared" si="190"/>
        <v>ln -s ../../../../midasraw/byseries/07181004_2129 07181004_2129</v>
      </c>
    </row>
    <row r="4901" spans="1:18">
      <c r="A4901" t="s">
        <v>10495</v>
      </c>
      <c r="G4901" s="225"/>
      <c r="H4901" s="210"/>
      <c r="K4901" s="180"/>
      <c r="M4901" t="s">
        <v>4945</v>
      </c>
      <c r="N4901" t="s">
        <v>5571</v>
      </c>
      <c r="O4901" t="s">
        <v>4944</v>
      </c>
      <c r="Q4901" t="str">
        <f t="shared" si="189"/>
        <v>condorProc.py --series 07181004_2139 --donoise --dumps a --procenv environments/pymidas_HVHV_NaI_mf.env</v>
      </c>
      <c r="R4901" t="str">
        <f t="shared" si="190"/>
        <v>ln -s ../../../../midasraw/byseries/07181004_2139 07181004_2139</v>
      </c>
    </row>
    <row r="4902" spans="1:18">
      <c r="A4902" t="s">
        <v>10496</v>
      </c>
      <c r="G4902" s="225"/>
      <c r="H4902" s="210"/>
      <c r="K4902" s="180"/>
      <c r="M4902" t="s">
        <v>4945</v>
      </c>
      <c r="N4902" t="s">
        <v>5571</v>
      </c>
      <c r="O4902" t="s">
        <v>4944</v>
      </c>
      <c r="Q4902" t="str">
        <f t="shared" si="189"/>
        <v>condorProc.py --series 07181004_2150 --donoise --dumps a --procenv environments/pymidas_HVHV_NaI_mf.env</v>
      </c>
      <c r="R4902" t="str">
        <f t="shared" si="190"/>
        <v>ln -s ../../../../midasraw/byseries/07181004_2150 07181004_2150</v>
      </c>
    </row>
    <row r="4903" spans="1:18">
      <c r="A4903" t="s">
        <v>10497</v>
      </c>
      <c r="F4903" s="65"/>
      <c r="G4903" s="226"/>
      <c r="H4903" s="211"/>
      <c r="I4903" s="65"/>
      <c r="J4903" s="65"/>
      <c r="K4903" s="182"/>
      <c r="M4903" t="s">
        <v>4945</v>
      </c>
      <c r="N4903" t="s">
        <v>5571</v>
      </c>
      <c r="O4903" t="s">
        <v>4944</v>
      </c>
      <c r="Q4903" t="str">
        <f t="shared" si="189"/>
        <v>condorProc.py --series 07181004_2200 --donoise --dumps a --procenv environments/pymidas_HVHV_NaI_mf.env</v>
      </c>
      <c r="R4903" t="str">
        <f t="shared" si="190"/>
        <v>ln -s ../../../../midasraw/byseries/07181004_2200 07181004_2200</v>
      </c>
    </row>
    <row r="4904" spans="1:18">
      <c r="A4904" t="s">
        <v>10498</v>
      </c>
      <c r="F4904" s="177">
        <v>10</v>
      </c>
      <c r="G4904" s="224" t="s">
        <v>8641</v>
      </c>
      <c r="H4904" s="209">
        <v>-125</v>
      </c>
      <c r="I4904" s="177"/>
      <c r="J4904" s="177" t="s">
        <v>5577</v>
      </c>
      <c r="K4904" s="178" t="s">
        <v>5583</v>
      </c>
      <c r="M4904" t="s">
        <v>4945</v>
      </c>
      <c r="N4904" t="s">
        <v>5571</v>
      </c>
      <c r="O4904" t="s">
        <v>4944</v>
      </c>
      <c r="Q4904" t="str">
        <f t="shared" si="189"/>
        <v>condorProc.py --series 07181004_2259 --donoise --dumps a --procenv environments/pymidas_HVHV_NaI_mf.env</v>
      </c>
      <c r="R4904" t="str">
        <f t="shared" si="190"/>
        <v>ln -s ../../../../midasraw/byseries/07181004_2259 07181004_2259</v>
      </c>
    </row>
    <row r="4905" spans="1:18">
      <c r="A4905" t="s">
        <v>10499</v>
      </c>
      <c r="G4905" s="225"/>
      <c r="H4905" s="210"/>
      <c r="J4905" t="s">
        <v>5585</v>
      </c>
      <c r="K4905" s="218" t="s">
        <v>5586</v>
      </c>
      <c r="M4905" t="s">
        <v>4945</v>
      </c>
      <c r="N4905" t="s">
        <v>5571</v>
      </c>
      <c r="O4905" t="s">
        <v>4944</v>
      </c>
      <c r="Q4905" t="str">
        <f t="shared" si="189"/>
        <v>condorProc.py --series 07181004_2309 --donoise --dumps a --procenv environments/pymidas_HVHV_NaI_mf.env</v>
      </c>
      <c r="R4905" t="str">
        <f t="shared" si="190"/>
        <v>ln -s ../../../../midasraw/byseries/07181004_2309 07181004_2309</v>
      </c>
    </row>
    <row r="4906" spans="1:18">
      <c r="A4906" t="s">
        <v>10500</v>
      </c>
      <c r="G4906" s="225"/>
      <c r="H4906" s="210"/>
      <c r="K4906" s="219" t="s">
        <v>8388</v>
      </c>
      <c r="M4906" t="s">
        <v>4945</v>
      </c>
      <c r="N4906" t="s">
        <v>5571</v>
      </c>
      <c r="O4906" t="s">
        <v>4944</v>
      </c>
      <c r="Q4906" t="str">
        <f t="shared" si="189"/>
        <v>condorProc.py --series 07181004_2319 --donoise --dumps a --procenv environments/pymidas_HVHV_NaI_mf.env</v>
      </c>
      <c r="R4906" t="str">
        <f t="shared" si="190"/>
        <v>ln -s ../../../../midasraw/byseries/07181004_2319 07181004_2319</v>
      </c>
    </row>
    <row r="4907" spans="1:18">
      <c r="A4907" t="s">
        <v>10501</v>
      </c>
      <c r="G4907" s="225"/>
      <c r="H4907" s="210"/>
      <c r="K4907" s="180"/>
      <c r="M4907" t="s">
        <v>4945</v>
      </c>
      <c r="N4907" t="s">
        <v>5571</v>
      </c>
      <c r="O4907" t="s">
        <v>4944</v>
      </c>
      <c r="Q4907" t="str">
        <f t="shared" si="189"/>
        <v>condorProc.py --series 07181004_2329 --donoise --dumps a --procenv environments/pymidas_HVHV_NaI_mf.env</v>
      </c>
      <c r="R4907" t="str">
        <f t="shared" si="190"/>
        <v>ln -s ../../../../midasraw/byseries/07181004_2329 07181004_2329</v>
      </c>
    </row>
    <row r="4908" spans="1:18">
      <c r="A4908" t="s">
        <v>10502</v>
      </c>
      <c r="G4908" s="225"/>
      <c r="H4908" s="210"/>
      <c r="K4908" s="212" t="s">
        <v>10284</v>
      </c>
      <c r="M4908" t="s">
        <v>4945</v>
      </c>
      <c r="N4908" t="s">
        <v>5571</v>
      </c>
      <c r="O4908" t="s">
        <v>4944</v>
      </c>
      <c r="Q4908" t="str">
        <f t="shared" si="189"/>
        <v>condorProc.py --series 07181004_2340 --donoise --dumps a --procenv environments/pymidas_HVHV_NaI_mf.env</v>
      </c>
      <c r="R4908" t="str">
        <f t="shared" si="190"/>
        <v>ln -s ../../../../midasraw/byseries/07181004_2340 07181004_2340</v>
      </c>
    </row>
    <row r="4909" spans="1:18">
      <c r="A4909" t="s">
        <v>10503</v>
      </c>
      <c r="G4909" s="225"/>
      <c r="H4909" s="210"/>
      <c r="K4909" s="212" t="s">
        <v>10286</v>
      </c>
      <c r="M4909" t="s">
        <v>4945</v>
      </c>
      <c r="N4909" t="s">
        <v>5571</v>
      </c>
      <c r="O4909" t="s">
        <v>4944</v>
      </c>
      <c r="Q4909" t="str">
        <f t="shared" si="189"/>
        <v>condorProc.py --series 07181004_2350 --donoise --dumps a --procenv environments/pymidas_HVHV_NaI_mf.env</v>
      </c>
      <c r="R4909" t="str">
        <f t="shared" si="190"/>
        <v>ln -s ../../../../midasraw/byseries/07181004_2350 07181004_2350</v>
      </c>
    </row>
    <row r="4910" spans="1:18">
      <c r="A4910" t="s">
        <v>10504</v>
      </c>
      <c r="G4910" s="225"/>
      <c r="H4910" s="210"/>
      <c r="K4910" s="180"/>
      <c r="M4910" t="s">
        <v>4945</v>
      </c>
      <c r="N4910" t="s">
        <v>5571</v>
      </c>
      <c r="O4910" t="s">
        <v>4944</v>
      </c>
      <c r="Q4910" t="str">
        <f t="shared" si="189"/>
        <v>condorProc.py --series 07181005_0000 --donoise --dumps a --procenv environments/pymidas_HVHV_NaI_mf.env</v>
      </c>
      <c r="R4910" t="str">
        <f t="shared" si="190"/>
        <v>ln -s ../../../../midasraw/byseries/07181005_0000 07181005_0000</v>
      </c>
    </row>
    <row r="4911" spans="1:18">
      <c r="A4911" t="s">
        <v>10505</v>
      </c>
      <c r="G4911" s="225"/>
      <c r="H4911" s="210"/>
      <c r="K4911" s="180"/>
      <c r="M4911" t="s">
        <v>4945</v>
      </c>
      <c r="N4911" t="s">
        <v>5571</v>
      </c>
      <c r="O4911" t="s">
        <v>4944</v>
      </c>
      <c r="Q4911" t="str">
        <f t="shared" si="189"/>
        <v>condorProc.py --series 07181005_0010 --donoise --dumps a --procenv environments/pymidas_HVHV_NaI_mf.env</v>
      </c>
      <c r="R4911" t="str">
        <f t="shared" si="190"/>
        <v>ln -s ../../../../midasraw/byseries/07181005_0010 07181005_0010</v>
      </c>
    </row>
    <row r="4912" spans="1:18">
      <c r="A4912" t="s">
        <v>10506</v>
      </c>
      <c r="G4912" s="225"/>
      <c r="H4912" s="210"/>
      <c r="K4912" s="180"/>
      <c r="M4912" t="s">
        <v>4945</v>
      </c>
      <c r="N4912" t="s">
        <v>5571</v>
      </c>
      <c r="O4912" t="s">
        <v>4944</v>
      </c>
      <c r="Q4912" t="str">
        <f t="shared" si="189"/>
        <v>condorProc.py --series 07181005_0020 --donoise --dumps a --procenv environments/pymidas_HVHV_NaI_mf.env</v>
      </c>
      <c r="R4912" t="str">
        <f t="shared" si="190"/>
        <v>ln -s ../../../../midasraw/byseries/07181005_0020 07181005_0020</v>
      </c>
    </row>
    <row r="4913" spans="1:18">
      <c r="A4913" t="s">
        <v>10507</v>
      </c>
      <c r="G4913" s="225"/>
      <c r="H4913" s="210"/>
      <c r="K4913" s="180"/>
      <c r="M4913" t="s">
        <v>4945</v>
      </c>
      <c r="N4913" t="s">
        <v>5571</v>
      </c>
      <c r="O4913" t="s">
        <v>4944</v>
      </c>
      <c r="Q4913" t="str">
        <f t="shared" si="189"/>
        <v>condorProc.py --series 07181005_0030 --donoise --dumps a --procenv environments/pymidas_HVHV_NaI_mf.env</v>
      </c>
      <c r="R4913" t="str">
        <f t="shared" si="190"/>
        <v>ln -s ../../../../midasraw/byseries/07181005_0030 07181005_0030</v>
      </c>
    </row>
    <row r="4914" spans="1:18">
      <c r="A4914" t="s">
        <v>10508</v>
      </c>
      <c r="G4914" s="225"/>
      <c r="H4914" s="210"/>
      <c r="K4914" s="180"/>
      <c r="M4914" t="s">
        <v>4945</v>
      </c>
      <c r="N4914" t="s">
        <v>5571</v>
      </c>
      <c r="O4914" t="s">
        <v>4944</v>
      </c>
      <c r="Q4914" t="str">
        <f t="shared" si="189"/>
        <v>condorProc.py --series 07181005_0040 --donoise --dumps a --procenv environments/pymidas_HVHV_NaI_mf.env</v>
      </c>
      <c r="R4914" t="str">
        <f t="shared" si="190"/>
        <v>ln -s ../../../../midasraw/byseries/07181005_0040 07181005_0040</v>
      </c>
    </row>
    <row r="4915" spans="1:18">
      <c r="A4915" t="s">
        <v>10509</v>
      </c>
      <c r="F4915" s="65"/>
      <c r="G4915" s="226"/>
      <c r="H4915" s="211"/>
      <c r="I4915" s="65"/>
      <c r="J4915" s="65"/>
      <c r="K4915" s="182"/>
      <c r="M4915" t="s">
        <v>4945</v>
      </c>
      <c r="N4915" t="s">
        <v>5571</v>
      </c>
      <c r="O4915" t="s">
        <v>4944</v>
      </c>
      <c r="Q4915" t="str">
        <f t="shared" si="189"/>
        <v>condorProc.py --series 07181005_0050 --donoise --dumps a --procenv environments/pymidas_HVHV_NaI_mf.env</v>
      </c>
      <c r="R4915" t="str">
        <f t="shared" si="190"/>
        <v>ln -s ../../../../midasraw/byseries/07181005_0050 07181005_0050</v>
      </c>
    </row>
    <row r="4916" spans="1:18">
      <c r="A4916" t="s">
        <v>10510</v>
      </c>
      <c r="F4916" s="177">
        <v>10</v>
      </c>
      <c r="G4916" s="224" t="s">
        <v>8641</v>
      </c>
      <c r="H4916" s="209">
        <v>-125</v>
      </c>
      <c r="I4916" s="177"/>
      <c r="J4916" s="177" t="s">
        <v>5577</v>
      </c>
      <c r="K4916" s="178" t="s">
        <v>5583</v>
      </c>
      <c r="M4916" t="s">
        <v>4945</v>
      </c>
      <c r="N4916" t="s">
        <v>5571</v>
      </c>
      <c r="O4916" t="s">
        <v>4944</v>
      </c>
      <c r="Q4916" t="str">
        <f t="shared" si="189"/>
        <v>condorProc.py --series 07181005_0150 --donoise --dumps a --procenv environments/pymidas_HVHV_NaI_mf.env</v>
      </c>
      <c r="R4916" t="str">
        <f t="shared" si="190"/>
        <v>ln -s ../../../../midasraw/byseries/07181005_0150 07181005_0150</v>
      </c>
    </row>
    <row r="4917" spans="1:18">
      <c r="A4917" t="s">
        <v>10511</v>
      </c>
      <c r="G4917" s="225"/>
      <c r="H4917" s="210"/>
      <c r="J4917" t="s">
        <v>5585</v>
      </c>
      <c r="K4917" s="218" t="s">
        <v>5586</v>
      </c>
      <c r="M4917" t="s">
        <v>4945</v>
      </c>
      <c r="N4917" t="s">
        <v>5571</v>
      </c>
      <c r="O4917" t="s">
        <v>4944</v>
      </c>
      <c r="Q4917" t="str">
        <f t="shared" si="189"/>
        <v>condorProc.py --series 07181005_0200 --donoise --dumps a --procenv environments/pymidas_HVHV_NaI_mf.env</v>
      </c>
      <c r="R4917" t="str">
        <f t="shared" si="190"/>
        <v>ln -s ../../../../midasraw/byseries/07181005_0200 07181005_0200</v>
      </c>
    </row>
    <row r="4918" spans="1:18">
      <c r="A4918" t="s">
        <v>10512</v>
      </c>
      <c r="G4918" s="225"/>
      <c r="H4918" s="210"/>
      <c r="K4918" s="219" t="s">
        <v>8388</v>
      </c>
      <c r="M4918" t="s">
        <v>4945</v>
      </c>
      <c r="N4918" t="s">
        <v>5571</v>
      </c>
      <c r="O4918" t="s">
        <v>4944</v>
      </c>
      <c r="Q4918" t="str">
        <f t="shared" si="189"/>
        <v>condorProc.py --series 07181005_0210 --donoise --dumps a --procenv environments/pymidas_HVHV_NaI_mf.env</v>
      </c>
      <c r="R4918" t="str">
        <f t="shared" si="190"/>
        <v>ln -s ../../../../midasraw/byseries/07181005_0210 07181005_0210</v>
      </c>
    </row>
    <row r="4919" spans="1:18">
      <c r="A4919" t="s">
        <v>10513</v>
      </c>
      <c r="G4919" s="225"/>
      <c r="H4919" s="210"/>
      <c r="K4919" s="180"/>
      <c r="M4919" t="s">
        <v>4945</v>
      </c>
      <c r="N4919" t="s">
        <v>5571</v>
      </c>
      <c r="O4919" t="s">
        <v>4944</v>
      </c>
      <c r="Q4919" t="str">
        <f t="shared" si="189"/>
        <v>condorProc.py --series 07181005_0221 --donoise --dumps a --procenv environments/pymidas_HVHV_NaI_mf.env</v>
      </c>
      <c r="R4919" t="str">
        <f t="shared" si="190"/>
        <v>ln -s ../../../../midasraw/byseries/07181005_0221 07181005_0221</v>
      </c>
    </row>
    <row r="4920" spans="1:18">
      <c r="A4920" t="s">
        <v>10514</v>
      </c>
      <c r="G4920" s="225"/>
      <c r="H4920" s="210"/>
      <c r="K4920" s="212" t="s">
        <v>10284</v>
      </c>
      <c r="M4920" t="s">
        <v>4945</v>
      </c>
      <c r="N4920" t="s">
        <v>5571</v>
      </c>
      <c r="O4920" t="s">
        <v>4944</v>
      </c>
      <c r="Q4920" t="str">
        <f t="shared" si="189"/>
        <v>condorProc.py --series 07181005_0231 --donoise --dumps a --procenv environments/pymidas_HVHV_NaI_mf.env</v>
      </c>
      <c r="R4920" t="str">
        <f t="shared" si="190"/>
        <v>ln -s ../../../../midasraw/byseries/07181005_0231 07181005_0231</v>
      </c>
    </row>
    <row r="4921" spans="1:18">
      <c r="A4921" t="s">
        <v>10515</v>
      </c>
      <c r="G4921" s="225"/>
      <c r="H4921" s="210"/>
      <c r="K4921" s="212" t="s">
        <v>10286</v>
      </c>
      <c r="M4921" t="s">
        <v>4945</v>
      </c>
      <c r="N4921" t="s">
        <v>5571</v>
      </c>
      <c r="O4921" t="s">
        <v>4944</v>
      </c>
      <c r="Q4921" t="str">
        <f t="shared" si="189"/>
        <v>condorProc.py --series 07181005_0241 --donoise --dumps a --procenv environments/pymidas_HVHV_NaI_mf.env</v>
      </c>
      <c r="R4921" t="str">
        <f t="shared" si="190"/>
        <v>ln -s ../../../../midasraw/byseries/07181005_0241 07181005_0241</v>
      </c>
    </row>
    <row r="4922" spans="1:18">
      <c r="A4922" t="s">
        <v>10516</v>
      </c>
      <c r="G4922" s="225"/>
      <c r="H4922" s="210"/>
      <c r="K4922" s="180"/>
      <c r="M4922" t="s">
        <v>4945</v>
      </c>
      <c r="N4922" t="s">
        <v>5571</v>
      </c>
      <c r="O4922" t="s">
        <v>4944</v>
      </c>
      <c r="Q4922" t="str">
        <f t="shared" si="189"/>
        <v>condorProc.py --series 07181005_0251 --donoise --dumps a --procenv environments/pymidas_HVHV_NaI_mf.env</v>
      </c>
      <c r="R4922" t="str">
        <f t="shared" si="190"/>
        <v>ln -s ../../../../midasraw/byseries/07181005_0251 07181005_0251</v>
      </c>
    </row>
    <row r="4923" spans="1:18">
      <c r="A4923" t="s">
        <v>10517</v>
      </c>
      <c r="G4923" s="225"/>
      <c r="H4923" s="210"/>
      <c r="K4923" s="180"/>
      <c r="M4923" t="s">
        <v>4945</v>
      </c>
      <c r="N4923" t="s">
        <v>5571</v>
      </c>
      <c r="O4923" t="s">
        <v>4944</v>
      </c>
      <c r="Q4923" t="str">
        <f t="shared" si="189"/>
        <v>condorProc.py --series 07181005_0301 --donoise --dumps a --procenv environments/pymidas_HVHV_NaI_mf.env</v>
      </c>
      <c r="R4923" t="str">
        <f t="shared" si="190"/>
        <v>ln -s ../../../../midasraw/byseries/07181005_0301 07181005_0301</v>
      </c>
    </row>
    <row r="4924" spans="1:18">
      <c r="A4924" t="s">
        <v>10518</v>
      </c>
      <c r="G4924" s="225"/>
      <c r="H4924" s="210"/>
      <c r="K4924" s="180"/>
      <c r="M4924" t="s">
        <v>4945</v>
      </c>
      <c r="N4924" t="s">
        <v>5571</v>
      </c>
      <c r="O4924" t="s">
        <v>4944</v>
      </c>
      <c r="Q4924" t="str">
        <f t="shared" si="189"/>
        <v>condorProc.py --series 07181005_0311 --donoise --dumps a --procenv environments/pymidas_HVHV_NaI_mf.env</v>
      </c>
      <c r="R4924" t="str">
        <f t="shared" si="190"/>
        <v>ln -s ../../../../midasraw/byseries/07181005_0311 07181005_0311</v>
      </c>
    </row>
    <row r="4925" spans="1:18">
      <c r="A4925" t="s">
        <v>10519</v>
      </c>
      <c r="G4925" s="225"/>
      <c r="H4925" s="210"/>
      <c r="K4925" s="180"/>
      <c r="M4925" t="s">
        <v>4945</v>
      </c>
      <c r="N4925" t="s">
        <v>5571</v>
      </c>
      <c r="O4925" t="s">
        <v>4944</v>
      </c>
      <c r="Q4925" t="str">
        <f t="shared" si="189"/>
        <v>condorProc.py --series 07181005_0321 --donoise --dumps a --procenv environments/pymidas_HVHV_NaI_mf.env</v>
      </c>
      <c r="R4925" t="str">
        <f t="shared" si="190"/>
        <v>ln -s ../../../../midasraw/byseries/07181005_0321 07181005_0321</v>
      </c>
    </row>
    <row r="4926" spans="1:18">
      <c r="A4926" t="s">
        <v>10520</v>
      </c>
      <c r="G4926" s="225"/>
      <c r="H4926" s="210"/>
      <c r="K4926" s="180"/>
      <c r="M4926" t="s">
        <v>4945</v>
      </c>
      <c r="N4926" t="s">
        <v>5571</v>
      </c>
      <c r="O4926" t="s">
        <v>4944</v>
      </c>
      <c r="Q4926" t="str">
        <f t="shared" si="189"/>
        <v>condorProc.py --series 07181005_0331 --donoise --dumps a --procenv environments/pymidas_HVHV_NaI_mf.env</v>
      </c>
      <c r="R4926" t="str">
        <f t="shared" si="190"/>
        <v>ln -s ../../../../midasraw/byseries/07181005_0331 07181005_0331</v>
      </c>
    </row>
    <row r="4927" spans="1:18">
      <c r="A4927" t="s">
        <v>10521</v>
      </c>
      <c r="F4927" s="65"/>
      <c r="G4927" s="226"/>
      <c r="H4927" s="211"/>
      <c r="I4927" s="65"/>
      <c r="J4927" s="65"/>
      <c r="K4927" s="182"/>
      <c r="M4927" t="s">
        <v>4945</v>
      </c>
      <c r="N4927" t="s">
        <v>5571</v>
      </c>
      <c r="O4927" t="s">
        <v>4944</v>
      </c>
      <c r="Q4927" t="str">
        <f t="shared" si="189"/>
        <v>condorProc.py --series 07181005_0342 --donoise --dumps a --procenv environments/pymidas_HVHV_NaI_mf.env</v>
      </c>
      <c r="R4927" t="str">
        <f t="shared" si="190"/>
        <v>ln -s ../../../../midasraw/byseries/07181005_0342 07181005_0342</v>
      </c>
    </row>
    <row r="4928" spans="1:18">
      <c r="A4928" t="s">
        <v>10522</v>
      </c>
      <c r="F4928" s="177">
        <v>10</v>
      </c>
      <c r="G4928" s="224" t="s">
        <v>8641</v>
      </c>
      <c r="H4928" s="209">
        <v>-125</v>
      </c>
      <c r="I4928" s="177"/>
      <c r="J4928" s="177" t="s">
        <v>5577</v>
      </c>
      <c r="K4928" s="178" t="s">
        <v>5583</v>
      </c>
      <c r="L4928" s="1"/>
      <c r="M4928" t="s">
        <v>4945</v>
      </c>
      <c r="N4928" t="s">
        <v>5571</v>
      </c>
      <c r="O4928" t="s">
        <v>4944</v>
      </c>
      <c r="Q4928" t="str">
        <f t="shared" si="189"/>
        <v>condorProc.py --series 07181005_0441 --donoise --dumps a --procenv environments/pymidas_HVHV_NaI_mf.env</v>
      </c>
      <c r="R4928" t="str">
        <f t="shared" si="190"/>
        <v>ln -s ../../../../midasraw/byseries/07181005_0441 07181005_0441</v>
      </c>
    </row>
    <row r="4929" spans="1:18">
      <c r="A4929" t="s">
        <v>10523</v>
      </c>
      <c r="G4929" s="225"/>
      <c r="H4929" s="210"/>
      <c r="J4929" t="s">
        <v>5585</v>
      </c>
      <c r="K4929" s="218" t="s">
        <v>5586</v>
      </c>
      <c r="L4929" s="158"/>
      <c r="M4929" t="s">
        <v>4945</v>
      </c>
      <c r="N4929" t="s">
        <v>5571</v>
      </c>
      <c r="O4929" t="s">
        <v>4944</v>
      </c>
      <c r="Q4929" t="str">
        <f t="shared" si="189"/>
        <v>condorProc.py --series 07181005_0451 --donoise --dumps a --procenv environments/pymidas_HVHV_NaI_mf.env</v>
      </c>
      <c r="R4929" t="str">
        <f t="shared" si="190"/>
        <v>ln -s ../../../../midasraw/byseries/07181005_0451 07181005_0451</v>
      </c>
    </row>
    <row r="4930" spans="1:18">
      <c r="A4930" t="s">
        <v>10524</v>
      </c>
      <c r="G4930" s="225"/>
      <c r="H4930" s="210"/>
      <c r="K4930" s="219" t="s">
        <v>8388</v>
      </c>
      <c r="L4930" s="158"/>
      <c r="M4930" t="s">
        <v>4945</v>
      </c>
      <c r="N4930" t="s">
        <v>5571</v>
      </c>
      <c r="O4930" t="s">
        <v>4944</v>
      </c>
      <c r="Q4930" t="str">
        <f t="shared" si="189"/>
        <v>condorProc.py --series 07181005_0502 --donoise --dumps a --procenv environments/pymidas_HVHV_NaI_mf.env</v>
      </c>
      <c r="R4930" t="str">
        <f t="shared" si="190"/>
        <v>ln -s ../../../../midasraw/byseries/07181005_0502 07181005_0502</v>
      </c>
    </row>
    <row r="4931" spans="1:18">
      <c r="A4931" t="s">
        <v>10525</v>
      </c>
      <c r="G4931" s="225"/>
      <c r="H4931" s="210"/>
      <c r="K4931" s="180"/>
      <c r="L4931" s="158"/>
      <c r="M4931" t="s">
        <v>4945</v>
      </c>
      <c r="N4931" t="s">
        <v>5571</v>
      </c>
      <c r="O4931" t="s">
        <v>4944</v>
      </c>
      <c r="Q4931" t="str">
        <f t="shared" si="189"/>
        <v>condorProc.py --series 07181005_0512 --donoise --dumps a --procenv environments/pymidas_HVHV_NaI_mf.env</v>
      </c>
      <c r="R4931" t="str">
        <f t="shared" si="190"/>
        <v>ln -s ../../../../midasraw/byseries/07181005_0512 07181005_0512</v>
      </c>
    </row>
    <row r="4932" spans="1:18">
      <c r="A4932" t="s">
        <v>10526</v>
      </c>
      <c r="G4932" s="225"/>
      <c r="H4932" s="210"/>
      <c r="K4932" s="212" t="s">
        <v>10284</v>
      </c>
      <c r="M4932" t="s">
        <v>4945</v>
      </c>
      <c r="N4932" t="s">
        <v>5571</v>
      </c>
      <c r="O4932" t="s">
        <v>4944</v>
      </c>
      <c r="Q4932" t="str">
        <f t="shared" si="189"/>
        <v>condorProc.py --series 07181005_0522 --donoise --dumps a --procenv environments/pymidas_HVHV_NaI_mf.env</v>
      </c>
      <c r="R4932" t="str">
        <f t="shared" si="190"/>
        <v>ln -s ../../../../midasraw/byseries/07181005_0522 07181005_0522</v>
      </c>
    </row>
    <row r="4933" spans="1:18">
      <c r="A4933" t="s">
        <v>10527</v>
      </c>
      <c r="G4933" s="225"/>
      <c r="H4933" s="210"/>
      <c r="K4933" s="212" t="s">
        <v>10286</v>
      </c>
      <c r="M4933" t="s">
        <v>4945</v>
      </c>
      <c r="N4933" t="s">
        <v>5571</v>
      </c>
      <c r="O4933" t="s">
        <v>4944</v>
      </c>
      <c r="Q4933" t="str">
        <f t="shared" si="189"/>
        <v>condorProc.py --series 07181005_0532 --donoise --dumps a --procenv environments/pymidas_HVHV_NaI_mf.env</v>
      </c>
      <c r="R4933" t="str">
        <f t="shared" si="190"/>
        <v>ln -s ../../../../midasraw/byseries/07181005_0532 07181005_0532</v>
      </c>
    </row>
    <row r="4934" spans="1:18">
      <c r="A4934" t="s">
        <v>10528</v>
      </c>
      <c r="G4934" s="225"/>
      <c r="H4934" s="210"/>
      <c r="K4934" s="180"/>
      <c r="M4934" t="s">
        <v>4945</v>
      </c>
      <c r="N4934" t="s">
        <v>5571</v>
      </c>
      <c r="O4934" t="s">
        <v>4944</v>
      </c>
      <c r="Q4934" t="str">
        <f t="shared" si="189"/>
        <v>condorProc.py --series 07181005_0542 --donoise --dumps a --procenv environments/pymidas_HVHV_NaI_mf.env</v>
      </c>
      <c r="R4934" t="str">
        <f t="shared" si="190"/>
        <v>ln -s ../../../../midasraw/byseries/07181005_0542 07181005_0542</v>
      </c>
    </row>
    <row r="4935" spans="1:18">
      <c r="A4935" t="s">
        <v>10529</v>
      </c>
      <c r="G4935" s="225"/>
      <c r="H4935" s="210"/>
      <c r="K4935" s="180"/>
      <c r="M4935" t="s">
        <v>4945</v>
      </c>
      <c r="N4935" t="s">
        <v>5571</v>
      </c>
      <c r="O4935" t="s">
        <v>4944</v>
      </c>
      <c r="Q4935" t="str">
        <f t="shared" si="189"/>
        <v>condorProc.py --series 07181005_0552 --donoise --dumps a --procenv environments/pymidas_HVHV_NaI_mf.env</v>
      </c>
      <c r="R4935" t="str">
        <f t="shared" si="190"/>
        <v>ln -s ../../../../midasraw/byseries/07181005_0552 07181005_0552</v>
      </c>
    </row>
    <row r="4936" spans="1:18">
      <c r="A4936" t="s">
        <v>10530</v>
      </c>
      <c r="G4936" s="225"/>
      <c r="H4936" s="210"/>
      <c r="K4936" s="180"/>
      <c r="M4936" t="s">
        <v>4945</v>
      </c>
      <c r="N4936" t="s">
        <v>5571</v>
      </c>
      <c r="O4936" t="s">
        <v>4944</v>
      </c>
      <c r="Q4936" t="str">
        <f t="shared" si="189"/>
        <v>condorProc.py --series 07181005_0602 --donoise --dumps a --procenv environments/pymidas_HVHV_NaI_mf.env</v>
      </c>
      <c r="R4936" t="str">
        <f t="shared" si="190"/>
        <v>ln -s ../../../../midasraw/byseries/07181005_0602 07181005_0602</v>
      </c>
    </row>
    <row r="4937" spans="1:18">
      <c r="A4937" t="s">
        <v>10531</v>
      </c>
      <c r="G4937" s="225"/>
      <c r="H4937" s="210"/>
      <c r="K4937" s="180"/>
      <c r="M4937" t="s">
        <v>4945</v>
      </c>
      <c r="N4937" t="s">
        <v>5571</v>
      </c>
      <c r="O4937" t="s">
        <v>4944</v>
      </c>
      <c r="Q4937" t="str">
        <f t="shared" si="189"/>
        <v>condorProc.py --series 07181005_0612 --donoise --dumps a --procenv environments/pymidas_HVHV_NaI_mf.env</v>
      </c>
      <c r="R4937" t="str">
        <f t="shared" si="190"/>
        <v>ln -s ../../../../midasraw/byseries/07181005_0612 07181005_0612</v>
      </c>
    </row>
    <row r="4938" spans="1:18">
      <c r="A4938" t="s">
        <v>10532</v>
      </c>
      <c r="G4938" s="225"/>
      <c r="H4938" s="210"/>
      <c r="K4938" s="180"/>
      <c r="M4938" t="s">
        <v>4945</v>
      </c>
      <c r="N4938" t="s">
        <v>5571</v>
      </c>
      <c r="O4938" t="s">
        <v>4944</v>
      </c>
      <c r="Q4938" t="str">
        <f t="shared" si="189"/>
        <v>condorProc.py --series 07181005_0623 --donoise --dumps a --procenv environments/pymidas_HVHV_NaI_mf.env</v>
      </c>
      <c r="R4938" t="str">
        <f t="shared" si="190"/>
        <v>ln -s ../../../../midasraw/byseries/07181005_0623 07181005_0623</v>
      </c>
    </row>
    <row r="4939" spans="1:18">
      <c r="A4939" t="s">
        <v>10533</v>
      </c>
      <c r="F4939" s="65"/>
      <c r="G4939" s="226"/>
      <c r="H4939" s="211"/>
      <c r="I4939" s="65"/>
      <c r="J4939" s="65"/>
      <c r="K4939" s="182"/>
      <c r="M4939" t="s">
        <v>4945</v>
      </c>
      <c r="N4939" t="s">
        <v>5571</v>
      </c>
      <c r="O4939" t="s">
        <v>4944</v>
      </c>
      <c r="Q4939" t="str">
        <f t="shared" si="189"/>
        <v>condorProc.py --series 07181005_0633 --donoise --dumps a --procenv environments/pymidas_HVHV_NaI_mf.env</v>
      </c>
      <c r="R4939" t="str">
        <f t="shared" si="190"/>
        <v>ln -s ../../../../midasraw/byseries/07181005_0633 07181005_0633</v>
      </c>
    </row>
    <row r="4940" spans="1:18">
      <c r="A4940" t="s">
        <v>10534</v>
      </c>
      <c r="F4940" s="177">
        <v>10</v>
      </c>
      <c r="G4940" s="224" t="s">
        <v>8641</v>
      </c>
      <c r="H4940" s="209">
        <v>-125</v>
      </c>
      <c r="I4940" s="177"/>
      <c r="J4940" s="177" t="s">
        <v>5577</v>
      </c>
      <c r="K4940" s="178" t="s">
        <v>5583</v>
      </c>
      <c r="M4940" t="s">
        <v>4945</v>
      </c>
      <c r="N4940" t="s">
        <v>5571</v>
      </c>
      <c r="O4940" t="s">
        <v>4944</v>
      </c>
      <c r="Q4940" t="str">
        <f t="shared" si="189"/>
        <v>condorProc.py --series 07181005_0733 --donoise --dumps a --procenv environments/pymidas_HVHV_NaI_mf.env</v>
      </c>
      <c r="R4940" t="str">
        <f t="shared" si="190"/>
        <v>ln -s ../../../../midasraw/byseries/07181005_0733 07181005_0733</v>
      </c>
    </row>
    <row r="4941" spans="1:18">
      <c r="A4941" t="s">
        <v>10535</v>
      </c>
      <c r="G4941" s="225"/>
      <c r="H4941" s="210"/>
      <c r="J4941" t="s">
        <v>5585</v>
      </c>
      <c r="K4941" s="218" t="s">
        <v>5586</v>
      </c>
      <c r="M4941" t="s">
        <v>4945</v>
      </c>
      <c r="N4941" t="s">
        <v>5571</v>
      </c>
      <c r="O4941" t="s">
        <v>4944</v>
      </c>
      <c r="Q4941" t="str">
        <f t="shared" si="189"/>
        <v>condorProc.py --series 07181005_0743 --donoise --dumps a --procenv environments/pymidas_HVHV_NaI_mf.env</v>
      </c>
      <c r="R4941" t="str">
        <f t="shared" si="190"/>
        <v>ln -s ../../../../midasraw/byseries/07181005_0743 07181005_0743</v>
      </c>
    </row>
    <row r="4942" spans="1:18">
      <c r="A4942" t="s">
        <v>10536</v>
      </c>
      <c r="G4942" s="225"/>
      <c r="H4942" s="210"/>
      <c r="K4942" s="219" t="s">
        <v>8388</v>
      </c>
      <c r="M4942" t="s">
        <v>4945</v>
      </c>
      <c r="N4942" t="s">
        <v>5571</v>
      </c>
      <c r="O4942" t="s">
        <v>4944</v>
      </c>
      <c r="Q4942" t="str">
        <f t="shared" si="189"/>
        <v>condorProc.py --series 07181005_0753 --donoise --dumps a --procenv environments/pymidas_HVHV_NaI_mf.env</v>
      </c>
      <c r="R4942" t="str">
        <f t="shared" si="190"/>
        <v>ln -s ../../../../midasraw/byseries/07181005_0753 07181005_0753</v>
      </c>
    </row>
    <row r="4943" spans="1:18">
      <c r="A4943" t="s">
        <v>10537</v>
      </c>
      <c r="G4943" s="225"/>
      <c r="H4943" s="210"/>
      <c r="K4943" s="180"/>
      <c r="M4943" t="s">
        <v>4945</v>
      </c>
      <c r="N4943" t="s">
        <v>5571</v>
      </c>
      <c r="O4943" t="s">
        <v>4944</v>
      </c>
      <c r="Q4943" t="str">
        <f t="shared" si="189"/>
        <v>condorProc.py --series 07181005_0803 --donoise --dumps a --procenv environments/pymidas_HVHV_NaI_mf.env</v>
      </c>
      <c r="R4943" t="str">
        <f t="shared" si="190"/>
        <v>ln -s ../../../../midasraw/byseries/07181005_0803 07181005_0803</v>
      </c>
    </row>
    <row r="4944" spans="1:18">
      <c r="A4944" t="s">
        <v>10538</v>
      </c>
      <c r="G4944" s="225"/>
      <c r="H4944" s="210"/>
      <c r="K4944" s="212" t="s">
        <v>10284</v>
      </c>
      <c r="M4944" t="s">
        <v>4945</v>
      </c>
      <c r="N4944" t="s">
        <v>5571</v>
      </c>
      <c r="O4944" t="s">
        <v>4944</v>
      </c>
      <c r="Q4944" t="str">
        <f t="shared" si="189"/>
        <v>condorProc.py --series 07181005_0813 --donoise --dumps a --procenv environments/pymidas_HVHV_NaI_mf.env</v>
      </c>
      <c r="R4944" t="str">
        <f t="shared" si="190"/>
        <v>ln -s ../../../../midasraw/byseries/07181005_0813 07181005_0813</v>
      </c>
    </row>
    <row r="4945" spans="1:18">
      <c r="A4945" t="s">
        <v>10539</v>
      </c>
      <c r="G4945" s="225"/>
      <c r="H4945" s="210"/>
      <c r="K4945" s="212" t="s">
        <v>10286</v>
      </c>
      <c r="M4945" t="s">
        <v>4945</v>
      </c>
      <c r="N4945" t="s">
        <v>5571</v>
      </c>
      <c r="O4945" t="s">
        <v>4944</v>
      </c>
      <c r="Q4945" t="str">
        <f t="shared" si="189"/>
        <v>condorProc.py --series 07181005_0823 --donoise --dumps a --procenv environments/pymidas_HVHV_NaI_mf.env</v>
      </c>
      <c r="R4945" t="str">
        <f t="shared" si="190"/>
        <v>ln -s ../../../../midasraw/byseries/07181005_0823 07181005_0823</v>
      </c>
    </row>
    <row r="4946" spans="1:18">
      <c r="A4946" t="s">
        <v>10540</v>
      </c>
      <c r="G4946" s="225"/>
      <c r="H4946" s="210"/>
      <c r="K4946" s="180"/>
      <c r="M4946" t="s">
        <v>4945</v>
      </c>
      <c r="N4946" t="s">
        <v>5571</v>
      </c>
      <c r="O4946" t="s">
        <v>4944</v>
      </c>
      <c r="Q4946" t="str">
        <f t="shared" si="189"/>
        <v>condorProc.py --series 07181005_0833 --donoise --dumps a --procenv environments/pymidas_HVHV_NaI_mf.env</v>
      </c>
      <c r="R4946" t="str">
        <f t="shared" si="190"/>
        <v>ln -s ../../../../midasraw/byseries/07181005_0833 07181005_0833</v>
      </c>
    </row>
    <row r="4947" spans="1:18">
      <c r="A4947" t="s">
        <v>10541</v>
      </c>
      <c r="G4947" s="225"/>
      <c r="H4947" s="210"/>
      <c r="K4947" s="180"/>
      <c r="M4947" t="s">
        <v>4945</v>
      </c>
      <c r="N4947" t="s">
        <v>5571</v>
      </c>
      <c r="O4947" t="s">
        <v>4944</v>
      </c>
      <c r="Q4947" t="str">
        <f t="shared" ref="Q4947:Q4958" si="191">"condorProc.py --series "&amp;A4947&amp;" --donoise --dumps a --procenv environments/pymidas_HVHV_NaI_mf.env"</f>
        <v>condorProc.py --series 07181005_0843 --donoise --dumps a --procenv environments/pymidas_HVHV_NaI_mf.env</v>
      </c>
      <c r="R4947" t="str">
        <f t="shared" si="190"/>
        <v>ln -s ../../../../midasraw/byseries/07181005_0843 07181005_0843</v>
      </c>
    </row>
    <row r="4948" spans="1:18">
      <c r="A4948" t="s">
        <v>10542</v>
      </c>
      <c r="G4948" s="225"/>
      <c r="H4948" s="210"/>
      <c r="K4948" s="180"/>
      <c r="M4948" t="s">
        <v>4945</v>
      </c>
      <c r="N4948" t="s">
        <v>5571</v>
      </c>
      <c r="O4948" t="s">
        <v>4944</v>
      </c>
      <c r="Q4948" t="str">
        <f t="shared" si="191"/>
        <v>condorProc.py --series 07181005_0854 --donoise --dumps a --procenv environments/pymidas_HVHV_NaI_mf.env</v>
      </c>
      <c r="R4948" t="str">
        <f t="shared" si="190"/>
        <v>ln -s ../../../../midasraw/byseries/07181005_0854 07181005_0854</v>
      </c>
    </row>
    <row r="4949" spans="1:18">
      <c r="A4949" t="s">
        <v>10543</v>
      </c>
      <c r="G4949" s="225"/>
      <c r="H4949" s="210"/>
      <c r="K4949" s="180"/>
      <c r="M4949" t="s">
        <v>4945</v>
      </c>
      <c r="N4949" t="s">
        <v>5571</v>
      </c>
      <c r="O4949" t="s">
        <v>4944</v>
      </c>
      <c r="Q4949" t="str">
        <f t="shared" si="191"/>
        <v>condorProc.py --series 07181005_0904 --donoise --dumps a --procenv environments/pymidas_HVHV_NaI_mf.env</v>
      </c>
      <c r="R4949" t="str">
        <f t="shared" si="190"/>
        <v>ln -s ../../../../midasraw/byseries/07181005_0904 07181005_0904</v>
      </c>
    </row>
    <row r="4950" spans="1:18">
      <c r="A4950" t="s">
        <v>10544</v>
      </c>
      <c r="G4950" s="225"/>
      <c r="H4950" s="210"/>
      <c r="K4950" s="180"/>
      <c r="M4950" t="s">
        <v>4945</v>
      </c>
      <c r="N4950" t="s">
        <v>5571</v>
      </c>
      <c r="O4950" t="s">
        <v>4944</v>
      </c>
      <c r="Q4950" t="str">
        <f t="shared" si="191"/>
        <v>condorProc.py --series 07181005_0914 --donoise --dumps a --procenv environments/pymidas_HVHV_NaI_mf.env</v>
      </c>
      <c r="R4950" t="str">
        <f t="shared" si="190"/>
        <v>ln -s ../../../../midasraw/byseries/07181005_0914 07181005_0914</v>
      </c>
    </row>
    <row r="4951" spans="1:18">
      <c r="A4951" t="s">
        <v>10545</v>
      </c>
      <c r="F4951" s="65"/>
      <c r="G4951" s="226"/>
      <c r="H4951" s="211"/>
      <c r="I4951" s="65" t="s">
        <v>75</v>
      </c>
      <c r="J4951" s="65"/>
      <c r="K4951" s="182"/>
      <c r="M4951" t="s">
        <v>4945</v>
      </c>
      <c r="N4951" t="s">
        <v>5571</v>
      </c>
      <c r="O4951" t="s">
        <v>4944</v>
      </c>
      <c r="Q4951" t="str">
        <f t="shared" si="191"/>
        <v>condorProc.py --series 07181005_0924 --donoise --dumps a --procenv environments/pymidas_HVHV_NaI_mf.env</v>
      </c>
      <c r="R4951" t="str">
        <f t="shared" ref="R4951:R4958" si="192">"ln -s ../../../../midasraw/byseries/"&amp;A4951&amp;" "&amp;A4951</f>
        <v>ln -s ../../../../midasraw/byseries/07181005_0924 07181005_0924</v>
      </c>
    </row>
    <row r="4952" spans="1:18">
      <c r="A4952" t="s">
        <v>10546</v>
      </c>
      <c r="F4952" s="177">
        <v>10</v>
      </c>
      <c r="G4952" s="224" t="s">
        <v>8641</v>
      </c>
      <c r="H4952" s="209">
        <v>-125</v>
      </c>
      <c r="I4952" s="177"/>
      <c r="J4952" s="177" t="s">
        <v>5577</v>
      </c>
      <c r="K4952" s="178" t="s">
        <v>5583</v>
      </c>
      <c r="M4952" t="s">
        <v>4945</v>
      </c>
      <c r="N4952" t="s">
        <v>5571</v>
      </c>
      <c r="O4952" t="s">
        <v>4944</v>
      </c>
      <c r="Q4952" t="str">
        <f t="shared" si="191"/>
        <v>condorProc.py --series 07181005_1024 --donoise --dumps a --procenv environments/pymidas_HVHV_NaI_mf.env</v>
      </c>
      <c r="R4952" t="str">
        <f t="shared" si="192"/>
        <v>ln -s ../../../../midasraw/byseries/07181005_1024 07181005_1024</v>
      </c>
    </row>
    <row r="4953" spans="1:18">
      <c r="A4953" t="s">
        <v>10547</v>
      </c>
      <c r="G4953" s="225"/>
      <c r="H4953" s="210"/>
      <c r="J4953" t="s">
        <v>5585</v>
      </c>
      <c r="K4953" s="218" t="s">
        <v>5586</v>
      </c>
      <c r="M4953" t="s">
        <v>4945</v>
      </c>
      <c r="N4953" t="s">
        <v>5571</v>
      </c>
      <c r="O4953" t="s">
        <v>4944</v>
      </c>
      <c r="Q4953" t="str">
        <f t="shared" si="191"/>
        <v>condorProc.py --series 07181005_1034 --donoise --dumps a --procenv environments/pymidas_HVHV_NaI_mf.env</v>
      </c>
      <c r="R4953" t="str">
        <f t="shared" si="192"/>
        <v>ln -s ../../../../midasraw/byseries/07181005_1034 07181005_1034</v>
      </c>
    </row>
    <row r="4954" spans="1:18">
      <c r="A4954" t="s">
        <v>10548</v>
      </c>
      <c r="G4954" s="225"/>
      <c r="H4954" s="210"/>
      <c r="K4954" s="219" t="s">
        <v>8388</v>
      </c>
      <c r="M4954" t="s">
        <v>4945</v>
      </c>
      <c r="N4954" t="s">
        <v>5571</v>
      </c>
      <c r="O4954" t="s">
        <v>4944</v>
      </c>
      <c r="Q4954" t="str">
        <f t="shared" si="191"/>
        <v>condorProc.py --series 07181005_1044 --donoise --dumps a --procenv environments/pymidas_HVHV_NaI_mf.env</v>
      </c>
      <c r="R4954" t="str">
        <f t="shared" si="192"/>
        <v>ln -s ../../../../midasraw/byseries/07181005_1044 07181005_1044</v>
      </c>
    </row>
    <row r="4955" spans="1:18">
      <c r="A4955" t="s">
        <v>10549</v>
      </c>
      <c r="G4955" s="225"/>
      <c r="H4955" s="210"/>
      <c r="K4955" s="180"/>
      <c r="M4955" t="s">
        <v>4945</v>
      </c>
      <c r="N4955" t="s">
        <v>5571</v>
      </c>
      <c r="O4955" t="s">
        <v>4944</v>
      </c>
      <c r="Q4955" t="str">
        <f t="shared" si="191"/>
        <v>condorProc.py --series 07181005_1054 --donoise --dumps a --procenv environments/pymidas_HVHV_NaI_mf.env</v>
      </c>
      <c r="R4955" t="str">
        <f t="shared" si="192"/>
        <v>ln -s ../../../../midasraw/byseries/07181005_1054 07181005_1054</v>
      </c>
    </row>
    <row r="4956" spans="1:18">
      <c r="A4956" t="s">
        <v>10550</v>
      </c>
      <c r="G4956" s="225"/>
      <c r="H4956" s="210"/>
      <c r="K4956" s="212" t="s">
        <v>10284</v>
      </c>
      <c r="M4956" t="s">
        <v>4945</v>
      </c>
      <c r="N4956" t="s">
        <v>5571</v>
      </c>
      <c r="O4956" t="s">
        <v>4944</v>
      </c>
      <c r="Q4956" t="str">
        <f t="shared" si="191"/>
        <v>condorProc.py --series 07181005_1104 --donoise --dumps a --procenv environments/pymidas_HVHV_NaI_mf.env</v>
      </c>
      <c r="R4956" t="str">
        <f t="shared" si="192"/>
        <v>ln -s ../../../../midasraw/byseries/07181005_1104 07181005_1104</v>
      </c>
    </row>
    <row r="4957" spans="1:18">
      <c r="A4957" t="s">
        <v>10551</v>
      </c>
      <c r="G4957" s="225"/>
      <c r="H4957" s="210"/>
      <c r="I4957" t="s">
        <v>75</v>
      </c>
      <c r="K4957" s="212" t="s">
        <v>10286</v>
      </c>
      <c r="M4957" t="s">
        <v>4945</v>
      </c>
      <c r="N4957" t="s">
        <v>5571</v>
      </c>
      <c r="O4957" t="s">
        <v>4944</v>
      </c>
      <c r="Q4957" t="str">
        <f t="shared" si="191"/>
        <v>condorProc.py --series 07181005_1114 --donoise --dumps a --procenv environments/pymidas_HVHV_NaI_mf.env</v>
      </c>
      <c r="R4957" t="str">
        <f t="shared" si="192"/>
        <v>ln -s ../../../../midasraw/byseries/07181005_1114 07181005_1114</v>
      </c>
    </row>
    <row r="4958" spans="1:18">
      <c r="A4958" t="s">
        <v>10552</v>
      </c>
      <c r="G4958" s="225"/>
      <c r="H4958" s="210"/>
      <c r="I4958" t="s">
        <v>75</v>
      </c>
      <c r="K4958" s="180"/>
      <c r="M4958" t="s">
        <v>4945</v>
      </c>
      <c r="N4958" t="s">
        <v>5571</v>
      </c>
      <c r="O4958" t="s">
        <v>4944</v>
      </c>
      <c r="Q4958" t="str">
        <f t="shared" si="191"/>
        <v>condorProc.py --series 07181005_1124 --donoise --dumps a --procenv environments/pymidas_HVHV_NaI_mf.env</v>
      </c>
      <c r="R4958" t="str">
        <f t="shared" si="192"/>
        <v>ln -s ../../../../midasraw/byseries/07181005_1124 07181005_1124</v>
      </c>
    </row>
    <row r="4959" spans="1:18">
      <c r="A4959" t="s">
        <v>10553</v>
      </c>
      <c r="G4959" s="225"/>
      <c r="H4959" s="210"/>
      <c r="I4959" s="197" t="s">
        <v>5434</v>
      </c>
      <c r="K4959" s="180"/>
    </row>
    <row r="4960" spans="1:18">
      <c r="A4960" t="s">
        <v>10554</v>
      </c>
      <c r="G4960" s="225"/>
      <c r="H4960" s="210"/>
      <c r="I4960" s="197" t="s">
        <v>5434</v>
      </c>
      <c r="K4960" s="180"/>
    </row>
    <row r="4961" spans="1:18">
      <c r="A4961" t="s">
        <v>10555</v>
      </c>
      <c r="G4961" s="225"/>
      <c r="H4961" s="210"/>
      <c r="I4961" s="197" t="s">
        <v>5434</v>
      </c>
      <c r="K4961" s="180"/>
    </row>
    <row r="4962" spans="1:18">
      <c r="A4962" t="s">
        <v>10556</v>
      </c>
      <c r="G4962" s="225"/>
      <c r="H4962" s="210"/>
      <c r="I4962" s="197" t="s">
        <v>5434</v>
      </c>
      <c r="K4962" s="180"/>
    </row>
    <row r="4963" spans="1:18">
      <c r="A4963" t="s">
        <v>10557</v>
      </c>
      <c r="G4963" s="225"/>
      <c r="H4963" s="210"/>
      <c r="I4963" s="197" t="s">
        <v>5434</v>
      </c>
      <c r="K4963" s="180" t="s">
        <v>8298</v>
      </c>
    </row>
    <row r="4964" spans="1:18">
      <c r="A4964" s="145" t="s">
        <v>10558</v>
      </c>
      <c r="B4964" s="146"/>
      <c r="C4964" s="146"/>
      <c r="D4964" s="146"/>
      <c r="E4964" s="146"/>
      <c r="F4964" s="146"/>
      <c r="G4964" s="233" t="s">
        <v>8641</v>
      </c>
      <c r="H4964" s="234">
        <v>-125</v>
      </c>
      <c r="I4964" s="146"/>
      <c r="J4964" s="146" t="s">
        <v>5373</v>
      </c>
      <c r="K4964" s="147"/>
      <c r="M4964" t="s">
        <v>2246</v>
      </c>
    </row>
    <row r="4965" spans="1:18">
      <c r="A4965" t="s">
        <v>10559</v>
      </c>
      <c r="G4965" s="225"/>
      <c r="H4965" s="210"/>
      <c r="J4965" t="s">
        <v>2387</v>
      </c>
    </row>
    <row r="4966" spans="1:18">
      <c r="A4966" t="s">
        <v>10560</v>
      </c>
      <c r="G4966" s="225"/>
      <c r="H4966" s="210"/>
      <c r="J4966" t="s">
        <v>2387</v>
      </c>
    </row>
    <row r="4967" spans="1:18">
      <c r="A4967" s="176" t="s">
        <v>10561</v>
      </c>
      <c r="B4967" s="177"/>
      <c r="C4967" s="177"/>
      <c r="D4967" s="177"/>
      <c r="E4967" s="177"/>
      <c r="F4967" s="177">
        <v>10</v>
      </c>
      <c r="G4967" s="224" t="s">
        <v>8641</v>
      </c>
      <c r="H4967" s="209">
        <v>-125</v>
      </c>
      <c r="I4967" s="177"/>
      <c r="J4967" s="177" t="s">
        <v>5577</v>
      </c>
      <c r="K4967" s="178" t="s">
        <v>5583</v>
      </c>
      <c r="M4967" t="s">
        <v>4945</v>
      </c>
      <c r="N4967" t="s">
        <v>5571</v>
      </c>
      <c r="O4967" t="s">
        <v>4944</v>
      </c>
      <c r="Q4967" t="str">
        <f t="shared" ref="Q4967:Q5030" si="193">"condorProc.py --series "&amp;A4967&amp;" --donoise --dumps a --procenv environments/pymidas_HVHV_NaI_mf.env"</f>
        <v>condorProc.py --series 07181005_1640 --donoise --dumps a --procenv environments/pymidas_HVHV_NaI_mf.env</v>
      </c>
      <c r="R4967" t="str">
        <f t="shared" ref="R4967:R5030" si="194">"ln -s ../../../../midasraw/byseries/"&amp;A4967&amp;" "&amp;A4967</f>
        <v>ln -s ../../../../midasraw/byseries/07181005_1640 07181005_1640</v>
      </c>
    </row>
    <row r="4968" spans="1:18">
      <c r="A4968" s="179" t="s">
        <v>10562</v>
      </c>
      <c r="G4968" s="225"/>
      <c r="H4968" s="210"/>
      <c r="J4968" t="s">
        <v>5585</v>
      </c>
      <c r="K4968" s="218" t="s">
        <v>5586</v>
      </c>
      <c r="M4968" t="s">
        <v>4945</v>
      </c>
      <c r="N4968" t="s">
        <v>5571</v>
      </c>
      <c r="O4968" t="s">
        <v>4944</v>
      </c>
      <c r="Q4968" t="str">
        <f t="shared" si="193"/>
        <v>condorProc.py --series 07181005_1650 --donoise --dumps a --procenv environments/pymidas_HVHV_NaI_mf.env</v>
      </c>
      <c r="R4968" t="str">
        <f t="shared" si="194"/>
        <v>ln -s ../../../../midasraw/byseries/07181005_1650 07181005_1650</v>
      </c>
    </row>
    <row r="4969" spans="1:18">
      <c r="A4969" s="179" t="s">
        <v>10563</v>
      </c>
      <c r="G4969" s="225"/>
      <c r="H4969" s="210"/>
      <c r="K4969" s="219" t="s">
        <v>8388</v>
      </c>
      <c r="M4969" t="s">
        <v>4945</v>
      </c>
      <c r="N4969" t="s">
        <v>5571</v>
      </c>
      <c r="O4969" t="s">
        <v>4944</v>
      </c>
      <c r="Q4969" t="str">
        <f t="shared" si="193"/>
        <v>condorProc.py --series 07181005_1700 --donoise --dumps a --procenv environments/pymidas_HVHV_NaI_mf.env</v>
      </c>
      <c r="R4969" t="str">
        <f t="shared" si="194"/>
        <v>ln -s ../../../../midasraw/byseries/07181005_1700 07181005_1700</v>
      </c>
    </row>
    <row r="4970" spans="1:18">
      <c r="A4970" s="179" t="s">
        <v>10564</v>
      </c>
      <c r="G4970" s="225"/>
      <c r="H4970" s="210"/>
      <c r="K4970" s="180"/>
      <c r="M4970" t="s">
        <v>4945</v>
      </c>
      <c r="N4970" t="s">
        <v>5571</v>
      </c>
      <c r="O4970" t="s">
        <v>4944</v>
      </c>
      <c r="Q4970" t="str">
        <f t="shared" si="193"/>
        <v>condorProc.py --series 07181005_1710 --donoise --dumps a --procenv environments/pymidas_HVHV_NaI_mf.env</v>
      </c>
      <c r="R4970" t="str">
        <f t="shared" si="194"/>
        <v>ln -s ../../../../midasraw/byseries/07181005_1710 07181005_1710</v>
      </c>
    </row>
    <row r="4971" spans="1:18">
      <c r="A4971" s="179" t="s">
        <v>10565</v>
      </c>
      <c r="G4971" s="225"/>
      <c r="H4971" s="210"/>
      <c r="K4971" s="180"/>
      <c r="M4971" t="s">
        <v>4945</v>
      </c>
      <c r="N4971" t="s">
        <v>5571</v>
      </c>
      <c r="O4971" t="s">
        <v>4944</v>
      </c>
      <c r="Q4971" t="str">
        <f t="shared" si="193"/>
        <v>condorProc.py --series 07181005_1721 --donoise --dumps a --procenv environments/pymidas_HVHV_NaI_mf.env</v>
      </c>
      <c r="R4971" t="str">
        <f t="shared" si="194"/>
        <v>ln -s ../../../../midasraw/byseries/07181005_1721 07181005_1721</v>
      </c>
    </row>
    <row r="4972" spans="1:18">
      <c r="A4972" s="181" t="s">
        <v>10566</v>
      </c>
      <c r="B4972" s="65"/>
      <c r="C4972" s="65"/>
      <c r="D4972" s="65"/>
      <c r="E4972" s="65"/>
      <c r="F4972" s="65"/>
      <c r="G4972" s="226"/>
      <c r="H4972" s="211"/>
      <c r="I4972" s="65" t="s">
        <v>75</v>
      </c>
      <c r="J4972" s="65"/>
      <c r="K4972" s="182"/>
      <c r="L4972" t="str">
        <f>"BatViewer --nohardcode "&amp;A4972&amp;"/"&amp;A4972&amp;"_F0010.mid.gz"</f>
        <v>BatViewer --nohardcode 07181005_1731/07181005_1731_F0010.mid.gz</v>
      </c>
      <c r="M4972" t="s">
        <v>4945</v>
      </c>
      <c r="N4972" t="s">
        <v>5571</v>
      </c>
      <c r="O4972" t="s">
        <v>4944</v>
      </c>
      <c r="Q4972" t="str">
        <f t="shared" si="193"/>
        <v>condorProc.py --series 07181005_1731 --donoise --dumps a --procenv environments/pymidas_HVHV_NaI_mf.env</v>
      </c>
      <c r="R4972" t="str">
        <f t="shared" si="194"/>
        <v>ln -s ../../../../midasraw/byseries/07181005_1731 07181005_1731</v>
      </c>
    </row>
    <row r="4973" spans="1:18">
      <c r="A4973" t="s">
        <v>10567</v>
      </c>
      <c r="F4973" s="177">
        <v>10</v>
      </c>
      <c r="G4973" s="224" t="s">
        <v>8641</v>
      </c>
      <c r="H4973" s="209">
        <v>-125</v>
      </c>
      <c r="I4973" s="177"/>
      <c r="J4973" s="177" t="s">
        <v>5577</v>
      </c>
      <c r="K4973" s="178" t="s">
        <v>5583</v>
      </c>
      <c r="L4973" s="1">
        <f>DATE(2000+MID(A4973,3,2),MID(A4973,5,2),MID(A4973,7,2))+TIME(MID(A4973,10,2),MID(A4973,12,2),0)</f>
        <v>43378.770833333336</v>
      </c>
      <c r="M4973" t="s">
        <v>4945</v>
      </c>
      <c r="N4973" t="s">
        <v>5571</v>
      </c>
      <c r="O4973" t="s">
        <v>4944</v>
      </c>
      <c r="Q4973" t="str">
        <f t="shared" si="193"/>
        <v>condorProc.py --series 07181005_1830 --donoise --dumps a --procenv environments/pymidas_HVHV_NaI_mf.env</v>
      </c>
      <c r="R4973" t="str">
        <f t="shared" si="194"/>
        <v>ln -s ../../../../midasraw/byseries/07181005_1830 07181005_1830</v>
      </c>
    </row>
    <row r="4974" spans="1:18">
      <c r="A4974" t="s">
        <v>10568</v>
      </c>
      <c r="G4974" s="225"/>
      <c r="H4974" s="210"/>
      <c r="J4974" t="s">
        <v>5585</v>
      </c>
      <c r="K4974" s="218" t="s">
        <v>5586</v>
      </c>
      <c r="L4974" s="158">
        <f>L4973+(2+7/60)/24</f>
        <v>43378.859027777777</v>
      </c>
      <c r="M4974" t="s">
        <v>4945</v>
      </c>
      <c r="N4974" t="s">
        <v>5571</v>
      </c>
      <c r="O4974" t="s">
        <v>4944</v>
      </c>
      <c r="Q4974" t="str">
        <f t="shared" si="193"/>
        <v>condorProc.py --series 07181005_1840 --donoise --dumps a --procenv environments/pymidas_HVHV_NaI_mf.env</v>
      </c>
      <c r="R4974" t="str">
        <f t="shared" si="194"/>
        <v>ln -s ../../../../midasraw/byseries/07181005_1840 07181005_1840</v>
      </c>
    </row>
    <row r="4975" spans="1:18">
      <c r="A4975" t="s">
        <v>10569</v>
      </c>
      <c r="G4975" s="225"/>
      <c r="H4975" s="210"/>
      <c r="K4975" s="219" t="s">
        <v>8388</v>
      </c>
      <c r="L4975" s="158">
        <f>L4974+31/60/24</f>
        <v>43378.880555555552</v>
      </c>
      <c r="M4975" t="s">
        <v>4945</v>
      </c>
      <c r="N4975" t="s">
        <v>5571</v>
      </c>
      <c r="O4975" t="s">
        <v>4944</v>
      </c>
      <c r="Q4975" t="str">
        <f t="shared" si="193"/>
        <v>condorProc.py --series 07181005_1850 --donoise --dumps a --procenv environments/pymidas_HVHV_NaI_mf.env</v>
      </c>
      <c r="R4975" t="str">
        <f t="shared" si="194"/>
        <v>ln -s ../../../../midasraw/byseries/07181005_1850 07181005_1850</v>
      </c>
    </row>
    <row r="4976" spans="1:18">
      <c r="A4976" t="s">
        <v>10570</v>
      </c>
      <c r="G4976" s="225"/>
      <c r="H4976" s="210"/>
      <c r="K4976" s="180"/>
      <c r="L4976" s="1">
        <f>L4973+(2+51/60)/24</f>
        <v>43378.889583333337</v>
      </c>
      <c r="M4976" t="s">
        <v>4945</v>
      </c>
      <c r="N4976" t="s">
        <v>5571</v>
      </c>
      <c r="O4976" t="s">
        <v>4944</v>
      </c>
      <c r="Q4976" t="str">
        <f t="shared" si="193"/>
        <v>condorProc.py --series 07181005_1901 --donoise --dumps a --procenv environments/pymidas_HVHV_NaI_mf.env</v>
      </c>
      <c r="R4976" t="str">
        <f t="shared" si="194"/>
        <v>ln -s ../../../../midasraw/byseries/07181005_1901 07181005_1901</v>
      </c>
    </row>
    <row r="4977" spans="1:18">
      <c r="A4977" t="s">
        <v>10571</v>
      </c>
      <c r="G4977" s="225"/>
      <c r="H4977" s="210"/>
      <c r="K4977" s="180"/>
      <c r="L4977" s="158">
        <f>L4976+(2+7/60)/24</f>
        <v>43378.977777777778</v>
      </c>
      <c r="M4977" t="s">
        <v>4945</v>
      </c>
      <c r="N4977" t="s">
        <v>5571</v>
      </c>
      <c r="O4977" t="s">
        <v>4944</v>
      </c>
      <c r="Q4977" t="str">
        <f t="shared" si="193"/>
        <v>condorProc.py --series 07181005_1911 --donoise --dumps a --procenv environments/pymidas_HVHV_NaI_mf.env</v>
      </c>
      <c r="R4977" t="str">
        <f t="shared" si="194"/>
        <v>ln -s ../../../../midasraw/byseries/07181005_1911 07181005_1911</v>
      </c>
    </row>
    <row r="4978" spans="1:18">
      <c r="A4978" t="s">
        <v>10572</v>
      </c>
      <c r="G4978" s="225"/>
      <c r="H4978" s="210"/>
      <c r="K4978" s="180"/>
      <c r="L4978" s="158">
        <f>L4977+31/60/24</f>
        <v>43378.999305555553</v>
      </c>
      <c r="M4978" t="s">
        <v>4945</v>
      </c>
      <c r="N4978" t="s">
        <v>5571</v>
      </c>
      <c r="O4978" t="s">
        <v>4944</v>
      </c>
      <c r="Q4978" t="str">
        <f t="shared" si="193"/>
        <v>condorProc.py --series 07181005_1921 --donoise --dumps a --procenv environments/pymidas_HVHV_NaI_mf.env</v>
      </c>
      <c r="R4978" t="str">
        <f t="shared" si="194"/>
        <v>ln -s ../../../../midasraw/byseries/07181005_1921 07181005_1921</v>
      </c>
    </row>
    <row r="4979" spans="1:18">
      <c r="A4979" t="s">
        <v>10573</v>
      </c>
      <c r="G4979" s="225"/>
      <c r="H4979" s="210"/>
      <c r="K4979" s="180"/>
      <c r="L4979" s="1">
        <f>L4976+(2+51/60)/24</f>
        <v>43379.008333333339</v>
      </c>
      <c r="M4979" t="s">
        <v>4945</v>
      </c>
      <c r="N4979" t="s">
        <v>5571</v>
      </c>
      <c r="O4979" t="s">
        <v>4944</v>
      </c>
      <c r="Q4979" t="str">
        <f t="shared" si="193"/>
        <v>condorProc.py --series 07181005_1931 --donoise --dumps a --procenv environments/pymidas_HVHV_NaI_mf.env</v>
      </c>
      <c r="R4979" t="str">
        <f t="shared" si="194"/>
        <v>ln -s ../../../../midasraw/byseries/07181005_1931 07181005_1931</v>
      </c>
    </row>
    <row r="4980" spans="1:18">
      <c r="A4980" t="s">
        <v>10574</v>
      </c>
      <c r="G4980" s="225"/>
      <c r="H4980" s="210"/>
      <c r="K4980" s="180"/>
      <c r="L4980" s="158">
        <f>L4979+(2+7/60)/24</f>
        <v>43379.09652777778</v>
      </c>
      <c r="M4980" t="s">
        <v>4945</v>
      </c>
      <c r="N4980" t="s">
        <v>5571</v>
      </c>
      <c r="O4980" t="s">
        <v>4944</v>
      </c>
      <c r="Q4980" t="str">
        <f t="shared" si="193"/>
        <v>condorProc.py --series 07181005_1941 --donoise --dumps a --procenv environments/pymidas_HVHV_NaI_mf.env</v>
      </c>
      <c r="R4980" t="str">
        <f t="shared" si="194"/>
        <v>ln -s ../../../../midasraw/byseries/07181005_1941 07181005_1941</v>
      </c>
    </row>
    <row r="4981" spans="1:18">
      <c r="A4981" t="s">
        <v>10575</v>
      </c>
      <c r="G4981" s="225"/>
      <c r="H4981" s="210"/>
      <c r="K4981" s="180"/>
      <c r="L4981" s="158">
        <f>L4980+31/60/24</f>
        <v>43379.118055555555</v>
      </c>
      <c r="M4981" t="s">
        <v>4945</v>
      </c>
      <c r="N4981" t="s">
        <v>5571</v>
      </c>
      <c r="O4981" t="s">
        <v>4944</v>
      </c>
      <c r="Q4981" t="str">
        <f t="shared" si="193"/>
        <v>condorProc.py --series 07181005_1951 --donoise --dumps a --procenv environments/pymidas_HVHV_NaI_mf.env</v>
      </c>
      <c r="R4981" t="str">
        <f t="shared" si="194"/>
        <v>ln -s ../../../../midasraw/byseries/07181005_1951 07181005_1951</v>
      </c>
    </row>
    <row r="4982" spans="1:18">
      <c r="A4982" t="s">
        <v>10576</v>
      </c>
      <c r="G4982" s="225"/>
      <c r="H4982" s="210"/>
      <c r="K4982" s="180"/>
      <c r="L4982" s="1">
        <f>L4979+(2+51/60)/24</f>
        <v>43379.12708333334</v>
      </c>
      <c r="M4982" t="s">
        <v>4945</v>
      </c>
      <c r="N4982" t="s">
        <v>5571</v>
      </c>
      <c r="O4982" t="s">
        <v>4944</v>
      </c>
      <c r="Q4982" t="str">
        <f t="shared" si="193"/>
        <v>condorProc.py --series 07181005_2001 --donoise --dumps a --procenv environments/pymidas_HVHV_NaI_mf.env</v>
      </c>
      <c r="R4982" t="str">
        <f t="shared" si="194"/>
        <v>ln -s ../../../../midasraw/byseries/07181005_2001 07181005_2001</v>
      </c>
    </row>
    <row r="4983" spans="1:18">
      <c r="A4983" t="s">
        <v>10577</v>
      </c>
      <c r="G4983" s="225"/>
      <c r="H4983" s="210"/>
      <c r="K4983" s="180"/>
      <c r="L4983" s="158">
        <f>L4982+(2+7/60)/24</f>
        <v>43379.215277777781</v>
      </c>
      <c r="M4983" t="s">
        <v>4945</v>
      </c>
      <c r="N4983" t="s">
        <v>5571</v>
      </c>
      <c r="O4983" t="s">
        <v>4944</v>
      </c>
      <c r="Q4983" t="str">
        <f t="shared" si="193"/>
        <v>condorProc.py --series 07181005_2011 --donoise --dumps a --procenv environments/pymidas_HVHV_NaI_mf.env</v>
      </c>
      <c r="R4983" t="str">
        <f t="shared" si="194"/>
        <v>ln -s ../../../../midasraw/byseries/07181005_2011 07181005_2011</v>
      </c>
    </row>
    <row r="4984" spans="1:18">
      <c r="A4984" t="s">
        <v>10578</v>
      </c>
      <c r="F4984" s="65"/>
      <c r="G4984" s="226"/>
      <c r="H4984" s="211"/>
      <c r="I4984" s="65" t="s">
        <v>75</v>
      </c>
      <c r="J4984" s="65"/>
      <c r="K4984" s="182"/>
      <c r="L4984" t="str">
        <f>"BatViewer --nohardcode "&amp;A4984&amp;"/"&amp;A4984&amp;"_F0010.mid.gz"</f>
        <v>BatViewer --nohardcode 07181005_2021/07181005_2021_F0010.mid.gz</v>
      </c>
      <c r="M4984" t="s">
        <v>4945</v>
      </c>
      <c r="N4984" t="s">
        <v>5571</v>
      </c>
      <c r="O4984" t="s">
        <v>4944</v>
      </c>
      <c r="Q4984" t="str">
        <f t="shared" si="193"/>
        <v>condorProc.py --series 07181005_2021 --donoise --dumps a --procenv environments/pymidas_HVHV_NaI_mf.env</v>
      </c>
      <c r="R4984" t="str">
        <f t="shared" si="194"/>
        <v>ln -s ../../../../midasraw/byseries/07181005_2021 07181005_2021</v>
      </c>
    </row>
    <row r="4985" spans="1:18">
      <c r="A4985" t="s">
        <v>10579</v>
      </c>
      <c r="F4985" s="177">
        <v>10</v>
      </c>
      <c r="G4985" s="224" t="s">
        <v>8641</v>
      </c>
      <c r="H4985" s="209">
        <v>-125</v>
      </c>
      <c r="I4985" s="177"/>
      <c r="J4985" s="177" t="s">
        <v>5577</v>
      </c>
      <c r="K4985" s="178" t="s">
        <v>5583</v>
      </c>
      <c r="L4985" s="1">
        <f>DATE(2000+MID(A4985,3,2),MID(A4985,5,2),MID(A4985,7,2))+TIME(MID(A4985,10,2),MID(A4985,12,2),0)</f>
        <v>43378.88958333333</v>
      </c>
      <c r="M4985" t="s">
        <v>4945</v>
      </c>
      <c r="N4985" t="s">
        <v>5571</v>
      </c>
      <c r="O4985" t="s">
        <v>4944</v>
      </c>
      <c r="Q4985" t="str">
        <f t="shared" si="193"/>
        <v>condorProc.py --series 07181005_2121 --donoise --dumps a --procenv environments/pymidas_HVHV_NaI_mf.env</v>
      </c>
      <c r="R4985" t="str">
        <f t="shared" si="194"/>
        <v>ln -s ../../../../midasraw/byseries/07181005_2121 07181005_2121</v>
      </c>
    </row>
    <row r="4986" spans="1:18">
      <c r="A4986" t="s">
        <v>10580</v>
      </c>
      <c r="G4986" s="225"/>
      <c r="H4986" s="210"/>
      <c r="J4986" t="s">
        <v>5585</v>
      </c>
      <c r="K4986" s="218" t="s">
        <v>5586</v>
      </c>
      <c r="L4986" s="158">
        <f>L4985+(2+7/60)/24</f>
        <v>43378.977777777771</v>
      </c>
      <c r="M4986" t="s">
        <v>4945</v>
      </c>
      <c r="N4986" t="s">
        <v>5571</v>
      </c>
      <c r="O4986" t="s">
        <v>4944</v>
      </c>
      <c r="Q4986" t="str">
        <f t="shared" si="193"/>
        <v>condorProc.py --series 07181005_2131 --donoise --dumps a --procenv environments/pymidas_HVHV_NaI_mf.env</v>
      </c>
      <c r="R4986" t="str">
        <f t="shared" si="194"/>
        <v>ln -s ../../../../midasraw/byseries/07181005_2131 07181005_2131</v>
      </c>
    </row>
    <row r="4987" spans="1:18">
      <c r="A4987" t="s">
        <v>10581</v>
      </c>
      <c r="G4987" s="225"/>
      <c r="H4987" s="210"/>
      <c r="K4987" s="219" t="s">
        <v>8388</v>
      </c>
      <c r="L4987" s="158">
        <f>L4986+31/60/24</f>
        <v>43378.999305555546</v>
      </c>
      <c r="M4987" t="s">
        <v>4945</v>
      </c>
      <c r="N4987" t="s">
        <v>5571</v>
      </c>
      <c r="O4987" t="s">
        <v>4944</v>
      </c>
      <c r="Q4987" t="str">
        <f t="shared" si="193"/>
        <v>condorProc.py --series 07181005_2142 --donoise --dumps a --procenv environments/pymidas_HVHV_NaI_mf.env</v>
      </c>
      <c r="R4987" t="str">
        <f t="shared" si="194"/>
        <v>ln -s ../../../../midasraw/byseries/07181005_2142 07181005_2142</v>
      </c>
    </row>
    <row r="4988" spans="1:18">
      <c r="A4988" t="s">
        <v>10582</v>
      </c>
      <c r="G4988" s="225"/>
      <c r="H4988" s="210"/>
      <c r="K4988" s="180"/>
      <c r="L4988" s="1">
        <f>L4985+(2+51/60)/24</f>
        <v>43379.008333333331</v>
      </c>
      <c r="M4988" t="s">
        <v>4945</v>
      </c>
      <c r="N4988" t="s">
        <v>5571</v>
      </c>
      <c r="O4988" t="s">
        <v>4944</v>
      </c>
      <c r="Q4988" t="str">
        <f t="shared" si="193"/>
        <v>condorProc.py --series 07181005_2152 --donoise --dumps a --procenv environments/pymidas_HVHV_NaI_mf.env</v>
      </c>
      <c r="R4988" t="str">
        <f t="shared" si="194"/>
        <v>ln -s ../../../../midasraw/byseries/07181005_2152 07181005_2152</v>
      </c>
    </row>
    <row r="4989" spans="1:18">
      <c r="A4989" t="s">
        <v>10583</v>
      </c>
      <c r="G4989" s="225"/>
      <c r="H4989" s="210"/>
      <c r="K4989" s="180"/>
      <c r="L4989" s="158"/>
      <c r="M4989" t="s">
        <v>4945</v>
      </c>
      <c r="N4989" t="s">
        <v>5571</v>
      </c>
      <c r="O4989" t="s">
        <v>4944</v>
      </c>
      <c r="Q4989" t="str">
        <f t="shared" si="193"/>
        <v>condorProc.py --series 07181005_2202 --donoise --dumps a --procenv environments/pymidas_HVHV_NaI_mf.env</v>
      </c>
      <c r="R4989" t="str">
        <f t="shared" si="194"/>
        <v>ln -s ../../../../midasraw/byseries/07181005_2202 07181005_2202</v>
      </c>
    </row>
    <row r="4990" spans="1:18">
      <c r="A4990" t="s">
        <v>10584</v>
      </c>
      <c r="G4990" s="225"/>
      <c r="H4990" s="210"/>
      <c r="K4990" s="180"/>
      <c r="L4990" s="158"/>
      <c r="M4990" t="s">
        <v>4945</v>
      </c>
      <c r="N4990" t="s">
        <v>5571</v>
      </c>
      <c r="O4990" t="s">
        <v>4944</v>
      </c>
      <c r="Q4990" t="str">
        <f t="shared" si="193"/>
        <v>condorProc.py --series 07181005_2212 --donoise --dumps a --procenv environments/pymidas_HVHV_NaI_mf.env</v>
      </c>
      <c r="R4990" t="str">
        <f t="shared" si="194"/>
        <v>ln -s ../../../../midasraw/byseries/07181005_2212 07181005_2212</v>
      </c>
    </row>
    <row r="4991" spans="1:18">
      <c r="A4991" t="s">
        <v>10585</v>
      </c>
      <c r="G4991" s="225"/>
      <c r="H4991" s="210"/>
      <c r="K4991" s="180"/>
      <c r="L4991" s="1"/>
      <c r="M4991" t="s">
        <v>4945</v>
      </c>
      <c r="N4991" t="s">
        <v>5571</v>
      </c>
      <c r="O4991" t="s">
        <v>4944</v>
      </c>
      <c r="Q4991" t="str">
        <f t="shared" si="193"/>
        <v>condorProc.py --series 07181005_2222 --donoise --dumps a --procenv environments/pymidas_HVHV_NaI_mf.env</v>
      </c>
      <c r="R4991" t="str">
        <f t="shared" si="194"/>
        <v>ln -s ../../../../midasraw/byseries/07181005_2222 07181005_2222</v>
      </c>
    </row>
    <row r="4992" spans="1:18">
      <c r="A4992" t="s">
        <v>10586</v>
      </c>
      <c r="G4992" s="225"/>
      <c r="H4992" s="210"/>
      <c r="K4992" s="180"/>
      <c r="L4992" s="158"/>
      <c r="M4992" t="s">
        <v>4945</v>
      </c>
      <c r="N4992" t="s">
        <v>5571</v>
      </c>
      <c r="O4992" t="s">
        <v>4944</v>
      </c>
      <c r="Q4992" t="str">
        <f t="shared" si="193"/>
        <v>condorProc.py --series 07181005_2232 --donoise --dumps a --procenv environments/pymidas_HVHV_NaI_mf.env</v>
      </c>
      <c r="R4992" t="str">
        <f t="shared" si="194"/>
        <v>ln -s ../../../../midasraw/byseries/07181005_2232 07181005_2232</v>
      </c>
    </row>
    <row r="4993" spans="1:18">
      <c r="A4993" t="s">
        <v>10587</v>
      </c>
      <c r="G4993" s="225"/>
      <c r="H4993" s="210"/>
      <c r="K4993" s="180"/>
      <c r="L4993" s="158"/>
      <c r="M4993" t="s">
        <v>4945</v>
      </c>
      <c r="N4993" t="s">
        <v>5571</v>
      </c>
      <c r="O4993" t="s">
        <v>4944</v>
      </c>
      <c r="Q4993" t="str">
        <f t="shared" si="193"/>
        <v>condorProc.py --series 07181005_2242 --donoise --dumps a --procenv environments/pymidas_HVHV_NaI_mf.env</v>
      </c>
      <c r="R4993" t="str">
        <f t="shared" si="194"/>
        <v>ln -s ../../../../midasraw/byseries/07181005_2242 07181005_2242</v>
      </c>
    </row>
    <row r="4994" spans="1:18">
      <c r="A4994" t="s">
        <v>10588</v>
      </c>
      <c r="G4994" s="225"/>
      <c r="H4994" s="210"/>
      <c r="K4994" s="180"/>
      <c r="L4994" s="1"/>
      <c r="M4994" t="s">
        <v>4945</v>
      </c>
      <c r="N4994" t="s">
        <v>5571</v>
      </c>
      <c r="O4994" t="s">
        <v>4944</v>
      </c>
      <c r="Q4994" t="str">
        <f t="shared" si="193"/>
        <v>condorProc.py --series 07181005_2252 --donoise --dumps a --procenv environments/pymidas_HVHV_NaI_mf.env</v>
      </c>
      <c r="R4994" t="str">
        <f t="shared" si="194"/>
        <v>ln -s ../../../../midasraw/byseries/07181005_2252 07181005_2252</v>
      </c>
    </row>
    <row r="4995" spans="1:18">
      <c r="A4995" t="s">
        <v>10589</v>
      </c>
      <c r="G4995" s="225"/>
      <c r="H4995" s="210"/>
      <c r="K4995" s="180"/>
      <c r="L4995" s="158"/>
      <c r="M4995" t="s">
        <v>4945</v>
      </c>
      <c r="N4995" t="s">
        <v>5571</v>
      </c>
      <c r="O4995" t="s">
        <v>4944</v>
      </c>
      <c r="Q4995" t="str">
        <f t="shared" si="193"/>
        <v>condorProc.py --series 07181005_2303 --donoise --dumps a --procenv environments/pymidas_HVHV_NaI_mf.env</v>
      </c>
      <c r="R4995" t="str">
        <f t="shared" si="194"/>
        <v>ln -s ../../../../midasraw/byseries/07181005_2303 07181005_2303</v>
      </c>
    </row>
    <row r="4996" spans="1:18">
      <c r="A4996" t="s">
        <v>10590</v>
      </c>
      <c r="F4996" s="65"/>
      <c r="G4996" s="226"/>
      <c r="H4996" s="211"/>
      <c r="I4996" s="65"/>
      <c r="J4996" s="65"/>
      <c r="K4996" s="182"/>
      <c r="L4996" s="158"/>
      <c r="M4996" t="s">
        <v>4945</v>
      </c>
      <c r="N4996" t="s">
        <v>5571</v>
      </c>
      <c r="O4996" t="s">
        <v>4944</v>
      </c>
      <c r="Q4996" t="str">
        <f t="shared" si="193"/>
        <v>condorProc.py --series 07181005_2313 --donoise --dumps a --procenv environments/pymidas_HVHV_NaI_mf.env</v>
      </c>
      <c r="R4996" t="str">
        <f t="shared" si="194"/>
        <v>ln -s ../../../../midasraw/byseries/07181005_2313 07181005_2313</v>
      </c>
    </row>
    <row r="4997" spans="1:18">
      <c r="A4997" t="s">
        <v>10591</v>
      </c>
      <c r="F4997" s="177">
        <v>10</v>
      </c>
      <c r="G4997" s="224" t="s">
        <v>8641</v>
      </c>
      <c r="H4997" s="209">
        <v>-125</v>
      </c>
      <c r="I4997" s="177"/>
      <c r="J4997" s="177" t="s">
        <v>5577</v>
      </c>
      <c r="K4997" s="178" t="s">
        <v>5583</v>
      </c>
      <c r="L4997" s="1">
        <f>DATE(2000+MID(A4997,3,2),MID(A4997,5,2),MID(A4997,7,2))+TIME(MID(A4997,10,2),MID(A4997,12,2),0)</f>
        <v>43379.009027777778</v>
      </c>
      <c r="M4997" t="s">
        <v>4945</v>
      </c>
      <c r="N4997" t="s">
        <v>5571</v>
      </c>
      <c r="O4997" t="s">
        <v>4944</v>
      </c>
      <c r="Q4997" t="str">
        <f t="shared" si="193"/>
        <v>condorProc.py --series 07181006_0013 --donoise --dumps a --procenv environments/pymidas_HVHV_NaI_mf.env</v>
      </c>
      <c r="R4997" t="str">
        <f t="shared" si="194"/>
        <v>ln -s ../../../../midasraw/byseries/07181006_0013 07181006_0013</v>
      </c>
    </row>
    <row r="4998" spans="1:18">
      <c r="A4998" t="s">
        <v>10592</v>
      </c>
      <c r="G4998" s="225"/>
      <c r="H4998" s="210"/>
      <c r="J4998" t="s">
        <v>5585</v>
      </c>
      <c r="K4998" s="218" t="s">
        <v>5586</v>
      </c>
      <c r="L4998" s="158">
        <f>L4997+(2+7/60)/24</f>
        <v>43379.097222222219</v>
      </c>
      <c r="M4998" t="s">
        <v>4945</v>
      </c>
      <c r="N4998" t="s">
        <v>5571</v>
      </c>
      <c r="O4998" t="s">
        <v>4944</v>
      </c>
      <c r="Q4998" t="str">
        <f t="shared" si="193"/>
        <v>condorProc.py --series 07181006_0023 --donoise --dumps a --procenv environments/pymidas_HVHV_NaI_mf.env</v>
      </c>
      <c r="R4998" t="str">
        <f t="shared" si="194"/>
        <v>ln -s ../../../../midasraw/byseries/07181006_0023 07181006_0023</v>
      </c>
    </row>
    <row r="4999" spans="1:18">
      <c r="A4999" t="s">
        <v>10593</v>
      </c>
      <c r="G4999" s="225"/>
      <c r="H4999" s="210"/>
      <c r="K4999" s="219" t="s">
        <v>8388</v>
      </c>
      <c r="L4999" s="158">
        <f>L4998+31/60/24</f>
        <v>43379.118749999994</v>
      </c>
      <c r="M4999" t="s">
        <v>4945</v>
      </c>
      <c r="N4999" t="s">
        <v>5571</v>
      </c>
      <c r="O4999" t="s">
        <v>4944</v>
      </c>
      <c r="Q4999" t="str">
        <f t="shared" si="193"/>
        <v>condorProc.py --series 07181006_0033 --donoise --dumps a --procenv environments/pymidas_HVHV_NaI_mf.env</v>
      </c>
      <c r="R4999" t="str">
        <f t="shared" si="194"/>
        <v>ln -s ../../../../midasraw/byseries/07181006_0033 07181006_0033</v>
      </c>
    </row>
    <row r="5000" spans="1:18">
      <c r="A5000" t="s">
        <v>10594</v>
      </c>
      <c r="G5000" s="225"/>
      <c r="H5000" s="210"/>
      <c r="K5000" s="180"/>
      <c r="L5000" s="1">
        <f>L4997+(2+51/60)/24</f>
        <v>43379.12777777778</v>
      </c>
      <c r="M5000" t="s">
        <v>4945</v>
      </c>
      <c r="N5000" t="s">
        <v>5571</v>
      </c>
      <c r="O5000" t="s">
        <v>4944</v>
      </c>
      <c r="Q5000" t="str">
        <f t="shared" si="193"/>
        <v>condorProc.py --series 07181006_0043 --donoise --dumps a --procenv environments/pymidas_HVHV_NaI_mf.env</v>
      </c>
      <c r="R5000" t="str">
        <f t="shared" si="194"/>
        <v>ln -s ../../../../midasraw/byseries/07181006_0043 07181006_0043</v>
      </c>
    </row>
    <row r="5001" spans="1:18">
      <c r="A5001" t="s">
        <v>10595</v>
      </c>
      <c r="G5001" s="225"/>
      <c r="H5001" s="210"/>
      <c r="K5001" s="180"/>
      <c r="M5001" t="s">
        <v>4945</v>
      </c>
      <c r="N5001" t="s">
        <v>5571</v>
      </c>
      <c r="O5001" t="s">
        <v>4944</v>
      </c>
      <c r="Q5001" t="str">
        <f t="shared" si="193"/>
        <v>condorProc.py --series 07181006_0053 --donoise --dumps a --procenv environments/pymidas_HVHV_NaI_mf.env</v>
      </c>
      <c r="R5001" t="str">
        <f t="shared" si="194"/>
        <v>ln -s ../../../../midasraw/byseries/07181006_0053 07181006_0053</v>
      </c>
    </row>
    <row r="5002" spans="1:18">
      <c r="A5002" t="s">
        <v>10596</v>
      </c>
      <c r="G5002" s="225"/>
      <c r="H5002" s="210"/>
      <c r="K5002" s="180"/>
      <c r="M5002" t="s">
        <v>4945</v>
      </c>
      <c r="N5002" t="s">
        <v>5571</v>
      </c>
      <c r="O5002" t="s">
        <v>4944</v>
      </c>
      <c r="Q5002" t="str">
        <f t="shared" si="193"/>
        <v>condorProc.py --series 07181006_0103 --donoise --dumps a --procenv environments/pymidas_HVHV_NaI_mf.env</v>
      </c>
      <c r="R5002" t="str">
        <f t="shared" si="194"/>
        <v>ln -s ../../../../midasraw/byseries/07181006_0103 07181006_0103</v>
      </c>
    </row>
    <row r="5003" spans="1:18">
      <c r="A5003" t="s">
        <v>10597</v>
      </c>
      <c r="G5003" s="225"/>
      <c r="H5003" s="210"/>
      <c r="K5003" s="180"/>
      <c r="M5003" t="s">
        <v>4945</v>
      </c>
      <c r="N5003" t="s">
        <v>5571</v>
      </c>
      <c r="O5003" t="s">
        <v>4944</v>
      </c>
      <c r="Q5003" t="str">
        <f t="shared" si="193"/>
        <v>condorProc.py --series 07181006_0113 --donoise --dumps a --procenv environments/pymidas_HVHV_NaI_mf.env</v>
      </c>
      <c r="R5003" t="str">
        <f t="shared" si="194"/>
        <v>ln -s ../../../../midasraw/byseries/07181006_0113 07181006_0113</v>
      </c>
    </row>
    <row r="5004" spans="1:18">
      <c r="A5004" t="s">
        <v>10598</v>
      </c>
      <c r="G5004" s="225"/>
      <c r="H5004" s="210"/>
      <c r="K5004" s="180"/>
      <c r="M5004" t="s">
        <v>4945</v>
      </c>
      <c r="N5004" t="s">
        <v>5571</v>
      </c>
      <c r="O5004" t="s">
        <v>4944</v>
      </c>
      <c r="Q5004" t="str">
        <f t="shared" si="193"/>
        <v>condorProc.py --series 07181006_0123 --donoise --dumps a --procenv environments/pymidas_HVHV_NaI_mf.env</v>
      </c>
      <c r="R5004" t="str">
        <f t="shared" si="194"/>
        <v>ln -s ../../../../midasraw/byseries/07181006_0123 07181006_0123</v>
      </c>
    </row>
    <row r="5005" spans="1:18">
      <c r="A5005" t="s">
        <v>10599</v>
      </c>
      <c r="G5005" s="225"/>
      <c r="H5005" s="210"/>
      <c r="K5005" s="180"/>
      <c r="M5005" t="s">
        <v>4945</v>
      </c>
      <c r="N5005" t="s">
        <v>5571</v>
      </c>
      <c r="O5005" t="s">
        <v>4944</v>
      </c>
      <c r="Q5005" t="str">
        <f t="shared" si="193"/>
        <v>condorProc.py --series 07181006_0134 --donoise --dumps a --procenv environments/pymidas_HVHV_NaI_mf.env</v>
      </c>
      <c r="R5005" t="str">
        <f t="shared" si="194"/>
        <v>ln -s ../../../../midasraw/byseries/07181006_0134 07181006_0134</v>
      </c>
    </row>
    <row r="5006" spans="1:18">
      <c r="A5006" t="s">
        <v>10600</v>
      </c>
      <c r="G5006" s="225"/>
      <c r="H5006" s="210"/>
      <c r="K5006" s="180"/>
      <c r="M5006" t="s">
        <v>4945</v>
      </c>
      <c r="N5006" t="s">
        <v>5571</v>
      </c>
      <c r="O5006" t="s">
        <v>4944</v>
      </c>
      <c r="Q5006" t="str">
        <f t="shared" si="193"/>
        <v>condorProc.py --series 07181006_0144 --donoise --dumps a --procenv environments/pymidas_HVHV_NaI_mf.env</v>
      </c>
      <c r="R5006" t="str">
        <f t="shared" si="194"/>
        <v>ln -s ../../../../midasraw/byseries/07181006_0144 07181006_0144</v>
      </c>
    </row>
    <row r="5007" spans="1:18">
      <c r="A5007" t="s">
        <v>10601</v>
      </c>
      <c r="G5007" s="225"/>
      <c r="H5007" s="210"/>
      <c r="K5007" s="180"/>
      <c r="M5007" t="s">
        <v>4945</v>
      </c>
      <c r="N5007" t="s">
        <v>5571</v>
      </c>
      <c r="O5007" t="s">
        <v>4944</v>
      </c>
      <c r="Q5007" t="str">
        <f t="shared" si="193"/>
        <v>condorProc.py --series 07181006_0154 --donoise --dumps a --procenv environments/pymidas_HVHV_NaI_mf.env</v>
      </c>
      <c r="R5007" t="str">
        <f t="shared" si="194"/>
        <v>ln -s ../../../../midasraw/byseries/07181006_0154 07181006_0154</v>
      </c>
    </row>
    <row r="5008" spans="1:18">
      <c r="A5008" t="s">
        <v>10602</v>
      </c>
      <c r="F5008" s="65"/>
      <c r="G5008" s="226"/>
      <c r="H5008" s="211"/>
      <c r="I5008" s="65"/>
      <c r="J5008" s="65"/>
      <c r="K5008" s="182"/>
      <c r="M5008" t="s">
        <v>4945</v>
      </c>
      <c r="N5008" t="s">
        <v>5571</v>
      </c>
      <c r="O5008" t="s">
        <v>4944</v>
      </c>
      <c r="Q5008" t="str">
        <f t="shared" si="193"/>
        <v>condorProc.py --series 07181006_0204 --donoise --dumps a --procenv environments/pymidas_HVHV_NaI_mf.env</v>
      </c>
      <c r="R5008" t="str">
        <f t="shared" si="194"/>
        <v>ln -s ../../../../midasraw/byseries/07181006_0204 07181006_0204</v>
      </c>
    </row>
    <row r="5009" spans="1:18">
      <c r="A5009" t="s">
        <v>10603</v>
      </c>
      <c r="F5009" s="177">
        <v>10</v>
      </c>
      <c r="G5009" s="224" t="s">
        <v>8641</v>
      </c>
      <c r="H5009" s="209">
        <v>-125</v>
      </c>
      <c r="I5009" s="177"/>
      <c r="J5009" s="177" t="s">
        <v>5577</v>
      </c>
      <c r="K5009" s="178" t="s">
        <v>5583</v>
      </c>
      <c r="L5009" s="1">
        <f>DATE(2000+MID(A5009,3,2),MID(A5009,5,2),MID(A5009,7,2))+TIME(MID(A5009,10,2),MID(A5009,12,2),0)</f>
        <v>43379.12777777778</v>
      </c>
      <c r="M5009" t="s">
        <v>4945</v>
      </c>
      <c r="N5009" t="s">
        <v>5571</v>
      </c>
      <c r="O5009" t="s">
        <v>4944</v>
      </c>
      <c r="Q5009" t="str">
        <f t="shared" si="193"/>
        <v>condorProc.py --series 07181006_0304 --donoise --dumps a --procenv environments/pymidas_HVHV_NaI_mf.env</v>
      </c>
      <c r="R5009" t="str">
        <f t="shared" si="194"/>
        <v>ln -s ../../../../midasraw/byseries/07181006_0304 07181006_0304</v>
      </c>
    </row>
    <row r="5010" spans="1:18">
      <c r="A5010" t="s">
        <v>10604</v>
      </c>
      <c r="G5010" s="225"/>
      <c r="H5010" s="210"/>
      <c r="J5010" t="s">
        <v>5585</v>
      </c>
      <c r="K5010" s="218" t="s">
        <v>5586</v>
      </c>
      <c r="L5010" s="158">
        <f>L5009+(2+7/60)/24</f>
        <v>43379.21597222222</v>
      </c>
      <c r="M5010" t="s">
        <v>4945</v>
      </c>
      <c r="N5010" t="s">
        <v>5571</v>
      </c>
      <c r="O5010" t="s">
        <v>4944</v>
      </c>
      <c r="Q5010" t="str">
        <f t="shared" si="193"/>
        <v>condorProc.py --series 07181006_0314 --donoise --dumps a --procenv environments/pymidas_HVHV_NaI_mf.env</v>
      </c>
      <c r="R5010" t="str">
        <f t="shared" si="194"/>
        <v>ln -s ../../../../midasraw/byseries/07181006_0314 07181006_0314</v>
      </c>
    </row>
    <row r="5011" spans="1:18">
      <c r="A5011" t="s">
        <v>10605</v>
      </c>
      <c r="G5011" s="225"/>
      <c r="H5011" s="210"/>
      <c r="K5011" s="219" t="s">
        <v>8388</v>
      </c>
      <c r="L5011" s="158">
        <f>L5010+31/60/24</f>
        <v>43379.237499999996</v>
      </c>
      <c r="M5011" t="s">
        <v>4945</v>
      </c>
      <c r="N5011" t="s">
        <v>5571</v>
      </c>
      <c r="O5011" t="s">
        <v>4944</v>
      </c>
      <c r="Q5011" t="str">
        <f t="shared" si="193"/>
        <v>condorProc.py --series 07181006_0324 --donoise --dumps a --procenv environments/pymidas_HVHV_NaI_mf.env</v>
      </c>
      <c r="R5011" t="str">
        <f t="shared" si="194"/>
        <v>ln -s ../../../../midasraw/byseries/07181006_0324 07181006_0324</v>
      </c>
    </row>
    <row r="5012" spans="1:18">
      <c r="A5012" t="s">
        <v>10606</v>
      </c>
      <c r="G5012" s="225"/>
      <c r="H5012" s="210"/>
      <c r="K5012" s="180"/>
      <c r="L5012" s="1">
        <f>L5009+(2+51/60)/24</f>
        <v>43379.246527777781</v>
      </c>
      <c r="M5012" t="s">
        <v>4945</v>
      </c>
      <c r="N5012" t="s">
        <v>5571</v>
      </c>
      <c r="O5012" t="s">
        <v>4944</v>
      </c>
      <c r="Q5012" t="str">
        <f t="shared" si="193"/>
        <v>condorProc.py --series 07181006_0334 --donoise --dumps a --procenv environments/pymidas_HVHV_NaI_mf.env</v>
      </c>
      <c r="R5012" t="str">
        <f t="shared" si="194"/>
        <v>ln -s ../../../../midasraw/byseries/07181006_0334 07181006_0334</v>
      </c>
    </row>
    <row r="5013" spans="1:18">
      <c r="A5013" t="s">
        <v>10607</v>
      </c>
      <c r="G5013" s="225"/>
      <c r="H5013" s="210"/>
      <c r="K5013" s="180"/>
      <c r="M5013" t="s">
        <v>4945</v>
      </c>
      <c r="N5013" t="s">
        <v>5571</v>
      </c>
      <c r="O5013" t="s">
        <v>4944</v>
      </c>
      <c r="Q5013" t="str">
        <f t="shared" si="193"/>
        <v>condorProc.py --series 07181006_0344 --donoise --dumps a --procenv environments/pymidas_HVHV_NaI_mf.env</v>
      </c>
      <c r="R5013" t="str">
        <f t="shared" si="194"/>
        <v>ln -s ../../../../midasraw/byseries/07181006_0344 07181006_0344</v>
      </c>
    </row>
    <row r="5014" spans="1:18">
      <c r="A5014" t="s">
        <v>10608</v>
      </c>
      <c r="G5014" s="225"/>
      <c r="H5014" s="210"/>
      <c r="K5014" s="180"/>
      <c r="M5014" t="s">
        <v>4945</v>
      </c>
      <c r="N5014" t="s">
        <v>5571</v>
      </c>
      <c r="O5014" t="s">
        <v>4944</v>
      </c>
      <c r="Q5014" t="str">
        <f t="shared" si="193"/>
        <v>condorProc.py --series 07181006_0354 --donoise --dumps a --procenv environments/pymidas_HVHV_NaI_mf.env</v>
      </c>
      <c r="R5014" t="str">
        <f t="shared" si="194"/>
        <v>ln -s ../../../../midasraw/byseries/07181006_0354 07181006_0354</v>
      </c>
    </row>
    <row r="5015" spans="1:18">
      <c r="A5015" t="s">
        <v>10609</v>
      </c>
      <c r="G5015" s="225"/>
      <c r="H5015" s="210"/>
      <c r="K5015" s="180"/>
      <c r="M5015" t="s">
        <v>4945</v>
      </c>
      <c r="N5015" t="s">
        <v>5571</v>
      </c>
      <c r="O5015" t="s">
        <v>4944</v>
      </c>
      <c r="Q5015" t="str">
        <f t="shared" si="193"/>
        <v>condorProc.py --series 07181006_0404 --donoise --dumps a --procenv environments/pymidas_HVHV_NaI_mf.env</v>
      </c>
      <c r="R5015" t="str">
        <f t="shared" si="194"/>
        <v>ln -s ../../../../midasraw/byseries/07181006_0404 07181006_0404</v>
      </c>
    </row>
    <row r="5016" spans="1:18">
      <c r="A5016" t="s">
        <v>10610</v>
      </c>
      <c r="G5016" s="225"/>
      <c r="H5016" s="210"/>
      <c r="K5016" s="180"/>
      <c r="M5016" t="s">
        <v>4945</v>
      </c>
      <c r="N5016" t="s">
        <v>5571</v>
      </c>
      <c r="O5016" t="s">
        <v>4944</v>
      </c>
      <c r="Q5016" t="str">
        <f t="shared" si="193"/>
        <v>condorProc.py --series 07181006_0415 --donoise --dumps a --procenv environments/pymidas_HVHV_NaI_mf.env</v>
      </c>
      <c r="R5016" t="str">
        <f t="shared" si="194"/>
        <v>ln -s ../../../../midasraw/byseries/07181006_0415 07181006_0415</v>
      </c>
    </row>
    <row r="5017" spans="1:18">
      <c r="A5017" t="s">
        <v>10611</v>
      </c>
      <c r="G5017" s="225"/>
      <c r="H5017" s="210"/>
      <c r="K5017" s="180"/>
      <c r="M5017" t="s">
        <v>4945</v>
      </c>
      <c r="N5017" t="s">
        <v>5571</v>
      </c>
      <c r="O5017" t="s">
        <v>4944</v>
      </c>
      <c r="Q5017" t="str">
        <f t="shared" si="193"/>
        <v>condorProc.py --series 07181006_0425 --donoise --dumps a --procenv environments/pymidas_HVHV_NaI_mf.env</v>
      </c>
      <c r="R5017" t="str">
        <f t="shared" si="194"/>
        <v>ln -s ../../../../midasraw/byseries/07181006_0425 07181006_0425</v>
      </c>
    </row>
    <row r="5018" spans="1:18">
      <c r="A5018" t="s">
        <v>10612</v>
      </c>
      <c r="G5018" s="225"/>
      <c r="H5018" s="210"/>
      <c r="K5018" s="180"/>
      <c r="M5018" t="s">
        <v>4945</v>
      </c>
      <c r="N5018" t="s">
        <v>5571</v>
      </c>
      <c r="O5018" t="s">
        <v>4944</v>
      </c>
      <c r="Q5018" t="str">
        <f t="shared" si="193"/>
        <v>condorProc.py --series 07181006_0435 --donoise --dumps a --procenv environments/pymidas_HVHV_NaI_mf.env</v>
      </c>
      <c r="R5018" t="str">
        <f t="shared" si="194"/>
        <v>ln -s ../../../../midasraw/byseries/07181006_0435 07181006_0435</v>
      </c>
    </row>
    <row r="5019" spans="1:18">
      <c r="A5019" t="s">
        <v>10613</v>
      </c>
      <c r="G5019" s="225"/>
      <c r="H5019" s="210"/>
      <c r="K5019" s="180"/>
      <c r="M5019" t="s">
        <v>4945</v>
      </c>
      <c r="N5019" t="s">
        <v>5571</v>
      </c>
      <c r="O5019" t="s">
        <v>4944</v>
      </c>
      <c r="Q5019" t="str">
        <f t="shared" si="193"/>
        <v>condorProc.py --series 07181006_0445 --donoise --dumps a --procenv environments/pymidas_HVHV_NaI_mf.env</v>
      </c>
      <c r="R5019" t="str">
        <f t="shared" si="194"/>
        <v>ln -s ../../../../midasraw/byseries/07181006_0445 07181006_0445</v>
      </c>
    </row>
    <row r="5020" spans="1:18">
      <c r="A5020" t="s">
        <v>10614</v>
      </c>
      <c r="F5020" s="65"/>
      <c r="G5020" s="226"/>
      <c r="H5020" s="211"/>
      <c r="I5020" s="65"/>
      <c r="J5020" s="65"/>
      <c r="K5020" s="182"/>
      <c r="M5020" t="s">
        <v>4945</v>
      </c>
      <c r="N5020" t="s">
        <v>5571</v>
      </c>
      <c r="O5020" t="s">
        <v>4944</v>
      </c>
      <c r="Q5020" t="str">
        <f t="shared" si="193"/>
        <v>condorProc.py --series 07181006_0455 --donoise --dumps a --procenv environments/pymidas_HVHV_NaI_mf.env</v>
      </c>
      <c r="R5020" t="str">
        <f t="shared" si="194"/>
        <v>ln -s ../../../../midasraw/byseries/07181006_0455 07181006_0455</v>
      </c>
    </row>
    <row r="5021" spans="1:18">
      <c r="A5021" t="s">
        <v>10615</v>
      </c>
      <c r="F5021" s="177">
        <v>10</v>
      </c>
      <c r="G5021" s="224" t="s">
        <v>8641</v>
      </c>
      <c r="H5021" s="209">
        <v>-125</v>
      </c>
      <c r="I5021" s="177"/>
      <c r="J5021" s="177" t="s">
        <v>5577</v>
      </c>
      <c r="K5021" s="178" t="s">
        <v>5583</v>
      </c>
      <c r="L5021" s="1">
        <f>DATE(2000+MID(A5021,3,2),MID(A5021,5,2),MID(A5021,7,2))+TIME(MID(A5021,10,2),MID(A5021,12,2),0)</f>
        <v>43379.246527777781</v>
      </c>
      <c r="M5021" t="s">
        <v>4945</v>
      </c>
      <c r="N5021" t="s">
        <v>5571</v>
      </c>
      <c r="O5021" t="s">
        <v>4944</v>
      </c>
      <c r="Q5021" t="str">
        <f t="shared" si="193"/>
        <v>condorProc.py --series 07181006_0555 --donoise --dumps a --procenv environments/pymidas_HVHV_NaI_mf.env</v>
      </c>
      <c r="R5021" t="str">
        <f t="shared" si="194"/>
        <v>ln -s ../../../../midasraw/byseries/07181006_0555 07181006_0555</v>
      </c>
    </row>
    <row r="5022" spans="1:18">
      <c r="A5022" t="s">
        <v>10616</v>
      </c>
      <c r="G5022" s="225"/>
      <c r="H5022" s="210"/>
      <c r="J5022" t="s">
        <v>5585</v>
      </c>
      <c r="K5022" s="218" t="s">
        <v>5586</v>
      </c>
      <c r="L5022" s="158">
        <f>L5021+(2+7/60)/24</f>
        <v>43379.334722222222</v>
      </c>
      <c r="M5022" t="s">
        <v>4945</v>
      </c>
      <c r="N5022" t="s">
        <v>5571</v>
      </c>
      <c r="O5022" t="s">
        <v>4944</v>
      </c>
      <c r="Q5022" t="str">
        <f t="shared" si="193"/>
        <v>condorProc.py --series 07181006_0605 --donoise --dumps a --procenv environments/pymidas_HVHV_NaI_mf.env</v>
      </c>
      <c r="R5022" t="str">
        <f t="shared" si="194"/>
        <v>ln -s ../../../../midasraw/byseries/07181006_0605 07181006_0605</v>
      </c>
    </row>
    <row r="5023" spans="1:18">
      <c r="A5023" t="s">
        <v>10617</v>
      </c>
      <c r="G5023" s="225"/>
      <c r="H5023" s="210"/>
      <c r="K5023" s="219" t="s">
        <v>8388</v>
      </c>
      <c r="L5023" s="158">
        <f>L5022+31/60/24</f>
        <v>43379.356249999997</v>
      </c>
      <c r="M5023" t="s">
        <v>4945</v>
      </c>
      <c r="N5023" t="s">
        <v>5571</v>
      </c>
      <c r="O5023" t="s">
        <v>4944</v>
      </c>
      <c r="Q5023" t="str">
        <f t="shared" si="193"/>
        <v>condorProc.py --series 07181006_0615 --donoise --dumps a --procenv environments/pymidas_HVHV_NaI_mf.env</v>
      </c>
      <c r="R5023" t="str">
        <f t="shared" si="194"/>
        <v>ln -s ../../../../midasraw/byseries/07181006_0615 07181006_0615</v>
      </c>
    </row>
    <row r="5024" spans="1:18">
      <c r="A5024" t="s">
        <v>10618</v>
      </c>
      <c r="G5024" s="225"/>
      <c r="H5024" s="210"/>
      <c r="K5024" s="180"/>
      <c r="L5024" s="1">
        <f>L5021+(2+51/60)/24</f>
        <v>43379.365277777782</v>
      </c>
      <c r="M5024" t="s">
        <v>4945</v>
      </c>
      <c r="N5024" t="s">
        <v>5571</v>
      </c>
      <c r="O5024" t="s">
        <v>4944</v>
      </c>
      <c r="Q5024" t="str">
        <f t="shared" si="193"/>
        <v>condorProc.py --series 07181006_0625 --donoise --dumps a --procenv environments/pymidas_HVHV_NaI_mf.env</v>
      </c>
      <c r="R5024" t="str">
        <f t="shared" si="194"/>
        <v>ln -s ../../../../midasraw/byseries/07181006_0625 07181006_0625</v>
      </c>
    </row>
    <row r="5025" spans="1:18">
      <c r="A5025" t="s">
        <v>10619</v>
      </c>
      <c r="G5025" s="225"/>
      <c r="H5025" s="210"/>
      <c r="K5025" s="180"/>
      <c r="M5025" t="s">
        <v>4945</v>
      </c>
      <c r="N5025" t="s">
        <v>5571</v>
      </c>
      <c r="O5025" t="s">
        <v>4944</v>
      </c>
      <c r="Q5025" t="str">
        <f t="shared" si="193"/>
        <v>condorProc.py --series 07181006_0635 --donoise --dumps a --procenv environments/pymidas_HVHV_NaI_mf.env</v>
      </c>
      <c r="R5025" t="str">
        <f t="shared" si="194"/>
        <v>ln -s ../../../../midasraw/byseries/07181006_0635 07181006_0635</v>
      </c>
    </row>
    <row r="5026" spans="1:18">
      <c r="A5026" t="s">
        <v>10620</v>
      </c>
      <c r="G5026" s="225"/>
      <c r="H5026" s="210"/>
      <c r="K5026" s="180"/>
      <c r="M5026" t="s">
        <v>4945</v>
      </c>
      <c r="N5026" t="s">
        <v>5571</v>
      </c>
      <c r="O5026" t="s">
        <v>4944</v>
      </c>
      <c r="Q5026" t="str">
        <f t="shared" si="193"/>
        <v>condorProc.py --series 07181006_0645 --donoise --dumps a --procenv environments/pymidas_HVHV_NaI_mf.env</v>
      </c>
      <c r="R5026" t="str">
        <f t="shared" si="194"/>
        <v>ln -s ../../../../midasraw/byseries/07181006_0645 07181006_0645</v>
      </c>
    </row>
    <row r="5027" spans="1:18">
      <c r="A5027" t="s">
        <v>10621</v>
      </c>
      <c r="G5027" s="225"/>
      <c r="H5027" s="210"/>
      <c r="K5027" s="180"/>
      <c r="M5027" t="s">
        <v>4945</v>
      </c>
      <c r="N5027" t="s">
        <v>5571</v>
      </c>
      <c r="O5027" t="s">
        <v>4944</v>
      </c>
      <c r="Q5027" t="str">
        <f t="shared" si="193"/>
        <v>condorProc.py --series 07181006_0655 --donoise --dumps a --procenv environments/pymidas_HVHV_NaI_mf.env</v>
      </c>
      <c r="R5027" t="str">
        <f t="shared" si="194"/>
        <v>ln -s ../../../../midasraw/byseries/07181006_0655 07181006_0655</v>
      </c>
    </row>
    <row r="5028" spans="1:18">
      <c r="A5028" t="s">
        <v>10622</v>
      </c>
      <c r="G5028" s="225"/>
      <c r="H5028" s="210"/>
      <c r="K5028" s="180"/>
      <c r="M5028" t="s">
        <v>4945</v>
      </c>
      <c r="N5028" t="s">
        <v>5571</v>
      </c>
      <c r="O5028" t="s">
        <v>4944</v>
      </c>
      <c r="Q5028" t="str">
        <f t="shared" si="193"/>
        <v>condorProc.py --series 07181006_0705 --donoise --dumps a --procenv environments/pymidas_HVHV_NaI_mf.env</v>
      </c>
      <c r="R5028" t="str">
        <f t="shared" si="194"/>
        <v>ln -s ../../../../midasraw/byseries/07181006_0705 07181006_0705</v>
      </c>
    </row>
    <row r="5029" spans="1:18">
      <c r="A5029" t="s">
        <v>10623</v>
      </c>
      <c r="G5029" s="225"/>
      <c r="H5029" s="210"/>
      <c r="K5029" s="180"/>
      <c r="M5029" t="s">
        <v>4945</v>
      </c>
      <c r="N5029" t="s">
        <v>5571</v>
      </c>
      <c r="O5029" t="s">
        <v>4944</v>
      </c>
      <c r="Q5029" t="str">
        <f t="shared" si="193"/>
        <v>condorProc.py --series 07181006_0716 --donoise --dumps a --procenv environments/pymidas_HVHV_NaI_mf.env</v>
      </c>
      <c r="R5029" t="str">
        <f t="shared" si="194"/>
        <v>ln -s ../../../../midasraw/byseries/07181006_0716 07181006_0716</v>
      </c>
    </row>
    <row r="5030" spans="1:18">
      <c r="A5030" t="s">
        <v>10624</v>
      </c>
      <c r="G5030" s="225"/>
      <c r="H5030" s="210"/>
      <c r="K5030" s="180"/>
      <c r="M5030" t="s">
        <v>4945</v>
      </c>
      <c r="N5030" t="s">
        <v>5571</v>
      </c>
      <c r="O5030" t="s">
        <v>4944</v>
      </c>
      <c r="Q5030" t="str">
        <f t="shared" si="193"/>
        <v>condorProc.py --series 07181006_0726 --donoise --dumps a --procenv environments/pymidas_HVHV_NaI_mf.env</v>
      </c>
      <c r="R5030" t="str">
        <f t="shared" si="194"/>
        <v>ln -s ../../../../midasraw/byseries/07181006_0726 07181006_0726</v>
      </c>
    </row>
    <row r="5031" spans="1:18">
      <c r="A5031" t="s">
        <v>10625</v>
      </c>
      <c r="G5031" s="225"/>
      <c r="H5031" s="210"/>
      <c r="K5031" s="180"/>
      <c r="M5031" t="s">
        <v>4945</v>
      </c>
      <c r="N5031" t="s">
        <v>5571</v>
      </c>
      <c r="O5031" t="s">
        <v>4944</v>
      </c>
      <c r="Q5031" t="str">
        <f t="shared" ref="Q5031:Q5056" si="195">"condorProc.py --series "&amp;A5031&amp;" --donoise --dumps a --procenv environments/pymidas_HVHV_NaI_mf.env"</f>
        <v>condorProc.py --series 07181006_0736 --donoise --dumps a --procenv environments/pymidas_HVHV_NaI_mf.env</v>
      </c>
      <c r="R5031" t="str">
        <f t="shared" ref="R5031:R5056" si="196">"ln -s ../../../../midasraw/byseries/"&amp;A5031&amp;" "&amp;A5031</f>
        <v>ln -s ../../../../midasraw/byseries/07181006_0736 07181006_0736</v>
      </c>
    </row>
    <row r="5032" spans="1:18">
      <c r="A5032" t="s">
        <v>10626</v>
      </c>
      <c r="F5032" s="65"/>
      <c r="G5032" s="226"/>
      <c r="H5032" s="211"/>
      <c r="I5032" s="65"/>
      <c r="J5032" s="65"/>
      <c r="K5032" s="182"/>
      <c r="L5032" t="str">
        <f>"BatViewer --nohardcode "&amp;A5032&amp;"/"&amp;A5032&amp;"_F0010.mid.gz"</f>
        <v>BatViewer --nohardcode 07181006_0746/07181006_0746_F0010.mid.gz</v>
      </c>
      <c r="M5032" t="s">
        <v>4945</v>
      </c>
      <c r="N5032" t="s">
        <v>5571</v>
      </c>
      <c r="O5032" t="s">
        <v>4944</v>
      </c>
      <c r="Q5032" t="str">
        <f t="shared" si="195"/>
        <v>condorProc.py --series 07181006_0746 --donoise --dumps a --procenv environments/pymidas_HVHV_NaI_mf.env</v>
      </c>
      <c r="R5032" t="str">
        <f t="shared" si="196"/>
        <v>ln -s ../../../../midasraw/byseries/07181006_0746 07181006_0746</v>
      </c>
    </row>
    <row r="5033" spans="1:18">
      <c r="A5033" t="s">
        <v>10627</v>
      </c>
      <c r="F5033" s="177">
        <v>10</v>
      </c>
      <c r="G5033" s="224" t="s">
        <v>8641</v>
      </c>
      <c r="H5033" s="209">
        <v>-125</v>
      </c>
      <c r="I5033" s="177"/>
      <c r="J5033" s="177" t="s">
        <v>5577</v>
      </c>
      <c r="K5033" s="178" t="s">
        <v>5583</v>
      </c>
      <c r="L5033" s="1">
        <f>DATE(2000+MID(A5033,3,2),MID(A5033,5,2),MID(A5033,7,2))+TIME(MID(A5033,10,2),MID(A5033,12,2),0)</f>
        <v>43379.365277777775</v>
      </c>
      <c r="M5033" t="s">
        <v>4945</v>
      </c>
      <c r="N5033" t="s">
        <v>5571</v>
      </c>
      <c r="O5033" t="s">
        <v>4944</v>
      </c>
      <c r="Q5033" t="str">
        <f t="shared" si="195"/>
        <v>condorProc.py --series 07181006_0846 --donoise --dumps a --procenv environments/pymidas_HVHV_NaI_mf.env</v>
      </c>
      <c r="R5033" t="str">
        <f t="shared" si="196"/>
        <v>ln -s ../../../../midasraw/byseries/07181006_0846 07181006_0846</v>
      </c>
    </row>
    <row r="5034" spans="1:18">
      <c r="A5034" t="s">
        <v>10628</v>
      </c>
      <c r="G5034" s="225"/>
      <c r="H5034" s="210"/>
      <c r="J5034" t="s">
        <v>5585</v>
      </c>
      <c r="K5034" s="218" t="s">
        <v>5586</v>
      </c>
      <c r="L5034" s="158">
        <f>L5033+(2+7/60)/24</f>
        <v>43379.453472222216</v>
      </c>
      <c r="M5034" t="s">
        <v>4945</v>
      </c>
      <c r="N5034" t="s">
        <v>5571</v>
      </c>
      <c r="O5034" t="s">
        <v>4944</v>
      </c>
      <c r="Q5034" t="str">
        <f t="shared" si="195"/>
        <v>condorProc.py --series 07181006_0856 --donoise --dumps a --procenv environments/pymidas_HVHV_NaI_mf.env</v>
      </c>
      <c r="R5034" t="str">
        <f t="shared" si="196"/>
        <v>ln -s ../../../../midasraw/byseries/07181006_0856 07181006_0856</v>
      </c>
    </row>
    <row r="5035" spans="1:18">
      <c r="A5035" t="s">
        <v>10629</v>
      </c>
      <c r="G5035" s="225"/>
      <c r="H5035" s="210"/>
      <c r="I5035" t="s">
        <v>75</v>
      </c>
      <c r="K5035" s="219" t="s">
        <v>8388</v>
      </c>
      <c r="L5035" s="158">
        <f>L5034+31/60/24</f>
        <v>43379.474999999991</v>
      </c>
      <c r="M5035" t="s">
        <v>4945</v>
      </c>
      <c r="N5035" t="s">
        <v>5571</v>
      </c>
      <c r="O5035" t="s">
        <v>4944</v>
      </c>
      <c r="Q5035" t="str">
        <f t="shared" si="195"/>
        <v>condorProc.py --series 07181006_0906 --donoise --dumps a --procenv environments/pymidas_HVHV_NaI_mf.env</v>
      </c>
      <c r="R5035" t="str">
        <f t="shared" si="196"/>
        <v>ln -s ../../../../midasraw/byseries/07181006_0906 07181006_0906</v>
      </c>
    </row>
    <row r="5036" spans="1:18">
      <c r="A5036" t="s">
        <v>10630</v>
      </c>
      <c r="G5036" s="225"/>
      <c r="H5036" s="210"/>
      <c r="K5036" s="180"/>
      <c r="L5036" s="1">
        <f>L5033+(2+51/60)/24</f>
        <v>43379.484027777777</v>
      </c>
      <c r="M5036" t="s">
        <v>4945</v>
      </c>
      <c r="N5036" t="s">
        <v>5571</v>
      </c>
      <c r="O5036" t="s">
        <v>4944</v>
      </c>
      <c r="Q5036" t="str">
        <f t="shared" si="195"/>
        <v>condorProc.py --series 07181006_0916 --donoise --dumps a --procenv environments/pymidas_HVHV_NaI_mf.env</v>
      </c>
      <c r="R5036" t="str">
        <f t="shared" si="196"/>
        <v>ln -s ../../../../midasraw/byseries/07181006_0916 07181006_0916</v>
      </c>
    </row>
    <row r="5037" spans="1:18">
      <c r="A5037" t="s">
        <v>10631</v>
      </c>
      <c r="G5037" s="225"/>
      <c r="H5037" s="210"/>
      <c r="K5037" s="180"/>
      <c r="L5037" s="158">
        <f>L5036+(2+7/60)/24</f>
        <v>43379.572222222218</v>
      </c>
      <c r="M5037" t="s">
        <v>4945</v>
      </c>
      <c r="N5037" t="s">
        <v>5571</v>
      </c>
      <c r="O5037" t="s">
        <v>4944</v>
      </c>
      <c r="Q5037" t="str">
        <f t="shared" si="195"/>
        <v>condorProc.py --series 07181006_0926 --donoise --dumps a --procenv environments/pymidas_HVHV_NaI_mf.env</v>
      </c>
      <c r="R5037" t="str">
        <f t="shared" si="196"/>
        <v>ln -s ../../../../midasraw/byseries/07181006_0926 07181006_0926</v>
      </c>
    </row>
    <row r="5038" spans="1:18">
      <c r="A5038" t="s">
        <v>10632</v>
      </c>
      <c r="G5038" s="225"/>
      <c r="H5038" s="210"/>
      <c r="K5038" s="180"/>
      <c r="L5038" s="158">
        <f>L5037+31/60/24</f>
        <v>43379.593749999993</v>
      </c>
      <c r="M5038" t="s">
        <v>4945</v>
      </c>
      <c r="N5038" t="s">
        <v>5571</v>
      </c>
      <c r="O5038" t="s">
        <v>4944</v>
      </c>
      <c r="Q5038" t="str">
        <f t="shared" si="195"/>
        <v>condorProc.py --series 07181006_0936 --donoise --dumps a --procenv environments/pymidas_HVHV_NaI_mf.env</v>
      </c>
      <c r="R5038" t="str">
        <f t="shared" si="196"/>
        <v>ln -s ../../../../midasraw/byseries/07181006_0936 07181006_0936</v>
      </c>
    </row>
    <row r="5039" spans="1:18">
      <c r="A5039" t="s">
        <v>10633</v>
      </c>
      <c r="G5039" s="225"/>
      <c r="H5039" s="210"/>
      <c r="K5039" s="180"/>
      <c r="L5039" s="1">
        <f>L5036+(2+51/60)/24</f>
        <v>43379.602777777778</v>
      </c>
      <c r="M5039" t="s">
        <v>4945</v>
      </c>
      <c r="N5039" t="s">
        <v>5571</v>
      </c>
      <c r="O5039" t="s">
        <v>4944</v>
      </c>
      <c r="Q5039" t="str">
        <f t="shared" si="195"/>
        <v>condorProc.py --series 07181006_0946 --donoise --dumps a --procenv environments/pymidas_HVHV_NaI_mf.env</v>
      </c>
      <c r="R5039" t="str">
        <f t="shared" si="196"/>
        <v>ln -s ../../../../midasraw/byseries/07181006_0946 07181006_0946</v>
      </c>
    </row>
    <row r="5040" spans="1:18">
      <c r="A5040" t="s">
        <v>10634</v>
      </c>
      <c r="G5040" s="225"/>
      <c r="H5040" s="210"/>
      <c r="K5040" s="180"/>
      <c r="L5040" s="158">
        <f>L5039+(2+7/60)/24</f>
        <v>43379.690972222219</v>
      </c>
      <c r="M5040" t="s">
        <v>4945</v>
      </c>
      <c r="N5040" t="s">
        <v>5571</v>
      </c>
      <c r="O5040" t="s">
        <v>4944</v>
      </c>
      <c r="Q5040" t="str">
        <f t="shared" si="195"/>
        <v>condorProc.py --series 07181006_0956 --donoise --dumps a --procenv environments/pymidas_HVHV_NaI_mf.env</v>
      </c>
      <c r="R5040" t="str">
        <f t="shared" si="196"/>
        <v>ln -s ../../../../midasraw/byseries/07181006_0956 07181006_0956</v>
      </c>
    </row>
    <row r="5041" spans="1:18">
      <c r="A5041" t="s">
        <v>10635</v>
      </c>
      <c r="G5041" s="225"/>
      <c r="H5041" s="210"/>
      <c r="K5041" s="180"/>
      <c r="L5041" s="158">
        <f>L5040+31/60/24</f>
        <v>43379.712499999994</v>
      </c>
      <c r="M5041" t="s">
        <v>4945</v>
      </c>
      <c r="N5041" t="s">
        <v>5571</v>
      </c>
      <c r="O5041" t="s">
        <v>4944</v>
      </c>
      <c r="Q5041" t="str">
        <f t="shared" si="195"/>
        <v>condorProc.py --series 07181006_1007 --donoise --dumps a --procenv environments/pymidas_HVHV_NaI_mf.env</v>
      </c>
      <c r="R5041" t="str">
        <f t="shared" si="196"/>
        <v>ln -s ../../../../midasraw/byseries/07181006_1007 07181006_1007</v>
      </c>
    </row>
    <row r="5042" spans="1:18">
      <c r="A5042" t="s">
        <v>10636</v>
      </c>
      <c r="G5042" s="225"/>
      <c r="H5042" s="210"/>
      <c r="K5042" s="180"/>
      <c r="L5042" s="1">
        <f>L5039+(2+51/60)/24</f>
        <v>43379.72152777778</v>
      </c>
      <c r="M5042" t="s">
        <v>4945</v>
      </c>
      <c r="N5042" t="s">
        <v>5571</v>
      </c>
      <c r="O5042" t="s">
        <v>4944</v>
      </c>
      <c r="Q5042" t="str">
        <f t="shared" si="195"/>
        <v>condorProc.py --series 07181006_1017 --donoise --dumps a --procenv environments/pymidas_HVHV_NaI_mf.env</v>
      </c>
      <c r="R5042" t="str">
        <f t="shared" si="196"/>
        <v>ln -s ../../../../midasraw/byseries/07181006_1017 07181006_1017</v>
      </c>
    </row>
    <row r="5043" spans="1:18">
      <c r="A5043" t="s">
        <v>10637</v>
      </c>
      <c r="G5043" s="225"/>
      <c r="H5043" s="210"/>
      <c r="K5043" s="180"/>
      <c r="M5043" t="s">
        <v>4945</v>
      </c>
      <c r="N5043" t="s">
        <v>5571</v>
      </c>
      <c r="O5043" t="s">
        <v>4944</v>
      </c>
      <c r="Q5043" t="str">
        <f t="shared" si="195"/>
        <v>condorProc.py --series 07181006_1027 --donoise --dumps a --procenv environments/pymidas_HVHV_NaI_mf.env</v>
      </c>
      <c r="R5043" t="str">
        <f t="shared" si="196"/>
        <v>ln -s ../../../../midasraw/byseries/07181006_1027 07181006_1027</v>
      </c>
    </row>
    <row r="5044" spans="1:18">
      <c r="A5044" t="s">
        <v>10638</v>
      </c>
      <c r="F5044" s="65"/>
      <c r="G5044" s="226"/>
      <c r="H5044" s="211"/>
      <c r="I5044" s="65"/>
      <c r="J5044" s="65"/>
      <c r="K5044" s="182"/>
      <c r="M5044" t="s">
        <v>4945</v>
      </c>
      <c r="N5044" t="s">
        <v>5571</v>
      </c>
      <c r="O5044" t="s">
        <v>4944</v>
      </c>
      <c r="Q5044" t="str">
        <f t="shared" si="195"/>
        <v>condorProc.py --series 07181006_1037 --donoise --dumps a --procenv environments/pymidas_HVHV_NaI_mf.env</v>
      </c>
      <c r="R5044" t="str">
        <f t="shared" si="196"/>
        <v>ln -s ../../../../midasraw/byseries/07181006_1037 07181006_1037</v>
      </c>
    </row>
    <row r="5045" spans="1:18">
      <c r="A5045" t="s">
        <v>10639</v>
      </c>
      <c r="F5045" s="177">
        <v>10</v>
      </c>
      <c r="G5045" s="224" t="s">
        <v>8641</v>
      </c>
      <c r="H5045" s="209">
        <v>-125</v>
      </c>
      <c r="I5045" s="177"/>
      <c r="J5045" s="177" t="s">
        <v>5577</v>
      </c>
      <c r="K5045" s="178" t="s">
        <v>5583</v>
      </c>
      <c r="M5045" t="s">
        <v>4945</v>
      </c>
      <c r="N5045" t="s">
        <v>5571</v>
      </c>
      <c r="O5045" t="s">
        <v>4944</v>
      </c>
      <c r="Q5045" t="str">
        <f t="shared" si="195"/>
        <v>condorProc.py --series 07181006_1137 --donoise --dumps a --procenv environments/pymidas_HVHV_NaI_mf.env</v>
      </c>
      <c r="R5045" t="str">
        <f t="shared" si="196"/>
        <v>ln -s ../../../../midasraw/byseries/07181006_1137 07181006_1137</v>
      </c>
    </row>
    <row r="5046" spans="1:18">
      <c r="A5046" t="s">
        <v>10640</v>
      </c>
      <c r="G5046" s="225"/>
      <c r="H5046" s="210"/>
      <c r="J5046" t="s">
        <v>5585</v>
      </c>
      <c r="K5046" s="218" t="s">
        <v>5586</v>
      </c>
      <c r="M5046" t="s">
        <v>4945</v>
      </c>
      <c r="N5046" t="s">
        <v>5571</v>
      </c>
      <c r="O5046" t="s">
        <v>4944</v>
      </c>
      <c r="Q5046" t="str">
        <f t="shared" si="195"/>
        <v>condorProc.py --series 07181006_1147 --donoise --dumps a --procenv environments/pymidas_HVHV_NaI_mf.env</v>
      </c>
      <c r="R5046" t="str">
        <f t="shared" si="196"/>
        <v>ln -s ../../../../midasraw/byseries/07181006_1147 07181006_1147</v>
      </c>
    </row>
    <row r="5047" spans="1:18">
      <c r="A5047" t="s">
        <v>10641</v>
      </c>
      <c r="G5047" s="225"/>
      <c r="H5047" s="210"/>
      <c r="K5047" s="219" t="s">
        <v>8388</v>
      </c>
      <c r="M5047" t="s">
        <v>4945</v>
      </c>
      <c r="N5047" t="s">
        <v>5571</v>
      </c>
      <c r="O5047" t="s">
        <v>4944</v>
      </c>
      <c r="Q5047" t="str">
        <f t="shared" si="195"/>
        <v>condorProc.py --series 07181006_1157 --donoise --dumps a --procenv environments/pymidas_HVHV_NaI_mf.env</v>
      </c>
      <c r="R5047" t="str">
        <f t="shared" si="196"/>
        <v>ln -s ../../../../midasraw/byseries/07181006_1157 07181006_1157</v>
      </c>
    </row>
    <row r="5048" spans="1:18">
      <c r="A5048" t="s">
        <v>10642</v>
      </c>
      <c r="G5048" s="225"/>
      <c r="H5048" s="210"/>
      <c r="K5048" s="180"/>
      <c r="M5048" t="s">
        <v>4945</v>
      </c>
      <c r="N5048" t="s">
        <v>5571</v>
      </c>
      <c r="O5048" t="s">
        <v>4944</v>
      </c>
      <c r="Q5048" t="str">
        <f t="shared" si="195"/>
        <v>condorProc.py --series 07181006_1207 --donoise --dumps a --procenv environments/pymidas_HVHV_NaI_mf.env</v>
      </c>
      <c r="R5048" t="str">
        <f t="shared" si="196"/>
        <v>ln -s ../../../../midasraw/byseries/07181006_1207 07181006_1207</v>
      </c>
    </row>
    <row r="5049" spans="1:18">
      <c r="A5049" t="s">
        <v>10643</v>
      </c>
      <c r="G5049" s="225"/>
      <c r="H5049" s="210"/>
      <c r="K5049" s="180"/>
      <c r="M5049" t="s">
        <v>4945</v>
      </c>
      <c r="N5049" t="s">
        <v>5571</v>
      </c>
      <c r="O5049" t="s">
        <v>4944</v>
      </c>
      <c r="Q5049" t="str">
        <f t="shared" si="195"/>
        <v>condorProc.py --series 07181006_1217 --donoise --dumps a --procenv environments/pymidas_HVHV_NaI_mf.env</v>
      </c>
      <c r="R5049" t="str">
        <f t="shared" si="196"/>
        <v>ln -s ../../../../midasraw/byseries/07181006_1217 07181006_1217</v>
      </c>
    </row>
    <row r="5050" spans="1:18">
      <c r="A5050" t="s">
        <v>10644</v>
      </c>
      <c r="G5050" s="225"/>
      <c r="H5050" s="210"/>
      <c r="K5050" s="180"/>
      <c r="M5050" t="s">
        <v>4945</v>
      </c>
      <c r="N5050" t="s">
        <v>5571</v>
      </c>
      <c r="O5050" t="s">
        <v>4944</v>
      </c>
      <c r="Q5050" t="str">
        <f t="shared" si="195"/>
        <v>condorProc.py --series 07181006_1227 --donoise --dumps a --procenv environments/pymidas_HVHV_NaI_mf.env</v>
      </c>
      <c r="R5050" t="str">
        <f t="shared" si="196"/>
        <v>ln -s ../../../../midasraw/byseries/07181006_1227 07181006_1227</v>
      </c>
    </row>
    <row r="5051" spans="1:18">
      <c r="A5051" t="s">
        <v>10645</v>
      </c>
      <c r="G5051" s="225"/>
      <c r="H5051" s="210"/>
      <c r="K5051" s="180"/>
      <c r="M5051" t="s">
        <v>4945</v>
      </c>
      <c r="N5051" t="s">
        <v>5571</v>
      </c>
      <c r="O5051" t="s">
        <v>4944</v>
      </c>
      <c r="Q5051" t="str">
        <f t="shared" si="195"/>
        <v>condorProc.py --series 07181006_1238 --donoise --dumps a --procenv environments/pymidas_HVHV_NaI_mf.env</v>
      </c>
      <c r="R5051" t="str">
        <f t="shared" si="196"/>
        <v>ln -s ../../../../midasraw/byseries/07181006_1238 07181006_1238</v>
      </c>
    </row>
    <row r="5052" spans="1:18">
      <c r="A5052" t="s">
        <v>10646</v>
      </c>
      <c r="G5052" s="225"/>
      <c r="H5052" s="210"/>
      <c r="K5052" s="180"/>
      <c r="M5052" t="s">
        <v>4945</v>
      </c>
      <c r="N5052" t="s">
        <v>5571</v>
      </c>
      <c r="O5052" t="s">
        <v>4944</v>
      </c>
      <c r="Q5052" t="str">
        <f t="shared" si="195"/>
        <v>condorProc.py --series 07181006_1248 --donoise --dumps a --procenv environments/pymidas_HVHV_NaI_mf.env</v>
      </c>
      <c r="R5052" t="str">
        <f t="shared" si="196"/>
        <v>ln -s ../../../../midasraw/byseries/07181006_1248 07181006_1248</v>
      </c>
    </row>
    <row r="5053" spans="1:18">
      <c r="A5053" t="s">
        <v>10647</v>
      </c>
      <c r="G5053" s="225"/>
      <c r="H5053" s="210"/>
      <c r="K5053" s="180"/>
      <c r="M5053" t="s">
        <v>4945</v>
      </c>
      <c r="N5053" t="s">
        <v>5571</v>
      </c>
      <c r="O5053" t="s">
        <v>4944</v>
      </c>
      <c r="Q5053" t="str">
        <f t="shared" si="195"/>
        <v>condorProc.py --series 07181006_1258 --donoise --dumps a --procenv environments/pymidas_HVHV_NaI_mf.env</v>
      </c>
      <c r="R5053" t="str">
        <f t="shared" si="196"/>
        <v>ln -s ../../../../midasraw/byseries/07181006_1258 07181006_1258</v>
      </c>
    </row>
    <row r="5054" spans="1:18">
      <c r="A5054" t="s">
        <v>10648</v>
      </c>
      <c r="G5054" s="225"/>
      <c r="H5054" s="210"/>
      <c r="K5054" s="180"/>
      <c r="M5054" t="s">
        <v>4945</v>
      </c>
      <c r="N5054" t="s">
        <v>5571</v>
      </c>
      <c r="O5054" t="s">
        <v>4944</v>
      </c>
      <c r="Q5054" t="str">
        <f t="shared" si="195"/>
        <v>condorProc.py --series 07181006_1308 --donoise --dumps a --procenv environments/pymidas_HVHV_NaI_mf.env</v>
      </c>
      <c r="R5054" t="str">
        <f t="shared" si="196"/>
        <v>ln -s ../../../../midasraw/byseries/07181006_1308 07181006_1308</v>
      </c>
    </row>
    <row r="5055" spans="1:18">
      <c r="A5055" t="s">
        <v>10649</v>
      </c>
      <c r="G5055" s="225"/>
      <c r="H5055" s="210"/>
      <c r="K5055" s="180"/>
      <c r="M5055" t="s">
        <v>4945</v>
      </c>
      <c r="N5055" t="s">
        <v>5571</v>
      </c>
      <c r="O5055" t="s">
        <v>4944</v>
      </c>
      <c r="Q5055" t="str">
        <f t="shared" si="195"/>
        <v>condorProc.py --series 07181006_1318 --donoise --dumps a --procenv environments/pymidas_HVHV_NaI_mf.env</v>
      </c>
      <c r="R5055" t="str">
        <f t="shared" si="196"/>
        <v>ln -s ../../../../midasraw/byseries/07181006_1318 07181006_1318</v>
      </c>
    </row>
    <row r="5056" spans="1:18">
      <c r="A5056" t="s">
        <v>10650</v>
      </c>
      <c r="F5056" s="65"/>
      <c r="G5056" s="226"/>
      <c r="H5056" s="211"/>
      <c r="I5056" s="65" t="s">
        <v>75</v>
      </c>
      <c r="J5056" s="65"/>
      <c r="K5056" s="182"/>
      <c r="L5056" t="str">
        <f>"BatViewer --nohardcode "&amp;A5056&amp;"/"&amp;A5056&amp;"_F0010.mid.gz"</f>
        <v>BatViewer --nohardcode 07181006_1328/07181006_1328_F0010.mid.gz</v>
      </c>
      <c r="M5056" t="s">
        <v>4945</v>
      </c>
      <c r="N5056" t="s">
        <v>5571</v>
      </c>
      <c r="O5056" t="s">
        <v>4944</v>
      </c>
      <c r="Q5056" t="str">
        <f t="shared" si="195"/>
        <v>condorProc.py --series 07181006_1328 --donoise --dumps a --procenv environments/pymidas_HVHV_NaI_mf.env</v>
      </c>
      <c r="R5056" t="str">
        <f t="shared" si="196"/>
        <v>ln -s ../../../../midasraw/byseries/07181006_1328 07181006_1328</v>
      </c>
    </row>
    <row r="5057" spans="1:18">
      <c r="A5057" t="s">
        <v>10651</v>
      </c>
      <c r="F5057" s="177">
        <v>10</v>
      </c>
      <c r="G5057" s="224" t="s">
        <v>8641</v>
      </c>
      <c r="H5057" s="209">
        <v>-125</v>
      </c>
      <c r="I5057" s="199" t="s">
        <v>5434</v>
      </c>
      <c r="J5057" s="177" t="s">
        <v>5577</v>
      </c>
      <c r="K5057" s="178" t="s">
        <v>5583</v>
      </c>
      <c r="L5057" t="str">
        <f>"BatViewer --nohardcode "&amp;A5057&amp;"/"&amp;A5057&amp;"_F0010.mid.gz"</f>
        <v>BatViewer --nohardcode 07181006_1657/07181006_1657_F0010.mid.gz</v>
      </c>
    </row>
    <row r="5058" spans="1:18">
      <c r="A5058" t="s">
        <v>10652</v>
      </c>
      <c r="G5058" s="225"/>
      <c r="H5058" s="210"/>
      <c r="I5058" s="197" t="s">
        <v>5434</v>
      </c>
      <c r="J5058" t="s">
        <v>5585</v>
      </c>
      <c r="K5058" s="218" t="s">
        <v>5586</v>
      </c>
    </row>
    <row r="5059" spans="1:18">
      <c r="A5059" t="s">
        <v>10653</v>
      </c>
      <c r="G5059" s="225"/>
      <c r="H5059" s="210"/>
      <c r="I5059" s="197" t="s">
        <v>5434</v>
      </c>
      <c r="K5059" s="219" t="s">
        <v>8388</v>
      </c>
    </row>
    <row r="5060" spans="1:18">
      <c r="A5060" t="s">
        <v>10654</v>
      </c>
      <c r="G5060" s="225"/>
      <c r="H5060" s="210"/>
      <c r="I5060" s="197" t="s">
        <v>5434</v>
      </c>
      <c r="K5060" s="180"/>
    </row>
    <row r="5061" spans="1:18">
      <c r="A5061" t="s">
        <v>10655</v>
      </c>
      <c r="G5061" s="225"/>
      <c r="H5061" s="210"/>
      <c r="I5061" s="197" t="s">
        <v>5434</v>
      </c>
      <c r="K5061" s="180" t="s">
        <v>10656</v>
      </c>
      <c r="L5061" t="str">
        <f>"BatViewer --nohardcode "&amp;A5061&amp;"/"&amp;A5061&amp;"_F0010.mid.gz"</f>
        <v>BatViewer --nohardcode 07181006_1737/07181006_1737_F0010.mid.gz</v>
      </c>
    </row>
    <row r="5062" spans="1:18">
      <c r="A5062" t="s">
        <v>10657</v>
      </c>
      <c r="G5062" s="225"/>
      <c r="H5062" s="210"/>
      <c r="I5062" s="197" t="s">
        <v>5434</v>
      </c>
      <c r="K5062" s="180" t="s">
        <v>10658</v>
      </c>
      <c r="L5062" t="str">
        <f>"BatViewer --nohardcode "&amp;A5062&amp;"/"&amp;A5062&amp;"_F0010.mid.gz"</f>
        <v>BatViewer --nohardcode 07181006_1747/07181006_1747_F0010.mid.gz</v>
      </c>
    </row>
    <row r="5063" spans="1:18">
      <c r="A5063" t="s">
        <v>10659</v>
      </c>
      <c r="G5063" s="225"/>
      <c r="H5063" s="210"/>
      <c r="I5063" t="s">
        <v>75</v>
      </c>
      <c r="K5063" s="180"/>
      <c r="M5063" t="s">
        <v>4945</v>
      </c>
      <c r="N5063" t="s">
        <v>5571</v>
      </c>
      <c r="O5063" t="s">
        <v>4944</v>
      </c>
      <c r="Q5063" t="str">
        <f t="shared" ref="Q5063:Q5126" si="197">"condorProc.py --series "&amp;A5063&amp;" --donoise --dumps a --procenv environments/pymidas_HVHV_NaI_mf.env"</f>
        <v>condorProc.py --series 07181006_1757 --donoise --dumps a --procenv environments/pymidas_HVHV_NaI_mf.env</v>
      </c>
      <c r="R5063" t="str">
        <f t="shared" ref="R5063:R5126" si="198">"ln -s ../../../../midasraw/byseries/"&amp;A5063&amp;" "&amp;A5063</f>
        <v>ln -s ../../../../midasraw/byseries/07181006_1757 07181006_1757</v>
      </c>
    </row>
    <row r="5064" spans="1:18">
      <c r="A5064" t="s">
        <v>10660</v>
      </c>
      <c r="G5064" s="225"/>
      <c r="H5064" s="210"/>
      <c r="K5064" s="180"/>
      <c r="M5064" t="s">
        <v>4945</v>
      </c>
      <c r="N5064" t="s">
        <v>5571</v>
      </c>
      <c r="O5064" t="s">
        <v>4944</v>
      </c>
      <c r="Q5064" t="str">
        <f t="shared" si="197"/>
        <v>condorProc.py --series 07181006_1808 --donoise --dumps a --procenv environments/pymidas_HVHV_NaI_mf.env</v>
      </c>
      <c r="R5064" t="str">
        <f t="shared" si="198"/>
        <v>ln -s ../../../../midasraw/byseries/07181006_1808 07181006_1808</v>
      </c>
    </row>
    <row r="5065" spans="1:18">
      <c r="A5065" t="s">
        <v>10661</v>
      </c>
      <c r="G5065" s="225"/>
      <c r="H5065" s="210"/>
      <c r="K5065" s="180"/>
      <c r="M5065" t="s">
        <v>4945</v>
      </c>
      <c r="N5065" t="s">
        <v>5571</v>
      </c>
      <c r="O5065" t="s">
        <v>4944</v>
      </c>
      <c r="Q5065" t="str">
        <f t="shared" si="197"/>
        <v>condorProc.py --series 07181006_1818 --donoise --dumps a --procenv environments/pymidas_HVHV_NaI_mf.env</v>
      </c>
      <c r="R5065" t="str">
        <f t="shared" si="198"/>
        <v>ln -s ../../../../midasraw/byseries/07181006_1818 07181006_1818</v>
      </c>
    </row>
    <row r="5066" spans="1:18">
      <c r="A5066" t="s">
        <v>10662</v>
      </c>
      <c r="G5066" s="225"/>
      <c r="H5066" s="210"/>
      <c r="K5066" s="180"/>
      <c r="M5066" t="s">
        <v>4945</v>
      </c>
      <c r="N5066" t="s">
        <v>5571</v>
      </c>
      <c r="O5066" t="s">
        <v>4944</v>
      </c>
      <c r="Q5066" t="str">
        <f t="shared" si="197"/>
        <v>condorProc.py --series 07181006_1828 --donoise --dumps a --procenv environments/pymidas_HVHV_NaI_mf.env</v>
      </c>
      <c r="R5066" t="str">
        <f t="shared" si="198"/>
        <v>ln -s ../../../../midasraw/byseries/07181006_1828 07181006_1828</v>
      </c>
    </row>
    <row r="5067" spans="1:18">
      <c r="A5067" t="s">
        <v>10663</v>
      </c>
      <c r="G5067" s="225"/>
      <c r="H5067" s="210"/>
      <c r="K5067" s="180"/>
      <c r="M5067" t="s">
        <v>4945</v>
      </c>
      <c r="N5067" t="s">
        <v>5571</v>
      </c>
      <c r="O5067" t="s">
        <v>4944</v>
      </c>
      <c r="Q5067" t="str">
        <f t="shared" si="197"/>
        <v>condorProc.py --series 07181006_1838 --donoise --dumps a --procenv environments/pymidas_HVHV_NaI_mf.env</v>
      </c>
      <c r="R5067" t="str">
        <f t="shared" si="198"/>
        <v>ln -s ../../../../midasraw/byseries/07181006_1838 07181006_1838</v>
      </c>
    </row>
    <row r="5068" spans="1:18">
      <c r="A5068" t="s">
        <v>10664</v>
      </c>
      <c r="F5068" s="65"/>
      <c r="G5068" s="226"/>
      <c r="H5068" s="211"/>
      <c r="I5068" s="65"/>
      <c r="J5068" s="65"/>
      <c r="K5068" s="182"/>
      <c r="M5068" t="s">
        <v>4945</v>
      </c>
      <c r="N5068" t="s">
        <v>5571</v>
      </c>
      <c r="O5068" t="s">
        <v>4944</v>
      </c>
      <c r="Q5068" t="str">
        <f t="shared" si="197"/>
        <v>condorProc.py --series 07181006_1848 --donoise --dumps a --procenv environments/pymidas_HVHV_NaI_mf.env</v>
      </c>
      <c r="R5068" t="str">
        <f t="shared" si="198"/>
        <v>ln -s ../../../../midasraw/byseries/07181006_1848 07181006_1848</v>
      </c>
    </row>
    <row r="5069" spans="1:18">
      <c r="A5069" t="s">
        <v>10665</v>
      </c>
      <c r="F5069" s="177">
        <v>10</v>
      </c>
      <c r="G5069" s="224" t="s">
        <v>8641</v>
      </c>
      <c r="H5069" s="209">
        <v>-125</v>
      </c>
      <c r="I5069" s="177"/>
      <c r="J5069" s="177" t="s">
        <v>5577</v>
      </c>
      <c r="K5069" s="178" t="s">
        <v>5583</v>
      </c>
      <c r="M5069" t="s">
        <v>4945</v>
      </c>
      <c r="N5069" t="s">
        <v>5571</v>
      </c>
      <c r="O5069" t="s">
        <v>4944</v>
      </c>
      <c r="Q5069" t="str">
        <f t="shared" si="197"/>
        <v>condorProc.py --series 07181006_1948 --donoise --dumps a --procenv environments/pymidas_HVHV_NaI_mf.env</v>
      </c>
      <c r="R5069" t="str">
        <f t="shared" si="198"/>
        <v>ln -s ../../../../midasraw/byseries/07181006_1948 07181006_1948</v>
      </c>
    </row>
    <row r="5070" spans="1:18">
      <c r="A5070" t="s">
        <v>10666</v>
      </c>
      <c r="G5070" s="225"/>
      <c r="H5070" s="210"/>
      <c r="J5070" t="s">
        <v>5585</v>
      </c>
      <c r="K5070" s="218" t="s">
        <v>5586</v>
      </c>
      <c r="M5070" t="s">
        <v>4945</v>
      </c>
      <c r="N5070" t="s">
        <v>5571</v>
      </c>
      <c r="O5070" t="s">
        <v>4944</v>
      </c>
      <c r="Q5070" t="str">
        <f t="shared" si="197"/>
        <v>condorProc.py --series 07181006_1958 --donoise --dumps a --procenv environments/pymidas_HVHV_NaI_mf.env</v>
      </c>
      <c r="R5070" t="str">
        <f t="shared" si="198"/>
        <v>ln -s ../../../../midasraw/byseries/07181006_1958 07181006_1958</v>
      </c>
    </row>
    <row r="5071" spans="1:18">
      <c r="A5071" t="s">
        <v>10667</v>
      </c>
      <c r="G5071" s="225"/>
      <c r="H5071" s="210"/>
      <c r="K5071" s="219" t="s">
        <v>8388</v>
      </c>
      <c r="M5071" t="s">
        <v>4945</v>
      </c>
      <c r="N5071" t="s">
        <v>5571</v>
      </c>
      <c r="O5071" t="s">
        <v>4944</v>
      </c>
      <c r="Q5071" t="str">
        <f t="shared" si="197"/>
        <v>condorProc.py --series 07181006_2008 --donoise --dumps a --procenv environments/pymidas_HVHV_NaI_mf.env</v>
      </c>
      <c r="R5071" t="str">
        <f t="shared" si="198"/>
        <v>ln -s ../../../../midasraw/byseries/07181006_2008 07181006_2008</v>
      </c>
    </row>
    <row r="5072" spans="1:18">
      <c r="A5072" t="s">
        <v>10668</v>
      </c>
      <c r="G5072" s="225"/>
      <c r="H5072" s="210"/>
      <c r="K5072" s="180"/>
      <c r="M5072" t="s">
        <v>4945</v>
      </c>
      <c r="N5072" t="s">
        <v>5571</v>
      </c>
      <c r="O5072" t="s">
        <v>4944</v>
      </c>
      <c r="Q5072" t="str">
        <f t="shared" si="197"/>
        <v>condorProc.py --series 07181006_2018 --donoise --dumps a --procenv environments/pymidas_HVHV_NaI_mf.env</v>
      </c>
      <c r="R5072" t="str">
        <f t="shared" si="198"/>
        <v>ln -s ../../../../midasraw/byseries/07181006_2018 07181006_2018</v>
      </c>
    </row>
    <row r="5073" spans="1:18">
      <c r="A5073" t="s">
        <v>10669</v>
      </c>
      <c r="G5073" s="225"/>
      <c r="H5073" s="210"/>
      <c r="K5073" s="180"/>
      <c r="M5073" t="s">
        <v>4945</v>
      </c>
      <c r="N5073" t="s">
        <v>5571</v>
      </c>
      <c r="O5073" t="s">
        <v>4944</v>
      </c>
      <c r="Q5073" t="str">
        <f t="shared" si="197"/>
        <v>condorProc.py --series 07181006_2028 --donoise --dumps a --procenv environments/pymidas_HVHV_NaI_mf.env</v>
      </c>
      <c r="R5073" t="str">
        <f t="shared" si="198"/>
        <v>ln -s ../../../../midasraw/byseries/07181006_2028 07181006_2028</v>
      </c>
    </row>
    <row r="5074" spans="1:18">
      <c r="A5074" t="s">
        <v>10670</v>
      </c>
      <c r="G5074" s="225"/>
      <c r="H5074" s="210"/>
      <c r="K5074" s="180"/>
      <c r="M5074" t="s">
        <v>4945</v>
      </c>
      <c r="N5074" t="s">
        <v>5571</v>
      </c>
      <c r="O5074" t="s">
        <v>4944</v>
      </c>
      <c r="Q5074" t="str">
        <f t="shared" si="197"/>
        <v>condorProc.py --series 07181006_2038 --donoise --dumps a --procenv environments/pymidas_HVHV_NaI_mf.env</v>
      </c>
      <c r="R5074" t="str">
        <f t="shared" si="198"/>
        <v>ln -s ../../../../midasraw/byseries/07181006_2038 07181006_2038</v>
      </c>
    </row>
    <row r="5075" spans="1:18">
      <c r="A5075" t="s">
        <v>10671</v>
      </c>
      <c r="G5075" s="225"/>
      <c r="H5075" s="210"/>
      <c r="K5075" s="180"/>
      <c r="M5075" t="s">
        <v>4945</v>
      </c>
      <c r="N5075" t="s">
        <v>5571</v>
      </c>
      <c r="O5075" t="s">
        <v>4944</v>
      </c>
      <c r="Q5075" t="str">
        <f t="shared" si="197"/>
        <v>condorProc.py --series 07181006_2048 --donoise --dumps a --procenv environments/pymidas_HVHV_NaI_mf.env</v>
      </c>
      <c r="R5075" t="str">
        <f t="shared" si="198"/>
        <v>ln -s ../../../../midasraw/byseries/07181006_2048 07181006_2048</v>
      </c>
    </row>
    <row r="5076" spans="1:18">
      <c r="A5076" t="s">
        <v>10672</v>
      </c>
      <c r="G5076" s="225"/>
      <c r="H5076" s="210"/>
      <c r="K5076" s="180"/>
      <c r="M5076" t="s">
        <v>4945</v>
      </c>
      <c r="N5076" t="s">
        <v>5571</v>
      </c>
      <c r="O5076" t="s">
        <v>4944</v>
      </c>
      <c r="Q5076" t="str">
        <f t="shared" si="197"/>
        <v>condorProc.py --series 07181006_2058 --donoise --dumps a --procenv environments/pymidas_HVHV_NaI_mf.env</v>
      </c>
      <c r="R5076" t="str">
        <f t="shared" si="198"/>
        <v>ln -s ../../../../midasraw/byseries/07181006_2058 07181006_2058</v>
      </c>
    </row>
    <row r="5077" spans="1:18">
      <c r="A5077" t="s">
        <v>10673</v>
      </c>
      <c r="G5077" s="225"/>
      <c r="H5077" s="210"/>
      <c r="K5077" s="180"/>
      <c r="M5077" t="s">
        <v>4945</v>
      </c>
      <c r="N5077" t="s">
        <v>5571</v>
      </c>
      <c r="O5077" t="s">
        <v>4944</v>
      </c>
      <c r="Q5077" t="str">
        <f t="shared" si="197"/>
        <v>condorProc.py --series 07181006_2109 --donoise --dumps a --procenv environments/pymidas_HVHV_NaI_mf.env</v>
      </c>
      <c r="R5077" t="str">
        <f t="shared" si="198"/>
        <v>ln -s ../../../../midasraw/byseries/07181006_2109 07181006_2109</v>
      </c>
    </row>
    <row r="5078" spans="1:18">
      <c r="A5078" t="s">
        <v>10674</v>
      </c>
      <c r="G5078" s="225"/>
      <c r="H5078" s="210"/>
      <c r="K5078" s="180"/>
      <c r="M5078" t="s">
        <v>4945</v>
      </c>
      <c r="N5078" t="s">
        <v>5571</v>
      </c>
      <c r="O5078" t="s">
        <v>4944</v>
      </c>
      <c r="Q5078" t="str">
        <f t="shared" si="197"/>
        <v>condorProc.py --series 07181006_2119 --donoise --dumps a --procenv environments/pymidas_HVHV_NaI_mf.env</v>
      </c>
      <c r="R5078" t="str">
        <f t="shared" si="198"/>
        <v>ln -s ../../../../midasraw/byseries/07181006_2119 07181006_2119</v>
      </c>
    </row>
    <row r="5079" spans="1:18">
      <c r="A5079" t="s">
        <v>10675</v>
      </c>
      <c r="G5079" s="225"/>
      <c r="H5079" s="210"/>
      <c r="K5079" s="180"/>
      <c r="M5079" t="s">
        <v>4945</v>
      </c>
      <c r="N5079" t="s">
        <v>5571</v>
      </c>
      <c r="O5079" t="s">
        <v>4944</v>
      </c>
      <c r="Q5079" t="str">
        <f t="shared" si="197"/>
        <v>condorProc.py --series 07181006_2129 --donoise --dumps a --procenv environments/pymidas_HVHV_NaI_mf.env</v>
      </c>
      <c r="R5079" t="str">
        <f t="shared" si="198"/>
        <v>ln -s ../../../../midasraw/byseries/07181006_2129 07181006_2129</v>
      </c>
    </row>
    <row r="5080" spans="1:18">
      <c r="A5080" t="s">
        <v>10676</v>
      </c>
      <c r="F5080" s="65"/>
      <c r="G5080" s="226"/>
      <c r="H5080" s="211"/>
      <c r="I5080" s="65"/>
      <c r="J5080" s="65"/>
      <c r="K5080" s="182"/>
      <c r="M5080" t="s">
        <v>4945</v>
      </c>
      <c r="N5080" t="s">
        <v>5571</v>
      </c>
      <c r="O5080" t="s">
        <v>4944</v>
      </c>
      <c r="Q5080" t="str">
        <f t="shared" si="197"/>
        <v>condorProc.py --series 07181006_2139 --donoise --dumps a --procenv environments/pymidas_HVHV_NaI_mf.env</v>
      </c>
      <c r="R5080" t="str">
        <f t="shared" si="198"/>
        <v>ln -s ../../../../midasraw/byseries/07181006_2139 07181006_2139</v>
      </c>
    </row>
    <row r="5081" spans="1:18">
      <c r="A5081" t="s">
        <v>10677</v>
      </c>
      <c r="F5081" s="177">
        <v>10</v>
      </c>
      <c r="G5081" s="224" t="s">
        <v>8641</v>
      </c>
      <c r="H5081" s="209">
        <v>-125</v>
      </c>
      <c r="I5081" s="177"/>
      <c r="J5081" s="177" t="s">
        <v>5577</v>
      </c>
      <c r="K5081" s="178" t="s">
        <v>5583</v>
      </c>
      <c r="M5081" t="s">
        <v>4945</v>
      </c>
      <c r="N5081" t="s">
        <v>5571</v>
      </c>
      <c r="O5081" t="s">
        <v>4944</v>
      </c>
      <c r="Q5081" t="str">
        <f t="shared" si="197"/>
        <v>condorProc.py --series 07181006_2239 --donoise --dumps a --procenv environments/pymidas_HVHV_NaI_mf.env</v>
      </c>
      <c r="R5081" t="str">
        <f t="shared" si="198"/>
        <v>ln -s ../../../../midasraw/byseries/07181006_2239 07181006_2239</v>
      </c>
    </row>
    <row r="5082" spans="1:18">
      <c r="A5082" t="s">
        <v>10678</v>
      </c>
      <c r="G5082" s="225"/>
      <c r="H5082" s="210"/>
      <c r="J5082" t="s">
        <v>5585</v>
      </c>
      <c r="K5082" s="218" t="s">
        <v>5586</v>
      </c>
      <c r="M5082" t="s">
        <v>4945</v>
      </c>
      <c r="N5082" t="s">
        <v>5571</v>
      </c>
      <c r="O5082" t="s">
        <v>4944</v>
      </c>
      <c r="Q5082" t="str">
        <f t="shared" si="197"/>
        <v>condorProc.py --series 07181006_2249 --donoise --dumps a --procenv environments/pymidas_HVHV_NaI_mf.env</v>
      </c>
      <c r="R5082" t="str">
        <f t="shared" si="198"/>
        <v>ln -s ../../../../midasraw/byseries/07181006_2249 07181006_2249</v>
      </c>
    </row>
    <row r="5083" spans="1:18">
      <c r="A5083" t="s">
        <v>10679</v>
      </c>
      <c r="G5083" s="225"/>
      <c r="H5083" s="210"/>
      <c r="I5083" t="s">
        <v>75</v>
      </c>
      <c r="K5083" s="219" t="s">
        <v>8388</v>
      </c>
      <c r="L5083" t="str">
        <f>"BatViewer --nohardcode "&amp;A5083&amp;"/"&amp;A5083&amp;"_F0010.mid.gz"</f>
        <v>BatViewer --nohardcode 07181006_2259/07181006_2259_F0010.mid.gz</v>
      </c>
      <c r="M5083" t="s">
        <v>4945</v>
      </c>
      <c r="N5083" t="s">
        <v>5571</v>
      </c>
      <c r="O5083" t="s">
        <v>4944</v>
      </c>
      <c r="Q5083" t="str">
        <f t="shared" si="197"/>
        <v>condorProc.py --series 07181006_2259 --donoise --dumps a --procenv environments/pymidas_HVHV_NaI_mf.env</v>
      </c>
      <c r="R5083" t="str">
        <f t="shared" si="198"/>
        <v>ln -s ../../../../midasraw/byseries/07181006_2259 07181006_2259</v>
      </c>
    </row>
    <row r="5084" spans="1:18">
      <c r="A5084" t="s">
        <v>10680</v>
      </c>
      <c r="G5084" s="225"/>
      <c r="H5084" s="210"/>
      <c r="K5084" s="180"/>
      <c r="M5084" t="s">
        <v>4945</v>
      </c>
      <c r="N5084" t="s">
        <v>5571</v>
      </c>
      <c r="O5084" t="s">
        <v>4944</v>
      </c>
      <c r="Q5084" t="str">
        <f t="shared" si="197"/>
        <v>condorProc.py --series 07181006_2309 --donoise --dumps a --procenv environments/pymidas_HVHV_NaI_mf.env</v>
      </c>
      <c r="R5084" t="str">
        <f t="shared" si="198"/>
        <v>ln -s ../../../../midasraw/byseries/07181006_2309 07181006_2309</v>
      </c>
    </row>
    <row r="5085" spans="1:18">
      <c r="A5085" t="s">
        <v>10681</v>
      </c>
      <c r="G5085" s="225"/>
      <c r="H5085" s="210"/>
      <c r="K5085" s="180"/>
      <c r="M5085" t="s">
        <v>4945</v>
      </c>
      <c r="N5085" t="s">
        <v>5571</v>
      </c>
      <c r="O5085" t="s">
        <v>4944</v>
      </c>
      <c r="Q5085" t="str">
        <f t="shared" si="197"/>
        <v>condorProc.py --series 07181006_2319 --donoise --dumps a --procenv environments/pymidas_HVHV_NaI_mf.env</v>
      </c>
      <c r="R5085" t="str">
        <f t="shared" si="198"/>
        <v>ln -s ../../../../midasraw/byseries/07181006_2319 07181006_2319</v>
      </c>
    </row>
    <row r="5086" spans="1:18">
      <c r="A5086" t="s">
        <v>10682</v>
      </c>
      <c r="G5086" s="225"/>
      <c r="H5086" s="210"/>
      <c r="K5086" s="180"/>
      <c r="M5086" t="s">
        <v>4945</v>
      </c>
      <c r="N5086" t="s">
        <v>5571</v>
      </c>
      <c r="O5086" t="s">
        <v>4944</v>
      </c>
      <c r="Q5086" t="str">
        <f t="shared" si="197"/>
        <v>condorProc.py --series 07181006_2329 --donoise --dumps a --procenv environments/pymidas_HVHV_NaI_mf.env</v>
      </c>
      <c r="R5086" t="str">
        <f t="shared" si="198"/>
        <v>ln -s ../../../../midasraw/byseries/07181006_2329 07181006_2329</v>
      </c>
    </row>
    <row r="5087" spans="1:18">
      <c r="A5087" t="s">
        <v>10683</v>
      </c>
      <c r="G5087" s="225"/>
      <c r="H5087" s="210"/>
      <c r="K5087" s="180"/>
      <c r="M5087" t="s">
        <v>4945</v>
      </c>
      <c r="N5087" t="s">
        <v>5571</v>
      </c>
      <c r="O5087" t="s">
        <v>4944</v>
      </c>
      <c r="Q5087" t="str">
        <f t="shared" si="197"/>
        <v>condorProc.py --series 07181006_2339 --donoise --dumps a --procenv environments/pymidas_HVHV_NaI_mf.env</v>
      </c>
      <c r="R5087" t="str">
        <f t="shared" si="198"/>
        <v>ln -s ../../../../midasraw/byseries/07181006_2339 07181006_2339</v>
      </c>
    </row>
    <row r="5088" spans="1:18">
      <c r="A5088" t="s">
        <v>10684</v>
      </c>
      <c r="G5088" s="225"/>
      <c r="H5088" s="210"/>
      <c r="K5088" s="180"/>
      <c r="M5088" t="s">
        <v>4945</v>
      </c>
      <c r="N5088" t="s">
        <v>5571</v>
      </c>
      <c r="O5088" t="s">
        <v>4944</v>
      </c>
      <c r="Q5088" t="str">
        <f t="shared" si="197"/>
        <v>condorProc.py --series 07181006_2349 --donoise --dumps a --procenv environments/pymidas_HVHV_NaI_mf.env</v>
      </c>
      <c r="R5088" t="str">
        <f t="shared" si="198"/>
        <v>ln -s ../../../../midasraw/byseries/07181006_2349 07181006_2349</v>
      </c>
    </row>
    <row r="5089" spans="1:18">
      <c r="A5089" t="s">
        <v>10685</v>
      </c>
      <c r="G5089" s="225"/>
      <c r="H5089" s="210"/>
      <c r="K5089" s="180"/>
      <c r="M5089" t="s">
        <v>4945</v>
      </c>
      <c r="N5089" t="s">
        <v>5571</v>
      </c>
      <c r="O5089" t="s">
        <v>4944</v>
      </c>
      <c r="Q5089" t="str">
        <f t="shared" si="197"/>
        <v>condorProc.py --series 07181007_0000 --donoise --dumps a --procenv environments/pymidas_HVHV_NaI_mf.env</v>
      </c>
      <c r="R5089" t="str">
        <f t="shared" si="198"/>
        <v>ln -s ../../../../midasraw/byseries/07181007_0000 07181007_0000</v>
      </c>
    </row>
    <row r="5090" spans="1:18">
      <c r="A5090" t="s">
        <v>10686</v>
      </c>
      <c r="G5090" s="225"/>
      <c r="H5090" s="210"/>
      <c r="K5090" s="180"/>
      <c r="M5090" t="s">
        <v>4945</v>
      </c>
      <c r="N5090" t="s">
        <v>5571</v>
      </c>
      <c r="O5090" t="s">
        <v>4944</v>
      </c>
      <c r="Q5090" t="str">
        <f t="shared" si="197"/>
        <v>condorProc.py --series 07181007_0010 --donoise --dumps a --procenv environments/pymidas_HVHV_NaI_mf.env</v>
      </c>
      <c r="R5090" t="str">
        <f t="shared" si="198"/>
        <v>ln -s ../../../../midasraw/byseries/07181007_0010 07181007_0010</v>
      </c>
    </row>
    <row r="5091" spans="1:18">
      <c r="A5091" t="s">
        <v>10687</v>
      </c>
      <c r="G5091" s="225"/>
      <c r="H5091" s="210"/>
      <c r="K5091" s="180"/>
      <c r="M5091" t="s">
        <v>4945</v>
      </c>
      <c r="N5091" t="s">
        <v>5571</v>
      </c>
      <c r="O5091" t="s">
        <v>4944</v>
      </c>
      <c r="Q5091" t="str">
        <f t="shared" si="197"/>
        <v>condorProc.py --series 07181007_0020 --donoise --dumps a --procenv environments/pymidas_HVHV_NaI_mf.env</v>
      </c>
      <c r="R5091" t="str">
        <f t="shared" si="198"/>
        <v>ln -s ../../../../midasraw/byseries/07181007_0020 07181007_0020</v>
      </c>
    </row>
    <row r="5092" spans="1:18">
      <c r="A5092" t="s">
        <v>10688</v>
      </c>
      <c r="F5092" s="65"/>
      <c r="G5092" s="226"/>
      <c r="H5092" s="211"/>
      <c r="I5092" s="65"/>
      <c r="J5092" s="65"/>
      <c r="K5092" s="182"/>
      <c r="M5092" t="s">
        <v>4945</v>
      </c>
      <c r="N5092" t="s">
        <v>5571</v>
      </c>
      <c r="O5092" t="s">
        <v>4944</v>
      </c>
      <c r="Q5092" t="str">
        <f t="shared" si="197"/>
        <v>condorProc.py --series 07181007_0030 --donoise --dumps a --procenv environments/pymidas_HVHV_NaI_mf.env</v>
      </c>
      <c r="R5092" t="str">
        <f t="shared" si="198"/>
        <v>ln -s ../../../../midasraw/byseries/07181007_0030 07181007_0030</v>
      </c>
    </row>
    <row r="5093" spans="1:18">
      <c r="A5093" t="s">
        <v>10689</v>
      </c>
      <c r="F5093" s="177">
        <v>10</v>
      </c>
      <c r="G5093" s="224" t="s">
        <v>8641</v>
      </c>
      <c r="H5093" s="209">
        <v>-125</v>
      </c>
      <c r="I5093" s="177"/>
      <c r="J5093" s="177" t="s">
        <v>5577</v>
      </c>
      <c r="K5093" s="178" t="s">
        <v>5583</v>
      </c>
      <c r="M5093" t="s">
        <v>4945</v>
      </c>
      <c r="N5093" t="s">
        <v>5571</v>
      </c>
      <c r="O5093" t="s">
        <v>4944</v>
      </c>
      <c r="Q5093" t="str">
        <f t="shared" si="197"/>
        <v>condorProc.py --series 07181007_0130 --donoise --dumps a --procenv environments/pymidas_HVHV_NaI_mf.env</v>
      </c>
      <c r="R5093" t="str">
        <f t="shared" si="198"/>
        <v>ln -s ../../../../midasraw/byseries/07181007_0130 07181007_0130</v>
      </c>
    </row>
    <row r="5094" spans="1:18">
      <c r="A5094" t="s">
        <v>10690</v>
      </c>
      <c r="G5094" s="225"/>
      <c r="H5094" s="210"/>
      <c r="J5094" t="s">
        <v>5585</v>
      </c>
      <c r="K5094" s="218" t="s">
        <v>5586</v>
      </c>
      <c r="M5094" t="s">
        <v>4945</v>
      </c>
      <c r="N5094" t="s">
        <v>5571</v>
      </c>
      <c r="O5094" t="s">
        <v>4944</v>
      </c>
      <c r="Q5094" t="str">
        <f t="shared" si="197"/>
        <v>condorProc.py --series 07181007_0140 --donoise --dumps a --procenv environments/pymidas_HVHV_NaI_mf.env</v>
      </c>
      <c r="R5094" t="str">
        <f t="shared" si="198"/>
        <v>ln -s ../../../../midasraw/byseries/07181007_0140 07181007_0140</v>
      </c>
    </row>
    <row r="5095" spans="1:18">
      <c r="A5095" t="s">
        <v>10691</v>
      </c>
      <c r="G5095" s="225"/>
      <c r="H5095" s="210"/>
      <c r="K5095" s="219" t="s">
        <v>8388</v>
      </c>
      <c r="M5095" t="s">
        <v>4945</v>
      </c>
      <c r="N5095" t="s">
        <v>5571</v>
      </c>
      <c r="O5095" t="s">
        <v>4944</v>
      </c>
      <c r="Q5095" t="str">
        <f t="shared" si="197"/>
        <v>condorProc.py --series 07181007_0150 --donoise --dumps a --procenv environments/pymidas_HVHV_NaI_mf.env</v>
      </c>
      <c r="R5095" t="str">
        <f t="shared" si="198"/>
        <v>ln -s ../../../../midasraw/byseries/07181007_0150 07181007_0150</v>
      </c>
    </row>
    <row r="5096" spans="1:18">
      <c r="A5096" t="s">
        <v>10692</v>
      </c>
      <c r="G5096" s="225"/>
      <c r="H5096" s="210"/>
      <c r="K5096" s="180"/>
      <c r="M5096" t="s">
        <v>4945</v>
      </c>
      <c r="N5096" t="s">
        <v>5571</v>
      </c>
      <c r="O5096" t="s">
        <v>4944</v>
      </c>
      <c r="Q5096" t="str">
        <f t="shared" si="197"/>
        <v>condorProc.py --series 07181007_0200 --donoise --dumps a --procenv environments/pymidas_HVHV_NaI_mf.env</v>
      </c>
      <c r="R5096" t="str">
        <f t="shared" si="198"/>
        <v>ln -s ../../../../midasraw/byseries/07181007_0200 07181007_0200</v>
      </c>
    </row>
    <row r="5097" spans="1:18">
      <c r="A5097" t="s">
        <v>10693</v>
      </c>
      <c r="G5097" s="225"/>
      <c r="H5097" s="210"/>
      <c r="K5097" s="180"/>
      <c r="M5097" t="s">
        <v>4945</v>
      </c>
      <c r="N5097" t="s">
        <v>5571</v>
      </c>
      <c r="O5097" t="s">
        <v>4944</v>
      </c>
      <c r="Q5097" t="str">
        <f t="shared" si="197"/>
        <v>condorProc.py --series 07181007_0210 --donoise --dumps a --procenv environments/pymidas_HVHV_NaI_mf.env</v>
      </c>
      <c r="R5097" t="str">
        <f t="shared" si="198"/>
        <v>ln -s ../../../../midasraw/byseries/07181007_0210 07181007_0210</v>
      </c>
    </row>
    <row r="5098" spans="1:18">
      <c r="A5098" t="s">
        <v>10694</v>
      </c>
      <c r="G5098" s="225"/>
      <c r="H5098" s="210"/>
      <c r="K5098" s="180"/>
      <c r="M5098" t="s">
        <v>4945</v>
      </c>
      <c r="N5098" t="s">
        <v>5571</v>
      </c>
      <c r="O5098" t="s">
        <v>4944</v>
      </c>
      <c r="Q5098" t="str">
        <f t="shared" si="197"/>
        <v>condorProc.py --series 07181007_0220 --donoise --dumps a --procenv environments/pymidas_HVHV_NaI_mf.env</v>
      </c>
      <c r="R5098" t="str">
        <f t="shared" si="198"/>
        <v>ln -s ../../../../midasraw/byseries/07181007_0220 07181007_0220</v>
      </c>
    </row>
    <row r="5099" spans="1:18">
      <c r="A5099" t="s">
        <v>10695</v>
      </c>
      <c r="G5099" s="225"/>
      <c r="H5099" s="210"/>
      <c r="K5099" s="180"/>
      <c r="M5099" t="s">
        <v>4945</v>
      </c>
      <c r="N5099" t="s">
        <v>5571</v>
      </c>
      <c r="O5099" t="s">
        <v>4944</v>
      </c>
      <c r="Q5099" t="str">
        <f t="shared" si="197"/>
        <v>condorProc.py --series 07181007_0231 --donoise --dumps a --procenv environments/pymidas_HVHV_NaI_mf.env</v>
      </c>
      <c r="R5099" t="str">
        <f t="shared" si="198"/>
        <v>ln -s ../../../../midasraw/byseries/07181007_0231 07181007_0231</v>
      </c>
    </row>
    <row r="5100" spans="1:18">
      <c r="A5100" t="s">
        <v>10696</v>
      </c>
      <c r="G5100" s="225"/>
      <c r="H5100" s="210"/>
      <c r="K5100" s="180"/>
      <c r="M5100" t="s">
        <v>4945</v>
      </c>
      <c r="N5100" t="s">
        <v>5571</v>
      </c>
      <c r="O5100" t="s">
        <v>4944</v>
      </c>
      <c r="Q5100" t="str">
        <f t="shared" si="197"/>
        <v>condorProc.py --series 07181007_0241 --donoise --dumps a --procenv environments/pymidas_HVHV_NaI_mf.env</v>
      </c>
      <c r="R5100" t="str">
        <f t="shared" si="198"/>
        <v>ln -s ../../../../midasraw/byseries/07181007_0241 07181007_0241</v>
      </c>
    </row>
    <row r="5101" spans="1:18">
      <c r="A5101" t="s">
        <v>10697</v>
      </c>
      <c r="G5101" s="225"/>
      <c r="H5101" s="210"/>
      <c r="K5101" s="180"/>
      <c r="M5101" t="s">
        <v>4945</v>
      </c>
      <c r="N5101" t="s">
        <v>5571</v>
      </c>
      <c r="O5101" t="s">
        <v>4944</v>
      </c>
      <c r="Q5101" t="str">
        <f t="shared" si="197"/>
        <v>condorProc.py --series 07181007_0251 --donoise --dumps a --procenv environments/pymidas_HVHV_NaI_mf.env</v>
      </c>
      <c r="R5101" t="str">
        <f t="shared" si="198"/>
        <v>ln -s ../../../../midasraw/byseries/07181007_0251 07181007_0251</v>
      </c>
    </row>
    <row r="5102" spans="1:18">
      <c r="A5102" t="s">
        <v>10698</v>
      </c>
      <c r="G5102" s="225"/>
      <c r="H5102" s="210"/>
      <c r="K5102" s="180"/>
      <c r="M5102" t="s">
        <v>4945</v>
      </c>
      <c r="N5102" t="s">
        <v>5571</v>
      </c>
      <c r="O5102" t="s">
        <v>4944</v>
      </c>
      <c r="Q5102" t="str">
        <f t="shared" si="197"/>
        <v>condorProc.py --series 07181007_0301 --donoise --dumps a --procenv environments/pymidas_HVHV_NaI_mf.env</v>
      </c>
      <c r="R5102" t="str">
        <f t="shared" si="198"/>
        <v>ln -s ../../../../midasraw/byseries/07181007_0301 07181007_0301</v>
      </c>
    </row>
    <row r="5103" spans="1:18">
      <c r="A5103" t="s">
        <v>10699</v>
      </c>
      <c r="G5103" s="225"/>
      <c r="H5103" s="210"/>
      <c r="K5103" s="180"/>
      <c r="M5103" t="s">
        <v>4945</v>
      </c>
      <c r="N5103" t="s">
        <v>5571</v>
      </c>
      <c r="O5103" t="s">
        <v>4944</v>
      </c>
      <c r="Q5103" t="str">
        <f t="shared" si="197"/>
        <v>condorProc.py --series 07181007_0311 --donoise --dumps a --procenv environments/pymidas_HVHV_NaI_mf.env</v>
      </c>
      <c r="R5103" t="str">
        <f t="shared" si="198"/>
        <v>ln -s ../../../../midasraw/byseries/07181007_0311 07181007_0311</v>
      </c>
    </row>
    <row r="5104" spans="1:18">
      <c r="A5104" t="s">
        <v>10700</v>
      </c>
      <c r="F5104" s="65"/>
      <c r="G5104" s="226"/>
      <c r="H5104" s="211"/>
      <c r="I5104" s="65"/>
      <c r="J5104" s="65"/>
      <c r="K5104" s="182"/>
      <c r="M5104" t="s">
        <v>4945</v>
      </c>
      <c r="N5104" t="s">
        <v>5571</v>
      </c>
      <c r="O5104" t="s">
        <v>4944</v>
      </c>
      <c r="Q5104" t="str">
        <f t="shared" si="197"/>
        <v>condorProc.py --series 07181007_0321 --donoise --dumps a --procenv environments/pymidas_HVHV_NaI_mf.env</v>
      </c>
      <c r="R5104" t="str">
        <f t="shared" si="198"/>
        <v>ln -s ../../../../midasraw/byseries/07181007_0321 07181007_0321</v>
      </c>
    </row>
    <row r="5105" spans="1:18">
      <c r="A5105" t="s">
        <v>10701</v>
      </c>
      <c r="F5105" s="177">
        <v>10</v>
      </c>
      <c r="G5105" s="224" t="s">
        <v>8641</v>
      </c>
      <c r="H5105" s="209">
        <v>-125</v>
      </c>
      <c r="I5105" s="177"/>
      <c r="J5105" s="177" t="s">
        <v>5577</v>
      </c>
      <c r="K5105" s="178" t="s">
        <v>5583</v>
      </c>
      <c r="M5105" t="s">
        <v>4945</v>
      </c>
      <c r="N5105" t="s">
        <v>5571</v>
      </c>
      <c r="O5105" t="s">
        <v>4944</v>
      </c>
      <c r="Q5105" t="str">
        <f t="shared" si="197"/>
        <v>condorProc.py --series 07181007_0421 --donoise --dumps a --procenv environments/pymidas_HVHV_NaI_mf.env</v>
      </c>
      <c r="R5105" t="str">
        <f t="shared" si="198"/>
        <v>ln -s ../../../../midasraw/byseries/07181007_0421 07181007_0421</v>
      </c>
    </row>
    <row r="5106" spans="1:18">
      <c r="A5106" t="s">
        <v>10702</v>
      </c>
      <c r="G5106" s="225"/>
      <c r="H5106" s="210"/>
      <c r="J5106" t="s">
        <v>5585</v>
      </c>
      <c r="K5106" s="218" t="s">
        <v>5586</v>
      </c>
      <c r="M5106" t="s">
        <v>4945</v>
      </c>
      <c r="N5106" t="s">
        <v>5571</v>
      </c>
      <c r="O5106" t="s">
        <v>4944</v>
      </c>
      <c r="Q5106" t="str">
        <f t="shared" si="197"/>
        <v>condorProc.py --series 07181007_0431 --donoise --dumps a --procenv environments/pymidas_HVHV_NaI_mf.env</v>
      </c>
      <c r="R5106" t="str">
        <f t="shared" si="198"/>
        <v>ln -s ../../../../midasraw/byseries/07181007_0431 07181007_0431</v>
      </c>
    </row>
    <row r="5107" spans="1:18">
      <c r="A5107" t="s">
        <v>10703</v>
      </c>
      <c r="G5107" s="225"/>
      <c r="H5107" s="210"/>
      <c r="K5107" s="219" t="s">
        <v>8388</v>
      </c>
      <c r="M5107" t="s">
        <v>4945</v>
      </c>
      <c r="N5107" t="s">
        <v>5571</v>
      </c>
      <c r="O5107" t="s">
        <v>4944</v>
      </c>
      <c r="Q5107" t="str">
        <f t="shared" si="197"/>
        <v>condorProc.py --series 07181007_0441 --donoise --dumps a --procenv environments/pymidas_HVHV_NaI_mf.env</v>
      </c>
      <c r="R5107" t="str">
        <f t="shared" si="198"/>
        <v>ln -s ../../../../midasraw/byseries/07181007_0441 07181007_0441</v>
      </c>
    </row>
    <row r="5108" spans="1:18">
      <c r="A5108" t="s">
        <v>10704</v>
      </c>
      <c r="G5108" s="225"/>
      <c r="H5108" s="210"/>
      <c r="K5108" s="180"/>
      <c r="M5108" t="s">
        <v>4945</v>
      </c>
      <c r="N5108" t="s">
        <v>5571</v>
      </c>
      <c r="O5108" t="s">
        <v>4944</v>
      </c>
      <c r="Q5108" t="str">
        <f t="shared" si="197"/>
        <v>condorProc.py --series 07181007_0451 --donoise --dumps a --procenv environments/pymidas_HVHV_NaI_mf.env</v>
      </c>
      <c r="R5108" t="str">
        <f t="shared" si="198"/>
        <v>ln -s ../../../../midasraw/byseries/07181007_0451 07181007_0451</v>
      </c>
    </row>
    <row r="5109" spans="1:18">
      <c r="A5109" t="s">
        <v>10705</v>
      </c>
      <c r="G5109" s="225"/>
      <c r="H5109" s="210"/>
      <c r="K5109" s="180"/>
      <c r="M5109" t="s">
        <v>4945</v>
      </c>
      <c r="N5109" t="s">
        <v>5571</v>
      </c>
      <c r="O5109" t="s">
        <v>4944</v>
      </c>
      <c r="Q5109" t="str">
        <f t="shared" si="197"/>
        <v>condorProc.py --series 07181007_0501 --donoise --dumps a --procenv environments/pymidas_HVHV_NaI_mf.env</v>
      </c>
      <c r="R5109" t="str">
        <f t="shared" si="198"/>
        <v>ln -s ../../../../midasraw/byseries/07181007_0501 07181007_0501</v>
      </c>
    </row>
    <row r="5110" spans="1:18">
      <c r="A5110" t="s">
        <v>10706</v>
      </c>
      <c r="G5110" s="225"/>
      <c r="H5110" s="210"/>
      <c r="K5110" s="180"/>
      <c r="M5110" t="s">
        <v>4945</v>
      </c>
      <c r="N5110" t="s">
        <v>5571</v>
      </c>
      <c r="O5110" t="s">
        <v>4944</v>
      </c>
      <c r="Q5110" t="str">
        <f t="shared" si="197"/>
        <v>condorProc.py --series 07181007_0511 --donoise --dumps a --procenv environments/pymidas_HVHV_NaI_mf.env</v>
      </c>
      <c r="R5110" t="str">
        <f t="shared" si="198"/>
        <v>ln -s ../../../../midasraw/byseries/07181007_0511 07181007_0511</v>
      </c>
    </row>
    <row r="5111" spans="1:18">
      <c r="A5111" t="s">
        <v>10707</v>
      </c>
      <c r="G5111" s="225"/>
      <c r="H5111" s="210"/>
      <c r="K5111" s="180"/>
      <c r="M5111" t="s">
        <v>4945</v>
      </c>
      <c r="N5111" t="s">
        <v>5571</v>
      </c>
      <c r="O5111" t="s">
        <v>4944</v>
      </c>
      <c r="Q5111" t="str">
        <f t="shared" si="197"/>
        <v>condorProc.py --series 07181007_0522 --donoise --dumps a --procenv environments/pymidas_HVHV_NaI_mf.env</v>
      </c>
      <c r="R5111" t="str">
        <f t="shared" si="198"/>
        <v>ln -s ../../../../midasraw/byseries/07181007_0522 07181007_0522</v>
      </c>
    </row>
    <row r="5112" spans="1:18">
      <c r="A5112" t="s">
        <v>10708</v>
      </c>
      <c r="G5112" s="225"/>
      <c r="H5112" s="210"/>
      <c r="K5112" s="180"/>
      <c r="M5112" t="s">
        <v>4945</v>
      </c>
      <c r="N5112" t="s">
        <v>5571</v>
      </c>
      <c r="O5112" t="s">
        <v>4944</v>
      </c>
      <c r="Q5112" t="str">
        <f t="shared" si="197"/>
        <v>condorProc.py --series 07181007_0532 --donoise --dumps a --procenv environments/pymidas_HVHV_NaI_mf.env</v>
      </c>
      <c r="R5112" t="str">
        <f t="shared" si="198"/>
        <v>ln -s ../../../../midasraw/byseries/07181007_0532 07181007_0532</v>
      </c>
    </row>
    <row r="5113" spans="1:18">
      <c r="A5113" t="s">
        <v>10709</v>
      </c>
      <c r="G5113" s="225"/>
      <c r="H5113" s="210"/>
      <c r="K5113" s="180"/>
      <c r="M5113" t="s">
        <v>4945</v>
      </c>
      <c r="N5113" t="s">
        <v>5571</v>
      </c>
      <c r="O5113" t="s">
        <v>4944</v>
      </c>
      <c r="Q5113" t="str">
        <f t="shared" si="197"/>
        <v>condorProc.py --series 07181007_0542 --donoise --dumps a --procenv environments/pymidas_HVHV_NaI_mf.env</v>
      </c>
      <c r="R5113" t="str">
        <f t="shared" si="198"/>
        <v>ln -s ../../../../midasraw/byseries/07181007_0542 07181007_0542</v>
      </c>
    </row>
    <row r="5114" spans="1:18">
      <c r="A5114" t="s">
        <v>10710</v>
      </c>
      <c r="G5114" s="225"/>
      <c r="H5114" s="210"/>
      <c r="K5114" s="180"/>
      <c r="M5114" t="s">
        <v>4945</v>
      </c>
      <c r="N5114" t="s">
        <v>5571</v>
      </c>
      <c r="O5114" t="s">
        <v>4944</v>
      </c>
      <c r="Q5114" t="str">
        <f t="shared" si="197"/>
        <v>condorProc.py --series 07181007_0552 --donoise --dumps a --procenv environments/pymidas_HVHV_NaI_mf.env</v>
      </c>
      <c r="R5114" t="str">
        <f t="shared" si="198"/>
        <v>ln -s ../../../../midasraw/byseries/07181007_0552 07181007_0552</v>
      </c>
    </row>
    <row r="5115" spans="1:18">
      <c r="A5115" t="s">
        <v>10711</v>
      </c>
      <c r="G5115" s="225"/>
      <c r="H5115" s="210"/>
      <c r="K5115" s="180"/>
      <c r="M5115" t="s">
        <v>4945</v>
      </c>
      <c r="N5115" t="s">
        <v>5571</v>
      </c>
      <c r="O5115" t="s">
        <v>4944</v>
      </c>
      <c r="Q5115" t="str">
        <f t="shared" si="197"/>
        <v>condorProc.py --series 07181007_0602 --donoise --dumps a --procenv environments/pymidas_HVHV_NaI_mf.env</v>
      </c>
      <c r="R5115" t="str">
        <f t="shared" si="198"/>
        <v>ln -s ../../../../midasraw/byseries/07181007_0602 07181007_0602</v>
      </c>
    </row>
    <row r="5116" spans="1:18">
      <c r="A5116" t="s">
        <v>10712</v>
      </c>
      <c r="F5116" s="65"/>
      <c r="G5116" s="226"/>
      <c r="H5116" s="211"/>
      <c r="I5116" s="65"/>
      <c r="J5116" s="65"/>
      <c r="K5116" s="182"/>
      <c r="M5116" t="s">
        <v>4945</v>
      </c>
      <c r="N5116" t="s">
        <v>5571</v>
      </c>
      <c r="O5116" t="s">
        <v>4944</v>
      </c>
      <c r="Q5116" t="str">
        <f t="shared" si="197"/>
        <v>condorProc.py --series 07181007_0612 --donoise --dumps a --procenv environments/pymidas_HVHV_NaI_mf.env</v>
      </c>
      <c r="R5116" t="str">
        <f t="shared" si="198"/>
        <v>ln -s ../../../../midasraw/byseries/07181007_0612 07181007_0612</v>
      </c>
    </row>
    <row r="5117" spans="1:18">
      <c r="A5117" t="s">
        <v>10713</v>
      </c>
      <c r="F5117" s="177">
        <v>10</v>
      </c>
      <c r="G5117" s="224" t="s">
        <v>8641</v>
      </c>
      <c r="H5117" s="209">
        <v>-125</v>
      </c>
      <c r="I5117" s="177" t="s">
        <v>75</v>
      </c>
      <c r="J5117" s="177" t="s">
        <v>5577</v>
      </c>
      <c r="K5117" s="178" t="s">
        <v>5583</v>
      </c>
      <c r="L5117" t="str">
        <f>"BatViewer --nohardcode "&amp;A5117&amp;"/"&amp;A5117&amp;"_F0010.mid.gz"</f>
        <v>BatViewer --nohardcode 07181007_0712/07181007_0712_F0010.mid.gz</v>
      </c>
      <c r="M5117" t="s">
        <v>4945</v>
      </c>
      <c r="N5117" t="s">
        <v>5571</v>
      </c>
      <c r="O5117" t="s">
        <v>4944</v>
      </c>
      <c r="Q5117" t="str">
        <f t="shared" si="197"/>
        <v>condorProc.py --series 07181007_0712 --donoise --dumps a --procenv environments/pymidas_HVHV_NaI_mf.env</v>
      </c>
      <c r="R5117" t="str">
        <f t="shared" si="198"/>
        <v>ln -s ../../../../midasraw/byseries/07181007_0712 07181007_0712</v>
      </c>
    </row>
    <row r="5118" spans="1:18">
      <c r="A5118" t="s">
        <v>10714</v>
      </c>
      <c r="G5118" s="225"/>
      <c r="H5118" s="210"/>
      <c r="J5118" t="s">
        <v>5585</v>
      </c>
      <c r="K5118" s="218" t="s">
        <v>5586</v>
      </c>
      <c r="M5118" t="s">
        <v>4945</v>
      </c>
      <c r="N5118" t="s">
        <v>5571</v>
      </c>
      <c r="O5118" t="s">
        <v>4944</v>
      </c>
      <c r="Q5118" t="str">
        <f t="shared" si="197"/>
        <v>condorProc.py --series 07181007_0722 --donoise --dumps a --procenv environments/pymidas_HVHV_NaI_mf.env</v>
      </c>
      <c r="R5118" t="str">
        <f t="shared" si="198"/>
        <v>ln -s ../../../../midasraw/byseries/07181007_0722 07181007_0722</v>
      </c>
    </row>
    <row r="5119" spans="1:18">
      <c r="A5119" t="s">
        <v>10715</v>
      </c>
      <c r="G5119" s="225"/>
      <c r="H5119" s="210"/>
      <c r="K5119" s="219" t="s">
        <v>8388</v>
      </c>
      <c r="M5119" t="s">
        <v>4945</v>
      </c>
      <c r="N5119" t="s">
        <v>5571</v>
      </c>
      <c r="O5119" t="s">
        <v>4944</v>
      </c>
      <c r="Q5119" t="str">
        <f t="shared" si="197"/>
        <v>condorProc.py --series 07181007_0732 --donoise --dumps a --procenv environments/pymidas_HVHV_NaI_mf.env</v>
      </c>
      <c r="R5119" t="str">
        <f t="shared" si="198"/>
        <v>ln -s ../../../../midasraw/byseries/07181007_0732 07181007_0732</v>
      </c>
    </row>
    <row r="5120" spans="1:18">
      <c r="A5120" t="s">
        <v>10716</v>
      </c>
      <c r="G5120" s="225"/>
      <c r="H5120" s="210"/>
      <c r="K5120" s="180"/>
      <c r="M5120" t="s">
        <v>4945</v>
      </c>
      <c r="N5120" t="s">
        <v>5571</v>
      </c>
      <c r="O5120" t="s">
        <v>4944</v>
      </c>
      <c r="Q5120" t="str">
        <f t="shared" si="197"/>
        <v>condorProc.py --series 07181007_0742 --donoise --dumps a --procenv environments/pymidas_HVHV_NaI_mf.env</v>
      </c>
      <c r="R5120" t="str">
        <f t="shared" si="198"/>
        <v>ln -s ../../../../midasraw/byseries/07181007_0742 07181007_0742</v>
      </c>
    </row>
    <row r="5121" spans="1:18">
      <c r="A5121" t="s">
        <v>10717</v>
      </c>
      <c r="G5121" s="225"/>
      <c r="H5121" s="210"/>
      <c r="K5121" s="180"/>
      <c r="M5121" t="s">
        <v>4945</v>
      </c>
      <c r="N5121" t="s">
        <v>5571</v>
      </c>
      <c r="O5121" t="s">
        <v>4944</v>
      </c>
      <c r="Q5121" t="str">
        <f t="shared" si="197"/>
        <v>condorProc.py --series 07181007_0752 --donoise --dumps a --procenv environments/pymidas_HVHV_NaI_mf.env</v>
      </c>
      <c r="R5121" t="str">
        <f t="shared" si="198"/>
        <v>ln -s ../../../../midasraw/byseries/07181007_0752 07181007_0752</v>
      </c>
    </row>
    <row r="5122" spans="1:18">
      <c r="A5122" t="s">
        <v>10718</v>
      </c>
      <c r="G5122" s="225"/>
      <c r="H5122" s="210"/>
      <c r="K5122" s="180"/>
      <c r="M5122" t="s">
        <v>4945</v>
      </c>
      <c r="N5122" t="s">
        <v>5571</v>
      </c>
      <c r="O5122" t="s">
        <v>4944</v>
      </c>
      <c r="Q5122" t="str">
        <f t="shared" si="197"/>
        <v>condorProc.py --series 07181007_0803 --donoise --dumps a --procenv environments/pymidas_HVHV_NaI_mf.env</v>
      </c>
      <c r="R5122" t="str">
        <f t="shared" si="198"/>
        <v>ln -s ../../../../midasraw/byseries/07181007_0803 07181007_0803</v>
      </c>
    </row>
    <row r="5123" spans="1:18">
      <c r="A5123" t="s">
        <v>10719</v>
      </c>
      <c r="G5123" s="225"/>
      <c r="H5123" s="210"/>
      <c r="K5123" s="180"/>
      <c r="M5123" t="s">
        <v>4945</v>
      </c>
      <c r="N5123" t="s">
        <v>5571</v>
      </c>
      <c r="O5123" t="s">
        <v>4944</v>
      </c>
      <c r="Q5123" t="str">
        <f t="shared" si="197"/>
        <v>condorProc.py --series 07181007_0813 --donoise --dumps a --procenv environments/pymidas_HVHV_NaI_mf.env</v>
      </c>
      <c r="R5123" t="str">
        <f t="shared" si="198"/>
        <v>ln -s ../../../../midasraw/byseries/07181007_0813 07181007_0813</v>
      </c>
    </row>
    <row r="5124" spans="1:18">
      <c r="A5124" t="s">
        <v>10720</v>
      </c>
      <c r="G5124" s="225"/>
      <c r="H5124" s="210"/>
      <c r="K5124" s="180"/>
      <c r="M5124" t="s">
        <v>4945</v>
      </c>
      <c r="N5124" t="s">
        <v>5571</v>
      </c>
      <c r="O5124" t="s">
        <v>4944</v>
      </c>
      <c r="Q5124" t="str">
        <f t="shared" si="197"/>
        <v>condorProc.py --series 07181007_0823 --donoise --dumps a --procenv environments/pymidas_HVHV_NaI_mf.env</v>
      </c>
      <c r="R5124" t="str">
        <f t="shared" si="198"/>
        <v>ln -s ../../../../midasraw/byseries/07181007_0823 07181007_0823</v>
      </c>
    </row>
    <row r="5125" spans="1:18">
      <c r="A5125" t="s">
        <v>10721</v>
      </c>
      <c r="G5125" s="225"/>
      <c r="H5125" s="210"/>
      <c r="K5125" s="180"/>
      <c r="M5125" t="s">
        <v>4945</v>
      </c>
      <c r="N5125" t="s">
        <v>5571</v>
      </c>
      <c r="O5125" t="s">
        <v>4944</v>
      </c>
      <c r="Q5125" t="str">
        <f t="shared" si="197"/>
        <v>condorProc.py --series 07181007_0833 --donoise --dumps a --procenv environments/pymidas_HVHV_NaI_mf.env</v>
      </c>
      <c r="R5125" t="str">
        <f t="shared" si="198"/>
        <v>ln -s ../../../../midasraw/byseries/07181007_0833 07181007_0833</v>
      </c>
    </row>
    <row r="5126" spans="1:18">
      <c r="A5126" t="s">
        <v>10722</v>
      </c>
      <c r="G5126" s="225"/>
      <c r="H5126" s="210"/>
      <c r="K5126" s="180"/>
      <c r="M5126" t="s">
        <v>4945</v>
      </c>
      <c r="N5126" t="s">
        <v>5571</v>
      </c>
      <c r="O5126" t="s">
        <v>4944</v>
      </c>
      <c r="Q5126" t="str">
        <f t="shared" si="197"/>
        <v>condorProc.py --series 07181007_0843 --donoise --dumps a --procenv environments/pymidas_HVHV_NaI_mf.env</v>
      </c>
      <c r="R5126" t="str">
        <f t="shared" si="198"/>
        <v>ln -s ../../../../midasraw/byseries/07181007_0843 07181007_0843</v>
      </c>
    </row>
    <row r="5127" spans="1:18">
      <c r="A5127" t="s">
        <v>10723</v>
      </c>
      <c r="G5127" s="225"/>
      <c r="H5127" s="210"/>
      <c r="K5127" s="180"/>
      <c r="M5127" t="s">
        <v>4945</v>
      </c>
      <c r="N5127" t="s">
        <v>5571</v>
      </c>
      <c r="O5127" t="s">
        <v>4944</v>
      </c>
      <c r="Q5127" t="str">
        <f t="shared" ref="Q5127:Q5190" si="199">"condorProc.py --series "&amp;A5127&amp;" --donoise --dumps a --procenv environments/pymidas_HVHV_NaI_mf.env"</f>
        <v>condorProc.py --series 07181007_0853 --donoise --dumps a --procenv environments/pymidas_HVHV_NaI_mf.env</v>
      </c>
      <c r="R5127" t="str">
        <f t="shared" ref="R5127:R5190" si="200">"ln -s ../../../../midasraw/byseries/"&amp;A5127&amp;" "&amp;A5127</f>
        <v>ln -s ../../../../midasraw/byseries/07181007_0853 07181007_0853</v>
      </c>
    </row>
    <row r="5128" spans="1:18">
      <c r="A5128" t="s">
        <v>10724</v>
      </c>
      <c r="F5128" s="65"/>
      <c r="G5128" s="226"/>
      <c r="H5128" s="211"/>
      <c r="I5128" s="65"/>
      <c r="J5128" s="65"/>
      <c r="K5128" s="182"/>
      <c r="M5128" t="s">
        <v>4945</v>
      </c>
      <c r="N5128" t="s">
        <v>5571</v>
      </c>
      <c r="O5128" t="s">
        <v>4944</v>
      </c>
      <c r="Q5128" t="str">
        <f t="shared" si="199"/>
        <v>condorProc.py --series 07181007_0903 --donoise --dumps a --procenv environments/pymidas_HVHV_NaI_mf.env</v>
      </c>
      <c r="R5128" t="str">
        <f t="shared" si="200"/>
        <v>ln -s ../../../../midasraw/byseries/07181007_0903 07181007_0903</v>
      </c>
    </row>
    <row r="5129" spans="1:18">
      <c r="A5129" t="s">
        <v>10725</v>
      </c>
      <c r="F5129" s="177">
        <v>10</v>
      </c>
      <c r="G5129" s="224" t="s">
        <v>8641</v>
      </c>
      <c r="H5129" s="209">
        <v>-125</v>
      </c>
      <c r="I5129" s="177"/>
      <c r="J5129" s="177" t="s">
        <v>5577</v>
      </c>
      <c r="K5129" s="178" t="s">
        <v>5583</v>
      </c>
      <c r="M5129" t="s">
        <v>4945</v>
      </c>
      <c r="N5129" t="s">
        <v>5571</v>
      </c>
      <c r="O5129" t="s">
        <v>4944</v>
      </c>
      <c r="Q5129" t="str">
        <f t="shared" si="199"/>
        <v>condorProc.py --series 07181007_1003 --donoise --dumps a --procenv environments/pymidas_HVHV_NaI_mf.env</v>
      </c>
      <c r="R5129" t="str">
        <f t="shared" si="200"/>
        <v>ln -s ../../../../midasraw/byseries/07181007_1003 07181007_1003</v>
      </c>
    </row>
    <row r="5130" spans="1:18">
      <c r="A5130" t="s">
        <v>10726</v>
      </c>
      <c r="G5130" s="225"/>
      <c r="H5130" s="210"/>
      <c r="J5130" t="s">
        <v>5585</v>
      </c>
      <c r="K5130" s="218" t="s">
        <v>5586</v>
      </c>
      <c r="M5130" t="s">
        <v>4945</v>
      </c>
      <c r="N5130" t="s">
        <v>5571</v>
      </c>
      <c r="O5130" t="s">
        <v>4944</v>
      </c>
      <c r="Q5130" t="str">
        <f t="shared" si="199"/>
        <v>condorProc.py --series 07181007_1013 --donoise --dumps a --procenv environments/pymidas_HVHV_NaI_mf.env</v>
      </c>
      <c r="R5130" t="str">
        <f t="shared" si="200"/>
        <v>ln -s ../../../../midasraw/byseries/07181007_1013 07181007_1013</v>
      </c>
    </row>
    <row r="5131" spans="1:18">
      <c r="A5131" t="s">
        <v>10727</v>
      </c>
      <c r="G5131" s="225"/>
      <c r="H5131" s="210"/>
      <c r="K5131" s="219" t="s">
        <v>8388</v>
      </c>
      <c r="M5131" t="s">
        <v>4945</v>
      </c>
      <c r="N5131" t="s">
        <v>5571</v>
      </c>
      <c r="O5131" t="s">
        <v>4944</v>
      </c>
      <c r="Q5131" t="str">
        <f t="shared" si="199"/>
        <v>condorProc.py --series 07181007_1024 --donoise --dumps a --procenv environments/pymidas_HVHV_NaI_mf.env</v>
      </c>
      <c r="R5131" t="str">
        <f t="shared" si="200"/>
        <v>ln -s ../../../../midasraw/byseries/07181007_1024 07181007_1024</v>
      </c>
    </row>
    <row r="5132" spans="1:18">
      <c r="A5132" t="s">
        <v>10728</v>
      </c>
      <c r="G5132" s="225"/>
      <c r="H5132" s="210"/>
      <c r="K5132" s="180"/>
      <c r="M5132" t="s">
        <v>4945</v>
      </c>
      <c r="N5132" t="s">
        <v>5571</v>
      </c>
      <c r="O5132" t="s">
        <v>4944</v>
      </c>
      <c r="Q5132" t="str">
        <f t="shared" si="199"/>
        <v>condorProc.py --series 07181007_1034 --donoise --dumps a --procenv environments/pymidas_HVHV_NaI_mf.env</v>
      </c>
      <c r="R5132" t="str">
        <f t="shared" si="200"/>
        <v>ln -s ../../../../midasraw/byseries/07181007_1034 07181007_1034</v>
      </c>
    </row>
    <row r="5133" spans="1:18">
      <c r="A5133" t="s">
        <v>10729</v>
      </c>
      <c r="G5133" s="225"/>
      <c r="H5133" s="210"/>
      <c r="K5133" s="180"/>
      <c r="M5133" t="s">
        <v>4945</v>
      </c>
      <c r="N5133" t="s">
        <v>5571</v>
      </c>
      <c r="O5133" t="s">
        <v>4944</v>
      </c>
      <c r="Q5133" t="str">
        <f t="shared" si="199"/>
        <v>condorProc.py --series 07181007_1044 --donoise --dumps a --procenv environments/pymidas_HVHV_NaI_mf.env</v>
      </c>
      <c r="R5133" t="str">
        <f t="shared" si="200"/>
        <v>ln -s ../../../../midasraw/byseries/07181007_1044 07181007_1044</v>
      </c>
    </row>
    <row r="5134" spans="1:18">
      <c r="A5134" t="s">
        <v>10730</v>
      </c>
      <c r="G5134" s="225"/>
      <c r="H5134" s="210"/>
      <c r="K5134" s="180"/>
      <c r="M5134" t="s">
        <v>4945</v>
      </c>
      <c r="N5134" t="s">
        <v>5571</v>
      </c>
      <c r="O5134" t="s">
        <v>4944</v>
      </c>
      <c r="Q5134" t="str">
        <f t="shared" si="199"/>
        <v>condorProc.py --series 07181007_1054 --donoise --dumps a --procenv environments/pymidas_HVHV_NaI_mf.env</v>
      </c>
      <c r="R5134" t="str">
        <f t="shared" si="200"/>
        <v>ln -s ../../../../midasraw/byseries/07181007_1054 07181007_1054</v>
      </c>
    </row>
    <row r="5135" spans="1:18">
      <c r="A5135" t="s">
        <v>10731</v>
      </c>
      <c r="G5135" s="225"/>
      <c r="H5135" s="210"/>
      <c r="K5135" s="180"/>
      <c r="M5135" t="s">
        <v>4945</v>
      </c>
      <c r="N5135" t="s">
        <v>5571</v>
      </c>
      <c r="O5135" t="s">
        <v>4944</v>
      </c>
      <c r="Q5135" t="str">
        <f t="shared" si="199"/>
        <v>condorProc.py --series 07181007_1104 --donoise --dumps a --procenv environments/pymidas_HVHV_NaI_mf.env</v>
      </c>
      <c r="R5135" t="str">
        <f t="shared" si="200"/>
        <v>ln -s ../../../../midasraw/byseries/07181007_1104 07181007_1104</v>
      </c>
    </row>
    <row r="5136" spans="1:18">
      <c r="A5136" t="s">
        <v>10732</v>
      </c>
      <c r="G5136" s="225"/>
      <c r="H5136" s="210"/>
      <c r="K5136" s="180"/>
      <c r="M5136" t="s">
        <v>4945</v>
      </c>
      <c r="N5136" t="s">
        <v>5571</v>
      </c>
      <c r="O5136" t="s">
        <v>4944</v>
      </c>
      <c r="Q5136" t="str">
        <f t="shared" si="199"/>
        <v>condorProc.py --series 07181007_1114 --donoise --dumps a --procenv environments/pymidas_HVHV_NaI_mf.env</v>
      </c>
      <c r="R5136" t="str">
        <f t="shared" si="200"/>
        <v>ln -s ../../../../midasraw/byseries/07181007_1114 07181007_1114</v>
      </c>
    </row>
    <row r="5137" spans="1:18">
      <c r="A5137" t="s">
        <v>10733</v>
      </c>
      <c r="G5137" s="225"/>
      <c r="H5137" s="210"/>
      <c r="K5137" s="180"/>
      <c r="M5137" t="s">
        <v>4945</v>
      </c>
      <c r="N5137" t="s">
        <v>5571</v>
      </c>
      <c r="O5137" t="s">
        <v>4944</v>
      </c>
      <c r="Q5137" t="str">
        <f t="shared" si="199"/>
        <v>condorProc.py --series 07181007_1124 --donoise --dumps a --procenv environments/pymidas_HVHV_NaI_mf.env</v>
      </c>
      <c r="R5137" t="str">
        <f t="shared" si="200"/>
        <v>ln -s ../../../../midasraw/byseries/07181007_1124 07181007_1124</v>
      </c>
    </row>
    <row r="5138" spans="1:18">
      <c r="A5138" t="s">
        <v>10734</v>
      </c>
      <c r="G5138" s="225"/>
      <c r="H5138" s="210"/>
      <c r="K5138" s="180"/>
      <c r="M5138" t="s">
        <v>4945</v>
      </c>
      <c r="N5138" t="s">
        <v>5571</v>
      </c>
      <c r="O5138" t="s">
        <v>4944</v>
      </c>
      <c r="Q5138" t="str">
        <f t="shared" si="199"/>
        <v>condorProc.py --series 07181007_1134 --donoise --dumps a --procenv environments/pymidas_HVHV_NaI_mf.env</v>
      </c>
      <c r="R5138" t="str">
        <f t="shared" si="200"/>
        <v>ln -s ../../../../midasraw/byseries/07181007_1134 07181007_1134</v>
      </c>
    </row>
    <row r="5139" spans="1:18">
      <c r="A5139" t="s">
        <v>10735</v>
      </c>
      <c r="G5139" s="225"/>
      <c r="H5139" s="210"/>
      <c r="K5139" s="180"/>
      <c r="M5139" t="s">
        <v>4945</v>
      </c>
      <c r="N5139" t="s">
        <v>5571</v>
      </c>
      <c r="O5139" t="s">
        <v>4944</v>
      </c>
      <c r="Q5139" t="str">
        <f t="shared" si="199"/>
        <v>condorProc.py --series 07181007_1145 --donoise --dumps a --procenv environments/pymidas_HVHV_NaI_mf.env</v>
      </c>
      <c r="R5139" t="str">
        <f t="shared" si="200"/>
        <v>ln -s ../../../../midasraw/byseries/07181007_1145 07181007_1145</v>
      </c>
    </row>
    <row r="5140" spans="1:18">
      <c r="A5140" t="s">
        <v>10736</v>
      </c>
      <c r="F5140" s="65"/>
      <c r="G5140" s="226"/>
      <c r="H5140" s="211"/>
      <c r="I5140" s="65"/>
      <c r="J5140" s="65"/>
      <c r="K5140" s="182"/>
      <c r="M5140" t="s">
        <v>4945</v>
      </c>
      <c r="N5140" t="s">
        <v>5571</v>
      </c>
      <c r="O5140" t="s">
        <v>4944</v>
      </c>
      <c r="Q5140" t="str">
        <f t="shared" si="199"/>
        <v>condorProc.py --series 07181007_1155 --donoise --dumps a --procenv environments/pymidas_HVHV_NaI_mf.env</v>
      </c>
      <c r="R5140" t="str">
        <f t="shared" si="200"/>
        <v>ln -s ../../../../midasraw/byseries/07181007_1155 07181007_1155</v>
      </c>
    </row>
    <row r="5141" spans="1:18">
      <c r="A5141" t="s">
        <v>10737</v>
      </c>
      <c r="F5141" s="177">
        <v>10</v>
      </c>
      <c r="G5141" s="224" t="s">
        <v>8641</v>
      </c>
      <c r="H5141" s="209">
        <v>-125</v>
      </c>
      <c r="I5141" s="177"/>
      <c r="J5141" s="177" t="s">
        <v>5577</v>
      </c>
      <c r="K5141" s="178" t="s">
        <v>5583</v>
      </c>
      <c r="L5141" s="1">
        <f>DATE(2000+MID(A5141,3,2),MID(A5141,5,2),MID(A5141,7,2))+TIME(MID(A5141,10,2),MID(A5141,12,2),0)</f>
        <v>43380.537499999999</v>
      </c>
      <c r="M5141" t="s">
        <v>4945</v>
      </c>
      <c r="N5141" t="s">
        <v>5571</v>
      </c>
      <c r="O5141" t="s">
        <v>4944</v>
      </c>
      <c r="Q5141" t="str">
        <f t="shared" si="199"/>
        <v>condorProc.py --series 07181007_1254 --donoise --dumps a --procenv environments/pymidas_HVHV_NaI_mf.env</v>
      </c>
      <c r="R5141" t="str">
        <f t="shared" si="200"/>
        <v>ln -s ../../../../midasraw/byseries/07181007_1254 07181007_1254</v>
      </c>
    </row>
    <row r="5142" spans="1:18">
      <c r="A5142" t="s">
        <v>10738</v>
      </c>
      <c r="G5142" s="225"/>
      <c r="H5142" s="210"/>
      <c r="I5142" t="s">
        <v>75</v>
      </c>
      <c r="J5142" t="s">
        <v>5585</v>
      </c>
      <c r="K5142" s="218" t="s">
        <v>5586</v>
      </c>
      <c r="L5142" s="158">
        <f>L5141+(2+7/60)/24</f>
        <v>43380.625694444439</v>
      </c>
      <c r="M5142" t="s">
        <v>4945</v>
      </c>
      <c r="N5142" t="s">
        <v>5571</v>
      </c>
      <c r="O5142" t="s">
        <v>4944</v>
      </c>
      <c r="Q5142" t="str">
        <f t="shared" si="199"/>
        <v>condorProc.py --series 07181007_1304 --donoise --dumps a --procenv environments/pymidas_HVHV_NaI_mf.env</v>
      </c>
      <c r="R5142" t="str">
        <f t="shared" si="200"/>
        <v>ln -s ../../../../midasraw/byseries/07181007_1304 07181007_1304</v>
      </c>
    </row>
    <row r="5143" spans="1:18">
      <c r="A5143" t="s">
        <v>10739</v>
      </c>
      <c r="G5143" s="225"/>
      <c r="H5143" s="210"/>
      <c r="K5143" s="219" t="s">
        <v>8388</v>
      </c>
      <c r="L5143" s="158">
        <f>L5142+31/60/24</f>
        <v>43380.647222222215</v>
      </c>
      <c r="M5143" t="s">
        <v>4945</v>
      </c>
      <c r="N5143" t="s">
        <v>5571</v>
      </c>
      <c r="O5143" t="s">
        <v>4944</v>
      </c>
      <c r="Q5143" t="str">
        <f t="shared" si="199"/>
        <v>condorProc.py --series 07181007_1314 --donoise --dumps a --procenv environments/pymidas_HVHV_NaI_mf.env</v>
      </c>
      <c r="R5143" t="str">
        <f t="shared" si="200"/>
        <v>ln -s ../../../../midasraw/byseries/07181007_1314 07181007_1314</v>
      </c>
    </row>
    <row r="5144" spans="1:18">
      <c r="A5144" t="s">
        <v>10740</v>
      </c>
      <c r="G5144" s="225"/>
      <c r="H5144" s="210"/>
      <c r="K5144" s="180"/>
      <c r="L5144" s="1">
        <f>L5141+(2+51/60)/24</f>
        <v>43380.65625</v>
      </c>
      <c r="M5144" t="s">
        <v>4945</v>
      </c>
      <c r="N5144" t="s">
        <v>5571</v>
      </c>
      <c r="O5144" t="s">
        <v>4944</v>
      </c>
      <c r="Q5144" t="str">
        <f t="shared" si="199"/>
        <v>condorProc.py --series 07181007_1324 --donoise --dumps a --procenv environments/pymidas_HVHV_NaI_mf.env</v>
      </c>
      <c r="R5144" t="str">
        <f t="shared" si="200"/>
        <v>ln -s ../../../../midasraw/byseries/07181007_1324 07181007_1324</v>
      </c>
    </row>
    <row r="5145" spans="1:18">
      <c r="A5145" t="s">
        <v>10741</v>
      </c>
      <c r="G5145" s="225"/>
      <c r="H5145" s="210"/>
      <c r="K5145" s="180"/>
      <c r="M5145" t="s">
        <v>4945</v>
      </c>
      <c r="N5145" t="s">
        <v>5571</v>
      </c>
      <c r="O5145" t="s">
        <v>4944</v>
      </c>
      <c r="Q5145" t="str">
        <f t="shared" si="199"/>
        <v>condorProc.py --series 07181007_1335 --donoise --dumps a --procenv environments/pymidas_HVHV_NaI_mf.env</v>
      </c>
      <c r="R5145" t="str">
        <f t="shared" si="200"/>
        <v>ln -s ../../../../midasraw/byseries/07181007_1335 07181007_1335</v>
      </c>
    </row>
    <row r="5146" spans="1:18">
      <c r="A5146" t="s">
        <v>10742</v>
      </c>
      <c r="G5146" s="225"/>
      <c r="H5146" s="210"/>
      <c r="K5146" s="180"/>
      <c r="M5146" t="s">
        <v>4945</v>
      </c>
      <c r="N5146" t="s">
        <v>5571</v>
      </c>
      <c r="O5146" t="s">
        <v>4944</v>
      </c>
      <c r="Q5146" t="str">
        <f t="shared" si="199"/>
        <v>condorProc.py --series 07181007_1345 --donoise --dumps a --procenv environments/pymidas_HVHV_NaI_mf.env</v>
      </c>
      <c r="R5146" t="str">
        <f t="shared" si="200"/>
        <v>ln -s ../../../../midasraw/byseries/07181007_1345 07181007_1345</v>
      </c>
    </row>
    <row r="5147" spans="1:18">
      <c r="A5147" t="s">
        <v>10743</v>
      </c>
      <c r="G5147" s="225"/>
      <c r="H5147" s="210"/>
      <c r="K5147" s="180"/>
      <c r="M5147" t="s">
        <v>4945</v>
      </c>
      <c r="N5147" t="s">
        <v>5571</v>
      </c>
      <c r="O5147" t="s">
        <v>4944</v>
      </c>
      <c r="Q5147" t="str">
        <f t="shared" si="199"/>
        <v>condorProc.py --series 07181007_1355 --donoise --dumps a --procenv environments/pymidas_HVHV_NaI_mf.env</v>
      </c>
      <c r="R5147" t="str">
        <f t="shared" si="200"/>
        <v>ln -s ../../../../midasraw/byseries/07181007_1355 07181007_1355</v>
      </c>
    </row>
    <row r="5148" spans="1:18">
      <c r="A5148" t="s">
        <v>10744</v>
      </c>
      <c r="G5148" s="225"/>
      <c r="H5148" s="210"/>
      <c r="K5148" s="180"/>
      <c r="M5148" t="s">
        <v>4945</v>
      </c>
      <c r="N5148" t="s">
        <v>5571</v>
      </c>
      <c r="O5148" t="s">
        <v>4944</v>
      </c>
      <c r="Q5148" t="str">
        <f t="shared" si="199"/>
        <v>condorProc.py --series 07181007_1405 --donoise --dumps a --procenv environments/pymidas_HVHV_NaI_mf.env</v>
      </c>
      <c r="R5148" t="str">
        <f t="shared" si="200"/>
        <v>ln -s ../../../../midasraw/byseries/07181007_1405 07181007_1405</v>
      </c>
    </row>
    <row r="5149" spans="1:18">
      <c r="A5149" t="s">
        <v>10745</v>
      </c>
      <c r="G5149" s="225"/>
      <c r="H5149" s="210"/>
      <c r="K5149" s="180"/>
      <c r="M5149" t="s">
        <v>4945</v>
      </c>
      <c r="N5149" t="s">
        <v>5571</v>
      </c>
      <c r="O5149" t="s">
        <v>4944</v>
      </c>
      <c r="Q5149" t="str">
        <f t="shared" si="199"/>
        <v>condorProc.py --series 07181007_1415 --donoise --dumps a --procenv environments/pymidas_HVHV_NaI_mf.env</v>
      </c>
      <c r="R5149" t="str">
        <f t="shared" si="200"/>
        <v>ln -s ../../../../midasraw/byseries/07181007_1415 07181007_1415</v>
      </c>
    </row>
    <row r="5150" spans="1:18">
      <c r="A5150" t="s">
        <v>10746</v>
      </c>
      <c r="G5150" s="225"/>
      <c r="H5150" s="210"/>
      <c r="K5150" s="180"/>
      <c r="M5150" t="s">
        <v>4945</v>
      </c>
      <c r="N5150" t="s">
        <v>5571</v>
      </c>
      <c r="O5150" t="s">
        <v>4944</v>
      </c>
      <c r="Q5150" t="str">
        <f t="shared" si="199"/>
        <v>condorProc.py --series 07181007_1425 --donoise --dumps a --procenv environments/pymidas_HVHV_NaI_mf.env</v>
      </c>
      <c r="R5150" t="str">
        <f t="shared" si="200"/>
        <v>ln -s ../../../../midasraw/byseries/07181007_1425 07181007_1425</v>
      </c>
    </row>
    <row r="5151" spans="1:18">
      <c r="A5151" t="s">
        <v>10747</v>
      </c>
      <c r="G5151" s="225"/>
      <c r="H5151" s="210"/>
      <c r="K5151" s="180"/>
      <c r="M5151" t="s">
        <v>4945</v>
      </c>
      <c r="N5151" t="s">
        <v>5571</v>
      </c>
      <c r="O5151" t="s">
        <v>4944</v>
      </c>
      <c r="Q5151" t="str">
        <f t="shared" si="199"/>
        <v>condorProc.py --series 07181007_1435 --donoise --dumps a --procenv environments/pymidas_HVHV_NaI_mf.env</v>
      </c>
      <c r="R5151" t="str">
        <f t="shared" si="200"/>
        <v>ln -s ../../../../midasraw/byseries/07181007_1435 07181007_1435</v>
      </c>
    </row>
    <row r="5152" spans="1:18">
      <c r="A5152" t="s">
        <v>10748</v>
      </c>
      <c r="F5152" s="65"/>
      <c r="G5152" s="226"/>
      <c r="H5152" s="211"/>
      <c r="I5152" s="65" t="s">
        <v>75</v>
      </c>
      <c r="J5152" s="65"/>
      <c r="K5152" s="182"/>
      <c r="L5152" t="str">
        <f>"BatViewer --nohardcode "&amp;A5152&amp;"/"&amp;A5152&amp;"_F0010.mid.gz"</f>
        <v>BatViewer --nohardcode 07181007_1445/07181007_1445_F0010.mid.gz</v>
      </c>
      <c r="M5152" t="s">
        <v>4945</v>
      </c>
      <c r="N5152" t="s">
        <v>5571</v>
      </c>
      <c r="O5152" t="s">
        <v>4944</v>
      </c>
      <c r="Q5152" t="str">
        <f t="shared" si="199"/>
        <v>condorProc.py --series 07181007_1445 --donoise --dumps a --procenv environments/pymidas_HVHV_NaI_mf.env</v>
      </c>
      <c r="R5152" t="str">
        <f t="shared" si="200"/>
        <v>ln -s ../../../../midasraw/byseries/07181007_1445 07181007_1445</v>
      </c>
    </row>
    <row r="5153" spans="1:18">
      <c r="A5153" t="s">
        <v>10749</v>
      </c>
      <c r="F5153" s="177">
        <v>10</v>
      </c>
      <c r="G5153" s="224" t="s">
        <v>8641</v>
      </c>
      <c r="H5153" s="209">
        <v>-125</v>
      </c>
      <c r="I5153" s="177"/>
      <c r="J5153" s="177" t="s">
        <v>5577</v>
      </c>
      <c r="K5153" s="178" t="s">
        <v>5583</v>
      </c>
      <c r="M5153" t="s">
        <v>4945</v>
      </c>
      <c r="N5153" t="s">
        <v>5571</v>
      </c>
      <c r="O5153" t="s">
        <v>4944</v>
      </c>
      <c r="Q5153" t="str">
        <f t="shared" si="199"/>
        <v>condorProc.py --series 07181007_1554 --donoise --dumps a --procenv environments/pymidas_HVHV_NaI_mf.env</v>
      </c>
      <c r="R5153" t="str">
        <f t="shared" si="200"/>
        <v>ln -s ../../../../midasraw/byseries/07181007_1554 07181007_1554</v>
      </c>
    </row>
    <row r="5154" spans="1:18">
      <c r="A5154" t="s">
        <v>10750</v>
      </c>
      <c r="G5154" s="225"/>
      <c r="H5154" s="210"/>
      <c r="J5154" t="s">
        <v>5585</v>
      </c>
      <c r="K5154" s="218" t="s">
        <v>5586</v>
      </c>
      <c r="M5154" t="s">
        <v>4945</v>
      </c>
      <c r="N5154" t="s">
        <v>5571</v>
      </c>
      <c r="O5154" t="s">
        <v>4944</v>
      </c>
      <c r="Q5154" t="str">
        <f t="shared" si="199"/>
        <v>condorProc.py --series 07181007_1604 --donoise --dumps a --procenv environments/pymidas_HVHV_NaI_mf.env</v>
      </c>
      <c r="R5154" t="str">
        <f t="shared" si="200"/>
        <v>ln -s ../../../../midasraw/byseries/07181007_1604 07181007_1604</v>
      </c>
    </row>
    <row r="5155" spans="1:18">
      <c r="A5155" t="s">
        <v>10751</v>
      </c>
      <c r="G5155" s="225"/>
      <c r="H5155" s="210"/>
      <c r="K5155" s="219" t="s">
        <v>8388</v>
      </c>
      <c r="M5155" t="s">
        <v>4945</v>
      </c>
      <c r="N5155" t="s">
        <v>5571</v>
      </c>
      <c r="O5155" t="s">
        <v>4944</v>
      </c>
      <c r="Q5155" t="str">
        <f t="shared" si="199"/>
        <v>condorProc.py --series 07181007_1614 --donoise --dumps a --procenv environments/pymidas_HVHV_NaI_mf.env</v>
      </c>
      <c r="R5155" t="str">
        <f t="shared" si="200"/>
        <v>ln -s ../../../../midasraw/byseries/07181007_1614 07181007_1614</v>
      </c>
    </row>
    <row r="5156" spans="1:18">
      <c r="A5156" t="s">
        <v>10752</v>
      </c>
      <c r="G5156" s="225"/>
      <c r="H5156" s="210"/>
      <c r="K5156" s="180"/>
      <c r="M5156" t="s">
        <v>4945</v>
      </c>
      <c r="N5156" t="s">
        <v>5571</v>
      </c>
      <c r="O5156" t="s">
        <v>4944</v>
      </c>
      <c r="Q5156" t="str">
        <f t="shared" si="199"/>
        <v>condorProc.py --series 07181007_1624 --donoise --dumps a --procenv environments/pymidas_HVHV_NaI_mf.env</v>
      </c>
      <c r="R5156" t="str">
        <f t="shared" si="200"/>
        <v>ln -s ../../../../midasraw/byseries/07181007_1624 07181007_1624</v>
      </c>
    </row>
    <row r="5157" spans="1:18">
      <c r="A5157" t="s">
        <v>10753</v>
      </c>
      <c r="G5157" s="225"/>
      <c r="H5157" s="210"/>
      <c r="K5157" s="180"/>
      <c r="M5157" t="s">
        <v>4945</v>
      </c>
      <c r="N5157" t="s">
        <v>5571</v>
      </c>
      <c r="O5157" t="s">
        <v>4944</v>
      </c>
      <c r="Q5157" t="str">
        <f t="shared" si="199"/>
        <v>condorProc.py --series 07181007_1634 --donoise --dumps a --procenv environments/pymidas_HVHV_NaI_mf.env</v>
      </c>
      <c r="R5157" t="str">
        <f t="shared" si="200"/>
        <v>ln -s ../../../../midasraw/byseries/07181007_1634 07181007_1634</v>
      </c>
    </row>
    <row r="5158" spans="1:18">
      <c r="A5158" t="s">
        <v>10754</v>
      </c>
      <c r="G5158" s="225"/>
      <c r="H5158" s="210"/>
      <c r="K5158" s="180"/>
      <c r="M5158" t="s">
        <v>4945</v>
      </c>
      <c r="N5158" t="s">
        <v>5571</v>
      </c>
      <c r="O5158" t="s">
        <v>4944</v>
      </c>
      <c r="Q5158" t="str">
        <f t="shared" si="199"/>
        <v>condorProc.py --series 07181007_1644 --donoise --dumps a --procenv environments/pymidas_HVHV_NaI_mf.env</v>
      </c>
      <c r="R5158" t="str">
        <f t="shared" si="200"/>
        <v>ln -s ../../../../midasraw/byseries/07181007_1644 07181007_1644</v>
      </c>
    </row>
    <row r="5159" spans="1:18">
      <c r="A5159" t="s">
        <v>10755</v>
      </c>
      <c r="G5159" s="225"/>
      <c r="H5159" s="210"/>
      <c r="K5159" s="180"/>
      <c r="M5159" t="s">
        <v>4945</v>
      </c>
      <c r="N5159" t="s">
        <v>5571</v>
      </c>
      <c r="O5159" t="s">
        <v>4944</v>
      </c>
      <c r="Q5159" t="str">
        <f t="shared" si="199"/>
        <v>condorProc.py --series 07181007_1654 --donoise --dumps a --procenv environments/pymidas_HVHV_NaI_mf.env</v>
      </c>
      <c r="R5159" t="str">
        <f t="shared" si="200"/>
        <v>ln -s ../../../../midasraw/byseries/07181007_1654 07181007_1654</v>
      </c>
    </row>
    <row r="5160" spans="1:18">
      <c r="A5160" t="s">
        <v>10756</v>
      </c>
      <c r="G5160" s="225"/>
      <c r="H5160" s="210"/>
      <c r="K5160" s="180"/>
      <c r="M5160" t="s">
        <v>4945</v>
      </c>
      <c r="N5160" t="s">
        <v>5571</v>
      </c>
      <c r="O5160" t="s">
        <v>4944</v>
      </c>
      <c r="Q5160" t="str">
        <f t="shared" si="199"/>
        <v>condorProc.py --series 07181007_1704 --donoise --dumps a --procenv environments/pymidas_HVHV_NaI_mf.env</v>
      </c>
      <c r="R5160" t="str">
        <f t="shared" si="200"/>
        <v>ln -s ../../../../midasraw/byseries/07181007_1704 07181007_1704</v>
      </c>
    </row>
    <row r="5161" spans="1:18">
      <c r="A5161" t="s">
        <v>10757</v>
      </c>
      <c r="G5161" s="225"/>
      <c r="H5161" s="210"/>
      <c r="K5161" s="180"/>
      <c r="M5161" t="s">
        <v>4945</v>
      </c>
      <c r="N5161" t="s">
        <v>5571</v>
      </c>
      <c r="O5161" t="s">
        <v>4944</v>
      </c>
      <c r="Q5161" t="str">
        <f t="shared" si="199"/>
        <v>condorProc.py --series 07181007_1715 --donoise --dumps a --procenv environments/pymidas_HVHV_NaI_mf.env</v>
      </c>
      <c r="R5161" t="str">
        <f t="shared" si="200"/>
        <v>ln -s ../../../../midasraw/byseries/07181007_1715 07181007_1715</v>
      </c>
    </row>
    <row r="5162" spans="1:18">
      <c r="A5162" t="s">
        <v>10758</v>
      </c>
      <c r="G5162" s="225"/>
      <c r="H5162" s="210"/>
      <c r="K5162" s="180"/>
      <c r="M5162" t="s">
        <v>4945</v>
      </c>
      <c r="N5162" t="s">
        <v>5571</v>
      </c>
      <c r="O5162" t="s">
        <v>4944</v>
      </c>
      <c r="Q5162" t="str">
        <f t="shared" si="199"/>
        <v>condorProc.py --series 07181007_1725 --donoise --dumps a --procenv environments/pymidas_HVHV_NaI_mf.env</v>
      </c>
      <c r="R5162" t="str">
        <f t="shared" si="200"/>
        <v>ln -s ../../../../midasraw/byseries/07181007_1725 07181007_1725</v>
      </c>
    </row>
    <row r="5163" spans="1:18">
      <c r="A5163" t="s">
        <v>10759</v>
      </c>
      <c r="G5163" s="225"/>
      <c r="H5163" s="210"/>
      <c r="K5163" s="180"/>
      <c r="M5163" t="s">
        <v>4945</v>
      </c>
      <c r="N5163" t="s">
        <v>5571</v>
      </c>
      <c r="O5163" t="s">
        <v>4944</v>
      </c>
      <c r="Q5163" t="str">
        <f t="shared" si="199"/>
        <v>condorProc.py --series 07181007_1735 --donoise --dumps a --procenv environments/pymidas_HVHV_NaI_mf.env</v>
      </c>
      <c r="R5163" t="str">
        <f t="shared" si="200"/>
        <v>ln -s ../../../../midasraw/byseries/07181007_1735 07181007_1735</v>
      </c>
    </row>
    <row r="5164" spans="1:18">
      <c r="A5164" t="s">
        <v>10760</v>
      </c>
      <c r="F5164" s="65"/>
      <c r="G5164" s="226"/>
      <c r="H5164" s="211"/>
      <c r="I5164" s="65"/>
      <c r="J5164" s="65"/>
      <c r="K5164" s="182"/>
      <c r="M5164" t="s">
        <v>4945</v>
      </c>
      <c r="N5164" t="s">
        <v>5571</v>
      </c>
      <c r="O5164" t="s">
        <v>4944</v>
      </c>
      <c r="Q5164" t="str">
        <f t="shared" si="199"/>
        <v>condorProc.py --series 07181007_1745 --donoise --dumps a --procenv environments/pymidas_HVHV_NaI_mf.env</v>
      </c>
      <c r="R5164" t="str">
        <f t="shared" si="200"/>
        <v>ln -s ../../../../midasraw/byseries/07181007_1745 07181007_1745</v>
      </c>
    </row>
    <row r="5165" spans="1:18">
      <c r="A5165" t="s">
        <v>10761</v>
      </c>
      <c r="F5165" s="177">
        <v>10</v>
      </c>
      <c r="G5165" s="224" t="s">
        <v>8641</v>
      </c>
      <c r="H5165" s="209">
        <v>-125</v>
      </c>
      <c r="I5165" s="177"/>
      <c r="J5165" s="177" t="s">
        <v>5577</v>
      </c>
      <c r="K5165" s="178" t="s">
        <v>5583</v>
      </c>
      <c r="M5165" t="s">
        <v>4945</v>
      </c>
      <c r="N5165" t="s">
        <v>5571</v>
      </c>
      <c r="O5165" t="s">
        <v>4944</v>
      </c>
      <c r="Q5165" t="str">
        <f t="shared" si="199"/>
        <v>condorProc.py --series 07181007_1844 --donoise --dumps a --procenv environments/pymidas_HVHV_NaI_mf.env</v>
      </c>
      <c r="R5165" t="str">
        <f t="shared" si="200"/>
        <v>ln -s ../../../../midasraw/byseries/07181007_1844 07181007_1844</v>
      </c>
    </row>
    <row r="5166" spans="1:18">
      <c r="A5166" t="s">
        <v>10762</v>
      </c>
      <c r="G5166" s="225"/>
      <c r="H5166" s="210"/>
      <c r="J5166" t="s">
        <v>5585</v>
      </c>
      <c r="K5166" s="218" t="s">
        <v>5586</v>
      </c>
      <c r="M5166" t="s">
        <v>4945</v>
      </c>
      <c r="N5166" t="s">
        <v>5571</v>
      </c>
      <c r="O5166" t="s">
        <v>4944</v>
      </c>
      <c r="Q5166" t="str">
        <f t="shared" si="199"/>
        <v>condorProc.py --series 07181007_1854 --donoise --dumps a --procenv environments/pymidas_HVHV_NaI_mf.env</v>
      </c>
      <c r="R5166" t="str">
        <f t="shared" si="200"/>
        <v>ln -s ../../../../midasraw/byseries/07181007_1854 07181007_1854</v>
      </c>
    </row>
    <row r="5167" spans="1:18">
      <c r="A5167" t="s">
        <v>10763</v>
      </c>
      <c r="G5167" s="225"/>
      <c r="H5167" s="210"/>
      <c r="K5167" s="219" t="s">
        <v>8388</v>
      </c>
      <c r="M5167" t="s">
        <v>4945</v>
      </c>
      <c r="N5167" t="s">
        <v>5571</v>
      </c>
      <c r="O5167" t="s">
        <v>4944</v>
      </c>
      <c r="Q5167" t="str">
        <f t="shared" si="199"/>
        <v>condorProc.py --series 07181007_1904 --donoise --dumps a --procenv environments/pymidas_HVHV_NaI_mf.env</v>
      </c>
      <c r="R5167" t="str">
        <f t="shared" si="200"/>
        <v>ln -s ../../../../midasraw/byseries/07181007_1904 07181007_1904</v>
      </c>
    </row>
    <row r="5168" spans="1:18">
      <c r="A5168" t="s">
        <v>10764</v>
      </c>
      <c r="G5168" s="225"/>
      <c r="H5168" s="210"/>
      <c r="K5168" s="180"/>
      <c r="M5168" t="s">
        <v>4945</v>
      </c>
      <c r="N5168" t="s">
        <v>5571</v>
      </c>
      <c r="O5168" t="s">
        <v>4944</v>
      </c>
      <c r="Q5168" t="str">
        <f t="shared" si="199"/>
        <v>condorProc.py --series 07181007_1914 --donoise --dumps a --procenv environments/pymidas_HVHV_NaI_mf.env</v>
      </c>
      <c r="R5168" t="str">
        <f t="shared" si="200"/>
        <v>ln -s ../../../../midasraw/byseries/07181007_1914 07181007_1914</v>
      </c>
    </row>
    <row r="5169" spans="1:18">
      <c r="A5169" t="s">
        <v>10765</v>
      </c>
      <c r="G5169" s="225"/>
      <c r="H5169" s="210"/>
      <c r="K5169" s="180"/>
      <c r="M5169" t="s">
        <v>4945</v>
      </c>
      <c r="N5169" t="s">
        <v>5571</v>
      </c>
      <c r="O5169" t="s">
        <v>4944</v>
      </c>
      <c r="Q5169" t="str">
        <f t="shared" si="199"/>
        <v>condorProc.py --series 07181007_1925 --donoise --dumps a --procenv environments/pymidas_HVHV_NaI_mf.env</v>
      </c>
      <c r="R5169" t="str">
        <f t="shared" si="200"/>
        <v>ln -s ../../../../midasraw/byseries/07181007_1925 07181007_1925</v>
      </c>
    </row>
    <row r="5170" spans="1:18">
      <c r="A5170" t="s">
        <v>10766</v>
      </c>
      <c r="G5170" s="225"/>
      <c r="H5170" s="210"/>
      <c r="K5170" s="180"/>
      <c r="M5170" t="s">
        <v>4945</v>
      </c>
      <c r="N5170" t="s">
        <v>5571</v>
      </c>
      <c r="O5170" t="s">
        <v>4944</v>
      </c>
      <c r="Q5170" t="str">
        <f t="shared" si="199"/>
        <v>condorProc.py --series 07181007_1935 --donoise --dumps a --procenv environments/pymidas_HVHV_NaI_mf.env</v>
      </c>
      <c r="R5170" t="str">
        <f t="shared" si="200"/>
        <v>ln -s ../../../../midasraw/byseries/07181007_1935 07181007_1935</v>
      </c>
    </row>
    <row r="5171" spans="1:18">
      <c r="A5171" t="s">
        <v>10767</v>
      </c>
      <c r="G5171" s="225"/>
      <c r="H5171" s="210"/>
      <c r="K5171" s="180"/>
      <c r="M5171" t="s">
        <v>4945</v>
      </c>
      <c r="N5171" t="s">
        <v>5571</v>
      </c>
      <c r="O5171" t="s">
        <v>4944</v>
      </c>
      <c r="Q5171" t="str">
        <f t="shared" si="199"/>
        <v>condorProc.py --series 07181007_1945 --donoise --dumps a --procenv environments/pymidas_HVHV_NaI_mf.env</v>
      </c>
      <c r="R5171" t="str">
        <f t="shared" si="200"/>
        <v>ln -s ../../../../midasraw/byseries/07181007_1945 07181007_1945</v>
      </c>
    </row>
    <row r="5172" spans="1:18">
      <c r="A5172" t="s">
        <v>10768</v>
      </c>
      <c r="G5172" s="225"/>
      <c r="H5172" s="210"/>
      <c r="K5172" s="180"/>
      <c r="M5172" t="s">
        <v>4945</v>
      </c>
      <c r="N5172" t="s">
        <v>5571</v>
      </c>
      <c r="O5172" t="s">
        <v>4944</v>
      </c>
      <c r="Q5172" t="str">
        <f t="shared" si="199"/>
        <v>condorProc.py --series 07181007_1955 --donoise --dumps a --procenv environments/pymidas_HVHV_NaI_mf.env</v>
      </c>
      <c r="R5172" t="str">
        <f t="shared" si="200"/>
        <v>ln -s ../../../../midasraw/byseries/07181007_1955 07181007_1955</v>
      </c>
    </row>
    <row r="5173" spans="1:18">
      <c r="A5173" t="s">
        <v>10769</v>
      </c>
      <c r="G5173" s="225"/>
      <c r="H5173" s="210"/>
      <c r="K5173" s="180"/>
      <c r="M5173" t="s">
        <v>4945</v>
      </c>
      <c r="N5173" t="s">
        <v>5571</v>
      </c>
      <c r="O5173" t="s">
        <v>4944</v>
      </c>
      <c r="Q5173" t="str">
        <f t="shared" si="199"/>
        <v>condorProc.py --series 07181007_2005 --donoise --dumps a --procenv environments/pymidas_HVHV_NaI_mf.env</v>
      </c>
      <c r="R5173" t="str">
        <f t="shared" si="200"/>
        <v>ln -s ../../../../midasraw/byseries/07181007_2005 07181007_2005</v>
      </c>
    </row>
    <row r="5174" spans="1:18">
      <c r="A5174" t="s">
        <v>10770</v>
      </c>
      <c r="G5174" s="225"/>
      <c r="H5174" s="210"/>
      <c r="K5174" s="180"/>
      <c r="M5174" t="s">
        <v>4945</v>
      </c>
      <c r="N5174" t="s">
        <v>5571</v>
      </c>
      <c r="O5174" t="s">
        <v>4944</v>
      </c>
      <c r="Q5174" t="str">
        <f t="shared" si="199"/>
        <v>condorProc.py --series 07181007_2015 --donoise --dumps a --procenv environments/pymidas_HVHV_NaI_mf.env</v>
      </c>
      <c r="R5174" t="str">
        <f t="shared" si="200"/>
        <v>ln -s ../../../../midasraw/byseries/07181007_2015 07181007_2015</v>
      </c>
    </row>
    <row r="5175" spans="1:18">
      <c r="A5175" t="s">
        <v>10771</v>
      </c>
      <c r="G5175" s="225"/>
      <c r="H5175" s="210"/>
      <c r="K5175" s="180"/>
      <c r="M5175" t="s">
        <v>4945</v>
      </c>
      <c r="N5175" t="s">
        <v>5571</v>
      </c>
      <c r="O5175" t="s">
        <v>4944</v>
      </c>
      <c r="Q5175" t="str">
        <f t="shared" si="199"/>
        <v>condorProc.py --series 07181007_2025 --donoise --dumps a --procenv environments/pymidas_HVHV_NaI_mf.env</v>
      </c>
      <c r="R5175" t="str">
        <f t="shared" si="200"/>
        <v>ln -s ../../../../midasraw/byseries/07181007_2025 07181007_2025</v>
      </c>
    </row>
    <row r="5176" spans="1:18">
      <c r="A5176" t="s">
        <v>10772</v>
      </c>
      <c r="F5176" s="65"/>
      <c r="G5176" s="226"/>
      <c r="H5176" s="211"/>
      <c r="I5176" s="65"/>
      <c r="J5176" s="65"/>
      <c r="K5176" s="182"/>
      <c r="M5176" t="s">
        <v>4945</v>
      </c>
      <c r="N5176" t="s">
        <v>5571</v>
      </c>
      <c r="O5176" t="s">
        <v>4944</v>
      </c>
      <c r="Q5176" t="str">
        <f t="shared" si="199"/>
        <v>condorProc.py --series 07181007_2035 --donoise --dumps a --procenv environments/pymidas_HVHV_NaI_mf.env</v>
      </c>
      <c r="R5176" t="str">
        <f t="shared" si="200"/>
        <v>ln -s ../../../../midasraw/byseries/07181007_2035 07181007_2035</v>
      </c>
    </row>
    <row r="5177" spans="1:18">
      <c r="A5177" t="s">
        <v>10773</v>
      </c>
      <c r="F5177" s="177">
        <v>10</v>
      </c>
      <c r="G5177" s="224" t="s">
        <v>8641</v>
      </c>
      <c r="H5177" s="209">
        <v>-125</v>
      </c>
      <c r="I5177" s="177"/>
      <c r="J5177" s="177" t="s">
        <v>5577</v>
      </c>
      <c r="K5177" s="178" t="s">
        <v>5583</v>
      </c>
      <c r="M5177" t="s">
        <v>4945</v>
      </c>
      <c r="N5177" t="s">
        <v>5571</v>
      </c>
      <c r="O5177" t="s">
        <v>4944</v>
      </c>
      <c r="Q5177" t="str">
        <f t="shared" si="199"/>
        <v>condorProc.py --series 07181007_2133 --donoise --dumps a --procenv environments/pymidas_HVHV_NaI_mf.env</v>
      </c>
      <c r="R5177" t="str">
        <f t="shared" si="200"/>
        <v>ln -s ../../../../midasraw/byseries/07181007_2133 07181007_2133</v>
      </c>
    </row>
    <row r="5178" spans="1:18">
      <c r="A5178" t="s">
        <v>10774</v>
      </c>
      <c r="G5178" s="225"/>
      <c r="H5178" s="210"/>
      <c r="J5178" t="s">
        <v>5585</v>
      </c>
      <c r="K5178" s="218" t="s">
        <v>5586</v>
      </c>
      <c r="M5178" t="s">
        <v>4945</v>
      </c>
      <c r="N5178" t="s">
        <v>5571</v>
      </c>
      <c r="O5178" t="s">
        <v>4944</v>
      </c>
      <c r="Q5178" t="str">
        <f t="shared" si="199"/>
        <v>condorProc.py --series 07181007_2143 --donoise --dumps a --procenv environments/pymidas_HVHV_NaI_mf.env</v>
      </c>
      <c r="R5178" t="str">
        <f t="shared" si="200"/>
        <v>ln -s ../../../../midasraw/byseries/07181007_2143 07181007_2143</v>
      </c>
    </row>
    <row r="5179" spans="1:18">
      <c r="A5179" t="s">
        <v>10775</v>
      </c>
      <c r="G5179" s="225"/>
      <c r="H5179" s="210"/>
      <c r="K5179" s="219" t="s">
        <v>8388</v>
      </c>
      <c r="M5179" t="s">
        <v>4945</v>
      </c>
      <c r="N5179" t="s">
        <v>5571</v>
      </c>
      <c r="O5179" t="s">
        <v>4944</v>
      </c>
      <c r="Q5179" t="str">
        <f t="shared" si="199"/>
        <v>condorProc.py --series 07181007_2154 --donoise --dumps a --procenv environments/pymidas_HVHV_NaI_mf.env</v>
      </c>
      <c r="R5179" t="str">
        <f t="shared" si="200"/>
        <v>ln -s ../../../../midasraw/byseries/07181007_2154 07181007_2154</v>
      </c>
    </row>
    <row r="5180" spans="1:18">
      <c r="A5180" t="s">
        <v>10776</v>
      </c>
      <c r="G5180" s="225"/>
      <c r="H5180" s="210"/>
      <c r="K5180" s="180"/>
      <c r="M5180" t="s">
        <v>4945</v>
      </c>
      <c r="N5180" t="s">
        <v>5571</v>
      </c>
      <c r="O5180" t="s">
        <v>4944</v>
      </c>
      <c r="Q5180" t="str">
        <f t="shared" si="199"/>
        <v>condorProc.py --series 07181007_2204 --donoise --dumps a --procenv environments/pymidas_HVHV_NaI_mf.env</v>
      </c>
      <c r="R5180" t="str">
        <f t="shared" si="200"/>
        <v>ln -s ../../../../midasraw/byseries/07181007_2204 07181007_2204</v>
      </c>
    </row>
    <row r="5181" spans="1:18">
      <c r="A5181" t="s">
        <v>10777</v>
      </c>
      <c r="G5181" s="225"/>
      <c r="H5181" s="210"/>
      <c r="K5181" s="180"/>
      <c r="M5181" t="s">
        <v>4945</v>
      </c>
      <c r="N5181" t="s">
        <v>5571</v>
      </c>
      <c r="O5181" t="s">
        <v>4944</v>
      </c>
      <c r="Q5181" t="str">
        <f t="shared" si="199"/>
        <v>condorProc.py --series 07181007_2214 --donoise --dumps a --procenv environments/pymidas_HVHV_NaI_mf.env</v>
      </c>
      <c r="R5181" t="str">
        <f t="shared" si="200"/>
        <v>ln -s ../../../../midasraw/byseries/07181007_2214 07181007_2214</v>
      </c>
    </row>
    <row r="5182" spans="1:18">
      <c r="A5182" t="s">
        <v>10778</v>
      </c>
      <c r="G5182" s="225"/>
      <c r="H5182" s="210"/>
      <c r="K5182" s="180"/>
      <c r="M5182" t="s">
        <v>4945</v>
      </c>
      <c r="N5182" t="s">
        <v>5571</v>
      </c>
      <c r="O5182" t="s">
        <v>4944</v>
      </c>
      <c r="Q5182" t="str">
        <f t="shared" si="199"/>
        <v>condorProc.py --series 07181007_2224 --donoise --dumps a --procenv environments/pymidas_HVHV_NaI_mf.env</v>
      </c>
      <c r="R5182" t="str">
        <f t="shared" si="200"/>
        <v>ln -s ../../../../midasraw/byseries/07181007_2224 07181007_2224</v>
      </c>
    </row>
    <row r="5183" spans="1:18">
      <c r="A5183" t="s">
        <v>10779</v>
      </c>
      <c r="G5183" s="225"/>
      <c r="H5183" s="210"/>
      <c r="K5183" s="180"/>
      <c r="M5183" t="s">
        <v>4945</v>
      </c>
      <c r="N5183" t="s">
        <v>5571</v>
      </c>
      <c r="O5183" t="s">
        <v>4944</v>
      </c>
      <c r="Q5183" t="str">
        <f t="shared" si="199"/>
        <v>condorProc.py --series 07181007_2234 --donoise --dumps a --procenv environments/pymidas_HVHV_NaI_mf.env</v>
      </c>
      <c r="R5183" t="str">
        <f t="shared" si="200"/>
        <v>ln -s ../../../../midasraw/byseries/07181007_2234 07181007_2234</v>
      </c>
    </row>
    <row r="5184" spans="1:18">
      <c r="A5184" t="s">
        <v>10780</v>
      </c>
      <c r="G5184" s="225"/>
      <c r="H5184" s="210"/>
      <c r="K5184" s="180"/>
      <c r="M5184" t="s">
        <v>4945</v>
      </c>
      <c r="N5184" t="s">
        <v>5571</v>
      </c>
      <c r="O5184" t="s">
        <v>4944</v>
      </c>
      <c r="Q5184" t="str">
        <f t="shared" si="199"/>
        <v>condorProc.py --series 07181007_2244 --donoise --dumps a --procenv environments/pymidas_HVHV_NaI_mf.env</v>
      </c>
      <c r="R5184" t="str">
        <f t="shared" si="200"/>
        <v>ln -s ../../../../midasraw/byseries/07181007_2244 07181007_2244</v>
      </c>
    </row>
    <row r="5185" spans="1:18">
      <c r="A5185" t="s">
        <v>10781</v>
      </c>
      <c r="G5185" s="225"/>
      <c r="H5185" s="210"/>
      <c r="K5185" s="180"/>
      <c r="M5185" t="s">
        <v>4945</v>
      </c>
      <c r="N5185" t="s">
        <v>5571</v>
      </c>
      <c r="O5185" t="s">
        <v>4944</v>
      </c>
      <c r="Q5185" t="str">
        <f t="shared" si="199"/>
        <v>condorProc.py --series 07181007_2254 --donoise --dumps a --procenv environments/pymidas_HVHV_NaI_mf.env</v>
      </c>
      <c r="R5185" t="str">
        <f t="shared" si="200"/>
        <v>ln -s ../../../../midasraw/byseries/07181007_2254 07181007_2254</v>
      </c>
    </row>
    <row r="5186" spans="1:18">
      <c r="A5186" t="s">
        <v>10782</v>
      </c>
      <c r="G5186" s="225"/>
      <c r="H5186" s="210"/>
      <c r="K5186" s="180"/>
      <c r="M5186" t="s">
        <v>4945</v>
      </c>
      <c r="N5186" t="s">
        <v>5571</v>
      </c>
      <c r="O5186" t="s">
        <v>4944</v>
      </c>
      <c r="Q5186" t="str">
        <f t="shared" si="199"/>
        <v>condorProc.py --series 07181007_2304 --donoise --dumps a --procenv environments/pymidas_HVHV_NaI_mf.env</v>
      </c>
      <c r="R5186" t="str">
        <f t="shared" si="200"/>
        <v>ln -s ../../../../midasraw/byseries/07181007_2304 07181007_2304</v>
      </c>
    </row>
    <row r="5187" spans="1:18">
      <c r="A5187" t="s">
        <v>10783</v>
      </c>
      <c r="G5187" s="225"/>
      <c r="H5187" s="210"/>
      <c r="K5187" s="180"/>
      <c r="M5187" t="s">
        <v>4945</v>
      </c>
      <c r="N5187" t="s">
        <v>5571</v>
      </c>
      <c r="O5187" t="s">
        <v>4944</v>
      </c>
      <c r="Q5187" t="str">
        <f t="shared" si="199"/>
        <v>condorProc.py --series 07181007_2314 --donoise --dumps a --procenv environments/pymidas_HVHV_NaI_mf.env</v>
      </c>
      <c r="R5187" t="str">
        <f t="shared" si="200"/>
        <v>ln -s ../../../../midasraw/byseries/07181007_2314 07181007_2314</v>
      </c>
    </row>
    <row r="5188" spans="1:18">
      <c r="A5188" t="s">
        <v>10784</v>
      </c>
      <c r="F5188" s="65"/>
      <c r="G5188" s="226"/>
      <c r="H5188" s="211"/>
      <c r="I5188" s="65"/>
      <c r="J5188" s="65"/>
      <c r="K5188" s="182"/>
      <c r="M5188" t="s">
        <v>4945</v>
      </c>
      <c r="N5188" t="s">
        <v>5571</v>
      </c>
      <c r="O5188" t="s">
        <v>4944</v>
      </c>
      <c r="Q5188" t="str">
        <f t="shared" si="199"/>
        <v>condorProc.py --series 07181007_2324 --donoise --dumps a --procenv environments/pymidas_HVHV_NaI_mf.env</v>
      </c>
      <c r="R5188" t="str">
        <f t="shared" si="200"/>
        <v>ln -s ../../../../midasraw/byseries/07181007_2324 07181007_2324</v>
      </c>
    </row>
    <row r="5189" spans="1:18">
      <c r="A5189" t="s">
        <v>10785</v>
      </c>
      <c r="F5189" s="177">
        <v>10</v>
      </c>
      <c r="G5189" s="224" t="s">
        <v>8641</v>
      </c>
      <c r="H5189" s="209">
        <v>-125</v>
      </c>
      <c r="I5189" s="177"/>
      <c r="J5189" s="177" t="s">
        <v>5577</v>
      </c>
      <c r="K5189" s="178" t="s">
        <v>5583</v>
      </c>
      <c r="M5189" t="s">
        <v>4945</v>
      </c>
      <c r="N5189" t="s">
        <v>5571</v>
      </c>
      <c r="O5189" t="s">
        <v>4944</v>
      </c>
      <c r="Q5189" t="str">
        <f t="shared" si="199"/>
        <v>condorProc.py --series 07181008_0022 --donoise --dumps a --procenv environments/pymidas_HVHV_NaI_mf.env</v>
      </c>
      <c r="R5189" t="str">
        <f t="shared" si="200"/>
        <v>ln -s ../../../../midasraw/byseries/07181008_0022 07181008_0022</v>
      </c>
    </row>
    <row r="5190" spans="1:18">
      <c r="A5190" t="s">
        <v>10786</v>
      </c>
      <c r="G5190" s="225"/>
      <c r="H5190" s="210"/>
      <c r="J5190" t="s">
        <v>5585</v>
      </c>
      <c r="K5190" s="218" t="s">
        <v>5586</v>
      </c>
      <c r="M5190" t="s">
        <v>4945</v>
      </c>
      <c r="N5190" t="s">
        <v>5571</v>
      </c>
      <c r="O5190" t="s">
        <v>4944</v>
      </c>
      <c r="Q5190" t="str">
        <f t="shared" si="199"/>
        <v>condorProc.py --series 07181008_0032 --donoise --dumps a --procenv environments/pymidas_HVHV_NaI_mf.env</v>
      </c>
      <c r="R5190" t="str">
        <f t="shared" si="200"/>
        <v>ln -s ../../../../midasraw/byseries/07181008_0032 07181008_0032</v>
      </c>
    </row>
    <row r="5191" spans="1:18">
      <c r="A5191" t="s">
        <v>10787</v>
      </c>
      <c r="G5191" s="225"/>
      <c r="H5191" s="210"/>
      <c r="K5191" s="219" t="s">
        <v>8388</v>
      </c>
      <c r="M5191" t="s">
        <v>4945</v>
      </c>
      <c r="N5191" t="s">
        <v>5571</v>
      </c>
      <c r="O5191" t="s">
        <v>4944</v>
      </c>
      <c r="Q5191" t="str">
        <f t="shared" ref="Q5191:Q5255" si="201">"condorProc.py --series "&amp;A5191&amp;" --donoise --dumps a --procenv environments/pymidas_HVHV_NaI_mf.env"</f>
        <v>condorProc.py --series 07181008_0042 --donoise --dumps a --procenv environments/pymidas_HVHV_NaI_mf.env</v>
      </c>
      <c r="R5191" t="str">
        <f t="shared" ref="R5191:R5236" si="202">"ln -s ../../../../midasraw/byseries/"&amp;A5191&amp;" "&amp;A5191</f>
        <v>ln -s ../../../../midasraw/byseries/07181008_0042 07181008_0042</v>
      </c>
    </row>
    <row r="5192" spans="1:18">
      <c r="A5192" t="s">
        <v>10788</v>
      </c>
      <c r="G5192" s="225"/>
      <c r="H5192" s="210"/>
      <c r="K5192" s="180"/>
      <c r="M5192" t="s">
        <v>4945</v>
      </c>
      <c r="N5192" t="s">
        <v>5571</v>
      </c>
      <c r="O5192" t="s">
        <v>4944</v>
      </c>
      <c r="Q5192" t="str">
        <f t="shared" si="201"/>
        <v>condorProc.py --series 07181008_0053 --donoise --dumps a --procenv environments/pymidas_HVHV_NaI_mf.env</v>
      </c>
      <c r="R5192" t="str">
        <f t="shared" si="202"/>
        <v>ln -s ../../../../midasraw/byseries/07181008_0053 07181008_0053</v>
      </c>
    </row>
    <row r="5193" spans="1:18">
      <c r="A5193" t="s">
        <v>10789</v>
      </c>
      <c r="G5193" s="225"/>
      <c r="H5193" s="210"/>
      <c r="K5193" s="180"/>
      <c r="M5193" t="s">
        <v>4945</v>
      </c>
      <c r="N5193" t="s">
        <v>5571</v>
      </c>
      <c r="O5193" t="s">
        <v>4944</v>
      </c>
      <c r="Q5193" t="str">
        <f t="shared" si="201"/>
        <v>condorProc.py --series 07181008_0103 --donoise --dumps a --procenv environments/pymidas_HVHV_NaI_mf.env</v>
      </c>
      <c r="R5193" t="str">
        <f t="shared" si="202"/>
        <v>ln -s ../../../../midasraw/byseries/07181008_0103 07181008_0103</v>
      </c>
    </row>
    <row r="5194" spans="1:18">
      <c r="A5194" t="s">
        <v>10790</v>
      </c>
      <c r="G5194" s="225"/>
      <c r="H5194" s="210"/>
      <c r="K5194" s="180"/>
      <c r="M5194" t="s">
        <v>4945</v>
      </c>
      <c r="N5194" t="s">
        <v>5571</v>
      </c>
      <c r="O5194" t="s">
        <v>4944</v>
      </c>
      <c r="Q5194" t="str">
        <f t="shared" si="201"/>
        <v>condorProc.py --series 07181008_0113 --donoise --dumps a --procenv environments/pymidas_HVHV_NaI_mf.env</v>
      </c>
      <c r="R5194" t="str">
        <f t="shared" si="202"/>
        <v>ln -s ../../../../midasraw/byseries/07181008_0113 07181008_0113</v>
      </c>
    </row>
    <row r="5195" spans="1:18">
      <c r="A5195" t="s">
        <v>10791</v>
      </c>
      <c r="G5195" s="225"/>
      <c r="H5195" s="210"/>
      <c r="K5195" s="180"/>
      <c r="M5195" t="s">
        <v>4945</v>
      </c>
      <c r="N5195" t="s">
        <v>5571</v>
      </c>
      <c r="O5195" t="s">
        <v>4944</v>
      </c>
      <c r="Q5195" t="str">
        <f t="shared" si="201"/>
        <v>condorProc.py --series 07181008_0123 --donoise --dumps a --procenv environments/pymidas_HVHV_NaI_mf.env</v>
      </c>
      <c r="R5195" t="str">
        <f t="shared" si="202"/>
        <v>ln -s ../../../../midasraw/byseries/07181008_0123 07181008_0123</v>
      </c>
    </row>
    <row r="5196" spans="1:18">
      <c r="A5196" t="s">
        <v>10792</v>
      </c>
      <c r="G5196" s="225"/>
      <c r="H5196" s="210"/>
      <c r="K5196" s="180"/>
      <c r="M5196" t="s">
        <v>4945</v>
      </c>
      <c r="N5196" t="s">
        <v>5571</v>
      </c>
      <c r="O5196" t="s">
        <v>4944</v>
      </c>
      <c r="Q5196" t="str">
        <f t="shared" si="201"/>
        <v>condorProc.py --series 07181008_0133 --donoise --dumps a --procenv environments/pymidas_HVHV_NaI_mf.env</v>
      </c>
      <c r="R5196" t="str">
        <f t="shared" si="202"/>
        <v>ln -s ../../../../midasraw/byseries/07181008_0133 07181008_0133</v>
      </c>
    </row>
    <row r="5197" spans="1:18">
      <c r="A5197" t="s">
        <v>10793</v>
      </c>
      <c r="G5197" s="225"/>
      <c r="H5197" s="210"/>
      <c r="K5197" s="180"/>
      <c r="M5197" t="s">
        <v>4945</v>
      </c>
      <c r="N5197" t="s">
        <v>5571</v>
      </c>
      <c r="O5197" t="s">
        <v>4944</v>
      </c>
      <c r="Q5197" t="str">
        <f t="shared" si="201"/>
        <v>condorProc.py --series 07181008_0143 --donoise --dumps a --procenv environments/pymidas_HVHV_NaI_mf.env</v>
      </c>
      <c r="R5197" t="str">
        <f t="shared" si="202"/>
        <v>ln -s ../../../../midasraw/byseries/07181008_0143 07181008_0143</v>
      </c>
    </row>
    <row r="5198" spans="1:18">
      <c r="A5198" t="s">
        <v>10794</v>
      </c>
      <c r="G5198" s="225"/>
      <c r="H5198" s="210"/>
      <c r="K5198" s="180"/>
      <c r="M5198" t="s">
        <v>4945</v>
      </c>
      <c r="N5198" t="s">
        <v>5571</v>
      </c>
      <c r="O5198" t="s">
        <v>4944</v>
      </c>
      <c r="Q5198" t="str">
        <f t="shared" si="201"/>
        <v>condorProc.py --series 07181008_0153 --donoise --dumps a --procenv environments/pymidas_HVHV_NaI_mf.env</v>
      </c>
      <c r="R5198" t="str">
        <f t="shared" si="202"/>
        <v>ln -s ../../../../midasraw/byseries/07181008_0153 07181008_0153</v>
      </c>
    </row>
    <row r="5199" spans="1:18">
      <c r="A5199" t="s">
        <v>10795</v>
      </c>
      <c r="G5199" s="225"/>
      <c r="H5199" s="210"/>
      <c r="K5199" s="180"/>
      <c r="M5199" t="s">
        <v>4945</v>
      </c>
      <c r="N5199" t="s">
        <v>5571</v>
      </c>
      <c r="O5199" t="s">
        <v>4944</v>
      </c>
      <c r="Q5199" t="str">
        <f t="shared" si="201"/>
        <v>condorProc.py --series 07181008_0203 --donoise --dumps a --procenv environments/pymidas_HVHV_NaI_mf.env</v>
      </c>
      <c r="R5199" t="str">
        <f t="shared" si="202"/>
        <v>ln -s ../../../../midasraw/byseries/07181008_0203 07181008_0203</v>
      </c>
    </row>
    <row r="5200" spans="1:18">
      <c r="A5200" t="s">
        <v>10796</v>
      </c>
      <c r="F5200" s="65"/>
      <c r="G5200" s="226"/>
      <c r="H5200" s="211"/>
      <c r="I5200" s="65"/>
      <c r="J5200" s="65"/>
      <c r="K5200" s="182"/>
      <c r="M5200" t="s">
        <v>4945</v>
      </c>
      <c r="N5200" t="s">
        <v>5571</v>
      </c>
      <c r="O5200" t="s">
        <v>4944</v>
      </c>
      <c r="Q5200" t="str">
        <f t="shared" si="201"/>
        <v>condorProc.py --series 07181008_0214 --donoise --dumps a --procenv environments/pymidas_HVHV_NaI_mf.env</v>
      </c>
      <c r="R5200" t="str">
        <f t="shared" si="202"/>
        <v>ln -s ../../../../midasraw/byseries/07181008_0214 07181008_0214</v>
      </c>
    </row>
    <row r="5201" spans="1:18">
      <c r="A5201" t="s">
        <v>10797</v>
      </c>
      <c r="F5201" s="177">
        <v>10</v>
      </c>
      <c r="G5201" s="224" t="s">
        <v>8641</v>
      </c>
      <c r="H5201" s="209">
        <v>-125</v>
      </c>
      <c r="I5201" s="177"/>
      <c r="J5201" s="177" t="s">
        <v>5577</v>
      </c>
      <c r="K5201" s="178" t="s">
        <v>5583</v>
      </c>
      <c r="M5201" t="s">
        <v>4945</v>
      </c>
      <c r="N5201" t="s">
        <v>5571</v>
      </c>
      <c r="O5201" t="s">
        <v>4944</v>
      </c>
      <c r="Q5201" t="str">
        <f t="shared" si="201"/>
        <v>condorProc.py --series 07181008_0311 --donoise --dumps a --procenv environments/pymidas_HVHV_NaI_mf.env</v>
      </c>
      <c r="R5201" t="str">
        <f t="shared" si="202"/>
        <v>ln -s ../../../../midasraw/byseries/07181008_0311 07181008_0311</v>
      </c>
    </row>
    <row r="5202" spans="1:18">
      <c r="A5202" t="s">
        <v>10798</v>
      </c>
      <c r="G5202" s="225"/>
      <c r="H5202" s="210"/>
      <c r="J5202" t="s">
        <v>5585</v>
      </c>
      <c r="K5202" s="218" t="s">
        <v>5586</v>
      </c>
      <c r="M5202" t="s">
        <v>4945</v>
      </c>
      <c r="N5202" t="s">
        <v>5571</v>
      </c>
      <c r="O5202" t="s">
        <v>4944</v>
      </c>
      <c r="Q5202" t="str">
        <f t="shared" si="201"/>
        <v>condorProc.py --series 07181008_0321 --donoise --dumps a --procenv environments/pymidas_HVHV_NaI_mf.env</v>
      </c>
      <c r="R5202" t="str">
        <f t="shared" si="202"/>
        <v>ln -s ../../../../midasraw/byseries/07181008_0321 07181008_0321</v>
      </c>
    </row>
    <row r="5203" spans="1:18">
      <c r="A5203" t="s">
        <v>10799</v>
      </c>
      <c r="G5203" s="225"/>
      <c r="H5203" s="210"/>
      <c r="K5203" s="219" t="s">
        <v>8388</v>
      </c>
      <c r="M5203" t="s">
        <v>4945</v>
      </c>
      <c r="N5203" t="s">
        <v>5571</v>
      </c>
      <c r="O5203" t="s">
        <v>4944</v>
      </c>
      <c r="Q5203" t="str">
        <f t="shared" si="201"/>
        <v>condorProc.py --series 07181008_0332 --donoise --dumps a --procenv environments/pymidas_HVHV_NaI_mf.env</v>
      </c>
      <c r="R5203" t="str">
        <f t="shared" si="202"/>
        <v>ln -s ../../../../midasraw/byseries/07181008_0332 07181008_0332</v>
      </c>
    </row>
    <row r="5204" spans="1:18">
      <c r="A5204" t="s">
        <v>10800</v>
      </c>
      <c r="G5204" s="225"/>
      <c r="H5204" s="210"/>
      <c r="K5204" s="180"/>
      <c r="M5204" t="s">
        <v>4945</v>
      </c>
      <c r="N5204" t="s">
        <v>5571</v>
      </c>
      <c r="O5204" t="s">
        <v>4944</v>
      </c>
      <c r="Q5204" t="str">
        <f t="shared" si="201"/>
        <v>condorProc.py --series 07181008_0342 --donoise --dumps a --procenv environments/pymidas_HVHV_NaI_mf.env</v>
      </c>
      <c r="R5204" t="str">
        <f t="shared" si="202"/>
        <v>ln -s ../../../../midasraw/byseries/07181008_0342 07181008_0342</v>
      </c>
    </row>
    <row r="5205" spans="1:18">
      <c r="A5205" t="s">
        <v>10801</v>
      </c>
      <c r="G5205" s="225"/>
      <c r="H5205" s="210"/>
      <c r="K5205" s="180"/>
      <c r="M5205" t="s">
        <v>4945</v>
      </c>
      <c r="N5205" t="s">
        <v>5571</v>
      </c>
      <c r="O5205" t="s">
        <v>4944</v>
      </c>
      <c r="Q5205" t="str">
        <f t="shared" si="201"/>
        <v>condorProc.py --series 07181008_0352 --donoise --dumps a --procenv environments/pymidas_HVHV_NaI_mf.env</v>
      </c>
      <c r="R5205" t="str">
        <f t="shared" si="202"/>
        <v>ln -s ../../../../midasraw/byseries/07181008_0352 07181008_0352</v>
      </c>
    </row>
    <row r="5206" spans="1:18">
      <c r="A5206" t="s">
        <v>10802</v>
      </c>
      <c r="G5206" s="225"/>
      <c r="H5206" s="210"/>
      <c r="K5206" s="180"/>
      <c r="M5206" t="s">
        <v>4945</v>
      </c>
      <c r="N5206" t="s">
        <v>5571</v>
      </c>
      <c r="O5206" t="s">
        <v>4944</v>
      </c>
      <c r="Q5206" t="str">
        <f t="shared" si="201"/>
        <v>condorProc.py --series 07181008_0402 --donoise --dumps a --procenv environments/pymidas_HVHV_NaI_mf.env</v>
      </c>
      <c r="R5206" t="str">
        <f t="shared" si="202"/>
        <v>ln -s ../../../../midasraw/byseries/07181008_0402 07181008_0402</v>
      </c>
    </row>
    <row r="5207" spans="1:18">
      <c r="A5207" t="s">
        <v>10803</v>
      </c>
      <c r="G5207" s="225"/>
      <c r="H5207" s="210"/>
      <c r="K5207" s="180"/>
      <c r="M5207" t="s">
        <v>4945</v>
      </c>
      <c r="N5207" t="s">
        <v>5571</v>
      </c>
      <c r="O5207" t="s">
        <v>4944</v>
      </c>
      <c r="Q5207" t="str">
        <f t="shared" si="201"/>
        <v>condorProc.py --series 07181008_0412 --donoise --dumps a --procenv environments/pymidas_HVHV_NaI_mf.env</v>
      </c>
      <c r="R5207" t="str">
        <f t="shared" si="202"/>
        <v>ln -s ../../../../midasraw/byseries/07181008_0412 07181008_0412</v>
      </c>
    </row>
    <row r="5208" spans="1:18">
      <c r="A5208" t="s">
        <v>10804</v>
      </c>
      <c r="G5208" s="225"/>
      <c r="H5208" s="210"/>
      <c r="K5208" s="180"/>
      <c r="M5208" t="s">
        <v>4945</v>
      </c>
      <c r="N5208" t="s">
        <v>5571</v>
      </c>
      <c r="O5208" t="s">
        <v>4944</v>
      </c>
      <c r="Q5208" t="str">
        <f t="shared" si="201"/>
        <v>condorProc.py --series 07181008_0422 --donoise --dumps a --procenv environments/pymidas_HVHV_NaI_mf.env</v>
      </c>
      <c r="R5208" t="str">
        <f t="shared" si="202"/>
        <v>ln -s ../../../../midasraw/byseries/07181008_0422 07181008_0422</v>
      </c>
    </row>
    <row r="5209" spans="1:18">
      <c r="A5209" t="s">
        <v>10805</v>
      </c>
      <c r="G5209" s="225"/>
      <c r="H5209" s="210"/>
      <c r="K5209" s="180"/>
      <c r="M5209" t="s">
        <v>4945</v>
      </c>
      <c r="N5209" t="s">
        <v>5571</v>
      </c>
      <c r="O5209" t="s">
        <v>4944</v>
      </c>
      <c r="Q5209" t="str">
        <f t="shared" si="201"/>
        <v>condorProc.py --series 07181008_0432 --donoise --dumps a --procenv environments/pymidas_HVHV_NaI_mf.env</v>
      </c>
      <c r="R5209" t="str">
        <f t="shared" si="202"/>
        <v>ln -s ../../../../midasraw/byseries/07181008_0432 07181008_0432</v>
      </c>
    </row>
    <row r="5210" spans="1:18">
      <c r="A5210" t="s">
        <v>10806</v>
      </c>
      <c r="G5210" s="225"/>
      <c r="H5210" s="210"/>
      <c r="K5210" s="180"/>
      <c r="M5210" t="s">
        <v>4945</v>
      </c>
      <c r="N5210" t="s">
        <v>5571</v>
      </c>
      <c r="O5210" t="s">
        <v>4944</v>
      </c>
      <c r="Q5210" t="str">
        <f t="shared" si="201"/>
        <v>condorProc.py --series 07181008_0442 --donoise --dumps a --procenv environments/pymidas_HVHV_NaI_mf.env</v>
      </c>
      <c r="R5210" t="str">
        <f t="shared" si="202"/>
        <v>ln -s ../../../../midasraw/byseries/07181008_0442 07181008_0442</v>
      </c>
    </row>
    <row r="5211" spans="1:18">
      <c r="A5211" t="s">
        <v>10807</v>
      </c>
      <c r="G5211" s="225"/>
      <c r="H5211" s="210"/>
      <c r="K5211" s="180"/>
      <c r="M5211" t="s">
        <v>4945</v>
      </c>
      <c r="N5211" t="s">
        <v>5571</v>
      </c>
      <c r="O5211" t="s">
        <v>4944</v>
      </c>
      <c r="Q5211" t="str">
        <f t="shared" si="201"/>
        <v>condorProc.py --series 07181008_0452 --donoise --dumps a --procenv environments/pymidas_HVHV_NaI_mf.env</v>
      </c>
      <c r="R5211" t="str">
        <f t="shared" si="202"/>
        <v>ln -s ../../../../midasraw/byseries/07181008_0452 07181008_0452</v>
      </c>
    </row>
    <row r="5212" spans="1:18">
      <c r="A5212" t="s">
        <v>10808</v>
      </c>
      <c r="F5212" s="65"/>
      <c r="G5212" s="226"/>
      <c r="H5212" s="211"/>
      <c r="I5212" s="65"/>
      <c r="J5212" s="65"/>
      <c r="K5212" s="182"/>
      <c r="M5212" t="s">
        <v>4945</v>
      </c>
      <c r="N5212" t="s">
        <v>5571</v>
      </c>
      <c r="O5212" t="s">
        <v>4944</v>
      </c>
      <c r="Q5212" t="str">
        <f t="shared" si="201"/>
        <v>condorProc.py --series 07181008_0503 --donoise --dumps a --procenv environments/pymidas_HVHV_NaI_mf.env</v>
      </c>
      <c r="R5212" t="str">
        <f t="shared" si="202"/>
        <v>ln -s ../../../../midasraw/byseries/07181008_0503 07181008_0503</v>
      </c>
    </row>
    <row r="5213" spans="1:18">
      <c r="A5213" t="s">
        <v>10809</v>
      </c>
      <c r="F5213" s="177">
        <v>10</v>
      </c>
      <c r="G5213" s="224" t="s">
        <v>8641</v>
      </c>
      <c r="H5213" s="209">
        <v>-125</v>
      </c>
      <c r="I5213" s="177"/>
      <c r="J5213" s="177" t="s">
        <v>5577</v>
      </c>
      <c r="K5213" s="178" t="s">
        <v>5583</v>
      </c>
      <c r="M5213" t="s">
        <v>4945</v>
      </c>
      <c r="N5213" t="s">
        <v>5571</v>
      </c>
      <c r="O5213" t="s">
        <v>4944</v>
      </c>
      <c r="Q5213" t="str">
        <f t="shared" si="201"/>
        <v>condorProc.py --series 07181008_0600 --donoise --dumps a --procenv environments/pymidas_HVHV_NaI_mf.env</v>
      </c>
      <c r="R5213" t="str">
        <f t="shared" si="202"/>
        <v>ln -s ../../../../midasraw/byseries/07181008_0600 07181008_0600</v>
      </c>
    </row>
    <row r="5214" spans="1:18">
      <c r="A5214" t="s">
        <v>10810</v>
      </c>
      <c r="G5214" s="225"/>
      <c r="H5214" s="210"/>
      <c r="J5214" t="s">
        <v>5585</v>
      </c>
      <c r="K5214" s="218" t="s">
        <v>5586</v>
      </c>
      <c r="M5214" t="s">
        <v>4945</v>
      </c>
      <c r="N5214" t="s">
        <v>5571</v>
      </c>
      <c r="O5214" t="s">
        <v>4944</v>
      </c>
      <c r="Q5214" t="str">
        <f t="shared" si="201"/>
        <v>condorProc.py --series 07181008_0611 --donoise --dumps a --procenv environments/pymidas_HVHV_NaI_mf.env</v>
      </c>
      <c r="R5214" t="str">
        <f t="shared" si="202"/>
        <v>ln -s ../../../../midasraw/byseries/07181008_0611 07181008_0611</v>
      </c>
    </row>
    <row r="5215" spans="1:18">
      <c r="A5215" t="s">
        <v>10811</v>
      </c>
      <c r="G5215" s="225"/>
      <c r="H5215" s="210"/>
      <c r="K5215" s="219" t="s">
        <v>8388</v>
      </c>
      <c r="M5215" t="s">
        <v>4945</v>
      </c>
      <c r="N5215" t="s">
        <v>5571</v>
      </c>
      <c r="O5215" t="s">
        <v>4944</v>
      </c>
      <c r="Q5215" t="str">
        <f t="shared" si="201"/>
        <v>condorProc.py --series 07181008_0621 --donoise --dumps a --procenv environments/pymidas_HVHV_NaI_mf.env</v>
      </c>
      <c r="R5215" t="str">
        <f t="shared" si="202"/>
        <v>ln -s ../../../../midasraw/byseries/07181008_0621 07181008_0621</v>
      </c>
    </row>
    <row r="5216" spans="1:18">
      <c r="A5216" t="s">
        <v>10812</v>
      </c>
      <c r="G5216" s="225"/>
      <c r="H5216" s="210"/>
      <c r="K5216" s="180"/>
      <c r="M5216" t="s">
        <v>4945</v>
      </c>
      <c r="N5216" t="s">
        <v>5571</v>
      </c>
      <c r="O5216" t="s">
        <v>4944</v>
      </c>
      <c r="Q5216" t="str">
        <f t="shared" si="201"/>
        <v>condorProc.py --series 07181008_0631 --donoise --dumps a --procenv environments/pymidas_HVHV_NaI_mf.env</v>
      </c>
      <c r="R5216" t="str">
        <f t="shared" si="202"/>
        <v>ln -s ../../../../midasraw/byseries/07181008_0631 07181008_0631</v>
      </c>
    </row>
    <row r="5217" spans="1:18">
      <c r="A5217" t="s">
        <v>10813</v>
      </c>
      <c r="G5217" s="225"/>
      <c r="H5217" s="210"/>
      <c r="K5217" s="180"/>
      <c r="M5217" t="s">
        <v>4945</v>
      </c>
      <c r="N5217" t="s">
        <v>5571</v>
      </c>
      <c r="O5217" t="s">
        <v>4944</v>
      </c>
      <c r="Q5217" t="str">
        <f t="shared" si="201"/>
        <v>condorProc.py --series 07181008_0641 --donoise --dumps a --procenv environments/pymidas_HVHV_NaI_mf.env</v>
      </c>
      <c r="R5217" t="str">
        <f t="shared" si="202"/>
        <v>ln -s ../../../../midasraw/byseries/07181008_0641 07181008_0641</v>
      </c>
    </row>
    <row r="5218" spans="1:18">
      <c r="A5218" t="s">
        <v>10814</v>
      </c>
      <c r="G5218" s="225"/>
      <c r="H5218" s="210"/>
      <c r="K5218" s="180"/>
      <c r="M5218" t="s">
        <v>4945</v>
      </c>
      <c r="N5218" t="s">
        <v>5571</v>
      </c>
      <c r="O5218" t="s">
        <v>4944</v>
      </c>
      <c r="Q5218" t="str">
        <f t="shared" si="201"/>
        <v>condorProc.py --series 07181008_0651 --donoise --dumps a --procenv environments/pymidas_HVHV_NaI_mf.env</v>
      </c>
      <c r="R5218" t="str">
        <f t="shared" si="202"/>
        <v>ln -s ../../../../midasraw/byseries/07181008_0651 07181008_0651</v>
      </c>
    </row>
    <row r="5219" spans="1:18">
      <c r="A5219" t="s">
        <v>10815</v>
      </c>
      <c r="G5219" s="225"/>
      <c r="H5219" s="210"/>
      <c r="K5219" s="180"/>
      <c r="M5219" t="s">
        <v>4945</v>
      </c>
      <c r="N5219" t="s">
        <v>5571</v>
      </c>
      <c r="O5219" t="s">
        <v>4944</v>
      </c>
      <c r="Q5219" t="str">
        <f t="shared" si="201"/>
        <v>condorProc.py --series 07181008_0701 --donoise --dumps a --procenv environments/pymidas_HVHV_NaI_mf.env</v>
      </c>
      <c r="R5219" t="str">
        <f t="shared" si="202"/>
        <v>ln -s ../../../../midasraw/byseries/07181008_0701 07181008_0701</v>
      </c>
    </row>
    <row r="5220" spans="1:18">
      <c r="A5220" t="s">
        <v>10816</v>
      </c>
      <c r="G5220" s="225"/>
      <c r="H5220" s="210"/>
      <c r="K5220" s="180"/>
      <c r="M5220" t="s">
        <v>4945</v>
      </c>
      <c r="N5220" t="s">
        <v>5571</v>
      </c>
      <c r="O5220" t="s">
        <v>4944</v>
      </c>
      <c r="Q5220" t="str">
        <f t="shared" si="201"/>
        <v>condorProc.py --series 07181008_0711 --donoise --dumps a --procenv environments/pymidas_HVHV_NaI_mf.env</v>
      </c>
      <c r="R5220" t="str">
        <f t="shared" si="202"/>
        <v>ln -s ../../../../midasraw/byseries/07181008_0711 07181008_0711</v>
      </c>
    </row>
    <row r="5221" spans="1:18">
      <c r="A5221" t="s">
        <v>10817</v>
      </c>
      <c r="G5221" s="225"/>
      <c r="H5221" s="210"/>
      <c r="K5221" s="180"/>
      <c r="M5221" t="s">
        <v>4945</v>
      </c>
      <c r="N5221" t="s">
        <v>5571</v>
      </c>
      <c r="O5221" t="s">
        <v>4944</v>
      </c>
      <c r="Q5221" t="str">
        <f t="shared" si="201"/>
        <v>condorProc.py --series 07181008_0721 --donoise --dumps a --procenv environments/pymidas_HVHV_NaI_mf.env</v>
      </c>
      <c r="R5221" t="str">
        <f t="shared" si="202"/>
        <v>ln -s ../../../../midasraw/byseries/07181008_0721 07181008_0721</v>
      </c>
    </row>
    <row r="5222" spans="1:18">
      <c r="A5222" t="s">
        <v>10818</v>
      </c>
      <c r="G5222" s="225"/>
      <c r="H5222" s="210"/>
      <c r="K5222" s="180"/>
      <c r="M5222" t="s">
        <v>4945</v>
      </c>
      <c r="N5222" t="s">
        <v>5571</v>
      </c>
      <c r="O5222" t="s">
        <v>4944</v>
      </c>
      <c r="Q5222" t="str">
        <f t="shared" si="201"/>
        <v>condorProc.py --series 07181008_0731 --donoise --dumps a --procenv environments/pymidas_HVHV_NaI_mf.env</v>
      </c>
      <c r="R5222" t="str">
        <f t="shared" si="202"/>
        <v>ln -s ../../../../midasraw/byseries/07181008_0731 07181008_0731</v>
      </c>
    </row>
    <row r="5223" spans="1:18">
      <c r="A5223" t="s">
        <v>10819</v>
      </c>
      <c r="G5223" s="225"/>
      <c r="H5223" s="210"/>
      <c r="K5223" s="180"/>
      <c r="M5223" t="s">
        <v>4945</v>
      </c>
      <c r="N5223" t="s">
        <v>5571</v>
      </c>
      <c r="O5223" t="s">
        <v>4944</v>
      </c>
      <c r="Q5223" t="str">
        <f t="shared" si="201"/>
        <v>condorProc.py --series 07181008_0742 --donoise --dumps a --procenv environments/pymidas_HVHV_NaI_mf.env</v>
      </c>
      <c r="R5223" t="str">
        <f t="shared" si="202"/>
        <v>ln -s ../../../../midasraw/byseries/07181008_0742 07181008_0742</v>
      </c>
    </row>
    <row r="5224" spans="1:18">
      <c r="A5224" t="s">
        <v>10820</v>
      </c>
      <c r="F5224" s="65"/>
      <c r="G5224" s="226"/>
      <c r="H5224" s="211"/>
      <c r="I5224" s="65" t="s">
        <v>75</v>
      </c>
      <c r="J5224" s="65"/>
      <c r="K5224" s="182"/>
      <c r="L5224" t="str">
        <f>"BatViewer --nohardcode "&amp;A5224&amp;"/"&amp;A5224&amp;"_F0010.mid.gz"</f>
        <v>BatViewer --nohardcode 07181008_0752/07181008_0752_F0010.mid.gz</v>
      </c>
      <c r="M5224" t="s">
        <v>4945</v>
      </c>
      <c r="N5224" t="s">
        <v>5571</v>
      </c>
      <c r="O5224" t="s">
        <v>4944</v>
      </c>
      <c r="Q5224" t="str">
        <f t="shared" si="201"/>
        <v>condorProc.py --series 07181008_0752 --donoise --dumps a --procenv environments/pymidas_HVHV_NaI_mf.env</v>
      </c>
      <c r="R5224" t="str">
        <f t="shared" si="202"/>
        <v>ln -s ../../../../midasraw/byseries/07181008_0752 07181008_0752</v>
      </c>
    </row>
    <row r="5225" spans="1:18">
      <c r="A5225" t="s">
        <v>10821</v>
      </c>
      <c r="F5225" s="177">
        <v>10</v>
      </c>
      <c r="G5225" s="224" t="s">
        <v>8641</v>
      </c>
      <c r="H5225" s="209">
        <v>-125</v>
      </c>
      <c r="I5225" s="177"/>
      <c r="J5225" s="177" t="s">
        <v>5577</v>
      </c>
      <c r="K5225" s="178" t="s">
        <v>5583</v>
      </c>
      <c r="M5225" t="s">
        <v>4945</v>
      </c>
      <c r="N5225" t="s">
        <v>5571</v>
      </c>
      <c r="O5225" t="s">
        <v>4944</v>
      </c>
      <c r="Q5225" t="str">
        <f t="shared" si="201"/>
        <v>condorProc.py --series 07181008_0850 --donoise --dumps a --procenv environments/pymidas_HVHV_NaI_mf.env</v>
      </c>
      <c r="R5225" t="str">
        <f t="shared" si="202"/>
        <v>ln -s ../../../../midasraw/byseries/07181008_0850 07181008_0850</v>
      </c>
    </row>
    <row r="5226" spans="1:18">
      <c r="A5226" t="s">
        <v>10822</v>
      </c>
      <c r="G5226" s="225"/>
      <c r="H5226" s="210"/>
      <c r="J5226" t="s">
        <v>5585</v>
      </c>
      <c r="K5226" s="218" t="s">
        <v>5586</v>
      </c>
      <c r="M5226" t="s">
        <v>4945</v>
      </c>
      <c r="N5226" t="s">
        <v>5571</v>
      </c>
      <c r="O5226" t="s">
        <v>4944</v>
      </c>
      <c r="Q5226" t="str">
        <f t="shared" si="201"/>
        <v>condorProc.py --series 07181008_0900 --donoise --dumps a --procenv environments/pymidas_HVHV_NaI_mf.env</v>
      </c>
      <c r="R5226" t="str">
        <f t="shared" si="202"/>
        <v>ln -s ../../../../midasraw/byseries/07181008_0900 07181008_0900</v>
      </c>
    </row>
    <row r="5227" spans="1:18">
      <c r="A5227" t="s">
        <v>10823</v>
      </c>
      <c r="G5227" s="225"/>
      <c r="H5227" s="210"/>
      <c r="K5227" s="219" t="s">
        <v>8388</v>
      </c>
      <c r="M5227" t="s">
        <v>4945</v>
      </c>
      <c r="N5227" t="s">
        <v>5571</v>
      </c>
      <c r="O5227" t="s">
        <v>4944</v>
      </c>
      <c r="Q5227" t="str">
        <f t="shared" si="201"/>
        <v>condorProc.py --series 07181008_0910 --donoise --dumps a --procenv environments/pymidas_HVHV_NaI_mf.env</v>
      </c>
      <c r="R5227" t="str">
        <f t="shared" si="202"/>
        <v>ln -s ../../../../midasraw/byseries/07181008_0910 07181008_0910</v>
      </c>
    </row>
    <row r="5228" spans="1:18">
      <c r="A5228" t="s">
        <v>10824</v>
      </c>
      <c r="G5228" s="225"/>
      <c r="H5228" s="210"/>
      <c r="K5228" s="180"/>
      <c r="M5228" t="s">
        <v>4945</v>
      </c>
      <c r="N5228" t="s">
        <v>5571</v>
      </c>
      <c r="O5228" t="s">
        <v>4944</v>
      </c>
      <c r="Q5228" t="str">
        <f t="shared" si="201"/>
        <v>condorProc.py --series 07181008_0920 --donoise --dumps a --procenv environments/pymidas_HVHV_NaI_mf.env</v>
      </c>
      <c r="R5228" t="str">
        <f t="shared" si="202"/>
        <v>ln -s ../../../../midasraw/byseries/07181008_0920 07181008_0920</v>
      </c>
    </row>
    <row r="5229" spans="1:18">
      <c r="A5229" t="s">
        <v>10825</v>
      </c>
      <c r="G5229" s="225"/>
      <c r="H5229" s="210"/>
      <c r="K5229" s="180"/>
      <c r="M5229" t="s">
        <v>4945</v>
      </c>
      <c r="N5229" t="s">
        <v>5571</v>
      </c>
      <c r="O5229" t="s">
        <v>4944</v>
      </c>
      <c r="Q5229" t="str">
        <f t="shared" si="201"/>
        <v>condorProc.py --series 07181008_0930 --donoise --dumps a --procenv environments/pymidas_HVHV_NaI_mf.env</v>
      </c>
      <c r="R5229" t="str">
        <f t="shared" si="202"/>
        <v>ln -s ../../../../midasraw/byseries/07181008_0930 07181008_0930</v>
      </c>
    </row>
    <row r="5230" spans="1:18">
      <c r="A5230" t="s">
        <v>10826</v>
      </c>
      <c r="G5230" s="225"/>
      <c r="H5230" s="210"/>
      <c r="K5230" s="180"/>
      <c r="M5230" t="s">
        <v>4945</v>
      </c>
      <c r="N5230" t="s">
        <v>5571</v>
      </c>
      <c r="O5230" t="s">
        <v>4944</v>
      </c>
      <c r="Q5230" t="str">
        <f t="shared" si="201"/>
        <v>condorProc.py --series 07181008_0940 --donoise --dumps a --procenv environments/pymidas_HVHV_NaI_mf.env</v>
      </c>
      <c r="R5230" t="str">
        <f t="shared" si="202"/>
        <v>ln -s ../../../../midasraw/byseries/07181008_0940 07181008_0940</v>
      </c>
    </row>
    <row r="5231" spans="1:18">
      <c r="A5231" t="s">
        <v>10827</v>
      </c>
      <c r="G5231" s="225"/>
      <c r="H5231" s="210"/>
      <c r="K5231" s="180"/>
      <c r="M5231" t="s">
        <v>4945</v>
      </c>
      <c r="N5231" t="s">
        <v>5571</v>
      </c>
      <c r="O5231" t="s">
        <v>4944</v>
      </c>
      <c r="Q5231" t="str">
        <f t="shared" si="201"/>
        <v>condorProc.py --series 07181008_0950 --donoise --dumps a --procenv environments/pymidas_HVHV_NaI_mf.env</v>
      </c>
      <c r="R5231" t="str">
        <f t="shared" si="202"/>
        <v>ln -s ../../../../midasraw/byseries/07181008_0950 07181008_0950</v>
      </c>
    </row>
    <row r="5232" spans="1:18">
      <c r="A5232" t="s">
        <v>10828</v>
      </c>
      <c r="G5232" s="225"/>
      <c r="H5232" s="210"/>
      <c r="K5232" s="180"/>
      <c r="M5232" t="s">
        <v>4945</v>
      </c>
      <c r="N5232" t="s">
        <v>5571</v>
      </c>
      <c r="O5232" t="s">
        <v>4944</v>
      </c>
      <c r="Q5232" t="str">
        <f t="shared" si="201"/>
        <v>condorProc.py --series 07181008_1000 --donoise --dumps a --procenv environments/pymidas_HVHV_NaI_mf.env</v>
      </c>
      <c r="R5232" t="str">
        <f t="shared" si="202"/>
        <v>ln -s ../../../../midasraw/byseries/07181008_1000 07181008_1000</v>
      </c>
    </row>
    <row r="5233" spans="1:18">
      <c r="A5233" t="s">
        <v>10829</v>
      </c>
      <c r="G5233" s="225"/>
      <c r="H5233" s="210"/>
      <c r="K5233" s="180"/>
      <c r="M5233" t="s">
        <v>4945</v>
      </c>
      <c r="N5233" t="s">
        <v>5571</v>
      </c>
      <c r="O5233" t="s">
        <v>4944</v>
      </c>
      <c r="Q5233" t="str">
        <f t="shared" si="201"/>
        <v>condorProc.py --series 07181008_1011 --donoise --dumps a --procenv environments/pymidas_HVHV_NaI_mf.env</v>
      </c>
      <c r="R5233" t="str">
        <f t="shared" si="202"/>
        <v>ln -s ../../../../midasraw/byseries/07181008_1011 07181008_1011</v>
      </c>
    </row>
    <row r="5234" spans="1:18">
      <c r="A5234" t="s">
        <v>10830</v>
      </c>
      <c r="G5234" s="225"/>
      <c r="H5234" s="210"/>
      <c r="K5234" s="180"/>
      <c r="M5234" t="s">
        <v>4945</v>
      </c>
      <c r="N5234" t="s">
        <v>5571</v>
      </c>
      <c r="O5234" t="s">
        <v>4944</v>
      </c>
      <c r="Q5234" t="str">
        <f t="shared" si="201"/>
        <v>condorProc.py --series 07181008_1021 --donoise --dumps a --procenv environments/pymidas_HVHV_NaI_mf.env</v>
      </c>
      <c r="R5234" t="str">
        <f t="shared" si="202"/>
        <v>ln -s ../../../../midasraw/byseries/07181008_1021 07181008_1021</v>
      </c>
    </row>
    <row r="5235" spans="1:18">
      <c r="A5235" t="s">
        <v>10831</v>
      </c>
      <c r="G5235" s="225"/>
      <c r="H5235" s="210"/>
      <c r="K5235" s="180"/>
      <c r="M5235" t="s">
        <v>4945</v>
      </c>
      <c r="N5235" t="s">
        <v>5571</v>
      </c>
      <c r="O5235" t="s">
        <v>4944</v>
      </c>
      <c r="Q5235" t="str">
        <f t="shared" si="201"/>
        <v>condorProc.py --series 07181008_1031 --donoise --dumps a --procenv environments/pymidas_HVHV_NaI_mf.env</v>
      </c>
      <c r="R5235" t="str">
        <f t="shared" si="202"/>
        <v>ln -s ../../../../midasraw/byseries/07181008_1031 07181008_1031</v>
      </c>
    </row>
    <row r="5236" spans="1:18">
      <c r="A5236" t="s">
        <v>10832</v>
      </c>
      <c r="F5236" s="65"/>
      <c r="G5236" s="226"/>
      <c r="H5236" s="211"/>
      <c r="I5236" s="65"/>
      <c r="J5236" s="65"/>
      <c r="K5236" s="182"/>
      <c r="M5236" t="s">
        <v>4945</v>
      </c>
      <c r="N5236" t="s">
        <v>5571</v>
      </c>
      <c r="O5236" t="s">
        <v>4944</v>
      </c>
      <c r="Q5236" t="str">
        <f t="shared" si="201"/>
        <v>condorProc.py --series 07181008_1041 --donoise --dumps a --procenv environments/pymidas_HVHV_NaI_mf.env</v>
      </c>
      <c r="R5236" t="str">
        <f t="shared" si="202"/>
        <v>ln -s ../../../../midasraw/byseries/07181008_1041 07181008_1041</v>
      </c>
    </row>
    <row r="5237" spans="1:18">
      <c r="A5237" t="s">
        <v>10833</v>
      </c>
      <c r="F5237" s="177">
        <v>10</v>
      </c>
      <c r="G5237" s="228" t="s">
        <v>10834</v>
      </c>
      <c r="H5237" s="209">
        <v>-125</v>
      </c>
      <c r="I5237" s="177"/>
      <c r="J5237" s="177" t="s">
        <v>5577</v>
      </c>
      <c r="K5237" s="178" t="s">
        <v>5583</v>
      </c>
      <c r="M5237" t="s">
        <v>4945</v>
      </c>
      <c r="N5237" t="s">
        <v>5571</v>
      </c>
      <c r="O5237" t="s">
        <v>4942</v>
      </c>
      <c r="Q5237" t="str">
        <f t="shared" si="201"/>
        <v>condorProc.py --series 07181008_1140 --donoise --dumps a --procenv environments/pymidas_HVHV_NaI_mf.env</v>
      </c>
      <c r="R5237" t="str">
        <f t="shared" ref="R5237:R5300" si="203">"ln -s ../../../../midasraw/byseries/"&amp;A5237&amp;" "&amp;A5237</f>
        <v>ln -s ../../../../midasraw/byseries/07181008_1140 07181008_1140</v>
      </c>
    </row>
    <row r="5238" spans="1:18">
      <c r="A5238" t="s">
        <v>10835</v>
      </c>
      <c r="G5238" s="229"/>
      <c r="H5238" s="210"/>
      <c r="J5238" t="s">
        <v>5585</v>
      </c>
      <c r="K5238" s="218" t="s">
        <v>5586</v>
      </c>
      <c r="M5238" t="s">
        <v>4945</v>
      </c>
      <c r="N5238" t="s">
        <v>5571</v>
      </c>
      <c r="O5238" t="s">
        <v>4942</v>
      </c>
      <c r="Q5238" t="str">
        <f t="shared" si="201"/>
        <v>condorProc.py --series 07181008_1150 --donoise --dumps a --procenv environments/pymidas_HVHV_NaI_mf.env</v>
      </c>
      <c r="R5238" t="str">
        <f t="shared" si="203"/>
        <v>ln -s ../../../../midasraw/byseries/07181008_1150 07181008_1150</v>
      </c>
    </row>
    <row r="5239" spans="1:18">
      <c r="A5239" t="s">
        <v>10836</v>
      </c>
      <c r="G5239" s="229"/>
      <c r="H5239" s="210"/>
      <c r="K5239" s="219" t="s">
        <v>8388</v>
      </c>
      <c r="M5239" t="s">
        <v>4945</v>
      </c>
      <c r="N5239" t="s">
        <v>5571</v>
      </c>
      <c r="O5239" t="s">
        <v>4942</v>
      </c>
      <c r="Q5239" t="str">
        <f t="shared" si="201"/>
        <v>condorProc.py --series 07181008_1201 --donoise --dumps a --procenv environments/pymidas_HVHV_NaI_mf.env</v>
      </c>
      <c r="R5239" t="str">
        <f t="shared" si="203"/>
        <v>ln -s ../../../../midasraw/byseries/07181008_1201 07181008_1201</v>
      </c>
    </row>
    <row r="5240" spans="1:18">
      <c r="A5240" t="s">
        <v>10837</v>
      </c>
      <c r="G5240" s="229"/>
      <c r="H5240" s="210"/>
      <c r="K5240" s="180"/>
      <c r="M5240" t="s">
        <v>4945</v>
      </c>
      <c r="N5240" t="s">
        <v>5571</v>
      </c>
      <c r="O5240" t="s">
        <v>4942</v>
      </c>
      <c r="Q5240" t="str">
        <f t="shared" si="201"/>
        <v>condorProc.py --series 07181008_1211 --donoise --dumps a --procenv environments/pymidas_HVHV_NaI_mf.env</v>
      </c>
      <c r="R5240" t="str">
        <f t="shared" si="203"/>
        <v>ln -s ../../../../midasraw/byseries/07181008_1211 07181008_1211</v>
      </c>
    </row>
    <row r="5241" spans="1:18">
      <c r="A5241" t="s">
        <v>10838</v>
      </c>
      <c r="G5241" s="229"/>
      <c r="H5241" s="210"/>
      <c r="K5241" s="180"/>
      <c r="M5241" t="s">
        <v>4945</v>
      </c>
      <c r="N5241" t="s">
        <v>5571</v>
      </c>
      <c r="O5241" t="s">
        <v>4942</v>
      </c>
      <c r="Q5241" t="str">
        <f t="shared" si="201"/>
        <v>condorProc.py --series 07181008_1221 --donoise --dumps a --procenv environments/pymidas_HVHV_NaI_mf.env</v>
      </c>
      <c r="R5241" t="str">
        <f t="shared" si="203"/>
        <v>ln -s ../../../../midasraw/byseries/07181008_1221 07181008_1221</v>
      </c>
    </row>
    <row r="5242" spans="1:18">
      <c r="A5242" t="s">
        <v>10839</v>
      </c>
      <c r="G5242" s="229"/>
      <c r="H5242" s="210"/>
      <c r="K5242" s="180"/>
      <c r="M5242" t="s">
        <v>4945</v>
      </c>
      <c r="N5242" t="s">
        <v>5571</v>
      </c>
      <c r="O5242" t="s">
        <v>4942</v>
      </c>
      <c r="Q5242" t="str">
        <f t="shared" si="201"/>
        <v>condorProc.py --series 07181008_1231 --donoise --dumps a --procenv environments/pymidas_HVHV_NaI_mf.env</v>
      </c>
      <c r="R5242" t="str">
        <f t="shared" si="203"/>
        <v>ln -s ../../../../midasraw/byseries/07181008_1231 07181008_1231</v>
      </c>
    </row>
    <row r="5243" spans="1:18">
      <c r="A5243" t="s">
        <v>10840</v>
      </c>
      <c r="G5243" s="229"/>
      <c r="H5243" s="210"/>
      <c r="K5243" s="180"/>
      <c r="M5243" t="s">
        <v>4945</v>
      </c>
      <c r="N5243" t="s">
        <v>5571</v>
      </c>
      <c r="O5243" t="s">
        <v>4942</v>
      </c>
      <c r="Q5243" t="str">
        <f t="shared" si="201"/>
        <v>condorProc.py --series 07181008_1241 --donoise --dumps a --procenv environments/pymidas_HVHV_NaI_mf.env</v>
      </c>
      <c r="R5243" t="str">
        <f t="shared" si="203"/>
        <v>ln -s ../../../../midasraw/byseries/07181008_1241 07181008_1241</v>
      </c>
    </row>
    <row r="5244" spans="1:18">
      <c r="A5244" t="s">
        <v>10841</v>
      </c>
      <c r="G5244" s="229"/>
      <c r="H5244" s="210"/>
      <c r="K5244" s="180"/>
      <c r="M5244" t="s">
        <v>4945</v>
      </c>
      <c r="N5244" t="s">
        <v>5571</v>
      </c>
      <c r="O5244" t="s">
        <v>4942</v>
      </c>
      <c r="Q5244" t="str">
        <f t="shared" si="201"/>
        <v>condorProc.py --series 07181008_1251 --donoise --dumps a --procenv environments/pymidas_HVHV_NaI_mf.env</v>
      </c>
      <c r="R5244" t="str">
        <f t="shared" si="203"/>
        <v>ln -s ../../../../midasraw/byseries/07181008_1251 07181008_1251</v>
      </c>
    </row>
    <row r="5245" spans="1:18">
      <c r="A5245" t="s">
        <v>10842</v>
      </c>
      <c r="G5245" s="229"/>
      <c r="H5245" s="210"/>
      <c r="K5245" s="180"/>
      <c r="M5245" t="s">
        <v>4945</v>
      </c>
      <c r="N5245" t="s">
        <v>5571</v>
      </c>
      <c r="O5245" t="s">
        <v>4942</v>
      </c>
      <c r="Q5245" t="str">
        <f t="shared" si="201"/>
        <v>condorProc.py --series 07181008_1301 --donoise --dumps a --procenv environments/pymidas_HVHV_NaI_mf.env</v>
      </c>
      <c r="R5245" t="str">
        <f t="shared" si="203"/>
        <v>ln -s ../../../../midasraw/byseries/07181008_1301 07181008_1301</v>
      </c>
    </row>
    <row r="5246" spans="1:18">
      <c r="A5246" t="s">
        <v>10843</v>
      </c>
      <c r="G5246" s="229"/>
      <c r="H5246" s="210"/>
      <c r="I5246" t="s">
        <v>75</v>
      </c>
      <c r="K5246" s="180"/>
      <c r="L5246" t="str">
        <f>"BatViewer --nohardcode "&amp;A5246&amp;"/"&amp;A5246&amp;"_F0010.mid.gz"</f>
        <v>BatViewer --nohardcode 07181008_1312/07181008_1312_F0010.mid.gz</v>
      </c>
      <c r="M5246" t="s">
        <v>4945</v>
      </c>
      <c r="N5246" t="s">
        <v>5571</v>
      </c>
      <c r="O5246" t="s">
        <v>4942</v>
      </c>
      <c r="Q5246" t="str">
        <f t="shared" si="201"/>
        <v>condorProc.py --series 07181008_1312 --donoise --dumps a --procenv environments/pymidas_HVHV_NaI_mf.env</v>
      </c>
      <c r="R5246" t="str">
        <f t="shared" si="203"/>
        <v>ln -s ../../../../midasraw/byseries/07181008_1312 07181008_1312</v>
      </c>
    </row>
    <row r="5247" spans="1:18">
      <c r="A5247" t="s">
        <v>10844</v>
      </c>
      <c r="G5247" s="229"/>
      <c r="H5247" s="210"/>
      <c r="K5247" s="180"/>
      <c r="M5247" t="s">
        <v>4945</v>
      </c>
      <c r="N5247" t="s">
        <v>5571</v>
      </c>
      <c r="O5247" t="s">
        <v>4942</v>
      </c>
      <c r="Q5247" t="str">
        <f t="shared" si="201"/>
        <v>condorProc.py --series 07181008_1322 --donoise --dumps a --procenv environments/pymidas_HVHV_NaI_mf.env</v>
      </c>
      <c r="R5247" t="str">
        <f t="shared" si="203"/>
        <v>ln -s ../../../../midasraw/byseries/07181008_1322 07181008_1322</v>
      </c>
    </row>
    <row r="5248" spans="1:18">
      <c r="A5248" t="s">
        <v>10845</v>
      </c>
      <c r="F5248" s="65"/>
      <c r="G5248" s="231"/>
      <c r="H5248" s="211"/>
      <c r="I5248" s="65" t="s">
        <v>75</v>
      </c>
      <c r="J5248" s="65"/>
      <c r="K5248" s="182"/>
      <c r="L5248" t="str">
        <f>"BatViewer --nohardcode "&amp;A5248&amp;"/"&amp;A5248&amp;"_F0010.mid.gz"</f>
        <v>BatViewer --nohardcode 07181008_1332/07181008_1332_F0010.mid.gz</v>
      </c>
      <c r="M5248" t="s">
        <v>4945</v>
      </c>
      <c r="N5248" t="s">
        <v>5571</v>
      </c>
      <c r="O5248" t="s">
        <v>4942</v>
      </c>
      <c r="Q5248" t="str">
        <f t="shared" si="201"/>
        <v>condorProc.py --series 07181008_1332 --donoise --dumps a --procenv environments/pymidas_HVHV_NaI_mf.env</v>
      </c>
      <c r="R5248" t="str">
        <f t="shared" si="203"/>
        <v>ln -s ../../../../midasraw/byseries/07181008_1332 07181008_1332</v>
      </c>
    </row>
    <row r="5249" spans="1:18">
      <c r="A5249" t="s">
        <v>10846</v>
      </c>
      <c r="F5249" s="177">
        <v>10</v>
      </c>
      <c r="G5249" s="228" t="s">
        <v>10834</v>
      </c>
      <c r="H5249" s="209">
        <v>-125</v>
      </c>
      <c r="I5249" s="177"/>
      <c r="J5249" s="177" t="s">
        <v>5577</v>
      </c>
      <c r="K5249" s="178" t="s">
        <v>5583</v>
      </c>
      <c r="M5249" t="s">
        <v>4945</v>
      </c>
      <c r="N5249" t="s">
        <v>5571</v>
      </c>
      <c r="O5249" t="s">
        <v>4942</v>
      </c>
      <c r="Q5249" t="str">
        <f t="shared" si="201"/>
        <v>condorProc.py --series 07181008_1453 --donoise --dumps a --procenv environments/pymidas_HVHV_NaI_mf.env</v>
      </c>
      <c r="R5249" t="str">
        <f t="shared" si="203"/>
        <v>ln -s ../../../../midasraw/byseries/07181008_1453 07181008_1453</v>
      </c>
    </row>
    <row r="5250" spans="1:18">
      <c r="A5250" t="s">
        <v>10847</v>
      </c>
      <c r="G5250" s="229"/>
      <c r="H5250" s="210"/>
      <c r="J5250" t="s">
        <v>5585</v>
      </c>
      <c r="K5250" s="218" t="s">
        <v>5586</v>
      </c>
      <c r="M5250" t="s">
        <v>4945</v>
      </c>
      <c r="N5250" t="s">
        <v>5571</v>
      </c>
      <c r="O5250" t="s">
        <v>4942</v>
      </c>
      <c r="Q5250" t="str">
        <f t="shared" si="201"/>
        <v>condorProc.py --series 07181008_1503 --donoise --dumps a --procenv environments/pymidas_HVHV_NaI_mf.env</v>
      </c>
      <c r="R5250" t="str">
        <f t="shared" si="203"/>
        <v>ln -s ../../../../midasraw/byseries/07181008_1503 07181008_1503</v>
      </c>
    </row>
    <row r="5251" spans="1:18">
      <c r="A5251" t="s">
        <v>10848</v>
      </c>
      <c r="G5251" s="229"/>
      <c r="H5251" s="210"/>
      <c r="K5251" s="219" t="s">
        <v>8388</v>
      </c>
      <c r="M5251" t="s">
        <v>4945</v>
      </c>
      <c r="N5251" t="s">
        <v>5571</v>
      </c>
      <c r="O5251" t="s">
        <v>4942</v>
      </c>
      <c r="Q5251" t="str">
        <f t="shared" si="201"/>
        <v>condorProc.py --series 07181008_1513 --donoise --dumps a --procenv environments/pymidas_HVHV_NaI_mf.env</v>
      </c>
      <c r="R5251" t="str">
        <f t="shared" si="203"/>
        <v>ln -s ../../../../midasraw/byseries/07181008_1513 07181008_1513</v>
      </c>
    </row>
    <row r="5252" spans="1:18">
      <c r="A5252" t="s">
        <v>10849</v>
      </c>
      <c r="G5252" s="229"/>
      <c r="H5252" s="210"/>
      <c r="K5252" s="180"/>
      <c r="M5252" t="s">
        <v>4945</v>
      </c>
      <c r="N5252" t="s">
        <v>5571</v>
      </c>
      <c r="O5252" t="s">
        <v>4942</v>
      </c>
      <c r="Q5252" t="str">
        <f t="shared" si="201"/>
        <v>condorProc.py --series 07181008_1523 --donoise --dumps a --procenv environments/pymidas_HVHV_NaI_mf.env</v>
      </c>
      <c r="R5252" t="str">
        <f t="shared" si="203"/>
        <v>ln -s ../../../../midasraw/byseries/07181008_1523 07181008_1523</v>
      </c>
    </row>
    <row r="5253" spans="1:18">
      <c r="A5253" t="s">
        <v>10850</v>
      </c>
      <c r="G5253" s="229"/>
      <c r="H5253" s="210"/>
      <c r="K5253" s="180"/>
      <c r="M5253" t="s">
        <v>4945</v>
      </c>
      <c r="N5253" t="s">
        <v>5571</v>
      </c>
      <c r="O5253" t="s">
        <v>4942</v>
      </c>
      <c r="Q5253" t="str">
        <f t="shared" si="201"/>
        <v>condorProc.py --series 07181008_1533 --donoise --dumps a --procenv environments/pymidas_HVHV_NaI_mf.env</v>
      </c>
      <c r="R5253" t="str">
        <f t="shared" si="203"/>
        <v>ln -s ../../../../midasraw/byseries/07181008_1533 07181008_1533</v>
      </c>
    </row>
    <row r="5254" spans="1:18">
      <c r="A5254" t="s">
        <v>10851</v>
      </c>
      <c r="G5254" s="229"/>
      <c r="H5254" s="210"/>
      <c r="K5254" s="180"/>
      <c r="M5254" t="s">
        <v>4945</v>
      </c>
      <c r="N5254" t="s">
        <v>5571</v>
      </c>
      <c r="O5254" t="s">
        <v>4942</v>
      </c>
      <c r="Q5254" t="str">
        <f t="shared" si="201"/>
        <v>condorProc.py --series 07181008_1543 --donoise --dumps a --procenv environments/pymidas_HVHV_NaI_mf.env</v>
      </c>
      <c r="R5254" t="str">
        <f t="shared" si="203"/>
        <v>ln -s ../../../../midasraw/byseries/07181008_1543 07181008_1543</v>
      </c>
    </row>
    <row r="5255" spans="1:18">
      <c r="A5255" t="s">
        <v>10852</v>
      </c>
      <c r="G5255" s="229"/>
      <c r="H5255" s="210"/>
      <c r="K5255" s="180"/>
      <c r="M5255" t="s">
        <v>4945</v>
      </c>
      <c r="N5255" t="s">
        <v>5571</v>
      </c>
      <c r="O5255" t="s">
        <v>4942</v>
      </c>
      <c r="Q5255" t="str">
        <f t="shared" si="201"/>
        <v>condorProc.py --series 07181008_1553 --donoise --dumps a --procenv environments/pymidas_HVHV_NaI_mf.env</v>
      </c>
      <c r="R5255" t="str">
        <f t="shared" si="203"/>
        <v>ln -s ../../../../midasraw/byseries/07181008_1553 07181008_1553</v>
      </c>
    </row>
    <row r="5256" spans="1:18">
      <c r="A5256" t="s">
        <v>10853</v>
      </c>
      <c r="G5256" s="229"/>
      <c r="H5256" s="210"/>
      <c r="K5256" s="180"/>
      <c r="L5256" t="str">
        <f>"BatViewer --nohardcode "&amp;A5256&amp;"/"&amp;A5256&amp;"_F0010.mid.gz"</f>
        <v>BatViewer --nohardcode 07181008_1604/07181008_1604_F0010.mid.gz</v>
      </c>
      <c r="M5256" t="s">
        <v>4945</v>
      </c>
      <c r="N5256" t="s">
        <v>5571</v>
      </c>
      <c r="O5256" t="s">
        <v>4942</v>
      </c>
      <c r="Q5256" t="str">
        <f t="shared" ref="Q5256:Q5319" si="204">"condorProc.py --series "&amp;A5256&amp;" --donoise --dumps a --procenv environments/pymidas_HVHV_NaI_mf.env"</f>
        <v>condorProc.py --series 07181008_1604 --donoise --dumps a --procenv environments/pymidas_HVHV_NaI_mf.env</v>
      </c>
      <c r="R5256" t="str">
        <f t="shared" si="203"/>
        <v>ln -s ../../../../midasraw/byseries/07181008_1604 07181008_1604</v>
      </c>
    </row>
    <row r="5257" spans="1:18">
      <c r="A5257" t="s">
        <v>10854</v>
      </c>
      <c r="G5257" s="229"/>
      <c r="H5257" s="210"/>
      <c r="K5257" s="180"/>
      <c r="M5257" t="s">
        <v>4945</v>
      </c>
      <c r="N5257" t="s">
        <v>5571</v>
      </c>
      <c r="O5257" t="s">
        <v>4942</v>
      </c>
      <c r="Q5257" t="str">
        <f t="shared" si="204"/>
        <v>condorProc.py --series 07181008_1614 --donoise --dumps a --procenv environments/pymidas_HVHV_NaI_mf.env</v>
      </c>
      <c r="R5257" t="str">
        <f t="shared" si="203"/>
        <v>ln -s ../../../../midasraw/byseries/07181008_1614 07181008_1614</v>
      </c>
    </row>
    <row r="5258" spans="1:18">
      <c r="A5258" t="s">
        <v>10855</v>
      </c>
      <c r="C5258" t="s">
        <v>4942</v>
      </c>
      <c r="G5258" s="229"/>
      <c r="H5258" s="210"/>
      <c r="K5258" s="180"/>
      <c r="M5258" t="s">
        <v>4945</v>
      </c>
      <c r="N5258" t="s">
        <v>5571</v>
      </c>
      <c r="O5258" t="s">
        <v>4942</v>
      </c>
      <c r="Q5258" t="str">
        <f t="shared" si="204"/>
        <v>condorProc.py --series 07181008_1624 --donoise --dumps a --procenv environments/pymidas_HVHV_NaI_mf.env</v>
      </c>
      <c r="R5258" t="str">
        <f t="shared" si="203"/>
        <v>ln -s ../../../../midasraw/byseries/07181008_1624 07181008_1624</v>
      </c>
    </row>
    <row r="5259" spans="1:18">
      <c r="A5259" t="s">
        <v>10856</v>
      </c>
      <c r="G5259" s="229"/>
      <c r="H5259" s="210"/>
      <c r="K5259" s="180"/>
      <c r="M5259" t="s">
        <v>4945</v>
      </c>
      <c r="N5259" t="s">
        <v>5571</v>
      </c>
      <c r="O5259" t="s">
        <v>4942</v>
      </c>
      <c r="Q5259" t="str">
        <f t="shared" si="204"/>
        <v>condorProc.py --series 07181008_1634 --donoise --dumps a --procenv environments/pymidas_HVHV_NaI_mf.env</v>
      </c>
      <c r="R5259" t="str">
        <f t="shared" si="203"/>
        <v>ln -s ../../../../midasraw/byseries/07181008_1634 07181008_1634</v>
      </c>
    </row>
    <row r="5260" spans="1:18">
      <c r="A5260" t="s">
        <v>10857</v>
      </c>
      <c r="F5260" s="65"/>
      <c r="G5260" s="231"/>
      <c r="H5260" s="211"/>
      <c r="I5260" s="65"/>
      <c r="J5260" s="65"/>
      <c r="K5260" s="182"/>
      <c r="M5260" t="s">
        <v>4945</v>
      </c>
      <c r="N5260" t="s">
        <v>5571</v>
      </c>
      <c r="O5260" t="s">
        <v>4942</v>
      </c>
      <c r="Q5260" t="str">
        <f t="shared" si="204"/>
        <v>condorProc.py --series 07181008_1644 --donoise --dumps a --procenv environments/pymidas_HVHV_NaI_mf.env</v>
      </c>
      <c r="R5260" t="str">
        <f t="shared" si="203"/>
        <v>ln -s ../../../../midasraw/byseries/07181008_1644 07181008_1644</v>
      </c>
    </row>
    <row r="5261" spans="1:18">
      <c r="A5261" t="s">
        <v>10858</v>
      </c>
      <c r="F5261" s="177">
        <v>10</v>
      </c>
      <c r="G5261" s="228" t="s">
        <v>10834</v>
      </c>
      <c r="H5261" s="209">
        <v>-125</v>
      </c>
      <c r="I5261" s="177"/>
      <c r="J5261" s="177" t="s">
        <v>5577</v>
      </c>
      <c r="K5261" s="178" t="s">
        <v>5583</v>
      </c>
      <c r="M5261" t="s">
        <v>4945</v>
      </c>
      <c r="N5261" t="s">
        <v>5571</v>
      </c>
      <c r="O5261" t="s">
        <v>4942</v>
      </c>
      <c r="Q5261" t="str">
        <f t="shared" si="204"/>
        <v>condorProc.py --series 07181008_1744 --donoise --dumps a --procenv environments/pymidas_HVHV_NaI_mf.env</v>
      </c>
      <c r="R5261" t="str">
        <f t="shared" si="203"/>
        <v>ln -s ../../../../midasraw/byseries/07181008_1744 07181008_1744</v>
      </c>
    </row>
    <row r="5262" spans="1:18">
      <c r="A5262" t="s">
        <v>10859</v>
      </c>
      <c r="G5262" s="229"/>
      <c r="H5262" s="210"/>
      <c r="J5262" t="s">
        <v>5585</v>
      </c>
      <c r="K5262" s="218" t="s">
        <v>5586</v>
      </c>
      <c r="M5262" t="s">
        <v>4945</v>
      </c>
      <c r="N5262" t="s">
        <v>5571</v>
      </c>
      <c r="O5262" t="s">
        <v>4942</v>
      </c>
      <c r="Q5262" t="str">
        <f t="shared" si="204"/>
        <v>condorProc.py --series 07181008_1754 --donoise --dumps a --procenv environments/pymidas_HVHV_NaI_mf.env</v>
      </c>
      <c r="R5262" t="str">
        <f t="shared" si="203"/>
        <v>ln -s ../../../../midasraw/byseries/07181008_1754 07181008_1754</v>
      </c>
    </row>
    <row r="5263" spans="1:18">
      <c r="A5263" t="s">
        <v>10860</v>
      </c>
      <c r="G5263" s="229"/>
      <c r="H5263" s="210"/>
      <c r="K5263" s="219" t="s">
        <v>8388</v>
      </c>
      <c r="M5263" t="s">
        <v>4945</v>
      </c>
      <c r="N5263" t="s">
        <v>5571</v>
      </c>
      <c r="O5263" t="s">
        <v>4942</v>
      </c>
      <c r="Q5263" t="str">
        <f t="shared" si="204"/>
        <v>condorProc.py --series 07181008_1805 --donoise --dumps a --procenv environments/pymidas_HVHV_NaI_mf.env</v>
      </c>
      <c r="R5263" t="str">
        <f t="shared" si="203"/>
        <v>ln -s ../../../../midasraw/byseries/07181008_1805 07181008_1805</v>
      </c>
    </row>
    <row r="5264" spans="1:18">
      <c r="A5264" t="s">
        <v>10861</v>
      </c>
      <c r="G5264" s="229"/>
      <c r="H5264" s="210"/>
      <c r="K5264" s="180"/>
      <c r="M5264" t="s">
        <v>4945</v>
      </c>
      <c r="N5264" t="s">
        <v>5571</v>
      </c>
      <c r="O5264" t="s">
        <v>4942</v>
      </c>
      <c r="Q5264" t="str">
        <f t="shared" si="204"/>
        <v>condorProc.py --series 07181008_1815 --donoise --dumps a --procenv environments/pymidas_HVHV_NaI_mf.env</v>
      </c>
      <c r="R5264" t="str">
        <f t="shared" si="203"/>
        <v>ln -s ../../../../midasraw/byseries/07181008_1815 07181008_1815</v>
      </c>
    </row>
    <row r="5265" spans="1:18">
      <c r="A5265" t="s">
        <v>10862</v>
      </c>
      <c r="G5265" s="229"/>
      <c r="H5265" s="210"/>
      <c r="K5265" s="180"/>
      <c r="M5265" t="s">
        <v>4945</v>
      </c>
      <c r="N5265" t="s">
        <v>5571</v>
      </c>
      <c r="O5265" t="s">
        <v>4942</v>
      </c>
      <c r="Q5265" t="str">
        <f t="shared" si="204"/>
        <v>condorProc.py --series 07181008_1825 --donoise --dumps a --procenv environments/pymidas_HVHV_NaI_mf.env</v>
      </c>
      <c r="R5265" t="str">
        <f t="shared" si="203"/>
        <v>ln -s ../../../../midasraw/byseries/07181008_1825 07181008_1825</v>
      </c>
    </row>
    <row r="5266" spans="1:18">
      <c r="A5266" t="s">
        <v>10863</v>
      </c>
      <c r="G5266" s="229"/>
      <c r="H5266" s="210"/>
      <c r="K5266" s="180"/>
      <c r="M5266" t="s">
        <v>4945</v>
      </c>
      <c r="N5266" t="s">
        <v>5571</v>
      </c>
      <c r="O5266" t="s">
        <v>4942</v>
      </c>
      <c r="Q5266" t="str">
        <f t="shared" si="204"/>
        <v>condorProc.py --series 07181008_1835 --donoise --dumps a --procenv environments/pymidas_HVHV_NaI_mf.env</v>
      </c>
      <c r="R5266" t="str">
        <f t="shared" si="203"/>
        <v>ln -s ../../../../midasraw/byseries/07181008_1835 07181008_1835</v>
      </c>
    </row>
    <row r="5267" spans="1:18">
      <c r="A5267" t="s">
        <v>10864</v>
      </c>
      <c r="G5267" s="229"/>
      <c r="H5267" s="210"/>
      <c r="K5267" s="180"/>
      <c r="M5267" t="s">
        <v>4945</v>
      </c>
      <c r="N5267" t="s">
        <v>5571</v>
      </c>
      <c r="O5267" t="s">
        <v>4942</v>
      </c>
      <c r="Q5267" t="str">
        <f t="shared" si="204"/>
        <v>condorProc.py --series 07181008_1845 --donoise --dumps a --procenv environments/pymidas_HVHV_NaI_mf.env</v>
      </c>
      <c r="R5267" t="str">
        <f t="shared" si="203"/>
        <v>ln -s ../../../../midasraw/byseries/07181008_1845 07181008_1845</v>
      </c>
    </row>
    <row r="5268" spans="1:18">
      <c r="A5268" t="s">
        <v>10865</v>
      </c>
      <c r="G5268" s="229"/>
      <c r="H5268" s="210"/>
      <c r="K5268" s="180"/>
      <c r="M5268" t="s">
        <v>4945</v>
      </c>
      <c r="N5268" t="s">
        <v>5571</v>
      </c>
      <c r="O5268" t="s">
        <v>4942</v>
      </c>
      <c r="Q5268" t="str">
        <f t="shared" si="204"/>
        <v>condorProc.py --series 07181008_1855 --donoise --dumps a --procenv environments/pymidas_HVHV_NaI_mf.env</v>
      </c>
      <c r="R5268" t="str">
        <f t="shared" si="203"/>
        <v>ln -s ../../../../midasraw/byseries/07181008_1855 07181008_1855</v>
      </c>
    </row>
    <row r="5269" spans="1:18">
      <c r="A5269" t="s">
        <v>10866</v>
      </c>
      <c r="G5269" s="229"/>
      <c r="H5269" s="210"/>
      <c r="K5269" s="180"/>
      <c r="M5269" t="s">
        <v>4945</v>
      </c>
      <c r="N5269" t="s">
        <v>5571</v>
      </c>
      <c r="O5269" t="s">
        <v>4942</v>
      </c>
      <c r="Q5269" t="str">
        <f t="shared" si="204"/>
        <v>condorProc.py --series 07181008_1905 --donoise --dumps a --procenv environments/pymidas_HVHV_NaI_mf.env</v>
      </c>
      <c r="R5269" t="str">
        <f t="shared" si="203"/>
        <v>ln -s ../../../../midasraw/byseries/07181008_1905 07181008_1905</v>
      </c>
    </row>
    <row r="5270" spans="1:18">
      <c r="A5270" t="s">
        <v>10867</v>
      </c>
      <c r="G5270" s="229"/>
      <c r="H5270" s="210"/>
      <c r="K5270" s="180"/>
      <c r="M5270" t="s">
        <v>4945</v>
      </c>
      <c r="N5270" t="s">
        <v>5571</v>
      </c>
      <c r="O5270" t="s">
        <v>4942</v>
      </c>
      <c r="Q5270" t="str">
        <f t="shared" si="204"/>
        <v>condorProc.py --series 07181008_1915 --donoise --dumps a --procenv environments/pymidas_HVHV_NaI_mf.env</v>
      </c>
      <c r="R5270" t="str">
        <f t="shared" si="203"/>
        <v>ln -s ../../../../midasraw/byseries/07181008_1915 07181008_1915</v>
      </c>
    </row>
    <row r="5271" spans="1:18">
      <c r="A5271" t="s">
        <v>10868</v>
      </c>
      <c r="G5271" s="229"/>
      <c r="H5271" s="210"/>
      <c r="K5271" s="180"/>
      <c r="M5271" t="s">
        <v>4945</v>
      </c>
      <c r="N5271" t="s">
        <v>5571</v>
      </c>
      <c r="O5271" t="s">
        <v>4942</v>
      </c>
      <c r="Q5271" t="str">
        <f t="shared" si="204"/>
        <v>condorProc.py --series 07181008_1925 --donoise --dumps a --procenv environments/pymidas_HVHV_NaI_mf.env</v>
      </c>
      <c r="R5271" t="str">
        <f t="shared" si="203"/>
        <v>ln -s ../../../../midasraw/byseries/07181008_1925 07181008_1925</v>
      </c>
    </row>
    <row r="5272" spans="1:18">
      <c r="A5272" t="s">
        <v>10869</v>
      </c>
      <c r="F5272" s="65"/>
      <c r="G5272" s="231"/>
      <c r="H5272" s="211"/>
      <c r="I5272" s="65"/>
      <c r="J5272" s="65"/>
      <c r="K5272" s="182"/>
      <c r="M5272" t="s">
        <v>4945</v>
      </c>
      <c r="N5272" t="s">
        <v>5571</v>
      </c>
      <c r="O5272" t="s">
        <v>4942</v>
      </c>
      <c r="Q5272" t="str">
        <f t="shared" si="204"/>
        <v>condorProc.py --series 07181008_1936 --donoise --dumps a --procenv environments/pymidas_HVHV_NaI_mf.env</v>
      </c>
      <c r="R5272" t="str">
        <f t="shared" si="203"/>
        <v>ln -s ../../../../midasraw/byseries/07181008_1936 07181008_1936</v>
      </c>
    </row>
    <row r="5273" spans="1:18">
      <c r="A5273" t="s">
        <v>10870</v>
      </c>
      <c r="F5273" s="177">
        <v>10</v>
      </c>
      <c r="G5273" s="228" t="s">
        <v>10834</v>
      </c>
      <c r="H5273" s="209">
        <v>-125</v>
      </c>
      <c r="I5273" s="177"/>
      <c r="J5273" s="177" t="s">
        <v>5577</v>
      </c>
      <c r="K5273" s="178" t="s">
        <v>5583</v>
      </c>
      <c r="M5273" t="s">
        <v>4945</v>
      </c>
      <c r="N5273" t="s">
        <v>5571</v>
      </c>
      <c r="O5273" t="s">
        <v>4942</v>
      </c>
      <c r="Q5273" t="str">
        <f t="shared" si="204"/>
        <v>condorProc.py --series 07181008_2037 --donoise --dumps a --procenv environments/pymidas_HVHV_NaI_mf.env</v>
      </c>
      <c r="R5273" t="str">
        <f t="shared" si="203"/>
        <v>ln -s ../../../../midasraw/byseries/07181008_2037 07181008_2037</v>
      </c>
    </row>
    <row r="5274" spans="1:18">
      <c r="A5274" t="s">
        <v>10871</v>
      </c>
      <c r="G5274" s="229"/>
      <c r="H5274" s="210"/>
      <c r="J5274" t="s">
        <v>5585</v>
      </c>
      <c r="K5274" s="218" t="s">
        <v>5586</v>
      </c>
      <c r="M5274" t="s">
        <v>4945</v>
      </c>
      <c r="N5274" t="s">
        <v>5571</v>
      </c>
      <c r="O5274" t="s">
        <v>4942</v>
      </c>
      <c r="Q5274" t="str">
        <f t="shared" si="204"/>
        <v>condorProc.py --series 07181008_2047 --donoise --dumps a --procenv environments/pymidas_HVHV_NaI_mf.env</v>
      </c>
      <c r="R5274" t="str">
        <f t="shared" si="203"/>
        <v>ln -s ../../../../midasraw/byseries/07181008_2047 07181008_2047</v>
      </c>
    </row>
    <row r="5275" spans="1:18">
      <c r="A5275" t="s">
        <v>10872</v>
      </c>
      <c r="G5275" s="229"/>
      <c r="H5275" s="210"/>
      <c r="K5275" s="219" t="s">
        <v>8388</v>
      </c>
      <c r="M5275" t="s">
        <v>4945</v>
      </c>
      <c r="N5275" t="s">
        <v>5571</v>
      </c>
      <c r="O5275" t="s">
        <v>4942</v>
      </c>
      <c r="Q5275" t="str">
        <f t="shared" si="204"/>
        <v>condorProc.py --series 07181008_2057 --donoise --dumps a --procenv environments/pymidas_HVHV_NaI_mf.env</v>
      </c>
      <c r="R5275" t="str">
        <f t="shared" si="203"/>
        <v>ln -s ../../../../midasraw/byseries/07181008_2057 07181008_2057</v>
      </c>
    </row>
    <row r="5276" spans="1:18">
      <c r="A5276" t="s">
        <v>10873</v>
      </c>
      <c r="G5276" s="229"/>
      <c r="H5276" s="210"/>
      <c r="K5276" s="180"/>
      <c r="M5276" t="s">
        <v>4945</v>
      </c>
      <c r="N5276" t="s">
        <v>5571</v>
      </c>
      <c r="O5276" t="s">
        <v>4942</v>
      </c>
      <c r="Q5276" t="str">
        <f t="shared" si="204"/>
        <v>condorProc.py --series 07181008_2107 --donoise --dumps a --procenv environments/pymidas_HVHV_NaI_mf.env</v>
      </c>
      <c r="R5276" t="str">
        <f t="shared" si="203"/>
        <v>ln -s ../../../../midasraw/byseries/07181008_2107 07181008_2107</v>
      </c>
    </row>
    <row r="5277" spans="1:18">
      <c r="A5277" t="s">
        <v>10874</v>
      </c>
      <c r="G5277" s="229"/>
      <c r="H5277" s="210"/>
      <c r="K5277" s="180"/>
      <c r="M5277" t="s">
        <v>4945</v>
      </c>
      <c r="N5277" t="s">
        <v>5571</v>
      </c>
      <c r="O5277" t="s">
        <v>4942</v>
      </c>
      <c r="Q5277" t="str">
        <f t="shared" si="204"/>
        <v>condorProc.py --series 07181008_2117 --donoise --dumps a --procenv environments/pymidas_HVHV_NaI_mf.env</v>
      </c>
      <c r="R5277" t="str">
        <f t="shared" si="203"/>
        <v>ln -s ../../../../midasraw/byseries/07181008_2117 07181008_2117</v>
      </c>
    </row>
    <row r="5278" spans="1:18">
      <c r="A5278" t="s">
        <v>10875</v>
      </c>
      <c r="G5278" s="229"/>
      <c r="H5278" s="210"/>
      <c r="K5278" s="180"/>
      <c r="M5278" t="s">
        <v>4945</v>
      </c>
      <c r="N5278" t="s">
        <v>5571</v>
      </c>
      <c r="O5278" t="s">
        <v>4942</v>
      </c>
      <c r="Q5278" t="str">
        <f t="shared" si="204"/>
        <v>condorProc.py --series 07181008_2127 --donoise --dumps a --procenv environments/pymidas_HVHV_NaI_mf.env</v>
      </c>
      <c r="R5278" t="str">
        <f t="shared" si="203"/>
        <v>ln -s ../../../../midasraw/byseries/07181008_2127 07181008_2127</v>
      </c>
    </row>
    <row r="5279" spans="1:18">
      <c r="A5279" t="s">
        <v>10876</v>
      </c>
      <c r="G5279" s="229"/>
      <c r="H5279" s="210"/>
      <c r="K5279" s="180"/>
      <c r="M5279" t="s">
        <v>4945</v>
      </c>
      <c r="N5279" t="s">
        <v>5571</v>
      </c>
      <c r="O5279" t="s">
        <v>4942</v>
      </c>
      <c r="Q5279" t="str">
        <f t="shared" si="204"/>
        <v>condorProc.py --series 07181008_2137 --donoise --dumps a --procenv environments/pymidas_HVHV_NaI_mf.env</v>
      </c>
      <c r="R5279" t="str">
        <f t="shared" si="203"/>
        <v>ln -s ../../../../midasraw/byseries/07181008_2137 07181008_2137</v>
      </c>
    </row>
    <row r="5280" spans="1:18">
      <c r="A5280" t="s">
        <v>10877</v>
      </c>
      <c r="G5280" s="229"/>
      <c r="H5280" s="210"/>
      <c r="K5280" s="180"/>
      <c r="M5280" t="s">
        <v>4945</v>
      </c>
      <c r="N5280" t="s">
        <v>5571</v>
      </c>
      <c r="O5280" t="s">
        <v>4942</v>
      </c>
      <c r="Q5280" t="str">
        <f t="shared" si="204"/>
        <v>condorProc.py --series 07181008_2147 --donoise --dumps a --procenv environments/pymidas_HVHV_NaI_mf.env</v>
      </c>
      <c r="R5280" t="str">
        <f t="shared" si="203"/>
        <v>ln -s ../../../../midasraw/byseries/07181008_2147 07181008_2147</v>
      </c>
    </row>
    <row r="5281" spans="1:18">
      <c r="A5281" t="s">
        <v>10878</v>
      </c>
      <c r="G5281" s="229"/>
      <c r="H5281" s="210"/>
      <c r="K5281" s="180"/>
      <c r="M5281" t="s">
        <v>4945</v>
      </c>
      <c r="N5281" t="s">
        <v>5571</v>
      </c>
      <c r="O5281" t="s">
        <v>4942</v>
      </c>
      <c r="Q5281" t="str">
        <f t="shared" si="204"/>
        <v>condorProc.py --series 07181008_2158 --donoise --dumps a --procenv environments/pymidas_HVHV_NaI_mf.env</v>
      </c>
      <c r="R5281" t="str">
        <f t="shared" si="203"/>
        <v>ln -s ../../../../midasraw/byseries/07181008_2158 07181008_2158</v>
      </c>
    </row>
    <row r="5282" spans="1:18">
      <c r="A5282" t="s">
        <v>10879</v>
      </c>
      <c r="G5282" s="229"/>
      <c r="H5282" s="210"/>
      <c r="K5282" s="180"/>
      <c r="M5282" t="s">
        <v>4945</v>
      </c>
      <c r="N5282" t="s">
        <v>5571</v>
      </c>
      <c r="O5282" t="s">
        <v>4942</v>
      </c>
      <c r="Q5282" t="str">
        <f t="shared" si="204"/>
        <v>condorProc.py --series 07181008_2208 --donoise --dumps a --procenv environments/pymidas_HVHV_NaI_mf.env</v>
      </c>
      <c r="R5282" t="str">
        <f t="shared" si="203"/>
        <v>ln -s ../../../../midasraw/byseries/07181008_2208 07181008_2208</v>
      </c>
    </row>
    <row r="5283" spans="1:18">
      <c r="A5283" t="s">
        <v>10880</v>
      </c>
      <c r="G5283" s="229"/>
      <c r="H5283" s="210"/>
      <c r="K5283" s="180"/>
      <c r="M5283" t="s">
        <v>4945</v>
      </c>
      <c r="N5283" t="s">
        <v>5571</v>
      </c>
      <c r="O5283" t="s">
        <v>4942</v>
      </c>
      <c r="Q5283" t="str">
        <f t="shared" si="204"/>
        <v>condorProc.py --series 07181008_2218 --donoise --dumps a --procenv environments/pymidas_HVHV_NaI_mf.env</v>
      </c>
      <c r="R5283" t="str">
        <f t="shared" si="203"/>
        <v>ln -s ../../../../midasraw/byseries/07181008_2218 07181008_2218</v>
      </c>
    </row>
    <row r="5284" spans="1:18">
      <c r="A5284" t="s">
        <v>10881</v>
      </c>
      <c r="F5284" s="65"/>
      <c r="G5284" s="231"/>
      <c r="H5284" s="211"/>
      <c r="I5284" s="65"/>
      <c r="J5284" s="65"/>
      <c r="K5284" s="182"/>
      <c r="M5284" t="s">
        <v>4945</v>
      </c>
      <c r="N5284" t="s">
        <v>5571</v>
      </c>
      <c r="O5284" t="s">
        <v>4942</v>
      </c>
      <c r="Q5284" t="str">
        <f t="shared" si="204"/>
        <v>condorProc.py --series 07181008_2228 --donoise --dumps a --procenv environments/pymidas_HVHV_NaI_mf.env</v>
      </c>
      <c r="R5284" t="str">
        <f t="shared" si="203"/>
        <v>ln -s ../../../../midasraw/byseries/07181008_2228 07181008_2228</v>
      </c>
    </row>
    <row r="5285" spans="1:18">
      <c r="A5285" t="s">
        <v>10882</v>
      </c>
      <c r="F5285" s="177">
        <v>10</v>
      </c>
      <c r="G5285" s="228" t="s">
        <v>10834</v>
      </c>
      <c r="H5285" s="209">
        <v>-125</v>
      </c>
      <c r="I5285" s="177"/>
      <c r="J5285" s="177" t="s">
        <v>5577</v>
      </c>
      <c r="K5285" s="178" t="s">
        <v>5583</v>
      </c>
      <c r="M5285" t="s">
        <v>4945</v>
      </c>
      <c r="N5285" t="s">
        <v>5571</v>
      </c>
      <c r="O5285" t="s">
        <v>4942</v>
      </c>
      <c r="Q5285" t="str">
        <f t="shared" si="204"/>
        <v>condorProc.py --series 07181008_2328 --donoise --dumps a --procenv environments/pymidas_HVHV_NaI_mf.env</v>
      </c>
      <c r="R5285" t="str">
        <f t="shared" si="203"/>
        <v>ln -s ../../../../midasraw/byseries/07181008_2328 07181008_2328</v>
      </c>
    </row>
    <row r="5286" spans="1:18">
      <c r="A5286" t="s">
        <v>10883</v>
      </c>
      <c r="G5286" s="229"/>
      <c r="H5286" s="210"/>
      <c r="J5286" t="s">
        <v>5585</v>
      </c>
      <c r="K5286" s="218" t="s">
        <v>5586</v>
      </c>
      <c r="M5286" t="s">
        <v>4945</v>
      </c>
      <c r="N5286" t="s">
        <v>5571</v>
      </c>
      <c r="O5286" t="s">
        <v>4942</v>
      </c>
      <c r="Q5286" t="str">
        <f t="shared" si="204"/>
        <v>condorProc.py --series 07181008_2338 --donoise --dumps a --procenv environments/pymidas_HVHV_NaI_mf.env</v>
      </c>
      <c r="R5286" t="str">
        <f t="shared" si="203"/>
        <v>ln -s ../../../../midasraw/byseries/07181008_2338 07181008_2338</v>
      </c>
    </row>
    <row r="5287" spans="1:18">
      <c r="A5287" t="s">
        <v>10884</v>
      </c>
      <c r="G5287" s="229"/>
      <c r="H5287" s="210"/>
      <c r="K5287" s="219" t="s">
        <v>8388</v>
      </c>
      <c r="M5287" t="s">
        <v>4945</v>
      </c>
      <c r="N5287" t="s">
        <v>5571</v>
      </c>
      <c r="O5287" t="s">
        <v>4942</v>
      </c>
      <c r="Q5287" t="str">
        <f t="shared" si="204"/>
        <v>condorProc.py --series 07181008_2348 --donoise --dumps a --procenv environments/pymidas_HVHV_NaI_mf.env</v>
      </c>
      <c r="R5287" t="str">
        <f t="shared" si="203"/>
        <v>ln -s ../../../../midasraw/byseries/07181008_2348 07181008_2348</v>
      </c>
    </row>
    <row r="5288" spans="1:18">
      <c r="A5288" t="s">
        <v>10885</v>
      </c>
      <c r="G5288" s="229"/>
      <c r="H5288" s="210"/>
      <c r="K5288" s="180"/>
      <c r="M5288" t="s">
        <v>4945</v>
      </c>
      <c r="N5288" t="s">
        <v>5571</v>
      </c>
      <c r="O5288" t="s">
        <v>4942</v>
      </c>
      <c r="Q5288" t="str">
        <f t="shared" si="204"/>
        <v>condorProc.py --series 07181008_2359 --donoise --dumps a --procenv environments/pymidas_HVHV_NaI_mf.env</v>
      </c>
      <c r="R5288" t="str">
        <f t="shared" si="203"/>
        <v>ln -s ../../../../midasraw/byseries/07181008_2359 07181008_2359</v>
      </c>
    </row>
    <row r="5289" spans="1:18">
      <c r="A5289" t="s">
        <v>10886</v>
      </c>
      <c r="G5289" s="229"/>
      <c r="H5289" s="210"/>
      <c r="K5289" s="180"/>
      <c r="M5289" t="s">
        <v>4945</v>
      </c>
      <c r="N5289" t="s">
        <v>5571</v>
      </c>
      <c r="O5289" t="s">
        <v>4942</v>
      </c>
      <c r="Q5289" t="str">
        <f t="shared" si="204"/>
        <v>condorProc.py --series 07181009_0009 --donoise --dumps a --procenv environments/pymidas_HVHV_NaI_mf.env</v>
      </c>
      <c r="R5289" t="str">
        <f t="shared" si="203"/>
        <v>ln -s ../../../../midasraw/byseries/07181009_0009 07181009_0009</v>
      </c>
    </row>
    <row r="5290" spans="1:18">
      <c r="A5290" t="s">
        <v>10887</v>
      </c>
      <c r="G5290" s="229"/>
      <c r="H5290" s="210"/>
      <c r="K5290" s="180"/>
      <c r="M5290" t="s">
        <v>4945</v>
      </c>
      <c r="N5290" t="s">
        <v>5571</v>
      </c>
      <c r="O5290" t="s">
        <v>4942</v>
      </c>
      <c r="Q5290" t="str">
        <f t="shared" si="204"/>
        <v>condorProc.py --series 07181009_0019 --donoise --dumps a --procenv environments/pymidas_HVHV_NaI_mf.env</v>
      </c>
      <c r="R5290" t="str">
        <f t="shared" si="203"/>
        <v>ln -s ../../../../midasraw/byseries/07181009_0019 07181009_0019</v>
      </c>
    </row>
    <row r="5291" spans="1:18">
      <c r="A5291" t="s">
        <v>10888</v>
      </c>
      <c r="G5291" s="229"/>
      <c r="H5291" s="210"/>
      <c r="K5291" s="180"/>
      <c r="M5291" t="s">
        <v>4945</v>
      </c>
      <c r="N5291" t="s">
        <v>5571</v>
      </c>
      <c r="O5291" t="s">
        <v>4942</v>
      </c>
      <c r="Q5291" t="str">
        <f t="shared" si="204"/>
        <v>condorProc.py --series 07181009_0029 --donoise --dumps a --procenv environments/pymidas_HVHV_NaI_mf.env</v>
      </c>
      <c r="R5291" t="str">
        <f t="shared" si="203"/>
        <v>ln -s ../../../../midasraw/byseries/07181009_0029 07181009_0029</v>
      </c>
    </row>
    <row r="5292" spans="1:18">
      <c r="A5292" t="s">
        <v>10889</v>
      </c>
      <c r="G5292" s="229"/>
      <c r="H5292" s="210"/>
      <c r="K5292" s="180"/>
      <c r="M5292" t="s">
        <v>4945</v>
      </c>
      <c r="N5292" t="s">
        <v>5571</v>
      </c>
      <c r="O5292" t="s">
        <v>4942</v>
      </c>
      <c r="Q5292" t="str">
        <f t="shared" si="204"/>
        <v>condorProc.py --series 07181009_0039 --donoise --dumps a --procenv environments/pymidas_HVHV_NaI_mf.env</v>
      </c>
      <c r="R5292" t="str">
        <f t="shared" si="203"/>
        <v>ln -s ../../../../midasraw/byseries/07181009_0039 07181009_0039</v>
      </c>
    </row>
    <row r="5293" spans="1:18">
      <c r="A5293" t="s">
        <v>10890</v>
      </c>
      <c r="G5293" s="229"/>
      <c r="H5293" s="210"/>
      <c r="K5293" s="180"/>
      <c r="M5293" t="s">
        <v>4945</v>
      </c>
      <c r="N5293" t="s">
        <v>5571</v>
      </c>
      <c r="O5293" t="s">
        <v>4942</v>
      </c>
      <c r="Q5293" t="str">
        <f t="shared" si="204"/>
        <v>condorProc.py --series 07181009_0049 --donoise --dumps a --procenv environments/pymidas_HVHV_NaI_mf.env</v>
      </c>
      <c r="R5293" t="str">
        <f t="shared" si="203"/>
        <v>ln -s ../../../../midasraw/byseries/07181009_0049 07181009_0049</v>
      </c>
    </row>
    <row r="5294" spans="1:18">
      <c r="A5294" t="s">
        <v>10891</v>
      </c>
      <c r="G5294" s="229"/>
      <c r="H5294" s="210"/>
      <c r="K5294" s="180"/>
      <c r="M5294" t="s">
        <v>4945</v>
      </c>
      <c r="N5294" t="s">
        <v>5571</v>
      </c>
      <c r="O5294" t="s">
        <v>4942</v>
      </c>
      <c r="Q5294" t="str">
        <f t="shared" si="204"/>
        <v>condorProc.py --series 07181009_0059 --donoise --dumps a --procenv environments/pymidas_HVHV_NaI_mf.env</v>
      </c>
      <c r="R5294" t="str">
        <f t="shared" si="203"/>
        <v>ln -s ../../../../midasraw/byseries/07181009_0059 07181009_0059</v>
      </c>
    </row>
    <row r="5295" spans="1:18">
      <c r="A5295" t="s">
        <v>10892</v>
      </c>
      <c r="G5295" s="229"/>
      <c r="H5295" s="210"/>
      <c r="K5295" s="180"/>
      <c r="M5295" t="s">
        <v>4945</v>
      </c>
      <c r="N5295" t="s">
        <v>5571</v>
      </c>
      <c r="O5295" t="s">
        <v>4942</v>
      </c>
      <c r="Q5295" t="str">
        <f t="shared" si="204"/>
        <v>condorProc.py --series 07181009_0109 --donoise --dumps a --procenv environments/pymidas_HVHV_NaI_mf.env</v>
      </c>
      <c r="R5295" t="str">
        <f t="shared" si="203"/>
        <v>ln -s ../../../../midasraw/byseries/07181009_0109 07181009_0109</v>
      </c>
    </row>
    <row r="5296" spans="1:18">
      <c r="A5296" t="s">
        <v>10893</v>
      </c>
      <c r="F5296" s="65"/>
      <c r="G5296" s="231"/>
      <c r="H5296" s="211"/>
      <c r="I5296" s="65"/>
      <c r="J5296" s="65"/>
      <c r="K5296" s="182"/>
      <c r="M5296" t="s">
        <v>4945</v>
      </c>
      <c r="N5296" t="s">
        <v>5571</v>
      </c>
      <c r="O5296" t="s">
        <v>4942</v>
      </c>
      <c r="Q5296" t="str">
        <f t="shared" si="204"/>
        <v>condorProc.py --series 07181009_0120 --donoise --dumps a --procenv environments/pymidas_HVHV_NaI_mf.env</v>
      </c>
      <c r="R5296" t="str">
        <f t="shared" si="203"/>
        <v>ln -s ../../../../midasraw/byseries/07181009_0120 07181009_0120</v>
      </c>
    </row>
    <row r="5297" spans="1:18">
      <c r="A5297" t="s">
        <v>10894</v>
      </c>
      <c r="F5297" s="177">
        <v>10</v>
      </c>
      <c r="G5297" s="228" t="s">
        <v>10834</v>
      </c>
      <c r="H5297" s="209">
        <v>-125</v>
      </c>
      <c r="I5297" s="177"/>
      <c r="J5297" s="177" t="s">
        <v>5577</v>
      </c>
      <c r="K5297" s="178" t="s">
        <v>5583</v>
      </c>
      <c r="M5297" t="s">
        <v>4945</v>
      </c>
      <c r="N5297" t="s">
        <v>5571</v>
      </c>
      <c r="O5297" t="s">
        <v>4942</v>
      </c>
      <c r="Q5297" t="str">
        <f t="shared" si="204"/>
        <v>condorProc.py --series 07181009_0220 --donoise --dumps a --procenv environments/pymidas_HVHV_NaI_mf.env</v>
      </c>
      <c r="R5297" t="str">
        <f t="shared" si="203"/>
        <v>ln -s ../../../../midasraw/byseries/07181009_0220 07181009_0220</v>
      </c>
    </row>
    <row r="5298" spans="1:18">
      <c r="A5298" t="s">
        <v>10895</v>
      </c>
      <c r="G5298" s="229"/>
      <c r="H5298" s="210"/>
      <c r="J5298" t="s">
        <v>5585</v>
      </c>
      <c r="K5298" s="218" t="s">
        <v>5586</v>
      </c>
      <c r="M5298" t="s">
        <v>4945</v>
      </c>
      <c r="N5298" t="s">
        <v>5571</v>
      </c>
      <c r="O5298" t="s">
        <v>4942</v>
      </c>
      <c r="Q5298" t="str">
        <f t="shared" si="204"/>
        <v>condorProc.py --series 07181009_0230 --donoise --dumps a --procenv environments/pymidas_HVHV_NaI_mf.env</v>
      </c>
      <c r="R5298" t="str">
        <f t="shared" si="203"/>
        <v>ln -s ../../../../midasraw/byseries/07181009_0230 07181009_0230</v>
      </c>
    </row>
    <row r="5299" spans="1:18">
      <c r="A5299" t="s">
        <v>10896</v>
      </c>
      <c r="G5299" s="229"/>
      <c r="H5299" s="210"/>
      <c r="K5299" s="219" t="s">
        <v>8388</v>
      </c>
      <c r="M5299" t="s">
        <v>4945</v>
      </c>
      <c r="N5299" t="s">
        <v>5571</v>
      </c>
      <c r="O5299" t="s">
        <v>4942</v>
      </c>
      <c r="Q5299" t="str">
        <f t="shared" si="204"/>
        <v>condorProc.py --series 07181009_0240 --donoise --dumps a --procenv environments/pymidas_HVHV_NaI_mf.env</v>
      </c>
      <c r="R5299" t="str">
        <f t="shared" si="203"/>
        <v>ln -s ../../../../midasraw/byseries/07181009_0240 07181009_0240</v>
      </c>
    </row>
    <row r="5300" spans="1:18">
      <c r="A5300" t="s">
        <v>10897</v>
      </c>
      <c r="G5300" s="229"/>
      <c r="H5300" s="210"/>
      <c r="K5300" s="180"/>
      <c r="M5300" t="s">
        <v>4945</v>
      </c>
      <c r="N5300" t="s">
        <v>5571</v>
      </c>
      <c r="O5300" t="s">
        <v>4942</v>
      </c>
      <c r="Q5300" t="str">
        <f t="shared" si="204"/>
        <v>condorProc.py --series 07181009_0250 --donoise --dumps a --procenv environments/pymidas_HVHV_NaI_mf.env</v>
      </c>
      <c r="R5300" t="str">
        <f t="shared" si="203"/>
        <v>ln -s ../../../../midasraw/byseries/07181009_0250 07181009_0250</v>
      </c>
    </row>
    <row r="5301" spans="1:18">
      <c r="A5301" t="s">
        <v>10898</v>
      </c>
      <c r="G5301" s="229"/>
      <c r="H5301" s="210"/>
      <c r="K5301" s="180"/>
      <c r="M5301" t="s">
        <v>4945</v>
      </c>
      <c r="N5301" t="s">
        <v>5571</v>
      </c>
      <c r="O5301" t="s">
        <v>4942</v>
      </c>
      <c r="Q5301" t="str">
        <f t="shared" si="204"/>
        <v>condorProc.py --series 07181009_0300 --donoise --dumps a --procenv environments/pymidas_HVHV_NaI_mf.env</v>
      </c>
      <c r="R5301" t="str">
        <f t="shared" ref="R5301:R5339" si="205">"ln -s ../../../../midasraw/byseries/"&amp;A5301&amp;" "&amp;A5301</f>
        <v>ln -s ../../../../midasraw/byseries/07181009_0300 07181009_0300</v>
      </c>
    </row>
    <row r="5302" spans="1:18">
      <c r="A5302" t="s">
        <v>10899</v>
      </c>
      <c r="G5302" s="229"/>
      <c r="H5302" s="210"/>
      <c r="K5302" s="180"/>
      <c r="M5302" t="s">
        <v>4945</v>
      </c>
      <c r="N5302" t="s">
        <v>5571</v>
      </c>
      <c r="O5302" t="s">
        <v>4942</v>
      </c>
      <c r="Q5302" t="str">
        <f t="shared" si="204"/>
        <v>condorProc.py --series 07181009_0310 --donoise --dumps a --procenv environments/pymidas_HVHV_NaI_mf.env</v>
      </c>
      <c r="R5302" t="str">
        <f t="shared" si="205"/>
        <v>ln -s ../../../../midasraw/byseries/07181009_0310 07181009_0310</v>
      </c>
    </row>
    <row r="5303" spans="1:18">
      <c r="A5303" t="s">
        <v>10900</v>
      </c>
      <c r="G5303" s="229"/>
      <c r="H5303" s="210"/>
      <c r="K5303" s="180"/>
      <c r="M5303" t="s">
        <v>4945</v>
      </c>
      <c r="N5303" t="s">
        <v>5571</v>
      </c>
      <c r="O5303" t="s">
        <v>4942</v>
      </c>
      <c r="Q5303" t="str">
        <f t="shared" si="204"/>
        <v>condorProc.py --series 07181009_0321 --donoise --dumps a --procenv environments/pymidas_HVHV_NaI_mf.env</v>
      </c>
      <c r="R5303" t="str">
        <f t="shared" si="205"/>
        <v>ln -s ../../../../midasraw/byseries/07181009_0321 07181009_0321</v>
      </c>
    </row>
    <row r="5304" spans="1:18">
      <c r="A5304" t="s">
        <v>10901</v>
      </c>
      <c r="G5304" s="229"/>
      <c r="H5304" s="210"/>
      <c r="K5304" s="180"/>
      <c r="M5304" t="s">
        <v>4945</v>
      </c>
      <c r="N5304" t="s">
        <v>5571</v>
      </c>
      <c r="O5304" t="s">
        <v>4942</v>
      </c>
      <c r="Q5304" t="str">
        <f t="shared" si="204"/>
        <v>condorProc.py --series 07181009_0331 --donoise --dumps a --procenv environments/pymidas_HVHV_NaI_mf.env</v>
      </c>
      <c r="R5304" t="str">
        <f t="shared" si="205"/>
        <v>ln -s ../../../../midasraw/byseries/07181009_0331 07181009_0331</v>
      </c>
    </row>
    <row r="5305" spans="1:18">
      <c r="A5305" t="s">
        <v>10902</v>
      </c>
      <c r="G5305" s="229"/>
      <c r="H5305" s="210"/>
      <c r="K5305" s="180"/>
      <c r="M5305" t="s">
        <v>4945</v>
      </c>
      <c r="N5305" t="s">
        <v>5571</v>
      </c>
      <c r="O5305" t="s">
        <v>4942</v>
      </c>
      <c r="Q5305" t="str">
        <f t="shared" si="204"/>
        <v>condorProc.py --series 07181009_0341 --donoise --dumps a --procenv environments/pymidas_HVHV_NaI_mf.env</v>
      </c>
      <c r="R5305" t="str">
        <f t="shared" si="205"/>
        <v>ln -s ../../../../midasraw/byseries/07181009_0341 07181009_0341</v>
      </c>
    </row>
    <row r="5306" spans="1:18">
      <c r="A5306" t="s">
        <v>10903</v>
      </c>
      <c r="G5306" s="229"/>
      <c r="H5306" s="210"/>
      <c r="K5306" s="180"/>
      <c r="M5306" t="s">
        <v>4945</v>
      </c>
      <c r="N5306" t="s">
        <v>5571</v>
      </c>
      <c r="O5306" t="s">
        <v>4942</v>
      </c>
      <c r="Q5306" t="str">
        <f t="shared" si="204"/>
        <v>condorProc.py --series 07181009_0351 --donoise --dumps a --procenv environments/pymidas_HVHV_NaI_mf.env</v>
      </c>
      <c r="R5306" t="str">
        <f t="shared" si="205"/>
        <v>ln -s ../../../../midasraw/byseries/07181009_0351 07181009_0351</v>
      </c>
    </row>
    <row r="5307" spans="1:18">
      <c r="A5307" t="s">
        <v>10904</v>
      </c>
      <c r="G5307" s="229"/>
      <c r="H5307" s="210"/>
      <c r="K5307" s="180"/>
      <c r="M5307" t="s">
        <v>4945</v>
      </c>
      <c r="N5307" t="s">
        <v>5571</v>
      </c>
      <c r="O5307" t="s">
        <v>4942</v>
      </c>
      <c r="Q5307" t="str">
        <f t="shared" si="204"/>
        <v>condorProc.py --series 07181009_0401 --donoise --dumps a --procenv environments/pymidas_HVHV_NaI_mf.env</v>
      </c>
      <c r="R5307" t="str">
        <f t="shared" si="205"/>
        <v>ln -s ../../../../midasraw/byseries/07181009_0401 07181009_0401</v>
      </c>
    </row>
    <row r="5308" spans="1:18">
      <c r="A5308" t="s">
        <v>10905</v>
      </c>
      <c r="F5308" s="65"/>
      <c r="G5308" s="231"/>
      <c r="H5308" s="211"/>
      <c r="I5308" s="65"/>
      <c r="J5308" s="65"/>
      <c r="K5308" s="182"/>
      <c r="M5308" t="s">
        <v>4945</v>
      </c>
      <c r="N5308" t="s">
        <v>5571</v>
      </c>
      <c r="O5308" t="s">
        <v>4942</v>
      </c>
      <c r="Q5308" t="str">
        <f t="shared" si="204"/>
        <v>condorProc.py --series 07181009_0411 --donoise --dumps a --procenv environments/pymidas_HVHV_NaI_mf.env</v>
      </c>
      <c r="R5308" t="str">
        <f t="shared" si="205"/>
        <v>ln -s ../../../../midasraw/byseries/07181009_0411 07181009_0411</v>
      </c>
    </row>
    <row r="5309" spans="1:18">
      <c r="A5309" t="s">
        <v>10906</v>
      </c>
      <c r="F5309" s="177">
        <v>10</v>
      </c>
      <c r="G5309" s="228" t="s">
        <v>10834</v>
      </c>
      <c r="H5309" s="209">
        <v>-125</v>
      </c>
      <c r="I5309" s="177"/>
      <c r="J5309" s="177" t="s">
        <v>5577</v>
      </c>
      <c r="K5309" s="178" t="s">
        <v>5583</v>
      </c>
      <c r="M5309" t="s">
        <v>4945</v>
      </c>
      <c r="N5309" t="s">
        <v>5571</v>
      </c>
      <c r="O5309" t="s">
        <v>4942</v>
      </c>
      <c r="Q5309" t="str">
        <f t="shared" si="204"/>
        <v>condorProc.py --series 07181009_0511 --donoise --dumps a --procenv environments/pymidas_HVHV_NaI_mf.env</v>
      </c>
      <c r="R5309" t="str">
        <f t="shared" si="205"/>
        <v>ln -s ../../../../midasraw/byseries/07181009_0511 07181009_0511</v>
      </c>
    </row>
    <row r="5310" spans="1:18">
      <c r="A5310" t="s">
        <v>10907</v>
      </c>
      <c r="G5310" s="229"/>
      <c r="H5310" s="210"/>
      <c r="J5310" t="s">
        <v>5585</v>
      </c>
      <c r="K5310" s="218" t="s">
        <v>5586</v>
      </c>
      <c r="M5310" t="s">
        <v>4945</v>
      </c>
      <c r="N5310" t="s">
        <v>5571</v>
      </c>
      <c r="O5310" t="s">
        <v>4942</v>
      </c>
      <c r="Q5310" t="str">
        <f t="shared" si="204"/>
        <v>condorProc.py --series 07181009_0521 --donoise --dumps a --procenv environments/pymidas_HVHV_NaI_mf.env</v>
      </c>
      <c r="R5310" t="str">
        <f t="shared" si="205"/>
        <v>ln -s ../../../../midasraw/byseries/07181009_0521 07181009_0521</v>
      </c>
    </row>
    <row r="5311" spans="1:18">
      <c r="A5311" t="s">
        <v>10908</v>
      </c>
      <c r="G5311" s="229"/>
      <c r="H5311" s="210"/>
      <c r="K5311" s="219" t="s">
        <v>8388</v>
      </c>
      <c r="M5311" t="s">
        <v>4945</v>
      </c>
      <c r="N5311" t="s">
        <v>5571</v>
      </c>
      <c r="O5311" t="s">
        <v>4942</v>
      </c>
      <c r="Q5311" t="str">
        <f t="shared" si="204"/>
        <v>condorProc.py --series 07181009_0531 --donoise --dumps a --procenv environments/pymidas_HVHV_NaI_mf.env</v>
      </c>
      <c r="R5311" t="str">
        <f t="shared" si="205"/>
        <v>ln -s ../../../../midasraw/byseries/07181009_0531 07181009_0531</v>
      </c>
    </row>
    <row r="5312" spans="1:18">
      <c r="A5312" t="s">
        <v>10909</v>
      </c>
      <c r="G5312" s="229"/>
      <c r="H5312" s="210"/>
      <c r="K5312" s="180"/>
      <c r="M5312" t="s">
        <v>4945</v>
      </c>
      <c r="N5312" t="s">
        <v>5571</v>
      </c>
      <c r="O5312" t="s">
        <v>4942</v>
      </c>
      <c r="Q5312" t="str">
        <f t="shared" si="204"/>
        <v>condorProc.py --series 07181009_0541 --donoise --dumps a --procenv environments/pymidas_HVHV_NaI_mf.env</v>
      </c>
      <c r="R5312" t="str">
        <f t="shared" si="205"/>
        <v>ln -s ../../../../midasraw/byseries/07181009_0541 07181009_0541</v>
      </c>
    </row>
    <row r="5313" spans="1:18">
      <c r="A5313" t="s">
        <v>10910</v>
      </c>
      <c r="G5313" s="229"/>
      <c r="H5313" s="210"/>
      <c r="K5313" s="180"/>
      <c r="M5313" t="s">
        <v>4945</v>
      </c>
      <c r="N5313" t="s">
        <v>5571</v>
      </c>
      <c r="O5313" t="s">
        <v>4942</v>
      </c>
      <c r="Q5313" t="str">
        <f t="shared" si="204"/>
        <v>condorProc.py --series 07181009_0551 --donoise --dumps a --procenv environments/pymidas_HVHV_NaI_mf.env</v>
      </c>
      <c r="R5313" t="str">
        <f t="shared" si="205"/>
        <v>ln -s ../../../../midasraw/byseries/07181009_0551 07181009_0551</v>
      </c>
    </row>
    <row r="5314" spans="1:18">
      <c r="A5314" t="s">
        <v>10911</v>
      </c>
      <c r="G5314" s="229"/>
      <c r="H5314" s="210"/>
      <c r="K5314" s="180"/>
      <c r="M5314" t="s">
        <v>4945</v>
      </c>
      <c r="N5314" t="s">
        <v>5571</v>
      </c>
      <c r="O5314" t="s">
        <v>4942</v>
      </c>
      <c r="Q5314" t="str">
        <f t="shared" si="204"/>
        <v>condorProc.py --series 07181009_0601 --donoise --dumps a --procenv environments/pymidas_HVHV_NaI_mf.env</v>
      </c>
      <c r="R5314" t="str">
        <f t="shared" si="205"/>
        <v>ln -s ../../../../midasraw/byseries/07181009_0601 07181009_0601</v>
      </c>
    </row>
    <row r="5315" spans="1:18">
      <c r="A5315" t="s">
        <v>10912</v>
      </c>
      <c r="G5315" s="229"/>
      <c r="H5315" s="210"/>
      <c r="K5315" s="180"/>
      <c r="M5315" t="s">
        <v>4945</v>
      </c>
      <c r="N5315" t="s">
        <v>5571</v>
      </c>
      <c r="O5315" t="s">
        <v>4942</v>
      </c>
      <c r="Q5315" t="str">
        <f t="shared" si="204"/>
        <v>condorProc.py --series 07181009_0611 --donoise --dumps a --procenv environments/pymidas_HVHV_NaI_mf.env</v>
      </c>
      <c r="R5315" t="str">
        <f t="shared" si="205"/>
        <v>ln -s ../../../../midasraw/byseries/07181009_0611 07181009_0611</v>
      </c>
    </row>
    <row r="5316" spans="1:18">
      <c r="A5316" t="s">
        <v>10913</v>
      </c>
      <c r="G5316" s="229"/>
      <c r="H5316" s="210"/>
      <c r="K5316" s="180"/>
      <c r="M5316" t="s">
        <v>4945</v>
      </c>
      <c r="N5316" t="s">
        <v>5571</v>
      </c>
      <c r="O5316" t="s">
        <v>4942</v>
      </c>
      <c r="Q5316" t="str">
        <f t="shared" si="204"/>
        <v>condorProc.py --series 07181009_0622 --donoise --dumps a --procenv environments/pymidas_HVHV_NaI_mf.env</v>
      </c>
      <c r="R5316" t="str">
        <f t="shared" si="205"/>
        <v>ln -s ../../../../midasraw/byseries/07181009_0622 07181009_0622</v>
      </c>
    </row>
    <row r="5317" spans="1:18">
      <c r="A5317" t="s">
        <v>10914</v>
      </c>
      <c r="G5317" s="229"/>
      <c r="H5317" s="210"/>
      <c r="K5317" s="180"/>
      <c r="M5317" t="s">
        <v>4945</v>
      </c>
      <c r="N5317" t="s">
        <v>5571</v>
      </c>
      <c r="O5317" t="s">
        <v>4942</v>
      </c>
      <c r="Q5317" t="str">
        <f t="shared" si="204"/>
        <v>condorProc.py --series 07181009_0632 --donoise --dumps a --procenv environments/pymidas_HVHV_NaI_mf.env</v>
      </c>
      <c r="R5317" t="str">
        <f t="shared" si="205"/>
        <v>ln -s ../../../../midasraw/byseries/07181009_0632 07181009_0632</v>
      </c>
    </row>
    <row r="5318" spans="1:18">
      <c r="A5318" t="s">
        <v>10915</v>
      </c>
      <c r="G5318" s="229"/>
      <c r="H5318" s="210"/>
      <c r="K5318" s="180"/>
      <c r="M5318" t="s">
        <v>4945</v>
      </c>
      <c r="N5318" t="s">
        <v>5571</v>
      </c>
      <c r="O5318" t="s">
        <v>4942</v>
      </c>
      <c r="Q5318" t="str">
        <f t="shared" si="204"/>
        <v>condorProc.py --series 07181009_0642 --donoise --dumps a --procenv environments/pymidas_HVHV_NaI_mf.env</v>
      </c>
      <c r="R5318" t="str">
        <f t="shared" si="205"/>
        <v>ln -s ../../../../midasraw/byseries/07181009_0642 07181009_0642</v>
      </c>
    </row>
    <row r="5319" spans="1:18">
      <c r="A5319" t="s">
        <v>10916</v>
      </c>
      <c r="G5319" s="229"/>
      <c r="H5319" s="210"/>
      <c r="K5319" s="180"/>
      <c r="M5319" t="s">
        <v>4945</v>
      </c>
      <c r="N5319" t="s">
        <v>5571</v>
      </c>
      <c r="O5319" t="s">
        <v>4942</v>
      </c>
      <c r="Q5319" t="str">
        <f t="shared" si="204"/>
        <v>condorProc.py --series 07181009_0652 --donoise --dumps a --procenv environments/pymidas_HVHV_NaI_mf.env</v>
      </c>
      <c r="R5319" t="str">
        <f t="shared" si="205"/>
        <v>ln -s ../../../../midasraw/byseries/07181009_0652 07181009_0652</v>
      </c>
    </row>
    <row r="5320" spans="1:18">
      <c r="A5320" t="s">
        <v>10917</v>
      </c>
      <c r="F5320" s="65"/>
      <c r="G5320" s="231"/>
      <c r="H5320" s="211"/>
      <c r="I5320" s="65"/>
      <c r="J5320" s="65"/>
      <c r="K5320" s="182"/>
      <c r="M5320" t="s">
        <v>4945</v>
      </c>
      <c r="N5320" t="s">
        <v>5571</v>
      </c>
      <c r="O5320" t="s">
        <v>4942</v>
      </c>
      <c r="Q5320" t="str">
        <f t="shared" ref="Q5320:Q5339" si="206">"condorProc.py --series "&amp;A5320&amp;" --donoise --dumps a --procenv environments/pymidas_HVHV_NaI_mf.env"</f>
        <v>condorProc.py --series 07181009_0702 --donoise --dumps a --procenv environments/pymidas_HVHV_NaI_mf.env</v>
      </c>
      <c r="R5320" t="str">
        <f t="shared" si="205"/>
        <v>ln -s ../../../../midasraw/byseries/07181009_0702 07181009_0702</v>
      </c>
    </row>
    <row r="5321" spans="1:18">
      <c r="A5321" t="s">
        <v>10918</v>
      </c>
      <c r="F5321" s="177">
        <v>10</v>
      </c>
      <c r="G5321" s="228" t="s">
        <v>10834</v>
      </c>
      <c r="H5321" s="209">
        <v>-125</v>
      </c>
      <c r="I5321" s="177"/>
      <c r="J5321" s="177" t="s">
        <v>5577</v>
      </c>
      <c r="K5321" s="178" t="s">
        <v>5583</v>
      </c>
      <c r="M5321" t="s">
        <v>4945</v>
      </c>
      <c r="N5321" t="s">
        <v>5571</v>
      </c>
      <c r="O5321" t="s">
        <v>4942</v>
      </c>
      <c r="Q5321" t="str">
        <f t="shared" si="206"/>
        <v>condorProc.py --series 07181009_0802 --donoise --dumps a --procenv environments/pymidas_HVHV_NaI_mf.env</v>
      </c>
      <c r="R5321" t="str">
        <f t="shared" si="205"/>
        <v>ln -s ../../../../midasraw/byseries/07181009_0802 07181009_0802</v>
      </c>
    </row>
    <row r="5322" spans="1:18">
      <c r="A5322" t="s">
        <v>10919</v>
      </c>
      <c r="G5322" s="229"/>
      <c r="H5322" s="210"/>
      <c r="J5322" t="s">
        <v>5585</v>
      </c>
      <c r="K5322" s="218" t="s">
        <v>5586</v>
      </c>
      <c r="M5322" t="s">
        <v>4945</v>
      </c>
      <c r="N5322" t="s">
        <v>5571</v>
      </c>
      <c r="O5322" t="s">
        <v>4942</v>
      </c>
      <c r="Q5322" t="str">
        <f t="shared" si="206"/>
        <v>condorProc.py --series 07181009_0812 --donoise --dumps a --procenv environments/pymidas_HVHV_NaI_mf.env</v>
      </c>
      <c r="R5322" t="str">
        <f t="shared" si="205"/>
        <v>ln -s ../../../../midasraw/byseries/07181009_0812 07181009_0812</v>
      </c>
    </row>
    <row r="5323" spans="1:18">
      <c r="A5323" t="s">
        <v>10920</v>
      </c>
      <c r="G5323" s="229"/>
      <c r="H5323" s="210"/>
      <c r="K5323" s="219" t="s">
        <v>8388</v>
      </c>
      <c r="M5323" t="s">
        <v>4945</v>
      </c>
      <c r="N5323" t="s">
        <v>5571</v>
      </c>
      <c r="O5323" t="s">
        <v>4942</v>
      </c>
      <c r="Q5323" t="str">
        <f t="shared" si="206"/>
        <v>condorProc.py --series 07181009_0822 --donoise --dumps a --procenv environments/pymidas_HVHV_NaI_mf.env</v>
      </c>
      <c r="R5323" t="str">
        <f t="shared" si="205"/>
        <v>ln -s ../../../../midasraw/byseries/07181009_0822 07181009_0822</v>
      </c>
    </row>
    <row r="5324" spans="1:18">
      <c r="A5324" t="s">
        <v>10921</v>
      </c>
      <c r="G5324" s="229"/>
      <c r="H5324" s="210"/>
      <c r="K5324" s="180"/>
      <c r="M5324" t="s">
        <v>4945</v>
      </c>
      <c r="N5324" t="s">
        <v>5571</v>
      </c>
      <c r="O5324" t="s">
        <v>4942</v>
      </c>
      <c r="Q5324" t="str">
        <f t="shared" si="206"/>
        <v>condorProc.py --series 07181009_0832 --donoise --dumps a --procenv environments/pymidas_HVHV_NaI_mf.env</v>
      </c>
      <c r="R5324" t="str">
        <f t="shared" si="205"/>
        <v>ln -s ../../../../midasraw/byseries/07181009_0832 07181009_0832</v>
      </c>
    </row>
    <row r="5325" spans="1:18">
      <c r="A5325" t="s">
        <v>10922</v>
      </c>
      <c r="G5325" s="229"/>
      <c r="H5325" s="210"/>
      <c r="K5325" s="180"/>
      <c r="M5325" t="s">
        <v>4945</v>
      </c>
      <c r="N5325" t="s">
        <v>5571</v>
      </c>
      <c r="O5325" t="s">
        <v>4942</v>
      </c>
      <c r="Q5325" t="str">
        <f t="shared" si="206"/>
        <v>condorProc.py --series 07181009_0842 --donoise --dumps a --procenv environments/pymidas_HVHV_NaI_mf.env</v>
      </c>
      <c r="R5325" t="str">
        <f t="shared" si="205"/>
        <v>ln -s ../../../../midasraw/byseries/07181009_0842 07181009_0842</v>
      </c>
    </row>
    <row r="5326" spans="1:18">
      <c r="A5326" t="s">
        <v>10923</v>
      </c>
      <c r="G5326" s="229"/>
      <c r="H5326" s="210"/>
      <c r="K5326" s="180"/>
      <c r="M5326" t="s">
        <v>4945</v>
      </c>
      <c r="N5326" t="s">
        <v>5571</v>
      </c>
      <c r="O5326" t="s">
        <v>4942</v>
      </c>
      <c r="Q5326" t="str">
        <f t="shared" si="206"/>
        <v>condorProc.py --series 07181009_0852 --donoise --dumps a --procenv environments/pymidas_HVHV_NaI_mf.env</v>
      </c>
      <c r="R5326" t="str">
        <f t="shared" si="205"/>
        <v>ln -s ../../../../midasraw/byseries/07181009_0852 07181009_0852</v>
      </c>
    </row>
    <row r="5327" spans="1:18">
      <c r="A5327" t="s">
        <v>10924</v>
      </c>
      <c r="G5327" s="229"/>
      <c r="H5327" s="210"/>
      <c r="K5327" s="180"/>
      <c r="M5327" t="s">
        <v>4945</v>
      </c>
      <c r="N5327" t="s">
        <v>5571</v>
      </c>
      <c r="O5327" t="s">
        <v>4942</v>
      </c>
      <c r="Q5327" t="str">
        <f t="shared" si="206"/>
        <v>condorProc.py --series 07181009_0902 --donoise --dumps a --procenv environments/pymidas_HVHV_NaI_mf.env</v>
      </c>
      <c r="R5327" t="str">
        <f t="shared" si="205"/>
        <v>ln -s ../../../../midasraw/byseries/07181009_0902 07181009_0902</v>
      </c>
    </row>
    <row r="5328" spans="1:18">
      <c r="A5328" t="s">
        <v>10925</v>
      </c>
      <c r="G5328" s="229"/>
      <c r="H5328" s="210"/>
      <c r="K5328" s="180"/>
      <c r="M5328" t="s">
        <v>4945</v>
      </c>
      <c r="N5328" t="s">
        <v>5571</v>
      </c>
      <c r="O5328" t="s">
        <v>4942</v>
      </c>
      <c r="Q5328" t="str">
        <f t="shared" si="206"/>
        <v>condorProc.py --series 07181009_0912 --donoise --dumps a --procenv environments/pymidas_HVHV_NaI_mf.env</v>
      </c>
      <c r="R5328" t="str">
        <f t="shared" si="205"/>
        <v>ln -s ../../../../midasraw/byseries/07181009_0912 07181009_0912</v>
      </c>
    </row>
    <row r="5329" spans="1:18">
      <c r="A5329" t="s">
        <v>10926</v>
      </c>
      <c r="G5329" s="229"/>
      <c r="H5329" s="210"/>
      <c r="K5329" s="180"/>
      <c r="M5329" t="s">
        <v>4945</v>
      </c>
      <c r="N5329" t="s">
        <v>5571</v>
      </c>
      <c r="O5329" t="s">
        <v>4942</v>
      </c>
      <c r="Q5329" t="str">
        <f t="shared" si="206"/>
        <v>condorProc.py --series 07181009_0923 --donoise --dumps a --procenv environments/pymidas_HVHV_NaI_mf.env</v>
      </c>
      <c r="R5329" t="str">
        <f t="shared" si="205"/>
        <v>ln -s ../../../../midasraw/byseries/07181009_0923 07181009_0923</v>
      </c>
    </row>
    <row r="5330" spans="1:18">
      <c r="A5330" t="s">
        <v>10927</v>
      </c>
      <c r="G5330" s="229"/>
      <c r="H5330" s="210"/>
      <c r="K5330" s="180"/>
      <c r="M5330" t="s">
        <v>4945</v>
      </c>
      <c r="N5330" t="s">
        <v>5571</v>
      </c>
      <c r="O5330" t="s">
        <v>4942</v>
      </c>
      <c r="Q5330" t="str">
        <f t="shared" si="206"/>
        <v>condorProc.py --series 07181009_0933 --donoise --dumps a --procenv environments/pymidas_HVHV_NaI_mf.env</v>
      </c>
      <c r="R5330" t="str">
        <f t="shared" si="205"/>
        <v>ln -s ../../../../midasraw/byseries/07181009_0933 07181009_0933</v>
      </c>
    </row>
    <row r="5331" spans="1:18">
      <c r="A5331" t="s">
        <v>10928</v>
      </c>
      <c r="G5331" s="229"/>
      <c r="H5331" s="210"/>
      <c r="K5331" s="180"/>
      <c r="M5331" t="s">
        <v>4945</v>
      </c>
      <c r="N5331" t="s">
        <v>5571</v>
      </c>
      <c r="O5331" t="s">
        <v>4942</v>
      </c>
      <c r="Q5331" t="str">
        <f t="shared" si="206"/>
        <v>condorProc.py --series 07181009_0943 --donoise --dumps a --procenv environments/pymidas_HVHV_NaI_mf.env</v>
      </c>
      <c r="R5331" t="str">
        <f t="shared" si="205"/>
        <v>ln -s ../../../../midasraw/byseries/07181009_0943 07181009_0943</v>
      </c>
    </row>
    <row r="5332" spans="1:18">
      <c r="A5332" t="s">
        <v>10929</v>
      </c>
      <c r="F5332" s="65"/>
      <c r="G5332" s="231"/>
      <c r="H5332" s="211"/>
      <c r="I5332" s="65" t="s">
        <v>75</v>
      </c>
      <c r="J5332" s="65"/>
      <c r="K5332" s="180"/>
      <c r="M5332" t="s">
        <v>4945</v>
      </c>
      <c r="N5332" t="s">
        <v>5571</v>
      </c>
      <c r="O5332" t="s">
        <v>4942</v>
      </c>
      <c r="Q5332" t="str">
        <f t="shared" si="206"/>
        <v>condorProc.py --series 07181009_0953 --donoise --dumps a --procenv environments/pymidas_HVHV_NaI_mf.env</v>
      </c>
      <c r="R5332" t="str">
        <f t="shared" si="205"/>
        <v>ln -s ../../../../midasraw/byseries/07181009_0953 07181009_0953</v>
      </c>
    </row>
    <row r="5333" spans="1:18">
      <c r="A5333" t="s">
        <v>10930</v>
      </c>
      <c r="F5333" s="177">
        <v>10</v>
      </c>
      <c r="G5333" s="224" t="s">
        <v>8641</v>
      </c>
      <c r="H5333" s="209">
        <v>-125</v>
      </c>
      <c r="I5333" s="177"/>
      <c r="J5333" s="177" t="s">
        <v>5577</v>
      </c>
      <c r="K5333" s="62" t="s">
        <v>5583</v>
      </c>
      <c r="M5333" t="s">
        <v>4945</v>
      </c>
      <c r="N5333" t="s">
        <v>5571</v>
      </c>
      <c r="Q5333" t="str">
        <f t="shared" si="206"/>
        <v>condorProc.py --series 07181009_1052 --donoise --dumps a --procenv environments/pymidas_HVHV_NaI_mf.env</v>
      </c>
      <c r="R5333" t="str">
        <f t="shared" si="205"/>
        <v>ln -s ../../../../midasraw/byseries/07181009_1052 07181009_1052</v>
      </c>
    </row>
    <row r="5334" spans="1:18">
      <c r="A5334" t="s">
        <v>10931</v>
      </c>
      <c r="G5334" s="229"/>
      <c r="H5334" s="210"/>
      <c r="J5334" t="s">
        <v>5585</v>
      </c>
      <c r="K5334" s="235" t="s">
        <v>10932</v>
      </c>
      <c r="M5334" t="s">
        <v>4945</v>
      </c>
      <c r="N5334" t="s">
        <v>5571</v>
      </c>
      <c r="Q5334" t="str">
        <f t="shared" si="206"/>
        <v>condorProc.py --series 07181009_1102 --donoise --dumps a --procenv environments/pymidas_HVHV_NaI_mf.env</v>
      </c>
      <c r="R5334" t="str">
        <f t="shared" si="205"/>
        <v>ln -s ../../../../midasraw/byseries/07181009_1102 07181009_1102</v>
      </c>
    </row>
    <row r="5335" spans="1:18">
      <c r="A5335" t="s">
        <v>10933</v>
      </c>
      <c r="G5335" s="229"/>
      <c r="H5335" s="210"/>
      <c r="K5335" s="236" t="s">
        <v>10934</v>
      </c>
      <c r="M5335" t="s">
        <v>4945</v>
      </c>
      <c r="N5335" t="s">
        <v>5571</v>
      </c>
      <c r="Q5335" t="str">
        <f t="shared" si="206"/>
        <v>condorProc.py --series 07181009_1112 --donoise --dumps a --procenv environments/pymidas_HVHV_NaI_mf.env</v>
      </c>
      <c r="R5335" t="str">
        <f t="shared" si="205"/>
        <v>ln -s ../../../../midasraw/byseries/07181009_1112 07181009_1112</v>
      </c>
    </row>
    <row r="5336" spans="1:18">
      <c r="A5336" t="s">
        <v>10935</v>
      </c>
      <c r="G5336" s="229"/>
      <c r="H5336" s="210"/>
      <c r="K5336" s="63"/>
      <c r="M5336" t="s">
        <v>4945</v>
      </c>
      <c r="N5336" t="s">
        <v>5571</v>
      </c>
      <c r="Q5336" t="str">
        <f t="shared" si="206"/>
        <v>condorProc.py --series 07181009_1123 --donoise --dumps a --procenv environments/pymidas_HVHV_NaI_mf.env</v>
      </c>
      <c r="R5336" t="str">
        <f t="shared" si="205"/>
        <v>ln -s ../../../../midasraw/byseries/07181009_1123 07181009_1123</v>
      </c>
    </row>
    <row r="5337" spans="1:18">
      <c r="A5337" t="s">
        <v>10936</v>
      </c>
      <c r="G5337" s="229"/>
      <c r="H5337" s="210"/>
      <c r="K5337" s="63"/>
      <c r="M5337" t="s">
        <v>4945</v>
      </c>
      <c r="N5337" t="s">
        <v>5571</v>
      </c>
      <c r="Q5337" t="str">
        <f t="shared" si="206"/>
        <v>condorProc.py --series 07181009_1133 --donoise --dumps a --procenv environments/pymidas_HVHV_NaI_mf.env</v>
      </c>
      <c r="R5337" t="str">
        <f t="shared" si="205"/>
        <v>ln -s ../../../../midasraw/byseries/07181009_1133 07181009_1133</v>
      </c>
    </row>
    <row r="5338" spans="1:18">
      <c r="A5338" t="s">
        <v>10937</v>
      </c>
      <c r="G5338" s="229"/>
      <c r="H5338" s="210"/>
      <c r="I5338" t="s">
        <v>75</v>
      </c>
      <c r="K5338" s="63"/>
      <c r="M5338" t="s">
        <v>4945</v>
      </c>
      <c r="N5338" t="s">
        <v>5571</v>
      </c>
      <c r="Q5338" t="str">
        <f t="shared" si="206"/>
        <v>condorProc.py --series 07181009_1143 --donoise --dumps a --procenv environments/pymidas_HVHV_NaI_mf.env</v>
      </c>
      <c r="R5338" t="str">
        <f t="shared" si="205"/>
        <v>ln -s ../../../../midasraw/byseries/07181009_1143 07181009_1143</v>
      </c>
    </row>
    <row r="5339" spans="1:18">
      <c r="A5339" t="s">
        <v>10938</v>
      </c>
      <c r="G5339" s="229"/>
      <c r="H5339" s="210"/>
      <c r="I5339" t="s">
        <v>75</v>
      </c>
      <c r="K5339" s="63"/>
      <c r="M5339" t="s">
        <v>4945</v>
      </c>
      <c r="N5339" t="s">
        <v>5571</v>
      </c>
      <c r="Q5339" t="str">
        <f t="shared" si="206"/>
        <v>condorProc.py --series 07181009_1153 --donoise --dumps a --procenv environments/pymidas_HVHV_NaI_mf.env</v>
      </c>
      <c r="R5339" t="str">
        <f t="shared" si="205"/>
        <v>ln -s ../../../../midasraw/byseries/07181009_1153 07181009_1153</v>
      </c>
    </row>
    <row r="5340" spans="1:18">
      <c r="A5340" t="s">
        <v>10939</v>
      </c>
      <c r="G5340" s="229"/>
      <c r="H5340" s="210"/>
      <c r="I5340" s="197" t="s">
        <v>5434</v>
      </c>
      <c r="K5340" s="63"/>
    </row>
    <row r="5341" spans="1:18">
      <c r="A5341" t="s">
        <v>10940</v>
      </c>
      <c r="G5341" s="229"/>
      <c r="H5341" s="210"/>
      <c r="I5341" s="197" t="s">
        <v>5434</v>
      </c>
      <c r="K5341" s="62" t="s">
        <v>5583</v>
      </c>
    </row>
    <row r="5342" spans="1:18">
      <c r="A5342" t="s">
        <v>10941</v>
      </c>
      <c r="G5342" s="229"/>
      <c r="H5342" s="210"/>
      <c r="I5342" s="197" t="s">
        <v>5434</v>
      </c>
      <c r="K5342" s="237" t="s">
        <v>5671</v>
      </c>
    </row>
    <row r="5343" spans="1:18">
      <c r="A5343" t="s">
        <v>10942</v>
      </c>
      <c r="G5343" s="229"/>
      <c r="H5343" s="210"/>
      <c r="I5343" s="197" t="s">
        <v>5434</v>
      </c>
      <c r="K5343" s="238" t="s">
        <v>6206</v>
      </c>
    </row>
    <row r="5344" spans="1:18">
      <c r="A5344" t="s">
        <v>10943</v>
      </c>
      <c r="G5344" s="229"/>
      <c r="H5344" s="210"/>
      <c r="I5344" s="197" t="s">
        <v>5434</v>
      </c>
      <c r="K5344" s="63"/>
    </row>
    <row r="5345" spans="1:18">
      <c r="A5345" s="176" t="s">
        <v>10944</v>
      </c>
      <c r="B5345" s="177"/>
      <c r="C5345" s="177"/>
      <c r="D5345" s="177"/>
      <c r="E5345" s="177"/>
      <c r="F5345" s="177">
        <v>10</v>
      </c>
      <c r="G5345" s="224" t="s">
        <v>8641</v>
      </c>
      <c r="H5345" s="209">
        <v>-125</v>
      </c>
      <c r="I5345" s="199" t="s">
        <v>5434</v>
      </c>
      <c r="J5345" s="177" t="s">
        <v>5577</v>
      </c>
      <c r="K5345" s="62" t="s">
        <v>5583</v>
      </c>
    </row>
    <row r="5346" spans="1:18">
      <c r="A5346" s="179" t="s">
        <v>10945</v>
      </c>
      <c r="G5346" s="229"/>
      <c r="H5346" s="210"/>
      <c r="I5346" s="197" t="s">
        <v>5434</v>
      </c>
      <c r="J5346" t="s">
        <v>5585</v>
      </c>
      <c r="K5346" s="237" t="s">
        <v>5671</v>
      </c>
    </row>
    <row r="5347" spans="1:18">
      <c r="A5347" s="179" t="s">
        <v>10946</v>
      </c>
      <c r="G5347" s="229"/>
      <c r="H5347" s="210"/>
      <c r="I5347" t="s">
        <v>75</v>
      </c>
      <c r="K5347" s="238" t="s">
        <v>6206</v>
      </c>
      <c r="M5347" t="s">
        <v>4945</v>
      </c>
      <c r="N5347" t="s">
        <v>5571</v>
      </c>
      <c r="Q5347" t="str">
        <f t="shared" ref="Q5347:Q5380" si="207">"condorProc.py --series "&amp;A5347&amp;" --donoise --dumps a --procenv environments/pymidas_HVHV_NaI_mf.env"</f>
        <v>condorProc.py --series 07181009_1516 --donoise --dumps a --procenv environments/pymidas_HVHV_NaI_mf.env</v>
      </c>
      <c r="R5347" t="str">
        <f t="shared" ref="R5347:R5380" si="208">"ln -s ../../../../midasraw/byseries/"&amp;A5347&amp;" "&amp;A5347</f>
        <v>ln -s ../../../../midasraw/byseries/07181009_1516 07181009_1516</v>
      </c>
    </row>
    <row r="5348" spans="1:18">
      <c r="A5348" s="179" t="s">
        <v>10947</v>
      </c>
      <c r="G5348" s="229"/>
      <c r="H5348" s="210"/>
      <c r="K5348" s="63"/>
      <c r="M5348" t="s">
        <v>4945</v>
      </c>
      <c r="N5348" t="s">
        <v>5571</v>
      </c>
      <c r="Q5348" t="str">
        <f t="shared" si="207"/>
        <v>condorProc.py --series 07181009_1526 --donoise --dumps a --procenv environments/pymidas_HVHV_NaI_mf.env</v>
      </c>
      <c r="R5348" t="str">
        <f t="shared" si="208"/>
        <v>ln -s ../../../../midasraw/byseries/07181009_1526 07181009_1526</v>
      </c>
    </row>
    <row r="5349" spans="1:18">
      <c r="A5349" s="179" t="s">
        <v>10948</v>
      </c>
      <c r="H5349" s="210"/>
      <c r="K5349" s="63"/>
      <c r="M5349" t="s">
        <v>4945</v>
      </c>
      <c r="N5349" t="s">
        <v>5571</v>
      </c>
      <c r="Q5349" t="str">
        <f t="shared" si="207"/>
        <v>condorProc.py --series 07181009_1536 --donoise --dumps a --procenv environments/pymidas_HVHV_NaI_mf.env</v>
      </c>
      <c r="R5349" t="str">
        <f t="shared" si="208"/>
        <v>ln -s ../../../../midasraw/byseries/07181009_1536 07181009_1536</v>
      </c>
    </row>
    <row r="5350" spans="1:18">
      <c r="A5350" s="179" t="s">
        <v>10949</v>
      </c>
      <c r="H5350" s="210"/>
      <c r="K5350" s="63"/>
      <c r="M5350" t="s">
        <v>4945</v>
      </c>
      <c r="N5350" t="s">
        <v>5571</v>
      </c>
      <c r="Q5350" t="str">
        <f t="shared" si="207"/>
        <v>condorProc.py --series 07181009_1546 --donoise --dumps a --procenv environments/pymidas_HVHV_NaI_mf.env</v>
      </c>
      <c r="R5350" t="str">
        <f t="shared" si="208"/>
        <v>ln -s ../../../../midasraw/byseries/07181009_1546 07181009_1546</v>
      </c>
    </row>
    <row r="5351" spans="1:18">
      <c r="A5351" s="179" t="s">
        <v>10950</v>
      </c>
      <c r="H5351" s="210"/>
      <c r="K5351" s="63"/>
      <c r="M5351" t="s">
        <v>4945</v>
      </c>
      <c r="N5351" t="s">
        <v>5571</v>
      </c>
      <c r="Q5351" t="str">
        <f t="shared" si="207"/>
        <v>condorProc.py --series 07181009_1556 --donoise --dumps a --procenv environments/pymidas_HVHV_NaI_mf.env</v>
      </c>
      <c r="R5351" t="str">
        <f t="shared" si="208"/>
        <v>ln -s ../../../../midasraw/byseries/07181009_1556 07181009_1556</v>
      </c>
    </row>
    <row r="5352" spans="1:18">
      <c r="A5352" s="179" t="s">
        <v>10951</v>
      </c>
      <c r="H5352" s="210"/>
      <c r="K5352" s="62" t="s">
        <v>5583</v>
      </c>
      <c r="M5352" t="s">
        <v>4945</v>
      </c>
      <c r="N5352" t="s">
        <v>5571</v>
      </c>
      <c r="Q5352" t="str">
        <f t="shared" si="207"/>
        <v>condorProc.py --series 07181009_1606 --donoise --dumps a --procenv environments/pymidas_HVHV_NaI_mf.env</v>
      </c>
      <c r="R5352" t="str">
        <f t="shared" si="208"/>
        <v>ln -s ../../../../midasraw/byseries/07181009_1606 07181009_1606</v>
      </c>
    </row>
    <row r="5353" spans="1:18">
      <c r="A5353" s="179" t="s">
        <v>10952</v>
      </c>
      <c r="H5353" s="210"/>
      <c r="K5353" s="237" t="s">
        <v>10953</v>
      </c>
      <c r="M5353" t="s">
        <v>4945</v>
      </c>
      <c r="N5353" t="s">
        <v>5571</v>
      </c>
      <c r="Q5353" t="str">
        <f t="shared" si="207"/>
        <v>condorProc.py --series 07181009_1616 --donoise --dumps a --procenv environments/pymidas_HVHV_NaI_mf.env</v>
      </c>
      <c r="R5353" t="str">
        <f t="shared" si="208"/>
        <v>ln -s ../../../../midasraw/byseries/07181009_1616 07181009_1616</v>
      </c>
    </row>
    <row r="5354" spans="1:18">
      <c r="A5354" s="179" t="s">
        <v>10954</v>
      </c>
      <c r="H5354" s="210"/>
      <c r="K5354" s="238" t="s">
        <v>10955</v>
      </c>
      <c r="M5354" t="s">
        <v>4945</v>
      </c>
      <c r="N5354" t="s">
        <v>5571</v>
      </c>
      <c r="Q5354" t="str">
        <f t="shared" si="207"/>
        <v>condorProc.py --series 07181009_1626 --donoise --dumps a --procenv environments/pymidas_HVHV_NaI_mf.env</v>
      </c>
      <c r="R5354" t="str">
        <f t="shared" si="208"/>
        <v>ln -s ../../../../midasraw/byseries/07181009_1626 07181009_1626</v>
      </c>
    </row>
    <row r="5355" spans="1:18">
      <c r="A5355" s="179" t="s">
        <v>10956</v>
      </c>
      <c r="H5355" s="210"/>
      <c r="K5355" s="63"/>
      <c r="M5355" t="s">
        <v>4945</v>
      </c>
      <c r="N5355" t="s">
        <v>5571</v>
      </c>
      <c r="Q5355" t="str">
        <f t="shared" si="207"/>
        <v>condorProc.py --series 07181009_1636 --donoise --dumps a --procenv environments/pymidas_HVHV_NaI_mf.env</v>
      </c>
      <c r="R5355" t="str">
        <f t="shared" si="208"/>
        <v>ln -s ../../../../midasraw/byseries/07181009_1636 07181009_1636</v>
      </c>
    </row>
    <row r="5356" spans="1:18">
      <c r="A5356" s="181" t="s">
        <v>10957</v>
      </c>
      <c r="B5356" s="65"/>
      <c r="C5356" s="65"/>
      <c r="D5356" s="65"/>
      <c r="E5356" s="65"/>
      <c r="F5356" s="65"/>
      <c r="G5356" s="65"/>
      <c r="H5356" s="211"/>
      <c r="I5356" s="65"/>
      <c r="J5356" s="65"/>
      <c r="K5356" s="64"/>
      <c r="M5356" t="s">
        <v>4945</v>
      </c>
      <c r="N5356" t="s">
        <v>5571</v>
      </c>
      <c r="Q5356" t="str">
        <f t="shared" si="207"/>
        <v>condorProc.py --series 07181009_1647 --donoise --dumps a --procenv environments/pymidas_HVHV_NaI_mf.env</v>
      </c>
      <c r="R5356" t="str">
        <f t="shared" si="208"/>
        <v>ln -s ../../../../midasraw/byseries/07181009_1647 07181009_1647</v>
      </c>
    </row>
    <row r="5357" spans="1:18">
      <c r="A5357" t="s">
        <v>10958</v>
      </c>
      <c r="F5357" s="177">
        <v>10</v>
      </c>
      <c r="G5357" s="224" t="s">
        <v>8641</v>
      </c>
      <c r="H5357" s="209">
        <v>-125</v>
      </c>
      <c r="I5357" s="177"/>
      <c r="J5357" s="177" t="s">
        <v>5577</v>
      </c>
      <c r="K5357" s="62" t="s">
        <v>5583</v>
      </c>
      <c r="M5357" t="s">
        <v>4945</v>
      </c>
      <c r="N5357" t="s">
        <v>5571</v>
      </c>
      <c r="Q5357" t="str">
        <f t="shared" si="207"/>
        <v>condorProc.py --series 07181009_1746 --donoise --dumps a --procenv environments/pymidas_HVHV_NaI_mf.env</v>
      </c>
      <c r="R5357" t="str">
        <f t="shared" si="208"/>
        <v>ln -s ../../../../midasraw/byseries/07181009_1746 07181009_1746</v>
      </c>
    </row>
    <row r="5358" spans="1:18">
      <c r="A5358" t="s">
        <v>10959</v>
      </c>
      <c r="G5358" s="229"/>
      <c r="H5358" s="210"/>
      <c r="J5358" t="s">
        <v>5585</v>
      </c>
      <c r="K5358" s="237" t="s">
        <v>5586</v>
      </c>
      <c r="M5358" t="s">
        <v>4945</v>
      </c>
      <c r="N5358" t="s">
        <v>5571</v>
      </c>
      <c r="Q5358" t="str">
        <f t="shared" si="207"/>
        <v>condorProc.py --series 07181009_1756 --donoise --dumps a --procenv environments/pymidas_HVHV_NaI_mf.env</v>
      </c>
      <c r="R5358" t="str">
        <f t="shared" si="208"/>
        <v>ln -s ../../../../midasraw/byseries/07181009_1756 07181009_1756</v>
      </c>
    </row>
    <row r="5359" spans="1:18">
      <c r="A5359" t="s">
        <v>10960</v>
      </c>
      <c r="G5359" s="229"/>
      <c r="H5359" s="210"/>
      <c r="K5359" s="238" t="s">
        <v>10961</v>
      </c>
      <c r="M5359" t="s">
        <v>4945</v>
      </c>
      <c r="N5359" t="s">
        <v>5571</v>
      </c>
      <c r="Q5359" t="str">
        <f t="shared" si="207"/>
        <v>condorProc.py --series 07181009_1806 --donoise --dumps a --procenv environments/pymidas_HVHV_NaI_mf.env</v>
      </c>
      <c r="R5359" t="str">
        <f t="shared" si="208"/>
        <v>ln -s ../../../../midasraw/byseries/07181009_1806 07181009_1806</v>
      </c>
    </row>
    <row r="5360" spans="1:18">
      <c r="A5360" t="s">
        <v>10962</v>
      </c>
      <c r="G5360" s="229"/>
      <c r="H5360" s="210"/>
      <c r="K5360" s="63"/>
      <c r="M5360" t="s">
        <v>4945</v>
      </c>
      <c r="N5360" t="s">
        <v>5571</v>
      </c>
      <c r="Q5360" t="str">
        <f t="shared" si="207"/>
        <v>condorProc.py --series 07181009_1816 --donoise --dumps a --procenv environments/pymidas_HVHV_NaI_mf.env</v>
      </c>
      <c r="R5360" t="str">
        <f t="shared" si="208"/>
        <v>ln -s ../../../../midasraw/byseries/07181009_1816 07181009_1816</v>
      </c>
    </row>
    <row r="5361" spans="1:18">
      <c r="A5361" t="s">
        <v>10963</v>
      </c>
      <c r="H5361" s="210"/>
      <c r="K5361" s="63"/>
      <c r="M5361" t="s">
        <v>4945</v>
      </c>
      <c r="N5361" t="s">
        <v>5571</v>
      </c>
      <c r="Q5361" t="str">
        <f t="shared" si="207"/>
        <v>condorProc.py --series 07181009_1826 --donoise --dumps a --procenv environments/pymidas_HVHV_NaI_mf.env</v>
      </c>
      <c r="R5361" t="str">
        <f t="shared" si="208"/>
        <v>ln -s ../../../../midasraw/byseries/07181009_1826 07181009_1826</v>
      </c>
    </row>
    <row r="5362" spans="1:18">
      <c r="A5362" t="s">
        <v>10964</v>
      </c>
      <c r="H5362" s="210"/>
      <c r="K5362" s="63"/>
      <c r="M5362" t="s">
        <v>4945</v>
      </c>
      <c r="N5362" t="s">
        <v>5571</v>
      </c>
      <c r="Q5362" t="str">
        <f t="shared" si="207"/>
        <v>condorProc.py --series 07181009_1836 --donoise --dumps a --procenv environments/pymidas_HVHV_NaI_mf.env</v>
      </c>
      <c r="R5362" t="str">
        <f t="shared" si="208"/>
        <v>ln -s ../../../../midasraw/byseries/07181009_1836 07181009_1836</v>
      </c>
    </row>
    <row r="5363" spans="1:18">
      <c r="A5363" t="s">
        <v>10965</v>
      </c>
      <c r="H5363" s="210"/>
      <c r="K5363" s="62" t="s">
        <v>5583</v>
      </c>
      <c r="M5363" t="s">
        <v>4945</v>
      </c>
      <c r="N5363" t="s">
        <v>5571</v>
      </c>
      <c r="Q5363" t="str">
        <f t="shared" si="207"/>
        <v>condorProc.py --series 07181009_1846 --donoise --dumps a --procenv environments/pymidas_HVHV_NaI_mf.env</v>
      </c>
      <c r="R5363" t="str">
        <f t="shared" si="208"/>
        <v>ln -s ../../../../midasraw/byseries/07181009_1846 07181009_1846</v>
      </c>
    </row>
    <row r="5364" spans="1:18">
      <c r="A5364" t="s">
        <v>10966</v>
      </c>
      <c r="H5364" s="210"/>
      <c r="K5364" s="237" t="s">
        <v>5586</v>
      </c>
      <c r="M5364" t="s">
        <v>4945</v>
      </c>
      <c r="N5364" t="s">
        <v>5571</v>
      </c>
      <c r="Q5364" t="str">
        <f t="shared" si="207"/>
        <v>condorProc.py --series 07181009_1856 --donoise --dumps a --procenv environments/pymidas_HVHV_NaI_mf.env</v>
      </c>
      <c r="R5364" t="str">
        <f t="shared" si="208"/>
        <v>ln -s ../../../../midasraw/byseries/07181009_1856 07181009_1856</v>
      </c>
    </row>
    <row r="5365" spans="1:18">
      <c r="A5365" t="s">
        <v>10967</v>
      </c>
      <c r="H5365" s="210"/>
      <c r="K5365" s="238" t="s">
        <v>10968</v>
      </c>
      <c r="M5365" t="s">
        <v>4945</v>
      </c>
      <c r="N5365" t="s">
        <v>5571</v>
      </c>
      <c r="Q5365" t="str">
        <f t="shared" si="207"/>
        <v>condorProc.py --series 07181009_1906 --donoise --dumps a --procenv environments/pymidas_HVHV_NaI_mf.env</v>
      </c>
      <c r="R5365" t="str">
        <f t="shared" si="208"/>
        <v>ln -s ../../../../midasraw/byseries/07181009_1906 07181009_1906</v>
      </c>
    </row>
    <row r="5366" spans="1:18">
      <c r="A5366" t="s">
        <v>10969</v>
      </c>
      <c r="H5366" s="210"/>
      <c r="K5366" s="63"/>
      <c r="M5366" t="s">
        <v>4945</v>
      </c>
      <c r="N5366" t="s">
        <v>5571</v>
      </c>
      <c r="Q5366" t="str">
        <f t="shared" si="207"/>
        <v>condorProc.py --series 07181009_1917 --donoise --dumps a --procenv environments/pymidas_HVHV_NaI_mf.env</v>
      </c>
      <c r="R5366" t="str">
        <f t="shared" si="208"/>
        <v>ln -s ../../../../midasraw/byseries/07181009_1917 07181009_1917</v>
      </c>
    </row>
    <row r="5367" spans="1:18">
      <c r="A5367" t="s">
        <v>10970</v>
      </c>
      <c r="H5367" s="210"/>
      <c r="K5367" s="63"/>
      <c r="M5367" t="s">
        <v>4945</v>
      </c>
      <c r="N5367" t="s">
        <v>5571</v>
      </c>
      <c r="Q5367" t="str">
        <f t="shared" si="207"/>
        <v>condorProc.py --series 07181009_1927 --donoise --dumps a --procenv environments/pymidas_HVHV_NaI_mf.env</v>
      </c>
      <c r="R5367" t="str">
        <f t="shared" si="208"/>
        <v>ln -s ../../../../midasraw/byseries/07181009_1927 07181009_1927</v>
      </c>
    </row>
    <row r="5368" spans="1:18">
      <c r="A5368" t="s">
        <v>10971</v>
      </c>
      <c r="F5368" s="65"/>
      <c r="G5368" s="65"/>
      <c r="H5368" s="211"/>
      <c r="I5368" s="65" t="s">
        <v>75</v>
      </c>
      <c r="J5368" s="65"/>
      <c r="K5368" s="64"/>
      <c r="M5368" t="s">
        <v>4945</v>
      </c>
      <c r="N5368" t="s">
        <v>5571</v>
      </c>
      <c r="Q5368" t="str">
        <f t="shared" si="207"/>
        <v>condorProc.py --series 07181009_1937 --donoise --dumps a --procenv environments/pymidas_HVHV_NaI_mf.env</v>
      </c>
      <c r="R5368" t="str">
        <f t="shared" si="208"/>
        <v>ln -s ../../../../midasraw/byseries/07181009_1937 07181009_1937</v>
      </c>
    </row>
    <row r="5369" spans="1:18">
      <c r="A5369" t="s">
        <v>10972</v>
      </c>
      <c r="F5369" s="177">
        <v>10</v>
      </c>
      <c r="G5369" s="224" t="s">
        <v>8641</v>
      </c>
      <c r="H5369" s="209">
        <v>-125</v>
      </c>
      <c r="I5369" s="177"/>
      <c r="J5369" s="177" t="s">
        <v>5577</v>
      </c>
      <c r="K5369" s="62" t="s">
        <v>5583</v>
      </c>
      <c r="M5369" t="s">
        <v>4945</v>
      </c>
      <c r="N5369" t="s">
        <v>5571</v>
      </c>
      <c r="Q5369" t="str">
        <f t="shared" si="207"/>
        <v>condorProc.py --series 07181009_2144 --donoise --dumps a --procenv environments/pymidas_HVHV_NaI_mf.env</v>
      </c>
      <c r="R5369" t="str">
        <f t="shared" si="208"/>
        <v>ln -s ../../../../midasraw/byseries/07181009_2144 07181009_2144</v>
      </c>
    </row>
    <row r="5370" spans="1:18">
      <c r="A5370" t="s">
        <v>10973</v>
      </c>
      <c r="G5370" s="229"/>
      <c r="H5370" s="210"/>
      <c r="J5370" t="s">
        <v>5585</v>
      </c>
      <c r="K5370" s="237" t="s">
        <v>5586</v>
      </c>
      <c r="M5370" t="s">
        <v>4945</v>
      </c>
      <c r="N5370" t="s">
        <v>5571</v>
      </c>
      <c r="Q5370" t="str">
        <f t="shared" si="207"/>
        <v>condorProc.py --series 07181009_2154 --donoise --dumps a --procenv environments/pymidas_HVHV_NaI_mf.env</v>
      </c>
      <c r="R5370" t="str">
        <f t="shared" si="208"/>
        <v>ln -s ../../../../midasraw/byseries/07181009_2154 07181009_2154</v>
      </c>
    </row>
    <row r="5371" spans="1:18">
      <c r="A5371" t="s">
        <v>10974</v>
      </c>
      <c r="G5371" s="229"/>
      <c r="H5371" s="210"/>
      <c r="K5371" s="238" t="s">
        <v>10961</v>
      </c>
      <c r="M5371" t="s">
        <v>4945</v>
      </c>
      <c r="N5371" t="s">
        <v>5571</v>
      </c>
      <c r="Q5371" t="str">
        <f t="shared" si="207"/>
        <v>condorProc.py --series 07181009_2204 --donoise --dumps a --procenv environments/pymidas_HVHV_NaI_mf.env</v>
      </c>
      <c r="R5371" t="str">
        <f t="shared" si="208"/>
        <v>ln -s ../../../../midasraw/byseries/07181009_2204 07181009_2204</v>
      </c>
    </row>
    <row r="5372" spans="1:18">
      <c r="A5372" t="s">
        <v>10975</v>
      </c>
      <c r="G5372" s="229"/>
      <c r="H5372" s="210"/>
      <c r="K5372" s="63"/>
      <c r="M5372" t="s">
        <v>4945</v>
      </c>
      <c r="N5372" t="s">
        <v>5571</v>
      </c>
      <c r="Q5372" t="str">
        <f t="shared" si="207"/>
        <v>condorProc.py --series 07181009_2214 --donoise --dumps a --procenv environments/pymidas_HVHV_NaI_mf.env</v>
      </c>
      <c r="R5372" t="str">
        <f t="shared" si="208"/>
        <v>ln -s ../../../../midasraw/byseries/07181009_2214 07181009_2214</v>
      </c>
    </row>
    <row r="5373" spans="1:18">
      <c r="A5373" t="s">
        <v>10976</v>
      </c>
      <c r="H5373" s="210"/>
      <c r="K5373" s="63"/>
      <c r="M5373" t="s">
        <v>4945</v>
      </c>
      <c r="N5373" t="s">
        <v>5571</v>
      </c>
      <c r="Q5373" t="str">
        <f t="shared" si="207"/>
        <v>condorProc.py --series 07181009_2224 --donoise --dumps a --procenv environments/pymidas_HVHV_NaI_mf.env</v>
      </c>
      <c r="R5373" t="str">
        <f t="shared" si="208"/>
        <v>ln -s ../../../../midasraw/byseries/07181009_2224 07181009_2224</v>
      </c>
    </row>
    <row r="5374" spans="1:18">
      <c r="A5374" t="s">
        <v>10977</v>
      </c>
      <c r="H5374" s="210"/>
      <c r="K5374" s="63"/>
      <c r="M5374" t="s">
        <v>4945</v>
      </c>
      <c r="N5374" t="s">
        <v>5571</v>
      </c>
      <c r="Q5374" t="str">
        <f t="shared" si="207"/>
        <v>condorProc.py --series 07181009_2234 --donoise --dumps a --procenv environments/pymidas_HVHV_NaI_mf.env</v>
      </c>
      <c r="R5374" t="str">
        <f t="shared" si="208"/>
        <v>ln -s ../../../../midasraw/byseries/07181009_2234 07181009_2234</v>
      </c>
    </row>
    <row r="5375" spans="1:18">
      <c r="A5375" t="s">
        <v>10978</v>
      </c>
      <c r="H5375" s="210"/>
      <c r="K5375" s="62" t="s">
        <v>5583</v>
      </c>
      <c r="M5375" t="s">
        <v>4945</v>
      </c>
      <c r="N5375" t="s">
        <v>5571</v>
      </c>
      <c r="Q5375" t="str">
        <f t="shared" si="207"/>
        <v>condorProc.py --series 07181009_2245 --donoise --dumps a --procenv environments/pymidas_HVHV_NaI_mf.env</v>
      </c>
      <c r="R5375" t="str">
        <f t="shared" si="208"/>
        <v>ln -s ../../../../midasraw/byseries/07181009_2245 07181009_2245</v>
      </c>
    </row>
    <row r="5376" spans="1:18">
      <c r="A5376" t="s">
        <v>10979</v>
      </c>
      <c r="H5376" s="210"/>
      <c r="K5376" s="237" t="s">
        <v>5586</v>
      </c>
      <c r="M5376" t="s">
        <v>4945</v>
      </c>
      <c r="N5376" t="s">
        <v>5571</v>
      </c>
      <c r="Q5376" t="str">
        <f t="shared" si="207"/>
        <v>condorProc.py --series 07181009_2255 --donoise --dumps a --procenv environments/pymidas_HVHV_NaI_mf.env</v>
      </c>
      <c r="R5376" t="str">
        <f t="shared" si="208"/>
        <v>ln -s ../../../../midasraw/byseries/07181009_2255 07181009_2255</v>
      </c>
    </row>
    <row r="5377" spans="1:18">
      <c r="A5377" t="s">
        <v>10980</v>
      </c>
      <c r="H5377" s="210"/>
      <c r="K5377" s="238" t="s">
        <v>10968</v>
      </c>
      <c r="M5377" t="s">
        <v>4945</v>
      </c>
      <c r="N5377" t="s">
        <v>5571</v>
      </c>
      <c r="Q5377" t="str">
        <f t="shared" si="207"/>
        <v>condorProc.py --series 07181009_2305 --donoise --dumps a --procenv environments/pymidas_HVHV_NaI_mf.env</v>
      </c>
      <c r="R5377" t="str">
        <f t="shared" si="208"/>
        <v>ln -s ../../../../midasraw/byseries/07181009_2305 07181009_2305</v>
      </c>
    </row>
    <row r="5378" spans="1:18">
      <c r="A5378" t="s">
        <v>10981</v>
      </c>
      <c r="H5378" s="210"/>
      <c r="K5378" s="63"/>
      <c r="M5378" t="s">
        <v>4945</v>
      </c>
      <c r="N5378" t="s">
        <v>5571</v>
      </c>
      <c r="Q5378" t="str">
        <f t="shared" si="207"/>
        <v>condorProc.py --series 07181009_2315 --donoise --dumps a --procenv environments/pymidas_HVHV_NaI_mf.env</v>
      </c>
      <c r="R5378" t="str">
        <f t="shared" si="208"/>
        <v>ln -s ../../../../midasraw/byseries/07181009_2315 07181009_2315</v>
      </c>
    </row>
    <row r="5379" spans="1:18">
      <c r="A5379" t="s">
        <v>10982</v>
      </c>
      <c r="H5379" s="210"/>
      <c r="K5379" s="63"/>
      <c r="M5379" t="s">
        <v>4945</v>
      </c>
      <c r="N5379" t="s">
        <v>5571</v>
      </c>
      <c r="Q5379" t="str">
        <f t="shared" si="207"/>
        <v>condorProc.py --series 07181009_2325 --donoise --dumps a --procenv environments/pymidas_HVHV_NaI_mf.env</v>
      </c>
      <c r="R5379" t="str">
        <f t="shared" si="208"/>
        <v>ln -s ../../../../midasraw/byseries/07181009_2325 07181009_2325</v>
      </c>
    </row>
    <row r="5380" spans="1:18">
      <c r="A5380" t="s">
        <v>10983</v>
      </c>
      <c r="F5380" s="65"/>
      <c r="G5380" s="65"/>
      <c r="H5380" s="211"/>
      <c r="I5380" s="65" t="s">
        <v>75</v>
      </c>
      <c r="J5380" s="65"/>
      <c r="K5380" s="64"/>
      <c r="M5380" t="s">
        <v>4945</v>
      </c>
      <c r="N5380" t="s">
        <v>5571</v>
      </c>
      <c r="Q5380" t="str">
        <f t="shared" si="207"/>
        <v>condorProc.py --series 07181009_2335 --donoise --dumps a --procenv environments/pymidas_HVHV_NaI_mf.env</v>
      </c>
      <c r="R5380" t="str">
        <f t="shared" si="208"/>
        <v>ln -s ../../../../midasraw/byseries/07181009_2335 07181009_2335</v>
      </c>
    </row>
    <row r="5381" spans="1:18">
      <c r="A5381" t="s">
        <v>10984</v>
      </c>
      <c r="F5381" s="177">
        <v>10</v>
      </c>
      <c r="G5381" s="224" t="s">
        <v>8641</v>
      </c>
      <c r="H5381" s="209">
        <v>-125</v>
      </c>
      <c r="I5381" s="199" t="s">
        <v>5434</v>
      </c>
      <c r="J5381" s="177" t="s">
        <v>5577</v>
      </c>
      <c r="K5381" s="62" t="s">
        <v>5583</v>
      </c>
    </row>
    <row r="5382" spans="1:18">
      <c r="A5382" t="s">
        <v>10985</v>
      </c>
      <c r="G5382" s="229"/>
      <c r="H5382" s="210"/>
      <c r="I5382" s="197" t="s">
        <v>5434</v>
      </c>
      <c r="J5382" t="s">
        <v>5585</v>
      </c>
      <c r="K5382" s="237" t="s">
        <v>5586</v>
      </c>
    </row>
    <row r="5383" spans="1:18">
      <c r="A5383" t="s">
        <v>10986</v>
      </c>
      <c r="G5383" s="229"/>
      <c r="H5383" s="210"/>
      <c r="I5383" t="s">
        <v>75</v>
      </c>
      <c r="K5383" s="238" t="s">
        <v>10987</v>
      </c>
      <c r="M5383" t="s">
        <v>4945</v>
      </c>
      <c r="N5383" t="s">
        <v>5571</v>
      </c>
      <c r="Q5383" t="str">
        <f t="shared" ref="Q5383:Q5404" si="209">"condorProc.py --series "&amp;A5383&amp;" --donoise --dumps a --procenv environments/pymidas_HVHV_NaI_mf.env"</f>
        <v>condorProc.py --series 07181010_0923 --donoise --dumps a --procenv environments/pymidas_HVHV_NaI_mf.env</v>
      </c>
      <c r="R5383" t="str">
        <f t="shared" ref="R5383:R5404" si="210">"ln -s ../../../../midasraw/byseries/"&amp;A5383&amp;" "&amp;A5383</f>
        <v>ln -s ../../../../midasraw/byseries/07181010_0923 07181010_0923</v>
      </c>
    </row>
    <row r="5384" spans="1:18">
      <c r="A5384" t="s">
        <v>10988</v>
      </c>
      <c r="G5384" s="229"/>
      <c r="H5384" s="210"/>
      <c r="K5384" s="63"/>
      <c r="M5384" t="s">
        <v>4945</v>
      </c>
      <c r="N5384" t="s">
        <v>5571</v>
      </c>
      <c r="Q5384" t="str">
        <f t="shared" si="209"/>
        <v>condorProc.py --series 07181010_0933 --donoise --dumps a --procenv environments/pymidas_HVHV_NaI_mf.env</v>
      </c>
      <c r="R5384" t="str">
        <f t="shared" si="210"/>
        <v>ln -s ../../../../midasraw/byseries/07181010_0933 07181010_0933</v>
      </c>
    </row>
    <row r="5385" spans="1:18">
      <c r="A5385" t="s">
        <v>10989</v>
      </c>
      <c r="H5385" s="210"/>
      <c r="K5385" s="63"/>
      <c r="M5385" t="s">
        <v>4945</v>
      </c>
      <c r="N5385" t="s">
        <v>5571</v>
      </c>
      <c r="Q5385" t="str">
        <f t="shared" si="209"/>
        <v>condorProc.py --series 07181010_0944 --donoise --dumps a --procenv environments/pymidas_HVHV_NaI_mf.env</v>
      </c>
      <c r="R5385" t="str">
        <f t="shared" si="210"/>
        <v>ln -s ../../../../midasraw/byseries/07181010_0944 07181010_0944</v>
      </c>
    </row>
    <row r="5386" spans="1:18">
      <c r="A5386" t="s">
        <v>10990</v>
      </c>
      <c r="H5386" s="210"/>
      <c r="K5386" s="63"/>
      <c r="M5386" t="s">
        <v>4945</v>
      </c>
      <c r="N5386" t="s">
        <v>5571</v>
      </c>
      <c r="Q5386" t="str">
        <f t="shared" si="209"/>
        <v>condorProc.py --series 07181010_0954 --donoise --dumps a --procenv environments/pymidas_HVHV_NaI_mf.env</v>
      </c>
      <c r="R5386" t="str">
        <f t="shared" si="210"/>
        <v>ln -s ../../../../midasraw/byseries/07181010_0954 07181010_0954</v>
      </c>
    </row>
    <row r="5387" spans="1:18">
      <c r="A5387" t="s">
        <v>10991</v>
      </c>
      <c r="H5387" s="210"/>
      <c r="I5387" t="s">
        <v>75</v>
      </c>
      <c r="K5387" s="63"/>
      <c r="M5387" t="s">
        <v>4945</v>
      </c>
      <c r="N5387" t="s">
        <v>5571</v>
      </c>
      <c r="Q5387" t="str">
        <f t="shared" si="209"/>
        <v>condorProc.py --series 07181010_1004 --donoise --dumps a --procenv environments/pymidas_HVHV_NaI_mf.env</v>
      </c>
      <c r="R5387" t="str">
        <f t="shared" si="210"/>
        <v>ln -s ../../../../midasraw/byseries/07181010_1004 07181010_1004</v>
      </c>
    </row>
    <row r="5388" spans="1:18">
      <c r="A5388" t="s">
        <v>10992</v>
      </c>
      <c r="H5388" s="210"/>
      <c r="K5388" s="63"/>
      <c r="M5388" t="s">
        <v>4945</v>
      </c>
      <c r="N5388" t="s">
        <v>5571</v>
      </c>
      <c r="Q5388" t="str">
        <f t="shared" si="209"/>
        <v>condorProc.py --series 07181010_1014 --donoise --dumps a --procenv environments/pymidas_HVHV_NaI_mf.env</v>
      </c>
      <c r="R5388" t="str">
        <f t="shared" si="210"/>
        <v>ln -s ../../../../midasraw/byseries/07181010_1014 07181010_1014</v>
      </c>
    </row>
    <row r="5389" spans="1:18">
      <c r="A5389" t="s">
        <v>10993</v>
      </c>
      <c r="H5389" s="210"/>
      <c r="K5389" s="63"/>
      <c r="M5389" t="s">
        <v>4945</v>
      </c>
      <c r="N5389" t="s">
        <v>5571</v>
      </c>
      <c r="Q5389" t="str">
        <f t="shared" si="209"/>
        <v>condorProc.py --series 07181010_1024 --donoise --dumps a --procenv environments/pymidas_HVHV_NaI_mf.env</v>
      </c>
      <c r="R5389" t="str">
        <f t="shared" si="210"/>
        <v>ln -s ../../../../midasraw/byseries/07181010_1024 07181010_1024</v>
      </c>
    </row>
    <row r="5390" spans="1:18">
      <c r="A5390" t="s">
        <v>10994</v>
      </c>
      <c r="H5390" s="210"/>
      <c r="K5390" s="63"/>
      <c r="M5390" t="s">
        <v>4945</v>
      </c>
      <c r="N5390" t="s">
        <v>5571</v>
      </c>
      <c r="Q5390" t="str">
        <f t="shared" si="209"/>
        <v>condorProc.py --series 07181010_1034 --donoise --dumps a --procenv environments/pymidas_HVHV_NaI_mf.env</v>
      </c>
      <c r="R5390" t="str">
        <f t="shared" si="210"/>
        <v>ln -s ../../../../midasraw/byseries/07181010_1034 07181010_1034</v>
      </c>
    </row>
    <row r="5391" spans="1:18">
      <c r="A5391" t="s">
        <v>10995</v>
      </c>
      <c r="H5391" s="210"/>
      <c r="K5391" s="63"/>
      <c r="M5391" t="s">
        <v>4945</v>
      </c>
      <c r="N5391" t="s">
        <v>5571</v>
      </c>
      <c r="Q5391" t="str">
        <f t="shared" si="209"/>
        <v>condorProc.py --series 07181010_1044 --donoise --dumps a --procenv environments/pymidas_HVHV_NaI_mf.env</v>
      </c>
      <c r="R5391" t="str">
        <f t="shared" si="210"/>
        <v>ln -s ../../../../midasraw/byseries/07181010_1044 07181010_1044</v>
      </c>
    </row>
    <row r="5392" spans="1:18">
      <c r="A5392" t="s">
        <v>10996</v>
      </c>
      <c r="F5392" s="65"/>
      <c r="G5392" s="65"/>
      <c r="H5392" s="211"/>
      <c r="I5392" s="65"/>
      <c r="J5392" s="65"/>
      <c r="K5392" s="64"/>
      <c r="M5392" t="s">
        <v>4945</v>
      </c>
      <c r="N5392" t="s">
        <v>5571</v>
      </c>
      <c r="Q5392" t="str">
        <f t="shared" si="209"/>
        <v>condorProc.py --series 07181010_1054 --donoise --dumps a --procenv environments/pymidas_HVHV_NaI_mf.env</v>
      </c>
      <c r="R5392" t="str">
        <f t="shared" si="210"/>
        <v>ln -s ../../../../midasraw/byseries/07181010_1054 07181010_1054</v>
      </c>
    </row>
    <row r="5393" spans="1:31">
      <c r="A5393" t="s">
        <v>10997</v>
      </c>
      <c r="F5393" s="177">
        <v>10</v>
      </c>
      <c r="G5393" s="224" t="s">
        <v>8641</v>
      </c>
      <c r="H5393" s="209">
        <v>-125</v>
      </c>
      <c r="I5393" s="177"/>
      <c r="J5393" s="177" t="s">
        <v>5577</v>
      </c>
      <c r="K5393" s="62" t="s">
        <v>5583</v>
      </c>
      <c r="M5393" t="s">
        <v>4945</v>
      </c>
      <c r="N5393" t="s">
        <v>5571</v>
      </c>
      <c r="Q5393" t="str">
        <f t="shared" si="209"/>
        <v>condorProc.py --series 07181010_1151 --donoise --dumps a --procenv environments/pymidas_HVHV_NaI_mf.env</v>
      </c>
      <c r="R5393" t="str">
        <f t="shared" si="210"/>
        <v>ln -s ../../../../midasraw/byseries/07181010_1151 07181010_1151</v>
      </c>
    </row>
    <row r="5394" spans="1:31">
      <c r="A5394" t="s">
        <v>10998</v>
      </c>
      <c r="G5394" s="229"/>
      <c r="H5394" s="210"/>
      <c r="J5394" t="s">
        <v>5585</v>
      </c>
      <c r="K5394" s="237" t="s">
        <v>5586</v>
      </c>
      <c r="M5394" t="s">
        <v>4945</v>
      </c>
      <c r="N5394" t="s">
        <v>5571</v>
      </c>
      <c r="Q5394" t="str">
        <f t="shared" si="209"/>
        <v>condorProc.py --series 07181010_1201 --donoise --dumps a --procenv environments/pymidas_HVHV_NaI_mf.env</v>
      </c>
      <c r="R5394" t="str">
        <f t="shared" si="210"/>
        <v>ln -s ../../../../midasraw/byseries/07181010_1201 07181010_1201</v>
      </c>
    </row>
    <row r="5395" spans="1:31">
      <c r="A5395" t="s">
        <v>10999</v>
      </c>
      <c r="G5395" s="229"/>
      <c r="H5395" s="210"/>
      <c r="I5395" t="s">
        <v>75</v>
      </c>
      <c r="K5395" s="238" t="s">
        <v>11000</v>
      </c>
      <c r="M5395" t="s">
        <v>4945</v>
      </c>
      <c r="N5395" t="s">
        <v>5571</v>
      </c>
      <c r="Q5395" t="str">
        <f t="shared" si="209"/>
        <v>condorProc.py --series 07181010_1211 --donoise --dumps a --procenv environments/pymidas_HVHV_NaI_mf.env</v>
      </c>
      <c r="R5395" t="str">
        <f t="shared" si="210"/>
        <v>ln -s ../../../../midasraw/byseries/07181010_1211 07181010_1211</v>
      </c>
    </row>
    <row r="5396" spans="1:31">
      <c r="A5396" t="s">
        <v>11001</v>
      </c>
      <c r="G5396" s="229"/>
      <c r="H5396" s="210"/>
      <c r="K5396" s="63"/>
      <c r="M5396" t="s">
        <v>4945</v>
      </c>
      <c r="N5396" t="s">
        <v>5571</v>
      </c>
      <c r="Q5396" t="str">
        <f t="shared" si="209"/>
        <v>condorProc.py --series 07181010_1221 --donoise --dumps a --procenv environments/pymidas_HVHV_NaI_mf.env</v>
      </c>
      <c r="R5396" t="str">
        <f t="shared" si="210"/>
        <v>ln -s ../../../../midasraw/byseries/07181010_1221 07181010_1221</v>
      </c>
      <c r="Y5396" t="s">
        <v>2190</v>
      </c>
      <c r="Z5396" t="s">
        <v>11002</v>
      </c>
      <c r="AA5396" t="s">
        <v>11003</v>
      </c>
      <c r="AB5396" t="s">
        <v>11004</v>
      </c>
      <c r="AC5396" t="s">
        <v>11005</v>
      </c>
      <c r="AD5396" t="s">
        <v>11006</v>
      </c>
      <c r="AE5396" t="s">
        <v>11007</v>
      </c>
    </row>
    <row r="5397" spans="1:31">
      <c r="A5397" t="s">
        <v>11008</v>
      </c>
      <c r="H5397" s="210"/>
      <c r="K5397" s="63"/>
      <c r="M5397" t="s">
        <v>4945</v>
      </c>
      <c r="N5397" t="s">
        <v>5571</v>
      </c>
      <c r="Q5397" t="str">
        <f t="shared" si="209"/>
        <v>condorProc.py --series 07181010_1231 --donoise --dumps a --procenv environments/pymidas_HVHV_NaI_mf.env</v>
      </c>
      <c r="R5397" t="str">
        <f t="shared" si="210"/>
        <v>ln -s ../../../../midasraw/byseries/07181010_1231 07181010_1231</v>
      </c>
      <c r="Y5397" t="s">
        <v>2248</v>
      </c>
      <c r="Z5397">
        <v>20780413</v>
      </c>
      <c r="AA5397">
        <f>256+496</f>
        <v>752</v>
      </c>
      <c r="AB5397">
        <f>AA5397/12*Z5397</f>
        <v>1302239214.6666665</v>
      </c>
      <c r="AC5397">
        <f>AB5397/2^10</f>
        <v>1271717.9830729165</v>
      </c>
      <c r="AD5397">
        <f>AC5397/2^10</f>
        <v>1241.912092844645</v>
      </c>
      <c r="AE5397">
        <f>AD5397/2^10</f>
        <v>1.2128047781685987</v>
      </c>
    </row>
    <row r="5398" spans="1:31">
      <c r="A5398" t="s">
        <v>11009</v>
      </c>
      <c r="H5398" s="210"/>
      <c r="K5398" s="63"/>
      <c r="M5398" t="s">
        <v>4945</v>
      </c>
      <c r="N5398" t="s">
        <v>5571</v>
      </c>
      <c r="Q5398" t="str">
        <f t="shared" si="209"/>
        <v>condorProc.py --series 07181010_1241 --donoise --dumps a --procenv environments/pymidas_HVHV_NaI_mf.env</v>
      </c>
      <c r="R5398" t="str">
        <f t="shared" si="210"/>
        <v>ln -s ../../../../midasraw/byseries/07181010_1241 07181010_1241</v>
      </c>
      <c r="Y5398" t="s">
        <v>8641</v>
      </c>
      <c r="Z5398">
        <v>23218835</v>
      </c>
      <c r="AA5398">
        <f>96+453+72</f>
        <v>621</v>
      </c>
      <c r="AB5398">
        <f>AA5398/12*Z5398</f>
        <v>1201574711.25</v>
      </c>
      <c r="AC5398">
        <f>AB5398/2^10</f>
        <v>1173412.8039550781</v>
      </c>
      <c r="AD5398">
        <f>AC5398/2^10</f>
        <v>1145.910941362381</v>
      </c>
      <c r="AE5398">
        <f>AD5398/2^10</f>
        <v>1.1190536536742002</v>
      </c>
    </row>
    <row r="5399" spans="1:31">
      <c r="A5399" t="s">
        <v>11010</v>
      </c>
      <c r="H5399" s="210"/>
      <c r="K5399" s="63"/>
      <c r="M5399" t="s">
        <v>4945</v>
      </c>
      <c r="N5399" t="s">
        <v>5571</v>
      </c>
      <c r="Q5399" t="str">
        <f t="shared" si="209"/>
        <v>condorProc.py --series 07181010_1251 --donoise --dumps a --procenv environments/pymidas_HVHV_NaI_mf.env</v>
      </c>
      <c r="R5399" t="str">
        <f t="shared" si="210"/>
        <v>ln -s ../../../../midasraw/byseries/07181010_1251 07181010_1251</v>
      </c>
      <c r="Y5399" t="s">
        <v>11011</v>
      </c>
      <c r="Z5399">
        <v>19606328</v>
      </c>
      <c r="AA5399">
        <f>72+26+96</f>
        <v>194</v>
      </c>
      <c r="AB5399">
        <f>AA5399/12*Z5399</f>
        <v>316968969.33333337</v>
      </c>
      <c r="AC5399">
        <f>AB5399/2^10</f>
        <v>309540.00911458337</v>
      </c>
      <c r="AD5399">
        <f>AC5399/2^10</f>
        <v>302.28516515096032</v>
      </c>
      <c r="AE5399">
        <f>AD5399/2^10</f>
        <v>0.29520035659273469</v>
      </c>
    </row>
    <row r="5400" spans="1:31">
      <c r="A5400" t="s">
        <v>11012</v>
      </c>
      <c r="H5400" s="210"/>
      <c r="I5400" t="s">
        <v>75</v>
      </c>
      <c r="K5400" s="63"/>
      <c r="M5400" t="s">
        <v>4945</v>
      </c>
      <c r="N5400" t="s">
        <v>5571</v>
      </c>
      <c r="Q5400" t="str">
        <f t="shared" si="209"/>
        <v>condorProc.py --series 07181010_1301 --donoise --dumps a --procenv environments/pymidas_HVHV_NaI_mf.env</v>
      </c>
      <c r="R5400" t="str">
        <f t="shared" si="210"/>
        <v>ln -s ../../../../midasraw/byseries/07181010_1301 07181010_1301</v>
      </c>
      <c r="AE5400">
        <f>SUM(AE5397:AE5399)</f>
        <v>2.6270587884355336</v>
      </c>
    </row>
    <row r="5401" spans="1:31">
      <c r="A5401" t="s">
        <v>11013</v>
      </c>
      <c r="H5401" s="210"/>
      <c r="K5401" s="63"/>
      <c r="M5401" t="s">
        <v>4945</v>
      </c>
      <c r="N5401" t="s">
        <v>5571</v>
      </c>
      <c r="Q5401" t="str">
        <f t="shared" si="209"/>
        <v>condorProc.py --series 07181010_1311 --donoise --dumps a --procenv environments/pymidas_HVHV_NaI_mf.env</v>
      </c>
      <c r="R5401" t="str">
        <f t="shared" si="210"/>
        <v>ln -s ../../../../midasraw/byseries/07181010_1311 07181010_1311</v>
      </c>
    </row>
    <row r="5402" spans="1:31">
      <c r="A5402" t="s">
        <v>11014</v>
      </c>
      <c r="H5402" s="210"/>
      <c r="K5402" s="63"/>
      <c r="M5402" t="s">
        <v>4945</v>
      </c>
      <c r="N5402" t="s">
        <v>5571</v>
      </c>
      <c r="Q5402" t="str">
        <f t="shared" si="209"/>
        <v>condorProc.py --series 07181010_1321 --donoise --dumps a --procenv environments/pymidas_HVHV_NaI_mf.env</v>
      </c>
      <c r="R5402" t="str">
        <f t="shared" si="210"/>
        <v>ln -s ../../../../midasraw/byseries/07181010_1321 07181010_1321</v>
      </c>
    </row>
    <row r="5403" spans="1:31">
      <c r="A5403" t="s">
        <v>11015</v>
      </c>
      <c r="H5403" s="210"/>
      <c r="K5403" s="63"/>
      <c r="M5403" t="s">
        <v>4945</v>
      </c>
      <c r="N5403" t="s">
        <v>5571</v>
      </c>
      <c r="Q5403" t="str">
        <f t="shared" si="209"/>
        <v>condorProc.py --series 07181010_1332 --donoise --dumps a --procenv environments/pymidas_HVHV_NaI_mf.env</v>
      </c>
      <c r="R5403" t="str">
        <f t="shared" si="210"/>
        <v>ln -s ../../../../midasraw/byseries/07181010_1332 07181010_1332</v>
      </c>
    </row>
    <row r="5404" spans="1:31">
      <c r="A5404" t="s">
        <v>11016</v>
      </c>
      <c r="F5404" s="65"/>
      <c r="G5404" s="65"/>
      <c r="H5404" s="211"/>
      <c r="I5404" s="65" t="s">
        <v>75</v>
      </c>
      <c r="J5404" s="65"/>
      <c r="K5404" s="64"/>
      <c r="L5404" t="str">
        <f>"BatViewer --nohardcode "&amp;A5404&amp;"/"&amp;A5404&amp;"_F0010.mid.gz"</f>
        <v>BatViewer --nohardcode 07181010_1342/07181010_1342_F0010.mid.gz</v>
      </c>
      <c r="M5404" t="s">
        <v>4945</v>
      </c>
      <c r="N5404" t="s">
        <v>5571</v>
      </c>
      <c r="Q5404" t="str">
        <f t="shared" si="209"/>
        <v>condorProc.py --series 07181010_1342 --donoise --dumps a --procenv environments/pymidas_HVHV_NaI_mf.env</v>
      </c>
      <c r="R5404" t="str">
        <f t="shared" si="210"/>
        <v>ln -s ../../../../midasraw/byseries/07181010_1342 07181010_1342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816"/>
  <sheetViews>
    <sheetView workbookViewId="0">
      <pane xSplit="1" ySplit="1" topLeftCell="B2" activePane="bottomRight" state="frozen"/>
      <selection pane="bottomRight" activeCell="D1" sqref="D1"/>
      <selection pane="bottomLeft"/>
      <selection pane="topRight"/>
    </sheetView>
  </sheetViews>
  <sheetFormatPr defaultRowHeight="14.45"/>
  <cols>
    <col min="1" max="1" width="16.85546875" customWidth="1"/>
    <col min="6" max="6" width="23.85546875" bestFit="1" customWidth="1"/>
    <col min="7" max="7" width="30.28515625" customWidth="1"/>
  </cols>
  <sheetData>
    <row r="1" spans="1:11" ht="41.45">
      <c r="A1" s="27" t="s">
        <v>0</v>
      </c>
      <c r="B1" s="60" t="s">
        <v>2190</v>
      </c>
      <c r="C1" s="60" t="s">
        <v>11017</v>
      </c>
      <c r="D1" s="60" t="s">
        <v>11018</v>
      </c>
      <c r="E1" s="60" t="s">
        <v>11019</v>
      </c>
      <c r="F1" s="60" t="s">
        <v>13</v>
      </c>
      <c r="G1" s="60" t="s">
        <v>2191</v>
      </c>
      <c r="H1" s="60" t="s">
        <v>1444</v>
      </c>
      <c r="I1" s="60" t="s">
        <v>4837</v>
      </c>
      <c r="J1" s="60" t="s">
        <v>4838</v>
      </c>
      <c r="K1" s="60" t="s">
        <v>2192</v>
      </c>
    </row>
    <row r="2" spans="1:11">
      <c r="A2" t="s">
        <v>11020</v>
      </c>
      <c r="B2" t="s">
        <v>11021</v>
      </c>
    </row>
    <row r="3" spans="1:11">
      <c r="A3" t="s">
        <v>11022</v>
      </c>
      <c r="B3" t="s">
        <v>11021</v>
      </c>
    </row>
    <row r="4" spans="1:11">
      <c r="A4" t="s">
        <v>11023</v>
      </c>
      <c r="B4" t="s">
        <v>11021</v>
      </c>
    </row>
    <row r="5" spans="1:11">
      <c r="A5" t="s">
        <v>11024</v>
      </c>
      <c r="B5" t="s">
        <v>11021</v>
      </c>
    </row>
    <row r="6" spans="1:11">
      <c r="A6" t="s">
        <v>11025</v>
      </c>
      <c r="B6" t="s">
        <v>11021</v>
      </c>
    </row>
    <row r="7" spans="1:11">
      <c r="A7" t="s">
        <v>11026</v>
      </c>
      <c r="B7" t="s">
        <v>11021</v>
      </c>
    </row>
    <row r="8" spans="1:11">
      <c r="A8" t="s">
        <v>11027</v>
      </c>
      <c r="B8" t="s">
        <v>11021</v>
      </c>
    </row>
    <row r="9" spans="1:11">
      <c r="A9" t="s">
        <v>11028</v>
      </c>
      <c r="B9" t="s">
        <v>11021</v>
      </c>
    </row>
    <row r="10" spans="1:11">
      <c r="A10" t="s">
        <v>11029</v>
      </c>
      <c r="B10" t="s">
        <v>11021</v>
      </c>
    </row>
    <row r="11" spans="1:11">
      <c r="A11" t="s">
        <v>11030</v>
      </c>
      <c r="B11" t="s">
        <v>11021</v>
      </c>
    </row>
    <row r="12" spans="1:11">
      <c r="A12" t="s">
        <v>11031</v>
      </c>
      <c r="B12" t="s">
        <v>11021</v>
      </c>
    </row>
    <row r="13" spans="1:11">
      <c r="A13" t="s">
        <v>11032</v>
      </c>
      <c r="B13" t="s">
        <v>11021</v>
      </c>
    </row>
    <row r="14" spans="1:11">
      <c r="A14" t="s">
        <v>11033</v>
      </c>
      <c r="B14" t="s">
        <v>11021</v>
      </c>
    </row>
    <row r="15" spans="1:11">
      <c r="A15" t="s">
        <v>11034</v>
      </c>
      <c r="B15" t="s">
        <v>11021</v>
      </c>
    </row>
    <row r="16" spans="1:11">
      <c r="A16" t="s">
        <v>11035</v>
      </c>
      <c r="B16" t="s">
        <v>11021</v>
      </c>
    </row>
    <row r="17" spans="1:2">
      <c r="A17" t="s">
        <v>11036</v>
      </c>
      <c r="B17" t="s">
        <v>11021</v>
      </c>
    </row>
    <row r="18" spans="1:2">
      <c r="A18" t="s">
        <v>11037</v>
      </c>
      <c r="B18" t="s">
        <v>11021</v>
      </c>
    </row>
    <row r="19" spans="1:2">
      <c r="A19" t="s">
        <v>11038</v>
      </c>
      <c r="B19" t="s">
        <v>11021</v>
      </c>
    </row>
    <row r="20" spans="1:2">
      <c r="A20" t="s">
        <v>11039</v>
      </c>
      <c r="B20" t="s">
        <v>11021</v>
      </c>
    </row>
    <row r="21" spans="1:2">
      <c r="A21" t="s">
        <v>11040</v>
      </c>
      <c r="B21" t="s">
        <v>11021</v>
      </c>
    </row>
    <row r="22" spans="1:2">
      <c r="A22" t="s">
        <v>11041</v>
      </c>
      <c r="B22" t="s">
        <v>11021</v>
      </c>
    </row>
    <row r="23" spans="1:2">
      <c r="A23" t="s">
        <v>11042</v>
      </c>
      <c r="B23" t="s">
        <v>11021</v>
      </c>
    </row>
    <row r="24" spans="1:2">
      <c r="A24" t="s">
        <v>11043</v>
      </c>
      <c r="B24" t="s">
        <v>11021</v>
      </c>
    </row>
    <row r="25" spans="1:2">
      <c r="A25" t="s">
        <v>11044</v>
      </c>
      <c r="B25" t="s">
        <v>11021</v>
      </c>
    </row>
    <row r="26" spans="1:2">
      <c r="A26" t="s">
        <v>11045</v>
      </c>
      <c r="B26" t="s">
        <v>11021</v>
      </c>
    </row>
    <row r="27" spans="1:2">
      <c r="A27" t="s">
        <v>11046</v>
      </c>
      <c r="B27" t="s">
        <v>11021</v>
      </c>
    </row>
    <row r="28" spans="1:2">
      <c r="A28" t="s">
        <v>11047</v>
      </c>
      <c r="B28" t="s">
        <v>11021</v>
      </c>
    </row>
    <row r="29" spans="1:2">
      <c r="A29" t="s">
        <v>11048</v>
      </c>
      <c r="B29" t="s">
        <v>11021</v>
      </c>
    </row>
    <row r="30" spans="1:2">
      <c r="A30" t="s">
        <v>11049</v>
      </c>
      <c r="B30" t="s">
        <v>11021</v>
      </c>
    </row>
    <row r="31" spans="1:2">
      <c r="A31" t="s">
        <v>11050</v>
      </c>
      <c r="B31" t="s">
        <v>11021</v>
      </c>
    </row>
    <row r="32" spans="1:2">
      <c r="A32" t="s">
        <v>11051</v>
      </c>
      <c r="B32" t="s">
        <v>11021</v>
      </c>
    </row>
    <row r="33" spans="1:6">
      <c r="A33" t="s">
        <v>11052</v>
      </c>
      <c r="B33" t="s">
        <v>11021</v>
      </c>
    </row>
    <row r="34" spans="1:6">
      <c r="A34" t="s">
        <v>11053</v>
      </c>
      <c r="B34" t="s">
        <v>11021</v>
      </c>
    </row>
    <row r="35" spans="1:6">
      <c r="A35" t="s">
        <v>11054</v>
      </c>
      <c r="B35" t="s">
        <v>11021</v>
      </c>
    </row>
    <row r="36" spans="1:6">
      <c r="A36" t="s">
        <v>11055</v>
      </c>
      <c r="B36" t="s">
        <v>11021</v>
      </c>
    </row>
    <row r="37" spans="1:6">
      <c r="A37" t="s">
        <v>11056</v>
      </c>
      <c r="B37" t="s">
        <v>11021</v>
      </c>
    </row>
    <row r="38" spans="1:6">
      <c r="A38" t="s">
        <v>11057</v>
      </c>
      <c r="B38" t="s">
        <v>11021</v>
      </c>
      <c r="F38" t="s">
        <v>11058</v>
      </c>
    </row>
    <row r="39" spans="1:6">
      <c r="A39" t="s">
        <v>11059</v>
      </c>
      <c r="B39" t="s">
        <v>11021</v>
      </c>
      <c r="C39">
        <v>300</v>
      </c>
      <c r="D39">
        <v>3.9</v>
      </c>
      <c r="E39">
        <v>25</v>
      </c>
      <c r="F39" t="s">
        <v>11060</v>
      </c>
    </row>
    <row r="40" spans="1:6">
      <c r="A40" t="s">
        <v>11061</v>
      </c>
      <c r="B40" t="s">
        <v>11021</v>
      </c>
      <c r="C40">
        <v>300</v>
      </c>
      <c r="D40">
        <v>3.9</v>
      </c>
      <c r="E40">
        <v>25</v>
      </c>
      <c r="F40" t="s">
        <v>11060</v>
      </c>
    </row>
    <row r="41" spans="1:6">
      <c r="A41" t="s">
        <v>11062</v>
      </c>
      <c r="B41" t="s">
        <v>11021</v>
      </c>
      <c r="C41">
        <v>300</v>
      </c>
      <c r="D41">
        <v>3.9</v>
      </c>
      <c r="E41">
        <v>25</v>
      </c>
      <c r="F41" t="s">
        <v>11060</v>
      </c>
    </row>
    <row r="42" spans="1:6">
      <c r="A42" t="s">
        <v>11063</v>
      </c>
      <c r="B42" t="s">
        <v>11021</v>
      </c>
      <c r="C42">
        <v>300</v>
      </c>
      <c r="D42">
        <v>3.9</v>
      </c>
      <c r="E42">
        <v>25</v>
      </c>
      <c r="F42" t="s">
        <v>11060</v>
      </c>
    </row>
    <row r="43" spans="1:6">
      <c r="A43" t="s">
        <v>11064</v>
      </c>
      <c r="B43" t="s">
        <v>11021</v>
      </c>
      <c r="C43">
        <v>300</v>
      </c>
      <c r="D43">
        <v>3.9</v>
      </c>
      <c r="E43">
        <v>25</v>
      </c>
      <c r="F43" t="s">
        <v>11060</v>
      </c>
    </row>
    <row r="44" spans="1:6">
      <c r="A44" t="s">
        <v>11065</v>
      </c>
      <c r="B44" t="s">
        <v>11021</v>
      </c>
      <c r="C44">
        <v>300</v>
      </c>
      <c r="D44">
        <v>3.9</v>
      </c>
      <c r="E44">
        <v>25</v>
      </c>
    </row>
    <row r="45" spans="1:6">
      <c r="A45" t="s">
        <v>11066</v>
      </c>
      <c r="B45" t="s">
        <v>11021</v>
      </c>
      <c r="C45">
        <v>200</v>
      </c>
      <c r="D45">
        <v>3.9</v>
      </c>
      <c r="E45">
        <v>50</v>
      </c>
    </row>
    <row r="46" spans="1:6">
      <c r="A46" t="s">
        <v>11067</v>
      </c>
      <c r="B46" t="s">
        <v>11021</v>
      </c>
      <c r="C46">
        <v>200</v>
      </c>
      <c r="D46">
        <v>3.9</v>
      </c>
      <c r="E46">
        <v>50</v>
      </c>
    </row>
    <row r="47" spans="1:6">
      <c r="A47" t="s">
        <v>11068</v>
      </c>
      <c r="B47" t="s">
        <v>11021</v>
      </c>
      <c r="C47">
        <v>200</v>
      </c>
      <c r="D47">
        <v>3.9</v>
      </c>
      <c r="E47">
        <v>50</v>
      </c>
    </row>
    <row r="48" spans="1:6">
      <c r="A48" t="s">
        <v>11069</v>
      </c>
      <c r="B48" t="s">
        <v>11021</v>
      </c>
      <c r="C48">
        <v>0</v>
      </c>
      <c r="D48">
        <v>0</v>
      </c>
      <c r="E48">
        <v>77</v>
      </c>
    </row>
    <row r="49" spans="1:7">
      <c r="A49" t="s">
        <v>11070</v>
      </c>
      <c r="B49" t="s">
        <v>11021</v>
      </c>
      <c r="C49">
        <v>250</v>
      </c>
      <c r="D49">
        <v>3.9</v>
      </c>
      <c r="E49">
        <v>38</v>
      </c>
    </row>
    <row r="50" spans="1:7">
      <c r="A50" t="s">
        <v>11071</v>
      </c>
      <c r="B50" t="s">
        <v>11021</v>
      </c>
      <c r="C50">
        <v>250</v>
      </c>
      <c r="D50">
        <v>3.9</v>
      </c>
      <c r="E50">
        <v>38</v>
      </c>
    </row>
    <row r="51" spans="1:7">
      <c r="A51" t="s">
        <v>11072</v>
      </c>
      <c r="B51" t="s">
        <v>11021</v>
      </c>
      <c r="C51">
        <v>200</v>
      </c>
      <c r="D51">
        <v>2.76</v>
      </c>
      <c r="E51">
        <v>75</v>
      </c>
      <c r="F51" t="s">
        <v>11073</v>
      </c>
    </row>
    <row r="52" spans="1:7">
      <c r="A52" t="s">
        <v>11074</v>
      </c>
      <c r="B52" t="s">
        <v>11021</v>
      </c>
      <c r="C52">
        <v>200</v>
      </c>
      <c r="D52">
        <v>2.76</v>
      </c>
      <c r="E52">
        <v>75</v>
      </c>
      <c r="F52" t="s">
        <v>11073</v>
      </c>
    </row>
    <row r="53" spans="1:7">
      <c r="A53" t="s">
        <v>11075</v>
      </c>
      <c r="B53" t="s">
        <v>11021</v>
      </c>
      <c r="C53">
        <v>200</v>
      </c>
      <c r="D53">
        <v>2.64</v>
      </c>
      <c r="E53">
        <v>75</v>
      </c>
      <c r="F53" t="s">
        <v>11073</v>
      </c>
    </row>
    <row r="54" spans="1:7">
      <c r="A54" t="s">
        <v>11076</v>
      </c>
      <c r="B54" t="s">
        <v>11021</v>
      </c>
      <c r="C54">
        <v>200</v>
      </c>
      <c r="D54">
        <v>2.64</v>
      </c>
      <c r="E54">
        <v>75</v>
      </c>
      <c r="F54" t="s">
        <v>11073</v>
      </c>
    </row>
    <row r="55" spans="1:7">
      <c r="A55" t="s">
        <v>11077</v>
      </c>
      <c r="B55" t="s">
        <v>11021</v>
      </c>
      <c r="C55">
        <v>200</v>
      </c>
      <c r="D55">
        <v>2.64</v>
      </c>
      <c r="E55">
        <v>75</v>
      </c>
      <c r="F55" t="s">
        <v>11073</v>
      </c>
    </row>
    <row r="56" spans="1:7">
      <c r="A56" t="s">
        <v>11078</v>
      </c>
      <c r="B56" t="s">
        <v>11021</v>
      </c>
      <c r="C56">
        <v>200</v>
      </c>
      <c r="D56">
        <v>2.64</v>
      </c>
      <c r="E56">
        <v>75</v>
      </c>
      <c r="F56" t="s">
        <v>11073</v>
      </c>
    </row>
    <row r="57" spans="1:7">
      <c r="A57" t="s">
        <v>11079</v>
      </c>
      <c r="B57" t="s">
        <v>11021</v>
      </c>
      <c r="C57">
        <v>200</v>
      </c>
      <c r="D57">
        <v>2.64</v>
      </c>
      <c r="E57">
        <v>75</v>
      </c>
      <c r="F57" t="s">
        <v>11073</v>
      </c>
    </row>
    <row r="58" spans="1:7">
      <c r="A58" t="s">
        <v>11080</v>
      </c>
      <c r="B58" t="s">
        <v>11021</v>
      </c>
      <c r="C58">
        <v>200</v>
      </c>
      <c r="D58">
        <v>2.64</v>
      </c>
      <c r="E58">
        <v>75</v>
      </c>
      <c r="F58" t="s">
        <v>11073</v>
      </c>
    </row>
    <row r="59" spans="1:7">
      <c r="A59" t="s">
        <v>11081</v>
      </c>
      <c r="B59" t="s">
        <v>11021</v>
      </c>
      <c r="C59">
        <v>200</v>
      </c>
      <c r="D59">
        <v>2.64</v>
      </c>
      <c r="E59">
        <v>75</v>
      </c>
      <c r="F59" t="s">
        <v>11073</v>
      </c>
    </row>
    <row r="60" spans="1:7">
      <c r="A60" t="s">
        <v>11082</v>
      </c>
      <c r="B60" t="s">
        <v>11021</v>
      </c>
      <c r="C60">
        <v>200</v>
      </c>
      <c r="D60">
        <v>2.64</v>
      </c>
      <c r="E60">
        <v>75</v>
      </c>
      <c r="F60" t="s">
        <v>11073</v>
      </c>
    </row>
    <row r="61" spans="1:7">
      <c r="A61" t="s">
        <v>11083</v>
      </c>
      <c r="B61" t="s">
        <v>11021</v>
      </c>
      <c r="C61">
        <v>200</v>
      </c>
      <c r="D61">
        <v>2.64</v>
      </c>
      <c r="E61">
        <v>75</v>
      </c>
      <c r="F61" t="s">
        <v>11073</v>
      </c>
    </row>
    <row r="62" spans="1:7">
      <c r="A62" t="s">
        <v>11084</v>
      </c>
      <c r="B62" t="s">
        <v>11021</v>
      </c>
      <c r="C62">
        <v>200</v>
      </c>
      <c r="D62">
        <v>2.64</v>
      </c>
      <c r="E62">
        <v>75</v>
      </c>
      <c r="F62" t="s">
        <v>11073</v>
      </c>
      <c r="G62" t="s">
        <v>11085</v>
      </c>
    </row>
    <row r="63" spans="1:7">
      <c r="A63" t="s">
        <v>11086</v>
      </c>
      <c r="B63" t="s">
        <v>11021</v>
      </c>
      <c r="C63">
        <v>200</v>
      </c>
      <c r="D63">
        <v>2.64</v>
      </c>
      <c r="E63">
        <v>75</v>
      </c>
      <c r="F63" t="s">
        <v>11073</v>
      </c>
      <c r="G63" t="s">
        <v>11085</v>
      </c>
    </row>
    <row r="64" spans="1:7">
      <c r="A64" t="s">
        <v>11087</v>
      </c>
      <c r="B64" t="s">
        <v>11021</v>
      </c>
      <c r="C64">
        <v>200</v>
      </c>
      <c r="D64">
        <v>2.64</v>
      </c>
      <c r="E64">
        <v>75</v>
      </c>
      <c r="F64" t="s">
        <v>11073</v>
      </c>
      <c r="G64" t="s">
        <v>11085</v>
      </c>
    </row>
    <row r="65" spans="1:7">
      <c r="A65" t="s">
        <v>11088</v>
      </c>
      <c r="B65" t="s">
        <v>11021</v>
      </c>
      <c r="C65">
        <v>200</v>
      </c>
      <c r="D65">
        <v>2.64</v>
      </c>
      <c r="E65">
        <v>75</v>
      </c>
      <c r="F65" t="s">
        <v>11073</v>
      </c>
    </row>
    <row r="66" spans="1:7">
      <c r="A66" t="s">
        <v>11089</v>
      </c>
      <c r="B66" t="s">
        <v>11021</v>
      </c>
      <c r="C66">
        <v>200</v>
      </c>
      <c r="D66">
        <v>2.64</v>
      </c>
      <c r="E66">
        <v>75</v>
      </c>
      <c r="F66" t="s">
        <v>11073</v>
      </c>
    </row>
    <row r="67" spans="1:7">
      <c r="A67" t="s">
        <v>11090</v>
      </c>
      <c r="B67" t="s">
        <v>11021</v>
      </c>
      <c r="C67">
        <v>200</v>
      </c>
      <c r="D67">
        <v>2.04</v>
      </c>
      <c r="F67" s="6" t="s">
        <v>11091</v>
      </c>
    </row>
    <row r="68" spans="1:7">
      <c r="A68" t="s">
        <v>11092</v>
      </c>
      <c r="B68" t="s">
        <v>11021</v>
      </c>
      <c r="C68">
        <v>200</v>
      </c>
      <c r="D68">
        <v>2.04</v>
      </c>
      <c r="F68" s="6" t="s">
        <v>11091</v>
      </c>
    </row>
    <row r="69" spans="1:7">
      <c r="A69" t="s">
        <v>11093</v>
      </c>
      <c r="B69" t="s">
        <v>11021</v>
      </c>
      <c r="C69">
        <v>200</v>
      </c>
      <c r="D69">
        <v>2.34</v>
      </c>
      <c r="E69">
        <v>86</v>
      </c>
      <c r="F69" t="s">
        <v>11094</v>
      </c>
    </row>
    <row r="70" spans="1:7">
      <c r="A70" t="s">
        <v>11095</v>
      </c>
      <c r="B70" t="s">
        <v>11021</v>
      </c>
      <c r="C70">
        <v>200</v>
      </c>
      <c r="D70">
        <v>2.34</v>
      </c>
      <c r="E70">
        <v>86</v>
      </c>
      <c r="F70" t="s">
        <v>11094</v>
      </c>
    </row>
    <row r="71" spans="1:7">
      <c r="A71" t="s">
        <v>11096</v>
      </c>
      <c r="B71" t="s">
        <v>11021</v>
      </c>
      <c r="C71">
        <v>-200</v>
      </c>
      <c r="D71">
        <v>-2.4180000000000001</v>
      </c>
      <c r="E71">
        <v>82</v>
      </c>
      <c r="F71" t="s">
        <v>11097</v>
      </c>
      <c r="G71" t="s">
        <v>11094</v>
      </c>
    </row>
    <row r="72" spans="1:7">
      <c r="A72" t="s">
        <v>11098</v>
      </c>
      <c r="B72" t="s">
        <v>11021</v>
      </c>
      <c r="C72">
        <v>-100</v>
      </c>
      <c r="D72">
        <v>-2.7959999999999998</v>
      </c>
      <c r="E72">
        <v>71</v>
      </c>
      <c r="F72" t="s">
        <v>11097</v>
      </c>
      <c r="G72" t="s">
        <v>11094</v>
      </c>
    </row>
    <row r="73" spans="1:7">
      <c r="A73" t="s">
        <v>11099</v>
      </c>
      <c r="B73" t="s">
        <v>11021</v>
      </c>
      <c r="C73">
        <v>180</v>
      </c>
      <c r="D73">
        <v>2.4180000000000001</v>
      </c>
      <c r="E73">
        <v>90</v>
      </c>
      <c r="F73" t="s">
        <v>11097</v>
      </c>
      <c r="G73" t="s">
        <v>11094</v>
      </c>
    </row>
    <row r="74" spans="1:7">
      <c r="A74" t="s">
        <v>11100</v>
      </c>
      <c r="B74" t="s">
        <v>11021</v>
      </c>
      <c r="C74">
        <v>220</v>
      </c>
      <c r="D74">
        <v>2.4180000000000001</v>
      </c>
      <c r="E74">
        <v>74</v>
      </c>
      <c r="F74" t="s">
        <v>11097</v>
      </c>
      <c r="G74" t="s">
        <v>11094</v>
      </c>
    </row>
    <row r="75" spans="1:7">
      <c r="A75" t="s">
        <v>11101</v>
      </c>
      <c r="B75" t="s">
        <v>11021</v>
      </c>
      <c r="C75">
        <v>180</v>
      </c>
      <c r="D75">
        <v>2.4180000000000001</v>
      </c>
      <c r="E75">
        <v>90</v>
      </c>
      <c r="F75" t="s">
        <v>11097</v>
      </c>
      <c r="G75" t="s">
        <v>11094</v>
      </c>
    </row>
    <row r="76" spans="1:7">
      <c r="A76" t="s">
        <v>11102</v>
      </c>
      <c r="B76" t="s">
        <v>11021</v>
      </c>
      <c r="C76">
        <v>220</v>
      </c>
      <c r="D76">
        <v>2.4180000000000001</v>
      </c>
      <c r="E76">
        <v>74</v>
      </c>
      <c r="F76" t="s">
        <v>11097</v>
      </c>
      <c r="G76" t="s">
        <v>11094</v>
      </c>
    </row>
    <row r="77" spans="1:7">
      <c r="A77" t="s">
        <v>11103</v>
      </c>
      <c r="B77" t="s">
        <v>11021</v>
      </c>
      <c r="C77">
        <v>160</v>
      </c>
      <c r="D77">
        <v>2.4180000000000001</v>
      </c>
      <c r="E77">
        <v>99</v>
      </c>
      <c r="F77" t="s">
        <v>11097</v>
      </c>
      <c r="G77" t="s">
        <v>11094</v>
      </c>
    </row>
    <row r="78" spans="1:7">
      <c r="A78" t="s">
        <v>11104</v>
      </c>
      <c r="B78" t="s">
        <v>11021</v>
      </c>
      <c r="C78">
        <v>140</v>
      </c>
      <c r="D78">
        <v>2.4180000000000001</v>
      </c>
      <c r="E78">
        <v>100</v>
      </c>
      <c r="F78" t="s">
        <v>11097</v>
      </c>
      <c r="G78" t="s">
        <v>11094</v>
      </c>
    </row>
    <row r="79" spans="1:7">
      <c r="A79" t="s">
        <v>11105</v>
      </c>
      <c r="B79" t="s">
        <v>11021</v>
      </c>
      <c r="C79">
        <v>0</v>
      </c>
      <c r="D79">
        <v>0</v>
      </c>
      <c r="E79">
        <v>30</v>
      </c>
    </row>
    <row r="80" spans="1:7">
      <c r="A80" t="s">
        <v>11106</v>
      </c>
      <c r="B80" t="s">
        <v>11021</v>
      </c>
      <c r="C80">
        <v>100</v>
      </c>
      <c r="D80">
        <v>2.4180000000000001</v>
      </c>
      <c r="E80">
        <v>80</v>
      </c>
    </row>
    <row r="81" spans="1:6">
      <c r="A81" t="s">
        <v>11107</v>
      </c>
      <c r="B81" t="s">
        <v>11021</v>
      </c>
      <c r="C81">
        <v>300</v>
      </c>
      <c r="D81">
        <v>2.4180000000000001</v>
      </c>
      <c r="E81">
        <v>42</v>
      </c>
    </row>
    <row r="82" spans="1:6">
      <c r="A82" t="s">
        <v>11108</v>
      </c>
      <c r="B82" t="s">
        <v>11021</v>
      </c>
      <c r="C82">
        <v>180</v>
      </c>
      <c r="D82">
        <v>2.4180000000000001</v>
      </c>
      <c r="E82">
        <v>90</v>
      </c>
      <c r="F82" s="239"/>
    </row>
    <row r="83" spans="1:6">
      <c r="A83" t="s">
        <v>11109</v>
      </c>
      <c r="B83" t="s">
        <v>11021</v>
      </c>
      <c r="C83">
        <v>180</v>
      </c>
      <c r="D83">
        <v>2.4180000000000001</v>
      </c>
      <c r="E83">
        <v>90</v>
      </c>
      <c r="F83" s="240"/>
    </row>
    <row r="84" spans="1:6">
      <c r="A84" t="s">
        <v>11110</v>
      </c>
      <c r="B84" t="s">
        <v>11021</v>
      </c>
      <c r="C84">
        <v>180</v>
      </c>
      <c r="D84">
        <v>2.4180000000000001</v>
      </c>
      <c r="E84">
        <v>90</v>
      </c>
      <c r="F84" s="240"/>
    </row>
    <row r="85" spans="1:6">
      <c r="A85" t="s">
        <v>11111</v>
      </c>
      <c r="B85" t="s">
        <v>11021</v>
      </c>
      <c r="C85">
        <v>180</v>
      </c>
      <c r="D85">
        <v>2.4180000000000001</v>
      </c>
      <c r="E85">
        <v>90</v>
      </c>
      <c r="F85" s="240"/>
    </row>
    <row r="86" spans="1:6">
      <c r="A86" t="s">
        <v>11112</v>
      </c>
      <c r="B86" t="s">
        <v>11021</v>
      </c>
      <c r="C86">
        <v>180</v>
      </c>
      <c r="D86">
        <v>2.4180000000000001</v>
      </c>
      <c r="E86">
        <v>90</v>
      </c>
      <c r="F86" s="240"/>
    </row>
    <row r="87" spans="1:6">
      <c r="A87" t="s">
        <v>11113</v>
      </c>
      <c r="B87" t="s">
        <v>11021</v>
      </c>
      <c r="C87">
        <v>180</v>
      </c>
      <c r="D87">
        <v>2.4180000000000001</v>
      </c>
      <c r="E87">
        <v>90</v>
      </c>
      <c r="F87" s="243" t="s">
        <v>11114</v>
      </c>
    </row>
    <row r="88" spans="1:6">
      <c r="A88" t="s">
        <v>11115</v>
      </c>
      <c r="B88" t="s">
        <v>11021</v>
      </c>
      <c r="C88">
        <v>180</v>
      </c>
      <c r="D88">
        <v>2.4180000000000001</v>
      </c>
      <c r="E88">
        <v>90</v>
      </c>
      <c r="F88" s="240"/>
    </row>
    <row r="89" spans="1:6">
      <c r="A89" t="s">
        <v>11116</v>
      </c>
      <c r="B89" t="s">
        <v>11021</v>
      </c>
      <c r="C89">
        <v>180</v>
      </c>
      <c r="D89">
        <v>2.4180000000000001</v>
      </c>
      <c r="E89">
        <v>90</v>
      </c>
      <c r="F89" s="240"/>
    </row>
    <row r="90" spans="1:6">
      <c r="A90" t="s">
        <v>11117</v>
      </c>
      <c r="B90" t="s">
        <v>11021</v>
      </c>
      <c r="C90">
        <v>180</v>
      </c>
      <c r="D90">
        <v>2.4180000000000001</v>
      </c>
      <c r="E90">
        <v>90</v>
      </c>
      <c r="F90" s="240"/>
    </row>
    <row r="91" spans="1:6">
      <c r="A91" t="s">
        <v>11118</v>
      </c>
      <c r="B91" t="s">
        <v>11021</v>
      </c>
      <c r="C91">
        <v>180</v>
      </c>
      <c r="D91">
        <v>2.4180000000000001</v>
      </c>
      <c r="E91">
        <v>90</v>
      </c>
      <c r="F91" s="240"/>
    </row>
    <row r="92" spans="1:6">
      <c r="A92" t="s">
        <v>11119</v>
      </c>
      <c r="B92" t="s">
        <v>11021</v>
      </c>
      <c r="C92">
        <v>180</v>
      </c>
      <c r="D92">
        <v>2.4180000000000001</v>
      </c>
      <c r="E92">
        <v>90</v>
      </c>
      <c r="F92" s="240"/>
    </row>
    <row r="93" spans="1:6">
      <c r="A93" t="s">
        <v>11120</v>
      </c>
      <c r="B93" t="s">
        <v>11021</v>
      </c>
      <c r="C93">
        <v>180</v>
      </c>
      <c r="D93">
        <v>2.4180000000000001</v>
      </c>
      <c r="E93">
        <v>90</v>
      </c>
      <c r="F93" s="240" t="s">
        <v>11121</v>
      </c>
    </row>
    <row r="94" spans="1:6">
      <c r="A94" t="s">
        <v>11122</v>
      </c>
      <c r="B94" t="s">
        <v>11021</v>
      </c>
      <c r="C94">
        <v>180</v>
      </c>
      <c r="D94">
        <v>2.4180000000000001</v>
      </c>
      <c r="E94">
        <v>90</v>
      </c>
      <c r="F94" s="241" t="s">
        <v>11121</v>
      </c>
    </row>
    <row r="95" spans="1:6">
      <c r="A95" t="s">
        <v>11123</v>
      </c>
      <c r="B95" t="s">
        <v>11021</v>
      </c>
      <c r="C95">
        <v>0</v>
      </c>
      <c r="D95">
        <v>0</v>
      </c>
      <c r="E95">
        <v>60</v>
      </c>
      <c r="F95" t="s">
        <v>11124</v>
      </c>
    </row>
    <row r="96" spans="1:6">
      <c r="A96" t="s">
        <v>11125</v>
      </c>
      <c r="B96" t="s">
        <v>11021</v>
      </c>
      <c r="C96">
        <v>180</v>
      </c>
      <c r="D96">
        <v>2.4180000000000001</v>
      </c>
      <c r="E96">
        <v>90</v>
      </c>
      <c r="F96" t="s">
        <v>11124</v>
      </c>
    </row>
    <row r="97" spans="1:7">
      <c r="A97" t="s">
        <v>11126</v>
      </c>
      <c r="B97" t="s">
        <v>11021</v>
      </c>
      <c r="C97">
        <v>180</v>
      </c>
      <c r="D97">
        <v>2.52</v>
      </c>
      <c r="E97">
        <v>87</v>
      </c>
      <c r="G97" t="s">
        <v>11127</v>
      </c>
    </row>
    <row r="98" spans="1:7">
      <c r="A98" t="s">
        <v>11128</v>
      </c>
      <c r="B98" t="s">
        <v>11021</v>
      </c>
      <c r="C98">
        <v>180</v>
      </c>
      <c r="D98">
        <v>2.52</v>
      </c>
      <c r="E98">
        <v>87</v>
      </c>
      <c r="F98" t="s">
        <v>11129</v>
      </c>
    </row>
    <row r="99" spans="1:7">
      <c r="A99" t="s">
        <v>11130</v>
      </c>
      <c r="B99" t="s">
        <v>11021</v>
      </c>
      <c r="C99">
        <v>0</v>
      </c>
      <c r="D99">
        <v>0</v>
      </c>
      <c r="E99">
        <v>5</v>
      </c>
      <c r="F99" t="s">
        <v>4855</v>
      </c>
    </row>
    <row r="100" spans="1:7">
      <c r="A100" t="s">
        <v>11131</v>
      </c>
      <c r="B100" t="s">
        <v>11021</v>
      </c>
      <c r="C100">
        <v>180</v>
      </c>
      <c r="D100">
        <v>2.52</v>
      </c>
      <c r="E100">
        <v>87</v>
      </c>
      <c r="F100" t="s">
        <v>11132</v>
      </c>
      <c r="G100" t="s">
        <v>11133</v>
      </c>
    </row>
    <row r="101" spans="1:7">
      <c r="A101" t="s">
        <v>11134</v>
      </c>
      <c r="B101" t="s">
        <v>11021</v>
      </c>
      <c r="C101">
        <v>180</v>
      </c>
      <c r="D101">
        <v>2.52</v>
      </c>
      <c r="E101">
        <v>87</v>
      </c>
      <c r="F101" s="6" t="s">
        <v>11135</v>
      </c>
    </row>
    <row r="102" spans="1:7">
      <c r="A102" t="s">
        <v>11136</v>
      </c>
      <c r="B102" t="s">
        <v>11021</v>
      </c>
      <c r="C102">
        <v>180</v>
      </c>
      <c r="D102">
        <v>2.52</v>
      </c>
      <c r="E102">
        <v>87</v>
      </c>
    </row>
    <row r="103" spans="1:7">
      <c r="A103" t="s">
        <v>11137</v>
      </c>
      <c r="B103" t="s">
        <v>11021</v>
      </c>
      <c r="C103">
        <v>180</v>
      </c>
      <c r="D103">
        <v>2.52</v>
      </c>
      <c r="E103">
        <v>87</v>
      </c>
      <c r="F103" t="s">
        <v>11138</v>
      </c>
    </row>
    <row r="104" spans="1:7">
      <c r="A104" t="s">
        <v>11139</v>
      </c>
      <c r="B104" t="s">
        <v>11021</v>
      </c>
      <c r="C104">
        <v>180</v>
      </c>
      <c r="D104">
        <v>2.52</v>
      </c>
      <c r="E104">
        <v>87</v>
      </c>
      <c r="F104" t="s">
        <v>11140</v>
      </c>
    </row>
    <row r="105" spans="1:7">
      <c r="A105" t="s">
        <v>11141</v>
      </c>
      <c r="B105" t="s">
        <v>11021</v>
      </c>
      <c r="C105">
        <v>180</v>
      </c>
      <c r="D105">
        <v>2.52</v>
      </c>
      <c r="E105">
        <v>87</v>
      </c>
      <c r="F105" s="239" t="s">
        <v>11138</v>
      </c>
    </row>
    <row r="106" spans="1:7">
      <c r="A106" t="s">
        <v>11142</v>
      </c>
      <c r="B106" t="s">
        <v>11021</v>
      </c>
      <c r="C106">
        <v>180</v>
      </c>
      <c r="D106">
        <v>2.52</v>
      </c>
      <c r="E106">
        <v>87</v>
      </c>
      <c r="F106" s="240"/>
    </row>
    <row r="107" spans="1:7">
      <c r="A107" t="s">
        <v>11143</v>
      </c>
      <c r="B107" t="s">
        <v>11021</v>
      </c>
      <c r="C107">
        <v>180</v>
      </c>
      <c r="D107">
        <v>2.52</v>
      </c>
      <c r="E107">
        <v>87</v>
      </c>
      <c r="F107" s="241"/>
    </row>
    <row r="108" spans="1:7">
      <c r="A108" t="s">
        <v>11144</v>
      </c>
      <c r="B108" t="s">
        <v>11021</v>
      </c>
      <c r="C108">
        <v>100</v>
      </c>
      <c r="D108">
        <v>0</v>
      </c>
      <c r="E108">
        <v>45</v>
      </c>
    </row>
    <row r="109" spans="1:7">
      <c r="A109" t="s">
        <v>11145</v>
      </c>
      <c r="B109" t="s">
        <v>11021</v>
      </c>
      <c r="C109">
        <v>180</v>
      </c>
      <c r="D109">
        <v>0</v>
      </c>
      <c r="E109">
        <v>75</v>
      </c>
    </row>
    <row r="110" spans="1:7">
      <c r="A110" t="s">
        <v>11146</v>
      </c>
      <c r="B110" t="s">
        <v>11021</v>
      </c>
      <c r="C110">
        <v>220</v>
      </c>
      <c r="D110">
        <v>0</v>
      </c>
      <c r="E110">
        <v>90</v>
      </c>
    </row>
    <row r="111" spans="1:7">
      <c r="A111" t="s">
        <v>11147</v>
      </c>
      <c r="B111" t="s">
        <v>11021</v>
      </c>
      <c r="C111">
        <v>300</v>
      </c>
      <c r="D111">
        <v>0</v>
      </c>
      <c r="E111">
        <v>125</v>
      </c>
    </row>
    <row r="112" spans="1:7">
      <c r="A112" t="s">
        <v>11148</v>
      </c>
      <c r="B112" t="s">
        <v>11021</v>
      </c>
      <c r="C112">
        <v>0</v>
      </c>
      <c r="D112">
        <v>0</v>
      </c>
      <c r="E112">
        <v>30</v>
      </c>
    </row>
    <row r="113" spans="1:7">
      <c r="A113" t="s">
        <v>11149</v>
      </c>
      <c r="B113" t="s">
        <v>11021</v>
      </c>
      <c r="C113">
        <v>0</v>
      </c>
      <c r="D113">
        <v>0</v>
      </c>
      <c r="E113">
        <v>30</v>
      </c>
      <c r="F113" t="s">
        <v>11150</v>
      </c>
    </row>
    <row r="114" spans="1:7">
      <c r="A114" t="s">
        <v>11151</v>
      </c>
      <c r="B114" t="s">
        <v>11021</v>
      </c>
      <c r="C114">
        <v>0</v>
      </c>
      <c r="D114">
        <v>0</v>
      </c>
      <c r="E114">
        <v>30</v>
      </c>
      <c r="F114" s="6" t="s">
        <v>5434</v>
      </c>
    </row>
    <row r="115" spans="1:7">
      <c r="A115" t="s">
        <v>11152</v>
      </c>
      <c r="B115" t="s">
        <v>11021</v>
      </c>
      <c r="C115">
        <v>0</v>
      </c>
      <c r="D115">
        <v>0</v>
      </c>
      <c r="E115">
        <v>30</v>
      </c>
      <c r="F115" t="s">
        <v>11153</v>
      </c>
    </row>
    <row r="116" spans="1:7">
      <c r="A116" t="s">
        <v>11154</v>
      </c>
      <c r="B116" t="s">
        <v>11021</v>
      </c>
      <c r="C116">
        <v>0</v>
      </c>
      <c r="D116">
        <v>0</v>
      </c>
      <c r="E116">
        <v>30</v>
      </c>
      <c r="F116" t="s">
        <v>11155</v>
      </c>
    </row>
    <row r="117" spans="1:7">
      <c r="A117" t="s">
        <v>11156</v>
      </c>
      <c r="B117" t="s">
        <v>11021</v>
      </c>
      <c r="C117">
        <v>0</v>
      </c>
      <c r="D117">
        <v>0</v>
      </c>
      <c r="E117">
        <v>30</v>
      </c>
      <c r="F117" t="s">
        <v>11157</v>
      </c>
    </row>
    <row r="118" spans="1:7">
      <c r="A118" t="s">
        <v>11158</v>
      </c>
      <c r="B118" t="s">
        <v>11021</v>
      </c>
      <c r="C118">
        <v>180</v>
      </c>
      <c r="D118">
        <v>2.4900000000000002</v>
      </c>
      <c r="E118">
        <v>88</v>
      </c>
      <c r="G118" s="6" t="s">
        <v>11159</v>
      </c>
    </row>
    <row r="119" spans="1:7">
      <c r="A119" t="s">
        <v>11160</v>
      </c>
      <c r="B119" t="s">
        <v>11021</v>
      </c>
      <c r="C119">
        <v>180</v>
      </c>
      <c r="D119">
        <v>2.4900000000000002</v>
      </c>
      <c r="E119">
        <v>88</v>
      </c>
      <c r="F119" s="239" t="s">
        <v>11161</v>
      </c>
    </row>
    <row r="120" spans="1:7">
      <c r="A120" t="s">
        <v>11162</v>
      </c>
      <c r="B120" t="s">
        <v>11021</v>
      </c>
      <c r="C120">
        <v>180</v>
      </c>
      <c r="D120">
        <v>2.4900000000000002</v>
      </c>
      <c r="E120">
        <v>88</v>
      </c>
      <c r="F120" s="240"/>
    </row>
    <row r="121" spans="1:7">
      <c r="A121" t="s">
        <v>11163</v>
      </c>
      <c r="B121" t="s">
        <v>11021</v>
      </c>
      <c r="C121">
        <v>180</v>
      </c>
      <c r="D121">
        <v>2.4900000000000002</v>
      </c>
      <c r="E121">
        <v>88</v>
      </c>
      <c r="F121" s="240"/>
    </row>
    <row r="122" spans="1:7">
      <c r="A122" t="s">
        <v>11164</v>
      </c>
      <c r="B122" t="s">
        <v>11021</v>
      </c>
      <c r="C122">
        <v>180</v>
      </c>
      <c r="D122">
        <v>2.4900000000000002</v>
      </c>
      <c r="E122">
        <v>88</v>
      </c>
      <c r="F122" s="240"/>
    </row>
    <row r="123" spans="1:7">
      <c r="A123" t="s">
        <v>11165</v>
      </c>
      <c r="B123" t="s">
        <v>11021</v>
      </c>
      <c r="C123">
        <v>180</v>
      </c>
      <c r="D123">
        <v>2.4900000000000002</v>
      </c>
      <c r="E123">
        <v>88</v>
      </c>
      <c r="F123" s="240"/>
    </row>
    <row r="124" spans="1:7">
      <c r="A124" t="s">
        <v>11166</v>
      </c>
      <c r="B124" t="s">
        <v>11021</v>
      </c>
      <c r="C124">
        <v>180</v>
      </c>
      <c r="D124">
        <v>2.4900000000000002</v>
      </c>
      <c r="E124">
        <v>88</v>
      </c>
      <c r="F124" s="239" t="s">
        <v>11167</v>
      </c>
    </row>
    <row r="125" spans="1:7">
      <c r="A125" t="s">
        <v>11168</v>
      </c>
      <c r="B125" t="s">
        <v>11021</v>
      </c>
      <c r="C125">
        <v>180</v>
      </c>
      <c r="D125">
        <v>2.4900000000000002</v>
      </c>
      <c r="E125">
        <v>88</v>
      </c>
      <c r="F125" s="241"/>
    </row>
    <row r="126" spans="1:7">
      <c r="A126" t="s">
        <v>11169</v>
      </c>
      <c r="B126" t="s">
        <v>11021</v>
      </c>
      <c r="C126">
        <v>180</v>
      </c>
      <c r="D126">
        <v>2.4900000000000002</v>
      </c>
      <c r="E126">
        <v>88</v>
      </c>
      <c r="G126" s="6" t="s">
        <v>11170</v>
      </c>
    </row>
    <row r="127" spans="1:7">
      <c r="A127" t="s">
        <v>11171</v>
      </c>
      <c r="B127" t="s">
        <v>11021</v>
      </c>
      <c r="C127">
        <v>180</v>
      </c>
      <c r="D127">
        <v>2.4900000000000002</v>
      </c>
      <c r="E127">
        <v>88</v>
      </c>
      <c r="G127" s="6" t="s">
        <v>11172</v>
      </c>
    </row>
    <row r="128" spans="1:7">
      <c r="A128" t="s">
        <v>11173</v>
      </c>
      <c r="B128" t="s">
        <v>11021</v>
      </c>
      <c r="C128">
        <v>180</v>
      </c>
      <c r="D128">
        <v>2.4900000000000002</v>
      </c>
      <c r="E128">
        <v>88</v>
      </c>
      <c r="F128" s="239" t="s">
        <v>11167</v>
      </c>
    </row>
    <row r="129" spans="1:7">
      <c r="A129" t="s">
        <v>11174</v>
      </c>
      <c r="B129" t="s">
        <v>11021</v>
      </c>
      <c r="C129">
        <v>180</v>
      </c>
      <c r="D129">
        <v>2.4900000000000002</v>
      </c>
      <c r="E129">
        <v>88</v>
      </c>
      <c r="F129" s="240"/>
    </row>
    <row r="130" spans="1:7">
      <c r="A130" t="s">
        <v>11175</v>
      </c>
      <c r="B130" t="s">
        <v>11021</v>
      </c>
      <c r="C130">
        <v>180</v>
      </c>
      <c r="D130">
        <v>2.4900000000000002</v>
      </c>
      <c r="E130">
        <v>88</v>
      </c>
      <c r="F130" s="240"/>
    </row>
    <row r="131" spans="1:7">
      <c r="A131" t="s">
        <v>11176</v>
      </c>
      <c r="B131" t="s">
        <v>11021</v>
      </c>
      <c r="C131">
        <v>180</v>
      </c>
      <c r="D131">
        <v>2.4900000000000002</v>
      </c>
      <c r="E131">
        <v>88</v>
      </c>
      <c r="F131" s="240"/>
    </row>
    <row r="132" spans="1:7">
      <c r="A132" t="s">
        <v>11177</v>
      </c>
      <c r="B132" t="s">
        <v>11021</v>
      </c>
      <c r="C132">
        <v>180</v>
      </c>
      <c r="D132">
        <v>2.4900000000000002</v>
      </c>
      <c r="E132">
        <v>88</v>
      </c>
      <c r="F132" s="240"/>
    </row>
    <row r="133" spans="1:7">
      <c r="A133" t="s">
        <v>11178</v>
      </c>
      <c r="B133" t="s">
        <v>11021</v>
      </c>
      <c r="C133">
        <v>180</v>
      </c>
      <c r="D133">
        <v>2.4900000000000002</v>
      </c>
      <c r="E133">
        <v>88</v>
      </c>
      <c r="F133" s="240"/>
    </row>
    <row r="134" spans="1:7">
      <c r="A134" t="s">
        <v>11179</v>
      </c>
      <c r="B134" t="s">
        <v>11021</v>
      </c>
      <c r="C134">
        <v>180</v>
      </c>
      <c r="D134">
        <v>2.4900000000000002</v>
      </c>
      <c r="E134">
        <v>88</v>
      </c>
      <c r="F134" s="239" t="s">
        <v>11167</v>
      </c>
      <c r="G134" t="s">
        <v>11180</v>
      </c>
    </row>
    <row r="135" spans="1:7">
      <c r="A135" t="s">
        <v>11181</v>
      </c>
      <c r="B135" t="s">
        <v>11021</v>
      </c>
      <c r="C135">
        <v>180</v>
      </c>
      <c r="D135">
        <v>2.4900000000000002</v>
      </c>
      <c r="E135">
        <v>88</v>
      </c>
      <c r="F135" s="240"/>
    </row>
    <row r="136" spans="1:7">
      <c r="A136" t="s">
        <v>11182</v>
      </c>
      <c r="B136" t="s">
        <v>11021</v>
      </c>
      <c r="C136">
        <v>180</v>
      </c>
      <c r="D136">
        <v>2.4900000000000002</v>
      </c>
      <c r="E136">
        <v>88</v>
      </c>
      <c r="F136" s="240"/>
    </row>
    <row r="137" spans="1:7">
      <c r="A137" t="s">
        <v>11183</v>
      </c>
      <c r="B137" t="s">
        <v>11021</v>
      </c>
      <c r="C137">
        <v>180</v>
      </c>
      <c r="D137">
        <v>2.4900000000000002</v>
      </c>
      <c r="E137">
        <v>88</v>
      </c>
      <c r="F137" s="239" t="s">
        <v>11184</v>
      </c>
    </row>
    <row r="138" spans="1:7">
      <c r="A138" t="s">
        <v>11185</v>
      </c>
      <c r="B138" t="s">
        <v>11021</v>
      </c>
      <c r="C138">
        <v>180</v>
      </c>
      <c r="D138">
        <v>2.4900000000000002</v>
      </c>
      <c r="E138">
        <v>88</v>
      </c>
      <c r="F138" s="243" t="s">
        <v>11186</v>
      </c>
      <c r="G138" t="s">
        <v>11187</v>
      </c>
    </row>
    <row r="139" spans="1:7">
      <c r="A139" t="s">
        <v>11188</v>
      </c>
      <c r="B139" t="s">
        <v>11021</v>
      </c>
      <c r="C139">
        <v>180</v>
      </c>
      <c r="D139" s="242">
        <v>2.4900000000000002</v>
      </c>
      <c r="E139">
        <v>88</v>
      </c>
      <c r="F139" s="240"/>
      <c r="G139" s="6" t="s">
        <v>11189</v>
      </c>
    </row>
    <row r="140" spans="1:7">
      <c r="A140" t="s">
        <v>11190</v>
      </c>
      <c r="B140" t="s">
        <v>11021</v>
      </c>
      <c r="C140">
        <v>180</v>
      </c>
      <c r="D140">
        <v>2.4900000000000002</v>
      </c>
      <c r="E140">
        <v>88</v>
      </c>
      <c r="F140" s="240"/>
    </row>
    <row r="141" spans="1:7">
      <c r="A141" t="s">
        <v>11191</v>
      </c>
      <c r="B141" t="s">
        <v>11021</v>
      </c>
      <c r="C141">
        <v>180</v>
      </c>
      <c r="D141">
        <v>2.4900000000000002</v>
      </c>
      <c r="E141">
        <v>88</v>
      </c>
      <c r="F141" s="240"/>
      <c r="G141" t="s">
        <v>11192</v>
      </c>
    </row>
    <row r="142" spans="1:7">
      <c r="A142" t="s">
        <v>11193</v>
      </c>
      <c r="B142" t="s">
        <v>11021</v>
      </c>
      <c r="C142">
        <v>180</v>
      </c>
      <c r="D142">
        <v>2.4900000000000002</v>
      </c>
      <c r="E142">
        <v>88</v>
      </c>
      <c r="F142" s="240"/>
    </row>
    <row r="143" spans="1:7">
      <c r="A143" t="s">
        <v>11194</v>
      </c>
      <c r="B143" t="s">
        <v>11021</v>
      </c>
      <c r="C143">
        <v>180</v>
      </c>
      <c r="D143">
        <v>2.4900000000000002</v>
      </c>
      <c r="E143">
        <v>88</v>
      </c>
      <c r="F143" s="240"/>
    </row>
    <row r="144" spans="1:7">
      <c r="A144" t="s">
        <v>11195</v>
      </c>
      <c r="B144" t="s">
        <v>11021</v>
      </c>
      <c r="C144">
        <v>180</v>
      </c>
      <c r="D144">
        <v>2.4900000000000002</v>
      </c>
      <c r="E144">
        <v>88</v>
      </c>
      <c r="F144" s="240"/>
    </row>
    <row r="145" spans="1:6">
      <c r="A145" t="s">
        <v>11196</v>
      </c>
      <c r="B145" t="s">
        <v>11021</v>
      </c>
      <c r="C145">
        <v>180</v>
      </c>
      <c r="D145">
        <v>2.4900000000000002</v>
      </c>
      <c r="E145">
        <v>88</v>
      </c>
      <c r="F145" s="240"/>
    </row>
    <row r="146" spans="1:6">
      <c r="A146" t="s">
        <v>11197</v>
      </c>
      <c r="B146" t="s">
        <v>11021</v>
      </c>
      <c r="C146">
        <v>180</v>
      </c>
      <c r="D146">
        <v>2.4900000000000002</v>
      </c>
      <c r="E146">
        <v>88</v>
      </c>
      <c r="F146" s="240"/>
    </row>
    <row r="147" spans="1:6">
      <c r="A147" t="s">
        <v>11198</v>
      </c>
      <c r="B147" t="s">
        <v>11021</v>
      </c>
      <c r="C147">
        <v>180</v>
      </c>
      <c r="D147">
        <v>2.4900000000000002</v>
      </c>
      <c r="E147">
        <v>88</v>
      </c>
      <c r="F147" s="240"/>
    </row>
    <row r="148" spans="1:6">
      <c r="A148" t="s">
        <v>11199</v>
      </c>
      <c r="B148" t="s">
        <v>11021</v>
      </c>
      <c r="C148">
        <v>180</v>
      </c>
      <c r="D148">
        <v>2.4900000000000002</v>
      </c>
      <c r="E148">
        <v>88</v>
      </c>
      <c r="F148" s="240"/>
    </row>
    <row r="149" spans="1:6">
      <c r="A149" t="s">
        <v>11200</v>
      </c>
      <c r="B149" t="s">
        <v>11021</v>
      </c>
      <c r="C149">
        <v>180</v>
      </c>
      <c r="D149">
        <v>2.4900000000000002</v>
      </c>
      <c r="E149">
        <v>88</v>
      </c>
      <c r="F149" s="240"/>
    </row>
    <row r="150" spans="1:6">
      <c r="A150" t="s">
        <v>11201</v>
      </c>
      <c r="B150" t="s">
        <v>11021</v>
      </c>
      <c r="C150">
        <v>180</v>
      </c>
      <c r="D150">
        <v>2.4900000000000002</v>
      </c>
      <c r="E150">
        <v>88</v>
      </c>
      <c r="F150" s="240"/>
    </row>
    <row r="151" spans="1:6">
      <c r="A151" t="s">
        <v>11202</v>
      </c>
      <c r="B151" t="s">
        <v>11021</v>
      </c>
      <c r="C151">
        <v>180</v>
      </c>
      <c r="D151">
        <v>2.4900000000000002</v>
      </c>
      <c r="E151">
        <v>88</v>
      </c>
      <c r="F151" s="240"/>
    </row>
    <row r="152" spans="1:6">
      <c r="A152" t="s">
        <v>11203</v>
      </c>
      <c r="B152" t="s">
        <v>11021</v>
      </c>
      <c r="C152">
        <v>180</v>
      </c>
      <c r="D152">
        <v>2.4900000000000002</v>
      </c>
      <c r="E152">
        <v>88</v>
      </c>
      <c r="F152" s="240"/>
    </row>
    <row r="153" spans="1:6">
      <c r="A153" t="s">
        <v>11204</v>
      </c>
      <c r="B153" t="s">
        <v>11021</v>
      </c>
      <c r="C153">
        <v>180</v>
      </c>
      <c r="D153">
        <v>2.4900000000000002</v>
      </c>
      <c r="E153">
        <v>88</v>
      </c>
      <c r="F153" s="240"/>
    </row>
    <row r="154" spans="1:6">
      <c r="A154" t="s">
        <v>11205</v>
      </c>
      <c r="B154" t="s">
        <v>11021</v>
      </c>
      <c r="C154">
        <v>180</v>
      </c>
      <c r="D154">
        <v>2.4900000000000002</v>
      </c>
      <c r="E154">
        <v>88</v>
      </c>
      <c r="F154" s="240"/>
    </row>
    <row r="155" spans="1:6">
      <c r="A155" t="s">
        <v>11206</v>
      </c>
      <c r="B155" t="s">
        <v>11021</v>
      </c>
      <c r="C155">
        <v>180</v>
      </c>
      <c r="D155">
        <v>2.4900000000000002</v>
      </c>
      <c r="E155">
        <v>88</v>
      </c>
      <c r="F155" s="240"/>
    </row>
    <row r="156" spans="1:6">
      <c r="A156" t="s">
        <v>11207</v>
      </c>
      <c r="B156" t="s">
        <v>11021</v>
      </c>
      <c r="C156">
        <v>180</v>
      </c>
      <c r="D156">
        <v>2.4900000000000002</v>
      </c>
      <c r="E156">
        <v>88</v>
      </c>
      <c r="F156" s="240"/>
    </row>
    <row r="157" spans="1:6">
      <c r="A157" t="s">
        <v>11208</v>
      </c>
      <c r="B157" t="s">
        <v>11021</v>
      </c>
      <c r="C157">
        <v>180</v>
      </c>
      <c r="D157">
        <v>2.4900000000000002</v>
      </c>
      <c r="E157">
        <v>88</v>
      </c>
      <c r="F157" s="240"/>
    </row>
    <row r="158" spans="1:6">
      <c r="A158" t="s">
        <v>11209</v>
      </c>
      <c r="B158" t="s">
        <v>11021</v>
      </c>
      <c r="C158">
        <v>180</v>
      </c>
      <c r="D158">
        <v>2.4900000000000002</v>
      </c>
      <c r="E158">
        <v>88</v>
      </c>
      <c r="F158" s="240"/>
    </row>
    <row r="159" spans="1:6">
      <c r="A159" t="s">
        <v>11210</v>
      </c>
      <c r="B159" t="s">
        <v>11021</v>
      </c>
      <c r="C159">
        <v>180</v>
      </c>
      <c r="D159">
        <v>2.4900000000000002</v>
      </c>
      <c r="E159">
        <v>88</v>
      </c>
      <c r="F159" s="240"/>
    </row>
    <row r="160" spans="1:6">
      <c r="A160" t="s">
        <v>11211</v>
      </c>
      <c r="B160" t="s">
        <v>11021</v>
      </c>
      <c r="C160">
        <v>180</v>
      </c>
      <c r="D160">
        <v>2.4900000000000002</v>
      </c>
      <c r="E160">
        <v>88</v>
      </c>
      <c r="F160" s="240"/>
    </row>
    <row r="161" spans="1:7">
      <c r="A161" t="s">
        <v>11212</v>
      </c>
      <c r="B161" t="s">
        <v>11021</v>
      </c>
      <c r="C161">
        <v>180</v>
      </c>
      <c r="D161">
        <v>2.4900000000000002</v>
      </c>
      <c r="E161">
        <v>88</v>
      </c>
      <c r="F161" s="240"/>
    </row>
    <row r="162" spans="1:7">
      <c r="A162" t="s">
        <v>11213</v>
      </c>
      <c r="B162" t="s">
        <v>11021</v>
      </c>
      <c r="C162">
        <v>180</v>
      </c>
      <c r="D162">
        <v>2.4900000000000002</v>
      </c>
      <c r="E162">
        <v>88</v>
      </c>
      <c r="F162" s="240"/>
    </row>
    <row r="163" spans="1:7">
      <c r="A163" t="s">
        <v>11214</v>
      </c>
      <c r="B163" t="s">
        <v>11021</v>
      </c>
      <c r="C163">
        <v>180</v>
      </c>
      <c r="D163">
        <v>2.4900000000000002</v>
      </c>
      <c r="E163">
        <v>88</v>
      </c>
      <c r="F163" s="240"/>
    </row>
    <row r="164" spans="1:7">
      <c r="A164" t="s">
        <v>11215</v>
      </c>
      <c r="B164" t="s">
        <v>11021</v>
      </c>
      <c r="C164">
        <v>180</v>
      </c>
      <c r="D164">
        <v>2.4900000000000002</v>
      </c>
      <c r="E164">
        <v>88</v>
      </c>
      <c r="F164" s="240"/>
    </row>
    <row r="165" spans="1:7">
      <c r="A165" t="s">
        <v>11216</v>
      </c>
      <c r="B165" t="s">
        <v>11021</v>
      </c>
      <c r="C165">
        <v>180</v>
      </c>
      <c r="D165">
        <v>2.4900000000000002</v>
      </c>
      <c r="E165">
        <v>88</v>
      </c>
      <c r="F165" s="240"/>
    </row>
    <row r="166" spans="1:7">
      <c r="A166" t="s">
        <v>11217</v>
      </c>
      <c r="B166" t="s">
        <v>11021</v>
      </c>
      <c r="C166">
        <v>180</v>
      </c>
      <c r="D166">
        <v>2.4900000000000002</v>
      </c>
      <c r="E166">
        <v>88</v>
      </c>
      <c r="F166" s="240"/>
    </row>
    <row r="167" spans="1:7">
      <c r="A167" t="s">
        <v>11218</v>
      </c>
      <c r="B167" t="s">
        <v>11021</v>
      </c>
      <c r="C167">
        <v>180</v>
      </c>
      <c r="D167">
        <v>2.4900000000000002</v>
      </c>
      <c r="E167">
        <v>88</v>
      </c>
      <c r="F167" s="240"/>
    </row>
    <row r="168" spans="1:7">
      <c r="A168" t="s">
        <v>11219</v>
      </c>
      <c r="B168" t="s">
        <v>11021</v>
      </c>
      <c r="C168">
        <v>180</v>
      </c>
      <c r="D168">
        <v>2.4900000000000002</v>
      </c>
      <c r="E168">
        <v>88</v>
      </c>
      <c r="F168" s="240"/>
      <c r="G168" t="s">
        <v>11220</v>
      </c>
    </row>
    <row r="169" spans="1:7">
      <c r="A169" t="s">
        <v>11221</v>
      </c>
      <c r="B169" t="s">
        <v>11021</v>
      </c>
      <c r="C169">
        <v>180</v>
      </c>
      <c r="D169">
        <v>2.4900000000000002</v>
      </c>
      <c r="E169">
        <v>88</v>
      </c>
      <c r="F169" s="240"/>
      <c r="G169" t="s">
        <v>11222</v>
      </c>
    </row>
    <row r="170" spans="1:7">
      <c r="A170" t="s">
        <v>11223</v>
      </c>
      <c r="B170" t="s">
        <v>11021</v>
      </c>
      <c r="C170">
        <v>180</v>
      </c>
      <c r="D170">
        <v>2.4900000000000002</v>
      </c>
      <c r="E170">
        <v>88</v>
      </c>
      <c r="F170" s="240"/>
      <c r="G170" t="s">
        <v>11224</v>
      </c>
    </row>
    <row r="171" spans="1:7">
      <c r="A171" t="s">
        <v>11225</v>
      </c>
      <c r="B171" t="s">
        <v>11021</v>
      </c>
      <c r="C171">
        <v>180</v>
      </c>
      <c r="D171">
        <v>2.4900000000000002</v>
      </c>
      <c r="E171">
        <v>88</v>
      </c>
      <c r="F171" s="240"/>
      <c r="G171" t="s">
        <v>11226</v>
      </c>
    </row>
    <row r="172" spans="1:7">
      <c r="A172" t="s">
        <v>11227</v>
      </c>
      <c r="B172" t="s">
        <v>11021</v>
      </c>
      <c r="C172">
        <v>180</v>
      </c>
      <c r="D172">
        <v>2.4900000000000002</v>
      </c>
      <c r="E172">
        <v>88</v>
      </c>
      <c r="F172" s="240"/>
      <c r="G172" t="s">
        <v>11228</v>
      </c>
    </row>
    <row r="173" spans="1:7">
      <c r="A173" t="s">
        <v>11229</v>
      </c>
      <c r="B173" t="s">
        <v>11021</v>
      </c>
      <c r="C173">
        <v>180</v>
      </c>
      <c r="D173">
        <v>2.4900000000000002</v>
      </c>
      <c r="E173">
        <v>88</v>
      </c>
      <c r="F173" s="240"/>
      <c r="G173" t="s">
        <v>11230</v>
      </c>
    </row>
    <row r="174" spans="1:7">
      <c r="A174" t="s">
        <v>11231</v>
      </c>
      <c r="B174" t="s">
        <v>11021</v>
      </c>
      <c r="C174">
        <v>180</v>
      </c>
      <c r="D174">
        <v>2.4900000000000002</v>
      </c>
      <c r="E174">
        <v>88</v>
      </c>
      <c r="F174" s="239" t="s">
        <v>11232</v>
      </c>
    </row>
    <row r="175" spans="1:7">
      <c r="A175" t="s">
        <v>11233</v>
      </c>
      <c r="B175" t="s">
        <v>11021</v>
      </c>
      <c r="C175">
        <v>180</v>
      </c>
      <c r="D175">
        <v>2.4900000000000002</v>
      </c>
      <c r="E175">
        <v>88</v>
      </c>
      <c r="F175" s="240"/>
    </row>
    <row r="176" spans="1:7">
      <c r="A176" t="s">
        <v>11234</v>
      </c>
      <c r="B176" t="s">
        <v>11021</v>
      </c>
      <c r="C176">
        <v>180</v>
      </c>
      <c r="D176">
        <v>2.4900000000000002</v>
      </c>
      <c r="E176">
        <v>88</v>
      </c>
      <c r="F176" s="239" t="s">
        <v>11235</v>
      </c>
    </row>
    <row r="177" spans="1:12">
      <c r="A177" t="s">
        <v>11236</v>
      </c>
      <c r="B177" t="s">
        <v>11021</v>
      </c>
      <c r="C177">
        <v>180</v>
      </c>
      <c r="D177">
        <v>2.4900000000000002</v>
      </c>
      <c r="E177">
        <v>88</v>
      </c>
      <c r="F177" s="240"/>
    </row>
    <row r="178" spans="1:12">
      <c r="A178" t="s">
        <v>11237</v>
      </c>
      <c r="B178" t="s">
        <v>11021</v>
      </c>
      <c r="C178">
        <v>180</v>
      </c>
      <c r="D178">
        <v>2.4900000000000002</v>
      </c>
      <c r="E178">
        <v>88</v>
      </c>
      <c r="F178" s="240"/>
    </row>
    <row r="179" spans="1:12">
      <c r="A179" t="s">
        <v>11238</v>
      </c>
      <c r="B179" t="s">
        <v>11021</v>
      </c>
      <c r="C179">
        <v>180</v>
      </c>
      <c r="D179">
        <v>2.4900000000000002</v>
      </c>
      <c r="E179">
        <v>88</v>
      </c>
      <c r="F179" s="240"/>
    </row>
    <row r="180" spans="1:12">
      <c r="A180" t="s">
        <v>11239</v>
      </c>
      <c r="B180" t="s">
        <v>11021</v>
      </c>
      <c r="C180">
        <v>180</v>
      </c>
      <c r="D180">
        <v>2.4900000000000002</v>
      </c>
      <c r="E180">
        <v>88</v>
      </c>
      <c r="F180" s="239" t="s">
        <v>11240</v>
      </c>
    </row>
    <row r="181" spans="1:12">
      <c r="A181" t="s">
        <v>11241</v>
      </c>
      <c r="B181" t="s">
        <v>11021</v>
      </c>
      <c r="C181">
        <v>180</v>
      </c>
      <c r="D181">
        <v>2.4900000000000002</v>
      </c>
      <c r="E181">
        <v>88</v>
      </c>
      <c r="F181" s="240"/>
    </row>
    <row r="182" spans="1:12">
      <c r="A182" t="s">
        <v>11242</v>
      </c>
      <c r="B182" t="s">
        <v>11021</v>
      </c>
      <c r="C182">
        <v>180</v>
      </c>
      <c r="D182">
        <v>2.4900000000000002</v>
      </c>
      <c r="E182">
        <v>88</v>
      </c>
      <c r="F182" s="240"/>
    </row>
    <row r="183" spans="1:12">
      <c r="A183" t="s">
        <v>11243</v>
      </c>
      <c r="B183" t="s">
        <v>11021</v>
      </c>
      <c r="C183">
        <v>180</v>
      </c>
      <c r="D183">
        <v>2.4900000000000002</v>
      </c>
      <c r="E183">
        <v>88</v>
      </c>
      <c r="F183" s="240"/>
    </row>
    <row r="184" spans="1:12">
      <c r="A184" t="s">
        <v>11244</v>
      </c>
      <c r="B184" t="s">
        <v>11021</v>
      </c>
      <c r="C184">
        <v>180</v>
      </c>
      <c r="D184">
        <v>2.4900000000000002</v>
      </c>
      <c r="E184">
        <v>88</v>
      </c>
      <c r="F184" s="240"/>
    </row>
    <row r="185" spans="1:12">
      <c r="A185" t="s">
        <v>11245</v>
      </c>
      <c r="B185" t="s">
        <v>11021</v>
      </c>
      <c r="C185">
        <v>180</v>
      </c>
      <c r="D185">
        <v>2.4900000000000002</v>
      </c>
      <c r="E185">
        <v>88</v>
      </c>
      <c r="F185" s="240"/>
    </row>
    <row r="186" spans="1:12">
      <c r="A186" t="s">
        <v>11246</v>
      </c>
      <c r="B186" t="s">
        <v>11021</v>
      </c>
      <c r="C186">
        <v>180</v>
      </c>
      <c r="D186">
        <v>2.4900000000000002</v>
      </c>
      <c r="E186">
        <v>50</v>
      </c>
      <c r="F186" s="239" t="s">
        <v>11240</v>
      </c>
      <c r="L186" t="str">
        <f>A187</f>
        <v>07190704_1913</v>
      </c>
    </row>
    <row r="187" spans="1:12">
      <c r="A187" t="s">
        <v>11247</v>
      </c>
      <c r="B187" t="s">
        <v>11021</v>
      </c>
      <c r="C187">
        <v>180</v>
      </c>
      <c r="D187">
        <v>2.4900000000000002</v>
      </c>
      <c r="E187">
        <v>50</v>
      </c>
      <c r="F187" s="240"/>
      <c r="L187" t="str">
        <f t="shared" ref="L187:L193" si="0">L186&amp;", "&amp;A187</f>
        <v>07190704_1913, 07190704_1913</v>
      </c>
    </row>
    <row r="188" spans="1:12">
      <c r="A188" t="s">
        <v>11248</v>
      </c>
      <c r="B188" t="s">
        <v>11021</v>
      </c>
      <c r="C188">
        <v>180</v>
      </c>
      <c r="D188">
        <v>2.4900000000000002</v>
      </c>
      <c r="E188">
        <v>50</v>
      </c>
      <c r="F188" s="240"/>
      <c r="L188" t="str">
        <f t="shared" si="0"/>
        <v>07190704_1913, 07190704_1913, 07190704_2058</v>
      </c>
    </row>
    <row r="189" spans="1:12">
      <c r="A189" t="s">
        <v>11249</v>
      </c>
      <c r="B189" t="s">
        <v>11021</v>
      </c>
      <c r="C189">
        <v>180</v>
      </c>
      <c r="D189">
        <v>2.4900000000000002</v>
      </c>
      <c r="E189">
        <v>50</v>
      </c>
      <c r="F189" s="240"/>
      <c r="L189" t="str">
        <f t="shared" si="0"/>
        <v>07190704_1913, 07190704_1913, 07190704_2058, 07190704_2244</v>
      </c>
    </row>
    <row r="190" spans="1:12">
      <c r="A190" t="s">
        <v>11250</v>
      </c>
      <c r="B190" t="s">
        <v>11021</v>
      </c>
      <c r="C190">
        <v>180</v>
      </c>
      <c r="D190">
        <v>2.4900000000000002</v>
      </c>
      <c r="E190">
        <v>50</v>
      </c>
      <c r="F190" s="240"/>
      <c r="L190" t="str">
        <f t="shared" si="0"/>
        <v>07190704_1913, 07190704_1913, 07190704_2058, 07190704_2244, 07190705_0029</v>
      </c>
    </row>
    <row r="191" spans="1:12">
      <c r="A191" t="s">
        <v>11251</v>
      </c>
      <c r="B191" t="s">
        <v>11021</v>
      </c>
      <c r="C191">
        <v>180</v>
      </c>
      <c r="D191">
        <v>2.4900000000000002</v>
      </c>
      <c r="E191">
        <v>50</v>
      </c>
      <c r="F191" s="240"/>
      <c r="L191" t="str">
        <f t="shared" si="0"/>
        <v>07190704_1913, 07190704_1913, 07190704_2058, 07190704_2244, 07190705_0029, 07190705_0214</v>
      </c>
    </row>
    <row r="192" spans="1:12">
      <c r="A192" t="s">
        <v>11252</v>
      </c>
      <c r="B192" t="s">
        <v>11021</v>
      </c>
      <c r="C192">
        <v>180</v>
      </c>
      <c r="D192">
        <v>2.4900000000000002</v>
      </c>
      <c r="E192">
        <v>50</v>
      </c>
      <c r="F192" s="240"/>
      <c r="L192" t="str">
        <f t="shared" si="0"/>
        <v>07190704_1913, 07190704_1913, 07190704_2058, 07190704_2244, 07190705_0029, 07190705_0214, 07190705_0400</v>
      </c>
    </row>
    <row r="193" spans="1:12">
      <c r="A193" t="s">
        <v>11253</v>
      </c>
      <c r="B193" t="s">
        <v>11021</v>
      </c>
      <c r="C193">
        <v>180</v>
      </c>
      <c r="D193">
        <v>2.4900000000000002</v>
      </c>
      <c r="E193">
        <v>50</v>
      </c>
      <c r="F193" s="241"/>
      <c r="L193" t="str">
        <f t="shared" si="0"/>
        <v>07190704_1913, 07190704_1913, 07190704_2058, 07190704_2244, 07190705_0029, 07190705_0214, 07190705_0400, 07190705_0545</v>
      </c>
    </row>
    <row r="194" spans="1:12">
      <c r="A194" t="s">
        <v>11254</v>
      </c>
      <c r="B194" t="s">
        <v>11021</v>
      </c>
      <c r="C194">
        <v>180</v>
      </c>
      <c r="D194">
        <v>2.4900000000000002</v>
      </c>
      <c r="E194">
        <v>50</v>
      </c>
      <c r="F194" s="239" t="s">
        <v>11240</v>
      </c>
      <c r="G194" t="s">
        <v>11255</v>
      </c>
      <c r="L194" t="str">
        <f>""""&amp;A194&amp;""""</f>
        <v>"07190705_1806"</v>
      </c>
    </row>
    <row r="195" spans="1:12">
      <c r="A195" t="s">
        <v>11256</v>
      </c>
      <c r="B195" t="s">
        <v>11021</v>
      </c>
      <c r="C195">
        <v>180</v>
      </c>
      <c r="D195">
        <v>2.4900000000000002</v>
      </c>
      <c r="E195">
        <v>50</v>
      </c>
      <c r="F195" s="240"/>
      <c r="L195" t="str">
        <f>L194&amp;", """&amp;A195&amp;""""</f>
        <v>"07190705_1806", "07190705_1951"</v>
      </c>
    </row>
    <row r="196" spans="1:12">
      <c r="A196" t="s">
        <v>11257</v>
      </c>
      <c r="B196" t="s">
        <v>11021</v>
      </c>
      <c r="C196">
        <v>180</v>
      </c>
      <c r="D196">
        <v>2.4900000000000002</v>
      </c>
      <c r="E196">
        <v>50</v>
      </c>
      <c r="F196" s="240"/>
      <c r="L196" t="str">
        <f t="shared" ref="L196:L209" si="1">L195&amp;", """&amp;A196&amp;""""</f>
        <v>"07190705_1806", "07190705_1951", "07190705_2137"</v>
      </c>
    </row>
    <row r="197" spans="1:12">
      <c r="A197" t="s">
        <v>11258</v>
      </c>
      <c r="B197" t="s">
        <v>11021</v>
      </c>
      <c r="C197">
        <v>180</v>
      </c>
      <c r="D197">
        <v>2.4900000000000002</v>
      </c>
      <c r="E197">
        <v>50</v>
      </c>
      <c r="F197" s="240"/>
      <c r="L197" t="str">
        <f t="shared" si="1"/>
        <v>"07190705_1806", "07190705_1951", "07190705_2137", "07190705_2322"</v>
      </c>
    </row>
    <row r="198" spans="1:12">
      <c r="A198" t="s">
        <v>11259</v>
      </c>
      <c r="B198" t="s">
        <v>11021</v>
      </c>
      <c r="C198">
        <v>180</v>
      </c>
      <c r="D198">
        <v>2.4900000000000002</v>
      </c>
      <c r="E198">
        <v>50</v>
      </c>
      <c r="F198" s="240"/>
      <c r="L198" t="str">
        <f t="shared" si="1"/>
        <v>"07190705_1806", "07190705_1951", "07190705_2137", "07190705_2322", "07190706_0107"</v>
      </c>
    </row>
    <row r="199" spans="1:12">
      <c r="A199" t="s">
        <v>11260</v>
      </c>
      <c r="B199" t="s">
        <v>11021</v>
      </c>
      <c r="C199">
        <v>180</v>
      </c>
      <c r="D199">
        <v>2.4900000000000002</v>
      </c>
      <c r="E199">
        <v>50</v>
      </c>
      <c r="F199" s="240"/>
      <c r="L199" t="str">
        <f t="shared" si="1"/>
        <v>"07190705_1806", "07190705_1951", "07190705_2137", "07190705_2322", "07190706_0107", "07190706_0253"</v>
      </c>
    </row>
    <row r="200" spans="1:12">
      <c r="A200" t="s">
        <v>11261</v>
      </c>
      <c r="B200" t="s">
        <v>11021</v>
      </c>
      <c r="C200">
        <v>180</v>
      </c>
      <c r="D200">
        <v>2.4900000000000002</v>
      </c>
      <c r="E200">
        <v>50</v>
      </c>
      <c r="F200" s="240"/>
      <c r="L200" t="str">
        <f t="shared" si="1"/>
        <v>"07190705_1806", "07190705_1951", "07190705_2137", "07190705_2322", "07190706_0107", "07190706_0253", "07190706_0438"</v>
      </c>
    </row>
    <row r="201" spans="1:12">
      <c r="A201" t="s">
        <v>11262</v>
      </c>
      <c r="B201" t="s">
        <v>11021</v>
      </c>
      <c r="C201">
        <v>180</v>
      </c>
      <c r="D201">
        <v>2.4900000000000002</v>
      </c>
      <c r="E201">
        <v>50</v>
      </c>
      <c r="F201" s="241"/>
      <c r="L201" t="str">
        <f t="shared" si="1"/>
        <v>"07190705_1806", "07190705_1951", "07190705_2137", "07190705_2322", "07190706_0107", "07190706_0253", "07190706_0438", "07190706_0624"</v>
      </c>
    </row>
    <row r="202" spans="1:12">
      <c r="A202" t="s">
        <v>11263</v>
      </c>
      <c r="B202" t="s">
        <v>11021</v>
      </c>
      <c r="C202">
        <v>180</v>
      </c>
      <c r="D202">
        <v>2.4900000000000002</v>
      </c>
      <c r="E202">
        <v>50</v>
      </c>
      <c r="F202" s="239" t="s">
        <v>11240</v>
      </c>
      <c r="L202" t="str">
        <f t="shared" si="1"/>
        <v>"07190705_1806", "07190705_1951", "07190705_2137", "07190705_2322", "07190706_0107", "07190706_0253", "07190706_0438", "07190706_0624", "07190706_0929"</v>
      </c>
    </row>
    <row r="203" spans="1:12">
      <c r="A203" t="s">
        <v>11264</v>
      </c>
      <c r="B203" t="s">
        <v>11021</v>
      </c>
      <c r="C203">
        <v>180</v>
      </c>
      <c r="D203">
        <v>2.4900000000000002</v>
      </c>
      <c r="E203">
        <v>50</v>
      </c>
      <c r="F203" s="240"/>
      <c r="L203" t="str">
        <f t="shared" si="1"/>
        <v>"07190705_1806", "07190705_1951", "07190705_2137", "07190705_2322", "07190706_0107", "07190706_0253", "07190706_0438", "07190706_0624", "07190706_0929", "07190706_1115"</v>
      </c>
    </row>
    <row r="204" spans="1:12">
      <c r="A204" t="s">
        <v>11265</v>
      </c>
      <c r="B204" t="s">
        <v>11021</v>
      </c>
      <c r="C204">
        <v>180</v>
      </c>
      <c r="D204">
        <v>2.4900000000000002</v>
      </c>
      <c r="E204">
        <v>50</v>
      </c>
      <c r="F204" s="240"/>
      <c r="L204" t="str">
        <f t="shared" si="1"/>
        <v>"07190705_1806", "07190705_1951", "07190705_2137", "07190705_2322", "07190706_0107", "07190706_0253", "07190706_0438", "07190706_0624", "07190706_0929", "07190706_1115", "07190706_1300"</v>
      </c>
    </row>
    <row r="205" spans="1:12">
      <c r="A205" t="s">
        <v>11266</v>
      </c>
      <c r="B205" t="s">
        <v>11021</v>
      </c>
      <c r="C205">
        <v>180</v>
      </c>
      <c r="D205">
        <v>2.4900000000000002</v>
      </c>
      <c r="E205">
        <v>50</v>
      </c>
      <c r="F205" s="240"/>
      <c r="L205" t="str">
        <f t="shared" si="1"/>
        <v>"07190705_1806", "07190705_1951", "07190705_2137", "07190705_2322", "07190706_0107", "07190706_0253", "07190706_0438", "07190706_0624", "07190706_0929", "07190706_1115", "07190706_1300", "07190706_1445"</v>
      </c>
    </row>
    <row r="206" spans="1:12">
      <c r="A206" t="s">
        <v>11267</v>
      </c>
      <c r="B206" t="s">
        <v>11021</v>
      </c>
      <c r="C206">
        <v>180</v>
      </c>
      <c r="D206">
        <v>2.4900000000000002</v>
      </c>
      <c r="E206">
        <v>50</v>
      </c>
      <c r="F206" s="240"/>
      <c r="L206" t="str">
        <f t="shared" si="1"/>
        <v>"07190705_1806", "07190705_1951", "07190705_2137", "07190705_2322", "07190706_0107", "07190706_0253", "07190706_0438", "07190706_0624", "07190706_0929", "07190706_1115", "07190706_1300", "07190706_1445", "07190706_1631"</v>
      </c>
    </row>
    <row r="207" spans="1:12">
      <c r="A207" t="s">
        <v>11268</v>
      </c>
      <c r="B207" t="s">
        <v>11021</v>
      </c>
      <c r="C207">
        <v>180</v>
      </c>
      <c r="D207">
        <v>2.4900000000000002</v>
      </c>
      <c r="E207">
        <v>50</v>
      </c>
      <c r="F207" s="240"/>
      <c r="L207" t="str">
        <f t="shared" si="1"/>
        <v>"07190705_1806", "07190705_1951", "07190705_2137", "07190705_2322", "07190706_0107", "07190706_0253", "07190706_0438", "07190706_0624", "07190706_0929", "07190706_1115", "07190706_1300", "07190706_1445", "07190706_1631", "07190706_1816"</v>
      </c>
    </row>
    <row r="208" spans="1:12">
      <c r="A208" t="s">
        <v>11269</v>
      </c>
      <c r="B208" t="s">
        <v>11021</v>
      </c>
      <c r="C208">
        <v>180</v>
      </c>
      <c r="D208">
        <v>2.4900000000000002</v>
      </c>
      <c r="E208">
        <v>50</v>
      </c>
      <c r="F208" s="240"/>
      <c r="L208" t="str">
        <f t="shared" si="1"/>
        <v>"07190705_1806", "07190705_1951", "07190705_2137", "07190705_2322", "07190706_0107", "07190706_0253", "07190706_0438", "07190706_0624", "07190706_0929", "07190706_1115", "07190706_1300", "07190706_1445", "07190706_1631", "07190706_1816", "07190706_2002"</v>
      </c>
    </row>
    <row r="209" spans="1:12">
      <c r="A209" t="s">
        <v>11270</v>
      </c>
      <c r="B209" t="s">
        <v>11021</v>
      </c>
      <c r="C209">
        <v>180</v>
      </c>
      <c r="D209">
        <v>2.4900000000000002</v>
      </c>
      <c r="E209">
        <v>50</v>
      </c>
      <c r="F209" s="240"/>
      <c r="L209" t="str">
        <f t="shared" si="1"/>
        <v>"07190705_1806", "07190705_1951", "07190705_2137", "07190705_2322", "07190706_0107", "07190706_0253", "07190706_0438", "07190706_0624", "07190706_0929", "07190706_1115", "07190706_1300", "07190706_1445", "07190706_1631", "07190706_1816", "07190706_2002", "07190706_2147"</v>
      </c>
    </row>
    <row r="210" spans="1:12">
      <c r="A210" t="s">
        <v>11271</v>
      </c>
      <c r="B210" t="s">
        <v>11021</v>
      </c>
      <c r="C210">
        <v>180</v>
      </c>
      <c r="D210">
        <v>2.4900000000000002</v>
      </c>
      <c r="F210" s="245" t="s">
        <v>11272</v>
      </c>
      <c r="G210" s="244" t="s">
        <v>11273</v>
      </c>
    </row>
    <row r="211" spans="1:12">
      <c r="A211" t="s">
        <v>11274</v>
      </c>
      <c r="B211" t="s">
        <v>11021</v>
      </c>
      <c r="C211">
        <v>180</v>
      </c>
      <c r="D211">
        <v>2.4900000000000002</v>
      </c>
      <c r="F211" s="246"/>
      <c r="G211" s="240"/>
    </row>
    <row r="212" spans="1:12">
      <c r="A212" t="s">
        <v>11275</v>
      </c>
      <c r="B212" t="s">
        <v>11021</v>
      </c>
      <c r="C212">
        <v>180</v>
      </c>
      <c r="D212">
        <v>2.4900000000000002</v>
      </c>
      <c r="F212" s="246"/>
      <c r="G212" s="240"/>
    </row>
    <row r="213" spans="1:12">
      <c r="A213" t="s">
        <v>11276</v>
      </c>
      <c r="B213" t="s">
        <v>11021</v>
      </c>
      <c r="C213">
        <v>180</v>
      </c>
      <c r="D213">
        <v>2.4900000000000002</v>
      </c>
      <c r="F213" s="246"/>
      <c r="G213" s="240"/>
    </row>
    <row r="214" spans="1:12">
      <c r="A214" t="s">
        <v>11277</v>
      </c>
      <c r="B214" t="s">
        <v>11021</v>
      </c>
      <c r="C214">
        <v>180</v>
      </c>
      <c r="D214">
        <v>2.4900000000000002</v>
      </c>
      <c r="F214" s="246"/>
      <c r="G214" s="240"/>
    </row>
    <row r="215" spans="1:12">
      <c r="A215" t="s">
        <v>11278</v>
      </c>
      <c r="B215" t="s">
        <v>11021</v>
      </c>
      <c r="C215">
        <v>180</v>
      </c>
      <c r="D215">
        <v>2.4900000000000002</v>
      </c>
      <c r="F215" s="246"/>
      <c r="G215" s="240"/>
    </row>
    <row r="216" spans="1:12">
      <c r="A216" t="s">
        <v>11279</v>
      </c>
      <c r="B216" t="s">
        <v>11021</v>
      </c>
      <c r="C216">
        <v>180</v>
      </c>
      <c r="D216">
        <v>2.4900000000000002</v>
      </c>
      <c r="F216" s="246"/>
      <c r="G216" s="240"/>
    </row>
    <row r="217" spans="1:12">
      <c r="A217" t="s">
        <v>11280</v>
      </c>
      <c r="B217" t="s">
        <v>11021</v>
      </c>
      <c r="C217">
        <v>180</v>
      </c>
      <c r="D217">
        <v>2.4900000000000002</v>
      </c>
      <c r="F217" s="246"/>
      <c r="G217" s="240"/>
    </row>
    <row r="218" spans="1:12">
      <c r="A218" t="s">
        <v>11281</v>
      </c>
      <c r="B218" t="s">
        <v>11021</v>
      </c>
      <c r="C218">
        <v>180</v>
      </c>
      <c r="D218">
        <v>2.4900000000000002</v>
      </c>
      <c r="F218" s="245" t="s">
        <v>11282</v>
      </c>
      <c r="G218" s="244" t="s">
        <v>11283</v>
      </c>
      <c r="L218" t="str">
        <f>""""&amp;A218&amp;""""</f>
        <v>"07190708_1552"</v>
      </c>
    </row>
    <row r="219" spans="1:12">
      <c r="A219" t="s">
        <v>11284</v>
      </c>
      <c r="B219" t="s">
        <v>11021</v>
      </c>
      <c r="C219">
        <v>180</v>
      </c>
      <c r="D219">
        <v>2.4900000000000002</v>
      </c>
      <c r="F219" s="246"/>
      <c r="G219" s="243" t="s">
        <v>11285</v>
      </c>
      <c r="L219" t="str">
        <f>L218&amp;", """&amp;A219&amp;""""</f>
        <v>"07190708_1552", "07190708_1737"</v>
      </c>
    </row>
    <row r="220" spans="1:12">
      <c r="A220" t="s">
        <v>11286</v>
      </c>
      <c r="B220" t="s">
        <v>11021</v>
      </c>
      <c r="C220">
        <v>180</v>
      </c>
      <c r="D220">
        <v>2.4900000000000002</v>
      </c>
      <c r="F220" s="246"/>
      <c r="G220" s="240"/>
      <c r="L220" t="str">
        <f t="shared" ref="L220:L241" si="2">L219&amp;", """&amp;A220&amp;""""</f>
        <v>"07190708_1552", "07190708_1737", "07190708_1923"</v>
      </c>
    </row>
    <row r="221" spans="1:12">
      <c r="A221" t="s">
        <v>11287</v>
      </c>
      <c r="B221" t="s">
        <v>11021</v>
      </c>
      <c r="C221">
        <v>180</v>
      </c>
      <c r="D221">
        <v>2.4900000000000002</v>
      </c>
      <c r="F221" s="246"/>
      <c r="G221" s="240"/>
      <c r="L221" t="str">
        <f t="shared" si="2"/>
        <v>"07190708_1552", "07190708_1737", "07190708_1923", "07190708_2108"</v>
      </c>
    </row>
    <row r="222" spans="1:12">
      <c r="A222" t="s">
        <v>11288</v>
      </c>
      <c r="B222" t="s">
        <v>11021</v>
      </c>
      <c r="C222">
        <v>180</v>
      </c>
      <c r="D222">
        <v>2.4900000000000002</v>
      </c>
      <c r="F222" s="246"/>
      <c r="G222" s="240"/>
      <c r="L222" t="str">
        <f t="shared" si="2"/>
        <v>"07190708_1552", "07190708_1737", "07190708_1923", "07190708_2108", "07190708_2254"</v>
      </c>
    </row>
    <row r="223" spans="1:12">
      <c r="A223" t="s">
        <v>11289</v>
      </c>
      <c r="B223" t="s">
        <v>11021</v>
      </c>
      <c r="C223">
        <v>180</v>
      </c>
      <c r="D223">
        <v>2.4900000000000002</v>
      </c>
      <c r="F223" s="246"/>
      <c r="G223" s="240"/>
      <c r="L223" t="str">
        <f t="shared" si="2"/>
        <v>"07190708_1552", "07190708_1737", "07190708_1923", "07190708_2108", "07190708_2254", "07190709_0039"</v>
      </c>
    </row>
    <row r="224" spans="1:12">
      <c r="A224" t="s">
        <v>11290</v>
      </c>
      <c r="B224" t="s">
        <v>11021</v>
      </c>
      <c r="C224">
        <v>180</v>
      </c>
      <c r="D224">
        <v>2.4900000000000002</v>
      </c>
      <c r="F224" s="246"/>
      <c r="G224" s="240"/>
      <c r="L224" t="str">
        <f t="shared" si="2"/>
        <v>"07190708_1552", "07190708_1737", "07190708_1923", "07190708_2108", "07190708_2254", "07190709_0039", "07190709_0224"</v>
      </c>
    </row>
    <row r="225" spans="1:12">
      <c r="A225" t="s">
        <v>11291</v>
      </c>
      <c r="B225" t="s">
        <v>11021</v>
      </c>
      <c r="C225">
        <v>180</v>
      </c>
      <c r="D225">
        <v>2.4900000000000002</v>
      </c>
      <c r="F225" s="246"/>
      <c r="G225" s="241"/>
      <c r="L225" t="str">
        <f t="shared" si="2"/>
        <v>"07190708_1552", "07190708_1737", "07190708_1923", "07190708_2108", "07190708_2254", "07190709_0039", "07190709_0224", "07190709_0410"</v>
      </c>
    </row>
    <row r="226" spans="1:12">
      <c r="A226" t="s">
        <v>11292</v>
      </c>
      <c r="B226" t="s">
        <v>11021</v>
      </c>
      <c r="C226">
        <v>180</v>
      </c>
      <c r="D226">
        <v>2.4900000000000002</v>
      </c>
      <c r="F226" s="239" t="s">
        <v>11282</v>
      </c>
      <c r="G226" s="244" t="s">
        <v>11283</v>
      </c>
      <c r="L226" t="str">
        <f t="shared" si="2"/>
        <v>"07190708_1552", "07190708_1737", "07190708_1923", "07190708_2108", "07190708_2254", "07190709_0039", "07190709_0224", "07190709_0410", "07190709_1418"</v>
      </c>
    </row>
    <row r="227" spans="1:12">
      <c r="A227" t="s">
        <v>11293</v>
      </c>
      <c r="B227" t="s">
        <v>11021</v>
      </c>
      <c r="C227">
        <v>180</v>
      </c>
      <c r="D227">
        <v>2.4900000000000002</v>
      </c>
      <c r="F227" s="240"/>
      <c r="G227" s="243" t="s">
        <v>11285</v>
      </c>
      <c r="L227" t="str">
        <f t="shared" si="2"/>
        <v>"07190708_1552", "07190708_1737", "07190708_1923", "07190708_2108", "07190708_2254", "07190709_0039", "07190709_0224", "07190709_0410", "07190709_1418", "07190709_1603"</v>
      </c>
    </row>
    <row r="228" spans="1:12">
      <c r="A228" t="s">
        <v>11294</v>
      </c>
      <c r="B228" t="s">
        <v>11021</v>
      </c>
      <c r="C228">
        <v>180</v>
      </c>
      <c r="D228">
        <v>2.4900000000000002</v>
      </c>
      <c r="F228" s="240"/>
      <c r="G228" s="240"/>
      <c r="L228" t="str">
        <f t="shared" si="2"/>
        <v>"07190708_1552", "07190708_1737", "07190708_1923", "07190708_2108", "07190708_2254", "07190709_0039", "07190709_0224", "07190709_0410", "07190709_1418", "07190709_1603", "07190709_1749"</v>
      </c>
    </row>
    <row r="229" spans="1:12">
      <c r="A229" t="s">
        <v>11295</v>
      </c>
      <c r="B229" t="s">
        <v>11021</v>
      </c>
      <c r="C229">
        <v>180</v>
      </c>
      <c r="D229">
        <v>2.4900000000000002</v>
      </c>
      <c r="F229" s="240"/>
      <c r="G229" s="240"/>
      <c r="L229" t="str">
        <f t="shared" si="2"/>
        <v>"07190708_1552", "07190708_1737", "07190708_1923", "07190708_2108", "07190708_2254", "07190709_0039", "07190709_0224", "07190709_0410", "07190709_1418", "07190709_1603", "07190709_1749", "07190709_1934"</v>
      </c>
    </row>
    <row r="230" spans="1:12">
      <c r="A230" t="s">
        <v>11296</v>
      </c>
      <c r="B230" t="s">
        <v>11021</v>
      </c>
      <c r="C230">
        <v>180</v>
      </c>
      <c r="D230">
        <v>2.4900000000000002</v>
      </c>
      <c r="F230" s="240"/>
      <c r="G230" s="240"/>
      <c r="L230" t="str">
        <f t="shared" si="2"/>
        <v>"07190708_1552", "07190708_1737", "07190708_1923", "07190708_2108", "07190708_2254", "07190709_0039", "07190709_0224", "07190709_0410", "07190709_1418", "07190709_1603", "07190709_1749", "07190709_1934", "07190709_2119"</v>
      </c>
    </row>
    <row r="231" spans="1:12">
      <c r="A231" t="s">
        <v>11297</v>
      </c>
      <c r="B231" t="s">
        <v>11021</v>
      </c>
      <c r="C231">
        <v>180</v>
      </c>
      <c r="D231">
        <v>2.4900000000000002</v>
      </c>
      <c r="F231" s="240"/>
      <c r="G231" s="240"/>
      <c r="L231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</v>
      </c>
    </row>
    <row r="232" spans="1:12">
      <c r="A232" t="s">
        <v>11298</v>
      </c>
      <c r="B232" t="s">
        <v>11021</v>
      </c>
      <c r="C232">
        <v>180</v>
      </c>
      <c r="D232">
        <v>2.4900000000000002</v>
      </c>
      <c r="F232" s="240"/>
      <c r="G232" s="240"/>
      <c r="L232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</v>
      </c>
    </row>
    <row r="233" spans="1:12">
      <c r="A233" t="s">
        <v>11299</v>
      </c>
      <c r="B233" t="s">
        <v>11021</v>
      </c>
      <c r="C233">
        <v>180</v>
      </c>
      <c r="D233">
        <v>2.4900000000000002</v>
      </c>
      <c r="F233" s="240"/>
      <c r="G233" s="241"/>
      <c r="L233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"07190710_0050", "07190710_0236"</v>
      </c>
    </row>
    <row r="234" spans="1:12">
      <c r="A234" t="s">
        <v>11300</v>
      </c>
      <c r="B234" t="s">
        <v>11021</v>
      </c>
      <c r="C234">
        <v>180</v>
      </c>
      <c r="D234">
        <v>2.4900000000000002</v>
      </c>
      <c r="F234" s="239" t="s">
        <v>11282</v>
      </c>
      <c r="G234" s="244" t="s">
        <v>11283</v>
      </c>
      <c r="L234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"07190710_0050", "07190710_0236", "07190711_1315"</v>
      </c>
    </row>
    <row r="235" spans="1:12">
      <c r="A235" t="s">
        <v>11301</v>
      </c>
      <c r="B235" t="s">
        <v>11021</v>
      </c>
      <c r="C235">
        <v>180</v>
      </c>
      <c r="D235">
        <v>2.4900000000000002</v>
      </c>
      <c r="F235" s="240"/>
      <c r="G235" s="243" t="s">
        <v>11285</v>
      </c>
      <c r="L235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"07190710_0050", "07190710_0236", "07190711_1315", "07190711_1500"</v>
      </c>
    </row>
    <row r="236" spans="1:12">
      <c r="A236" t="s">
        <v>11302</v>
      </c>
      <c r="B236" t="s">
        <v>11021</v>
      </c>
      <c r="C236">
        <v>180</v>
      </c>
      <c r="D236">
        <v>2.4900000000000002</v>
      </c>
      <c r="F236" s="240"/>
      <c r="G236" s="240"/>
      <c r="L236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"07190710_0050", "07190710_0236", "07190711_1315", "07190711_1500", "07190711_1646"</v>
      </c>
    </row>
    <row r="237" spans="1:12">
      <c r="A237" t="s">
        <v>11303</v>
      </c>
      <c r="B237" t="s">
        <v>11021</v>
      </c>
      <c r="C237">
        <v>180</v>
      </c>
      <c r="D237">
        <v>2.4900000000000002</v>
      </c>
      <c r="F237" s="240"/>
      <c r="G237" s="240"/>
      <c r="L237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"07190710_0050", "07190710_0236", "07190711_1315", "07190711_1500", "07190711_1646", "07190711_1831"</v>
      </c>
    </row>
    <row r="238" spans="1:12">
      <c r="A238" t="s">
        <v>11304</v>
      </c>
      <c r="B238" t="s">
        <v>11021</v>
      </c>
      <c r="C238">
        <v>180</v>
      </c>
      <c r="D238">
        <v>2.4900000000000002</v>
      </c>
      <c r="F238" s="240"/>
      <c r="G238" s="240"/>
      <c r="L238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"07190710_0050", "07190710_0236", "07190711_1315", "07190711_1500", "07190711_1646", "07190711_1831", "07190711_2016"</v>
      </c>
    </row>
    <row r="239" spans="1:12">
      <c r="A239" t="s">
        <v>11305</v>
      </c>
      <c r="B239" t="s">
        <v>11021</v>
      </c>
      <c r="C239">
        <v>180</v>
      </c>
      <c r="D239">
        <v>2.4900000000000002</v>
      </c>
      <c r="F239" s="240"/>
      <c r="G239" s="240"/>
      <c r="L239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"07190710_0050", "07190710_0236", "07190711_1315", "07190711_1500", "07190711_1646", "07190711_1831", "07190711_2016", "07190711_2201"</v>
      </c>
    </row>
    <row r="240" spans="1:12">
      <c r="A240" t="s">
        <v>11306</v>
      </c>
      <c r="B240" t="s">
        <v>11021</v>
      </c>
      <c r="C240">
        <v>180</v>
      </c>
      <c r="D240">
        <v>2.4900000000000002</v>
      </c>
      <c r="F240" s="240"/>
      <c r="G240" s="240"/>
      <c r="L240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"07190710_0050", "07190710_0236", "07190711_1315", "07190711_1500", "07190711_1646", "07190711_1831", "07190711_2016", "07190711_2201", "07190711_2347"</v>
      </c>
    </row>
    <row r="241" spans="1:12">
      <c r="A241" t="s">
        <v>11307</v>
      </c>
      <c r="B241" t="s">
        <v>11021</v>
      </c>
      <c r="C241">
        <v>180</v>
      </c>
      <c r="D241">
        <v>2.4900000000000002</v>
      </c>
      <c r="F241" s="241"/>
      <c r="G241" s="241"/>
      <c r="L241" t="str">
        <f t="shared" si="2"/>
        <v>"07190708_1552", "07190708_1737", "07190708_1923", "07190708_2108", "07190708_2254", "07190709_0039", "07190709_0224", "07190709_0410", "07190709_1418", "07190709_1603", "07190709_1749", "07190709_1934", "07190709_2119", "07190709_2305", "07190710_0050", "07190710_0236", "07190711_1315", "07190711_1500", "07190711_1646", "07190711_1831", "07190711_2016", "07190711_2201", "07190711_2347", "07190712_0132"</v>
      </c>
    </row>
    <row r="242" spans="1:12">
      <c r="A242" t="s">
        <v>11308</v>
      </c>
      <c r="B242" t="s">
        <v>11021</v>
      </c>
      <c r="C242">
        <v>180</v>
      </c>
      <c r="D242">
        <v>2.4900000000000002</v>
      </c>
      <c r="F242" s="239" t="s">
        <v>11309</v>
      </c>
    </row>
    <row r="243" spans="1:12">
      <c r="A243" t="s">
        <v>11310</v>
      </c>
      <c r="B243" t="s">
        <v>11021</v>
      </c>
      <c r="C243">
        <v>180</v>
      </c>
      <c r="D243">
        <v>2.4900000000000002</v>
      </c>
      <c r="F243" s="240"/>
    </row>
    <row r="244" spans="1:12">
      <c r="A244" t="s">
        <v>11311</v>
      </c>
      <c r="B244" t="s">
        <v>11021</v>
      </c>
      <c r="C244">
        <v>180</v>
      </c>
      <c r="D244">
        <v>2.4900000000000002</v>
      </c>
      <c r="F244" s="240"/>
    </row>
    <row r="245" spans="1:12">
      <c r="A245" t="s">
        <v>11312</v>
      </c>
      <c r="B245" t="s">
        <v>11021</v>
      </c>
      <c r="C245">
        <v>180</v>
      </c>
      <c r="D245">
        <v>2.4900000000000002</v>
      </c>
      <c r="F245" s="240"/>
    </row>
    <row r="246" spans="1:12">
      <c r="A246" t="s">
        <v>11313</v>
      </c>
      <c r="B246" t="s">
        <v>11021</v>
      </c>
      <c r="C246">
        <v>180</v>
      </c>
      <c r="D246">
        <v>2.4900000000000002</v>
      </c>
      <c r="F246" s="240"/>
    </row>
    <row r="247" spans="1:12">
      <c r="A247" t="s">
        <v>11314</v>
      </c>
      <c r="B247" t="s">
        <v>11021</v>
      </c>
      <c r="C247">
        <v>180</v>
      </c>
      <c r="D247">
        <v>2.4900000000000002</v>
      </c>
      <c r="F247" s="240"/>
    </row>
    <row r="248" spans="1:12">
      <c r="A248" t="s">
        <v>11315</v>
      </c>
      <c r="B248" t="s">
        <v>11021</v>
      </c>
      <c r="C248">
        <v>180</v>
      </c>
      <c r="D248">
        <v>2.4900000000000002</v>
      </c>
      <c r="F248" s="240"/>
    </row>
    <row r="249" spans="1:12">
      <c r="A249" t="s">
        <v>11316</v>
      </c>
      <c r="B249" t="s">
        <v>11021</v>
      </c>
      <c r="C249">
        <v>180</v>
      </c>
      <c r="D249">
        <v>2.4900000000000002</v>
      </c>
      <c r="F249" s="240"/>
    </row>
    <row r="250" spans="1:12">
      <c r="A250" t="s">
        <v>11317</v>
      </c>
      <c r="B250" t="s">
        <v>11021</v>
      </c>
      <c r="C250">
        <v>180</v>
      </c>
      <c r="D250">
        <v>2.4900000000000002</v>
      </c>
      <c r="F250" s="239" t="s">
        <v>11309</v>
      </c>
    </row>
    <row r="251" spans="1:12">
      <c r="A251" t="s">
        <v>11318</v>
      </c>
      <c r="B251" t="s">
        <v>11021</v>
      </c>
      <c r="C251">
        <v>180</v>
      </c>
      <c r="D251">
        <v>2.4900000000000002</v>
      </c>
      <c r="F251" s="240"/>
    </row>
    <row r="252" spans="1:12">
      <c r="A252" t="s">
        <v>11319</v>
      </c>
      <c r="B252" t="s">
        <v>11021</v>
      </c>
      <c r="C252">
        <v>180</v>
      </c>
      <c r="D252">
        <v>2.4900000000000002</v>
      </c>
      <c r="F252" s="240"/>
    </row>
    <row r="253" spans="1:12">
      <c r="A253" t="s">
        <v>11320</v>
      </c>
      <c r="B253" t="s">
        <v>11021</v>
      </c>
      <c r="C253">
        <v>180</v>
      </c>
      <c r="D253">
        <v>2.4900000000000002</v>
      </c>
      <c r="F253" s="240"/>
    </row>
    <row r="254" spans="1:12">
      <c r="A254" t="s">
        <v>11321</v>
      </c>
      <c r="B254" t="s">
        <v>11021</v>
      </c>
      <c r="C254">
        <v>180</v>
      </c>
      <c r="D254">
        <v>2.4900000000000002</v>
      </c>
      <c r="F254" s="240"/>
    </row>
    <row r="255" spans="1:12">
      <c r="A255" t="s">
        <v>11322</v>
      </c>
      <c r="B255" t="s">
        <v>11021</v>
      </c>
      <c r="C255">
        <v>180</v>
      </c>
      <c r="D255">
        <v>2.4900000000000002</v>
      </c>
      <c r="F255" s="240"/>
    </row>
    <row r="256" spans="1:12">
      <c r="A256" t="s">
        <v>11323</v>
      </c>
      <c r="B256" t="s">
        <v>11021</v>
      </c>
      <c r="C256">
        <v>180</v>
      </c>
      <c r="D256">
        <v>2.4900000000000002</v>
      </c>
      <c r="F256" s="240"/>
    </row>
    <row r="257" spans="1:12">
      <c r="A257" t="s">
        <v>11324</v>
      </c>
      <c r="B257" t="s">
        <v>11021</v>
      </c>
      <c r="C257">
        <v>180</v>
      </c>
      <c r="D257">
        <v>2.4900000000000002</v>
      </c>
      <c r="F257" s="241"/>
    </row>
    <row r="258" spans="1:12">
      <c r="A258" t="s">
        <v>11325</v>
      </c>
      <c r="B258" t="s">
        <v>11021</v>
      </c>
      <c r="C258">
        <v>180</v>
      </c>
      <c r="D258">
        <v>2.4900000000000002</v>
      </c>
      <c r="F258" t="s">
        <v>11326</v>
      </c>
    </row>
    <row r="259" spans="1:12">
      <c r="A259" t="s">
        <v>11327</v>
      </c>
      <c r="B259" t="s">
        <v>11021</v>
      </c>
      <c r="C259">
        <v>180</v>
      </c>
      <c r="D259">
        <v>2.4900000000000002</v>
      </c>
      <c r="F259" s="245" t="s">
        <v>11326</v>
      </c>
      <c r="G259" s="239" t="s">
        <v>11328</v>
      </c>
    </row>
    <row r="260" spans="1:12">
      <c r="A260" t="s">
        <v>11329</v>
      </c>
      <c r="B260" t="s">
        <v>11021</v>
      </c>
      <c r="C260">
        <v>180</v>
      </c>
      <c r="D260">
        <v>2.4900000000000002</v>
      </c>
      <c r="F260" s="246"/>
      <c r="G260" s="243" t="s">
        <v>11330</v>
      </c>
    </row>
    <row r="261" spans="1:12">
      <c r="A261" t="s">
        <v>11331</v>
      </c>
      <c r="B261" t="s">
        <v>11021</v>
      </c>
      <c r="C261">
        <v>180</v>
      </c>
      <c r="D261">
        <v>2.4900000000000002</v>
      </c>
      <c r="F261" s="246"/>
      <c r="G261" s="243" t="s">
        <v>11332</v>
      </c>
    </row>
    <row r="262" spans="1:12">
      <c r="A262" t="s">
        <v>11333</v>
      </c>
      <c r="B262" t="s">
        <v>11021</v>
      </c>
      <c r="C262">
        <v>180</v>
      </c>
      <c r="D262">
        <v>2.4900000000000002</v>
      </c>
      <c r="F262" s="246"/>
      <c r="G262" s="240"/>
    </row>
    <row r="263" spans="1:12">
      <c r="A263" t="s">
        <v>11334</v>
      </c>
      <c r="B263" t="s">
        <v>11021</v>
      </c>
      <c r="C263">
        <v>180</v>
      </c>
      <c r="D263">
        <v>2.4900000000000002</v>
      </c>
      <c r="F263" s="246"/>
      <c r="G263" s="240"/>
    </row>
    <row r="264" spans="1:12">
      <c r="A264" t="s">
        <v>11335</v>
      </c>
      <c r="B264" t="s">
        <v>11021</v>
      </c>
      <c r="C264">
        <v>180</v>
      </c>
      <c r="D264">
        <v>2.4900000000000002</v>
      </c>
      <c r="F264" s="246"/>
      <c r="G264" s="240"/>
    </row>
    <row r="265" spans="1:12">
      <c r="A265" t="s">
        <v>11336</v>
      </c>
      <c r="B265" t="s">
        <v>11021</v>
      </c>
      <c r="C265">
        <v>180</v>
      </c>
      <c r="D265">
        <v>2.4900000000000002</v>
      </c>
      <c r="F265" s="246"/>
      <c r="G265" s="240"/>
    </row>
    <row r="266" spans="1:12">
      <c r="A266" t="s">
        <v>11337</v>
      </c>
      <c r="B266" t="s">
        <v>11021</v>
      </c>
      <c r="C266">
        <v>180</v>
      </c>
      <c r="D266">
        <v>2.4900000000000002</v>
      </c>
      <c r="F266" s="246"/>
      <c r="G266" s="241"/>
    </row>
    <row r="267" spans="1:12">
      <c r="A267" t="s">
        <v>11338</v>
      </c>
      <c r="B267" t="s">
        <v>11021</v>
      </c>
      <c r="C267">
        <v>180</v>
      </c>
      <c r="D267">
        <v>2.4900000000000002</v>
      </c>
      <c r="F267" s="239" t="s">
        <v>11339</v>
      </c>
      <c r="I267" t="s">
        <v>11340</v>
      </c>
      <c r="L267" t="str">
        <f>""""&amp;A267&amp;""""</f>
        <v>"07190718_1308"</v>
      </c>
    </row>
    <row r="268" spans="1:12">
      <c r="A268" t="s">
        <v>11341</v>
      </c>
      <c r="B268" t="s">
        <v>11021</v>
      </c>
      <c r="C268">
        <v>180</v>
      </c>
      <c r="D268">
        <v>2.4900000000000002</v>
      </c>
      <c r="F268" s="240"/>
      <c r="G268" s="6" t="s">
        <v>11342</v>
      </c>
      <c r="I268" t="s">
        <v>11340</v>
      </c>
    </row>
    <row r="269" spans="1:12">
      <c r="A269" t="s">
        <v>11343</v>
      </c>
      <c r="B269" t="s">
        <v>11021</v>
      </c>
      <c r="C269">
        <v>180</v>
      </c>
      <c r="D269">
        <v>2.4900000000000002</v>
      </c>
      <c r="F269" s="240"/>
      <c r="G269" t="s">
        <v>11344</v>
      </c>
      <c r="I269" t="s">
        <v>11340</v>
      </c>
      <c r="L269" t="str">
        <f>L267&amp;", """&amp;A269&amp;""""</f>
        <v>"07190718_1308", "07190718_1656"</v>
      </c>
    </row>
    <row r="270" spans="1:12">
      <c r="A270" t="s">
        <v>11345</v>
      </c>
      <c r="B270" t="s">
        <v>11021</v>
      </c>
      <c r="C270">
        <v>180</v>
      </c>
      <c r="D270">
        <v>2.4900000000000002</v>
      </c>
      <c r="F270" s="240"/>
      <c r="G270" s="6" t="s">
        <v>11346</v>
      </c>
      <c r="I270" t="s">
        <v>11340</v>
      </c>
    </row>
    <row r="271" spans="1:12">
      <c r="A271" t="s">
        <v>11347</v>
      </c>
      <c r="B271" t="s">
        <v>11021</v>
      </c>
      <c r="C271">
        <v>180</v>
      </c>
      <c r="D271">
        <v>2.4900000000000002</v>
      </c>
      <c r="F271" s="240"/>
      <c r="G271" s="6" t="s">
        <v>11346</v>
      </c>
      <c r="I271" t="s">
        <v>11340</v>
      </c>
    </row>
    <row r="272" spans="1:12">
      <c r="A272" t="s">
        <v>11348</v>
      </c>
      <c r="B272" t="s">
        <v>11021</v>
      </c>
      <c r="C272">
        <v>180</v>
      </c>
      <c r="D272">
        <v>2.4900000000000002</v>
      </c>
      <c r="F272" s="240"/>
      <c r="G272" s="6" t="s">
        <v>11346</v>
      </c>
      <c r="I272" t="s">
        <v>11340</v>
      </c>
    </row>
    <row r="273" spans="1:12">
      <c r="A273" t="s">
        <v>11349</v>
      </c>
      <c r="B273" t="s">
        <v>11021</v>
      </c>
      <c r="C273">
        <v>180</v>
      </c>
      <c r="D273">
        <v>2.4900000000000002</v>
      </c>
      <c r="F273" s="240"/>
      <c r="I273" t="s">
        <v>11340</v>
      </c>
      <c r="L273" t="str">
        <f>L269&amp;", """&amp;A273&amp;""""</f>
        <v>"07190718_1308", "07190718_1656", "07190718_2359"</v>
      </c>
    </row>
    <row r="274" spans="1:12">
      <c r="A274" t="s">
        <v>11350</v>
      </c>
      <c r="B274" t="s">
        <v>11021</v>
      </c>
      <c r="C274">
        <v>180</v>
      </c>
      <c r="D274">
        <v>2.4900000000000002</v>
      </c>
      <c r="F274" s="240"/>
      <c r="I274" t="s">
        <v>11340</v>
      </c>
      <c r="L274" t="str">
        <f t="shared" ref="L274:L279" si="3">L273&amp;", """&amp;A274&amp;""""</f>
        <v>"07190718_1308", "07190718_1656", "07190718_2359", "07190719_0145"</v>
      </c>
    </row>
    <row r="275" spans="1:12">
      <c r="A275" t="s">
        <v>11351</v>
      </c>
      <c r="B275" t="s">
        <v>11021</v>
      </c>
      <c r="C275">
        <v>180</v>
      </c>
      <c r="D275">
        <v>2.4900000000000002</v>
      </c>
      <c r="F275" s="240"/>
      <c r="I275" t="s">
        <v>11340</v>
      </c>
      <c r="L275" t="str">
        <f t="shared" si="3"/>
        <v>"07190718_1308", "07190718_1656", "07190718_2359", "07190719_0145", "07190719_0330"</v>
      </c>
    </row>
    <row r="276" spans="1:12">
      <c r="A276" t="s">
        <v>11352</v>
      </c>
      <c r="B276" t="s">
        <v>11021</v>
      </c>
      <c r="C276">
        <v>180</v>
      </c>
      <c r="D276">
        <v>2.4900000000000002</v>
      </c>
      <c r="F276" s="240"/>
      <c r="I276" t="s">
        <v>11340</v>
      </c>
      <c r="L276" t="str">
        <f t="shared" si="3"/>
        <v>"07190718_1308", "07190718_1656", "07190718_2359", "07190719_0145", "07190719_0330", "07190719_0515"</v>
      </c>
    </row>
    <row r="277" spans="1:12">
      <c r="A277" t="s">
        <v>11353</v>
      </c>
      <c r="B277" t="s">
        <v>11021</v>
      </c>
      <c r="C277">
        <v>180</v>
      </c>
      <c r="D277">
        <v>2.4900000000000002</v>
      </c>
      <c r="F277" s="240"/>
      <c r="I277" t="s">
        <v>11340</v>
      </c>
      <c r="L277" t="str">
        <f t="shared" si="3"/>
        <v>"07190718_1308", "07190718_1656", "07190718_2359", "07190719_0145", "07190719_0330", "07190719_0515", "07190719_0701"</v>
      </c>
    </row>
    <row r="278" spans="1:12">
      <c r="A278" t="s">
        <v>11354</v>
      </c>
      <c r="B278" t="s">
        <v>11021</v>
      </c>
      <c r="C278">
        <v>180</v>
      </c>
      <c r="D278">
        <v>2.4900000000000002</v>
      </c>
      <c r="F278" s="240"/>
      <c r="I278" t="s">
        <v>11340</v>
      </c>
      <c r="L278" t="str">
        <f t="shared" si="3"/>
        <v>"07190718_1308", "07190718_1656", "07190718_2359", "07190719_0145", "07190719_0330", "07190719_0515", "07190719_0701", "07190719_0846"</v>
      </c>
    </row>
    <row r="279" spans="1:12">
      <c r="A279" t="s">
        <v>11355</v>
      </c>
      <c r="B279" t="s">
        <v>11021</v>
      </c>
      <c r="C279">
        <v>180</v>
      </c>
      <c r="D279">
        <v>2.4900000000000002</v>
      </c>
      <c r="F279" s="240"/>
      <c r="I279" t="s">
        <v>11340</v>
      </c>
      <c r="L279" t="str">
        <f t="shared" si="3"/>
        <v>"07190718_1308", "07190718_1656", "07190718_2359", "07190719_0145", "07190719_0330", "07190719_0515", "07190719_0701", "07190719_0846", "07190719_1032"</v>
      </c>
    </row>
    <row r="280" spans="1:12">
      <c r="A280" t="s">
        <v>11356</v>
      </c>
      <c r="B280" t="s">
        <v>11021</v>
      </c>
      <c r="C280">
        <v>180</v>
      </c>
      <c r="D280">
        <v>2.4900000000000002</v>
      </c>
      <c r="F280" s="241"/>
      <c r="I280" t="s">
        <v>11340</v>
      </c>
    </row>
    <row r="281" spans="1:12">
      <c r="A281" t="s">
        <v>11357</v>
      </c>
      <c r="B281" t="s">
        <v>11021</v>
      </c>
      <c r="C281">
        <v>180</v>
      </c>
      <c r="D281">
        <v>2.4900000000000002</v>
      </c>
      <c r="F281" s="240" t="s">
        <v>11339</v>
      </c>
      <c r="G281" t="s">
        <v>11358</v>
      </c>
      <c r="I281" t="s">
        <v>11340</v>
      </c>
    </row>
    <row r="282" spans="1:12">
      <c r="A282" t="s">
        <v>11359</v>
      </c>
      <c r="B282" t="s">
        <v>11021</v>
      </c>
      <c r="C282">
        <v>180</v>
      </c>
      <c r="D282">
        <v>2.4900000000000002</v>
      </c>
      <c r="F282" s="240"/>
      <c r="G282" t="s">
        <v>11358</v>
      </c>
      <c r="I282" t="s">
        <v>11340</v>
      </c>
    </row>
    <row r="283" spans="1:12">
      <c r="A283" t="s">
        <v>11360</v>
      </c>
      <c r="B283" t="s">
        <v>11021</v>
      </c>
      <c r="C283">
        <v>180</v>
      </c>
      <c r="D283">
        <v>2.4900000000000002</v>
      </c>
      <c r="F283" s="240"/>
      <c r="G283" t="s">
        <v>11358</v>
      </c>
      <c r="I283" t="s">
        <v>11340</v>
      </c>
    </row>
    <row r="284" spans="1:12">
      <c r="A284" t="s">
        <v>11361</v>
      </c>
      <c r="B284" t="s">
        <v>11021</v>
      </c>
      <c r="C284">
        <v>180</v>
      </c>
      <c r="D284">
        <v>2.4900000000000002</v>
      </c>
      <c r="F284" s="240"/>
      <c r="I284" t="s">
        <v>11340</v>
      </c>
    </row>
    <row r="285" spans="1:12">
      <c r="A285" t="s">
        <v>11362</v>
      </c>
      <c r="B285" t="s">
        <v>11021</v>
      </c>
      <c r="C285">
        <v>180</v>
      </c>
      <c r="D285">
        <v>2.4900000000000002</v>
      </c>
      <c r="F285" s="240"/>
      <c r="I285" t="s">
        <v>11340</v>
      </c>
    </row>
    <row r="286" spans="1:12">
      <c r="A286" t="s">
        <v>11363</v>
      </c>
      <c r="B286" t="s">
        <v>11021</v>
      </c>
      <c r="C286">
        <v>180</v>
      </c>
      <c r="D286">
        <v>2.4900000000000002</v>
      </c>
      <c r="F286" s="240"/>
      <c r="I286" t="s">
        <v>11340</v>
      </c>
    </row>
    <row r="287" spans="1:12">
      <c r="A287" t="s">
        <v>11364</v>
      </c>
      <c r="B287" t="s">
        <v>11021</v>
      </c>
      <c r="C287">
        <v>180</v>
      </c>
      <c r="D287">
        <v>2.4900000000000002</v>
      </c>
      <c r="F287" s="240"/>
      <c r="I287" t="s">
        <v>11340</v>
      </c>
    </row>
    <row r="288" spans="1:12">
      <c r="A288" t="s">
        <v>11365</v>
      </c>
      <c r="B288" t="s">
        <v>11021</v>
      </c>
      <c r="C288">
        <v>180</v>
      </c>
      <c r="D288">
        <v>2.4900000000000002</v>
      </c>
      <c r="F288" s="241"/>
      <c r="I288" t="s">
        <v>11340</v>
      </c>
    </row>
    <row r="289" spans="1:9">
      <c r="A289" t="s">
        <v>11366</v>
      </c>
      <c r="B289" t="s">
        <v>11021</v>
      </c>
      <c r="C289">
        <v>180</v>
      </c>
      <c r="D289">
        <v>2.4900000000000002</v>
      </c>
      <c r="F289" s="239" t="s">
        <v>11339</v>
      </c>
      <c r="I289" t="s">
        <v>11340</v>
      </c>
    </row>
    <row r="290" spans="1:9">
      <c r="A290" t="s">
        <v>11367</v>
      </c>
      <c r="B290" t="s">
        <v>11021</v>
      </c>
      <c r="C290">
        <v>180</v>
      </c>
      <c r="D290">
        <v>2.4900000000000002</v>
      </c>
      <c r="F290" s="240"/>
      <c r="I290" t="s">
        <v>11340</v>
      </c>
    </row>
    <row r="291" spans="1:9">
      <c r="A291" t="s">
        <v>11368</v>
      </c>
      <c r="B291" t="s">
        <v>11021</v>
      </c>
      <c r="C291">
        <v>180</v>
      </c>
      <c r="D291">
        <v>2.4900000000000002</v>
      </c>
      <c r="F291" s="240"/>
      <c r="I291" t="s">
        <v>11340</v>
      </c>
    </row>
    <row r="292" spans="1:9">
      <c r="A292" t="s">
        <v>11369</v>
      </c>
      <c r="B292" t="s">
        <v>11021</v>
      </c>
      <c r="C292">
        <v>180</v>
      </c>
      <c r="D292">
        <v>2.4900000000000002</v>
      </c>
      <c r="F292" s="240"/>
      <c r="I292" t="s">
        <v>11340</v>
      </c>
    </row>
    <row r="293" spans="1:9">
      <c r="A293" t="s">
        <v>11370</v>
      </c>
      <c r="B293" t="s">
        <v>11021</v>
      </c>
      <c r="C293">
        <v>180</v>
      </c>
      <c r="D293">
        <v>2.4900000000000002</v>
      </c>
      <c r="F293" s="240"/>
      <c r="I293" t="s">
        <v>11340</v>
      </c>
    </row>
    <row r="294" spans="1:9">
      <c r="A294" t="s">
        <v>11371</v>
      </c>
      <c r="B294" t="s">
        <v>11021</v>
      </c>
      <c r="C294">
        <v>180</v>
      </c>
      <c r="D294">
        <v>2.4900000000000002</v>
      </c>
      <c r="F294" s="240"/>
      <c r="I294" t="s">
        <v>11340</v>
      </c>
    </row>
    <row r="295" spans="1:9">
      <c r="A295" t="s">
        <v>11372</v>
      </c>
      <c r="B295" t="s">
        <v>11021</v>
      </c>
      <c r="C295">
        <v>180</v>
      </c>
      <c r="D295">
        <v>2.4900000000000002</v>
      </c>
      <c r="F295" s="240"/>
      <c r="I295" t="s">
        <v>11340</v>
      </c>
    </row>
    <row r="296" spans="1:9">
      <c r="A296" t="s">
        <v>11373</v>
      </c>
      <c r="B296" t="s">
        <v>11021</v>
      </c>
      <c r="C296">
        <v>180</v>
      </c>
      <c r="D296">
        <v>2.4900000000000002</v>
      </c>
      <c r="F296" s="241"/>
      <c r="I296" t="s">
        <v>11340</v>
      </c>
    </row>
    <row r="297" spans="1:9">
      <c r="A297" t="s">
        <v>11374</v>
      </c>
      <c r="B297" t="s">
        <v>11021</v>
      </c>
      <c r="C297">
        <v>180</v>
      </c>
      <c r="D297">
        <v>2.4900000000000002</v>
      </c>
      <c r="F297" s="239" t="s">
        <v>11339</v>
      </c>
      <c r="I297" t="s">
        <v>11340</v>
      </c>
    </row>
    <row r="298" spans="1:9">
      <c r="A298" t="s">
        <v>11375</v>
      </c>
      <c r="B298" t="s">
        <v>11021</v>
      </c>
      <c r="C298">
        <v>180</v>
      </c>
      <c r="D298">
        <v>2.4900000000000002</v>
      </c>
      <c r="F298" s="240"/>
      <c r="I298" t="s">
        <v>11340</v>
      </c>
    </row>
    <row r="299" spans="1:9">
      <c r="A299" t="s">
        <v>11376</v>
      </c>
      <c r="B299" t="s">
        <v>11021</v>
      </c>
      <c r="C299">
        <v>180</v>
      </c>
      <c r="D299">
        <v>2.4900000000000002</v>
      </c>
      <c r="F299" s="240"/>
      <c r="I299" t="s">
        <v>11340</v>
      </c>
    </row>
    <row r="300" spans="1:9">
      <c r="A300" t="s">
        <v>11377</v>
      </c>
      <c r="B300" t="s">
        <v>11021</v>
      </c>
      <c r="C300">
        <v>180</v>
      </c>
      <c r="D300">
        <v>2.4900000000000002</v>
      </c>
      <c r="F300" s="240"/>
      <c r="I300" t="s">
        <v>11340</v>
      </c>
    </row>
    <row r="301" spans="1:9">
      <c r="A301" t="s">
        <v>11378</v>
      </c>
      <c r="B301" t="s">
        <v>11021</v>
      </c>
      <c r="C301">
        <v>180</v>
      </c>
      <c r="D301">
        <v>2.4900000000000002</v>
      </c>
      <c r="F301" s="240"/>
      <c r="I301" t="s">
        <v>11340</v>
      </c>
    </row>
    <row r="302" spans="1:9">
      <c r="A302" t="s">
        <v>11379</v>
      </c>
      <c r="B302" t="s">
        <v>11021</v>
      </c>
      <c r="C302">
        <v>180</v>
      </c>
      <c r="D302">
        <v>2.4900000000000002</v>
      </c>
      <c r="F302" s="240"/>
      <c r="I302" t="s">
        <v>11340</v>
      </c>
    </row>
    <row r="303" spans="1:9">
      <c r="A303" t="s">
        <v>11380</v>
      </c>
      <c r="B303" t="s">
        <v>11021</v>
      </c>
      <c r="C303">
        <v>180</v>
      </c>
      <c r="D303">
        <v>2.4900000000000002</v>
      </c>
      <c r="F303" s="240"/>
      <c r="I303" t="s">
        <v>11340</v>
      </c>
    </row>
    <row r="304" spans="1:9">
      <c r="A304" t="s">
        <v>11381</v>
      </c>
      <c r="B304" t="s">
        <v>11021</v>
      </c>
      <c r="C304">
        <v>180</v>
      </c>
      <c r="D304">
        <v>2.4900000000000002</v>
      </c>
      <c r="F304" s="241"/>
      <c r="I304" t="s">
        <v>11340</v>
      </c>
    </row>
    <row r="305" spans="1:6">
      <c r="A305" t="s">
        <v>11382</v>
      </c>
      <c r="B305" t="s">
        <v>2248</v>
      </c>
      <c r="F305" s="6" t="s">
        <v>11383</v>
      </c>
    </row>
    <row r="306" spans="1:6">
      <c r="A306" t="s">
        <v>11384</v>
      </c>
      <c r="B306" t="s">
        <v>2248</v>
      </c>
      <c r="F306" s="6" t="s">
        <v>11385</v>
      </c>
    </row>
    <row r="307" spans="1:6">
      <c r="A307" t="s">
        <v>11386</v>
      </c>
      <c r="B307" t="s">
        <v>2248</v>
      </c>
      <c r="F307" s="6" t="s">
        <v>11385</v>
      </c>
    </row>
    <row r="308" spans="1:6">
      <c r="A308" t="s">
        <v>11387</v>
      </c>
      <c r="B308" t="s">
        <v>2248</v>
      </c>
      <c r="F308" s="6" t="s">
        <v>11385</v>
      </c>
    </row>
    <row r="309" spans="1:6">
      <c r="A309" t="s">
        <v>11388</v>
      </c>
      <c r="B309" t="s">
        <v>2248</v>
      </c>
      <c r="F309" s="6" t="s">
        <v>11385</v>
      </c>
    </row>
    <row r="310" spans="1:6">
      <c r="A310" t="s">
        <v>11389</v>
      </c>
      <c r="B310" t="s">
        <v>2248</v>
      </c>
      <c r="F310" s="6" t="s">
        <v>11385</v>
      </c>
    </row>
    <row r="311" spans="1:6">
      <c r="A311" t="s">
        <v>11390</v>
      </c>
      <c r="B311" t="s">
        <v>2248</v>
      </c>
      <c r="F311" s="6" t="s">
        <v>11385</v>
      </c>
    </row>
    <row r="312" spans="1:6">
      <c r="A312" t="s">
        <v>11391</v>
      </c>
      <c r="B312" t="s">
        <v>2248</v>
      </c>
      <c r="F312" s="6" t="s">
        <v>11385</v>
      </c>
    </row>
    <row r="313" spans="1:6">
      <c r="A313" t="s">
        <v>11392</v>
      </c>
      <c r="B313" t="s">
        <v>2248</v>
      </c>
      <c r="F313" s="6" t="s">
        <v>11385</v>
      </c>
    </row>
    <row r="314" spans="1:6">
      <c r="A314" t="s">
        <v>11393</v>
      </c>
      <c r="B314" t="s">
        <v>2248</v>
      </c>
      <c r="F314" s="6" t="s">
        <v>11385</v>
      </c>
    </row>
    <row r="315" spans="1:6">
      <c r="A315" t="s">
        <v>11394</v>
      </c>
      <c r="B315" t="s">
        <v>2248</v>
      </c>
      <c r="F315" s="6" t="s">
        <v>11385</v>
      </c>
    </row>
    <row r="316" spans="1:6">
      <c r="A316" t="s">
        <v>11395</v>
      </c>
      <c r="B316" t="s">
        <v>2248</v>
      </c>
      <c r="F316" s="6" t="s">
        <v>11385</v>
      </c>
    </row>
    <row r="317" spans="1:6">
      <c r="A317" t="s">
        <v>11396</v>
      </c>
      <c r="B317" t="s">
        <v>2248</v>
      </c>
      <c r="F317" s="6" t="s">
        <v>11385</v>
      </c>
    </row>
    <row r="318" spans="1:6">
      <c r="A318" t="s">
        <v>11397</v>
      </c>
      <c r="B318" t="s">
        <v>2248</v>
      </c>
      <c r="F318" s="6" t="s">
        <v>11385</v>
      </c>
    </row>
    <row r="319" spans="1:6">
      <c r="A319" t="s">
        <v>11398</v>
      </c>
      <c r="B319" t="s">
        <v>2248</v>
      </c>
      <c r="F319" s="6" t="s">
        <v>11385</v>
      </c>
    </row>
    <row r="320" spans="1:6">
      <c r="A320" t="s">
        <v>11399</v>
      </c>
      <c r="B320" t="s">
        <v>2248</v>
      </c>
      <c r="F320" s="6" t="s">
        <v>11385</v>
      </c>
    </row>
    <row r="321" spans="1:12">
      <c r="A321" t="s">
        <v>11400</v>
      </c>
      <c r="B321" t="s">
        <v>2248</v>
      </c>
      <c r="F321" s="6" t="s">
        <v>11385</v>
      </c>
    </row>
    <row r="322" spans="1:12">
      <c r="A322" t="s">
        <v>11401</v>
      </c>
      <c r="B322" t="s">
        <v>2248</v>
      </c>
      <c r="F322" s="6" t="s">
        <v>11385</v>
      </c>
    </row>
    <row r="323" spans="1:12">
      <c r="A323" t="s">
        <v>11402</v>
      </c>
      <c r="B323" t="s">
        <v>2248</v>
      </c>
      <c r="F323" s="6" t="s">
        <v>11385</v>
      </c>
    </row>
    <row r="324" spans="1:12">
      <c r="A324" t="s">
        <v>11403</v>
      </c>
      <c r="B324" t="s">
        <v>2248</v>
      </c>
      <c r="F324" s="6" t="s">
        <v>11385</v>
      </c>
    </row>
    <row r="325" spans="1:12">
      <c r="A325" t="s">
        <v>11404</v>
      </c>
      <c r="B325" t="s">
        <v>2248</v>
      </c>
      <c r="C325">
        <v>180</v>
      </c>
      <c r="D325">
        <v>3.56</v>
      </c>
      <c r="E325">
        <v>35</v>
      </c>
      <c r="F325" t="s">
        <v>11339</v>
      </c>
      <c r="G325" s="6" t="s">
        <v>11405</v>
      </c>
      <c r="I325" t="s">
        <v>11340</v>
      </c>
    </row>
    <row r="326" spans="1:12">
      <c r="A326" t="s">
        <v>11406</v>
      </c>
      <c r="B326" t="s">
        <v>2248</v>
      </c>
      <c r="G326" s="6" t="s">
        <v>1853</v>
      </c>
      <c r="I326" t="s">
        <v>11340</v>
      </c>
    </row>
    <row r="327" spans="1:12">
      <c r="A327" t="s">
        <v>11407</v>
      </c>
      <c r="B327" t="s">
        <v>2248</v>
      </c>
      <c r="C327">
        <v>180</v>
      </c>
      <c r="D327">
        <v>4.37</v>
      </c>
      <c r="E327">
        <v>33</v>
      </c>
      <c r="F327" t="s">
        <v>11339</v>
      </c>
      <c r="G327" t="s">
        <v>11408</v>
      </c>
      <c r="I327" t="s">
        <v>11340</v>
      </c>
    </row>
    <row r="328" spans="1:12">
      <c r="A328" t="s">
        <v>11409</v>
      </c>
      <c r="B328" t="s">
        <v>2248</v>
      </c>
      <c r="C328">
        <v>180</v>
      </c>
      <c r="D328">
        <v>4.3099999999999996</v>
      </c>
      <c r="E328">
        <v>34</v>
      </c>
      <c r="F328" t="s">
        <v>11339</v>
      </c>
      <c r="G328" t="s">
        <v>11410</v>
      </c>
      <c r="I328" t="s">
        <v>11340</v>
      </c>
      <c r="L328" t="str">
        <f>""""&amp;A328&amp;""""</f>
        <v>"07190723_1330"</v>
      </c>
    </row>
    <row r="329" spans="1:12">
      <c r="A329" t="s">
        <v>11411</v>
      </c>
      <c r="B329" t="s">
        <v>2248</v>
      </c>
      <c r="C329">
        <v>180</v>
      </c>
      <c r="D329">
        <v>4.3099999999999996</v>
      </c>
      <c r="E329">
        <v>34</v>
      </c>
      <c r="F329" s="239" t="s">
        <v>11339</v>
      </c>
      <c r="G329" t="s">
        <v>11412</v>
      </c>
      <c r="I329" t="s">
        <v>11340</v>
      </c>
      <c r="L329" t="str">
        <f>L328&amp;", """&amp;A329&amp;""""</f>
        <v>"07190723_1330", "07190723_1525"</v>
      </c>
    </row>
    <row r="330" spans="1:12">
      <c r="A330" t="s">
        <v>11413</v>
      </c>
      <c r="B330" t="s">
        <v>2248</v>
      </c>
      <c r="C330">
        <v>180</v>
      </c>
      <c r="D330">
        <v>4.3099999999999996</v>
      </c>
      <c r="E330">
        <v>34</v>
      </c>
      <c r="F330" s="240"/>
      <c r="I330" t="s">
        <v>11340</v>
      </c>
      <c r="L330" t="str">
        <f t="shared" ref="L330:L352" si="4">L329&amp;", """&amp;A330&amp;""""</f>
        <v>"07190723_1330", "07190723_1525", "07190723_1654"</v>
      </c>
    </row>
    <row r="331" spans="1:12">
      <c r="A331" t="s">
        <v>11414</v>
      </c>
      <c r="B331" t="s">
        <v>2248</v>
      </c>
      <c r="C331">
        <v>180</v>
      </c>
      <c r="D331">
        <v>4.3099999999999996</v>
      </c>
      <c r="E331">
        <v>34</v>
      </c>
      <c r="F331" s="240"/>
      <c r="I331" t="s">
        <v>11340</v>
      </c>
      <c r="L331" t="str">
        <f t="shared" si="4"/>
        <v>"07190723_1330", "07190723_1525", "07190723_1654", "07190723_1823"</v>
      </c>
    </row>
    <row r="332" spans="1:12">
      <c r="A332" t="s">
        <v>11415</v>
      </c>
      <c r="B332" t="s">
        <v>2248</v>
      </c>
      <c r="C332">
        <v>180</v>
      </c>
      <c r="D332">
        <v>4.3099999999999996</v>
      </c>
      <c r="E332">
        <v>34</v>
      </c>
      <c r="F332" s="240"/>
      <c r="I332" t="s">
        <v>11340</v>
      </c>
      <c r="L332" t="str">
        <f t="shared" si="4"/>
        <v>"07190723_1330", "07190723_1525", "07190723_1654", "07190723_1823", "07190723_1952"</v>
      </c>
    </row>
    <row r="333" spans="1:12">
      <c r="A333" t="s">
        <v>11416</v>
      </c>
      <c r="B333" t="s">
        <v>2248</v>
      </c>
      <c r="C333">
        <v>180</v>
      </c>
      <c r="D333">
        <v>4.3099999999999996</v>
      </c>
      <c r="E333">
        <v>34</v>
      </c>
      <c r="F333" s="240"/>
      <c r="G333" s="6" t="s">
        <v>11417</v>
      </c>
    </row>
    <row r="334" spans="1:12">
      <c r="A334" t="s">
        <v>11418</v>
      </c>
      <c r="B334" t="s">
        <v>2248</v>
      </c>
      <c r="C334">
        <v>180</v>
      </c>
      <c r="D334">
        <v>4.3099999999999996</v>
      </c>
      <c r="E334">
        <v>34</v>
      </c>
      <c r="F334" s="240"/>
      <c r="I334" t="s">
        <v>11340</v>
      </c>
      <c r="L334" t="str">
        <f>L332&amp;", """&amp;A334&amp;""""</f>
        <v>"07190723_1330", "07190723_1525", "07190723_1654", "07190723_1823", "07190723_1952", "07190723_2251"</v>
      </c>
    </row>
    <row r="335" spans="1:12">
      <c r="A335" t="s">
        <v>11419</v>
      </c>
      <c r="B335" t="s">
        <v>2248</v>
      </c>
      <c r="C335">
        <v>180</v>
      </c>
      <c r="D335">
        <v>4.3099999999999996</v>
      </c>
      <c r="E335">
        <v>34</v>
      </c>
      <c r="F335" s="240"/>
      <c r="I335" t="s">
        <v>11340</v>
      </c>
      <c r="L335" t="str">
        <f t="shared" si="4"/>
        <v>"07190723_1330", "07190723_1525", "07190723_1654", "07190723_1823", "07190723_1952", "07190723_2251", "07190724_0020"</v>
      </c>
    </row>
    <row r="336" spans="1:12">
      <c r="A336" t="s">
        <v>11420</v>
      </c>
      <c r="B336" t="s">
        <v>2248</v>
      </c>
      <c r="C336">
        <v>180</v>
      </c>
      <c r="D336">
        <v>4.3099999999999996</v>
      </c>
      <c r="E336">
        <v>34</v>
      </c>
      <c r="F336" s="240"/>
      <c r="I336" t="s">
        <v>11340</v>
      </c>
      <c r="L336" t="str">
        <f t="shared" si="4"/>
        <v>"07190723_1330", "07190723_1525", "07190723_1654", "07190723_1823", "07190723_1952", "07190723_2251", "07190724_0020", "07190724_0150"</v>
      </c>
    </row>
    <row r="337" spans="1:12">
      <c r="A337" t="s">
        <v>11421</v>
      </c>
      <c r="B337" t="s">
        <v>2248</v>
      </c>
      <c r="C337">
        <v>180</v>
      </c>
      <c r="D337">
        <v>4.3099999999999996</v>
      </c>
      <c r="E337">
        <v>34</v>
      </c>
      <c r="F337" s="239" t="s">
        <v>11339</v>
      </c>
      <c r="I337" t="s">
        <v>11340</v>
      </c>
      <c r="L337" t="str">
        <f t="shared" si="4"/>
        <v>"07190723_1330", "07190723_1525", "07190723_1654", "07190723_1823", "07190723_1952", "07190723_2251", "07190724_0020", "07190724_0150", "07190724_0934"</v>
      </c>
    </row>
    <row r="338" spans="1:12">
      <c r="A338" t="s">
        <v>11422</v>
      </c>
      <c r="B338" t="s">
        <v>2248</v>
      </c>
      <c r="C338">
        <v>180</v>
      </c>
      <c r="D338">
        <v>4.3099999999999996</v>
      </c>
      <c r="E338">
        <v>34</v>
      </c>
      <c r="F338" s="240"/>
      <c r="I338" t="s">
        <v>11340</v>
      </c>
      <c r="L338" t="str">
        <f t="shared" si="4"/>
        <v>"07190723_1330", "07190723_1525", "07190723_1654", "07190723_1823", "07190723_1952", "07190723_2251", "07190724_0020", "07190724_0150", "07190724_0934", "07190724_1103"</v>
      </c>
    </row>
    <row r="339" spans="1:12">
      <c r="A339" t="s">
        <v>11423</v>
      </c>
      <c r="B339" t="s">
        <v>2248</v>
      </c>
      <c r="C339">
        <v>180</v>
      </c>
      <c r="D339">
        <v>4.3099999999999996</v>
      </c>
      <c r="E339">
        <v>34</v>
      </c>
      <c r="F339" s="240"/>
      <c r="I339" t="s">
        <v>11340</v>
      </c>
      <c r="L339" t="str">
        <f t="shared" si="4"/>
        <v>"07190723_1330", "07190723_1525", "07190723_1654", "07190723_1823", "07190723_1952", "07190723_2251", "07190724_0020", "07190724_0150", "07190724_0934", "07190724_1103", "07190724_1305"</v>
      </c>
    </row>
    <row r="340" spans="1:12">
      <c r="A340" t="s">
        <v>11424</v>
      </c>
      <c r="B340" t="s">
        <v>2248</v>
      </c>
      <c r="C340">
        <v>180</v>
      </c>
      <c r="D340">
        <v>4.3099999999999996</v>
      </c>
      <c r="E340">
        <v>34</v>
      </c>
      <c r="F340" s="240"/>
      <c r="I340" t="s">
        <v>11340</v>
      </c>
      <c r="L340" t="str">
        <f t="shared" si="4"/>
        <v>"07190723_1330", "07190723_1525", "07190723_1654", "07190723_1823", "07190723_1952", "07190723_2251", "07190724_0020", "07190724_0150", "07190724_0934", "07190724_1103", "07190724_1305", "07190724_1434"</v>
      </c>
    </row>
    <row r="341" spans="1:12">
      <c r="A341" t="s">
        <v>11425</v>
      </c>
      <c r="B341" t="s">
        <v>2248</v>
      </c>
      <c r="C341">
        <v>180</v>
      </c>
      <c r="D341">
        <v>4.3099999999999996</v>
      </c>
      <c r="E341">
        <v>34</v>
      </c>
      <c r="F341" s="240"/>
      <c r="I341" t="s">
        <v>11340</v>
      </c>
      <c r="L341" t="str">
        <f t="shared" si="4"/>
        <v>"07190723_1330", "07190723_1525", "07190723_1654", "07190723_1823", "07190723_1952", "07190723_2251", "07190724_0020", "07190724_0150", "07190724_0934", "07190724_1103", "07190724_1305", "07190724_1434", "07190724_1604"</v>
      </c>
    </row>
    <row r="342" spans="1:12">
      <c r="A342" t="s">
        <v>11426</v>
      </c>
      <c r="B342" t="s">
        <v>2248</v>
      </c>
      <c r="C342">
        <v>180</v>
      </c>
      <c r="D342">
        <v>4.3099999999999996</v>
      </c>
      <c r="E342">
        <v>34</v>
      </c>
      <c r="F342" s="240"/>
      <c r="I342" t="s">
        <v>11340</v>
      </c>
      <c r="L342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</v>
      </c>
    </row>
    <row r="343" spans="1:12">
      <c r="A343" t="s">
        <v>11427</v>
      </c>
      <c r="B343" t="s">
        <v>2248</v>
      </c>
      <c r="C343">
        <v>180</v>
      </c>
      <c r="D343">
        <v>4.3099999999999996</v>
      </c>
      <c r="E343">
        <v>34</v>
      </c>
      <c r="F343" s="240"/>
      <c r="I343" t="s">
        <v>11340</v>
      </c>
      <c r="L343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</v>
      </c>
    </row>
    <row r="344" spans="1:12">
      <c r="A344" t="s">
        <v>11428</v>
      </c>
      <c r="B344" t="s">
        <v>2248</v>
      </c>
      <c r="C344">
        <v>180</v>
      </c>
      <c r="D344">
        <v>4.3099999999999996</v>
      </c>
      <c r="E344">
        <v>34</v>
      </c>
      <c r="F344" s="241"/>
      <c r="I344" t="s">
        <v>11340</v>
      </c>
      <c r="L344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</v>
      </c>
    </row>
    <row r="345" spans="1:12">
      <c r="A345" t="s">
        <v>11429</v>
      </c>
      <c r="B345" t="s">
        <v>2248</v>
      </c>
      <c r="C345">
        <v>180</v>
      </c>
      <c r="D345">
        <v>4.3099999999999996</v>
      </c>
      <c r="E345">
        <v>34</v>
      </c>
      <c r="F345" s="239" t="s">
        <v>11339</v>
      </c>
      <c r="I345" t="s">
        <v>11340</v>
      </c>
      <c r="L345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</v>
      </c>
    </row>
    <row r="346" spans="1:12">
      <c r="A346" t="s">
        <v>11430</v>
      </c>
      <c r="B346" t="s">
        <v>2248</v>
      </c>
      <c r="C346">
        <v>180</v>
      </c>
      <c r="D346">
        <v>4.3099999999999996</v>
      </c>
      <c r="E346">
        <v>34</v>
      </c>
      <c r="F346" s="240"/>
      <c r="I346" t="s">
        <v>11340</v>
      </c>
      <c r="L346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</v>
      </c>
    </row>
    <row r="347" spans="1:12">
      <c r="A347" t="s">
        <v>11431</v>
      </c>
      <c r="B347" t="s">
        <v>2248</v>
      </c>
      <c r="C347">
        <v>180</v>
      </c>
      <c r="D347">
        <v>4.3099999999999996</v>
      </c>
      <c r="E347">
        <v>34</v>
      </c>
      <c r="F347" s="240"/>
      <c r="I347" t="s">
        <v>11340</v>
      </c>
      <c r="L347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</v>
      </c>
    </row>
    <row r="348" spans="1:12">
      <c r="A348" t="s">
        <v>11432</v>
      </c>
      <c r="B348" t="s">
        <v>2248</v>
      </c>
      <c r="C348">
        <v>180</v>
      </c>
      <c r="D348">
        <v>4.3099999999999996</v>
      </c>
      <c r="E348">
        <v>34</v>
      </c>
      <c r="F348" s="240"/>
      <c r="I348" t="s">
        <v>11340</v>
      </c>
      <c r="L348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</v>
      </c>
    </row>
    <row r="349" spans="1:12">
      <c r="A349" t="s">
        <v>11433</v>
      </c>
      <c r="B349" t="s">
        <v>2248</v>
      </c>
      <c r="C349">
        <v>180</v>
      </c>
      <c r="D349">
        <v>4.3099999999999996</v>
      </c>
      <c r="E349">
        <v>34</v>
      </c>
      <c r="F349" s="240"/>
      <c r="I349" t="s">
        <v>11340</v>
      </c>
      <c r="L349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</v>
      </c>
    </row>
    <row r="350" spans="1:12">
      <c r="A350" t="s">
        <v>11434</v>
      </c>
      <c r="B350" t="s">
        <v>2248</v>
      </c>
      <c r="C350">
        <v>180</v>
      </c>
      <c r="D350">
        <v>4.3099999999999996</v>
      </c>
      <c r="E350">
        <v>34</v>
      </c>
      <c r="F350" s="240"/>
      <c r="I350" t="s">
        <v>11340</v>
      </c>
      <c r="L350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</v>
      </c>
    </row>
    <row r="351" spans="1:12">
      <c r="A351" t="s">
        <v>11435</v>
      </c>
      <c r="B351" t="s">
        <v>2248</v>
      </c>
      <c r="C351">
        <v>180</v>
      </c>
      <c r="D351">
        <v>4.3099999999999996</v>
      </c>
      <c r="E351">
        <v>34</v>
      </c>
      <c r="F351" s="240"/>
      <c r="I351" t="s">
        <v>11340</v>
      </c>
      <c r="L351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</v>
      </c>
    </row>
    <row r="352" spans="1:12">
      <c r="A352" t="s">
        <v>11436</v>
      </c>
      <c r="B352" t="s">
        <v>2248</v>
      </c>
      <c r="C352">
        <v>180</v>
      </c>
      <c r="D352">
        <v>4.3099999999999996</v>
      </c>
      <c r="E352">
        <v>34</v>
      </c>
      <c r="F352" s="241"/>
      <c r="I352" t="s">
        <v>11340</v>
      </c>
      <c r="L352" t="str">
        <f t="shared" si="4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</v>
      </c>
    </row>
    <row r="353" spans="1:12">
      <c r="A353" t="s">
        <v>11437</v>
      </c>
      <c r="B353" t="s">
        <v>2248</v>
      </c>
      <c r="C353">
        <v>180</v>
      </c>
      <c r="D353">
        <v>4.3099999999999996</v>
      </c>
      <c r="E353">
        <v>34</v>
      </c>
      <c r="F353" s="239" t="s">
        <v>11339</v>
      </c>
      <c r="G353" s="6" t="s">
        <v>11417</v>
      </c>
    </row>
    <row r="354" spans="1:12">
      <c r="A354" t="s">
        <v>11438</v>
      </c>
      <c r="B354" t="s">
        <v>2248</v>
      </c>
      <c r="C354">
        <v>180</v>
      </c>
      <c r="D354">
        <v>4.3099999999999996</v>
      </c>
      <c r="E354">
        <v>34</v>
      </c>
      <c r="F354" s="240"/>
      <c r="I354" t="s">
        <v>11340</v>
      </c>
      <c r="L354" t="str">
        <f>L352&amp;", """&amp;A354&amp;""""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</v>
      </c>
    </row>
    <row r="355" spans="1:12">
      <c r="A355" t="s">
        <v>11439</v>
      </c>
      <c r="B355" t="s">
        <v>2248</v>
      </c>
      <c r="C355">
        <v>180</v>
      </c>
      <c r="D355">
        <v>4.3099999999999996</v>
      </c>
      <c r="E355">
        <v>34</v>
      </c>
      <c r="F355" s="240"/>
      <c r="I355" t="s">
        <v>11340</v>
      </c>
      <c r="L355" t="str">
        <f>L354&amp;", """&amp;A355&amp;""""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</v>
      </c>
    </row>
    <row r="356" spans="1:12">
      <c r="A356" t="s">
        <v>11440</v>
      </c>
      <c r="B356" t="s">
        <v>2248</v>
      </c>
      <c r="C356">
        <v>180</v>
      </c>
      <c r="D356">
        <v>4.3099999999999996</v>
      </c>
      <c r="E356">
        <v>34</v>
      </c>
      <c r="F356" s="240"/>
      <c r="G356" s="6" t="s">
        <v>11417</v>
      </c>
    </row>
    <row r="357" spans="1:12">
      <c r="A357" t="s">
        <v>11441</v>
      </c>
      <c r="B357" t="s">
        <v>2248</v>
      </c>
      <c r="C357">
        <v>180</v>
      </c>
      <c r="D357">
        <v>4.3099999999999996</v>
      </c>
      <c r="E357">
        <v>34</v>
      </c>
      <c r="F357" s="240"/>
      <c r="I357" t="s">
        <v>11340</v>
      </c>
      <c r="L357" t="str">
        <f>L355&amp;", """&amp;A357&amp;""""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</v>
      </c>
    </row>
    <row r="358" spans="1:12">
      <c r="A358" t="s">
        <v>11442</v>
      </c>
      <c r="B358" t="s">
        <v>2248</v>
      </c>
      <c r="C358">
        <v>180</v>
      </c>
      <c r="D358">
        <v>4.3099999999999996</v>
      </c>
      <c r="E358">
        <v>34</v>
      </c>
      <c r="F358" s="240"/>
      <c r="I358" t="s">
        <v>11340</v>
      </c>
      <c r="L358" t="str">
        <f>L357&amp;", """&amp;A358&amp;""""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</v>
      </c>
    </row>
    <row r="359" spans="1:12">
      <c r="A359" t="s">
        <v>11443</v>
      </c>
      <c r="B359" t="s">
        <v>2248</v>
      </c>
      <c r="C359">
        <v>180</v>
      </c>
      <c r="D359">
        <v>4.3099999999999996</v>
      </c>
      <c r="E359">
        <v>34</v>
      </c>
      <c r="F359" s="240"/>
      <c r="I359" t="s">
        <v>11340</v>
      </c>
      <c r="L359" t="str">
        <f>L358&amp;", """&amp;A359&amp;""""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</v>
      </c>
    </row>
    <row r="360" spans="1:12">
      <c r="A360" t="s">
        <v>11444</v>
      </c>
      <c r="B360" t="s">
        <v>2248</v>
      </c>
      <c r="C360">
        <v>180</v>
      </c>
      <c r="D360">
        <v>4.3099999999999996</v>
      </c>
      <c r="E360">
        <v>34</v>
      </c>
      <c r="F360" s="241"/>
      <c r="G360" s="6" t="s">
        <v>11445</v>
      </c>
    </row>
    <row r="361" spans="1:12">
      <c r="A361" t="s">
        <v>11446</v>
      </c>
      <c r="B361" t="s">
        <v>2248</v>
      </c>
      <c r="C361">
        <v>180</v>
      </c>
      <c r="D361">
        <v>4.3099999999999996</v>
      </c>
      <c r="E361">
        <v>34</v>
      </c>
      <c r="F361" s="239" t="s">
        <v>11339</v>
      </c>
      <c r="I361" t="s">
        <v>11340</v>
      </c>
      <c r="L361" t="str">
        <f>L359&amp;", """&amp;A361&amp;""""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</v>
      </c>
    </row>
    <row r="362" spans="1:12">
      <c r="A362" t="s">
        <v>11447</v>
      </c>
      <c r="B362" t="s">
        <v>2248</v>
      </c>
      <c r="C362">
        <v>180</v>
      </c>
      <c r="D362">
        <v>4.3099999999999996</v>
      </c>
      <c r="E362">
        <v>34</v>
      </c>
      <c r="F362" s="240"/>
      <c r="I362" t="s">
        <v>11340</v>
      </c>
      <c r="L362" t="str">
        <f t="shared" ref="L362:L409" si="5">L361&amp;", """&amp;A362&amp;""""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</v>
      </c>
    </row>
    <row r="363" spans="1:12">
      <c r="A363" t="s">
        <v>11448</v>
      </c>
      <c r="B363" t="s">
        <v>2248</v>
      </c>
      <c r="C363">
        <v>180</v>
      </c>
      <c r="D363">
        <v>4.3099999999999996</v>
      </c>
      <c r="E363">
        <v>34</v>
      </c>
      <c r="F363" s="240"/>
      <c r="I363" t="s">
        <v>11340</v>
      </c>
      <c r="L363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</v>
      </c>
    </row>
    <row r="364" spans="1:12">
      <c r="A364" t="s">
        <v>11449</v>
      </c>
      <c r="B364" t="s">
        <v>2248</v>
      </c>
      <c r="C364">
        <v>180</v>
      </c>
      <c r="D364">
        <v>4.3099999999999996</v>
      </c>
      <c r="E364">
        <v>34</v>
      </c>
      <c r="F364" s="240"/>
      <c r="I364" t="s">
        <v>11340</v>
      </c>
      <c r="L364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</v>
      </c>
    </row>
    <row r="365" spans="1:12">
      <c r="A365" t="s">
        <v>11450</v>
      </c>
      <c r="B365" t="s">
        <v>2248</v>
      </c>
      <c r="C365">
        <v>180</v>
      </c>
      <c r="D365">
        <v>4.3099999999999996</v>
      </c>
      <c r="E365">
        <v>34</v>
      </c>
      <c r="F365" s="240"/>
      <c r="I365" t="s">
        <v>11340</v>
      </c>
      <c r="L365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</v>
      </c>
    </row>
    <row r="366" spans="1:12">
      <c r="A366" t="s">
        <v>11451</v>
      </c>
      <c r="B366" t="s">
        <v>2248</v>
      </c>
      <c r="C366">
        <v>180</v>
      </c>
      <c r="D366">
        <v>4.3099999999999996</v>
      </c>
      <c r="E366">
        <v>34</v>
      </c>
      <c r="F366" s="240"/>
      <c r="I366" t="s">
        <v>11340</v>
      </c>
      <c r="L366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</v>
      </c>
    </row>
    <row r="367" spans="1:12">
      <c r="A367" t="s">
        <v>11452</v>
      </c>
      <c r="B367" t="s">
        <v>2248</v>
      </c>
      <c r="C367">
        <v>180</v>
      </c>
      <c r="D367">
        <v>4.3099999999999996</v>
      </c>
      <c r="E367">
        <v>34</v>
      </c>
      <c r="F367" s="240"/>
      <c r="I367" t="s">
        <v>11340</v>
      </c>
      <c r="L367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</v>
      </c>
    </row>
    <row r="368" spans="1:12">
      <c r="A368" t="s">
        <v>11453</v>
      </c>
      <c r="B368" t="s">
        <v>2248</v>
      </c>
      <c r="C368">
        <v>180</v>
      </c>
      <c r="D368">
        <v>4.3099999999999996</v>
      </c>
      <c r="E368">
        <v>34</v>
      </c>
      <c r="F368" s="240"/>
      <c r="I368" t="s">
        <v>11340</v>
      </c>
      <c r="L368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</v>
      </c>
    </row>
    <row r="369" spans="1:12">
      <c r="A369" t="s">
        <v>11454</v>
      </c>
      <c r="B369" t="s">
        <v>2248</v>
      </c>
      <c r="C369">
        <v>180</v>
      </c>
      <c r="D369">
        <v>4.3099999999999996</v>
      </c>
      <c r="E369">
        <v>34</v>
      </c>
      <c r="F369" s="239" t="s">
        <v>11339</v>
      </c>
      <c r="I369" t="s">
        <v>11340</v>
      </c>
      <c r="L369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</v>
      </c>
    </row>
    <row r="370" spans="1:12">
      <c r="A370" t="s">
        <v>11455</v>
      </c>
      <c r="B370" t="s">
        <v>2248</v>
      </c>
      <c r="C370">
        <v>180</v>
      </c>
      <c r="D370">
        <v>4.3099999999999996</v>
      </c>
      <c r="E370">
        <v>34</v>
      </c>
      <c r="F370" s="240"/>
      <c r="I370" t="s">
        <v>11340</v>
      </c>
      <c r="L370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</v>
      </c>
    </row>
    <row r="371" spans="1:12">
      <c r="A371" t="s">
        <v>11456</v>
      </c>
      <c r="B371" t="s">
        <v>2248</v>
      </c>
      <c r="C371">
        <v>180</v>
      </c>
      <c r="D371">
        <v>4.3099999999999996</v>
      </c>
      <c r="E371">
        <v>34</v>
      </c>
      <c r="F371" s="240"/>
      <c r="I371" t="s">
        <v>11340</v>
      </c>
      <c r="L371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</v>
      </c>
    </row>
    <row r="372" spans="1:12">
      <c r="A372" t="s">
        <v>11457</v>
      </c>
      <c r="B372" t="s">
        <v>2248</v>
      </c>
      <c r="C372">
        <v>180</v>
      </c>
      <c r="D372">
        <v>4.3099999999999996</v>
      </c>
      <c r="E372">
        <v>34</v>
      </c>
      <c r="F372" s="240"/>
      <c r="I372" t="s">
        <v>11340</v>
      </c>
      <c r="L372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</v>
      </c>
    </row>
    <row r="373" spans="1:12">
      <c r="A373" t="s">
        <v>11458</v>
      </c>
      <c r="B373" t="s">
        <v>2248</v>
      </c>
      <c r="C373">
        <v>180</v>
      </c>
      <c r="D373">
        <v>4.3099999999999996</v>
      </c>
      <c r="E373">
        <v>34</v>
      </c>
      <c r="F373" s="240"/>
      <c r="I373" t="s">
        <v>11340</v>
      </c>
      <c r="L373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</v>
      </c>
    </row>
    <row r="374" spans="1:12">
      <c r="A374" t="s">
        <v>11459</v>
      </c>
      <c r="B374" t="s">
        <v>2248</v>
      </c>
      <c r="C374">
        <v>180</v>
      </c>
      <c r="D374">
        <v>4.3099999999999996</v>
      </c>
      <c r="E374">
        <v>34</v>
      </c>
      <c r="F374" s="240"/>
      <c r="I374" t="s">
        <v>11340</v>
      </c>
      <c r="L374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</v>
      </c>
    </row>
    <row r="375" spans="1:12">
      <c r="A375" t="s">
        <v>11460</v>
      </c>
      <c r="B375" t="s">
        <v>2248</v>
      </c>
      <c r="C375">
        <v>180</v>
      </c>
      <c r="D375">
        <v>4.3099999999999996</v>
      </c>
      <c r="E375">
        <v>34</v>
      </c>
      <c r="F375" s="240"/>
      <c r="I375" t="s">
        <v>11340</v>
      </c>
      <c r="L375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</v>
      </c>
    </row>
    <row r="376" spans="1:12">
      <c r="A376" t="s">
        <v>11461</v>
      </c>
      <c r="B376" t="s">
        <v>2248</v>
      </c>
      <c r="C376">
        <v>180</v>
      </c>
      <c r="D376">
        <v>4.3099999999999996</v>
      </c>
      <c r="E376">
        <v>34</v>
      </c>
      <c r="F376" s="239" t="s">
        <v>11339</v>
      </c>
      <c r="I376" t="s">
        <v>11340</v>
      </c>
      <c r="L376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</v>
      </c>
    </row>
    <row r="377" spans="1:12">
      <c r="A377" t="s">
        <v>11462</v>
      </c>
      <c r="B377" t="s">
        <v>2248</v>
      </c>
      <c r="C377">
        <v>180</v>
      </c>
      <c r="D377">
        <v>4.3099999999999996</v>
      </c>
      <c r="E377">
        <v>34</v>
      </c>
      <c r="F377" s="240"/>
      <c r="I377" t="s">
        <v>11340</v>
      </c>
      <c r="L377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</v>
      </c>
    </row>
    <row r="378" spans="1:12">
      <c r="A378" t="s">
        <v>11463</v>
      </c>
      <c r="B378" t="s">
        <v>2248</v>
      </c>
      <c r="C378">
        <v>180</v>
      </c>
      <c r="D378">
        <v>4.3099999999999996</v>
      </c>
      <c r="E378">
        <v>34</v>
      </c>
      <c r="F378" s="240"/>
      <c r="I378" t="s">
        <v>11340</v>
      </c>
      <c r="L378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</v>
      </c>
    </row>
    <row r="379" spans="1:12">
      <c r="A379" t="s">
        <v>11464</v>
      </c>
      <c r="B379" t="s">
        <v>2248</v>
      </c>
      <c r="C379">
        <v>180</v>
      </c>
      <c r="D379">
        <v>4.3099999999999996</v>
      </c>
      <c r="E379">
        <v>34</v>
      </c>
      <c r="F379" s="240"/>
      <c r="I379" t="s">
        <v>11340</v>
      </c>
      <c r="L379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</v>
      </c>
    </row>
    <row r="380" spans="1:12">
      <c r="A380" t="s">
        <v>11465</v>
      </c>
      <c r="B380" t="s">
        <v>2248</v>
      </c>
      <c r="C380">
        <v>180</v>
      </c>
      <c r="D380">
        <v>4.3099999999999996</v>
      </c>
      <c r="E380">
        <v>34</v>
      </c>
      <c r="F380" s="240"/>
      <c r="I380" t="s">
        <v>11340</v>
      </c>
      <c r="L380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</v>
      </c>
    </row>
    <row r="381" spans="1:12">
      <c r="A381" t="s">
        <v>11466</v>
      </c>
      <c r="B381" t="s">
        <v>2248</v>
      </c>
      <c r="C381">
        <v>180</v>
      </c>
      <c r="D381">
        <v>4.3099999999999996</v>
      </c>
      <c r="E381">
        <v>34</v>
      </c>
      <c r="F381" s="240"/>
      <c r="I381" t="s">
        <v>11340</v>
      </c>
      <c r="L381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</v>
      </c>
    </row>
    <row r="382" spans="1:12">
      <c r="A382" t="s">
        <v>11467</v>
      </c>
      <c r="B382" t="s">
        <v>2248</v>
      </c>
      <c r="C382">
        <v>180</v>
      </c>
      <c r="D382">
        <v>4.3099999999999996</v>
      </c>
      <c r="E382">
        <v>34</v>
      </c>
      <c r="F382" s="240"/>
      <c r="I382" t="s">
        <v>11340</v>
      </c>
      <c r="L382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</v>
      </c>
    </row>
    <row r="383" spans="1:12">
      <c r="A383" t="s">
        <v>11468</v>
      </c>
      <c r="B383" t="s">
        <v>2248</v>
      </c>
      <c r="C383">
        <v>180</v>
      </c>
      <c r="D383">
        <v>4.3099999999999996</v>
      </c>
      <c r="E383">
        <v>34</v>
      </c>
      <c r="F383" s="240"/>
      <c r="I383" t="s">
        <v>11340</v>
      </c>
      <c r="L383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</v>
      </c>
    </row>
    <row r="384" spans="1:12">
      <c r="A384" t="s">
        <v>11469</v>
      </c>
      <c r="B384" t="s">
        <v>2248</v>
      </c>
      <c r="C384">
        <v>180</v>
      </c>
      <c r="D384">
        <v>4.3099999999999996</v>
      </c>
      <c r="E384">
        <v>34</v>
      </c>
      <c r="F384" s="239" t="s">
        <v>11339</v>
      </c>
      <c r="I384" t="s">
        <v>11340</v>
      </c>
      <c r="L384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</v>
      </c>
    </row>
    <row r="385" spans="1:12">
      <c r="A385" t="s">
        <v>11470</v>
      </c>
      <c r="B385" t="s">
        <v>2248</v>
      </c>
      <c r="C385">
        <v>180</v>
      </c>
      <c r="D385">
        <v>4.3099999999999996</v>
      </c>
      <c r="E385">
        <v>34</v>
      </c>
      <c r="F385" s="240"/>
      <c r="I385" t="s">
        <v>11340</v>
      </c>
      <c r="L385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</v>
      </c>
    </row>
    <row r="386" spans="1:12">
      <c r="A386" t="s">
        <v>11471</v>
      </c>
      <c r="B386" t="s">
        <v>2248</v>
      </c>
      <c r="C386">
        <v>180</v>
      </c>
      <c r="D386">
        <v>4.3099999999999996</v>
      </c>
      <c r="E386">
        <v>34</v>
      </c>
      <c r="F386" s="240"/>
      <c r="I386" t="s">
        <v>11340</v>
      </c>
      <c r="L386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</v>
      </c>
    </row>
    <row r="387" spans="1:12">
      <c r="A387" t="s">
        <v>11472</v>
      </c>
      <c r="B387" t="s">
        <v>2248</v>
      </c>
      <c r="C387">
        <v>180</v>
      </c>
      <c r="D387">
        <v>4.3099999999999996</v>
      </c>
      <c r="E387">
        <v>34</v>
      </c>
      <c r="F387" s="240"/>
      <c r="I387" t="s">
        <v>11340</v>
      </c>
      <c r="L387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</v>
      </c>
    </row>
    <row r="388" spans="1:12">
      <c r="A388" t="s">
        <v>11473</v>
      </c>
      <c r="B388" t="s">
        <v>2248</v>
      </c>
      <c r="C388">
        <v>180</v>
      </c>
      <c r="D388">
        <v>4.3099999999999996</v>
      </c>
      <c r="E388">
        <v>34</v>
      </c>
      <c r="F388" s="240"/>
      <c r="I388" t="s">
        <v>11340</v>
      </c>
      <c r="L388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</v>
      </c>
    </row>
    <row r="389" spans="1:12">
      <c r="A389" t="s">
        <v>11474</v>
      </c>
      <c r="B389" t="s">
        <v>2248</v>
      </c>
      <c r="C389">
        <v>180</v>
      </c>
      <c r="D389">
        <v>4.3099999999999996</v>
      </c>
      <c r="E389">
        <v>34</v>
      </c>
      <c r="F389" s="240"/>
      <c r="I389" t="s">
        <v>11340</v>
      </c>
      <c r="L389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</v>
      </c>
    </row>
    <row r="390" spans="1:12">
      <c r="A390" t="s">
        <v>11475</v>
      </c>
      <c r="B390" t="s">
        <v>2248</v>
      </c>
      <c r="C390">
        <v>180</v>
      </c>
      <c r="D390">
        <v>4.3099999999999996</v>
      </c>
      <c r="E390">
        <v>34</v>
      </c>
      <c r="F390" s="240"/>
      <c r="I390" t="s">
        <v>11340</v>
      </c>
      <c r="L390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</v>
      </c>
    </row>
    <row r="391" spans="1:12">
      <c r="A391" t="s">
        <v>11476</v>
      </c>
      <c r="B391" t="s">
        <v>2248</v>
      </c>
      <c r="C391">
        <v>180</v>
      </c>
      <c r="D391">
        <v>4.3099999999999996</v>
      </c>
      <c r="E391">
        <v>34</v>
      </c>
      <c r="F391" s="240"/>
      <c r="I391" t="s">
        <v>11340</v>
      </c>
      <c r="L391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</v>
      </c>
    </row>
    <row r="392" spans="1:12">
      <c r="A392" t="s">
        <v>11477</v>
      </c>
      <c r="B392" t="s">
        <v>2248</v>
      </c>
      <c r="C392">
        <v>180</v>
      </c>
      <c r="D392">
        <v>4.3099999999999996</v>
      </c>
      <c r="E392">
        <v>34</v>
      </c>
      <c r="F392" s="239" t="s">
        <v>11339</v>
      </c>
      <c r="I392" t="s">
        <v>11340</v>
      </c>
      <c r="L392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</v>
      </c>
    </row>
    <row r="393" spans="1:12">
      <c r="A393" t="s">
        <v>11478</v>
      </c>
      <c r="B393" t="s">
        <v>2248</v>
      </c>
      <c r="C393">
        <v>180</v>
      </c>
      <c r="D393">
        <v>4.3099999999999996</v>
      </c>
      <c r="E393">
        <v>34</v>
      </c>
      <c r="F393" s="240"/>
      <c r="I393" t="s">
        <v>11340</v>
      </c>
      <c r="L393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</v>
      </c>
    </row>
    <row r="394" spans="1:12">
      <c r="A394" t="s">
        <v>11479</v>
      </c>
      <c r="B394" t="s">
        <v>2248</v>
      </c>
      <c r="C394">
        <v>180</v>
      </c>
      <c r="D394">
        <v>4.3099999999999996</v>
      </c>
      <c r="E394">
        <v>34</v>
      </c>
      <c r="F394" s="240"/>
      <c r="I394" t="s">
        <v>11340</v>
      </c>
      <c r="L394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</v>
      </c>
    </row>
    <row r="395" spans="1:12">
      <c r="A395" t="s">
        <v>11480</v>
      </c>
      <c r="B395" t="s">
        <v>2248</v>
      </c>
      <c r="C395">
        <v>180</v>
      </c>
      <c r="D395">
        <v>4.3099999999999996</v>
      </c>
      <c r="E395">
        <v>34</v>
      </c>
      <c r="F395" s="240"/>
      <c r="I395" t="s">
        <v>11340</v>
      </c>
      <c r="L395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</v>
      </c>
    </row>
    <row r="396" spans="1:12">
      <c r="A396" t="s">
        <v>11481</v>
      </c>
      <c r="B396" t="s">
        <v>2248</v>
      </c>
      <c r="C396">
        <v>180</v>
      </c>
      <c r="D396">
        <v>4.3099999999999996</v>
      </c>
      <c r="E396">
        <v>34</v>
      </c>
      <c r="F396" s="240"/>
      <c r="I396" t="s">
        <v>11340</v>
      </c>
      <c r="L396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</v>
      </c>
    </row>
    <row r="397" spans="1:12">
      <c r="A397" t="s">
        <v>11482</v>
      </c>
      <c r="B397" t="s">
        <v>2248</v>
      </c>
      <c r="C397">
        <v>180</v>
      </c>
      <c r="D397">
        <v>4.3099999999999996</v>
      </c>
      <c r="E397">
        <v>34</v>
      </c>
      <c r="F397" s="240"/>
      <c r="I397" t="s">
        <v>11340</v>
      </c>
      <c r="L397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</v>
      </c>
    </row>
    <row r="398" spans="1:12">
      <c r="A398" t="s">
        <v>11483</v>
      </c>
      <c r="B398" t="s">
        <v>2248</v>
      </c>
      <c r="C398">
        <v>180</v>
      </c>
      <c r="D398">
        <v>4.3099999999999996</v>
      </c>
      <c r="E398">
        <v>34</v>
      </c>
      <c r="F398" s="240"/>
      <c r="I398" t="s">
        <v>11340</v>
      </c>
      <c r="L398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</v>
      </c>
    </row>
    <row r="399" spans="1:12">
      <c r="A399" t="s">
        <v>11484</v>
      </c>
      <c r="B399" t="s">
        <v>2248</v>
      </c>
      <c r="C399">
        <v>180</v>
      </c>
      <c r="D399">
        <v>4.3099999999999996</v>
      </c>
      <c r="E399">
        <v>34</v>
      </c>
      <c r="F399" s="240"/>
      <c r="I399" t="s">
        <v>11340</v>
      </c>
      <c r="L399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</v>
      </c>
    </row>
    <row r="400" spans="1:12">
      <c r="A400" t="s">
        <v>11485</v>
      </c>
      <c r="B400" t="s">
        <v>2248</v>
      </c>
      <c r="C400">
        <v>180</v>
      </c>
      <c r="D400">
        <v>4.3099999999999996</v>
      </c>
      <c r="E400">
        <v>34</v>
      </c>
      <c r="F400" s="239" t="s">
        <v>11339</v>
      </c>
      <c r="I400" t="s">
        <v>11340</v>
      </c>
      <c r="L400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</v>
      </c>
    </row>
    <row r="401" spans="1:12">
      <c r="A401" t="s">
        <v>11486</v>
      </c>
      <c r="B401" t="s">
        <v>2248</v>
      </c>
      <c r="C401">
        <v>180</v>
      </c>
      <c r="D401">
        <v>4.3099999999999996</v>
      </c>
      <c r="E401">
        <v>34</v>
      </c>
      <c r="F401" s="240"/>
      <c r="I401" t="s">
        <v>11340</v>
      </c>
      <c r="L401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</v>
      </c>
    </row>
    <row r="402" spans="1:12">
      <c r="A402" t="s">
        <v>11487</v>
      </c>
      <c r="B402" t="s">
        <v>2248</v>
      </c>
      <c r="C402">
        <v>180</v>
      </c>
      <c r="D402">
        <v>4.3099999999999996</v>
      </c>
      <c r="E402">
        <v>34</v>
      </c>
      <c r="F402" s="240"/>
      <c r="I402" t="s">
        <v>11340</v>
      </c>
      <c r="L402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</v>
      </c>
    </row>
    <row r="403" spans="1:12">
      <c r="A403" t="s">
        <v>11488</v>
      </c>
      <c r="B403" t="s">
        <v>2248</v>
      </c>
      <c r="C403">
        <v>180</v>
      </c>
      <c r="D403">
        <v>4.3099999999999996</v>
      </c>
      <c r="E403">
        <v>34</v>
      </c>
      <c r="F403" s="240"/>
      <c r="I403" t="s">
        <v>11340</v>
      </c>
      <c r="L403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</v>
      </c>
    </row>
    <row r="404" spans="1:12">
      <c r="A404" t="s">
        <v>11489</v>
      </c>
      <c r="B404" t="s">
        <v>2248</v>
      </c>
      <c r="C404">
        <v>180</v>
      </c>
      <c r="D404">
        <v>4.3099999999999996</v>
      </c>
      <c r="E404">
        <v>34</v>
      </c>
      <c r="F404" s="240"/>
      <c r="I404" t="s">
        <v>11340</v>
      </c>
      <c r="L404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</v>
      </c>
    </row>
    <row r="405" spans="1:12">
      <c r="A405" t="s">
        <v>11490</v>
      </c>
      <c r="B405" t="s">
        <v>2248</v>
      </c>
      <c r="C405">
        <v>180</v>
      </c>
      <c r="D405">
        <v>4.3099999999999996</v>
      </c>
      <c r="E405">
        <v>34</v>
      </c>
      <c r="F405" s="240"/>
      <c r="I405" t="s">
        <v>11340</v>
      </c>
      <c r="L405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</v>
      </c>
    </row>
    <row r="406" spans="1:12">
      <c r="A406" t="s">
        <v>11491</v>
      </c>
      <c r="B406" t="s">
        <v>2248</v>
      </c>
      <c r="C406">
        <v>180</v>
      </c>
      <c r="D406">
        <v>4.3099999999999996</v>
      </c>
      <c r="E406">
        <v>34</v>
      </c>
      <c r="F406" s="240"/>
      <c r="I406" t="s">
        <v>11340</v>
      </c>
      <c r="L406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</v>
      </c>
    </row>
    <row r="407" spans="1:12">
      <c r="A407" t="s">
        <v>11492</v>
      </c>
      <c r="B407" t="s">
        <v>2248</v>
      </c>
      <c r="C407">
        <v>180</v>
      </c>
      <c r="D407">
        <v>4.3099999999999996</v>
      </c>
      <c r="E407">
        <v>34</v>
      </c>
      <c r="F407" s="240"/>
      <c r="I407" t="s">
        <v>11340</v>
      </c>
      <c r="L407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</v>
      </c>
    </row>
    <row r="408" spans="1:12">
      <c r="A408" t="s">
        <v>11493</v>
      </c>
      <c r="B408" t="s">
        <v>2248</v>
      </c>
      <c r="C408">
        <v>180</v>
      </c>
      <c r="D408">
        <v>4.3099999999999996</v>
      </c>
      <c r="E408">
        <v>34</v>
      </c>
      <c r="F408" s="239" t="s">
        <v>11339</v>
      </c>
      <c r="I408" t="s">
        <v>11340</v>
      </c>
      <c r="L408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</v>
      </c>
    </row>
    <row r="409" spans="1:12">
      <c r="A409" t="s">
        <v>11494</v>
      </c>
      <c r="B409" t="s">
        <v>2248</v>
      </c>
      <c r="C409">
        <v>180</v>
      </c>
      <c r="D409">
        <v>4.3099999999999996</v>
      </c>
      <c r="E409">
        <v>34</v>
      </c>
      <c r="F409" s="240"/>
      <c r="I409" t="s">
        <v>11340</v>
      </c>
      <c r="L409" t="str">
        <f t="shared" si="5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</v>
      </c>
    </row>
    <row r="410" spans="1:12">
      <c r="A410" t="s">
        <v>11495</v>
      </c>
      <c r="B410" t="s">
        <v>2248</v>
      </c>
      <c r="C410">
        <v>180</v>
      </c>
      <c r="D410">
        <v>4.3099999999999996</v>
      </c>
      <c r="E410">
        <v>34</v>
      </c>
      <c r="F410" s="240"/>
      <c r="G410" s="6" t="s">
        <v>11496</v>
      </c>
      <c r="I410" t="s">
        <v>11340</v>
      </c>
    </row>
    <row r="411" spans="1:12">
      <c r="A411" t="s">
        <v>11497</v>
      </c>
      <c r="B411" t="s">
        <v>2248</v>
      </c>
      <c r="C411">
        <v>180</v>
      </c>
      <c r="D411">
        <v>4.3099999999999996</v>
      </c>
      <c r="E411">
        <v>34</v>
      </c>
      <c r="F411" s="240"/>
      <c r="I411" t="s">
        <v>11340</v>
      </c>
      <c r="L411" t="str">
        <f>L409&amp;", """&amp;A411&amp;""""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</v>
      </c>
    </row>
    <row r="412" spans="1:12">
      <c r="A412" t="s">
        <v>11498</v>
      </c>
      <c r="B412" t="s">
        <v>2248</v>
      </c>
      <c r="C412">
        <v>180</v>
      </c>
      <c r="D412">
        <v>4.3099999999999996</v>
      </c>
      <c r="E412">
        <v>34</v>
      </c>
      <c r="F412" s="240"/>
      <c r="I412" t="s">
        <v>11340</v>
      </c>
      <c r="L412" t="str">
        <f t="shared" ref="L412:L424" si="6">L411&amp;", """&amp;A412&amp;""""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</v>
      </c>
    </row>
    <row r="413" spans="1:12">
      <c r="A413" t="s">
        <v>11499</v>
      </c>
      <c r="B413" t="s">
        <v>2248</v>
      </c>
      <c r="C413">
        <v>180</v>
      </c>
      <c r="D413">
        <v>4.3099999999999996</v>
      </c>
      <c r="E413">
        <v>34</v>
      </c>
      <c r="F413" s="240"/>
      <c r="I413" t="s">
        <v>11340</v>
      </c>
      <c r="L413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</v>
      </c>
    </row>
    <row r="414" spans="1:12">
      <c r="A414" t="s">
        <v>11500</v>
      </c>
      <c r="B414" t="s">
        <v>2248</v>
      </c>
      <c r="C414">
        <v>180</v>
      </c>
      <c r="D414">
        <v>4.3099999999999996</v>
      </c>
      <c r="E414">
        <v>34</v>
      </c>
      <c r="F414" s="240"/>
      <c r="I414" t="s">
        <v>11340</v>
      </c>
      <c r="L414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</v>
      </c>
    </row>
    <row r="415" spans="1:12">
      <c r="A415" t="s">
        <v>11501</v>
      </c>
      <c r="B415" t="s">
        <v>2248</v>
      </c>
      <c r="C415">
        <v>180</v>
      </c>
      <c r="D415">
        <v>4.3099999999999996</v>
      </c>
      <c r="E415">
        <v>34</v>
      </c>
      <c r="F415" s="241"/>
      <c r="I415" t="s">
        <v>11340</v>
      </c>
      <c r="L415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</v>
      </c>
    </row>
    <row r="416" spans="1:12">
      <c r="A416" t="s">
        <v>11502</v>
      </c>
      <c r="B416" t="s">
        <v>2248</v>
      </c>
      <c r="C416">
        <v>180</v>
      </c>
      <c r="D416">
        <v>4.3099999999999996</v>
      </c>
      <c r="E416">
        <v>34</v>
      </c>
      <c r="F416" s="239" t="s">
        <v>11339</v>
      </c>
      <c r="I416" t="s">
        <v>11340</v>
      </c>
      <c r="L416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</v>
      </c>
    </row>
    <row r="417" spans="1:12">
      <c r="A417" t="s">
        <v>11503</v>
      </c>
      <c r="B417" t="s">
        <v>2248</v>
      </c>
      <c r="C417">
        <v>180</v>
      </c>
      <c r="D417">
        <v>4.3099999999999996</v>
      </c>
      <c r="E417">
        <v>34</v>
      </c>
      <c r="F417" s="240"/>
      <c r="I417" t="s">
        <v>11340</v>
      </c>
      <c r="L417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</v>
      </c>
    </row>
    <row r="418" spans="1:12">
      <c r="A418" t="s">
        <v>11504</v>
      </c>
      <c r="B418" t="s">
        <v>2248</v>
      </c>
      <c r="C418">
        <v>180</v>
      </c>
      <c r="D418">
        <v>4.3099999999999996</v>
      </c>
      <c r="E418">
        <v>34</v>
      </c>
      <c r="F418" s="240"/>
      <c r="I418" t="s">
        <v>11340</v>
      </c>
      <c r="L418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</v>
      </c>
    </row>
    <row r="419" spans="1:12">
      <c r="A419" t="s">
        <v>11505</v>
      </c>
      <c r="B419" t="s">
        <v>2248</v>
      </c>
      <c r="C419">
        <v>180</v>
      </c>
      <c r="D419">
        <v>4.3099999999999996</v>
      </c>
      <c r="E419">
        <v>34</v>
      </c>
      <c r="F419" s="240"/>
      <c r="I419" t="s">
        <v>11340</v>
      </c>
      <c r="L419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</v>
      </c>
    </row>
    <row r="420" spans="1:12">
      <c r="A420" t="s">
        <v>11506</v>
      </c>
      <c r="B420" t="s">
        <v>2248</v>
      </c>
      <c r="C420">
        <v>180</v>
      </c>
      <c r="D420">
        <v>4.3099999999999996</v>
      </c>
      <c r="E420">
        <v>34</v>
      </c>
      <c r="F420" s="240"/>
      <c r="I420" t="s">
        <v>11340</v>
      </c>
      <c r="L420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</v>
      </c>
    </row>
    <row r="421" spans="1:12">
      <c r="A421" t="s">
        <v>11507</v>
      </c>
      <c r="B421" t="s">
        <v>2248</v>
      </c>
      <c r="C421">
        <v>180</v>
      </c>
      <c r="D421">
        <v>4.3099999999999996</v>
      </c>
      <c r="E421">
        <v>34</v>
      </c>
      <c r="F421" s="240"/>
      <c r="I421" t="s">
        <v>11340</v>
      </c>
      <c r="L421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</v>
      </c>
    </row>
    <row r="422" spans="1:12">
      <c r="A422" t="s">
        <v>11508</v>
      </c>
      <c r="B422" t="s">
        <v>2248</v>
      </c>
      <c r="C422">
        <v>180</v>
      </c>
      <c r="D422">
        <v>4.3099999999999996</v>
      </c>
      <c r="E422">
        <v>34</v>
      </c>
      <c r="F422" s="240"/>
      <c r="I422" t="s">
        <v>11340</v>
      </c>
      <c r="L422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"07190730_0434", "07190730_0604"</v>
      </c>
    </row>
    <row r="423" spans="1:12">
      <c r="A423" t="s">
        <v>11509</v>
      </c>
      <c r="B423" t="s">
        <v>2248</v>
      </c>
      <c r="C423">
        <v>180</v>
      </c>
      <c r="D423">
        <v>4.3099999999999996</v>
      </c>
      <c r="E423">
        <v>34</v>
      </c>
      <c r="F423" s="241"/>
      <c r="I423" t="s">
        <v>11340</v>
      </c>
      <c r="L423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"07190730_0434", "07190730_0604", "07190730_0733"</v>
      </c>
    </row>
    <row r="424" spans="1:12">
      <c r="A424" t="s">
        <v>11510</v>
      </c>
      <c r="B424" t="s">
        <v>2248</v>
      </c>
      <c r="C424">
        <v>180</v>
      </c>
      <c r="D424">
        <v>4.3099999999999996</v>
      </c>
      <c r="E424">
        <v>34</v>
      </c>
      <c r="F424" s="239" t="s">
        <v>11339</v>
      </c>
      <c r="I424" t="s">
        <v>11340</v>
      </c>
      <c r="L424" t="str">
        <f t="shared" si="6"/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"07190730_0434", "07190730_0604", "07190730_0733", "07190730_0951"</v>
      </c>
    </row>
    <row r="425" spans="1:12">
      <c r="A425" t="s">
        <v>11511</v>
      </c>
      <c r="B425" t="s">
        <v>2248</v>
      </c>
      <c r="C425">
        <v>180</v>
      </c>
      <c r="D425">
        <v>4.3099999999999996</v>
      </c>
      <c r="E425">
        <v>34</v>
      </c>
      <c r="F425" s="240"/>
      <c r="G425" s="6" t="s">
        <v>11496</v>
      </c>
      <c r="I425" t="s">
        <v>11340</v>
      </c>
    </row>
    <row r="426" spans="1:12">
      <c r="A426" t="s">
        <v>11512</v>
      </c>
      <c r="B426" t="s">
        <v>2248</v>
      </c>
      <c r="C426">
        <v>180</v>
      </c>
      <c r="D426">
        <v>4.3099999999999996</v>
      </c>
      <c r="E426">
        <v>34</v>
      </c>
      <c r="F426" s="240"/>
      <c r="I426" t="s">
        <v>11340</v>
      </c>
      <c r="L426" t="str">
        <f>L424&amp;", """&amp;A426&amp;""""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"07190730_0434", "07190730_0604", "07190730_0733", "07190730_0951", "07190730_1258"</v>
      </c>
    </row>
    <row r="427" spans="1:12">
      <c r="A427" t="s">
        <v>11513</v>
      </c>
      <c r="B427" t="s">
        <v>2248</v>
      </c>
      <c r="C427">
        <v>180</v>
      </c>
      <c r="D427">
        <v>4.3099999999999996</v>
      </c>
      <c r="E427">
        <v>34</v>
      </c>
      <c r="F427" s="240"/>
      <c r="I427" t="s">
        <v>11340</v>
      </c>
      <c r="L427" t="str">
        <f>L426&amp;", """&amp;A427&amp;""""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"07190730_0434", "07190730_0604", "07190730_0733", "07190730_0951", "07190730_1258", "07190730_1446"</v>
      </c>
    </row>
    <row r="428" spans="1:12">
      <c r="A428" t="s">
        <v>11514</v>
      </c>
      <c r="B428" t="s">
        <v>2248</v>
      </c>
      <c r="C428">
        <v>180</v>
      </c>
      <c r="D428">
        <v>4.3099999999999996</v>
      </c>
      <c r="E428">
        <v>34</v>
      </c>
      <c r="F428" s="240"/>
      <c r="I428" t="s">
        <v>11340</v>
      </c>
      <c r="L428" t="str">
        <f>L427&amp;", """&amp;A428&amp;""""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"07190730_0434", "07190730_0604", "07190730_0733", "07190730_0951", "07190730_1258", "07190730_1446", "07190730_1615"</v>
      </c>
    </row>
    <row r="429" spans="1:12">
      <c r="A429" t="s">
        <v>11515</v>
      </c>
      <c r="B429" t="s">
        <v>2248</v>
      </c>
      <c r="C429">
        <v>180</v>
      </c>
      <c r="D429">
        <v>4.3099999999999996</v>
      </c>
      <c r="E429">
        <v>34</v>
      </c>
      <c r="F429" s="240"/>
      <c r="I429" t="s">
        <v>11340</v>
      </c>
      <c r="L429" t="str">
        <f>L428&amp;", """&amp;A429&amp;""""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"07190730_0434", "07190730_0604", "07190730_0733", "07190730_0951", "07190730_1258", "07190730_1446", "07190730_1615", "07190730_1745"</v>
      </c>
    </row>
    <row r="430" spans="1:12">
      <c r="A430" t="s">
        <v>11516</v>
      </c>
      <c r="B430" t="s">
        <v>2248</v>
      </c>
      <c r="C430">
        <v>180</v>
      </c>
      <c r="D430">
        <v>4.3099999999999996</v>
      </c>
      <c r="E430">
        <v>34</v>
      </c>
      <c r="F430" s="240"/>
      <c r="I430" t="s">
        <v>11340</v>
      </c>
      <c r="L430" t="str">
        <f>L429&amp;", """&amp;A430&amp;""""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"07190730_0434", "07190730_0604", "07190730_0733", "07190730_0951", "07190730_1258", "07190730_1446", "07190730_1615", "07190730_1745", "07190730_1914"</v>
      </c>
    </row>
    <row r="431" spans="1:12">
      <c r="A431" t="s">
        <v>11517</v>
      </c>
      <c r="B431" t="s">
        <v>2248</v>
      </c>
      <c r="C431">
        <v>180</v>
      </c>
      <c r="D431">
        <v>4.3099999999999996</v>
      </c>
      <c r="E431">
        <v>34</v>
      </c>
      <c r="F431" s="241"/>
      <c r="I431" t="s">
        <v>11340</v>
      </c>
      <c r="L431" t="str">
        <f>L430&amp;", """&amp;A431&amp;""""</f>
        <v>"07190723_1330", "07190723_1525", "07190723_1654", "07190723_1823", "07190723_1952", "07190723_2251", "07190724_0020", "07190724_0150", "07190724_0934", "07190724_1103", "07190724_1305", "07190724_1434", "07190724_1604", "07190724_1834", "07190724_2003", "07190724_2133", "07190724_2304", "07190725_0034", "07190725_0203", "07190725_0332", "07190725_0502", "07190725_0631", "07190725_0800", "07190725_0930", "07190725_1318", "07190725_1447", "07190725_1746", "07190725_1916", "07190725_2045", "07190726_0011", "07190726_0140", "07190726_0310", "07190726_0439", "07190726_0608", "07190726_0738", "07190726_0907", "07190726_1036", "07190726_1227", "07190726_1356", "07190726_1526", "07190726_1655", "07190726_1824", "07190726_1954", "07190726_2123", "07190726_2304", "07190727_0033", "07190727_0203", "07190727_0332", "07190727_0501", "07190727_0631", "07190727_0800", "07190727_0929", "07190727_1100", "07190727_1230", "07190727_1359", "07190727_1528", "07190727_1657", "07190727_1827", "07190727_1956", "07190727_2125", "07190728_0840", "07190728_1009", "07190728_1138", "07190728_1308", "07190728_1437", "07190728_1606", "07190728_1736", "07190728_1905", "07190728_2046", "07190728_2215", "07190728_2344", "07190729_0114", "07190729_0243", "07190729_0412", "07190729_0541", "07190729_0711", "07190729_0844", "07190729_1014", "07190729_1317", "07190729_1446", "07190729_1616", "07190729_1745", "07190729_1915", "07190729_2108", "07190729_2237", "07190730_0007", "07190730_0136", "07190730_0305", "07190730_0434", "07190730_0604", "07190730_0733", "07190730_0951", "07190730_1258", "07190730_1446", "07190730_1615", "07190730_1745", "07190730_1914", "07190730_2043"</v>
      </c>
    </row>
    <row r="432" spans="1:12">
      <c r="A432" t="s">
        <v>11518</v>
      </c>
      <c r="B432" t="s">
        <v>2248</v>
      </c>
      <c r="C432">
        <v>180</v>
      </c>
      <c r="D432">
        <v>4.3099999999999996</v>
      </c>
      <c r="E432">
        <v>34</v>
      </c>
      <c r="F432" s="239" t="s">
        <v>11339</v>
      </c>
      <c r="G432" s="6" t="s">
        <v>11519</v>
      </c>
    </row>
    <row r="433" spans="1:9">
      <c r="A433" t="s">
        <v>11520</v>
      </c>
      <c r="B433" t="s">
        <v>2248</v>
      </c>
      <c r="C433">
        <v>180</v>
      </c>
      <c r="D433">
        <v>4.3099999999999996</v>
      </c>
      <c r="E433">
        <v>34</v>
      </c>
      <c r="F433" s="240"/>
      <c r="I433" t="s">
        <v>11340</v>
      </c>
    </row>
    <row r="434" spans="1:9">
      <c r="A434" t="s">
        <v>11521</v>
      </c>
      <c r="B434" t="s">
        <v>2248</v>
      </c>
      <c r="C434">
        <v>180</v>
      </c>
      <c r="D434">
        <v>4.3099999999999996</v>
      </c>
      <c r="E434">
        <v>34</v>
      </c>
      <c r="F434" s="240"/>
      <c r="I434" t="s">
        <v>11340</v>
      </c>
    </row>
    <row r="435" spans="1:9">
      <c r="A435" t="s">
        <v>11522</v>
      </c>
      <c r="B435" t="s">
        <v>2248</v>
      </c>
      <c r="C435">
        <v>180</v>
      </c>
      <c r="D435">
        <v>4.3099999999999996</v>
      </c>
      <c r="E435">
        <v>34</v>
      </c>
      <c r="F435" s="240"/>
      <c r="I435" t="s">
        <v>11340</v>
      </c>
    </row>
    <row r="436" spans="1:9">
      <c r="A436" t="s">
        <v>11523</v>
      </c>
      <c r="B436" t="s">
        <v>2248</v>
      </c>
      <c r="C436">
        <v>180</v>
      </c>
      <c r="D436">
        <v>4.3099999999999996</v>
      </c>
      <c r="E436">
        <v>34</v>
      </c>
      <c r="F436" s="240"/>
      <c r="I436" t="s">
        <v>11340</v>
      </c>
    </row>
    <row r="437" spans="1:9">
      <c r="A437" t="s">
        <v>11524</v>
      </c>
      <c r="B437" t="s">
        <v>2248</v>
      </c>
      <c r="C437">
        <v>180</v>
      </c>
      <c r="D437">
        <v>4.3099999999999996</v>
      </c>
      <c r="E437">
        <v>34</v>
      </c>
      <c r="F437" s="240"/>
      <c r="G437" s="6" t="s">
        <v>11525</v>
      </c>
      <c r="I437" t="s">
        <v>11340</v>
      </c>
    </row>
    <row r="438" spans="1:9">
      <c r="A438" t="s">
        <v>11526</v>
      </c>
      <c r="B438" t="s">
        <v>2248</v>
      </c>
      <c r="C438">
        <v>180</v>
      </c>
      <c r="D438">
        <v>4.3099999999999996</v>
      </c>
      <c r="E438">
        <v>34</v>
      </c>
      <c r="F438" s="240"/>
      <c r="G438" s="6" t="s">
        <v>11525</v>
      </c>
      <c r="I438" t="s">
        <v>11340</v>
      </c>
    </row>
    <row r="439" spans="1:9">
      <c r="A439" t="s">
        <v>11527</v>
      </c>
      <c r="B439" t="s">
        <v>2248</v>
      </c>
      <c r="C439">
        <v>180</v>
      </c>
      <c r="D439">
        <v>4.3099999999999996</v>
      </c>
      <c r="E439">
        <v>34</v>
      </c>
      <c r="F439" s="241"/>
      <c r="G439" s="6" t="s">
        <v>11525</v>
      </c>
      <c r="I439" t="s">
        <v>11340</v>
      </c>
    </row>
    <row r="440" spans="1:9">
      <c r="A440" t="s">
        <v>11528</v>
      </c>
      <c r="B440" t="s">
        <v>2248</v>
      </c>
      <c r="C440">
        <v>180</v>
      </c>
      <c r="D440">
        <v>4.3099999999999996</v>
      </c>
      <c r="E440">
        <v>34</v>
      </c>
      <c r="F440" s="239" t="s">
        <v>11339</v>
      </c>
      <c r="G440" s="6" t="s">
        <v>11529</v>
      </c>
    </row>
    <row r="441" spans="1:9">
      <c r="A441" t="s">
        <v>11530</v>
      </c>
      <c r="B441" t="s">
        <v>2248</v>
      </c>
      <c r="C441">
        <v>180</v>
      </c>
      <c r="D441">
        <v>4.3099999999999996</v>
      </c>
      <c r="E441">
        <v>34</v>
      </c>
      <c r="F441" s="240"/>
      <c r="G441" s="6" t="s">
        <v>11525</v>
      </c>
      <c r="I441" t="s">
        <v>11340</v>
      </c>
    </row>
    <row r="442" spans="1:9">
      <c r="A442" t="s">
        <v>11531</v>
      </c>
      <c r="B442" t="s">
        <v>2248</v>
      </c>
      <c r="C442">
        <v>180</v>
      </c>
      <c r="D442">
        <v>4.3099999999999996</v>
      </c>
      <c r="E442">
        <v>34</v>
      </c>
      <c r="F442" s="240"/>
      <c r="G442" s="6" t="s">
        <v>11525</v>
      </c>
      <c r="I442" t="s">
        <v>11340</v>
      </c>
    </row>
    <row r="443" spans="1:9">
      <c r="A443" t="s">
        <v>11532</v>
      </c>
      <c r="B443" t="s">
        <v>2248</v>
      </c>
      <c r="C443">
        <v>180</v>
      </c>
      <c r="D443">
        <v>4.3099999999999996</v>
      </c>
      <c r="E443">
        <v>34</v>
      </c>
      <c r="F443" s="240"/>
      <c r="G443" s="6" t="s">
        <v>11525</v>
      </c>
      <c r="I443" t="s">
        <v>11340</v>
      </c>
    </row>
    <row r="444" spans="1:9">
      <c r="A444" t="s">
        <v>11533</v>
      </c>
      <c r="B444" t="s">
        <v>2248</v>
      </c>
      <c r="C444">
        <v>180</v>
      </c>
      <c r="D444">
        <v>4.3099999999999996</v>
      </c>
      <c r="E444">
        <v>34</v>
      </c>
      <c r="F444" s="240"/>
      <c r="G444" s="6" t="s">
        <v>11525</v>
      </c>
      <c r="I444" t="s">
        <v>11340</v>
      </c>
    </row>
    <row r="445" spans="1:9">
      <c r="A445" t="s">
        <v>11534</v>
      </c>
      <c r="B445" t="s">
        <v>2248</v>
      </c>
      <c r="C445">
        <v>180</v>
      </c>
      <c r="D445">
        <v>4.3099999999999996</v>
      </c>
      <c r="E445">
        <v>34</v>
      </c>
      <c r="F445" s="240"/>
      <c r="G445" s="6" t="s">
        <v>11525</v>
      </c>
      <c r="I445" t="s">
        <v>11340</v>
      </c>
    </row>
    <row r="446" spans="1:9">
      <c r="A446" t="s">
        <v>11535</v>
      </c>
      <c r="B446" t="s">
        <v>2248</v>
      </c>
      <c r="C446">
        <v>180</v>
      </c>
      <c r="D446">
        <v>4.3099999999999996</v>
      </c>
      <c r="E446">
        <v>34</v>
      </c>
      <c r="F446" s="240"/>
      <c r="G446" s="6" t="s">
        <v>11525</v>
      </c>
      <c r="I446" t="s">
        <v>11340</v>
      </c>
    </row>
    <row r="447" spans="1:9">
      <c r="A447" t="s">
        <v>11536</v>
      </c>
      <c r="B447" t="s">
        <v>2248</v>
      </c>
      <c r="C447">
        <v>180</v>
      </c>
      <c r="D447">
        <v>4.3099999999999996</v>
      </c>
      <c r="E447">
        <v>34</v>
      </c>
      <c r="F447" s="241"/>
      <c r="G447" s="6" t="s">
        <v>11525</v>
      </c>
      <c r="I447" t="s">
        <v>11340</v>
      </c>
    </row>
    <row r="448" spans="1:9">
      <c r="A448" t="s">
        <v>11537</v>
      </c>
      <c r="B448" t="s">
        <v>2248</v>
      </c>
      <c r="C448">
        <v>180</v>
      </c>
      <c r="D448">
        <v>4.3099999999999996</v>
      </c>
      <c r="E448">
        <v>34</v>
      </c>
      <c r="F448" s="239" t="s">
        <v>11339</v>
      </c>
      <c r="I448" t="s">
        <v>11340</v>
      </c>
    </row>
    <row r="449" spans="1:9">
      <c r="A449" t="s">
        <v>11538</v>
      </c>
      <c r="B449" t="s">
        <v>2248</v>
      </c>
      <c r="C449">
        <v>180</v>
      </c>
      <c r="D449">
        <v>4.3099999999999996</v>
      </c>
      <c r="E449">
        <v>34</v>
      </c>
      <c r="F449" s="240"/>
      <c r="I449" t="s">
        <v>11340</v>
      </c>
    </row>
    <row r="450" spans="1:9">
      <c r="A450" t="s">
        <v>11539</v>
      </c>
      <c r="B450" t="s">
        <v>2248</v>
      </c>
      <c r="C450">
        <v>180</v>
      </c>
      <c r="D450">
        <v>4.3099999999999996</v>
      </c>
      <c r="E450">
        <v>34</v>
      </c>
      <c r="F450" s="240"/>
      <c r="I450" t="s">
        <v>11340</v>
      </c>
    </row>
    <row r="451" spans="1:9">
      <c r="A451" t="s">
        <v>11540</v>
      </c>
      <c r="B451" t="s">
        <v>2248</v>
      </c>
      <c r="C451">
        <v>180</v>
      </c>
      <c r="D451">
        <v>4.3099999999999996</v>
      </c>
      <c r="E451">
        <v>34</v>
      </c>
      <c r="F451" s="240"/>
      <c r="I451" t="s">
        <v>11340</v>
      </c>
    </row>
    <row r="452" spans="1:9">
      <c r="A452" t="s">
        <v>11541</v>
      </c>
      <c r="B452" t="s">
        <v>2248</v>
      </c>
      <c r="C452">
        <v>180</v>
      </c>
      <c r="D452">
        <v>4.3099999999999996</v>
      </c>
      <c r="E452">
        <v>34</v>
      </c>
      <c r="F452" s="240"/>
      <c r="I452" t="s">
        <v>11340</v>
      </c>
    </row>
    <row r="453" spans="1:9">
      <c r="A453" t="s">
        <v>11542</v>
      </c>
      <c r="B453" t="s">
        <v>2248</v>
      </c>
      <c r="C453">
        <v>180</v>
      </c>
      <c r="D453">
        <v>4.3099999999999996</v>
      </c>
      <c r="E453">
        <v>34</v>
      </c>
      <c r="F453" s="240"/>
      <c r="I453" t="s">
        <v>11340</v>
      </c>
    </row>
    <row r="454" spans="1:9">
      <c r="A454" t="s">
        <v>11543</v>
      </c>
      <c r="B454" t="s">
        <v>2248</v>
      </c>
      <c r="C454">
        <v>180</v>
      </c>
      <c r="D454">
        <v>4.3099999999999996</v>
      </c>
      <c r="E454">
        <v>34</v>
      </c>
      <c r="F454" s="240"/>
      <c r="I454" t="s">
        <v>11340</v>
      </c>
    </row>
    <row r="455" spans="1:9">
      <c r="A455" t="s">
        <v>11544</v>
      </c>
      <c r="B455" t="s">
        <v>2248</v>
      </c>
      <c r="C455">
        <v>180</v>
      </c>
      <c r="D455">
        <v>4.3099999999999996</v>
      </c>
      <c r="E455">
        <v>34</v>
      </c>
      <c r="F455" s="241"/>
      <c r="I455" t="s">
        <v>11340</v>
      </c>
    </row>
    <row r="456" spans="1:9">
      <c r="A456" t="s">
        <v>11545</v>
      </c>
      <c r="B456" t="s">
        <v>2248</v>
      </c>
      <c r="C456">
        <v>180</v>
      </c>
      <c r="D456">
        <v>4.3099999999999996</v>
      </c>
      <c r="E456">
        <v>34</v>
      </c>
      <c r="F456" s="239" t="s">
        <v>11339</v>
      </c>
      <c r="I456" t="s">
        <v>11340</v>
      </c>
    </row>
    <row r="457" spans="1:9">
      <c r="A457" t="s">
        <v>11546</v>
      </c>
      <c r="B457" t="s">
        <v>2248</v>
      </c>
      <c r="C457">
        <v>180</v>
      </c>
      <c r="D457">
        <v>4.3099999999999996</v>
      </c>
      <c r="E457">
        <v>34</v>
      </c>
      <c r="F457" s="240"/>
      <c r="I457" t="s">
        <v>11340</v>
      </c>
    </row>
    <row r="458" spans="1:9">
      <c r="A458" t="s">
        <v>11547</v>
      </c>
      <c r="B458" t="s">
        <v>2248</v>
      </c>
      <c r="C458">
        <v>180</v>
      </c>
      <c r="D458">
        <v>4.3099999999999996</v>
      </c>
      <c r="E458">
        <v>34</v>
      </c>
      <c r="F458" s="240"/>
      <c r="I458" t="s">
        <v>11340</v>
      </c>
    </row>
    <row r="459" spans="1:9">
      <c r="A459" t="s">
        <v>11548</v>
      </c>
      <c r="B459" t="s">
        <v>2248</v>
      </c>
      <c r="C459">
        <v>180</v>
      </c>
      <c r="D459">
        <v>4.3099999999999996</v>
      </c>
      <c r="E459">
        <v>34</v>
      </c>
      <c r="F459" s="240"/>
      <c r="I459" t="s">
        <v>11340</v>
      </c>
    </row>
    <row r="460" spans="1:9">
      <c r="A460" t="s">
        <v>11549</v>
      </c>
      <c r="B460" t="s">
        <v>2248</v>
      </c>
      <c r="C460">
        <v>180</v>
      </c>
      <c r="D460">
        <v>4.3099999999999996</v>
      </c>
      <c r="E460">
        <v>34</v>
      </c>
      <c r="F460" s="240"/>
      <c r="I460" t="s">
        <v>11340</v>
      </c>
    </row>
    <row r="461" spans="1:9">
      <c r="A461" t="s">
        <v>11550</v>
      </c>
      <c r="B461" t="s">
        <v>2248</v>
      </c>
      <c r="C461">
        <v>180</v>
      </c>
      <c r="D461">
        <v>4.3099999999999996</v>
      </c>
      <c r="E461">
        <v>34</v>
      </c>
      <c r="F461" s="240"/>
      <c r="I461" t="s">
        <v>11340</v>
      </c>
    </row>
    <row r="462" spans="1:9">
      <c r="A462" t="s">
        <v>11551</v>
      </c>
      <c r="B462" t="s">
        <v>2248</v>
      </c>
      <c r="C462">
        <v>180</v>
      </c>
      <c r="D462">
        <v>4.3099999999999996</v>
      </c>
      <c r="E462">
        <v>34</v>
      </c>
      <c r="F462" s="240"/>
      <c r="I462" t="s">
        <v>11340</v>
      </c>
    </row>
    <row r="463" spans="1:9">
      <c r="A463" t="s">
        <v>11552</v>
      </c>
      <c r="B463" t="s">
        <v>2248</v>
      </c>
      <c r="C463">
        <v>180</v>
      </c>
      <c r="D463">
        <v>4.3099999999999996</v>
      </c>
      <c r="E463">
        <v>34</v>
      </c>
      <c r="F463" s="241"/>
      <c r="I463" t="s">
        <v>11340</v>
      </c>
    </row>
    <row r="464" spans="1:9">
      <c r="A464" t="s">
        <v>11553</v>
      </c>
      <c r="B464" t="s">
        <v>2248</v>
      </c>
      <c r="C464">
        <v>180</v>
      </c>
      <c r="D464">
        <v>4.3099999999999996</v>
      </c>
      <c r="E464">
        <v>34</v>
      </c>
      <c r="F464" s="239" t="s">
        <v>11339</v>
      </c>
      <c r="I464" t="s">
        <v>11340</v>
      </c>
    </row>
    <row r="465" spans="1:9">
      <c r="A465" t="s">
        <v>11554</v>
      </c>
      <c r="B465" t="s">
        <v>2248</v>
      </c>
      <c r="C465">
        <v>180</v>
      </c>
      <c r="D465">
        <v>4.3099999999999996</v>
      </c>
      <c r="E465">
        <v>34</v>
      </c>
      <c r="F465" s="240"/>
      <c r="I465" t="s">
        <v>11340</v>
      </c>
    </row>
    <row r="466" spans="1:9">
      <c r="A466" t="s">
        <v>11555</v>
      </c>
      <c r="B466" t="s">
        <v>2248</v>
      </c>
      <c r="C466">
        <v>180</v>
      </c>
      <c r="D466">
        <v>4.3099999999999996</v>
      </c>
      <c r="E466">
        <v>34</v>
      </c>
      <c r="F466" s="240"/>
      <c r="I466" t="s">
        <v>11340</v>
      </c>
    </row>
    <row r="467" spans="1:9">
      <c r="A467" t="s">
        <v>11556</v>
      </c>
      <c r="B467" t="s">
        <v>2248</v>
      </c>
      <c r="C467">
        <v>180</v>
      </c>
      <c r="D467">
        <v>4.3099999999999996</v>
      </c>
      <c r="E467">
        <v>34</v>
      </c>
      <c r="F467" s="240"/>
      <c r="I467" t="s">
        <v>11340</v>
      </c>
    </row>
    <row r="468" spans="1:9">
      <c r="A468" t="s">
        <v>11557</v>
      </c>
      <c r="B468" t="s">
        <v>2248</v>
      </c>
      <c r="C468">
        <v>180</v>
      </c>
      <c r="D468">
        <v>4.3099999999999996</v>
      </c>
      <c r="E468">
        <v>34</v>
      </c>
      <c r="F468" s="240"/>
      <c r="I468" t="s">
        <v>11340</v>
      </c>
    </row>
    <row r="469" spans="1:9">
      <c r="A469" t="s">
        <v>11558</v>
      </c>
      <c r="B469" t="s">
        <v>2248</v>
      </c>
      <c r="C469">
        <v>180</v>
      </c>
      <c r="D469">
        <v>4.3099999999999996</v>
      </c>
      <c r="E469">
        <v>34</v>
      </c>
      <c r="F469" s="240"/>
      <c r="I469" t="s">
        <v>11340</v>
      </c>
    </row>
    <row r="470" spans="1:9">
      <c r="A470" t="s">
        <v>11559</v>
      </c>
      <c r="B470" t="s">
        <v>2248</v>
      </c>
      <c r="C470">
        <v>180</v>
      </c>
      <c r="D470">
        <v>4.3099999999999996</v>
      </c>
      <c r="E470">
        <v>34</v>
      </c>
      <c r="F470" s="240"/>
      <c r="I470" t="s">
        <v>11340</v>
      </c>
    </row>
    <row r="471" spans="1:9">
      <c r="A471" t="s">
        <v>11560</v>
      </c>
      <c r="B471" t="s">
        <v>2248</v>
      </c>
      <c r="C471">
        <v>180</v>
      </c>
      <c r="D471">
        <v>4.3099999999999996</v>
      </c>
      <c r="E471">
        <v>34</v>
      </c>
      <c r="F471" s="239" t="s">
        <v>11339</v>
      </c>
      <c r="I471" t="s">
        <v>11340</v>
      </c>
    </row>
    <row r="472" spans="1:9">
      <c r="A472" t="s">
        <v>11561</v>
      </c>
      <c r="B472" t="s">
        <v>2248</v>
      </c>
      <c r="C472">
        <v>180</v>
      </c>
      <c r="D472">
        <v>4.3099999999999996</v>
      </c>
      <c r="E472">
        <v>34</v>
      </c>
      <c r="F472" s="240"/>
      <c r="I472" t="s">
        <v>11340</v>
      </c>
    </row>
    <row r="473" spans="1:9">
      <c r="A473" t="s">
        <v>11562</v>
      </c>
      <c r="B473" t="s">
        <v>2248</v>
      </c>
      <c r="C473">
        <v>180</v>
      </c>
      <c r="D473">
        <v>4.3099999999999996</v>
      </c>
      <c r="E473">
        <v>34</v>
      </c>
      <c r="F473" s="240"/>
      <c r="I473" t="s">
        <v>11340</v>
      </c>
    </row>
    <row r="474" spans="1:9">
      <c r="A474" t="s">
        <v>11563</v>
      </c>
      <c r="B474" t="s">
        <v>2248</v>
      </c>
      <c r="C474">
        <v>180</v>
      </c>
      <c r="D474">
        <v>4.3099999999999996</v>
      </c>
      <c r="E474">
        <v>34</v>
      </c>
      <c r="F474" s="240"/>
      <c r="G474" t="s">
        <v>11564</v>
      </c>
      <c r="I474" t="s">
        <v>11340</v>
      </c>
    </row>
    <row r="475" spans="1:9">
      <c r="A475" t="s">
        <v>11565</v>
      </c>
      <c r="B475" t="s">
        <v>2248</v>
      </c>
      <c r="C475">
        <v>180</v>
      </c>
      <c r="D475">
        <v>4.3099999999999996</v>
      </c>
      <c r="E475">
        <v>34</v>
      </c>
      <c r="F475" s="240"/>
      <c r="I475" t="s">
        <v>11340</v>
      </c>
    </row>
    <row r="476" spans="1:9">
      <c r="A476" t="s">
        <v>11566</v>
      </c>
      <c r="B476" t="s">
        <v>2248</v>
      </c>
      <c r="C476">
        <v>180</v>
      </c>
      <c r="D476">
        <v>4.3099999999999996</v>
      </c>
      <c r="E476">
        <v>34</v>
      </c>
      <c r="F476" s="240"/>
      <c r="I476" t="s">
        <v>11340</v>
      </c>
    </row>
    <row r="477" spans="1:9">
      <c r="A477" t="s">
        <v>11567</v>
      </c>
      <c r="B477" t="s">
        <v>2248</v>
      </c>
      <c r="C477">
        <v>180</v>
      </c>
      <c r="D477">
        <v>4.3099999999999996</v>
      </c>
      <c r="E477">
        <v>34</v>
      </c>
      <c r="F477" s="240"/>
      <c r="I477" t="s">
        <v>11340</v>
      </c>
    </row>
    <row r="478" spans="1:9">
      <c r="A478" t="s">
        <v>11568</v>
      </c>
      <c r="B478" t="s">
        <v>2248</v>
      </c>
      <c r="C478">
        <v>180</v>
      </c>
      <c r="D478">
        <v>4.3099999999999996</v>
      </c>
      <c r="E478">
        <v>34</v>
      </c>
      <c r="F478" s="241"/>
      <c r="I478" t="s">
        <v>11340</v>
      </c>
    </row>
    <row r="479" spans="1:9">
      <c r="A479" t="s">
        <v>11569</v>
      </c>
      <c r="B479" t="s">
        <v>2248</v>
      </c>
      <c r="C479">
        <v>180</v>
      </c>
      <c r="D479">
        <v>4.3099999999999996</v>
      </c>
      <c r="E479">
        <v>34</v>
      </c>
      <c r="F479" s="239" t="s">
        <v>11339</v>
      </c>
      <c r="I479" t="s">
        <v>11340</v>
      </c>
    </row>
    <row r="480" spans="1:9">
      <c r="A480" t="s">
        <v>11570</v>
      </c>
      <c r="B480" t="s">
        <v>2248</v>
      </c>
      <c r="C480">
        <v>180</v>
      </c>
      <c r="D480">
        <v>4.3099999999999996</v>
      </c>
      <c r="E480">
        <v>34</v>
      </c>
      <c r="F480" s="240"/>
      <c r="I480" t="s">
        <v>11340</v>
      </c>
    </row>
    <row r="481" spans="1:9">
      <c r="A481" t="s">
        <v>11571</v>
      </c>
      <c r="B481" t="s">
        <v>2248</v>
      </c>
      <c r="C481">
        <v>180</v>
      </c>
      <c r="D481">
        <v>4.3099999999999996</v>
      </c>
      <c r="E481">
        <v>34</v>
      </c>
      <c r="F481" s="240"/>
      <c r="I481" t="s">
        <v>11340</v>
      </c>
    </row>
    <row r="482" spans="1:9">
      <c r="A482" t="s">
        <v>11572</v>
      </c>
      <c r="B482" t="s">
        <v>2248</v>
      </c>
      <c r="C482">
        <v>180</v>
      </c>
      <c r="D482">
        <v>4.3099999999999996</v>
      </c>
      <c r="E482">
        <v>34</v>
      </c>
      <c r="F482" s="240"/>
      <c r="I482" t="s">
        <v>11340</v>
      </c>
    </row>
    <row r="483" spans="1:9">
      <c r="A483" t="s">
        <v>11573</v>
      </c>
      <c r="B483" t="s">
        <v>2248</v>
      </c>
      <c r="C483">
        <v>180</v>
      </c>
      <c r="D483">
        <v>4.3099999999999996</v>
      </c>
      <c r="E483">
        <v>34</v>
      </c>
      <c r="F483" s="240"/>
      <c r="I483" t="s">
        <v>11340</v>
      </c>
    </row>
    <row r="484" spans="1:9">
      <c r="A484" t="s">
        <v>11574</v>
      </c>
      <c r="B484" t="s">
        <v>2248</v>
      </c>
      <c r="C484">
        <v>180</v>
      </c>
      <c r="D484">
        <v>4.3099999999999996</v>
      </c>
      <c r="E484">
        <v>34</v>
      </c>
      <c r="F484" s="240"/>
      <c r="I484" t="s">
        <v>11340</v>
      </c>
    </row>
    <row r="485" spans="1:9">
      <c r="A485" t="s">
        <v>11575</v>
      </c>
      <c r="B485" t="s">
        <v>2248</v>
      </c>
      <c r="C485">
        <v>180</v>
      </c>
      <c r="D485">
        <v>4.3099999999999996</v>
      </c>
      <c r="E485">
        <v>34</v>
      </c>
      <c r="F485" s="240"/>
      <c r="I485" t="s">
        <v>11340</v>
      </c>
    </row>
    <row r="486" spans="1:9">
      <c r="A486" t="s">
        <v>11576</v>
      </c>
      <c r="B486" t="s">
        <v>2248</v>
      </c>
      <c r="C486">
        <v>180</v>
      </c>
      <c r="D486">
        <v>4.3099999999999996</v>
      </c>
      <c r="E486">
        <v>34</v>
      </c>
      <c r="F486" s="241"/>
      <c r="I486" t="s">
        <v>11340</v>
      </c>
    </row>
    <row r="487" spans="1:9">
      <c r="A487" t="s">
        <v>11577</v>
      </c>
      <c r="B487" t="s">
        <v>2248</v>
      </c>
      <c r="C487">
        <v>180</v>
      </c>
      <c r="D487">
        <v>4.3099999999999996</v>
      </c>
      <c r="E487">
        <v>34</v>
      </c>
      <c r="F487" s="239" t="s">
        <v>11339</v>
      </c>
      <c r="I487" t="s">
        <v>11340</v>
      </c>
    </row>
    <row r="488" spans="1:9">
      <c r="A488" t="s">
        <v>11578</v>
      </c>
      <c r="B488" t="s">
        <v>2248</v>
      </c>
      <c r="C488">
        <v>180</v>
      </c>
      <c r="D488">
        <v>4.3099999999999996</v>
      </c>
      <c r="E488">
        <v>34</v>
      </c>
      <c r="F488" s="240"/>
      <c r="I488" t="s">
        <v>11340</v>
      </c>
    </row>
    <row r="489" spans="1:9">
      <c r="A489" t="s">
        <v>11579</v>
      </c>
      <c r="B489" t="s">
        <v>2248</v>
      </c>
      <c r="C489">
        <v>180</v>
      </c>
      <c r="D489">
        <v>4.3099999999999996</v>
      </c>
      <c r="E489">
        <v>34</v>
      </c>
      <c r="F489" s="240"/>
      <c r="I489" t="s">
        <v>11340</v>
      </c>
    </row>
    <row r="490" spans="1:9">
      <c r="A490" t="s">
        <v>11580</v>
      </c>
      <c r="B490" t="s">
        <v>2248</v>
      </c>
      <c r="C490">
        <v>180</v>
      </c>
      <c r="D490">
        <v>4.3099999999999996</v>
      </c>
      <c r="E490">
        <v>34</v>
      </c>
      <c r="F490" s="240"/>
      <c r="I490" t="s">
        <v>11340</v>
      </c>
    </row>
    <row r="491" spans="1:9">
      <c r="A491" t="s">
        <v>11581</v>
      </c>
      <c r="B491" t="s">
        <v>2248</v>
      </c>
      <c r="C491">
        <v>180</v>
      </c>
      <c r="D491">
        <v>4.3099999999999996</v>
      </c>
      <c r="E491">
        <v>34</v>
      </c>
      <c r="F491" s="240"/>
      <c r="I491" t="s">
        <v>11340</v>
      </c>
    </row>
    <row r="492" spans="1:9">
      <c r="A492" t="s">
        <v>11582</v>
      </c>
      <c r="B492" t="s">
        <v>2248</v>
      </c>
      <c r="C492">
        <v>180</v>
      </c>
      <c r="D492">
        <v>4.3099999999999996</v>
      </c>
      <c r="E492">
        <v>34</v>
      </c>
      <c r="F492" s="240"/>
      <c r="I492" t="s">
        <v>11340</v>
      </c>
    </row>
    <row r="493" spans="1:9">
      <c r="A493" t="s">
        <v>11583</v>
      </c>
      <c r="B493" t="s">
        <v>2248</v>
      </c>
      <c r="C493">
        <v>180</v>
      </c>
      <c r="D493">
        <v>4.3099999999999996</v>
      </c>
      <c r="E493">
        <v>34</v>
      </c>
      <c r="F493" s="240"/>
      <c r="I493" t="s">
        <v>11340</v>
      </c>
    </row>
    <row r="494" spans="1:9">
      <c r="A494" t="s">
        <v>11584</v>
      </c>
      <c r="B494" t="s">
        <v>2248</v>
      </c>
      <c r="C494">
        <v>180</v>
      </c>
      <c r="D494">
        <v>4.3099999999999996</v>
      </c>
      <c r="E494">
        <v>34</v>
      </c>
      <c r="F494" s="241"/>
      <c r="I494" t="s">
        <v>11340</v>
      </c>
    </row>
    <row r="495" spans="1:9">
      <c r="A495" t="s">
        <v>11585</v>
      </c>
      <c r="B495" t="s">
        <v>2248</v>
      </c>
      <c r="C495">
        <v>180</v>
      </c>
      <c r="D495">
        <v>4.3099999999999996</v>
      </c>
      <c r="E495">
        <v>34</v>
      </c>
      <c r="F495" s="239" t="s">
        <v>11339</v>
      </c>
      <c r="I495" t="s">
        <v>11340</v>
      </c>
    </row>
    <row r="496" spans="1:9">
      <c r="A496" t="s">
        <v>11586</v>
      </c>
      <c r="B496" t="s">
        <v>2248</v>
      </c>
      <c r="C496">
        <v>180</v>
      </c>
      <c r="D496">
        <v>4.3099999999999996</v>
      </c>
      <c r="E496">
        <v>34</v>
      </c>
      <c r="F496" s="240"/>
      <c r="I496" t="s">
        <v>11340</v>
      </c>
    </row>
    <row r="497" spans="1:9">
      <c r="A497" t="s">
        <v>11587</v>
      </c>
      <c r="B497" t="s">
        <v>2248</v>
      </c>
      <c r="C497">
        <v>180</v>
      </c>
      <c r="D497">
        <v>4.3099999999999996</v>
      </c>
      <c r="E497">
        <v>34</v>
      </c>
      <c r="F497" s="240"/>
      <c r="G497" s="6" t="s">
        <v>11588</v>
      </c>
      <c r="I497" t="s">
        <v>11340</v>
      </c>
    </row>
    <row r="498" spans="1:9">
      <c r="A498" t="s">
        <v>11589</v>
      </c>
      <c r="B498" t="s">
        <v>2248</v>
      </c>
      <c r="C498">
        <v>180</v>
      </c>
      <c r="D498">
        <v>4.3099999999999996</v>
      </c>
      <c r="E498">
        <v>34</v>
      </c>
      <c r="F498" s="240"/>
      <c r="I498" t="s">
        <v>11340</v>
      </c>
    </row>
    <row r="499" spans="1:9">
      <c r="A499" t="s">
        <v>11590</v>
      </c>
      <c r="B499" t="s">
        <v>2248</v>
      </c>
      <c r="C499">
        <v>180</v>
      </c>
      <c r="D499">
        <v>4.3099999999999996</v>
      </c>
      <c r="E499">
        <v>34</v>
      </c>
      <c r="F499" s="240"/>
      <c r="I499" t="s">
        <v>11340</v>
      </c>
    </row>
    <row r="500" spans="1:9">
      <c r="A500" t="s">
        <v>11591</v>
      </c>
      <c r="B500" t="s">
        <v>2248</v>
      </c>
      <c r="C500">
        <v>180</v>
      </c>
      <c r="D500">
        <v>4.3099999999999996</v>
      </c>
      <c r="E500">
        <v>34</v>
      </c>
      <c r="F500" s="240"/>
      <c r="I500" t="s">
        <v>11340</v>
      </c>
    </row>
    <row r="501" spans="1:9">
      <c r="A501" t="s">
        <v>11592</v>
      </c>
      <c r="B501" t="s">
        <v>2248</v>
      </c>
      <c r="C501">
        <v>180</v>
      </c>
      <c r="D501">
        <v>4.3099999999999996</v>
      </c>
      <c r="E501">
        <v>34</v>
      </c>
      <c r="F501" s="240"/>
      <c r="I501" t="s">
        <v>11340</v>
      </c>
    </row>
    <row r="502" spans="1:9">
      <c r="A502" t="s">
        <v>11593</v>
      </c>
      <c r="B502" t="s">
        <v>2248</v>
      </c>
      <c r="C502">
        <v>180</v>
      </c>
      <c r="D502">
        <v>4.3099999999999996</v>
      </c>
      <c r="E502">
        <v>34</v>
      </c>
      <c r="F502" s="241"/>
      <c r="I502" t="s">
        <v>11340</v>
      </c>
    </row>
    <row r="503" spans="1:9">
      <c r="A503" t="s">
        <v>11594</v>
      </c>
      <c r="B503" t="s">
        <v>2248</v>
      </c>
      <c r="C503">
        <v>180</v>
      </c>
      <c r="D503">
        <v>4.3099999999999996</v>
      </c>
      <c r="E503">
        <v>34</v>
      </c>
      <c r="F503" s="239" t="s">
        <v>11339</v>
      </c>
      <c r="I503" t="s">
        <v>11340</v>
      </c>
    </row>
    <row r="504" spans="1:9">
      <c r="A504" t="s">
        <v>11595</v>
      </c>
      <c r="B504" t="s">
        <v>2248</v>
      </c>
      <c r="C504">
        <v>180</v>
      </c>
      <c r="D504">
        <v>4.3099999999999996</v>
      </c>
      <c r="E504">
        <v>34</v>
      </c>
      <c r="F504" s="240"/>
      <c r="I504" t="s">
        <v>11340</v>
      </c>
    </row>
    <row r="505" spans="1:9">
      <c r="A505" t="s">
        <v>11596</v>
      </c>
      <c r="B505" t="s">
        <v>2248</v>
      </c>
      <c r="C505">
        <v>180</v>
      </c>
      <c r="D505">
        <v>4.3099999999999996</v>
      </c>
      <c r="E505">
        <v>34</v>
      </c>
      <c r="F505" s="240"/>
      <c r="I505" t="s">
        <v>11340</v>
      </c>
    </row>
    <row r="506" spans="1:9">
      <c r="A506" t="s">
        <v>11597</v>
      </c>
      <c r="B506" t="s">
        <v>2248</v>
      </c>
      <c r="C506">
        <v>180</v>
      </c>
      <c r="D506">
        <v>4.3099999999999996</v>
      </c>
      <c r="E506">
        <v>34</v>
      </c>
      <c r="F506" s="240"/>
      <c r="I506" t="s">
        <v>11340</v>
      </c>
    </row>
    <row r="507" spans="1:9">
      <c r="A507" t="s">
        <v>11598</v>
      </c>
      <c r="B507" t="s">
        <v>2248</v>
      </c>
      <c r="C507">
        <v>180</v>
      </c>
      <c r="D507">
        <v>4.3099999999999996</v>
      </c>
      <c r="E507">
        <v>34</v>
      </c>
      <c r="F507" s="240"/>
      <c r="I507" t="s">
        <v>11340</v>
      </c>
    </row>
    <row r="508" spans="1:9">
      <c r="A508" t="s">
        <v>11599</v>
      </c>
      <c r="B508" t="s">
        <v>2248</v>
      </c>
      <c r="C508">
        <v>180</v>
      </c>
      <c r="D508">
        <v>4.3099999999999996</v>
      </c>
      <c r="E508">
        <v>34</v>
      </c>
      <c r="F508" s="240"/>
      <c r="I508" t="s">
        <v>11340</v>
      </c>
    </row>
    <row r="509" spans="1:9">
      <c r="A509" t="s">
        <v>11600</v>
      </c>
      <c r="B509" t="s">
        <v>2248</v>
      </c>
      <c r="C509">
        <v>180</v>
      </c>
      <c r="D509">
        <v>4.3099999999999996</v>
      </c>
      <c r="E509">
        <v>34</v>
      </c>
      <c r="F509" s="240"/>
      <c r="I509" t="s">
        <v>11340</v>
      </c>
    </row>
    <row r="510" spans="1:9">
      <c r="A510" t="s">
        <v>11601</v>
      </c>
      <c r="B510" t="s">
        <v>2248</v>
      </c>
      <c r="C510">
        <v>180</v>
      </c>
      <c r="D510">
        <v>4.3099999999999996</v>
      </c>
      <c r="E510">
        <v>34</v>
      </c>
      <c r="F510" s="241"/>
      <c r="I510" t="s">
        <v>11340</v>
      </c>
    </row>
    <row r="511" spans="1:9">
      <c r="A511" t="s">
        <v>11602</v>
      </c>
      <c r="B511" t="s">
        <v>2248</v>
      </c>
      <c r="C511">
        <v>180</v>
      </c>
      <c r="D511">
        <v>4.3099999999999996</v>
      </c>
      <c r="E511">
        <v>34</v>
      </c>
      <c r="F511" s="239" t="s">
        <v>11339</v>
      </c>
      <c r="I511" t="s">
        <v>11340</v>
      </c>
    </row>
    <row r="512" spans="1:9">
      <c r="A512" t="s">
        <v>11603</v>
      </c>
      <c r="B512" t="s">
        <v>2248</v>
      </c>
      <c r="C512">
        <v>180</v>
      </c>
      <c r="D512">
        <v>4.3099999999999996</v>
      </c>
      <c r="E512">
        <v>34</v>
      </c>
      <c r="F512" s="240"/>
      <c r="I512" t="s">
        <v>11340</v>
      </c>
    </row>
    <row r="513" spans="1:9">
      <c r="A513" t="s">
        <v>11604</v>
      </c>
      <c r="B513" t="s">
        <v>2248</v>
      </c>
      <c r="C513">
        <v>180</v>
      </c>
      <c r="D513">
        <v>4.3099999999999996</v>
      </c>
      <c r="E513">
        <v>34</v>
      </c>
      <c r="F513" s="240"/>
      <c r="I513" t="s">
        <v>11340</v>
      </c>
    </row>
    <row r="514" spans="1:9">
      <c r="A514" t="s">
        <v>11605</v>
      </c>
      <c r="B514" t="s">
        <v>2248</v>
      </c>
      <c r="C514">
        <v>180</v>
      </c>
      <c r="D514">
        <v>4.3099999999999996</v>
      </c>
      <c r="E514">
        <v>34</v>
      </c>
      <c r="F514" s="240"/>
      <c r="I514" t="s">
        <v>11340</v>
      </c>
    </row>
    <row r="515" spans="1:9">
      <c r="A515" t="s">
        <v>11606</v>
      </c>
      <c r="B515" t="s">
        <v>2248</v>
      </c>
      <c r="C515">
        <v>180</v>
      </c>
      <c r="D515">
        <v>4.3099999999999996</v>
      </c>
      <c r="E515">
        <v>34</v>
      </c>
      <c r="F515" s="240"/>
      <c r="I515" t="s">
        <v>11340</v>
      </c>
    </row>
    <row r="516" spans="1:9">
      <c r="A516" t="s">
        <v>11607</v>
      </c>
      <c r="B516" t="s">
        <v>2248</v>
      </c>
      <c r="C516">
        <v>180</v>
      </c>
      <c r="D516">
        <v>4.3099999999999996</v>
      </c>
      <c r="E516">
        <v>34</v>
      </c>
      <c r="F516" s="240"/>
      <c r="I516" t="s">
        <v>11340</v>
      </c>
    </row>
    <row r="517" spans="1:9">
      <c r="A517" t="s">
        <v>11608</v>
      </c>
      <c r="B517" t="s">
        <v>2248</v>
      </c>
      <c r="C517">
        <v>180</v>
      </c>
      <c r="D517">
        <v>4.3099999999999996</v>
      </c>
      <c r="E517">
        <v>34</v>
      </c>
      <c r="F517" s="240"/>
      <c r="I517" t="s">
        <v>11340</v>
      </c>
    </row>
    <row r="518" spans="1:9">
      <c r="A518" t="s">
        <v>11609</v>
      </c>
      <c r="B518" t="s">
        <v>2248</v>
      </c>
      <c r="C518">
        <v>180</v>
      </c>
      <c r="D518">
        <v>4.3099999999999996</v>
      </c>
      <c r="E518">
        <v>34</v>
      </c>
      <c r="F518" s="241"/>
      <c r="I518" t="s">
        <v>11340</v>
      </c>
    </row>
    <row r="519" spans="1:9">
      <c r="A519" t="s">
        <v>11610</v>
      </c>
      <c r="B519" t="s">
        <v>2248</v>
      </c>
      <c r="C519">
        <v>180</v>
      </c>
      <c r="D519">
        <v>4.3099999999999996</v>
      </c>
      <c r="E519">
        <v>34</v>
      </c>
      <c r="F519" s="239" t="s">
        <v>11339</v>
      </c>
      <c r="I519" t="s">
        <v>11340</v>
      </c>
    </row>
    <row r="520" spans="1:9">
      <c r="A520" t="s">
        <v>11611</v>
      </c>
      <c r="B520" t="s">
        <v>2248</v>
      </c>
      <c r="C520">
        <v>180</v>
      </c>
      <c r="D520">
        <v>4.3099999999999996</v>
      </c>
      <c r="E520">
        <v>34</v>
      </c>
      <c r="F520" s="240"/>
      <c r="I520" t="s">
        <v>11340</v>
      </c>
    </row>
    <row r="521" spans="1:9">
      <c r="A521" t="s">
        <v>11612</v>
      </c>
      <c r="B521" t="s">
        <v>2248</v>
      </c>
      <c r="C521">
        <v>180</v>
      </c>
      <c r="D521">
        <v>4.3099999999999996</v>
      </c>
      <c r="E521">
        <v>34</v>
      </c>
      <c r="F521" s="240"/>
      <c r="I521" t="s">
        <v>11340</v>
      </c>
    </row>
    <row r="522" spans="1:9">
      <c r="A522" t="s">
        <v>11613</v>
      </c>
      <c r="B522" t="s">
        <v>2248</v>
      </c>
      <c r="C522">
        <v>180</v>
      </c>
      <c r="D522">
        <v>4.3099999999999996</v>
      </c>
      <c r="E522">
        <v>34</v>
      </c>
      <c r="F522" s="240"/>
      <c r="I522" t="s">
        <v>11340</v>
      </c>
    </row>
    <row r="523" spans="1:9">
      <c r="A523" t="s">
        <v>11614</v>
      </c>
      <c r="B523" t="s">
        <v>2248</v>
      </c>
      <c r="C523">
        <v>180</v>
      </c>
      <c r="D523">
        <v>4.3099999999999996</v>
      </c>
      <c r="E523">
        <v>34</v>
      </c>
      <c r="F523" s="240"/>
      <c r="I523" t="s">
        <v>11340</v>
      </c>
    </row>
    <row r="524" spans="1:9">
      <c r="A524" t="s">
        <v>11615</v>
      </c>
      <c r="B524" t="s">
        <v>2248</v>
      </c>
      <c r="C524">
        <v>180</v>
      </c>
      <c r="D524">
        <v>4.3099999999999996</v>
      </c>
      <c r="E524">
        <v>34</v>
      </c>
      <c r="F524" s="240"/>
      <c r="I524" t="s">
        <v>11340</v>
      </c>
    </row>
    <row r="525" spans="1:9">
      <c r="A525" t="s">
        <v>11616</v>
      </c>
      <c r="B525" t="s">
        <v>2248</v>
      </c>
      <c r="C525">
        <v>180</v>
      </c>
      <c r="D525">
        <v>4.3099999999999996</v>
      </c>
      <c r="E525">
        <v>34</v>
      </c>
      <c r="F525" s="240"/>
      <c r="I525" t="s">
        <v>11340</v>
      </c>
    </row>
    <row r="526" spans="1:9">
      <c r="A526" t="s">
        <v>11617</v>
      </c>
      <c r="B526" t="s">
        <v>2248</v>
      </c>
      <c r="C526">
        <v>180</v>
      </c>
      <c r="D526">
        <v>4.3099999999999996</v>
      </c>
      <c r="E526">
        <v>34</v>
      </c>
      <c r="F526" s="239" t="s">
        <v>11339</v>
      </c>
      <c r="I526" t="s">
        <v>11340</v>
      </c>
    </row>
    <row r="527" spans="1:9">
      <c r="A527" t="s">
        <v>11618</v>
      </c>
      <c r="B527" t="s">
        <v>2248</v>
      </c>
      <c r="C527">
        <v>180</v>
      </c>
      <c r="D527">
        <v>4.3099999999999996</v>
      </c>
      <c r="E527">
        <v>34</v>
      </c>
      <c r="F527" s="240"/>
      <c r="I527" t="s">
        <v>11340</v>
      </c>
    </row>
    <row r="528" spans="1:9">
      <c r="A528" t="s">
        <v>11619</v>
      </c>
      <c r="B528" t="s">
        <v>2248</v>
      </c>
      <c r="C528">
        <v>180</v>
      </c>
      <c r="D528">
        <v>4.3099999999999996</v>
      </c>
      <c r="E528">
        <v>34</v>
      </c>
      <c r="F528" s="240"/>
      <c r="I528" t="s">
        <v>11340</v>
      </c>
    </row>
    <row r="529" spans="1:9">
      <c r="A529" t="s">
        <v>11620</v>
      </c>
      <c r="B529" t="s">
        <v>2248</v>
      </c>
      <c r="C529">
        <v>180</v>
      </c>
      <c r="D529">
        <v>4.3099999999999996</v>
      </c>
      <c r="E529">
        <v>34</v>
      </c>
      <c r="F529" s="240"/>
      <c r="I529" t="s">
        <v>11340</v>
      </c>
    </row>
    <row r="530" spans="1:9">
      <c r="A530" t="s">
        <v>11621</v>
      </c>
      <c r="B530" t="s">
        <v>2248</v>
      </c>
      <c r="C530">
        <v>180</v>
      </c>
      <c r="D530">
        <v>4.3099999999999996</v>
      </c>
      <c r="E530">
        <v>34</v>
      </c>
      <c r="F530" s="240"/>
      <c r="I530" t="s">
        <v>11340</v>
      </c>
    </row>
    <row r="531" spans="1:9">
      <c r="A531" t="s">
        <v>11622</v>
      </c>
      <c r="B531" t="s">
        <v>2248</v>
      </c>
      <c r="C531">
        <v>180</v>
      </c>
      <c r="D531">
        <v>4.3099999999999996</v>
      </c>
      <c r="E531">
        <v>34</v>
      </c>
      <c r="F531" s="240"/>
      <c r="I531" t="s">
        <v>11340</v>
      </c>
    </row>
    <row r="532" spans="1:9">
      <c r="A532" t="s">
        <v>11623</v>
      </c>
      <c r="B532" t="s">
        <v>2248</v>
      </c>
      <c r="C532">
        <v>180</v>
      </c>
      <c r="D532">
        <v>4.3099999999999996</v>
      </c>
      <c r="E532">
        <v>34</v>
      </c>
      <c r="F532" s="240"/>
      <c r="I532" t="s">
        <v>11340</v>
      </c>
    </row>
    <row r="533" spans="1:9">
      <c r="A533" t="s">
        <v>11624</v>
      </c>
      <c r="B533" t="s">
        <v>2248</v>
      </c>
      <c r="C533">
        <v>180</v>
      </c>
      <c r="D533">
        <v>4.3099999999999996</v>
      </c>
      <c r="E533">
        <v>34</v>
      </c>
      <c r="F533" s="241"/>
      <c r="I533" t="s">
        <v>11340</v>
      </c>
    </row>
    <row r="534" spans="1:9">
      <c r="A534" t="s">
        <v>11625</v>
      </c>
      <c r="B534" t="s">
        <v>2248</v>
      </c>
      <c r="C534">
        <v>180</v>
      </c>
      <c r="D534">
        <v>4.3099999999999996</v>
      </c>
      <c r="E534">
        <v>34</v>
      </c>
      <c r="F534" s="239" t="s">
        <v>11339</v>
      </c>
      <c r="I534" t="s">
        <v>11340</v>
      </c>
    </row>
    <row r="535" spans="1:9">
      <c r="A535" t="s">
        <v>11626</v>
      </c>
      <c r="B535" t="s">
        <v>2248</v>
      </c>
      <c r="C535">
        <v>180</v>
      </c>
      <c r="D535">
        <v>4.3099999999999996</v>
      </c>
      <c r="E535">
        <v>34</v>
      </c>
      <c r="F535" s="240"/>
      <c r="I535" t="s">
        <v>11340</v>
      </c>
    </row>
    <row r="536" spans="1:9">
      <c r="A536" t="s">
        <v>11627</v>
      </c>
      <c r="B536" t="s">
        <v>2248</v>
      </c>
      <c r="C536">
        <v>180</v>
      </c>
      <c r="D536">
        <v>4.3099999999999996</v>
      </c>
      <c r="E536">
        <v>34</v>
      </c>
      <c r="F536" s="240"/>
      <c r="I536" t="s">
        <v>11340</v>
      </c>
    </row>
    <row r="537" spans="1:9">
      <c r="A537" t="s">
        <v>11628</v>
      </c>
      <c r="B537" t="s">
        <v>2248</v>
      </c>
      <c r="C537">
        <v>180</v>
      </c>
      <c r="D537">
        <v>4.3099999999999996</v>
      </c>
      <c r="E537">
        <v>34</v>
      </c>
      <c r="F537" s="240"/>
      <c r="I537" t="s">
        <v>11340</v>
      </c>
    </row>
    <row r="538" spans="1:9">
      <c r="A538" t="s">
        <v>11629</v>
      </c>
      <c r="B538" t="s">
        <v>2248</v>
      </c>
      <c r="C538">
        <v>180</v>
      </c>
      <c r="D538">
        <v>4.3099999999999996</v>
      </c>
      <c r="E538">
        <v>34</v>
      </c>
      <c r="F538" s="240"/>
      <c r="I538" t="s">
        <v>11340</v>
      </c>
    </row>
    <row r="539" spans="1:9">
      <c r="A539" t="s">
        <v>11630</v>
      </c>
      <c r="B539" t="s">
        <v>2248</v>
      </c>
      <c r="C539">
        <v>180</v>
      </c>
      <c r="D539">
        <v>4.3099999999999996</v>
      </c>
      <c r="E539">
        <v>34</v>
      </c>
      <c r="F539" s="240"/>
      <c r="I539" t="s">
        <v>11340</v>
      </c>
    </row>
    <row r="540" spans="1:9">
      <c r="A540" t="s">
        <v>11631</v>
      </c>
      <c r="B540" t="s">
        <v>2248</v>
      </c>
      <c r="C540">
        <v>180</v>
      </c>
      <c r="D540">
        <v>4.3099999999999996</v>
      </c>
      <c r="E540">
        <v>34</v>
      </c>
      <c r="F540" s="240"/>
      <c r="I540" t="s">
        <v>11340</v>
      </c>
    </row>
    <row r="541" spans="1:9">
      <c r="A541" t="s">
        <v>11632</v>
      </c>
      <c r="B541" t="s">
        <v>2248</v>
      </c>
      <c r="C541">
        <v>180</v>
      </c>
      <c r="D541">
        <v>4.3099999999999996</v>
      </c>
      <c r="E541">
        <v>34</v>
      </c>
      <c r="F541" s="241"/>
      <c r="I541" t="s">
        <v>11340</v>
      </c>
    </row>
    <row r="542" spans="1:9">
      <c r="A542" t="s">
        <v>11633</v>
      </c>
      <c r="B542" t="s">
        <v>2248</v>
      </c>
      <c r="C542">
        <v>180</v>
      </c>
      <c r="D542">
        <v>4.3099999999999996</v>
      </c>
      <c r="E542">
        <v>34</v>
      </c>
      <c r="F542" s="239" t="s">
        <v>11339</v>
      </c>
      <c r="I542" t="s">
        <v>11340</v>
      </c>
    </row>
    <row r="543" spans="1:9">
      <c r="A543" t="s">
        <v>11634</v>
      </c>
      <c r="B543" t="s">
        <v>2248</v>
      </c>
      <c r="C543">
        <v>180</v>
      </c>
      <c r="D543">
        <v>4.3099999999999996</v>
      </c>
      <c r="E543">
        <v>34</v>
      </c>
      <c r="F543" s="240"/>
      <c r="I543" t="s">
        <v>11340</v>
      </c>
    </row>
    <row r="544" spans="1:9">
      <c r="A544" t="s">
        <v>11635</v>
      </c>
      <c r="B544" t="s">
        <v>2248</v>
      </c>
      <c r="C544">
        <v>180</v>
      </c>
      <c r="D544">
        <v>4.3099999999999996</v>
      </c>
      <c r="E544">
        <v>34</v>
      </c>
      <c r="F544" s="240"/>
      <c r="I544" t="s">
        <v>11340</v>
      </c>
    </row>
    <row r="545" spans="1:9">
      <c r="A545" t="s">
        <v>11636</v>
      </c>
      <c r="B545" t="s">
        <v>2248</v>
      </c>
      <c r="C545">
        <v>180</v>
      </c>
      <c r="D545">
        <v>4.3099999999999996</v>
      </c>
      <c r="E545">
        <v>34</v>
      </c>
      <c r="F545" s="240"/>
      <c r="I545" t="s">
        <v>11340</v>
      </c>
    </row>
    <row r="546" spans="1:9">
      <c r="A546" t="s">
        <v>11637</v>
      </c>
      <c r="B546" t="s">
        <v>2248</v>
      </c>
      <c r="C546">
        <v>180</v>
      </c>
      <c r="D546">
        <v>4.3099999999999996</v>
      </c>
      <c r="E546">
        <v>34</v>
      </c>
      <c r="F546" s="240"/>
      <c r="I546" t="s">
        <v>11340</v>
      </c>
    </row>
    <row r="547" spans="1:9">
      <c r="A547" t="s">
        <v>11638</v>
      </c>
      <c r="B547" t="s">
        <v>2248</v>
      </c>
      <c r="C547">
        <v>180</v>
      </c>
      <c r="D547">
        <v>4.3099999999999996</v>
      </c>
      <c r="E547">
        <v>34</v>
      </c>
      <c r="F547" s="240"/>
      <c r="I547" t="s">
        <v>11340</v>
      </c>
    </row>
    <row r="548" spans="1:9">
      <c r="A548" t="s">
        <v>11639</v>
      </c>
      <c r="B548" t="s">
        <v>2248</v>
      </c>
      <c r="C548">
        <v>180</v>
      </c>
      <c r="D548">
        <v>4.3099999999999996</v>
      </c>
      <c r="E548">
        <v>34</v>
      </c>
      <c r="F548" s="240"/>
      <c r="I548" t="s">
        <v>11340</v>
      </c>
    </row>
    <row r="549" spans="1:9">
      <c r="A549" t="s">
        <v>11640</v>
      </c>
      <c r="B549" t="s">
        <v>2248</v>
      </c>
      <c r="C549">
        <v>180</v>
      </c>
      <c r="D549">
        <v>4.3099999999999996</v>
      </c>
      <c r="E549">
        <v>34</v>
      </c>
      <c r="F549" s="241"/>
      <c r="I549" t="s">
        <v>11340</v>
      </c>
    </row>
    <row r="550" spans="1:9">
      <c r="A550" t="s">
        <v>11641</v>
      </c>
      <c r="B550" t="s">
        <v>11011</v>
      </c>
      <c r="C550">
        <v>180</v>
      </c>
      <c r="D550">
        <v>2.4900000000000002</v>
      </c>
      <c r="E550">
        <v>50</v>
      </c>
      <c r="F550" s="239" t="s">
        <v>11339</v>
      </c>
      <c r="I550" t="s">
        <v>11340</v>
      </c>
    </row>
    <row r="551" spans="1:9">
      <c r="A551" t="s">
        <v>11642</v>
      </c>
      <c r="B551" t="s">
        <v>11011</v>
      </c>
      <c r="C551">
        <v>180</v>
      </c>
      <c r="D551">
        <v>2.4900000000000002</v>
      </c>
      <c r="E551">
        <v>50</v>
      </c>
      <c r="F551" s="239" t="s">
        <v>11339</v>
      </c>
      <c r="I551" t="s">
        <v>11340</v>
      </c>
    </row>
    <row r="552" spans="1:9">
      <c r="A552" t="s">
        <v>11643</v>
      </c>
      <c r="B552" t="s">
        <v>11011</v>
      </c>
      <c r="C552">
        <v>180</v>
      </c>
      <c r="D552">
        <v>2.4900000000000002</v>
      </c>
      <c r="E552">
        <v>50</v>
      </c>
      <c r="F552" s="240"/>
      <c r="I552" t="s">
        <v>11340</v>
      </c>
    </row>
    <row r="553" spans="1:9">
      <c r="A553" t="s">
        <v>11644</v>
      </c>
      <c r="B553" t="s">
        <v>11011</v>
      </c>
      <c r="C553">
        <v>180</v>
      </c>
      <c r="D553">
        <v>2.4900000000000002</v>
      </c>
      <c r="E553">
        <v>50</v>
      </c>
      <c r="F553" s="240"/>
      <c r="I553" t="s">
        <v>11340</v>
      </c>
    </row>
    <row r="554" spans="1:9">
      <c r="A554" t="s">
        <v>11645</v>
      </c>
      <c r="B554" t="s">
        <v>11011</v>
      </c>
      <c r="C554">
        <v>180</v>
      </c>
      <c r="D554">
        <v>2.4900000000000002</v>
      </c>
      <c r="E554">
        <v>50</v>
      </c>
      <c r="F554" s="240"/>
      <c r="I554" t="s">
        <v>11340</v>
      </c>
    </row>
    <row r="555" spans="1:9">
      <c r="A555" t="s">
        <v>11646</v>
      </c>
      <c r="B555" t="s">
        <v>11011</v>
      </c>
      <c r="C555">
        <v>180</v>
      </c>
      <c r="D555">
        <v>2.4900000000000002</v>
      </c>
      <c r="E555">
        <v>50</v>
      </c>
      <c r="F555" s="240"/>
      <c r="I555" t="s">
        <v>11340</v>
      </c>
    </row>
    <row r="556" spans="1:9">
      <c r="A556" t="s">
        <v>11647</v>
      </c>
      <c r="B556" t="s">
        <v>11011</v>
      </c>
      <c r="C556">
        <v>180</v>
      </c>
      <c r="D556">
        <v>2.4900000000000002</v>
      </c>
      <c r="E556">
        <v>50</v>
      </c>
      <c r="F556" s="240"/>
      <c r="I556" t="s">
        <v>11340</v>
      </c>
    </row>
    <row r="557" spans="1:9">
      <c r="A557" t="s">
        <v>11648</v>
      </c>
      <c r="B557" t="s">
        <v>11011</v>
      </c>
      <c r="C557">
        <v>180</v>
      </c>
      <c r="D557">
        <v>2.4900000000000002</v>
      </c>
      <c r="E557">
        <v>50</v>
      </c>
      <c r="F557" s="240"/>
      <c r="I557" t="s">
        <v>11340</v>
      </c>
    </row>
    <row r="558" spans="1:9">
      <c r="A558" t="s">
        <v>11649</v>
      </c>
      <c r="B558" t="s">
        <v>11011</v>
      </c>
      <c r="C558">
        <v>180</v>
      </c>
      <c r="D558">
        <v>2.4900000000000002</v>
      </c>
      <c r="E558">
        <v>50</v>
      </c>
      <c r="F558" s="241"/>
      <c r="I558" t="s">
        <v>11340</v>
      </c>
    </row>
    <row r="559" spans="1:9">
      <c r="A559" t="s">
        <v>11650</v>
      </c>
      <c r="B559" t="s">
        <v>11011</v>
      </c>
      <c r="C559">
        <v>180</v>
      </c>
      <c r="D559">
        <v>2.4900000000000002</v>
      </c>
      <c r="E559">
        <v>50</v>
      </c>
      <c r="F559" s="239" t="s">
        <v>11339</v>
      </c>
      <c r="I559" t="s">
        <v>11340</v>
      </c>
    </row>
    <row r="560" spans="1:9">
      <c r="A560" t="s">
        <v>11651</v>
      </c>
      <c r="B560" t="s">
        <v>11011</v>
      </c>
      <c r="C560">
        <v>180</v>
      </c>
      <c r="D560">
        <v>2.4900000000000002</v>
      </c>
      <c r="E560">
        <v>50</v>
      </c>
      <c r="F560" s="240"/>
      <c r="I560" t="s">
        <v>11340</v>
      </c>
    </row>
    <row r="561" spans="1:9">
      <c r="A561" t="s">
        <v>11652</v>
      </c>
      <c r="B561" t="s">
        <v>11011</v>
      </c>
      <c r="C561">
        <v>180</v>
      </c>
      <c r="D561">
        <v>2.4900000000000002</v>
      </c>
      <c r="E561">
        <v>50</v>
      </c>
      <c r="F561" s="240"/>
      <c r="I561" t="s">
        <v>11340</v>
      </c>
    </row>
    <row r="562" spans="1:9">
      <c r="A562" t="s">
        <v>11653</v>
      </c>
      <c r="B562" t="s">
        <v>11011</v>
      </c>
      <c r="C562">
        <v>180</v>
      </c>
      <c r="D562">
        <v>2.4900000000000002</v>
      </c>
      <c r="E562">
        <v>50</v>
      </c>
      <c r="F562" s="240"/>
      <c r="I562" t="s">
        <v>11340</v>
      </c>
    </row>
    <row r="563" spans="1:9">
      <c r="A563" t="s">
        <v>11654</v>
      </c>
      <c r="B563" t="s">
        <v>11011</v>
      </c>
      <c r="C563">
        <v>180</v>
      </c>
      <c r="D563">
        <v>2.4900000000000002</v>
      </c>
      <c r="E563">
        <v>50</v>
      </c>
      <c r="F563" s="240"/>
      <c r="I563" t="s">
        <v>11340</v>
      </c>
    </row>
    <row r="564" spans="1:9">
      <c r="A564" t="s">
        <v>11655</v>
      </c>
      <c r="B564" t="s">
        <v>11011</v>
      </c>
      <c r="C564">
        <v>180</v>
      </c>
      <c r="D564">
        <v>2.4900000000000002</v>
      </c>
      <c r="E564">
        <v>50</v>
      </c>
      <c r="F564" s="239" t="s">
        <v>11339</v>
      </c>
      <c r="I564" t="s">
        <v>11340</v>
      </c>
    </row>
    <row r="565" spans="1:9">
      <c r="A565" t="s">
        <v>11656</v>
      </c>
      <c r="B565" t="s">
        <v>11011</v>
      </c>
      <c r="C565">
        <v>180</v>
      </c>
      <c r="D565">
        <v>2.4900000000000002</v>
      </c>
      <c r="E565">
        <v>50</v>
      </c>
      <c r="F565" s="240"/>
      <c r="I565" t="s">
        <v>11340</v>
      </c>
    </row>
    <row r="566" spans="1:9">
      <c r="A566" t="s">
        <v>11657</v>
      </c>
      <c r="B566" t="s">
        <v>11011</v>
      </c>
      <c r="C566">
        <v>180</v>
      </c>
      <c r="D566">
        <v>2.4900000000000002</v>
      </c>
      <c r="E566">
        <v>50</v>
      </c>
      <c r="F566" s="240"/>
      <c r="I566" t="s">
        <v>11340</v>
      </c>
    </row>
    <row r="567" spans="1:9">
      <c r="A567" t="s">
        <v>11658</v>
      </c>
      <c r="B567" t="s">
        <v>11011</v>
      </c>
      <c r="C567">
        <v>180</v>
      </c>
      <c r="D567">
        <v>2.4900000000000002</v>
      </c>
      <c r="E567">
        <v>50</v>
      </c>
      <c r="F567" s="240"/>
      <c r="I567" t="s">
        <v>11340</v>
      </c>
    </row>
    <row r="568" spans="1:9">
      <c r="A568" t="s">
        <v>11659</v>
      </c>
      <c r="B568" t="s">
        <v>11011</v>
      </c>
      <c r="C568">
        <v>180</v>
      </c>
      <c r="D568">
        <v>2.4900000000000002</v>
      </c>
      <c r="E568">
        <v>50</v>
      </c>
      <c r="F568" s="240"/>
      <c r="I568" t="s">
        <v>11340</v>
      </c>
    </row>
    <row r="569" spans="1:9">
      <c r="A569" t="s">
        <v>11660</v>
      </c>
      <c r="B569" t="s">
        <v>11011</v>
      </c>
      <c r="C569">
        <v>180</v>
      </c>
      <c r="D569">
        <v>2.4900000000000002</v>
      </c>
      <c r="E569">
        <v>50</v>
      </c>
      <c r="F569" s="240"/>
      <c r="I569" t="s">
        <v>11340</v>
      </c>
    </row>
    <row r="570" spans="1:9">
      <c r="A570" t="s">
        <v>11661</v>
      </c>
      <c r="B570" t="s">
        <v>11011</v>
      </c>
      <c r="C570">
        <v>180</v>
      </c>
      <c r="D570">
        <v>2.4900000000000002</v>
      </c>
      <c r="E570">
        <v>50</v>
      </c>
      <c r="F570" s="240"/>
      <c r="I570" t="s">
        <v>11340</v>
      </c>
    </row>
    <row r="571" spans="1:9">
      <c r="A571" t="s">
        <v>11662</v>
      </c>
      <c r="B571" t="s">
        <v>11011</v>
      </c>
      <c r="C571">
        <v>180</v>
      </c>
      <c r="D571">
        <v>2.4900000000000002</v>
      </c>
      <c r="E571">
        <v>50</v>
      </c>
      <c r="F571" s="241"/>
      <c r="I571" t="s">
        <v>11340</v>
      </c>
    </row>
    <row r="572" spans="1:9">
      <c r="A572" t="s">
        <v>11663</v>
      </c>
      <c r="B572" t="s">
        <v>11011</v>
      </c>
      <c r="C572">
        <v>180</v>
      </c>
      <c r="D572">
        <v>2.4900000000000002</v>
      </c>
      <c r="E572">
        <v>50</v>
      </c>
      <c r="F572" s="239" t="s">
        <v>11339</v>
      </c>
      <c r="I572" t="s">
        <v>11340</v>
      </c>
    </row>
    <row r="573" spans="1:9">
      <c r="A573" t="s">
        <v>11664</v>
      </c>
      <c r="B573" t="s">
        <v>11011</v>
      </c>
      <c r="C573">
        <v>180</v>
      </c>
      <c r="D573">
        <v>2.4900000000000002</v>
      </c>
      <c r="E573">
        <v>50</v>
      </c>
      <c r="F573" s="240"/>
      <c r="I573" t="s">
        <v>11340</v>
      </c>
    </row>
    <row r="574" spans="1:9">
      <c r="A574" t="s">
        <v>11665</v>
      </c>
      <c r="B574" t="s">
        <v>11011</v>
      </c>
      <c r="C574">
        <v>180</v>
      </c>
      <c r="D574">
        <v>2.4900000000000002</v>
      </c>
      <c r="E574">
        <v>50</v>
      </c>
      <c r="F574" s="240"/>
      <c r="I574" t="s">
        <v>11340</v>
      </c>
    </row>
    <row r="575" spans="1:9">
      <c r="A575" t="s">
        <v>11666</v>
      </c>
      <c r="B575" t="s">
        <v>11011</v>
      </c>
      <c r="C575">
        <v>180</v>
      </c>
      <c r="D575">
        <v>2.4900000000000002</v>
      </c>
      <c r="E575">
        <v>50</v>
      </c>
      <c r="F575" s="240"/>
      <c r="I575" t="s">
        <v>11340</v>
      </c>
    </row>
    <row r="576" spans="1:9">
      <c r="A576" t="s">
        <v>11667</v>
      </c>
      <c r="B576" t="s">
        <v>11011</v>
      </c>
      <c r="C576">
        <v>180</v>
      </c>
      <c r="D576">
        <v>2.4900000000000002</v>
      </c>
      <c r="E576">
        <v>50</v>
      </c>
      <c r="F576" s="240"/>
      <c r="I576" t="s">
        <v>11340</v>
      </c>
    </row>
    <row r="577" spans="1:9">
      <c r="A577" t="s">
        <v>11668</v>
      </c>
      <c r="B577" t="s">
        <v>11011</v>
      </c>
      <c r="C577">
        <v>180</v>
      </c>
      <c r="D577">
        <v>2.4900000000000002</v>
      </c>
      <c r="E577">
        <v>50</v>
      </c>
      <c r="F577" s="240"/>
      <c r="I577" t="s">
        <v>11340</v>
      </c>
    </row>
    <row r="578" spans="1:9">
      <c r="A578" t="s">
        <v>11669</v>
      </c>
      <c r="B578" t="s">
        <v>11011</v>
      </c>
      <c r="C578">
        <v>180</v>
      </c>
      <c r="D578">
        <v>2.4900000000000002</v>
      </c>
      <c r="E578">
        <v>50</v>
      </c>
      <c r="F578" s="240"/>
      <c r="I578" t="s">
        <v>11340</v>
      </c>
    </row>
    <row r="579" spans="1:9">
      <c r="A579" t="s">
        <v>11670</v>
      </c>
      <c r="B579" t="s">
        <v>11011</v>
      </c>
      <c r="C579">
        <v>180</v>
      </c>
      <c r="D579">
        <v>2.4900000000000002</v>
      </c>
      <c r="E579">
        <v>50</v>
      </c>
      <c r="F579" s="239" t="s">
        <v>11339</v>
      </c>
      <c r="I579" t="s">
        <v>11340</v>
      </c>
    </row>
    <row r="580" spans="1:9">
      <c r="A580" t="s">
        <v>11671</v>
      </c>
      <c r="B580" t="s">
        <v>11011</v>
      </c>
      <c r="C580">
        <v>180</v>
      </c>
      <c r="D580">
        <v>2.4900000000000002</v>
      </c>
      <c r="E580">
        <v>50</v>
      </c>
      <c r="F580" s="240"/>
      <c r="I580" t="s">
        <v>11340</v>
      </c>
    </row>
    <row r="581" spans="1:9">
      <c r="A581" t="s">
        <v>11672</v>
      </c>
      <c r="B581" t="s">
        <v>11011</v>
      </c>
      <c r="C581">
        <v>180</v>
      </c>
      <c r="D581">
        <v>2.4900000000000002</v>
      </c>
      <c r="E581">
        <v>50</v>
      </c>
      <c r="F581" s="240"/>
      <c r="I581" t="s">
        <v>11340</v>
      </c>
    </row>
    <row r="582" spans="1:9">
      <c r="A582" t="s">
        <v>11673</v>
      </c>
      <c r="B582" t="s">
        <v>11011</v>
      </c>
      <c r="C582">
        <v>180</v>
      </c>
      <c r="D582">
        <v>2.4900000000000002</v>
      </c>
      <c r="E582">
        <v>50</v>
      </c>
      <c r="F582" s="240"/>
      <c r="I582" t="s">
        <v>11340</v>
      </c>
    </row>
    <row r="583" spans="1:9">
      <c r="A583" t="s">
        <v>11674</v>
      </c>
      <c r="B583" t="s">
        <v>11011</v>
      </c>
      <c r="C583">
        <v>180</v>
      </c>
      <c r="D583">
        <v>2.4900000000000002</v>
      </c>
      <c r="E583">
        <v>50</v>
      </c>
      <c r="F583" s="240"/>
      <c r="I583" t="s">
        <v>11340</v>
      </c>
    </row>
    <row r="584" spans="1:9">
      <c r="A584" t="s">
        <v>11675</v>
      </c>
      <c r="B584" t="s">
        <v>11011</v>
      </c>
      <c r="C584">
        <v>180</v>
      </c>
      <c r="D584">
        <v>2.4900000000000002</v>
      </c>
      <c r="E584">
        <v>50</v>
      </c>
      <c r="F584" s="240"/>
      <c r="I584" t="s">
        <v>11340</v>
      </c>
    </row>
    <row r="585" spans="1:9">
      <c r="A585" t="s">
        <v>11676</v>
      </c>
      <c r="B585" t="s">
        <v>11011</v>
      </c>
      <c r="C585">
        <v>180</v>
      </c>
      <c r="D585">
        <v>2.4900000000000002</v>
      </c>
      <c r="E585">
        <v>50</v>
      </c>
      <c r="F585" s="240"/>
      <c r="I585" t="s">
        <v>11340</v>
      </c>
    </row>
    <row r="586" spans="1:9">
      <c r="A586" t="s">
        <v>11677</v>
      </c>
      <c r="B586" t="s">
        <v>11011</v>
      </c>
      <c r="C586">
        <v>180</v>
      </c>
      <c r="D586">
        <v>2.4900000000000002</v>
      </c>
      <c r="E586">
        <v>50</v>
      </c>
      <c r="F586" s="241"/>
      <c r="I586" t="s">
        <v>11340</v>
      </c>
    </row>
    <row r="587" spans="1:9">
      <c r="A587" t="s">
        <v>11678</v>
      </c>
      <c r="B587" t="s">
        <v>11011</v>
      </c>
      <c r="C587">
        <v>180</v>
      </c>
      <c r="D587">
        <v>1.84</v>
      </c>
      <c r="E587">
        <v>50</v>
      </c>
      <c r="F587" s="239" t="s">
        <v>11339</v>
      </c>
      <c r="I587" t="s">
        <v>11340</v>
      </c>
    </row>
    <row r="588" spans="1:9">
      <c r="A588" t="s">
        <v>11679</v>
      </c>
      <c r="B588" t="s">
        <v>11011</v>
      </c>
      <c r="C588">
        <v>180</v>
      </c>
      <c r="D588">
        <v>1.84</v>
      </c>
      <c r="E588">
        <v>50</v>
      </c>
      <c r="F588" s="240"/>
      <c r="I588" t="s">
        <v>11340</v>
      </c>
    </row>
    <row r="589" spans="1:9">
      <c r="A589" t="s">
        <v>11680</v>
      </c>
      <c r="B589" t="s">
        <v>11011</v>
      </c>
      <c r="C589">
        <v>180</v>
      </c>
      <c r="D589">
        <v>1.84</v>
      </c>
      <c r="E589">
        <v>50</v>
      </c>
      <c r="F589" s="240"/>
      <c r="I589" t="s">
        <v>11340</v>
      </c>
    </row>
    <row r="590" spans="1:9">
      <c r="A590" t="s">
        <v>11681</v>
      </c>
      <c r="B590" t="s">
        <v>11011</v>
      </c>
      <c r="C590">
        <v>180</v>
      </c>
      <c r="D590">
        <v>1.84</v>
      </c>
      <c r="E590">
        <v>50</v>
      </c>
      <c r="F590" s="240"/>
      <c r="I590" t="s">
        <v>11340</v>
      </c>
    </row>
    <row r="591" spans="1:9">
      <c r="A591" t="s">
        <v>11682</v>
      </c>
      <c r="B591" t="s">
        <v>11011</v>
      </c>
      <c r="C591">
        <v>180</v>
      </c>
      <c r="D591">
        <v>1.84</v>
      </c>
      <c r="E591">
        <v>50</v>
      </c>
      <c r="F591" s="240"/>
      <c r="I591" t="s">
        <v>11340</v>
      </c>
    </row>
    <row r="592" spans="1:9">
      <c r="A592" t="s">
        <v>11683</v>
      </c>
      <c r="B592" t="s">
        <v>11011</v>
      </c>
      <c r="C592">
        <v>180</v>
      </c>
      <c r="D592">
        <v>1.84</v>
      </c>
      <c r="E592">
        <v>50</v>
      </c>
      <c r="F592" s="240"/>
      <c r="I592" t="s">
        <v>11340</v>
      </c>
    </row>
    <row r="593" spans="1:9">
      <c r="A593" t="s">
        <v>11684</v>
      </c>
      <c r="B593" t="s">
        <v>11011</v>
      </c>
      <c r="C593">
        <v>180</v>
      </c>
      <c r="D593">
        <v>1.84</v>
      </c>
      <c r="E593">
        <v>50</v>
      </c>
      <c r="F593" s="240"/>
      <c r="I593" t="s">
        <v>11340</v>
      </c>
    </row>
    <row r="594" spans="1:9">
      <c r="A594" t="s">
        <v>11685</v>
      </c>
      <c r="B594" t="s">
        <v>11011</v>
      </c>
      <c r="C594">
        <v>180</v>
      </c>
      <c r="D594">
        <v>1.84</v>
      </c>
      <c r="E594">
        <v>50</v>
      </c>
      <c r="F594" s="241"/>
      <c r="I594" t="s">
        <v>11340</v>
      </c>
    </row>
    <row r="595" spans="1:9">
      <c r="A595" t="s">
        <v>11686</v>
      </c>
      <c r="B595" t="s">
        <v>11011</v>
      </c>
      <c r="C595">
        <v>180</v>
      </c>
      <c r="D595">
        <v>2.0099999999999998</v>
      </c>
      <c r="E595">
        <v>50</v>
      </c>
      <c r="F595" s="239" t="s">
        <v>11339</v>
      </c>
      <c r="I595" t="s">
        <v>11340</v>
      </c>
    </row>
    <row r="596" spans="1:9">
      <c r="A596" t="s">
        <v>11687</v>
      </c>
      <c r="B596" t="s">
        <v>11011</v>
      </c>
      <c r="C596">
        <v>180</v>
      </c>
      <c r="D596">
        <v>2.0099999999999998</v>
      </c>
      <c r="E596">
        <v>50</v>
      </c>
      <c r="F596" s="240"/>
      <c r="I596" t="s">
        <v>11340</v>
      </c>
    </row>
    <row r="597" spans="1:9">
      <c r="A597" t="s">
        <v>11688</v>
      </c>
      <c r="B597" t="s">
        <v>11011</v>
      </c>
      <c r="C597">
        <v>180</v>
      </c>
      <c r="D597">
        <v>2.0099999999999998</v>
      </c>
      <c r="E597">
        <v>50</v>
      </c>
      <c r="F597" s="240"/>
      <c r="I597" t="s">
        <v>11340</v>
      </c>
    </row>
    <row r="598" spans="1:9">
      <c r="A598" t="s">
        <v>11689</v>
      </c>
      <c r="B598" t="s">
        <v>11011</v>
      </c>
      <c r="C598">
        <v>180</v>
      </c>
      <c r="D598">
        <v>2.0099999999999998</v>
      </c>
      <c r="E598">
        <v>50</v>
      </c>
      <c r="F598" s="240"/>
      <c r="I598" t="s">
        <v>11340</v>
      </c>
    </row>
    <row r="599" spans="1:9">
      <c r="A599" t="s">
        <v>11690</v>
      </c>
      <c r="B599" t="s">
        <v>11011</v>
      </c>
      <c r="C599">
        <v>180</v>
      </c>
      <c r="D599">
        <v>2.0099999999999998</v>
      </c>
      <c r="E599">
        <v>50</v>
      </c>
      <c r="F599" s="240"/>
      <c r="I599" t="s">
        <v>11340</v>
      </c>
    </row>
    <row r="600" spans="1:9">
      <c r="A600" t="s">
        <v>11691</v>
      </c>
      <c r="B600" t="s">
        <v>11011</v>
      </c>
      <c r="C600">
        <v>180</v>
      </c>
      <c r="D600">
        <v>2.0099999999999998</v>
      </c>
      <c r="E600">
        <v>50</v>
      </c>
      <c r="F600" s="240"/>
      <c r="I600" t="s">
        <v>11340</v>
      </c>
    </row>
    <row r="601" spans="1:9">
      <c r="A601" t="s">
        <v>11692</v>
      </c>
      <c r="B601" t="s">
        <v>11011</v>
      </c>
      <c r="C601">
        <v>180</v>
      </c>
      <c r="D601">
        <v>2.0099999999999998</v>
      </c>
      <c r="E601">
        <v>50</v>
      </c>
      <c r="F601" s="240"/>
      <c r="I601" t="s">
        <v>11340</v>
      </c>
    </row>
    <row r="602" spans="1:9">
      <c r="A602" t="s">
        <v>11693</v>
      </c>
      <c r="B602" t="s">
        <v>11011</v>
      </c>
      <c r="C602">
        <v>180</v>
      </c>
      <c r="D602">
        <v>2.0099999999999998</v>
      </c>
      <c r="E602">
        <v>50</v>
      </c>
      <c r="F602" s="241"/>
      <c r="I602" t="s">
        <v>11340</v>
      </c>
    </row>
    <row r="603" spans="1:9">
      <c r="A603" t="s">
        <v>11694</v>
      </c>
      <c r="B603" t="s">
        <v>8641</v>
      </c>
      <c r="C603">
        <v>180</v>
      </c>
      <c r="D603">
        <v>3.45</v>
      </c>
      <c r="E603">
        <v>30</v>
      </c>
      <c r="F603" s="239" t="s">
        <v>11339</v>
      </c>
      <c r="I603" t="s">
        <v>11340</v>
      </c>
    </row>
    <row r="604" spans="1:9">
      <c r="A604" t="s">
        <v>11695</v>
      </c>
      <c r="B604" t="s">
        <v>8641</v>
      </c>
      <c r="C604">
        <v>180</v>
      </c>
      <c r="D604">
        <v>3.45</v>
      </c>
      <c r="E604">
        <v>30</v>
      </c>
      <c r="F604" s="240"/>
      <c r="I604" t="s">
        <v>11340</v>
      </c>
    </row>
    <row r="605" spans="1:9">
      <c r="A605" t="s">
        <v>11696</v>
      </c>
      <c r="B605" t="s">
        <v>8641</v>
      </c>
      <c r="C605">
        <v>180</v>
      </c>
      <c r="D605">
        <v>3.45</v>
      </c>
      <c r="E605">
        <v>30</v>
      </c>
      <c r="F605" s="240"/>
      <c r="I605" t="s">
        <v>11340</v>
      </c>
    </row>
    <row r="606" spans="1:9">
      <c r="A606" t="s">
        <v>11697</v>
      </c>
      <c r="B606" t="s">
        <v>8641</v>
      </c>
      <c r="C606">
        <v>180</v>
      </c>
      <c r="D606">
        <v>3.45</v>
      </c>
      <c r="E606">
        <v>30</v>
      </c>
      <c r="F606" s="240"/>
      <c r="I606" t="s">
        <v>11340</v>
      </c>
    </row>
    <row r="607" spans="1:9">
      <c r="A607" t="s">
        <v>11698</v>
      </c>
      <c r="B607" t="s">
        <v>8641</v>
      </c>
      <c r="C607">
        <v>180</v>
      </c>
      <c r="D607">
        <v>3.45</v>
      </c>
      <c r="E607">
        <v>30</v>
      </c>
      <c r="F607" s="240"/>
      <c r="I607" t="s">
        <v>11340</v>
      </c>
    </row>
    <row r="608" spans="1:9">
      <c r="A608" t="s">
        <v>11699</v>
      </c>
      <c r="B608" t="s">
        <v>8641</v>
      </c>
      <c r="C608">
        <v>180</v>
      </c>
      <c r="D608">
        <v>3.45</v>
      </c>
      <c r="E608">
        <v>30</v>
      </c>
      <c r="F608" s="240"/>
      <c r="I608" t="s">
        <v>11340</v>
      </c>
    </row>
    <row r="609" spans="1:9">
      <c r="A609" t="s">
        <v>11700</v>
      </c>
      <c r="B609" t="s">
        <v>8641</v>
      </c>
      <c r="C609">
        <v>180</v>
      </c>
      <c r="D609">
        <v>3.45</v>
      </c>
      <c r="E609">
        <v>30</v>
      </c>
      <c r="F609" s="240"/>
      <c r="I609" t="s">
        <v>11340</v>
      </c>
    </row>
    <row r="610" spans="1:9">
      <c r="A610" t="s">
        <v>11701</v>
      </c>
      <c r="B610" t="s">
        <v>8641</v>
      </c>
      <c r="C610">
        <v>180</v>
      </c>
      <c r="D610">
        <v>3.45</v>
      </c>
      <c r="E610">
        <v>30</v>
      </c>
      <c r="F610" s="241"/>
      <c r="I610" t="s">
        <v>11340</v>
      </c>
    </row>
    <row r="611" spans="1:9">
      <c r="A611" t="s">
        <v>11702</v>
      </c>
      <c r="B611" t="s">
        <v>8641</v>
      </c>
      <c r="C611">
        <v>180</v>
      </c>
      <c r="D611">
        <v>3.45</v>
      </c>
      <c r="E611">
        <v>30</v>
      </c>
      <c r="F611" s="239" t="s">
        <v>11339</v>
      </c>
      <c r="I611" t="s">
        <v>11340</v>
      </c>
    </row>
    <row r="612" spans="1:9">
      <c r="A612" t="s">
        <v>11703</v>
      </c>
      <c r="B612" t="s">
        <v>8641</v>
      </c>
      <c r="C612">
        <v>180</v>
      </c>
      <c r="D612">
        <v>3.45</v>
      </c>
      <c r="E612">
        <v>30</v>
      </c>
      <c r="F612" s="240"/>
      <c r="I612" t="s">
        <v>11340</v>
      </c>
    </row>
    <row r="613" spans="1:9">
      <c r="A613" t="s">
        <v>11704</v>
      </c>
      <c r="B613" t="s">
        <v>8641</v>
      </c>
      <c r="C613">
        <v>180</v>
      </c>
      <c r="D613">
        <v>3.45</v>
      </c>
      <c r="E613">
        <v>30</v>
      </c>
      <c r="F613" s="240"/>
      <c r="I613" t="s">
        <v>11340</v>
      </c>
    </row>
    <row r="614" spans="1:9">
      <c r="A614" t="s">
        <v>11705</v>
      </c>
      <c r="B614" t="s">
        <v>8641</v>
      </c>
      <c r="C614">
        <v>180</v>
      </c>
      <c r="D614">
        <v>3.45</v>
      </c>
      <c r="E614">
        <v>30</v>
      </c>
      <c r="F614" s="240"/>
      <c r="I614" t="s">
        <v>11340</v>
      </c>
    </row>
    <row r="615" spans="1:9">
      <c r="A615" t="s">
        <v>11706</v>
      </c>
      <c r="B615" t="s">
        <v>8641</v>
      </c>
      <c r="C615">
        <v>180</v>
      </c>
      <c r="D615">
        <v>3.45</v>
      </c>
      <c r="E615">
        <v>30</v>
      </c>
      <c r="F615" s="240"/>
      <c r="I615" t="s">
        <v>11340</v>
      </c>
    </row>
    <row r="616" spans="1:9">
      <c r="A616" t="s">
        <v>11707</v>
      </c>
      <c r="B616" t="s">
        <v>8641</v>
      </c>
      <c r="C616">
        <v>180</v>
      </c>
      <c r="D616">
        <v>3.45</v>
      </c>
      <c r="E616">
        <v>30</v>
      </c>
      <c r="F616" s="240"/>
      <c r="I616" t="s">
        <v>11340</v>
      </c>
    </row>
    <row r="617" spans="1:9">
      <c r="A617" t="s">
        <v>11708</v>
      </c>
      <c r="B617" t="s">
        <v>8641</v>
      </c>
      <c r="C617">
        <v>180</v>
      </c>
      <c r="D617">
        <v>3.45</v>
      </c>
      <c r="E617">
        <v>30</v>
      </c>
      <c r="F617" s="240"/>
      <c r="I617" t="s">
        <v>11340</v>
      </c>
    </row>
    <row r="618" spans="1:9">
      <c r="A618" t="s">
        <v>11709</v>
      </c>
      <c r="B618" t="s">
        <v>8641</v>
      </c>
      <c r="C618">
        <v>180</v>
      </c>
      <c r="D618">
        <v>3.45</v>
      </c>
      <c r="E618">
        <v>30</v>
      </c>
      <c r="F618" s="241"/>
      <c r="I618" t="s">
        <v>11340</v>
      </c>
    </row>
    <row r="619" spans="1:9">
      <c r="A619" t="s">
        <v>11710</v>
      </c>
      <c r="B619" t="s">
        <v>8641</v>
      </c>
      <c r="C619">
        <v>180</v>
      </c>
      <c r="D619">
        <v>4.8499999999999996</v>
      </c>
      <c r="E619">
        <v>30</v>
      </c>
      <c r="F619" s="239" t="s">
        <v>11339</v>
      </c>
      <c r="G619" t="s">
        <v>11711</v>
      </c>
      <c r="I619" t="s">
        <v>11340</v>
      </c>
    </row>
    <row r="620" spans="1:9">
      <c r="A620" t="s">
        <v>11712</v>
      </c>
      <c r="B620" t="s">
        <v>8641</v>
      </c>
      <c r="C620">
        <v>180</v>
      </c>
      <c r="D620">
        <v>4.8499999999999996</v>
      </c>
      <c r="E620">
        <v>30</v>
      </c>
      <c r="F620" s="240"/>
      <c r="I620" t="s">
        <v>11340</v>
      </c>
    </row>
    <row r="621" spans="1:9">
      <c r="A621" t="s">
        <v>11713</v>
      </c>
      <c r="B621" t="s">
        <v>8641</v>
      </c>
      <c r="C621">
        <v>180</v>
      </c>
      <c r="D621">
        <v>4.8499999999999996</v>
      </c>
      <c r="E621">
        <v>30</v>
      </c>
      <c r="F621" s="240"/>
      <c r="I621" t="s">
        <v>11340</v>
      </c>
    </row>
    <row r="622" spans="1:9">
      <c r="A622" t="s">
        <v>11714</v>
      </c>
      <c r="B622" t="s">
        <v>8641</v>
      </c>
      <c r="C622">
        <v>180</v>
      </c>
      <c r="D622">
        <v>4.8499999999999996</v>
      </c>
      <c r="E622">
        <v>30</v>
      </c>
      <c r="F622" s="240"/>
      <c r="I622" t="s">
        <v>11340</v>
      </c>
    </row>
    <row r="623" spans="1:9">
      <c r="A623" t="s">
        <v>11715</v>
      </c>
      <c r="B623" t="s">
        <v>8641</v>
      </c>
      <c r="C623">
        <v>180</v>
      </c>
      <c r="D623">
        <v>4.8499999999999996</v>
      </c>
      <c r="E623">
        <v>30</v>
      </c>
      <c r="F623" s="240"/>
      <c r="I623" t="s">
        <v>11340</v>
      </c>
    </row>
    <row r="624" spans="1:9">
      <c r="A624" t="s">
        <v>11716</v>
      </c>
      <c r="B624" t="s">
        <v>8641</v>
      </c>
      <c r="C624">
        <v>180</v>
      </c>
      <c r="D624">
        <v>4.8499999999999996</v>
      </c>
      <c r="E624">
        <v>30</v>
      </c>
      <c r="F624" s="240"/>
      <c r="I624" t="s">
        <v>11340</v>
      </c>
    </row>
    <row r="625" spans="1:9">
      <c r="A625" t="s">
        <v>11717</v>
      </c>
      <c r="B625" t="s">
        <v>8641</v>
      </c>
      <c r="C625">
        <v>180</v>
      </c>
      <c r="D625">
        <v>4.8499999999999996</v>
      </c>
      <c r="E625">
        <v>30</v>
      </c>
      <c r="F625" s="240"/>
      <c r="I625" t="s">
        <v>11340</v>
      </c>
    </row>
    <row r="626" spans="1:9">
      <c r="A626" t="s">
        <v>11718</v>
      </c>
      <c r="B626" t="s">
        <v>8641</v>
      </c>
      <c r="C626">
        <v>180</v>
      </c>
      <c r="D626">
        <v>4.8499999999999996</v>
      </c>
      <c r="E626">
        <v>30</v>
      </c>
      <c r="F626" s="241"/>
      <c r="I626" t="s">
        <v>11340</v>
      </c>
    </row>
    <row r="627" spans="1:9">
      <c r="A627" t="s">
        <v>11719</v>
      </c>
      <c r="B627" t="s">
        <v>8641</v>
      </c>
      <c r="C627">
        <v>180</v>
      </c>
      <c r="D627">
        <v>4.8499999999999996</v>
      </c>
      <c r="E627">
        <v>30</v>
      </c>
      <c r="F627" s="239" t="s">
        <v>11339</v>
      </c>
      <c r="I627" t="s">
        <v>11340</v>
      </c>
    </row>
    <row r="628" spans="1:9">
      <c r="A628" t="s">
        <v>11720</v>
      </c>
      <c r="B628" t="s">
        <v>8641</v>
      </c>
      <c r="C628">
        <v>180</v>
      </c>
      <c r="D628">
        <v>4.8499999999999996</v>
      </c>
      <c r="E628">
        <v>30</v>
      </c>
      <c r="F628" s="240"/>
      <c r="I628" t="s">
        <v>11340</v>
      </c>
    </row>
    <row r="629" spans="1:9">
      <c r="A629" t="s">
        <v>11721</v>
      </c>
      <c r="B629" t="s">
        <v>8641</v>
      </c>
      <c r="C629">
        <v>180</v>
      </c>
      <c r="D629">
        <v>4.8499999999999996</v>
      </c>
      <c r="E629">
        <v>30</v>
      </c>
      <c r="F629" s="240"/>
      <c r="I629" t="s">
        <v>11340</v>
      </c>
    </row>
    <row r="630" spans="1:9">
      <c r="A630" t="s">
        <v>11722</v>
      </c>
      <c r="B630" t="s">
        <v>8641</v>
      </c>
      <c r="C630">
        <v>180</v>
      </c>
      <c r="D630">
        <v>4.8499999999999996</v>
      </c>
      <c r="E630">
        <v>30</v>
      </c>
      <c r="F630" s="240"/>
      <c r="I630" t="s">
        <v>11340</v>
      </c>
    </row>
    <row r="631" spans="1:9">
      <c r="A631" t="s">
        <v>11723</v>
      </c>
      <c r="B631" t="s">
        <v>8641</v>
      </c>
      <c r="C631">
        <v>180</v>
      </c>
      <c r="D631">
        <v>4.8499999999999996</v>
      </c>
      <c r="E631">
        <v>30</v>
      </c>
      <c r="F631" s="240"/>
      <c r="I631" t="s">
        <v>11340</v>
      </c>
    </row>
    <row r="632" spans="1:9">
      <c r="A632" t="s">
        <v>11724</v>
      </c>
      <c r="B632" t="s">
        <v>8641</v>
      </c>
      <c r="C632">
        <v>180</v>
      </c>
      <c r="D632">
        <v>4.8499999999999996</v>
      </c>
      <c r="E632">
        <v>30</v>
      </c>
      <c r="F632" s="240"/>
      <c r="I632" t="s">
        <v>11340</v>
      </c>
    </row>
    <row r="633" spans="1:9">
      <c r="A633" t="s">
        <v>11725</v>
      </c>
      <c r="B633" t="s">
        <v>8641</v>
      </c>
      <c r="C633">
        <v>180</v>
      </c>
      <c r="D633">
        <v>4.8499999999999996</v>
      </c>
      <c r="E633">
        <v>30</v>
      </c>
      <c r="F633" s="240"/>
      <c r="I633" t="s">
        <v>11340</v>
      </c>
    </row>
    <row r="634" spans="1:9">
      <c r="A634" t="s">
        <v>11726</v>
      </c>
      <c r="B634" t="s">
        <v>8641</v>
      </c>
      <c r="C634">
        <v>180</v>
      </c>
      <c r="D634">
        <v>4.8499999999999996</v>
      </c>
      <c r="E634">
        <v>30</v>
      </c>
      <c r="F634" s="241"/>
      <c r="I634" t="s">
        <v>11340</v>
      </c>
    </row>
    <row r="635" spans="1:9">
      <c r="A635" t="s">
        <v>11727</v>
      </c>
      <c r="B635" t="s">
        <v>11011</v>
      </c>
      <c r="C635">
        <v>180</v>
      </c>
      <c r="D635">
        <v>2.4900000000000002</v>
      </c>
      <c r="E635">
        <v>50</v>
      </c>
      <c r="F635" s="239" t="s">
        <v>11339</v>
      </c>
      <c r="I635" t="s">
        <v>11340</v>
      </c>
    </row>
    <row r="636" spans="1:9">
      <c r="A636" t="s">
        <v>11728</v>
      </c>
      <c r="B636" t="s">
        <v>11011</v>
      </c>
      <c r="C636">
        <v>180</v>
      </c>
      <c r="D636">
        <v>2.4900000000000002</v>
      </c>
      <c r="E636">
        <v>50</v>
      </c>
      <c r="F636" s="240"/>
      <c r="I636" t="s">
        <v>11340</v>
      </c>
    </row>
    <row r="637" spans="1:9">
      <c r="A637" t="s">
        <v>11729</v>
      </c>
      <c r="B637" t="s">
        <v>11011</v>
      </c>
      <c r="C637">
        <v>180</v>
      </c>
      <c r="D637">
        <v>2.4900000000000002</v>
      </c>
      <c r="E637">
        <v>50</v>
      </c>
      <c r="F637" s="240"/>
      <c r="I637" t="s">
        <v>11340</v>
      </c>
    </row>
    <row r="638" spans="1:9">
      <c r="A638" t="s">
        <v>11730</v>
      </c>
      <c r="B638" t="s">
        <v>11011</v>
      </c>
      <c r="C638">
        <v>180</v>
      </c>
      <c r="D638">
        <v>2.4900000000000002</v>
      </c>
      <c r="E638">
        <v>50</v>
      </c>
      <c r="F638" s="240"/>
      <c r="I638" t="s">
        <v>11340</v>
      </c>
    </row>
    <row r="639" spans="1:9">
      <c r="A639" t="s">
        <v>11731</v>
      </c>
      <c r="B639" t="s">
        <v>11011</v>
      </c>
      <c r="C639">
        <v>180</v>
      </c>
      <c r="D639">
        <v>2.4900000000000002</v>
      </c>
      <c r="E639">
        <v>50</v>
      </c>
      <c r="F639" s="240"/>
      <c r="I639" t="s">
        <v>11340</v>
      </c>
    </row>
    <row r="640" spans="1:9">
      <c r="A640" t="s">
        <v>11732</v>
      </c>
      <c r="B640" t="s">
        <v>11011</v>
      </c>
      <c r="C640">
        <v>180</v>
      </c>
      <c r="D640">
        <v>2.4900000000000002</v>
      </c>
      <c r="E640">
        <v>50</v>
      </c>
      <c r="F640" s="240"/>
      <c r="I640" t="s">
        <v>11340</v>
      </c>
    </row>
    <row r="641" spans="1:12">
      <c r="A641" t="s">
        <v>11733</v>
      </c>
      <c r="B641" t="s">
        <v>11011</v>
      </c>
      <c r="C641">
        <v>180</v>
      </c>
      <c r="D641">
        <v>2.4900000000000002</v>
      </c>
      <c r="E641">
        <v>50</v>
      </c>
      <c r="F641" s="240"/>
      <c r="I641" t="s">
        <v>11340</v>
      </c>
    </row>
    <row r="642" spans="1:12">
      <c r="A642" t="s">
        <v>11734</v>
      </c>
      <c r="B642" t="s">
        <v>11011</v>
      </c>
      <c r="C642">
        <v>180</v>
      </c>
      <c r="D642">
        <v>2.4900000000000002</v>
      </c>
      <c r="E642">
        <v>50</v>
      </c>
      <c r="F642" s="241"/>
      <c r="I642" t="s">
        <v>11340</v>
      </c>
    </row>
    <row r="643" spans="1:12">
      <c r="A643" t="s">
        <v>11735</v>
      </c>
      <c r="B643" t="s">
        <v>11011</v>
      </c>
      <c r="C643">
        <v>180</v>
      </c>
      <c r="D643">
        <v>2.4900000000000002</v>
      </c>
      <c r="E643">
        <v>50</v>
      </c>
      <c r="F643" s="239" t="s">
        <v>11339</v>
      </c>
      <c r="I643" t="s">
        <v>11340</v>
      </c>
    </row>
    <row r="644" spans="1:12">
      <c r="A644" t="s">
        <v>11736</v>
      </c>
      <c r="B644" t="s">
        <v>11011</v>
      </c>
      <c r="C644">
        <v>180</v>
      </c>
      <c r="D644">
        <v>2.4900000000000002</v>
      </c>
      <c r="E644">
        <v>50</v>
      </c>
      <c r="F644" s="240"/>
      <c r="I644" t="s">
        <v>11340</v>
      </c>
    </row>
    <row r="645" spans="1:12">
      <c r="A645" t="s">
        <v>11737</v>
      </c>
      <c r="B645" t="s">
        <v>11011</v>
      </c>
      <c r="C645">
        <v>180</v>
      </c>
      <c r="D645">
        <v>2.4900000000000002</v>
      </c>
      <c r="E645">
        <v>50</v>
      </c>
      <c r="F645" s="240"/>
      <c r="I645" t="s">
        <v>11340</v>
      </c>
    </row>
    <row r="646" spans="1:12">
      <c r="A646" t="s">
        <v>11738</v>
      </c>
      <c r="B646" t="s">
        <v>11011</v>
      </c>
      <c r="C646">
        <v>180</v>
      </c>
      <c r="D646">
        <v>2.4900000000000002</v>
      </c>
      <c r="E646">
        <v>50</v>
      </c>
      <c r="F646" s="240"/>
      <c r="I646" t="s">
        <v>11340</v>
      </c>
    </row>
    <row r="647" spans="1:12">
      <c r="A647" t="s">
        <v>11739</v>
      </c>
      <c r="B647" t="s">
        <v>11011</v>
      </c>
      <c r="C647">
        <v>180</v>
      </c>
      <c r="D647">
        <v>2.4900000000000002</v>
      </c>
      <c r="E647">
        <v>50</v>
      </c>
      <c r="F647" s="240"/>
      <c r="I647" t="s">
        <v>11340</v>
      </c>
    </row>
    <row r="648" spans="1:12">
      <c r="A648" t="s">
        <v>11740</v>
      </c>
      <c r="B648" t="s">
        <v>11011</v>
      </c>
      <c r="C648">
        <v>180</v>
      </c>
      <c r="D648">
        <v>2.4900000000000002</v>
      </c>
      <c r="E648">
        <v>50</v>
      </c>
      <c r="F648" s="240"/>
      <c r="I648" t="s">
        <v>11340</v>
      </c>
    </row>
    <row r="649" spans="1:12">
      <c r="A649" t="s">
        <v>11741</v>
      </c>
      <c r="B649" t="s">
        <v>11011</v>
      </c>
      <c r="C649">
        <v>180</v>
      </c>
      <c r="D649">
        <v>2.4900000000000002</v>
      </c>
      <c r="E649">
        <v>50</v>
      </c>
      <c r="F649" s="240"/>
      <c r="I649" t="s">
        <v>11340</v>
      </c>
    </row>
    <row r="650" spans="1:12">
      <c r="A650" t="s">
        <v>11742</v>
      </c>
      <c r="B650" t="s">
        <v>11011</v>
      </c>
      <c r="C650">
        <v>180</v>
      </c>
      <c r="D650">
        <v>2.4900000000000002</v>
      </c>
      <c r="E650">
        <v>50</v>
      </c>
      <c r="F650" s="241"/>
      <c r="I650" t="s">
        <v>11340</v>
      </c>
    </row>
    <row r="651" spans="1:12">
      <c r="A651" t="s">
        <v>11743</v>
      </c>
      <c r="B651" t="s">
        <v>11011</v>
      </c>
      <c r="C651">
        <v>180</v>
      </c>
      <c r="D651">
        <v>2.0099999999999998</v>
      </c>
      <c r="E651">
        <v>50</v>
      </c>
      <c r="F651" s="239" t="s">
        <v>11339</v>
      </c>
      <c r="I651" t="s">
        <v>11340</v>
      </c>
      <c r="L651" t="str">
        <f>""""&amp;A651&amp;""""</f>
        <v>"07190819_1824"</v>
      </c>
    </row>
    <row r="652" spans="1:12">
      <c r="A652" t="s">
        <v>11744</v>
      </c>
      <c r="B652" t="s">
        <v>11011</v>
      </c>
      <c r="C652">
        <v>180</v>
      </c>
      <c r="D652">
        <v>2.0099999999999998</v>
      </c>
      <c r="E652">
        <v>50</v>
      </c>
      <c r="F652" s="240"/>
      <c r="I652" t="s">
        <v>11340</v>
      </c>
      <c r="L652" t="str">
        <f t="shared" ref="L652:L658" si="7">L651&amp;", """&amp;A652&amp;""""</f>
        <v>"07190819_1824", "07190819_2010"</v>
      </c>
    </row>
    <row r="653" spans="1:12">
      <c r="A653" t="s">
        <v>11745</v>
      </c>
      <c r="B653" t="s">
        <v>11011</v>
      </c>
      <c r="C653">
        <v>180</v>
      </c>
      <c r="D653">
        <v>2.0099999999999998</v>
      </c>
      <c r="E653">
        <v>50</v>
      </c>
      <c r="F653" s="240"/>
      <c r="I653" t="s">
        <v>11340</v>
      </c>
      <c r="L653" t="str">
        <f t="shared" si="7"/>
        <v>"07190819_1824", "07190819_2010", "07190819_2156"</v>
      </c>
    </row>
    <row r="654" spans="1:12">
      <c r="A654" t="s">
        <v>11746</v>
      </c>
      <c r="B654" t="s">
        <v>11011</v>
      </c>
      <c r="C654">
        <v>180</v>
      </c>
      <c r="D654">
        <v>2.0099999999999998</v>
      </c>
      <c r="E654">
        <v>50</v>
      </c>
      <c r="F654" s="240"/>
      <c r="I654" t="s">
        <v>11340</v>
      </c>
      <c r="L654" t="str">
        <f t="shared" si="7"/>
        <v>"07190819_1824", "07190819_2010", "07190819_2156", "07190819_2342"</v>
      </c>
    </row>
    <row r="655" spans="1:12">
      <c r="A655" t="s">
        <v>11747</v>
      </c>
      <c r="B655" t="s">
        <v>11011</v>
      </c>
      <c r="C655">
        <v>180</v>
      </c>
      <c r="D655">
        <v>2.0099999999999998</v>
      </c>
      <c r="E655">
        <v>50</v>
      </c>
      <c r="F655" s="240"/>
      <c r="I655" t="s">
        <v>11340</v>
      </c>
      <c r="L655" t="str">
        <f t="shared" si="7"/>
        <v>"07190819_1824", "07190819_2010", "07190819_2156", "07190819_2342", "07190820_0128"</v>
      </c>
    </row>
    <row r="656" spans="1:12">
      <c r="A656" t="s">
        <v>11748</v>
      </c>
      <c r="B656" t="s">
        <v>11011</v>
      </c>
      <c r="C656">
        <v>180</v>
      </c>
      <c r="D656">
        <v>2.0099999999999998</v>
      </c>
      <c r="E656">
        <v>50</v>
      </c>
      <c r="F656" s="240"/>
      <c r="I656" t="s">
        <v>11340</v>
      </c>
      <c r="L656" t="str">
        <f t="shared" si="7"/>
        <v>"07190819_1824", "07190819_2010", "07190819_2156", "07190819_2342", "07190820_0128", "07190820_0314"</v>
      </c>
    </row>
    <row r="657" spans="1:12">
      <c r="A657" t="s">
        <v>11749</v>
      </c>
      <c r="B657" t="s">
        <v>11011</v>
      </c>
      <c r="C657">
        <v>180</v>
      </c>
      <c r="D657">
        <v>2.0099999999999998</v>
      </c>
      <c r="E657">
        <v>50</v>
      </c>
      <c r="F657" s="240"/>
      <c r="I657" t="s">
        <v>11340</v>
      </c>
      <c r="L657" t="str">
        <f t="shared" si="7"/>
        <v>"07190819_1824", "07190819_2010", "07190819_2156", "07190819_2342", "07190820_0128", "07190820_0314", "07190820_0500"</v>
      </c>
    </row>
    <row r="658" spans="1:12">
      <c r="A658" t="s">
        <v>11750</v>
      </c>
      <c r="B658" t="s">
        <v>11011</v>
      </c>
      <c r="C658">
        <v>180</v>
      </c>
      <c r="D658">
        <v>2.0099999999999998</v>
      </c>
      <c r="E658">
        <v>50</v>
      </c>
      <c r="F658" s="241"/>
      <c r="I658" t="s">
        <v>11340</v>
      </c>
      <c r="L658" t="str">
        <f t="shared" si="7"/>
        <v>"07190819_1824", "07190819_2010", "07190819_2156", "07190819_2342", "07190820_0128", "07190820_0314", "07190820_0500", "07190820_0646"</v>
      </c>
    </row>
    <row r="659" spans="1:12">
      <c r="A659" t="s">
        <v>11751</v>
      </c>
      <c r="B659" t="s">
        <v>11011</v>
      </c>
      <c r="C659">
        <v>180</v>
      </c>
      <c r="D659">
        <v>2.0099999999999998</v>
      </c>
      <c r="E659">
        <v>50</v>
      </c>
      <c r="F659" s="239" t="s">
        <v>11752</v>
      </c>
      <c r="G659" t="s">
        <v>11753</v>
      </c>
      <c r="I659" t="s">
        <v>11340</v>
      </c>
    </row>
    <row r="660" spans="1:12">
      <c r="A660" t="s">
        <v>11754</v>
      </c>
      <c r="B660" t="s">
        <v>11011</v>
      </c>
      <c r="C660">
        <v>180</v>
      </c>
      <c r="D660">
        <v>2.0099999999999998</v>
      </c>
      <c r="E660">
        <v>50</v>
      </c>
      <c r="F660" s="240"/>
      <c r="I660" t="s">
        <v>11340</v>
      </c>
    </row>
    <row r="661" spans="1:12">
      <c r="A661" t="s">
        <v>11755</v>
      </c>
      <c r="B661" t="s">
        <v>11011</v>
      </c>
      <c r="C661">
        <v>180</v>
      </c>
      <c r="D661">
        <v>2.0099999999999998</v>
      </c>
      <c r="E661">
        <v>50</v>
      </c>
      <c r="F661" s="240"/>
      <c r="I661" t="s">
        <v>11340</v>
      </c>
    </row>
    <row r="662" spans="1:12">
      <c r="A662" t="s">
        <v>11756</v>
      </c>
      <c r="B662" t="s">
        <v>11011</v>
      </c>
      <c r="C662">
        <v>180</v>
      </c>
      <c r="D662">
        <v>2.0099999999999998</v>
      </c>
      <c r="E662">
        <v>50</v>
      </c>
      <c r="F662" s="240"/>
      <c r="I662" t="s">
        <v>11340</v>
      </c>
    </row>
    <row r="663" spans="1:12">
      <c r="A663" t="s">
        <v>11757</v>
      </c>
      <c r="B663" t="s">
        <v>11011</v>
      </c>
      <c r="C663">
        <v>180</v>
      </c>
      <c r="D663">
        <v>2.0099999999999998</v>
      </c>
      <c r="E663">
        <v>50</v>
      </c>
      <c r="F663" s="240"/>
      <c r="I663" t="s">
        <v>11340</v>
      </c>
    </row>
    <row r="664" spans="1:12">
      <c r="A664" t="s">
        <v>11758</v>
      </c>
      <c r="B664" t="s">
        <v>11011</v>
      </c>
      <c r="C664">
        <v>180</v>
      </c>
      <c r="D664">
        <v>2.0099999999999998</v>
      </c>
      <c r="E664">
        <v>50</v>
      </c>
      <c r="F664" s="240"/>
      <c r="I664" t="s">
        <v>11340</v>
      </c>
    </row>
    <row r="665" spans="1:12">
      <c r="A665" t="s">
        <v>11759</v>
      </c>
      <c r="B665" t="s">
        <v>11011</v>
      </c>
      <c r="C665">
        <v>180</v>
      </c>
      <c r="D665">
        <v>2.0099999999999998</v>
      </c>
      <c r="E665">
        <v>50</v>
      </c>
      <c r="F665" s="240"/>
      <c r="I665" t="s">
        <v>11340</v>
      </c>
    </row>
    <row r="666" spans="1:12">
      <c r="A666" t="s">
        <v>11760</v>
      </c>
      <c r="B666" t="s">
        <v>11011</v>
      </c>
      <c r="C666">
        <v>180</v>
      </c>
      <c r="D666">
        <v>2.0099999999999998</v>
      </c>
      <c r="E666">
        <v>50</v>
      </c>
      <c r="F666" s="241"/>
      <c r="G666" s="6" t="s">
        <v>11761</v>
      </c>
      <c r="I666" t="s">
        <v>11340</v>
      </c>
    </row>
    <row r="667" spans="1:12">
      <c r="A667" t="s">
        <v>11762</v>
      </c>
      <c r="B667" t="s">
        <v>11011</v>
      </c>
      <c r="C667">
        <v>180</v>
      </c>
      <c r="D667">
        <v>2.0099999999999998</v>
      </c>
      <c r="E667">
        <v>50</v>
      </c>
      <c r="F667" s="239" t="s">
        <v>11763</v>
      </c>
      <c r="G667" t="s">
        <v>11764</v>
      </c>
      <c r="I667" t="s">
        <v>11340</v>
      </c>
    </row>
    <row r="668" spans="1:12">
      <c r="A668" t="s">
        <v>11765</v>
      </c>
      <c r="B668" t="s">
        <v>11011</v>
      </c>
      <c r="C668">
        <v>180</v>
      </c>
      <c r="D668">
        <v>2.0099999999999998</v>
      </c>
      <c r="E668">
        <v>50</v>
      </c>
      <c r="F668" s="240"/>
      <c r="I668" t="s">
        <v>11340</v>
      </c>
    </row>
    <row r="669" spans="1:12">
      <c r="A669" t="s">
        <v>11766</v>
      </c>
      <c r="B669" t="s">
        <v>11011</v>
      </c>
      <c r="C669">
        <v>180</v>
      </c>
      <c r="D669">
        <v>2.0099999999999998</v>
      </c>
      <c r="E669">
        <v>50</v>
      </c>
      <c r="F669" s="240"/>
      <c r="I669" t="s">
        <v>11340</v>
      </c>
    </row>
    <row r="670" spans="1:12">
      <c r="A670" t="s">
        <v>11767</v>
      </c>
      <c r="B670" t="s">
        <v>11011</v>
      </c>
      <c r="C670">
        <v>180</v>
      </c>
      <c r="D670">
        <v>2.0099999999999998</v>
      </c>
      <c r="E670">
        <v>50</v>
      </c>
      <c r="F670" s="240"/>
      <c r="I670" t="s">
        <v>11340</v>
      </c>
    </row>
    <row r="671" spans="1:12">
      <c r="A671" t="s">
        <v>11768</v>
      </c>
      <c r="B671" t="s">
        <v>11011</v>
      </c>
      <c r="C671">
        <v>180</v>
      </c>
      <c r="D671">
        <v>2.0099999999999998</v>
      </c>
      <c r="E671">
        <v>50</v>
      </c>
      <c r="F671" s="240"/>
      <c r="I671" t="s">
        <v>11340</v>
      </c>
    </row>
    <row r="672" spans="1:12">
      <c r="A672" t="s">
        <v>11769</v>
      </c>
      <c r="B672" t="s">
        <v>11011</v>
      </c>
      <c r="C672">
        <v>180</v>
      </c>
      <c r="D672">
        <v>2.0099999999999998</v>
      </c>
      <c r="E672">
        <v>50</v>
      </c>
      <c r="F672" s="240"/>
      <c r="I672" t="s">
        <v>11340</v>
      </c>
    </row>
    <row r="673" spans="1:9">
      <c r="A673" t="s">
        <v>11770</v>
      </c>
      <c r="B673" t="s">
        <v>11011</v>
      </c>
      <c r="C673">
        <v>180</v>
      </c>
      <c r="D673">
        <v>2.0099999999999998</v>
      </c>
      <c r="E673">
        <v>50</v>
      </c>
      <c r="F673" s="240"/>
      <c r="I673" t="s">
        <v>11340</v>
      </c>
    </row>
    <row r="674" spans="1:9">
      <c r="A674" t="s">
        <v>11771</v>
      </c>
      <c r="B674" t="s">
        <v>11011</v>
      </c>
      <c r="C674">
        <v>180</v>
      </c>
      <c r="D674">
        <v>2.0099999999999998</v>
      </c>
      <c r="E674">
        <v>50</v>
      </c>
      <c r="F674" s="241"/>
      <c r="I674" t="s">
        <v>11340</v>
      </c>
    </row>
    <row r="675" spans="1:9">
      <c r="A675" t="s">
        <v>11772</v>
      </c>
      <c r="B675" t="s">
        <v>2248</v>
      </c>
      <c r="C675">
        <v>180</v>
      </c>
      <c r="D675">
        <v>4.3099999999999996</v>
      </c>
      <c r="E675">
        <v>34</v>
      </c>
      <c r="F675" s="239" t="s">
        <v>11339</v>
      </c>
      <c r="G675" s="6" t="s">
        <v>11773</v>
      </c>
      <c r="I675" t="s">
        <v>11340</v>
      </c>
    </row>
    <row r="676" spans="1:9">
      <c r="A676" t="s">
        <v>11774</v>
      </c>
      <c r="B676" t="s">
        <v>2248</v>
      </c>
      <c r="C676">
        <v>180</v>
      </c>
      <c r="D676">
        <v>4.3099999999999996</v>
      </c>
      <c r="E676">
        <v>34</v>
      </c>
      <c r="F676" s="240"/>
      <c r="I676" t="s">
        <v>11340</v>
      </c>
    </row>
    <row r="677" spans="1:9">
      <c r="A677" t="s">
        <v>11775</v>
      </c>
      <c r="B677" t="s">
        <v>2248</v>
      </c>
      <c r="C677">
        <v>180</v>
      </c>
      <c r="D677">
        <v>4.3099999999999996</v>
      </c>
      <c r="E677">
        <v>34</v>
      </c>
      <c r="F677" s="240"/>
      <c r="I677" t="s">
        <v>11340</v>
      </c>
    </row>
    <row r="678" spans="1:9">
      <c r="A678" t="s">
        <v>11776</v>
      </c>
      <c r="B678" t="s">
        <v>2248</v>
      </c>
      <c r="C678">
        <v>180</v>
      </c>
      <c r="D678">
        <v>4.3099999999999996</v>
      </c>
      <c r="E678">
        <v>34</v>
      </c>
      <c r="F678" s="240"/>
      <c r="I678" t="s">
        <v>11340</v>
      </c>
    </row>
    <row r="679" spans="1:9">
      <c r="A679" t="s">
        <v>11777</v>
      </c>
      <c r="B679" t="s">
        <v>2248</v>
      </c>
      <c r="C679">
        <v>180</v>
      </c>
      <c r="D679">
        <v>4.3099999999999996</v>
      </c>
      <c r="E679">
        <v>34</v>
      </c>
      <c r="F679" s="240"/>
      <c r="I679" t="s">
        <v>11340</v>
      </c>
    </row>
    <row r="680" spans="1:9">
      <c r="A680" t="s">
        <v>11778</v>
      </c>
      <c r="B680" t="s">
        <v>2248</v>
      </c>
      <c r="C680">
        <v>180</v>
      </c>
      <c r="D680">
        <v>4.3099999999999996</v>
      </c>
      <c r="E680">
        <v>34</v>
      </c>
      <c r="F680" s="240"/>
      <c r="I680" t="s">
        <v>11340</v>
      </c>
    </row>
    <row r="681" spans="1:9">
      <c r="A681" t="s">
        <v>11779</v>
      </c>
      <c r="B681" t="s">
        <v>2248</v>
      </c>
      <c r="C681">
        <v>180</v>
      </c>
      <c r="D681">
        <v>4.3099999999999996</v>
      </c>
      <c r="E681">
        <v>34</v>
      </c>
      <c r="F681" s="240"/>
      <c r="I681" t="s">
        <v>11340</v>
      </c>
    </row>
    <row r="682" spans="1:9">
      <c r="A682" t="s">
        <v>11780</v>
      </c>
      <c r="B682" t="s">
        <v>2248</v>
      </c>
      <c r="C682">
        <v>180</v>
      </c>
      <c r="D682">
        <v>4.3099999999999996</v>
      </c>
      <c r="E682">
        <v>34</v>
      </c>
      <c r="F682" s="241"/>
      <c r="I682" t="s">
        <v>11340</v>
      </c>
    </row>
    <row r="683" spans="1:9">
      <c r="A683" t="s">
        <v>11781</v>
      </c>
      <c r="B683" t="s">
        <v>2248</v>
      </c>
      <c r="C683">
        <v>180</v>
      </c>
      <c r="D683">
        <v>4.3099999999999996</v>
      </c>
      <c r="E683">
        <v>34</v>
      </c>
      <c r="F683" s="239" t="s">
        <v>11339</v>
      </c>
      <c r="I683" t="s">
        <v>11340</v>
      </c>
    </row>
    <row r="684" spans="1:9">
      <c r="A684" t="s">
        <v>11782</v>
      </c>
      <c r="B684" t="s">
        <v>2248</v>
      </c>
      <c r="C684">
        <v>180</v>
      </c>
      <c r="D684">
        <v>4.3099999999999996</v>
      </c>
      <c r="E684">
        <v>34</v>
      </c>
      <c r="F684" s="240"/>
      <c r="I684" t="s">
        <v>11340</v>
      </c>
    </row>
    <row r="685" spans="1:9">
      <c r="A685" t="s">
        <v>11783</v>
      </c>
      <c r="B685" t="s">
        <v>2248</v>
      </c>
      <c r="C685">
        <v>180</v>
      </c>
      <c r="D685">
        <v>4.3099999999999996</v>
      </c>
      <c r="E685">
        <v>34</v>
      </c>
      <c r="F685" s="239" t="s">
        <v>11339</v>
      </c>
      <c r="I685" t="s">
        <v>11340</v>
      </c>
    </row>
    <row r="686" spans="1:9">
      <c r="A686" t="s">
        <v>11784</v>
      </c>
      <c r="B686" t="s">
        <v>2248</v>
      </c>
      <c r="C686">
        <v>180</v>
      </c>
      <c r="D686">
        <v>4.3099999999999996</v>
      </c>
      <c r="E686">
        <v>34</v>
      </c>
      <c r="F686" s="240"/>
      <c r="I686" t="s">
        <v>11340</v>
      </c>
    </row>
    <row r="687" spans="1:9">
      <c r="A687" t="s">
        <v>11785</v>
      </c>
      <c r="B687" t="s">
        <v>2248</v>
      </c>
      <c r="C687">
        <v>180</v>
      </c>
      <c r="D687">
        <v>4.3099999999999996</v>
      </c>
      <c r="E687">
        <v>34</v>
      </c>
      <c r="F687" s="240"/>
      <c r="I687" t="s">
        <v>11340</v>
      </c>
    </row>
    <row r="688" spans="1:9">
      <c r="A688" t="s">
        <v>11786</v>
      </c>
      <c r="B688" t="s">
        <v>2248</v>
      </c>
      <c r="C688">
        <v>180</v>
      </c>
      <c r="D688">
        <v>4.3099999999999996</v>
      </c>
      <c r="E688">
        <v>34</v>
      </c>
      <c r="F688" s="240"/>
      <c r="I688" t="s">
        <v>11340</v>
      </c>
    </row>
    <row r="689" spans="1:9">
      <c r="A689" t="s">
        <v>11787</v>
      </c>
      <c r="B689" t="s">
        <v>2248</v>
      </c>
      <c r="C689">
        <v>180</v>
      </c>
      <c r="D689">
        <v>4.3099999999999996</v>
      </c>
      <c r="E689">
        <v>34</v>
      </c>
      <c r="F689" s="240"/>
      <c r="G689" s="6" t="s">
        <v>11788</v>
      </c>
      <c r="I689" t="s">
        <v>11340</v>
      </c>
    </row>
    <row r="690" spans="1:9">
      <c r="A690" t="s">
        <v>11789</v>
      </c>
      <c r="B690" t="s">
        <v>2248</v>
      </c>
      <c r="C690">
        <v>180</v>
      </c>
      <c r="D690">
        <v>4.3099999999999996</v>
      </c>
      <c r="E690">
        <v>34</v>
      </c>
      <c r="F690" s="240"/>
      <c r="I690" t="s">
        <v>11340</v>
      </c>
    </row>
    <row r="691" spans="1:9">
      <c r="A691" t="s">
        <v>11790</v>
      </c>
      <c r="B691" t="s">
        <v>2248</v>
      </c>
      <c r="C691">
        <v>180</v>
      </c>
      <c r="D691">
        <v>4.3099999999999996</v>
      </c>
      <c r="E691">
        <v>34</v>
      </c>
      <c r="F691" s="240"/>
      <c r="I691" t="s">
        <v>11340</v>
      </c>
    </row>
    <row r="692" spans="1:9">
      <c r="A692" t="s">
        <v>11791</v>
      </c>
      <c r="B692" t="s">
        <v>2248</v>
      </c>
      <c r="C692">
        <v>180</v>
      </c>
      <c r="D692">
        <v>4.3099999999999996</v>
      </c>
      <c r="E692">
        <v>34</v>
      </c>
      <c r="F692" s="241"/>
      <c r="I692" t="s">
        <v>11340</v>
      </c>
    </row>
    <row r="693" spans="1:9">
      <c r="A693" t="s">
        <v>11792</v>
      </c>
      <c r="B693" t="s">
        <v>2248</v>
      </c>
      <c r="C693">
        <v>180</v>
      </c>
      <c r="D693">
        <v>4.3099999999999996</v>
      </c>
      <c r="E693">
        <v>34</v>
      </c>
      <c r="F693" s="239" t="s">
        <v>11339</v>
      </c>
      <c r="I693" t="s">
        <v>11340</v>
      </c>
    </row>
    <row r="694" spans="1:9">
      <c r="A694" t="s">
        <v>11793</v>
      </c>
      <c r="B694" t="s">
        <v>2248</v>
      </c>
      <c r="C694">
        <v>180</v>
      </c>
      <c r="D694">
        <v>4.3099999999999996</v>
      </c>
      <c r="E694">
        <v>34</v>
      </c>
      <c r="F694" s="240"/>
      <c r="I694" t="s">
        <v>11340</v>
      </c>
    </row>
    <row r="695" spans="1:9">
      <c r="A695" t="s">
        <v>11794</v>
      </c>
      <c r="B695" t="s">
        <v>2248</v>
      </c>
      <c r="C695">
        <v>180</v>
      </c>
      <c r="D695">
        <v>4.3099999999999996</v>
      </c>
      <c r="E695">
        <v>34</v>
      </c>
      <c r="F695" s="240"/>
      <c r="I695" t="s">
        <v>11340</v>
      </c>
    </row>
    <row r="696" spans="1:9">
      <c r="A696" t="s">
        <v>11795</v>
      </c>
      <c r="B696" t="s">
        <v>2248</v>
      </c>
      <c r="C696">
        <v>180</v>
      </c>
      <c r="D696">
        <v>4.3099999999999996</v>
      </c>
      <c r="E696">
        <v>34</v>
      </c>
      <c r="F696" s="240"/>
      <c r="I696" t="s">
        <v>11340</v>
      </c>
    </row>
    <row r="697" spans="1:9">
      <c r="A697" t="s">
        <v>11796</v>
      </c>
      <c r="B697" t="s">
        <v>2248</v>
      </c>
      <c r="C697">
        <v>180</v>
      </c>
      <c r="D697">
        <v>4.3099999999999996</v>
      </c>
      <c r="E697">
        <v>34</v>
      </c>
      <c r="F697" s="240"/>
      <c r="I697" t="s">
        <v>11340</v>
      </c>
    </row>
    <row r="698" spans="1:9">
      <c r="A698" t="s">
        <v>11797</v>
      </c>
      <c r="B698" t="s">
        <v>2248</v>
      </c>
      <c r="C698">
        <v>180</v>
      </c>
      <c r="D698">
        <v>4.3099999999999996</v>
      </c>
      <c r="E698">
        <v>34</v>
      </c>
      <c r="F698" s="240"/>
      <c r="I698" t="s">
        <v>11340</v>
      </c>
    </row>
    <row r="699" spans="1:9">
      <c r="A699" t="s">
        <v>11798</v>
      </c>
      <c r="B699" t="s">
        <v>2248</v>
      </c>
      <c r="C699">
        <v>180</v>
      </c>
      <c r="D699">
        <v>4.3099999999999996</v>
      </c>
      <c r="E699">
        <v>34</v>
      </c>
      <c r="F699" s="240"/>
      <c r="I699" t="s">
        <v>11340</v>
      </c>
    </row>
    <row r="700" spans="1:9">
      <c r="A700" t="s">
        <v>11799</v>
      </c>
      <c r="B700" t="s">
        <v>2248</v>
      </c>
      <c r="C700">
        <v>180</v>
      </c>
      <c r="D700">
        <v>4.3099999999999996</v>
      </c>
      <c r="E700">
        <v>34</v>
      </c>
      <c r="F700" s="241"/>
      <c r="I700" t="s">
        <v>11340</v>
      </c>
    </row>
    <row r="701" spans="1:9">
      <c r="A701" t="s">
        <v>11800</v>
      </c>
      <c r="B701" t="s">
        <v>2248</v>
      </c>
      <c r="C701">
        <v>180</v>
      </c>
      <c r="D701">
        <v>4.3099999999999996</v>
      </c>
      <c r="E701">
        <v>34</v>
      </c>
      <c r="F701" s="239" t="s">
        <v>11339</v>
      </c>
      <c r="I701" t="s">
        <v>11340</v>
      </c>
    </row>
    <row r="702" spans="1:9">
      <c r="A702" t="s">
        <v>11801</v>
      </c>
      <c r="B702" t="s">
        <v>2248</v>
      </c>
      <c r="C702">
        <v>180</v>
      </c>
      <c r="D702">
        <v>4.3099999999999996</v>
      </c>
      <c r="E702">
        <v>34</v>
      </c>
      <c r="F702" s="240"/>
      <c r="I702" t="s">
        <v>11340</v>
      </c>
    </row>
    <row r="703" spans="1:9">
      <c r="A703" t="s">
        <v>11802</v>
      </c>
      <c r="B703" t="s">
        <v>2248</v>
      </c>
      <c r="C703">
        <v>180</v>
      </c>
      <c r="D703">
        <v>4.3099999999999996</v>
      </c>
      <c r="E703">
        <v>34</v>
      </c>
      <c r="F703" s="240"/>
      <c r="I703" t="s">
        <v>11340</v>
      </c>
    </row>
    <row r="704" spans="1:9">
      <c r="A704" t="s">
        <v>11803</v>
      </c>
      <c r="B704" t="s">
        <v>2248</v>
      </c>
      <c r="C704">
        <v>180</v>
      </c>
      <c r="D704">
        <v>4.3099999999999996</v>
      </c>
      <c r="E704">
        <v>34</v>
      </c>
      <c r="F704" s="240"/>
      <c r="I704" t="s">
        <v>11340</v>
      </c>
    </row>
    <row r="705" spans="1:9">
      <c r="A705" t="s">
        <v>11804</v>
      </c>
      <c r="B705" t="s">
        <v>2248</v>
      </c>
      <c r="C705">
        <v>180</v>
      </c>
      <c r="D705">
        <v>4.3099999999999996</v>
      </c>
      <c r="E705">
        <v>34</v>
      </c>
      <c r="F705" s="240"/>
      <c r="I705" t="s">
        <v>11340</v>
      </c>
    </row>
    <row r="706" spans="1:9">
      <c r="A706" t="s">
        <v>11805</v>
      </c>
      <c r="B706" t="s">
        <v>2248</v>
      </c>
      <c r="C706">
        <v>180</v>
      </c>
      <c r="D706">
        <v>4.3099999999999996</v>
      </c>
      <c r="E706">
        <v>34</v>
      </c>
      <c r="F706" s="240"/>
      <c r="I706" t="s">
        <v>11340</v>
      </c>
    </row>
    <row r="707" spans="1:9">
      <c r="A707" t="s">
        <v>11806</v>
      </c>
      <c r="B707" t="s">
        <v>2248</v>
      </c>
      <c r="C707">
        <v>180</v>
      </c>
      <c r="D707">
        <v>4.3099999999999996</v>
      </c>
      <c r="E707">
        <v>34</v>
      </c>
      <c r="F707" s="240"/>
      <c r="I707" t="s">
        <v>11340</v>
      </c>
    </row>
    <row r="708" spans="1:9">
      <c r="A708" t="s">
        <v>11807</v>
      </c>
      <c r="B708" t="s">
        <v>2248</v>
      </c>
      <c r="C708">
        <v>180</v>
      </c>
      <c r="D708">
        <v>4.3099999999999996</v>
      </c>
      <c r="E708">
        <v>34</v>
      </c>
      <c r="F708" s="241"/>
      <c r="I708" t="s">
        <v>11340</v>
      </c>
    </row>
    <row r="709" spans="1:9">
      <c r="A709" t="s">
        <v>11808</v>
      </c>
      <c r="B709" t="s">
        <v>2248</v>
      </c>
      <c r="C709">
        <v>180</v>
      </c>
      <c r="D709">
        <v>4.3099999999999996</v>
      </c>
      <c r="E709">
        <v>34</v>
      </c>
      <c r="F709" s="239" t="s">
        <v>11339</v>
      </c>
      <c r="I709" t="s">
        <v>11340</v>
      </c>
    </row>
    <row r="710" spans="1:9">
      <c r="A710" t="s">
        <v>11809</v>
      </c>
      <c r="B710" t="s">
        <v>2248</v>
      </c>
      <c r="C710">
        <v>180</v>
      </c>
      <c r="D710">
        <v>4.3099999999999996</v>
      </c>
      <c r="E710">
        <v>34</v>
      </c>
      <c r="F710" s="240"/>
      <c r="I710" t="s">
        <v>11340</v>
      </c>
    </row>
    <row r="711" spans="1:9">
      <c r="A711" t="s">
        <v>11810</v>
      </c>
      <c r="B711" t="s">
        <v>2248</v>
      </c>
      <c r="C711">
        <v>180</v>
      </c>
      <c r="D711">
        <v>4.3099999999999996</v>
      </c>
      <c r="E711">
        <v>34</v>
      </c>
      <c r="F711" s="240"/>
      <c r="I711" t="s">
        <v>11340</v>
      </c>
    </row>
    <row r="712" spans="1:9">
      <c r="A712" t="s">
        <v>11811</v>
      </c>
      <c r="B712" t="s">
        <v>2248</v>
      </c>
      <c r="C712">
        <v>180</v>
      </c>
      <c r="D712">
        <v>4.3099999999999996</v>
      </c>
      <c r="E712">
        <v>34</v>
      </c>
      <c r="F712" s="240"/>
      <c r="I712" t="s">
        <v>11340</v>
      </c>
    </row>
    <row r="713" spans="1:9">
      <c r="A713" t="s">
        <v>11812</v>
      </c>
      <c r="B713" t="s">
        <v>2248</v>
      </c>
      <c r="C713">
        <v>180</v>
      </c>
      <c r="D713">
        <v>4.3099999999999996</v>
      </c>
      <c r="E713">
        <v>34</v>
      </c>
      <c r="F713" s="240"/>
      <c r="I713" t="s">
        <v>11340</v>
      </c>
    </row>
    <row r="714" spans="1:9">
      <c r="A714" t="s">
        <v>11813</v>
      </c>
      <c r="B714" t="s">
        <v>2248</v>
      </c>
      <c r="C714">
        <v>180</v>
      </c>
      <c r="D714">
        <v>4.3099999999999996</v>
      </c>
      <c r="E714">
        <v>34</v>
      </c>
      <c r="F714" s="240"/>
      <c r="I714" t="s">
        <v>11340</v>
      </c>
    </row>
    <row r="715" spans="1:9">
      <c r="A715" t="s">
        <v>11814</v>
      </c>
      <c r="B715" t="s">
        <v>2248</v>
      </c>
      <c r="C715">
        <v>180</v>
      </c>
      <c r="D715">
        <v>4.3099999999999996</v>
      </c>
      <c r="E715">
        <v>34</v>
      </c>
      <c r="F715" s="240"/>
      <c r="I715" t="s">
        <v>11340</v>
      </c>
    </row>
    <row r="716" spans="1:9">
      <c r="A716" t="s">
        <v>11815</v>
      </c>
      <c r="B716" t="s">
        <v>2248</v>
      </c>
      <c r="C716">
        <v>180</v>
      </c>
      <c r="D716">
        <v>4.3099999999999996</v>
      </c>
      <c r="E716">
        <v>34</v>
      </c>
      <c r="F716" s="241"/>
      <c r="I716" t="s">
        <v>11340</v>
      </c>
    </row>
    <row r="717" spans="1:9">
      <c r="A717" t="s">
        <v>11816</v>
      </c>
      <c r="B717" t="s">
        <v>2248</v>
      </c>
      <c r="C717">
        <v>180</v>
      </c>
      <c r="D717">
        <v>4.3099999999999996</v>
      </c>
      <c r="E717">
        <v>34</v>
      </c>
      <c r="F717" s="239" t="s">
        <v>11339</v>
      </c>
      <c r="G717" s="6" t="s">
        <v>11817</v>
      </c>
      <c r="I717" t="s">
        <v>11340</v>
      </c>
    </row>
    <row r="718" spans="1:9">
      <c r="A718" t="s">
        <v>11818</v>
      </c>
      <c r="B718" t="s">
        <v>2248</v>
      </c>
      <c r="C718">
        <v>180</v>
      </c>
      <c r="D718">
        <v>4.3099999999999996</v>
      </c>
      <c r="E718">
        <v>34</v>
      </c>
      <c r="F718" s="240"/>
      <c r="G718" s="6" t="s">
        <v>11817</v>
      </c>
      <c r="I718" t="s">
        <v>11340</v>
      </c>
    </row>
    <row r="719" spans="1:9">
      <c r="A719" t="s">
        <v>11819</v>
      </c>
      <c r="B719" t="s">
        <v>2248</v>
      </c>
      <c r="C719">
        <v>180</v>
      </c>
      <c r="D719">
        <v>4.3099999999999996</v>
      </c>
      <c r="E719">
        <v>34</v>
      </c>
      <c r="F719" s="240"/>
      <c r="G719" s="6" t="s">
        <v>11817</v>
      </c>
      <c r="I719" t="s">
        <v>11340</v>
      </c>
    </row>
    <row r="720" spans="1:9">
      <c r="A720" t="s">
        <v>11820</v>
      </c>
      <c r="B720" t="s">
        <v>2248</v>
      </c>
      <c r="C720">
        <v>180</v>
      </c>
      <c r="D720">
        <v>4.3099999999999996</v>
      </c>
      <c r="E720">
        <v>34</v>
      </c>
      <c r="F720" s="240"/>
      <c r="G720" s="6" t="s">
        <v>11817</v>
      </c>
      <c r="I720" t="s">
        <v>11340</v>
      </c>
    </row>
    <row r="721" spans="1:9">
      <c r="A721" t="s">
        <v>11821</v>
      </c>
      <c r="B721" t="s">
        <v>2248</v>
      </c>
      <c r="C721">
        <v>180</v>
      </c>
      <c r="D721">
        <v>4.3099999999999996</v>
      </c>
      <c r="E721">
        <v>34</v>
      </c>
      <c r="F721" s="240"/>
      <c r="G721" s="6" t="s">
        <v>11817</v>
      </c>
      <c r="I721" t="s">
        <v>11340</v>
      </c>
    </row>
    <row r="722" spans="1:9">
      <c r="A722" t="s">
        <v>11822</v>
      </c>
      <c r="B722" t="s">
        <v>2248</v>
      </c>
      <c r="C722">
        <v>180</v>
      </c>
      <c r="D722">
        <v>4.3099999999999996</v>
      </c>
      <c r="E722">
        <v>34</v>
      </c>
      <c r="F722" s="240"/>
      <c r="G722" s="6" t="s">
        <v>11817</v>
      </c>
      <c r="I722" t="s">
        <v>11340</v>
      </c>
    </row>
    <row r="723" spans="1:9">
      <c r="A723" t="s">
        <v>11823</v>
      </c>
      <c r="B723" t="s">
        <v>2248</v>
      </c>
      <c r="C723">
        <v>180</v>
      </c>
      <c r="D723">
        <v>4.3099999999999996</v>
      </c>
      <c r="E723">
        <v>34</v>
      </c>
      <c r="F723" s="240"/>
      <c r="G723" s="6" t="s">
        <v>11817</v>
      </c>
      <c r="I723" t="s">
        <v>11340</v>
      </c>
    </row>
    <row r="724" spans="1:9">
      <c r="A724" t="s">
        <v>11824</v>
      </c>
      <c r="B724" t="s">
        <v>2248</v>
      </c>
      <c r="C724">
        <v>180</v>
      </c>
      <c r="D724">
        <v>4.3099999999999996</v>
      </c>
      <c r="E724">
        <v>34</v>
      </c>
      <c r="F724" s="241"/>
      <c r="G724" s="6" t="s">
        <v>11817</v>
      </c>
      <c r="I724" t="s">
        <v>11340</v>
      </c>
    </row>
    <row r="725" spans="1:9">
      <c r="A725" t="s">
        <v>11825</v>
      </c>
      <c r="B725" t="s">
        <v>2248</v>
      </c>
      <c r="C725">
        <v>180</v>
      </c>
      <c r="D725">
        <v>4.3099999999999996</v>
      </c>
      <c r="E725">
        <v>34</v>
      </c>
      <c r="F725" s="239" t="s">
        <v>11339</v>
      </c>
      <c r="G725" s="6" t="s">
        <v>11817</v>
      </c>
      <c r="I725" t="s">
        <v>11340</v>
      </c>
    </row>
    <row r="726" spans="1:9">
      <c r="A726" t="s">
        <v>11826</v>
      </c>
      <c r="B726" t="s">
        <v>2248</v>
      </c>
      <c r="C726">
        <v>180</v>
      </c>
      <c r="D726">
        <v>4.3099999999999996</v>
      </c>
      <c r="E726">
        <v>34</v>
      </c>
      <c r="F726" s="240"/>
      <c r="G726" s="6" t="s">
        <v>11817</v>
      </c>
      <c r="I726" t="s">
        <v>11340</v>
      </c>
    </row>
    <row r="727" spans="1:9">
      <c r="A727" t="s">
        <v>11827</v>
      </c>
      <c r="B727" t="s">
        <v>2248</v>
      </c>
      <c r="C727">
        <v>180</v>
      </c>
      <c r="D727">
        <v>4.3099999999999996</v>
      </c>
      <c r="E727">
        <v>34</v>
      </c>
      <c r="F727" s="240"/>
      <c r="G727" s="6" t="s">
        <v>11817</v>
      </c>
      <c r="I727" t="s">
        <v>11340</v>
      </c>
    </row>
    <row r="728" spans="1:9">
      <c r="A728" t="s">
        <v>11828</v>
      </c>
      <c r="B728" t="s">
        <v>2248</v>
      </c>
      <c r="C728">
        <v>180</v>
      </c>
      <c r="D728">
        <v>4.3099999999999996</v>
      </c>
      <c r="E728">
        <v>34</v>
      </c>
      <c r="F728" s="240"/>
      <c r="G728" s="6" t="s">
        <v>11817</v>
      </c>
      <c r="I728" t="s">
        <v>11340</v>
      </c>
    </row>
    <row r="729" spans="1:9">
      <c r="A729" t="s">
        <v>11829</v>
      </c>
      <c r="B729" t="s">
        <v>2248</v>
      </c>
      <c r="C729">
        <v>180</v>
      </c>
      <c r="D729">
        <v>4.3099999999999996</v>
      </c>
      <c r="E729">
        <v>34</v>
      </c>
      <c r="F729" s="240"/>
      <c r="G729" s="6" t="s">
        <v>11817</v>
      </c>
      <c r="I729" t="s">
        <v>11340</v>
      </c>
    </row>
    <row r="730" spans="1:9">
      <c r="A730" t="s">
        <v>11830</v>
      </c>
      <c r="B730" t="s">
        <v>2248</v>
      </c>
      <c r="C730">
        <v>180</v>
      </c>
      <c r="D730">
        <v>4.3099999999999996</v>
      </c>
      <c r="E730">
        <v>34</v>
      </c>
      <c r="F730" s="240"/>
      <c r="G730" s="6" t="s">
        <v>11817</v>
      </c>
      <c r="I730" t="s">
        <v>11340</v>
      </c>
    </row>
    <row r="731" spans="1:9">
      <c r="A731" t="s">
        <v>11831</v>
      </c>
      <c r="B731" t="s">
        <v>2248</v>
      </c>
      <c r="C731">
        <v>180</v>
      </c>
      <c r="D731">
        <v>4.3099999999999996</v>
      </c>
      <c r="E731">
        <v>34</v>
      </c>
      <c r="F731" s="240"/>
      <c r="G731" s="6" t="s">
        <v>11817</v>
      </c>
      <c r="I731" t="s">
        <v>11340</v>
      </c>
    </row>
    <row r="732" spans="1:9">
      <c r="A732" t="s">
        <v>11832</v>
      </c>
      <c r="B732" t="s">
        <v>2248</v>
      </c>
      <c r="C732">
        <v>180</v>
      </c>
      <c r="D732">
        <v>4.3099999999999996</v>
      </c>
      <c r="E732">
        <v>34</v>
      </c>
      <c r="F732" s="241"/>
      <c r="G732" s="6" t="s">
        <v>11817</v>
      </c>
      <c r="I732" t="s">
        <v>11340</v>
      </c>
    </row>
    <row r="733" spans="1:9">
      <c r="A733" t="s">
        <v>11833</v>
      </c>
      <c r="B733" t="s">
        <v>2248</v>
      </c>
      <c r="C733">
        <v>180</v>
      </c>
      <c r="D733">
        <v>4.3099999999999996</v>
      </c>
      <c r="E733">
        <v>34</v>
      </c>
      <c r="F733" s="239" t="s">
        <v>11339</v>
      </c>
      <c r="G733" s="6" t="s">
        <v>11817</v>
      </c>
      <c r="I733" t="s">
        <v>11340</v>
      </c>
    </row>
    <row r="734" spans="1:9">
      <c r="A734" t="s">
        <v>11834</v>
      </c>
      <c r="B734" t="s">
        <v>2248</v>
      </c>
      <c r="C734">
        <v>180</v>
      </c>
      <c r="D734">
        <v>4.3099999999999996</v>
      </c>
      <c r="E734">
        <v>34</v>
      </c>
      <c r="F734" s="240"/>
      <c r="G734" s="6" t="s">
        <v>11817</v>
      </c>
      <c r="I734" t="s">
        <v>11340</v>
      </c>
    </row>
    <row r="735" spans="1:9">
      <c r="A735" t="s">
        <v>11835</v>
      </c>
      <c r="B735" t="s">
        <v>2248</v>
      </c>
      <c r="C735">
        <v>180</v>
      </c>
      <c r="D735">
        <v>4.3099999999999996</v>
      </c>
      <c r="E735">
        <v>34</v>
      </c>
      <c r="F735" s="240"/>
      <c r="G735" s="6" t="s">
        <v>11817</v>
      </c>
      <c r="I735" t="s">
        <v>11340</v>
      </c>
    </row>
    <row r="736" spans="1:9">
      <c r="A736" t="s">
        <v>11836</v>
      </c>
      <c r="B736" t="s">
        <v>2248</v>
      </c>
      <c r="C736">
        <v>180</v>
      </c>
      <c r="D736">
        <v>4.3099999999999996</v>
      </c>
      <c r="E736">
        <v>34</v>
      </c>
      <c r="F736" s="240"/>
      <c r="G736" s="6" t="s">
        <v>11817</v>
      </c>
      <c r="I736" t="s">
        <v>11340</v>
      </c>
    </row>
    <row r="737" spans="1:9">
      <c r="A737" t="s">
        <v>11837</v>
      </c>
      <c r="B737" t="s">
        <v>2248</v>
      </c>
      <c r="C737">
        <v>180</v>
      </c>
      <c r="D737">
        <v>4.3099999999999996</v>
      </c>
      <c r="E737">
        <v>34</v>
      </c>
      <c r="F737" s="240"/>
      <c r="G737" s="6" t="s">
        <v>11817</v>
      </c>
      <c r="I737" t="s">
        <v>11340</v>
      </c>
    </row>
    <row r="738" spans="1:9">
      <c r="A738" t="s">
        <v>11838</v>
      </c>
      <c r="B738" t="s">
        <v>2248</v>
      </c>
      <c r="C738">
        <v>180</v>
      </c>
      <c r="D738">
        <v>4.3099999999999996</v>
      </c>
      <c r="E738">
        <v>34</v>
      </c>
      <c r="F738" s="240"/>
      <c r="G738" s="6" t="s">
        <v>11817</v>
      </c>
      <c r="I738" t="s">
        <v>11340</v>
      </c>
    </row>
    <row r="739" spans="1:9">
      <c r="A739" t="s">
        <v>11839</v>
      </c>
      <c r="B739" t="s">
        <v>2248</v>
      </c>
      <c r="C739">
        <v>180</v>
      </c>
      <c r="D739">
        <v>4.3099999999999996</v>
      </c>
      <c r="E739">
        <v>34</v>
      </c>
      <c r="F739" s="240"/>
      <c r="G739" s="6" t="s">
        <v>11817</v>
      </c>
      <c r="I739" t="s">
        <v>11340</v>
      </c>
    </row>
    <row r="740" spans="1:9">
      <c r="A740" t="s">
        <v>11840</v>
      </c>
      <c r="B740" t="s">
        <v>2248</v>
      </c>
      <c r="C740">
        <v>180</v>
      </c>
      <c r="D740">
        <v>4.3099999999999996</v>
      </c>
      <c r="E740">
        <v>34</v>
      </c>
      <c r="F740" s="241"/>
      <c r="G740" s="6" t="s">
        <v>11817</v>
      </c>
      <c r="I740" t="s">
        <v>11340</v>
      </c>
    </row>
    <row r="741" spans="1:9">
      <c r="A741" t="s">
        <v>11841</v>
      </c>
      <c r="B741" t="s">
        <v>2248</v>
      </c>
      <c r="C741">
        <v>180</v>
      </c>
      <c r="D741">
        <v>4.3099999999999996</v>
      </c>
      <c r="E741">
        <v>34</v>
      </c>
      <c r="F741" s="239" t="s">
        <v>11339</v>
      </c>
      <c r="G741" s="6" t="s">
        <v>11817</v>
      </c>
      <c r="I741" t="s">
        <v>11340</v>
      </c>
    </row>
    <row r="742" spans="1:9">
      <c r="A742" t="s">
        <v>11842</v>
      </c>
      <c r="B742" t="s">
        <v>2248</v>
      </c>
      <c r="C742">
        <v>180</v>
      </c>
      <c r="D742">
        <v>4.3099999999999996</v>
      </c>
      <c r="E742">
        <v>34</v>
      </c>
      <c r="F742" s="240"/>
      <c r="G742" s="6" t="s">
        <v>11817</v>
      </c>
      <c r="I742" t="s">
        <v>11340</v>
      </c>
    </row>
    <row r="743" spans="1:9">
      <c r="A743" t="s">
        <v>11843</v>
      </c>
      <c r="B743" t="s">
        <v>2248</v>
      </c>
      <c r="C743">
        <v>180</v>
      </c>
      <c r="D743">
        <v>4.3099999999999996</v>
      </c>
      <c r="E743">
        <v>34</v>
      </c>
      <c r="F743" s="240"/>
      <c r="G743" s="6" t="s">
        <v>11817</v>
      </c>
      <c r="I743" t="s">
        <v>11340</v>
      </c>
    </row>
    <row r="744" spans="1:9">
      <c r="A744" t="s">
        <v>11844</v>
      </c>
      <c r="B744" t="s">
        <v>2248</v>
      </c>
      <c r="C744">
        <v>180</v>
      </c>
      <c r="D744">
        <v>4.3099999999999996</v>
      </c>
      <c r="E744">
        <v>34</v>
      </c>
      <c r="F744" s="240"/>
      <c r="G744" s="6" t="s">
        <v>11817</v>
      </c>
      <c r="I744" t="s">
        <v>11340</v>
      </c>
    </row>
    <row r="745" spans="1:9">
      <c r="A745" t="s">
        <v>11845</v>
      </c>
      <c r="B745" t="s">
        <v>2248</v>
      </c>
      <c r="C745">
        <v>180</v>
      </c>
      <c r="D745">
        <v>4.3099999999999996</v>
      </c>
      <c r="E745">
        <v>34</v>
      </c>
      <c r="F745" s="240"/>
      <c r="G745" s="6" t="s">
        <v>11817</v>
      </c>
      <c r="I745" t="s">
        <v>11340</v>
      </c>
    </row>
    <row r="746" spans="1:9">
      <c r="A746" t="s">
        <v>11846</v>
      </c>
      <c r="B746" t="s">
        <v>2248</v>
      </c>
      <c r="C746">
        <v>180</v>
      </c>
      <c r="D746">
        <v>4.3099999999999996</v>
      </c>
      <c r="E746">
        <v>34</v>
      </c>
      <c r="F746" s="240"/>
      <c r="G746" s="6" t="s">
        <v>11817</v>
      </c>
      <c r="I746" t="s">
        <v>11340</v>
      </c>
    </row>
    <row r="747" spans="1:9">
      <c r="A747" t="s">
        <v>11847</v>
      </c>
      <c r="B747" t="s">
        <v>2248</v>
      </c>
      <c r="C747">
        <v>180</v>
      </c>
      <c r="D747">
        <v>4.3099999999999996</v>
      </c>
      <c r="E747">
        <v>34</v>
      </c>
      <c r="F747" s="240"/>
      <c r="G747" s="6" t="s">
        <v>11817</v>
      </c>
      <c r="I747" t="s">
        <v>11340</v>
      </c>
    </row>
    <row r="748" spans="1:9">
      <c r="A748" t="s">
        <v>11848</v>
      </c>
      <c r="B748" t="s">
        <v>2248</v>
      </c>
      <c r="C748">
        <v>180</v>
      </c>
      <c r="D748">
        <v>4.3099999999999996</v>
      </c>
      <c r="E748">
        <v>34</v>
      </c>
      <c r="F748" s="241"/>
      <c r="G748" s="6" t="s">
        <v>11817</v>
      </c>
      <c r="I748" t="s">
        <v>11340</v>
      </c>
    </row>
    <row r="749" spans="1:9">
      <c r="A749" t="s">
        <v>11849</v>
      </c>
      <c r="B749" t="s">
        <v>2248</v>
      </c>
      <c r="C749">
        <v>180</v>
      </c>
      <c r="D749">
        <v>4.3099999999999996</v>
      </c>
      <c r="E749">
        <v>34</v>
      </c>
      <c r="F749" s="239" t="s">
        <v>11339</v>
      </c>
      <c r="G749" s="6" t="s">
        <v>11850</v>
      </c>
    </row>
    <row r="750" spans="1:9">
      <c r="A750" t="s">
        <v>11851</v>
      </c>
      <c r="B750" t="s">
        <v>2248</v>
      </c>
      <c r="C750">
        <v>180</v>
      </c>
      <c r="D750">
        <v>4.3099999999999996</v>
      </c>
      <c r="E750">
        <v>34</v>
      </c>
      <c r="F750" s="240"/>
      <c r="G750" s="6" t="s">
        <v>11817</v>
      </c>
      <c r="I750" t="s">
        <v>11340</v>
      </c>
    </row>
    <row r="751" spans="1:9">
      <c r="A751" t="s">
        <v>11852</v>
      </c>
      <c r="B751" t="s">
        <v>2248</v>
      </c>
      <c r="C751">
        <v>180</v>
      </c>
      <c r="D751">
        <v>4.3099999999999996</v>
      </c>
      <c r="E751">
        <v>34</v>
      </c>
      <c r="F751" s="240"/>
      <c r="G751" s="6" t="s">
        <v>11817</v>
      </c>
      <c r="I751" t="s">
        <v>11340</v>
      </c>
    </row>
    <row r="752" spans="1:9">
      <c r="A752" t="s">
        <v>11853</v>
      </c>
      <c r="B752" t="s">
        <v>2248</v>
      </c>
      <c r="C752">
        <v>180</v>
      </c>
      <c r="D752">
        <v>4.3099999999999996</v>
      </c>
      <c r="E752">
        <v>34</v>
      </c>
      <c r="F752" s="240"/>
      <c r="G752" s="6" t="s">
        <v>11817</v>
      </c>
      <c r="I752" t="s">
        <v>11340</v>
      </c>
    </row>
    <row r="753" spans="1:9">
      <c r="A753" t="s">
        <v>11854</v>
      </c>
      <c r="B753" t="s">
        <v>2248</v>
      </c>
      <c r="C753">
        <v>180</v>
      </c>
      <c r="D753">
        <v>4.3099999999999996</v>
      </c>
      <c r="E753">
        <v>34</v>
      </c>
      <c r="F753" s="240"/>
      <c r="G753" s="6" t="s">
        <v>11817</v>
      </c>
      <c r="I753" t="s">
        <v>11340</v>
      </c>
    </row>
    <row r="754" spans="1:9">
      <c r="A754" t="s">
        <v>11855</v>
      </c>
      <c r="B754" t="s">
        <v>2248</v>
      </c>
      <c r="C754">
        <v>180</v>
      </c>
      <c r="D754">
        <v>4.3099999999999996</v>
      </c>
      <c r="E754">
        <v>34</v>
      </c>
      <c r="F754" s="240"/>
      <c r="G754" s="6" t="s">
        <v>11817</v>
      </c>
      <c r="I754" t="s">
        <v>11340</v>
      </c>
    </row>
    <row r="755" spans="1:9">
      <c r="A755" t="s">
        <v>11856</v>
      </c>
      <c r="B755" t="s">
        <v>2248</v>
      </c>
      <c r="C755">
        <v>180</v>
      </c>
      <c r="D755">
        <v>4.3099999999999996</v>
      </c>
      <c r="E755">
        <v>34</v>
      </c>
      <c r="F755" s="240"/>
      <c r="G755" s="6" t="s">
        <v>11817</v>
      </c>
      <c r="I755" t="s">
        <v>11340</v>
      </c>
    </row>
    <row r="756" spans="1:9">
      <c r="A756" t="s">
        <v>11857</v>
      </c>
      <c r="B756" t="s">
        <v>2248</v>
      </c>
      <c r="C756">
        <v>180</v>
      </c>
      <c r="D756">
        <v>4.3099999999999996</v>
      </c>
      <c r="E756">
        <v>34</v>
      </c>
      <c r="F756" s="241"/>
      <c r="G756" s="6" t="s">
        <v>11817</v>
      </c>
      <c r="I756" t="s">
        <v>11340</v>
      </c>
    </row>
    <row r="757" spans="1:9">
      <c r="A757" t="s">
        <v>11858</v>
      </c>
      <c r="B757" t="s">
        <v>2248</v>
      </c>
      <c r="C757">
        <v>180</v>
      </c>
      <c r="D757">
        <v>4.3099999999999996</v>
      </c>
      <c r="E757">
        <v>34</v>
      </c>
      <c r="F757" s="239" t="s">
        <v>11339</v>
      </c>
      <c r="G757" s="6" t="s">
        <v>11817</v>
      </c>
      <c r="I757" t="s">
        <v>11340</v>
      </c>
    </row>
    <row r="758" spans="1:9">
      <c r="A758" t="s">
        <v>11859</v>
      </c>
      <c r="B758" t="s">
        <v>2248</v>
      </c>
      <c r="C758">
        <v>180</v>
      </c>
      <c r="D758">
        <v>4.3099999999999996</v>
      </c>
      <c r="E758">
        <v>34</v>
      </c>
      <c r="F758" s="240"/>
      <c r="G758" s="6" t="s">
        <v>11817</v>
      </c>
      <c r="I758" t="s">
        <v>11340</v>
      </c>
    </row>
    <row r="759" spans="1:9">
      <c r="A759" t="s">
        <v>11860</v>
      </c>
      <c r="B759" t="s">
        <v>2248</v>
      </c>
      <c r="C759">
        <v>180</v>
      </c>
      <c r="D759">
        <v>4.3099999999999996</v>
      </c>
      <c r="E759">
        <v>34</v>
      </c>
      <c r="F759" s="240"/>
      <c r="G759" s="6" t="s">
        <v>11817</v>
      </c>
      <c r="I759" t="s">
        <v>11340</v>
      </c>
    </row>
    <row r="760" spans="1:9">
      <c r="A760" t="s">
        <v>11861</v>
      </c>
      <c r="B760" t="s">
        <v>2248</v>
      </c>
      <c r="C760">
        <v>180</v>
      </c>
      <c r="D760">
        <v>4.3099999999999996</v>
      </c>
      <c r="E760">
        <v>34</v>
      </c>
      <c r="F760" s="240"/>
      <c r="G760" s="6" t="s">
        <v>11817</v>
      </c>
      <c r="I760" t="s">
        <v>11340</v>
      </c>
    </row>
    <row r="761" spans="1:9">
      <c r="A761" t="s">
        <v>11862</v>
      </c>
      <c r="B761" t="s">
        <v>2248</v>
      </c>
      <c r="C761">
        <v>180</v>
      </c>
      <c r="D761">
        <v>4.3099999999999996</v>
      </c>
      <c r="E761">
        <v>34</v>
      </c>
      <c r="F761" s="240"/>
      <c r="G761" s="6" t="s">
        <v>11817</v>
      </c>
      <c r="I761" t="s">
        <v>11340</v>
      </c>
    </row>
    <row r="762" spans="1:9">
      <c r="A762" t="s">
        <v>11863</v>
      </c>
      <c r="B762" t="s">
        <v>2248</v>
      </c>
      <c r="C762">
        <v>180</v>
      </c>
      <c r="D762">
        <v>4.3099999999999996</v>
      </c>
      <c r="E762">
        <v>34</v>
      </c>
      <c r="F762" s="240"/>
      <c r="G762" s="6" t="s">
        <v>11817</v>
      </c>
      <c r="I762" t="s">
        <v>11340</v>
      </c>
    </row>
    <row r="763" spans="1:9">
      <c r="A763" t="s">
        <v>11864</v>
      </c>
      <c r="B763" t="s">
        <v>2248</v>
      </c>
      <c r="C763">
        <v>180</v>
      </c>
      <c r="D763">
        <v>4.3099999999999996</v>
      </c>
      <c r="E763">
        <v>34</v>
      </c>
      <c r="F763" s="240"/>
      <c r="G763" s="6" t="s">
        <v>11817</v>
      </c>
      <c r="I763" t="s">
        <v>11340</v>
      </c>
    </row>
    <row r="764" spans="1:9">
      <c r="A764" t="s">
        <v>11865</v>
      </c>
      <c r="B764" t="s">
        <v>2248</v>
      </c>
      <c r="C764">
        <v>180</v>
      </c>
      <c r="D764">
        <v>4.3099999999999996</v>
      </c>
      <c r="E764">
        <v>34</v>
      </c>
      <c r="F764" s="241"/>
      <c r="G764" s="6" t="s">
        <v>11817</v>
      </c>
      <c r="I764" t="s">
        <v>11340</v>
      </c>
    </row>
    <row r="765" spans="1:9">
      <c r="A765" t="s">
        <v>11866</v>
      </c>
      <c r="B765" t="s">
        <v>2248</v>
      </c>
      <c r="C765">
        <v>180</v>
      </c>
      <c r="D765">
        <v>4.3099999999999996</v>
      </c>
      <c r="E765">
        <v>34</v>
      </c>
      <c r="F765" s="239" t="s">
        <v>11339</v>
      </c>
      <c r="I765" t="s">
        <v>11340</v>
      </c>
    </row>
    <row r="766" spans="1:9">
      <c r="A766" t="s">
        <v>11867</v>
      </c>
      <c r="B766" t="s">
        <v>2248</v>
      </c>
      <c r="C766">
        <v>180</v>
      </c>
      <c r="D766">
        <v>4.3099999999999996</v>
      </c>
      <c r="E766">
        <v>34</v>
      </c>
      <c r="F766" s="240"/>
      <c r="I766" t="s">
        <v>11340</v>
      </c>
    </row>
    <row r="767" spans="1:9">
      <c r="A767" t="s">
        <v>11868</v>
      </c>
      <c r="B767" t="s">
        <v>2248</v>
      </c>
      <c r="C767">
        <v>180</v>
      </c>
      <c r="D767">
        <v>4.3099999999999996</v>
      </c>
      <c r="E767">
        <v>34</v>
      </c>
      <c r="F767" s="240"/>
      <c r="I767" t="s">
        <v>11340</v>
      </c>
    </row>
    <row r="768" spans="1:9">
      <c r="A768" t="s">
        <v>11869</v>
      </c>
      <c r="B768" t="s">
        <v>2248</v>
      </c>
      <c r="C768">
        <v>180</v>
      </c>
      <c r="D768">
        <v>4.3099999999999996</v>
      </c>
      <c r="E768">
        <v>34</v>
      </c>
      <c r="F768" s="240"/>
      <c r="I768" t="s">
        <v>11340</v>
      </c>
    </row>
    <row r="769" spans="1:9">
      <c r="A769" t="s">
        <v>11870</v>
      </c>
      <c r="B769" t="s">
        <v>2248</v>
      </c>
      <c r="C769">
        <v>180</v>
      </c>
      <c r="D769">
        <v>4.3099999999999996</v>
      </c>
      <c r="E769">
        <v>34</v>
      </c>
      <c r="F769" s="239" t="s">
        <v>11339</v>
      </c>
      <c r="G769" s="6"/>
      <c r="I769" t="s">
        <v>11340</v>
      </c>
    </row>
    <row r="770" spans="1:9">
      <c r="A770" t="s">
        <v>11871</v>
      </c>
      <c r="B770" t="s">
        <v>2248</v>
      </c>
      <c r="C770">
        <v>180</v>
      </c>
      <c r="D770">
        <v>4.3099999999999996</v>
      </c>
      <c r="E770">
        <v>34</v>
      </c>
      <c r="F770" s="240"/>
      <c r="I770" t="s">
        <v>11340</v>
      </c>
    </row>
    <row r="771" spans="1:9">
      <c r="A771" t="s">
        <v>11872</v>
      </c>
      <c r="B771" t="s">
        <v>2248</v>
      </c>
      <c r="C771">
        <v>180</v>
      </c>
      <c r="D771">
        <v>4.3099999999999996</v>
      </c>
      <c r="E771">
        <v>34</v>
      </c>
      <c r="F771" s="240"/>
      <c r="I771" t="s">
        <v>11340</v>
      </c>
    </row>
    <row r="772" spans="1:9">
      <c r="A772" t="s">
        <v>11873</v>
      </c>
      <c r="B772" t="s">
        <v>2248</v>
      </c>
      <c r="C772">
        <v>180</v>
      </c>
      <c r="D772">
        <v>4.3099999999999996</v>
      </c>
      <c r="E772">
        <v>34</v>
      </c>
      <c r="F772" s="240"/>
      <c r="I772" t="s">
        <v>11340</v>
      </c>
    </row>
    <row r="773" spans="1:9">
      <c r="A773" t="s">
        <v>11874</v>
      </c>
      <c r="B773" t="s">
        <v>2248</v>
      </c>
      <c r="C773">
        <v>180</v>
      </c>
      <c r="D773">
        <v>4.3099999999999996</v>
      </c>
      <c r="E773">
        <v>34</v>
      </c>
      <c r="F773" s="240"/>
      <c r="I773" t="s">
        <v>11340</v>
      </c>
    </row>
    <row r="774" spans="1:9">
      <c r="A774" t="s">
        <v>11875</v>
      </c>
      <c r="B774" t="s">
        <v>2248</v>
      </c>
      <c r="C774">
        <v>180</v>
      </c>
      <c r="D774">
        <v>4.3099999999999996</v>
      </c>
      <c r="E774">
        <v>34</v>
      </c>
      <c r="F774" s="240"/>
      <c r="I774" t="s">
        <v>11340</v>
      </c>
    </row>
    <row r="775" spans="1:9">
      <c r="A775" t="s">
        <v>11876</v>
      </c>
      <c r="B775" t="s">
        <v>2248</v>
      </c>
      <c r="C775">
        <v>180</v>
      </c>
      <c r="D775">
        <v>4.3099999999999996</v>
      </c>
      <c r="E775">
        <v>34</v>
      </c>
      <c r="F775" s="240"/>
      <c r="I775" t="s">
        <v>11340</v>
      </c>
    </row>
    <row r="776" spans="1:9">
      <c r="A776" t="s">
        <v>11877</v>
      </c>
      <c r="B776" t="s">
        <v>2248</v>
      </c>
      <c r="C776">
        <v>180</v>
      </c>
      <c r="D776">
        <v>4.3099999999999996</v>
      </c>
      <c r="E776">
        <v>34</v>
      </c>
      <c r="F776" s="241"/>
      <c r="I776" t="s">
        <v>11340</v>
      </c>
    </row>
    <row r="777" spans="1:9">
      <c r="A777" t="s">
        <v>11878</v>
      </c>
      <c r="B777" t="s">
        <v>2248</v>
      </c>
      <c r="C777">
        <v>180</v>
      </c>
      <c r="D777">
        <v>4.3099999999999996</v>
      </c>
      <c r="E777">
        <v>34</v>
      </c>
      <c r="F777" s="239" t="s">
        <v>11339</v>
      </c>
      <c r="I777" t="s">
        <v>11340</v>
      </c>
    </row>
    <row r="778" spans="1:9">
      <c r="A778" t="s">
        <v>11879</v>
      </c>
      <c r="B778" t="s">
        <v>2248</v>
      </c>
      <c r="C778">
        <v>180</v>
      </c>
      <c r="D778">
        <v>4.3099999999999996</v>
      </c>
      <c r="E778">
        <v>34</v>
      </c>
      <c r="F778" s="240"/>
      <c r="I778" t="s">
        <v>11340</v>
      </c>
    </row>
    <row r="779" spans="1:9">
      <c r="A779" t="s">
        <v>11880</v>
      </c>
      <c r="B779" t="s">
        <v>2248</v>
      </c>
      <c r="C779">
        <v>180</v>
      </c>
      <c r="D779">
        <v>4.3099999999999996</v>
      </c>
      <c r="E779">
        <v>34</v>
      </c>
      <c r="F779" s="240"/>
      <c r="I779" t="s">
        <v>11340</v>
      </c>
    </row>
    <row r="780" spans="1:9">
      <c r="A780" t="s">
        <v>11881</v>
      </c>
      <c r="B780" t="s">
        <v>2248</v>
      </c>
      <c r="C780">
        <v>180</v>
      </c>
      <c r="D780">
        <v>4.3099999999999996</v>
      </c>
      <c r="E780">
        <v>34</v>
      </c>
      <c r="F780" s="240"/>
      <c r="I780" t="s">
        <v>11340</v>
      </c>
    </row>
    <row r="781" spans="1:9">
      <c r="A781" t="s">
        <v>11882</v>
      </c>
      <c r="B781" t="s">
        <v>2248</v>
      </c>
      <c r="C781">
        <v>180</v>
      </c>
      <c r="D781">
        <v>4.3099999999999996</v>
      </c>
      <c r="E781">
        <v>34</v>
      </c>
      <c r="F781" s="240"/>
      <c r="I781" t="s">
        <v>11340</v>
      </c>
    </row>
    <row r="782" spans="1:9">
      <c r="A782" t="s">
        <v>11883</v>
      </c>
      <c r="B782" t="s">
        <v>2248</v>
      </c>
      <c r="C782">
        <v>180</v>
      </c>
      <c r="D782">
        <v>4.3099999999999996</v>
      </c>
      <c r="E782">
        <v>34</v>
      </c>
      <c r="F782" s="240"/>
      <c r="I782" t="s">
        <v>11340</v>
      </c>
    </row>
    <row r="783" spans="1:9">
      <c r="A783" t="s">
        <v>11884</v>
      </c>
      <c r="B783" t="s">
        <v>2248</v>
      </c>
      <c r="C783">
        <v>180</v>
      </c>
      <c r="D783">
        <v>4.3099999999999996</v>
      </c>
      <c r="E783">
        <v>34</v>
      </c>
      <c r="F783" s="240"/>
      <c r="I783" t="s">
        <v>11340</v>
      </c>
    </row>
    <row r="784" spans="1:9">
      <c r="A784" t="s">
        <v>11885</v>
      </c>
      <c r="B784" t="s">
        <v>2248</v>
      </c>
      <c r="C784">
        <v>180</v>
      </c>
      <c r="D784">
        <v>4.3099999999999996</v>
      </c>
      <c r="E784">
        <v>34</v>
      </c>
      <c r="F784" s="241"/>
      <c r="I784" t="s">
        <v>11340</v>
      </c>
    </row>
    <row r="785" spans="1:9">
      <c r="A785" t="s">
        <v>11886</v>
      </c>
      <c r="B785" t="s">
        <v>2248</v>
      </c>
      <c r="C785">
        <v>180</v>
      </c>
      <c r="D785">
        <v>4.3099999999999996</v>
      </c>
      <c r="E785">
        <v>34</v>
      </c>
      <c r="F785" s="239" t="s">
        <v>11339</v>
      </c>
      <c r="I785" t="s">
        <v>11340</v>
      </c>
    </row>
    <row r="786" spans="1:9">
      <c r="A786" t="s">
        <v>11887</v>
      </c>
      <c r="B786" t="s">
        <v>2248</v>
      </c>
      <c r="C786">
        <v>180</v>
      </c>
      <c r="D786">
        <v>4.3099999999999996</v>
      </c>
      <c r="E786">
        <v>34</v>
      </c>
      <c r="F786" s="240"/>
      <c r="I786" t="s">
        <v>11340</v>
      </c>
    </row>
    <row r="787" spans="1:9">
      <c r="A787" t="s">
        <v>11888</v>
      </c>
      <c r="B787" t="s">
        <v>2248</v>
      </c>
      <c r="C787">
        <v>180</v>
      </c>
      <c r="D787">
        <v>4.3099999999999996</v>
      </c>
      <c r="E787">
        <v>34</v>
      </c>
      <c r="F787" s="240"/>
      <c r="I787" t="s">
        <v>11340</v>
      </c>
    </row>
    <row r="788" spans="1:9">
      <c r="A788" t="s">
        <v>11889</v>
      </c>
      <c r="B788" t="s">
        <v>2248</v>
      </c>
      <c r="C788">
        <v>180</v>
      </c>
      <c r="D788">
        <v>4.3099999999999996</v>
      </c>
      <c r="E788">
        <v>34</v>
      </c>
      <c r="F788" s="240"/>
      <c r="I788" t="s">
        <v>11340</v>
      </c>
    </row>
    <row r="789" spans="1:9">
      <c r="A789" t="s">
        <v>11890</v>
      </c>
      <c r="B789" t="s">
        <v>2248</v>
      </c>
      <c r="C789">
        <v>180</v>
      </c>
      <c r="D789">
        <v>4.3099999999999996</v>
      </c>
      <c r="E789">
        <v>34</v>
      </c>
      <c r="F789" s="240"/>
      <c r="I789" t="s">
        <v>11340</v>
      </c>
    </row>
    <row r="790" spans="1:9">
      <c r="A790" t="s">
        <v>11891</v>
      </c>
      <c r="B790" t="s">
        <v>2248</v>
      </c>
      <c r="C790">
        <v>180</v>
      </c>
      <c r="D790">
        <v>4.3099999999999996</v>
      </c>
      <c r="E790">
        <v>34</v>
      </c>
      <c r="F790" s="240"/>
      <c r="I790" t="s">
        <v>11340</v>
      </c>
    </row>
    <row r="791" spans="1:9">
      <c r="A791" t="s">
        <v>11892</v>
      </c>
      <c r="B791" t="s">
        <v>2248</v>
      </c>
      <c r="C791">
        <v>180</v>
      </c>
      <c r="D791">
        <v>4.3099999999999996</v>
      </c>
      <c r="E791">
        <v>34</v>
      </c>
      <c r="F791" s="240"/>
      <c r="I791" t="s">
        <v>11340</v>
      </c>
    </row>
    <row r="792" spans="1:9">
      <c r="A792" t="s">
        <v>11893</v>
      </c>
      <c r="B792" t="s">
        <v>2248</v>
      </c>
      <c r="C792">
        <v>180</v>
      </c>
      <c r="D792">
        <v>4.3099999999999996</v>
      </c>
      <c r="E792">
        <v>34</v>
      </c>
      <c r="F792" s="241"/>
      <c r="I792" t="s">
        <v>11340</v>
      </c>
    </row>
    <row r="793" spans="1:9">
      <c r="A793" t="s">
        <v>11894</v>
      </c>
      <c r="B793" t="s">
        <v>2248</v>
      </c>
      <c r="C793">
        <v>180</v>
      </c>
      <c r="D793">
        <v>4.3099999999999996</v>
      </c>
      <c r="E793">
        <v>34</v>
      </c>
      <c r="F793" s="239" t="s">
        <v>11339</v>
      </c>
      <c r="I793" t="s">
        <v>11340</v>
      </c>
    </row>
    <row r="794" spans="1:9">
      <c r="A794" t="s">
        <v>11895</v>
      </c>
      <c r="B794" t="s">
        <v>2248</v>
      </c>
      <c r="C794">
        <v>180</v>
      </c>
      <c r="D794">
        <v>4.3099999999999996</v>
      </c>
      <c r="E794">
        <v>34</v>
      </c>
      <c r="F794" s="240"/>
      <c r="I794" t="s">
        <v>11340</v>
      </c>
    </row>
    <row r="795" spans="1:9">
      <c r="A795" t="s">
        <v>11896</v>
      </c>
      <c r="B795" t="s">
        <v>2248</v>
      </c>
      <c r="C795">
        <v>180</v>
      </c>
      <c r="D795">
        <v>4.3099999999999996</v>
      </c>
      <c r="E795">
        <v>34</v>
      </c>
      <c r="F795" s="240"/>
      <c r="I795" t="s">
        <v>11340</v>
      </c>
    </row>
    <row r="796" spans="1:9">
      <c r="A796" t="s">
        <v>11897</v>
      </c>
      <c r="B796" t="s">
        <v>2248</v>
      </c>
      <c r="C796">
        <v>180</v>
      </c>
      <c r="D796">
        <v>4.3099999999999996</v>
      </c>
      <c r="E796">
        <v>34</v>
      </c>
      <c r="F796" s="240"/>
      <c r="I796" t="s">
        <v>11340</v>
      </c>
    </row>
    <row r="797" spans="1:9">
      <c r="A797" t="s">
        <v>11898</v>
      </c>
      <c r="B797" t="s">
        <v>2248</v>
      </c>
      <c r="C797">
        <v>180</v>
      </c>
      <c r="D797">
        <v>4.3099999999999996</v>
      </c>
      <c r="E797">
        <v>34</v>
      </c>
      <c r="F797" s="240"/>
      <c r="I797" t="s">
        <v>11340</v>
      </c>
    </row>
    <row r="798" spans="1:9">
      <c r="A798" t="s">
        <v>11899</v>
      </c>
      <c r="B798" t="s">
        <v>2248</v>
      </c>
      <c r="C798">
        <v>180</v>
      </c>
      <c r="D798">
        <v>4.3099999999999996</v>
      </c>
      <c r="E798">
        <v>34</v>
      </c>
      <c r="F798" s="240"/>
      <c r="I798" t="s">
        <v>11340</v>
      </c>
    </row>
    <row r="799" spans="1:9">
      <c r="A799" t="s">
        <v>11900</v>
      </c>
      <c r="B799" t="s">
        <v>2248</v>
      </c>
      <c r="C799">
        <v>180</v>
      </c>
      <c r="D799">
        <v>4.3099999999999996</v>
      </c>
      <c r="E799">
        <v>34</v>
      </c>
      <c r="F799" s="240"/>
      <c r="I799" t="s">
        <v>11340</v>
      </c>
    </row>
    <row r="800" spans="1:9">
      <c r="A800" t="s">
        <v>11901</v>
      </c>
      <c r="B800" t="s">
        <v>2248</v>
      </c>
      <c r="C800">
        <v>180</v>
      </c>
      <c r="D800">
        <v>4.3099999999999996</v>
      </c>
      <c r="E800">
        <v>34</v>
      </c>
      <c r="F800" s="241"/>
      <c r="I800" t="s">
        <v>11340</v>
      </c>
    </row>
    <row r="801" spans="1:9">
      <c r="A801" t="s">
        <v>11902</v>
      </c>
      <c r="B801" t="s">
        <v>2248</v>
      </c>
      <c r="C801">
        <v>180</v>
      </c>
      <c r="D801">
        <v>4.3099999999999996</v>
      </c>
      <c r="E801">
        <v>34</v>
      </c>
      <c r="F801" s="239" t="s">
        <v>11339</v>
      </c>
      <c r="G801" s="6" t="s">
        <v>11903</v>
      </c>
      <c r="I801" t="s">
        <v>11340</v>
      </c>
    </row>
    <row r="802" spans="1:9">
      <c r="A802" t="s">
        <v>11904</v>
      </c>
      <c r="B802" t="s">
        <v>2248</v>
      </c>
      <c r="C802">
        <v>180</v>
      </c>
      <c r="D802">
        <v>4.3099999999999996</v>
      </c>
      <c r="E802">
        <v>34</v>
      </c>
      <c r="F802" s="240"/>
      <c r="I802" t="s">
        <v>11340</v>
      </c>
    </row>
    <row r="803" spans="1:9">
      <c r="A803" t="s">
        <v>11905</v>
      </c>
      <c r="B803" t="s">
        <v>2248</v>
      </c>
      <c r="C803">
        <v>180</v>
      </c>
      <c r="D803">
        <v>4.3099999999999996</v>
      </c>
      <c r="E803">
        <v>34</v>
      </c>
      <c r="F803" s="240"/>
      <c r="I803" t="s">
        <v>11340</v>
      </c>
    </row>
    <row r="804" spans="1:9">
      <c r="A804" t="s">
        <v>11906</v>
      </c>
      <c r="B804" t="s">
        <v>2248</v>
      </c>
      <c r="C804">
        <v>180</v>
      </c>
      <c r="D804">
        <v>4.3099999999999996</v>
      </c>
      <c r="E804">
        <v>34</v>
      </c>
      <c r="F804" s="240"/>
      <c r="I804" t="s">
        <v>11340</v>
      </c>
    </row>
    <row r="805" spans="1:9">
      <c r="A805" t="s">
        <v>11907</v>
      </c>
      <c r="B805" t="s">
        <v>2248</v>
      </c>
      <c r="C805">
        <v>180</v>
      </c>
      <c r="D805">
        <v>4.3099999999999996</v>
      </c>
      <c r="E805">
        <v>34</v>
      </c>
      <c r="F805" s="240"/>
      <c r="I805" t="s">
        <v>11340</v>
      </c>
    </row>
    <row r="806" spans="1:9">
      <c r="A806" t="s">
        <v>11908</v>
      </c>
      <c r="B806" t="s">
        <v>2248</v>
      </c>
      <c r="C806">
        <v>180</v>
      </c>
      <c r="D806">
        <v>4.3099999999999996</v>
      </c>
      <c r="E806">
        <v>34</v>
      </c>
      <c r="F806" s="240"/>
      <c r="I806" t="s">
        <v>11340</v>
      </c>
    </row>
    <row r="807" spans="1:9">
      <c r="A807" t="s">
        <v>11909</v>
      </c>
      <c r="B807" t="s">
        <v>2248</v>
      </c>
      <c r="C807">
        <v>180</v>
      </c>
      <c r="D807">
        <v>4.3099999999999996</v>
      </c>
      <c r="E807">
        <v>34</v>
      </c>
      <c r="F807" s="240"/>
      <c r="G807" s="6" t="s">
        <v>11910</v>
      </c>
      <c r="I807" t="s">
        <v>11340</v>
      </c>
    </row>
    <row r="808" spans="1:9">
      <c r="A808" t="s">
        <v>11911</v>
      </c>
      <c r="B808" t="s">
        <v>2248</v>
      </c>
      <c r="C808">
        <v>180</v>
      </c>
      <c r="D808">
        <v>4.3099999999999996</v>
      </c>
      <c r="E808">
        <v>34</v>
      </c>
      <c r="F808" s="241"/>
      <c r="I808" t="s">
        <v>11340</v>
      </c>
    </row>
    <row r="809" spans="1:9">
      <c r="A809" t="s">
        <v>11912</v>
      </c>
      <c r="B809" t="s">
        <v>2248</v>
      </c>
      <c r="C809">
        <v>180</v>
      </c>
      <c r="D809">
        <v>4.3099999999999996</v>
      </c>
      <c r="E809">
        <v>34</v>
      </c>
      <c r="F809" s="239" t="s">
        <v>11339</v>
      </c>
      <c r="I809" t="s">
        <v>11340</v>
      </c>
    </row>
    <row r="810" spans="1:9">
      <c r="A810" t="s">
        <v>11913</v>
      </c>
      <c r="B810" t="s">
        <v>2248</v>
      </c>
      <c r="C810">
        <v>180</v>
      </c>
      <c r="D810">
        <v>4.3099999999999996</v>
      </c>
      <c r="E810">
        <v>34</v>
      </c>
      <c r="F810" s="240"/>
      <c r="I810" t="s">
        <v>11340</v>
      </c>
    </row>
    <row r="811" spans="1:9">
      <c r="A811" t="s">
        <v>11914</v>
      </c>
      <c r="B811" t="s">
        <v>2248</v>
      </c>
      <c r="C811">
        <v>180</v>
      </c>
      <c r="D811">
        <v>4.3099999999999996</v>
      </c>
      <c r="E811">
        <v>34</v>
      </c>
      <c r="F811" s="240"/>
      <c r="I811" t="s">
        <v>11340</v>
      </c>
    </row>
    <row r="812" spans="1:9">
      <c r="A812" t="s">
        <v>11915</v>
      </c>
      <c r="B812" t="s">
        <v>2248</v>
      </c>
      <c r="C812">
        <v>180</v>
      </c>
      <c r="D812">
        <v>4.3099999999999996</v>
      </c>
      <c r="E812">
        <v>34</v>
      </c>
      <c r="F812" s="240"/>
      <c r="I812" t="s">
        <v>11340</v>
      </c>
    </row>
    <row r="813" spans="1:9">
      <c r="A813" t="s">
        <v>11916</v>
      </c>
      <c r="B813" t="s">
        <v>2248</v>
      </c>
      <c r="C813">
        <v>180</v>
      </c>
      <c r="D813">
        <v>4.3099999999999996</v>
      </c>
      <c r="E813">
        <v>34</v>
      </c>
      <c r="F813" s="240"/>
      <c r="I813" t="s">
        <v>11340</v>
      </c>
    </row>
    <row r="814" spans="1:9">
      <c r="A814" t="s">
        <v>11917</v>
      </c>
      <c r="B814" t="s">
        <v>2248</v>
      </c>
      <c r="C814">
        <v>180</v>
      </c>
      <c r="D814">
        <v>4.3099999999999996</v>
      </c>
      <c r="E814">
        <v>34</v>
      </c>
      <c r="F814" s="240"/>
      <c r="I814" t="s">
        <v>11340</v>
      </c>
    </row>
    <row r="815" spans="1:9">
      <c r="A815" t="s">
        <v>11918</v>
      </c>
      <c r="B815" t="s">
        <v>2248</v>
      </c>
      <c r="C815">
        <v>180</v>
      </c>
      <c r="D815">
        <v>4.3099999999999996</v>
      </c>
      <c r="E815">
        <v>34</v>
      </c>
      <c r="F815" s="240"/>
      <c r="I815" t="s">
        <v>11340</v>
      </c>
    </row>
    <row r="816" spans="1:9">
      <c r="A816" t="s">
        <v>11919</v>
      </c>
      <c r="B816" t="s">
        <v>2248</v>
      </c>
      <c r="C816">
        <v>180</v>
      </c>
      <c r="D816">
        <v>4.3099999999999996</v>
      </c>
      <c r="E816">
        <v>34</v>
      </c>
      <c r="F816" s="241"/>
      <c r="I816" t="s">
        <v>11340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0"/>
  <sheetViews>
    <sheetView workbookViewId="0">
      <selection activeCell="I19" sqref="I19"/>
    </sheetView>
  </sheetViews>
  <sheetFormatPr defaultRowHeight="14.45"/>
  <sheetData>
    <row r="1" spans="1:8">
      <c r="A1" t="s">
        <v>11920</v>
      </c>
      <c r="B1" t="s">
        <v>11921</v>
      </c>
    </row>
    <row r="2" spans="1:8">
      <c r="A2" s="16" t="s">
        <v>11922</v>
      </c>
      <c r="B2">
        <v>0.03</v>
      </c>
      <c r="C2">
        <v>0.03</v>
      </c>
      <c r="E2" s="16"/>
      <c r="F2" s="1"/>
      <c r="G2" s="1"/>
    </row>
    <row r="3" spans="1:8">
      <c r="A3" s="16" t="s">
        <v>11923</v>
      </c>
      <c r="B3">
        <v>0.2</v>
      </c>
      <c r="C3">
        <v>0.03</v>
      </c>
      <c r="E3" s="16"/>
      <c r="F3" s="1"/>
      <c r="G3" s="1"/>
    </row>
    <row r="4" spans="1:8">
      <c r="A4" s="16" t="s">
        <v>11924</v>
      </c>
      <c r="B4">
        <v>0.37</v>
      </c>
      <c r="C4">
        <v>2.9999999999999971E-2</v>
      </c>
      <c r="E4" s="16"/>
      <c r="F4" s="1"/>
      <c r="G4" s="1"/>
    </row>
    <row r="5" spans="1:8">
      <c r="A5" s="16" t="s">
        <v>11925</v>
      </c>
      <c r="B5">
        <v>0.42</v>
      </c>
      <c r="C5">
        <v>2.9999999999999971E-2</v>
      </c>
      <c r="E5" s="16"/>
      <c r="F5" s="1"/>
      <c r="G5" s="1"/>
    </row>
    <row r="6" spans="1:8">
      <c r="A6" s="16" t="s">
        <v>11926</v>
      </c>
      <c r="B6">
        <v>0.48</v>
      </c>
      <c r="C6">
        <v>2.9999999999999971E-2</v>
      </c>
      <c r="E6" s="16"/>
      <c r="F6" s="1"/>
      <c r="G6" s="1"/>
    </row>
    <row r="7" spans="1:8">
      <c r="A7" s="16" t="s">
        <v>11927</v>
      </c>
      <c r="B7">
        <v>0.82</v>
      </c>
      <c r="C7">
        <v>8.9999999999999969E-2</v>
      </c>
      <c r="E7" s="16"/>
      <c r="F7" s="1"/>
      <c r="G7" s="1"/>
    </row>
    <row r="8" spans="1:8">
      <c r="A8" s="16" t="s">
        <v>11928</v>
      </c>
      <c r="B8">
        <v>5.71</v>
      </c>
      <c r="C8">
        <v>5.27</v>
      </c>
      <c r="E8" s="16"/>
      <c r="F8" s="1"/>
      <c r="G8" s="1"/>
    </row>
    <row r="9" spans="1:8">
      <c r="A9" s="16" t="s">
        <v>11929</v>
      </c>
      <c r="B9">
        <v>8.69</v>
      </c>
      <c r="C9">
        <v>8.43</v>
      </c>
      <c r="E9" s="16"/>
      <c r="F9" s="1"/>
      <c r="G9" s="1"/>
    </row>
    <row r="10" spans="1:8">
      <c r="A10" s="16" t="s">
        <v>11930</v>
      </c>
      <c r="B10">
        <v>13.93</v>
      </c>
      <c r="C10" s="16"/>
      <c r="D10" s="16"/>
      <c r="F10" s="16"/>
      <c r="G10" s="1"/>
      <c r="H10" s="1"/>
    </row>
    <row r="11" spans="1:8">
      <c r="A11" s="16" t="s">
        <v>11931</v>
      </c>
      <c r="B11">
        <v>13.93</v>
      </c>
      <c r="C11" s="16"/>
      <c r="D11" s="16"/>
      <c r="F11" s="16"/>
      <c r="G11" s="1"/>
      <c r="H11" s="1"/>
    </row>
    <row r="12" spans="1:8">
      <c r="A12" s="16" t="s">
        <v>11932</v>
      </c>
      <c r="B12">
        <v>13.93</v>
      </c>
      <c r="C12" s="16"/>
      <c r="D12" s="16"/>
      <c r="F12" s="16"/>
      <c r="G12" s="1"/>
      <c r="H12" s="1"/>
    </row>
    <row r="13" spans="1:8">
      <c r="A13" s="16" t="s">
        <v>11933</v>
      </c>
      <c r="B13">
        <v>-2.4900000000000002</v>
      </c>
      <c r="F13" s="16"/>
      <c r="G13" s="1"/>
      <c r="H13" s="1"/>
    </row>
    <row r="14" spans="1:8">
      <c r="A14" s="16" t="s">
        <v>11934</v>
      </c>
      <c r="B14">
        <v>-6.05</v>
      </c>
      <c r="F14" s="16"/>
      <c r="G14" s="1"/>
      <c r="H14" s="1"/>
    </row>
    <row r="15" spans="1:8">
      <c r="A15" s="16" t="s">
        <v>11935</v>
      </c>
      <c r="B15">
        <v>-6.57</v>
      </c>
      <c r="F15" s="16"/>
      <c r="G15" s="1"/>
      <c r="H15" s="1"/>
    </row>
    <row r="16" spans="1:8">
      <c r="A16" s="16" t="s">
        <v>11936</v>
      </c>
      <c r="B16">
        <v>-7.1</v>
      </c>
      <c r="F16" s="16"/>
      <c r="G16" s="1"/>
      <c r="H16" s="1"/>
    </row>
    <row r="17" spans="1:9">
      <c r="A17" s="16" t="s">
        <v>11937</v>
      </c>
      <c r="B17">
        <v>-7.63</v>
      </c>
      <c r="F17" s="16"/>
      <c r="G17" s="1"/>
      <c r="H17" s="1"/>
    </row>
    <row r="18" spans="1:9">
      <c r="A18" s="16" t="s">
        <v>11938</v>
      </c>
      <c r="B18">
        <v>-24.44</v>
      </c>
      <c r="F18" s="16"/>
      <c r="G18" s="1"/>
      <c r="H18" s="1"/>
    </row>
    <row r="19" spans="1:9">
      <c r="A19" s="16" t="s">
        <v>11939</v>
      </c>
      <c r="B19">
        <v>-38.619999999999997</v>
      </c>
      <c r="F19" s="16"/>
      <c r="G19" s="1"/>
      <c r="H19" s="1"/>
    </row>
    <row r="20" spans="1:9">
      <c r="A20" s="16" t="s">
        <v>11940</v>
      </c>
      <c r="B20" s="54">
        <v>-41.39</v>
      </c>
      <c r="F20" s="16"/>
      <c r="G20" s="1"/>
      <c r="H20" s="1"/>
      <c r="I20" s="5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819"/>
  <sheetViews>
    <sheetView workbookViewId="0">
      <pane xSplit="1" ySplit="1" topLeftCell="B13" activePane="bottomRight" state="frozen"/>
      <selection pane="bottomRight" activeCell="A13" sqref="A13"/>
      <selection pane="bottomLeft"/>
      <selection pane="topRight"/>
    </sheetView>
  </sheetViews>
  <sheetFormatPr defaultRowHeight="14.45"/>
  <cols>
    <col min="1" max="1" width="16.85546875" customWidth="1"/>
    <col min="9" max="9" width="23.85546875" bestFit="1" customWidth="1"/>
    <col min="10" max="10" width="30.28515625" customWidth="1"/>
    <col min="11" max="11" width="20.140625" bestFit="1" customWidth="1"/>
    <col min="12" max="12" width="10.85546875" customWidth="1"/>
  </cols>
  <sheetData>
    <row r="1" spans="1:15" ht="41.45">
      <c r="A1" s="27" t="s">
        <v>0</v>
      </c>
      <c r="B1" s="60" t="s">
        <v>2190</v>
      </c>
      <c r="C1" s="60" t="s">
        <v>11941</v>
      </c>
      <c r="D1" s="60" t="s">
        <v>11942</v>
      </c>
      <c r="E1" s="60" t="s">
        <v>11943</v>
      </c>
      <c r="F1" s="60" t="s">
        <v>11944</v>
      </c>
      <c r="G1" s="60" t="s">
        <v>11945</v>
      </c>
      <c r="H1" s="60" t="s">
        <v>11019</v>
      </c>
      <c r="I1" s="60" t="s">
        <v>13</v>
      </c>
      <c r="J1" s="60" t="s">
        <v>2191</v>
      </c>
      <c r="K1" s="60" t="s">
        <v>11946</v>
      </c>
      <c r="L1" s="60" t="s">
        <v>11947</v>
      </c>
      <c r="M1" s="60" t="s">
        <v>11948</v>
      </c>
      <c r="N1" s="60" t="s">
        <v>2192</v>
      </c>
      <c r="O1" t="s">
        <v>11949</v>
      </c>
    </row>
    <row r="2" spans="1:15">
      <c r="A2" t="s">
        <v>11950</v>
      </c>
      <c r="B2" t="s">
        <v>11011</v>
      </c>
      <c r="C2">
        <v>0</v>
      </c>
      <c r="D2" t="s">
        <v>11922</v>
      </c>
      <c r="E2">
        <f>VLOOKUP(D2,'Position Labels'!$A$2:$B$20,2)</f>
        <v>0.03</v>
      </c>
      <c r="F2">
        <v>4</v>
      </c>
      <c r="G2">
        <v>-4</v>
      </c>
      <c r="K2" t="s">
        <v>11951</v>
      </c>
      <c r="O2" t="s">
        <v>11952</v>
      </c>
    </row>
    <row r="3" spans="1:15" ht="15">
      <c r="A3" t="s">
        <v>11953</v>
      </c>
      <c r="B3" t="s">
        <v>11011</v>
      </c>
      <c r="C3">
        <v>0</v>
      </c>
      <c r="D3" t="s">
        <v>11922</v>
      </c>
      <c r="E3">
        <f>VLOOKUP(D3,'Position Labels'!$A$2:$B$20,2)</f>
        <v>0.03</v>
      </c>
      <c r="F3">
        <v>0</v>
      </c>
      <c r="G3">
        <v>0</v>
      </c>
      <c r="I3" t="s">
        <v>11954</v>
      </c>
    </row>
    <row r="4" spans="1:15" ht="15">
      <c r="A4" t="s">
        <v>11955</v>
      </c>
      <c r="B4" t="s">
        <v>11011</v>
      </c>
      <c r="C4">
        <v>0</v>
      </c>
      <c r="D4" t="s">
        <v>11922</v>
      </c>
      <c r="E4">
        <f>VLOOKUP(D4,'Position Labels'!$A$2:$B$20,2)</f>
        <v>0.03</v>
      </c>
      <c r="F4">
        <v>4</v>
      </c>
      <c r="G4">
        <v>-4</v>
      </c>
      <c r="K4" t="s">
        <v>11951</v>
      </c>
      <c r="O4" t="s">
        <v>11952</v>
      </c>
    </row>
    <row r="5" spans="1:15" ht="15">
      <c r="A5" t="s">
        <v>11956</v>
      </c>
      <c r="B5" t="s">
        <v>11011</v>
      </c>
      <c r="C5">
        <v>0</v>
      </c>
      <c r="D5" t="s">
        <v>11922</v>
      </c>
      <c r="E5">
        <f>VLOOKUP(D5,'Position Labels'!$A$2:$B$20,2)</f>
        <v>0.03</v>
      </c>
      <c r="F5">
        <v>8</v>
      </c>
      <c r="G5">
        <v>-8</v>
      </c>
    </row>
    <row r="6" spans="1:15" ht="15">
      <c r="A6" t="s">
        <v>11957</v>
      </c>
      <c r="B6" t="s">
        <v>11011</v>
      </c>
      <c r="C6">
        <v>0</v>
      </c>
      <c r="D6" t="s">
        <v>11922</v>
      </c>
      <c r="E6">
        <f>VLOOKUP(D6,'Position Labels'!$A$2:$B$20,2)</f>
        <v>0.03</v>
      </c>
      <c r="F6">
        <v>12</v>
      </c>
      <c r="G6">
        <v>-12</v>
      </c>
    </row>
    <row r="7" spans="1:15" ht="15">
      <c r="A7" t="s">
        <v>11958</v>
      </c>
      <c r="B7" t="s">
        <v>11011</v>
      </c>
      <c r="C7">
        <v>0</v>
      </c>
      <c r="D7" t="s">
        <v>11922</v>
      </c>
      <c r="E7">
        <f>VLOOKUP(D7,'Position Labels'!$A$2:$B$20,2)</f>
        <v>0.03</v>
      </c>
      <c r="F7" s="247">
        <v>4</v>
      </c>
      <c r="G7">
        <v>-4</v>
      </c>
      <c r="J7" s="247" t="s">
        <v>11959</v>
      </c>
      <c r="K7" t="s">
        <v>11951</v>
      </c>
      <c r="O7" t="s">
        <v>11952</v>
      </c>
    </row>
    <row r="8" spans="1:15" ht="15">
      <c r="A8" t="s">
        <v>11960</v>
      </c>
      <c r="B8" t="s">
        <v>11011</v>
      </c>
      <c r="C8">
        <v>0</v>
      </c>
      <c r="D8" t="s">
        <v>11922</v>
      </c>
      <c r="E8">
        <f>VLOOKUP(D8,'Position Labels'!$A$2:$B$20,2)</f>
        <v>0.03</v>
      </c>
      <c r="F8" s="247">
        <v>4</v>
      </c>
      <c r="G8">
        <v>-4</v>
      </c>
    </row>
    <row r="9" spans="1:15" ht="15">
      <c r="A9" t="s">
        <v>11961</v>
      </c>
      <c r="B9" t="s">
        <v>11011</v>
      </c>
      <c r="C9">
        <v>0</v>
      </c>
      <c r="D9" t="s">
        <v>11922</v>
      </c>
      <c r="E9">
        <f>VLOOKUP(D9,'Position Labels'!$A$2:$B$20,2)</f>
        <v>0.03</v>
      </c>
      <c r="F9" s="247">
        <v>0</v>
      </c>
      <c r="G9">
        <v>0</v>
      </c>
    </row>
    <row r="10" spans="1:15" ht="15">
      <c r="A10" t="s">
        <v>11962</v>
      </c>
      <c r="B10" t="s">
        <v>11011</v>
      </c>
      <c r="C10">
        <v>0</v>
      </c>
      <c r="D10" t="s">
        <v>11922</v>
      </c>
      <c r="E10">
        <f>VLOOKUP(D10,'Position Labels'!$A$2:$B$20,2)</f>
        <v>0.03</v>
      </c>
      <c r="F10" s="247">
        <v>4</v>
      </c>
      <c r="G10">
        <v>-4</v>
      </c>
      <c r="K10" t="s">
        <v>11951</v>
      </c>
      <c r="O10" t="s">
        <v>11952</v>
      </c>
    </row>
    <row r="11" spans="1:15" ht="15">
      <c r="A11" t="s">
        <v>11963</v>
      </c>
      <c r="B11" t="s">
        <v>11011</v>
      </c>
      <c r="C11">
        <v>0</v>
      </c>
      <c r="D11" t="s">
        <v>11922</v>
      </c>
      <c r="E11">
        <f>VLOOKUP(D11,'Position Labels'!$A$2:$B$20,2)</f>
        <v>0.03</v>
      </c>
      <c r="F11" s="247">
        <v>8</v>
      </c>
      <c r="G11">
        <v>-8</v>
      </c>
    </row>
    <row r="12" spans="1:15" ht="15">
      <c r="A12" t="s">
        <v>11964</v>
      </c>
      <c r="B12" t="s">
        <v>11011</v>
      </c>
      <c r="C12">
        <v>0</v>
      </c>
      <c r="D12" t="s">
        <v>11922</v>
      </c>
      <c r="E12">
        <f>VLOOKUP(D12,'Position Labels'!$A$2:$B$20,2)</f>
        <v>0.03</v>
      </c>
      <c r="F12" s="247">
        <v>12</v>
      </c>
      <c r="G12">
        <v>-12</v>
      </c>
    </row>
    <row r="13" spans="1:15" ht="15">
      <c r="A13" t="s">
        <v>11965</v>
      </c>
      <c r="B13" t="s">
        <v>11011</v>
      </c>
      <c r="C13">
        <v>0</v>
      </c>
      <c r="D13" t="s">
        <v>11922</v>
      </c>
      <c r="E13">
        <f>VLOOKUP(D13,'Position Labels'!$A$2:$B$20,2)</f>
        <v>0.03</v>
      </c>
      <c r="F13" s="247">
        <v>-4</v>
      </c>
      <c r="G13">
        <v>4</v>
      </c>
      <c r="K13" t="s">
        <v>11966</v>
      </c>
      <c r="O13" t="s">
        <v>11952</v>
      </c>
    </row>
    <row r="14" spans="1:15" ht="15">
      <c r="A14" t="s">
        <v>11967</v>
      </c>
      <c r="B14" t="s">
        <v>11011</v>
      </c>
      <c r="C14">
        <v>150</v>
      </c>
      <c r="D14" t="s">
        <v>11923</v>
      </c>
      <c r="E14">
        <f>VLOOKUP(D14,'Position Labels'!$A$2:$B$20,2)</f>
        <v>0.2</v>
      </c>
      <c r="F14" s="247">
        <v>-4</v>
      </c>
      <c r="G14">
        <v>4</v>
      </c>
      <c r="K14" t="s">
        <v>11966</v>
      </c>
      <c r="O14" t="s">
        <v>11952</v>
      </c>
    </row>
    <row r="15" spans="1:15" ht="15">
      <c r="A15" t="s">
        <v>11968</v>
      </c>
      <c r="B15" t="s">
        <v>11011</v>
      </c>
      <c r="C15">
        <v>150</v>
      </c>
      <c r="D15" t="s">
        <v>11923</v>
      </c>
      <c r="E15">
        <f>VLOOKUP(D15,'Position Labels'!$A$2:$B$20,2)</f>
        <v>0.2</v>
      </c>
      <c r="F15" s="247">
        <v>-4</v>
      </c>
      <c r="G15">
        <v>4</v>
      </c>
      <c r="K15" t="s">
        <v>11966</v>
      </c>
      <c r="O15" t="s">
        <v>11952</v>
      </c>
    </row>
    <row r="16" spans="1:15" ht="15">
      <c r="A16" t="s">
        <v>11969</v>
      </c>
      <c r="B16" t="s">
        <v>11011</v>
      </c>
      <c r="C16">
        <v>278</v>
      </c>
      <c r="D16" t="s">
        <v>11924</v>
      </c>
      <c r="E16">
        <f>VLOOKUP(D16,'Position Labels'!$A$2:$B$20,2)</f>
        <v>0.37</v>
      </c>
      <c r="F16" s="247">
        <v>-4</v>
      </c>
      <c r="G16">
        <v>4</v>
      </c>
      <c r="I16" t="s">
        <v>11970</v>
      </c>
      <c r="K16" t="s">
        <v>11966</v>
      </c>
      <c r="O16" t="s">
        <v>11952</v>
      </c>
    </row>
    <row r="17" spans="1:15" ht="15">
      <c r="A17" t="s">
        <v>11971</v>
      </c>
      <c r="B17" t="s">
        <v>11011</v>
      </c>
      <c r="C17">
        <v>278</v>
      </c>
      <c r="D17" t="s">
        <v>11924</v>
      </c>
      <c r="E17">
        <f>VLOOKUP(D17,'Position Labels'!$A$2:$B$20,2)</f>
        <v>0.37</v>
      </c>
      <c r="F17" s="247">
        <v>-4</v>
      </c>
      <c r="G17">
        <v>4</v>
      </c>
      <c r="K17" t="s">
        <v>11966</v>
      </c>
      <c r="L17" t="str">
        <f t="shared" ref="L17:L64" si="0">"condorProc.py --series " &amp; A17  &amp; "   --donoise --dumps a --procenv " &amp; IF(F17&gt;G17,"environments/pymidas_R71_pn.env","environments/pymidas_R71_np.env") &amp; " &amp;"</f>
        <v>condorProc.py --series 07191109_0024   --donoise --dumps a --procenv environments/pymidas_R71_np.env &amp;</v>
      </c>
      <c r="O17" t="s">
        <v>11952</v>
      </c>
    </row>
    <row r="18" spans="1:15" ht="15">
      <c r="A18" t="s">
        <v>11972</v>
      </c>
      <c r="B18" t="s">
        <v>11011</v>
      </c>
      <c r="C18">
        <v>278</v>
      </c>
      <c r="D18" t="s">
        <v>11924</v>
      </c>
      <c r="E18">
        <f>VLOOKUP(D18,'Position Labels'!$A$2:$B$20,2)</f>
        <v>0.37</v>
      </c>
      <c r="F18" s="247">
        <v>-4</v>
      </c>
      <c r="G18">
        <v>4</v>
      </c>
      <c r="K18" t="s">
        <v>11966</v>
      </c>
      <c r="L18" t="str">
        <f t="shared" si="0"/>
        <v>condorProc.py --series 07191109_0155   --donoise --dumps a --procenv environments/pymidas_R71_np.env &amp;</v>
      </c>
      <c r="O18" t="s">
        <v>11952</v>
      </c>
    </row>
    <row r="19" spans="1:15" ht="15">
      <c r="A19" t="s">
        <v>11973</v>
      </c>
      <c r="B19" t="s">
        <v>11011</v>
      </c>
      <c r="C19">
        <v>278</v>
      </c>
      <c r="D19" t="s">
        <v>11924</v>
      </c>
      <c r="E19">
        <f>VLOOKUP(D19,'Position Labels'!$A$2:$B$20,2)</f>
        <v>0.37</v>
      </c>
      <c r="F19" s="247">
        <v>-4</v>
      </c>
      <c r="G19">
        <v>4</v>
      </c>
      <c r="I19" t="s">
        <v>11970</v>
      </c>
      <c r="K19" t="s">
        <v>11966</v>
      </c>
      <c r="L19" t="str">
        <f t="shared" si="0"/>
        <v>condorProc.py --series 07191109_0327   --donoise --dumps a --procenv environments/pymidas_R71_np.env &amp;</v>
      </c>
      <c r="O19" t="s">
        <v>11952</v>
      </c>
    </row>
    <row r="20" spans="1:15" ht="15">
      <c r="A20" t="s">
        <v>11974</v>
      </c>
      <c r="B20" t="s">
        <v>11011</v>
      </c>
      <c r="C20">
        <v>278</v>
      </c>
      <c r="D20" t="s">
        <v>11924</v>
      </c>
      <c r="E20">
        <f>VLOOKUP(D20,'Position Labels'!$A$2:$B$20,2)</f>
        <v>0.37</v>
      </c>
      <c r="F20" s="247">
        <v>-4</v>
      </c>
      <c r="G20">
        <v>4</v>
      </c>
      <c r="I20" t="s">
        <v>11970</v>
      </c>
      <c r="K20" t="s">
        <v>11966</v>
      </c>
      <c r="L20" t="str">
        <f t="shared" si="0"/>
        <v>condorProc.py --series 07191109_0458   --donoise --dumps a --procenv environments/pymidas_R71_np.env &amp;</v>
      </c>
      <c r="O20" t="s">
        <v>11952</v>
      </c>
    </row>
    <row r="21" spans="1:15" ht="15">
      <c r="A21" t="s">
        <v>11975</v>
      </c>
      <c r="B21" t="s">
        <v>11011</v>
      </c>
      <c r="C21">
        <v>278</v>
      </c>
      <c r="D21" t="s">
        <v>11924</v>
      </c>
      <c r="E21">
        <f>VLOOKUP(D21,'Position Labels'!$A$2:$B$20,2)</f>
        <v>0.37</v>
      </c>
      <c r="F21" s="247">
        <v>-4</v>
      </c>
      <c r="G21">
        <v>4</v>
      </c>
      <c r="I21" t="s">
        <v>11970</v>
      </c>
      <c r="K21" t="s">
        <v>11966</v>
      </c>
      <c r="L21" t="str">
        <f t="shared" si="0"/>
        <v>condorProc.py --series 07191109_0629   --donoise --dumps a --procenv environments/pymidas_R71_np.env &amp;</v>
      </c>
      <c r="O21" t="s">
        <v>11952</v>
      </c>
    </row>
    <row r="22" spans="1:15" ht="15">
      <c r="A22" t="s">
        <v>11976</v>
      </c>
      <c r="B22" t="s">
        <v>11011</v>
      </c>
      <c r="C22">
        <v>278</v>
      </c>
      <c r="D22" t="s">
        <v>11924</v>
      </c>
      <c r="E22">
        <f>VLOOKUP(D22,'Position Labels'!$A$2:$B$20,2)</f>
        <v>0.37</v>
      </c>
      <c r="F22" s="247">
        <v>-4</v>
      </c>
      <c r="G22">
        <v>4</v>
      </c>
      <c r="I22" t="s">
        <v>11970</v>
      </c>
      <c r="K22" t="s">
        <v>11966</v>
      </c>
      <c r="L22" t="str">
        <f t="shared" si="0"/>
        <v>condorProc.py --series 07191109_0800   --donoise --dumps a --procenv environments/pymidas_R71_np.env &amp;</v>
      </c>
      <c r="O22" t="s">
        <v>11952</v>
      </c>
    </row>
    <row r="23" spans="1:15" ht="15">
      <c r="A23" t="s">
        <v>11977</v>
      </c>
      <c r="B23" t="s">
        <v>11011</v>
      </c>
      <c r="C23">
        <v>278</v>
      </c>
      <c r="D23" t="s">
        <v>11924</v>
      </c>
      <c r="E23">
        <f>VLOOKUP(D23,'Position Labels'!$A$2:$B$20,2)</f>
        <v>0.37</v>
      </c>
      <c r="F23" s="6">
        <v>0</v>
      </c>
      <c r="G23">
        <v>0</v>
      </c>
      <c r="I23" t="s">
        <v>11978</v>
      </c>
      <c r="J23" s="6" t="s">
        <v>11979</v>
      </c>
      <c r="K23" t="s">
        <v>11966</v>
      </c>
      <c r="L23" t="str">
        <f t="shared" si="0"/>
        <v>condorProc.py --series 07191109_1630   --donoise --dumps a --procenv environments/pymidas_R71_np.env &amp;</v>
      </c>
      <c r="O23" t="s">
        <v>11952</v>
      </c>
    </row>
    <row r="24" spans="1:15" ht="15">
      <c r="A24" t="s">
        <v>11980</v>
      </c>
      <c r="B24" t="s">
        <v>11011</v>
      </c>
      <c r="C24">
        <v>278</v>
      </c>
      <c r="D24" t="s">
        <v>11924</v>
      </c>
      <c r="E24">
        <f>VLOOKUP(D24,'Position Labels'!$A$2:$B$20,2)</f>
        <v>0.37</v>
      </c>
      <c r="F24" s="6">
        <v>-4</v>
      </c>
      <c r="G24">
        <v>4</v>
      </c>
      <c r="K24" t="s">
        <v>11966</v>
      </c>
      <c r="L24" t="str">
        <f t="shared" si="0"/>
        <v>condorProc.py --series 07191109_1731   --donoise --dumps a --procenv environments/pymidas_R71_np.env &amp;</v>
      </c>
      <c r="O24" t="s">
        <v>11952</v>
      </c>
    </row>
    <row r="25" spans="1:15" ht="15">
      <c r="A25" t="s">
        <v>11981</v>
      </c>
      <c r="B25" t="s">
        <v>11011</v>
      </c>
      <c r="C25">
        <v>278</v>
      </c>
      <c r="D25" t="s">
        <v>11924</v>
      </c>
      <c r="E25">
        <f>VLOOKUP(D25,'Position Labels'!$A$2:$B$20,2)</f>
        <v>0.37</v>
      </c>
      <c r="F25" s="6">
        <v>-8</v>
      </c>
      <c r="G25">
        <v>8</v>
      </c>
      <c r="I25" t="s">
        <v>11982</v>
      </c>
      <c r="K25" t="s">
        <v>11966</v>
      </c>
      <c r="L25" t="str">
        <f t="shared" si="0"/>
        <v>condorProc.py --series 07191109_1832   --donoise --dumps a --procenv environments/pymidas_R71_np.env &amp;</v>
      </c>
      <c r="O25" t="s">
        <v>11952</v>
      </c>
    </row>
    <row r="26" spans="1:15" ht="15">
      <c r="A26" t="s">
        <v>11983</v>
      </c>
      <c r="B26" t="s">
        <v>11011</v>
      </c>
      <c r="C26">
        <v>278</v>
      </c>
      <c r="D26" t="s">
        <v>11924</v>
      </c>
      <c r="E26">
        <f>VLOOKUP(D26,'Position Labels'!$A$2:$B$20,2)</f>
        <v>0.37</v>
      </c>
      <c r="F26" s="6">
        <v>-12</v>
      </c>
      <c r="G26">
        <v>12</v>
      </c>
      <c r="I26" t="s">
        <v>11984</v>
      </c>
      <c r="K26" t="s">
        <v>11966</v>
      </c>
      <c r="L26" t="str">
        <f t="shared" si="0"/>
        <v>condorProc.py --series 07191109_1932   --donoise --dumps a --procenv environments/pymidas_R71_np.env &amp;</v>
      </c>
      <c r="O26" t="s">
        <v>11952</v>
      </c>
    </row>
    <row r="27" spans="1:15" ht="15">
      <c r="A27" t="s">
        <v>11985</v>
      </c>
      <c r="B27" t="s">
        <v>11011</v>
      </c>
      <c r="C27">
        <v>278</v>
      </c>
      <c r="D27" t="s">
        <v>11924</v>
      </c>
      <c r="E27">
        <f>VLOOKUP(D27,'Position Labels'!$A$2:$B$20,2)</f>
        <v>0.37</v>
      </c>
      <c r="F27" s="6">
        <v>0</v>
      </c>
      <c r="G27">
        <v>0</v>
      </c>
      <c r="K27" t="s">
        <v>11966</v>
      </c>
      <c r="L27" t="str">
        <f t="shared" si="0"/>
        <v>condorProc.py --series 07191110_1224   --donoise --dumps a --procenv environments/pymidas_R71_np.env &amp;</v>
      </c>
      <c r="O27" t="s">
        <v>11952</v>
      </c>
    </row>
    <row r="28" spans="1:15" ht="15">
      <c r="A28" t="s">
        <v>11986</v>
      </c>
      <c r="B28" t="s">
        <v>11011</v>
      </c>
      <c r="C28">
        <v>278</v>
      </c>
      <c r="D28" t="s">
        <v>11924</v>
      </c>
      <c r="E28">
        <f>VLOOKUP(D28,'Position Labels'!$A$2:$B$20,2)</f>
        <v>0.37</v>
      </c>
      <c r="F28" s="6">
        <v>4</v>
      </c>
      <c r="G28">
        <v>-4</v>
      </c>
      <c r="J28" t="s">
        <v>11987</v>
      </c>
      <c r="K28" t="s">
        <v>11966</v>
      </c>
      <c r="L28" t="str">
        <f t="shared" si="0"/>
        <v>condorProc.py --series 07191110_1254   --donoise --dumps a --procenv environments/pymidas_R71_pn.env &amp;</v>
      </c>
      <c r="M28" t="s">
        <v>11952</v>
      </c>
      <c r="O28" t="s">
        <v>11952</v>
      </c>
    </row>
    <row r="29" spans="1:15" ht="15">
      <c r="A29" t="s">
        <v>11988</v>
      </c>
      <c r="B29" t="s">
        <v>11011</v>
      </c>
      <c r="C29">
        <v>278</v>
      </c>
      <c r="D29" t="s">
        <v>11924</v>
      </c>
      <c r="E29">
        <f>VLOOKUP(D29,'Position Labels'!$A$2:$B$20,2)</f>
        <v>0.37</v>
      </c>
      <c r="F29" s="6">
        <v>0</v>
      </c>
      <c r="G29">
        <v>0</v>
      </c>
      <c r="K29" t="s">
        <v>11966</v>
      </c>
      <c r="L29" t="str">
        <f t="shared" si="0"/>
        <v>condorProc.py --series 07191110_1355   --donoise --dumps a --procenv environments/pymidas_R71_np.env &amp;</v>
      </c>
      <c r="O29" t="s">
        <v>11952</v>
      </c>
    </row>
    <row r="30" spans="1:15" ht="15">
      <c r="A30" t="s">
        <v>11989</v>
      </c>
      <c r="B30" t="s">
        <v>11011</v>
      </c>
      <c r="C30">
        <v>278</v>
      </c>
      <c r="D30" t="s">
        <v>11924</v>
      </c>
      <c r="E30">
        <f>VLOOKUP(D30,'Position Labels'!$A$2:$B$20,2)</f>
        <v>0.37</v>
      </c>
      <c r="F30" s="6">
        <v>-4</v>
      </c>
      <c r="G30">
        <v>4</v>
      </c>
      <c r="I30" t="s">
        <v>11990</v>
      </c>
      <c r="K30" t="s">
        <v>11966</v>
      </c>
      <c r="L30" t="str">
        <f t="shared" si="0"/>
        <v>condorProc.py --series 07191110_1425   --donoise --dumps a --procenv environments/pymidas_R71_np.env &amp;</v>
      </c>
      <c r="O30" t="s">
        <v>11952</v>
      </c>
    </row>
    <row r="31" spans="1:15" ht="15">
      <c r="A31" t="s">
        <v>11991</v>
      </c>
      <c r="B31" t="s">
        <v>11011</v>
      </c>
      <c r="C31">
        <v>278</v>
      </c>
      <c r="D31" t="s">
        <v>11924</v>
      </c>
      <c r="E31">
        <f>VLOOKUP(D31,'Position Labels'!$A$2:$B$20,2)</f>
        <v>0.37</v>
      </c>
      <c r="F31" s="6">
        <v>0</v>
      </c>
      <c r="G31">
        <v>0</v>
      </c>
      <c r="I31" t="s">
        <v>11992</v>
      </c>
      <c r="K31" t="s">
        <v>11966</v>
      </c>
      <c r="L31" t="str">
        <f t="shared" si="0"/>
        <v>condorProc.py --series 07191110_1526   --donoise --dumps a --procenv environments/pymidas_R71_np.env &amp;</v>
      </c>
      <c r="O31" t="s">
        <v>11952</v>
      </c>
    </row>
    <row r="32" spans="1:15" ht="15">
      <c r="A32" t="s">
        <v>11993</v>
      </c>
      <c r="B32" t="s">
        <v>11011</v>
      </c>
      <c r="C32">
        <v>278</v>
      </c>
      <c r="D32" t="s">
        <v>11924</v>
      </c>
      <c r="E32">
        <f>VLOOKUP(D32,'Position Labels'!$A$2:$B$20,2)</f>
        <v>0.37</v>
      </c>
      <c r="F32" s="6">
        <v>4</v>
      </c>
      <c r="G32">
        <v>-4</v>
      </c>
      <c r="J32" t="s">
        <v>11987</v>
      </c>
      <c r="K32" t="s">
        <v>11966</v>
      </c>
      <c r="L32" t="str">
        <f t="shared" si="0"/>
        <v>condorProc.py --series 07191110_1556   --donoise --dumps a --procenv environments/pymidas_R71_pn.env &amp;</v>
      </c>
      <c r="M32" t="s">
        <v>11952</v>
      </c>
      <c r="O32" t="s">
        <v>11952</v>
      </c>
    </row>
    <row r="33" spans="1:15" ht="15">
      <c r="A33" t="s">
        <v>11994</v>
      </c>
      <c r="B33" t="s">
        <v>11011</v>
      </c>
      <c r="C33">
        <v>278</v>
      </c>
      <c r="D33" t="s">
        <v>11924</v>
      </c>
      <c r="E33">
        <f>VLOOKUP(D33,'Position Labels'!$A$2:$B$20,2)</f>
        <v>0.37</v>
      </c>
      <c r="F33" s="6">
        <v>0</v>
      </c>
      <c r="G33">
        <v>0</v>
      </c>
      <c r="K33" t="s">
        <v>11966</v>
      </c>
      <c r="L33" t="str">
        <f t="shared" si="0"/>
        <v>condorProc.py --series 07191110_1657   --donoise --dumps a --procenv environments/pymidas_R71_np.env &amp;</v>
      </c>
      <c r="O33" t="s">
        <v>11952</v>
      </c>
    </row>
    <row r="34" spans="1:15" ht="15">
      <c r="A34" t="s">
        <v>11995</v>
      </c>
      <c r="B34" t="s">
        <v>11011</v>
      </c>
      <c r="C34">
        <v>278</v>
      </c>
      <c r="D34" t="s">
        <v>11924</v>
      </c>
      <c r="E34">
        <f>VLOOKUP(D34,'Position Labels'!$A$2:$B$20,2)</f>
        <v>0.37</v>
      </c>
      <c r="F34" s="6">
        <v>-4</v>
      </c>
      <c r="G34">
        <v>4</v>
      </c>
      <c r="I34" t="s">
        <v>11990</v>
      </c>
      <c r="K34" t="s">
        <v>11966</v>
      </c>
      <c r="L34" t="str">
        <f t="shared" si="0"/>
        <v>condorProc.py --series 07191110_1727   --donoise --dumps a --procenv environments/pymidas_R71_np.env &amp;</v>
      </c>
      <c r="O34" t="s">
        <v>11952</v>
      </c>
    </row>
    <row r="35" spans="1:15" ht="15">
      <c r="A35" t="s">
        <v>11996</v>
      </c>
      <c r="B35" t="s">
        <v>11011</v>
      </c>
      <c r="C35">
        <v>278</v>
      </c>
      <c r="D35" t="s">
        <v>11924</v>
      </c>
      <c r="E35">
        <f>VLOOKUP(D35,'Position Labels'!$A$2:$B$20,2)</f>
        <v>0.37</v>
      </c>
      <c r="F35" s="6">
        <v>0</v>
      </c>
      <c r="G35">
        <v>0</v>
      </c>
      <c r="I35" t="s">
        <v>11992</v>
      </c>
      <c r="K35" t="s">
        <v>11966</v>
      </c>
      <c r="L35" t="str">
        <f t="shared" si="0"/>
        <v>condorProc.py --series 07191110_1828   --donoise --dumps a --procenv environments/pymidas_R71_np.env &amp;</v>
      </c>
      <c r="O35" t="s">
        <v>11952</v>
      </c>
    </row>
    <row r="36" spans="1:15" ht="15">
      <c r="A36" t="s">
        <v>11997</v>
      </c>
      <c r="B36" t="s">
        <v>11011</v>
      </c>
      <c r="C36">
        <v>278</v>
      </c>
      <c r="D36" t="s">
        <v>11924</v>
      </c>
      <c r="E36">
        <f>VLOOKUP(D36,'Position Labels'!$A$2:$B$20,2)</f>
        <v>0.37</v>
      </c>
      <c r="F36" s="6">
        <v>4</v>
      </c>
      <c r="G36">
        <v>-4</v>
      </c>
      <c r="J36" t="s">
        <v>11987</v>
      </c>
      <c r="K36" t="s">
        <v>11966</v>
      </c>
      <c r="L36" t="str">
        <f t="shared" si="0"/>
        <v>condorProc.py --series 07191110_1858   --donoise --dumps a --procenv environments/pymidas_R71_pn.env &amp;</v>
      </c>
      <c r="M36" t="s">
        <v>11952</v>
      </c>
      <c r="O36" t="s">
        <v>11952</v>
      </c>
    </row>
    <row r="37" spans="1:15" ht="15">
      <c r="A37" t="s">
        <v>11998</v>
      </c>
      <c r="B37" t="s">
        <v>11011</v>
      </c>
      <c r="C37">
        <v>278</v>
      </c>
      <c r="D37" t="s">
        <v>11924</v>
      </c>
      <c r="E37">
        <f>VLOOKUP(D37,'Position Labels'!$A$2:$B$20,2)</f>
        <v>0.37</v>
      </c>
      <c r="F37" s="6">
        <v>0</v>
      </c>
      <c r="G37">
        <v>0</v>
      </c>
      <c r="K37" t="s">
        <v>11966</v>
      </c>
      <c r="L37" t="str">
        <f t="shared" si="0"/>
        <v>condorProc.py --series 07191110_1959   --donoise --dumps a --procenv environments/pymidas_R71_np.env &amp;</v>
      </c>
      <c r="O37" t="s">
        <v>11952</v>
      </c>
    </row>
    <row r="38" spans="1:15" ht="15">
      <c r="A38" t="s">
        <v>11999</v>
      </c>
      <c r="B38" t="s">
        <v>11011</v>
      </c>
      <c r="C38">
        <v>278</v>
      </c>
      <c r="D38" t="s">
        <v>11924</v>
      </c>
      <c r="E38">
        <f>VLOOKUP(D38,'Position Labels'!$A$2:$B$20,2)</f>
        <v>0.37</v>
      </c>
      <c r="F38" s="6">
        <v>-4</v>
      </c>
      <c r="G38">
        <v>4</v>
      </c>
      <c r="I38" t="s">
        <v>11990</v>
      </c>
      <c r="K38" t="s">
        <v>11966</v>
      </c>
      <c r="L38" t="str">
        <f t="shared" si="0"/>
        <v>condorProc.py --series 07191110_2029   --donoise --dumps a --procenv environments/pymidas_R71_np.env &amp;</v>
      </c>
      <c r="O38" t="s">
        <v>11952</v>
      </c>
    </row>
    <row r="39" spans="1:15" ht="15">
      <c r="A39" t="s">
        <v>12000</v>
      </c>
      <c r="B39" t="s">
        <v>11011</v>
      </c>
      <c r="C39">
        <v>278</v>
      </c>
      <c r="D39" t="s">
        <v>11924</v>
      </c>
      <c r="E39">
        <f>VLOOKUP(D39,'Position Labels'!$A$2:$B$20,2)</f>
        <v>0.37</v>
      </c>
      <c r="F39" s="6">
        <v>0</v>
      </c>
      <c r="G39">
        <v>0</v>
      </c>
      <c r="I39" t="s">
        <v>11992</v>
      </c>
      <c r="K39" t="s">
        <v>11966</v>
      </c>
      <c r="L39" t="str">
        <f t="shared" si="0"/>
        <v>condorProc.py --series 07191110_2130   --donoise --dumps a --procenv environments/pymidas_R71_np.env &amp;</v>
      </c>
      <c r="O39" t="s">
        <v>11952</v>
      </c>
    </row>
    <row r="40" spans="1:15" ht="15">
      <c r="A40" t="s">
        <v>12001</v>
      </c>
      <c r="B40" t="s">
        <v>11011</v>
      </c>
      <c r="C40">
        <v>278</v>
      </c>
      <c r="D40" t="s">
        <v>11924</v>
      </c>
      <c r="E40">
        <f>VLOOKUP(D40,'Position Labels'!$A$2:$B$20,2)</f>
        <v>0.37</v>
      </c>
      <c r="F40" s="6">
        <v>4</v>
      </c>
      <c r="G40">
        <v>-4</v>
      </c>
      <c r="J40" t="s">
        <v>11987</v>
      </c>
      <c r="K40" t="s">
        <v>11966</v>
      </c>
      <c r="L40" t="str">
        <f t="shared" si="0"/>
        <v>condorProc.py --series 07191110_2200   --donoise --dumps a --procenv environments/pymidas_R71_pn.env &amp;</v>
      </c>
      <c r="M40" t="s">
        <v>11952</v>
      </c>
      <c r="O40" t="s">
        <v>11952</v>
      </c>
    </row>
    <row r="41" spans="1:15" ht="15">
      <c r="A41" t="s">
        <v>12002</v>
      </c>
      <c r="B41" t="s">
        <v>11011</v>
      </c>
      <c r="C41">
        <v>278</v>
      </c>
      <c r="D41" t="s">
        <v>11924</v>
      </c>
      <c r="E41">
        <f>VLOOKUP(D41,'Position Labels'!$A$2:$B$20,2)</f>
        <v>0.37</v>
      </c>
      <c r="F41" s="6">
        <v>0</v>
      </c>
      <c r="G41">
        <v>0</v>
      </c>
      <c r="K41" t="s">
        <v>11966</v>
      </c>
      <c r="L41" t="str">
        <f t="shared" si="0"/>
        <v>condorProc.py --series 07191110_2301   --donoise --dumps a --procenv environments/pymidas_R71_np.env &amp;</v>
      </c>
      <c r="O41" t="s">
        <v>11952</v>
      </c>
    </row>
    <row r="42" spans="1:15" ht="15">
      <c r="A42" t="s">
        <v>12003</v>
      </c>
      <c r="B42" t="s">
        <v>11011</v>
      </c>
      <c r="C42">
        <v>278</v>
      </c>
      <c r="D42" t="s">
        <v>11924</v>
      </c>
      <c r="E42">
        <f>VLOOKUP(D42,'Position Labels'!$A$2:$B$20,2)</f>
        <v>0.37</v>
      </c>
      <c r="F42" s="6">
        <v>-4</v>
      </c>
      <c r="G42">
        <v>4</v>
      </c>
      <c r="I42" t="s">
        <v>11990</v>
      </c>
      <c r="K42" t="s">
        <v>11966</v>
      </c>
      <c r="L42" t="str">
        <f t="shared" si="0"/>
        <v>condorProc.py --series 07191110_2331   --donoise --dumps a --procenv environments/pymidas_R71_np.env &amp;</v>
      </c>
      <c r="O42" t="s">
        <v>11952</v>
      </c>
    </row>
    <row r="43" spans="1:15" ht="15">
      <c r="A43" t="s">
        <v>12004</v>
      </c>
      <c r="B43" t="s">
        <v>11011</v>
      </c>
      <c r="C43">
        <v>278</v>
      </c>
      <c r="D43" t="s">
        <v>11924</v>
      </c>
      <c r="E43">
        <f>VLOOKUP(D43,'Position Labels'!$A$2:$B$20,2)</f>
        <v>0.37</v>
      </c>
      <c r="F43" s="6">
        <v>4</v>
      </c>
      <c r="G43">
        <v>-4</v>
      </c>
      <c r="J43" t="s">
        <v>12005</v>
      </c>
      <c r="L43" t="str">
        <f t="shared" si="0"/>
        <v>condorProc.py --series 07191111_1823   --donoise --dumps a --procenv environments/pymidas_R71_pn.env &amp;</v>
      </c>
      <c r="M43" t="s">
        <v>11952</v>
      </c>
      <c r="O43" t="s">
        <v>11952</v>
      </c>
    </row>
    <row r="44" spans="1:15" ht="15">
      <c r="A44" t="s">
        <v>12006</v>
      </c>
      <c r="B44" t="s">
        <v>11011</v>
      </c>
      <c r="C44">
        <v>278</v>
      </c>
      <c r="D44" t="s">
        <v>11924</v>
      </c>
      <c r="E44">
        <f>VLOOKUP(D44,'Position Labels'!$A$2:$B$20,2)</f>
        <v>0.37</v>
      </c>
      <c r="F44" s="6">
        <v>4</v>
      </c>
      <c r="G44">
        <v>-4</v>
      </c>
      <c r="I44" t="s">
        <v>11970</v>
      </c>
      <c r="L44" t="str">
        <f t="shared" si="0"/>
        <v>condorProc.py --series 07191111_1924   --donoise --dumps a --procenv environments/pymidas_R71_pn.env &amp;</v>
      </c>
      <c r="M44" t="s">
        <v>5377</v>
      </c>
      <c r="O44" t="s">
        <v>11952</v>
      </c>
    </row>
    <row r="45" spans="1:15" ht="15">
      <c r="A45" t="s">
        <v>12007</v>
      </c>
      <c r="B45" t="s">
        <v>11011</v>
      </c>
      <c r="C45">
        <v>278</v>
      </c>
      <c r="D45" t="s">
        <v>11924</v>
      </c>
      <c r="E45">
        <f>VLOOKUP(D45,'Position Labels'!$A$2:$B$20,2)</f>
        <v>0.37</v>
      </c>
      <c r="F45" s="6">
        <v>4</v>
      </c>
      <c r="G45">
        <v>-4</v>
      </c>
      <c r="I45" t="s">
        <v>11970</v>
      </c>
      <c r="L45" t="str">
        <f t="shared" si="0"/>
        <v>condorProc.py --series 07191111_2025   --donoise --dumps a --procenv environments/pymidas_R71_pn.env &amp;</v>
      </c>
      <c r="M45" t="s">
        <v>5377</v>
      </c>
      <c r="O45" t="s">
        <v>11952</v>
      </c>
    </row>
    <row r="46" spans="1:15" ht="15">
      <c r="A46" t="s">
        <v>12008</v>
      </c>
      <c r="B46" t="s">
        <v>11011</v>
      </c>
      <c r="C46">
        <v>278</v>
      </c>
      <c r="D46" t="s">
        <v>11924</v>
      </c>
      <c r="E46">
        <f>VLOOKUP(D46,'Position Labels'!$A$2:$B$20,2)</f>
        <v>0.37</v>
      </c>
      <c r="F46" s="6">
        <v>4</v>
      </c>
      <c r="G46">
        <v>-4</v>
      </c>
      <c r="I46" t="s">
        <v>11970</v>
      </c>
      <c r="L46" t="str">
        <f t="shared" si="0"/>
        <v>condorProc.py --series 07191111_2126   --donoise --dumps a --procenv environments/pymidas_R71_pn.env &amp;</v>
      </c>
      <c r="M46" t="s">
        <v>5377</v>
      </c>
      <c r="O46" t="s">
        <v>11952</v>
      </c>
    </row>
    <row r="47" spans="1:15" ht="15">
      <c r="A47" t="s">
        <v>12009</v>
      </c>
      <c r="B47" t="s">
        <v>11011</v>
      </c>
      <c r="C47">
        <v>278</v>
      </c>
      <c r="D47" t="s">
        <v>11924</v>
      </c>
      <c r="E47">
        <f>VLOOKUP(D47,'Position Labels'!$A$2:$B$20,2)</f>
        <v>0.37</v>
      </c>
      <c r="F47" s="6">
        <v>4</v>
      </c>
      <c r="G47">
        <v>-4</v>
      </c>
      <c r="I47" t="s">
        <v>11970</v>
      </c>
      <c r="L47" t="str">
        <f t="shared" si="0"/>
        <v>condorProc.py --series 07191111_2227   --donoise --dumps a --procenv environments/pymidas_R71_pn.env &amp;</v>
      </c>
      <c r="M47" t="s">
        <v>5377</v>
      </c>
      <c r="O47" t="s">
        <v>11952</v>
      </c>
    </row>
    <row r="48" spans="1:15" ht="15">
      <c r="A48" t="s">
        <v>12010</v>
      </c>
      <c r="B48" t="s">
        <v>11011</v>
      </c>
      <c r="C48">
        <v>278</v>
      </c>
      <c r="D48" t="s">
        <v>11924</v>
      </c>
      <c r="E48">
        <f>VLOOKUP(D48,'Position Labels'!$A$2:$B$20,2)</f>
        <v>0.37</v>
      </c>
      <c r="F48" s="6">
        <v>4</v>
      </c>
      <c r="G48">
        <v>-4</v>
      </c>
      <c r="I48" t="s">
        <v>11970</v>
      </c>
      <c r="L48" t="str">
        <f t="shared" si="0"/>
        <v>condorProc.py --series 07191111_2328   --donoise --dumps a --procenv environments/pymidas_R71_pn.env &amp;</v>
      </c>
      <c r="M48" t="s">
        <v>5377</v>
      </c>
      <c r="O48" t="s">
        <v>11952</v>
      </c>
    </row>
    <row r="49" spans="1:15" ht="15">
      <c r="A49" t="s">
        <v>12011</v>
      </c>
      <c r="B49" t="s">
        <v>11011</v>
      </c>
      <c r="C49">
        <v>278</v>
      </c>
      <c r="D49" t="s">
        <v>11924</v>
      </c>
      <c r="E49">
        <f>VLOOKUP(D49,'Position Labels'!$A$2:$B$20,2)</f>
        <v>0.37</v>
      </c>
      <c r="F49" s="6">
        <v>4</v>
      </c>
      <c r="G49">
        <v>-4</v>
      </c>
      <c r="L49" t="str">
        <f t="shared" si="0"/>
        <v>condorProc.py --series 07191112_1128   --donoise --dumps a --procenv environments/pymidas_R71_pn.env &amp;</v>
      </c>
      <c r="M49" t="s">
        <v>11952</v>
      </c>
      <c r="O49" t="s">
        <v>11952</v>
      </c>
    </row>
    <row r="50" spans="1:15" ht="15">
      <c r="A50" t="s">
        <v>12012</v>
      </c>
      <c r="B50" t="s">
        <v>11011</v>
      </c>
      <c r="C50">
        <v>278</v>
      </c>
      <c r="D50" t="s">
        <v>11924</v>
      </c>
      <c r="E50">
        <f>VLOOKUP(D50,'Position Labels'!$A$2:$B$20,2)</f>
        <v>0.37</v>
      </c>
      <c r="F50" s="248">
        <v>4</v>
      </c>
      <c r="G50">
        <v>-4</v>
      </c>
      <c r="I50" t="s">
        <v>12013</v>
      </c>
      <c r="L50" t="str">
        <f t="shared" si="0"/>
        <v>condorProc.py --series 07191112_1343   --donoise --dumps a --procenv environments/pymidas_R71_pn.env &amp;</v>
      </c>
      <c r="M50" t="s">
        <v>11952</v>
      </c>
      <c r="O50" t="s">
        <v>11952</v>
      </c>
    </row>
    <row r="51" spans="1:15" ht="15">
      <c r="A51" t="s">
        <v>12014</v>
      </c>
      <c r="B51" t="s">
        <v>11011</v>
      </c>
      <c r="C51">
        <v>278</v>
      </c>
      <c r="D51" t="s">
        <v>11924</v>
      </c>
      <c r="E51">
        <f>VLOOKUP(D51,'Position Labels'!$A$2:$B$20,2)</f>
        <v>0.37</v>
      </c>
      <c r="F51" s="248">
        <v>-4</v>
      </c>
      <c r="G51">
        <v>4</v>
      </c>
      <c r="L51" t="str">
        <f t="shared" si="0"/>
        <v>condorProc.py --series 07191112_1500   --donoise --dumps a --procenv environments/pymidas_R71_np.env &amp;</v>
      </c>
      <c r="O51" t="s">
        <v>11952</v>
      </c>
    </row>
    <row r="52" spans="1:15" ht="15">
      <c r="A52" t="s">
        <v>12015</v>
      </c>
      <c r="B52" t="s">
        <v>11011</v>
      </c>
      <c r="C52">
        <v>356</v>
      </c>
      <c r="D52" t="s">
        <v>11925</v>
      </c>
      <c r="E52">
        <f>VLOOKUP(D52,'Position Labels'!$A$2:$B$20,2)</f>
        <v>0.42</v>
      </c>
      <c r="F52">
        <v>4</v>
      </c>
      <c r="G52">
        <v>-4</v>
      </c>
      <c r="I52" t="s">
        <v>12016</v>
      </c>
      <c r="L52" t="str">
        <f t="shared" si="0"/>
        <v>condorProc.py --series 07191112_1652   --donoise --dumps a --procenv environments/pymidas_R71_pn.env &amp;</v>
      </c>
      <c r="M52" t="s">
        <v>5377</v>
      </c>
      <c r="O52" t="s">
        <v>11952</v>
      </c>
    </row>
    <row r="53" spans="1:15" ht="15">
      <c r="A53" t="s">
        <v>12017</v>
      </c>
      <c r="B53" t="s">
        <v>11011</v>
      </c>
      <c r="C53">
        <v>356</v>
      </c>
      <c r="D53" t="s">
        <v>11925</v>
      </c>
      <c r="E53">
        <f>VLOOKUP(D53,'Position Labels'!$A$2:$B$20,2)</f>
        <v>0.42</v>
      </c>
      <c r="F53">
        <v>-4</v>
      </c>
      <c r="G53">
        <v>4</v>
      </c>
      <c r="I53" t="s">
        <v>11970</v>
      </c>
      <c r="L53" t="str">
        <f t="shared" si="0"/>
        <v>condorProc.py --series 07191112_1752   --donoise --dumps a --procenv environments/pymidas_R71_np.env &amp;</v>
      </c>
      <c r="O53" t="s">
        <v>11952</v>
      </c>
    </row>
    <row r="54" spans="1:15" ht="15">
      <c r="A54" t="s">
        <v>12018</v>
      </c>
      <c r="B54" t="s">
        <v>11011</v>
      </c>
      <c r="C54">
        <v>356</v>
      </c>
      <c r="D54" t="s">
        <v>11925</v>
      </c>
      <c r="E54">
        <f>VLOOKUP(D54,'Position Labels'!$A$2:$B$20,2)</f>
        <v>0.42</v>
      </c>
      <c r="F54">
        <v>4</v>
      </c>
      <c r="G54">
        <v>-4</v>
      </c>
      <c r="I54" t="s">
        <v>11970</v>
      </c>
      <c r="L54" t="str">
        <f t="shared" si="0"/>
        <v>condorProc.py --series 07191112_1853   --donoise --dumps a --procenv environments/pymidas_R71_pn.env &amp;</v>
      </c>
      <c r="M54" t="s">
        <v>5377</v>
      </c>
      <c r="O54" t="s">
        <v>11952</v>
      </c>
    </row>
    <row r="55" spans="1:15" ht="15">
      <c r="A55" t="s">
        <v>12019</v>
      </c>
      <c r="B55" t="s">
        <v>11011</v>
      </c>
      <c r="C55">
        <v>356</v>
      </c>
      <c r="D55" t="s">
        <v>11925</v>
      </c>
      <c r="E55">
        <f>VLOOKUP(D55,'Position Labels'!$A$2:$B$20,2)</f>
        <v>0.42</v>
      </c>
      <c r="F55">
        <v>-4</v>
      </c>
      <c r="G55">
        <v>4</v>
      </c>
      <c r="I55" t="s">
        <v>11970</v>
      </c>
      <c r="L55" t="str">
        <f t="shared" si="0"/>
        <v>condorProc.py --series 07191112_1954   --donoise --dumps a --procenv environments/pymidas_R71_np.env &amp;</v>
      </c>
      <c r="O55" t="s">
        <v>11952</v>
      </c>
    </row>
    <row r="56" spans="1:15" ht="15">
      <c r="A56" t="s">
        <v>12020</v>
      </c>
      <c r="B56" t="s">
        <v>11011</v>
      </c>
      <c r="C56">
        <v>356</v>
      </c>
      <c r="D56" t="s">
        <v>11925</v>
      </c>
      <c r="E56">
        <f>VLOOKUP(D56,'Position Labels'!$A$2:$B$20,2)</f>
        <v>0.42</v>
      </c>
      <c r="F56">
        <v>4</v>
      </c>
      <c r="G56">
        <v>-4</v>
      </c>
      <c r="I56" t="s">
        <v>11970</v>
      </c>
      <c r="L56" t="str">
        <f t="shared" si="0"/>
        <v>condorProc.py --series 07191112_2055   --donoise --dumps a --procenv environments/pymidas_R71_pn.env &amp;</v>
      </c>
      <c r="M56" t="s">
        <v>5377</v>
      </c>
      <c r="O56" t="s">
        <v>11952</v>
      </c>
    </row>
    <row r="57" spans="1:15" ht="15">
      <c r="A57" t="s">
        <v>12021</v>
      </c>
      <c r="B57" t="s">
        <v>11011</v>
      </c>
      <c r="C57">
        <v>356</v>
      </c>
      <c r="D57" t="s">
        <v>11925</v>
      </c>
      <c r="E57">
        <f>VLOOKUP(D57,'Position Labels'!$A$2:$B$20,2)</f>
        <v>0.42</v>
      </c>
      <c r="F57">
        <v>-4</v>
      </c>
      <c r="G57">
        <v>4</v>
      </c>
      <c r="I57" t="s">
        <v>11970</v>
      </c>
      <c r="L57" t="str">
        <f t="shared" si="0"/>
        <v>condorProc.py --series 07191112_2156   --donoise --dumps a --procenv environments/pymidas_R71_np.env &amp;</v>
      </c>
      <c r="O57" t="s">
        <v>11952</v>
      </c>
    </row>
    <row r="58" spans="1:15" ht="15">
      <c r="A58" t="s">
        <v>12022</v>
      </c>
      <c r="B58" t="s">
        <v>11011</v>
      </c>
      <c r="C58">
        <v>356</v>
      </c>
      <c r="D58" t="s">
        <v>11925</v>
      </c>
      <c r="E58">
        <f>VLOOKUP(D58,'Position Labels'!$A$2:$B$20,2)</f>
        <v>0.42</v>
      </c>
      <c r="F58">
        <v>4</v>
      </c>
      <c r="G58">
        <v>-4</v>
      </c>
      <c r="I58" t="s">
        <v>11970</v>
      </c>
      <c r="L58" t="str">
        <f t="shared" si="0"/>
        <v>condorProc.py --series 07191112_2257   --donoise --dumps a --procenv environments/pymidas_R71_pn.env &amp;</v>
      </c>
      <c r="M58" t="s">
        <v>5377</v>
      </c>
      <c r="O58" t="s">
        <v>11952</v>
      </c>
    </row>
    <row r="59" spans="1:15" ht="15">
      <c r="A59" t="s">
        <v>12023</v>
      </c>
      <c r="B59" t="s">
        <v>11011</v>
      </c>
      <c r="C59">
        <v>356</v>
      </c>
      <c r="D59" t="s">
        <v>11925</v>
      </c>
      <c r="E59">
        <f>VLOOKUP(D59,'Position Labels'!$A$2:$B$20,2)</f>
        <v>0.42</v>
      </c>
      <c r="F59">
        <v>-4</v>
      </c>
      <c r="G59">
        <v>4</v>
      </c>
      <c r="I59" t="s">
        <v>11970</v>
      </c>
      <c r="L59" t="str">
        <f t="shared" si="0"/>
        <v>condorProc.py --series 07191112_2358   --donoise --dumps a --procenv environments/pymidas_R71_np.env &amp;</v>
      </c>
      <c r="O59" t="s">
        <v>11952</v>
      </c>
    </row>
    <row r="60" spans="1:15" ht="15">
      <c r="A60" t="s">
        <v>12024</v>
      </c>
      <c r="B60" t="s">
        <v>11011</v>
      </c>
      <c r="C60">
        <v>356</v>
      </c>
      <c r="D60" t="s">
        <v>11925</v>
      </c>
      <c r="E60">
        <f>VLOOKUP(D60,'Position Labels'!$A$2:$B$20,2)</f>
        <v>0.42</v>
      </c>
      <c r="F60">
        <v>4</v>
      </c>
      <c r="G60">
        <v>-4</v>
      </c>
      <c r="L60" t="str">
        <f t="shared" si="0"/>
        <v>condorProc.py --series 07191113_0955   --donoise --dumps a --procenv environments/pymidas_R71_pn.env &amp;</v>
      </c>
      <c r="M60" t="s">
        <v>5377</v>
      </c>
      <c r="O60" t="s">
        <v>11952</v>
      </c>
    </row>
    <row r="61" spans="1:15" ht="15">
      <c r="A61" t="s">
        <v>12025</v>
      </c>
      <c r="B61" t="s">
        <v>11011</v>
      </c>
      <c r="C61">
        <v>356</v>
      </c>
      <c r="D61" t="s">
        <v>11925</v>
      </c>
      <c r="E61">
        <f>VLOOKUP(D61,'Position Labels'!$A$2:$B$20,2)</f>
        <v>0.42</v>
      </c>
      <c r="F61">
        <v>-4</v>
      </c>
      <c r="G61">
        <v>4</v>
      </c>
      <c r="L61" t="str">
        <f t="shared" si="0"/>
        <v>condorProc.py --series 07191113_1056   --donoise --dumps a --procenv environments/pymidas_R71_np.env &amp;</v>
      </c>
      <c r="O61" t="s">
        <v>11952</v>
      </c>
    </row>
    <row r="62" spans="1:15" ht="15">
      <c r="A62" t="s">
        <v>12026</v>
      </c>
      <c r="B62" t="s">
        <v>11011</v>
      </c>
      <c r="C62">
        <v>356</v>
      </c>
      <c r="D62" t="s">
        <v>11925</v>
      </c>
      <c r="E62">
        <f>VLOOKUP(D62,'Position Labels'!$A$2:$B$20,2)</f>
        <v>0.42</v>
      </c>
      <c r="F62">
        <v>-4</v>
      </c>
      <c r="G62">
        <v>4</v>
      </c>
      <c r="I62" t="s">
        <v>12027</v>
      </c>
      <c r="J62" t="s">
        <v>12005</v>
      </c>
      <c r="L62" t="str">
        <f t="shared" si="0"/>
        <v>condorProc.py --series 07191113_1441   --donoise --dumps a --procenv environments/pymidas_R71_np.env &amp;</v>
      </c>
      <c r="O62" t="s">
        <v>11952</v>
      </c>
    </row>
    <row r="63" spans="1:15" ht="15">
      <c r="A63" t="s">
        <v>12028</v>
      </c>
      <c r="B63" t="s">
        <v>11011</v>
      </c>
      <c r="C63">
        <v>500</v>
      </c>
      <c r="D63" t="s">
        <v>11926</v>
      </c>
      <c r="E63">
        <f>VLOOKUP(D63,'Position Labels'!$A$2:$B$20,2)</f>
        <v>0.48</v>
      </c>
      <c r="F63">
        <v>4</v>
      </c>
      <c r="G63">
        <v>-4</v>
      </c>
      <c r="L63" t="str">
        <f t="shared" si="0"/>
        <v>condorProc.py --series 07191113_1755   --donoise --dumps a --procenv environments/pymidas_R71_pn.env &amp;</v>
      </c>
      <c r="M63" t="s">
        <v>5377</v>
      </c>
      <c r="O63" t="s">
        <v>11952</v>
      </c>
    </row>
    <row r="64" spans="1:15" ht="15">
      <c r="A64" t="s">
        <v>12029</v>
      </c>
      <c r="B64" t="s">
        <v>11011</v>
      </c>
      <c r="C64">
        <v>500</v>
      </c>
      <c r="D64" t="s">
        <v>11926</v>
      </c>
      <c r="E64">
        <f>VLOOKUP(D64,'Position Labels'!$A$2:$B$20,2)</f>
        <v>0.48</v>
      </c>
      <c r="F64">
        <v>-4</v>
      </c>
      <c r="G64">
        <v>4</v>
      </c>
      <c r="L64" t="str">
        <f t="shared" si="0"/>
        <v>condorProc.py --series 07191113_1855   --donoise --dumps a --procenv environments/pymidas_R71_np.env &amp;</v>
      </c>
      <c r="O64" t="s">
        <v>11952</v>
      </c>
    </row>
    <row r="65" spans="1:15" ht="15">
      <c r="A65" t="s">
        <v>12030</v>
      </c>
      <c r="B65" t="s">
        <v>11011</v>
      </c>
      <c r="C65">
        <v>500</v>
      </c>
      <c r="D65" t="s">
        <v>11926</v>
      </c>
      <c r="E65">
        <f>VLOOKUP(D65,'Position Labels'!$A$2:$B$20,2)</f>
        <v>0.48</v>
      </c>
      <c r="F65">
        <v>4</v>
      </c>
      <c r="G65">
        <v>-4</v>
      </c>
      <c r="J65" t="s">
        <v>12005</v>
      </c>
      <c r="L65" t="str">
        <f t="shared" ref="L65:L90" si="1">"condorProc.py --series " &amp; A65  &amp; "   --donoise --dumps a --procenv " &amp; IF(F65&gt;G65,"environments/pymidas_R71_pn.env","environments/pymidas_R71_np.env") &amp; " &amp;"</f>
        <v>condorProc.py --series 07191113_2148   --donoise --dumps a --procenv environments/pymidas_R71_pn.env &amp;</v>
      </c>
      <c r="M65" t="s">
        <v>5377</v>
      </c>
      <c r="O65" t="s">
        <v>11952</v>
      </c>
    </row>
    <row r="66" spans="1:15" ht="15">
      <c r="A66" t="s">
        <v>12031</v>
      </c>
      <c r="B66" t="s">
        <v>11011</v>
      </c>
      <c r="C66">
        <v>500</v>
      </c>
      <c r="D66" t="s">
        <v>11926</v>
      </c>
      <c r="E66">
        <f>VLOOKUP(D66,'Position Labels'!$A$2:$B$20,2)</f>
        <v>0.48</v>
      </c>
      <c r="F66">
        <v>-4</v>
      </c>
      <c r="G66">
        <v>4</v>
      </c>
      <c r="L66" t="str">
        <f t="shared" si="1"/>
        <v>condorProc.py --series 07191113_2249   --donoise --dumps a --procenv environments/pymidas_R71_np.env &amp;</v>
      </c>
      <c r="O66" t="s">
        <v>11952</v>
      </c>
    </row>
    <row r="67" spans="1:15" ht="15">
      <c r="A67" t="s">
        <v>12032</v>
      </c>
      <c r="B67" t="s">
        <v>11011</v>
      </c>
      <c r="C67">
        <v>500</v>
      </c>
      <c r="D67" t="s">
        <v>11926</v>
      </c>
      <c r="E67">
        <f>VLOOKUP(D67,'Position Labels'!$A$2:$B$20,2)</f>
        <v>0.48</v>
      </c>
      <c r="F67">
        <v>4</v>
      </c>
      <c r="G67">
        <v>-4</v>
      </c>
      <c r="I67" s="6"/>
      <c r="L67" t="str">
        <f t="shared" si="1"/>
        <v>condorProc.py --series 07191113_2350   --donoise --dumps a --procenv environments/pymidas_R71_pn.env &amp;</v>
      </c>
      <c r="M67" t="s">
        <v>5377</v>
      </c>
      <c r="O67" t="s">
        <v>11952</v>
      </c>
    </row>
    <row r="68" spans="1:15" ht="15">
      <c r="A68" t="s">
        <v>12033</v>
      </c>
      <c r="B68" t="s">
        <v>11011</v>
      </c>
      <c r="C68">
        <v>500</v>
      </c>
      <c r="D68" t="s">
        <v>11926</v>
      </c>
      <c r="E68">
        <f>VLOOKUP(D68,'Position Labels'!$A$2:$B$20,2)</f>
        <v>0.48</v>
      </c>
      <c r="F68">
        <v>-4</v>
      </c>
      <c r="G68">
        <v>4</v>
      </c>
      <c r="I68" s="6"/>
      <c r="L68" t="str">
        <f t="shared" si="1"/>
        <v>condorProc.py --series 07191114_0050   --donoise --dumps a --procenv environments/pymidas_R71_np.env &amp;</v>
      </c>
      <c r="O68" t="s">
        <v>11952</v>
      </c>
    </row>
    <row r="69" spans="1:15" ht="15">
      <c r="A69" t="s">
        <v>12034</v>
      </c>
      <c r="B69" t="s">
        <v>11011</v>
      </c>
      <c r="C69">
        <v>500</v>
      </c>
      <c r="D69" t="s">
        <v>11926</v>
      </c>
      <c r="E69">
        <f>VLOOKUP(D69,'Position Labels'!$A$2:$B$20,2)</f>
        <v>0.48</v>
      </c>
      <c r="F69">
        <v>4</v>
      </c>
      <c r="G69">
        <v>-4</v>
      </c>
      <c r="L69" t="str">
        <f t="shared" si="1"/>
        <v>condorProc.py --series 07191114_0151   --donoise --dumps a --procenv environments/pymidas_R71_pn.env &amp;</v>
      </c>
      <c r="M69" t="s">
        <v>5377</v>
      </c>
      <c r="O69" t="s">
        <v>11952</v>
      </c>
    </row>
    <row r="70" spans="1:15" ht="15">
      <c r="A70" t="s">
        <v>12035</v>
      </c>
      <c r="B70" t="s">
        <v>11011</v>
      </c>
      <c r="C70">
        <v>500</v>
      </c>
      <c r="D70" t="s">
        <v>11926</v>
      </c>
      <c r="E70">
        <f>VLOOKUP(D70,'Position Labels'!$A$2:$B$20,2)</f>
        <v>0.48</v>
      </c>
      <c r="F70">
        <v>-4</v>
      </c>
      <c r="G70">
        <v>4</v>
      </c>
      <c r="L70" t="str">
        <f t="shared" si="1"/>
        <v>condorProc.py --series 07191114_0252   --donoise --dumps a --procenv environments/pymidas_R71_np.env &amp;</v>
      </c>
      <c r="O70" t="s">
        <v>11952</v>
      </c>
    </row>
    <row r="71" spans="1:15" ht="15">
      <c r="A71" t="s">
        <v>12036</v>
      </c>
      <c r="B71" t="s">
        <v>11011</v>
      </c>
      <c r="C71">
        <v>500</v>
      </c>
      <c r="D71" t="s">
        <v>11926</v>
      </c>
      <c r="E71">
        <f>VLOOKUP(D71,'Position Labels'!$A$2:$B$20,2)</f>
        <v>0.48</v>
      </c>
      <c r="F71">
        <v>4</v>
      </c>
      <c r="G71">
        <v>-4</v>
      </c>
      <c r="L71" t="str">
        <f t="shared" si="1"/>
        <v>condorProc.py --series 07191114_0354   --donoise --dumps a --procenv environments/pymidas_R71_pn.env &amp;</v>
      </c>
      <c r="M71" t="s">
        <v>5377</v>
      </c>
      <c r="O71" t="s">
        <v>11952</v>
      </c>
    </row>
    <row r="72" spans="1:15" ht="15">
      <c r="A72" t="s">
        <v>12037</v>
      </c>
      <c r="B72" t="s">
        <v>11011</v>
      </c>
      <c r="C72">
        <v>500</v>
      </c>
      <c r="D72" t="s">
        <v>11926</v>
      </c>
      <c r="E72">
        <f>VLOOKUP(D72,'Position Labels'!$A$2:$B$20,2)</f>
        <v>0.48</v>
      </c>
      <c r="F72">
        <v>-4</v>
      </c>
      <c r="G72">
        <v>4</v>
      </c>
      <c r="L72" t="str">
        <f t="shared" si="1"/>
        <v>condorProc.py --series 07191114_0455   --donoise --dumps a --procenv environments/pymidas_R71_np.env &amp;</v>
      </c>
      <c r="O72" t="s">
        <v>11952</v>
      </c>
    </row>
    <row r="73" spans="1:15" ht="15">
      <c r="A73" t="s">
        <v>12038</v>
      </c>
      <c r="B73" t="s">
        <v>11011</v>
      </c>
      <c r="C73">
        <v>862</v>
      </c>
      <c r="D73" t="s">
        <v>11927</v>
      </c>
      <c r="E73">
        <f>VLOOKUP(D73,'Position Labels'!$A$2:$B$20,2)</f>
        <v>0.82</v>
      </c>
      <c r="F73">
        <v>4</v>
      </c>
      <c r="G73">
        <v>-4</v>
      </c>
      <c r="J73" t="s">
        <v>12005</v>
      </c>
      <c r="L73" t="str">
        <f t="shared" si="1"/>
        <v>condorProc.py --series 07191115_1458   --donoise --dumps a --procenv environments/pymidas_R71_pn.env &amp;</v>
      </c>
      <c r="M73" t="s">
        <v>5377</v>
      </c>
      <c r="O73" t="s">
        <v>11952</v>
      </c>
    </row>
    <row r="74" spans="1:15" ht="15">
      <c r="A74" t="s">
        <v>12039</v>
      </c>
      <c r="B74" t="s">
        <v>11011</v>
      </c>
      <c r="C74">
        <v>862</v>
      </c>
      <c r="D74" t="s">
        <v>11927</v>
      </c>
      <c r="E74">
        <f>VLOOKUP(D74,'Position Labels'!$A$2:$B$20,2)</f>
        <v>0.82</v>
      </c>
      <c r="F74">
        <v>-4</v>
      </c>
      <c r="G74">
        <v>4</v>
      </c>
      <c r="I74" t="s">
        <v>12040</v>
      </c>
      <c r="L74" t="str">
        <f t="shared" si="1"/>
        <v>condorProc.py --series 07191115_1558   --donoise --dumps a --procenv environments/pymidas_R71_np.env &amp;</v>
      </c>
      <c r="O74" t="s">
        <v>11952</v>
      </c>
    </row>
    <row r="75" spans="1:15" ht="15">
      <c r="A75" t="s">
        <v>12041</v>
      </c>
      <c r="B75" t="s">
        <v>11011</v>
      </c>
      <c r="C75">
        <v>862</v>
      </c>
      <c r="D75" t="s">
        <v>11927</v>
      </c>
      <c r="E75">
        <f>VLOOKUP(D75,'Position Labels'!$A$2:$B$20,2)</f>
        <v>0.82</v>
      </c>
      <c r="F75">
        <v>4</v>
      </c>
      <c r="G75">
        <v>-4</v>
      </c>
      <c r="L75" t="str">
        <f t="shared" si="1"/>
        <v>condorProc.py --series 07191115_1835   --donoise --dumps a --procenv environments/pymidas_R71_pn.env &amp;</v>
      </c>
      <c r="M75" t="s">
        <v>5377</v>
      </c>
      <c r="O75" t="s">
        <v>11952</v>
      </c>
    </row>
    <row r="76" spans="1:15" ht="15">
      <c r="A76" t="s">
        <v>12042</v>
      </c>
      <c r="B76" t="s">
        <v>11011</v>
      </c>
      <c r="C76">
        <v>862</v>
      </c>
      <c r="D76" t="s">
        <v>11927</v>
      </c>
      <c r="E76">
        <f>VLOOKUP(D76,'Position Labels'!$A$2:$B$20,2)</f>
        <v>0.82</v>
      </c>
      <c r="F76">
        <v>-4</v>
      </c>
      <c r="G76">
        <v>4</v>
      </c>
      <c r="I76" t="s">
        <v>12040</v>
      </c>
      <c r="L76" t="str">
        <f t="shared" si="1"/>
        <v>condorProc.py --series 07191115_1935   --donoise --dumps a --procenv environments/pymidas_R71_np.env &amp;</v>
      </c>
      <c r="O76" t="s">
        <v>11952</v>
      </c>
    </row>
    <row r="77" spans="1:15" ht="15">
      <c r="A77" t="s">
        <v>12043</v>
      </c>
      <c r="B77" t="s">
        <v>11011</v>
      </c>
      <c r="C77">
        <v>862</v>
      </c>
      <c r="D77" t="s">
        <v>11927</v>
      </c>
      <c r="E77">
        <f>VLOOKUP(D77,'Position Labels'!$A$2:$B$20,2)</f>
        <v>0.82</v>
      </c>
      <c r="F77">
        <v>4</v>
      </c>
      <c r="G77">
        <v>-4</v>
      </c>
      <c r="I77" t="s">
        <v>12040</v>
      </c>
      <c r="L77" t="str">
        <f t="shared" si="1"/>
        <v>condorProc.py --series 07191115_2036   --donoise --dumps a --procenv environments/pymidas_R71_pn.env &amp;</v>
      </c>
      <c r="M77" t="s">
        <v>5377</v>
      </c>
      <c r="O77" t="s">
        <v>11952</v>
      </c>
    </row>
    <row r="78" spans="1:15" ht="15">
      <c r="A78" t="s">
        <v>12044</v>
      </c>
      <c r="B78" t="s">
        <v>11011</v>
      </c>
      <c r="C78">
        <v>862</v>
      </c>
      <c r="D78" t="s">
        <v>11927</v>
      </c>
      <c r="E78">
        <f>VLOOKUP(D78,'Position Labels'!$A$2:$B$20,2)</f>
        <v>0.82</v>
      </c>
      <c r="F78">
        <v>-4</v>
      </c>
      <c r="G78">
        <v>4</v>
      </c>
      <c r="I78" t="s">
        <v>12040</v>
      </c>
      <c r="L78" t="str">
        <f t="shared" si="1"/>
        <v>condorProc.py --series 07191115_2137   --donoise --dumps a --procenv environments/pymidas_R71_np.env &amp;</v>
      </c>
      <c r="O78" t="s">
        <v>11952</v>
      </c>
    </row>
    <row r="79" spans="1:15" ht="15">
      <c r="A79" t="s">
        <v>12045</v>
      </c>
      <c r="B79" t="s">
        <v>11011</v>
      </c>
      <c r="C79">
        <v>862</v>
      </c>
      <c r="D79" t="s">
        <v>11927</v>
      </c>
      <c r="E79">
        <f>VLOOKUP(D79,'Position Labels'!$A$2:$B$20,2)</f>
        <v>0.82</v>
      </c>
      <c r="F79">
        <v>4</v>
      </c>
      <c r="G79">
        <v>-4</v>
      </c>
      <c r="I79" t="s">
        <v>12040</v>
      </c>
      <c r="L79" t="str">
        <f t="shared" si="1"/>
        <v>condorProc.py --series 07191115_2238   --donoise --dumps a --procenv environments/pymidas_R71_pn.env &amp;</v>
      </c>
      <c r="M79" t="s">
        <v>5377</v>
      </c>
      <c r="O79" t="s">
        <v>11952</v>
      </c>
    </row>
    <row r="80" spans="1:15" ht="15">
      <c r="A80" t="s">
        <v>12046</v>
      </c>
      <c r="B80" t="s">
        <v>11011</v>
      </c>
      <c r="C80">
        <v>862</v>
      </c>
      <c r="D80" t="s">
        <v>11927</v>
      </c>
      <c r="E80">
        <f>VLOOKUP(D80,'Position Labels'!$A$2:$B$20,2)</f>
        <v>0.82</v>
      </c>
      <c r="F80">
        <v>-4</v>
      </c>
      <c r="G80">
        <v>4</v>
      </c>
      <c r="I80" t="s">
        <v>12040</v>
      </c>
      <c r="L80" t="str">
        <f t="shared" si="1"/>
        <v>condorProc.py --series 07191115_2338   --donoise --dumps a --procenv environments/pymidas_R71_np.env &amp;</v>
      </c>
      <c r="O80" t="s">
        <v>11952</v>
      </c>
    </row>
    <row r="81" spans="1:18" ht="15">
      <c r="A81" t="s">
        <v>12047</v>
      </c>
      <c r="B81" t="s">
        <v>11011</v>
      </c>
      <c r="C81">
        <v>862</v>
      </c>
      <c r="D81" t="s">
        <v>11927</v>
      </c>
      <c r="E81">
        <f>VLOOKUP(D81,'Position Labels'!$A$2:$B$20,2)</f>
        <v>0.82</v>
      </c>
      <c r="F81">
        <v>4</v>
      </c>
      <c r="G81">
        <v>-4</v>
      </c>
      <c r="I81" t="s">
        <v>12040</v>
      </c>
      <c r="L81" t="str">
        <f t="shared" si="1"/>
        <v>condorProc.py --series 07191116_0039   --donoise --dumps a --procenv environments/pymidas_R71_pn.env &amp;</v>
      </c>
      <c r="M81" t="s">
        <v>5377</v>
      </c>
      <c r="O81" t="s">
        <v>11952</v>
      </c>
    </row>
    <row r="82" spans="1:18" ht="15">
      <c r="A82" t="s">
        <v>12048</v>
      </c>
      <c r="B82" t="s">
        <v>11011</v>
      </c>
      <c r="C82">
        <v>862</v>
      </c>
      <c r="D82" t="s">
        <v>11927</v>
      </c>
      <c r="E82">
        <f>VLOOKUP(D82,'Position Labels'!$A$2:$B$20,2)</f>
        <v>0.82</v>
      </c>
      <c r="F82">
        <v>-4</v>
      </c>
      <c r="G82">
        <v>4</v>
      </c>
      <c r="I82" t="s">
        <v>12040</v>
      </c>
      <c r="L82" t="str">
        <f t="shared" si="1"/>
        <v>condorProc.py --series 07191116_0140   --donoise --dumps a --procenv environments/pymidas_R71_np.env &amp;</v>
      </c>
      <c r="O82" t="s">
        <v>11952</v>
      </c>
    </row>
    <row r="83" spans="1:18" ht="15">
      <c r="A83" t="s">
        <v>12049</v>
      </c>
      <c r="B83" t="s">
        <v>11011</v>
      </c>
      <c r="C83">
        <v>862</v>
      </c>
      <c r="D83" t="s">
        <v>11927</v>
      </c>
      <c r="E83">
        <f>VLOOKUP(D83,'Position Labels'!$A$2:$B$20,2)</f>
        <v>0.82</v>
      </c>
      <c r="F83">
        <v>4</v>
      </c>
      <c r="G83">
        <v>-4</v>
      </c>
      <c r="L83" t="str">
        <f t="shared" si="1"/>
        <v>condorProc.py --series 07191116_2043   --donoise --dumps a --procenv environments/pymidas_R71_pn.env &amp;</v>
      </c>
      <c r="M83" t="s">
        <v>5377</v>
      </c>
      <c r="O83" t="s">
        <v>11952</v>
      </c>
    </row>
    <row r="84" spans="1:18" ht="15">
      <c r="A84" t="s">
        <v>12050</v>
      </c>
      <c r="B84" t="s">
        <v>11011</v>
      </c>
      <c r="C84">
        <v>862</v>
      </c>
      <c r="D84" t="s">
        <v>11927</v>
      </c>
      <c r="E84">
        <f>VLOOKUP(D84,'Position Labels'!$A$2:$B$20,2)</f>
        <v>0.82</v>
      </c>
      <c r="F84">
        <v>-4</v>
      </c>
      <c r="G84">
        <v>4</v>
      </c>
      <c r="L84" t="str">
        <f t="shared" si="1"/>
        <v>condorProc.py --series 07191116_2144   --donoise --dumps a --procenv environments/pymidas_R71_np.env &amp;</v>
      </c>
      <c r="O84" t="s">
        <v>11952</v>
      </c>
    </row>
    <row r="85" spans="1:18" ht="15">
      <c r="A85" t="s">
        <v>12051</v>
      </c>
      <c r="B85" t="s">
        <v>11011</v>
      </c>
      <c r="C85">
        <v>862</v>
      </c>
      <c r="D85" t="s">
        <v>11927</v>
      </c>
      <c r="E85">
        <f>VLOOKUP(D85,'Position Labels'!$A$2:$B$20,2)</f>
        <v>0.82</v>
      </c>
      <c r="F85">
        <v>4</v>
      </c>
      <c r="G85">
        <v>-4</v>
      </c>
      <c r="L85" t="str">
        <f t="shared" si="1"/>
        <v>condorProc.py --series 07191116_2245   --donoise --dumps a --procenv environments/pymidas_R71_pn.env &amp;</v>
      </c>
      <c r="M85" t="s">
        <v>5377</v>
      </c>
      <c r="O85" t="s">
        <v>11952</v>
      </c>
    </row>
    <row r="86" spans="1:18" ht="15">
      <c r="A86" t="s">
        <v>12052</v>
      </c>
      <c r="B86" t="s">
        <v>11011</v>
      </c>
      <c r="C86">
        <v>862</v>
      </c>
      <c r="D86" t="s">
        <v>11927</v>
      </c>
      <c r="E86">
        <f>VLOOKUP(D86,'Position Labels'!$A$2:$B$20,2)</f>
        <v>0.82</v>
      </c>
      <c r="F86">
        <v>-4</v>
      </c>
      <c r="G86">
        <v>4</v>
      </c>
      <c r="L86" t="str">
        <f t="shared" si="1"/>
        <v>condorProc.py --series 07191116_2346   --donoise --dumps a --procenv environments/pymidas_R71_np.env &amp;</v>
      </c>
      <c r="O86" t="s">
        <v>11952</v>
      </c>
    </row>
    <row r="87" spans="1:18" ht="15">
      <c r="A87" t="s">
        <v>12053</v>
      </c>
      <c r="B87" t="s">
        <v>11011</v>
      </c>
      <c r="C87">
        <v>862</v>
      </c>
      <c r="D87" t="s">
        <v>11927</v>
      </c>
      <c r="E87">
        <f>VLOOKUP(D87,'Position Labels'!$A$2:$B$20,2)</f>
        <v>0.82</v>
      </c>
      <c r="F87">
        <v>4</v>
      </c>
      <c r="G87">
        <v>-4</v>
      </c>
      <c r="L87" t="str">
        <f t="shared" si="1"/>
        <v>condorProc.py --series 07191117_0047   --donoise --dumps a --procenv environments/pymidas_R71_pn.env &amp;</v>
      </c>
      <c r="M87" t="s">
        <v>5377</v>
      </c>
      <c r="O87" t="s">
        <v>11952</v>
      </c>
    </row>
    <row r="88" spans="1:18" ht="15">
      <c r="A88" t="s">
        <v>12054</v>
      </c>
      <c r="B88" t="s">
        <v>11011</v>
      </c>
      <c r="C88">
        <v>862</v>
      </c>
      <c r="D88" t="s">
        <v>11927</v>
      </c>
      <c r="E88">
        <f>VLOOKUP(D88,'Position Labels'!$A$2:$B$20,2)</f>
        <v>0.82</v>
      </c>
      <c r="F88">
        <v>-4</v>
      </c>
      <c r="G88">
        <v>4</v>
      </c>
      <c r="L88" t="str">
        <f t="shared" si="1"/>
        <v>condorProc.py --series 07191117_0148   --donoise --dumps a --procenv environments/pymidas_R71_np.env &amp;</v>
      </c>
      <c r="O88" t="s">
        <v>11952</v>
      </c>
    </row>
    <row r="89" spans="1:18" ht="15">
      <c r="A89" t="s">
        <v>12055</v>
      </c>
      <c r="B89" t="s">
        <v>11011</v>
      </c>
      <c r="C89">
        <v>862</v>
      </c>
      <c r="D89" t="s">
        <v>11927</v>
      </c>
      <c r="E89">
        <f>VLOOKUP(D89,'Position Labels'!$A$2:$B$20,2)</f>
        <v>0.82</v>
      </c>
      <c r="F89">
        <v>4</v>
      </c>
      <c r="G89">
        <v>-4</v>
      </c>
      <c r="L89" t="str">
        <f t="shared" si="1"/>
        <v>condorProc.py --series 07191117_0249   --donoise --dumps a --procenv environments/pymidas_R71_pn.env &amp;</v>
      </c>
      <c r="M89" t="s">
        <v>5377</v>
      </c>
      <c r="O89" t="s">
        <v>11952</v>
      </c>
    </row>
    <row r="90" spans="1:18" ht="15">
      <c r="A90" t="s">
        <v>12056</v>
      </c>
      <c r="B90" t="s">
        <v>11011</v>
      </c>
      <c r="C90">
        <v>862</v>
      </c>
      <c r="D90" t="s">
        <v>11927</v>
      </c>
      <c r="E90">
        <f>VLOOKUP(D90,'Position Labels'!$A$2:$B$20,2)</f>
        <v>0.82</v>
      </c>
      <c r="F90">
        <v>-4</v>
      </c>
      <c r="G90">
        <v>4</v>
      </c>
      <c r="L90" t="str">
        <f t="shared" si="1"/>
        <v>condorProc.py --series 07191117_0349   --donoise --dumps a --procenv environments/pymidas_R71_np.env &amp;</v>
      </c>
      <c r="O90" t="s">
        <v>11952</v>
      </c>
    </row>
    <row r="91" spans="1:18" ht="15">
      <c r="A91" t="s">
        <v>12057</v>
      </c>
      <c r="B91" t="s">
        <v>11011</v>
      </c>
      <c r="C91">
        <v>1384</v>
      </c>
      <c r="D91" t="s">
        <v>11928</v>
      </c>
      <c r="E91">
        <f>VLOOKUP(D91,'Position Labels'!$A$2:$B$20,2)</f>
        <v>5.71</v>
      </c>
      <c r="F91">
        <v>4</v>
      </c>
      <c r="G91">
        <v>-4</v>
      </c>
      <c r="J91" t="s">
        <v>12005</v>
      </c>
      <c r="L91" t="str">
        <f t="shared" ref="L91:L96" si="2">"condorProc.py --series " &amp; A91  &amp; "   --donoise --dumps a --procenv " &amp; IF(F91&gt;G91,"environments/pymidas_R71_pn.env","environments/pymidas_R71_np.env") &amp; " &amp;"</f>
        <v>condorProc.py --series 07191119_0842   --donoise --dumps a --procenv environments/pymidas_R71_pn.env &amp;</v>
      </c>
      <c r="M91" t="s">
        <v>5377</v>
      </c>
      <c r="O91" t="s">
        <v>11952</v>
      </c>
    </row>
    <row r="92" spans="1:18" ht="15">
      <c r="A92" t="s">
        <v>12058</v>
      </c>
      <c r="B92" t="s">
        <v>11011</v>
      </c>
      <c r="C92">
        <v>1384</v>
      </c>
      <c r="D92" t="s">
        <v>11928</v>
      </c>
      <c r="E92">
        <f>VLOOKUP(D92,'Position Labels'!$A$2:$B$20,2)</f>
        <v>5.71</v>
      </c>
      <c r="F92">
        <v>-4</v>
      </c>
      <c r="G92">
        <v>4</v>
      </c>
      <c r="L92" t="str">
        <f t="shared" si="2"/>
        <v>condorProc.py --series 07191119_0943   --donoise --dumps a --procenv environments/pymidas_R71_np.env &amp;</v>
      </c>
      <c r="O92" t="s">
        <v>11952</v>
      </c>
    </row>
    <row r="93" spans="1:18" ht="15">
      <c r="A93" t="s">
        <v>12059</v>
      </c>
      <c r="B93" t="s">
        <v>11011</v>
      </c>
      <c r="C93">
        <v>1702</v>
      </c>
      <c r="D93" t="s">
        <v>11929</v>
      </c>
      <c r="E93">
        <f>VLOOKUP(D93,'Position Labels'!$A$2:$B$20,2)</f>
        <v>8.69</v>
      </c>
      <c r="F93">
        <v>-4</v>
      </c>
      <c r="G93">
        <v>4</v>
      </c>
      <c r="I93" s="6" t="s">
        <v>12060</v>
      </c>
      <c r="J93" t="s">
        <v>12005</v>
      </c>
      <c r="L93" t="str">
        <f t="shared" si="2"/>
        <v>condorProc.py --series 07191119_1727   --donoise --dumps a --procenv environments/pymidas_R71_np.env &amp;</v>
      </c>
      <c r="O93" t="s">
        <v>11952</v>
      </c>
    </row>
    <row r="94" spans="1:18" ht="15">
      <c r="A94" t="s">
        <v>12061</v>
      </c>
      <c r="B94" t="s">
        <v>11011</v>
      </c>
      <c r="C94">
        <v>1702</v>
      </c>
      <c r="D94" t="s">
        <v>11929</v>
      </c>
      <c r="E94">
        <f>VLOOKUP(D94,'Position Labels'!$A$2:$B$20,2)</f>
        <v>8.69</v>
      </c>
      <c r="F94">
        <v>4</v>
      </c>
      <c r="G94">
        <v>-4</v>
      </c>
      <c r="I94" s="6" t="s">
        <v>12060</v>
      </c>
      <c r="L94" t="str">
        <f t="shared" si="2"/>
        <v>condorProc.py --series 07191119_1828   --donoise --dumps a --procenv environments/pymidas_R71_pn.env &amp;</v>
      </c>
      <c r="M94" t="s">
        <v>5377</v>
      </c>
      <c r="O94" t="s">
        <v>11952</v>
      </c>
      <c r="R94" t="s">
        <v>12059</v>
      </c>
    </row>
    <row r="95" spans="1:18" ht="15">
      <c r="A95" t="s">
        <v>12062</v>
      </c>
      <c r="B95" t="s">
        <v>11011</v>
      </c>
      <c r="C95">
        <v>1702</v>
      </c>
      <c r="D95" t="s">
        <v>11929</v>
      </c>
      <c r="E95">
        <f>VLOOKUP(D95,'Position Labels'!$A$2:$B$20,2)</f>
        <v>8.69</v>
      </c>
      <c r="F95">
        <v>-4</v>
      </c>
      <c r="G95">
        <v>4</v>
      </c>
      <c r="I95" s="6" t="s">
        <v>12060</v>
      </c>
      <c r="L95" t="str">
        <f t="shared" si="2"/>
        <v>condorProc.py --series 07191119_1938   --donoise --dumps a --procenv environments/pymidas_R71_np.env &amp;</v>
      </c>
      <c r="O95" t="s">
        <v>11952</v>
      </c>
    </row>
    <row r="96" spans="1:18" ht="15">
      <c r="A96" t="s">
        <v>12063</v>
      </c>
      <c r="B96" t="s">
        <v>11011</v>
      </c>
      <c r="C96">
        <v>1702</v>
      </c>
      <c r="D96" t="s">
        <v>11929</v>
      </c>
      <c r="E96">
        <f>VLOOKUP(D96,'Position Labels'!$A$2:$B$20,2)</f>
        <v>8.69</v>
      </c>
      <c r="F96">
        <v>-4</v>
      </c>
      <c r="G96">
        <v>4</v>
      </c>
      <c r="L96" t="str">
        <f t="shared" si="2"/>
        <v>condorProc.py --series 07191119_2048   --donoise --dumps a --procenv environments/pymidas_R71_np.env &amp;</v>
      </c>
      <c r="O96" t="s">
        <v>11952</v>
      </c>
    </row>
    <row r="97" spans="1:15" ht="15">
      <c r="A97" t="s">
        <v>12064</v>
      </c>
      <c r="B97" t="s">
        <v>11011</v>
      </c>
      <c r="D97" t="s">
        <v>11930</v>
      </c>
      <c r="E97">
        <f>VLOOKUP(D97,'Position Labels'!$A$2:$B$20,2)</f>
        <v>13.93</v>
      </c>
      <c r="F97">
        <v>-4</v>
      </c>
      <c r="G97">
        <v>4</v>
      </c>
      <c r="I97" t="s">
        <v>12065</v>
      </c>
      <c r="J97" s="249" t="s">
        <v>12066</v>
      </c>
      <c r="L97" t="str">
        <f>"condorProc.py --series " &amp; A97  &amp; "   --donoise --dumps a --procenv " &amp; IF(F97&gt;G97,"environments/pymidas_R71_pn_noQIS2.env","environments/pymidas_R71_np_noQIS2.env") &amp; " &amp;"</f>
        <v>condorProc.py --series 07191120_1029   --donoise --dumps a --procenv environments/pymidas_R71_np_noQIS2.env &amp;</v>
      </c>
      <c r="O97" t="s">
        <v>11952</v>
      </c>
    </row>
    <row r="98" spans="1:15" ht="15">
      <c r="A98" t="s">
        <v>12067</v>
      </c>
      <c r="B98" t="s">
        <v>11011</v>
      </c>
      <c r="D98" t="s">
        <v>11931</v>
      </c>
      <c r="E98">
        <f>VLOOKUP(D98,'Position Labels'!$A$2:$B$20,2)</f>
        <v>13.93</v>
      </c>
      <c r="F98">
        <v>-4</v>
      </c>
      <c r="G98">
        <v>4</v>
      </c>
      <c r="I98" t="s">
        <v>12068</v>
      </c>
      <c r="L98" t="str">
        <f t="shared" ref="L98:L115" si="3">"condorProc.py --series " &amp; A98  &amp; "   --donoise --dumps a --procenv " &amp; IF(F98&gt;G98,"environments/pymidas_R71_pn_noQIS2.env","environments/pymidas_R71_np_noQIS2.env") &amp; " &amp;"</f>
        <v>condorProc.py --series 07191120_1645   --donoise --dumps a --procenv environments/pymidas_R71_np_noQIS2.env &amp;</v>
      </c>
      <c r="O98" t="s">
        <v>11952</v>
      </c>
    </row>
    <row r="99" spans="1:15" ht="15">
      <c r="A99" t="s">
        <v>12069</v>
      </c>
      <c r="B99" t="s">
        <v>11011</v>
      </c>
      <c r="D99" t="s">
        <v>11932</v>
      </c>
      <c r="E99">
        <f>VLOOKUP(D99,'Position Labels'!$A$2:$B$20,2)</f>
        <v>13.93</v>
      </c>
      <c r="F99">
        <v>-4</v>
      </c>
      <c r="G99">
        <v>4</v>
      </c>
      <c r="L99" t="str">
        <f t="shared" si="3"/>
        <v>condorProc.py --series 07191121_0910   --donoise --dumps a --procenv environments/pymidas_R71_np_noQIS2.env &amp;</v>
      </c>
      <c r="O99" t="s">
        <v>11952</v>
      </c>
    </row>
    <row r="100" spans="1:15" ht="15">
      <c r="A100" t="s">
        <v>12070</v>
      </c>
      <c r="B100" t="s">
        <v>11011</v>
      </c>
      <c r="D100" t="s">
        <v>11932</v>
      </c>
      <c r="E100">
        <f>VLOOKUP(D100,'Position Labels'!$A$2:$B$20,2)</f>
        <v>13.93</v>
      </c>
      <c r="F100">
        <v>4</v>
      </c>
      <c r="G100">
        <v>-4</v>
      </c>
      <c r="L100" t="str">
        <f t="shared" si="3"/>
        <v>condorProc.py --series 07191121_1011   --donoise --dumps a --procenv environments/pymidas_R71_pn_noQIS2.env &amp;</v>
      </c>
      <c r="M100" t="s">
        <v>11952</v>
      </c>
      <c r="O100" t="s">
        <v>11952</v>
      </c>
    </row>
    <row r="101" spans="1:15" ht="15">
      <c r="A101" t="s">
        <v>12071</v>
      </c>
      <c r="B101" t="s">
        <v>11011</v>
      </c>
      <c r="D101" t="s">
        <v>11933</v>
      </c>
      <c r="E101">
        <f>VLOOKUP(D101,'Position Labels'!$A$2:$B$20,2)</f>
        <v>-2.4900000000000002</v>
      </c>
      <c r="F101">
        <v>-4</v>
      </c>
      <c r="G101">
        <v>4</v>
      </c>
      <c r="I101" s="6"/>
      <c r="L101" t="str">
        <f t="shared" si="3"/>
        <v>condorProc.py --series 07191122_0915   --donoise --dumps a --procenv environments/pymidas_R71_np_noQIS2.env &amp;</v>
      </c>
      <c r="O101" t="s">
        <v>11952</v>
      </c>
    </row>
    <row r="102" spans="1:15" ht="15">
      <c r="A102" t="s">
        <v>12072</v>
      </c>
      <c r="B102" t="s">
        <v>11011</v>
      </c>
      <c r="D102" t="s">
        <v>11933</v>
      </c>
      <c r="E102">
        <f>VLOOKUP(D102,'Position Labels'!$A$2:$B$20,2)</f>
        <v>-2.4900000000000002</v>
      </c>
      <c r="F102">
        <v>4</v>
      </c>
      <c r="G102">
        <v>-4</v>
      </c>
      <c r="L102" t="str">
        <f t="shared" si="3"/>
        <v>condorProc.py --series 07191122_1016   --donoise --dumps a --procenv environments/pymidas_R71_pn_noQIS2.env &amp;</v>
      </c>
      <c r="M102" t="s">
        <v>11952</v>
      </c>
      <c r="O102" t="s">
        <v>11952</v>
      </c>
    </row>
    <row r="103" spans="1:15" ht="15">
      <c r="A103" t="s">
        <v>12073</v>
      </c>
      <c r="B103" t="s">
        <v>11011</v>
      </c>
      <c r="D103" t="s">
        <v>11934</v>
      </c>
      <c r="E103">
        <f>VLOOKUP(D103,'Position Labels'!$A$2:$B$20,2)</f>
        <v>-6.05</v>
      </c>
      <c r="F103">
        <v>4</v>
      </c>
      <c r="G103">
        <v>-4</v>
      </c>
      <c r="I103" t="s">
        <v>12074</v>
      </c>
      <c r="L103" t="str">
        <f t="shared" si="3"/>
        <v>condorProc.py --series 07191122_1645   --donoise --dumps a --procenv environments/pymidas_R71_pn_noQIS2.env &amp;</v>
      </c>
      <c r="M103" t="s">
        <v>11952</v>
      </c>
      <c r="O103" t="s">
        <v>11952</v>
      </c>
    </row>
    <row r="104" spans="1:15" ht="15">
      <c r="A104" t="s">
        <v>12075</v>
      </c>
      <c r="B104" t="s">
        <v>11011</v>
      </c>
      <c r="D104" t="s">
        <v>11934</v>
      </c>
      <c r="E104">
        <f>VLOOKUP(D104,'Position Labels'!$A$2:$B$20,2)</f>
        <v>-6.05</v>
      </c>
      <c r="F104">
        <v>-4</v>
      </c>
      <c r="G104">
        <v>4</v>
      </c>
      <c r="I104" t="s">
        <v>12074</v>
      </c>
      <c r="L104" t="str">
        <f t="shared" si="3"/>
        <v>condorProc.py --series 07191122_1746   --donoise --dumps a --procenv environments/pymidas_R71_np_noQIS2.env &amp;</v>
      </c>
      <c r="O104" t="s">
        <v>11952</v>
      </c>
    </row>
    <row r="105" spans="1:15" ht="15">
      <c r="A105" t="s">
        <v>12076</v>
      </c>
      <c r="B105" t="s">
        <v>11011</v>
      </c>
      <c r="D105" t="s">
        <v>11935</v>
      </c>
      <c r="E105">
        <f>VLOOKUP(D105,'Position Labels'!$A$2:$B$20,2)</f>
        <v>-6.57</v>
      </c>
      <c r="F105">
        <v>-4</v>
      </c>
      <c r="G105">
        <v>4</v>
      </c>
      <c r="I105" t="s">
        <v>12074</v>
      </c>
      <c r="L105" t="str">
        <f t="shared" si="3"/>
        <v>condorProc.py --series 07191123_0804   --donoise --dumps a --procenv environments/pymidas_R71_np_noQIS2.env &amp;</v>
      </c>
      <c r="O105" t="s">
        <v>11952</v>
      </c>
    </row>
    <row r="106" spans="1:15" ht="15">
      <c r="A106" t="s">
        <v>12077</v>
      </c>
      <c r="B106" t="s">
        <v>11011</v>
      </c>
      <c r="D106" t="s">
        <v>11935</v>
      </c>
      <c r="E106">
        <f>VLOOKUP(D106,'Position Labels'!$A$2:$B$20,2)</f>
        <v>-6.57</v>
      </c>
      <c r="F106">
        <v>4</v>
      </c>
      <c r="G106">
        <v>-4</v>
      </c>
      <c r="I106" t="s">
        <v>12074</v>
      </c>
      <c r="L106" t="str">
        <f t="shared" si="3"/>
        <v>condorProc.py --series 07191123_0905   --donoise --dumps a --procenv environments/pymidas_R71_pn_noQIS2.env &amp;</v>
      </c>
      <c r="M106" t="s">
        <v>11952</v>
      </c>
      <c r="O106" t="s">
        <v>11952</v>
      </c>
    </row>
    <row r="107" spans="1:15" ht="15">
      <c r="A107" t="s">
        <v>12078</v>
      </c>
      <c r="B107" t="s">
        <v>11011</v>
      </c>
      <c r="D107" t="s">
        <v>11936</v>
      </c>
      <c r="E107">
        <f>VLOOKUP(D107,'Position Labels'!$A$2:$B$20,2)</f>
        <v>-7.1</v>
      </c>
      <c r="F107">
        <v>-4</v>
      </c>
      <c r="G107">
        <v>4</v>
      </c>
      <c r="I107" t="s">
        <v>12074</v>
      </c>
      <c r="L107" t="str">
        <f t="shared" si="3"/>
        <v>condorProc.py --series 07191123_1346   --donoise --dumps a --procenv environments/pymidas_R71_np_noQIS2.env &amp;</v>
      </c>
      <c r="O107" t="s">
        <v>11952</v>
      </c>
    </row>
    <row r="108" spans="1:15" ht="15">
      <c r="A108" t="s">
        <v>12079</v>
      </c>
      <c r="B108" t="s">
        <v>11011</v>
      </c>
      <c r="D108" t="s">
        <v>11936</v>
      </c>
      <c r="E108">
        <f>VLOOKUP(D108,'Position Labels'!$A$2:$B$20,2)</f>
        <v>-7.1</v>
      </c>
      <c r="F108">
        <v>4</v>
      </c>
      <c r="G108">
        <v>-4</v>
      </c>
      <c r="I108" t="s">
        <v>12074</v>
      </c>
      <c r="L108" t="str">
        <f t="shared" si="3"/>
        <v>condorProc.py --series 07191123_1447   --donoise --dumps a --procenv environments/pymidas_R71_pn_noQIS2.env &amp;</v>
      </c>
      <c r="M108" t="s">
        <v>11952</v>
      </c>
      <c r="O108" t="s">
        <v>11952</v>
      </c>
    </row>
    <row r="109" spans="1:15" ht="15">
      <c r="A109" t="s">
        <v>12080</v>
      </c>
      <c r="B109" t="s">
        <v>11011</v>
      </c>
      <c r="D109" t="s">
        <v>11937</v>
      </c>
      <c r="E109">
        <f>VLOOKUP(D109,'Position Labels'!$A$2:$B$20,2)</f>
        <v>-7.63</v>
      </c>
      <c r="F109">
        <v>-4</v>
      </c>
      <c r="G109">
        <v>4</v>
      </c>
      <c r="L109" t="str">
        <f t="shared" si="3"/>
        <v>condorProc.py --series 07191123_1759   --donoise --dumps a --procenv environments/pymidas_R71_np_noQIS2.env &amp;</v>
      </c>
      <c r="O109" t="s">
        <v>11952</v>
      </c>
    </row>
    <row r="110" spans="1:15" ht="15">
      <c r="A110" t="s">
        <v>12081</v>
      </c>
      <c r="B110" t="s">
        <v>11011</v>
      </c>
      <c r="D110" t="s">
        <v>11937</v>
      </c>
      <c r="E110">
        <f>VLOOKUP(D110,'Position Labels'!$A$2:$B$20,2)</f>
        <v>-7.63</v>
      </c>
      <c r="F110">
        <v>4</v>
      </c>
      <c r="G110">
        <v>-4</v>
      </c>
      <c r="L110" t="str">
        <f t="shared" si="3"/>
        <v>condorProc.py --series 07191123_1901   --donoise --dumps a --procenv environments/pymidas_R71_pn_noQIS2.env &amp;</v>
      </c>
      <c r="M110" t="s">
        <v>11952</v>
      </c>
      <c r="O110" t="s">
        <v>11952</v>
      </c>
    </row>
    <row r="111" spans="1:15" ht="15">
      <c r="A111" t="s">
        <v>12082</v>
      </c>
      <c r="B111" t="s">
        <v>11011</v>
      </c>
      <c r="D111" t="s">
        <v>11938</v>
      </c>
      <c r="E111">
        <f>VLOOKUP(D111,'Position Labels'!$A$2:$B$20,2)</f>
        <v>-24.44</v>
      </c>
      <c r="F111">
        <v>-4</v>
      </c>
      <c r="G111">
        <v>4</v>
      </c>
      <c r="L111" t="str">
        <f t="shared" si="3"/>
        <v>condorProc.py --series 07191124_1501   --donoise --dumps a --procenv environments/pymidas_R71_np_noQIS2.env &amp;</v>
      </c>
      <c r="O111" t="s">
        <v>11952</v>
      </c>
    </row>
    <row r="112" spans="1:15" ht="15">
      <c r="A112" t="s">
        <v>12083</v>
      </c>
      <c r="B112" t="s">
        <v>11011</v>
      </c>
      <c r="D112" t="s">
        <v>11938</v>
      </c>
      <c r="E112">
        <f>VLOOKUP(D112,'Position Labels'!$A$2:$B$20,2)</f>
        <v>-24.44</v>
      </c>
      <c r="F112">
        <v>4</v>
      </c>
      <c r="G112">
        <v>-4</v>
      </c>
      <c r="L112" t="str">
        <f t="shared" si="3"/>
        <v>condorProc.py --series 07191124_1602   --donoise --dumps a --procenv environments/pymidas_R71_pn_noQIS2.env &amp;</v>
      </c>
      <c r="M112" t="s">
        <v>11952</v>
      </c>
      <c r="O112" t="s">
        <v>11952</v>
      </c>
    </row>
    <row r="113" spans="1:15" ht="15">
      <c r="A113" t="s">
        <v>12084</v>
      </c>
      <c r="B113" t="s">
        <v>11011</v>
      </c>
      <c r="D113" t="s">
        <v>11939</v>
      </c>
      <c r="E113">
        <f>VLOOKUP(D113,'Position Labels'!$A$2:$B$20,2)</f>
        <v>-38.619999999999997</v>
      </c>
      <c r="F113">
        <v>-4</v>
      </c>
      <c r="G113">
        <v>4</v>
      </c>
      <c r="L113" t="str">
        <f t="shared" si="3"/>
        <v>condorProc.py --series 07191125_0841   --donoise --dumps a --procenv environments/pymidas_R71_np_noQIS2.env &amp;</v>
      </c>
      <c r="O113" t="s">
        <v>11952</v>
      </c>
    </row>
    <row r="114" spans="1:15" ht="15">
      <c r="A114" t="s">
        <v>12085</v>
      </c>
      <c r="B114" t="s">
        <v>11011</v>
      </c>
      <c r="D114" t="s">
        <v>11939</v>
      </c>
      <c r="E114">
        <f>VLOOKUP(D114,'Position Labels'!$A$2:$B$20,2)</f>
        <v>-38.619999999999997</v>
      </c>
      <c r="F114">
        <v>4</v>
      </c>
      <c r="G114">
        <v>-4</v>
      </c>
      <c r="L114" t="str">
        <f t="shared" si="3"/>
        <v>condorProc.py --series 07191125_0941   --donoise --dumps a --procenv environments/pymidas_R71_pn_noQIS2.env &amp;</v>
      </c>
      <c r="M114" t="s">
        <v>11952</v>
      </c>
      <c r="O114" t="s">
        <v>11952</v>
      </c>
    </row>
    <row r="115" spans="1:15" ht="15">
      <c r="A115" t="s">
        <v>12086</v>
      </c>
      <c r="B115" t="s">
        <v>11011</v>
      </c>
      <c r="D115" t="s">
        <v>11940</v>
      </c>
      <c r="E115">
        <f>VLOOKUP(D115,'Position Labels'!$A$2:$B$20,2)</f>
        <v>-41.39</v>
      </c>
      <c r="F115">
        <v>-4</v>
      </c>
      <c r="G115">
        <v>4</v>
      </c>
      <c r="H115">
        <v>18</v>
      </c>
      <c r="L115" t="str">
        <f t="shared" si="3"/>
        <v>condorProc.py --series 07191125_1442   --donoise --dumps a --procenv environments/pymidas_R71_np_noQIS2.env &amp;</v>
      </c>
      <c r="O115" t="s">
        <v>11952</v>
      </c>
    </row>
    <row r="116" spans="1:15" ht="15">
      <c r="O116" t="s">
        <v>11952</v>
      </c>
    </row>
    <row r="117" spans="1:15" ht="15"/>
    <row r="118" spans="1:15" ht="15"/>
    <row r="139" spans="7:7" ht="15">
      <c r="G139" s="242"/>
    </row>
    <row r="140" spans="7:7" ht="15"/>
    <row r="141" spans="7:7" ht="15"/>
    <row r="142" spans="7:7" ht="15"/>
    <row r="315" spans="9:9" ht="15">
      <c r="I315" s="6"/>
    </row>
    <row r="316" spans="9:9" ht="15">
      <c r="I316" s="6"/>
    </row>
    <row r="317" spans="9:9" ht="15">
      <c r="I317" s="6"/>
    </row>
    <row r="318" spans="9:9" ht="15">
      <c r="I318" s="6"/>
    </row>
    <row r="319" spans="9:9" ht="15">
      <c r="I319" s="6"/>
    </row>
    <row r="320" spans="9:9" ht="15">
      <c r="I320" s="6"/>
    </row>
    <row r="321" spans="9:10" ht="15">
      <c r="I321" s="6"/>
    </row>
    <row r="322" spans="9:10" ht="15">
      <c r="I322" s="6"/>
    </row>
    <row r="323" spans="9:10" ht="15">
      <c r="I323" s="6"/>
    </row>
    <row r="324" spans="9:10" ht="15">
      <c r="I324" s="6"/>
    </row>
    <row r="325" spans="9:10" ht="15">
      <c r="J325" s="6"/>
    </row>
    <row r="326" spans="9:10" ht="15">
      <c r="J326" s="6"/>
    </row>
    <row r="327" spans="9:10" ht="15"/>
    <row r="328" spans="9:10" ht="15"/>
    <row r="329" spans="9:10" ht="15">
      <c r="I329" s="239"/>
    </row>
    <row r="330" spans="9:10" ht="15">
      <c r="I330" s="240"/>
    </row>
    <row r="331" spans="9:10" ht="15">
      <c r="I331" s="240"/>
    </row>
    <row r="332" spans="9:10" ht="15">
      <c r="I332" s="240"/>
    </row>
    <row r="333" spans="9:10" ht="15">
      <c r="I333" s="240"/>
      <c r="J333" s="6"/>
    </row>
    <row r="334" spans="9:10" ht="15">
      <c r="I334" s="240"/>
    </row>
    <row r="335" spans="9:10" ht="15">
      <c r="I335" s="240"/>
    </row>
    <row r="336" spans="9:10" ht="15">
      <c r="I336" s="240"/>
    </row>
    <row r="337" spans="9:9" ht="15">
      <c r="I337" s="239"/>
    </row>
    <row r="338" spans="9:9" ht="15">
      <c r="I338" s="240"/>
    </row>
    <row r="339" spans="9:9" ht="15">
      <c r="I339" s="240"/>
    </row>
    <row r="340" spans="9:9" ht="15">
      <c r="I340" s="240"/>
    </row>
    <row r="341" spans="9:9" ht="15">
      <c r="I341" s="240"/>
    </row>
    <row r="342" spans="9:9" ht="15">
      <c r="I342" s="240"/>
    </row>
    <row r="343" spans="9:9" ht="15">
      <c r="I343" s="240"/>
    </row>
    <row r="344" spans="9:9" ht="15">
      <c r="I344" s="241"/>
    </row>
    <row r="345" spans="9:9" ht="15">
      <c r="I345" s="239"/>
    </row>
    <row r="346" spans="9:9" ht="15">
      <c r="I346" s="240"/>
    </row>
    <row r="347" spans="9:9" ht="15">
      <c r="I347" s="240"/>
    </row>
    <row r="348" spans="9:9" ht="15">
      <c r="I348" s="240"/>
    </row>
    <row r="349" spans="9:9" ht="15">
      <c r="I349" s="240"/>
    </row>
    <row r="350" spans="9:9" ht="15">
      <c r="I350" s="240"/>
    </row>
    <row r="351" spans="9:9" ht="15">
      <c r="I351" s="240"/>
    </row>
    <row r="352" spans="9:9" ht="15">
      <c r="I352" s="241"/>
    </row>
    <row r="353" spans="9:10" ht="15">
      <c r="I353" s="239"/>
      <c r="J353" s="6"/>
    </row>
    <row r="354" spans="9:10" ht="15">
      <c r="I354" s="240"/>
    </row>
    <row r="355" spans="9:10" ht="15">
      <c r="I355" s="240"/>
    </row>
    <row r="356" spans="9:10" ht="15">
      <c r="I356" s="240"/>
      <c r="J356" s="6"/>
    </row>
    <row r="357" spans="9:10" ht="15">
      <c r="I357" s="240"/>
    </row>
    <row r="358" spans="9:10" ht="15">
      <c r="I358" s="240"/>
    </row>
    <row r="359" spans="9:10" ht="15">
      <c r="I359" s="240"/>
    </row>
    <row r="360" spans="9:10" ht="15">
      <c r="I360" s="241"/>
      <c r="J360" s="6"/>
    </row>
    <row r="361" spans="9:10" ht="15">
      <c r="I361" s="239"/>
    </row>
    <row r="362" spans="9:10" ht="15">
      <c r="I362" s="240"/>
    </row>
    <row r="363" spans="9:10" ht="15">
      <c r="I363" s="240"/>
    </row>
    <row r="364" spans="9:10" ht="15">
      <c r="I364" s="240"/>
    </row>
    <row r="365" spans="9:10" ht="15">
      <c r="I365" s="240"/>
    </row>
    <row r="366" spans="9:10" ht="15">
      <c r="I366" s="240"/>
    </row>
    <row r="367" spans="9:10" ht="15">
      <c r="I367" s="240"/>
    </row>
    <row r="368" spans="9:10" ht="15">
      <c r="I368" s="240"/>
    </row>
    <row r="369" spans="9:9" ht="15">
      <c r="I369" s="239"/>
    </row>
    <row r="370" spans="9:9" ht="15">
      <c r="I370" s="240"/>
    </row>
    <row r="371" spans="9:9" ht="15">
      <c r="I371" s="240"/>
    </row>
    <row r="372" spans="9:9" ht="15">
      <c r="I372" s="240"/>
    </row>
    <row r="373" spans="9:9" ht="15">
      <c r="I373" s="240"/>
    </row>
    <row r="374" spans="9:9" ht="15">
      <c r="I374" s="240"/>
    </row>
    <row r="375" spans="9:9" ht="15">
      <c r="I375" s="240"/>
    </row>
    <row r="376" spans="9:9" ht="15">
      <c r="I376" s="239"/>
    </row>
    <row r="377" spans="9:9" ht="15">
      <c r="I377" s="240"/>
    </row>
    <row r="378" spans="9:9" ht="15">
      <c r="I378" s="240"/>
    </row>
    <row r="379" spans="9:9" ht="15">
      <c r="I379" s="240"/>
    </row>
    <row r="380" spans="9:9" ht="15">
      <c r="I380" s="240"/>
    </row>
    <row r="381" spans="9:9" ht="15">
      <c r="I381" s="240"/>
    </row>
    <row r="382" spans="9:9" ht="15">
      <c r="I382" s="240"/>
    </row>
    <row r="383" spans="9:9" ht="15">
      <c r="I383" s="240"/>
    </row>
    <row r="384" spans="9:9" ht="15">
      <c r="I384" s="239"/>
    </row>
    <row r="385" spans="9:9" ht="15">
      <c r="I385" s="240"/>
    </row>
    <row r="386" spans="9:9" ht="15">
      <c r="I386" s="240"/>
    </row>
    <row r="387" spans="9:9" ht="15">
      <c r="I387" s="240"/>
    </row>
    <row r="388" spans="9:9" ht="15">
      <c r="I388" s="240"/>
    </row>
    <row r="389" spans="9:9" ht="15">
      <c r="I389" s="240"/>
    </row>
    <row r="390" spans="9:9" ht="15">
      <c r="I390" s="240"/>
    </row>
    <row r="391" spans="9:9" ht="15">
      <c r="I391" s="240"/>
    </row>
    <row r="392" spans="9:9" ht="15">
      <c r="I392" s="239"/>
    </row>
    <row r="393" spans="9:9" ht="15">
      <c r="I393" s="240"/>
    </row>
    <row r="394" spans="9:9" ht="15">
      <c r="I394" s="240"/>
    </row>
    <row r="395" spans="9:9" ht="15">
      <c r="I395" s="240"/>
    </row>
    <row r="396" spans="9:9" ht="15">
      <c r="I396" s="240"/>
    </row>
    <row r="397" spans="9:9" ht="15">
      <c r="I397" s="240"/>
    </row>
    <row r="398" spans="9:9" ht="15">
      <c r="I398" s="240"/>
    </row>
    <row r="399" spans="9:9" ht="15">
      <c r="I399" s="240"/>
    </row>
    <row r="400" spans="9:9" ht="15">
      <c r="I400" s="239"/>
    </row>
    <row r="401" spans="9:10" ht="15">
      <c r="I401" s="240"/>
    </row>
    <row r="402" spans="9:10" ht="15">
      <c r="I402" s="240"/>
    </row>
    <row r="403" spans="9:10" ht="15">
      <c r="I403" s="240"/>
    </row>
    <row r="404" spans="9:10" ht="15">
      <c r="I404" s="240"/>
    </row>
    <row r="405" spans="9:10" ht="15">
      <c r="I405" s="240"/>
    </row>
    <row r="406" spans="9:10" ht="15">
      <c r="I406" s="240"/>
    </row>
    <row r="407" spans="9:10" ht="15">
      <c r="I407" s="240"/>
    </row>
    <row r="408" spans="9:10" ht="15">
      <c r="I408" s="239"/>
    </row>
    <row r="409" spans="9:10" ht="15">
      <c r="I409" s="240"/>
    </row>
    <row r="410" spans="9:10" ht="15">
      <c r="I410" s="240"/>
      <c r="J410" s="6"/>
    </row>
    <row r="411" spans="9:10" ht="15">
      <c r="I411" s="240"/>
    </row>
    <row r="412" spans="9:10" ht="15">
      <c r="I412" s="240"/>
    </row>
    <row r="413" spans="9:10" ht="15">
      <c r="I413" s="240"/>
    </row>
    <row r="414" spans="9:10" ht="15">
      <c r="I414" s="240"/>
    </row>
    <row r="415" spans="9:10" ht="15">
      <c r="I415" s="241"/>
    </row>
    <row r="416" spans="9:10" ht="15">
      <c r="I416" s="239"/>
    </row>
    <row r="417" spans="9:10" ht="15">
      <c r="I417" s="240"/>
    </row>
    <row r="418" spans="9:10" ht="15">
      <c r="I418" s="240"/>
    </row>
    <row r="419" spans="9:10" ht="15">
      <c r="I419" s="240"/>
    </row>
    <row r="420" spans="9:10" ht="15">
      <c r="I420" s="240"/>
    </row>
    <row r="421" spans="9:10" ht="15">
      <c r="I421" s="240"/>
    </row>
    <row r="422" spans="9:10" ht="15">
      <c r="I422" s="240"/>
    </row>
    <row r="423" spans="9:10" ht="15">
      <c r="I423" s="241"/>
    </row>
    <row r="424" spans="9:10" ht="15">
      <c r="I424" s="239"/>
    </row>
    <row r="425" spans="9:10" ht="15">
      <c r="I425" s="240"/>
      <c r="J425" s="6"/>
    </row>
    <row r="426" spans="9:10" ht="15">
      <c r="I426" s="240"/>
    </row>
    <row r="427" spans="9:10" ht="15">
      <c r="I427" s="240"/>
    </row>
    <row r="428" spans="9:10" ht="15">
      <c r="I428" s="240"/>
    </row>
    <row r="429" spans="9:10" ht="15">
      <c r="I429" s="240"/>
    </row>
    <row r="430" spans="9:10" ht="15">
      <c r="I430" s="240"/>
    </row>
    <row r="431" spans="9:10" ht="15">
      <c r="I431" s="241"/>
    </row>
    <row r="432" spans="9:10" ht="15">
      <c r="I432" s="239"/>
      <c r="J432" s="6"/>
    </row>
    <row r="433" spans="9:10" ht="15">
      <c r="I433" s="240"/>
    </row>
    <row r="434" spans="9:10" ht="15">
      <c r="I434" s="240"/>
    </row>
    <row r="435" spans="9:10" ht="15">
      <c r="I435" s="240"/>
    </row>
    <row r="436" spans="9:10" ht="15">
      <c r="I436" s="240"/>
    </row>
    <row r="437" spans="9:10" ht="15">
      <c r="I437" s="240"/>
      <c r="J437" s="6"/>
    </row>
    <row r="438" spans="9:10" ht="15">
      <c r="I438" s="240"/>
      <c r="J438" s="6"/>
    </row>
    <row r="439" spans="9:10" ht="15">
      <c r="I439" s="241"/>
      <c r="J439" s="6"/>
    </row>
    <row r="440" spans="9:10" ht="15">
      <c r="I440" s="239"/>
      <c r="J440" s="6"/>
    </row>
    <row r="441" spans="9:10" ht="15">
      <c r="I441" s="240"/>
      <c r="J441" s="6"/>
    </row>
    <row r="442" spans="9:10" ht="15">
      <c r="I442" s="240"/>
      <c r="J442" s="6"/>
    </row>
    <row r="443" spans="9:10" ht="15">
      <c r="I443" s="240"/>
      <c r="J443" s="6"/>
    </row>
    <row r="444" spans="9:10" ht="15">
      <c r="I444" s="240"/>
      <c r="J444" s="6"/>
    </row>
    <row r="445" spans="9:10" ht="15">
      <c r="I445" s="240"/>
      <c r="J445" s="6"/>
    </row>
    <row r="446" spans="9:10" ht="15">
      <c r="I446" s="240"/>
      <c r="J446" s="6"/>
    </row>
    <row r="447" spans="9:10" ht="15">
      <c r="I447" s="241"/>
      <c r="J447" s="6"/>
    </row>
    <row r="448" spans="9:10" ht="15">
      <c r="I448" s="239"/>
    </row>
    <row r="449" spans="9:9" ht="15">
      <c r="I449" s="240"/>
    </row>
    <row r="450" spans="9:9" ht="15">
      <c r="I450" s="240"/>
    </row>
    <row r="451" spans="9:9" ht="15">
      <c r="I451" s="240"/>
    </row>
    <row r="452" spans="9:9" ht="15">
      <c r="I452" s="240"/>
    </row>
    <row r="453" spans="9:9" ht="15">
      <c r="I453" s="240"/>
    </row>
    <row r="454" spans="9:9" ht="15">
      <c r="I454" s="240"/>
    </row>
    <row r="455" spans="9:9" ht="15">
      <c r="I455" s="241"/>
    </row>
    <row r="456" spans="9:9" ht="15">
      <c r="I456" s="239"/>
    </row>
    <row r="457" spans="9:9" ht="15">
      <c r="I457" s="240"/>
    </row>
    <row r="458" spans="9:9" ht="15">
      <c r="I458" s="240"/>
    </row>
    <row r="459" spans="9:9" ht="15">
      <c r="I459" s="240"/>
    </row>
    <row r="460" spans="9:9" ht="15">
      <c r="I460" s="240"/>
    </row>
    <row r="461" spans="9:9" ht="15">
      <c r="I461" s="240"/>
    </row>
    <row r="462" spans="9:9" ht="15">
      <c r="I462" s="240"/>
    </row>
    <row r="463" spans="9:9" ht="15">
      <c r="I463" s="241"/>
    </row>
    <row r="464" spans="9:9" ht="15">
      <c r="I464" s="239"/>
    </row>
    <row r="465" spans="9:9" ht="15">
      <c r="I465" s="240"/>
    </row>
    <row r="466" spans="9:9" ht="15">
      <c r="I466" s="240"/>
    </row>
    <row r="467" spans="9:9" ht="15">
      <c r="I467" s="240"/>
    </row>
    <row r="468" spans="9:9" ht="15">
      <c r="I468" s="240"/>
    </row>
    <row r="469" spans="9:9" ht="15">
      <c r="I469" s="240"/>
    </row>
    <row r="470" spans="9:9" ht="15">
      <c r="I470" s="240"/>
    </row>
    <row r="471" spans="9:9" ht="15">
      <c r="I471" s="239"/>
    </row>
    <row r="472" spans="9:9" ht="15">
      <c r="I472" s="240"/>
    </row>
    <row r="473" spans="9:9" ht="15">
      <c r="I473" s="240"/>
    </row>
    <row r="474" spans="9:9" ht="15">
      <c r="I474" s="240"/>
    </row>
    <row r="475" spans="9:9" ht="15">
      <c r="I475" s="240"/>
    </row>
    <row r="476" spans="9:9" ht="15">
      <c r="I476" s="240"/>
    </row>
    <row r="477" spans="9:9" ht="15">
      <c r="I477" s="240"/>
    </row>
    <row r="478" spans="9:9" ht="15">
      <c r="I478" s="241"/>
    </row>
    <row r="479" spans="9:9" ht="15">
      <c r="I479" s="239"/>
    </row>
    <row r="480" spans="9:9" ht="15">
      <c r="I480" s="240"/>
    </row>
    <row r="481" spans="9:9" ht="15">
      <c r="I481" s="240"/>
    </row>
    <row r="482" spans="9:9" ht="15">
      <c r="I482" s="240"/>
    </row>
    <row r="483" spans="9:9" ht="15">
      <c r="I483" s="240"/>
    </row>
    <row r="484" spans="9:9" ht="15">
      <c r="I484" s="240"/>
    </row>
    <row r="485" spans="9:9" ht="15">
      <c r="I485" s="240"/>
    </row>
    <row r="486" spans="9:9" ht="15">
      <c r="I486" s="241"/>
    </row>
    <row r="487" spans="9:9" ht="15">
      <c r="I487" s="239"/>
    </row>
    <row r="488" spans="9:9" ht="15">
      <c r="I488" s="240"/>
    </row>
    <row r="489" spans="9:9" ht="15">
      <c r="I489" s="240"/>
    </row>
    <row r="490" spans="9:9" ht="15">
      <c r="I490" s="240"/>
    </row>
    <row r="491" spans="9:9" ht="15">
      <c r="I491" s="240"/>
    </row>
    <row r="492" spans="9:9" ht="15">
      <c r="I492" s="240"/>
    </row>
    <row r="493" spans="9:9" ht="15">
      <c r="I493" s="240"/>
    </row>
    <row r="494" spans="9:9" ht="15">
      <c r="I494" s="241"/>
    </row>
    <row r="495" spans="9:9" ht="15">
      <c r="I495" s="239"/>
    </row>
    <row r="496" spans="9:9" ht="15">
      <c r="I496" s="240"/>
    </row>
    <row r="497" spans="9:10" ht="15">
      <c r="I497" s="240"/>
      <c r="J497" s="6"/>
    </row>
    <row r="498" spans="9:10" ht="15">
      <c r="I498" s="240"/>
    </row>
    <row r="499" spans="9:10" ht="15">
      <c r="I499" s="240"/>
    </row>
    <row r="500" spans="9:10" ht="15">
      <c r="I500" s="240"/>
    </row>
    <row r="501" spans="9:10" ht="15">
      <c r="I501" s="240"/>
    </row>
    <row r="502" spans="9:10" ht="15">
      <c r="I502" s="241"/>
    </row>
    <row r="503" spans="9:10" ht="15">
      <c r="I503" s="239"/>
    </row>
    <row r="504" spans="9:10" ht="15">
      <c r="I504" s="240"/>
    </row>
    <row r="505" spans="9:10" ht="15">
      <c r="I505" s="240"/>
    </row>
    <row r="506" spans="9:10" ht="15">
      <c r="I506" s="240"/>
    </row>
    <row r="507" spans="9:10" ht="15">
      <c r="I507" s="240"/>
    </row>
    <row r="508" spans="9:10" ht="15">
      <c r="I508" s="240"/>
    </row>
    <row r="509" spans="9:10" ht="15">
      <c r="I509" s="240"/>
    </row>
    <row r="510" spans="9:10" ht="15">
      <c r="I510" s="241"/>
    </row>
    <row r="511" spans="9:10" ht="15">
      <c r="I511" s="239"/>
    </row>
    <row r="512" spans="9:10" ht="15">
      <c r="I512" s="240"/>
    </row>
    <row r="513" spans="9:9" ht="15">
      <c r="I513" s="240"/>
    </row>
    <row r="514" spans="9:9" ht="15">
      <c r="I514" s="240"/>
    </row>
    <row r="515" spans="9:9" ht="15">
      <c r="I515" s="240"/>
    </row>
    <row r="516" spans="9:9" ht="15">
      <c r="I516" s="240"/>
    </row>
    <row r="517" spans="9:9" ht="15">
      <c r="I517" s="240"/>
    </row>
    <row r="518" spans="9:9" ht="15">
      <c r="I518" s="241"/>
    </row>
    <row r="519" spans="9:9" ht="15">
      <c r="I519" s="239"/>
    </row>
    <row r="520" spans="9:9" ht="15">
      <c r="I520" s="240"/>
    </row>
    <row r="521" spans="9:9" ht="15">
      <c r="I521" s="240"/>
    </row>
    <row r="522" spans="9:9" ht="15">
      <c r="I522" s="240"/>
    </row>
    <row r="523" spans="9:9" ht="15">
      <c r="I523" s="240"/>
    </row>
    <row r="524" spans="9:9" ht="15">
      <c r="I524" s="240"/>
    </row>
    <row r="525" spans="9:9" ht="15">
      <c r="I525" s="240"/>
    </row>
    <row r="526" spans="9:9" ht="15">
      <c r="I526" s="239"/>
    </row>
    <row r="527" spans="9:9" ht="15">
      <c r="I527" s="240"/>
    </row>
    <row r="528" spans="9:9" ht="15">
      <c r="I528" s="240"/>
    </row>
    <row r="529" spans="9:9" ht="15">
      <c r="I529" s="240"/>
    </row>
    <row r="530" spans="9:9" ht="15">
      <c r="I530" s="240"/>
    </row>
    <row r="531" spans="9:9" ht="15">
      <c r="I531" s="240"/>
    </row>
    <row r="532" spans="9:9" ht="15">
      <c r="I532" s="240"/>
    </row>
    <row r="533" spans="9:9" ht="15">
      <c r="I533" s="241"/>
    </row>
    <row r="534" spans="9:9" ht="15">
      <c r="I534" s="239"/>
    </row>
    <row r="535" spans="9:9" ht="15">
      <c r="I535" s="240"/>
    </row>
    <row r="536" spans="9:9" ht="15">
      <c r="I536" s="240"/>
    </row>
    <row r="537" spans="9:9" ht="15">
      <c r="I537" s="240"/>
    </row>
    <row r="538" spans="9:9" ht="15">
      <c r="I538" s="240"/>
    </row>
    <row r="539" spans="9:9" ht="15">
      <c r="I539" s="240"/>
    </row>
    <row r="540" spans="9:9" ht="15">
      <c r="I540" s="240"/>
    </row>
    <row r="541" spans="9:9" ht="15">
      <c r="I541" s="241"/>
    </row>
    <row r="542" spans="9:9" ht="15">
      <c r="I542" s="239"/>
    </row>
    <row r="543" spans="9:9" ht="15">
      <c r="I543" s="240"/>
    </row>
    <row r="544" spans="9:9" ht="15">
      <c r="I544" s="240"/>
    </row>
    <row r="545" spans="9:9" ht="15">
      <c r="I545" s="240"/>
    </row>
    <row r="546" spans="9:9" ht="15">
      <c r="I546" s="240"/>
    </row>
    <row r="547" spans="9:9" ht="15">
      <c r="I547" s="240"/>
    </row>
    <row r="548" spans="9:9" ht="15">
      <c r="I548" s="240"/>
    </row>
    <row r="549" spans="9:9" ht="15">
      <c r="I549" s="241"/>
    </row>
    <row r="550" spans="9:9" ht="15">
      <c r="I550" s="239"/>
    </row>
    <row r="551" spans="9:9" ht="15">
      <c r="I551" s="239"/>
    </row>
    <row r="552" spans="9:9" ht="15">
      <c r="I552" s="240"/>
    </row>
    <row r="553" spans="9:9" ht="15">
      <c r="I553" s="240"/>
    </row>
    <row r="554" spans="9:9" ht="15">
      <c r="I554" s="240"/>
    </row>
    <row r="555" spans="9:9" ht="15">
      <c r="I555" s="240"/>
    </row>
    <row r="556" spans="9:9" ht="15">
      <c r="I556" s="240"/>
    </row>
    <row r="557" spans="9:9" ht="15">
      <c r="I557" s="240"/>
    </row>
    <row r="558" spans="9:9" ht="15">
      <c r="I558" s="241"/>
    </row>
    <row r="559" spans="9:9" ht="15">
      <c r="I559" s="239"/>
    </row>
    <row r="560" spans="9:9" ht="15">
      <c r="I560" s="240"/>
    </row>
    <row r="561" spans="9:9" ht="15">
      <c r="I561" s="240"/>
    </row>
    <row r="562" spans="9:9" ht="15">
      <c r="I562" s="240"/>
    </row>
    <row r="563" spans="9:9" ht="15">
      <c r="I563" s="240"/>
    </row>
    <row r="564" spans="9:9" ht="15">
      <c r="I564" s="239"/>
    </row>
    <row r="565" spans="9:9" ht="15">
      <c r="I565" s="240"/>
    </row>
    <row r="566" spans="9:9" ht="15">
      <c r="I566" s="240"/>
    </row>
    <row r="567" spans="9:9" ht="15">
      <c r="I567" s="240"/>
    </row>
    <row r="568" spans="9:9" ht="15">
      <c r="I568" s="240"/>
    </row>
    <row r="569" spans="9:9" ht="15">
      <c r="I569" s="240"/>
    </row>
    <row r="570" spans="9:9" ht="15">
      <c r="I570" s="240"/>
    </row>
    <row r="571" spans="9:9" ht="15">
      <c r="I571" s="241"/>
    </row>
    <row r="572" spans="9:9" ht="15">
      <c r="I572" s="239"/>
    </row>
    <row r="573" spans="9:9" ht="15">
      <c r="I573" s="240"/>
    </row>
    <row r="574" spans="9:9" ht="15">
      <c r="I574" s="240"/>
    </row>
    <row r="575" spans="9:9" ht="15">
      <c r="I575" s="240"/>
    </row>
    <row r="576" spans="9:9" ht="15">
      <c r="I576" s="240"/>
    </row>
    <row r="577" spans="9:9" ht="15">
      <c r="I577" s="240"/>
    </row>
    <row r="578" spans="9:9" ht="15">
      <c r="I578" s="240"/>
    </row>
    <row r="579" spans="9:9" ht="15">
      <c r="I579" s="239"/>
    </row>
    <row r="580" spans="9:9" ht="15">
      <c r="I580" s="240"/>
    </row>
    <row r="581" spans="9:9" ht="15">
      <c r="I581" s="240"/>
    </row>
    <row r="582" spans="9:9" ht="15">
      <c r="I582" s="240"/>
    </row>
    <row r="583" spans="9:9" ht="15">
      <c r="I583" s="240"/>
    </row>
    <row r="584" spans="9:9" ht="15">
      <c r="I584" s="240"/>
    </row>
    <row r="585" spans="9:9" ht="15">
      <c r="I585" s="240"/>
    </row>
    <row r="586" spans="9:9" ht="15">
      <c r="I586" s="241"/>
    </row>
    <row r="587" spans="9:9" ht="15">
      <c r="I587" s="239"/>
    </row>
    <row r="588" spans="9:9" ht="15">
      <c r="I588" s="240"/>
    </row>
    <row r="589" spans="9:9" ht="15">
      <c r="I589" s="240"/>
    </row>
    <row r="590" spans="9:9" ht="15">
      <c r="I590" s="240"/>
    </row>
    <row r="591" spans="9:9" ht="15">
      <c r="I591" s="240"/>
    </row>
    <row r="592" spans="9:9" ht="15">
      <c r="I592" s="240"/>
    </row>
    <row r="593" spans="9:9" ht="15">
      <c r="I593" s="240"/>
    </row>
    <row r="594" spans="9:9" ht="15">
      <c r="I594" s="241"/>
    </row>
    <row r="595" spans="9:9" ht="15">
      <c r="I595" s="239"/>
    </row>
    <row r="596" spans="9:9" ht="15">
      <c r="I596" s="240"/>
    </row>
    <row r="597" spans="9:9" ht="15">
      <c r="I597" s="240"/>
    </row>
    <row r="598" spans="9:9" ht="15">
      <c r="I598" s="240"/>
    </row>
    <row r="599" spans="9:9" ht="15">
      <c r="I599" s="240"/>
    </row>
    <row r="600" spans="9:9" ht="15">
      <c r="I600" s="240"/>
    </row>
    <row r="601" spans="9:9" ht="15">
      <c r="I601" s="240"/>
    </row>
    <row r="602" spans="9:9" ht="15">
      <c r="I602" s="241"/>
    </row>
    <row r="603" spans="9:9" ht="15">
      <c r="I603" s="239"/>
    </row>
    <row r="604" spans="9:9" ht="15">
      <c r="I604" s="240"/>
    </row>
    <row r="605" spans="9:9" ht="15">
      <c r="I605" s="240"/>
    </row>
    <row r="606" spans="9:9" ht="15">
      <c r="I606" s="240"/>
    </row>
    <row r="607" spans="9:9" ht="15">
      <c r="I607" s="240"/>
    </row>
    <row r="608" spans="9:9" ht="15">
      <c r="I608" s="240"/>
    </row>
    <row r="609" spans="9:9" ht="15">
      <c r="I609" s="240"/>
    </row>
    <row r="610" spans="9:9" ht="15">
      <c r="I610" s="241"/>
    </row>
    <row r="611" spans="9:9" ht="15">
      <c r="I611" s="239"/>
    </row>
    <row r="612" spans="9:9" ht="15">
      <c r="I612" s="240"/>
    </row>
    <row r="613" spans="9:9" ht="15">
      <c r="I613" s="240"/>
    </row>
    <row r="614" spans="9:9" ht="15">
      <c r="I614" s="240"/>
    </row>
    <row r="615" spans="9:9" ht="15">
      <c r="I615" s="240"/>
    </row>
    <row r="616" spans="9:9" ht="15">
      <c r="I616" s="240"/>
    </row>
    <row r="617" spans="9:9" ht="15">
      <c r="I617" s="240"/>
    </row>
    <row r="618" spans="9:9" ht="15">
      <c r="I618" s="241"/>
    </row>
    <row r="619" spans="9:9" ht="15">
      <c r="I619" s="239"/>
    </row>
    <row r="620" spans="9:9" ht="15">
      <c r="I620" s="240"/>
    </row>
    <row r="621" spans="9:9" ht="15">
      <c r="I621" s="240"/>
    </row>
    <row r="622" spans="9:9" ht="15">
      <c r="I622" s="240"/>
    </row>
    <row r="623" spans="9:9" ht="15">
      <c r="I623" s="240"/>
    </row>
    <row r="624" spans="9:9" ht="15">
      <c r="I624" s="240"/>
    </row>
    <row r="625" spans="9:9" ht="15">
      <c r="I625" s="240"/>
    </row>
    <row r="626" spans="9:9" ht="15">
      <c r="I626" s="241"/>
    </row>
    <row r="627" spans="9:9" ht="15">
      <c r="I627" s="239"/>
    </row>
    <row r="628" spans="9:9" ht="15">
      <c r="I628" s="240"/>
    </row>
    <row r="629" spans="9:9" ht="15">
      <c r="I629" s="240"/>
    </row>
    <row r="630" spans="9:9" ht="15">
      <c r="I630" s="240"/>
    </row>
    <row r="631" spans="9:9" ht="15">
      <c r="I631" s="240"/>
    </row>
    <row r="632" spans="9:9" ht="15">
      <c r="I632" s="240"/>
    </row>
    <row r="633" spans="9:9" ht="15">
      <c r="I633" s="240"/>
    </row>
    <row r="634" spans="9:9" ht="15">
      <c r="I634" s="241"/>
    </row>
    <row r="635" spans="9:9" ht="15">
      <c r="I635" s="239"/>
    </row>
    <row r="636" spans="9:9" ht="15">
      <c r="I636" s="240"/>
    </row>
    <row r="637" spans="9:9" ht="15">
      <c r="I637" s="240"/>
    </row>
    <row r="638" spans="9:9" ht="15">
      <c r="I638" s="240"/>
    </row>
    <row r="639" spans="9:9" ht="15">
      <c r="I639" s="240"/>
    </row>
    <row r="640" spans="9:9" ht="15">
      <c r="I640" s="240"/>
    </row>
    <row r="641" spans="9:9" ht="15">
      <c r="I641" s="240"/>
    </row>
    <row r="642" spans="9:9" ht="15">
      <c r="I642" s="241"/>
    </row>
    <row r="643" spans="9:9" ht="15">
      <c r="I643" s="239"/>
    </row>
    <row r="644" spans="9:9" ht="15">
      <c r="I644" s="240"/>
    </row>
    <row r="645" spans="9:9" ht="15">
      <c r="I645" s="240"/>
    </row>
    <row r="646" spans="9:9" ht="15">
      <c r="I646" s="240"/>
    </row>
    <row r="647" spans="9:9" ht="15">
      <c r="I647" s="240"/>
    </row>
    <row r="648" spans="9:9" ht="15">
      <c r="I648" s="240"/>
    </row>
    <row r="649" spans="9:9" ht="15">
      <c r="I649" s="240"/>
    </row>
    <row r="650" spans="9:9" ht="15">
      <c r="I650" s="241"/>
    </row>
    <row r="651" spans="9:9" ht="15">
      <c r="I651" s="239"/>
    </row>
    <row r="652" spans="9:9" ht="15">
      <c r="I652" s="240"/>
    </row>
    <row r="653" spans="9:9" ht="15">
      <c r="I653" s="240"/>
    </row>
    <row r="654" spans="9:9" ht="15">
      <c r="I654" s="240"/>
    </row>
    <row r="655" spans="9:9" ht="15">
      <c r="I655" s="240"/>
    </row>
    <row r="656" spans="9:9" ht="15">
      <c r="I656" s="240"/>
    </row>
    <row r="657" spans="9:10" ht="15">
      <c r="I657" s="240"/>
    </row>
    <row r="658" spans="9:10" ht="15">
      <c r="I658" s="241"/>
    </row>
    <row r="659" spans="9:10" ht="15">
      <c r="I659" s="239"/>
    </row>
    <row r="660" spans="9:10" ht="15">
      <c r="I660" s="240"/>
    </row>
    <row r="661" spans="9:10" ht="15">
      <c r="I661" s="240"/>
    </row>
    <row r="662" spans="9:10" ht="15">
      <c r="I662" s="240"/>
    </row>
    <row r="663" spans="9:10" ht="15">
      <c r="I663" s="240"/>
    </row>
    <row r="664" spans="9:10" ht="15">
      <c r="I664" s="240"/>
    </row>
    <row r="665" spans="9:10" ht="15">
      <c r="I665" s="240"/>
    </row>
    <row r="666" spans="9:10" ht="15">
      <c r="I666" s="241"/>
      <c r="J666" s="6"/>
    </row>
    <row r="667" spans="9:10" ht="15">
      <c r="I667" s="239"/>
    </row>
    <row r="668" spans="9:10" ht="15">
      <c r="I668" s="240"/>
    </row>
    <row r="669" spans="9:10" ht="15">
      <c r="I669" s="240"/>
    </row>
    <row r="670" spans="9:10" ht="15">
      <c r="I670" s="240"/>
    </row>
    <row r="671" spans="9:10" ht="15">
      <c r="I671" s="240"/>
    </row>
    <row r="672" spans="9:10" ht="15">
      <c r="I672" s="240"/>
    </row>
    <row r="673" spans="9:10" ht="15">
      <c r="I673" s="240"/>
    </row>
    <row r="674" spans="9:10" ht="15">
      <c r="I674" s="241"/>
    </row>
    <row r="675" spans="9:10" ht="15">
      <c r="I675" s="239"/>
      <c r="J675" s="6"/>
    </row>
    <row r="676" spans="9:10" ht="15">
      <c r="I676" s="240"/>
    </row>
    <row r="677" spans="9:10" ht="15">
      <c r="I677" s="240"/>
    </row>
    <row r="678" spans="9:10" ht="15">
      <c r="I678" s="240"/>
    </row>
    <row r="679" spans="9:10" ht="15">
      <c r="I679" s="240"/>
    </row>
    <row r="680" spans="9:10" ht="15">
      <c r="I680" s="240"/>
    </row>
    <row r="681" spans="9:10" ht="15">
      <c r="I681" s="240"/>
    </row>
    <row r="682" spans="9:10" ht="15">
      <c r="I682" s="241"/>
    </row>
    <row r="683" spans="9:10" ht="15">
      <c r="I683" s="239"/>
    </row>
    <row r="684" spans="9:10" ht="15">
      <c r="I684" s="240"/>
    </row>
    <row r="685" spans="9:10" ht="15">
      <c r="I685" s="239"/>
    </row>
    <row r="686" spans="9:10" ht="15">
      <c r="I686" s="240"/>
    </row>
    <row r="687" spans="9:10" ht="15">
      <c r="I687" s="240"/>
    </row>
    <row r="688" spans="9:10" ht="15">
      <c r="I688" s="240"/>
    </row>
    <row r="689" spans="9:10" ht="15">
      <c r="I689" s="240"/>
      <c r="J689" s="6"/>
    </row>
    <row r="690" spans="9:10" ht="15">
      <c r="I690" s="240"/>
    </row>
    <row r="691" spans="9:10" ht="15">
      <c r="I691" s="240"/>
    </row>
    <row r="692" spans="9:10" ht="15">
      <c r="I692" s="241"/>
    </row>
    <row r="693" spans="9:10" ht="15">
      <c r="I693" s="239"/>
    </row>
    <row r="694" spans="9:10" ht="15">
      <c r="I694" s="240"/>
    </row>
    <row r="695" spans="9:10" ht="15">
      <c r="I695" s="240"/>
    </row>
    <row r="696" spans="9:10" ht="15">
      <c r="I696" s="240"/>
    </row>
    <row r="697" spans="9:10" ht="15">
      <c r="I697" s="240"/>
    </row>
    <row r="698" spans="9:10" ht="15">
      <c r="I698" s="240"/>
    </row>
    <row r="699" spans="9:10" ht="15">
      <c r="I699" s="240"/>
    </row>
    <row r="700" spans="9:10" ht="15">
      <c r="I700" s="241"/>
    </row>
    <row r="701" spans="9:10" ht="15">
      <c r="I701" s="239"/>
    </row>
    <row r="702" spans="9:10" ht="15">
      <c r="I702" s="240"/>
    </row>
    <row r="703" spans="9:10" ht="15">
      <c r="I703" s="240"/>
    </row>
    <row r="704" spans="9:10" ht="15">
      <c r="I704" s="240"/>
    </row>
    <row r="705" spans="9:10" ht="15">
      <c r="I705" s="240"/>
    </row>
    <row r="706" spans="9:10" ht="15">
      <c r="I706" s="240"/>
    </row>
    <row r="707" spans="9:10" ht="15">
      <c r="I707" s="240"/>
    </row>
    <row r="708" spans="9:10" ht="15">
      <c r="I708" s="241"/>
    </row>
    <row r="709" spans="9:10" ht="15">
      <c r="I709" s="239"/>
    </row>
    <row r="710" spans="9:10" ht="15">
      <c r="I710" s="240"/>
    </row>
    <row r="711" spans="9:10" ht="15">
      <c r="I711" s="240"/>
    </row>
    <row r="712" spans="9:10" ht="15">
      <c r="I712" s="240"/>
    </row>
    <row r="713" spans="9:10" ht="15">
      <c r="I713" s="240"/>
    </row>
    <row r="714" spans="9:10" ht="15">
      <c r="I714" s="240"/>
    </row>
    <row r="715" spans="9:10" ht="15">
      <c r="I715" s="240"/>
    </row>
    <row r="716" spans="9:10" ht="15">
      <c r="I716" s="241"/>
    </row>
    <row r="717" spans="9:10" ht="15">
      <c r="I717" s="239"/>
      <c r="J717" s="6"/>
    </row>
    <row r="718" spans="9:10" ht="15">
      <c r="I718" s="240"/>
      <c r="J718" s="6"/>
    </row>
    <row r="719" spans="9:10" ht="15">
      <c r="I719" s="240"/>
      <c r="J719" s="6"/>
    </row>
    <row r="720" spans="9:10" ht="15">
      <c r="I720" s="240"/>
      <c r="J720" s="6"/>
    </row>
    <row r="721" spans="9:10" ht="15">
      <c r="I721" s="240"/>
      <c r="J721" s="6"/>
    </row>
    <row r="722" spans="9:10" ht="15">
      <c r="I722" s="240"/>
      <c r="J722" s="6"/>
    </row>
    <row r="723" spans="9:10" ht="15">
      <c r="I723" s="240"/>
      <c r="J723" s="6"/>
    </row>
    <row r="724" spans="9:10" ht="15">
      <c r="I724" s="241"/>
      <c r="J724" s="6"/>
    </row>
    <row r="725" spans="9:10" ht="15">
      <c r="I725" s="239"/>
      <c r="J725" s="6"/>
    </row>
    <row r="726" spans="9:10" ht="15">
      <c r="I726" s="240"/>
      <c r="J726" s="6"/>
    </row>
    <row r="727" spans="9:10" ht="15">
      <c r="I727" s="240"/>
      <c r="J727" s="6"/>
    </row>
    <row r="728" spans="9:10" ht="15">
      <c r="I728" s="240"/>
      <c r="J728" s="6"/>
    </row>
    <row r="729" spans="9:10" ht="15">
      <c r="I729" s="240"/>
      <c r="J729" s="6"/>
    </row>
    <row r="730" spans="9:10" ht="15">
      <c r="I730" s="240"/>
      <c r="J730" s="6"/>
    </row>
    <row r="731" spans="9:10" ht="15">
      <c r="I731" s="240"/>
      <c r="J731" s="6"/>
    </row>
    <row r="732" spans="9:10" ht="15">
      <c r="I732" s="241"/>
      <c r="J732" s="6"/>
    </row>
    <row r="733" spans="9:10" ht="15">
      <c r="I733" s="239"/>
      <c r="J733" s="6"/>
    </row>
    <row r="734" spans="9:10" ht="15">
      <c r="I734" s="240"/>
      <c r="J734" s="6"/>
    </row>
    <row r="735" spans="9:10" ht="15">
      <c r="I735" s="240"/>
      <c r="J735" s="6"/>
    </row>
    <row r="736" spans="9:10" ht="15">
      <c r="I736" s="240"/>
      <c r="J736" s="6"/>
    </row>
    <row r="737" spans="9:10" ht="15">
      <c r="I737" s="240"/>
      <c r="J737" s="6"/>
    </row>
    <row r="738" spans="9:10" ht="15">
      <c r="I738" s="240"/>
      <c r="J738" s="6"/>
    </row>
    <row r="739" spans="9:10" ht="15">
      <c r="I739" s="240"/>
      <c r="J739" s="6"/>
    </row>
    <row r="740" spans="9:10" ht="15">
      <c r="I740" s="241"/>
      <c r="J740" s="6"/>
    </row>
    <row r="741" spans="9:10" ht="15">
      <c r="I741" s="239"/>
      <c r="J741" s="6"/>
    </row>
    <row r="742" spans="9:10" ht="15">
      <c r="I742" s="240"/>
      <c r="J742" s="6"/>
    </row>
    <row r="743" spans="9:10" ht="15">
      <c r="I743" s="240"/>
      <c r="J743" s="6"/>
    </row>
    <row r="744" spans="9:10" ht="15">
      <c r="I744" s="240"/>
      <c r="J744" s="6"/>
    </row>
    <row r="745" spans="9:10" ht="15">
      <c r="I745" s="240"/>
      <c r="J745" s="6"/>
    </row>
    <row r="746" spans="9:10" ht="15">
      <c r="I746" s="240"/>
      <c r="J746" s="6"/>
    </row>
    <row r="747" spans="9:10" ht="15">
      <c r="I747" s="240"/>
      <c r="J747" s="6"/>
    </row>
    <row r="748" spans="9:10" ht="15">
      <c r="I748" s="241"/>
      <c r="J748" s="6"/>
    </row>
    <row r="749" spans="9:10" ht="15">
      <c r="I749" s="239"/>
      <c r="J749" s="6"/>
    </row>
    <row r="750" spans="9:10" ht="15">
      <c r="I750" s="240"/>
      <c r="J750" s="6"/>
    </row>
    <row r="751" spans="9:10" ht="15">
      <c r="I751" s="240"/>
      <c r="J751" s="6"/>
    </row>
    <row r="752" spans="9:10" ht="15">
      <c r="I752" s="240"/>
      <c r="J752" s="6"/>
    </row>
    <row r="753" spans="9:10" ht="15">
      <c r="I753" s="240"/>
      <c r="J753" s="6"/>
    </row>
    <row r="754" spans="9:10" ht="15">
      <c r="I754" s="240"/>
      <c r="J754" s="6"/>
    </row>
    <row r="755" spans="9:10" ht="15">
      <c r="I755" s="240"/>
      <c r="J755" s="6"/>
    </row>
    <row r="756" spans="9:10" ht="15">
      <c r="I756" s="241"/>
      <c r="J756" s="6"/>
    </row>
    <row r="757" spans="9:10" ht="15">
      <c r="I757" s="239"/>
      <c r="J757" s="6"/>
    </row>
    <row r="758" spans="9:10" ht="15">
      <c r="I758" s="240"/>
      <c r="J758" s="6"/>
    </row>
    <row r="759" spans="9:10" ht="15">
      <c r="I759" s="240"/>
      <c r="J759" s="6"/>
    </row>
    <row r="760" spans="9:10" ht="15">
      <c r="I760" s="240"/>
      <c r="J760" s="6"/>
    </row>
    <row r="761" spans="9:10" ht="15">
      <c r="I761" s="240"/>
      <c r="J761" s="6"/>
    </row>
    <row r="762" spans="9:10" ht="15">
      <c r="I762" s="240"/>
      <c r="J762" s="6"/>
    </row>
    <row r="763" spans="9:10" ht="15">
      <c r="I763" s="240"/>
      <c r="J763" s="6"/>
    </row>
    <row r="764" spans="9:10" ht="15">
      <c r="I764" s="241"/>
      <c r="J764" s="6"/>
    </row>
    <row r="765" spans="9:10" ht="15">
      <c r="I765" s="239"/>
    </row>
    <row r="766" spans="9:10" ht="15">
      <c r="I766" s="240"/>
    </row>
    <row r="767" spans="9:10" ht="15">
      <c r="I767" s="240"/>
    </row>
    <row r="768" spans="9:10" ht="15">
      <c r="I768" s="240"/>
    </row>
    <row r="769" spans="9:10" ht="15">
      <c r="I769" s="239"/>
      <c r="J769" s="6"/>
    </row>
    <row r="770" spans="9:10" ht="15">
      <c r="I770" s="240"/>
    </row>
    <row r="771" spans="9:10" ht="15">
      <c r="I771" s="240"/>
    </row>
    <row r="772" spans="9:10" ht="15">
      <c r="I772" s="240"/>
    </row>
    <row r="773" spans="9:10" ht="15">
      <c r="I773" s="240"/>
    </row>
    <row r="774" spans="9:10" ht="15">
      <c r="I774" s="240"/>
    </row>
    <row r="775" spans="9:10" ht="15">
      <c r="I775" s="240"/>
    </row>
    <row r="776" spans="9:10" ht="15">
      <c r="I776" s="241"/>
    </row>
    <row r="777" spans="9:10" ht="15">
      <c r="I777" s="239"/>
    </row>
    <row r="778" spans="9:10" ht="15">
      <c r="I778" s="240"/>
    </row>
    <row r="779" spans="9:10" ht="15">
      <c r="I779" s="240"/>
    </row>
    <row r="780" spans="9:10" ht="15">
      <c r="I780" s="240"/>
    </row>
    <row r="781" spans="9:10" ht="15">
      <c r="I781" s="240"/>
    </row>
    <row r="782" spans="9:10" ht="15">
      <c r="I782" s="240"/>
    </row>
    <row r="783" spans="9:10" ht="15">
      <c r="I783" s="240"/>
    </row>
    <row r="784" spans="9:10" ht="15">
      <c r="I784" s="241"/>
    </row>
    <row r="785" spans="9:9" ht="15">
      <c r="I785" s="239"/>
    </row>
    <row r="786" spans="9:9" ht="15">
      <c r="I786" s="240"/>
    </row>
    <row r="787" spans="9:9" ht="15">
      <c r="I787" s="240"/>
    </row>
    <row r="788" spans="9:9" ht="15">
      <c r="I788" s="240"/>
    </row>
    <row r="789" spans="9:9" ht="15">
      <c r="I789" s="240"/>
    </row>
    <row r="790" spans="9:9" ht="15">
      <c r="I790" s="240"/>
    </row>
    <row r="791" spans="9:9" ht="15">
      <c r="I791" s="240"/>
    </row>
    <row r="792" spans="9:9" ht="15">
      <c r="I792" s="241"/>
    </row>
    <row r="793" spans="9:9" ht="15">
      <c r="I793" s="239"/>
    </row>
    <row r="794" spans="9:9" ht="15">
      <c r="I794" s="240"/>
    </row>
    <row r="795" spans="9:9" ht="15">
      <c r="I795" s="240"/>
    </row>
    <row r="796" spans="9:9" ht="15">
      <c r="I796" s="240"/>
    </row>
    <row r="797" spans="9:9" ht="15">
      <c r="I797" s="240"/>
    </row>
    <row r="798" spans="9:9" ht="15">
      <c r="I798" s="240"/>
    </row>
    <row r="799" spans="9:9" ht="15">
      <c r="I799" s="240"/>
    </row>
    <row r="800" spans="9:9" ht="15">
      <c r="I800" s="241"/>
    </row>
    <row r="801" spans="9:10" ht="15">
      <c r="I801" s="239"/>
      <c r="J801" s="6"/>
    </row>
    <row r="802" spans="9:10" ht="15">
      <c r="I802" s="240"/>
    </row>
    <row r="803" spans="9:10" ht="15">
      <c r="I803" s="240"/>
    </row>
    <row r="804" spans="9:10" ht="15">
      <c r="I804" s="240"/>
    </row>
    <row r="805" spans="9:10" ht="15">
      <c r="I805" s="240"/>
    </row>
    <row r="806" spans="9:10" ht="15">
      <c r="I806" s="240"/>
    </row>
    <row r="807" spans="9:10" ht="15">
      <c r="I807" s="240"/>
      <c r="J807" s="6"/>
    </row>
    <row r="808" spans="9:10" ht="15">
      <c r="I808" s="241"/>
    </row>
    <row r="809" spans="9:10" ht="15">
      <c r="I809" s="239"/>
    </row>
    <row r="810" spans="9:10" ht="15">
      <c r="I810" s="240"/>
    </row>
    <row r="811" spans="9:10" ht="15">
      <c r="I811" s="240"/>
    </row>
    <row r="812" spans="9:10" ht="15">
      <c r="I812" s="240"/>
    </row>
    <row r="813" spans="9:10" ht="15">
      <c r="I813" s="240"/>
    </row>
    <row r="814" spans="9:10" ht="15">
      <c r="I814" s="240"/>
    </row>
    <row r="815" spans="9:10" ht="15">
      <c r="I815" s="240"/>
    </row>
    <row r="816" spans="9:10" ht="15">
      <c r="I816" s="241"/>
    </row>
    <row r="817" ht="15"/>
    <row r="818" ht="15"/>
    <row r="819" ht="15"/>
  </sheetData>
  <conditionalFormatting sqref="M2:M98">
    <cfRule type="cellIs" dxfId="7" priority="9" operator="equal">
      <formula>"n"</formula>
    </cfRule>
  </conditionalFormatting>
  <conditionalFormatting sqref="M100">
    <cfRule type="cellIs" dxfId="6" priority="8" operator="equal">
      <formula>"n"</formula>
    </cfRule>
  </conditionalFormatting>
  <conditionalFormatting sqref="M102:M103">
    <cfRule type="cellIs" dxfId="5" priority="6" operator="equal">
      <formula>"n"</formula>
    </cfRule>
  </conditionalFormatting>
  <conditionalFormatting sqref="M106">
    <cfRule type="cellIs" dxfId="4" priority="5" operator="equal">
      <formula>"n"</formula>
    </cfRule>
  </conditionalFormatting>
  <conditionalFormatting sqref="M108">
    <cfRule type="cellIs" dxfId="3" priority="4" operator="equal">
      <formula>"n"</formula>
    </cfRule>
  </conditionalFormatting>
  <conditionalFormatting sqref="M110">
    <cfRule type="cellIs" dxfId="2" priority="3" operator="equal">
      <formula>"n"</formula>
    </cfRule>
  </conditionalFormatting>
  <conditionalFormatting sqref="M112">
    <cfRule type="cellIs" dxfId="1" priority="2" operator="equal">
      <formula>"n"</formula>
    </cfRule>
  </conditionalFormatting>
  <conditionalFormatting sqref="M114">
    <cfRule type="cellIs" dxfId="0" priority="1" operator="equal">
      <formula>"n"</formula>
    </cfRule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6"/>
  <sheetViews>
    <sheetView workbookViewId="0">
      <pane xSplit="1" ySplit="1" topLeftCell="B2" activePane="bottomRight" state="frozen"/>
      <selection pane="bottomRight"/>
      <selection pane="bottomLeft" activeCell="A2" sqref="A2"/>
      <selection pane="topRight" activeCell="B1" sqref="B1"/>
    </sheetView>
  </sheetViews>
  <sheetFormatPr defaultRowHeight="14.45"/>
  <cols>
    <col min="1" max="1" width="14.140625" bestFit="1" customWidth="1"/>
    <col min="2" max="2" width="9.42578125" bestFit="1" customWidth="1"/>
    <col min="3" max="3" width="9" bestFit="1" customWidth="1"/>
    <col min="4" max="4" width="8.5703125" bestFit="1" customWidth="1"/>
    <col min="5" max="5" width="9.85546875" customWidth="1"/>
    <col min="6" max="6" width="30" bestFit="1" customWidth="1"/>
    <col min="7" max="7" width="31.140625" bestFit="1" customWidth="1"/>
    <col min="8" max="9" width="6.7109375" bestFit="1" customWidth="1"/>
  </cols>
  <sheetData>
    <row r="1" spans="1:9" ht="41.45">
      <c r="A1" s="27" t="s">
        <v>0</v>
      </c>
      <c r="B1" s="60" t="s">
        <v>12087</v>
      </c>
      <c r="C1" s="60" t="s">
        <v>11017</v>
      </c>
      <c r="D1" s="60" t="s">
        <v>11018</v>
      </c>
      <c r="E1" s="60" t="s">
        <v>11019</v>
      </c>
      <c r="F1" s="60" t="s">
        <v>13</v>
      </c>
      <c r="G1" s="60" t="s">
        <v>2191</v>
      </c>
      <c r="H1" s="60" t="s">
        <v>12088</v>
      </c>
      <c r="I1" s="60" t="s">
        <v>12089</v>
      </c>
    </row>
    <row r="2" spans="1:9">
      <c r="A2" t="s">
        <v>12090</v>
      </c>
      <c r="B2" t="s">
        <v>12091</v>
      </c>
      <c r="C2">
        <v>0</v>
      </c>
      <c r="D2">
        <v>0</v>
      </c>
      <c r="E2">
        <v>51</v>
      </c>
      <c r="F2" t="s">
        <v>12092</v>
      </c>
      <c r="H2" t="s">
        <v>12093</v>
      </c>
    </row>
    <row r="3" spans="1:9">
      <c r="A3" t="s">
        <v>12094</v>
      </c>
      <c r="B3" t="s">
        <v>12091</v>
      </c>
      <c r="C3">
        <v>180</v>
      </c>
      <c r="D3">
        <v>41.5</v>
      </c>
      <c r="E3">
        <v>95</v>
      </c>
      <c r="F3" t="s">
        <v>12095</v>
      </c>
      <c r="G3" s="62" t="s">
        <v>12096</v>
      </c>
      <c r="H3" t="s">
        <v>12093</v>
      </c>
    </row>
    <row r="4" spans="1:9">
      <c r="A4" t="s">
        <v>12097</v>
      </c>
      <c r="B4" t="s">
        <v>12091</v>
      </c>
      <c r="C4">
        <v>250</v>
      </c>
      <c r="D4">
        <v>42</v>
      </c>
      <c r="E4">
        <v>65</v>
      </c>
      <c r="F4" t="s">
        <v>12095</v>
      </c>
      <c r="G4" s="63"/>
      <c r="H4" t="s">
        <v>12093</v>
      </c>
    </row>
    <row r="5" spans="1:9">
      <c r="A5" t="s">
        <v>12098</v>
      </c>
      <c r="B5" t="s">
        <v>12091</v>
      </c>
      <c r="C5">
        <v>250</v>
      </c>
      <c r="D5">
        <v>45</v>
      </c>
      <c r="E5">
        <v>65</v>
      </c>
      <c r="F5" t="s">
        <v>12099</v>
      </c>
      <c r="G5" s="63"/>
      <c r="H5" t="s">
        <v>12093</v>
      </c>
    </row>
    <row r="6" spans="1:9">
      <c r="A6" t="s">
        <v>12100</v>
      </c>
      <c r="B6" t="s">
        <v>12091</v>
      </c>
      <c r="C6" s="176">
        <v>300</v>
      </c>
      <c r="D6" s="177">
        <v>46</v>
      </c>
      <c r="E6" s="178">
        <v>55</v>
      </c>
      <c r="G6" s="64"/>
      <c r="H6" t="s">
        <v>12093</v>
      </c>
    </row>
    <row r="7" spans="1:9">
      <c r="A7" t="s">
        <v>12101</v>
      </c>
      <c r="B7" t="s">
        <v>12091</v>
      </c>
      <c r="C7" s="179"/>
      <c r="E7" s="180"/>
      <c r="H7" t="s">
        <v>12093</v>
      </c>
    </row>
    <row r="8" spans="1:9">
      <c r="A8" t="s">
        <v>12102</v>
      </c>
      <c r="B8" t="s">
        <v>12091</v>
      </c>
      <c r="C8" s="181"/>
      <c r="D8" s="65"/>
      <c r="E8" s="182"/>
      <c r="H8" t="s">
        <v>12093</v>
      </c>
    </row>
    <row r="9" spans="1:9">
      <c r="A9" t="s">
        <v>12103</v>
      </c>
      <c r="B9" t="s">
        <v>12104</v>
      </c>
      <c r="C9">
        <v>250</v>
      </c>
      <c r="D9">
        <v>31</v>
      </c>
      <c r="E9">
        <v>86</v>
      </c>
      <c r="H9" t="s">
        <v>12093</v>
      </c>
      <c r="I9" t="s">
        <v>12093</v>
      </c>
    </row>
    <row r="10" spans="1:9">
      <c r="A10" t="s">
        <v>12105</v>
      </c>
      <c r="B10" t="s">
        <v>12104</v>
      </c>
      <c r="C10">
        <v>200</v>
      </c>
      <c r="D10">
        <v>31</v>
      </c>
      <c r="E10">
        <v>113</v>
      </c>
      <c r="I10" t="s">
        <v>12093</v>
      </c>
    </row>
    <row r="11" spans="1:9">
      <c r="A11" t="s">
        <v>12106</v>
      </c>
      <c r="B11" t="s">
        <v>12104</v>
      </c>
      <c r="C11">
        <v>0</v>
      </c>
      <c r="D11">
        <v>0</v>
      </c>
      <c r="E11">
        <v>11</v>
      </c>
      <c r="F11" s="6" t="s">
        <v>12107</v>
      </c>
    </row>
    <row r="12" spans="1:9">
      <c r="A12" t="s">
        <v>12108</v>
      </c>
      <c r="B12" t="s">
        <v>12104</v>
      </c>
      <c r="C12">
        <v>0</v>
      </c>
      <c r="D12">
        <v>0</v>
      </c>
      <c r="I12" t="s">
        <v>12093</v>
      </c>
    </row>
    <row r="13" spans="1:9">
      <c r="A13" t="s">
        <v>12109</v>
      </c>
      <c r="B13" t="s">
        <v>12104</v>
      </c>
      <c r="C13">
        <v>300</v>
      </c>
      <c r="D13">
        <v>31</v>
      </c>
      <c r="E13">
        <v>82</v>
      </c>
      <c r="F13" t="s">
        <v>12110</v>
      </c>
      <c r="I13" t="s">
        <v>12093</v>
      </c>
    </row>
    <row r="14" spans="1:9">
      <c r="A14" t="s">
        <v>12111</v>
      </c>
      <c r="B14" t="s">
        <v>12104</v>
      </c>
      <c r="C14">
        <v>150</v>
      </c>
      <c r="D14">
        <v>31</v>
      </c>
      <c r="E14">
        <v>129</v>
      </c>
      <c r="I14" t="s">
        <v>12093</v>
      </c>
    </row>
    <row r="15" spans="1:9">
      <c r="A15" t="s">
        <v>12112</v>
      </c>
      <c r="B15" t="s">
        <v>12104</v>
      </c>
      <c r="C15">
        <v>100</v>
      </c>
      <c r="D15">
        <v>31</v>
      </c>
      <c r="E15">
        <v>132</v>
      </c>
      <c r="I15" t="s">
        <v>12093</v>
      </c>
    </row>
    <row r="16" spans="1:9">
      <c r="A16" t="s">
        <v>12113</v>
      </c>
      <c r="B16" t="s">
        <v>12104</v>
      </c>
      <c r="C16">
        <v>-250</v>
      </c>
      <c r="D16">
        <v>-31</v>
      </c>
      <c r="E16">
        <v>92</v>
      </c>
      <c r="I16" t="s">
        <v>12093</v>
      </c>
    </row>
  </sheetData>
  <pageMargins left="0.7" right="0.7" top="0.75" bottom="0.75" header="0.3" footer="0.3"/>
  <pageSetup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911D2-88AE-4149-ABAD-1D68D3F9A85C}">
  <dimension ref="A1:L176"/>
  <sheetViews>
    <sheetView workbookViewId="0">
      <pane xSplit="1" ySplit="1" topLeftCell="B117" activePane="bottomRight" state="frozen"/>
      <selection pane="bottomRight" activeCell="A117" sqref="A117"/>
      <selection pane="bottomLeft" activeCell="A2" sqref="A2"/>
      <selection pane="topRight" activeCell="B1" sqref="B1"/>
    </sheetView>
  </sheetViews>
  <sheetFormatPr defaultRowHeight="14.45"/>
  <cols>
    <col min="1" max="1" width="14.140625" bestFit="1" customWidth="1"/>
    <col min="7" max="7" width="19.5703125" bestFit="1" customWidth="1"/>
    <col min="8" max="8" width="15.28515625" bestFit="1" customWidth="1"/>
    <col min="10" max="10" width="14.140625" bestFit="1" customWidth="1"/>
  </cols>
  <sheetData>
    <row r="1" spans="1:12" ht="41.45">
      <c r="A1" s="27" t="s">
        <v>0</v>
      </c>
      <c r="B1" s="60" t="s">
        <v>12087</v>
      </c>
      <c r="C1" s="60" t="s">
        <v>11017</v>
      </c>
      <c r="D1" s="60" t="s">
        <v>12114</v>
      </c>
      <c r="E1" s="60" t="s">
        <v>11019</v>
      </c>
      <c r="F1" s="60" t="s">
        <v>12115</v>
      </c>
      <c r="G1" s="60" t="s">
        <v>13</v>
      </c>
      <c r="H1" s="60" t="s">
        <v>2191</v>
      </c>
      <c r="I1" s="60" t="s">
        <v>12088</v>
      </c>
      <c r="J1" s="60" t="s">
        <v>12089</v>
      </c>
      <c r="L1" s="60" t="s">
        <v>12116</v>
      </c>
    </row>
    <row r="2" spans="1:12">
      <c r="A2" t="s">
        <v>12117</v>
      </c>
      <c r="B2" t="s">
        <v>12104</v>
      </c>
      <c r="C2">
        <v>0</v>
      </c>
      <c r="D2">
        <v>0</v>
      </c>
      <c r="E2">
        <v>60</v>
      </c>
      <c r="F2">
        <v>0</v>
      </c>
      <c r="G2" s="2" t="s">
        <v>12118</v>
      </c>
      <c r="H2" t="s">
        <v>12119</v>
      </c>
      <c r="I2" t="s">
        <v>12093</v>
      </c>
    </row>
    <row r="3" spans="1:12">
      <c r="A3" t="s">
        <v>12120</v>
      </c>
      <c r="B3" t="s">
        <v>12104</v>
      </c>
      <c r="C3">
        <v>0</v>
      </c>
      <c r="D3">
        <v>0</v>
      </c>
      <c r="E3">
        <v>60</v>
      </c>
      <c r="F3">
        <v>0</v>
      </c>
      <c r="G3" s="2" t="s">
        <v>12118</v>
      </c>
      <c r="I3" t="s">
        <v>12093</v>
      </c>
    </row>
    <row r="4" spans="1:12">
      <c r="A4" t="s">
        <v>12121</v>
      </c>
      <c r="B4" t="s">
        <v>12104</v>
      </c>
      <c r="C4">
        <v>0</v>
      </c>
      <c r="D4">
        <v>0</v>
      </c>
      <c r="E4">
        <v>60</v>
      </c>
      <c r="F4">
        <v>0</v>
      </c>
      <c r="G4" s="2" t="s">
        <v>12118</v>
      </c>
      <c r="I4" t="s">
        <v>12093</v>
      </c>
    </row>
    <row r="5" spans="1:12" s="6" customFormat="1">
      <c r="A5" s="6" t="s">
        <v>12122</v>
      </c>
      <c r="B5" s="6" t="s">
        <v>12104</v>
      </c>
      <c r="C5" s="6">
        <v>0</v>
      </c>
      <c r="D5" s="6">
        <v>0</v>
      </c>
      <c r="F5">
        <v>0</v>
      </c>
      <c r="G5" s="250" t="s">
        <v>1853</v>
      </c>
    </row>
    <row r="6" spans="1:12" s="6" customFormat="1">
      <c r="A6" s="6" t="s">
        <v>12123</v>
      </c>
      <c r="B6" s="6" t="s">
        <v>12104</v>
      </c>
      <c r="C6" s="6">
        <v>0</v>
      </c>
      <c r="D6" s="6">
        <v>0</v>
      </c>
      <c r="F6">
        <v>0</v>
      </c>
      <c r="G6" s="250" t="s">
        <v>1853</v>
      </c>
    </row>
    <row r="7" spans="1:12" s="6" customFormat="1">
      <c r="A7" s="6" t="s">
        <v>12124</v>
      </c>
      <c r="B7" s="6" t="s">
        <v>12104</v>
      </c>
      <c r="C7" s="6">
        <v>0</v>
      </c>
      <c r="D7" s="6">
        <v>0</v>
      </c>
      <c r="F7">
        <v>0</v>
      </c>
      <c r="G7" s="250" t="s">
        <v>1853</v>
      </c>
    </row>
    <row r="8" spans="1:12" s="6" customFormat="1">
      <c r="A8" s="6" t="s">
        <v>12125</v>
      </c>
      <c r="B8" s="6" t="s">
        <v>12104</v>
      </c>
      <c r="C8" s="6">
        <v>0</v>
      </c>
      <c r="D8" s="6">
        <v>0</v>
      </c>
      <c r="F8">
        <v>0</v>
      </c>
      <c r="G8" s="250" t="s">
        <v>1853</v>
      </c>
    </row>
    <row r="9" spans="1:12" s="6" customFormat="1">
      <c r="A9" s="6" t="s">
        <v>12126</v>
      </c>
      <c r="B9" s="6" t="s">
        <v>12104</v>
      </c>
      <c r="C9" s="6">
        <v>0</v>
      </c>
      <c r="D9" s="6">
        <v>0</v>
      </c>
      <c r="F9">
        <v>0</v>
      </c>
      <c r="G9" s="250" t="s">
        <v>1853</v>
      </c>
    </row>
    <row r="10" spans="1:12" s="6" customFormat="1">
      <c r="A10" s="6" t="s">
        <v>12127</v>
      </c>
      <c r="B10" s="6" t="s">
        <v>12104</v>
      </c>
      <c r="C10" s="6">
        <v>0</v>
      </c>
      <c r="D10" s="6">
        <v>0</v>
      </c>
      <c r="F10">
        <v>0</v>
      </c>
      <c r="G10" s="250" t="s">
        <v>1853</v>
      </c>
    </row>
    <row r="11" spans="1:12">
      <c r="A11" t="s">
        <v>12128</v>
      </c>
      <c r="B11" t="s">
        <v>12104</v>
      </c>
      <c r="C11">
        <v>0</v>
      </c>
      <c r="D11">
        <v>0</v>
      </c>
      <c r="E11">
        <v>60</v>
      </c>
      <c r="F11">
        <v>0</v>
      </c>
      <c r="G11" s="2" t="s">
        <v>12118</v>
      </c>
      <c r="I11" t="s">
        <v>12093</v>
      </c>
    </row>
    <row r="12" spans="1:12">
      <c r="A12" t="s">
        <v>12129</v>
      </c>
      <c r="B12" t="s">
        <v>12104</v>
      </c>
      <c r="C12">
        <v>0</v>
      </c>
      <c r="D12">
        <v>0</v>
      </c>
      <c r="E12">
        <v>60</v>
      </c>
      <c r="F12">
        <v>0</v>
      </c>
      <c r="G12" s="2" t="s">
        <v>12118</v>
      </c>
      <c r="H12" t="s">
        <v>12130</v>
      </c>
      <c r="I12" t="s">
        <v>12093</v>
      </c>
    </row>
    <row r="13" spans="1:12">
      <c r="A13" t="s">
        <v>12131</v>
      </c>
      <c r="B13" t="s">
        <v>12104</v>
      </c>
      <c r="C13">
        <v>0</v>
      </c>
      <c r="D13">
        <v>0</v>
      </c>
      <c r="E13">
        <v>60</v>
      </c>
      <c r="F13">
        <v>0</v>
      </c>
      <c r="H13" t="s">
        <v>12132</v>
      </c>
      <c r="I13" t="s">
        <v>12093</v>
      </c>
    </row>
    <row r="14" spans="1:12" s="6" customFormat="1">
      <c r="A14" s="6" t="s">
        <v>12133</v>
      </c>
      <c r="B14" s="6" t="s">
        <v>12104</v>
      </c>
      <c r="C14" s="6">
        <v>0</v>
      </c>
      <c r="D14" s="6">
        <v>0</v>
      </c>
      <c r="F14">
        <v>0</v>
      </c>
      <c r="G14" s="6" t="s">
        <v>1853</v>
      </c>
    </row>
    <row r="15" spans="1:12">
      <c r="A15" t="s">
        <v>12134</v>
      </c>
      <c r="B15" t="s">
        <v>12104</v>
      </c>
      <c r="C15">
        <v>0</v>
      </c>
      <c r="D15">
        <v>0</v>
      </c>
      <c r="E15">
        <v>60</v>
      </c>
      <c r="F15">
        <v>0</v>
      </c>
      <c r="H15" t="s">
        <v>12135</v>
      </c>
      <c r="I15" t="s">
        <v>12093</v>
      </c>
    </row>
    <row r="16" spans="1:12">
      <c r="A16" t="s">
        <v>12136</v>
      </c>
      <c r="B16" t="s">
        <v>12104</v>
      </c>
      <c r="C16">
        <v>0</v>
      </c>
      <c r="D16">
        <v>0</v>
      </c>
      <c r="E16">
        <v>60</v>
      </c>
      <c r="F16">
        <v>0</v>
      </c>
      <c r="H16" t="s">
        <v>12137</v>
      </c>
      <c r="I16" t="s">
        <v>12093</v>
      </c>
      <c r="K16" t="str">
        <f t="shared" ref="K16:K47" si="0">"condorProc.py --series "&amp;A16&amp;"  --donoise --dumps a --procenv environments/pymidas_r72.env"</f>
        <v>condorProc.py --series 07200728_0905  --donoise --dumps a --procenv environments/pymidas_r72.env</v>
      </c>
    </row>
    <row r="17" spans="1:11">
      <c r="A17" t="s">
        <v>12138</v>
      </c>
      <c r="B17" t="s">
        <v>12104</v>
      </c>
      <c r="C17">
        <v>5</v>
      </c>
      <c r="D17">
        <v>3.1E-2</v>
      </c>
      <c r="E17">
        <v>60</v>
      </c>
      <c r="F17">
        <v>0</v>
      </c>
      <c r="I17" t="s">
        <v>12093</v>
      </c>
      <c r="K17" t="str">
        <f t="shared" si="0"/>
        <v>condorProc.py --series 07200728_1423  --donoise --dumps a --procenv environments/pymidas_r72.env</v>
      </c>
    </row>
    <row r="18" spans="1:11">
      <c r="A18" t="s">
        <v>12139</v>
      </c>
      <c r="B18" t="s">
        <v>12104</v>
      </c>
      <c r="C18">
        <v>5</v>
      </c>
      <c r="D18">
        <v>2.5999999999999999E-2</v>
      </c>
      <c r="E18">
        <v>60</v>
      </c>
      <c r="F18">
        <v>0</v>
      </c>
      <c r="I18" t="s">
        <v>12093</v>
      </c>
      <c r="K18" t="str">
        <f t="shared" si="0"/>
        <v>condorProc.py --series 07200728_2136  --donoise --dumps a --procenv environments/pymidas_r72.env</v>
      </c>
    </row>
    <row r="19" spans="1:11">
      <c r="A19" t="s">
        <v>12140</v>
      </c>
      <c r="B19" t="s">
        <v>12104</v>
      </c>
      <c r="C19">
        <v>5</v>
      </c>
      <c r="D19">
        <v>2.1399999999999999E-2</v>
      </c>
      <c r="E19">
        <v>60</v>
      </c>
      <c r="F19">
        <v>0</v>
      </c>
      <c r="I19" t="s">
        <v>12093</v>
      </c>
      <c r="K19" t="str">
        <f t="shared" si="0"/>
        <v>condorProc.py --series 07200729_0931  --donoise --dumps a --procenv environments/pymidas_r72.env</v>
      </c>
    </row>
    <row r="20" spans="1:11">
      <c r="A20" t="s">
        <v>12141</v>
      </c>
      <c r="B20" t="s">
        <v>12104</v>
      </c>
      <c r="C20">
        <v>-5</v>
      </c>
      <c r="D20">
        <v>2.1399999999999999E-2</v>
      </c>
      <c r="E20">
        <v>60</v>
      </c>
      <c r="F20">
        <v>0</v>
      </c>
      <c r="I20" t="s">
        <v>12093</v>
      </c>
      <c r="K20" t="str">
        <f t="shared" si="0"/>
        <v>condorProc.py --series 07200729_1515  --donoise --dumps a --procenv environments/pymidas_r72.env</v>
      </c>
    </row>
    <row r="21" spans="1:11">
      <c r="A21" t="s">
        <v>12142</v>
      </c>
      <c r="B21" t="s">
        <v>12104</v>
      </c>
      <c r="C21" t="s">
        <v>12143</v>
      </c>
      <c r="D21">
        <v>0</v>
      </c>
      <c r="E21" s="54" t="s">
        <v>12144</v>
      </c>
      <c r="F21">
        <v>0</v>
      </c>
      <c r="I21" t="s">
        <v>12093</v>
      </c>
      <c r="K21" t="str">
        <f t="shared" si="0"/>
        <v>condorProc.py --series 07200729_2024  --donoise --dumps a --procenv environments/pymidas_r72.env</v>
      </c>
    </row>
    <row r="22" spans="1:11">
      <c r="A22" t="s">
        <v>12145</v>
      </c>
      <c r="B22" t="s">
        <v>12104</v>
      </c>
      <c r="C22" t="s">
        <v>12146</v>
      </c>
      <c r="D22">
        <v>0</v>
      </c>
      <c r="E22" s="54" t="s">
        <v>12144</v>
      </c>
      <c r="F22">
        <v>0</v>
      </c>
      <c r="I22" t="s">
        <v>12093</v>
      </c>
      <c r="K22" t="str">
        <f t="shared" si="0"/>
        <v>condorProc.py --series 07200730_1044  --donoise --dumps a --procenv environments/pymidas_r72.env</v>
      </c>
    </row>
    <row r="23" spans="1:11">
      <c r="A23" t="s">
        <v>12147</v>
      </c>
      <c r="B23" t="s">
        <v>12104</v>
      </c>
      <c r="C23">
        <v>5</v>
      </c>
      <c r="D23">
        <v>2.1399999999999999E-2</v>
      </c>
      <c r="E23" t="s">
        <v>12148</v>
      </c>
      <c r="F23">
        <v>0</v>
      </c>
      <c r="H23" t="s">
        <v>12149</v>
      </c>
      <c r="I23" t="s">
        <v>12093</v>
      </c>
      <c r="K23" t="str">
        <f t="shared" si="0"/>
        <v>condorProc.py --series 07200730_1745  --donoise --dumps a --procenv environments/pymidas_r72.env</v>
      </c>
    </row>
    <row r="24" spans="1:11">
      <c r="A24" t="s">
        <v>12150</v>
      </c>
      <c r="B24" t="s">
        <v>12104</v>
      </c>
      <c r="C24">
        <v>5</v>
      </c>
      <c r="D24">
        <v>2.1399999999999999E-2</v>
      </c>
      <c r="E24" t="s">
        <v>12151</v>
      </c>
      <c r="F24">
        <v>0</v>
      </c>
      <c r="H24" t="s">
        <v>12152</v>
      </c>
      <c r="I24" t="s">
        <v>12093</v>
      </c>
      <c r="K24" t="str">
        <f t="shared" si="0"/>
        <v>condorProc.py --series 07200730_2054  --donoise --dumps a --procenv environments/pymidas_r72.env</v>
      </c>
    </row>
    <row r="25" spans="1:11">
      <c r="A25" t="s">
        <v>12153</v>
      </c>
      <c r="B25" t="s">
        <v>12104</v>
      </c>
      <c r="C25">
        <v>5</v>
      </c>
      <c r="D25">
        <v>2.1399999999999999E-2</v>
      </c>
      <c r="E25">
        <v>60</v>
      </c>
      <c r="F25">
        <v>0</v>
      </c>
      <c r="H25" t="s">
        <v>12152</v>
      </c>
      <c r="I25" t="s">
        <v>12093</v>
      </c>
      <c r="K25" t="str">
        <f t="shared" si="0"/>
        <v>condorProc.py --series 07200731_0806  --donoise --dumps a --procenv environments/pymidas_r72.env</v>
      </c>
    </row>
    <row r="26" spans="1:11">
      <c r="A26" t="s">
        <v>12154</v>
      </c>
      <c r="B26" t="s">
        <v>12104</v>
      </c>
      <c r="C26">
        <v>5</v>
      </c>
      <c r="D26">
        <v>2.1399999999999999E-2</v>
      </c>
      <c r="E26">
        <v>60</v>
      </c>
      <c r="F26">
        <v>0</v>
      </c>
      <c r="H26" t="s">
        <v>12155</v>
      </c>
      <c r="I26" t="s">
        <v>12093</v>
      </c>
      <c r="K26" t="str">
        <f t="shared" si="0"/>
        <v>condorProc.py --series 07200731_1150  --donoise --dumps a --procenv environments/pymidas_r72.env</v>
      </c>
    </row>
    <row r="27" spans="1:11">
      <c r="A27" t="s">
        <v>12156</v>
      </c>
      <c r="B27" t="s">
        <v>12104</v>
      </c>
      <c r="C27">
        <v>5</v>
      </c>
      <c r="D27">
        <v>2.7199999999999998E-2</v>
      </c>
      <c r="E27">
        <v>60</v>
      </c>
      <c r="F27">
        <v>0</v>
      </c>
      <c r="H27" t="s">
        <v>12157</v>
      </c>
      <c r="I27" t="s">
        <v>12093</v>
      </c>
      <c r="K27" t="str">
        <f t="shared" si="0"/>
        <v>condorProc.py --series 07200731_1703  --donoise --dumps a --procenv environments/pymidas_r72.env</v>
      </c>
    </row>
    <row r="28" spans="1:11">
      <c r="A28" t="s">
        <v>12158</v>
      </c>
      <c r="B28" t="s">
        <v>12104</v>
      </c>
      <c r="C28">
        <v>5</v>
      </c>
      <c r="D28">
        <v>2.7199999999999998E-2</v>
      </c>
      <c r="E28">
        <v>60</v>
      </c>
      <c r="F28">
        <v>0</v>
      </c>
      <c r="H28" t="s">
        <v>12157</v>
      </c>
      <c r="I28" t="s">
        <v>12093</v>
      </c>
      <c r="K28" t="str">
        <f t="shared" si="0"/>
        <v>condorProc.py --series 07200731_2217  --donoise --dumps a --procenv environments/pymidas_r72.env</v>
      </c>
    </row>
    <row r="29" spans="1:11">
      <c r="A29" t="s">
        <v>12159</v>
      </c>
      <c r="B29" t="s">
        <v>12104</v>
      </c>
      <c r="C29">
        <v>5</v>
      </c>
      <c r="D29">
        <v>2.35E-2</v>
      </c>
      <c r="E29">
        <v>60</v>
      </c>
      <c r="F29">
        <v>0</v>
      </c>
      <c r="H29" t="s">
        <v>12157</v>
      </c>
      <c r="I29" t="s">
        <v>12093</v>
      </c>
      <c r="K29" t="str">
        <f t="shared" si="0"/>
        <v>condorProc.py --series 07200801_1056  --donoise --dumps a --procenv environments/pymidas_r72.env</v>
      </c>
    </row>
    <row r="30" spans="1:11">
      <c r="A30" t="s">
        <v>12160</v>
      </c>
      <c r="B30" t="s">
        <v>12104</v>
      </c>
      <c r="C30">
        <v>5</v>
      </c>
      <c r="D30">
        <v>2.35E-2</v>
      </c>
      <c r="E30">
        <v>60</v>
      </c>
      <c r="F30">
        <v>0</v>
      </c>
      <c r="H30" t="s">
        <v>12157</v>
      </c>
      <c r="K30" t="str">
        <f t="shared" si="0"/>
        <v>condorProc.py --series 07200801_1524  --donoise --dumps a --procenv environments/pymidas_r72.env</v>
      </c>
    </row>
    <row r="31" spans="1:11">
      <c r="A31" t="s">
        <v>12161</v>
      </c>
      <c r="B31" t="s">
        <v>12104</v>
      </c>
      <c r="C31">
        <v>5</v>
      </c>
      <c r="D31">
        <v>2.23E-2</v>
      </c>
      <c r="E31">
        <v>60</v>
      </c>
      <c r="F31">
        <v>0</v>
      </c>
      <c r="H31" t="s">
        <v>12162</v>
      </c>
      <c r="I31" t="s">
        <v>12093</v>
      </c>
      <c r="K31" t="str">
        <f t="shared" si="0"/>
        <v>condorProc.py --series 07200801_2046  --donoise --dumps a --procenv environments/pymidas_r72.env</v>
      </c>
    </row>
    <row r="32" spans="1:11">
      <c r="A32" t="s">
        <v>12163</v>
      </c>
      <c r="B32" t="s">
        <v>12104</v>
      </c>
      <c r="C32">
        <v>10</v>
      </c>
      <c r="D32">
        <v>2.23E-2</v>
      </c>
      <c r="E32">
        <v>60</v>
      </c>
      <c r="F32">
        <v>0</v>
      </c>
      <c r="H32" t="s">
        <v>12164</v>
      </c>
      <c r="I32" t="s">
        <v>12093</v>
      </c>
      <c r="K32" t="str">
        <f t="shared" si="0"/>
        <v>condorProc.py --series 07200802_1146  --donoise --dumps a --procenv environments/pymidas_r72.env</v>
      </c>
    </row>
    <row r="33" spans="1:11">
      <c r="A33" t="s">
        <v>12165</v>
      </c>
      <c r="B33" t="s">
        <v>12104</v>
      </c>
      <c r="C33">
        <v>-10</v>
      </c>
      <c r="D33">
        <v>2.23E-2</v>
      </c>
      <c r="E33">
        <v>60</v>
      </c>
      <c r="F33">
        <v>0</v>
      </c>
      <c r="I33" t="s">
        <v>12093</v>
      </c>
      <c r="K33" t="str">
        <f t="shared" si="0"/>
        <v>condorProc.py --series 07200802_1840  --donoise --dumps a --procenv environments/pymidas_r72.env</v>
      </c>
    </row>
    <row r="34" spans="1:11">
      <c r="A34" t="s">
        <v>12166</v>
      </c>
      <c r="B34" t="s">
        <v>12104</v>
      </c>
      <c r="C34">
        <v>-10</v>
      </c>
      <c r="D34">
        <v>2.23E-2</v>
      </c>
      <c r="E34">
        <v>60</v>
      </c>
      <c r="F34">
        <v>0</v>
      </c>
      <c r="I34" t="s">
        <v>12093</v>
      </c>
      <c r="K34" t="str">
        <f t="shared" si="0"/>
        <v>condorProc.py --series 07200802_2145  --donoise --dumps a --procenv environments/pymidas_r72.env</v>
      </c>
    </row>
    <row r="35" spans="1:11">
      <c r="A35" t="s">
        <v>12167</v>
      </c>
      <c r="B35" t="s">
        <v>12104</v>
      </c>
      <c r="C35">
        <v>-10</v>
      </c>
      <c r="D35">
        <v>2.3900000000000001E-2</v>
      </c>
      <c r="E35">
        <v>60</v>
      </c>
      <c r="F35">
        <v>0</v>
      </c>
      <c r="I35" t="s">
        <v>12093</v>
      </c>
      <c r="K35" t="str">
        <f t="shared" si="0"/>
        <v>condorProc.py --series 07200803_1614  --donoise --dumps a --procenv environments/pymidas_r72.env</v>
      </c>
    </row>
    <row r="36" spans="1:11">
      <c r="A36" t="s">
        <v>12168</v>
      </c>
      <c r="B36" t="s">
        <v>12104</v>
      </c>
      <c r="C36">
        <v>-10</v>
      </c>
      <c r="D36">
        <v>2.3900000000000001E-2</v>
      </c>
      <c r="E36">
        <v>60</v>
      </c>
      <c r="F36">
        <v>0</v>
      </c>
      <c r="I36" t="s">
        <v>12093</v>
      </c>
      <c r="K36" t="str">
        <f t="shared" si="0"/>
        <v>condorProc.py --series 07200803_1947  --donoise --dumps a --procenv environments/pymidas_r72.env</v>
      </c>
    </row>
    <row r="37" spans="1:11">
      <c r="A37" t="s">
        <v>12169</v>
      </c>
      <c r="B37" t="s">
        <v>12104</v>
      </c>
      <c r="C37">
        <v>-10</v>
      </c>
      <c r="D37">
        <v>2.3900000000000001E-2</v>
      </c>
      <c r="E37">
        <v>60</v>
      </c>
      <c r="F37">
        <v>0</v>
      </c>
      <c r="I37" t="s">
        <v>12093</v>
      </c>
      <c r="K37" t="str">
        <f t="shared" si="0"/>
        <v>condorProc.py --series 07200803_2324  --donoise --dumps a --procenv environments/pymidas_r72.env</v>
      </c>
    </row>
    <row r="38" spans="1:11">
      <c r="A38" t="s">
        <v>12170</v>
      </c>
      <c r="B38" t="s">
        <v>12104</v>
      </c>
      <c r="C38" s="251" t="s">
        <v>12171</v>
      </c>
      <c r="D38">
        <v>0</v>
      </c>
      <c r="E38">
        <v>60</v>
      </c>
      <c r="F38">
        <v>0</v>
      </c>
      <c r="I38" t="s">
        <v>12093</v>
      </c>
      <c r="K38" t="str">
        <f t="shared" si="0"/>
        <v>condorProc.py --series 07200804_0630  --donoise --dumps a --procenv environments/pymidas_r72.env</v>
      </c>
    </row>
    <row r="39" spans="1:11">
      <c r="A39" t="s">
        <v>12172</v>
      </c>
      <c r="B39" t="s">
        <v>12104</v>
      </c>
      <c r="C39">
        <v>-15</v>
      </c>
      <c r="D39">
        <v>2.3900000000000001E-2</v>
      </c>
      <c r="E39">
        <v>60</v>
      </c>
      <c r="F39">
        <v>0</v>
      </c>
      <c r="I39" t="s">
        <v>12093</v>
      </c>
      <c r="K39" t="str">
        <f t="shared" si="0"/>
        <v>condorProc.py --series 07200804_1212  --donoise --dumps a --procenv environments/pymidas_r72.env</v>
      </c>
    </row>
    <row r="40" spans="1:11">
      <c r="A40" t="s">
        <v>12173</v>
      </c>
      <c r="B40" t="s">
        <v>12104</v>
      </c>
      <c r="C40">
        <v>15</v>
      </c>
      <c r="D40">
        <v>2.23E-2</v>
      </c>
      <c r="E40">
        <v>60</v>
      </c>
      <c r="F40">
        <v>0</v>
      </c>
      <c r="I40" t="s">
        <v>12093</v>
      </c>
      <c r="K40" t="str">
        <f t="shared" si="0"/>
        <v>condorProc.py --series 07200804_2322  --donoise --dumps a --procenv environments/pymidas_r72.env</v>
      </c>
    </row>
    <row r="41" spans="1:11">
      <c r="A41" t="s">
        <v>12174</v>
      </c>
      <c r="B41" t="s">
        <v>12104</v>
      </c>
      <c r="C41">
        <v>15</v>
      </c>
      <c r="D41">
        <v>2.23E-2</v>
      </c>
      <c r="E41">
        <v>60</v>
      </c>
      <c r="F41">
        <v>0</v>
      </c>
      <c r="I41" t="s">
        <v>12093</v>
      </c>
      <c r="K41" t="str">
        <f t="shared" si="0"/>
        <v>condorProc.py --series 07200805_0925  --donoise --dumps a --procenv environments/pymidas_r72.env</v>
      </c>
    </row>
    <row r="42" spans="1:11">
      <c r="A42" t="s">
        <v>12175</v>
      </c>
      <c r="B42" t="s">
        <v>12104</v>
      </c>
      <c r="C42">
        <v>15</v>
      </c>
      <c r="D42">
        <v>2.92E-2</v>
      </c>
      <c r="E42">
        <v>60</v>
      </c>
      <c r="F42">
        <v>0</v>
      </c>
      <c r="G42" t="s">
        <v>12176</v>
      </c>
      <c r="I42" t="s">
        <v>12093</v>
      </c>
      <c r="K42" t="str">
        <f t="shared" si="0"/>
        <v>condorProc.py --series 07200805_1318  --donoise --dumps a --procenv environments/pymidas_r72.env</v>
      </c>
    </row>
    <row r="43" spans="1:11">
      <c r="A43" t="s">
        <v>12177</v>
      </c>
      <c r="B43" t="s">
        <v>12104</v>
      </c>
      <c r="C43">
        <v>20</v>
      </c>
      <c r="D43">
        <v>2.92E-2</v>
      </c>
      <c r="E43">
        <v>60</v>
      </c>
      <c r="F43">
        <v>0</v>
      </c>
      <c r="I43" t="s">
        <v>12093</v>
      </c>
      <c r="K43" t="str">
        <f t="shared" si="0"/>
        <v>condorProc.py --series 07200805_1918  --donoise --dumps a --procenv environments/pymidas_r72.env</v>
      </c>
    </row>
    <row r="44" spans="1:11">
      <c r="A44" t="s">
        <v>12178</v>
      </c>
      <c r="B44" t="s">
        <v>12104</v>
      </c>
      <c r="C44">
        <v>20</v>
      </c>
      <c r="D44">
        <v>2.47E-2</v>
      </c>
      <c r="E44">
        <v>60</v>
      </c>
      <c r="F44">
        <v>0</v>
      </c>
      <c r="I44" t="s">
        <v>12093</v>
      </c>
      <c r="K44" t="str">
        <f t="shared" si="0"/>
        <v>condorProc.py --series 07200805_2239  --donoise --dumps a --procenv environments/pymidas_r72.env</v>
      </c>
    </row>
    <row r="45" spans="1:11">
      <c r="A45" t="s">
        <v>12179</v>
      </c>
      <c r="B45" t="s">
        <v>12104</v>
      </c>
      <c r="C45">
        <v>-20</v>
      </c>
      <c r="D45">
        <v>2.3900000000000001E-2</v>
      </c>
      <c r="E45">
        <v>60</v>
      </c>
      <c r="F45">
        <v>0</v>
      </c>
      <c r="I45" t="s">
        <v>12093</v>
      </c>
      <c r="K45" t="str">
        <f t="shared" si="0"/>
        <v>condorProc.py --series 07200806_2123  --donoise --dumps a --procenv environments/pymidas_r72.env</v>
      </c>
    </row>
    <row r="46" spans="1:11">
      <c r="A46" t="s">
        <v>12180</v>
      </c>
      <c r="B46" t="s">
        <v>12104</v>
      </c>
      <c r="C46">
        <v>-20</v>
      </c>
      <c r="D46">
        <v>2.4899999999999999E-2</v>
      </c>
      <c r="E46">
        <v>60</v>
      </c>
      <c r="F46">
        <v>0</v>
      </c>
      <c r="I46" t="s">
        <v>12093</v>
      </c>
      <c r="K46" t="str">
        <f t="shared" si="0"/>
        <v>condorProc.py --series 07200807_1026  --donoise --dumps a --procenv environments/pymidas_r72.env</v>
      </c>
    </row>
    <row r="47" spans="1:11">
      <c r="A47" t="s">
        <v>12181</v>
      </c>
      <c r="B47" t="s">
        <v>12104</v>
      </c>
      <c r="C47">
        <v>-20</v>
      </c>
      <c r="D47">
        <v>2.5999999999999999E-2</v>
      </c>
      <c r="E47">
        <v>60</v>
      </c>
      <c r="F47">
        <v>0</v>
      </c>
      <c r="I47" t="s">
        <v>12093</v>
      </c>
      <c r="K47" t="str">
        <f t="shared" si="0"/>
        <v>condorProc.py --series 07200807_1633  --donoise --dumps a --procenv environments/pymidas_r72.env</v>
      </c>
    </row>
    <row r="48" spans="1:11">
      <c r="A48" t="s">
        <v>12182</v>
      </c>
      <c r="B48" t="s">
        <v>12104</v>
      </c>
      <c r="C48">
        <v>-30</v>
      </c>
      <c r="D48">
        <v>2.5999999999999999E-2</v>
      </c>
      <c r="E48">
        <v>60</v>
      </c>
      <c r="F48">
        <v>0</v>
      </c>
      <c r="I48" t="s">
        <v>12093</v>
      </c>
      <c r="K48" t="str">
        <f t="shared" ref="K48:K79" si="1">"condorProc.py --series "&amp;A48&amp;"  --donoise --dumps a --procenv environments/pymidas_r72.env"</f>
        <v>condorProc.py --series 07200807_2015  --donoise --dumps a --procenv environments/pymidas_r72.env</v>
      </c>
    </row>
    <row r="49" spans="1:11">
      <c r="A49" t="s">
        <v>12183</v>
      </c>
      <c r="B49" t="s">
        <v>12104</v>
      </c>
      <c r="C49">
        <v>-30</v>
      </c>
      <c r="D49">
        <v>3.1E-2</v>
      </c>
      <c r="E49">
        <v>60</v>
      </c>
      <c r="F49">
        <v>0</v>
      </c>
      <c r="I49" t="s">
        <v>12093</v>
      </c>
      <c r="K49" t="str">
        <f t="shared" si="1"/>
        <v>condorProc.py --series 07200807_2243  --donoise --dumps a --procenv environments/pymidas_r72.env</v>
      </c>
    </row>
    <row r="50" spans="1:11">
      <c r="A50" t="s">
        <v>12184</v>
      </c>
      <c r="B50" t="s">
        <v>12104</v>
      </c>
      <c r="C50">
        <v>-30</v>
      </c>
      <c r="D50">
        <v>3.3000000000000002E-2</v>
      </c>
      <c r="E50">
        <v>60</v>
      </c>
      <c r="F50">
        <v>0</v>
      </c>
      <c r="I50" t="s">
        <v>12093</v>
      </c>
      <c r="K50" t="str">
        <f t="shared" si="1"/>
        <v>condorProc.py --series 07200808_0759  --donoise --dumps a --procenv environments/pymidas_r72.env</v>
      </c>
    </row>
    <row r="51" spans="1:11">
      <c r="A51" t="s">
        <v>12185</v>
      </c>
      <c r="B51" t="s">
        <v>12104</v>
      </c>
      <c r="C51">
        <v>30</v>
      </c>
      <c r="D51">
        <v>2.75E-2</v>
      </c>
      <c r="E51">
        <v>60</v>
      </c>
      <c r="F51">
        <v>0</v>
      </c>
      <c r="I51" t="s">
        <v>12093</v>
      </c>
      <c r="K51" t="str">
        <f t="shared" si="1"/>
        <v>condorProc.py --series 07200808_1608  --donoise --dumps a --procenv environments/pymidas_r72.env</v>
      </c>
    </row>
    <row r="52" spans="1:11">
      <c r="A52" t="s">
        <v>12186</v>
      </c>
      <c r="B52" t="s">
        <v>12104</v>
      </c>
      <c r="C52">
        <v>30</v>
      </c>
      <c r="D52">
        <v>2.75E-2</v>
      </c>
      <c r="E52">
        <v>60</v>
      </c>
      <c r="F52">
        <v>0</v>
      </c>
      <c r="H52" t="s">
        <v>12164</v>
      </c>
      <c r="I52" t="s">
        <v>12093</v>
      </c>
      <c r="K52" t="str">
        <f t="shared" si="1"/>
        <v>condorProc.py --series 07200808_2054  --donoise --dumps a --procenv environments/pymidas_r72.env</v>
      </c>
    </row>
    <row r="53" spans="1:11">
      <c r="A53" t="s">
        <v>12187</v>
      </c>
      <c r="B53" t="s">
        <v>12104</v>
      </c>
      <c r="C53">
        <v>30</v>
      </c>
      <c r="D53">
        <v>2.75E-2</v>
      </c>
      <c r="E53">
        <v>60</v>
      </c>
      <c r="F53">
        <v>0</v>
      </c>
      <c r="H53" t="s">
        <v>12164</v>
      </c>
      <c r="I53" t="s">
        <v>12093</v>
      </c>
      <c r="K53" t="str">
        <f t="shared" si="1"/>
        <v>condorProc.py --series 07200809_1047  --donoise --dumps a --procenv environments/pymidas_r72.env</v>
      </c>
    </row>
    <row r="54" spans="1:11">
      <c r="A54" t="s">
        <v>12188</v>
      </c>
      <c r="B54" t="s">
        <v>12104</v>
      </c>
      <c r="C54">
        <v>40</v>
      </c>
      <c r="D54">
        <v>2.9600000000000001E-2</v>
      </c>
      <c r="E54">
        <v>60</v>
      </c>
      <c r="F54">
        <v>0</v>
      </c>
      <c r="H54" t="s">
        <v>12164</v>
      </c>
      <c r="I54" t="s">
        <v>12093</v>
      </c>
      <c r="K54" t="str">
        <f t="shared" si="1"/>
        <v>condorProc.py --series 07200809_1723  --donoise --dumps a --procenv environments/pymidas_r72.env</v>
      </c>
    </row>
    <row r="55" spans="1:11">
      <c r="A55" t="s">
        <v>12189</v>
      </c>
      <c r="B55" t="s">
        <v>12104</v>
      </c>
      <c r="C55">
        <v>40</v>
      </c>
      <c r="D55">
        <v>2.69E-2</v>
      </c>
      <c r="E55">
        <v>60</v>
      </c>
      <c r="F55">
        <v>0</v>
      </c>
      <c r="H55" t="s">
        <v>12164</v>
      </c>
      <c r="I55" t="s">
        <v>12093</v>
      </c>
      <c r="K55" t="str">
        <f t="shared" si="1"/>
        <v>condorProc.py --series 07200809_2100  --donoise --dumps a --procenv environments/pymidas_r72.env</v>
      </c>
    </row>
    <row r="56" spans="1:11">
      <c r="A56" t="s">
        <v>12190</v>
      </c>
      <c r="B56" t="s">
        <v>12104</v>
      </c>
      <c r="C56">
        <v>40</v>
      </c>
      <c r="D56">
        <v>2.69E-2</v>
      </c>
      <c r="E56">
        <v>60</v>
      </c>
      <c r="F56">
        <v>0</v>
      </c>
      <c r="H56" t="s">
        <v>12191</v>
      </c>
      <c r="I56" t="s">
        <v>12093</v>
      </c>
      <c r="K56" t="str">
        <f t="shared" si="1"/>
        <v>condorProc.py --series 07200810_0846  --donoise --dumps a --procenv environments/pymidas_r72.env</v>
      </c>
    </row>
    <row r="57" spans="1:11">
      <c r="A57" t="s">
        <v>12192</v>
      </c>
      <c r="B57" t="s">
        <v>12104</v>
      </c>
      <c r="C57">
        <v>40</v>
      </c>
      <c r="D57">
        <v>2.69E-2</v>
      </c>
      <c r="E57">
        <v>60</v>
      </c>
      <c r="F57">
        <v>0</v>
      </c>
      <c r="H57" t="s">
        <v>12191</v>
      </c>
      <c r="I57" t="s">
        <v>12093</v>
      </c>
      <c r="K57" t="str">
        <f t="shared" si="1"/>
        <v>condorProc.py --series 07200810_1715  --donoise --dumps a --procenv environments/pymidas_r72.env</v>
      </c>
    </row>
    <row r="58" spans="1:11">
      <c r="A58" t="s">
        <v>12193</v>
      </c>
      <c r="B58" t="s">
        <v>12104</v>
      </c>
      <c r="C58">
        <v>50</v>
      </c>
      <c r="D58">
        <v>2.9000000000000001E-2</v>
      </c>
      <c r="E58">
        <v>60</v>
      </c>
      <c r="F58">
        <v>0</v>
      </c>
      <c r="I58" t="s">
        <v>12093</v>
      </c>
      <c r="K58" t="str">
        <f t="shared" si="1"/>
        <v>condorProc.py --series 07200810_2055  --donoise --dumps a --procenv environments/pymidas_r72.env</v>
      </c>
    </row>
    <row r="59" spans="1:11">
      <c r="A59" t="s">
        <v>12194</v>
      </c>
      <c r="B59" t="s">
        <v>12104</v>
      </c>
      <c r="C59">
        <v>50</v>
      </c>
      <c r="D59">
        <v>3.5000000000000003E-2</v>
      </c>
      <c r="E59">
        <v>60</v>
      </c>
      <c r="F59">
        <v>0</v>
      </c>
      <c r="I59" t="s">
        <v>12093</v>
      </c>
      <c r="K59" t="str">
        <f t="shared" si="1"/>
        <v>condorProc.py --series 07200811_0635  --donoise --dumps a --procenv environments/pymidas_r72.env</v>
      </c>
    </row>
    <row r="60" spans="1:11">
      <c r="A60" t="s">
        <v>12195</v>
      </c>
      <c r="B60" t="s">
        <v>12104</v>
      </c>
      <c r="C60">
        <v>50</v>
      </c>
      <c r="D60">
        <v>2.75E-2</v>
      </c>
      <c r="E60">
        <v>60</v>
      </c>
      <c r="F60">
        <v>0</v>
      </c>
      <c r="I60" t="s">
        <v>12093</v>
      </c>
      <c r="K60" t="str">
        <f t="shared" si="1"/>
        <v>condorProc.py --series 07200811_1045  --donoise --dumps a --procenv environments/pymidas_r72.env</v>
      </c>
    </row>
    <row r="61" spans="1:11">
      <c r="A61" t="s">
        <v>12196</v>
      </c>
      <c r="B61" t="s">
        <v>12104</v>
      </c>
      <c r="C61">
        <v>75</v>
      </c>
      <c r="D61">
        <v>3.1E-2</v>
      </c>
      <c r="E61">
        <v>60</v>
      </c>
      <c r="F61">
        <v>0</v>
      </c>
      <c r="I61" t="s">
        <v>12093</v>
      </c>
      <c r="K61" t="str">
        <f t="shared" si="1"/>
        <v>condorProc.py --series 07200811_1614  --donoise --dumps a --procenv environments/pymidas_r72.env</v>
      </c>
    </row>
    <row r="62" spans="1:11">
      <c r="A62" t="s">
        <v>12197</v>
      </c>
      <c r="B62" t="s">
        <v>12104</v>
      </c>
      <c r="C62">
        <v>75</v>
      </c>
      <c r="D62">
        <v>3.0099999999999998E-2</v>
      </c>
      <c r="E62">
        <v>60</v>
      </c>
      <c r="F62">
        <v>0</v>
      </c>
      <c r="I62" t="s">
        <v>12093</v>
      </c>
      <c r="K62" t="str">
        <f t="shared" si="1"/>
        <v>condorProc.py --series 07200811_2249  --donoise --dumps a --procenv environments/pymidas_r72.env</v>
      </c>
    </row>
    <row r="63" spans="1:11">
      <c r="A63" t="s">
        <v>12198</v>
      </c>
      <c r="B63" t="s">
        <v>12104</v>
      </c>
      <c r="C63">
        <v>75</v>
      </c>
      <c r="D63">
        <v>3.0099999999999998E-2</v>
      </c>
      <c r="E63">
        <v>60</v>
      </c>
      <c r="F63">
        <v>0</v>
      </c>
      <c r="H63" t="s">
        <v>12191</v>
      </c>
      <c r="I63" t="s">
        <v>12093</v>
      </c>
      <c r="K63" t="str">
        <f t="shared" si="1"/>
        <v>condorProc.py --series 07200812_0840  --donoise --dumps a --procenv environments/pymidas_r72.env</v>
      </c>
    </row>
    <row r="64" spans="1:11">
      <c r="A64" t="s">
        <v>12199</v>
      </c>
      <c r="B64" t="s">
        <v>12104</v>
      </c>
      <c r="C64">
        <v>-50</v>
      </c>
      <c r="D64">
        <v>4.5999999999999999E-2</v>
      </c>
      <c r="E64">
        <v>60</v>
      </c>
      <c r="F64">
        <v>0</v>
      </c>
      <c r="I64" t="s">
        <v>12093</v>
      </c>
      <c r="K64" t="str">
        <f t="shared" si="1"/>
        <v>condorProc.py --series 07200812_1731  --donoise --dumps a --procenv environments/pymidas_r72.env</v>
      </c>
    </row>
    <row r="65" spans="1:11">
      <c r="A65" t="s">
        <v>12200</v>
      </c>
      <c r="B65" t="s">
        <v>12104</v>
      </c>
      <c r="C65">
        <v>-75</v>
      </c>
      <c r="D65">
        <v>5.1799999999999999E-2</v>
      </c>
      <c r="E65">
        <v>60</v>
      </c>
      <c r="F65">
        <v>0</v>
      </c>
      <c r="I65" t="s">
        <v>12093</v>
      </c>
      <c r="K65" t="str">
        <f t="shared" si="1"/>
        <v>condorProc.py --series 07200812_2208  --donoise --dumps a --procenv environments/pymidas_r72.env</v>
      </c>
    </row>
    <row r="66" spans="1:11">
      <c r="A66" t="s">
        <v>12201</v>
      </c>
      <c r="B66" t="s">
        <v>12104</v>
      </c>
      <c r="C66">
        <v>-75</v>
      </c>
      <c r="D66">
        <v>4.87E-2</v>
      </c>
      <c r="E66">
        <v>60</v>
      </c>
      <c r="F66">
        <v>0</v>
      </c>
      <c r="I66" t="s">
        <v>12093</v>
      </c>
      <c r="K66" t="str">
        <f t="shared" si="1"/>
        <v>condorProc.py --series 07200813_0946  --donoise --dumps a --procenv environments/pymidas_r72.env</v>
      </c>
    </row>
    <row r="67" spans="1:11">
      <c r="A67" t="s">
        <v>12202</v>
      </c>
      <c r="B67" t="s">
        <v>12104</v>
      </c>
      <c r="C67">
        <v>40</v>
      </c>
      <c r="D67">
        <v>2.69E-2</v>
      </c>
      <c r="E67">
        <v>60</v>
      </c>
      <c r="F67">
        <v>0</v>
      </c>
      <c r="H67" t="s">
        <v>12203</v>
      </c>
      <c r="I67" t="s">
        <v>12093</v>
      </c>
      <c r="K67" t="str">
        <f t="shared" si="1"/>
        <v>condorProc.py --series 07200813_1652  --donoise --dumps a --procenv environments/pymidas_r72.env</v>
      </c>
    </row>
    <row r="68" spans="1:11">
      <c r="A68" t="s">
        <v>12204</v>
      </c>
      <c r="B68" t="s">
        <v>12104</v>
      </c>
      <c r="C68">
        <v>40</v>
      </c>
      <c r="D68">
        <v>2.69E-2</v>
      </c>
      <c r="E68">
        <v>60</v>
      </c>
      <c r="F68">
        <v>0</v>
      </c>
      <c r="H68" t="s">
        <v>12205</v>
      </c>
      <c r="I68" t="s">
        <v>12093</v>
      </c>
      <c r="K68" t="str">
        <f t="shared" si="1"/>
        <v>condorProc.py --series 07200814_0830  --donoise --dumps a --procenv environments/pymidas_r72.env</v>
      </c>
    </row>
    <row r="69" spans="1:11">
      <c r="A69" t="s">
        <v>12206</v>
      </c>
      <c r="B69" t="s">
        <v>12104</v>
      </c>
      <c r="C69">
        <v>0</v>
      </c>
      <c r="D69">
        <v>0</v>
      </c>
      <c r="E69">
        <v>15</v>
      </c>
      <c r="F69">
        <v>0</v>
      </c>
      <c r="I69" t="s">
        <v>12093</v>
      </c>
      <c r="K69" t="str">
        <f t="shared" si="1"/>
        <v>condorProc.py --series 07200814_1146  --donoise --dumps a --procenv environments/pymidas_r72.env</v>
      </c>
    </row>
    <row r="70" spans="1:11">
      <c r="A70" t="s">
        <v>12207</v>
      </c>
      <c r="B70" t="s">
        <v>12104</v>
      </c>
      <c r="C70">
        <v>0</v>
      </c>
      <c r="D70">
        <v>0</v>
      </c>
      <c r="E70">
        <v>15</v>
      </c>
      <c r="F70">
        <v>0</v>
      </c>
      <c r="H70" t="s">
        <v>12208</v>
      </c>
      <c r="I70" t="s">
        <v>12093</v>
      </c>
      <c r="K70" t="str">
        <f t="shared" si="1"/>
        <v>condorProc.py --series 07200814_1219  --donoise --dumps a --procenv environments/pymidas_r72.env</v>
      </c>
    </row>
    <row r="71" spans="1:11">
      <c r="A71" t="s">
        <v>12209</v>
      </c>
      <c r="B71" t="s">
        <v>12104</v>
      </c>
      <c r="C71">
        <v>40</v>
      </c>
      <c r="D71">
        <v>2.69E-2</v>
      </c>
      <c r="E71">
        <v>60</v>
      </c>
      <c r="F71">
        <v>0</v>
      </c>
      <c r="H71" t="s">
        <v>12210</v>
      </c>
      <c r="I71" t="s">
        <v>12093</v>
      </c>
      <c r="K71" t="str">
        <f t="shared" si="1"/>
        <v>condorProc.py --series 07200814_1548  --donoise --dumps a --procenv environments/pymidas_r72.env</v>
      </c>
    </row>
    <row r="72" spans="1:11">
      <c r="A72" t="s">
        <v>12211</v>
      </c>
      <c r="B72" t="s">
        <v>12104</v>
      </c>
      <c r="C72">
        <v>75</v>
      </c>
      <c r="D72">
        <v>3.0099999999999998E-2</v>
      </c>
      <c r="E72">
        <v>60</v>
      </c>
      <c r="F72">
        <v>0</v>
      </c>
      <c r="I72" t="s">
        <v>12093</v>
      </c>
      <c r="K72" t="str">
        <f t="shared" si="1"/>
        <v>condorProc.py --series 07200814_1819  --donoise --dumps a --procenv environments/pymidas_r72.env</v>
      </c>
    </row>
    <row r="73" spans="1:11">
      <c r="A73" t="s">
        <v>12212</v>
      </c>
      <c r="B73" t="s">
        <v>12104</v>
      </c>
      <c r="C73">
        <v>75</v>
      </c>
      <c r="D73">
        <v>3.0099999999999998E-2</v>
      </c>
      <c r="E73">
        <v>60</v>
      </c>
      <c r="F73">
        <v>0</v>
      </c>
      <c r="I73" t="s">
        <v>12093</v>
      </c>
      <c r="K73" t="str">
        <f t="shared" si="1"/>
        <v>condorProc.py --series 07200815_0836  --donoise --dumps a --procenv environments/pymidas_r72.env</v>
      </c>
    </row>
    <row r="74" spans="1:11">
      <c r="A74" t="s">
        <v>12213</v>
      </c>
      <c r="B74" t="s">
        <v>12104</v>
      </c>
      <c r="C74">
        <v>0</v>
      </c>
      <c r="D74">
        <v>0</v>
      </c>
      <c r="E74">
        <v>15</v>
      </c>
      <c r="F74">
        <v>0</v>
      </c>
      <c r="I74" t="s">
        <v>12093</v>
      </c>
      <c r="K74" t="str">
        <f t="shared" si="1"/>
        <v>condorProc.py --series 07200815_1057  --donoise --dumps a --procenv environments/pymidas_r72.env</v>
      </c>
    </row>
    <row r="75" spans="1:11">
      <c r="A75" t="s">
        <v>12214</v>
      </c>
      <c r="B75" t="s">
        <v>12104</v>
      </c>
      <c r="C75">
        <v>0</v>
      </c>
      <c r="D75">
        <v>0</v>
      </c>
      <c r="E75">
        <v>15</v>
      </c>
      <c r="F75">
        <v>0</v>
      </c>
      <c r="H75" t="s">
        <v>12215</v>
      </c>
      <c r="I75" t="s">
        <v>12093</v>
      </c>
      <c r="K75" t="str">
        <f t="shared" si="1"/>
        <v>condorProc.py --series 07200816_1129  --donoise --dumps a --procenv environments/pymidas_r72.env</v>
      </c>
    </row>
    <row r="76" spans="1:11">
      <c r="A76" t="s">
        <v>12216</v>
      </c>
      <c r="B76" t="s">
        <v>12104</v>
      </c>
      <c r="C76">
        <v>100</v>
      </c>
      <c r="D76">
        <v>33.200000000000003</v>
      </c>
      <c r="E76">
        <v>60</v>
      </c>
      <c r="F76">
        <v>0</v>
      </c>
      <c r="I76" t="s">
        <v>12093</v>
      </c>
      <c r="K76" t="str">
        <f t="shared" si="1"/>
        <v>condorProc.py --series 07200816_1333  --donoise --dumps a --procenv environments/pymidas_r72.env</v>
      </c>
    </row>
    <row r="77" spans="1:11">
      <c r="A77" t="s">
        <v>12217</v>
      </c>
      <c r="B77" t="s">
        <v>12104</v>
      </c>
      <c r="C77">
        <v>0</v>
      </c>
      <c r="D77">
        <v>0</v>
      </c>
      <c r="E77">
        <v>15</v>
      </c>
      <c r="F77">
        <v>0</v>
      </c>
      <c r="H77" t="s">
        <v>12218</v>
      </c>
      <c r="I77" t="s">
        <v>12093</v>
      </c>
      <c r="K77" t="str">
        <f t="shared" si="1"/>
        <v>condorProc.py --series 07200817_0839  --donoise --dumps a --procenv environments/pymidas_r72.env</v>
      </c>
    </row>
    <row r="78" spans="1:11">
      <c r="A78" t="s">
        <v>12219</v>
      </c>
      <c r="B78" t="s">
        <v>12104</v>
      </c>
      <c r="C78">
        <v>0</v>
      </c>
      <c r="D78">
        <v>0</v>
      </c>
      <c r="E78">
        <v>15</v>
      </c>
      <c r="F78">
        <v>0</v>
      </c>
      <c r="I78" t="s">
        <v>12093</v>
      </c>
      <c r="K78" t="str">
        <f t="shared" si="1"/>
        <v>condorProc.py --series 07200817_0926  --donoise --dumps a --procenv environments/pymidas_r72.env</v>
      </c>
    </row>
    <row r="79" spans="1:11">
      <c r="A79" t="s">
        <v>12220</v>
      </c>
      <c r="B79" t="s">
        <v>12104</v>
      </c>
      <c r="C79">
        <v>75</v>
      </c>
      <c r="D79">
        <v>3.0099999999999998E-2</v>
      </c>
      <c r="E79">
        <v>15</v>
      </c>
      <c r="F79">
        <v>0</v>
      </c>
      <c r="I79" t="s">
        <v>12093</v>
      </c>
      <c r="K79" t="str">
        <f t="shared" si="1"/>
        <v>condorProc.py --series 07200817_1010  --donoise --dumps a --procenv environments/pymidas_r72.env</v>
      </c>
    </row>
    <row r="80" spans="1:11">
      <c r="A80" t="s">
        <v>12221</v>
      </c>
      <c r="B80" t="s">
        <v>12104</v>
      </c>
      <c r="C80">
        <v>75</v>
      </c>
      <c r="D80">
        <v>3.0099999999999998E-2</v>
      </c>
      <c r="E80">
        <v>15</v>
      </c>
      <c r="F80">
        <v>0</v>
      </c>
      <c r="H80" t="s">
        <v>12191</v>
      </c>
      <c r="I80" t="s">
        <v>12222</v>
      </c>
      <c r="K80" t="str">
        <f t="shared" ref="K80:K111" si="2">"condorProc.py --series "&amp;A80&amp;"  --donoise --dumps a --procenv environments/pymidas_r72.env"</f>
        <v>condorProc.py --series 07200821_1313  --donoise --dumps a --procenv environments/pymidas_r72.env</v>
      </c>
    </row>
    <row r="81" spans="1:11">
      <c r="A81" t="s">
        <v>12223</v>
      </c>
      <c r="B81" t="s">
        <v>12104</v>
      </c>
      <c r="C81">
        <v>75</v>
      </c>
      <c r="D81">
        <v>2.81E-2</v>
      </c>
      <c r="E81">
        <v>15</v>
      </c>
      <c r="F81">
        <v>0</v>
      </c>
      <c r="H81" t="s">
        <v>12191</v>
      </c>
      <c r="I81" t="s">
        <v>12222</v>
      </c>
      <c r="K81" t="str">
        <f t="shared" si="2"/>
        <v>condorProc.py --series 07200821_1537  --donoise --dumps a --procenv environments/pymidas_r72.env</v>
      </c>
    </row>
    <row r="82" spans="1:11">
      <c r="A82" t="s">
        <v>12224</v>
      </c>
      <c r="B82" t="s">
        <v>12104</v>
      </c>
      <c r="C82">
        <v>75</v>
      </c>
      <c r="D82">
        <v>2.6100000000000002E-2</v>
      </c>
      <c r="E82">
        <v>15</v>
      </c>
      <c r="F82">
        <v>0</v>
      </c>
      <c r="H82" t="s">
        <v>12191</v>
      </c>
      <c r="I82" t="s">
        <v>12222</v>
      </c>
      <c r="K82" t="str">
        <f t="shared" si="2"/>
        <v>condorProc.py --series 07200821_1716  --donoise --dumps a --procenv environments/pymidas_r72.env</v>
      </c>
    </row>
    <row r="83" spans="1:11">
      <c r="A83" t="s">
        <v>12225</v>
      </c>
      <c r="B83" t="s">
        <v>12104</v>
      </c>
      <c r="C83">
        <v>75</v>
      </c>
      <c r="D83">
        <v>2.6100000000000002E-2</v>
      </c>
      <c r="E83">
        <v>60</v>
      </c>
      <c r="F83">
        <v>0</v>
      </c>
      <c r="H83" t="s">
        <v>12191</v>
      </c>
      <c r="I83" t="s">
        <v>12222</v>
      </c>
      <c r="K83" t="str">
        <f t="shared" si="2"/>
        <v>condorProc.py --series 07200821_1820  --donoise --dumps a --procenv environments/pymidas_r72.env</v>
      </c>
    </row>
    <row r="84" spans="1:11">
      <c r="A84" t="s">
        <v>12226</v>
      </c>
      <c r="B84" t="s">
        <v>12104</v>
      </c>
      <c r="C84">
        <v>0</v>
      </c>
      <c r="D84">
        <v>0</v>
      </c>
      <c r="E84">
        <v>60</v>
      </c>
      <c r="F84">
        <v>0</v>
      </c>
      <c r="I84" t="s">
        <v>12222</v>
      </c>
      <c r="K84" t="str">
        <f t="shared" si="2"/>
        <v>condorProc.py --series 07200822_0958  --donoise --dumps a --procenv environments/pymidas_r72.env</v>
      </c>
    </row>
    <row r="85" spans="1:11">
      <c r="A85" t="s">
        <v>12227</v>
      </c>
      <c r="B85" t="s">
        <v>12104</v>
      </c>
      <c r="C85">
        <v>0</v>
      </c>
      <c r="D85">
        <v>0</v>
      </c>
      <c r="E85">
        <v>60</v>
      </c>
      <c r="F85">
        <v>0</v>
      </c>
      <c r="I85" t="s">
        <v>12222</v>
      </c>
      <c r="K85" t="str">
        <f t="shared" si="2"/>
        <v>condorProc.py --series 07200825_0951  --donoise --dumps a --procenv environments/pymidas_r72.env</v>
      </c>
    </row>
    <row r="86" spans="1:11">
      <c r="A86" t="s">
        <v>12228</v>
      </c>
      <c r="B86" t="s">
        <v>12104</v>
      </c>
      <c r="C86">
        <v>100</v>
      </c>
      <c r="D86">
        <v>3.0099999999999998E-2</v>
      </c>
      <c r="E86">
        <v>15</v>
      </c>
      <c r="F86">
        <v>0</v>
      </c>
      <c r="H86" t="s">
        <v>12191</v>
      </c>
      <c r="I86" t="s">
        <v>12222</v>
      </c>
      <c r="K86" t="str">
        <f t="shared" si="2"/>
        <v>condorProc.py --series 07200825_1131  --donoise --dumps a --procenv environments/pymidas_r72.env</v>
      </c>
    </row>
    <row r="87" spans="1:11">
      <c r="A87" t="s">
        <v>12229</v>
      </c>
      <c r="B87" t="s">
        <v>12104</v>
      </c>
      <c r="C87">
        <v>100</v>
      </c>
      <c r="D87">
        <v>3.0099999999999998E-2</v>
      </c>
      <c r="E87">
        <v>60</v>
      </c>
      <c r="F87">
        <v>0</v>
      </c>
      <c r="G87" t="s">
        <v>3947</v>
      </c>
      <c r="I87" t="s">
        <v>12222</v>
      </c>
      <c r="K87" t="str">
        <f t="shared" si="2"/>
        <v>condorProc.py --series 07200825_1320  --donoise --dumps a --procenv environments/pymidas_r72.env</v>
      </c>
    </row>
    <row r="88" spans="1:11">
      <c r="A88" t="s">
        <v>12230</v>
      </c>
      <c r="B88" t="s">
        <v>12104</v>
      </c>
      <c r="C88">
        <v>150</v>
      </c>
      <c r="D88">
        <v>3.5000000000000003E-2</v>
      </c>
      <c r="E88">
        <v>15</v>
      </c>
      <c r="F88">
        <v>0</v>
      </c>
      <c r="H88" t="s">
        <v>12191</v>
      </c>
      <c r="I88" t="s">
        <v>12222</v>
      </c>
      <c r="K88" t="str">
        <f t="shared" si="2"/>
        <v>condorProc.py --series 07200826_0727  --donoise --dumps a --procenv environments/pymidas_r72.env</v>
      </c>
    </row>
    <row r="89" spans="1:11">
      <c r="A89" t="s">
        <v>12231</v>
      </c>
      <c r="B89" t="s">
        <v>12104</v>
      </c>
      <c r="C89">
        <v>150</v>
      </c>
      <c r="D89">
        <v>3.49E-2</v>
      </c>
      <c r="E89">
        <v>60</v>
      </c>
      <c r="F89">
        <v>0</v>
      </c>
      <c r="H89" t="s">
        <v>12191</v>
      </c>
      <c r="I89" t="s">
        <v>12222</v>
      </c>
      <c r="K89" t="str">
        <f t="shared" si="2"/>
        <v>condorProc.py --series 07200826_0855  --donoise --dumps a --procenv environments/pymidas_r72.env</v>
      </c>
    </row>
    <row r="90" spans="1:11">
      <c r="A90" t="s">
        <v>12232</v>
      </c>
      <c r="B90" t="s">
        <v>12104</v>
      </c>
      <c r="C90">
        <v>0</v>
      </c>
      <c r="D90">
        <v>0</v>
      </c>
      <c r="E90">
        <v>60</v>
      </c>
      <c r="F90">
        <v>0</v>
      </c>
      <c r="I90" t="s">
        <v>12222</v>
      </c>
      <c r="K90" t="str">
        <f t="shared" si="2"/>
        <v>condorProc.py --series 07200827_0853  --donoise --dumps a --procenv environments/pymidas_r72.env</v>
      </c>
    </row>
    <row r="91" spans="1:11">
      <c r="A91" t="s">
        <v>12233</v>
      </c>
      <c r="B91" t="s">
        <v>12104</v>
      </c>
      <c r="C91">
        <v>-100</v>
      </c>
      <c r="D91">
        <v>5.7299999999999997E-2</v>
      </c>
      <c r="E91">
        <v>15</v>
      </c>
      <c r="F91">
        <v>0</v>
      </c>
      <c r="G91" t="s">
        <v>3947</v>
      </c>
      <c r="H91" t="s">
        <v>12191</v>
      </c>
      <c r="I91" t="s">
        <v>12222</v>
      </c>
      <c r="K91" t="str">
        <f t="shared" si="2"/>
        <v>condorProc.py --series 07200827_1039  --donoise --dumps a --procenv environments/pymidas_r72.env</v>
      </c>
    </row>
    <row r="92" spans="1:11">
      <c r="A92" t="s">
        <v>12234</v>
      </c>
      <c r="B92" t="s">
        <v>12104</v>
      </c>
      <c r="C92">
        <v>0</v>
      </c>
      <c r="D92">
        <v>0</v>
      </c>
      <c r="E92">
        <v>60</v>
      </c>
      <c r="F92">
        <v>0</v>
      </c>
      <c r="I92" t="s">
        <v>12222</v>
      </c>
      <c r="K92" t="str">
        <f t="shared" si="2"/>
        <v>condorProc.py --series 07200827_1615  --donoise --dumps a --procenv environments/pymidas_r72.env</v>
      </c>
    </row>
    <row r="93" spans="1:11">
      <c r="A93" t="s">
        <v>12235</v>
      </c>
      <c r="B93" t="s">
        <v>12104</v>
      </c>
      <c r="C93">
        <v>-100</v>
      </c>
      <c r="D93">
        <v>4.7300000000000002E-2</v>
      </c>
      <c r="E93">
        <v>15</v>
      </c>
      <c r="F93">
        <v>0</v>
      </c>
      <c r="H93" t="s">
        <v>12191</v>
      </c>
      <c r="I93" t="s">
        <v>12222</v>
      </c>
      <c r="K93" t="str">
        <f t="shared" si="2"/>
        <v>condorProc.py --series 07200827_1751  --donoise --dumps a --procenv environments/pymidas_r72.env</v>
      </c>
    </row>
    <row r="94" spans="1:11">
      <c r="A94" t="s">
        <v>12236</v>
      </c>
      <c r="B94" t="s">
        <v>12104</v>
      </c>
      <c r="C94">
        <v>-100</v>
      </c>
      <c r="D94">
        <v>3.0099999999999998E-2</v>
      </c>
      <c r="E94">
        <v>15</v>
      </c>
      <c r="F94">
        <v>0</v>
      </c>
      <c r="H94" t="s">
        <v>12191</v>
      </c>
      <c r="I94" t="s">
        <v>12222</v>
      </c>
      <c r="K94" t="str">
        <f t="shared" si="2"/>
        <v>condorProc.py --series 07200827_1954  --donoise --dumps a --procenv environments/pymidas_r72.env</v>
      </c>
    </row>
    <row r="95" spans="1:11">
      <c r="A95" t="s">
        <v>12237</v>
      </c>
      <c r="B95" t="s">
        <v>12104</v>
      </c>
      <c r="C95">
        <v>-100</v>
      </c>
      <c r="D95">
        <v>2.98E-2</v>
      </c>
      <c r="E95">
        <v>60</v>
      </c>
      <c r="F95">
        <v>0</v>
      </c>
      <c r="H95" t="s">
        <v>12191</v>
      </c>
      <c r="I95" t="s">
        <v>12222</v>
      </c>
      <c r="K95" t="str">
        <f t="shared" si="2"/>
        <v>condorProc.py --series 07200827_2150  --donoise --dumps a --procenv environments/pymidas_r72.env</v>
      </c>
    </row>
    <row r="96" spans="1:11">
      <c r="A96" t="s">
        <v>12238</v>
      </c>
      <c r="B96" t="s">
        <v>12104</v>
      </c>
      <c r="C96">
        <v>-150</v>
      </c>
      <c r="D96">
        <v>3.4500000000000003E-2</v>
      </c>
      <c r="E96">
        <v>15</v>
      </c>
      <c r="F96">
        <v>0</v>
      </c>
      <c r="H96" t="s">
        <v>12191</v>
      </c>
      <c r="I96" t="s">
        <v>12222</v>
      </c>
      <c r="K96" t="str">
        <f t="shared" si="2"/>
        <v>condorProc.py --series 07200828_0955  --donoise --dumps a --procenv environments/pymidas_r72.env</v>
      </c>
    </row>
    <row r="97" spans="1:12">
      <c r="A97" t="s">
        <v>12239</v>
      </c>
      <c r="B97" t="s">
        <v>12104</v>
      </c>
      <c r="C97">
        <v>-150</v>
      </c>
      <c r="D97">
        <v>3.3500000000000002E-2</v>
      </c>
      <c r="E97">
        <v>60</v>
      </c>
      <c r="F97">
        <v>0</v>
      </c>
      <c r="H97" t="s">
        <v>12191</v>
      </c>
      <c r="I97" t="s">
        <v>12222</v>
      </c>
      <c r="K97" t="str">
        <f t="shared" si="2"/>
        <v>condorProc.py --series 07200828_1125  --donoise --dumps a --procenv environments/pymidas_r72.env</v>
      </c>
    </row>
    <row r="98" spans="1:12">
      <c r="A98" t="s">
        <v>12240</v>
      </c>
      <c r="B98" t="s">
        <v>12104</v>
      </c>
      <c r="C98">
        <v>200</v>
      </c>
      <c r="D98">
        <v>3.3099999999999997E-2</v>
      </c>
      <c r="E98">
        <v>60</v>
      </c>
      <c r="F98">
        <v>0</v>
      </c>
      <c r="H98" t="s">
        <v>12191</v>
      </c>
      <c r="I98" t="s">
        <v>12093</v>
      </c>
      <c r="K98" t="str">
        <f t="shared" si="2"/>
        <v>condorProc.py --series 07200831_1223  --donoise --dumps a --procenv environments/pymidas_r72.env</v>
      </c>
    </row>
    <row r="99" spans="1:12">
      <c r="A99" t="s">
        <v>12241</v>
      </c>
      <c r="B99" t="s">
        <v>12104</v>
      </c>
      <c r="C99">
        <v>250</v>
      </c>
      <c r="D99">
        <v>3.2500000000000001E-2</v>
      </c>
      <c r="E99">
        <v>60</v>
      </c>
      <c r="F99">
        <v>0</v>
      </c>
      <c r="H99" t="s">
        <v>12191</v>
      </c>
      <c r="I99" t="s">
        <v>12093</v>
      </c>
      <c r="K99" t="str">
        <f t="shared" si="2"/>
        <v>condorProc.py --series 07200831_1554  --donoise --dumps a --procenv environments/pymidas_r72.env</v>
      </c>
    </row>
    <row r="100" spans="1:12">
      <c r="A100" t="s">
        <v>12242</v>
      </c>
      <c r="B100" t="s">
        <v>12104</v>
      </c>
      <c r="C100">
        <v>300</v>
      </c>
      <c r="D100">
        <v>3.1600000000000003E-2</v>
      </c>
      <c r="E100">
        <v>60</v>
      </c>
      <c r="F100">
        <v>0</v>
      </c>
      <c r="H100" t="s">
        <v>12191</v>
      </c>
      <c r="I100" t="s">
        <v>12093</v>
      </c>
      <c r="K100" t="str">
        <f t="shared" si="2"/>
        <v>condorProc.py --series 07200831_2206  --donoise --dumps a --procenv environments/pymidas_r72.env</v>
      </c>
    </row>
    <row r="101" spans="1:12">
      <c r="A101" t="s">
        <v>12243</v>
      </c>
      <c r="B101" t="s">
        <v>12104</v>
      </c>
      <c r="C101">
        <v>-200</v>
      </c>
      <c r="D101">
        <v>3.7199999999999997E-2</v>
      </c>
      <c r="E101">
        <v>60</v>
      </c>
      <c r="F101">
        <v>0</v>
      </c>
      <c r="H101" t="s">
        <v>12191</v>
      </c>
      <c r="I101" t="s">
        <v>12093</v>
      </c>
      <c r="K101" t="str">
        <f t="shared" si="2"/>
        <v>condorProc.py --series 07200901_2159  --donoise --dumps a --procenv environments/pymidas_r72.env</v>
      </c>
    </row>
    <row r="102" spans="1:12">
      <c r="A102" t="s">
        <v>12244</v>
      </c>
      <c r="B102" t="s">
        <v>12104</v>
      </c>
      <c r="C102">
        <v>-250</v>
      </c>
      <c r="D102">
        <v>4.4999999999999998E-2</v>
      </c>
      <c r="E102">
        <v>60</v>
      </c>
      <c r="F102">
        <v>0</v>
      </c>
      <c r="H102" t="s">
        <v>12191</v>
      </c>
      <c r="I102" t="s">
        <v>12093</v>
      </c>
      <c r="K102" t="str">
        <f t="shared" si="2"/>
        <v>condorProc.py --series 07200902_1716  --donoise --dumps a --procenv environments/pymidas_r72.env</v>
      </c>
      <c r="L102" t="s">
        <v>12245</v>
      </c>
    </row>
    <row r="103" spans="1:12">
      <c r="A103" t="s">
        <v>12246</v>
      </c>
      <c r="B103" t="s">
        <v>12104</v>
      </c>
      <c r="C103">
        <v>-300</v>
      </c>
      <c r="D103">
        <v>4.3099999999999999E-2</v>
      </c>
      <c r="E103">
        <v>60</v>
      </c>
      <c r="F103">
        <v>0</v>
      </c>
      <c r="H103" t="s">
        <v>12191</v>
      </c>
      <c r="I103" t="s">
        <v>12093</v>
      </c>
      <c r="K103" t="str">
        <f t="shared" si="2"/>
        <v>condorProc.py --series 07200902_2227  --donoise --dumps a --procenv environments/pymidas_r72.env</v>
      </c>
    </row>
    <row r="104" spans="1:12">
      <c r="A104" t="s">
        <v>12247</v>
      </c>
      <c r="B104" t="s">
        <v>12104</v>
      </c>
      <c r="C104">
        <v>0</v>
      </c>
      <c r="D104">
        <v>0</v>
      </c>
      <c r="E104">
        <v>60</v>
      </c>
      <c r="F104">
        <v>0</v>
      </c>
      <c r="I104" t="s">
        <v>12093</v>
      </c>
      <c r="K104" t="str">
        <f t="shared" si="2"/>
        <v>condorProc.py --series 07200903_1211  --donoise --dumps a --procenv environments/pymidas_r72.env</v>
      </c>
    </row>
    <row r="105" spans="1:12">
      <c r="A105" t="s">
        <v>12248</v>
      </c>
      <c r="B105" t="s">
        <v>12104</v>
      </c>
      <c r="C105">
        <v>-50</v>
      </c>
      <c r="D105">
        <v>3.0099999999999998E-2</v>
      </c>
      <c r="E105">
        <v>60</v>
      </c>
      <c r="F105">
        <v>0</v>
      </c>
      <c r="I105" t="s">
        <v>12093</v>
      </c>
      <c r="K105" t="str">
        <f t="shared" si="2"/>
        <v>condorProc.py --series 07200903_2032  --donoise --dumps a --procenv environments/pymidas_r72.env</v>
      </c>
    </row>
    <row r="106" spans="1:12">
      <c r="A106" t="s">
        <v>12249</v>
      </c>
      <c r="B106" t="s">
        <v>12104</v>
      </c>
      <c r="C106" s="54" t="s">
        <v>12250</v>
      </c>
      <c r="D106">
        <v>0</v>
      </c>
      <c r="E106" t="s">
        <v>12251</v>
      </c>
      <c r="F106">
        <v>0</v>
      </c>
      <c r="H106" t="s">
        <v>12191</v>
      </c>
      <c r="I106" t="s">
        <v>12093</v>
      </c>
      <c r="K106" t="str">
        <f t="shared" si="2"/>
        <v>condorProc.py --series 07200904_0937  --donoise --dumps a --procenv environments/pymidas_r72.env</v>
      </c>
    </row>
    <row r="107" spans="1:12">
      <c r="A107" t="s">
        <v>12252</v>
      </c>
      <c r="B107" t="s">
        <v>12104</v>
      </c>
      <c r="C107" s="54" t="s">
        <v>12253</v>
      </c>
      <c r="D107">
        <v>0</v>
      </c>
      <c r="E107" t="s">
        <v>12254</v>
      </c>
      <c r="F107">
        <v>0</v>
      </c>
      <c r="H107" t="s">
        <v>12191</v>
      </c>
      <c r="I107" t="s">
        <v>12093</v>
      </c>
      <c r="K107" t="str">
        <f t="shared" si="2"/>
        <v>condorProc.py --series 07200904_2111  --donoise --dumps a --procenv environments/pymidas_r72.env</v>
      </c>
    </row>
    <row r="108" spans="1:12">
      <c r="A108" t="s">
        <v>12255</v>
      </c>
      <c r="B108" t="s">
        <v>12104</v>
      </c>
      <c r="C108">
        <v>-100</v>
      </c>
      <c r="D108">
        <v>2.98E-2</v>
      </c>
      <c r="E108">
        <v>60</v>
      </c>
      <c r="F108">
        <v>0</v>
      </c>
      <c r="H108" t="s">
        <v>12191</v>
      </c>
      <c r="I108" t="s">
        <v>12093</v>
      </c>
      <c r="K108" t="str">
        <f t="shared" si="2"/>
        <v>condorProc.py --series 07200906_2215  --donoise --dumps a --procenv environments/pymidas_r72.env</v>
      </c>
    </row>
    <row r="109" spans="1:12">
      <c r="A109" t="s">
        <v>12256</v>
      </c>
      <c r="B109" t="s">
        <v>12104</v>
      </c>
      <c r="C109">
        <v>0</v>
      </c>
      <c r="D109">
        <v>0</v>
      </c>
      <c r="E109">
        <v>60</v>
      </c>
      <c r="F109">
        <v>-3.9689999999999999</v>
      </c>
      <c r="I109" t="s">
        <v>12093</v>
      </c>
      <c r="K109" t="str">
        <f t="shared" si="2"/>
        <v>condorProc.py --series 07200907_2232  --donoise --dumps a --procenv environments/pymidas_r72.env</v>
      </c>
    </row>
    <row r="110" spans="1:12">
      <c r="A110" t="s">
        <v>12257</v>
      </c>
      <c r="B110" t="s">
        <v>12104</v>
      </c>
      <c r="C110">
        <v>0</v>
      </c>
      <c r="D110">
        <v>0</v>
      </c>
      <c r="E110">
        <v>60</v>
      </c>
      <c r="F110">
        <v>-3.9689999999999999</v>
      </c>
      <c r="I110" t="s">
        <v>12093</v>
      </c>
      <c r="K110" t="str">
        <f t="shared" si="2"/>
        <v>condorProc.py --series 07200907_2333  --donoise --dumps a --procenv environments/pymidas_r72.env</v>
      </c>
    </row>
    <row r="111" spans="1:12">
      <c r="A111" t="s">
        <v>12258</v>
      </c>
      <c r="B111" t="s">
        <v>12104</v>
      </c>
      <c r="C111">
        <v>300</v>
      </c>
      <c r="D111">
        <v>3.1600000000000003E-2</v>
      </c>
      <c r="E111">
        <v>60</v>
      </c>
      <c r="F111">
        <v>-3.9689999999999999</v>
      </c>
      <c r="G111" t="s">
        <v>12259</v>
      </c>
      <c r="H111" t="s">
        <v>12191</v>
      </c>
      <c r="I111" t="s">
        <v>12093</v>
      </c>
      <c r="K111" t="str">
        <f t="shared" si="2"/>
        <v>condorProc.py --series 07200908_1643  --donoise --dumps a --procenv environments/pymidas_r72.env</v>
      </c>
    </row>
    <row r="112" spans="1:12">
      <c r="A112" t="s">
        <v>12260</v>
      </c>
      <c r="B112" t="s">
        <v>12104</v>
      </c>
      <c r="C112">
        <v>300</v>
      </c>
      <c r="D112">
        <v>2.6800000000000001E-2</v>
      </c>
      <c r="E112">
        <v>60</v>
      </c>
      <c r="F112">
        <v>-3.9689999999999999</v>
      </c>
      <c r="G112" t="s">
        <v>12261</v>
      </c>
      <c r="H112" t="s">
        <v>12191</v>
      </c>
      <c r="I112" t="s">
        <v>12093</v>
      </c>
      <c r="K112" t="str">
        <f t="shared" ref="K112:K143" si="3">"condorProc.py --series "&amp;A112&amp;"  --donoise --dumps a --procenv environments/pymidas_r72.env"</f>
        <v>condorProc.py --series 07200909_0847  --donoise --dumps a --procenv environments/pymidas_r72.env</v>
      </c>
    </row>
    <row r="113" spans="1:11">
      <c r="A113" t="s">
        <v>12262</v>
      </c>
      <c r="B113" t="s">
        <v>12104</v>
      </c>
      <c r="C113">
        <v>100</v>
      </c>
      <c r="D113">
        <v>2.7400000000000001E-2</v>
      </c>
      <c r="E113">
        <v>60</v>
      </c>
      <c r="F113">
        <v>-3.9689999999999999</v>
      </c>
      <c r="G113" t="s">
        <v>12261</v>
      </c>
      <c r="H113" t="s">
        <v>12191</v>
      </c>
      <c r="I113" t="s">
        <v>12093</v>
      </c>
      <c r="K113" t="str">
        <f t="shared" si="3"/>
        <v>condorProc.py --series 07200909_1433  --donoise --dumps a --procenv environments/pymidas_r72.env</v>
      </c>
    </row>
    <row r="114" spans="1:11">
      <c r="A114" t="s">
        <v>12263</v>
      </c>
      <c r="B114" t="s">
        <v>12104</v>
      </c>
      <c r="C114">
        <v>-100</v>
      </c>
      <c r="D114">
        <v>2.7099999999999999E-2</v>
      </c>
      <c r="E114">
        <v>60</v>
      </c>
      <c r="F114">
        <v>-3.9689999999999999</v>
      </c>
      <c r="G114" t="s">
        <v>12261</v>
      </c>
      <c r="H114" t="s">
        <v>12191</v>
      </c>
      <c r="I114" t="s">
        <v>12093</v>
      </c>
      <c r="K114" t="str">
        <f t="shared" si="3"/>
        <v>condorProc.py --series 07200910_1646  --donoise --dumps a --procenv environments/pymidas_r72.env</v>
      </c>
    </row>
    <row r="115" spans="1:11">
      <c r="A115" t="s">
        <v>12264</v>
      </c>
      <c r="B115" t="s">
        <v>12104</v>
      </c>
      <c r="C115">
        <v>-300</v>
      </c>
      <c r="D115">
        <v>3.1E-2</v>
      </c>
      <c r="E115">
        <v>60</v>
      </c>
      <c r="F115">
        <v>-3.9689999999999999</v>
      </c>
      <c r="G115" t="s">
        <v>12261</v>
      </c>
      <c r="H115" t="s">
        <v>12191</v>
      </c>
      <c r="I115" t="s">
        <v>12093</v>
      </c>
      <c r="K115" t="str">
        <f t="shared" si="3"/>
        <v>condorProc.py --series 07200910_2002  --donoise --dumps a --procenv environments/pymidas_r72.env</v>
      </c>
    </row>
    <row r="116" spans="1:11">
      <c r="A116" t="s">
        <v>12265</v>
      </c>
      <c r="B116" t="s">
        <v>12104</v>
      </c>
      <c r="C116">
        <v>0</v>
      </c>
      <c r="D116">
        <v>0</v>
      </c>
      <c r="E116">
        <v>60</v>
      </c>
      <c r="F116">
        <v>-5.8869999999999996</v>
      </c>
      <c r="G116" t="s">
        <v>12266</v>
      </c>
      <c r="H116" t="s">
        <v>12267</v>
      </c>
      <c r="I116" t="s">
        <v>12093</v>
      </c>
      <c r="K116" t="str">
        <f t="shared" si="3"/>
        <v>condorProc.py --series 07200911_0835  --donoise --dumps a --procenv environments/pymidas_r72.env</v>
      </c>
    </row>
    <row r="117" spans="1:11">
      <c r="A117" t="s">
        <v>12268</v>
      </c>
      <c r="B117" t="s">
        <v>12104</v>
      </c>
      <c r="C117">
        <v>0</v>
      </c>
      <c r="D117">
        <v>0</v>
      </c>
      <c r="E117">
        <v>60</v>
      </c>
      <c r="F117">
        <v>-5.8869999999999996</v>
      </c>
      <c r="G117" t="s">
        <v>12266</v>
      </c>
      <c r="I117" t="s">
        <v>12093</v>
      </c>
      <c r="K117" t="str">
        <f t="shared" si="3"/>
        <v>condorProc.py --series 07200911_1854  --donoise --dumps a --procenv environments/pymidas_r72.env</v>
      </c>
    </row>
    <row r="118" spans="1:11">
      <c r="A118" t="s">
        <v>12269</v>
      </c>
      <c r="B118" t="s">
        <v>12104</v>
      </c>
      <c r="C118">
        <v>0</v>
      </c>
      <c r="D118">
        <v>0</v>
      </c>
      <c r="E118">
        <v>60</v>
      </c>
      <c r="F118">
        <v>-9.9879999999999995</v>
      </c>
      <c r="G118" t="s">
        <v>12270</v>
      </c>
      <c r="I118" t="s">
        <v>12093</v>
      </c>
      <c r="K118" t="str">
        <f t="shared" si="3"/>
        <v>condorProc.py --series 07200912_1601  --donoise --dumps a --procenv environments/pymidas_r72.env</v>
      </c>
    </row>
    <row r="119" spans="1:11">
      <c r="A119" t="s">
        <v>12271</v>
      </c>
      <c r="B119" t="s">
        <v>12104</v>
      </c>
      <c r="C119">
        <v>100</v>
      </c>
      <c r="D119">
        <v>2.7400000000000001E-2</v>
      </c>
      <c r="E119">
        <v>60</v>
      </c>
      <c r="F119">
        <v>-9.9879999999999995</v>
      </c>
      <c r="G119" t="s">
        <v>12270</v>
      </c>
      <c r="H119" t="s">
        <v>12191</v>
      </c>
      <c r="I119" t="s">
        <v>12093</v>
      </c>
      <c r="K119" t="str">
        <f t="shared" si="3"/>
        <v>condorProc.py --series 07200912_2324  --donoise --dumps a --procenv environments/pymidas_r72.env</v>
      </c>
    </row>
    <row r="120" spans="1:11">
      <c r="A120" t="s">
        <v>12272</v>
      </c>
      <c r="B120" t="s">
        <v>12104</v>
      </c>
      <c r="C120">
        <v>300</v>
      </c>
      <c r="D120">
        <v>2.6200000000000001E-2</v>
      </c>
      <c r="E120">
        <v>60</v>
      </c>
      <c r="F120">
        <v>-9.9879999999999995</v>
      </c>
      <c r="G120" t="s">
        <v>12270</v>
      </c>
      <c r="H120" t="s">
        <v>12191</v>
      </c>
      <c r="I120" t="s">
        <v>12093</v>
      </c>
      <c r="K120" t="str">
        <f t="shared" si="3"/>
        <v>condorProc.py --series 07200913_1430  --donoise --dumps a --procenv environments/pymidas_r72.env</v>
      </c>
    </row>
    <row r="121" spans="1:11">
      <c r="A121" t="s">
        <v>12273</v>
      </c>
      <c r="B121" t="s">
        <v>12104</v>
      </c>
      <c r="C121">
        <v>-100</v>
      </c>
      <c r="D121">
        <v>2.8000000000000001E-2</v>
      </c>
      <c r="E121">
        <v>60</v>
      </c>
      <c r="F121">
        <v>-9.9879999999999995</v>
      </c>
      <c r="G121" t="s">
        <v>12270</v>
      </c>
      <c r="H121" t="s">
        <v>12191</v>
      </c>
      <c r="I121" t="s">
        <v>12093</v>
      </c>
      <c r="K121" t="str">
        <f t="shared" si="3"/>
        <v>condorProc.py --series 07200913_1642  --donoise --dumps a --procenv environments/pymidas_r72.env</v>
      </c>
    </row>
    <row r="122" spans="1:11">
      <c r="A122" t="s">
        <v>12274</v>
      </c>
      <c r="B122" t="s">
        <v>12104</v>
      </c>
      <c r="C122">
        <v>0</v>
      </c>
      <c r="D122">
        <v>0</v>
      </c>
      <c r="E122">
        <v>60</v>
      </c>
      <c r="F122">
        <v>-12.502000000000001</v>
      </c>
      <c r="G122" t="s">
        <v>3385</v>
      </c>
      <c r="I122" t="s">
        <v>12093</v>
      </c>
      <c r="K122" t="str">
        <f t="shared" si="3"/>
        <v>condorProc.py --series 07200921_1205  --donoise --dumps a --procenv environments/pymidas_r72.env</v>
      </c>
    </row>
    <row r="123" spans="1:11">
      <c r="A123" t="s">
        <v>12275</v>
      </c>
      <c r="B123" t="s">
        <v>12104</v>
      </c>
      <c r="C123">
        <v>100</v>
      </c>
      <c r="D123">
        <v>2.8000000000000001E-2</v>
      </c>
      <c r="E123">
        <v>60</v>
      </c>
      <c r="F123">
        <v>-12.502000000000001</v>
      </c>
      <c r="H123" t="s">
        <v>12191</v>
      </c>
      <c r="I123" t="s">
        <v>12093</v>
      </c>
      <c r="K123" t="str">
        <f t="shared" si="3"/>
        <v>condorProc.py --series 07200921_1845  --donoise --dumps a --procenv environments/pymidas_r72.env</v>
      </c>
    </row>
    <row r="124" spans="1:11">
      <c r="A124" t="s">
        <v>12276</v>
      </c>
      <c r="B124" t="s">
        <v>12104</v>
      </c>
      <c r="C124">
        <v>300</v>
      </c>
      <c r="D124">
        <v>2.6200000000000001E-2</v>
      </c>
      <c r="E124">
        <v>60</v>
      </c>
      <c r="F124">
        <v>-12.502000000000001</v>
      </c>
      <c r="G124" t="s">
        <v>3385</v>
      </c>
      <c r="H124" t="s">
        <v>12191</v>
      </c>
      <c r="I124" t="s">
        <v>12093</v>
      </c>
      <c r="K124" t="str">
        <f t="shared" si="3"/>
        <v>condorProc.py --series 07200922_1438  --donoise --dumps a --procenv environments/pymidas_r72.env</v>
      </c>
    </row>
    <row r="125" spans="1:11">
      <c r="A125" t="s">
        <v>12277</v>
      </c>
      <c r="B125" t="s">
        <v>12104</v>
      </c>
      <c r="C125">
        <v>-100</v>
      </c>
      <c r="D125">
        <v>2.8000000000000001E-2</v>
      </c>
      <c r="E125">
        <v>60</v>
      </c>
      <c r="F125">
        <v>-12.502000000000001</v>
      </c>
      <c r="H125" t="s">
        <v>12191</v>
      </c>
      <c r="I125" t="s">
        <v>12093</v>
      </c>
      <c r="K125" t="str">
        <f t="shared" si="3"/>
        <v>condorProc.py --series 07200922_1749  --donoise --dumps a --procenv environments/pymidas_r72.env</v>
      </c>
    </row>
    <row r="126" spans="1:11">
      <c r="A126" t="s">
        <v>12278</v>
      </c>
      <c r="B126" t="s">
        <v>12104</v>
      </c>
      <c r="C126">
        <v>-300</v>
      </c>
      <c r="D126">
        <v>3.0499999999999999E-2</v>
      </c>
      <c r="E126">
        <v>60</v>
      </c>
      <c r="F126">
        <v>-12.502000000000001</v>
      </c>
      <c r="H126" t="s">
        <v>12191</v>
      </c>
      <c r="I126" t="s">
        <v>12093</v>
      </c>
      <c r="K126" t="str">
        <f t="shared" si="3"/>
        <v>condorProc.py --series 07200922_2118  --donoise --dumps a --procenv environments/pymidas_r72.env</v>
      </c>
    </row>
    <row r="127" spans="1:11">
      <c r="A127" t="s">
        <v>12279</v>
      </c>
      <c r="B127" t="s">
        <v>12104</v>
      </c>
      <c r="C127">
        <v>0</v>
      </c>
      <c r="D127">
        <v>0</v>
      </c>
      <c r="E127">
        <v>60</v>
      </c>
      <c r="F127">
        <v>-17.992000000000001</v>
      </c>
      <c r="G127" t="s">
        <v>12280</v>
      </c>
      <c r="I127" t="s">
        <v>12093</v>
      </c>
      <c r="K127" t="str">
        <f t="shared" si="3"/>
        <v>condorProc.py --series 07201009_1907  --donoise --dumps a --procenv environments/pymidas_r72.env</v>
      </c>
    </row>
    <row r="128" spans="1:11">
      <c r="A128" t="s">
        <v>12281</v>
      </c>
      <c r="B128" t="s">
        <v>12104</v>
      </c>
      <c r="C128">
        <v>100</v>
      </c>
      <c r="D128">
        <v>2.7400000000000001E-2</v>
      </c>
      <c r="E128">
        <v>60</v>
      </c>
      <c r="F128">
        <v>-17.992000000000001</v>
      </c>
      <c r="G128" t="s">
        <v>12282</v>
      </c>
      <c r="H128" t="s">
        <v>12191</v>
      </c>
      <c r="I128" t="s">
        <v>12093</v>
      </c>
      <c r="K128" t="str">
        <f t="shared" si="3"/>
        <v>condorProc.py --series 07201009_2201  --donoise --dumps a --procenv environments/pymidas_r72.env</v>
      </c>
    </row>
    <row r="129" spans="1:11">
      <c r="A129" t="s">
        <v>12283</v>
      </c>
      <c r="B129" t="s">
        <v>12104</v>
      </c>
      <c r="C129">
        <v>0</v>
      </c>
      <c r="D129">
        <v>0</v>
      </c>
      <c r="E129">
        <v>60</v>
      </c>
      <c r="F129">
        <v>-17.992000000000001</v>
      </c>
      <c r="G129" t="s">
        <v>3385</v>
      </c>
      <c r="I129" t="s">
        <v>12093</v>
      </c>
      <c r="K129" t="str">
        <f t="shared" si="3"/>
        <v>condorProc.py --series 07201010_1438  --donoise --dumps a --procenv environments/pymidas_r72.env</v>
      </c>
    </row>
    <row r="130" spans="1:11">
      <c r="A130" t="s">
        <v>12284</v>
      </c>
      <c r="B130" t="s">
        <v>12104</v>
      </c>
      <c r="C130">
        <v>100</v>
      </c>
      <c r="D130">
        <v>2.7400000000000001E-2</v>
      </c>
      <c r="E130">
        <v>60</v>
      </c>
      <c r="F130">
        <v>-17.992000000000001</v>
      </c>
      <c r="H130" t="s">
        <v>12191</v>
      </c>
      <c r="I130" t="s">
        <v>12093</v>
      </c>
      <c r="K130" t="str">
        <f t="shared" si="3"/>
        <v>condorProc.py --series 07201010_1557  --donoise --dumps a --procenv environments/pymidas_r72.env</v>
      </c>
    </row>
    <row r="131" spans="1:11">
      <c r="A131" t="s">
        <v>12285</v>
      </c>
      <c r="B131" t="s">
        <v>12104</v>
      </c>
      <c r="C131">
        <v>300</v>
      </c>
      <c r="D131">
        <v>2.6200000000000001E-2</v>
      </c>
      <c r="E131">
        <v>60</v>
      </c>
      <c r="F131">
        <v>-17.992000000000001</v>
      </c>
      <c r="G131" t="s">
        <v>3385</v>
      </c>
      <c r="H131" t="s">
        <v>12191</v>
      </c>
      <c r="I131" t="s">
        <v>12093</v>
      </c>
      <c r="K131" t="str">
        <f t="shared" si="3"/>
        <v>condorProc.py --series 07201010_2107  --donoise --dumps a --procenv environments/pymidas_r72.env</v>
      </c>
    </row>
    <row r="132" spans="1:11">
      <c r="A132" t="s">
        <v>12286</v>
      </c>
      <c r="B132" t="s">
        <v>12104</v>
      </c>
      <c r="C132">
        <v>-100</v>
      </c>
      <c r="D132">
        <v>2.8500000000000001E-2</v>
      </c>
      <c r="E132">
        <v>60</v>
      </c>
      <c r="F132">
        <v>-17.992000000000001</v>
      </c>
      <c r="G132" t="s">
        <v>3385</v>
      </c>
      <c r="H132" t="s">
        <v>12191</v>
      </c>
      <c r="I132" t="s">
        <v>12093</v>
      </c>
      <c r="K132" t="str">
        <f t="shared" si="3"/>
        <v>condorProc.py --series 07201011_2112  --donoise --dumps a --procenv environments/pymidas_r72.env</v>
      </c>
    </row>
    <row r="133" spans="1:11">
      <c r="A133" t="s">
        <v>12287</v>
      </c>
      <c r="B133" t="s">
        <v>12104</v>
      </c>
      <c r="C133">
        <v>-300</v>
      </c>
      <c r="D133">
        <v>3.0499999999999999E-2</v>
      </c>
      <c r="E133">
        <v>60</v>
      </c>
      <c r="F133">
        <v>-17.992000000000001</v>
      </c>
      <c r="G133" t="s">
        <v>12288</v>
      </c>
      <c r="H133" t="s">
        <v>12191</v>
      </c>
      <c r="I133" t="s">
        <v>12289</v>
      </c>
      <c r="K133" t="str">
        <f t="shared" si="3"/>
        <v>condorProc.py --series 07201012_2222  --donoise --dumps a --procenv environments/pymidas_r72.env</v>
      </c>
    </row>
    <row r="134" spans="1:11">
      <c r="A134" t="s">
        <v>12290</v>
      </c>
      <c r="B134" t="s">
        <v>12104</v>
      </c>
      <c r="C134">
        <v>0</v>
      </c>
      <c r="D134">
        <v>0</v>
      </c>
      <c r="E134">
        <v>60</v>
      </c>
      <c r="F134" s="55">
        <v>-19.712</v>
      </c>
      <c r="G134" t="s">
        <v>12288</v>
      </c>
      <c r="I134" t="s">
        <v>12289</v>
      </c>
      <c r="K134" t="str">
        <f t="shared" si="3"/>
        <v>condorProc.py --series 07201013_1028  --donoise --dumps a --procenv environments/pymidas_r72.env</v>
      </c>
    </row>
    <row r="135" spans="1:11">
      <c r="A135" t="s">
        <v>12291</v>
      </c>
      <c r="B135" t="s">
        <v>12104</v>
      </c>
      <c r="C135">
        <v>-300</v>
      </c>
      <c r="D135">
        <v>3.0499999999999999E-2</v>
      </c>
      <c r="E135">
        <v>60</v>
      </c>
      <c r="F135" s="55">
        <v>-19.712</v>
      </c>
      <c r="G135" t="s">
        <v>12288</v>
      </c>
      <c r="H135" t="s">
        <v>12191</v>
      </c>
      <c r="I135" t="s">
        <v>12289</v>
      </c>
      <c r="K135" t="str">
        <f t="shared" si="3"/>
        <v>condorProc.py --series 07201013_1221  --donoise --dumps a --procenv environments/pymidas_r72.env</v>
      </c>
    </row>
    <row r="136" spans="1:11">
      <c r="A136" t="s">
        <v>12292</v>
      </c>
      <c r="B136" t="s">
        <v>12104</v>
      </c>
      <c r="C136">
        <v>300</v>
      </c>
      <c r="D136">
        <v>2.6200000000000001E-2</v>
      </c>
      <c r="E136">
        <v>60</v>
      </c>
      <c r="F136" s="55">
        <v>-19.712</v>
      </c>
      <c r="G136" t="s">
        <v>12288</v>
      </c>
      <c r="H136" t="s">
        <v>12191</v>
      </c>
      <c r="I136" t="s">
        <v>12289</v>
      </c>
      <c r="K136" t="str">
        <f t="shared" si="3"/>
        <v>condorProc.py --series 07201013_1643  --donoise --dumps a --procenv environments/pymidas_r72.env</v>
      </c>
    </row>
    <row r="137" spans="1:11">
      <c r="A137" t="s">
        <v>12293</v>
      </c>
      <c r="B137" t="s">
        <v>12104</v>
      </c>
      <c r="C137">
        <v>0</v>
      </c>
      <c r="D137">
        <v>0</v>
      </c>
      <c r="E137">
        <v>60</v>
      </c>
      <c r="F137" s="252">
        <v>-21.033999999999999</v>
      </c>
      <c r="G137" t="s">
        <v>12288</v>
      </c>
      <c r="I137" t="s">
        <v>12289</v>
      </c>
      <c r="K137" t="str">
        <f t="shared" si="3"/>
        <v>condorProc.py --series 07201014_1530  --donoise --dumps a --procenv environments/pymidas_r72.env</v>
      </c>
    </row>
    <row r="138" spans="1:11">
      <c r="A138" t="s">
        <v>12294</v>
      </c>
      <c r="B138" t="s">
        <v>12104</v>
      </c>
      <c r="C138">
        <v>300</v>
      </c>
      <c r="D138">
        <v>2.6200000000000001E-2</v>
      </c>
      <c r="E138">
        <v>60</v>
      </c>
      <c r="F138" s="252">
        <v>-21.033999999999999</v>
      </c>
      <c r="G138" t="s">
        <v>12288</v>
      </c>
      <c r="H138" t="s">
        <v>12191</v>
      </c>
      <c r="I138" t="s">
        <v>12289</v>
      </c>
      <c r="K138" t="str">
        <f t="shared" si="3"/>
        <v>condorProc.py --series 07201014_1653  --donoise --dumps a --procenv environments/pymidas_r72.env</v>
      </c>
    </row>
    <row r="139" spans="1:11">
      <c r="A139" t="s">
        <v>12295</v>
      </c>
      <c r="B139" t="s">
        <v>12104</v>
      </c>
      <c r="C139">
        <v>100</v>
      </c>
      <c r="D139">
        <v>2.7400000000000001E-2</v>
      </c>
      <c r="E139">
        <v>60</v>
      </c>
      <c r="F139" s="252">
        <v>-21.033999999999999</v>
      </c>
      <c r="G139" t="s">
        <v>12288</v>
      </c>
      <c r="H139" t="s">
        <v>12191</v>
      </c>
      <c r="I139" t="s">
        <v>12289</v>
      </c>
      <c r="K139" t="str">
        <f t="shared" si="3"/>
        <v>condorProc.py --series 07201014_1942  --donoise --dumps a --procenv environments/pymidas_r72.env</v>
      </c>
    </row>
    <row r="140" spans="1:11">
      <c r="A140" t="s">
        <v>12296</v>
      </c>
      <c r="B140" t="s">
        <v>12104</v>
      </c>
      <c r="C140">
        <v>10</v>
      </c>
      <c r="D140">
        <v>2.0299999999999999E-2</v>
      </c>
      <c r="E140">
        <v>60</v>
      </c>
      <c r="F140" s="252">
        <v>-21.033999999999999</v>
      </c>
      <c r="G140" t="s">
        <v>12288</v>
      </c>
      <c r="H140" t="s">
        <v>12191</v>
      </c>
      <c r="I140" t="s">
        <v>12289</v>
      </c>
      <c r="K140" t="str">
        <f t="shared" si="3"/>
        <v>condorProc.py --series 07201015_0906  --donoise --dumps a --procenv environments/pymidas_r72.env</v>
      </c>
    </row>
    <row r="141" spans="1:11">
      <c r="A141" t="s">
        <v>12297</v>
      </c>
      <c r="B141" t="s">
        <v>12104</v>
      </c>
      <c r="C141">
        <v>-300</v>
      </c>
      <c r="D141">
        <v>3.0499999999999999E-2</v>
      </c>
      <c r="E141">
        <v>60</v>
      </c>
      <c r="F141" s="252">
        <v>-21.033999999999999</v>
      </c>
      <c r="G141" t="s">
        <v>12298</v>
      </c>
      <c r="H141" t="s">
        <v>12191</v>
      </c>
      <c r="I141" t="s">
        <v>12289</v>
      </c>
      <c r="K141" t="str">
        <f t="shared" si="3"/>
        <v>condorProc.py --series 07201015_1603  --donoise --dumps a --procenv environments/pymidas_r72.env</v>
      </c>
    </row>
    <row r="142" spans="1:11">
      <c r="A142" t="s">
        <v>12299</v>
      </c>
      <c r="B142" t="s">
        <v>12104</v>
      </c>
      <c r="C142">
        <v>-10</v>
      </c>
      <c r="D142">
        <v>2.1999999999999999E-2</v>
      </c>
      <c r="E142">
        <v>60</v>
      </c>
      <c r="F142" s="252">
        <v>-21.033999999999999</v>
      </c>
      <c r="G142" t="s">
        <v>12298</v>
      </c>
      <c r="I142" t="s">
        <v>12289</v>
      </c>
      <c r="K142" t="str">
        <f t="shared" si="3"/>
        <v>condorProc.py --series 07201015_2017  --donoise --dumps a --procenv environments/pymidas_r72.env</v>
      </c>
    </row>
    <row r="143" spans="1:11">
      <c r="A143" t="s">
        <v>12300</v>
      </c>
      <c r="B143" t="s">
        <v>12104</v>
      </c>
      <c r="C143">
        <v>0</v>
      </c>
      <c r="D143">
        <v>0</v>
      </c>
      <c r="E143">
        <v>60</v>
      </c>
      <c r="F143" s="252">
        <v>-24.077000000000002</v>
      </c>
      <c r="G143" t="s">
        <v>12298</v>
      </c>
      <c r="I143" t="s">
        <v>12289</v>
      </c>
      <c r="K143" t="str">
        <f t="shared" si="3"/>
        <v>condorProc.py --series 07201016_0736  --donoise --dumps a --procenv environments/pymidas_r72.env</v>
      </c>
    </row>
    <row r="144" spans="1:11">
      <c r="A144" t="s">
        <v>12301</v>
      </c>
      <c r="B144" t="s">
        <v>12104</v>
      </c>
      <c r="C144">
        <v>-300</v>
      </c>
      <c r="D144">
        <v>3.0499999999999999E-2</v>
      </c>
      <c r="E144">
        <v>60</v>
      </c>
      <c r="F144" s="252">
        <v>-24.077000000000002</v>
      </c>
      <c r="G144" t="s">
        <v>12298</v>
      </c>
      <c r="H144" t="s">
        <v>12191</v>
      </c>
      <c r="I144" t="s">
        <v>12289</v>
      </c>
      <c r="K144" t="str">
        <f t="shared" ref="K144:K156" si="4">"condorProc.py --series "&amp;A144&amp;"  --donoise --dumps a --procenv environments/pymidas_r72.env"</f>
        <v>condorProc.py --series 07201016_0931  --donoise --dumps a --procenv environments/pymidas_r72.env</v>
      </c>
    </row>
    <row r="145" spans="1:11">
      <c r="A145" t="s">
        <v>12302</v>
      </c>
      <c r="B145" t="s">
        <v>12104</v>
      </c>
      <c r="C145">
        <v>-100</v>
      </c>
      <c r="D145">
        <v>2.8500000000000001E-2</v>
      </c>
      <c r="E145">
        <v>60</v>
      </c>
      <c r="F145" s="252">
        <v>-24.077000000000002</v>
      </c>
      <c r="G145" t="s">
        <v>12298</v>
      </c>
      <c r="H145" t="s">
        <v>12191</v>
      </c>
      <c r="I145" t="s">
        <v>12289</v>
      </c>
      <c r="K145" t="str">
        <f t="shared" si="4"/>
        <v>condorProc.py --series 07201016_1221  --donoise --dumps a --procenv environments/pymidas_r72.env</v>
      </c>
    </row>
    <row r="146" spans="1:11">
      <c r="A146" t="s">
        <v>12303</v>
      </c>
      <c r="B146" t="s">
        <v>12104</v>
      </c>
      <c r="C146">
        <v>100</v>
      </c>
      <c r="D146">
        <v>2.6200000000000001E-2</v>
      </c>
      <c r="E146">
        <v>60</v>
      </c>
      <c r="F146" s="252">
        <v>-24.077000000000002</v>
      </c>
      <c r="G146" t="s">
        <v>12298</v>
      </c>
      <c r="H146" t="s">
        <v>12191</v>
      </c>
      <c r="I146" t="s">
        <v>12289</v>
      </c>
      <c r="K146" t="str">
        <f t="shared" si="4"/>
        <v>condorProc.py --series 07201016_1637  --donoise --dumps a --procenv environments/pymidas_r72.env</v>
      </c>
    </row>
    <row r="147" spans="1:11">
      <c r="A147" t="s">
        <v>12304</v>
      </c>
      <c r="B147" t="s">
        <v>12104</v>
      </c>
      <c r="C147">
        <v>300</v>
      </c>
      <c r="D147">
        <v>2.6200000000000001E-2</v>
      </c>
      <c r="E147">
        <v>60</v>
      </c>
      <c r="F147" s="252">
        <v>-24.077000000000002</v>
      </c>
      <c r="G147" t="s">
        <v>12298</v>
      </c>
      <c r="H147" t="s">
        <v>12191</v>
      </c>
      <c r="I147" t="s">
        <v>12289</v>
      </c>
      <c r="K147" t="str">
        <f t="shared" si="4"/>
        <v>condorProc.py --series 07201016_2053  --donoise --dumps a --procenv environments/pymidas_r72.env</v>
      </c>
    </row>
    <row r="148" spans="1:11">
      <c r="A148" t="s">
        <v>12305</v>
      </c>
      <c r="B148" t="s">
        <v>12104</v>
      </c>
      <c r="C148">
        <v>0</v>
      </c>
      <c r="D148">
        <v>0</v>
      </c>
      <c r="E148">
        <v>60</v>
      </c>
      <c r="F148" s="252">
        <v>-29.501000000000001</v>
      </c>
      <c r="G148" t="s">
        <v>12298</v>
      </c>
      <c r="I148" t="s">
        <v>12289</v>
      </c>
      <c r="K148" t="str">
        <f t="shared" si="4"/>
        <v>condorProc.py --series 07201017_0915  --donoise --dumps a --procenv environments/pymidas_r72.env</v>
      </c>
    </row>
    <row r="149" spans="1:11">
      <c r="A149" t="s">
        <v>12306</v>
      </c>
      <c r="B149" t="s">
        <v>12104</v>
      </c>
      <c r="C149">
        <v>300</v>
      </c>
      <c r="D149">
        <v>2.6200000000000001E-2</v>
      </c>
      <c r="E149">
        <v>60</v>
      </c>
      <c r="F149" s="252">
        <v>-29.501000000000001</v>
      </c>
      <c r="G149" t="s">
        <v>12298</v>
      </c>
      <c r="H149" t="s">
        <v>12191</v>
      </c>
      <c r="I149" t="s">
        <v>12289</v>
      </c>
      <c r="K149" t="str">
        <f t="shared" si="4"/>
        <v>condorProc.py --series 07201017_1636  --donoise --dumps a --procenv environments/pymidas_r72.env</v>
      </c>
    </row>
    <row r="150" spans="1:11">
      <c r="A150" t="s">
        <v>12307</v>
      </c>
      <c r="B150" t="s">
        <v>12104</v>
      </c>
      <c r="C150">
        <v>100</v>
      </c>
      <c r="D150">
        <v>2.7400000000000001E-2</v>
      </c>
      <c r="E150">
        <v>60</v>
      </c>
      <c r="F150" s="252">
        <v>-29.501000000000001</v>
      </c>
      <c r="G150" t="s">
        <v>12298</v>
      </c>
      <c r="H150" t="s">
        <v>12191</v>
      </c>
      <c r="I150" t="s">
        <v>12289</v>
      </c>
      <c r="K150" t="str">
        <f t="shared" si="4"/>
        <v>condorProc.py --series 07201017_1937  --donoise --dumps a --procenv environments/pymidas_r72.env</v>
      </c>
    </row>
    <row r="151" spans="1:11">
      <c r="A151" t="s">
        <v>12308</v>
      </c>
      <c r="B151" t="s">
        <v>12104</v>
      </c>
      <c r="C151">
        <v>10</v>
      </c>
      <c r="D151">
        <v>2.1999999999999999E-2</v>
      </c>
      <c r="E151">
        <v>60</v>
      </c>
      <c r="F151" s="252">
        <v>-29.501000000000001</v>
      </c>
      <c r="G151" t="s">
        <v>12298</v>
      </c>
      <c r="I151" t="s">
        <v>12289</v>
      </c>
      <c r="K151" t="str">
        <f t="shared" si="4"/>
        <v>condorProc.py --series 07201017_2203  --donoise --dumps a --procenv environments/pymidas_r72.env</v>
      </c>
    </row>
    <row r="152" spans="1:11">
      <c r="A152" t="s">
        <v>12309</v>
      </c>
      <c r="B152" t="s">
        <v>12104</v>
      </c>
      <c r="C152">
        <v>-300</v>
      </c>
      <c r="D152">
        <v>3.0499999999999999E-2</v>
      </c>
      <c r="E152">
        <v>60</v>
      </c>
      <c r="F152" s="252">
        <v>-29.501000000000001</v>
      </c>
      <c r="G152" t="s">
        <v>12298</v>
      </c>
      <c r="H152" t="s">
        <v>12191</v>
      </c>
      <c r="I152" t="s">
        <v>12289</v>
      </c>
      <c r="K152" t="str">
        <f t="shared" si="4"/>
        <v>condorProc.py --series 07201018_1603  --donoise --dumps a --procenv environments/pymidas_r72.env</v>
      </c>
    </row>
    <row r="153" spans="1:11">
      <c r="A153" t="s">
        <v>12310</v>
      </c>
      <c r="B153" t="s">
        <v>12104</v>
      </c>
      <c r="C153">
        <v>-10</v>
      </c>
      <c r="D153">
        <v>2.1999999999999999E-2</v>
      </c>
      <c r="E153">
        <v>60</v>
      </c>
      <c r="F153" s="252">
        <v>-29.501000000000001</v>
      </c>
      <c r="G153" t="s">
        <v>12298</v>
      </c>
      <c r="I153" t="s">
        <v>12289</v>
      </c>
      <c r="K153" t="str">
        <f t="shared" si="4"/>
        <v>condorProc.py --series 07201018_1754  --donoise --dumps a --procenv environments/pymidas_r72.env</v>
      </c>
    </row>
    <row r="154" spans="1:11">
      <c r="A154" t="s">
        <v>12311</v>
      </c>
      <c r="B154" t="s">
        <v>12104</v>
      </c>
      <c r="C154">
        <v>-100</v>
      </c>
      <c r="D154">
        <v>2.8500000000000001E-2</v>
      </c>
      <c r="E154">
        <v>60</v>
      </c>
      <c r="F154" s="252">
        <v>-29.501000000000001</v>
      </c>
      <c r="G154" t="s">
        <v>12298</v>
      </c>
      <c r="H154" t="s">
        <v>12191</v>
      </c>
      <c r="I154" t="s">
        <v>12289</v>
      </c>
      <c r="K154" t="str">
        <f t="shared" si="4"/>
        <v>condorProc.py --series 07201018_2012  --donoise --dumps a --procenv environments/pymidas_r72.env</v>
      </c>
    </row>
    <row r="155" spans="1:11">
      <c r="A155" t="s">
        <v>12312</v>
      </c>
      <c r="B155" t="s">
        <v>12104</v>
      </c>
      <c r="C155">
        <v>-300</v>
      </c>
      <c r="D155">
        <v>3.0499999999999999E-2</v>
      </c>
      <c r="E155">
        <v>60</v>
      </c>
      <c r="F155" s="252">
        <v>-36.116</v>
      </c>
      <c r="G155" t="s">
        <v>12298</v>
      </c>
      <c r="H155" t="s">
        <v>12191</v>
      </c>
      <c r="I155" t="s">
        <v>12289</v>
      </c>
      <c r="K155" t="str">
        <f t="shared" si="4"/>
        <v>condorProc.py --series 07201019_0932  --donoise --dumps a --procenv environments/pymidas_r72.env</v>
      </c>
    </row>
    <row r="156" spans="1:11">
      <c r="A156" t="s">
        <v>12313</v>
      </c>
      <c r="B156" t="s">
        <v>12104</v>
      </c>
      <c r="C156">
        <v>-10</v>
      </c>
      <c r="D156">
        <v>2.2499999999999999E-2</v>
      </c>
      <c r="E156">
        <v>60</v>
      </c>
      <c r="F156" s="252">
        <v>-36.116</v>
      </c>
      <c r="G156" t="s">
        <v>12298</v>
      </c>
      <c r="I156" t="s">
        <v>12289</v>
      </c>
      <c r="K156" t="str">
        <f t="shared" si="4"/>
        <v>condorProc.py --series 07201019_1107  --donoise --dumps a --procenv environments/pymidas_r72.env</v>
      </c>
    </row>
    <row r="157" spans="1:11">
      <c r="A157" t="s">
        <v>12314</v>
      </c>
      <c r="B157" t="s">
        <v>12104</v>
      </c>
      <c r="C157">
        <v>10</v>
      </c>
      <c r="D157">
        <v>2.1999999999999999E-2</v>
      </c>
      <c r="E157">
        <v>16</v>
      </c>
      <c r="F157" s="252">
        <v>-36.116</v>
      </c>
      <c r="G157" t="s">
        <v>12315</v>
      </c>
    </row>
    <row r="158" spans="1:11">
      <c r="A158" t="s">
        <v>12316</v>
      </c>
      <c r="B158" t="s">
        <v>12104</v>
      </c>
      <c r="C158">
        <v>300</v>
      </c>
      <c r="D158">
        <v>2.6200000000000001E-2</v>
      </c>
      <c r="E158">
        <v>60</v>
      </c>
      <c r="F158" s="252">
        <v>-36.116</v>
      </c>
      <c r="G158" t="s">
        <v>12298</v>
      </c>
      <c r="H158" t="s">
        <v>12191</v>
      </c>
      <c r="I158" t="s">
        <v>12289</v>
      </c>
      <c r="K158" t="str">
        <f t="shared" ref="K158:K176" si="5">"condorProc.py --series "&amp;A158&amp;"  --donoise --dumps a --procenv environments/pymidas_r72.env"</f>
        <v>condorProc.py --series 07201022_1722  --donoise --dumps a --procenv environments/pymidas_r72.env</v>
      </c>
    </row>
    <row r="159" spans="1:11">
      <c r="A159" t="s">
        <v>12317</v>
      </c>
      <c r="B159" t="s">
        <v>12104</v>
      </c>
      <c r="C159">
        <v>100</v>
      </c>
      <c r="D159">
        <v>2.7400000000000001E-2</v>
      </c>
      <c r="E159">
        <v>60</v>
      </c>
      <c r="F159" s="252">
        <v>-36.116</v>
      </c>
      <c r="G159" t="s">
        <v>12298</v>
      </c>
      <c r="H159" t="s">
        <v>12191</v>
      </c>
      <c r="I159" t="s">
        <v>12289</v>
      </c>
      <c r="K159" t="str">
        <f t="shared" si="5"/>
        <v>condorProc.py --series 07201022_1924  --donoise --dumps a --procenv environments/pymidas_r72.env</v>
      </c>
    </row>
    <row r="160" spans="1:11">
      <c r="A160" t="s">
        <v>12318</v>
      </c>
      <c r="B160" t="s">
        <v>12104</v>
      </c>
      <c r="C160">
        <v>300</v>
      </c>
      <c r="D160">
        <v>2.6200000000000001E-2</v>
      </c>
      <c r="E160">
        <v>60</v>
      </c>
      <c r="F160" s="59">
        <v>-39.356999999999999</v>
      </c>
      <c r="G160" t="s">
        <v>12298</v>
      </c>
      <c r="H160" t="s">
        <v>12191</v>
      </c>
      <c r="I160" t="s">
        <v>12289</v>
      </c>
      <c r="K160" t="str">
        <f t="shared" si="5"/>
        <v>condorProc.py --series 07201023_0633  --donoise --dumps a --procenv environments/pymidas_r72.env</v>
      </c>
    </row>
    <row r="161" spans="1:12">
      <c r="A161" t="s">
        <v>12319</v>
      </c>
      <c r="B161" t="s">
        <v>12104</v>
      </c>
      <c r="C161">
        <v>100</v>
      </c>
      <c r="D161">
        <v>2.7400000000000001E-2</v>
      </c>
      <c r="E161">
        <v>60</v>
      </c>
      <c r="F161" s="59">
        <v>-39.356999999999999</v>
      </c>
      <c r="G161" t="s">
        <v>12298</v>
      </c>
      <c r="H161" t="s">
        <v>12191</v>
      </c>
      <c r="I161" t="s">
        <v>12289</v>
      </c>
      <c r="K161" t="str">
        <f t="shared" si="5"/>
        <v>condorProc.py --series 07201023_0921  --donoise --dumps a --procenv environments/pymidas_r72.env</v>
      </c>
    </row>
    <row r="162" spans="1:12">
      <c r="A162" t="s">
        <v>12320</v>
      </c>
      <c r="B162" t="s">
        <v>12104</v>
      </c>
      <c r="C162">
        <v>10</v>
      </c>
      <c r="D162">
        <v>2.1999999999999999E-2</v>
      </c>
      <c r="E162">
        <v>60</v>
      </c>
      <c r="F162" s="59">
        <v>-39.356999999999999</v>
      </c>
      <c r="G162" t="s">
        <v>12298</v>
      </c>
      <c r="H162" t="s">
        <v>12191</v>
      </c>
      <c r="I162" t="s">
        <v>12289</v>
      </c>
      <c r="K162" t="str">
        <f t="shared" si="5"/>
        <v>condorProc.py --series 07201023_1106  --donoise --dumps a --procenv environments/pymidas_r72.env</v>
      </c>
    </row>
    <row r="163" spans="1:12">
      <c r="A163" t="s">
        <v>12321</v>
      </c>
      <c r="B163" t="s">
        <v>12104</v>
      </c>
      <c r="C163">
        <v>0</v>
      </c>
      <c r="D163">
        <v>0</v>
      </c>
      <c r="E163">
        <v>60</v>
      </c>
      <c r="F163" s="59">
        <v>-39.356999999999999</v>
      </c>
      <c r="G163" t="s">
        <v>12298</v>
      </c>
      <c r="I163" t="s">
        <v>12289</v>
      </c>
      <c r="K163" t="str">
        <f t="shared" si="5"/>
        <v>condorProc.py --series 07201023_1625  --donoise --dumps a --procenv environments/pymidas_r72.env</v>
      </c>
    </row>
    <row r="164" spans="1:12">
      <c r="A164" t="s">
        <v>12322</v>
      </c>
      <c r="B164" t="s">
        <v>12104</v>
      </c>
      <c r="C164">
        <v>-100</v>
      </c>
      <c r="D164">
        <v>2.8500000000000001E-2</v>
      </c>
      <c r="E164">
        <v>60</v>
      </c>
      <c r="F164" s="59">
        <v>-39.356999999999999</v>
      </c>
      <c r="G164" t="s">
        <v>12298</v>
      </c>
      <c r="H164" t="s">
        <v>12191</v>
      </c>
      <c r="I164" t="s">
        <v>12289</v>
      </c>
      <c r="K164" t="str">
        <f t="shared" si="5"/>
        <v>condorProc.py --series 07201023_1830  --donoise --dumps a --procenv environments/pymidas_r72.env</v>
      </c>
    </row>
    <row r="165" spans="1:12">
      <c r="A165" t="s">
        <v>12323</v>
      </c>
      <c r="B165" t="s">
        <v>12104</v>
      </c>
      <c r="C165">
        <v>-300</v>
      </c>
      <c r="D165">
        <v>3.0499999999999999E-2</v>
      </c>
      <c r="E165">
        <v>60</v>
      </c>
      <c r="F165" s="59">
        <v>-39.356999999999999</v>
      </c>
      <c r="G165" t="s">
        <v>12298</v>
      </c>
      <c r="H165" t="s">
        <v>12191</v>
      </c>
      <c r="I165" t="s">
        <v>12289</v>
      </c>
      <c r="K165" t="str">
        <f t="shared" si="5"/>
        <v>condorProc.py --series 07201023_2103  --donoise --dumps a --procenv environments/pymidas_r72.env</v>
      </c>
    </row>
    <row r="166" spans="1:12">
      <c r="A166" t="s">
        <v>12324</v>
      </c>
      <c r="B166" t="s">
        <v>12104</v>
      </c>
      <c r="C166">
        <v>-300</v>
      </c>
      <c r="D166">
        <v>3.0499999999999999E-2</v>
      </c>
      <c r="E166">
        <v>60</v>
      </c>
      <c r="F166" s="253">
        <v>-41.01</v>
      </c>
      <c r="G166" t="s">
        <v>12298</v>
      </c>
      <c r="H166" t="s">
        <v>12191</v>
      </c>
      <c r="I166" t="s">
        <v>12289</v>
      </c>
      <c r="K166" t="str">
        <f t="shared" si="5"/>
        <v>condorProc.py --series 07201024_1012  --donoise --dumps a --procenv environments/pymidas_r72.env</v>
      </c>
    </row>
    <row r="167" spans="1:12">
      <c r="A167" t="s">
        <v>12325</v>
      </c>
      <c r="B167" t="s">
        <v>12104</v>
      </c>
      <c r="C167">
        <v>0</v>
      </c>
      <c r="D167">
        <v>0</v>
      </c>
      <c r="E167">
        <v>60</v>
      </c>
      <c r="F167" s="253">
        <v>-41.01</v>
      </c>
      <c r="G167" t="s">
        <v>12298</v>
      </c>
      <c r="I167" t="s">
        <v>12289</v>
      </c>
      <c r="K167" t="str">
        <f t="shared" si="5"/>
        <v>condorProc.py --series 07201024_1238  --donoise --dumps a --procenv environments/pymidas_r72.env</v>
      </c>
    </row>
    <row r="168" spans="1:12">
      <c r="A168" t="s">
        <v>12326</v>
      </c>
      <c r="B168" t="s">
        <v>12104</v>
      </c>
      <c r="C168">
        <v>300</v>
      </c>
      <c r="D168">
        <v>2.6200000000000001E-2</v>
      </c>
      <c r="E168">
        <v>60</v>
      </c>
      <c r="F168" s="253">
        <v>-41.01</v>
      </c>
      <c r="G168" t="s">
        <v>12298</v>
      </c>
      <c r="H168" t="s">
        <v>12191</v>
      </c>
      <c r="I168" t="s">
        <v>12093</v>
      </c>
      <c r="K168" t="str">
        <f t="shared" si="5"/>
        <v>condorProc.py --series 07201024_1749  --donoise --dumps a --procenv environments/pymidas_r72.env</v>
      </c>
    </row>
    <row r="169" spans="1:12">
      <c r="A169" t="s">
        <v>12327</v>
      </c>
      <c r="B169" t="s">
        <v>12104</v>
      </c>
      <c r="C169">
        <v>100</v>
      </c>
      <c r="D169">
        <v>2.7400000000000001E-2</v>
      </c>
      <c r="E169">
        <v>60</v>
      </c>
      <c r="F169" s="253">
        <v>-41.01</v>
      </c>
      <c r="G169" t="s">
        <v>12298</v>
      </c>
      <c r="H169" t="s">
        <v>12191</v>
      </c>
      <c r="I169" t="s">
        <v>12093</v>
      </c>
      <c r="K169" t="str">
        <f t="shared" si="5"/>
        <v>condorProc.py --series 07201024_2018  --donoise --dumps a --procenv environments/pymidas_r72.env</v>
      </c>
    </row>
    <row r="170" spans="1:12">
      <c r="A170" t="s">
        <v>12328</v>
      </c>
      <c r="B170" t="s">
        <v>12104</v>
      </c>
      <c r="C170">
        <v>10</v>
      </c>
      <c r="D170">
        <v>2.2499999999999999E-2</v>
      </c>
      <c r="E170">
        <v>60</v>
      </c>
      <c r="F170" s="253">
        <v>-41.01</v>
      </c>
      <c r="G170" t="s">
        <v>12298</v>
      </c>
      <c r="I170" t="s">
        <v>12289</v>
      </c>
      <c r="K170" t="str">
        <f t="shared" si="5"/>
        <v>condorProc.py --series 07201025_0856  --donoise --dumps a --procenv environments/pymidas_r72.env</v>
      </c>
    </row>
    <row r="171" spans="1:12">
      <c r="A171" t="s">
        <v>12329</v>
      </c>
      <c r="B171" t="s">
        <v>12104</v>
      </c>
      <c r="C171">
        <v>-100</v>
      </c>
      <c r="D171">
        <v>2.9000000000000001E-2</v>
      </c>
      <c r="E171">
        <v>60</v>
      </c>
      <c r="F171" s="253">
        <v>-41.01</v>
      </c>
      <c r="G171" t="s">
        <v>12298</v>
      </c>
      <c r="H171" t="s">
        <v>12191</v>
      </c>
      <c r="I171" t="s">
        <v>12289</v>
      </c>
      <c r="K171" t="str">
        <f t="shared" si="5"/>
        <v>condorProc.py --series 07201025_2006  --donoise --dumps a --procenv environments/pymidas_r72.env</v>
      </c>
    </row>
    <row r="172" spans="1:12">
      <c r="A172" t="s">
        <v>12330</v>
      </c>
      <c r="B172" t="s">
        <v>12104</v>
      </c>
      <c r="C172">
        <v>-10</v>
      </c>
      <c r="D172">
        <v>2.3E-2</v>
      </c>
      <c r="E172">
        <v>60</v>
      </c>
      <c r="F172" s="253">
        <v>-41.01</v>
      </c>
      <c r="G172" t="s">
        <v>12298</v>
      </c>
      <c r="I172" t="s">
        <v>12289</v>
      </c>
      <c r="K172" t="str">
        <f t="shared" si="5"/>
        <v>condorProc.py --series 07201026_1207  --donoise --dumps a --procenv environments/pymidas_r72.env</v>
      </c>
    </row>
    <row r="173" spans="1:12">
      <c r="A173" t="s">
        <v>12331</v>
      </c>
      <c r="B173" t="s">
        <v>12104</v>
      </c>
      <c r="C173">
        <v>0</v>
      </c>
      <c r="D173">
        <v>0</v>
      </c>
      <c r="E173">
        <v>60</v>
      </c>
      <c r="F173" s="253">
        <v>-41.94</v>
      </c>
      <c r="G173" t="s">
        <v>12298</v>
      </c>
      <c r="I173" t="s">
        <v>12289</v>
      </c>
      <c r="K173" t="str">
        <f t="shared" si="5"/>
        <v>condorProc.py --series 07201027_1725  --donoise --dumps a --procenv environments/pymidas_r72.env</v>
      </c>
    </row>
    <row r="174" spans="1:12">
      <c r="A174" t="s">
        <v>12332</v>
      </c>
      <c r="B174" t="s">
        <v>12104</v>
      </c>
      <c r="C174">
        <v>300</v>
      </c>
      <c r="D174">
        <v>2.6200000000000001E-2</v>
      </c>
      <c r="E174">
        <v>60</v>
      </c>
      <c r="F174" s="253">
        <v>-41.94</v>
      </c>
      <c r="G174" t="s">
        <v>12298</v>
      </c>
      <c r="H174" t="s">
        <v>12191</v>
      </c>
      <c r="I174" t="s">
        <v>12289</v>
      </c>
      <c r="K174" t="str">
        <f t="shared" si="5"/>
        <v>condorProc.py --series 07201027_2114  --donoise --dumps a --procenv environments/pymidas_r72.env</v>
      </c>
      <c r="L174" t="s">
        <v>12333</v>
      </c>
    </row>
    <row r="175" spans="1:12">
      <c r="A175" t="s">
        <v>12334</v>
      </c>
      <c r="B175" t="s">
        <v>12104</v>
      </c>
      <c r="C175">
        <v>0</v>
      </c>
      <c r="D175">
        <v>0</v>
      </c>
      <c r="E175">
        <v>60</v>
      </c>
      <c r="G175" t="s">
        <v>12298</v>
      </c>
      <c r="I175" t="s">
        <v>12289</v>
      </c>
      <c r="K175" t="str">
        <f t="shared" si="5"/>
        <v>condorProc.py --series 07201028_2326  --donoise --dumps a --procenv environments/pymidas_r72.env</v>
      </c>
    </row>
    <row r="176" spans="1:12">
      <c r="A176" t="s">
        <v>12335</v>
      </c>
      <c r="B176" t="s">
        <v>12104</v>
      </c>
      <c r="C176">
        <v>0</v>
      </c>
      <c r="D176">
        <v>0</v>
      </c>
      <c r="E176">
        <v>60</v>
      </c>
      <c r="G176" t="s">
        <v>12298</v>
      </c>
      <c r="I176" t="s">
        <v>12289</v>
      </c>
      <c r="K176" t="str">
        <f t="shared" si="5"/>
        <v>condorProc.py --series 07201029_0925  --donoise --dumps a --procenv environments/pymidas_r72.env</v>
      </c>
    </row>
  </sheetData>
  <sortState xmlns:xlrd2="http://schemas.microsoft.com/office/spreadsheetml/2017/richdata2" ref="A2:L176">
    <sortCondition ref="A2:A176"/>
  </sortState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E8F7-F059-4DB6-8196-3E00BD1E3554}">
  <dimension ref="A1:S21"/>
  <sheetViews>
    <sheetView workbookViewId="0">
      <selection activeCell="B4" sqref="B4"/>
    </sheetView>
  </sheetViews>
  <sheetFormatPr defaultRowHeight="14.45"/>
  <cols>
    <col min="8" max="8" width="14.140625" bestFit="1" customWidth="1"/>
  </cols>
  <sheetData>
    <row r="1" spans="1:19">
      <c r="A1" t="s">
        <v>12336</v>
      </c>
      <c r="H1" t="s">
        <v>12337</v>
      </c>
      <c r="I1" t="s">
        <v>12338</v>
      </c>
      <c r="J1" t="s">
        <v>12339</v>
      </c>
      <c r="K1" t="s">
        <v>12340</v>
      </c>
      <c r="L1" t="s">
        <v>12341</v>
      </c>
      <c r="M1" t="s">
        <v>12342</v>
      </c>
      <c r="O1" t="s">
        <v>12343</v>
      </c>
      <c r="P1" t="s">
        <v>12344</v>
      </c>
      <c r="Q1" t="s">
        <v>12345</v>
      </c>
      <c r="R1" t="s">
        <v>12346</v>
      </c>
      <c r="S1" t="s">
        <v>12347</v>
      </c>
    </row>
    <row r="2" spans="1:19">
      <c r="A2" t="s">
        <v>12093</v>
      </c>
      <c r="B2" t="s">
        <v>12348</v>
      </c>
      <c r="H2" t="s">
        <v>12242</v>
      </c>
      <c r="I2">
        <v>1.2</v>
      </c>
      <c r="J2">
        <v>3.3</v>
      </c>
      <c r="K2">
        <v>0.95</v>
      </c>
      <c r="L2">
        <v>1.05</v>
      </c>
      <c r="M2">
        <v>0.95</v>
      </c>
      <c r="O2">
        <f t="shared" ref="O2:O10" si="0">$M2/I2</f>
        <v>0.79166666666666663</v>
      </c>
      <c r="P2">
        <f t="shared" ref="P2:P10" si="1">$M2/J2</f>
        <v>0.2878787878787879</v>
      </c>
      <c r="Q2">
        <f t="shared" ref="Q2:Q10" si="2">$M2/K2</f>
        <v>1</v>
      </c>
      <c r="R2">
        <f t="shared" ref="R2:R10" si="3">$M2/L2</f>
        <v>0.90476190476190466</v>
      </c>
      <c r="S2">
        <f t="shared" ref="S2:S10" si="4">M2</f>
        <v>0.95</v>
      </c>
    </row>
    <row r="3" spans="1:19">
      <c r="A3" t="s">
        <v>12222</v>
      </c>
      <c r="B3" t="s">
        <v>12349</v>
      </c>
      <c r="H3" t="s">
        <v>12260</v>
      </c>
      <c r="I3">
        <v>1.2</v>
      </c>
      <c r="J3">
        <v>3.3</v>
      </c>
      <c r="K3">
        <v>1</v>
      </c>
      <c r="L3">
        <v>1.1000000000000001</v>
      </c>
      <c r="M3">
        <v>1.38</v>
      </c>
      <c r="O3">
        <f t="shared" si="0"/>
        <v>1.1499999999999999</v>
      </c>
      <c r="P3">
        <f t="shared" si="1"/>
        <v>0.41818181818181815</v>
      </c>
      <c r="Q3">
        <f t="shared" si="2"/>
        <v>1.38</v>
      </c>
      <c r="R3">
        <f t="shared" si="3"/>
        <v>1.2545454545454544</v>
      </c>
      <c r="S3">
        <f t="shared" si="4"/>
        <v>1.38</v>
      </c>
    </row>
    <row r="4" spans="1:19">
      <c r="A4" t="s">
        <v>12289</v>
      </c>
      <c r="B4" t="s">
        <v>12350</v>
      </c>
      <c r="H4" t="s">
        <v>12272</v>
      </c>
      <c r="I4">
        <v>1.2</v>
      </c>
      <c r="J4">
        <v>3.7</v>
      </c>
      <c r="K4">
        <v>1</v>
      </c>
      <c r="L4">
        <v>1.1000000000000001</v>
      </c>
      <c r="M4">
        <v>1.02</v>
      </c>
      <c r="O4">
        <f t="shared" si="0"/>
        <v>0.85000000000000009</v>
      </c>
      <c r="P4">
        <f t="shared" si="1"/>
        <v>0.27567567567567569</v>
      </c>
      <c r="Q4">
        <f t="shared" si="2"/>
        <v>1.02</v>
      </c>
      <c r="R4">
        <f t="shared" si="3"/>
        <v>0.92727272727272725</v>
      </c>
      <c r="S4">
        <f t="shared" si="4"/>
        <v>1.02</v>
      </c>
    </row>
    <row r="5" spans="1:19">
      <c r="H5" t="s">
        <v>12276</v>
      </c>
      <c r="I5">
        <v>1.8</v>
      </c>
      <c r="J5">
        <v>2.6</v>
      </c>
      <c r="K5">
        <v>3.4</v>
      </c>
      <c r="L5">
        <v>1.1000000000000001</v>
      </c>
      <c r="M5">
        <v>1.25</v>
      </c>
      <c r="O5">
        <f t="shared" si="0"/>
        <v>0.69444444444444442</v>
      </c>
      <c r="P5">
        <f t="shared" si="1"/>
        <v>0.48076923076923073</v>
      </c>
      <c r="Q5">
        <f t="shared" si="2"/>
        <v>0.36764705882352944</v>
      </c>
      <c r="R5">
        <f t="shared" si="3"/>
        <v>1.1363636363636362</v>
      </c>
      <c r="S5">
        <f t="shared" si="4"/>
        <v>1.25</v>
      </c>
    </row>
    <row r="6" spans="1:19">
      <c r="H6" t="s">
        <v>12285</v>
      </c>
      <c r="I6">
        <v>1.8</v>
      </c>
      <c r="J6">
        <v>4</v>
      </c>
      <c r="K6">
        <v>1.5</v>
      </c>
      <c r="L6">
        <v>1.1000000000000001</v>
      </c>
      <c r="M6">
        <v>1.71</v>
      </c>
      <c r="O6">
        <f t="shared" si="0"/>
        <v>0.95</v>
      </c>
      <c r="P6">
        <f t="shared" si="1"/>
        <v>0.42749999999999999</v>
      </c>
      <c r="Q6">
        <f t="shared" si="2"/>
        <v>1.1399999999999999</v>
      </c>
      <c r="R6">
        <f t="shared" si="3"/>
        <v>1.5545454545454545</v>
      </c>
      <c r="S6">
        <f t="shared" si="4"/>
        <v>1.71</v>
      </c>
    </row>
    <row r="7" spans="1:19">
      <c r="H7" t="s">
        <v>12292</v>
      </c>
      <c r="I7">
        <v>1.8</v>
      </c>
      <c r="J7">
        <v>8</v>
      </c>
      <c r="K7">
        <v>2.7</v>
      </c>
      <c r="L7">
        <v>2</v>
      </c>
      <c r="M7">
        <v>1.3</v>
      </c>
      <c r="O7">
        <f t="shared" si="0"/>
        <v>0.72222222222222221</v>
      </c>
      <c r="P7">
        <f t="shared" si="1"/>
        <v>0.16250000000000001</v>
      </c>
      <c r="Q7">
        <f t="shared" si="2"/>
        <v>0.48148148148148145</v>
      </c>
      <c r="R7">
        <f t="shared" si="3"/>
        <v>0.65</v>
      </c>
      <c r="S7">
        <f t="shared" si="4"/>
        <v>1.3</v>
      </c>
    </row>
    <row r="8" spans="1:19">
      <c r="H8" t="s">
        <v>12294</v>
      </c>
      <c r="I8">
        <v>1.2</v>
      </c>
      <c r="J8">
        <v>3</v>
      </c>
      <c r="K8">
        <v>1.2</v>
      </c>
      <c r="L8">
        <v>1.1000000000000001</v>
      </c>
      <c r="M8">
        <v>1.2</v>
      </c>
      <c r="O8">
        <f t="shared" si="0"/>
        <v>1</v>
      </c>
      <c r="P8">
        <f t="shared" si="1"/>
        <v>0.39999999999999997</v>
      </c>
      <c r="Q8">
        <f t="shared" si="2"/>
        <v>1</v>
      </c>
      <c r="R8">
        <f t="shared" si="3"/>
        <v>1.0909090909090908</v>
      </c>
      <c r="S8">
        <f t="shared" si="4"/>
        <v>1.2</v>
      </c>
    </row>
    <row r="9" spans="1:19">
      <c r="H9" t="s">
        <v>12304</v>
      </c>
      <c r="I9">
        <v>1.1000000000000001</v>
      </c>
      <c r="J9">
        <v>3.5</v>
      </c>
      <c r="K9">
        <v>1.3</v>
      </c>
      <c r="L9">
        <v>1.4</v>
      </c>
      <c r="M9">
        <v>0.95</v>
      </c>
      <c r="O9">
        <f t="shared" si="0"/>
        <v>0.86363636363636354</v>
      </c>
      <c r="P9">
        <f t="shared" si="1"/>
        <v>0.27142857142857141</v>
      </c>
      <c r="Q9">
        <f t="shared" si="2"/>
        <v>0.73076923076923073</v>
      </c>
      <c r="R9">
        <f t="shared" si="3"/>
        <v>0.6785714285714286</v>
      </c>
      <c r="S9">
        <f t="shared" si="4"/>
        <v>0.95</v>
      </c>
    </row>
    <row r="10" spans="1:19">
      <c r="H10" t="s">
        <v>12306</v>
      </c>
      <c r="I10">
        <v>0.9</v>
      </c>
      <c r="J10">
        <v>1.9</v>
      </c>
      <c r="K10">
        <v>1</v>
      </c>
      <c r="L10">
        <v>1.05</v>
      </c>
      <c r="M10">
        <v>1.1200000000000001</v>
      </c>
      <c r="O10">
        <f t="shared" si="0"/>
        <v>1.2444444444444445</v>
      </c>
      <c r="P10">
        <f t="shared" si="1"/>
        <v>0.58947368421052637</v>
      </c>
      <c r="Q10">
        <f t="shared" si="2"/>
        <v>1.1200000000000001</v>
      </c>
      <c r="R10">
        <f t="shared" si="3"/>
        <v>1.0666666666666667</v>
      </c>
      <c r="S10">
        <f t="shared" si="4"/>
        <v>1.1200000000000001</v>
      </c>
    </row>
    <row r="11" spans="1:19">
      <c r="H11" t="s">
        <v>12316</v>
      </c>
      <c r="I11">
        <v>1.1000000000000001</v>
      </c>
      <c r="J11">
        <v>3.35</v>
      </c>
      <c r="K11">
        <v>1.5</v>
      </c>
      <c r="L11">
        <v>1.4</v>
      </c>
      <c r="M11">
        <v>0.84</v>
      </c>
      <c r="O11">
        <f t="shared" ref="O11" si="5">$M11/I11</f>
        <v>0.76363636363636356</v>
      </c>
      <c r="P11">
        <f t="shared" ref="P11" si="6">$M11/J11</f>
        <v>0.2507462686567164</v>
      </c>
      <c r="Q11">
        <f t="shared" ref="Q11" si="7">$M11/K11</f>
        <v>0.55999999999999994</v>
      </c>
      <c r="R11">
        <f t="shared" ref="R11" si="8">$M11/L11</f>
        <v>0.6</v>
      </c>
      <c r="S11">
        <f t="shared" ref="S11" si="9">M11</f>
        <v>0.84</v>
      </c>
    </row>
    <row r="12" spans="1:19">
      <c r="H12" t="s">
        <v>12318</v>
      </c>
      <c r="I12">
        <v>1.2</v>
      </c>
      <c r="J12">
        <v>3.5</v>
      </c>
      <c r="K12">
        <v>2.1</v>
      </c>
      <c r="L12">
        <v>1.9</v>
      </c>
      <c r="M12">
        <v>1</v>
      </c>
      <c r="O12">
        <f t="shared" ref="O12" si="10">$M12/I12</f>
        <v>0.83333333333333337</v>
      </c>
      <c r="P12">
        <f t="shared" ref="P12" si="11">$M12/J12</f>
        <v>0.2857142857142857</v>
      </c>
      <c r="Q12">
        <f t="shared" ref="Q12" si="12">$M12/K12</f>
        <v>0.47619047619047616</v>
      </c>
      <c r="R12">
        <f t="shared" ref="R12" si="13">$M12/L12</f>
        <v>0.52631578947368418</v>
      </c>
      <c r="S12">
        <f t="shared" ref="S12" si="14">M12</f>
        <v>1</v>
      </c>
    </row>
    <row r="13" spans="1:19">
      <c r="H13" t="s">
        <v>12326</v>
      </c>
      <c r="I13">
        <v>1.4</v>
      </c>
      <c r="J13">
        <v>3.35</v>
      </c>
      <c r="K13">
        <v>1.5</v>
      </c>
      <c r="L13">
        <v>1.4</v>
      </c>
      <c r="M13">
        <v>0.84</v>
      </c>
      <c r="O13">
        <f t="shared" ref="O13" si="15">$M13/I13</f>
        <v>0.6</v>
      </c>
      <c r="P13">
        <f t="shared" ref="P13" si="16">$M13/J13</f>
        <v>0.2507462686567164</v>
      </c>
      <c r="Q13">
        <f t="shared" ref="Q13" si="17">$M13/K13</f>
        <v>0.55999999999999994</v>
      </c>
      <c r="R13">
        <f t="shared" ref="R13" si="18">$M13/L13</f>
        <v>0.6</v>
      </c>
      <c r="S13">
        <f t="shared" ref="S13" si="19">M13</f>
        <v>0.84</v>
      </c>
    </row>
    <row r="14" spans="1:19">
      <c r="H14" t="s">
        <v>12332</v>
      </c>
      <c r="I14">
        <v>1.4</v>
      </c>
      <c r="J14">
        <v>3.7</v>
      </c>
      <c r="K14">
        <v>1</v>
      </c>
      <c r="L14">
        <v>1.8</v>
      </c>
      <c r="M14">
        <v>0.86</v>
      </c>
      <c r="O14">
        <f t="shared" ref="O14" si="20">$M14/I14</f>
        <v>0.61428571428571432</v>
      </c>
      <c r="P14">
        <f t="shared" ref="P14" si="21">$M14/J14</f>
        <v>0.23243243243243242</v>
      </c>
      <c r="Q14">
        <f t="shared" ref="Q14" si="22">$M14/K14</f>
        <v>0.86</v>
      </c>
      <c r="R14">
        <f t="shared" ref="R14" si="23">$M14/L14</f>
        <v>0.47777777777777775</v>
      </c>
      <c r="S14">
        <f t="shared" ref="S14" si="24">M14</f>
        <v>0.86</v>
      </c>
    </row>
    <row r="16" spans="1:19">
      <c r="J16" t="s">
        <v>12326</v>
      </c>
    </row>
    <row r="17" spans="10:10">
      <c r="J17">
        <v>1.4</v>
      </c>
    </row>
    <row r="18" spans="10:10">
      <c r="J18">
        <v>3.35</v>
      </c>
    </row>
    <row r="19" spans="10:10">
      <c r="J19">
        <v>1.5</v>
      </c>
    </row>
    <row r="20" spans="10:10">
      <c r="J20">
        <v>1.4</v>
      </c>
    </row>
    <row r="21" spans="10:10">
      <c r="J21">
        <v>0.84</v>
      </c>
    </row>
  </sheetData>
  <sortState xmlns:xlrd2="http://schemas.microsoft.com/office/spreadsheetml/2017/richdata2" ref="H2:M14">
    <sortCondition ref="H1"/>
  </sortState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A2E2-32DE-4EF6-87ED-993B3024E101}">
  <dimension ref="A1:AA237"/>
  <sheetViews>
    <sheetView workbookViewId="0">
      <pane xSplit="1" ySplit="1" topLeftCell="B101" activePane="bottomRight" state="frozen"/>
      <selection pane="bottomRight" activeCell="A101" sqref="A101"/>
      <selection pane="bottomLeft" activeCell="A2" sqref="A2"/>
      <selection pane="topRight" activeCell="B1" sqref="B1"/>
    </sheetView>
  </sheetViews>
  <sheetFormatPr defaultRowHeight="14.45"/>
  <cols>
    <col min="1" max="1" width="14.140625" bestFit="1" customWidth="1"/>
    <col min="2" max="2" width="11.85546875" bestFit="1" customWidth="1"/>
    <col min="3" max="3" width="15.5703125" bestFit="1" customWidth="1"/>
    <col min="4" max="4" width="7.7109375" customWidth="1"/>
    <col min="6" max="6" width="10.42578125" bestFit="1" customWidth="1"/>
    <col min="7" max="7" width="21.7109375" bestFit="1" customWidth="1"/>
    <col min="8" max="8" width="24.140625" customWidth="1"/>
    <col min="9" max="9" width="26.42578125" customWidth="1"/>
    <col min="10" max="10" width="11.85546875" customWidth="1"/>
    <col min="11" max="12" width="7.140625" customWidth="1"/>
  </cols>
  <sheetData>
    <row r="1" spans="1:23" ht="43.5">
      <c r="A1" s="27" t="s">
        <v>0</v>
      </c>
      <c r="B1" s="60" t="s">
        <v>12087</v>
      </c>
      <c r="C1" s="60" t="s">
        <v>12351</v>
      </c>
      <c r="D1" s="60" t="s">
        <v>12352</v>
      </c>
      <c r="E1" s="60" t="s">
        <v>11019</v>
      </c>
      <c r="F1" s="60" t="s">
        <v>12115</v>
      </c>
      <c r="G1" s="60" t="s">
        <v>12353</v>
      </c>
      <c r="H1" s="60" t="s">
        <v>13</v>
      </c>
      <c r="I1" s="60" t="s">
        <v>2191</v>
      </c>
      <c r="J1" s="60" t="s">
        <v>12354</v>
      </c>
      <c r="K1" s="60" t="s">
        <v>12355</v>
      </c>
      <c r="L1" s="60" t="s">
        <v>12356</v>
      </c>
      <c r="M1" s="60" t="s">
        <v>12088</v>
      </c>
      <c r="N1" s="60" t="s">
        <v>12089</v>
      </c>
      <c r="P1" s="257" t="s">
        <v>12357</v>
      </c>
      <c r="Q1" s="257" t="s">
        <v>12358</v>
      </c>
      <c r="T1" s="256" t="s">
        <v>12359</v>
      </c>
      <c r="U1" s="256" t="s">
        <v>12360</v>
      </c>
      <c r="W1" t="s">
        <v>12361</v>
      </c>
    </row>
    <row r="2" spans="1:23" ht="15">
      <c r="A2" t="s">
        <v>12362</v>
      </c>
      <c r="B2" t="s">
        <v>12091</v>
      </c>
      <c r="C2">
        <v>0</v>
      </c>
      <c r="E2">
        <v>5</v>
      </c>
      <c r="F2">
        <v>0</v>
      </c>
      <c r="G2" t="s">
        <v>2288</v>
      </c>
      <c r="I2" s="6" t="s">
        <v>12363</v>
      </c>
      <c r="J2" s="6"/>
      <c r="M2" t="s">
        <v>12093</v>
      </c>
    </row>
    <row r="3" spans="1:23" ht="15">
      <c r="A3" t="s">
        <v>12364</v>
      </c>
      <c r="B3" t="s">
        <v>12091</v>
      </c>
      <c r="C3" t="s">
        <v>12365</v>
      </c>
      <c r="E3">
        <v>8</v>
      </c>
      <c r="F3">
        <v>0</v>
      </c>
      <c r="G3" t="s">
        <v>2288</v>
      </c>
      <c r="H3" t="s">
        <v>12366</v>
      </c>
      <c r="I3" s="6" t="s">
        <v>12363</v>
      </c>
      <c r="J3" s="6"/>
      <c r="M3" t="s">
        <v>12093</v>
      </c>
    </row>
    <row r="4" spans="1:23" ht="15">
      <c r="A4" t="s">
        <v>12367</v>
      </c>
      <c r="B4" t="s">
        <v>12091</v>
      </c>
      <c r="C4" t="s">
        <v>12365</v>
      </c>
      <c r="E4">
        <v>10</v>
      </c>
      <c r="F4">
        <v>0</v>
      </c>
      <c r="G4" t="s">
        <v>12368</v>
      </c>
      <c r="H4" t="s">
        <v>12369</v>
      </c>
      <c r="I4" s="6" t="s">
        <v>12363</v>
      </c>
      <c r="J4" s="6"/>
      <c r="M4" t="s">
        <v>12093</v>
      </c>
    </row>
    <row r="5" spans="1:23" ht="15">
      <c r="A5" t="s">
        <v>12370</v>
      </c>
      <c r="B5" t="s">
        <v>12091</v>
      </c>
      <c r="C5">
        <v>0</v>
      </c>
      <c r="E5">
        <v>3</v>
      </c>
      <c r="F5">
        <v>0</v>
      </c>
      <c r="G5" t="s">
        <v>2288</v>
      </c>
      <c r="M5" t="s">
        <v>12093</v>
      </c>
    </row>
    <row r="6" spans="1:23" ht="15">
      <c r="A6" t="s">
        <v>12371</v>
      </c>
      <c r="B6" t="s">
        <v>12091</v>
      </c>
      <c r="C6" t="s">
        <v>12372</v>
      </c>
      <c r="E6">
        <v>31</v>
      </c>
      <c r="F6">
        <v>0</v>
      </c>
      <c r="G6" t="s">
        <v>12373</v>
      </c>
      <c r="H6" t="s">
        <v>12374</v>
      </c>
      <c r="M6" t="s">
        <v>12093</v>
      </c>
    </row>
    <row r="7" spans="1:23" ht="15">
      <c r="A7" t="s">
        <v>12375</v>
      </c>
      <c r="B7" t="s">
        <v>12091</v>
      </c>
      <c r="C7" t="s">
        <v>12372</v>
      </c>
      <c r="E7">
        <v>31</v>
      </c>
      <c r="F7">
        <v>0</v>
      </c>
      <c r="G7" t="s">
        <v>12376</v>
      </c>
      <c r="M7" t="s">
        <v>12093</v>
      </c>
    </row>
    <row r="8" spans="1:23" ht="15">
      <c r="A8" s="254" t="s">
        <v>12377</v>
      </c>
      <c r="B8" t="s">
        <v>12091</v>
      </c>
      <c r="C8" t="s">
        <v>12372</v>
      </c>
      <c r="E8">
        <v>31</v>
      </c>
      <c r="F8">
        <v>0</v>
      </c>
      <c r="G8" t="s">
        <v>12378</v>
      </c>
      <c r="I8" s="6" t="s">
        <v>12379</v>
      </c>
      <c r="J8" s="6"/>
    </row>
    <row r="9" spans="1:23" ht="15">
      <c r="A9" t="s">
        <v>12380</v>
      </c>
      <c r="B9" t="s">
        <v>12091</v>
      </c>
      <c r="C9" t="s">
        <v>12372</v>
      </c>
      <c r="E9">
        <v>31</v>
      </c>
      <c r="F9">
        <v>0</v>
      </c>
      <c r="G9" t="s">
        <v>12378</v>
      </c>
      <c r="M9" t="s">
        <v>12093</v>
      </c>
    </row>
    <row r="10" spans="1:23" ht="15">
      <c r="A10" t="s">
        <v>12381</v>
      </c>
      <c r="B10" t="s">
        <v>12091</v>
      </c>
      <c r="C10" t="s">
        <v>12372</v>
      </c>
      <c r="E10">
        <v>31</v>
      </c>
      <c r="F10">
        <v>0</v>
      </c>
      <c r="G10" t="s">
        <v>12382</v>
      </c>
      <c r="H10" t="s">
        <v>12383</v>
      </c>
      <c r="M10" t="s">
        <v>12093</v>
      </c>
    </row>
    <row r="11" spans="1:23" ht="15">
      <c r="A11" t="s">
        <v>12384</v>
      </c>
      <c r="B11" t="s">
        <v>12091</v>
      </c>
      <c r="C11" t="s">
        <v>12372</v>
      </c>
      <c r="E11">
        <v>31</v>
      </c>
      <c r="F11">
        <v>0</v>
      </c>
      <c r="G11" t="s">
        <v>12385</v>
      </c>
      <c r="M11" t="s">
        <v>12093</v>
      </c>
    </row>
    <row r="12" spans="1:23" ht="15">
      <c r="A12" t="s">
        <v>12386</v>
      </c>
      <c r="B12" t="s">
        <v>12091</v>
      </c>
      <c r="C12" t="s">
        <v>12365</v>
      </c>
      <c r="E12">
        <v>31</v>
      </c>
      <c r="F12">
        <v>0</v>
      </c>
      <c r="G12" t="s">
        <v>12382</v>
      </c>
      <c r="M12" t="s">
        <v>12093</v>
      </c>
    </row>
    <row r="13" spans="1:23" ht="15">
      <c r="A13" t="s">
        <v>12387</v>
      </c>
      <c r="B13" t="s">
        <v>12091</v>
      </c>
      <c r="C13" t="s">
        <v>12388</v>
      </c>
      <c r="E13">
        <v>31</v>
      </c>
      <c r="F13">
        <v>0</v>
      </c>
      <c r="G13" t="s">
        <v>12382</v>
      </c>
      <c r="H13" t="s">
        <v>4695</v>
      </c>
      <c r="N13" t="str">
        <f t="shared" ref="N13:N36" si="0">"condorProc.py --series "&amp;A13&amp;" --donoise --dumps a --procenv environments/pymidas_USD1.env"</f>
        <v>condorProc.py --series 07210228_0850 --donoise --dumps a --procenv environments/pymidas_USD1.env</v>
      </c>
    </row>
    <row r="14" spans="1:23" ht="15">
      <c r="A14" t="s">
        <v>12389</v>
      </c>
      <c r="B14" t="s">
        <v>12091</v>
      </c>
      <c r="C14" t="s">
        <v>12390</v>
      </c>
      <c r="E14">
        <v>31</v>
      </c>
      <c r="F14">
        <v>0</v>
      </c>
      <c r="G14" t="s">
        <v>12382</v>
      </c>
      <c r="M14" t="s">
        <v>12093</v>
      </c>
      <c r="N14" t="str">
        <f t="shared" si="0"/>
        <v>condorProc.py --series 07210228_1125 --donoise --dumps a --procenv environments/pymidas_USD1.env</v>
      </c>
    </row>
    <row r="15" spans="1:23" ht="15">
      <c r="A15" t="s">
        <v>12391</v>
      </c>
      <c r="B15" t="s">
        <v>12091</v>
      </c>
      <c r="C15" t="s">
        <v>12388</v>
      </c>
      <c r="E15">
        <v>31</v>
      </c>
      <c r="F15">
        <v>0</v>
      </c>
      <c r="G15" t="s">
        <v>12382</v>
      </c>
      <c r="M15" t="s">
        <v>12093</v>
      </c>
      <c r="N15" t="str">
        <f t="shared" si="0"/>
        <v>condorProc.py --series 07210228_1319 --donoise --dumps a --procenv environments/pymidas_USD1.env</v>
      </c>
    </row>
    <row r="16" spans="1:23" ht="15">
      <c r="A16" t="s">
        <v>12392</v>
      </c>
      <c r="B16" t="s">
        <v>12091</v>
      </c>
      <c r="C16" t="s">
        <v>12372</v>
      </c>
      <c r="E16">
        <v>31</v>
      </c>
      <c r="F16">
        <v>0</v>
      </c>
      <c r="G16" t="s">
        <v>12393</v>
      </c>
      <c r="M16" t="s">
        <v>12093</v>
      </c>
      <c r="N16" t="str">
        <f t="shared" si="0"/>
        <v>condorProc.py --series 07210228_2343 --donoise --dumps a --procenv environments/pymidas_USD1.env</v>
      </c>
    </row>
    <row r="17" spans="1:17" ht="15">
      <c r="A17" t="s">
        <v>12394</v>
      </c>
      <c r="B17" t="s">
        <v>12091</v>
      </c>
      <c r="C17" s="54" t="s">
        <v>12395</v>
      </c>
      <c r="D17" s="54"/>
      <c r="E17">
        <v>31</v>
      </c>
      <c r="F17">
        <v>0</v>
      </c>
      <c r="G17" t="s">
        <v>12396</v>
      </c>
      <c r="M17" t="s">
        <v>12093</v>
      </c>
      <c r="N17" t="str">
        <f t="shared" si="0"/>
        <v>condorProc.py --series 07210301_1028 --donoise --dumps a --procenv environments/pymidas_USD1.env</v>
      </c>
    </row>
    <row r="18" spans="1:17" ht="15">
      <c r="A18" t="s">
        <v>12397</v>
      </c>
      <c r="B18" t="s">
        <v>12091</v>
      </c>
      <c r="C18" t="s">
        <v>12372</v>
      </c>
      <c r="E18">
        <v>31</v>
      </c>
      <c r="F18">
        <v>0</v>
      </c>
      <c r="G18" t="s">
        <v>12396</v>
      </c>
      <c r="H18" t="s">
        <v>12398</v>
      </c>
      <c r="I18" t="s">
        <v>12399</v>
      </c>
      <c r="M18" t="s">
        <v>12093</v>
      </c>
      <c r="N18" t="str">
        <f t="shared" si="0"/>
        <v>condorProc.py --series 07210301_1459 --donoise --dumps a --procenv environments/pymidas_USD1.env</v>
      </c>
    </row>
    <row r="19" spans="1:17" ht="15">
      <c r="A19" t="s">
        <v>12400</v>
      </c>
      <c r="B19" t="s">
        <v>12091</v>
      </c>
      <c r="C19" t="s">
        <v>12372</v>
      </c>
      <c r="E19">
        <v>31</v>
      </c>
      <c r="F19">
        <v>0</v>
      </c>
      <c r="G19" t="s">
        <v>12401</v>
      </c>
      <c r="H19" t="s">
        <v>12398</v>
      </c>
      <c r="M19" t="s">
        <v>12093</v>
      </c>
      <c r="N19" t="str">
        <f t="shared" si="0"/>
        <v>condorProc.py --series 07210302_1704 --donoise --dumps a --procenv environments/pymidas_USD1.env</v>
      </c>
    </row>
    <row r="20" spans="1:17" ht="15">
      <c r="A20" t="s">
        <v>12402</v>
      </c>
      <c r="B20" t="s">
        <v>12091</v>
      </c>
      <c r="C20" t="s">
        <v>12372</v>
      </c>
      <c r="E20">
        <v>31</v>
      </c>
      <c r="F20">
        <v>0</v>
      </c>
      <c r="G20" t="s">
        <v>12401</v>
      </c>
      <c r="H20" t="s">
        <v>12403</v>
      </c>
      <c r="M20" t="s">
        <v>12093</v>
      </c>
      <c r="N20" t="str">
        <f t="shared" si="0"/>
        <v>condorProc.py --series 07210303_1546 --donoise --dumps a --procenv environments/pymidas_USD1.env</v>
      </c>
    </row>
    <row r="21" spans="1:17" ht="15">
      <c r="A21" t="s">
        <v>12404</v>
      </c>
      <c r="B21" t="s">
        <v>12091</v>
      </c>
      <c r="C21" t="s">
        <v>12405</v>
      </c>
      <c r="E21">
        <v>31</v>
      </c>
      <c r="F21">
        <v>0</v>
      </c>
      <c r="G21" t="s">
        <v>12401</v>
      </c>
      <c r="H21" t="s">
        <v>12403</v>
      </c>
      <c r="M21" t="s">
        <v>12093</v>
      </c>
      <c r="N21" t="str">
        <f t="shared" si="0"/>
        <v>condorProc.py --series 07210304_0920 --donoise --dumps a --procenv environments/pymidas_USD1.env</v>
      </c>
    </row>
    <row r="22" spans="1:17" ht="15">
      <c r="A22" t="s">
        <v>12406</v>
      </c>
      <c r="B22" t="s">
        <v>12091</v>
      </c>
      <c r="C22" t="s">
        <v>12407</v>
      </c>
      <c r="E22">
        <v>31</v>
      </c>
      <c r="F22">
        <v>0</v>
      </c>
      <c r="G22" t="s">
        <v>12408</v>
      </c>
      <c r="H22" t="s">
        <v>12398</v>
      </c>
      <c r="I22" t="s">
        <v>12409</v>
      </c>
    </row>
    <row r="23" spans="1:17" ht="15">
      <c r="A23" t="s">
        <v>12410</v>
      </c>
      <c r="B23" t="s">
        <v>12091</v>
      </c>
      <c r="C23" t="s">
        <v>12407</v>
      </c>
      <c r="E23">
        <v>31</v>
      </c>
      <c r="F23">
        <v>0</v>
      </c>
      <c r="G23" t="s">
        <v>12411</v>
      </c>
      <c r="H23" t="s">
        <v>12398</v>
      </c>
      <c r="M23" t="s">
        <v>12093</v>
      </c>
      <c r="N23" t="str">
        <f t="shared" si="0"/>
        <v>condorProc.py --series 07210306_1338 --donoise --dumps a --procenv environments/pymidas_USD1.env</v>
      </c>
    </row>
    <row r="24" spans="1:17" ht="15">
      <c r="A24" t="s">
        <v>12412</v>
      </c>
      <c r="B24" t="s">
        <v>12091</v>
      </c>
      <c r="C24" s="54" t="s">
        <v>12413</v>
      </c>
      <c r="D24" s="54"/>
      <c r="E24">
        <v>31</v>
      </c>
      <c r="F24">
        <v>0</v>
      </c>
      <c r="G24" t="s">
        <v>12411</v>
      </c>
      <c r="H24" t="s">
        <v>12398</v>
      </c>
      <c r="M24" t="s">
        <v>12093</v>
      </c>
      <c r="N24" t="str">
        <f t="shared" si="0"/>
        <v>condorProc.py --series 07210307_1050 --donoise --dumps a --procenv environments/pymidas_USD1.env</v>
      </c>
    </row>
    <row r="25" spans="1:17" ht="15">
      <c r="A25" t="s">
        <v>12414</v>
      </c>
      <c r="B25" t="s">
        <v>12091</v>
      </c>
      <c r="C25" t="s">
        <v>12372</v>
      </c>
      <c r="E25">
        <v>31</v>
      </c>
      <c r="F25">
        <v>0</v>
      </c>
      <c r="G25" t="s">
        <v>12415</v>
      </c>
      <c r="H25" t="s">
        <v>12416</v>
      </c>
      <c r="I25" s="6" t="s">
        <v>12379</v>
      </c>
      <c r="J25" s="6"/>
    </row>
    <row r="26" spans="1:17" ht="15">
      <c r="A26" t="s">
        <v>12417</v>
      </c>
      <c r="B26" t="s">
        <v>12091</v>
      </c>
      <c r="C26" t="s">
        <v>12372</v>
      </c>
      <c r="E26">
        <v>31</v>
      </c>
      <c r="F26">
        <v>0</v>
      </c>
      <c r="G26" t="s">
        <v>12418</v>
      </c>
      <c r="H26" t="s">
        <v>12416</v>
      </c>
      <c r="M26" t="s">
        <v>12093</v>
      </c>
      <c r="N26" t="str">
        <f t="shared" si="0"/>
        <v>condorProc.py --series 07210311_0926 --donoise --dumps a --procenv environments/pymidas_USD1.env</v>
      </c>
    </row>
    <row r="27" spans="1:17" ht="15">
      <c r="A27" t="s">
        <v>12419</v>
      </c>
      <c r="B27" t="s">
        <v>12091</v>
      </c>
      <c r="C27" t="s">
        <v>12407</v>
      </c>
      <c r="E27">
        <v>31</v>
      </c>
      <c r="F27">
        <v>0</v>
      </c>
      <c r="G27" t="s">
        <v>12418</v>
      </c>
      <c r="H27" t="s">
        <v>12416</v>
      </c>
      <c r="M27" t="s">
        <v>12093</v>
      </c>
      <c r="N27" t="str">
        <f t="shared" si="0"/>
        <v>condorProc.py --series 07210311_1956 --donoise --dumps a --procenv environments/pymidas_USD1.env</v>
      </c>
      <c r="Q27" s="39"/>
    </row>
    <row r="28" spans="1:17" ht="15">
      <c r="A28" t="s">
        <v>12420</v>
      </c>
      <c r="B28" t="s">
        <v>12091</v>
      </c>
      <c r="C28" t="s">
        <v>12421</v>
      </c>
      <c r="E28">
        <v>18</v>
      </c>
      <c r="F28">
        <v>0</v>
      </c>
      <c r="G28" t="s">
        <v>12422</v>
      </c>
      <c r="H28" t="s">
        <v>12423</v>
      </c>
      <c r="N28" t="str">
        <f t="shared" si="0"/>
        <v>condorProc.py --series 07210312_1454 --donoise --dumps a --procenv environments/pymidas_USD1.env</v>
      </c>
      <c r="Q28" s="39"/>
    </row>
    <row r="29" spans="1:17" ht="15">
      <c r="A29" t="s">
        <v>12424</v>
      </c>
      <c r="B29" t="s">
        <v>12091</v>
      </c>
      <c r="C29" t="s">
        <v>12425</v>
      </c>
      <c r="E29">
        <v>46</v>
      </c>
      <c r="F29">
        <v>0</v>
      </c>
      <c r="G29" t="s">
        <v>12422</v>
      </c>
      <c r="H29" t="s">
        <v>12423</v>
      </c>
      <c r="I29" t="s">
        <v>12426</v>
      </c>
      <c r="M29" t="s">
        <v>12093</v>
      </c>
      <c r="N29" t="str">
        <f t="shared" si="0"/>
        <v>condorProc.py --series 07210312_1517 --donoise --dumps a --procenv environments/pymidas_USD1.env</v>
      </c>
    </row>
    <row r="30" spans="1:17" ht="15">
      <c r="A30" t="s">
        <v>12427</v>
      </c>
      <c r="B30" t="s">
        <v>12091</v>
      </c>
      <c r="C30" t="s">
        <v>12428</v>
      </c>
      <c r="E30">
        <v>31</v>
      </c>
      <c r="F30">
        <v>0</v>
      </c>
      <c r="G30" t="s">
        <v>12429</v>
      </c>
      <c r="M30" t="s">
        <v>12093</v>
      </c>
      <c r="N30" t="str">
        <f t="shared" si="0"/>
        <v>condorProc.py --series 07210314_1257 --donoise --dumps a --procenv environments/pymidas_USD1.env</v>
      </c>
    </row>
    <row r="31" spans="1:17" ht="15">
      <c r="A31" t="s">
        <v>12430</v>
      </c>
      <c r="B31" t="s">
        <v>12091</v>
      </c>
      <c r="C31" t="s">
        <v>12431</v>
      </c>
      <c r="E31">
        <v>31</v>
      </c>
      <c r="F31">
        <v>0</v>
      </c>
      <c r="G31" t="s">
        <v>12432</v>
      </c>
      <c r="M31" t="s">
        <v>12093</v>
      </c>
      <c r="N31" t="str">
        <f t="shared" si="0"/>
        <v>condorProc.py --series 07210314_1538 --donoise --dumps a --procenv environments/pymidas_USD1.env</v>
      </c>
    </row>
    <row r="32" spans="1:17" ht="15">
      <c r="A32" t="s">
        <v>12433</v>
      </c>
      <c r="B32" t="s">
        <v>12091</v>
      </c>
      <c r="C32" t="s">
        <v>12431</v>
      </c>
      <c r="E32">
        <v>62</v>
      </c>
      <c r="F32">
        <v>0</v>
      </c>
      <c r="G32" t="s">
        <v>12434</v>
      </c>
      <c r="M32" t="s">
        <v>12093</v>
      </c>
      <c r="N32" t="str">
        <f t="shared" si="0"/>
        <v>condorProc.py --series 07210315_1259 --donoise --dumps a --procenv environments/pymidas_USD1.env</v>
      </c>
    </row>
    <row r="33" spans="1:27" ht="15">
      <c r="A33" t="s">
        <v>12435</v>
      </c>
      <c r="B33" t="s">
        <v>12091</v>
      </c>
      <c r="C33" t="s">
        <v>12436</v>
      </c>
      <c r="E33">
        <v>31</v>
      </c>
      <c r="F33">
        <v>0</v>
      </c>
      <c r="G33" t="s">
        <v>12429</v>
      </c>
      <c r="M33" t="s">
        <v>12093</v>
      </c>
      <c r="N33" t="str">
        <f t="shared" si="0"/>
        <v>condorProc.py --series 07210316_0938 --donoise --dumps a --procenv environments/pymidas_USD1.env</v>
      </c>
    </row>
    <row r="34" spans="1:27" ht="15">
      <c r="A34" t="s">
        <v>12437</v>
      </c>
      <c r="B34" t="s">
        <v>12091</v>
      </c>
      <c r="C34" s="54" t="s">
        <v>12438</v>
      </c>
      <c r="D34" s="54"/>
      <c r="E34">
        <v>31</v>
      </c>
      <c r="F34">
        <v>0</v>
      </c>
      <c r="G34" t="s">
        <v>12429</v>
      </c>
      <c r="M34" t="s">
        <v>12093</v>
      </c>
      <c r="N34" t="str">
        <f t="shared" si="0"/>
        <v>condorProc.py --series 07210316_1203 --donoise --dumps a --procenv environments/pymidas_USD1.env</v>
      </c>
    </row>
    <row r="35" spans="1:27" ht="15">
      <c r="A35" t="s">
        <v>12439</v>
      </c>
      <c r="B35" t="s">
        <v>12091</v>
      </c>
      <c r="C35" t="s">
        <v>12440</v>
      </c>
      <c r="E35">
        <v>31</v>
      </c>
      <c r="F35">
        <v>0</v>
      </c>
      <c r="G35" t="s">
        <v>12441</v>
      </c>
      <c r="M35" t="s">
        <v>12093</v>
      </c>
      <c r="N35" t="str">
        <f t="shared" si="0"/>
        <v>condorProc.py --series 07210317_1346 --donoise --dumps a --procenv environments/pymidas_USD1.env</v>
      </c>
    </row>
    <row r="36" spans="1:27" ht="15">
      <c r="A36" t="s">
        <v>12442</v>
      </c>
      <c r="B36" t="s">
        <v>12091</v>
      </c>
      <c r="C36" t="s">
        <v>12440</v>
      </c>
      <c r="E36">
        <v>31</v>
      </c>
      <c r="F36">
        <v>0</v>
      </c>
      <c r="G36" t="s">
        <v>12441</v>
      </c>
      <c r="H36" s="255"/>
      <c r="M36" t="s">
        <v>12093</v>
      </c>
      <c r="N36" t="str">
        <f t="shared" si="0"/>
        <v>condorProc.py --series 07210318_1455 --donoise --dumps a --procenv environments/pymidas_USD1.env</v>
      </c>
    </row>
    <row r="37" spans="1:27" ht="15">
      <c r="A37" t="s">
        <v>12443</v>
      </c>
      <c r="B37" t="s">
        <v>12091</v>
      </c>
      <c r="C37" t="s">
        <v>12428</v>
      </c>
      <c r="E37">
        <v>31</v>
      </c>
      <c r="F37">
        <v>0</v>
      </c>
      <c r="G37" t="s">
        <v>12444</v>
      </c>
      <c r="H37" t="s">
        <v>12445</v>
      </c>
      <c r="M37" t="s">
        <v>12093</v>
      </c>
      <c r="N37" t="str">
        <f t="shared" ref="N37:N47" si="1">"condorProc.py --series "&amp;A37&amp;" --donoise --dumps a --procenv environments/pymidas_USD1.env"</f>
        <v>condorProc.py --series 07210323_1311 --donoise --dumps a --procenv environments/pymidas_USD1.env</v>
      </c>
    </row>
    <row r="38" spans="1:27" ht="15">
      <c r="A38" t="s">
        <v>12446</v>
      </c>
      <c r="B38" t="s">
        <v>12091</v>
      </c>
      <c r="C38" t="s">
        <v>12428</v>
      </c>
      <c r="E38">
        <v>31</v>
      </c>
      <c r="F38">
        <v>0</v>
      </c>
      <c r="G38" t="s">
        <v>12447</v>
      </c>
      <c r="H38" t="s">
        <v>12445</v>
      </c>
      <c r="M38" t="s">
        <v>12093</v>
      </c>
      <c r="N38" t="str">
        <f t="shared" si="1"/>
        <v>condorProc.py --series 07210324_1022 --donoise --dumps a --procenv environments/pymidas_USD1.env</v>
      </c>
    </row>
    <row r="39" spans="1:27" ht="15">
      <c r="A39" t="s">
        <v>12448</v>
      </c>
      <c r="B39" t="s">
        <v>12091</v>
      </c>
      <c r="C39" t="s">
        <v>12431</v>
      </c>
      <c r="E39">
        <v>44</v>
      </c>
      <c r="F39">
        <v>0</v>
      </c>
      <c r="G39" t="s">
        <v>12449</v>
      </c>
      <c r="H39" t="s">
        <v>12450</v>
      </c>
      <c r="M39" t="s">
        <v>12093</v>
      </c>
      <c r="N39" t="str">
        <f t="shared" si="1"/>
        <v>condorProc.py --series 07210615_1411 --donoise --dumps a --procenv environments/pymidas_USD1.env</v>
      </c>
      <c r="Y39">
        <v>1.37</v>
      </c>
      <c r="Z39" t="s">
        <v>12451</v>
      </c>
    </row>
    <row r="40" spans="1:27" ht="15">
      <c r="A40" t="s">
        <v>12452</v>
      </c>
      <c r="B40" t="s">
        <v>12091</v>
      </c>
      <c r="C40" t="s">
        <v>12431</v>
      </c>
      <c r="F40">
        <v>0</v>
      </c>
      <c r="H40" t="s">
        <v>12450</v>
      </c>
      <c r="M40" t="s">
        <v>12093</v>
      </c>
      <c r="N40" t="str">
        <f t="shared" si="1"/>
        <v>condorProc.py --series 07210617_1627 --donoise --dumps a --procenv environments/pymidas_USD1.env</v>
      </c>
      <c r="Y40">
        <v>5.3230000000000004</v>
      </c>
      <c r="Z40" t="s">
        <v>12453</v>
      </c>
    </row>
    <row r="41" spans="1:27" ht="15">
      <c r="A41" t="s">
        <v>12454</v>
      </c>
      <c r="B41" t="s">
        <v>12091</v>
      </c>
      <c r="C41" t="s">
        <v>12431</v>
      </c>
      <c r="E41">
        <v>35</v>
      </c>
      <c r="F41">
        <v>0</v>
      </c>
      <c r="G41" t="s">
        <v>12455</v>
      </c>
      <c r="H41" t="s">
        <v>12450</v>
      </c>
      <c r="M41" t="s">
        <v>2158</v>
      </c>
      <c r="N41" t="str">
        <f t="shared" si="1"/>
        <v>condorProc.py --series 07210618_1652 --donoise --dumps a --procenv environments/pymidas_USD1.env</v>
      </c>
      <c r="Y41">
        <f>Y40*Y39</f>
        <v>7.2925100000000009</v>
      </c>
      <c r="Z41" t="s">
        <v>12456</v>
      </c>
    </row>
    <row r="42" spans="1:27" ht="15">
      <c r="A42" t="s">
        <v>12457</v>
      </c>
      <c r="B42" t="s">
        <v>12091</v>
      </c>
      <c r="C42" t="s">
        <v>12458</v>
      </c>
      <c r="E42">
        <v>45</v>
      </c>
      <c r="F42" t="s">
        <v>1273</v>
      </c>
      <c r="G42" t="s">
        <v>12459</v>
      </c>
      <c r="I42" t="s">
        <v>12460</v>
      </c>
      <c r="M42" t="s">
        <v>12093</v>
      </c>
      <c r="N42" t="str">
        <f t="shared" si="1"/>
        <v>condorProc.py --series 07210706_1618 --donoise --dumps a --procenv environments/pymidas_USD1.env</v>
      </c>
      <c r="Y42">
        <f>Y41/10</f>
        <v>0.72925100000000009</v>
      </c>
      <c r="Z42" t="s">
        <v>12461</v>
      </c>
    </row>
    <row r="43" spans="1:27" ht="15">
      <c r="A43" t="s">
        <v>12462</v>
      </c>
      <c r="B43" t="s">
        <v>12091</v>
      </c>
      <c r="C43" t="s">
        <v>12431</v>
      </c>
      <c r="E43">
        <v>45</v>
      </c>
      <c r="F43" t="s">
        <v>1273</v>
      </c>
      <c r="G43" t="s">
        <v>12463</v>
      </c>
      <c r="H43" t="s">
        <v>12464</v>
      </c>
      <c r="M43" t="s">
        <v>12093</v>
      </c>
      <c r="N43" t="str">
        <f t="shared" si="1"/>
        <v>condorProc.py --series 07210707_1628 --donoise --dumps a --procenv environments/pymidas_USD1.env</v>
      </c>
      <c r="Y43" t="s">
        <v>12465</v>
      </c>
      <c r="Z43" t="s">
        <v>12466</v>
      </c>
    </row>
    <row r="44" spans="1:27" ht="15">
      <c r="A44" t="s">
        <v>12467</v>
      </c>
      <c r="B44" t="s">
        <v>12091</v>
      </c>
      <c r="C44">
        <v>0</v>
      </c>
      <c r="E44">
        <v>2</v>
      </c>
      <c r="F44" t="s">
        <v>1273</v>
      </c>
      <c r="G44" t="s">
        <v>12468</v>
      </c>
      <c r="H44" t="s">
        <v>12469</v>
      </c>
      <c r="Y44">
        <v>34</v>
      </c>
      <c r="Z44">
        <f>Y44*$Y$42</f>
        <v>24.794534000000002</v>
      </c>
    </row>
    <row r="45" spans="1:27" ht="15">
      <c r="A45" t="s">
        <v>12470</v>
      </c>
      <c r="B45" t="s">
        <v>12091</v>
      </c>
      <c r="C45" t="s">
        <v>12431</v>
      </c>
      <c r="E45">
        <v>11</v>
      </c>
      <c r="F45" t="s">
        <v>1273</v>
      </c>
      <c r="G45" t="s">
        <v>12468</v>
      </c>
      <c r="H45" t="s">
        <v>12471</v>
      </c>
      <c r="I45" t="s">
        <v>12472</v>
      </c>
      <c r="M45" t="s">
        <v>12473</v>
      </c>
      <c r="N45" t="str">
        <f>"condorProc.py --series "&amp;A45&amp;" --donoise --dumps a --procenv environments/temp_pymidas_USD1.env"</f>
        <v>condorProc.py --series 07210708_1537 --donoise --dumps a --procenv environments/temp_pymidas_USD1.env</v>
      </c>
      <c r="Y45">
        <v>100</v>
      </c>
      <c r="Z45">
        <f>Y45*$Y$42</f>
        <v>72.925100000000015</v>
      </c>
    </row>
    <row r="46" spans="1:27" ht="15">
      <c r="A46" t="s">
        <v>12474</v>
      </c>
      <c r="B46" t="s">
        <v>12091</v>
      </c>
      <c r="C46" t="s">
        <v>12431</v>
      </c>
      <c r="E46">
        <v>33</v>
      </c>
      <c r="F46" t="s">
        <v>1273</v>
      </c>
      <c r="G46" t="s">
        <v>12468</v>
      </c>
      <c r="H46" t="s">
        <v>12475</v>
      </c>
      <c r="M46" t="s">
        <v>12473</v>
      </c>
      <c r="N46" t="str">
        <f>"condorProc.py --series "&amp;A46&amp;" --donoise --dumps a --procenv environments/temp_pymidas_USD1.env"</f>
        <v>condorProc.py --series 07210708_1548 --donoise --dumps a --procenv environments/temp_pymidas_USD1.env</v>
      </c>
      <c r="Y46">
        <f>SQRT(Y45^2+Y44^2)</f>
        <v>105.62196741208714</v>
      </c>
      <c r="Z46">
        <f>Y46*$Y$42</f>
        <v>77.024925357231979</v>
      </c>
      <c r="AA46">
        <f>Z46/Z44</f>
        <v>3.106528453296681</v>
      </c>
    </row>
    <row r="47" spans="1:27" ht="15">
      <c r="A47" t="s">
        <v>12476</v>
      </c>
      <c r="B47" t="s">
        <v>12091</v>
      </c>
      <c r="C47" t="s">
        <v>12431</v>
      </c>
      <c r="E47">
        <v>82</v>
      </c>
      <c r="F47" t="s">
        <v>1273</v>
      </c>
      <c r="G47" t="s">
        <v>12477</v>
      </c>
      <c r="H47" t="s">
        <v>12478</v>
      </c>
      <c r="M47" t="s">
        <v>2158</v>
      </c>
      <c r="N47" t="str">
        <f t="shared" si="1"/>
        <v>condorProc.py --series 07210709_1221 --donoise --dumps a --procenv environments/pymidas_USD1.env</v>
      </c>
    </row>
    <row r="48" spans="1:27" ht="15">
      <c r="A48" t="s">
        <v>12479</v>
      </c>
      <c r="B48" t="s">
        <v>12091</v>
      </c>
      <c r="C48" t="s">
        <v>12431</v>
      </c>
      <c r="E48">
        <v>84</v>
      </c>
      <c r="F48">
        <v>0</v>
      </c>
      <c r="G48" t="s">
        <v>12480</v>
      </c>
      <c r="H48" t="s">
        <v>12481</v>
      </c>
      <c r="I48" t="s">
        <v>12482</v>
      </c>
      <c r="M48" t="s">
        <v>12093</v>
      </c>
      <c r="N48" t="str">
        <f t="shared" ref="N48:N54" si="2">"condorProc.py --series "&amp;A48&amp;" --donoise --dumps a --procenv environments/pymidas_USD1.env"</f>
        <v>condorProc.py --series 07210713_1203 --donoise --dumps a --procenv environments/pymidas_USD1.env</v>
      </c>
    </row>
    <row r="49" spans="1:14" ht="15">
      <c r="A49" t="s">
        <v>12483</v>
      </c>
      <c r="B49" t="s">
        <v>12091</v>
      </c>
      <c r="C49" t="s">
        <v>12431</v>
      </c>
      <c r="E49">
        <v>45</v>
      </c>
      <c r="F49">
        <v>0</v>
      </c>
      <c r="G49" t="s">
        <v>12484</v>
      </c>
      <c r="H49" t="s">
        <v>12485</v>
      </c>
      <c r="M49" t="s">
        <v>12093</v>
      </c>
      <c r="N49" t="str">
        <f t="shared" si="2"/>
        <v>condorProc.py --series 07210714_1734 --donoise --dumps a --procenv environments/pymidas_USD1.env</v>
      </c>
    </row>
    <row r="50" spans="1:14" ht="15">
      <c r="A50" t="s">
        <v>12486</v>
      </c>
      <c r="B50" t="s">
        <v>12091</v>
      </c>
      <c r="C50" t="s">
        <v>12431</v>
      </c>
      <c r="E50">
        <v>45</v>
      </c>
      <c r="F50" t="s">
        <v>12487</v>
      </c>
      <c r="G50" t="s">
        <v>12488</v>
      </c>
      <c r="H50" t="s">
        <v>12489</v>
      </c>
      <c r="I50" t="s">
        <v>12490</v>
      </c>
      <c r="M50" t="s">
        <v>12093</v>
      </c>
      <c r="N50" t="str">
        <f t="shared" si="2"/>
        <v>condorProc.py --series 07210715_1640 --donoise --dumps a --procenv environments/pymidas_USD1.env</v>
      </c>
    </row>
    <row r="51" spans="1:14" ht="15">
      <c r="A51" t="s">
        <v>12491</v>
      </c>
      <c r="B51" t="s">
        <v>12492</v>
      </c>
      <c r="C51" t="s">
        <v>12431</v>
      </c>
      <c r="E51">
        <v>45</v>
      </c>
      <c r="F51">
        <v>0.53</v>
      </c>
      <c r="G51" t="s">
        <v>12493</v>
      </c>
      <c r="H51" t="s">
        <v>12489</v>
      </c>
      <c r="I51" t="s">
        <v>12494</v>
      </c>
      <c r="M51" t="s">
        <v>12093</v>
      </c>
      <c r="N51" t="str">
        <f t="shared" si="2"/>
        <v>condorProc.py --series 07210716_1718 --donoise --dumps a --procenv environments/pymidas_USD1.env</v>
      </c>
    </row>
    <row r="52" spans="1:14" ht="15">
      <c r="A52" t="s">
        <v>12495</v>
      </c>
      <c r="B52" t="s">
        <v>12492</v>
      </c>
      <c r="C52" t="s">
        <v>12431</v>
      </c>
      <c r="E52">
        <v>45</v>
      </c>
      <c r="F52">
        <v>0.53</v>
      </c>
      <c r="G52" t="s">
        <v>12496</v>
      </c>
      <c r="H52" t="s">
        <v>12489</v>
      </c>
      <c r="I52" s="256" t="s">
        <v>12497</v>
      </c>
      <c r="J52" s="256"/>
      <c r="M52" t="s">
        <v>12093</v>
      </c>
      <c r="N52" t="str">
        <f t="shared" si="2"/>
        <v>condorProc.py --series 07210719_1623 --donoise --dumps a --procenv environments/pymidas_USD1.env</v>
      </c>
    </row>
    <row r="53" spans="1:14" ht="15">
      <c r="A53" s="256" t="s">
        <v>12498</v>
      </c>
      <c r="B53" t="s">
        <v>12492</v>
      </c>
      <c r="C53" t="s">
        <v>12431</v>
      </c>
      <c r="E53">
        <v>45</v>
      </c>
      <c r="F53">
        <v>0.53</v>
      </c>
      <c r="G53" t="s">
        <v>12499</v>
      </c>
      <c r="H53" s="256" t="s">
        <v>12500</v>
      </c>
      <c r="I53" s="256" t="s">
        <v>12501</v>
      </c>
      <c r="J53" s="256"/>
      <c r="M53" t="s">
        <v>12093</v>
      </c>
      <c r="N53" t="str">
        <f t="shared" si="2"/>
        <v>condorProc.py --series 07210720_1411 --donoise --dumps a --procenv environments/pymidas_USD1.env</v>
      </c>
    </row>
    <row r="54" spans="1:14" ht="15">
      <c r="A54" s="256" t="s">
        <v>12502</v>
      </c>
      <c r="B54" t="s">
        <v>12091</v>
      </c>
      <c r="C54" t="s">
        <v>12431</v>
      </c>
      <c r="E54">
        <v>49</v>
      </c>
      <c r="F54" t="s">
        <v>12503</v>
      </c>
      <c r="G54" t="s">
        <v>12499</v>
      </c>
      <c r="H54" t="s">
        <v>12489</v>
      </c>
      <c r="I54" t="s">
        <v>12490</v>
      </c>
      <c r="M54" t="s">
        <v>12093</v>
      </c>
      <c r="N54" t="str">
        <f t="shared" si="2"/>
        <v>condorProc.py --series 07210720_1604 --donoise --dumps a --procenv environments/pymidas_USD1.env</v>
      </c>
    </row>
    <row r="55" spans="1:14" ht="15">
      <c r="A55" s="256" t="s">
        <v>12504</v>
      </c>
      <c r="B55" t="s">
        <v>12492</v>
      </c>
      <c r="C55" t="s">
        <v>12431</v>
      </c>
      <c r="E55">
        <v>45</v>
      </c>
      <c r="F55">
        <v>-0.53</v>
      </c>
      <c r="G55" t="s">
        <v>12505</v>
      </c>
      <c r="H55" s="256" t="s">
        <v>12506</v>
      </c>
      <c r="I55" s="256" t="s">
        <v>12507</v>
      </c>
      <c r="J55" s="256"/>
      <c r="M55" t="s">
        <v>12093</v>
      </c>
      <c r="N55" t="str">
        <f t="shared" ref="N55:N58" si="3">"condorProc.py --series "&amp;A55&amp;" --donoise --dumps a --procenv environments/pymidas_USD1.env"</f>
        <v>condorProc.py --series 07210721_1319 --donoise --dumps a --procenv environments/pymidas_USD1.env</v>
      </c>
    </row>
    <row r="56" spans="1:14" ht="15">
      <c r="A56" s="256" t="s">
        <v>12508</v>
      </c>
      <c r="B56" t="s">
        <v>12492</v>
      </c>
      <c r="C56" t="s">
        <v>12431</v>
      </c>
      <c r="E56">
        <v>45</v>
      </c>
      <c r="F56">
        <v>0</v>
      </c>
      <c r="G56" t="s">
        <v>12505</v>
      </c>
      <c r="H56" s="256" t="s">
        <v>12509</v>
      </c>
      <c r="I56" s="256" t="s">
        <v>12510</v>
      </c>
      <c r="J56" s="256"/>
      <c r="M56" t="s">
        <v>12093</v>
      </c>
      <c r="N56" t="str">
        <f t="shared" si="3"/>
        <v>condorProc.py --series 07210722_1510 --donoise --dumps a --procenv environments/pymidas_USD1.env</v>
      </c>
    </row>
    <row r="57" spans="1:14" ht="15">
      <c r="A57" s="256" t="s">
        <v>12511</v>
      </c>
      <c r="B57" t="s">
        <v>12492</v>
      </c>
      <c r="C57" t="s">
        <v>12431</v>
      </c>
      <c r="E57">
        <v>45</v>
      </c>
      <c r="F57">
        <v>0</v>
      </c>
      <c r="G57" t="s">
        <v>12512</v>
      </c>
      <c r="H57" s="256" t="s">
        <v>12513</v>
      </c>
      <c r="I57" s="256" t="s">
        <v>12514</v>
      </c>
      <c r="J57" s="256"/>
      <c r="M57" t="s">
        <v>12093</v>
      </c>
      <c r="N57" t="str">
        <f t="shared" si="3"/>
        <v>condorProc.py --series 07210722_1650 --donoise --dumps a --procenv environments/pymidas_USD1.env</v>
      </c>
    </row>
    <row r="58" spans="1:14" ht="15">
      <c r="A58" s="256" t="s">
        <v>12515</v>
      </c>
      <c r="B58" t="s">
        <v>12091</v>
      </c>
      <c r="C58" t="s">
        <v>12431</v>
      </c>
      <c r="E58">
        <v>45</v>
      </c>
      <c r="F58">
        <v>0</v>
      </c>
      <c r="G58" t="s">
        <v>12484</v>
      </c>
      <c r="H58" t="s">
        <v>12516</v>
      </c>
      <c r="I58" t="s">
        <v>12517</v>
      </c>
      <c r="M58" t="s">
        <v>12093</v>
      </c>
      <c r="N58" t="str">
        <f t="shared" si="3"/>
        <v>condorProc.py --series 07210723_1353 --donoise --dumps a --procenv environments/pymidas_USD1.env</v>
      </c>
    </row>
    <row r="59" spans="1:14" ht="15">
      <c r="A59" s="256" t="s">
        <v>12518</v>
      </c>
      <c r="B59" t="s">
        <v>12091</v>
      </c>
      <c r="C59" t="s">
        <v>12431</v>
      </c>
      <c r="E59">
        <v>45</v>
      </c>
      <c r="F59">
        <v>0</v>
      </c>
      <c r="G59" t="s">
        <v>12519</v>
      </c>
      <c r="H59" t="s">
        <v>12516</v>
      </c>
      <c r="I59" t="s">
        <v>12520</v>
      </c>
      <c r="M59" s="256" t="s">
        <v>12093</v>
      </c>
      <c r="N59" t="str">
        <f t="shared" ref="N59" si="4">"condorProc.py --series "&amp;A59&amp;" --donoise --dumps a --procenv environments/pymidas_USD1.env"</f>
        <v>condorProc.py --series 07210723_1656 --donoise --dumps a --procenv environments/pymidas_USD1.env</v>
      </c>
    </row>
    <row r="60" spans="1:14" ht="15">
      <c r="A60" s="256" t="s">
        <v>12521</v>
      </c>
      <c r="B60" t="s">
        <v>12091</v>
      </c>
      <c r="C60" t="s">
        <v>12431</v>
      </c>
      <c r="E60">
        <v>45</v>
      </c>
      <c r="F60">
        <v>0</v>
      </c>
      <c r="G60" t="s">
        <v>12522</v>
      </c>
      <c r="H60" t="s">
        <v>12516</v>
      </c>
      <c r="J60" t="s">
        <v>12523</v>
      </c>
      <c r="M60" s="256" t="s">
        <v>12093</v>
      </c>
      <c r="N60" t="str">
        <f t="shared" ref="N60:N65" si="5">"condorProc.py --series "&amp;A60&amp;" --donoise --dumps a --procenv environments/pymidas_USD1.env"</f>
        <v>condorProc.py --series 07210726_1405 --donoise --dumps a --procenv environments/pymidas_USD1.env</v>
      </c>
    </row>
    <row r="61" spans="1:14" ht="15">
      <c r="A61" s="256" t="s">
        <v>12524</v>
      </c>
      <c r="B61" t="s">
        <v>12091</v>
      </c>
      <c r="C61" t="s">
        <v>12431</v>
      </c>
      <c r="E61">
        <v>45</v>
      </c>
      <c r="F61">
        <v>0</v>
      </c>
      <c r="G61" t="s">
        <v>12525</v>
      </c>
      <c r="H61" t="s">
        <v>12516</v>
      </c>
      <c r="J61" t="s">
        <v>12523</v>
      </c>
      <c r="M61" s="256" t="s">
        <v>12093</v>
      </c>
      <c r="N61" t="str">
        <f t="shared" si="5"/>
        <v>condorProc.py --series 07210727_1333 --donoise --dumps a --procenv environments/pymidas_USD1.env</v>
      </c>
    </row>
    <row r="62" spans="1:14" ht="15">
      <c r="A62" s="256" t="s">
        <v>12526</v>
      </c>
      <c r="B62" t="s">
        <v>12091</v>
      </c>
      <c r="C62" t="s">
        <v>12431</v>
      </c>
      <c r="E62">
        <v>45</v>
      </c>
      <c r="F62">
        <v>0</v>
      </c>
      <c r="G62" t="s">
        <v>12527</v>
      </c>
      <c r="H62" t="s">
        <v>12528</v>
      </c>
      <c r="J62" t="s">
        <v>12523</v>
      </c>
      <c r="M62" s="256" t="s">
        <v>12093</v>
      </c>
      <c r="N62" t="str">
        <f t="shared" si="5"/>
        <v>condorProc.py --series 07210728_1139 --donoise --dumps a --procenv environments/pymidas_USD1.env</v>
      </c>
    </row>
    <row r="63" spans="1:14" ht="15">
      <c r="A63" s="256" t="s">
        <v>12529</v>
      </c>
      <c r="B63" t="s">
        <v>12091</v>
      </c>
      <c r="C63">
        <v>0</v>
      </c>
      <c r="E63">
        <v>2</v>
      </c>
      <c r="F63">
        <v>0</v>
      </c>
      <c r="G63" t="s">
        <v>2181</v>
      </c>
      <c r="H63" t="s">
        <v>12530</v>
      </c>
      <c r="J63" t="s">
        <v>12523</v>
      </c>
      <c r="M63" s="256" t="s">
        <v>12093</v>
      </c>
      <c r="N63" t="str">
        <f t="shared" si="5"/>
        <v>condorProc.py --series 07210728_1347 --donoise --dumps a --procenv environments/pymidas_USD1.env</v>
      </c>
    </row>
    <row r="64" spans="1:14" ht="15">
      <c r="A64" s="256" t="s">
        <v>12531</v>
      </c>
      <c r="B64" t="s">
        <v>12091</v>
      </c>
      <c r="C64" t="s">
        <v>12431</v>
      </c>
      <c r="E64">
        <v>45</v>
      </c>
      <c r="F64">
        <v>0</v>
      </c>
      <c r="G64" t="s">
        <v>12532</v>
      </c>
      <c r="H64" t="s">
        <v>12528</v>
      </c>
      <c r="J64" t="s">
        <v>12523</v>
      </c>
      <c r="M64" s="256" t="s">
        <v>12093</v>
      </c>
      <c r="N64" t="str">
        <f t="shared" si="5"/>
        <v>condorProc.py --series 07210728_1625 --donoise --dumps a --procenv environments/pymidas_USD1.env</v>
      </c>
    </row>
    <row r="65" spans="1:14" ht="15">
      <c r="A65" s="256" t="s">
        <v>12533</v>
      </c>
      <c r="B65" t="s">
        <v>12091</v>
      </c>
      <c r="C65" t="s">
        <v>12431</v>
      </c>
      <c r="E65">
        <v>45</v>
      </c>
      <c r="F65">
        <v>0</v>
      </c>
      <c r="G65" t="s">
        <v>12519</v>
      </c>
      <c r="H65" t="s">
        <v>12516</v>
      </c>
      <c r="J65" t="s">
        <v>12523</v>
      </c>
      <c r="M65" s="256" t="s">
        <v>2158</v>
      </c>
      <c r="N65" t="str">
        <f t="shared" si="5"/>
        <v>condorProc.py --series 07210729_1431 --donoise --dumps a --procenv environments/pymidas_USD1.env</v>
      </c>
    </row>
    <row r="66" spans="1:14" ht="15">
      <c r="A66" s="256" t="s">
        <v>12534</v>
      </c>
      <c r="B66" t="s">
        <v>12091</v>
      </c>
      <c r="C66" t="s">
        <v>12431</v>
      </c>
      <c r="E66">
        <v>45</v>
      </c>
      <c r="F66">
        <v>0</v>
      </c>
      <c r="G66" t="s">
        <v>12535</v>
      </c>
      <c r="H66" t="s">
        <v>12516</v>
      </c>
      <c r="J66" t="s">
        <v>12523</v>
      </c>
      <c r="M66" s="256" t="s">
        <v>2158</v>
      </c>
      <c r="N66" t="str">
        <f t="shared" ref="N66:N97" si="6">"condorProc.py --series "&amp;A66&amp;" --donoise --dumps a --procenv environments/pymidas_USD1.env"</f>
        <v>condorProc.py --series 07210802_1113 --donoise --dumps a --procenv environments/pymidas_USD1.env</v>
      </c>
    </row>
    <row r="67" spans="1:14" ht="15">
      <c r="A67" s="256" t="s">
        <v>12536</v>
      </c>
      <c r="B67" t="s">
        <v>12091</v>
      </c>
      <c r="C67" t="s">
        <v>12431</v>
      </c>
      <c r="E67">
        <v>106</v>
      </c>
      <c r="F67">
        <v>0</v>
      </c>
      <c r="G67" t="s">
        <v>12537</v>
      </c>
      <c r="H67" t="s">
        <v>12516</v>
      </c>
      <c r="J67" t="s">
        <v>12523</v>
      </c>
      <c r="M67" s="256" t="s">
        <v>2158</v>
      </c>
      <c r="N67" t="str">
        <f t="shared" si="6"/>
        <v>condorProc.py --series 07210803_1156 --donoise --dumps a --procenv environments/pymidas_USD1.env</v>
      </c>
    </row>
    <row r="68" spans="1:14" ht="15">
      <c r="A68" s="256" t="s">
        <v>12538</v>
      </c>
      <c r="B68" t="s">
        <v>12091</v>
      </c>
      <c r="C68" s="256" t="s">
        <v>12539</v>
      </c>
      <c r="D68" s="256"/>
      <c r="E68">
        <v>45</v>
      </c>
      <c r="F68">
        <v>0</v>
      </c>
      <c r="G68" t="s">
        <v>12540</v>
      </c>
      <c r="H68" t="s">
        <v>12516</v>
      </c>
      <c r="J68" t="s">
        <v>12523</v>
      </c>
      <c r="M68" s="256" t="s">
        <v>12093</v>
      </c>
      <c r="N68" t="str">
        <f t="shared" si="6"/>
        <v>condorProc.py --series 07210804_1419 --donoise --dumps a --procenv environments/pymidas_USD1.env</v>
      </c>
    </row>
    <row r="69" spans="1:14" ht="15">
      <c r="A69" s="256" t="s">
        <v>12541</v>
      </c>
      <c r="B69" t="s">
        <v>12091</v>
      </c>
      <c r="C69" s="256" t="s">
        <v>12542</v>
      </c>
      <c r="D69" s="256"/>
      <c r="E69">
        <v>61</v>
      </c>
      <c r="F69">
        <v>0</v>
      </c>
      <c r="G69" t="s">
        <v>12543</v>
      </c>
      <c r="H69" t="s">
        <v>12516</v>
      </c>
      <c r="J69" t="s">
        <v>12523</v>
      </c>
      <c r="M69" s="256" t="s">
        <v>12093</v>
      </c>
      <c r="N69" t="str">
        <f t="shared" si="6"/>
        <v>condorProc.py --series 07210805_1058 --donoise --dumps a --procenv environments/pymidas_USD1.env</v>
      </c>
    </row>
    <row r="70" spans="1:14" ht="15">
      <c r="A70" s="256" t="s">
        <v>12544</v>
      </c>
      <c r="B70" t="s">
        <v>12091</v>
      </c>
      <c r="C70" s="256" t="s">
        <v>12539</v>
      </c>
      <c r="D70" s="256"/>
      <c r="E70">
        <v>47</v>
      </c>
      <c r="F70">
        <v>-10</v>
      </c>
      <c r="G70" t="s">
        <v>12545</v>
      </c>
      <c r="H70" t="s">
        <v>12516</v>
      </c>
      <c r="J70" t="s">
        <v>12523</v>
      </c>
      <c r="M70" s="256" t="s">
        <v>12093</v>
      </c>
      <c r="N70" t="str">
        <f t="shared" si="6"/>
        <v>condorProc.py --series 07210806_1250 --donoise --dumps a --procenv environments/pymidas_USD1.env</v>
      </c>
    </row>
    <row r="71" spans="1:14" ht="15">
      <c r="A71" s="256" t="s">
        <v>12546</v>
      </c>
      <c r="B71" t="s">
        <v>12091</v>
      </c>
      <c r="C71" s="256" t="s">
        <v>12539</v>
      </c>
      <c r="D71" s="256"/>
      <c r="E71">
        <v>45</v>
      </c>
      <c r="F71">
        <v>-20</v>
      </c>
      <c r="G71" t="s">
        <v>12547</v>
      </c>
      <c r="H71" t="s">
        <v>12516</v>
      </c>
      <c r="J71" t="s">
        <v>12523</v>
      </c>
      <c r="M71" s="256" t="s">
        <v>12093</v>
      </c>
      <c r="N71" t="str">
        <f t="shared" si="6"/>
        <v>condorProc.py --series 07210807_1710 --donoise --dumps a --procenv environments/pymidas_USD1.env</v>
      </c>
    </row>
    <row r="72" spans="1:14" ht="15">
      <c r="A72" s="256" t="s">
        <v>12548</v>
      </c>
      <c r="B72" t="s">
        <v>12091</v>
      </c>
      <c r="C72" s="256" t="s">
        <v>12539</v>
      </c>
      <c r="D72" s="256"/>
      <c r="E72">
        <v>49</v>
      </c>
      <c r="F72">
        <v>-30</v>
      </c>
      <c r="G72" t="s">
        <v>12549</v>
      </c>
      <c r="H72" t="s">
        <v>12516</v>
      </c>
      <c r="J72" t="s">
        <v>12523</v>
      </c>
      <c r="M72" s="256" t="s">
        <v>12093</v>
      </c>
      <c r="N72" t="str">
        <f t="shared" si="6"/>
        <v>condorProc.py --series 07210809_1049 --donoise --dumps a --procenv environments/pymidas_USD1.env</v>
      </c>
    </row>
    <row r="73" spans="1:14" ht="15">
      <c r="A73" s="256" t="s">
        <v>12550</v>
      </c>
      <c r="B73" t="s">
        <v>12091</v>
      </c>
      <c r="C73" s="256" t="s">
        <v>12539</v>
      </c>
      <c r="D73" s="256"/>
      <c r="E73">
        <v>49</v>
      </c>
      <c r="F73">
        <v>-40</v>
      </c>
      <c r="G73" s="256" t="s">
        <v>12551</v>
      </c>
      <c r="H73" t="s">
        <v>12516</v>
      </c>
      <c r="J73" t="s">
        <v>12523</v>
      </c>
      <c r="M73" s="256" t="s">
        <v>12093</v>
      </c>
      <c r="N73" t="str">
        <f t="shared" si="6"/>
        <v>condorProc.py --series 07210809_1615 --donoise --dumps a --procenv environments/pymidas_USD1.env</v>
      </c>
    </row>
    <row r="74" spans="1:14" ht="15">
      <c r="A74" s="256" t="s">
        <v>12552</v>
      </c>
      <c r="B74" t="s">
        <v>12091</v>
      </c>
      <c r="C74" t="s">
        <v>12431</v>
      </c>
      <c r="E74">
        <v>46</v>
      </c>
      <c r="F74">
        <v>0</v>
      </c>
      <c r="G74" s="256" t="s">
        <v>12553</v>
      </c>
      <c r="H74" t="s">
        <v>12516</v>
      </c>
      <c r="I74" s="256" t="s">
        <v>12554</v>
      </c>
      <c r="J74" t="s">
        <v>12523</v>
      </c>
      <c r="M74" s="256" t="s">
        <v>2158</v>
      </c>
      <c r="N74" t="str">
        <f t="shared" si="6"/>
        <v>condorProc.py --series 07210810_1100 --donoise --dumps a --procenv environments/pymidas_USD1.env</v>
      </c>
    </row>
    <row r="75" spans="1:14" ht="15">
      <c r="A75" s="256" t="s">
        <v>12555</v>
      </c>
      <c r="B75" t="s">
        <v>12091</v>
      </c>
      <c r="C75" s="256" t="s">
        <v>12542</v>
      </c>
      <c r="D75" s="256"/>
      <c r="E75">
        <v>46</v>
      </c>
      <c r="F75">
        <v>0</v>
      </c>
      <c r="G75" t="s">
        <v>12556</v>
      </c>
      <c r="H75" t="s">
        <v>12516</v>
      </c>
      <c r="J75" t="s">
        <v>12523</v>
      </c>
      <c r="K75" t="s">
        <v>12557</v>
      </c>
      <c r="M75" s="256" t="s">
        <v>12093</v>
      </c>
      <c r="N75" t="str">
        <f t="shared" si="6"/>
        <v>condorProc.py --series 07210811_1036 --donoise --dumps a --procenv environments/pymidas_USD1.env</v>
      </c>
    </row>
    <row r="76" spans="1:14" ht="15">
      <c r="A76" s="256" t="s">
        <v>12558</v>
      </c>
      <c r="B76" t="s">
        <v>12492</v>
      </c>
      <c r="C76" s="256" t="s">
        <v>12542</v>
      </c>
      <c r="D76" s="256"/>
      <c r="E76">
        <v>51</v>
      </c>
      <c r="F76">
        <v>0</v>
      </c>
      <c r="G76" t="s">
        <v>12556</v>
      </c>
      <c r="H76" t="s">
        <v>12516</v>
      </c>
      <c r="I76" s="256" t="s">
        <v>12559</v>
      </c>
      <c r="J76" t="s">
        <v>12523</v>
      </c>
      <c r="M76" s="256" t="s">
        <v>12093</v>
      </c>
      <c r="N76" t="str">
        <f t="shared" si="6"/>
        <v>condorProc.py --series 07210811_1428 --donoise --dumps a --procenv environments/pymidas_USD1.env</v>
      </c>
    </row>
    <row r="77" spans="1:14" ht="15">
      <c r="A77" s="256" t="s">
        <v>12560</v>
      </c>
      <c r="B77" t="s">
        <v>12492</v>
      </c>
      <c r="C77" s="256" t="s">
        <v>12539</v>
      </c>
      <c r="D77" s="256"/>
      <c r="E77">
        <v>48</v>
      </c>
      <c r="F77">
        <v>0</v>
      </c>
      <c r="G77" t="s">
        <v>12561</v>
      </c>
      <c r="H77" t="s">
        <v>12516</v>
      </c>
      <c r="I77" s="256" t="s">
        <v>12559</v>
      </c>
      <c r="J77" t="s">
        <v>12523</v>
      </c>
      <c r="M77" s="256" t="s">
        <v>12093</v>
      </c>
      <c r="N77" t="str">
        <f t="shared" si="6"/>
        <v>condorProc.py --series 07210812_1329 --donoise --dumps a --procenv environments/pymidas_USD1.env</v>
      </c>
    </row>
    <row r="78" spans="1:14" ht="15">
      <c r="A78" s="256" t="s">
        <v>12562</v>
      </c>
      <c r="B78" t="s">
        <v>12492</v>
      </c>
      <c r="C78" s="256" t="s">
        <v>12539</v>
      </c>
      <c r="D78" s="256"/>
      <c r="E78">
        <v>50</v>
      </c>
      <c r="F78">
        <v>0</v>
      </c>
      <c r="G78" t="s">
        <v>12563</v>
      </c>
      <c r="H78" t="s">
        <v>12516</v>
      </c>
      <c r="I78" s="256" t="s">
        <v>12564</v>
      </c>
      <c r="J78" t="s">
        <v>12523</v>
      </c>
      <c r="M78" s="256" t="s">
        <v>12093</v>
      </c>
      <c r="N78" t="str">
        <f t="shared" si="6"/>
        <v>condorProc.py --series 07210813_1129 --donoise --dumps a --procenv environments/pymidas_USD1.env</v>
      </c>
    </row>
    <row r="79" spans="1:14" ht="15">
      <c r="A79" s="256" t="s">
        <v>12565</v>
      </c>
      <c r="B79" t="s">
        <v>12091</v>
      </c>
      <c r="C79" s="256" t="s">
        <v>12566</v>
      </c>
      <c r="D79" s="256"/>
      <c r="E79">
        <v>48</v>
      </c>
      <c r="F79">
        <v>0</v>
      </c>
      <c r="G79" t="s">
        <v>12567</v>
      </c>
      <c r="H79" t="s">
        <v>12516</v>
      </c>
      <c r="I79" s="256" t="s">
        <v>12568</v>
      </c>
      <c r="J79" t="s">
        <v>12523</v>
      </c>
      <c r="M79" s="256" t="s">
        <v>12093</v>
      </c>
      <c r="N79" t="str">
        <f t="shared" si="6"/>
        <v>condorProc.py --series 07210813_1408 --donoise --dumps a --procenv environments/pymidas_USD1.env</v>
      </c>
    </row>
    <row r="80" spans="1:14" ht="15">
      <c r="A80" s="256" t="s">
        <v>12569</v>
      </c>
      <c r="B80" t="s">
        <v>12091</v>
      </c>
      <c r="C80" s="256" t="s">
        <v>12570</v>
      </c>
      <c r="D80" s="256"/>
      <c r="E80">
        <v>45</v>
      </c>
      <c r="F80">
        <v>0</v>
      </c>
      <c r="G80" t="s">
        <v>12567</v>
      </c>
      <c r="H80" t="s">
        <v>12516</v>
      </c>
      <c r="I80" s="256" t="s">
        <v>12571</v>
      </c>
      <c r="J80" t="s">
        <v>12523</v>
      </c>
      <c r="M80" s="256" t="s">
        <v>12093</v>
      </c>
      <c r="N80" t="str">
        <f t="shared" si="6"/>
        <v>condorProc.py --series 07210813_1603 --donoise --dumps a --procenv environments/pymidas_USD1.env</v>
      </c>
    </row>
    <row r="81" spans="1:25" ht="15">
      <c r="A81" s="256" t="s">
        <v>12572</v>
      </c>
      <c r="B81" t="s">
        <v>12091</v>
      </c>
      <c r="C81" s="256" t="s">
        <v>12542</v>
      </c>
      <c r="D81" s="256"/>
      <c r="E81">
        <v>45</v>
      </c>
      <c r="F81">
        <v>0</v>
      </c>
      <c r="G81" t="s">
        <v>12573</v>
      </c>
      <c r="H81" t="s">
        <v>12516</v>
      </c>
      <c r="I81" s="256" t="s">
        <v>2282</v>
      </c>
      <c r="M81" s="256" t="s">
        <v>2158</v>
      </c>
      <c r="N81" t="str">
        <f t="shared" si="6"/>
        <v>condorProc.py --series 07210815_1339 --donoise --dumps a --procenv environments/pymidas_USD1.env</v>
      </c>
    </row>
    <row r="82" spans="1:25" ht="15">
      <c r="A82" t="s">
        <v>12574</v>
      </c>
      <c r="B82" t="s">
        <v>12091</v>
      </c>
      <c r="C82" s="256" t="s">
        <v>12542</v>
      </c>
      <c r="D82" s="256"/>
      <c r="E82">
        <v>45</v>
      </c>
      <c r="F82">
        <v>0</v>
      </c>
      <c r="G82" t="s">
        <v>12575</v>
      </c>
      <c r="H82" t="s">
        <v>12516</v>
      </c>
      <c r="M82" s="256" t="s">
        <v>12093</v>
      </c>
      <c r="N82" t="str">
        <f t="shared" si="6"/>
        <v>condorProc.py --series 07210816_1356 --donoise --dumps a --procenv environments/pymidas_USD1.env</v>
      </c>
    </row>
    <row r="83" spans="1:25" ht="15">
      <c r="A83" s="256" t="s">
        <v>12576</v>
      </c>
      <c r="B83" t="s">
        <v>12091</v>
      </c>
      <c r="C83" s="256" t="s">
        <v>12539</v>
      </c>
      <c r="D83" s="256"/>
      <c r="E83">
        <v>45</v>
      </c>
      <c r="F83">
        <v>0</v>
      </c>
      <c r="G83" t="s">
        <v>12577</v>
      </c>
      <c r="H83" t="s">
        <v>12516</v>
      </c>
      <c r="I83" s="256" t="s">
        <v>12578</v>
      </c>
      <c r="M83" s="256" t="s">
        <v>12093</v>
      </c>
      <c r="N83" t="str">
        <f t="shared" si="6"/>
        <v>condorProc.py --series 07210816_1725 --donoise --dumps a --procenv environments/pymidas_USD1.env</v>
      </c>
    </row>
    <row r="84" spans="1:25" ht="15">
      <c r="A84" s="256" t="s">
        <v>12579</v>
      </c>
      <c r="B84" t="s">
        <v>12091</v>
      </c>
      <c r="C84" s="256" t="s">
        <v>12539</v>
      </c>
      <c r="D84" s="256"/>
      <c r="E84">
        <v>45</v>
      </c>
      <c r="F84">
        <v>0</v>
      </c>
      <c r="G84" t="s">
        <v>12580</v>
      </c>
      <c r="H84" t="s">
        <v>12516</v>
      </c>
      <c r="M84" s="256" t="s">
        <v>12093</v>
      </c>
      <c r="N84" t="str">
        <f t="shared" si="6"/>
        <v>condorProc.py --series 07210817_1047 --donoise --dumps a --procenv environments/pymidas_USD1.env</v>
      </c>
    </row>
    <row r="85" spans="1:25" ht="15">
      <c r="A85" s="256" t="s">
        <v>12581</v>
      </c>
      <c r="B85" t="s">
        <v>12091</v>
      </c>
      <c r="C85" s="256" t="s">
        <v>12582</v>
      </c>
      <c r="D85" s="256"/>
      <c r="E85">
        <v>47</v>
      </c>
      <c r="F85">
        <v>0</v>
      </c>
      <c r="G85" t="s">
        <v>12583</v>
      </c>
      <c r="H85" t="s">
        <v>12516</v>
      </c>
      <c r="K85" t="s">
        <v>12557</v>
      </c>
      <c r="M85" s="256" t="s">
        <v>12093</v>
      </c>
      <c r="N85" t="str">
        <f t="shared" si="6"/>
        <v>condorProc.py --series 07210817_1215 --donoise --dumps a --procenv environments/pymidas_USD1.env</v>
      </c>
    </row>
    <row r="86" spans="1:25" ht="15">
      <c r="A86" s="256" t="s">
        <v>12584</v>
      </c>
      <c r="B86" t="s">
        <v>12091</v>
      </c>
      <c r="C86" s="256" t="s">
        <v>12582</v>
      </c>
      <c r="D86" s="256"/>
      <c r="E86">
        <v>45</v>
      </c>
      <c r="F86">
        <v>-4.55</v>
      </c>
      <c r="G86" t="s">
        <v>12585</v>
      </c>
      <c r="H86" t="s">
        <v>12516</v>
      </c>
      <c r="I86" s="256" t="s">
        <v>12586</v>
      </c>
      <c r="M86" s="256" t="s">
        <v>12093</v>
      </c>
      <c r="N86" t="str">
        <f t="shared" si="6"/>
        <v>condorProc.py --series 07210817_1527 --donoise --dumps a --procenv environments/pymidas_USD1.env</v>
      </c>
    </row>
    <row r="87" spans="1:25" ht="15">
      <c r="A87" s="256" t="s">
        <v>12587</v>
      </c>
      <c r="B87" t="s">
        <v>12091</v>
      </c>
      <c r="C87" s="256" t="s">
        <v>12582</v>
      </c>
      <c r="D87" s="256"/>
      <c r="E87">
        <v>45</v>
      </c>
      <c r="F87">
        <f>F86-0.46</f>
        <v>-5.01</v>
      </c>
      <c r="G87" t="s">
        <v>12588</v>
      </c>
      <c r="H87" t="s">
        <v>12516</v>
      </c>
      <c r="I87" t="s">
        <v>12589</v>
      </c>
      <c r="M87" s="256" t="s">
        <v>12093</v>
      </c>
      <c r="N87" t="str">
        <f t="shared" si="6"/>
        <v>condorProc.py --series 07210817_1747 --donoise --dumps a --procenv environments/pymidas_USD1.env</v>
      </c>
    </row>
    <row r="88" spans="1:25" ht="15">
      <c r="A88" s="256" t="s">
        <v>12590</v>
      </c>
      <c r="B88" t="s">
        <v>12091</v>
      </c>
      <c r="C88" s="256" t="s">
        <v>12582</v>
      </c>
      <c r="D88" s="256"/>
      <c r="E88">
        <v>50</v>
      </c>
      <c r="F88">
        <v>0</v>
      </c>
      <c r="G88" t="s">
        <v>12591</v>
      </c>
      <c r="H88" t="s">
        <v>12516</v>
      </c>
      <c r="I88" s="256" t="s">
        <v>12592</v>
      </c>
      <c r="K88" t="s">
        <v>12557</v>
      </c>
      <c r="M88" s="256" t="s">
        <v>12093</v>
      </c>
      <c r="N88" t="str">
        <f t="shared" si="6"/>
        <v>condorProc.py --series 07210818_1305 --donoise --dumps a --procenv environments/pymidas_USD1.env</v>
      </c>
    </row>
    <row r="89" spans="1:25" ht="15">
      <c r="A89" s="256" t="s">
        <v>12593</v>
      </c>
      <c r="B89" t="s">
        <v>12104</v>
      </c>
      <c r="C89" s="256" t="s">
        <v>12582</v>
      </c>
      <c r="D89" s="256">
        <v>1.5</v>
      </c>
      <c r="E89">
        <v>45</v>
      </c>
      <c r="F89">
        <v>0</v>
      </c>
      <c r="G89" t="s">
        <v>12594</v>
      </c>
      <c r="H89" t="s">
        <v>12516</v>
      </c>
      <c r="I89" t="s">
        <v>12595</v>
      </c>
      <c r="K89" t="s">
        <v>12557</v>
      </c>
      <c r="M89" s="256" t="s">
        <v>12093</v>
      </c>
      <c r="N89" t="str">
        <f t="shared" si="6"/>
        <v>condorProc.py --series 07210818_1634 --donoise --dumps a --procenv environments/pymidas_USD1.env</v>
      </c>
    </row>
    <row r="90" spans="1:25" ht="15">
      <c r="A90" s="256" t="s">
        <v>12596</v>
      </c>
      <c r="B90" t="s">
        <v>12104</v>
      </c>
      <c r="C90" s="256" t="s">
        <v>12436</v>
      </c>
      <c r="D90" s="256">
        <v>1.2</v>
      </c>
      <c r="E90">
        <v>45</v>
      </c>
      <c r="F90">
        <v>0</v>
      </c>
      <c r="G90" t="s">
        <v>12597</v>
      </c>
      <c r="H90" t="s">
        <v>12516</v>
      </c>
      <c r="K90" t="s">
        <v>12557</v>
      </c>
      <c r="M90" s="256" t="s">
        <v>12093</v>
      </c>
      <c r="N90" t="str">
        <f t="shared" si="6"/>
        <v>condorProc.py --series 07210819_0913 --donoise --dumps a --procenv environments/pymidas_USD1.env</v>
      </c>
    </row>
    <row r="91" spans="1:25" ht="15">
      <c r="A91" s="256" t="s">
        <v>12598</v>
      </c>
      <c r="B91" t="s">
        <v>12104</v>
      </c>
      <c r="C91" s="256" t="s">
        <v>12436</v>
      </c>
      <c r="D91" s="256"/>
      <c r="E91">
        <v>45</v>
      </c>
      <c r="F91">
        <v>0</v>
      </c>
      <c r="G91" t="s">
        <v>12599</v>
      </c>
      <c r="H91" t="s">
        <v>12516</v>
      </c>
      <c r="I91" s="256" t="s">
        <v>12600</v>
      </c>
      <c r="K91" t="s">
        <v>12557</v>
      </c>
      <c r="M91" s="256" t="s">
        <v>12093</v>
      </c>
      <c r="N91" t="str">
        <f t="shared" si="6"/>
        <v>condorProc.py --series 07210819_1150 --donoise --dumps a --procenv environments/pymidas_USD1.env</v>
      </c>
    </row>
    <row r="92" spans="1:25" ht="15">
      <c r="A92" s="256" t="s">
        <v>12601</v>
      </c>
      <c r="B92" t="s">
        <v>12104</v>
      </c>
      <c r="C92" s="256" t="s">
        <v>12436</v>
      </c>
      <c r="D92" s="256">
        <v>1.2</v>
      </c>
      <c r="E92">
        <v>45</v>
      </c>
      <c r="F92">
        <v>0</v>
      </c>
      <c r="G92" t="s">
        <v>12602</v>
      </c>
      <c r="H92" t="s">
        <v>12516</v>
      </c>
      <c r="K92" t="s">
        <v>12557</v>
      </c>
      <c r="M92" s="256" t="s">
        <v>12093</v>
      </c>
      <c r="N92" t="str">
        <f t="shared" si="6"/>
        <v>condorProc.py --series 07210819_1430 --donoise --dumps a --procenv environments/pymidas_USD1.env</v>
      </c>
    </row>
    <row r="93" spans="1:25" ht="15">
      <c r="A93" s="256" t="s">
        <v>12603</v>
      </c>
      <c r="B93" t="s">
        <v>12104</v>
      </c>
      <c r="C93" s="256" t="s">
        <v>12604</v>
      </c>
      <c r="D93" s="256"/>
      <c r="E93">
        <v>45</v>
      </c>
      <c r="F93">
        <v>0</v>
      </c>
      <c r="G93" t="s">
        <v>12605</v>
      </c>
      <c r="H93" t="s">
        <v>12516</v>
      </c>
      <c r="I93" s="256" t="s">
        <v>12606</v>
      </c>
      <c r="M93" s="256" t="s">
        <v>12093</v>
      </c>
      <c r="N93" t="str">
        <f t="shared" si="6"/>
        <v>condorProc.py --series 07210819_1640 --donoise --dumps a --procenv environments/pymidas_USD1.env</v>
      </c>
    </row>
    <row r="94" spans="1:25" ht="15">
      <c r="A94" s="256" t="s">
        <v>12607</v>
      </c>
      <c r="B94" t="s">
        <v>12104</v>
      </c>
      <c r="C94" s="256" t="s">
        <v>12608</v>
      </c>
      <c r="D94" s="256">
        <v>2.6</v>
      </c>
      <c r="E94">
        <v>45</v>
      </c>
      <c r="F94">
        <v>0</v>
      </c>
      <c r="G94" t="s">
        <v>12609</v>
      </c>
      <c r="H94" t="s">
        <v>12516</v>
      </c>
      <c r="K94" s="16" t="s">
        <v>12557</v>
      </c>
      <c r="L94" s="16">
        <v>0.31</v>
      </c>
      <c r="M94" s="256" t="s">
        <v>12093</v>
      </c>
      <c r="N94" t="str">
        <f t="shared" si="6"/>
        <v>condorProc.py --series 07210820_0741 --donoise --dumps a --procenv environments/pymidas_USD1.env</v>
      </c>
      <c r="W94">
        <v>0.66710000000000003</v>
      </c>
      <c r="X94" s="16">
        <v>1.2</v>
      </c>
    </row>
    <row r="95" spans="1:25" ht="15">
      <c r="A95" s="256" t="s">
        <v>12610</v>
      </c>
      <c r="B95" t="s">
        <v>12104</v>
      </c>
      <c r="C95" s="256" t="s">
        <v>12611</v>
      </c>
      <c r="D95" s="256">
        <v>2.6</v>
      </c>
      <c r="E95">
        <v>45</v>
      </c>
      <c r="F95">
        <v>0</v>
      </c>
      <c r="G95" t="s">
        <v>12612</v>
      </c>
      <c r="H95" t="s">
        <v>12516</v>
      </c>
      <c r="K95" s="16" t="s">
        <v>12557</v>
      </c>
      <c r="L95" s="16"/>
      <c r="M95" s="256" t="s">
        <v>12093</v>
      </c>
      <c r="N95" t="str">
        <f t="shared" si="6"/>
        <v>condorProc.py --series 07210820_1037 --donoise --dumps a --procenv environments/pymidas_USD1.env</v>
      </c>
      <c r="W95">
        <v>0.66590000000000005</v>
      </c>
      <c r="Y95">
        <v>1.2</v>
      </c>
    </row>
    <row r="96" spans="1:25" ht="15">
      <c r="A96" s="256" t="s">
        <v>12613</v>
      </c>
      <c r="B96" t="s">
        <v>12104</v>
      </c>
      <c r="C96" s="256" t="s">
        <v>12614</v>
      </c>
      <c r="D96" s="256">
        <v>2.6</v>
      </c>
      <c r="E96">
        <v>45</v>
      </c>
      <c r="F96">
        <v>0</v>
      </c>
      <c r="G96" t="s">
        <v>12615</v>
      </c>
      <c r="H96" t="s">
        <v>12516</v>
      </c>
      <c r="K96" s="16" t="s">
        <v>12557</v>
      </c>
      <c r="L96" s="16"/>
      <c r="M96" s="256" t="s">
        <v>12093</v>
      </c>
      <c r="N96" t="str">
        <f t="shared" si="6"/>
        <v>condorProc.py --series 07210820_1215 --donoise --dumps a --procenv environments/pymidas_USD1.env</v>
      </c>
      <c r="W96">
        <v>0.68969999999999998</v>
      </c>
      <c r="Y96">
        <v>1.2</v>
      </c>
    </row>
    <row r="97" spans="1:25" ht="15">
      <c r="A97" s="256" t="s">
        <v>12616</v>
      </c>
      <c r="B97" t="s">
        <v>12104</v>
      </c>
      <c r="C97" s="256" t="s">
        <v>12617</v>
      </c>
      <c r="D97" s="256">
        <v>2.6</v>
      </c>
      <c r="E97">
        <v>45</v>
      </c>
      <c r="F97">
        <v>0</v>
      </c>
      <c r="G97" t="s">
        <v>12618</v>
      </c>
      <c r="H97" t="s">
        <v>12516</v>
      </c>
      <c r="K97" s="16" t="s">
        <v>12557</v>
      </c>
      <c r="L97" s="16"/>
      <c r="M97" s="256" t="s">
        <v>12093</v>
      </c>
      <c r="N97" t="str">
        <f t="shared" si="6"/>
        <v>condorProc.py --series 07210820_1324 --donoise --dumps a --procenv environments/pymidas_USD1.env</v>
      </c>
    </row>
    <row r="98" spans="1:25" ht="15">
      <c r="A98" s="256" t="s">
        <v>12619</v>
      </c>
      <c r="B98" t="s">
        <v>12104</v>
      </c>
      <c r="C98" s="256" t="s">
        <v>12620</v>
      </c>
      <c r="D98" s="256">
        <v>2.6</v>
      </c>
      <c r="E98">
        <v>45</v>
      </c>
      <c r="F98">
        <v>0</v>
      </c>
      <c r="G98" t="s">
        <v>12621</v>
      </c>
      <c r="H98" t="s">
        <v>12516</v>
      </c>
      <c r="K98" s="16" t="s">
        <v>12557</v>
      </c>
      <c r="L98" s="16"/>
      <c r="M98" s="256" t="s">
        <v>12093</v>
      </c>
      <c r="N98" t="str">
        <f t="shared" ref="N98:N133" si="7">"condorProc.py --series "&amp;A98&amp;" --donoise --dumps a --procenv environments/pymidas_USD1.env"</f>
        <v>condorProc.py --series 07210820_1633 --donoise --dumps a --procenv environments/pymidas_USD1.env</v>
      </c>
      <c r="W98">
        <v>0.94689999999999996</v>
      </c>
      <c r="Y98">
        <v>1.2</v>
      </c>
    </row>
    <row r="99" spans="1:25" ht="15">
      <c r="A99" s="256" t="s">
        <v>12622</v>
      </c>
      <c r="B99" t="s">
        <v>12104</v>
      </c>
      <c r="C99" s="256" t="s">
        <v>12623</v>
      </c>
      <c r="D99" s="256">
        <v>2.6</v>
      </c>
      <c r="E99">
        <v>45</v>
      </c>
      <c r="F99">
        <v>0</v>
      </c>
      <c r="G99" t="s">
        <v>12624</v>
      </c>
      <c r="H99" t="s">
        <v>12516</v>
      </c>
      <c r="K99" s="16" t="s">
        <v>12557</v>
      </c>
      <c r="L99" s="16"/>
      <c r="M99" s="256" t="s">
        <v>12093</v>
      </c>
      <c r="N99" t="str">
        <f t="shared" si="7"/>
        <v>condorProc.py --series 07210821_1116 --donoise --dumps a --procenv environments/pymidas_USD1.env</v>
      </c>
      <c r="W99">
        <v>0.77910000000000001</v>
      </c>
      <c r="X99" s="16">
        <v>2.2999999999999998</v>
      </c>
    </row>
    <row r="100" spans="1:25" ht="15">
      <c r="A100" s="256" t="s">
        <v>12625</v>
      </c>
      <c r="B100" s="256" t="s">
        <v>12104</v>
      </c>
      <c r="C100" s="256" t="s">
        <v>12626</v>
      </c>
      <c r="D100" s="256">
        <v>2.6</v>
      </c>
      <c r="E100">
        <v>45</v>
      </c>
      <c r="F100">
        <v>0</v>
      </c>
      <c r="G100" s="256" t="s">
        <v>12627</v>
      </c>
      <c r="H100" s="256" t="s">
        <v>12516</v>
      </c>
      <c r="K100" s="16" t="s">
        <v>12557</v>
      </c>
      <c r="L100" s="16"/>
      <c r="M100" s="256" t="s">
        <v>12093</v>
      </c>
      <c r="N100" t="str">
        <f t="shared" si="7"/>
        <v>condorProc.py --series 07210823_1408 --donoise --dumps a --procenv environments/pymidas_USD1.env</v>
      </c>
      <c r="W100">
        <v>0.78459999999999996</v>
      </c>
      <c r="X100" s="16">
        <v>2.5</v>
      </c>
    </row>
    <row r="101" spans="1:25" ht="15">
      <c r="A101" t="s">
        <v>12628</v>
      </c>
      <c r="B101" t="s">
        <v>12104</v>
      </c>
      <c r="C101" t="s">
        <v>12629</v>
      </c>
      <c r="D101">
        <v>2.6</v>
      </c>
      <c r="E101">
        <v>45</v>
      </c>
      <c r="F101">
        <v>0</v>
      </c>
      <c r="G101" t="s">
        <v>12630</v>
      </c>
      <c r="H101" t="s">
        <v>12516</v>
      </c>
      <c r="K101" s="16" t="s">
        <v>12557</v>
      </c>
      <c r="L101" s="16"/>
      <c r="M101" s="256" t="s">
        <v>12093</v>
      </c>
      <c r="N101" t="str">
        <f t="shared" si="7"/>
        <v>condorProc.py --series 07210823_1629 --donoise --dumps a --procenv environments/pymidas_USD1.env</v>
      </c>
    </row>
    <row r="102" spans="1:25" ht="15">
      <c r="A102" t="s">
        <v>12631</v>
      </c>
      <c r="B102" t="s">
        <v>12104</v>
      </c>
      <c r="C102" t="s">
        <v>12632</v>
      </c>
      <c r="D102">
        <v>2.6</v>
      </c>
      <c r="E102">
        <v>45</v>
      </c>
      <c r="F102">
        <v>0</v>
      </c>
      <c r="G102" t="s">
        <v>12633</v>
      </c>
      <c r="H102" t="s">
        <v>12516</v>
      </c>
      <c r="K102" s="16" t="s">
        <v>12557</v>
      </c>
      <c r="L102" s="16"/>
      <c r="M102" s="256" t="s">
        <v>12093</v>
      </c>
      <c r="N102" t="str">
        <f t="shared" si="7"/>
        <v>condorProc.py --series 07210824_0858 --donoise --dumps a --procenv environments/pymidas_USD1.env</v>
      </c>
      <c r="W102">
        <v>0.74929999999999997</v>
      </c>
      <c r="Y102">
        <v>2.5</v>
      </c>
    </row>
    <row r="103" spans="1:25" ht="15">
      <c r="A103" t="s">
        <v>12634</v>
      </c>
      <c r="B103" t="s">
        <v>12635</v>
      </c>
      <c r="C103" t="s">
        <v>12636</v>
      </c>
      <c r="D103">
        <v>2.6</v>
      </c>
      <c r="E103">
        <v>45</v>
      </c>
      <c r="F103">
        <v>0</v>
      </c>
      <c r="G103" t="s">
        <v>12637</v>
      </c>
      <c r="H103" t="s">
        <v>12516</v>
      </c>
      <c r="K103" s="16" t="s">
        <v>12557</v>
      </c>
      <c r="L103" s="16"/>
      <c r="M103" s="256" t="s">
        <v>12093</v>
      </c>
      <c r="N103" t="str">
        <f t="shared" si="7"/>
        <v>condorProc.py --series 07210824_1350 --donoise --dumps a --procenv environments/pymidas_USD1.env</v>
      </c>
      <c r="W103">
        <v>0.77439999999999998</v>
      </c>
      <c r="Y103">
        <v>2.5</v>
      </c>
    </row>
    <row r="104" spans="1:25" ht="15">
      <c r="A104" t="s">
        <v>12638</v>
      </c>
      <c r="B104" t="s">
        <v>12104</v>
      </c>
      <c r="C104" t="s">
        <v>12639</v>
      </c>
      <c r="D104">
        <v>2.6</v>
      </c>
      <c r="E104">
        <v>45</v>
      </c>
      <c r="F104">
        <v>0</v>
      </c>
      <c r="G104" t="s">
        <v>12640</v>
      </c>
      <c r="H104" t="s">
        <v>12516</v>
      </c>
      <c r="I104" t="s">
        <v>12641</v>
      </c>
      <c r="M104" s="256" t="s">
        <v>12093</v>
      </c>
      <c r="N104" t="str">
        <f t="shared" si="7"/>
        <v>condorProc.py --series 07210824_1558 --donoise --dumps a --procenv environments/pymidas_USD1.env</v>
      </c>
      <c r="W104">
        <v>0.82199999999999995</v>
      </c>
      <c r="X104" s="16">
        <v>2.5</v>
      </c>
    </row>
    <row r="105" spans="1:25" ht="15">
      <c r="A105" t="s">
        <v>12642</v>
      </c>
      <c r="B105" t="s">
        <v>12104</v>
      </c>
      <c r="C105" t="s">
        <v>12643</v>
      </c>
      <c r="E105">
        <v>45</v>
      </c>
      <c r="F105">
        <v>0</v>
      </c>
      <c r="G105" t="s">
        <v>12644</v>
      </c>
      <c r="H105" t="s">
        <v>12645</v>
      </c>
      <c r="M105" s="256" t="s">
        <v>12093</v>
      </c>
      <c r="N105" t="str">
        <f t="shared" si="7"/>
        <v>condorProc.py --series 07210825_1106 --donoise --dumps a --procenv environments/pymidas_USD1.env</v>
      </c>
    </row>
    <row r="106" spans="1:25" ht="15">
      <c r="A106" t="s">
        <v>12646</v>
      </c>
      <c r="B106" t="s">
        <v>12104</v>
      </c>
      <c r="C106" t="s">
        <v>12647</v>
      </c>
      <c r="E106">
        <v>45</v>
      </c>
      <c r="F106">
        <v>0</v>
      </c>
      <c r="G106" t="s">
        <v>12648</v>
      </c>
      <c r="H106" t="s">
        <v>12649</v>
      </c>
      <c r="M106" s="256" t="s">
        <v>12093</v>
      </c>
      <c r="N106" t="str">
        <f t="shared" si="7"/>
        <v>condorProc.py --series 07210825_1304 --donoise --dumps a --procenv environments/pymidas_USD1.env</v>
      </c>
    </row>
    <row r="107" spans="1:25" ht="15">
      <c r="A107" t="s">
        <v>12650</v>
      </c>
      <c r="B107" t="s">
        <v>12104</v>
      </c>
      <c r="C107" t="s">
        <v>12651</v>
      </c>
      <c r="E107">
        <v>45</v>
      </c>
      <c r="F107">
        <v>0</v>
      </c>
      <c r="G107" t="s">
        <v>12652</v>
      </c>
      <c r="H107" t="s">
        <v>12653</v>
      </c>
      <c r="M107" s="256" t="s">
        <v>12093</v>
      </c>
      <c r="N107" t="str">
        <f t="shared" si="7"/>
        <v>condorProc.py --series 07210825_1456 --donoise --dumps a --procenv environments/pymidas_USD1.env</v>
      </c>
    </row>
    <row r="108" spans="1:25" ht="15">
      <c r="A108" t="s">
        <v>12654</v>
      </c>
      <c r="B108" t="s">
        <v>12104</v>
      </c>
      <c r="C108" t="s">
        <v>12655</v>
      </c>
      <c r="E108">
        <v>45</v>
      </c>
      <c r="F108">
        <v>0</v>
      </c>
      <c r="G108" t="s">
        <v>12656</v>
      </c>
      <c r="H108" t="s">
        <v>12657</v>
      </c>
      <c r="M108" s="256" t="s">
        <v>12093</v>
      </c>
      <c r="N108" t="str">
        <f t="shared" si="7"/>
        <v>condorProc.py --series 07210826_1004 --donoise --dumps a --procenv environments/pymidas_USD1.env</v>
      </c>
    </row>
    <row r="109" spans="1:25" ht="15">
      <c r="A109" t="s">
        <v>12658</v>
      </c>
      <c r="B109" t="s">
        <v>12104</v>
      </c>
      <c r="C109" t="s">
        <v>12659</v>
      </c>
      <c r="E109">
        <v>45</v>
      </c>
      <c r="F109">
        <v>0</v>
      </c>
      <c r="G109" t="s">
        <v>12660</v>
      </c>
      <c r="H109" t="s">
        <v>12661</v>
      </c>
      <c r="M109" s="256" t="s">
        <v>12093</v>
      </c>
      <c r="N109" t="str">
        <f t="shared" si="7"/>
        <v>condorProc.py --series 07210826_1335 --donoise --dumps a --procenv environments/pymidas_USD1.env</v>
      </c>
      <c r="P109">
        <v>85</v>
      </c>
      <c r="Q109">
        <v>28</v>
      </c>
      <c r="T109" s="256" t="s">
        <v>3371</v>
      </c>
      <c r="U109" s="256" t="s">
        <v>3371</v>
      </c>
    </row>
    <row r="110" spans="1:25" ht="15">
      <c r="A110" t="s">
        <v>12662</v>
      </c>
      <c r="B110" t="s">
        <v>12104</v>
      </c>
      <c r="C110" s="256" t="s">
        <v>12663</v>
      </c>
      <c r="D110" s="256"/>
      <c r="E110">
        <v>45</v>
      </c>
      <c r="F110">
        <v>0</v>
      </c>
      <c r="G110" t="s">
        <v>12664</v>
      </c>
      <c r="H110" s="256" t="s">
        <v>12665</v>
      </c>
      <c r="M110" s="256" t="s">
        <v>12093</v>
      </c>
      <c r="N110" t="str">
        <f t="shared" si="7"/>
        <v>condorProc.py --series 07210826_1622 --donoise --dumps a --procenv environments/pymidas_USD1.env</v>
      </c>
      <c r="P110">
        <v>60</v>
      </c>
      <c r="Q110">
        <v>7.5</v>
      </c>
      <c r="T110">
        <v>9</v>
      </c>
      <c r="U110">
        <v>112</v>
      </c>
    </row>
    <row r="111" spans="1:25" ht="15">
      <c r="A111" t="s">
        <v>12666</v>
      </c>
      <c r="B111" t="s">
        <v>12104</v>
      </c>
      <c r="C111" t="s">
        <v>12667</v>
      </c>
      <c r="E111">
        <v>45</v>
      </c>
      <c r="F111">
        <v>0</v>
      </c>
      <c r="G111" t="s">
        <v>12668</v>
      </c>
      <c r="H111" t="s">
        <v>12516</v>
      </c>
      <c r="K111" t="s">
        <v>12557</v>
      </c>
      <c r="M111" s="256" t="s">
        <v>12093</v>
      </c>
      <c r="N111" t="str">
        <f t="shared" si="7"/>
        <v>condorProc.py --series 07210827_0849 --donoise --dumps a --procenv environments/pymidas_USD1.env</v>
      </c>
      <c r="P111">
        <v>120</v>
      </c>
      <c r="Q111">
        <v>45</v>
      </c>
      <c r="T111">
        <v>3.5</v>
      </c>
      <c r="U111">
        <v>280</v>
      </c>
    </row>
    <row r="112" spans="1:25" ht="15">
      <c r="A112" t="s">
        <v>12669</v>
      </c>
      <c r="B112" t="s">
        <v>12104</v>
      </c>
      <c r="C112" t="s">
        <v>12670</v>
      </c>
      <c r="D112">
        <v>1.6</v>
      </c>
      <c r="E112">
        <v>45</v>
      </c>
      <c r="F112">
        <v>0</v>
      </c>
      <c r="G112" t="s">
        <v>12671</v>
      </c>
      <c r="H112" t="s">
        <v>12516</v>
      </c>
      <c r="K112" t="s">
        <v>12557</v>
      </c>
      <c r="M112" s="256" t="s">
        <v>12093</v>
      </c>
      <c r="N112" t="str">
        <f t="shared" si="7"/>
        <v>condorProc.py --series 07210830_1447 --donoise --dumps a --procenv environments/pymidas_USD1.env</v>
      </c>
      <c r="P112">
        <v>58</v>
      </c>
      <c r="Q112">
        <v>9</v>
      </c>
      <c r="T112">
        <v>8</v>
      </c>
      <c r="U112">
        <v>113</v>
      </c>
    </row>
    <row r="113" spans="1:21" ht="15">
      <c r="A113" t="s">
        <v>12672</v>
      </c>
      <c r="B113" t="s">
        <v>12104</v>
      </c>
      <c r="C113" t="s">
        <v>12673</v>
      </c>
      <c r="E113">
        <v>45</v>
      </c>
      <c r="F113">
        <v>0</v>
      </c>
      <c r="G113" t="s">
        <v>12674</v>
      </c>
      <c r="H113" t="s">
        <v>12675</v>
      </c>
      <c r="I113" t="s">
        <v>12676</v>
      </c>
      <c r="M113" s="256" t="s">
        <v>12093</v>
      </c>
      <c r="N113" t="str">
        <f t="shared" si="7"/>
        <v>condorProc.py --series 07210831_0941 --donoise --dumps a --procenv environments/pymidas_USD1.env</v>
      </c>
      <c r="P113">
        <v>67</v>
      </c>
      <c r="Q113">
        <v>13</v>
      </c>
      <c r="R113" s="256" t="s">
        <v>12677</v>
      </c>
      <c r="S113" s="256" t="s">
        <v>12678</v>
      </c>
      <c r="T113" s="256" t="s">
        <v>3371</v>
      </c>
      <c r="U113" s="256" t="s">
        <v>3371</v>
      </c>
    </row>
    <row r="114" spans="1:21" ht="15">
      <c r="A114" t="s">
        <v>12679</v>
      </c>
      <c r="B114" t="s">
        <v>12104</v>
      </c>
      <c r="C114" t="s">
        <v>12670</v>
      </c>
      <c r="D114">
        <v>1.6</v>
      </c>
      <c r="E114">
        <v>45</v>
      </c>
      <c r="F114">
        <v>0</v>
      </c>
      <c r="G114" t="s">
        <v>12680</v>
      </c>
      <c r="H114" t="s">
        <v>12675</v>
      </c>
      <c r="I114" s="256" t="s">
        <v>12681</v>
      </c>
      <c r="K114" t="s">
        <v>12557</v>
      </c>
      <c r="M114" s="256" t="s">
        <v>12093</v>
      </c>
      <c r="N114" t="str">
        <f t="shared" si="7"/>
        <v>condorProc.py --series 07210831_1553 --donoise --dumps a --procenv environments/pymidas_USD1.env</v>
      </c>
      <c r="P114">
        <v>71</v>
      </c>
      <c r="Q114">
        <v>7.5</v>
      </c>
      <c r="T114">
        <v>8.5</v>
      </c>
      <c r="U114">
        <v>123</v>
      </c>
    </row>
    <row r="115" spans="1:21" ht="15">
      <c r="A115" t="s">
        <v>12682</v>
      </c>
      <c r="B115" t="s">
        <v>12104</v>
      </c>
      <c r="C115" t="s">
        <v>12670</v>
      </c>
      <c r="D115">
        <v>1.5</v>
      </c>
      <c r="E115">
        <v>45</v>
      </c>
      <c r="F115">
        <v>0</v>
      </c>
      <c r="G115" t="s">
        <v>12683</v>
      </c>
      <c r="H115" t="s">
        <v>12675</v>
      </c>
      <c r="K115" t="s">
        <v>12557</v>
      </c>
      <c r="M115" s="256" t="s">
        <v>12093</v>
      </c>
      <c r="N115" t="str">
        <f t="shared" si="7"/>
        <v>condorProc.py --series 07210901_1600 --donoise --dumps a --procenv environments/pymidas_USD1.env</v>
      </c>
      <c r="P115">
        <v>67</v>
      </c>
      <c r="Q115">
        <v>9.5</v>
      </c>
      <c r="T115">
        <v>8</v>
      </c>
      <c r="U115">
        <v>128</v>
      </c>
    </row>
    <row r="116" spans="1:21" ht="15">
      <c r="A116" t="s">
        <v>12684</v>
      </c>
      <c r="B116" t="s">
        <v>12104</v>
      </c>
      <c r="C116" t="s">
        <v>12670</v>
      </c>
      <c r="D116">
        <v>1.1000000000000001</v>
      </c>
      <c r="E116">
        <v>45</v>
      </c>
      <c r="F116">
        <v>0</v>
      </c>
      <c r="G116" t="s">
        <v>12685</v>
      </c>
      <c r="H116" t="s">
        <v>12675</v>
      </c>
      <c r="K116" t="s">
        <v>12557</v>
      </c>
      <c r="M116" s="256" t="s">
        <v>12093</v>
      </c>
      <c r="N116" t="str">
        <f t="shared" si="7"/>
        <v>condorProc.py --series 07210902_1021 --donoise --dumps a --procenv environments/pymidas_USD1.env</v>
      </c>
      <c r="P116">
        <v>66</v>
      </c>
      <c r="Q116">
        <v>10.5</v>
      </c>
      <c r="T116">
        <v>7.2</v>
      </c>
      <c r="U116">
        <v>128</v>
      </c>
    </row>
    <row r="117" spans="1:21" ht="15">
      <c r="A117" t="s">
        <v>12686</v>
      </c>
      <c r="B117" t="s">
        <v>12104</v>
      </c>
      <c r="C117" t="s">
        <v>12670</v>
      </c>
      <c r="E117">
        <v>45</v>
      </c>
      <c r="F117">
        <v>0</v>
      </c>
      <c r="G117" t="s">
        <v>12687</v>
      </c>
      <c r="H117" t="s">
        <v>12675</v>
      </c>
      <c r="I117" s="256" t="s">
        <v>12688</v>
      </c>
      <c r="K117" t="s">
        <v>12557</v>
      </c>
      <c r="M117" s="256" t="s">
        <v>12093</v>
      </c>
      <c r="N117" t="str">
        <f t="shared" si="7"/>
        <v>condorProc.py --series 07210902_1351 --donoise --dumps a --procenv environments/pymidas_USD1.env</v>
      </c>
      <c r="P117">
        <v>71</v>
      </c>
      <c r="Q117">
        <v>15</v>
      </c>
      <c r="T117">
        <v>6.2</v>
      </c>
      <c r="U117">
        <v>145</v>
      </c>
    </row>
    <row r="118" spans="1:21" ht="15">
      <c r="A118" t="s">
        <v>12689</v>
      </c>
      <c r="B118" t="s">
        <v>12104</v>
      </c>
      <c r="C118" t="s">
        <v>12670</v>
      </c>
      <c r="D118">
        <v>1.4</v>
      </c>
      <c r="E118">
        <v>45</v>
      </c>
      <c r="F118">
        <v>0</v>
      </c>
      <c r="G118" t="s">
        <v>12690</v>
      </c>
      <c r="H118" t="s">
        <v>12675</v>
      </c>
      <c r="K118" t="s">
        <v>12557</v>
      </c>
      <c r="M118" s="256" t="s">
        <v>12093</v>
      </c>
      <c r="N118" t="str">
        <f t="shared" si="7"/>
        <v>condorProc.py --series 07210902_1647 --donoise --dumps a --procenv environments/pymidas_USD1.env</v>
      </c>
      <c r="P118">
        <v>68</v>
      </c>
      <c r="Q118">
        <v>9</v>
      </c>
      <c r="T118">
        <v>9</v>
      </c>
      <c r="U118">
        <v>125</v>
      </c>
    </row>
    <row r="119" spans="1:21" ht="15">
      <c r="A119" t="s">
        <v>12691</v>
      </c>
      <c r="B119" t="s">
        <v>12104</v>
      </c>
      <c r="C119" t="s">
        <v>12692</v>
      </c>
      <c r="E119">
        <v>47</v>
      </c>
      <c r="F119">
        <v>0</v>
      </c>
      <c r="G119" t="s">
        <v>12693</v>
      </c>
      <c r="H119" t="s">
        <v>12675</v>
      </c>
      <c r="I119" t="s">
        <v>12694</v>
      </c>
      <c r="K119" t="s">
        <v>12557</v>
      </c>
      <c r="M119" s="256" t="s">
        <v>12093</v>
      </c>
      <c r="N119" t="str">
        <f t="shared" si="7"/>
        <v>condorProc.py --series 07210903_1345 --donoise --dumps a --procenv environments/pymidas_USD1.env</v>
      </c>
      <c r="P119">
        <v>80</v>
      </c>
      <c r="Q119">
        <v>13</v>
      </c>
      <c r="T119">
        <v>6</v>
      </c>
      <c r="U119">
        <v>155</v>
      </c>
    </row>
    <row r="120" spans="1:21" ht="15">
      <c r="A120" t="s">
        <v>12695</v>
      </c>
      <c r="B120" t="s">
        <v>12104</v>
      </c>
      <c r="C120" t="s">
        <v>12692</v>
      </c>
      <c r="D120">
        <v>0.6</v>
      </c>
      <c r="E120">
        <v>45</v>
      </c>
      <c r="F120">
        <v>0</v>
      </c>
      <c r="G120" t="s">
        <v>12696</v>
      </c>
      <c r="H120" t="s">
        <v>12675</v>
      </c>
      <c r="K120" t="s">
        <v>12557</v>
      </c>
      <c r="M120" s="256" t="s">
        <v>12093</v>
      </c>
      <c r="N120" t="str">
        <f t="shared" si="7"/>
        <v>condorProc.py --series 07210903_1627 --donoise --dumps a --procenv environments/pymidas_USD1.env</v>
      </c>
      <c r="P120">
        <v>71</v>
      </c>
      <c r="Q120">
        <v>14</v>
      </c>
      <c r="T120">
        <v>6</v>
      </c>
      <c r="U120">
        <v>147</v>
      </c>
    </row>
    <row r="121" spans="1:21" ht="15">
      <c r="A121" t="s">
        <v>12697</v>
      </c>
      <c r="B121" t="s">
        <v>12104</v>
      </c>
      <c r="C121" t="s">
        <v>12698</v>
      </c>
      <c r="E121">
        <v>45</v>
      </c>
      <c r="F121">
        <v>0</v>
      </c>
      <c r="G121" t="s">
        <v>12699</v>
      </c>
      <c r="H121" t="s">
        <v>12700</v>
      </c>
      <c r="M121" s="256" t="s">
        <v>12093</v>
      </c>
      <c r="N121" t="str">
        <f t="shared" si="7"/>
        <v>condorProc.py --series 07210904_1049 --donoise --dumps a --procenv environments/pymidas_USD1.env</v>
      </c>
      <c r="P121">
        <v>72</v>
      </c>
      <c r="Q121">
        <v>13</v>
      </c>
      <c r="R121">
        <v>63</v>
      </c>
      <c r="S121">
        <v>6</v>
      </c>
      <c r="T121">
        <v>7.5</v>
      </c>
      <c r="U121">
        <v>150</v>
      </c>
    </row>
    <row r="122" spans="1:21" ht="15">
      <c r="A122" t="s">
        <v>12701</v>
      </c>
      <c r="B122" t="s">
        <v>12104</v>
      </c>
      <c r="C122" t="s">
        <v>12702</v>
      </c>
      <c r="D122">
        <v>0</v>
      </c>
      <c r="E122">
        <v>45</v>
      </c>
      <c r="F122">
        <v>0</v>
      </c>
      <c r="G122" t="s">
        <v>12703</v>
      </c>
      <c r="H122" t="s">
        <v>12675</v>
      </c>
      <c r="K122" t="s">
        <v>12557</v>
      </c>
      <c r="M122" s="256" t="s">
        <v>12093</v>
      </c>
      <c r="N122" t="str">
        <f t="shared" si="7"/>
        <v>condorProc.py --series 07210905_1309 --donoise --dumps a --procenv environments/pymidas_USD1.env</v>
      </c>
      <c r="P122">
        <v>56</v>
      </c>
      <c r="Q122">
        <v>7</v>
      </c>
    </row>
    <row r="123" spans="1:21" ht="15">
      <c r="A123" t="s">
        <v>12704</v>
      </c>
      <c r="B123" t="s">
        <v>12104</v>
      </c>
      <c r="C123" t="s">
        <v>12705</v>
      </c>
      <c r="E123">
        <v>45</v>
      </c>
      <c r="F123">
        <v>0</v>
      </c>
      <c r="G123" t="s">
        <v>12706</v>
      </c>
      <c r="H123" t="s">
        <v>12707</v>
      </c>
      <c r="M123" s="256" t="s">
        <v>12093</v>
      </c>
      <c r="N123" t="str">
        <f t="shared" si="7"/>
        <v>condorProc.py --series 07210906_1240 --donoise --dumps a --procenv environments/pymidas_USD1.env</v>
      </c>
      <c r="P123">
        <v>56</v>
      </c>
      <c r="Q123">
        <v>4.5</v>
      </c>
      <c r="R123">
        <v>10</v>
      </c>
      <c r="S123">
        <v>25</v>
      </c>
    </row>
    <row r="124" spans="1:21" ht="15">
      <c r="A124" s="256" t="s">
        <v>12708</v>
      </c>
      <c r="B124" t="s">
        <v>12104</v>
      </c>
      <c r="C124" s="54" t="s">
        <v>12709</v>
      </c>
      <c r="D124" s="54">
        <v>0</v>
      </c>
      <c r="E124">
        <v>45</v>
      </c>
      <c r="F124">
        <v>0</v>
      </c>
      <c r="G124" t="s">
        <v>12710</v>
      </c>
      <c r="H124" t="s">
        <v>12675</v>
      </c>
      <c r="K124" t="s">
        <v>12557</v>
      </c>
      <c r="M124" s="256" t="s">
        <v>12093</v>
      </c>
      <c r="N124" t="str">
        <f t="shared" si="7"/>
        <v>condorProc.py --series 07210907_0840 --donoise --dumps a --procenv environments/pymidas_USD1.env</v>
      </c>
      <c r="P124">
        <v>57</v>
      </c>
      <c r="Q124">
        <v>6.7</v>
      </c>
    </row>
    <row r="125" spans="1:21" ht="15">
      <c r="A125" t="s">
        <v>12711</v>
      </c>
      <c r="B125" t="s">
        <v>12104</v>
      </c>
      <c r="C125" s="54" t="s">
        <v>12712</v>
      </c>
      <c r="D125" s="263">
        <v>0</v>
      </c>
      <c r="E125">
        <v>45</v>
      </c>
      <c r="F125">
        <v>0</v>
      </c>
      <c r="G125" t="s">
        <v>12713</v>
      </c>
      <c r="H125" t="s">
        <v>12675</v>
      </c>
      <c r="K125" t="s">
        <v>12557</v>
      </c>
      <c r="M125" s="256" t="s">
        <v>12093</v>
      </c>
      <c r="N125" t="str">
        <f t="shared" si="7"/>
        <v>condorProc.py --series 07210907_1011 --donoise --dumps a --procenv environments/pymidas_USD1.env</v>
      </c>
      <c r="P125">
        <v>68</v>
      </c>
      <c r="Q125">
        <v>25</v>
      </c>
    </row>
    <row r="126" spans="1:21" ht="15">
      <c r="A126" s="256" t="s">
        <v>12714</v>
      </c>
      <c r="B126" s="256" t="s">
        <v>12104</v>
      </c>
      <c r="C126" s="258" t="s">
        <v>12715</v>
      </c>
      <c r="D126" s="258"/>
      <c r="E126">
        <v>45</v>
      </c>
      <c r="F126">
        <v>0</v>
      </c>
      <c r="G126" t="s">
        <v>12713</v>
      </c>
      <c r="H126" s="256" t="s">
        <v>12716</v>
      </c>
      <c r="M126" s="256" t="s">
        <v>12093</v>
      </c>
      <c r="N126" t="str">
        <f t="shared" si="7"/>
        <v>condorProc.py --series 07210907_1151 --donoise --dumps a --procenv environments/pymidas_USD1.env</v>
      </c>
      <c r="P126">
        <v>73</v>
      </c>
      <c r="Q126">
        <v>12</v>
      </c>
      <c r="R126">
        <v>59</v>
      </c>
      <c r="S126">
        <v>7</v>
      </c>
    </row>
    <row r="127" spans="1:21" ht="15">
      <c r="A127" s="256" t="s">
        <v>12717</v>
      </c>
      <c r="B127" s="256" t="s">
        <v>12718</v>
      </c>
      <c r="C127" s="54" t="s">
        <v>12709</v>
      </c>
      <c r="D127" s="54"/>
      <c r="E127">
        <v>45</v>
      </c>
      <c r="F127">
        <v>0</v>
      </c>
      <c r="G127" s="256" t="s">
        <v>12719</v>
      </c>
      <c r="H127" t="s">
        <v>12675</v>
      </c>
      <c r="I127" s="256" t="s">
        <v>12720</v>
      </c>
      <c r="K127" t="s">
        <v>12557</v>
      </c>
      <c r="M127" s="256" t="s">
        <v>12093</v>
      </c>
      <c r="N127" t="str">
        <f t="shared" si="7"/>
        <v>condorProc.py --series 07210907_1411 --donoise --dumps a --procenv environments/pymidas_USD1.env</v>
      </c>
      <c r="P127">
        <v>56</v>
      </c>
      <c r="Q127">
        <v>13</v>
      </c>
    </row>
    <row r="128" spans="1:21" ht="15">
      <c r="A128" s="256" t="s">
        <v>12721</v>
      </c>
      <c r="B128" s="256" t="s">
        <v>12718</v>
      </c>
      <c r="C128" s="54" t="s">
        <v>12709</v>
      </c>
      <c r="D128" s="54"/>
      <c r="E128">
        <v>45</v>
      </c>
      <c r="F128">
        <v>0</v>
      </c>
      <c r="G128" t="s">
        <v>12722</v>
      </c>
      <c r="H128" t="s">
        <v>12675</v>
      </c>
      <c r="K128" t="s">
        <v>12557</v>
      </c>
      <c r="M128" s="256" t="s">
        <v>12093</v>
      </c>
      <c r="N128" t="str">
        <f t="shared" si="7"/>
        <v>condorProc.py --series 07210908_1647 --donoise --dumps a --procenv environments/pymidas_USD1.env</v>
      </c>
      <c r="P128">
        <v>56</v>
      </c>
      <c r="Q128">
        <v>13.5</v>
      </c>
    </row>
    <row r="129" spans="1:21" ht="15">
      <c r="A129" s="256" t="s">
        <v>12723</v>
      </c>
      <c r="B129" s="256" t="s">
        <v>12104</v>
      </c>
      <c r="C129" s="54" t="s">
        <v>12724</v>
      </c>
      <c r="D129" s="54"/>
      <c r="E129">
        <v>45</v>
      </c>
      <c r="F129">
        <v>0</v>
      </c>
      <c r="G129" t="s">
        <v>12725</v>
      </c>
      <c r="H129" t="s">
        <v>12675</v>
      </c>
      <c r="M129" s="256" t="s">
        <v>12093</v>
      </c>
      <c r="N129" t="str">
        <f t="shared" si="7"/>
        <v>condorProc.py --series 07210908_2110 --donoise --dumps a --procenv environments/pymidas_USD1.env</v>
      </c>
    </row>
    <row r="130" spans="1:21" ht="15">
      <c r="A130" s="256" t="s">
        <v>12726</v>
      </c>
      <c r="B130" s="256" t="s">
        <v>12104</v>
      </c>
      <c r="C130" s="54" t="s">
        <v>12724</v>
      </c>
      <c r="D130" s="54"/>
      <c r="E130">
        <v>45</v>
      </c>
      <c r="F130">
        <v>0</v>
      </c>
      <c r="G130" t="s">
        <v>12727</v>
      </c>
      <c r="H130" t="s">
        <v>12675</v>
      </c>
      <c r="M130" s="256" t="s">
        <v>12093</v>
      </c>
      <c r="N130" t="str">
        <f t="shared" si="7"/>
        <v>condorProc.py --series 07210909_1006 --donoise --dumps a --procenv environments/pymidas_USD1.env</v>
      </c>
    </row>
    <row r="131" spans="1:21" ht="15">
      <c r="A131" s="256" t="s">
        <v>12728</v>
      </c>
      <c r="B131" s="256" t="s">
        <v>12104</v>
      </c>
      <c r="C131" s="54" t="s">
        <v>12729</v>
      </c>
      <c r="D131" s="54"/>
      <c r="E131">
        <v>45</v>
      </c>
      <c r="F131">
        <v>0</v>
      </c>
      <c r="G131" t="s">
        <v>12730</v>
      </c>
      <c r="H131" t="s">
        <v>12675</v>
      </c>
      <c r="M131" s="256" t="s">
        <v>12093</v>
      </c>
      <c r="N131" t="str">
        <f t="shared" si="7"/>
        <v>condorProc.py --series 07210910_0909 --donoise --dumps a --procenv environments/pymidas_USD1.env</v>
      </c>
    </row>
    <row r="132" spans="1:21" ht="15">
      <c r="A132" s="256" t="s">
        <v>12731</v>
      </c>
      <c r="B132" s="256" t="s">
        <v>12104</v>
      </c>
      <c r="C132" s="54" t="s">
        <v>12732</v>
      </c>
      <c r="D132" s="54"/>
      <c r="E132">
        <v>45</v>
      </c>
      <c r="F132">
        <v>0</v>
      </c>
      <c r="G132" t="s">
        <v>12733</v>
      </c>
      <c r="H132" t="s">
        <v>12675</v>
      </c>
      <c r="M132" s="256" t="s">
        <v>12093</v>
      </c>
      <c r="N132" t="str">
        <f t="shared" si="7"/>
        <v>condorProc.py --series 07210910_1025 --donoise --dumps a --procenv environments/pymidas_USD1.env</v>
      </c>
    </row>
    <row r="133" spans="1:21" ht="15">
      <c r="A133" s="256" t="s">
        <v>12734</v>
      </c>
      <c r="B133" s="256" t="s">
        <v>12104</v>
      </c>
      <c r="C133" s="54" t="s">
        <v>12709</v>
      </c>
      <c r="D133" s="263">
        <v>1.3</v>
      </c>
      <c r="E133">
        <v>45</v>
      </c>
      <c r="F133">
        <v>0</v>
      </c>
      <c r="G133" t="s">
        <v>12735</v>
      </c>
      <c r="H133" t="s">
        <v>12675</v>
      </c>
      <c r="K133" t="s">
        <v>12557</v>
      </c>
      <c r="M133" s="256" t="s">
        <v>12093</v>
      </c>
      <c r="N133" t="str">
        <f t="shared" si="7"/>
        <v>condorProc.py --series 07210910_1201 --donoise --dumps a --procenv environments/pymidas_USD1.env</v>
      </c>
      <c r="P133">
        <v>36</v>
      </c>
      <c r="Q133">
        <v>9</v>
      </c>
    </row>
    <row r="134" spans="1:21" ht="15">
      <c r="A134" s="256" t="s">
        <v>12736</v>
      </c>
      <c r="B134" s="256" t="s">
        <v>12104</v>
      </c>
      <c r="C134" s="258" t="s">
        <v>12712</v>
      </c>
      <c r="D134" s="264">
        <v>2</v>
      </c>
      <c r="E134">
        <v>45</v>
      </c>
      <c r="F134">
        <v>0</v>
      </c>
      <c r="G134" t="s">
        <v>12737</v>
      </c>
      <c r="H134" t="s">
        <v>12675</v>
      </c>
      <c r="K134" t="s">
        <v>12557</v>
      </c>
      <c r="M134" s="256" t="s">
        <v>12093</v>
      </c>
      <c r="N134" t="str">
        <f t="shared" ref="N134:N163" si="8">"condorProc.py --series "&amp;A134&amp;" --donoise --dumps a --procenv environments/pymidas_USD1.env"</f>
        <v>condorProc.py --series 07210910_1331 --donoise --dumps a --procenv environments/pymidas_USD1.env</v>
      </c>
      <c r="P134">
        <v>56</v>
      </c>
      <c r="Q134">
        <v>9.5</v>
      </c>
      <c r="T134">
        <v>6</v>
      </c>
      <c r="U134">
        <v>102</v>
      </c>
    </row>
    <row r="135" spans="1:21" ht="15">
      <c r="A135" s="256" t="s">
        <v>12738</v>
      </c>
      <c r="B135" s="256" t="s">
        <v>12104</v>
      </c>
      <c r="C135" s="258" t="s">
        <v>12712</v>
      </c>
      <c r="D135" s="258"/>
      <c r="E135">
        <v>45</v>
      </c>
      <c r="F135">
        <v>0</v>
      </c>
      <c r="G135" t="s">
        <v>12739</v>
      </c>
      <c r="H135" t="s">
        <v>12675</v>
      </c>
      <c r="I135" s="256" t="s">
        <v>12688</v>
      </c>
      <c r="K135" t="s">
        <v>12557</v>
      </c>
      <c r="M135" s="256" t="s">
        <v>12093</v>
      </c>
      <c r="N135" t="str">
        <f t="shared" si="8"/>
        <v>condorProc.py --series 07210910_1557 --donoise --dumps a --procenv environments/pymidas_USD1.env</v>
      </c>
      <c r="P135">
        <v>62</v>
      </c>
      <c r="Q135">
        <v>14</v>
      </c>
      <c r="T135">
        <v>4.8</v>
      </c>
      <c r="U135">
        <v>118</v>
      </c>
    </row>
    <row r="136" spans="1:21" ht="15">
      <c r="A136" s="256" t="s">
        <v>12740</v>
      </c>
      <c r="B136" s="256" t="s">
        <v>12104</v>
      </c>
      <c r="C136" s="54" t="s">
        <v>12741</v>
      </c>
      <c r="D136" s="54"/>
      <c r="E136">
        <v>45</v>
      </c>
      <c r="F136">
        <v>0</v>
      </c>
      <c r="G136" t="s">
        <v>12742</v>
      </c>
      <c r="H136" t="s">
        <v>12675</v>
      </c>
      <c r="I136" t="s">
        <v>2282</v>
      </c>
      <c r="M136" s="256" t="s">
        <v>12093</v>
      </c>
      <c r="N136" t="str">
        <f t="shared" si="8"/>
        <v>condorProc.py --series 07210911_1515 --donoise --dumps a --procenv environments/pymidas_USD1.env</v>
      </c>
    </row>
    <row r="137" spans="1:21" ht="15">
      <c r="A137" s="256" t="s">
        <v>12743</v>
      </c>
      <c r="B137" s="256" t="s">
        <v>12104</v>
      </c>
      <c r="C137" s="54" t="s">
        <v>12744</v>
      </c>
      <c r="D137" s="54"/>
      <c r="E137">
        <v>45</v>
      </c>
      <c r="F137">
        <v>0</v>
      </c>
      <c r="G137" t="s">
        <v>12745</v>
      </c>
      <c r="H137" t="s">
        <v>12746</v>
      </c>
      <c r="I137" t="s">
        <v>2282</v>
      </c>
      <c r="M137" s="256" t="s">
        <v>12093</v>
      </c>
      <c r="N137" t="str">
        <f t="shared" si="8"/>
        <v>condorProc.py --series 07210912_1422 --donoise --dumps a --procenv environments/pymidas_USD1.env</v>
      </c>
    </row>
    <row r="138" spans="1:21" ht="15">
      <c r="A138" s="256" t="s">
        <v>12747</v>
      </c>
      <c r="B138" s="256" t="s">
        <v>12104</v>
      </c>
      <c r="C138" s="54" t="s">
        <v>12744</v>
      </c>
      <c r="D138" s="54"/>
      <c r="E138">
        <v>45</v>
      </c>
      <c r="F138">
        <v>0</v>
      </c>
      <c r="G138" t="s">
        <v>12745</v>
      </c>
      <c r="H138" t="s">
        <v>12746</v>
      </c>
      <c r="M138" s="256" t="s">
        <v>12093</v>
      </c>
      <c r="N138" t="str">
        <f t="shared" si="8"/>
        <v>condorProc.py --series 07210913_1011 --donoise --dumps a --procenv environments/pymidas_USD1.env</v>
      </c>
      <c r="P138">
        <v>60</v>
      </c>
      <c r="Q138">
        <v>11</v>
      </c>
      <c r="T138">
        <v>6</v>
      </c>
      <c r="U138">
        <v>160</v>
      </c>
    </row>
    <row r="139" spans="1:21" ht="15">
      <c r="A139" s="256" t="s">
        <v>12748</v>
      </c>
      <c r="B139" s="256" t="s">
        <v>12104</v>
      </c>
      <c r="C139" s="54" t="s">
        <v>12712</v>
      </c>
      <c r="D139" s="263">
        <v>1.8</v>
      </c>
      <c r="E139">
        <v>45</v>
      </c>
      <c r="F139">
        <v>0</v>
      </c>
      <c r="G139" t="s">
        <v>12749</v>
      </c>
      <c r="H139" t="s">
        <v>12675</v>
      </c>
      <c r="K139" t="s">
        <v>12557</v>
      </c>
      <c r="M139" s="256" t="s">
        <v>12093</v>
      </c>
      <c r="N139" t="str">
        <f t="shared" si="8"/>
        <v>condorProc.py --series 07210913_1135 --donoise --dumps a --procenv environments/pymidas_USD1.env</v>
      </c>
      <c r="P139">
        <v>64</v>
      </c>
      <c r="Q139">
        <v>10</v>
      </c>
      <c r="T139">
        <v>7</v>
      </c>
      <c r="U139">
        <v>112</v>
      </c>
    </row>
    <row r="140" spans="1:21" ht="15">
      <c r="A140" s="256" t="s">
        <v>12750</v>
      </c>
      <c r="B140" s="256" t="s">
        <v>12104</v>
      </c>
      <c r="C140" s="54" t="s">
        <v>12712</v>
      </c>
      <c r="D140" s="54"/>
      <c r="E140">
        <v>45</v>
      </c>
      <c r="F140">
        <v>0</v>
      </c>
      <c r="G140" s="256" t="s">
        <v>12751</v>
      </c>
      <c r="H140" t="s">
        <v>12675</v>
      </c>
      <c r="I140" s="256" t="s">
        <v>12752</v>
      </c>
      <c r="K140" t="s">
        <v>12557</v>
      </c>
      <c r="M140" s="256" t="s">
        <v>12093</v>
      </c>
      <c r="N140" t="str">
        <f t="shared" si="8"/>
        <v>condorProc.py --series 07210913_1335 --donoise --dumps a --procenv environments/pymidas_USD1.env</v>
      </c>
      <c r="P140">
        <v>66</v>
      </c>
      <c r="Q140">
        <v>14</v>
      </c>
      <c r="T140">
        <v>6</v>
      </c>
      <c r="U140">
        <v>135</v>
      </c>
    </row>
    <row r="141" spans="1:21" ht="15">
      <c r="A141" s="256" t="s">
        <v>12753</v>
      </c>
      <c r="B141" s="256" t="s">
        <v>12104</v>
      </c>
      <c r="C141" s="54" t="s">
        <v>12712</v>
      </c>
      <c r="D141" s="54">
        <v>1.2</v>
      </c>
      <c r="E141">
        <v>45</v>
      </c>
      <c r="F141">
        <v>0</v>
      </c>
      <c r="G141" s="256" t="s">
        <v>12751</v>
      </c>
      <c r="H141" t="s">
        <v>12675</v>
      </c>
      <c r="M141" s="256" t="s">
        <v>12093</v>
      </c>
      <c r="N141" t="str">
        <f t="shared" si="8"/>
        <v>condorProc.py --series 07210913_1608 --donoise --dumps a --procenv environments/pymidas_USD1.env</v>
      </c>
      <c r="P141">
        <v>60</v>
      </c>
      <c r="Q141">
        <v>10</v>
      </c>
      <c r="T141">
        <v>8</v>
      </c>
      <c r="U141">
        <v>120</v>
      </c>
    </row>
    <row r="142" spans="1:21" ht="15">
      <c r="A142" s="256" t="s">
        <v>12754</v>
      </c>
      <c r="B142" s="256" t="s">
        <v>12104</v>
      </c>
      <c r="C142" s="54" t="s">
        <v>12755</v>
      </c>
      <c r="D142" s="54"/>
      <c r="E142">
        <v>45</v>
      </c>
      <c r="F142">
        <v>0</v>
      </c>
      <c r="G142" t="s">
        <v>12756</v>
      </c>
      <c r="H142" t="s">
        <v>12757</v>
      </c>
      <c r="M142" s="256" t="s">
        <v>12093</v>
      </c>
      <c r="N142" t="str">
        <f t="shared" si="8"/>
        <v>condorProc.py --series 07210914_1026 --donoise --dumps a --procenv environments/pymidas_USD1.env</v>
      </c>
    </row>
    <row r="143" spans="1:21" ht="15">
      <c r="A143" s="256" t="s">
        <v>12758</v>
      </c>
      <c r="B143" s="256" t="s">
        <v>12104</v>
      </c>
      <c r="C143" s="258" t="s">
        <v>12712</v>
      </c>
      <c r="D143" s="258"/>
      <c r="E143">
        <v>45</v>
      </c>
      <c r="F143">
        <v>0</v>
      </c>
      <c r="G143" t="s">
        <v>12759</v>
      </c>
      <c r="H143" t="s">
        <v>12675</v>
      </c>
      <c r="I143" t="s">
        <v>12760</v>
      </c>
      <c r="M143" s="256" t="s">
        <v>12093</v>
      </c>
      <c r="N143" t="str">
        <f t="shared" si="8"/>
        <v>condorProc.py --series 07210914_1545 --donoise --dumps a --procenv environments/pymidas_USD1.env</v>
      </c>
      <c r="P143">
        <v>69</v>
      </c>
      <c r="Q143">
        <v>13</v>
      </c>
      <c r="T143">
        <v>7</v>
      </c>
      <c r="U143">
        <v>142</v>
      </c>
    </row>
    <row r="144" spans="1:21" ht="15">
      <c r="A144" s="256" t="s">
        <v>12761</v>
      </c>
      <c r="B144" s="256" t="s">
        <v>12104</v>
      </c>
      <c r="C144" s="258" t="s">
        <v>12712</v>
      </c>
      <c r="D144" s="258"/>
      <c r="E144">
        <v>45</v>
      </c>
      <c r="F144">
        <v>0</v>
      </c>
      <c r="G144" t="s">
        <v>12762</v>
      </c>
      <c r="H144" t="s">
        <v>12675</v>
      </c>
      <c r="I144" s="256" t="s">
        <v>12763</v>
      </c>
      <c r="M144" s="256" t="s">
        <v>12093</v>
      </c>
      <c r="N144" t="str">
        <f t="shared" si="8"/>
        <v>condorProc.py --series 07210915_1526 --donoise --dumps a --procenv environments/pymidas_USD1.env</v>
      </c>
      <c r="P144">
        <v>73</v>
      </c>
      <c r="Q144">
        <v>17</v>
      </c>
      <c r="T144">
        <v>6.5</v>
      </c>
      <c r="U144">
        <v>165</v>
      </c>
    </row>
    <row r="145" spans="1:21" ht="15">
      <c r="A145" s="256" t="s">
        <v>12764</v>
      </c>
      <c r="B145" s="256" t="s">
        <v>12104</v>
      </c>
      <c r="C145" s="258" t="s">
        <v>12712</v>
      </c>
      <c r="D145" s="258"/>
      <c r="E145">
        <v>45</v>
      </c>
      <c r="F145">
        <v>0</v>
      </c>
      <c r="G145" t="s">
        <v>12765</v>
      </c>
      <c r="H145" t="s">
        <v>12675</v>
      </c>
      <c r="I145" s="256" t="s">
        <v>12766</v>
      </c>
      <c r="M145" s="256" t="s">
        <v>12093</v>
      </c>
      <c r="N145" t="str">
        <f t="shared" si="8"/>
        <v>condorProc.py --series 07210916_1202 --donoise --dumps a --procenv environments/pymidas_USD1.env</v>
      </c>
      <c r="P145">
        <v>71</v>
      </c>
      <c r="Q145">
        <v>20</v>
      </c>
      <c r="T145">
        <v>5.7</v>
      </c>
      <c r="U145">
        <v>170</v>
      </c>
    </row>
    <row r="146" spans="1:21" ht="15">
      <c r="A146" s="256" t="s">
        <v>12767</v>
      </c>
      <c r="B146" s="256" t="s">
        <v>12104</v>
      </c>
      <c r="C146" s="258" t="s">
        <v>12712</v>
      </c>
      <c r="D146" s="258"/>
      <c r="E146">
        <v>37</v>
      </c>
      <c r="F146">
        <v>0</v>
      </c>
      <c r="G146" t="s">
        <v>12768</v>
      </c>
      <c r="H146" t="s">
        <v>12675</v>
      </c>
      <c r="I146" s="256" t="s">
        <v>12769</v>
      </c>
      <c r="K146" t="s">
        <v>12770</v>
      </c>
      <c r="M146" s="256" t="s">
        <v>12093</v>
      </c>
      <c r="N146" t="str">
        <f t="shared" si="8"/>
        <v>condorProc.py --series 07210917_1049 --donoise --dumps a --procenv environments/pymidas_USD1.env</v>
      </c>
      <c r="P146">
        <v>75</v>
      </c>
      <c r="Q146">
        <v>31</v>
      </c>
      <c r="T146">
        <v>4</v>
      </c>
      <c r="U146">
        <v>193</v>
      </c>
    </row>
    <row r="147" spans="1:21" ht="15">
      <c r="A147" s="256" t="s">
        <v>12771</v>
      </c>
      <c r="B147" s="256" t="s">
        <v>12104</v>
      </c>
      <c r="C147" s="258" t="s">
        <v>12729</v>
      </c>
      <c r="D147" s="258"/>
      <c r="E147">
        <v>45</v>
      </c>
      <c r="F147">
        <v>0</v>
      </c>
      <c r="G147" s="256" t="s">
        <v>12772</v>
      </c>
      <c r="H147" t="s">
        <v>12675</v>
      </c>
      <c r="I147" s="256" t="s">
        <v>12769</v>
      </c>
      <c r="K147" t="s">
        <v>12770</v>
      </c>
      <c r="M147" s="256" t="s">
        <v>12093</v>
      </c>
      <c r="N147" t="str">
        <f t="shared" si="8"/>
        <v>condorProc.py --series 07210917_1213 --donoise --dumps a --procenv environments/pymidas_USD1.env</v>
      </c>
    </row>
    <row r="148" spans="1:21" ht="15">
      <c r="A148" s="256" t="s">
        <v>12773</v>
      </c>
      <c r="B148" s="256" t="s">
        <v>12104</v>
      </c>
      <c r="C148" s="258" t="s">
        <v>12712</v>
      </c>
      <c r="D148" s="264">
        <v>0.9</v>
      </c>
      <c r="E148">
        <v>45</v>
      </c>
      <c r="F148">
        <v>0</v>
      </c>
      <c r="G148" t="s">
        <v>12774</v>
      </c>
      <c r="H148" t="s">
        <v>12675</v>
      </c>
      <c r="K148" t="s">
        <v>12557</v>
      </c>
      <c r="M148" s="256" t="s">
        <v>12093</v>
      </c>
      <c r="N148" t="str">
        <f t="shared" si="8"/>
        <v>condorProc.py --series 07210918_1123 --donoise --dumps a --procenv environments/pymidas_USD1.env</v>
      </c>
    </row>
    <row r="149" spans="1:21" ht="15">
      <c r="A149" t="s">
        <v>12775</v>
      </c>
      <c r="B149" s="256" t="s">
        <v>12104</v>
      </c>
      <c r="C149" s="258" t="s">
        <v>12712</v>
      </c>
      <c r="D149" s="258"/>
      <c r="E149">
        <v>1</v>
      </c>
      <c r="F149">
        <v>0</v>
      </c>
      <c r="G149" t="s">
        <v>2181</v>
      </c>
      <c r="H149" t="s">
        <v>12776</v>
      </c>
      <c r="I149" s="256" t="s">
        <v>12777</v>
      </c>
      <c r="M149" s="256" t="s">
        <v>12093</v>
      </c>
      <c r="N149" t="str">
        <f t="shared" si="8"/>
        <v>condorProc.py --series 07210919_1444 --donoise --dumps a --procenv environments/pymidas_USD1.env</v>
      </c>
    </row>
    <row r="150" spans="1:21" ht="15">
      <c r="A150" t="s">
        <v>12778</v>
      </c>
      <c r="B150" s="256" t="s">
        <v>12104</v>
      </c>
      <c r="C150" s="258" t="s">
        <v>12712</v>
      </c>
      <c r="D150" s="258"/>
      <c r="E150">
        <v>1</v>
      </c>
      <c r="F150">
        <v>0</v>
      </c>
      <c r="G150" t="s">
        <v>2181</v>
      </c>
      <c r="H150" t="s">
        <v>12779</v>
      </c>
      <c r="I150" s="256" t="s">
        <v>12777</v>
      </c>
      <c r="M150" s="256" t="s">
        <v>12093</v>
      </c>
      <c r="N150" t="str">
        <f t="shared" si="8"/>
        <v>condorProc.py --series 07210919_1447 --donoise --dumps a --procenv environments/pymidas_USD1.env</v>
      </c>
    </row>
    <row r="151" spans="1:21" ht="15">
      <c r="A151" t="s">
        <v>12780</v>
      </c>
      <c r="B151" s="256" t="s">
        <v>12104</v>
      </c>
      <c r="C151" s="258" t="s">
        <v>12712</v>
      </c>
      <c r="D151" s="258"/>
      <c r="E151">
        <v>1</v>
      </c>
      <c r="F151">
        <v>0</v>
      </c>
      <c r="G151" t="s">
        <v>2181</v>
      </c>
      <c r="H151" t="s">
        <v>12781</v>
      </c>
      <c r="I151" s="256" t="s">
        <v>12777</v>
      </c>
      <c r="M151" s="256" t="s">
        <v>12093</v>
      </c>
      <c r="N151" t="str">
        <f t="shared" si="8"/>
        <v>condorProc.py --series 07210919_1450 --donoise --dumps a --procenv environments/pymidas_USD1.env</v>
      </c>
    </row>
    <row r="152" spans="1:21" ht="15">
      <c r="A152" t="s">
        <v>12782</v>
      </c>
      <c r="B152" s="256" t="s">
        <v>12104</v>
      </c>
      <c r="C152" s="258" t="s">
        <v>12712</v>
      </c>
      <c r="D152" s="258"/>
      <c r="E152">
        <v>1</v>
      </c>
      <c r="F152">
        <v>0</v>
      </c>
      <c r="G152" t="s">
        <v>2181</v>
      </c>
      <c r="H152" t="s">
        <v>12783</v>
      </c>
      <c r="I152" s="256" t="s">
        <v>12777</v>
      </c>
      <c r="M152" s="256" t="s">
        <v>12093</v>
      </c>
      <c r="N152" t="str">
        <f t="shared" si="8"/>
        <v>condorProc.py --series 07210919_1454 --donoise --dumps a --procenv environments/pymidas_USD1.env</v>
      </c>
    </row>
    <row r="153" spans="1:21" ht="15">
      <c r="A153" t="s">
        <v>12784</v>
      </c>
      <c r="B153" s="256" t="s">
        <v>12104</v>
      </c>
      <c r="C153" s="258" t="s">
        <v>12712</v>
      </c>
      <c r="D153" s="258"/>
      <c r="E153">
        <v>1</v>
      </c>
      <c r="F153">
        <v>0</v>
      </c>
      <c r="G153" t="s">
        <v>2181</v>
      </c>
      <c r="H153" t="s">
        <v>12785</v>
      </c>
      <c r="I153" s="256" t="s">
        <v>12777</v>
      </c>
      <c r="M153" s="256" t="s">
        <v>12093</v>
      </c>
      <c r="N153" t="str">
        <f t="shared" si="8"/>
        <v>condorProc.py --series 07210919_1457 --donoise --dumps a --procenv environments/pymidas_USD1.env</v>
      </c>
    </row>
    <row r="154" spans="1:21" ht="15">
      <c r="A154" t="s">
        <v>12786</v>
      </c>
      <c r="B154" s="256" t="s">
        <v>12104</v>
      </c>
      <c r="C154" s="258" t="s">
        <v>12712</v>
      </c>
      <c r="D154" s="258"/>
      <c r="E154">
        <v>1</v>
      </c>
      <c r="F154">
        <v>0</v>
      </c>
      <c r="G154" t="s">
        <v>2181</v>
      </c>
      <c r="H154" t="s">
        <v>12787</v>
      </c>
      <c r="I154" s="256" t="s">
        <v>12777</v>
      </c>
      <c r="M154" s="256" t="s">
        <v>12093</v>
      </c>
      <c r="N154" t="str">
        <f t="shared" si="8"/>
        <v>condorProc.py --series 07210919_1500 --donoise --dumps a --procenv environments/pymidas_USD1.env</v>
      </c>
    </row>
    <row r="155" spans="1:21" ht="15">
      <c r="A155" t="s">
        <v>12788</v>
      </c>
      <c r="B155" s="256" t="s">
        <v>12104</v>
      </c>
      <c r="C155" s="258" t="s">
        <v>12709</v>
      </c>
      <c r="D155" s="258">
        <v>0.6</v>
      </c>
      <c r="E155">
        <v>45</v>
      </c>
      <c r="F155">
        <v>0</v>
      </c>
      <c r="G155" t="s">
        <v>12789</v>
      </c>
      <c r="H155" t="s">
        <v>12675</v>
      </c>
      <c r="K155" t="s">
        <v>12557</v>
      </c>
      <c r="M155" s="256" t="s">
        <v>12093</v>
      </c>
      <c r="N155" t="str">
        <f t="shared" si="8"/>
        <v>condorProc.py --series 07210920_1110 --donoise --dumps a --procenv environments/pymidas_USD1.env</v>
      </c>
    </row>
    <row r="156" spans="1:21" ht="15">
      <c r="A156" t="s">
        <v>12790</v>
      </c>
      <c r="B156" s="256" t="s">
        <v>12104</v>
      </c>
      <c r="C156" s="258" t="s">
        <v>12709</v>
      </c>
      <c r="D156" s="258"/>
      <c r="E156">
        <v>1</v>
      </c>
      <c r="F156">
        <v>0</v>
      </c>
      <c r="G156" t="s">
        <v>2181</v>
      </c>
      <c r="H156" t="s">
        <v>12776</v>
      </c>
      <c r="I156" s="256" t="s">
        <v>12777</v>
      </c>
      <c r="M156" s="256" t="s">
        <v>12093</v>
      </c>
      <c r="N156" t="str">
        <f t="shared" si="8"/>
        <v>condorProc.py --series 07210920_1252 --donoise --dumps a --procenv environments/pymidas_USD1.env</v>
      </c>
    </row>
    <row r="157" spans="1:21" ht="15">
      <c r="A157" t="s">
        <v>12791</v>
      </c>
      <c r="B157" s="256" t="s">
        <v>12104</v>
      </c>
      <c r="C157" s="258" t="s">
        <v>12709</v>
      </c>
      <c r="D157" s="258"/>
      <c r="E157">
        <v>1</v>
      </c>
      <c r="F157">
        <v>0</v>
      </c>
      <c r="G157" t="s">
        <v>2181</v>
      </c>
      <c r="H157" t="s">
        <v>12779</v>
      </c>
      <c r="I157" s="256" t="s">
        <v>12777</v>
      </c>
      <c r="M157" s="256" t="s">
        <v>12093</v>
      </c>
      <c r="N157" t="str">
        <f t="shared" si="8"/>
        <v>condorProc.py --series 07210920_1255 --donoise --dumps a --procenv environments/pymidas_USD1.env</v>
      </c>
    </row>
    <row r="158" spans="1:21" ht="15">
      <c r="A158" t="s">
        <v>12792</v>
      </c>
      <c r="B158" s="256" t="s">
        <v>12104</v>
      </c>
      <c r="C158" s="258" t="s">
        <v>12709</v>
      </c>
      <c r="D158" s="258"/>
      <c r="E158">
        <v>1</v>
      </c>
      <c r="F158">
        <v>0</v>
      </c>
      <c r="G158" t="s">
        <v>2181</v>
      </c>
      <c r="H158" t="s">
        <v>12781</v>
      </c>
      <c r="I158" s="256" t="s">
        <v>12777</v>
      </c>
      <c r="M158" s="256" t="s">
        <v>12093</v>
      </c>
      <c r="N158" t="str">
        <f t="shared" si="8"/>
        <v>condorProc.py --series 07210920_1258 --donoise --dumps a --procenv environments/pymidas_USD1.env</v>
      </c>
    </row>
    <row r="159" spans="1:21" ht="15">
      <c r="A159" t="s">
        <v>12793</v>
      </c>
      <c r="B159" s="256" t="s">
        <v>12104</v>
      </c>
      <c r="C159" s="258" t="s">
        <v>12709</v>
      </c>
      <c r="D159" s="258"/>
      <c r="E159">
        <v>1</v>
      </c>
      <c r="F159">
        <v>0</v>
      </c>
      <c r="G159" t="s">
        <v>2181</v>
      </c>
      <c r="H159" t="s">
        <v>12783</v>
      </c>
      <c r="I159" s="256" t="s">
        <v>12777</v>
      </c>
      <c r="M159" s="256" t="s">
        <v>12093</v>
      </c>
      <c r="N159" t="str">
        <f t="shared" si="8"/>
        <v>condorProc.py --series 07210920_1301 --donoise --dumps a --procenv environments/pymidas_USD1.env</v>
      </c>
    </row>
    <row r="160" spans="1:21" ht="15">
      <c r="A160" t="s">
        <v>12794</v>
      </c>
      <c r="B160" s="256" t="s">
        <v>12104</v>
      </c>
      <c r="C160" s="258" t="s">
        <v>12709</v>
      </c>
      <c r="D160" s="258"/>
      <c r="E160">
        <v>1</v>
      </c>
      <c r="F160">
        <v>0</v>
      </c>
      <c r="G160" t="s">
        <v>2181</v>
      </c>
      <c r="H160" t="s">
        <v>12795</v>
      </c>
      <c r="I160" s="256" t="s">
        <v>12777</v>
      </c>
      <c r="M160" s="256" t="s">
        <v>12093</v>
      </c>
      <c r="N160" t="str">
        <f t="shared" si="8"/>
        <v>condorProc.py --series 07210920_1305 --donoise --dumps a --procenv environments/pymidas_USD1.env</v>
      </c>
    </row>
    <row r="161" spans="1:14" ht="15">
      <c r="A161" t="s">
        <v>12796</v>
      </c>
      <c r="B161" s="256" t="s">
        <v>12104</v>
      </c>
      <c r="C161" s="258" t="s">
        <v>12709</v>
      </c>
      <c r="D161" s="258"/>
      <c r="E161">
        <v>1</v>
      </c>
      <c r="F161">
        <v>0</v>
      </c>
      <c r="G161" t="s">
        <v>2181</v>
      </c>
      <c r="H161" t="s">
        <v>12797</v>
      </c>
      <c r="I161" s="256" t="s">
        <v>12777</v>
      </c>
      <c r="M161" s="256" t="s">
        <v>12093</v>
      </c>
      <c r="N161" t="str">
        <f t="shared" si="8"/>
        <v>condorProc.py --series 07210920_1311 --donoise --dumps a --procenv environments/pymidas_USD1.env</v>
      </c>
    </row>
    <row r="162" spans="1:14" ht="15">
      <c r="A162" t="s">
        <v>12798</v>
      </c>
      <c r="B162" s="256" t="s">
        <v>12104</v>
      </c>
      <c r="C162" s="256" t="s">
        <v>12799</v>
      </c>
      <c r="D162" s="256"/>
      <c r="E162">
        <v>1</v>
      </c>
      <c r="F162">
        <v>0</v>
      </c>
      <c r="G162" t="s">
        <v>2181</v>
      </c>
      <c r="I162" s="256" t="s">
        <v>12777</v>
      </c>
      <c r="M162" s="256" t="s">
        <v>12093</v>
      </c>
      <c r="N162" t="str">
        <f t="shared" si="8"/>
        <v>condorProc.py --series 07210920_1348 --donoise --dumps a --procenv environments/pymidas_USD1.env</v>
      </c>
    </row>
    <row r="163" spans="1:14" ht="15">
      <c r="A163" t="s">
        <v>12800</v>
      </c>
      <c r="B163" s="256" t="s">
        <v>12104</v>
      </c>
      <c r="C163" s="258" t="s">
        <v>12712</v>
      </c>
      <c r="D163" s="258"/>
      <c r="E163">
        <v>1</v>
      </c>
      <c r="F163">
        <v>0</v>
      </c>
      <c r="G163" t="s">
        <v>2181</v>
      </c>
      <c r="H163" t="s">
        <v>12776</v>
      </c>
      <c r="I163" s="256" t="s">
        <v>12777</v>
      </c>
      <c r="M163" s="256" t="s">
        <v>12093</v>
      </c>
      <c r="N163" t="str">
        <f t="shared" si="8"/>
        <v>condorProc.py --series 07210920_1349 --donoise --dumps a --procenv environments/pymidas_USD1.env</v>
      </c>
    </row>
    <row r="164" spans="1:14" ht="15">
      <c r="A164" t="s">
        <v>12801</v>
      </c>
      <c r="B164" s="256" t="s">
        <v>12104</v>
      </c>
      <c r="C164" s="256" t="s">
        <v>12799</v>
      </c>
      <c r="D164" s="256"/>
      <c r="E164">
        <v>1</v>
      </c>
      <c r="F164">
        <v>0</v>
      </c>
      <c r="G164" t="s">
        <v>2181</v>
      </c>
      <c r="I164" s="256" t="s">
        <v>12777</v>
      </c>
      <c r="M164" s="256" t="s">
        <v>12093</v>
      </c>
      <c r="N164" t="str">
        <f t="shared" ref="N164:N168" si="9">"condorProc.py --series "&amp;A164&amp;" --donoise --dumps a --procenv environments/pymidas_USD1.env"</f>
        <v>condorProc.py --series 07210920_1439 --donoise --dumps a --procenv environments/pymidas_USD1.env</v>
      </c>
    </row>
    <row r="165" spans="1:14" ht="15">
      <c r="A165" t="s">
        <v>12802</v>
      </c>
      <c r="B165" s="256" t="s">
        <v>12104</v>
      </c>
      <c r="C165" s="258" t="s">
        <v>12709</v>
      </c>
      <c r="D165" s="258"/>
      <c r="E165">
        <v>1</v>
      </c>
      <c r="F165">
        <v>0</v>
      </c>
      <c r="G165" t="s">
        <v>2181</v>
      </c>
      <c r="H165" t="s">
        <v>12776</v>
      </c>
      <c r="I165" s="256" t="s">
        <v>12777</v>
      </c>
      <c r="M165" s="256" t="s">
        <v>12093</v>
      </c>
      <c r="N165" t="str">
        <f t="shared" si="9"/>
        <v>condorProc.py --series 07210920_1440 --donoise --dumps a --procenv environments/pymidas_USD1.env</v>
      </c>
    </row>
    <row r="166" spans="1:14" ht="15">
      <c r="A166" t="s">
        <v>12803</v>
      </c>
      <c r="B166" s="256" t="s">
        <v>12104</v>
      </c>
      <c r="C166" s="258" t="s">
        <v>12712</v>
      </c>
      <c r="D166" s="258">
        <v>1</v>
      </c>
      <c r="E166">
        <v>45</v>
      </c>
      <c r="F166">
        <v>0</v>
      </c>
      <c r="G166" t="s">
        <v>12804</v>
      </c>
      <c r="H166" t="s">
        <v>12675</v>
      </c>
      <c r="K166" t="s">
        <v>12557</v>
      </c>
      <c r="M166" s="256" t="s">
        <v>12093</v>
      </c>
      <c r="N166" t="str">
        <f t="shared" si="9"/>
        <v>condorProc.py --series 07210920_1511 --donoise --dumps a --procenv environments/pymidas_USD1.env</v>
      </c>
    </row>
    <row r="167" spans="1:14" ht="15">
      <c r="A167" t="s">
        <v>12805</v>
      </c>
      <c r="B167" s="256" t="s">
        <v>12104</v>
      </c>
      <c r="C167" s="256" t="s">
        <v>12799</v>
      </c>
      <c r="D167" s="256"/>
      <c r="E167">
        <v>1</v>
      </c>
      <c r="F167">
        <v>0</v>
      </c>
      <c r="G167" t="s">
        <v>2181</v>
      </c>
      <c r="I167" s="256" t="s">
        <v>12777</v>
      </c>
      <c r="M167" s="256" t="s">
        <v>12093</v>
      </c>
      <c r="N167" t="str">
        <f t="shared" si="9"/>
        <v>condorProc.py --series 07210920_1643 --donoise --dumps a --procenv environments/pymidas_USD1.env</v>
      </c>
    </row>
    <row r="168" spans="1:14" ht="15">
      <c r="A168" t="s">
        <v>12806</v>
      </c>
      <c r="B168" s="256" t="s">
        <v>12104</v>
      </c>
      <c r="C168" s="258" t="s">
        <v>12729</v>
      </c>
      <c r="D168" s="258"/>
      <c r="E168">
        <v>1</v>
      </c>
      <c r="F168">
        <v>0</v>
      </c>
      <c r="G168" t="s">
        <v>2181</v>
      </c>
      <c r="H168" t="s">
        <v>12776</v>
      </c>
      <c r="I168" s="256" t="s">
        <v>12777</v>
      </c>
      <c r="M168" s="256" t="s">
        <v>12093</v>
      </c>
      <c r="N168" t="str">
        <f t="shared" si="9"/>
        <v>condorProc.py --series 07210920_1644 --donoise --dumps a --procenv environments/pymidas_USD1.env</v>
      </c>
    </row>
    <row r="169" spans="1:14" ht="15">
      <c r="A169" s="256" t="s">
        <v>12807</v>
      </c>
      <c r="B169" s="256" t="s">
        <v>12104</v>
      </c>
      <c r="C169" s="258" t="s">
        <v>12808</v>
      </c>
      <c r="D169" s="258"/>
      <c r="E169">
        <v>45</v>
      </c>
      <c r="F169">
        <v>0</v>
      </c>
      <c r="H169" t="s">
        <v>12675</v>
      </c>
      <c r="K169" t="s">
        <v>12557</v>
      </c>
      <c r="M169" s="256" t="s">
        <v>12093</v>
      </c>
      <c r="N169" t="str">
        <f>"condorProc.py --series "&amp;A169&amp;" --donoise --dumps a --procenv environments/pymidas_USD1.env"</f>
        <v>condorProc.py --series 07210921_0851 --donoise --dumps a --procenv environments/pymidas_USD1.env</v>
      </c>
    </row>
    <row r="170" spans="1:14" ht="15">
      <c r="A170" s="256" t="s">
        <v>12809</v>
      </c>
      <c r="B170" s="256" t="s">
        <v>12104</v>
      </c>
      <c r="C170" s="258" t="s">
        <v>12712</v>
      </c>
      <c r="D170" s="258"/>
      <c r="E170">
        <v>45</v>
      </c>
      <c r="F170">
        <v>0</v>
      </c>
      <c r="G170" t="s">
        <v>12810</v>
      </c>
      <c r="H170" t="s">
        <v>12675</v>
      </c>
      <c r="I170" t="s">
        <v>12811</v>
      </c>
      <c r="K170" t="s">
        <v>12557</v>
      </c>
      <c r="M170" s="256" t="s">
        <v>12093</v>
      </c>
      <c r="N170" t="str">
        <f t="shared" ref="N170:N171" si="10">"condorProc.py --series "&amp;A170&amp;" --donoise --dumps a --procenv environments/pymidas_USD1.env"</f>
        <v>condorProc.py --series 07210921_1501 --donoise --dumps a --procenv environments/pymidas_USD1.env</v>
      </c>
    </row>
    <row r="171" spans="1:14" ht="15">
      <c r="A171" s="256" t="s">
        <v>12812</v>
      </c>
      <c r="B171" s="256" t="s">
        <v>12104</v>
      </c>
      <c r="C171" s="258" t="s">
        <v>12712</v>
      </c>
      <c r="D171" s="258"/>
      <c r="E171">
        <v>45</v>
      </c>
      <c r="F171">
        <v>0</v>
      </c>
      <c r="G171" t="s">
        <v>12813</v>
      </c>
      <c r="H171" t="s">
        <v>12675</v>
      </c>
      <c r="I171" t="s">
        <v>12814</v>
      </c>
      <c r="K171" s="256" t="s">
        <v>12557</v>
      </c>
      <c r="L171" s="256"/>
      <c r="M171" s="256" t="s">
        <v>12093</v>
      </c>
      <c r="N171" t="str">
        <f t="shared" si="10"/>
        <v>condorProc.py --series 07210921_2153 --donoise --dumps a --procenv environments/pymidas_USD1.env</v>
      </c>
    </row>
    <row r="172" spans="1:14" ht="15">
      <c r="A172" s="256" t="s">
        <v>12815</v>
      </c>
      <c r="B172" s="256" t="s">
        <v>12104</v>
      </c>
      <c r="C172" s="258" t="s">
        <v>12712</v>
      </c>
      <c r="D172" s="258"/>
      <c r="E172">
        <v>45</v>
      </c>
      <c r="F172">
        <v>0</v>
      </c>
      <c r="G172" s="256" t="s">
        <v>12816</v>
      </c>
      <c r="H172" t="s">
        <v>12675</v>
      </c>
      <c r="I172" s="256" t="s">
        <v>12817</v>
      </c>
      <c r="K172" t="s">
        <v>12557</v>
      </c>
      <c r="M172" s="256" t="s">
        <v>12093</v>
      </c>
      <c r="N172" t="str">
        <f t="shared" ref="N172:N224" si="11">"condorProc.py --series "&amp;A172&amp;" --donoise --dumps a --procenv environments/pymidas_USD1.env"</f>
        <v>condorProc.py --series 07210922_1454 --donoise --dumps a --procenv environments/pymidas_USD1.env</v>
      </c>
    </row>
    <row r="173" spans="1:14" ht="15">
      <c r="A173" s="256" t="s">
        <v>12818</v>
      </c>
      <c r="B173" s="256" t="s">
        <v>12104</v>
      </c>
      <c r="C173" s="258" t="s">
        <v>12712</v>
      </c>
      <c r="D173" s="258"/>
      <c r="E173">
        <v>45</v>
      </c>
      <c r="F173">
        <v>0</v>
      </c>
      <c r="G173" s="256" t="s">
        <v>12816</v>
      </c>
      <c r="H173" t="s">
        <v>12675</v>
      </c>
      <c r="I173" s="256" t="s">
        <v>12819</v>
      </c>
      <c r="K173" t="s">
        <v>12557</v>
      </c>
      <c r="M173" s="256" t="s">
        <v>12093</v>
      </c>
      <c r="N173" t="str">
        <f t="shared" si="11"/>
        <v>condorProc.py --series 07210922_1634 --donoise --dumps a --procenv environments/pymidas_USD1.env</v>
      </c>
    </row>
    <row r="174" spans="1:14" ht="15">
      <c r="A174" s="256" t="s">
        <v>12820</v>
      </c>
      <c r="B174" s="256" t="s">
        <v>12104</v>
      </c>
      <c r="C174" s="258" t="s">
        <v>12712</v>
      </c>
      <c r="D174" s="258"/>
      <c r="E174">
        <v>45</v>
      </c>
      <c r="F174">
        <v>0</v>
      </c>
      <c r="G174" s="256" t="s">
        <v>12816</v>
      </c>
      <c r="H174" t="s">
        <v>12675</v>
      </c>
      <c r="I174" t="s">
        <v>12821</v>
      </c>
      <c r="K174" t="s">
        <v>12557</v>
      </c>
      <c r="M174" s="256" t="s">
        <v>12093</v>
      </c>
      <c r="N174" t="str">
        <f t="shared" si="11"/>
        <v>condorProc.py --series 07210922_1901 --donoise --dumps a --procenv environments/pymidas_USD1.env</v>
      </c>
    </row>
    <row r="175" spans="1:14" ht="15">
      <c r="A175" s="256" t="s">
        <v>12822</v>
      </c>
      <c r="B175" s="256" t="s">
        <v>12104</v>
      </c>
      <c r="C175" s="258" t="s">
        <v>12712</v>
      </c>
      <c r="D175" s="258"/>
      <c r="E175">
        <v>45</v>
      </c>
      <c r="F175">
        <v>0</v>
      </c>
      <c r="G175" s="256" t="s">
        <v>12816</v>
      </c>
      <c r="H175" t="s">
        <v>12675</v>
      </c>
      <c r="I175" t="s">
        <v>12823</v>
      </c>
      <c r="K175" t="s">
        <v>12770</v>
      </c>
      <c r="M175" s="256" t="s">
        <v>12093</v>
      </c>
      <c r="N175" t="str">
        <f t="shared" si="11"/>
        <v>condorProc.py --series 07210922_2018 --donoise --dumps a --procenv environments/pymidas_USD1.env</v>
      </c>
    </row>
    <row r="176" spans="1:14" ht="15">
      <c r="A176" s="256" t="s">
        <v>12824</v>
      </c>
      <c r="B176" s="256" t="s">
        <v>12104</v>
      </c>
      <c r="C176" s="258" t="s">
        <v>12729</v>
      </c>
      <c r="D176" s="258"/>
      <c r="E176">
        <v>20</v>
      </c>
      <c r="F176">
        <v>0</v>
      </c>
      <c r="G176" s="256" t="s">
        <v>12816</v>
      </c>
      <c r="H176" t="s">
        <v>12675</v>
      </c>
      <c r="I176" t="s">
        <v>12823</v>
      </c>
      <c r="K176" t="s">
        <v>12770</v>
      </c>
      <c r="M176" s="256" t="s">
        <v>12093</v>
      </c>
      <c r="N176" t="str">
        <f t="shared" si="11"/>
        <v>condorProc.py --series 07210922_2108 --donoise --dumps a --procenv environments/pymidas_USD1.env</v>
      </c>
    </row>
    <row r="177" spans="1:14" ht="15">
      <c r="A177" s="256" t="s">
        <v>12825</v>
      </c>
      <c r="B177" s="256" t="s">
        <v>12104</v>
      </c>
      <c r="C177" s="258" t="s">
        <v>12712</v>
      </c>
      <c r="D177" s="258"/>
      <c r="E177">
        <v>28</v>
      </c>
      <c r="F177">
        <v>0</v>
      </c>
      <c r="G177" s="258" t="s">
        <v>12826</v>
      </c>
      <c r="H177" t="s">
        <v>12675</v>
      </c>
      <c r="I177" t="s">
        <v>12827</v>
      </c>
      <c r="K177" t="s">
        <v>12770</v>
      </c>
      <c r="M177" s="256" t="s">
        <v>12093</v>
      </c>
      <c r="N177" t="str">
        <f t="shared" si="11"/>
        <v>condorProc.py --series 07210922_2202 --donoise --dumps a --procenv environments/pymidas_USD1.env</v>
      </c>
    </row>
    <row r="178" spans="1:14" ht="15">
      <c r="A178" s="256" t="s">
        <v>12828</v>
      </c>
      <c r="B178" s="256" t="s">
        <v>12104</v>
      </c>
      <c r="C178" s="258" t="s">
        <v>12712</v>
      </c>
      <c r="D178" s="258"/>
      <c r="E178">
        <v>45</v>
      </c>
      <c r="F178">
        <v>0</v>
      </c>
      <c r="G178" s="256" t="s">
        <v>12829</v>
      </c>
      <c r="H178" t="s">
        <v>12675</v>
      </c>
      <c r="I178" t="s">
        <v>12830</v>
      </c>
      <c r="K178" t="s">
        <v>12770</v>
      </c>
      <c r="M178" s="256" t="s">
        <v>12093</v>
      </c>
      <c r="N178" t="str">
        <f t="shared" si="11"/>
        <v>condorProc.py --series 07210922_2234 --donoise --dumps a --procenv environments/pymidas_USD1.env</v>
      </c>
    </row>
    <row r="179" spans="1:14" ht="15">
      <c r="A179" s="256" t="s">
        <v>12831</v>
      </c>
      <c r="B179" s="256" t="s">
        <v>12104</v>
      </c>
      <c r="C179" s="258" t="s">
        <v>12712</v>
      </c>
      <c r="D179" s="258"/>
      <c r="E179">
        <v>45</v>
      </c>
      <c r="F179">
        <v>0</v>
      </c>
      <c r="G179" s="256" t="s">
        <v>12832</v>
      </c>
      <c r="H179" t="s">
        <v>12675</v>
      </c>
      <c r="I179" t="s">
        <v>12833</v>
      </c>
      <c r="K179" t="s">
        <v>12770</v>
      </c>
      <c r="M179" s="256" t="s">
        <v>12093</v>
      </c>
      <c r="N179" t="str">
        <f t="shared" si="11"/>
        <v>condorProc.py --series 07210924_1041 --donoise --dumps a --procenv environments/pymidas_USD1.env</v>
      </c>
    </row>
    <row r="180" spans="1:14" ht="15">
      <c r="A180" s="256" t="s">
        <v>12834</v>
      </c>
      <c r="B180" s="256" t="s">
        <v>12104</v>
      </c>
      <c r="C180" s="258" t="s">
        <v>12712</v>
      </c>
      <c r="D180" s="258"/>
      <c r="E180">
        <v>45</v>
      </c>
      <c r="F180">
        <v>0</v>
      </c>
      <c r="G180" t="s">
        <v>12835</v>
      </c>
      <c r="H180" t="s">
        <v>12675</v>
      </c>
      <c r="I180" t="s">
        <v>12836</v>
      </c>
      <c r="K180" t="s">
        <v>12770</v>
      </c>
      <c r="M180" s="256" t="s">
        <v>12093</v>
      </c>
      <c r="N180" t="str">
        <f t="shared" si="11"/>
        <v>condorProc.py --series 07210924_1139 --donoise --dumps a --procenv environments/pymidas_USD1.env</v>
      </c>
    </row>
    <row r="181" spans="1:14" ht="15">
      <c r="A181" s="256" t="s">
        <v>12837</v>
      </c>
      <c r="B181" s="256" t="s">
        <v>12104</v>
      </c>
      <c r="C181" s="258" t="s">
        <v>12712</v>
      </c>
      <c r="D181" s="258"/>
      <c r="E181">
        <v>45</v>
      </c>
      <c r="F181">
        <v>0</v>
      </c>
      <c r="G181" t="s">
        <v>12835</v>
      </c>
      <c r="H181" t="s">
        <v>12675</v>
      </c>
      <c r="I181" t="s">
        <v>12838</v>
      </c>
      <c r="K181" t="s">
        <v>12770</v>
      </c>
      <c r="M181" s="256" t="s">
        <v>12093</v>
      </c>
      <c r="N181" t="str">
        <f t="shared" si="11"/>
        <v>condorProc.py --series 07210924_1358 --donoise --dumps a --procenv environments/pymidas_USD1.env</v>
      </c>
    </row>
    <row r="182" spans="1:14" ht="15">
      <c r="A182" s="256" t="s">
        <v>12839</v>
      </c>
      <c r="B182" s="256" t="s">
        <v>12104</v>
      </c>
      <c r="C182" s="258" t="s">
        <v>12712</v>
      </c>
      <c r="D182" s="258"/>
      <c r="E182">
        <v>45</v>
      </c>
      <c r="F182">
        <v>0</v>
      </c>
      <c r="G182" t="s">
        <v>12840</v>
      </c>
      <c r="H182" t="s">
        <v>12675</v>
      </c>
      <c r="I182" t="s">
        <v>12841</v>
      </c>
      <c r="K182" t="s">
        <v>12770</v>
      </c>
      <c r="M182" s="256" t="s">
        <v>12093</v>
      </c>
      <c r="N182" t="str">
        <f t="shared" si="11"/>
        <v>condorProc.py --series 07210924_1547 --donoise --dumps a --procenv environments/pymidas_USD1.env</v>
      </c>
    </row>
    <row r="183" spans="1:14" ht="15">
      <c r="A183" s="256" t="s">
        <v>12842</v>
      </c>
      <c r="B183" s="256" t="s">
        <v>12104</v>
      </c>
      <c r="C183" s="258" t="s">
        <v>12712</v>
      </c>
      <c r="D183" s="258"/>
      <c r="E183">
        <v>45</v>
      </c>
      <c r="F183">
        <v>0</v>
      </c>
      <c r="G183" t="s">
        <v>12843</v>
      </c>
      <c r="H183" t="s">
        <v>12675</v>
      </c>
      <c r="I183" t="s">
        <v>12844</v>
      </c>
      <c r="K183" t="s">
        <v>12557</v>
      </c>
      <c r="M183" s="256" t="s">
        <v>12093</v>
      </c>
      <c r="N183" t="str">
        <f t="shared" si="11"/>
        <v>condorProc.py --series 07210924_1717 --donoise --dumps a --procenv environments/pymidas_USD1.env</v>
      </c>
    </row>
    <row r="184" spans="1:14" ht="15">
      <c r="A184" s="256" t="s">
        <v>12845</v>
      </c>
      <c r="B184" s="256" t="s">
        <v>12104</v>
      </c>
      <c r="C184" s="258" t="s">
        <v>12712</v>
      </c>
      <c r="D184" s="258"/>
      <c r="E184">
        <v>45</v>
      </c>
      <c r="F184">
        <v>0</v>
      </c>
      <c r="G184" t="s">
        <v>12846</v>
      </c>
      <c r="H184" t="s">
        <v>12675</v>
      </c>
      <c r="I184" t="s">
        <v>12847</v>
      </c>
      <c r="K184" t="s">
        <v>12770</v>
      </c>
      <c r="M184" s="256" t="s">
        <v>12093</v>
      </c>
      <c r="N184" t="str">
        <f t="shared" si="11"/>
        <v>condorProc.py --series 07210924_2003 --donoise --dumps a --procenv environments/pymidas_USD1.env</v>
      </c>
    </row>
    <row r="185" spans="1:14" ht="15">
      <c r="A185" s="256" t="s">
        <v>12848</v>
      </c>
      <c r="B185" s="256" t="s">
        <v>12104</v>
      </c>
      <c r="C185" s="258" t="s">
        <v>12712</v>
      </c>
      <c r="D185" s="258"/>
      <c r="E185">
        <v>45</v>
      </c>
      <c r="F185">
        <v>0</v>
      </c>
      <c r="G185" t="s">
        <v>12849</v>
      </c>
      <c r="H185" t="s">
        <v>12675</v>
      </c>
      <c r="I185" t="s">
        <v>12850</v>
      </c>
      <c r="K185" t="s">
        <v>12770</v>
      </c>
      <c r="M185" s="256" t="s">
        <v>12093</v>
      </c>
      <c r="N185" t="str">
        <f t="shared" si="11"/>
        <v>condorProc.py --series 07210924_2200 --donoise --dumps a --procenv environments/pymidas_USD1.env</v>
      </c>
    </row>
    <row r="186" spans="1:14" ht="15">
      <c r="A186" s="256" t="s">
        <v>12851</v>
      </c>
      <c r="B186" s="256" t="s">
        <v>12104</v>
      </c>
      <c r="C186" t="s">
        <v>12799</v>
      </c>
      <c r="E186">
        <v>1</v>
      </c>
      <c r="F186">
        <v>0</v>
      </c>
      <c r="G186" t="s">
        <v>2181</v>
      </c>
      <c r="I186" t="s">
        <v>12852</v>
      </c>
      <c r="M186" s="256" t="s">
        <v>12093</v>
      </c>
      <c r="N186" t="str">
        <f t="shared" si="11"/>
        <v>condorProc.py --series 07210925_0908 --donoise --dumps a --procenv environments/pymidas_USD1.env</v>
      </c>
    </row>
    <row r="187" spans="1:14" ht="15">
      <c r="A187" s="256" t="s">
        <v>12853</v>
      </c>
      <c r="B187" s="256" t="s">
        <v>12104</v>
      </c>
      <c r="C187" s="258" t="s">
        <v>12712</v>
      </c>
      <c r="D187" s="258"/>
      <c r="E187">
        <v>1</v>
      </c>
      <c r="F187">
        <v>0</v>
      </c>
      <c r="G187" t="s">
        <v>2181</v>
      </c>
      <c r="H187" t="s">
        <v>12776</v>
      </c>
      <c r="I187" t="s">
        <v>12852</v>
      </c>
      <c r="K187" t="s">
        <v>12770</v>
      </c>
      <c r="M187" s="256" t="s">
        <v>12093</v>
      </c>
      <c r="N187" t="str">
        <f t="shared" si="11"/>
        <v>condorProc.py --series 07210925_0909 --donoise --dumps a --procenv environments/pymidas_USD1.env</v>
      </c>
    </row>
    <row r="188" spans="1:14" ht="15">
      <c r="A188" s="256" t="s">
        <v>12854</v>
      </c>
      <c r="B188" s="256" t="s">
        <v>12104</v>
      </c>
      <c r="C188" s="258" t="s">
        <v>12712</v>
      </c>
      <c r="D188" s="258"/>
      <c r="E188">
        <v>45</v>
      </c>
      <c r="F188">
        <v>0</v>
      </c>
      <c r="G188" t="s">
        <v>12846</v>
      </c>
      <c r="H188" t="s">
        <v>12675</v>
      </c>
      <c r="I188" t="s">
        <v>12855</v>
      </c>
      <c r="K188" t="s">
        <v>12770</v>
      </c>
      <c r="M188" s="256" t="s">
        <v>12093</v>
      </c>
      <c r="N188" t="str">
        <f t="shared" si="11"/>
        <v>condorProc.py --series 07210925_0922 --donoise --dumps a --procenv environments/pymidas_USD1.env</v>
      </c>
    </row>
    <row r="189" spans="1:14" ht="15">
      <c r="A189" s="256" t="s">
        <v>12856</v>
      </c>
      <c r="B189" s="256" t="s">
        <v>12104</v>
      </c>
      <c r="C189" t="s">
        <v>12799</v>
      </c>
      <c r="E189">
        <v>1</v>
      </c>
      <c r="F189">
        <v>0</v>
      </c>
      <c r="G189" t="s">
        <v>2181</v>
      </c>
      <c r="I189" t="s">
        <v>12857</v>
      </c>
      <c r="M189" s="256" t="s">
        <v>12093</v>
      </c>
      <c r="N189" t="str">
        <f t="shared" si="11"/>
        <v>condorProc.py --series 07210925_1043 --donoise --dumps a --procenv environments/pymidas_USD1.env</v>
      </c>
    </row>
    <row r="190" spans="1:14" ht="15">
      <c r="A190" s="256" t="s">
        <v>12858</v>
      </c>
      <c r="B190" s="256" t="s">
        <v>12104</v>
      </c>
      <c r="C190" s="258" t="s">
        <v>12712</v>
      </c>
      <c r="D190" s="258"/>
      <c r="E190">
        <v>1</v>
      </c>
      <c r="F190">
        <v>0</v>
      </c>
      <c r="G190" t="s">
        <v>2181</v>
      </c>
      <c r="H190" t="s">
        <v>12776</v>
      </c>
      <c r="I190" t="s">
        <v>12859</v>
      </c>
      <c r="K190" t="s">
        <v>12770</v>
      </c>
      <c r="M190" s="256" t="s">
        <v>12093</v>
      </c>
      <c r="N190" t="str">
        <f t="shared" si="11"/>
        <v>condorProc.py --series 07210925_1044 --donoise --dumps a --procenv environments/pymidas_USD1.env</v>
      </c>
    </row>
    <row r="191" spans="1:14" ht="15">
      <c r="A191" s="256" t="s">
        <v>12860</v>
      </c>
      <c r="B191" s="256" t="s">
        <v>12104</v>
      </c>
      <c r="C191" s="258" t="s">
        <v>12712</v>
      </c>
      <c r="D191" s="258"/>
      <c r="E191">
        <v>45</v>
      </c>
      <c r="F191">
        <v>0</v>
      </c>
      <c r="G191" t="s">
        <v>12846</v>
      </c>
      <c r="H191" t="s">
        <v>12675</v>
      </c>
      <c r="I191" t="s">
        <v>12861</v>
      </c>
      <c r="K191" t="s">
        <v>12770</v>
      </c>
      <c r="M191" s="256" t="s">
        <v>12093</v>
      </c>
      <c r="N191" t="str">
        <f t="shared" si="11"/>
        <v>condorProc.py --series 07210925_1056 --donoise --dumps a --procenv environments/pymidas_USD1.env</v>
      </c>
    </row>
    <row r="192" spans="1:14" ht="15">
      <c r="A192" s="256" t="s">
        <v>12862</v>
      </c>
      <c r="B192" s="256" t="s">
        <v>12104</v>
      </c>
      <c r="C192" t="s">
        <v>12799</v>
      </c>
      <c r="E192">
        <v>1</v>
      </c>
      <c r="F192">
        <v>0</v>
      </c>
      <c r="G192" t="s">
        <v>2181</v>
      </c>
      <c r="I192" t="s">
        <v>12863</v>
      </c>
      <c r="M192" s="256"/>
      <c r="N192" t="str">
        <f t="shared" si="11"/>
        <v>condorProc.py --series 07210925_1347 --donoise --dumps a --procenv environments/pymidas_USD1.env</v>
      </c>
    </row>
    <row r="193" spans="1:14" ht="15">
      <c r="A193" s="256" t="s">
        <v>12864</v>
      </c>
      <c r="B193" s="256" t="s">
        <v>12104</v>
      </c>
      <c r="C193" s="258" t="s">
        <v>12712</v>
      </c>
      <c r="D193" s="258"/>
      <c r="E193">
        <v>1</v>
      </c>
      <c r="F193">
        <v>0</v>
      </c>
      <c r="G193" t="s">
        <v>2181</v>
      </c>
      <c r="H193" t="s">
        <v>12776</v>
      </c>
      <c r="I193" t="s">
        <v>12865</v>
      </c>
      <c r="M193" s="256"/>
      <c r="N193" t="str">
        <f t="shared" si="11"/>
        <v>condorProc.py --series 07210925_1348 --donoise --dumps a --procenv environments/pymidas_USD1.env</v>
      </c>
    </row>
    <row r="194" spans="1:14" ht="15">
      <c r="A194" s="256" t="s">
        <v>12866</v>
      </c>
      <c r="B194" s="256" t="s">
        <v>12104</v>
      </c>
      <c r="C194" s="258" t="s">
        <v>12712</v>
      </c>
      <c r="D194" s="258"/>
      <c r="E194">
        <v>45</v>
      </c>
      <c r="F194">
        <v>0</v>
      </c>
      <c r="G194" t="s">
        <v>12846</v>
      </c>
      <c r="H194" t="s">
        <v>12675</v>
      </c>
      <c r="I194" t="s">
        <v>12867</v>
      </c>
      <c r="K194" t="s">
        <v>12557</v>
      </c>
      <c r="M194" s="256" t="s">
        <v>12093</v>
      </c>
      <c r="N194" t="str">
        <f t="shared" si="11"/>
        <v>condorProc.py --series 07210925_1357 --donoise --dumps a --procenv environments/pymidas_USD1.env</v>
      </c>
    </row>
    <row r="195" spans="1:14" ht="15">
      <c r="A195" s="256" t="s">
        <v>12868</v>
      </c>
      <c r="B195" s="256" t="s">
        <v>12104</v>
      </c>
      <c r="C195" t="s">
        <v>12799</v>
      </c>
      <c r="E195">
        <v>1</v>
      </c>
      <c r="F195">
        <v>0</v>
      </c>
      <c r="G195" t="s">
        <v>2181</v>
      </c>
      <c r="I195" t="s">
        <v>12869</v>
      </c>
      <c r="M195" s="256" t="s">
        <v>12093</v>
      </c>
      <c r="N195" t="str">
        <f t="shared" si="11"/>
        <v>condorProc.py --series 07210925_1520 --donoise --dumps a --procenv environments/pymidas_USD1.env</v>
      </c>
    </row>
    <row r="196" spans="1:14" ht="15">
      <c r="A196" s="256" t="s">
        <v>12870</v>
      </c>
      <c r="B196" s="256" t="s">
        <v>12104</v>
      </c>
      <c r="C196" s="258" t="s">
        <v>12712</v>
      </c>
      <c r="D196" s="258"/>
      <c r="E196">
        <v>1</v>
      </c>
      <c r="F196">
        <v>0</v>
      </c>
      <c r="G196" t="s">
        <v>2181</v>
      </c>
      <c r="H196" t="s">
        <v>12776</v>
      </c>
      <c r="I196" t="s">
        <v>12869</v>
      </c>
      <c r="M196" s="256" t="s">
        <v>12093</v>
      </c>
      <c r="N196" t="str">
        <f t="shared" si="11"/>
        <v>condorProc.py --series 07210925_1521 --donoise --dumps a --procenv environments/pymidas_USD1.env</v>
      </c>
    </row>
    <row r="197" spans="1:14" ht="15">
      <c r="A197" s="256" t="s">
        <v>12871</v>
      </c>
      <c r="B197" s="256" t="s">
        <v>12104</v>
      </c>
      <c r="C197" s="258" t="s">
        <v>12712</v>
      </c>
      <c r="D197" s="258"/>
      <c r="E197">
        <v>45</v>
      </c>
      <c r="F197">
        <v>0</v>
      </c>
      <c r="G197" t="s">
        <v>12846</v>
      </c>
      <c r="H197" t="s">
        <v>12675</v>
      </c>
      <c r="I197" t="s">
        <v>12872</v>
      </c>
      <c r="K197" t="s">
        <v>12557</v>
      </c>
      <c r="M197" s="256" t="s">
        <v>12093</v>
      </c>
      <c r="N197" t="str">
        <f t="shared" si="11"/>
        <v>condorProc.py --series 07210925_1530 --donoise --dumps a --procenv environments/pymidas_USD1.env</v>
      </c>
    </row>
    <row r="198" spans="1:14" ht="15">
      <c r="A198" t="s">
        <v>12873</v>
      </c>
      <c r="B198" s="256" t="s">
        <v>12104</v>
      </c>
      <c r="C198" t="s">
        <v>12799</v>
      </c>
      <c r="E198">
        <v>1</v>
      </c>
      <c r="F198">
        <v>0</v>
      </c>
      <c r="G198" t="s">
        <v>2181</v>
      </c>
      <c r="I198" t="s">
        <v>12874</v>
      </c>
      <c r="M198" s="256" t="s">
        <v>12093</v>
      </c>
      <c r="N198" t="str">
        <f t="shared" si="11"/>
        <v>condorProc.py --series 07210925_1648 --donoise --dumps a --procenv environments/pymidas_USD1.env</v>
      </c>
    </row>
    <row r="199" spans="1:14" ht="15">
      <c r="A199" t="s">
        <v>12875</v>
      </c>
      <c r="B199" s="256" t="s">
        <v>12104</v>
      </c>
      <c r="C199" s="258" t="s">
        <v>12712</v>
      </c>
      <c r="D199" s="258"/>
      <c r="E199">
        <v>1</v>
      </c>
      <c r="F199">
        <v>0</v>
      </c>
      <c r="G199" t="s">
        <v>2181</v>
      </c>
      <c r="H199" t="s">
        <v>12776</v>
      </c>
      <c r="I199" t="s">
        <v>12874</v>
      </c>
      <c r="M199" s="256" t="s">
        <v>12093</v>
      </c>
      <c r="N199" t="str">
        <f t="shared" si="11"/>
        <v>condorProc.py --series 07210925_1649 --donoise --dumps a --procenv environments/pymidas_USD1.env</v>
      </c>
    </row>
    <row r="200" spans="1:14" ht="15">
      <c r="A200" t="s">
        <v>12876</v>
      </c>
      <c r="B200" s="256" t="s">
        <v>12104</v>
      </c>
      <c r="C200" s="258" t="s">
        <v>12712</v>
      </c>
      <c r="D200" s="258"/>
      <c r="E200">
        <v>45</v>
      </c>
      <c r="F200">
        <v>0</v>
      </c>
      <c r="G200" t="s">
        <v>12846</v>
      </c>
      <c r="H200" t="s">
        <v>12675</v>
      </c>
      <c r="I200" t="s">
        <v>12877</v>
      </c>
      <c r="K200" t="s">
        <v>12557</v>
      </c>
      <c r="M200" s="256" t="s">
        <v>12093</v>
      </c>
      <c r="N200" t="str">
        <f t="shared" si="11"/>
        <v>condorProc.py --series 07210925_1657 --donoise --dumps a --procenv environments/pymidas_USD1.env</v>
      </c>
    </row>
    <row r="201" spans="1:14" ht="15">
      <c r="A201" t="s">
        <v>12878</v>
      </c>
      <c r="B201" s="256" t="s">
        <v>12104</v>
      </c>
      <c r="C201" t="s">
        <v>12799</v>
      </c>
      <c r="E201">
        <v>1</v>
      </c>
      <c r="F201">
        <v>0</v>
      </c>
      <c r="G201" t="s">
        <v>2181</v>
      </c>
      <c r="I201" t="s">
        <v>12879</v>
      </c>
      <c r="M201" s="256" t="s">
        <v>12093</v>
      </c>
      <c r="N201" t="str">
        <f t="shared" si="11"/>
        <v>condorProc.py --series 07210926_0831 --donoise --dumps a --procenv environments/pymidas_USD1.env</v>
      </c>
    </row>
    <row r="202" spans="1:14" ht="15">
      <c r="A202" t="s">
        <v>12880</v>
      </c>
      <c r="B202" s="256" t="s">
        <v>12104</v>
      </c>
      <c r="C202" s="258" t="s">
        <v>12712</v>
      </c>
      <c r="D202" s="258"/>
      <c r="E202">
        <v>1</v>
      </c>
      <c r="F202">
        <v>0</v>
      </c>
      <c r="G202" t="s">
        <v>2181</v>
      </c>
      <c r="H202" t="s">
        <v>12776</v>
      </c>
      <c r="I202" t="s">
        <v>12879</v>
      </c>
      <c r="M202" s="256" t="s">
        <v>12093</v>
      </c>
      <c r="N202" t="str">
        <f t="shared" si="11"/>
        <v>condorProc.py --series 07210926_0832 --donoise --dumps a --procenv environments/pymidas_USD1.env</v>
      </c>
    </row>
    <row r="203" spans="1:14" ht="15">
      <c r="A203" t="s">
        <v>12881</v>
      </c>
      <c r="B203" s="256" t="s">
        <v>12104</v>
      </c>
      <c r="C203" s="258" t="s">
        <v>12712</v>
      </c>
      <c r="D203" s="258"/>
      <c r="E203">
        <v>45</v>
      </c>
      <c r="F203">
        <v>0</v>
      </c>
      <c r="G203" t="s">
        <v>12846</v>
      </c>
      <c r="H203" t="s">
        <v>12675</v>
      </c>
      <c r="I203" t="s">
        <v>12882</v>
      </c>
      <c r="K203" t="s">
        <v>12770</v>
      </c>
      <c r="M203" s="256" t="s">
        <v>12093</v>
      </c>
      <c r="N203" t="str">
        <f t="shared" si="11"/>
        <v>condorProc.py --series 07210926_0839 --donoise --dumps a --procenv environments/pymidas_USD1.env</v>
      </c>
    </row>
    <row r="204" spans="1:14" ht="15">
      <c r="A204" t="s">
        <v>12883</v>
      </c>
      <c r="B204" s="256" t="s">
        <v>12104</v>
      </c>
      <c r="C204" t="s">
        <v>12799</v>
      </c>
      <c r="E204">
        <v>1</v>
      </c>
      <c r="F204">
        <v>0</v>
      </c>
      <c r="G204" t="s">
        <v>2181</v>
      </c>
      <c r="I204" t="s">
        <v>12884</v>
      </c>
      <c r="M204" s="256" t="s">
        <v>12093</v>
      </c>
      <c r="N204" t="str">
        <f t="shared" si="11"/>
        <v>condorProc.py --series 07210926_0956 --donoise --dumps a --procenv environments/pymidas_USD1.env</v>
      </c>
    </row>
    <row r="205" spans="1:14" ht="15">
      <c r="A205" t="s">
        <v>12885</v>
      </c>
      <c r="B205" s="256" t="s">
        <v>12104</v>
      </c>
      <c r="C205" s="258" t="s">
        <v>12712</v>
      </c>
      <c r="D205" s="258"/>
      <c r="E205">
        <v>1</v>
      </c>
      <c r="F205">
        <v>0</v>
      </c>
      <c r="G205" t="s">
        <v>2181</v>
      </c>
      <c r="H205" t="s">
        <v>12776</v>
      </c>
      <c r="I205" t="s">
        <v>12884</v>
      </c>
      <c r="M205" s="256" t="s">
        <v>12093</v>
      </c>
      <c r="N205" t="str">
        <f t="shared" si="11"/>
        <v>condorProc.py --series 07210926_0957 --donoise --dumps a --procenv environments/pymidas_USD1.env</v>
      </c>
    </row>
    <row r="206" spans="1:14" ht="15">
      <c r="A206" t="s">
        <v>12886</v>
      </c>
      <c r="B206" s="256" t="s">
        <v>12104</v>
      </c>
      <c r="C206" s="258" t="s">
        <v>12712</v>
      </c>
      <c r="D206" s="258"/>
      <c r="E206">
        <v>45</v>
      </c>
      <c r="F206">
        <v>0</v>
      </c>
      <c r="G206" t="s">
        <v>12887</v>
      </c>
      <c r="H206" t="s">
        <v>12675</v>
      </c>
      <c r="I206" t="s">
        <v>12888</v>
      </c>
      <c r="K206" t="s">
        <v>12770</v>
      </c>
      <c r="M206" s="256" t="s">
        <v>12093</v>
      </c>
      <c r="N206" t="str">
        <f t="shared" si="11"/>
        <v>condorProc.py --series 07210926_1006 --donoise --dumps a --procenv environments/pymidas_USD1.env</v>
      </c>
    </row>
    <row r="207" spans="1:14" ht="15">
      <c r="A207" t="s">
        <v>12889</v>
      </c>
      <c r="B207" s="256" t="s">
        <v>12104</v>
      </c>
      <c r="C207" t="s">
        <v>12799</v>
      </c>
      <c r="E207">
        <v>1</v>
      </c>
      <c r="F207">
        <v>0</v>
      </c>
      <c r="G207" t="s">
        <v>2181</v>
      </c>
      <c r="I207" t="s">
        <v>12890</v>
      </c>
      <c r="M207" s="256" t="s">
        <v>12093</v>
      </c>
      <c r="N207" t="str">
        <f t="shared" si="11"/>
        <v>condorProc.py --series 07210926_1115 --donoise --dumps a --procenv environments/pymidas_USD1.env</v>
      </c>
    </row>
    <row r="208" spans="1:14" ht="15">
      <c r="A208" t="s">
        <v>12891</v>
      </c>
      <c r="B208" s="256" t="s">
        <v>12104</v>
      </c>
      <c r="C208" s="258" t="s">
        <v>12712</v>
      </c>
      <c r="D208" s="258"/>
      <c r="E208">
        <v>1</v>
      </c>
      <c r="F208">
        <v>0</v>
      </c>
      <c r="G208" t="s">
        <v>2181</v>
      </c>
      <c r="H208" t="s">
        <v>12776</v>
      </c>
      <c r="I208" t="s">
        <v>12890</v>
      </c>
      <c r="M208" s="256" t="s">
        <v>12093</v>
      </c>
      <c r="N208" t="str">
        <f t="shared" si="11"/>
        <v>condorProc.py --series 07210926_1116 --donoise --dumps a --procenv environments/pymidas_USD1.env</v>
      </c>
    </row>
    <row r="209" spans="1:14" ht="15">
      <c r="A209" t="s">
        <v>12892</v>
      </c>
      <c r="B209" s="256" t="s">
        <v>12104</v>
      </c>
      <c r="C209" s="258" t="s">
        <v>12712</v>
      </c>
      <c r="D209" s="258"/>
      <c r="E209">
        <v>45</v>
      </c>
      <c r="F209">
        <v>0</v>
      </c>
      <c r="G209" t="s">
        <v>12893</v>
      </c>
      <c r="H209" t="s">
        <v>12675</v>
      </c>
      <c r="I209" t="s">
        <v>12894</v>
      </c>
      <c r="K209" t="s">
        <v>12770</v>
      </c>
      <c r="M209" s="256" t="s">
        <v>12093</v>
      </c>
      <c r="N209" t="str">
        <f t="shared" si="11"/>
        <v>condorProc.py --series 07210926_1140 --donoise --dumps a --procenv environments/pymidas_USD1.env</v>
      </c>
    </row>
    <row r="210" spans="1:14" ht="15">
      <c r="A210" t="s">
        <v>12895</v>
      </c>
      <c r="B210" s="256" t="s">
        <v>12104</v>
      </c>
      <c r="C210" t="s">
        <v>12799</v>
      </c>
      <c r="E210">
        <v>1</v>
      </c>
      <c r="F210">
        <v>0</v>
      </c>
      <c r="G210" t="s">
        <v>2181</v>
      </c>
      <c r="I210" t="s">
        <v>12896</v>
      </c>
      <c r="M210" s="256" t="s">
        <v>12093</v>
      </c>
      <c r="N210" t="str">
        <f t="shared" si="11"/>
        <v>condorProc.py --series 07210926_1459 --donoise --dumps a --procenv environments/pymidas_USD1.env</v>
      </c>
    </row>
    <row r="211" spans="1:14" ht="15">
      <c r="A211" t="s">
        <v>12897</v>
      </c>
      <c r="B211" s="256" t="s">
        <v>12104</v>
      </c>
      <c r="C211" s="258" t="s">
        <v>12712</v>
      </c>
      <c r="D211" s="258"/>
      <c r="E211">
        <v>1</v>
      </c>
      <c r="F211">
        <v>0</v>
      </c>
      <c r="G211" t="s">
        <v>2181</v>
      </c>
      <c r="H211" t="s">
        <v>12776</v>
      </c>
      <c r="I211" t="s">
        <v>12896</v>
      </c>
      <c r="M211" s="256" t="s">
        <v>12093</v>
      </c>
      <c r="N211" t="str">
        <f t="shared" si="11"/>
        <v>condorProc.py --series 07210926_1500 --donoise --dumps a --procenv environments/pymidas_USD1.env</v>
      </c>
    </row>
    <row r="212" spans="1:14" ht="15">
      <c r="A212" t="s">
        <v>12898</v>
      </c>
      <c r="B212" s="256" t="s">
        <v>12104</v>
      </c>
      <c r="C212" s="258" t="s">
        <v>12712</v>
      </c>
      <c r="D212" s="258"/>
      <c r="E212">
        <v>45</v>
      </c>
      <c r="F212">
        <v>0</v>
      </c>
      <c r="G212" t="s">
        <v>12899</v>
      </c>
      <c r="H212" t="s">
        <v>12675</v>
      </c>
      <c r="I212" t="s">
        <v>12900</v>
      </c>
      <c r="K212" t="s">
        <v>12770</v>
      </c>
      <c r="M212" s="256" t="s">
        <v>12093</v>
      </c>
      <c r="N212" t="str">
        <f t="shared" si="11"/>
        <v>condorProc.py --series 07210926_1536 --donoise --dumps a --procenv environments/pymidas_USD1.env</v>
      </c>
    </row>
    <row r="213" spans="1:14" ht="15">
      <c r="A213" t="s">
        <v>12901</v>
      </c>
      <c r="B213" s="256" t="s">
        <v>12104</v>
      </c>
      <c r="C213" t="s">
        <v>12799</v>
      </c>
      <c r="E213">
        <v>1</v>
      </c>
      <c r="F213">
        <v>0</v>
      </c>
      <c r="G213" t="s">
        <v>2181</v>
      </c>
      <c r="I213" t="s">
        <v>12902</v>
      </c>
      <c r="M213" s="256" t="s">
        <v>12093</v>
      </c>
      <c r="N213" t="str">
        <f t="shared" si="11"/>
        <v>condorProc.py --series 07210926_1714 --donoise --dumps a --procenv environments/pymidas_USD1.env</v>
      </c>
    </row>
    <row r="214" spans="1:14" ht="15">
      <c r="A214" t="s">
        <v>12903</v>
      </c>
      <c r="B214" s="256" t="s">
        <v>12104</v>
      </c>
      <c r="C214" s="258" t="s">
        <v>12712</v>
      </c>
      <c r="D214" s="258"/>
      <c r="E214">
        <v>1</v>
      </c>
      <c r="F214">
        <v>0</v>
      </c>
      <c r="G214" t="s">
        <v>2181</v>
      </c>
      <c r="H214" t="s">
        <v>12776</v>
      </c>
      <c r="I214" t="s">
        <v>12902</v>
      </c>
      <c r="M214" s="256" t="s">
        <v>12093</v>
      </c>
      <c r="N214" t="str">
        <f t="shared" si="11"/>
        <v>condorProc.py --series 07210926_1715 --donoise --dumps a --procenv environments/pymidas_USD1.env</v>
      </c>
    </row>
    <row r="215" spans="1:14" ht="15">
      <c r="A215" t="s">
        <v>12904</v>
      </c>
      <c r="B215" s="256" t="s">
        <v>12104</v>
      </c>
      <c r="C215" t="s">
        <v>12799</v>
      </c>
      <c r="E215">
        <v>1</v>
      </c>
      <c r="F215">
        <v>0</v>
      </c>
      <c r="G215" t="s">
        <v>2181</v>
      </c>
      <c r="I215" t="s">
        <v>12905</v>
      </c>
      <c r="M215" s="256" t="s">
        <v>12093</v>
      </c>
      <c r="N215" t="str">
        <f t="shared" si="11"/>
        <v>condorProc.py --series 07210926_1750 --donoise --dumps a --procenv environments/pymidas_USD1.env</v>
      </c>
    </row>
    <row r="216" spans="1:14" ht="15">
      <c r="A216" t="s">
        <v>12906</v>
      </c>
      <c r="B216" s="256" t="s">
        <v>12104</v>
      </c>
      <c r="C216" s="258" t="s">
        <v>12712</v>
      </c>
      <c r="D216" s="258"/>
      <c r="E216">
        <v>1</v>
      </c>
      <c r="F216">
        <v>0</v>
      </c>
      <c r="G216" t="s">
        <v>2181</v>
      </c>
      <c r="H216" t="s">
        <v>12776</v>
      </c>
      <c r="I216" t="s">
        <v>12905</v>
      </c>
      <c r="M216" s="256" t="s">
        <v>12093</v>
      </c>
      <c r="N216" t="str">
        <f t="shared" si="11"/>
        <v>condorProc.py --series 07210926_1751 --donoise --dumps a --procenv environments/pymidas_USD1.env</v>
      </c>
    </row>
    <row r="217" spans="1:14" ht="15">
      <c r="A217" t="s">
        <v>12907</v>
      </c>
      <c r="B217" s="256" t="s">
        <v>12104</v>
      </c>
      <c r="C217" t="s">
        <v>12799</v>
      </c>
      <c r="E217">
        <v>1</v>
      </c>
      <c r="F217">
        <v>0</v>
      </c>
      <c r="G217" t="s">
        <v>2181</v>
      </c>
      <c r="I217" t="s">
        <v>12908</v>
      </c>
      <c r="M217" s="256" t="s">
        <v>12093</v>
      </c>
      <c r="N217" t="str">
        <f t="shared" si="11"/>
        <v>condorProc.py --series 07210926_1815 --donoise --dumps a --procenv environments/pymidas_USD1.env</v>
      </c>
    </row>
    <row r="218" spans="1:14" ht="15">
      <c r="A218" t="s">
        <v>12909</v>
      </c>
      <c r="B218" s="256" t="s">
        <v>12104</v>
      </c>
      <c r="C218" s="258" t="s">
        <v>12712</v>
      </c>
      <c r="D218" s="258"/>
      <c r="E218">
        <v>1</v>
      </c>
      <c r="F218">
        <v>0</v>
      </c>
      <c r="G218" t="s">
        <v>2181</v>
      </c>
      <c r="H218" t="s">
        <v>12776</v>
      </c>
      <c r="I218" t="s">
        <v>12908</v>
      </c>
      <c r="M218" s="256" t="s">
        <v>12093</v>
      </c>
      <c r="N218" t="str">
        <f t="shared" si="11"/>
        <v>condorProc.py --series 07210926_1816 --donoise --dumps a --procenv environments/pymidas_USD1.env</v>
      </c>
    </row>
    <row r="219" spans="1:14" ht="15">
      <c r="A219" t="s">
        <v>12910</v>
      </c>
      <c r="B219" s="256" t="s">
        <v>12104</v>
      </c>
      <c r="C219" t="s">
        <v>12799</v>
      </c>
      <c r="E219">
        <v>1</v>
      </c>
      <c r="F219">
        <v>0</v>
      </c>
      <c r="G219" t="s">
        <v>2181</v>
      </c>
      <c r="I219" t="s">
        <v>12911</v>
      </c>
      <c r="M219" s="256" t="s">
        <v>12093</v>
      </c>
      <c r="N219" t="str">
        <f t="shared" si="11"/>
        <v>condorProc.py --series 07210926_1842 --donoise --dumps a --procenv environments/pymidas_USD1.env</v>
      </c>
    </row>
    <row r="220" spans="1:14" ht="15">
      <c r="A220" t="s">
        <v>12912</v>
      </c>
      <c r="B220" s="256" t="s">
        <v>12104</v>
      </c>
      <c r="C220" s="258" t="s">
        <v>12712</v>
      </c>
      <c r="D220" s="258"/>
      <c r="E220">
        <v>1</v>
      </c>
      <c r="F220">
        <v>0</v>
      </c>
      <c r="G220" t="s">
        <v>2181</v>
      </c>
      <c r="H220" t="s">
        <v>12776</v>
      </c>
      <c r="I220" t="s">
        <v>12911</v>
      </c>
      <c r="M220" s="256" t="s">
        <v>12093</v>
      </c>
      <c r="N220" t="str">
        <f t="shared" si="11"/>
        <v>condorProc.py --series 07210926_1843 --donoise --dumps a --procenv environments/pymidas_USD1.env</v>
      </c>
    </row>
    <row r="221" spans="1:14" ht="15">
      <c r="A221" t="s">
        <v>12913</v>
      </c>
      <c r="B221" s="256" t="s">
        <v>12104</v>
      </c>
      <c r="C221" t="s">
        <v>12799</v>
      </c>
      <c r="E221">
        <v>1</v>
      </c>
      <c r="F221">
        <v>0</v>
      </c>
      <c r="G221" t="s">
        <v>2181</v>
      </c>
      <c r="I221" t="s">
        <v>12914</v>
      </c>
      <c r="M221" s="256" t="s">
        <v>12093</v>
      </c>
      <c r="N221" t="str">
        <f t="shared" si="11"/>
        <v>condorProc.py --series 07210926_1911 --donoise --dumps a --procenv environments/pymidas_USD1.env</v>
      </c>
    </row>
    <row r="222" spans="1:14" ht="15">
      <c r="A222" t="s">
        <v>12915</v>
      </c>
      <c r="B222" s="256" t="s">
        <v>12104</v>
      </c>
      <c r="C222" s="258" t="s">
        <v>12712</v>
      </c>
      <c r="D222" s="258"/>
      <c r="E222">
        <v>1</v>
      </c>
      <c r="F222">
        <v>0</v>
      </c>
      <c r="G222" t="s">
        <v>2181</v>
      </c>
      <c r="H222" t="s">
        <v>12776</v>
      </c>
      <c r="I222" t="s">
        <v>12914</v>
      </c>
      <c r="M222" s="256" t="s">
        <v>12093</v>
      </c>
      <c r="N222" t="str">
        <f t="shared" si="11"/>
        <v>condorProc.py --series 07210926_1912 --donoise --dumps a --procenv environments/pymidas_USD1.env</v>
      </c>
    </row>
    <row r="223" spans="1:14" ht="15">
      <c r="A223" t="s">
        <v>12916</v>
      </c>
      <c r="B223" s="256" t="s">
        <v>12104</v>
      </c>
      <c r="C223" t="s">
        <v>12799</v>
      </c>
      <c r="E223">
        <v>1</v>
      </c>
      <c r="F223">
        <v>0</v>
      </c>
      <c r="G223" t="s">
        <v>2181</v>
      </c>
      <c r="I223" t="s">
        <v>12917</v>
      </c>
      <c r="M223" s="256" t="s">
        <v>12093</v>
      </c>
      <c r="N223" t="str">
        <f t="shared" si="11"/>
        <v>condorProc.py --series 07210926_1944 --donoise --dumps a --procenv environments/pymidas_USD1.env</v>
      </c>
    </row>
    <row r="224" spans="1:14" ht="15">
      <c r="A224" t="s">
        <v>12918</v>
      </c>
      <c r="B224" s="256" t="s">
        <v>12104</v>
      </c>
      <c r="C224" s="258" t="s">
        <v>12712</v>
      </c>
      <c r="D224" s="258"/>
      <c r="E224">
        <v>1</v>
      </c>
      <c r="F224">
        <v>0</v>
      </c>
      <c r="G224" t="s">
        <v>2181</v>
      </c>
      <c r="H224" t="s">
        <v>12776</v>
      </c>
      <c r="I224" t="s">
        <v>12917</v>
      </c>
      <c r="M224" s="256" t="s">
        <v>12093</v>
      </c>
      <c r="N224" t="str">
        <f t="shared" si="11"/>
        <v>condorProc.py --series 07210926_1945 --donoise --dumps a --procenv environments/pymidas_USD1.env</v>
      </c>
    </row>
    <row r="236" spans="7:7" ht="15">
      <c r="G236" s="1"/>
    </row>
    <row r="237" spans="7:7" ht="15">
      <c r="G237" s="1"/>
    </row>
  </sheetData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85A9-242C-4F04-A12F-6DC87184C5AD}">
  <dimension ref="A1:P62"/>
  <sheetViews>
    <sheetView workbookViewId="0">
      <pane xSplit="1" ySplit="1" topLeftCell="B57" activePane="bottomRight" state="frozen"/>
      <selection pane="bottomRight" activeCell="B57" sqref="B57"/>
      <selection pane="bottomLeft"/>
      <selection pane="topRight"/>
    </sheetView>
  </sheetViews>
  <sheetFormatPr defaultRowHeight="15"/>
  <cols>
    <col min="1" max="1" width="15.42578125" bestFit="1" customWidth="1"/>
    <col min="2" max="2" width="9.85546875" customWidth="1"/>
    <col min="6" max="6" width="11" customWidth="1"/>
    <col min="7" max="7" width="11.7109375" bestFit="1" customWidth="1"/>
    <col min="8" max="8" width="36.85546875" customWidth="1"/>
    <col min="9" max="9" width="22.85546875" customWidth="1"/>
    <col min="10" max="11" width="7" bestFit="1" customWidth="1"/>
    <col min="13" max="13" width="17.140625" bestFit="1" customWidth="1"/>
  </cols>
  <sheetData>
    <row r="1" spans="1:12" ht="30">
      <c r="A1" s="27" t="s">
        <v>0</v>
      </c>
      <c r="B1" s="60" t="s">
        <v>2190</v>
      </c>
      <c r="C1" s="60" t="s">
        <v>12087</v>
      </c>
      <c r="D1" s="60" t="s">
        <v>11017</v>
      </c>
      <c r="E1" s="60" t="s">
        <v>11019</v>
      </c>
      <c r="F1" s="60" t="s">
        <v>12115</v>
      </c>
      <c r="G1" s="60" t="s">
        <v>12919</v>
      </c>
      <c r="H1" s="60" t="s">
        <v>13</v>
      </c>
      <c r="I1" s="60" t="s">
        <v>12920</v>
      </c>
      <c r="J1" s="60" t="s">
        <v>12088</v>
      </c>
      <c r="K1" s="60" t="s">
        <v>12089</v>
      </c>
      <c r="L1" t="s">
        <v>12921</v>
      </c>
    </row>
    <row r="2" spans="1:12">
      <c r="A2" t="s">
        <v>12922</v>
      </c>
      <c r="B2" t="s">
        <v>5373</v>
      </c>
      <c r="C2" t="s">
        <v>12091</v>
      </c>
      <c r="D2">
        <v>0</v>
      </c>
      <c r="F2">
        <v>0</v>
      </c>
      <c r="G2" s="260">
        <v>56.2</v>
      </c>
      <c r="H2" s="256" t="s">
        <v>12923</v>
      </c>
      <c r="J2" t="s">
        <v>12093</v>
      </c>
      <c r="L2" s="256"/>
    </row>
    <row r="3" spans="1:12">
      <c r="A3" t="s">
        <v>12924</v>
      </c>
      <c r="B3" t="s">
        <v>5373</v>
      </c>
      <c r="C3" t="s">
        <v>12091</v>
      </c>
      <c r="D3">
        <v>0</v>
      </c>
      <c r="F3">
        <v>0</v>
      </c>
      <c r="G3" s="260">
        <v>56.2</v>
      </c>
      <c r="H3" s="259" t="s">
        <v>5952</v>
      </c>
      <c r="J3" t="s">
        <v>12093</v>
      </c>
      <c r="L3" s="259"/>
    </row>
    <row r="4" spans="1:12">
      <c r="A4" t="s">
        <v>12925</v>
      </c>
      <c r="B4" t="s">
        <v>5373</v>
      </c>
      <c r="C4" t="s">
        <v>12091</v>
      </c>
      <c r="D4">
        <v>0</v>
      </c>
      <c r="F4">
        <v>0</v>
      </c>
      <c r="G4" s="260">
        <v>53.4</v>
      </c>
      <c r="H4" s="256" t="s">
        <v>5952</v>
      </c>
      <c r="J4" t="s">
        <v>12093</v>
      </c>
      <c r="L4" s="256"/>
    </row>
    <row r="5" spans="1:12">
      <c r="A5" t="s">
        <v>12926</v>
      </c>
      <c r="B5" t="s">
        <v>5373</v>
      </c>
      <c r="C5" t="s">
        <v>12091</v>
      </c>
      <c r="D5">
        <v>0</v>
      </c>
      <c r="F5">
        <v>0</v>
      </c>
      <c r="G5" s="260">
        <v>53.4</v>
      </c>
      <c r="H5" s="256" t="s">
        <v>12927</v>
      </c>
      <c r="J5" t="s">
        <v>12093</v>
      </c>
      <c r="L5" s="256"/>
    </row>
    <row r="6" spans="1:12">
      <c r="A6" t="s">
        <v>12928</v>
      </c>
      <c r="B6" t="s">
        <v>5373</v>
      </c>
      <c r="C6" t="s">
        <v>12091</v>
      </c>
      <c r="D6">
        <v>0</v>
      </c>
      <c r="F6">
        <v>0</v>
      </c>
      <c r="G6" s="260">
        <v>53.4</v>
      </c>
      <c r="H6" s="256" t="s">
        <v>12929</v>
      </c>
      <c r="J6" t="s">
        <v>12093</v>
      </c>
      <c r="L6" s="256"/>
    </row>
    <row r="7" spans="1:12">
      <c r="A7" t="s">
        <v>12930</v>
      </c>
      <c r="B7" t="s">
        <v>5373</v>
      </c>
      <c r="C7" t="s">
        <v>12091</v>
      </c>
      <c r="D7">
        <v>0</v>
      </c>
      <c r="F7">
        <v>0</v>
      </c>
      <c r="G7" s="260">
        <v>53.4</v>
      </c>
      <c r="H7" s="259" t="s">
        <v>12931</v>
      </c>
      <c r="J7" t="s">
        <v>12093</v>
      </c>
      <c r="L7" s="259"/>
    </row>
    <row r="8" spans="1:12">
      <c r="A8" t="s">
        <v>12932</v>
      </c>
      <c r="B8" t="s">
        <v>5373</v>
      </c>
      <c r="C8" t="s">
        <v>12091</v>
      </c>
      <c r="D8">
        <v>0</v>
      </c>
      <c r="F8">
        <v>0</v>
      </c>
      <c r="G8" s="260">
        <v>51.1</v>
      </c>
      <c r="H8" s="256" t="s">
        <v>12931</v>
      </c>
      <c r="J8" t="s">
        <v>12093</v>
      </c>
      <c r="L8" s="256"/>
    </row>
    <row r="9" spans="1:12">
      <c r="A9" t="s">
        <v>12933</v>
      </c>
      <c r="B9" t="s">
        <v>5373</v>
      </c>
      <c r="C9" t="s">
        <v>12091</v>
      </c>
      <c r="D9">
        <v>0</v>
      </c>
      <c r="F9">
        <v>0</v>
      </c>
      <c r="G9" s="260">
        <v>51.1</v>
      </c>
      <c r="H9" s="256" t="s">
        <v>12934</v>
      </c>
      <c r="J9" t="s">
        <v>12093</v>
      </c>
      <c r="L9" s="256"/>
    </row>
    <row r="10" spans="1:12">
      <c r="A10" t="s">
        <v>12935</v>
      </c>
      <c r="B10" t="s">
        <v>5373</v>
      </c>
      <c r="C10" t="s">
        <v>12091</v>
      </c>
      <c r="D10">
        <v>0</v>
      </c>
      <c r="F10">
        <v>0</v>
      </c>
      <c r="G10" s="260">
        <v>51.1</v>
      </c>
      <c r="H10" s="256" t="s">
        <v>12936</v>
      </c>
      <c r="J10" t="s">
        <v>12093</v>
      </c>
      <c r="L10" s="256"/>
    </row>
    <row r="11" spans="1:12">
      <c r="A11" t="s">
        <v>12937</v>
      </c>
      <c r="B11" t="s">
        <v>5373</v>
      </c>
      <c r="C11" t="s">
        <v>12091</v>
      </c>
      <c r="D11">
        <v>0</v>
      </c>
      <c r="F11">
        <v>0</v>
      </c>
      <c r="G11" s="260">
        <v>51.1</v>
      </c>
      <c r="H11" s="256" t="s">
        <v>12938</v>
      </c>
      <c r="J11" t="s">
        <v>12093</v>
      </c>
      <c r="L11" s="256"/>
    </row>
    <row r="12" spans="1:12">
      <c r="A12" t="s">
        <v>12939</v>
      </c>
      <c r="B12" t="s">
        <v>5373</v>
      </c>
      <c r="C12" t="s">
        <v>12091</v>
      </c>
      <c r="D12">
        <v>0</v>
      </c>
      <c r="F12">
        <v>0</v>
      </c>
      <c r="G12" s="260">
        <v>51.1</v>
      </c>
      <c r="H12" s="256" t="s">
        <v>12940</v>
      </c>
      <c r="J12" t="s">
        <v>12093</v>
      </c>
      <c r="L12" s="256"/>
    </row>
    <row r="13" spans="1:12">
      <c r="A13" t="s">
        <v>12941</v>
      </c>
      <c r="B13" t="s">
        <v>5373</v>
      </c>
      <c r="C13" t="s">
        <v>12091</v>
      </c>
      <c r="D13">
        <v>0</v>
      </c>
      <c r="F13">
        <v>0</v>
      </c>
      <c r="G13" s="260">
        <v>50.3</v>
      </c>
      <c r="H13" s="256" t="s">
        <v>12942</v>
      </c>
      <c r="J13" t="s">
        <v>12093</v>
      </c>
      <c r="L13" s="256"/>
    </row>
    <row r="14" spans="1:12">
      <c r="A14" t="s">
        <v>12943</v>
      </c>
      <c r="B14" t="s">
        <v>5373</v>
      </c>
      <c r="C14" t="s">
        <v>12091</v>
      </c>
      <c r="D14">
        <v>0</v>
      </c>
      <c r="F14">
        <v>0</v>
      </c>
      <c r="G14" s="260">
        <v>50.3</v>
      </c>
      <c r="H14" s="256" t="s">
        <v>12944</v>
      </c>
      <c r="J14" t="s">
        <v>12093</v>
      </c>
      <c r="L14" s="256"/>
    </row>
    <row r="15" spans="1:12">
      <c r="A15" t="s">
        <v>12945</v>
      </c>
      <c r="B15" t="s">
        <v>3833</v>
      </c>
      <c r="C15" t="s">
        <v>12091</v>
      </c>
      <c r="D15">
        <v>0</v>
      </c>
      <c r="F15">
        <v>0</v>
      </c>
      <c r="G15" s="260"/>
      <c r="H15" s="6" t="s">
        <v>12946</v>
      </c>
    </row>
    <row r="16" spans="1:12">
      <c r="A16" t="s">
        <v>12947</v>
      </c>
      <c r="B16" t="s">
        <v>3833</v>
      </c>
      <c r="C16" t="s">
        <v>12091</v>
      </c>
      <c r="D16">
        <v>0</v>
      </c>
      <c r="E16">
        <v>20</v>
      </c>
      <c r="F16">
        <v>0</v>
      </c>
      <c r="G16" s="260">
        <v>52</v>
      </c>
      <c r="J16" t="s">
        <v>12093</v>
      </c>
    </row>
    <row r="17" spans="1:16">
      <c r="A17" t="s">
        <v>12948</v>
      </c>
      <c r="B17" t="s">
        <v>3833</v>
      </c>
      <c r="C17" t="s">
        <v>12104</v>
      </c>
      <c r="D17">
        <v>0</v>
      </c>
      <c r="E17">
        <v>29</v>
      </c>
      <c r="F17">
        <v>0</v>
      </c>
      <c r="G17" s="260">
        <v>46.5</v>
      </c>
      <c r="J17" t="s">
        <v>12093</v>
      </c>
    </row>
    <row r="18" spans="1:16">
      <c r="A18" t="s">
        <v>12949</v>
      </c>
      <c r="B18" t="s">
        <v>3833</v>
      </c>
      <c r="C18" t="s">
        <v>12104</v>
      </c>
      <c r="D18">
        <v>0</v>
      </c>
      <c r="E18">
        <v>35</v>
      </c>
      <c r="F18">
        <v>0</v>
      </c>
      <c r="G18" s="260">
        <v>50</v>
      </c>
      <c r="H18" t="s">
        <v>12950</v>
      </c>
      <c r="J18" t="s">
        <v>12093</v>
      </c>
      <c r="L18" t="s">
        <v>12951</v>
      </c>
      <c r="M18" t="s">
        <v>12952</v>
      </c>
      <c r="N18">
        <v>0</v>
      </c>
      <c r="O18" t="str">
        <f>M18</f>
        <v>"07211228_1350"</v>
      </c>
      <c r="P18">
        <f>N18</f>
        <v>0</v>
      </c>
    </row>
    <row r="19" spans="1:16">
      <c r="A19" t="s">
        <v>12953</v>
      </c>
      <c r="B19" t="s">
        <v>3833</v>
      </c>
      <c r="C19" t="s">
        <v>12104</v>
      </c>
      <c r="D19">
        <v>0</v>
      </c>
      <c r="E19">
        <v>24</v>
      </c>
      <c r="F19">
        <v>-2.02</v>
      </c>
      <c r="G19" s="260">
        <v>50</v>
      </c>
      <c r="H19" t="s">
        <v>12954</v>
      </c>
      <c r="J19" t="s">
        <v>12093</v>
      </c>
      <c r="L19" t="s">
        <v>12951</v>
      </c>
      <c r="M19" t="s">
        <v>12955</v>
      </c>
      <c r="N19">
        <v>10.050000000000001</v>
      </c>
      <c r="O19" t="str">
        <f>O18&amp;", "&amp;M19</f>
        <v>"07211228_1350", "07220105_1429"</v>
      </c>
      <c r="P19" t="str">
        <f>P18&amp;", "&amp;N19</f>
        <v>0, 10.05</v>
      </c>
    </row>
    <row r="20" spans="1:16">
      <c r="A20" t="s">
        <v>12956</v>
      </c>
      <c r="B20" t="s">
        <v>3833</v>
      </c>
      <c r="C20" t="s">
        <v>12104</v>
      </c>
      <c r="D20">
        <v>0</v>
      </c>
      <c r="E20">
        <v>36</v>
      </c>
      <c r="F20">
        <v>2.0099999999999998</v>
      </c>
      <c r="G20" s="260">
        <v>49.2</v>
      </c>
      <c r="H20" t="s">
        <v>12957</v>
      </c>
      <c r="J20" t="s">
        <v>12093</v>
      </c>
      <c r="L20" t="s">
        <v>12951</v>
      </c>
      <c r="M20" t="s">
        <v>12958</v>
      </c>
      <c r="N20">
        <v>20.010000000000002</v>
      </c>
      <c r="O20" t="str">
        <f>O19&amp;", "&amp;M20</f>
        <v>"07211228_1350", "07220105_1429", "07220114_1655"</v>
      </c>
      <c r="P20" t="str">
        <f>P19&amp;", "&amp;N20</f>
        <v>0, 10.05, 20.01</v>
      </c>
    </row>
    <row r="21" spans="1:16">
      <c r="A21" t="s">
        <v>12959</v>
      </c>
      <c r="B21" t="s">
        <v>3833</v>
      </c>
      <c r="C21" t="s">
        <v>12104</v>
      </c>
      <c r="D21">
        <v>0</v>
      </c>
      <c r="E21">
        <v>38</v>
      </c>
      <c r="F21">
        <v>10.050000000000001</v>
      </c>
      <c r="G21" s="260">
        <v>48.7</v>
      </c>
      <c r="H21" t="s">
        <v>12957</v>
      </c>
      <c r="J21" t="s">
        <v>12093</v>
      </c>
      <c r="L21" t="s">
        <v>12951</v>
      </c>
      <c r="M21" t="s">
        <v>12960</v>
      </c>
      <c r="N21">
        <v>30.03</v>
      </c>
      <c r="O21" t="str">
        <f>O20&amp;", "&amp;M21</f>
        <v>"07211228_1350", "07220105_1429", "07220114_1655", "07220117_1219"</v>
      </c>
      <c r="P21" t="str">
        <f>P20&amp;", "&amp;N21</f>
        <v>0, 10.05, 20.01, 30.03</v>
      </c>
    </row>
    <row r="22" spans="1:16">
      <c r="A22" t="s">
        <v>12961</v>
      </c>
      <c r="B22" t="s">
        <v>3833</v>
      </c>
      <c r="C22" t="s">
        <v>12104</v>
      </c>
      <c r="D22">
        <v>0</v>
      </c>
      <c r="E22">
        <v>36</v>
      </c>
      <c r="F22">
        <v>10.050000000000001</v>
      </c>
      <c r="G22" s="260">
        <v>49.1</v>
      </c>
      <c r="J22" t="s">
        <v>12093</v>
      </c>
      <c r="L22" t="s">
        <v>12951</v>
      </c>
    </row>
    <row r="23" spans="1:16">
      <c r="A23" t="s">
        <v>12962</v>
      </c>
      <c r="B23" t="s">
        <v>3833</v>
      </c>
      <c r="C23" t="s">
        <v>12104</v>
      </c>
      <c r="D23">
        <v>0</v>
      </c>
      <c r="E23">
        <v>39</v>
      </c>
      <c r="F23">
        <v>20.010000000000002</v>
      </c>
      <c r="G23" s="260">
        <v>47.5</v>
      </c>
      <c r="J23" t="s">
        <v>12093</v>
      </c>
      <c r="L23" t="s">
        <v>12951</v>
      </c>
    </row>
    <row r="24" spans="1:16">
      <c r="A24" t="s">
        <v>12963</v>
      </c>
      <c r="B24" t="s">
        <v>3833</v>
      </c>
      <c r="C24" t="s">
        <v>12104</v>
      </c>
      <c r="D24">
        <v>0</v>
      </c>
      <c r="E24">
        <v>40</v>
      </c>
      <c r="F24">
        <v>20.010000000000002</v>
      </c>
      <c r="G24" s="260">
        <v>41.5</v>
      </c>
      <c r="J24" t="s">
        <v>12093</v>
      </c>
      <c r="L24" t="s">
        <v>12951</v>
      </c>
    </row>
    <row r="25" spans="1:16">
      <c r="A25" t="s">
        <v>12964</v>
      </c>
      <c r="B25" t="s">
        <v>5373</v>
      </c>
      <c r="G25" s="260"/>
      <c r="J25" t="s">
        <v>12093</v>
      </c>
      <c r="M25">
        <v>0.48</v>
      </c>
      <c r="N25">
        <v>0.53</v>
      </c>
      <c r="O25">
        <v>2.2999999999999998</v>
      </c>
      <c r="P25">
        <v>3</v>
      </c>
    </row>
    <row r="26" spans="1:16">
      <c r="A26" t="s">
        <v>12965</v>
      </c>
      <c r="B26" t="s">
        <v>5373</v>
      </c>
      <c r="G26" s="260"/>
      <c r="J26" t="s">
        <v>12093</v>
      </c>
      <c r="M26">
        <v>0.48</v>
      </c>
      <c r="N26">
        <v>0.56999999999999995</v>
      </c>
      <c r="O26">
        <f>AVERAGE(M26:N26)/AVERAGE(M25:N25)*O25</f>
        <v>2.3910891089108905</v>
      </c>
      <c r="P26">
        <f>AVERAGE(M26:N26)/AVERAGE(M25:N25)*P25</f>
        <v>3.118811881188118</v>
      </c>
    </row>
    <row r="27" spans="1:16">
      <c r="A27" t="s">
        <v>12966</v>
      </c>
      <c r="B27" t="s">
        <v>5373</v>
      </c>
      <c r="J27" t="s">
        <v>12093</v>
      </c>
    </row>
    <row r="28" spans="1:16">
      <c r="A28" t="s">
        <v>12967</v>
      </c>
      <c r="B28" t="s">
        <v>5373</v>
      </c>
      <c r="J28" t="s">
        <v>12093</v>
      </c>
    </row>
    <row r="29" spans="1:16">
      <c r="A29" t="s">
        <v>12968</v>
      </c>
      <c r="B29" t="s">
        <v>5373</v>
      </c>
      <c r="J29" t="s">
        <v>12093</v>
      </c>
    </row>
    <row r="30" spans="1:16">
      <c r="A30" t="s">
        <v>12969</v>
      </c>
      <c r="B30" t="s">
        <v>5373</v>
      </c>
      <c r="J30" t="s">
        <v>12093</v>
      </c>
    </row>
    <row r="31" spans="1:16">
      <c r="A31" t="s">
        <v>12970</v>
      </c>
      <c r="B31" t="s">
        <v>5373</v>
      </c>
      <c r="J31" t="s">
        <v>12093</v>
      </c>
    </row>
    <row r="32" spans="1:16">
      <c r="A32" t="s">
        <v>12971</v>
      </c>
      <c r="B32" t="s">
        <v>5373</v>
      </c>
      <c r="J32" t="s">
        <v>12093</v>
      </c>
    </row>
    <row r="33" spans="1:12">
      <c r="A33" t="s">
        <v>12972</v>
      </c>
      <c r="B33" t="s">
        <v>5373</v>
      </c>
      <c r="J33" t="s">
        <v>12093</v>
      </c>
    </row>
    <row r="34" spans="1:12">
      <c r="A34" t="s">
        <v>12973</v>
      </c>
      <c r="B34" t="s">
        <v>5373</v>
      </c>
      <c r="J34" t="s">
        <v>12093</v>
      </c>
    </row>
    <row r="35" spans="1:12">
      <c r="A35" t="s">
        <v>12974</v>
      </c>
      <c r="B35" t="s">
        <v>5373</v>
      </c>
      <c r="J35" t="s">
        <v>12093</v>
      </c>
    </row>
    <row r="36" spans="1:12">
      <c r="A36" t="s">
        <v>12975</v>
      </c>
      <c r="B36" t="s">
        <v>5373</v>
      </c>
      <c r="J36" t="s">
        <v>12093</v>
      </c>
    </row>
    <row r="37" spans="1:12">
      <c r="A37" t="s">
        <v>12976</v>
      </c>
      <c r="B37" t="s">
        <v>5373</v>
      </c>
      <c r="J37" t="s">
        <v>12093</v>
      </c>
    </row>
    <row r="38" spans="1:12">
      <c r="A38" t="s">
        <v>12977</v>
      </c>
      <c r="B38" t="s">
        <v>5373</v>
      </c>
      <c r="J38" t="s">
        <v>12093</v>
      </c>
    </row>
    <row r="39" spans="1:12">
      <c r="A39" t="s">
        <v>12978</v>
      </c>
      <c r="B39" t="s">
        <v>5373</v>
      </c>
      <c r="J39" t="s">
        <v>12093</v>
      </c>
    </row>
    <row r="40" spans="1:12">
      <c r="A40" t="s">
        <v>12979</v>
      </c>
      <c r="B40" t="s">
        <v>5373</v>
      </c>
      <c r="J40" t="s">
        <v>12093</v>
      </c>
    </row>
    <row r="41" spans="1:12">
      <c r="A41" t="s">
        <v>12980</v>
      </c>
      <c r="B41" t="s">
        <v>3833</v>
      </c>
      <c r="C41" t="s">
        <v>12104</v>
      </c>
      <c r="D41">
        <v>0</v>
      </c>
      <c r="E41">
        <v>38</v>
      </c>
      <c r="F41">
        <v>20.010000000000002</v>
      </c>
      <c r="G41">
        <v>41.2</v>
      </c>
      <c r="J41" t="s">
        <v>12093</v>
      </c>
      <c r="L41" t="s">
        <v>12951</v>
      </c>
    </row>
    <row r="42" spans="1:12">
      <c r="A42" t="s">
        <v>12981</v>
      </c>
      <c r="B42" t="s">
        <v>3833</v>
      </c>
      <c r="C42" t="s">
        <v>12104</v>
      </c>
      <c r="D42">
        <v>0</v>
      </c>
      <c r="E42">
        <v>25</v>
      </c>
      <c r="F42">
        <v>30.03</v>
      </c>
      <c r="G42">
        <v>44.7</v>
      </c>
      <c r="J42" t="s">
        <v>12093</v>
      </c>
      <c r="L42" t="s">
        <v>12951</v>
      </c>
    </row>
    <row r="43" spans="1:12">
      <c r="A43" t="s">
        <v>12982</v>
      </c>
      <c r="B43" t="s">
        <v>3833</v>
      </c>
      <c r="C43" t="s">
        <v>12104</v>
      </c>
      <c r="D43">
        <v>0</v>
      </c>
      <c r="E43">
        <v>35</v>
      </c>
      <c r="F43">
        <v>30.03</v>
      </c>
      <c r="G43">
        <v>41.3</v>
      </c>
      <c r="J43" t="s">
        <v>12093</v>
      </c>
      <c r="L43" t="s">
        <v>12951</v>
      </c>
    </row>
    <row r="44" spans="1:12">
      <c r="A44" t="s">
        <v>12983</v>
      </c>
      <c r="B44" t="s">
        <v>3833</v>
      </c>
      <c r="C44" t="s">
        <v>12104</v>
      </c>
      <c r="D44">
        <v>0</v>
      </c>
      <c r="E44">
        <v>38</v>
      </c>
      <c r="F44">
        <v>39.99</v>
      </c>
      <c r="G44">
        <v>41.8</v>
      </c>
      <c r="H44" t="s">
        <v>12984</v>
      </c>
      <c r="J44" t="s">
        <v>12093</v>
      </c>
      <c r="L44" t="s">
        <v>12951</v>
      </c>
    </row>
    <row r="45" spans="1:12">
      <c r="A45" t="s">
        <v>12985</v>
      </c>
      <c r="B45" t="s">
        <v>3833</v>
      </c>
      <c r="C45" t="s">
        <v>12104</v>
      </c>
      <c r="D45">
        <v>0</v>
      </c>
      <c r="E45">
        <v>38</v>
      </c>
      <c r="F45">
        <v>39.99</v>
      </c>
      <c r="G45">
        <v>41.8</v>
      </c>
      <c r="H45" t="s">
        <v>12986</v>
      </c>
      <c r="J45" t="s">
        <v>12093</v>
      </c>
      <c r="L45" t="s">
        <v>12951</v>
      </c>
    </row>
    <row r="46" spans="1:12">
      <c r="A46" t="s">
        <v>12987</v>
      </c>
      <c r="B46" t="s">
        <v>3833</v>
      </c>
      <c r="C46" t="s">
        <v>12104</v>
      </c>
      <c r="D46">
        <v>0</v>
      </c>
      <c r="E46">
        <v>38</v>
      </c>
      <c r="F46">
        <v>30.03</v>
      </c>
      <c r="G46">
        <v>41.1</v>
      </c>
      <c r="J46" t="s">
        <v>12093</v>
      </c>
      <c r="L46" t="s">
        <v>12951</v>
      </c>
    </row>
    <row r="47" spans="1:12">
      <c r="A47" t="s">
        <v>12988</v>
      </c>
      <c r="B47" t="s">
        <v>3833</v>
      </c>
      <c r="C47" t="s">
        <v>12104</v>
      </c>
      <c r="D47">
        <v>0</v>
      </c>
      <c r="E47">
        <v>40</v>
      </c>
      <c r="F47">
        <v>20.010000000000002</v>
      </c>
      <c r="G47">
        <v>41.4</v>
      </c>
      <c r="J47" t="s">
        <v>12093</v>
      </c>
    </row>
    <row r="48" spans="1:12">
      <c r="A48" t="s">
        <v>12989</v>
      </c>
      <c r="B48" t="s">
        <v>3833</v>
      </c>
      <c r="C48" t="s">
        <v>12104</v>
      </c>
      <c r="D48">
        <v>0</v>
      </c>
      <c r="E48">
        <v>43</v>
      </c>
      <c r="F48">
        <v>10.050000000000001</v>
      </c>
      <c r="G48">
        <v>41.2</v>
      </c>
      <c r="J48" t="s">
        <v>12093</v>
      </c>
    </row>
    <row r="49" spans="1:10">
      <c r="A49" t="s">
        <v>12990</v>
      </c>
      <c r="B49" t="s">
        <v>3833</v>
      </c>
      <c r="C49" t="s">
        <v>12104</v>
      </c>
      <c r="D49">
        <v>0</v>
      </c>
      <c r="E49">
        <v>40</v>
      </c>
      <c r="F49">
        <v>0.03</v>
      </c>
      <c r="G49">
        <v>40.9</v>
      </c>
      <c r="J49" t="s">
        <v>12093</v>
      </c>
    </row>
    <row r="50" spans="1:10">
      <c r="A50" t="s">
        <v>12991</v>
      </c>
      <c r="B50" t="s">
        <v>2387</v>
      </c>
    </row>
    <row r="51" spans="1:10">
      <c r="A51" t="s">
        <v>12992</v>
      </c>
      <c r="B51" t="s">
        <v>12993</v>
      </c>
      <c r="C51" t="s">
        <v>12104</v>
      </c>
      <c r="D51">
        <v>20</v>
      </c>
      <c r="E51">
        <v>16</v>
      </c>
      <c r="F51">
        <v>0.03</v>
      </c>
      <c r="G51">
        <v>40.799999999999997</v>
      </c>
      <c r="H51" t="s">
        <v>12994</v>
      </c>
      <c r="J51" t="s">
        <v>12093</v>
      </c>
    </row>
    <row r="52" spans="1:10">
      <c r="A52" t="s">
        <v>12995</v>
      </c>
      <c r="B52" t="s">
        <v>12993</v>
      </c>
      <c r="C52" t="s">
        <v>12104</v>
      </c>
      <c r="D52">
        <v>98.15</v>
      </c>
      <c r="E52">
        <v>25</v>
      </c>
      <c r="F52">
        <v>0.03</v>
      </c>
      <c r="G52">
        <v>41</v>
      </c>
      <c r="H52" t="s">
        <v>12994</v>
      </c>
      <c r="J52" t="s">
        <v>12093</v>
      </c>
    </row>
    <row r="53" spans="1:10">
      <c r="A53" t="s">
        <v>12996</v>
      </c>
      <c r="B53" t="s">
        <v>12993</v>
      </c>
      <c r="C53" t="s">
        <v>12104</v>
      </c>
      <c r="D53">
        <v>149.1</v>
      </c>
      <c r="E53">
        <v>32</v>
      </c>
      <c r="F53">
        <v>0.03</v>
      </c>
      <c r="G53">
        <v>41</v>
      </c>
      <c r="H53" t="s">
        <v>12994</v>
      </c>
      <c r="J53" t="s">
        <v>12093</v>
      </c>
    </row>
    <row r="54" spans="1:10">
      <c r="A54" t="s">
        <v>12997</v>
      </c>
      <c r="B54" t="s">
        <v>12993</v>
      </c>
      <c r="C54" t="s">
        <v>12104</v>
      </c>
      <c r="D54">
        <v>98.1</v>
      </c>
      <c r="E54">
        <v>39</v>
      </c>
      <c r="F54">
        <v>0.03</v>
      </c>
      <c r="G54">
        <v>40.799999999999997</v>
      </c>
      <c r="J54" t="s">
        <v>12093</v>
      </c>
    </row>
    <row r="55" spans="1:10">
      <c r="A55" t="s">
        <v>12998</v>
      </c>
      <c r="B55" t="s">
        <v>12993</v>
      </c>
      <c r="C55" t="s">
        <v>12104</v>
      </c>
      <c r="D55">
        <v>98.1</v>
      </c>
      <c r="E55">
        <v>33</v>
      </c>
      <c r="F55">
        <v>30.03</v>
      </c>
      <c r="G55">
        <v>41</v>
      </c>
      <c r="J55" t="s">
        <v>12093</v>
      </c>
    </row>
    <row r="56" spans="1:10">
      <c r="A56" t="s">
        <v>12999</v>
      </c>
      <c r="B56" t="s">
        <v>12993</v>
      </c>
      <c r="C56" t="s">
        <v>12104</v>
      </c>
      <c r="D56">
        <v>-98.1</v>
      </c>
      <c r="E56">
        <v>63</v>
      </c>
      <c r="F56">
        <v>30.03</v>
      </c>
      <c r="G56">
        <v>41</v>
      </c>
      <c r="J56" t="s">
        <v>12093</v>
      </c>
    </row>
    <row r="57" spans="1:10">
      <c r="A57" t="s">
        <v>13000</v>
      </c>
      <c r="B57" t="s">
        <v>13001</v>
      </c>
      <c r="C57" t="s">
        <v>12104</v>
      </c>
      <c r="D57">
        <v>98.4</v>
      </c>
      <c r="E57">
        <v>40</v>
      </c>
      <c r="F57">
        <v>30.03</v>
      </c>
      <c r="G57">
        <v>38.4</v>
      </c>
      <c r="J57" t="s">
        <v>12093</v>
      </c>
    </row>
    <row r="58" spans="1:10">
      <c r="A58" t="s">
        <v>13002</v>
      </c>
      <c r="B58" t="s">
        <v>13001</v>
      </c>
      <c r="C58" t="s">
        <v>12104</v>
      </c>
      <c r="D58">
        <v>98.1</v>
      </c>
      <c r="E58">
        <v>41</v>
      </c>
      <c r="F58">
        <v>0.03</v>
      </c>
      <c r="G58">
        <v>38.5</v>
      </c>
      <c r="J58" t="s">
        <v>12093</v>
      </c>
    </row>
    <row r="59" spans="1:10">
      <c r="A59" t="s">
        <v>13003</v>
      </c>
      <c r="B59" t="s">
        <v>13001</v>
      </c>
      <c r="C59" t="s">
        <v>12104</v>
      </c>
      <c r="D59">
        <v>98.4</v>
      </c>
      <c r="E59">
        <v>43</v>
      </c>
      <c r="F59">
        <v>0.03</v>
      </c>
      <c r="G59">
        <v>40.200000000000003</v>
      </c>
      <c r="J59" t="s">
        <v>12093</v>
      </c>
    </row>
    <row r="60" spans="1:10">
      <c r="A60" t="s">
        <v>13004</v>
      </c>
      <c r="B60" t="s">
        <v>13001</v>
      </c>
      <c r="C60" t="s">
        <v>12104</v>
      </c>
      <c r="D60">
        <v>98.6</v>
      </c>
      <c r="E60">
        <v>42</v>
      </c>
      <c r="F60">
        <v>0.03</v>
      </c>
      <c r="G60" t="s">
        <v>13005</v>
      </c>
      <c r="H60" t="s">
        <v>13006</v>
      </c>
      <c r="J60" t="s">
        <v>12093</v>
      </c>
    </row>
    <row r="61" spans="1:10">
      <c r="A61" t="s">
        <v>13007</v>
      </c>
      <c r="B61" t="s">
        <v>13001</v>
      </c>
      <c r="C61" t="s">
        <v>12104</v>
      </c>
      <c r="D61">
        <v>98.5</v>
      </c>
      <c r="E61">
        <v>42</v>
      </c>
      <c r="F61">
        <v>0.03</v>
      </c>
      <c r="G61">
        <v>42</v>
      </c>
      <c r="H61" t="s">
        <v>13008</v>
      </c>
      <c r="J61" t="s">
        <v>12093</v>
      </c>
    </row>
    <row r="62" spans="1:10">
      <c r="A62" t="s">
        <v>13009</v>
      </c>
      <c r="B62" t="s">
        <v>13001</v>
      </c>
      <c r="C62" t="s">
        <v>12104</v>
      </c>
      <c r="D62">
        <v>98.6</v>
      </c>
      <c r="E62">
        <v>57</v>
      </c>
      <c r="F62">
        <v>0.03</v>
      </c>
      <c r="G62">
        <v>41.3</v>
      </c>
      <c r="H62" t="s">
        <v>13010</v>
      </c>
      <c r="J62" t="s">
        <v>12093</v>
      </c>
    </row>
  </sheetData>
  <sortState xmlns:xlrd2="http://schemas.microsoft.com/office/spreadsheetml/2017/richdata2" ref="M18:N43">
    <sortCondition ref="M18:M43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212C8-09BC-408C-AC55-4BED2B0AEA96}">
  <sheetPr filterMode="1"/>
  <dimension ref="A1:AN237"/>
  <sheetViews>
    <sheetView workbookViewId="0">
      <pane xSplit="1" ySplit="1" topLeftCell="E38" activePane="bottomRight" state="frozen"/>
      <selection pane="bottomRight" activeCell="I59" sqref="I59"/>
      <selection pane="bottomLeft"/>
      <selection pane="topRight"/>
    </sheetView>
  </sheetViews>
  <sheetFormatPr defaultRowHeight="15"/>
  <cols>
    <col min="1" max="1" width="15.42578125" bestFit="1" customWidth="1"/>
    <col min="2" max="2" width="6.5703125" customWidth="1"/>
    <col min="3" max="3" width="29.5703125" customWidth="1"/>
    <col min="4" max="4" width="6.7109375" customWidth="1"/>
    <col min="5" max="5" width="13.85546875" customWidth="1"/>
    <col min="6" max="6" width="11.7109375" customWidth="1"/>
    <col min="7" max="7" width="9.140625" customWidth="1"/>
    <col min="8" max="8" width="45.28515625" customWidth="1"/>
    <col min="9" max="9" width="66.42578125" customWidth="1"/>
    <col min="10" max="16" width="9.140625" customWidth="1"/>
    <col min="17" max="17" width="21.7109375" customWidth="1"/>
    <col min="18" max="18" width="6.5703125" bestFit="1" customWidth="1"/>
    <col min="19" max="19" width="9.42578125" bestFit="1" customWidth="1"/>
    <col min="26" max="26" width="7.7109375" customWidth="1"/>
    <col min="27" max="27" width="8.85546875" customWidth="1"/>
    <col min="28" max="28" width="10" customWidth="1"/>
    <col min="29" max="29" width="8" customWidth="1"/>
    <col min="30" max="30" width="8.7109375" customWidth="1"/>
    <col min="31" max="31" width="10.7109375" customWidth="1"/>
    <col min="32" max="32" width="12.42578125" customWidth="1"/>
    <col min="35" max="36" width="9.28515625" bestFit="1" customWidth="1"/>
  </cols>
  <sheetData>
    <row r="1" spans="1:40" s="269" customFormat="1" ht="43.5">
      <c r="A1" s="27" t="s">
        <v>0</v>
      </c>
      <c r="B1" s="60" t="s">
        <v>2190</v>
      </c>
      <c r="C1" s="60" t="s">
        <v>12087</v>
      </c>
      <c r="D1" s="60" t="s">
        <v>13011</v>
      </c>
      <c r="E1" s="60" t="s">
        <v>12353</v>
      </c>
      <c r="F1" s="60" t="s">
        <v>13012</v>
      </c>
      <c r="G1" s="60" t="s">
        <v>13013</v>
      </c>
      <c r="H1" s="60" t="s">
        <v>13</v>
      </c>
      <c r="I1" s="60" t="s">
        <v>12920</v>
      </c>
      <c r="J1" s="60" t="s">
        <v>12088</v>
      </c>
      <c r="K1" s="60" t="s">
        <v>12089</v>
      </c>
      <c r="R1" s="269" t="s">
        <v>13014</v>
      </c>
      <c r="S1" s="270" t="s">
        <v>13015</v>
      </c>
      <c r="T1" s="270" t="s">
        <v>13016</v>
      </c>
      <c r="W1" s="269" t="s">
        <v>12951</v>
      </c>
      <c r="X1" s="269" t="s">
        <v>13017</v>
      </c>
      <c r="Z1" s="269" t="s">
        <v>13018</v>
      </c>
      <c r="AA1" s="269" t="s">
        <v>13019</v>
      </c>
      <c r="AB1" s="269" t="s">
        <v>13020</v>
      </c>
      <c r="AC1" s="269" t="s">
        <v>13021</v>
      </c>
      <c r="AD1" s="269" t="s">
        <v>13022</v>
      </c>
      <c r="AE1" s="269" t="s">
        <v>13023</v>
      </c>
      <c r="AF1" s="269" t="s">
        <v>13024</v>
      </c>
      <c r="AI1" s="269" t="s">
        <v>13025</v>
      </c>
      <c r="AJ1" s="269" t="s">
        <v>13026</v>
      </c>
      <c r="AK1" s="269" t="s">
        <v>13027</v>
      </c>
      <c r="AL1" s="269" t="s">
        <v>13028</v>
      </c>
      <c r="AM1" s="269" t="s">
        <v>13029</v>
      </c>
      <c r="AN1" s="269" t="s">
        <v>13030</v>
      </c>
    </row>
    <row r="2" spans="1:40" hidden="1">
      <c r="A2" t="s">
        <v>13031</v>
      </c>
      <c r="B2" t="s">
        <v>13032</v>
      </c>
      <c r="C2" t="s">
        <v>13033</v>
      </c>
      <c r="D2">
        <v>0</v>
      </c>
      <c r="E2" t="s">
        <v>13034</v>
      </c>
      <c r="F2" t="s">
        <v>13035</v>
      </c>
      <c r="G2">
        <v>71</v>
      </c>
      <c r="J2" t="s">
        <v>12093</v>
      </c>
      <c r="L2">
        <f>SUM(G2:G8)/60</f>
        <v>3.3666666666666667</v>
      </c>
      <c r="M2" s="261"/>
    </row>
    <row r="3" spans="1:40" hidden="1">
      <c r="A3" s="274" t="s">
        <v>13036</v>
      </c>
      <c r="B3" t="s">
        <v>191</v>
      </c>
      <c r="E3" t="s">
        <v>13037</v>
      </c>
      <c r="H3" t="s">
        <v>13038</v>
      </c>
    </row>
    <row r="4" spans="1:40" hidden="1">
      <c r="A4" s="274" t="s">
        <v>13039</v>
      </c>
      <c r="B4" t="s">
        <v>191</v>
      </c>
      <c r="E4" t="s">
        <v>13037</v>
      </c>
      <c r="H4" t="s">
        <v>13038</v>
      </c>
    </row>
    <row r="5" spans="1:40" hidden="1">
      <c r="A5" s="274" t="s">
        <v>13040</v>
      </c>
      <c r="B5" t="s">
        <v>191</v>
      </c>
      <c r="E5" t="s">
        <v>13037</v>
      </c>
      <c r="H5" t="s">
        <v>13038</v>
      </c>
    </row>
    <row r="6" spans="1:40" hidden="1">
      <c r="A6" t="s">
        <v>13041</v>
      </c>
      <c r="B6" t="s">
        <v>191</v>
      </c>
      <c r="E6" t="s">
        <v>13037</v>
      </c>
      <c r="H6" t="s">
        <v>13038</v>
      </c>
    </row>
    <row r="7" spans="1:40" hidden="1">
      <c r="A7" t="s">
        <v>13042</v>
      </c>
      <c r="B7" t="s">
        <v>13032</v>
      </c>
      <c r="C7" t="s">
        <v>13033</v>
      </c>
      <c r="D7">
        <v>0</v>
      </c>
      <c r="E7" t="s">
        <v>13034</v>
      </c>
      <c r="F7" t="s">
        <v>13043</v>
      </c>
      <c r="G7">
        <v>63</v>
      </c>
      <c r="J7" t="s">
        <v>12093</v>
      </c>
      <c r="M7" s="261"/>
    </row>
    <row r="8" spans="1:40" hidden="1">
      <c r="A8" t="s">
        <v>13044</v>
      </c>
      <c r="B8" t="s">
        <v>13032</v>
      </c>
      <c r="C8" t="s">
        <v>13033</v>
      </c>
      <c r="D8">
        <v>0</v>
      </c>
      <c r="E8" t="s">
        <v>13034</v>
      </c>
      <c r="F8" t="s">
        <v>13045</v>
      </c>
      <c r="G8">
        <v>68</v>
      </c>
      <c r="J8" t="s">
        <v>12093</v>
      </c>
      <c r="M8" s="261"/>
    </row>
    <row r="9" spans="1:40" hidden="1">
      <c r="A9" t="s">
        <v>13046</v>
      </c>
      <c r="B9" t="s">
        <v>13001</v>
      </c>
      <c r="C9" t="s">
        <v>13033</v>
      </c>
      <c r="D9">
        <v>99.8</v>
      </c>
      <c r="E9" t="s">
        <v>13047</v>
      </c>
      <c r="F9" t="s">
        <v>13045</v>
      </c>
      <c r="G9">
        <v>51</v>
      </c>
      <c r="H9" s="280" t="s">
        <v>13048</v>
      </c>
      <c r="J9" t="s">
        <v>12093</v>
      </c>
      <c r="M9" s="261"/>
      <c r="S9">
        <v>-9.2999999999999999E-2</v>
      </c>
      <c r="T9">
        <v>383</v>
      </c>
      <c r="W9">
        <v>2693</v>
      </c>
      <c r="X9">
        <v>104</v>
      </c>
    </row>
    <row r="10" spans="1:40" hidden="1">
      <c r="A10" t="s">
        <v>13049</v>
      </c>
      <c r="B10" t="s">
        <v>13001</v>
      </c>
      <c r="C10" t="s">
        <v>13033</v>
      </c>
      <c r="D10">
        <v>22.2</v>
      </c>
      <c r="E10" t="s">
        <v>13047</v>
      </c>
      <c r="F10" t="s">
        <v>13045</v>
      </c>
      <c r="G10">
        <v>68</v>
      </c>
      <c r="J10" t="s">
        <v>12093</v>
      </c>
      <c r="M10" s="261"/>
      <c r="S10">
        <v>-8.6999999999999994E-2</v>
      </c>
      <c r="T10">
        <v>357</v>
      </c>
      <c r="W10">
        <v>96421</v>
      </c>
      <c r="X10">
        <v>4342</v>
      </c>
    </row>
    <row r="11" spans="1:40" hidden="1">
      <c r="A11" t="s">
        <v>13050</v>
      </c>
      <c r="B11" t="s">
        <v>13001</v>
      </c>
      <c r="C11" t="s">
        <v>13033</v>
      </c>
      <c r="D11">
        <v>0</v>
      </c>
      <c r="E11" t="s">
        <v>13047</v>
      </c>
      <c r="F11" t="s">
        <v>13045</v>
      </c>
      <c r="G11">
        <v>40</v>
      </c>
      <c r="I11" t="s">
        <v>13051</v>
      </c>
      <c r="J11" t="s">
        <v>12093</v>
      </c>
      <c r="M11" s="261"/>
      <c r="AI11" s="39">
        <v>77300000</v>
      </c>
      <c r="AJ11" s="39">
        <v>14400000000000</v>
      </c>
      <c r="AK11">
        <v>0.107</v>
      </c>
      <c r="AL11">
        <v>0.92400000000000004</v>
      </c>
      <c r="AM11">
        <v>1.1599999999999999</v>
      </c>
      <c r="AN11">
        <v>5.53</v>
      </c>
    </row>
    <row r="12" spans="1:40" hidden="1">
      <c r="A12" t="s">
        <v>13052</v>
      </c>
      <c r="B12" t="s">
        <v>13001</v>
      </c>
      <c r="C12" t="s">
        <v>13033</v>
      </c>
      <c r="D12">
        <v>-98.4</v>
      </c>
      <c r="E12" t="s">
        <v>13047</v>
      </c>
      <c r="F12" t="s">
        <v>13045</v>
      </c>
      <c r="G12">
        <v>61</v>
      </c>
      <c r="I12">
        <v>4.99</v>
      </c>
      <c r="J12" t="s">
        <v>12093</v>
      </c>
      <c r="M12" s="261"/>
      <c r="S12">
        <v>-8.8999999999999996E-2</v>
      </c>
      <c r="T12">
        <v>384</v>
      </c>
      <c r="W12">
        <v>349</v>
      </c>
      <c r="X12">
        <v>9</v>
      </c>
    </row>
    <row r="13" spans="1:40" hidden="1">
      <c r="A13" t="s">
        <v>13053</v>
      </c>
      <c r="B13" t="s">
        <v>13001</v>
      </c>
      <c r="C13" t="s">
        <v>13033</v>
      </c>
      <c r="D13">
        <v>-79</v>
      </c>
      <c r="E13" t="s">
        <v>13047</v>
      </c>
      <c r="F13" t="s">
        <v>13045</v>
      </c>
      <c r="G13">
        <v>50</v>
      </c>
      <c r="I13">
        <v>5.41</v>
      </c>
      <c r="J13" t="s">
        <v>12093</v>
      </c>
      <c r="M13" s="261"/>
      <c r="S13">
        <v>-0.1</v>
      </c>
      <c r="T13">
        <v>420</v>
      </c>
      <c r="W13">
        <v>414</v>
      </c>
      <c r="X13">
        <v>14</v>
      </c>
    </row>
    <row r="14" spans="1:40" hidden="1">
      <c r="A14" t="s">
        <v>13054</v>
      </c>
      <c r="B14" t="s">
        <v>13001</v>
      </c>
      <c r="C14" t="s">
        <v>13033</v>
      </c>
      <c r="D14">
        <v>-119.6</v>
      </c>
      <c r="E14" t="s">
        <v>13047</v>
      </c>
      <c r="F14" t="s">
        <v>13045</v>
      </c>
      <c r="G14">
        <v>57</v>
      </c>
      <c r="I14">
        <v>4.3899999999999997</v>
      </c>
      <c r="J14" t="s">
        <v>12093</v>
      </c>
      <c r="S14">
        <v>-0.11</v>
      </c>
      <c r="T14">
        <v>460</v>
      </c>
      <c r="W14">
        <v>386</v>
      </c>
      <c r="X14">
        <v>10.7</v>
      </c>
    </row>
    <row r="15" spans="1:40" hidden="1">
      <c r="A15" t="s">
        <v>13055</v>
      </c>
      <c r="B15" t="s">
        <v>13001</v>
      </c>
      <c r="C15" t="s">
        <v>13033</v>
      </c>
      <c r="D15">
        <v>-140.5</v>
      </c>
      <c r="E15" t="s">
        <v>13047</v>
      </c>
      <c r="F15" t="s">
        <v>13045</v>
      </c>
      <c r="G15">
        <v>57</v>
      </c>
      <c r="I15">
        <v>3.66</v>
      </c>
      <c r="J15" t="s">
        <v>12093</v>
      </c>
      <c r="S15">
        <v>-9.2999999999999999E-2</v>
      </c>
      <c r="T15">
        <v>400</v>
      </c>
      <c r="W15" t="s">
        <v>13056</v>
      </c>
    </row>
    <row r="16" spans="1:40" hidden="1">
      <c r="A16" s="256" t="s">
        <v>13057</v>
      </c>
      <c r="B16" t="s">
        <v>13001</v>
      </c>
      <c r="C16" t="s">
        <v>13033</v>
      </c>
      <c r="D16">
        <v>-160.80000000000001</v>
      </c>
      <c r="E16" t="s">
        <v>13047</v>
      </c>
      <c r="F16" t="s">
        <v>13045</v>
      </c>
      <c r="G16">
        <v>60</v>
      </c>
      <c r="I16">
        <v>3.34</v>
      </c>
      <c r="J16" t="s">
        <v>12093</v>
      </c>
      <c r="S16">
        <v>-7.2999999999999995E-2</v>
      </c>
      <c r="T16">
        <v>352</v>
      </c>
      <c r="W16" t="s">
        <v>13056</v>
      </c>
    </row>
    <row r="17" spans="1:40" hidden="1">
      <c r="A17" s="256" t="s">
        <v>13058</v>
      </c>
      <c r="B17" t="s">
        <v>13001</v>
      </c>
      <c r="C17" t="s">
        <v>13033</v>
      </c>
      <c r="D17">
        <v>-180.5</v>
      </c>
      <c r="E17" t="s">
        <v>13047</v>
      </c>
      <c r="F17" t="s">
        <v>13045</v>
      </c>
      <c r="G17">
        <v>56</v>
      </c>
      <c r="H17" t="s">
        <v>13059</v>
      </c>
      <c r="I17">
        <v>3.8</v>
      </c>
      <c r="J17" t="s">
        <v>12093</v>
      </c>
      <c r="S17">
        <v>-0.107</v>
      </c>
      <c r="T17">
        <v>433</v>
      </c>
      <c r="W17" t="s">
        <v>13056</v>
      </c>
    </row>
    <row r="18" spans="1:40" hidden="1">
      <c r="A18" s="256" t="s">
        <v>13060</v>
      </c>
      <c r="B18" t="s">
        <v>13001</v>
      </c>
      <c r="C18" t="s">
        <v>13033</v>
      </c>
      <c r="D18">
        <v>-200.8</v>
      </c>
      <c r="E18" t="s">
        <v>13047</v>
      </c>
      <c r="F18" t="s">
        <v>13045</v>
      </c>
      <c r="G18">
        <v>53</v>
      </c>
      <c r="I18" t="s">
        <v>13061</v>
      </c>
      <c r="J18" t="s">
        <v>12093</v>
      </c>
      <c r="S18">
        <v>-9.5000000000000001E-2</v>
      </c>
      <c r="T18">
        <v>403</v>
      </c>
      <c r="W18" t="s">
        <v>13056</v>
      </c>
    </row>
    <row r="19" spans="1:40" hidden="1">
      <c r="A19" s="256" t="s">
        <v>13062</v>
      </c>
      <c r="B19" t="s">
        <v>13001</v>
      </c>
      <c r="C19" t="s">
        <v>13033</v>
      </c>
      <c r="D19">
        <v>-221.1</v>
      </c>
      <c r="E19" t="s">
        <v>13047</v>
      </c>
      <c r="F19" t="s">
        <v>13045</v>
      </c>
      <c r="G19">
        <v>58</v>
      </c>
      <c r="I19" t="s">
        <v>13063</v>
      </c>
      <c r="J19" t="s">
        <v>12093</v>
      </c>
      <c r="S19">
        <v>-0.108</v>
      </c>
      <c r="T19">
        <v>447</v>
      </c>
    </row>
    <row r="20" spans="1:40" hidden="1">
      <c r="A20" s="256" t="s">
        <v>13064</v>
      </c>
      <c r="B20" t="s">
        <v>13001</v>
      </c>
      <c r="C20" t="s">
        <v>13033</v>
      </c>
      <c r="D20">
        <v>-180.6</v>
      </c>
      <c r="E20" t="s">
        <v>13047</v>
      </c>
      <c r="F20" t="s">
        <v>13045</v>
      </c>
      <c r="G20">
        <v>54</v>
      </c>
      <c r="I20" t="s">
        <v>13065</v>
      </c>
      <c r="J20" t="s">
        <v>12093</v>
      </c>
      <c r="S20">
        <v>-9.5000000000000001E-2</v>
      </c>
      <c r="T20">
        <v>430</v>
      </c>
    </row>
    <row r="21" spans="1:40" hidden="1">
      <c r="A21" s="256" t="s">
        <v>13066</v>
      </c>
      <c r="B21" t="s">
        <v>13001</v>
      </c>
      <c r="C21" t="s">
        <v>13033</v>
      </c>
      <c r="D21">
        <v>-238.3</v>
      </c>
      <c r="E21" t="s">
        <v>13047</v>
      </c>
      <c r="F21" t="s">
        <v>13045</v>
      </c>
      <c r="G21">
        <v>57</v>
      </c>
      <c r="I21" t="s">
        <v>13067</v>
      </c>
      <c r="J21" t="s">
        <v>12093</v>
      </c>
      <c r="S21">
        <v>-9.4E-2</v>
      </c>
      <c r="T21">
        <v>461</v>
      </c>
    </row>
    <row r="22" spans="1:40" hidden="1">
      <c r="A22" t="s">
        <v>13068</v>
      </c>
      <c r="B22" t="s">
        <v>13001</v>
      </c>
      <c r="C22" t="s">
        <v>13033</v>
      </c>
      <c r="D22">
        <v>0</v>
      </c>
      <c r="E22" t="s">
        <v>13047</v>
      </c>
      <c r="F22" t="s">
        <v>13045</v>
      </c>
      <c r="G22">
        <v>63</v>
      </c>
      <c r="H22" t="s">
        <v>13069</v>
      </c>
      <c r="J22" t="s">
        <v>12093</v>
      </c>
      <c r="S22" t="s">
        <v>13070</v>
      </c>
    </row>
    <row r="23" spans="1:40" hidden="1">
      <c r="A23" t="s">
        <v>13071</v>
      </c>
      <c r="B23" t="s">
        <v>13001</v>
      </c>
      <c r="C23" t="s">
        <v>13033</v>
      </c>
      <c r="D23">
        <v>0</v>
      </c>
      <c r="E23" t="s">
        <v>13047</v>
      </c>
      <c r="F23" t="s">
        <v>13045</v>
      </c>
      <c r="G23">
        <v>62</v>
      </c>
      <c r="J23" t="s">
        <v>12093</v>
      </c>
      <c r="S23" t="s">
        <v>13070</v>
      </c>
      <c r="AI23" t="s">
        <v>13072</v>
      </c>
    </row>
    <row r="24" spans="1:40" hidden="1">
      <c r="A24" t="s">
        <v>13073</v>
      </c>
      <c r="B24" t="s">
        <v>13001</v>
      </c>
      <c r="C24" t="s">
        <v>13033</v>
      </c>
      <c r="D24">
        <v>-195.6</v>
      </c>
      <c r="E24" t="s">
        <v>13047</v>
      </c>
      <c r="F24" t="s">
        <v>13045</v>
      </c>
      <c r="G24">
        <v>67</v>
      </c>
      <c r="J24" t="s">
        <v>12093</v>
      </c>
      <c r="S24">
        <v>-9.8000000000000004E-2</v>
      </c>
      <c r="T24">
        <v>518</v>
      </c>
    </row>
    <row r="25" spans="1:40" hidden="1">
      <c r="A25" t="s">
        <v>13074</v>
      </c>
      <c r="B25" t="s">
        <v>13001</v>
      </c>
      <c r="C25" t="s">
        <v>13033</v>
      </c>
      <c r="D25">
        <v>0</v>
      </c>
      <c r="E25" t="s">
        <v>13047</v>
      </c>
      <c r="F25" t="s">
        <v>13045</v>
      </c>
      <c r="G25">
        <v>50</v>
      </c>
      <c r="J25" t="s">
        <v>12093</v>
      </c>
      <c r="S25" t="s">
        <v>13070</v>
      </c>
      <c r="AI25" s="39">
        <v>79200000</v>
      </c>
      <c r="AJ25" s="39">
        <v>44200000000000</v>
      </c>
      <c r="AK25">
        <v>0.223</v>
      </c>
      <c r="AL25">
        <v>0.996</v>
      </c>
      <c r="AM25">
        <v>1.43</v>
      </c>
      <c r="AN25">
        <v>3.65</v>
      </c>
    </row>
    <row r="26" spans="1:40" hidden="1">
      <c r="A26" t="s">
        <v>13075</v>
      </c>
      <c r="B26" t="s">
        <v>13001</v>
      </c>
      <c r="C26" t="s">
        <v>13033</v>
      </c>
      <c r="D26">
        <v>-3.8</v>
      </c>
      <c r="E26" t="s">
        <v>13047</v>
      </c>
      <c r="F26" t="s">
        <v>13045</v>
      </c>
      <c r="G26">
        <v>46</v>
      </c>
      <c r="J26" t="s">
        <v>12093</v>
      </c>
      <c r="S26" t="s">
        <v>13070</v>
      </c>
    </row>
    <row r="27" spans="1:40" hidden="1">
      <c r="A27" t="s">
        <v>13076</v>
      </c>
      <c r="B27" t="s">
        <v>13001</v>
      </c>
      <c r="C27" t="s">
        <v>13077</v>
      </c>
      <c r="D27">
        <v>0</v>
      </c>
      <c r="E27" t="s">
        <v>13047</v>
      </c>
      <c r="F27" t="s">
        <v>13045</v>
      </c>
      <c r="G27">
        <v>66</v>
      </c>
      <c r="J27" t="s">
        <v>12093</v>
      </c>
      <c r="S27" t="s">
        <v>13070</v>
      </c>
      <c r="AI27" t="s">
        <v>13072</v>
      </c>
    </row>
    <row r="28" spans="1:40" hidden="1">
      <c r="A28" t="s">
        <v>13078</v>
      </c>
      <c r="B28" t="s">
        <v>13001</v>
      </c>
      <c r="C28" t="s">
        <v>13079</v>
      </c>
      <c r="D28">
        <v>0</v>
      </c>
      <c r="E28" t="s">
        <v>13047</v>
      </c>
      <c r="F28" t="s">
        <v>13045</v>
      </c>
      <c r="G28">
        <v>78</v>
      </c>
      <c r="H28" t="s">
        <v>13080</v>
      </c>
      <c r="J28" t="s">
        <v>12093</v>
      </c>
      <c r="S28" t="s">
        <v>13070</v>
      </c>
      <c r="AI28" t="s">
        <v>13072</v>
      </c>
    </row>
    <row r="29" spans="1:40" hidden="1">
      <c r="A29" t="s">
        <v>13081</v>
      </c>
      <c r="B29" t="s">
        <v>13001</v>
      </c>
      <c r="C29" t="s">
        <v>13079</v>
      </c>
      <c r="D29">
        <v>0</v>
      </c>
      <c r="E29" t="s">
        <v>13047</v>
      </c>
      <c r="F29" t="s">
        <v>13045</v>
      </c>
      <c r="G29">
        <v>76</v>
      </c>
      <c r="H29" t="s">
        <v>13082</v>
      </c>
      <c r="J29" t="s">
        <v>12093</v>
      </c>
      <c r="S29" t="s">
        <v>13070</v>
      </c>
      <c r="AI29" t="s">
        <v>13072</v>
      </c>
    </row>
    <row r="30" spans="1:40" hidden="1">
      <c r="A30" t="s">
        <v>13083</v>
      </c>
      <c r="B30" t="s">
        <v>13001</v>
      </c>
      <c r="C30" t="s">
        <v>13084</v>
      </c>
      <c r="D30">
        <v>0</v>
      </c>
      <c r="E30" t="s">
        <v>13047</v>
      </c>
      <c r="F30" t="s">
        <v>13045</v>
      </c>
      <c r="G30">
        <v>24</v>
      </c>
      <c r="H30" t="s">
        <v>13085</v>
      </c>
      <c r="J30" t="s">
        <v>12093</v>
      </c>
      <c r="S30" t="s">
        <v>13070</v>
      </c>
    </row>
    <row r="31" spans="1:40" hidden="1">
      <c r="A31" t="s">
        <v>13086</v>
      </c>
      <c r="B31" t="s">
        <v>13001</v>
      </c>
      <c r="C31" t="s">
        <v>13087</v>
      </c>
      <c r="D31">
        <v>0</v>
      </c>
      <c r="E31" t="s">
        <v>13047</v>
      </c>
      <c r="F31" t="s">
        <v>13045</v>
      </c>
      <c r="G31">
        <v>25</v>
      </c>
      <c r="J31" t="s">
        <v>12093</v>
      </c>
      <c r="S31" t="s">
        <v>13070</v>
      </c>
    </row>
    <row r="32" spans="1:40" hidden="1">
      <c r="A32" t="s">
        <v>13088</v>
      </c>
      <c r="B32" t="s">
        <v>13001</v>
      </c>
      <c r="C32" t="s">
        <v>13084</v>
      </c>
      <c r="D32">
        <v>0</v>
      </c>
      <c r="E32" t="s">
        <v>13047</v>
      </c>
      <c r="F32" t="s">
        <v>13045</v>
      </c>
      <c r="G32">
        <v>21</v>
      </c>
      <c r="H32" t="s">
        <v>13089</v>
      </c>
      <c r="S32" t="s">
        <v>13070</v>
      </c>
    </row>
    <row r="33" spans="1:23" hidden="1">
      <c r="A33" t="s">
        <v>13090</v>
      </c>
      <c r="B33" t="s">
        <v>13001</v>
      </c>
      <c r="C33" t="s">
        <v>13091</v>
      </c>
      <c r="D33">
        <v>0</v>
      </c>
      <c r="E33" t="s">
        <v>13047</v>
      </c>
      <c r="F33" t="s">
        <v>13045</v>
      </c>
      <c r="G33">
        <v>62</v>
      </c>
      <c r="S33" t="s">
        <v>13070</v>
      </c>
    </row>
    <row r="34" spans="1:23" hidden="1">
      <c r="A34" t="s">
        <v>13092</v>
      </c>
      <c r="B34" t="s">
        <v>13001</v>
      </c>
      <c r="C34" t="s">
        <v>13093</v>
      </c>
      <c r="D34">
        <v>0</v>
      </c>
      <c r="E34" t="s">
        <v>13047</v>
      </c>
      <c r="F34" t="s">
        <v>13045</v>
      </c>
      <c r="G34">
        <v>54</v>
      </c>
      <c r="H34" t="s">
        <v>13094</v>
      </c>
      <c r="J34" t="s">
        <v>12093</v>
      </c>
      <c r="S34" t="s">
        <v>13070</v>
      </c>
    </row>
    <row r="35" spans="1:23" hidden="1">
      <c r="A35" s="274" t="s">
        <v>13095</v>
      </c>
      <c r="B35" t="s">
        <v>13001</v>
      </c>
      <c r="C35" t="s">
        <v>13093</v>
      </c>
      <c r="D35">
        <v>0</v>
      </c>
      <c r="E35" t="s">
        <v>13096</v>
      </c>
      <c r="F35" t="s">
        <v>13045</v>
      </c>
      <c r="G35">
        <v>81</v>
      </c>
      <c r="H35" t="s">
        <v>13097</v>
      </c>
      <c r="I35" t="s">
        <v>13098</v>
      </c>
      <c r="J35" t="s">
        <v>12093</v>
      </c>
      <c r="S35" t="s">
        <v>13070</v>
      </c>
    </row>
    <row r="36" spans="1:23" hidden="1">
      <c r="A36" t="s">
        <v>13099</v>
      </c>
      <c r="B36" t="s">
        <v>13001</v>
      </c>
      <c r="C36" t="s">
        <v>13091</v>
      </c>
      <c r="D36">
        <v>0</v>
      </c>
      <c r="E36" t="s">
        <v>13047</v>
      </c>
      <c r="F36" t="s">
        <v>13045</v>
      </c>
      <c r="G36">
        <v>65</v>
      </c>
      <c r="H36" s="280" t="s">
        <v>13100</v>
      </c>
      <c r="J36" t="s">
        <v>12093</v>
      </c>
      <c r="L36">
        <v>47572</v>
      </c>
      <c r="M36" t="str">
        <f>"grep /Equipment/Tower01/Settings/DCRC4] run"&amp;L36&amp;".odb -A1"</f>
        <v>grep /Equipment/Tower01/Settings/DCRC4] run47572.odb -A1</v>
      </c>
      <c r="S36" t="s">
        <v>13070</v>
      </c>
    </row>
    <row r="37" spans="1:23" hidden="1">
      <c r="A37" t="s">
        <v>13101</v>
      </c>
      <c r="B37" t="s">
        <v>13001</v>
      </c>
      <c r="C37" t="s">
        <v>13091</v>
      </c>
      <c r="D37">
        <v>0</v>
      </c>
      <c r="E37" t="s">
        <v>13047</v>
      </c>
      <c r="F37" t="s">
        <v>13045</v>
      </c>
      <c r="G37">
        <v>65</v>
      </c>
      <c r="J37" t="s">
        <v>12093</v>
      </c>
      <c r="L37">
        <v>47575</v>
      </c>
      <c r="M37" t="str">
        <f>"grep /Equipment/Tower01/Settings/DCRC4] run"&amp;L37&amp;".odb -A1"</f>
        <v>grep /Equipment/Tower01/Settings/DCRC4] run47575.odb -A1</v>
      </c>
      <c r="S37" t="s">
        <v>13070</v>
      </c>
    </row>
    <row r="38" spans="1:23">
      <c r="A38" s="274" t="s">
        <v>13102</v>
      </c>
      <c r="B38" t="s">
        <v>13001</v>
      </c>
      <c r="C38" t="s">
        <v>13091</v>
      </c>
      <c r="D38">
        <v>-197.3</v>
      </c>
      <c r="E38" t="s">
        <v>8629</v>
      </c>
      <c r="F38" t="s">
        <v>13045</v>
      </c>
      <c r="G38">
        <v>171</v>
      </c>
      <c r="H38" t="s">
        <v>13103</v>
      </c>
      <c r="I38" t="s">
        <v>13104</v>
      </c>
      <c r="J38" t="s">
        <v>13104</v>
      </c>
      <c r="L38">
        <v>47577</v>
      </c>
      <c r="M38" t="str">
        <f>"grep /Equipment/Tower01/Settings/DCRC4] run"&amp;L38&amp;".odb -A1"</f>
        <v>grep /Equipment/Tower01/Settings/DCRC4] run47577.odb -A1</v>
      </c>
      <c r="S38" t="s">
        <v>13070</v>
      </c>
    </row>
    <row r="39" spans="1:23">
      <c r="A39" s="6" t="s">
        <v>13105</v>
      </c>
      <c r="B39" t="s">
        <v>13001</v>
      </c>
      <c r="C39" t="s">
        <v>13091</v>
      </c>
      <c r="F39" t="s">
        <v>13045</v>
      </c>
      <c r="H39" s="6" t="s">
        <v>13106</v>
      </c>
      <c r="J39" t="s">
        <v>13107</v>
      </c>
      <c r="S39" t="s">
        <v>13070</v>
      </c>
    </row>
    <row r="40" spans="1:23" hidden="1">
      <c r="A40" t="s">
        <v>13108</v>
      </c>
      <c r="B40" t="s">
        <v>13001</v>
      </c>
      <c r="C40" t="s">
        <v>13091</v>
      </c>
      <c r="D40">
        <v>0</v>
      </c>
      <c r="E40" t="s">
        <v>13047</v>
      </c>
      <c r="F40" t="s">
        <v>13045</v>
      </c>
      <c r="G40">
        <v>45</v>
      </c>
      <c r="J40" t="s">
        <v>12093</v>
      </c>
      <c r="L40">
        <v>47594</v>
      </c>
      <c r="M40" t="str">
        <f>"grep /Equipment/Tower01/Settings/DCRC4] run"&amp;L40&amp;".odb -A1"</f>
        <v>grep /Equipment/Tower01/Settings/DCRC4] run47594.odb -A1</v>
      </c>
      <c r="S40" t="s">
        <v>13070</v>
      </c>
    </row>
    <row r="41" spans="1:23" hidden="1">
      <c r="A41" t="s">
        <v>13109</v>
      </c>
      <c r="B41" t="s">
        <v>13001</v>
      </c>
      <c r="C41" t="s">
        <v>13091</v>
      </c>
      <c r="D41">
        <v>-197.3</v>
      </c>
      <c r="E41" t="s">
        <v>13047</v>
      </c>
      <c r="F41" t="s">
        <v>13045</v>
      </c>
      <c r="G41">
        <v>6</v>
      </c>
      <c r="H41" t="s">
        <v>13110</v>
      </c>
      <c r="I41" s="6" t="s">
        <v>13111</v>
      </c>
      <c r="J41" t="s">
        <v>12093</v>
      </c>
      <c r="L41">
        <v>47596</v>
      </c>
      <c r="M41" t="str">
        <f>"grep /Equipment/Tower01/Settings/DCRC4] run"&amp;L41&amp;".odb -A1"</f>
        <v>grep /Equipment/Tower01/Settings/DCRC4] run47596.odb -A1</v>
      </c>
      <c r="S41">
        <v>-7.4999999999999997E-2</v>
      </c>
      <c r="T41">
        <v>425</v>
      </c>
      <c r="W41" t="s">
        <v>13112</v>
      </c>
    </row>
    <row r="42" spans="1:23">
      <c r="A42" s="274" t="s">
        <v>13113</v>
      </c>
      <c r="B42" t="s">
        <v>13001</v>
      </c>
      <c r="C42" t="s">
        <v>13091</v>
      </c>
      <c r="D42">
        <v>-197.3</v>
      </c>
      <c r="E42" t="s">
        <v>8629</v>
      </c>
      <c r="F42" t="s">
        <v>13045</v>
      </c>
      <c r="G42">
        <v>90</v>
      </c>
      <c r="H42" s="6" t="s">
        <v>13111</v>
      </c>
      <c r="I42" t="s">
        <v>13110</v>
      </c>
      <c r="J42" t="s">
        <v>12093</v>
      </c>
      <c r="L42">
        <v>47597</v>
      </c>
      <c r="M42" t="str">
        <f>"grep /Equipment/Tower01/Settings/DCRC4] run"&amp;L42&amp;".odb -A1"</f>
        <v>grep /Equipment/Tower01/Settings/DCRC4] run47597.odb -A1</v>
      </c>
    </row>
    <row r="43" spans="1:23" hidden="1">
      <c r="A43" s="274" t="s">
        <v>13114</v>
      </c>
      <c r="B43" t="s">
        <v>13001</v>
      </c>
      <c r="C43" t="s">
        <v>13091</v>
      </c>
      <c r="D43">
        <v>-197.3</v>
      </c>
      <c r="E43" t="s">
        <v>13047</v>
      </c>
      <c r="F43" t="s">
        <v>13045</v>
      </c>
      <c r="G43">
        <v>7</v>
      </c>
      <c r="H43" t="s">
        <v>13110</v>
      </c>
      <c r="I43" s="6" t="s">
        <v>13111</v>
      </c>
      <c r="J43" t="s">
        <v>12093</v>
      </c>
      <c r="L43">
        <v>47598</v>
      </c>
      <c r="M43" t="str">
        <f>"grep /Equipment/Tower01/Settings/DCRC4] run"&amp;L43&amp;".odb -A1"</f>
        <v>grep /Equipment/Tower01/Settings/DCRC4] run47598.odb -A1</v>
      </c>
      <c r="S43">
        <v>-8.5999999999999993E-2</v>
      </c>
      <c r="T43">
        <v>458</v>
      </c>
      <c r="W43" t="s">
        <v>13112</v>
      </c>
    </row>
    <row r="44" spans="1:23">
      <c r="A44" s="274" t="s">
        <v>13115</v>
      </c>
      <c r="B44" t="s">
        <v>13001</v>
      </c>
      <c r="C44" t="s">
        <v>13091</v>
      </c>
      <c r="D44">
        <v>-197.3</v>
      </c>
      <c r="E44" t="s">
        <v>8629</v>
      </c>
      <c r="F44" t="s">
        <v>13045</v>
      </c>
      <c r="G44">
        <v>708</v>
      </c>
      <c r="H44" s="6" t="s">
        <v>13111</v>
      </c>
      <c r="I44" t="s">
        <v>13110</v>
      </c>
      <c r="J44" t="s">
        <v>13116</v>
      </c>
      <c r="L44">
        <v>47599</v>
      </c>
      <c r="M44" t="str">
        <f>"grep /Equipment/Tower01/Settings/DCRC4] run"&amp;L44&amp;".odb -A1"</f>
        <v>grep /Equipment/Tower01/Settings/DCRC4] run47599.odb -A1</v>
      </c>
      <c r="S44" t="s">
        <v>13070</v>
      </c>
    </row>
    <row r="45" spans="1:23" hidden="1">
      <c r="A45" t="s">
        <v>13117</v>
      </c>
      <c r="B45" t="s">
        <v>13001</v>
      </c>
      <c r="C45" t="s">
        <v>13091</v>
      </c>
      <c r="D45">
        <v>-197.3</v>
      </c>
      <c r="E45" t="s">
        <v>13047</v>
      </c>
      <c r="F45" t="s">
        <v>13045</v>
      </c>
      <c r="G45">
        <v>12</v>
      </c>
      <c r="H45" t="s">
        <v>13110</v>
      </c>
      <c r="I45" s="6" t="s">
        <v>13111</v>
      </c>
      <c r="L45">
        <v>47600</v>
      </c>
      <c r="M45" t="str">
        <f>"grep /Equipment/Tower01/Settings/DCRC4] run"&amp;L45&amp;".odb -A1"</f>
        <v>grep /Equipment/Tower01/Settings/DCRC4] run47600.odb -A1</v>
      </c>
    </row>
    <row r="46" spans="1:23" hidden="1">
      <c r="A46" t="s">
        <v>13118</v>
      </c>
      <c r="B46" t="s">
        <v>13001</v>
      </c>
      <c r="C46" t="s">
        <v>13091</v>
      </c>
      <c r="D46" s="271" t="s">
        <v>13119</v>
      </c>
      <c r="E46" t="s">
        <v>13047</v>
      </c>
      <c r="F46" t="s">
        <v>13045</v>
      </c>
      <c r="G46">
        <v>30</v>
      </c>
      <c r="H46" t="s">
        <v>13120</v>
      </c>
      <c r="I46" s="6" t="s">
        <v>13111</v>
      </c>
      <c r="L46">
        <v>47602</v>
      </c>
      <c r="M46" t="str">
        <f>"grep /Equipment/Tower01/Settings/DCRC4] run"&amp;L46&amp;".odb -A1"</f>
        <v>grep /Equipment/Tower01/Settings/DCRC4] run47602.odb -A1</v>
      </c>
    </row>
    <row r="47" spans="1:23" hidden="1">
      <c r="A47" t="s">
        <v>13121</v>
      </c>
      <c r="B47" t="s">
        <v>13001</v>
      </c>
      <c r="C47" t="s">
        <v>13091</v>
      </c>
      <c r="D47">
        <v>0</v>
      </c>
      <c r="E47" t="s">
        <v>13047</v>
      </c>
      <c r="F47" t="s">
        <v>13045</v>
      </c>
      <c r="G47">
        <v>59</v>
      </c>
    </row>
    <row r="48" spans="1:23" hidden="1">
      <c r="A48" t="s">
        <v>13122</v>
      </c>
      <c r="B48" t="s">
        <v>13001</v>
      </c>
      <c r="C48" t="s">
        <v>13091</v>
      </c>
      <c r="D48">
        <v>-197.3</v>
      </c>
      <c r="E48" t="s">
        <v>13047</v>
      </c>
      <c r="F48" t="s">
        <v>13045</v>
      </c>
      <c r="G48">
        <v>6</v>
      </c>
      <c r="I48" s="6" t="s">
        <v>13111</v>
      </c>
      <c r="L48">
        <v>47605</v>
      </c>
      <c r="M48" t="str">
        <f>"grep /Equipment/Tower01/Settings/DCRC4] run"&amp;L48&amp;".odb -A1"</f>
        <v>grep /Equipment/Tower01/Settings/DCRC4] run47605.odb -A1</v>
      </c>
    </row>
    <row r="49" spans="1:23">
      <c r="A49" s="274" t="s">
        <v>13123</v>
      </c>
      <c r="B49" t="s">
        <v>13001</v>
      </c>
      <c r="C49" t="s">
        <v>13091</v>
      </c>
      <c r="D49">
        <v>-197.3</v>
      </c>
      <c r="E49" t="s">
        <v>8629</v>
      </c>
      <c r="F49" t="s">
        <v>13045</v>
      </c>
      <c r="G49">
        <v>91</v>
      </c>
      <c r="H49" s="6" t="s">
        <v>13111</v>
      </c>
      <c r="I49" t="s">
        <v>13104</v>
      </c>
      <c r="J49" t="s">
        <v>13124</v>
      </c>
      <c r="L49">
        <v>47606</v>
      </c>
      <c r="M49" t="str">
        <f>"grep /Equipment/Tower01/Settings/DCRC4] run"&amp;L49&amp;".odb -A1"</f>
        <v>grep /Equipment/Tower01/Settings/DCRC4] run47606.odb -A1</v>
      </c>
    </row>
    <row r="50" spans="1:23" hidden="1">
      <c r="A50" s="274" t="s">
        <v>13125</v>
      </c>
      <c r="B50" t="s">
        <v>13001</v>
      </c>
      <c r="C50" t="s">
        <v>13091</v>
      </c>
      <c r="D50">
        <v>-197.3</v>
      </c>
      <c r="E50" t="s">
        <v>13047</v>
      </c>
      <c r="F50" t="s">
        <v>13045</v>
      </c>
      <c r="G50">
        <v>11</v>
      </c>
      <c r="I50" s="6" t="s">
        <v>13111</v>
      </c>
      <c r="L50">
        <v>47607</v>
      </c>
      <c r="M50" t="str">
        <f>"grep /Equipment/Tower01/Settings/DCRC4] run"&amp;L50&amp;".odb -A1"</f>
        <v>grep /Equipment/Tower01/Settings/DCRC4] run47607.odb -A1</v>
      </c>
    </row>
    <row r="51" spans="1:23">
      <c r="A51" s="274" t="s">
        <v>13126</v>
      </c>
      <c r="B51" t="s">
        <v>13001</v>
      </c>
      <c r="C51" t="s">
        <v>13091</v>
      </c>
      <c r="D51">
        <v>-197.3</v>
      </c>
      <c r="E51" t="s">
        <v>8629</v>
      </c>
      <c r="F51" t="s">
        <v>13045</v>
      </c>
      <c r="G51">
        <v>271</v>
      </c>
      <c r="H51" s="6" t="s">
        <v>13111</v>
      </c>
      <c r="J51" t="s">
        <v>13124</v>
      </c>
      <c r="L51">
        <v>47608</v>
      </c>
      <c r="M51" t="str">
        <f>"grep /Equipment/Tower01/Settings/DCRC4] run"&amp;L51&amp;".odb -A1"</f>
        <v>grep /Equipment/Tower01/Settings/DCRC4] run47608.odb -A1</v>
      </c>
    </row>
    <row r="52" spans="1:23" hidden="1">
      <c r="A52" s="274" t="s">
        <v>13127</v>
      </c>
      <c r="B52" t="s">
        <v>13001</v>
      </c>
      <c r="C52" t="s">
        <v>13091</v>
      </c>
      <c r="D52">
        <v>-197.3</v>
      </c>
      <c r="E52" t="s">
        <v>13047</v>
      </c>
      <c r="F52" t="s">
        <v>13045</v>
      </c>
      <c r="G52">
        <v>8</v>
      </c>
      <c r="I52" s="6" t="s">
        <v>13111</v>
      </c>
      <c r="L52">
        <v>47609</v>
      </c>
      <c r="M52" t="str">
        <f>"grep /Equipment/Tower01/Settings/DCRC4] run"&amp;L52&amp;".odb -A1"</f>
        <v>grep /Equipment/Tower01/Settings/DCRC4] run47609.odb -A1</v>
      </c>
    </row>
    <row r="53" spans="1:23">
      <c r="A53" s="274" t="s">
        <v>13128</v>
      </c>
      <c r="B53" t="s">
        <v>13001</v>
      </c>
      <c r="C53" t="s">
        <v>13091</v>
      </c>
      <c r="D53">
        <v>-197.3</v>
      </c>
      <c r="E53" t="s">
        <v>8629</v>
      </c>
      <c r="F53" t="s">
        <v>13045</v>
      </c>
      <c r="G53">
        <v>552</v>
      </c>
      <c r="H53" s="6" t="s">
        <v>13111</v>
      </c>
      <c r="I53" t="s">
        <v>13129</v>
      </c>
      <c r="J53" t="s">
        <v>13124</v>
      </c>
      <c r="L53">
        <v>47610</v>
      </c>
      <c r="M53" t="str">
        <f>"grep /Equipment/Tower01/Settings/DCRC4] run"&amp;L53&amp;".odb -A1"</f>
        <v>grep /Equipment/Tower01/Settings/DCRC4] run47610.odb -A1</v>
      </c>
    </row>
    <row r="54" spans="1:23" hidden="1">
      <c r="A54" t="s">
        <v>13130</v>
      </c>
      <c r="B54" t="s">
        <v>13001</v>
      </c>
      <c r="C54" t="s">
        <v>13091</v>
      </c>
      <c r="D54">
        <v>-197.3</v>
      </c>
      <c r="E54" t="s">
        <v>13047</v>
      </c>
      <c r="F54" t="s">
        <v>13045</v>
      </c>
      <c r="G54">
        <v>10</v>
      </c>
      <c r="I54" s="6" t="s">
        <v>13111</v>
      </c>
      <c r="L54" s="262">
        <v>47611</v>
      </c>
      <c r="M54" t="str">
        <f>"grep /Equipment/Tower01/Settings/DCRC4] run"&amp;L54&amp;".odb -A1"</f>
        <v>grep /Equipment/Tower01/Settings/DCRC4] run47611.odb -A1</v>
      </c>
    </row>
    <row r="55" spans="1:23">
      <c r="A55" s="274" t="s">
        <v>13131</v>
      </c>
      <c r="B55" t="s">
        <v>13001</v>
      </c>
      <c r="C55" t="s">
        <v>13091</v>
      </c>
      <c r="D55">
        <v>-197.3</v>
      </c>
      <c r="E55" t="s">
        <v>8629</v>
      </c>
      <c r="F55" t="s">
        <v>13045</v>
      </c>
      <c r="G55">
        <v>268</v>
      </c>
      <c r="H55" s="6" t="s">
        <v>13111</v>
      </c>
      <c r="I55" t="s">
        <v>13104</v>
      </c>
      <c r="J55" t="s">
        <v>13124</v>
      </c>
      <c r="L55" s="262">
        <v>47612</v>
      </c>
      <c r="M55" t="str">
        <f>"grep /Equipment/Tower01/Settings/DCRC4] run"&amp;L55&amp;".odb -A1"</f>
        <v>grep /Equipment/Tower01/Settings/DCRC4] run47612.odb -A1</v>
      </c>
    </row>
    <row r="56" spans="1:23" hidden="1">
      <c r="A56" t="s">
        <v>13132</v>
      </c>
      <c r="B56" t="s">
        <v>13001</v>
      </c>
      <c r="C56" t="s">
        <v>13091</v>
      </c>
      <c r="D56">
        <v>0</v>
      </c>
      <c r="E56" t="s">
        <v>13047</v>
      </c>
      <c r="F56" t="s">
        <v>13045</v>
      </c>
      <c r="G56">
        <v>120</v>
      </c>
      <c r="J56" t="s">
        <v>12093</v>
      </c>
      <c r="L56">
        <v>47614</v>
      </c>
      <c r="M56" t="str">
        <f>"grep /Equipment/Tower01/Settings/DCRC4] run"&amp;L56&amp;".odb -A1"</f>
        <v>grep /Equipment/Tower01/Settings/DCRC4] run47614.odb -A1</v>
      </c>
      <c r="S56">
        <v>-9.0999999999999998E-2</v>
      </c>
      <c r="T56">
        <v>450</v>
      </c>
      <c r="W56" t="s">
        <v>13133</v>
      </c>
    </row>
    <row r="57" spans="1:23">
      <c r="A57" s="274" t="s">
        <v>13134</v>
      </c>
      <c r="B57" t="s">
        <v>13001</v>
      </c>
      <c r="C57" t="s">
        <v>13091</v>
      </c>
      <c r="D57">
        <v>-197.3</v>
      </c>
      <c r="E57" t="s">
        <v>8629</v>
      </c>
      <c r="F57" t="s">
        <v>13045</v>
      </c>
      <c r="G57">
        <v>100</v>
      </c>
      <c r="H57" s="6" t="s">
        <v>13111</v>
      </c>
      <c r="I57" t="s">
        <v>13104</v>
      </c>
      <c r="J57" t="s">
        <v>12093</v>
      </c>
      <c r="L57">
        <v>47617</v>
      </c>
      <c r="M57" t="str">
        <f>"grep /Equipment/Tower01/Settings/DCRC4] run"&amp;L57&amp;".odb -A1"</f>
        <v>grep /Equipment/Tower01/Settings/DCRC4] run47617.odb -A1</v>
      </c>
    </row>
    <row r="58" spans="1:23" hidden="1">
      <c r="A58" s="274" t="s">
        <v>13135</v>
      </c>
      <c r="B58" t="s">
        <v>13001</v>
      </c>
      <c r="C58" t="s">
        <v>13091</v>
      </c>
      <c r="D58">
        <v>-197.3</v>
      </c>
      <c r="E58" t="s">
        <v>13047</v>
      </c>
      <c r="F58" t="s">
        <v>13045</v>
      </c>
      <c r="G58">
        <v>9</v>
      </c>
      <c r="J58" s="6" t="s">
        <v>12093</v>
      </c>
      <c r="L58">
        <v>47618</v>
      </c>
      <c r="M58" t="str">
        <f>"grep /Equipment/Tower01/Settings/DCRC4] run"&amp;L58&amp;".odb -A1"</f>
        <v>grep /Equipment/Tower01/Settings/DCRC4] run47618.odb -A1</v>
      </c>
      <c r="S58">
        <v>-9.4E-2</v>
      </c>
      <c r="T58">
        <v>496</v>
      </c>
      <c r="W58" t="s">
        <v>13133</v>
      </c>
    </row>
    <row r="59" spans="1:23">
      <c r="A59" s="274" t="s">
        <v>13136</v>
      </c>
      <c r="B59" t="s">
        <v>13001</v>
      </c>
      <c r="C59" t="s">
        <v>13091</v>
      </c>
      <c r="D59">
        <v>-197.3</v>
      </c>
      <c r="E59" t="s">
        <v>8629</v>
      </c>
      <c r="F59" t="s">
        <v>13045</v>
      </c>
      <c r="G59">
        <v>210</v>
      </c>
      <c r="H59" t="s">
        <v>13137</v>
      </c>
      <c r="J59" t="s">
        <v>12093</v>
      </c>
      <c r="L59">
        <v>47619</v>
      </c>
      <c r="M59" t="str">
        <f>"grep /Equipment/Tower01/Settings/DCRC4] run"&amp;L59&amp;".odb -A1"</f>
        <v>grep /Equipment/Tower01/Settings/DCRC4] run47619.odb -A1</v>
      </c>
    </row>
    <row r="60" spans="1:23" hidden="1">
      <c r="A60" s="274" t="s">
        <v>13138</v>
      </c>
      <c r="B60" t="s">
        <v>13001</v>
      </c>
      <c r="C60" t="s">
        <v>13091</v>
      </c>
      <c r="D60">
        <v>-197.3</v>
      </c>
      <c r="E60" t="s">
        <v>13047</v>
      </c>
      <c r="F60" t="s">
        <v>13045</v>
      </c>
      <c r="G60">
        <v>7</v>
      </c>
      <c r="J60" s="6" t="s">
        <v>12093</v>
      </c>
      <c r="L60">
        <v>47621</v>
      </c>
      <c r="M60" t="str">
        <f>"grep /Equipment/Tower01/Settings/DCRC4] run"&amp;L60&amp;".odb -A1"</f>
        <v>grep /Equipment/Tower01/Settings/DCRC4] run47621.odb -A1</v>
      </c>
      <c r="S60">
        <v>-0.114</v>
      </c>
      <c r="T60">
        <v>536</v>
      </c>
      <c r="W60" t="s">
        <v>13070</v>
      </c>
    </row>
    <row r="61" spans="1:23">
      <c r="A61" s="274" t="s">
        <v>13139</v>
      </c>
      <c r="B61" t="s">
        <v>13001</v>
      </c>
      <c r="C61" t="s">
        <v>13091</v>
      </c>
      <c r="D61">
        <v>-197.3</v>
      </c>
      <c r="E61" t="s">
        <v>8629</v>
      </c>
      <c r="F61" t="s">
        <v>13045</v>
      </c>
      <c r="G61">
        <v>218</v>
      </c>
      <c r="H61" t="s">
        <v>13140</v>
      </c>
      <c r="J61" t="s">
        <v>12093</v>
      </c>
      <c r="L61">
        <v>47622</v>
      </c>
      <c r="M61" t="str">
        <f>"grep /Equipment/Tower01/Settings/DCRC4] run"&amp;L61&amp;".odb -A1"</f>
        <v>grep /Equipment/Tower01/Settings/DCRC4] run47622.odb -A1</v>
      </c>
    </row>
    <row r="62" spans="1:23" hidden="1">
      <c r="A62" s="274" t="s">
        <v>13141</v>
      </c>
      <c r="B62" t="s">
        <v>13001</v>
      </c>
      <c r="C62" t="s">
        <v>13091</v>
      </c>
      <c r="D62">
        <v>-197.3</v>
      </c>
      <c r="E62" t="s">
        <v>13047</v>
      </c>
      <c r="F62" t="s">
        <v>13045</v>
      </c>
      <c r="G62">
        <v>6</v>
      </c>
      <c r="J62" t="s">
        <v>12093</v>
      </c>
      <c r="S62">
        <v>-0.11</v>
      </c>
      <c r="T62">
        <v>530</v>
      </c>
      <c r="W62" t="s">
        <v>13070</v>
      </c>
    </row>
    <row r="63" spans="1:23">
      <c r="A63" s="274" t="s">
        <v>13142</v>
      </c>
      <c r="B63" t="s">
        <v>13001</v>
      </c>
      <c r="C63" t="s">
        <v>13091</v>
      </c>
      <c r="D63">
        <v>-197.3</v>
      </c>
      <c r="E63" t="s">
        <v>13096</v>
      </c>
      <c r="F63" t="s">
        <v>13045</v>
      </c>
      <c r="G63">
        <v>575</v>
      </c>
      <c r="J63" t="s">
        <v>12093</v>
      </c>
    </row>
    <row r="64" spans="1:23" hidden="1">
      <c r="A64" t="s">
        <v>13143</v>
      </c>
      <c r="B64" t="s">
        <v>13001</v>
      </c>
      <c r="C64" t="s">
        <v>13091</v>
      </c>
      <c r="D64">
        <v>-197.3</v>
      </c>
      <c r="E64" t="s">
        <v>13047</v>
      </c>
      <c r="F64" t="s">
        <v>13045</v>
      </c>
      <c r="G64">
        <v>7</v>
      </c>
      <c r="J64" t="s">
        <v>12093</v>
      </c>
      <c r="S64">
        <v>-0.105</v>
      </c>
      <c r="T64">
        <v>523</v>
      </c>
      <c r="W64" t="s">
        <v>13070</v>
      </c>
    </row>
    <row r="65" spans="1:23">
      <c r="A65" s="274" t="s">
        <v>13144</v>
      </c>
      <c r="B65" t="s">
        <v>13001</v>
      </c>
      <c r="C65" t="s">
        <v>13091</v>
      </c>
      <c r="D65">
        <v>-197.3</v>
      </c>
      <c r="E65" t="s">
        <v>13096</v>
      </c>
      <c r="F65" t="s">
        <v>13045</v>
      </c>
      <c r="H65" s="6" t="s">
        <v>13111</v>
      </c>
      <c r="I65" t="s">
        <v>13104</v>
      </c>
    </row>
    <row r="66" spans="1:23">
      <c r="A66" s="274" t="s">
        <v>13145</v>
      </c>
      <c r="B66" t="s">
        <v>13001</v>
      </c>
      <c r="C66" t="s">
        <v>13091</v>
      </c>
      <c r="D66">
        <v>-197.3</v>
      </c>
      <c r="E66" t="s">
        <v>13096</v>
      </c>
      <c r="F66" t="s">
        <v>13045</v>
      </c>
      <c r="G66">
        <v>289</v>
      </c>
      <c r="J66" t="s">
        <v>12093</v>
      </c>
    </row>
    <row r="67" spans="1:23" hidden="1">
      <c r="A67" s="274" t="s">
        <v>13146</v>
      </c>
      <c r="B67" t="s">
        <v>13001</v>
      </c>
      <c r="C67" t="s">
        <v>13091</v>
      </c>
      <c r="D67">
        <v>0</v>
      </c>
      <c r="E67" t="s">
        <v>13047</v>
      </c>
      <c r="F67" t="s">
        <v>13045</v>
      </c>
      <c r="G67">
        <v>26</v>
      </c>
      <c r="J67" t="s">
        <v>12093</v>
      </c>
    </row>
    <row r="68" spans="1:23" hidden="1">
      <c r="A68" s="274" t="s">
        <v>13147</v>
      </c>
      <c r="B68" t="s">
        <v>13001</v>
      </c>
      <c r="C68" t="s">
        <v>13091</v>
      </c>
      <c r="D68">
        <v>-197.3</v>
      </c>
      <c r="E68" t="s">
        <v>13047</v>
      </c>
      <c r="F68" t="s">
        <v>13045</v>
      </c>
      <c r="G68">
        <v>9</v>
      </c>
      <c r="J68" t="s">
        <v>12093</v>
      </c>
      <c r="S68">
        <v>-0.09</v>
      </c>
      <c r="T68">
        <v>485</v>
      </c>
      <c r="W68" t="s">
        <v>13070</v>
      </c>
    </row>
    <row r="69" spans="1:23">
      <c r="A69" s="274" t="s">
        <v>13148</v>
      </c>
      <c r="B69" t="s">
        <v>13001</v>
      </c>
      <c r="C69" t="s">
        <v>13091</v>
      </c>
      <c r="D69">
        <v>-197.3</v>
      </c>
      <c r="E69" t="s">
        <v>13096</v>
      </c>
      <c r="F69" t="s">
        <v>13045</v>
      </c>
      <c r="G69">
        <v>227</v>
      </c>
      <c r="J69" t="s">
        <v>12093</v>
      </c>
    </row>
    <row r="70" spans="1:23" hidden="1">
      <c r="A70" s="274" t="s">
        <v>13149</v>
      </c>
      <c r="B70" t="s">
        <v>13001</v>
      </c>
      <c r="C70" t="s">
        <v>13091</v>
      </c>
      <c r="D70">
        <v>-197.3</v>
      </c>
      <c r="E70" t="s">
        <v>13047</v>
      </c>
      <c r="F70" t="s">
        <v>13045</v>
      </c>
      <c r="G70">
        <v>14</v>
      </c>
      <c r="J70" t="s">
        <v>12093</v>
      </c>
      <c r="S70">
        <v>-0.104</v>
      </c>
      <c r="T70">
        <v>519</v>
      </c>
      <c r="W70" t="s">
        <v>13070</v>
      </c>
    </row>
    <row r="71" spans="1:23" ht="15.75" customHeight="1">
      <c r="A71" s="274" t="s">
        <v>13150</v>
      </c>
      <c r="B71" t="s">
        <v>13001</v>
      </c>
      <c r="C71" t="s">
        <v>13091</v>
      </c>
      <c r="D71">
        <v>-197.3</v>
      </c>
      <c r="E71" t="s">
        <v>13096</v>
      </c>
      <c r="F71" t="s">
        <v>13045</v>
      </c>
      <c r="G71">
        <v>611</v>
      </c>
      <c r="J71" t="s">
        <v>12093</v>
      </c>
    </row>
    <row r="72" spans="1:23" hidden="1">
      <c r="A72" t="s">
        <v>13151</v>
      </c>
      <c r="B72" t="s">
        <v>13001</v>
      </c>
      <c r="C72" t="s">
        <v>13091</v>
      </c>
      <c r="D72">
        <v>-197.3</v>
      </c>
      <c r="E72" t="s">
        <v>13047</v>
      </c>
      <c r="F72" t="s">
        <v>13045</v>
      </c>
      <c r="G72">
        <v>7</v>
      </c>
      <c r="J72" t="s">
        <v>12093</v>
      </c>
      <c r="S72">
        <v>-8.8999999999999996E-2</v>
      </c>
      <c r="T72">
        <v>476</v>
      </c>
      <c r="W72" t="s">
        <v>13070</v>
      </c>
    </row>
    <row r="73" spans="1:23">
      <c r="A73" s="274" t="s">
        <v>13152</v>
      </c>
      <c r="B73" t="s">
        <v>13001</v>
      </c>
      <c r="C73" t="s">
        <v>13091</v>
      </c>
      <c r="D73">
        <v>-197.3</v>
      </c>
      <c r="E73" t="s">
        <v>13096</v>
      </c>
      <c r="F73" t="s">
        <v>13045</v>
      </c>
      <c r="G73">
        <v>160</v>
      </c>
      <c r="I73" t="s">
        <v>13104</v>
      </c>
      <c r="J73" t="s">
        <v>12093</v>
      </c>
    </row>
    <row r="74" spans="1:23" hidden="1">
      <c r="A74" s="274" t="s">
        <v>13153</v>
      </c>
      <c r="B74" t="s">
        <v>13001</v>
      </c>
      <c r="C74" t="s">
        <v>13091</v>
      </c>
      <c r="D74">
        <v>0</v>
      </c>
      <c r="E74" t="s">
        <v>13047</v>
      </c>
      <c r="F74" t="s">
        <v>13045</v>
      </c>
      <c r="G74">
        <v>43</v>
      </c>
      <c r="J74" t="s">
        <v>12093</v>
      </c>
    </row>
    <row r="75" spans="1:23" hidden="1">
      <c r="A75" s="274" t="s">
        <v>13154</v>
      </c>
      <c r="B75" t="s">
        <v>13001</v>
      </c>
      <c r="C75" t="s">
        <v>13091</v>
      </c>
      <c r="D75">
        <v>-197.4</v>
      </c>
      <c r="E75" t="s">
        <v>13047</v>
      </c>
      <c r="F75" t="s">
        <v>13045</v>
      </c>
      <c r="G75">
        <v>14</v>
      </c>
      <c r="J75" t="s">
        <v>12093</v>
      </c>
      <c r="S75">
        <v>-8.2000000000000003E-2</v>
      </c>
      <c r="T75">
        <v>437</v>
      </c>
      <c r="W75" t="s">
        <v>13070</v>
      </c>
    </row>
    <row r="76" spans="1:23">
      <c r="A76" s="274" t="s">
        <v>13155</v>
      </c>
      <c r="B76" t="s">
        <v>13001</v>
      </c>
      <c r="C76" t="s">
        <v>13091</v>
      </c>
      <c r="D76">
        <v>-197.4</v>
      </c>
      <c r="E76" t="s">
        <v>13096</v>
      </c>
      <c r="F76" t="s">
        <v>13045</v>
      </c>
      <c r="G76">
        <v>332</v>
      </c>
      <c r="H76" t="s">
        <v>13156</v>
      </c>
      <c r="J76" t="s">
        <v>12093</v>
      </c>
    </row>
    <row r="77" spans="1:23" hidden="1">
      <c r="A77" s="274" t="s">
        <v>13157</v>
      </c>
      <c r="B77" t="s">
        <v>13001</v>
      </c>
      <c r="C77" t="s">
        <v>13091</v>
      </c>
      <c r="D77">
        <v>-197.4</v>
      </c>
      <c r="E77" t="s">
        <v>13047</v>
      </c>
      <c r="F77" t="s">
        <v>13045</v>
      </c>
      <c r="G77">
        <v>9</v>
      </c>
      <c r="J77" t="s">
        <v>12093</v>
      </c>
      <c r="S77">
        <v>-9.8000000000000004E-2</v>
      </c>
      <c r="T77">
        <v>515</v>
      </c>
      <c r="W77" t="s">
        <v>13070</v>
      </c>
    </row>
    <row r="78" spans="1:23">
      <c r="A78" s="274" t="s">
        <v>13158</v>
      </c>
      <c r="B78" t="s">
        <v>13001</v>
      </c>
      <c r="C78" t="s">
        <v>13091</v>
      </c>
      <c r="D78">
        <v>-197.4</v>
      </c>
      <c r="E78" t="s">
        <v>13096</v>
      </c>
      <c r="F78" t="s">
        <v>13045</v>
      </c>
      <c r="G78">
        <v>666</v>
      </c>
      <c r="H78" t="s">
        <v>13159</v>
      </c>
      <c r="J78" t="s">
        <v>12093</v>
      </c>
    </row>
    <row r="79" spans="1:23" hidden="1">
      <c r="A79" t="s">
        <v>13160</v>
      </c>
      <c r="B79" t="s">
        <v>13001</v>
      </c>
      <c r="C79" t="s">
        <v>13091</v>
      </c>
      <c r="D79">
        <v>-197.3</v>
      </c>
      <c r="E79" t="s">
        <v>13047</v>
      </c>
      <c r="F79" t="s">
        <v>13045</v>
      </c>
      <c r="G79">
        <v>8</v>
      </c>
      <c r="J79" t="s">
        <v>12093</v>
      </c>
      <c r="S79">
        <v>-0.109</v>
      </c>
      <c r="T79">
        <v>542</v>
      </c>
      <c r="W79" t="s">
        <v>13070</v>
      </c>
    </row>
    <row r="80" spans="1:23">
      <c r="A80" s="274" t="s">
        <v>13161</v>
      </c>
      <c r="B80" t="s">
        <v>13001</v>
      </c>
      <c r="C80" t="s">
        <v>13091</v>
      </c>
      <c r="D80">
        <v>-197.3</v>
      </c>
      <c r="E80" t="s">
        <v>13096</v>
      </c>
      <c r="F80" t="s">
        <v>13045</v>
      </c>
      <c r="G80">
        <v>273</v>
      </c>
      <c r="H80" t="s">
        <v>13162</v>
      </c>
      <c r="I80" t="s">
        <v>13104</v>
      </c>
      <c r="J80" t="s">
        <v>12093</v>
      </c>
    </row>
    <row r="81" spans="1:40" hidden="1">
      <c r="A81" s="274" t="s">
        <v>13163</v>
      </c>
      <c r="B81" t="s">
        <v>13001</v>
      </c>
      <c r="C81" t="s">
        <v>13091</v>
      </c>
      <c r="D81">
        <v>-197.3</v>
      </c>
      <c r="E81" t="s">
        <v>13047</v>
      </c>
      <c r="F81" t="s">
        <v>13045</v>
      </c>
      <c r="G81">
        <v>9</v>
      </c>
      <c r="J81" t="s">
        <v>12093</v>
      </c>
      <c r="S81">
        <v>-0.10299999999999999</v>
      </c>
      <c r="T81">
        <v>536</v>
      </c>
      <c r="W81" t="s">
        <v>13070</v>
      </c>
    </row>
    <row r="82" spans="1:40" hidden="1">
      <c r="A82" s="274" t="s">
        <v>13164</v>
      </c>
      <c r="B82" t="s">
        <v>13001</v>
      </c>
      <c r="C82" t="s">
        <v>13091</v>
      </c>
      <c r="D82">
        <v>0</v>
      </c>
      <c r="E82" t="s">
        <v>13047</v>
      </c>
      <c r="F82" t="s">
        <v>13045</v>
      </c>
      <c r="G82">
        <v>49</v>
      </c>
      <c r="J82" t="s">
        <v>12093</v>
      </c>
    </row>
    <row r="83" spans="1:40">
      <c r="A83" s="274" t="s">
        <v>13165</v>
      </c>
      <c r="B83" t="s">
        <v>13001</v>
      </c>
      <c r="C83" t="s">
        <v>13091</v>
      </c>
      <c r="D83">
        <v>0</v>
      </c>
      <c r="E83" t="s">
        <v>13096</v>
      </c>
      <c r="F83" t="s">
        <v>13045</v>
      </c>
      <c r="G83">
        <v>215</v>
      </c>
      <c r="H83" t="s">
        <v>13166</v>
      </c>
      <c r="J83" t="s">
        <v>12093</v>
      </c>
    </row>
    <row r="84" spans="1:40">
      <c r="A84" s="274" t="s">
        <v>13167</v>
      </c>
      <c r="B84" t="s">
        <v>13001</v>
      </c>
      <c r="C84" t="s">
        <v>13091</v>
      </c>
      <c r="D84">
        <v>0</v>
      </c>
      <c r="E84" t="s">
        <v>13096</v>
      </c>
      <c r="F84" t="s">
        <v>13045</v>
      </c>
      <c r="G84">
        <v>2052</v>
      </c>
      <c r="J84" t="s">
        <v>12093</v>
      </c>
    </row>
    <row r="85" spans="1:40" hidden="1">
      <c r="A85" t="s">
        <v>13168</v>
      </c>
      <c r="B85" t="s">
        <v>13001</v>
      </c>
      <c r="C85" t="s">
        <v>13091</v>
      </c>
      <c r="D85">
        <v>0</v>
      </c>
      <c r="E85" t="s">
        <v>13047</v>
      </c>
      <c r="F85" t="s">
        <v>13045</v>
      </c>
      <c r="G85">
        <v>86</v>
      </c>
      <c r="J85" t="s">
        <v>12093</v>
      </c>
      <c r="K85" t="s">
        <v>13169</v>
      </c>
    </row>
    <row r="86" spans="1:40" hidden="1">
      <c r="A86" t="s">
        <v>13170</v>
      </c>
      <c r="B86" t="s">
        <v>13001</v>
      </c>
      <c r="C86" t="s">
        <v>13091</v>
      </c>
      <c r="D86">
        <v>-197.3</v>
      </c>
      <c r="E86" t="s">
        <v>13047</v>
      </c>
      <c r="F86" t="s">
        <v>13045</v>
      </c>
      <c r="G86">
        <v>19</v>
      </c>
      <c r="J86" t="s">
        <v>12093</v>
      </c>
      <c r="S86">
        <v>-9.9000000000000005E-2</v>
      </c>
      <c r="T86">
        <v>523</v>
      </c>
      <c r="W86" t="s">
        <v>13070</v>
      </c>
    </row>
    <row r="87" spans="1:40">
      <c r="A87" s="274" t="s">
        <v>13171</v>
      </c>
      <c r="B87" t="s">
        <v>13001</v>
      </c>
      <c r="C87" t="s">
        <v>13091</v>
      </c>
      <c r="D87">
        <v>-197.3</v>
      </c>
      <c r="E87" t="s">
        <v>13096</v>
      </c>
      <c r="F87" t="s">
        <v>13045</v>
      </c>
      <c r="G87">
        <v>1022</v>
      </c>
      <c r="I87" t="s">
        <v>13104</v>
      </c>
      <c r="J87" t="s">
        <v>12093</v>
      </c>
    </row>
    <row r="88" spans="1:40" hidden="1">
      <c r="A88" t="s">
        <v>13172</v>
      </c>
      <c r="B88" t="s">
        <v>13001</v>
      </c>
      <c r="C88" t="s">
        <v>13091</v>
      </c>
      <c r="E88" t="s">
        <v>13047</v>
      </c>
      <c r="F88" t="s">
        <v>13045</v>
      </c>
      <c r="G88">
        <v>28</v>
      </c>
      <c r="J88" t="s">
        <v>12093</v>
      </c>
      <c r="S88">
        <v>-0.108</v>
      </c>
      <c r="T88">
        <v>523</v>
      </c>
      <c r="W88" t="s">
        <v>13070</v>
      </c>
    </row>
    <row r="89" spans="1:40">
      <c r="A89" t="s">
        <v>13173</v>
      </c>
      <c r="B89" t="s">
        <v>13001</v>
      </c>
      <c r="C89" t="s">
        <v>13091</v>
      </c>
      <c r="F89" t="s">
        <v>13045</v>
      </c>
      <c r="J89" t="s">
        <v>13107</v>
      </c>
    </row>
    <row r="90" spans="1:40">
      <c r="A90" t="s">
        <v>13174</v>
      </c>
      <c r="B90" t="s">
        <v>13001</v>
      </c>
      <c r="C90" t="s">
        <v>13091</v>
      </c>
      <c r="F90" t="s">
        <v>13045</v>
      </c>
      <c r="G90">
        <v>207</v>
      </c>
      <c r="J90" t="s">
        <v>12093</v>
      </c>
    </row>
    <row r="91" spans="1:40" hidden="1">
      <c r="A91" t="s">
        <v>13175</v>
      </c>
      <c r="B91" t="s">
        <v>13001</v>
      </c>
      <c r="C91" t="s">
        <v>13091</v>
      </c>
      <c r="D91">
        <v>0</v>
      </c>
      <c r="E91" t="s">
        <v>13176</v>
      </c>
      <c r="F91" t="s">
        <v>13045</v>
      </c>
      <c r="G91">
        <v>81</v>
      </c>
      <c r="H91" t="s">
        <v>13177</v>
      </c>
      <c r="J91" t="s">
        <v>12093</v>
      </c>
    </row>
    <row r="92" spans="1:40" hidden="1">
      <c r="A92" t="s">
        <v>13178</v>
      </c>
      <c r="B92" t="s">
        <v>13001</v>
      </c>
      <c r="C92" t="s">
        <v>13091</v>
      </c>
      <c r="D92">
        <v>-5.8</v>
      </c>
      <c r="E92" t="s">
        <v>13176</v>
      </c>
      <c r="F92" t="s">
        <v>13045</v>
      </c>
      <c r="G92">
        <v>105</v>
      </c>
      <c r="H92" t="s">
        <v>13179</v>
      </c>
      <c r="J92" t="s">
        <v>12093</v>
      </c>
    </row>
    <row r="93" spans="1:40" hidden="1">
      <c r="A93" t="s">
        <v>13180</v>
      </c>
      <c r="B93" t="s">
        <v>13001</v>
      </c>
      <c r="C93" t="s">
        <v>13091</v>
      </c>
      <c r="D93">
        <v>-20</v>
      </c>
      <c r="E93" t="s">
        <v>13181</v>
      </c>
      <c r="F93" t="s">
        <v>13045</v>
      </c>
      <c r="G93">
        <v>76</v>
      </c>
      <c r="H93" t="s">
        <v>13179</v>
      </c>
      <c r="J93" t="s">
        <v>2158</v>
      </c>
    </row>
    <row r="94" spans="1:40" hidden="1">
      <c r="A94" t="s">
        <v>13182</v>
      </c>
      <c r="B94" t="s">
        <v>13001</v>
      </c>
      <c r="C94" t="s">
        <v>13091</v>
      </c>
      <c r="D94">
        <v>-64</v>
      </c>
      <c r="E94" t="s">
        <v>13181</v>
      </c>
      <c r="F94" t="s">
        <v>13045</v>
      </c>
      <c r="H94" t="s">
        <v>13179</v>
      </c>
    </row>
    <row r="95" spans="1:40" s="56" customFormat="1" hidden="1">
      <c r="A95" s="56" t="s">
        <v>13183</v>
      </c>
      <c r="B95" s="56" t="s">
        <v>13001</v>
      </c>
      <c r="C95" s="56" t="s">
        <v>13091</v>
      </c>
      <c r="D95" s="56">
        <v>0</v>
      </c>
      <c r="E95" s="56" t="s">
        <v>13181</v>
      </c>
      <c r="F95" s="56" t="s">
        <v>13045</v>
      </c>
      <c r="G95" s="56">
        <v>50</v>
      </c>
      <c r="H95" s="56" t="s">
        <v>13184</v>
      </c>
      <c r="J95" s="56" t="s">
        <v>12093</v>
      </c>
      <c r="AI95" s="273">
        <v>109400000</v>
      </c>
      <c r="AJ95" s="273">
        <v>33400000000000</v>
      </c>
      <c r="AK95" s="56">
        <v>0.193</v>
      </c>
      <c r="AL95" s="56">
        <v>0.879</v>
      </c>
      <c r="AM95" s="56">
        <v>1.08</v>
      </c>
      <c r="AN95" s="56">
        <v>2.67</v>
      </c>
    </row>
    <row r="96" spans="1:40" s="56" customFormat="1">
      <c r="A96" s="265" t="s">
        <v>13185</v>
      </c>
      <c r="B96" s="56" t="s">
        <v>13001</v>
      </c>
      <c r="C96" s="56" t="s">
        <v>13091</v>
      </c>
      <c r="D96" s="56">
        <v>-4</v>
      </c>
      <c r="E96" s="56" t="s">
        <v>13186</v>
      </c>
      <c r="F96" s="56" t="s">
        <v>13045</v>
      </c>
      <c r="G96" s="56">
        <v>81</v>
      </c>
      <c r="H96" s="56" t="s">
        <v>13184</v>
      </c>
      <c r="J96" s="56" t="s">
        <v>12093</v>
      </c>
      <c r="S96" s="56" t="s">
        <v>13070</v>
      </c>
    </row>
    <row r="97" spans="1:32" s="56" customFormat="1">
      <c r="A97" s="56" t="s">
        <v>13187</v>
      </c>
      <c r="B97" s="56" t="s">
        <v>13001</v>
      </c>
      <c r="C97" s="56" t="s">
        <v>13091</v>
      </c>
      <c r="D97" s="56">
        <v>-20.7</v>
      </c>
      <c r="E97" s="56" t="s">
        <v>13186</v>
      </c>
      <c r="F97" s="56" t="s">
        <v>13045</v>
      </c>
      <c r="G97" s="56">
        <v>84</v>
      </c>
      <c r="H97" s="56" t="s">
        <v>13184</v>
      </c>
      <c r="J97" s="56" t="s">
        <v>12093</v>
      </c>
      <c r="S97" s="56">
        <v>-0.1</v>
      </c>
      <c r="T97" s="56">
        <v>315</v>
      </c>
    </row>
    <row r="98" spans="1:32" s="56" customFormat="1">
      <c r="A98" s="56" t="s">
        <v>13188</v>
      </c>
      <c r="B98" s="56" t="s">
        <v>13001</v>
      </c>
      <c r="C98" s="56" t="s">
        <v>13091</v>
      </c>
      <c r="D98" s="56">
        <v>-65</v>
      </c>
      <c r="E98" s="56" t="s">
        <v>13186</v>
      </c>
      <c r="F98" s="56" t="s">
        <v>13045</v>
      </c>
      <c r="G98" s="56">
        <v>79</v>
      </c>
      <c r="H98" s="56" t="s">
        <v>13184</v>
      </c>
      <c r="J98" s="56" t="s">
        <v>12093</v>
      </c>
      <c r="S98" s="56">
        <v>-7.6999999999999999E-2</v>
      </c>
      <c r="T98" s="56">
        <v>293</v>
      </c>
      <c r="W98" s="56">
        <v>286</v>
      </c>
      <c r="X98" s="56">
        <v>15.5</v>
      </c>
    </row>
    <row r="99" spans="1:32" s="56" customFormat="1">
      <c r="A99" s="56" t="s">
        <v>13189</v>
      </c>
      <c r="B99" s="56" t="s">
        <v>13001</v>
      </c>
      <c r="C99" s="56" t="s">
        <v>13091</v>
      </c>
      <c r="D99" s="56">
        <v>-84.3</v>
      </c>
      <c r="E99" s="56" t="s">
        <v>13186</v>
      </c>
      <c r="F99" s="56" t="s">
        <v>13045</v>
      </c>
      <c r="G99" s="56">
        <v>90</v>
      </c>
      <c r="H99" s="56" t="s">
        <v>13184</v>
      </c>
      <c r="J99" s="56" t="s">
        <v>12093</v>
      </c>
      <c r="S99" s="56">
        <v>-7.4999999999999997E-2</v>
      </c>
      <c r="T99" s="56">
        <v>300</v>
      </c>
      <c r="W99" s="56">
        <v>294</v>
      </c>
      <c r="X99" s="56">
        <v>13.8</v>
      </c>
    </row>
    <row r="100" spans="1:32">
      <c r="A100" t="s">
        <v>13190</v>
      </c>
      <c r="B100" t="s">
        <v>13001</v>
      </c>
      <c r="C100" t="s">
        <v>13091</v>
      </c>
      <c r="F100" t="s">
        <v>13045</v>
      </c>
      <c r="H100" t="s">
        <v>1853</v>
      </c>
    </row>
    <row r="101" spans="1:32" s="55" customFormat="1">
      <c r="A101" s="55" t="s">
        <v>13191</v>
      </c>
      <c r="B101" s="55" t="s">
        <v>13001</v>
      </c>
      <c r="C101" s="55" t="s">
        <v>13091</v>
      </c>
      <c r="D101" s="55">
        <v>-85.3</v>
      </c>
      <c r="E101" s="55" t="s">
        <v>13186</v>
      </c>
      <c r="F101" s="55" t="s">
        <v>13045</v>
      </c>
      <c r="G101" s="55">
        <v>60</v>
      </c>
      <c r="H101" s="55" t="s">
        <v>13192</v>
      </c>
      <c r="I101" s="55" t="s">
        <v>13193</v>
      </c>
      <c r="J101" s="55" t="s">
        <v>12093</v>
      </c>
      <c r="K101" s="55" t="str">
        <f>""""&amp;A101&amp;""", "</f>
        <v xml:space="preserve">"07220830_1724", </v>
      </c>
      <c r="L101" s="55" t="str">
        <f>K101</f>
        <v xml:space="preserve">"07220830_1724", </v>
      </c>
      <c r="M101" s="55">
        <f>SUM(G102,G104,G107)/60</f>
        <v>20.716666666666665</v>
      </c>
      <c r="S101" s="55">
        <v>-0.1</v>
      </c>
      <c r="T101" s="55">
        <v>377</v>
      </c>
      <c r="W101" s="55">
        <v>325</v>
      </c>
      <c r="X101" s="55">
        <v>14.2</v>
      </c>
    </row>
    <row r="102" spans="1:32" s="55" customFormat="1">
      <c r="A102" s="275" t="s">
        <v>13194</v>
      </c>
      <c r="B102" s="55" t="s">
        <v>13001</v>
      </c>
      <c r="C102" s="55" t="s">
        <v>13091</v>
      </c>
      <c r="D102" s="55">
        <v>-85.2</v>
      </c>
      <c r="E102" s="55" t="s">
        <v>8629</v>
      </c>
      <c r="F102" s="55" t="s">
        <v>13045</v>
      </c>
      <c r="G102" s="55">
        <v>113</v>
      </c>
      <c r="I102" s="55" t="s">
        <v>13195</v>
      </c>
      <c r="J102" s="55" t="s">
        <v>12093</v>
      </c>
      <c r="K102" s="55" t="str">
        <f>""""&amp;A102&amp;""", "</f>
        <v xml:space="preserve">"07220830_1829", </v>
      </c>
      <c r="L102" s="55" t="str">
        <f>L101&amp;K102</f>
        <v xml:space="preserve">"07220830_1724", "07220830_1829", </v>
      </c>
      <c r="Z102" s="55">
        <v>21703</v>
      </c>
      <c r="AA102" s="55">
        <v>634</v>
      </c>
      <c r="AB102" s="55">
        <v>11.188000000000001</v>
      </c>
      <c r="AC102" s="55">
        <v>5266</v>
      </c>
      <c r="AD102" s="55">
        <v>52203</v>
      </c>
      <c r="AE102" s="55">
        <v>0.8861</v>
      </c>
      <c r="AF102" s="55">
        <v>9.9131999999999998</v>
      </c>
    </row>
    <row r="103" spans="1:32" s="55" customFormat="1">
      <c r="A103" s="275" t="s">
        <v>13196</v>
      </c>
      <c r="B103" s="55" t="s">
        <v>13001</v>
      </c>
      <c r="C103" s="55" t="s">
        <v>13091</v>
      </c>
      <c r="D103" s="55">
        <v>-85</v>
      </c>
      <c r="E103" s="55" t="s">
        <v>13186</v>
      </c>
      <c r="F103" s="55" t="s">
        <v>13045</v>
      </c>
      <c r="G103" s="55">
        <v>44</v>
      </c>
      <c r="J103" s="55" t="s">
        <v>12093</v>
      </c>
      <c r="K103" s="55" t="str">
        <f>""""&amp;A103&amp;""", "</f>
        <v xml:space="preserve">"07220830_2033", </v>
      </c>
      <c r="L103" s="55" t="str">
        <f>L102&amp;K103</f>
        <v xml:space="preserve">"07220830_1724", "07220830_1829", "07220830_2033", </v>
      </c>
      <c r="S103" s="55">
        <v>-9.0999999999999998E-2</v>
      </c>
      <c r="T103" s="55">
        <v>374</v>
      </c>
      <c r="W103" s="55">
        <v>317</v>
      </c>
      <c r="X103" s="55">
        <v>13.9</v>
      </c>
    </row>
    <row r="104" spans="1:32" s="55" customFormat="1">
      <c r="A104" s="275" t="s">
        <v>13197</v>
      </c>
      <c r="B104" s="55" t="s">
        <v>13001</v>
      </c>
      <c r="C104" s="55" t="s">
        <v>13091</v>
      </c>
      <c r="D104" s="55">
        <v>-84.8</v>
      </c>
      <c r="E104" s="55" t="s">
        <v>8629</v>
      </c>
      <c r="F104" s="55" t="s">
        <v>13045</v>
      </c>
      <c r="G104" s="55">
        <v>723</v>
      </c>
      <c r="H104" s="55" t="s">
        <v>13198</v>
      </c>
      <c r="J104" s="55" t="s">
        <v>12093</v>
      </c>
      <c r="K104" s="55" t="str">
        <f>""""&amp;A104&amp;""", "</f>
        <v xml:space="preserve">"07220830_2118", </v>
      </c>
      <c r="L104" s="55" t="str">
        <f>L103&amp;K104</f>
        <v xml:space="preserve">"07220830_1724", "07220830_1829", "07220830_2033", "07220830_2118", </v>
      </c>
      <c r="Z104" s="55">
        <v>201987</v>
      </c>
      <c r="AA104" s="55">
        <v>6000</v>
      </c>
      <c r="AB104" s="55">
        <v>11.38</v>
      </c>
      <c r="AC104" s="55">
        <v>44065</v>
      </c>
      <c r="AD104" s="55">
        <v>427679</v>
      </c>
      <c r="AE104" s="55">
        <v>0.85289999999999999</v>
      </c>
      <c r="AF104" s="55">
        <v>9.7050000000000001</v>
      </c>
    </row>
    <row r="105" spans="1:32" s="55" customFormat="1">
      <c r="A105" s="55" t="s">
        <v>13199</v>
      </c>
      <c r="B105" s="55" t="s">
        <v>13001</v>
      </c>
      <c r="C105" s="55" t="s">
        <v>13091</v>
      </c>
      <c r="D105" s="55">
        <v>-84</v>
      </c>
      <c r="E105" s="55" t="s">
        <v>13186</v>
      </c>
      <c r="F105" s="55" t="s">
        <v>13045</v>
      </c>
      <c r="G105" s="55">
        <v>5</v>
      </c>
      <c r="H105" s="55" t="s">
        <v>13200</v>
      </c>
      <c r="K105" s="55" t="str">
        <f>""""&amp;A105&amp;""", "</f>
        <v xml:space="preserve">"07220831_0955", </v>
      </c>
      <c r="L105" s="55" t="str">
        <f>L104&amp;K105</f>
        <v xml:space="preserve">"07220830_1724", "07220830_1829", "07220830_2033", "07220830_2118", "07220831_0955", </v>
      </c>
    </row>
    <row r="106" spans="1:32" s="55" customFormat="1">
      <c r="A106" s="55" t="s">
        <v>13201</v>
      </c>
      <c r="B106" s="55" t="s">
        <v>13001</v>
      </c>
      <c r="C106" s="55" t="s">
        <v>13091</v>
      </c>
      <c r="D106" s="55">
        <v>-81</v>
      </c>
      <c r="E106" s="55" t="s">
        <v>13186</v>
      </c>
      <c r="F106" s="55" t="s">
        <v>13045</v>
      </c>
      <c r="G106" s="55">
        <v>103</v>
      </c>
      <c r="J106" s="55" t="s">
        <v>12093</v>
      </c>
      <c r="K106" s="55" t="str">
        <f>""""&amp;A106&amp;""", "</f>
        <v xml:space="preserve">"07220831_1002", </v>
      </c>
      <c r="L106" s="55" t="str">
        <f>L105&amp;K106</f>
        <v xml:space="preserve">"07220830_1724", "07220830_1829", "07220830_2033", "07220830_2118", "07220831_0955", "07220831_1002", </v>
      </c>
      <c r="S106" s="55">
        <v>-8.6999999999999994E-2</v>
      </c>
      <c r="T106" s="55">
        <v>358</v>
      </c>
      <c r="W106" s="55">
        <v>354</v>
      </c>
      <c r="X106" s="55">
        <v>14.1</v>
      </c>
    </row>
    <row r="107" spans="1:32" s="55" customFormat="1">
      <c r="A107" s="275" t="s">
        <v>13202</v>
      </c>
      <c r="B107" s="55" t="s">
        <v>13001</v>
      </c>
      <c r="C107" s="55" t="s">
        <v>13091</v>
      </c>
      <c r="D107" s="55">
        <v>-84.2</v>
      </c>
      <c r="E107" s="55" t="s">
        <v>8629</v>
      </c>
      <c r="F107" s="55" t="s">
        <v>13045</v>
      </c>
      <c r="G107" s="55">
        <v>407</v>
      </c>
      <c r="I107" s="55" t="s">
        <v>13203</v>
      </c>
      <c r="J107" s="55" t="s">
        <v>12093</v>
      </c>
      <c r="K107" s="55" t="str">
        <f>""""&amp;A107&amp;""", "</f>
        <v xml:space="preserve">"07220831_1151", </v>
      </c>
      <c r="L107" s="55" t="str">
        <f>L106&amp;K107</f>
        <v xml:space="preserve">"07220830_1724", "07220830_1829", "07220830_2033", "07220830_2118", "07220831_0955", "07220831_1002", "07220831_1151", </v>
      </c>
      <c r="Z107" s="55">
        <v>109653</v>
      </c>
      <c r="AA107" s="55">
        <v>3118</v>
      </c>
      <c r="AB107" s="55">
        <v>10.89</v>
      </c>
      <c r="AC107" s="55">
        <v>24808</v>
      </c>
      <c r="AD107" s="55">
        <v>24365</v>
      </c>
      <c r="AE107" s="55">
        <v>0.9022</v>
      </c>
      <c r="AF107" s="55">
        <v>9.8209999999999997</v>
      </c>
    </row>
    <row r="108" spans="1:32" s="55" customFormat="1">
      <c r="A108" s="55" t="s">
        <v>13204</v>
      </c>
      <c r="B108" s="55" t="s">
        <v>13001</v>
      </c>
      <c r="C108" s="55" t="s">
        <v>13091</v>
      </c>
      <c r="D108" s="55">
        <v>-83.9</v>
      </c>
      <c r="E108" s="55" t="s">
        <v>13186</v>
      </c>
      <c r="F108" s="55" t="s">
        <v>13045</v>
      </c>
      <c r="G108" s="55">
        <v>94</v>
      </c>
      <c r="J108" s="55" t="s">
        <v>12093</v>
      </c>
      <c r="K108" s="55" t="str">
        <f>""""&amp;A108&amp;""", "</f>
        <v xml:space="preserve">"07220831_1846", </v>
      </c>
      <c r="L108" s="55" t="str">
        <f>L107&amp;K108</f>
        <v xml:space="preserve">"07220830_1724", "07220830_1829", "07220830_2033", "07220830_2118", "07220831_0955", "07220831_1002", "07220831_1151", "07220831_1846", </v>
      </c>
      <c r="S108" s="55">
        <v>-7.0999999999999994E-2</v>
      </c>
      <c r="T108" s="55">
        <v>320</v>
      </c>
      <c r="W108" s="55">
        <v>336</v>
      </c>
      <c r="X108" s="55">
        <v>17.7</v>
      </c>
    </row>
    <row r="109" spans="1:32" hidden="1">
      <c r="A109" t="s">
        <v>13205</v>
      </c>
      <c r="B109" t="s">
        <v>13001</v>
      </c>
      <c r="C109" t="s">
        <v>13091</v>
      </c>
      <c r="D109">
        <v>-83.8</v>
      </c>
      <c r="E109" s="6" t="s">
        <v>13206</v>
      </c>
      <c r="F109" t="s">
        <v>13045</v>
      </c>
      <c r="G109">
        <v>118</v>
      </c>
      <c r="H109" t="s">
        <v>13207</v>
      </c>
    </row>
    <row r="110" spans="1:32">
      <c r="A110" t="s">
        <v>13208</v>
      </c>
      <c r="B110" t="s">
        <v>13001</v>
      </c>
      <c r="C110" t="s">
        <v>13091</v>
      </c>
      <c r="D110">
        <v>0</v>
      </c>
      <c r="E110" t="s">
        <v>13186</v>
      </c>
      <c r="F110" t="s">
        <v>13045</v>
      </c>
      <c r="G110">
        <v>53</v>
      </c>
      <c r="J110" t="s">
        <v>12093</v>
      </c>
    </row>
    <row r="111" spans="1:32">
      <c r="A111" s="274" t="s">
        <v>13209</v>
      </c>
      <c r="B111" t="s">
        <v>13001</v>
      </c>
      <c r="C111" t="s">
        <v>13091</v>
      </c>
      <c r="D111">
        <v>0</v>
      </c>
      <c r="E111" t="s">
        <v>8629</v>
      </c>
      <c r="F111" t="s">
        <v>13045</v>
      </c>
      <c r="G111">
        <v>183</v>
      </c>
      <c r="I111" t="s">
        <v>13203</v>
      </c>
      <c r="J111" t="s">
        <v>12093</v>
      </c>
    </row>
    <row r="112" spans="1:32">
      <c r="A112" t="s">
        <v>13210</v>
      </c>
      <c r="B112" t="s">
        <v>13001</v>
      </c>
      <c r="C112" t="s">
        <v>13091</v>
      </c>
      <c r="D112">
        <v>0</v>
      </c>
      <c r="F112" t="s">
        <v>13045</v>
      </c>
      <c r="H112" t="s">
        <v>191</v>
      </c>
    </row>
    <row r="113" spans="1:40">
      <c r="A113" t="s">
        <v>13211</v>
      </c>
      <c r="B113" t="s">
        <v>13001</v>
      </c>
      <c r="C113" t="s">
        <v>13091</v>
      </c>
      <c r="D113">
        <v>0</v>
      </c>
      <c r="F113" t="s">
        <v>13045</v>
      </c>
      <c r="H113" t="s">
        <v>191</v>
      </c>
    </row>
    <row r="114" spans="1:40">
      <c r="A114" t="s">
        <v>13212</v>
      </c>
      <c r="B114" t="s">
        <v>13001</v>
      </c>
      <c r="C114" t="s">
        <v>13091</v>
      </c>
      <c r="D114">
        <v>0</v>
      </c>
      <c r="E114" t="s">
        <v>13186</v>
      </c>
      <c r="F114" t="s">
        <v>13045</v>
      </c>
      <c r="G114">
        <v>44</v>
      </c>
      <c r="J114" t="s">
        <v>12093</v>
      </c>
      <c r="AI114" s="39">
        <v>61200000</v>
      </c>
      <c r="AJ114" s="39">
        <v>3700000000000</v>
      </c>
      <c r="AK114">
        <v>0.13800000000000001</v>
      </c>
      <c r="AL114">
        <v>1.1200000000000001</v>
      </c>
      <c r="AM114">
        <v>1.4</v>
      </c>
      <c r="AN114">
        <v>3.26</v>
      </c>
    </row>
    <row r="115" spans="1:40">
      <c r="A115" s="274" t="s">
        <v>13213</v>
      </c>
      <c r="B115" t="s">
        <v>13001</v>
      </c>
      <c r="C115" t="s">
        <v>13091</v>
      </c>
      <c r="D115">
        <v>0</v>
      </c>
      <c r="E115" s="6" t="s">
        <v>13214</v>
      </c>
      <c r="F115" t="s">
        <v>13045</v>
      </c>
      <c r="G115">
        <v>182</v>
      </c>
      <c r="H115" t="s">
        <v>13215</v>
      </c>
      <c r="I115" t="s">
        <v>13216</v>
      </c>
    </row>
    <row r="116" spans="1:40" s="56" customFormat="1">
      <c r="A116" s="276" t="s">
        <v>13217</v>
      </c>
      <c r="B116" s="56" t="s">
        <v>13001</v>
      </c>
      <c r="C116" s="56" t="s">
        <v>13091</v>
      </c>
      <c r="D116" s="56">
        <v>0</v>
      </c>
      <c r="E116" s="56" t="s">
        <v>8629</v>
      </c>
      <c r="F116" s="56" t="s">
        <v>13045</v>
      </c>
      <c r="G116" s="56">
        <v>196</v>
      </c>
      <c r="J116" s="56" t="s">
        <v>12093</v>
      </c>
      <c r="Z116" s="56">
        <v>59845</v>
      </c>
      <c r="AA116" s="56">
        <v>1789</v>
      </c>
      <c r="AB116" s="56">
        <v>11.45</v>
      </c>
      <c r="AC116" s="56">
        <v>11854</v>
      </c>
      <c r="AD116" s="56">
        <v>119598</v>
      </c>
      <c r="AE116" s="56">
        <v>0.88090000000000002</v>
      </c>
      <c r="AF116" s="56">
        <v>10.09</v>
      </c>
    </row>
    <row r="117" spans="1:40" s="56" customFormat="1">
      <c r="A117" s="276" t="s">
        <v>13218</v>
      </c>
      <c r="B117" s="56" t="s">
        <v>13001</v>
      </c>
      <c r="C117" s="56" t="s">
        <v>13091</v>
      </c>
      <c r="D117" s="56">
        <v>-20.7</v>
      </c>
      <c r="E117" s="56" t="s">
        <v>13186</v>
      </c>
      <c r="F117" s="56" t="s">
        <v>13045</v>
      </c>
      <c r="G117" s="56">
        <v>38</v>
      </c>
      <c r="J117" s="56" t="s">
        <v>12093</v>
      </c>
      <c r="S117" s="56">
        <v>-9.4E-2</v>
      </c>
      <c r="T117" s="56">
        <v>382</v>
      </c>
    </row>
    <row r="118" spans="1:40" s="56" customFormat="1">
      <c r="A118" s="276" t="s">
        <v>13219</v>
      </c>
      <c r="B118" s="56" t="s">
        <v>13001</v>
      </c>
      <c r="C118" s="56" t="s">
        <v>13091</v>
      </c>
      <c r="D118" s="56">
        <v>-20.9</v>
      </c>
      <c r="E118" s="56" t="s">
        <v>8629</v>
      </c>
      <c r="F118" s="56" t="s">
        <v>13045</v>
      </c>
      <c r="G118" s="56">
        <v>25</v>
      </c>
      <c r="J118" s="56" t="s">
        <v>12093</v>
      </c>
      <c r="Z118" s="56">
        <v>8136</v>
      </c>
      <c r="AA118" s="56">
        <v>272</v>
      </c>
      <c r="AB118" s="56">
        <v>12.83</v>
      </c>
      <c r="AC118" s="56">
        <v>1428</v>
      </c>
      <c r="AD118" s="56">
        <v>14522</v>
      </c>
      <c r="AE118" s="56">
        <v>0.79249999999999998</v>
      </c>
      <c r="AF118" s="56">
        <v>10.17</v>
      </c>
    </row>
    <row r="119" spans="1:40" s="56" customFormat="1">
      <c r="A119" s="276" t="s">
        <v>13220</v>
      </c>
      <c r="B119" s="56" t="s">
        <v>13001</v>
      </c>
      <c r="C119" s="56" t="s">
        <v>13091</v>
      </c>
      <c r="D119" s="56">
        <v>-20.9</v>
      </c>
      <c r="E119" s="56" t="s">
        <v>8629</v>
      </c>
      <c r="F119" s="56" t="s">
        <v>13045</v>
      </c>
      <c r="G119" s="56">
        <v>796</v>
      </c>
      <c r="J119" s="56" t="s">
        <v>12093</v>
      </c>
      <c r="Z119" s="56">
        <v>242510</v>
      </c>
      <c r="AA119" s="56">
        <v>7300</v>
      </c>
      <c r="AB119" s="56">
        <v>11.532999999999999</v>
      </c>
      <c r="AC119" s="56">
        <v>48363</v>
      </c>
      <c r="AD119" s="56">
        <v>0.872</v>
      </c>
      <c r="AE119" s="56">
        <v>3.1059999999999999</v>
      </c>
      <c r="AF119" s="56">
        <v>10.058</v>
      </c>
    </row>
    <row r="120" spans="1:40" s="56" customFormat="1">
      <c r="A120" s="56" t="s">
        <v>13221</v>
      </c>
      <c r="B120" s="56" t="s">
        <v>13001</v>
      </c>
      <c r="C120" s="56" t="s">
        <v>13091</v>
      </c>
      <c r="D120" s="56">
        <v>-20.7</v>
      </c>
      <c r="E120" s="56" t="s">
        <v>13186</v>
      </c>
      <c r="F120" s="56" t="s">
        <v>13045</v>
      </c>
      <c r="G120" s="56">
        <v>34</v>
      </c>
      <c r="J120" s="56" t="s">
        <v>12093</v>
      </c>
      <c r="S120" s="56">
        <v>-9.1999999999999998E-2</v>
      </c>
      <c r="T120" s="56">
        <v>376</v>
      </c>
    </row>
    <row r="121" spans="1:40" s="56" customFormat="1">
      <c r="A121" s="56" t="s">
        <v>13222</v>
      </c>
      <c r="B121" s="56" t="s">
        <v>13001</v>
      </c>
      <c r="C121" s="56" t="s">
        <v>13091</v>
      </c>
      <c r="D121" s="56">
        <v>-4.0999999999999996</v>
      </c>
      <c r="E121" s="56" t="s">
        <v>13186</v>
      </c>
      <c r="F121" s="56" t="s">
        <v>13045</v>
      </c>
      <c r="G121" s="56">
        <v>49</v>
      </c>
      <c r="J121" s="56" t="s">
        <v>12093</v>
      </c>
      <c r="S121" s="56">
        <v>-9.1999999999999998E-2</v>
      </c>
      <c r="T121" s="56">
        <v>363</v>
      </c>
    </row>
    <row r="122" spans="1:40" s="56" customFormat="1">
      <c r="A122" s="276" t="s">
        <v>13223</v>
      </c>
      <c r="B122" s="56" t="s">
        <v>13001</v>
      </c>
      <c r="C122" s="56" t="s">
        <v>13091</v>
      </c>
      <c r="D122" s="56">
        <v>-4.0999999999999996</v>
      </c>
      <c r="E122" s="56" t="s">
        <v>8629</v>
      </c>
      <c r="F122" s="56" t="s">
        <v>13045</v>
      </c>
      <c r="G122" s="56">
        <v>982</v>
      </c>
      <c r="I122" s="56" t="s">
        <v>13203</v>
      </c>
      <c r="J122" s="56" t="s">
        <v>12093</v>
      </c>
      <c r="Z122" s="56">
        <v>299042</v>
      </c>
      <c r="AA122" s="56">
        <v>8987</v>
      </c>
      <c r="AB122" s="56">
        <v>11.515000000000001</v>
      </c>
      <c r="AC122" s="56">
        <v>59657</v>
      </c>
      <c r="AD122" s="56">
        <v>598140</v>
      </c>
      <c r="AE122" s="56">
        <v>0.87075000000000002</v>
      </c>
      <c r="AF122" s="56">
        <v>10.029999999999999</v>
      </c>
    </row>
    <row r="123" spans="1:40" s="56" customFormat="1">
      <c r="A123" s="56" t="s">
        <v>13224</v>
      </c>
      <c r="B123" s="56" t="s">
        <v>13001</v>
      </c>
      <c r="C123" s="56" t="s">
        <v>13091</v>
      </c>
      <c r="D123" s="56">
        <v>-66.8</v>
      </c>
      <c r="E123" s="56" t="s">
        <v>13186</v>
      </c>
      <c r="F123" s="56" t="s">
        <v>13045</v>
      </c>
      <c r="G123" s="56">
        <v>70</v>
      </c>
      <c r="J123" s="56" t="s">
        <v>12093</v>
      </c>
      <c r="K123" s="131">
        <v>0.44166666666666665</v>
      </c>
      <c r="L123" s="131">
        <v>0.47013888888888888</v>
      </c>
      <c r="M123" s="131">
        <f>L123-K123</f>
        <v>2.8472222222222232E-2</v>
      </c>
      <c r="S123" s="56">
        <v>-9.6000000000000002E-2</v>
      </c>
      <c r="T123" s="56">
        <v>400</v>
      </c>
      <c r="W123" s="56">
        <v>384</v>
      </c>
      <c r="X123" s="56">
        <v>15.4</v>
      </c>
    </row>
    <row r="124" spans="1:40" s="56" customFormat="1">
      <c r="A124" s="276" t="s">
        <v>13225</v>
      </c>
      <c r="B124" s="56" t="s">
        <v>13001</v>
      </c>
      <c r="C124" s="56" t="s">
        <v>13091</v>
      </c>
      <c r="D124" s="56">
        <v>-66.8</v>
      </c>
      <c r="E124" s="56" t="s">
        <v>8629</v>
      </c>
      <c r="F124" s="56" t="s">
        <v>13045</v>
      </c>
      <c r="G124" s="56">
        <v>657</v>
      </c>
      <c r="I124" s="56" t="s">
        <v>13203</v>
      </c>
      <c r="J124" s="56" t="s">
        <v>12093</v>
      </c>
      <c r="K124" s="131">
        <v>0.49513888888888885</v>
      </c>
      <c r="L124" s="131">
        <v>0.53194444444444444</v>
      </c>
      <c r="M124" s="131">
        <f>L124-K124</f>
        <v>3.6805555555555591E-2</v>
      </c>
      <c r="Z124" s="56">
        <v>200749</v>
      </c>
      <c r="AA124" s="56">
        <v>6198</v>
      </c>
      <c r="AB124" s="56">
        <v>11.83</v>
      </c>
      <c r="AC124" s="56">
        <v>39978</v>
      </c>
      <c r="AD124" s="56">
        <v>404791</v>
      </c>
      <c r="AE124" s="56">
        <v>0.85550000000000004</v>
      </c>
      <c r="AF124" s="56">
        <v>10.125</v>
      </c>
    </row>
    <row r="125" spans="1:40" s="56" customFormat="1">
      <c r="A125" s="56" t="s">
        <v>13226</v>
      </c>
      <c r="B125" s="56" t="s">
        <v>13001</v>
      </c>
      <c r="C125" s="56" t="s">
        <v>13091</v>
      </c>
      <c r="D125" s="56">
        <v>-66.8</v>
      </c>
      <c r="E125" s="56" t="s">
        <v>13186</v>
      </c>
      <c r="F125" s="56" t="s">
        <v>13045</v>
      </c>
      <c r="G125" s="56">
        <v>82</v>
      </c>
      <c r="J125" s="56" t="s">
        <v>12093</v>
      </c>
      <c r="S125" s="56">
        <v>-0.1</v>
      </c>
      <c r="T125" s="56">
        <v>400</v>
      </c>
      <c r="W125" s="56">
        <v>371</v>
      </c>
      <c r="X125" s="56">
        <v>15.6</v>
      </c>
    </row>
    <row r="126" spans="1:40" s="56" customFormat="1">
      <c r="A126" s="56" t="s">
        <v>13227</v>
      </c>
      <c r="B126" s="56" t="s">
        <v>13001</v>
      </c>
      <c r="C126" s="56" t="s">
        <v>13091</v>
      </c>
      <c r="D126" s="56">
        <v>97.9</v>
      </c>
      <c r="E126" s="56" t="s">
        <v>13186</v>
      </c>
      <c r="F126" s="56" t="s">
        <v>13045</v>
      </c>
      <c r="G126" s="56">
        <v>45</v>
      </c>
      <c r="J126" s="56" t="s">
        <v>12093</v>
      </c>
      <c r="S126" s="56">
        <v>-9.4E-2</v>
      </c>
      <c r="T126" s="56">
        <v>369</v>
      </c>
      <c r="W126" s="56">
        <v>304</v>
      </c>
      <c r="X126" s="56">
        <v>5.7</v>
      </c>
    </row>
    <row r="127" spans="1:40" s="56" customFormat="1">
      <c r="A127" s="276" t="s">
        <v>13228</v>
      </c>
      <c r="B127" s="56" t="s">
        <v>13001</v>
      </c>
      <c r="C127" s="56" t="s">
        <v>13091</v>
      </c>
      <c r="D127" s="56">
        <v>97.9</v>
      </c>
      <c r="E127" s="56" t="s">
        <v>8629</v>
      </c>
      <c r="F127" s="56" t="s">
        <v>13045</v>
      </c>
      <c r="G127" s="56">
        <v>718</v>
      </c>
      <c r="I127" s="56" t="s">
        <v>13203</v>
      </c>
      <c r="J127" s="56" t="s">
        <v>12093</v>
      </c>
      <c r="M127" s="56">
        <v>20.594166999999999</v>
      </c>
      <c r="Z127" s="56">
        <v>218910</v>
      </c>
      <c r="AA127" s="56">
        <v>6829</v>
      </c>
      <c r="AB127" s="56">
        <v>11.954000000000001</v>
      </c>
      <c r="AC127" s="56">
        <v>43655</v>
      </c>
      <c r="AD127" s="56">
        <v>441355</v>
      </c>
      <c r="AE127" s="56">
        <v>0.84530000000000005</v>
      </c>
      <c r="AF127" s="56">
        <v>10.11</v>
      </c>
    </row>
    <row r="128" spans="1:40" s="56" customFormat="1">
      <c r="A128" s="56" t="s">
        <v>13229</v>
      </c>
      <c r="B128" s="56" t="s">
        <v>13001</v>
      </c>
      <c r="C128" s="56" t="s">
        <v>13091</v>
      </c>
      <c r="D128" s="56">
        <v>97.8</v>
      </c>
      <c r="E128" s="56" t="s">
        <v>13186</v>
      </c>
      <c r="F128" s="56" t="s">
        <v>13045</v>
      </c>
      <c r="G128" s="56">
        <v>43</v>
      </c>
      <c r="J128" s="56" t="s">
        <v>12093</v>
      </c>
      <c r="K128" s="56">
        <f>G128*4</f>
        <v>172</v>
      </c>
      <c r="M128" s="56">
        <v>25.080556000000001</v>
      </c>
      <c r="S128" s="56">
        <v>-9.6000000000000002E-2</v>
      </c>
      <c r="T128" s="56">
        <v>379</v>
      </c>
    </row>
    <row r="129" spans="1:32" s="55" customFormat="1">
      <c r="A129" s="55" t="s">
        <v>13230</v>
      </c>
      <c r="B129" s="55" t="s">
        <v>13001</v>
      </c>
      <c r="C129" s="55" t="s">
        <v>13091</v>
      </c>
      <c r="D129" s="55">
        <v>-79.400000000000006</v>
      </c>
      <c r="E129" s="55" t="s">
        <v>13186</v>
      </c>
      <c r="F129" s="55" t="s">
        <v>13045</v>
      </c>
      <c r="G129" s="55">
        <v>59</v>
      </c>
      <c r="J129" s="55" t="s">
        <v>12093</v>
      </c>
      <c r="M129" s="55">
        <f>M128+M127</f>
        <v>45.674723</v>
      </c>
      <c r="S129" s="55">
        <v>-4.8000000000000001E-2</v>
      </c>
      <c r="T129" s="55">
        <v>201</v>
      </c>
      <c r="W129" s="55">
        <v>365</v>
      </c>
      <c r="X129" s="55">
        <v>13.5</v>
      </c>
    </row>
    <row r="130" spans="1:32" s="55" customFormat="1">
      <c r="A130" s="275" t="s">
        <v>13231</v>
      </c>
      <c r="B130" s="55" t="s">
        <v>13001</v>
      </c>
      <c r="C130" s="55" t="s">
        <v>13091</v>
      </c>
      <c r="D130" s="55">
        <v>-79.7</v>
      </c>
      <c r="E130" s="55" t="s">
        <v>8629</v>
      </c>
      <c r="F130" s="55" t="s">
        <v>13045</v>
      </c>
      <c r="G130" s="55">
        <v>747</v>
      </c>
      <c r="I130" s="55" t="s">
        <v>13203</v>
      </c>
      <c r="J130" s="55" t="s">
        <v>12093</v>
      </c>
      <c r="P130" s="55">
        <f>G130+G132+G134+G137+G139+G141+G143+G145</f>
        <v>3428</v>
      </c>
      <c r="Z130" s="55">
        <v>228218</v>
      </c>
      <c r="AA130" s="55">
        <v>6946</v>
      </c>
      <c r="AB130" s="55">
        <v>11.664</v>
      </c>
      <c r="AC130" s="55">
        <v>45468</v>
      </c>
      <c r="AD130" s="55">
        <v>463969</v>
      </c>
      <c r="AE130" s="55">
        <v>0.87490000000000001</v>
      </c>
      <c r="AF130" s="55">
        <v>10.204000000000001</v>
      </c>
    </row>
    <row r="131" spans="1:32" s="55" customFormat="1">
      <c r="A131" s="55" t="s">
        <v>13232</v>
      </c>
      <c r="B131" s="55" t="s">
        <v>13001</v>
      </c>
      <c r="C131" s="55" t="s">
        <v>13091</v>
      </c>
      <c r="D131" s="55">
        <v>-80.2</v>
      </c>
      <c r="E131" s="55" t="s">
        <v>13186</v>
      </c>
      <c r="F131" s="55" t="s">
        <v>13045</v>
      </c>
      <c r="G131" s="55">
        <v>103</v>
      </c>
      <c r="J131" s="55" t="s">
        <v>12093</v>
      </c>
      <c r="M131" s="55">
        <v>84</v>
      </c>
      <c r="N131" s="55">
        <f>1+M131/3.8</f>
        <v>23.105263157894736</v>
      </c>
      <c r="P131" s="55">
        <f>P130/60</f>
        <v>57.133333333333333</v>
      </c>
      <c r="S131" s="55">
        <v>-0.05</v>
      </c>
      <c r="T131" s="55">
        <v>207</v>
      </c>
      <c r="W131" s="55">
        <v>371</v>
      </c>
      <c r="X131" s="55">
        <v>12.9</v>
      </c>
    </row>
    <row r="132" spans="1:32" s="55" customFormat="1">
      <c r="A132" s="275" t="s">
        <v>13233</v>
      </c>
      <c r="B132" s="55" t="s">
        <v>13001</v>
      </c>
      <c r="C132" s="55" t="s">
        <v>13091</v>
      </c>
      <c r="D132" s="55">
        <v>-80.3</v>
      </c>
      <c r="E132" s="55" t="s">
        <v>8629</v>
      </c>
      <c r="F132" s="55" t="s">
        <v>13045</v>
      </c>
      <c r="G132" s="55">
        <v>531</v>
      </c>
      <c r="I132" s="55" t="s">
        <v>13203</v>
      </c>
      <c r="J132" s="55" t="s">
        <v>12093</v>
      </c>
      <c r="M132" s="55">
        <v>80</v>
      </c>
      <c r="N132" s="55">
        <f>1+M132/3.8</f>
        <v>22.05263157894737</v>
      </c>
      <c r="Z132" s="55">
        <v>162517</v>
      </c>
      <c r="AA132" s="55">
        <v>5120</v>
      </c>
      <c r="AB132" s="55">
        <v>12.08</v>
      </c>
      <c r="AC132" s="55">
        <v>32322</v>
      </c>
      <c r="AD132" s="55">
        <v>331569</v>
      </c>
      <c r="AE132" s="55">
        <v>0.85</v>
      </c>
      <c r="AF132" s="55">
        <v>10.26</v>
      </c>
    </row>
    <row r="133" spans="1:32" s="55" customFormat="1">
      <c r="A133" s="275" t="s">
        <v>13234</v>
      </c>
      <c r="B133" s="55" t="s">
        <v>13001</v>
      </c>
      <c r="C133" s="55" t="s">
        <v>13091</v>
      </c>
      <c r="D133" s="55">
        <v>-80.3</v>
      </c>
      <c r="E133" s="55" t="s">
        <v>13186</v>
      </c>
      <c r="F133" s="55" t="s">
        <v>13045</v>
      </c>
      <c r="G133" s="55">
        <v>30</v>
      </c>
      <c r="J133" s="55" t="s">
        <v>12093</v>
      </c>
      <c r="N133" s="55">
        <f>N132/N131</f>
        <v>0.95444191343963558</v>
      </c>
      <c r="S133" s="55">
        <v>-4.8000000000000001E-2</v>
      </c>
      <c r="T133" s="55">
        <v>203</v>
      </c>
      <c r="W133" s="55">
        <v>367</v>
      </c>
      <c r="X133" s="55">
        <v>13.7</v>
      </c>
    </row>
    <row r="134" spans="1:32" s="55" customFormat="1">
      <c r="A134" s="275" t="s">
        <v>13235</v>
      </c>
      <c r="B134" s="55" t="s">
        <v>13001</v>
      </c>
      <c r="C134" s="55" t="s">
        <v>13091</v>
      </c>
      <c r="D134" s="55">
        <v>-80.3</v>
      </c>
      <c r="E134" s="55" t="s">
        <v>8629</v>
      </c>
      <c r="F134" s="55" t="s">
        <v>13045</v>
      </c>
      <c r="G134" s="55">
        <v>273</v>
      </c>
      <c r="J134" s="55" t="s">
        <v>12093</v>
      </c>
      <c r="Z134" s="55">
        <v>63481</v>
      </c>
      <c r="AA134" s="55">
        <v>1972</v>
      </c>
      <c r="AB134" s="55">
        <v>11.907999999999999</v>
      </c>
      <c r="AC134" s="55">
        <v>12500</v>
      </c>
      <c r="AD134" s="55">
        <v>128740</v>
      </c>
      <c r="AE134" s="55">
        <v>0.8649</v>
      </c>
      <c r="AF134" s="55">
        <v>10.3</v>
      </c>
    </row>
    <row r="135" spans="1:32" s="55" customFormat="1">
      <c r="A135" s="55" t="s">
        <v>13236</v>
      </c>
      <c r="B135" s="55" t="s">
        <v>13001</v>
      </c>
      <c r="C135" s="55" t="s">
        <v>13091</v>
      </c>
      <c r="D135" s="55">
        <v>-80.3</v>
      </c>
      <c r="E135" s="55" t="s">
        <v>13186</v>
      </c>
      <c r="F135" s="55" t="s">
        <v>13045</v>
      </c>
      <c r="G135" s="55">
        <v>44</v>
      </c>
      <c r="J135" s="55" t="s">
        <v>12093</v>
      </c>
      <c r="S135" s="55">
        <v>-4.4999999999999998E-2</v>
      </c>
      <c r="T135" s="55">
        <v>195</v>
      </c>
      <c r="W135" s="55">
        <v>394</v>
      </c>
      <c r="X135" s="55">
        <v>16.3</v>
      </c>
    </row>
    <row r="136" spans="1:32" s="55" customFormat="1">
      <c r="A136" s="275" t="s">
        <v>13237</v>
      </c>
      <c r="B136" s="55" t="s">
        <v>13001</v>
      </c>
      <c r="C136" s="55" t="s">
        <v>13091</v>
      </c>
      <c r="D136" s="55">
        <v>-80.599999999999994</v>
      </c>
      <c r="E136" s="55" t="s">
        <v>8629</v>
      </c>
      <c r="F136" s="55" t="s">
        <v>13045</v>
      </c>
      <c r="G136" s="55">
        <v>4</v>
      </c>
      <c r="H136" s="267" t="s">
        <v>13238</v>
      </c>
      <c r="I136" s="55" t="s">
        <v>13216</v>
      </c>
      <c r="J136" s="267" t="s">
        <v>13239</v>
      </c>
    </row>
    <row r="137" spans="1:32" s="55" customFormat="1">
      <c r="A137" s="275" t="s">
        <v>13240</v>
      </c>
      <c r="B137" s="55" t="s">
        <v>13001</v>
      </c>
      <c r="C137" s="55" t="s">
        <v>13091</v>
      </c>
      <c r="D137" s="55">
        <v>-80.7</v>
      </c>
      <c r="E137" s="55" t="s">
        <v>8629</v>
      </c>
      <c r="F137" s="55" t="s">
        <v>13045</v>
      </c>
      <c r="G137" s="55">
        <v>111</v>
      </c>
      <c r="J137" s="55" t="s">
        <v>12093</v>
      </c>
      <c r="Z137" s="55">
        <v>33981</v>
      </c>
      <c r="AA137" s="55">
        <v>1030</v>
      </c>
      <c r="AB137" s="55">
        <v>11.615</v>
      </c>
      <c r="AC137" s="55">
        <v>6675</v>
      </c>
      <c r="AD137" s="55">
        <v>68508</v>
      </c>
      <c r="AE137" s="55">
        <v>0.88360000000000005</v>
      </c>
      <c r="AF137" s="55">
        <v>10.26</v>
      </c>
    </row>
    <row r="138" spans="1:32" s="55" customFormat="1">
      <c r="A138" s="55" t="s">
        <v>13241</v>
      </c>
      <c r="B138" s="55" t="s">
        <v>13001</v>
      </c>
      <c r="C138" s="55" t="s">
        <v>13091</v>
      </c>
      <c r="D138" s="55">
        <v>-80</v>
      </c>
      <c r="E138" s="55" t="s">
        <v>13186</v>
      </c>
      <c r="F138" s="55" t="s">
        <v>13045</v>
      </c>
      <c r="G138" s="55">
        <v>42</v>
      </c>
      <c r="J138" s="55" t="s">
        <v>12093</v>
      </c>
      <c r="S138" s="55">
        <v>-4.4999999999999998E-2</v>
      </c>
      <c r="T138" s="55">
        <v>195</v>
      </c>
      <c r="W138" s="55">
        <v>400</v>
      </c>
      <c r="X138" s="55">
        <v>12.1</v>
      </c>
    </row>
    <row r="139" spans="1:32" s="55" customFormat="1">
      <c r="A139" s="275" t="s">
        <v>13242</v>
      </c>
      <c r="B139" s="55" t="s">
        <v>13001</v>
      </c>
      <c r="C139" s="55" t="s">
        <v>13091</v>
      </c>
      <c r="D139" s="55">
        <v>-80</v>
      </c>
      <c r="E139" s="55" t="s">
        <v>8629</v>
      </c>
      <c r="F139" s="55" t="s">
        <v>13045</v>
      </c>
      <c r="G139" s="55">
        <v>636</v>
      </c>
      <c r="I139" s="55" t="s">
        <v>13203</v>
      </c>
      <c r="J139" s="55" t="s">
        <v>12093</v>
      </c>
      <c r="Z139" s="55">
        <v>192097</v>
      </c>
      <c r="AA139" s="55">
        <v>5961</v>
      </c>
      <c r="AB139" s="55">
        <v>11.895</v>
      </c>
      <c r="AC139" s="55">
        <v>38629</v>
      </c>
      <c r="AD139" s="55">
        <v>396443</v>
      </c>
      <c r="AE139" s="55">
        <v>0.86270000000000002</v>
      </c>
      <c r="AF139" s="55">
        <v>10.26</v>
      </c>
    </row>
    <row r="140" spans="1:32" s="55" customFormat="1">
      <c r="A140" s="275" t="s">
        <v>13243</v>
      </c>
      <c r="B140" s="55" t="s">
        <v>13001</v>
      </c>
      <c r="C140" s="55" t="s">
        <v>13091</v>
      </c>
      <c r="D140" s="55">
        <v>-78.900000000000006</v>
      </c>
      <c r="E140" s="55" t="s">
        <v>13186</v>
      </c>
      <c r="F140" s="55" t="s">
        <v>13045</v>
      </c>
      <c r="G140" s="55">
        <v>45</v>
      </c>
      <c r="J140" s="55" t="s">
        <v>12093</v>
      </c>
      <c r="S140" s="55">
        <v>-4.4999999999999998E-2</v>
      </c>
      <c r="T140" s="55">
        <v>195</v>
      </c>
      <c r="W140" s="55">
        <v>399</v>
      </c>
      <c r="X140" s="55">
        <v>13.2</v>
      </c>
    </row>
    <row r="141" spans="1:32" s="55" customFormat="1">
      <c r="A141" s="275" t="s">
        <v>13244</v>
      </c>
      <c r="B141" s="55" t="s">
        <v>13001</v>
      </c>
      <c r="C141" s="55" t="s">
        <v>13091</v>
      </c>
      <c r="D141" s="55">
        <v>-78.900000000000006</v>
      </c>
      <c r="E141" s="55" t="s">
        <v>8629</v>
      </c>
      <c r="F141" s="55" t="s">
        <v>13045</v>
      </c>
      <c r="G141" s="55">
        <v>689</v>
      </c>
      <c r="J141" s="55" t="s">
        <v>12093</v>
      </c>
      <c r="Z141" s="55">
        <v>208056</v>
      </c>
      <c r="AA141" s="55">
        <v>6371</v>
      </c>
      <c r="AB141" s="55">
        <v>11.74</v>
      </c>
      <c r="AC141" s="55">
        <v>41783</v>
      </c>
      <c r="AD141" s="55">
        <v>424440</v>
      </c>
      <c r="AE141" s="55">
        <v>0.86550000000000005</v>
      </c>
      <c r="AF141" s="55">
        <v>10.16</v>
      </c>
    </row>
    <row r="142" spans="1:32" s="55" customFormat="1">
      <c r="A142" s="55" t="s">
        <v>13245</v>
      </c>
      <c r="B142" s="55" t="s">
        <v>13001</v>
      </c>
      <c r="C142" s="55" t="s">
        <v>13091</v>
      </c>
      <c r="D142" s="55">
        <v>-81.099999999999994</v>
      </c>
      <c r="E142" s="55" t="s">
        <v>13186</v>
      </c>
      <c r="F142" s="55" t="s">
        <v>13045</v>
      </c>
      <c r="G142" s="55">
        <v>77</v>
      </c>
      <c r="J142" s="55" t="s">
        <v>12093</v>
      </c>
      <c r="S142" s="55">
        <v>-4.4999999999999998E-2</v>
      </c>
      <c r="T142" s="55">
        <v>195</v>
      </c>
      <c r="W142" s="55">
        <v>393</v>
      </c>
      <c r="X142" s="55">
        <v>12.8</v>
      </c>
    </row>
    <row r="143" spans="1:32" s="55" customFormat="1">
      <c r="A143" s="275" t="s">
        <v>13246</v>
      </c>
      <c r="B143" s="55" t="s">
        <v>13001</v>
      </c>
      <c r="C143" s="55" t="s">
        <v>13091</v>
      </c>
      <c r="D143" s="55">
        <v>-81.3</v>
      </c>
      <c r="E143" s="55" t="s">
        <v>8629</v>
      </c>
      <c r="F143" s="55" t="s">
        <v>13045</v>
      </c>
      <c r="G143" s="55">
        <v>303</v>
      </c>
      <c r="I143" s="55" t="s">
        <v>13203</v>
      </c>
      <c r="J143" s="55" t="s">
        <v>12093</v>
      </c>
      <c r="Z143" s="55">
        <v>91654</v>
      </c>
      <c r="AA143" s="55">
        <v>2886</v>
      </c>
      <c r="AB143" s="55">
        <v>12.07</v>
      </c>
      <c r="AC143" s="55">
        <v>18350</v>
      </c>
      <c r="AD143" s="55">
        <v>187534</v>
      </c>
      <c r="AE143" s="55">
        <v>0.84599999999999997</v>
      </c>
      <c r="AF143" s="55">
        <v>10.220000000000001</v>
      </c>
    </row>
    <row r="144" spans="1:32" s="55" customFormat="1">
      <c r="A144" s="275" t="s">
        <v>13247</v>
      </c>
      <c r="B144" s="55" t="s">
        <v>13001</v>
      </c>
      <c r="C144" s="55" t="s">
        <v>13091</v>
      </c>
      <c r="D144" s="55">
        <v>-81.400000000000006</v>
      </c>
      <c r="E144" s="55" t="s">
        <v>13186</v>
      </c>
      <c r="F144" s="55" t="s">
        <v>13045</v>
      </c>
      <c r="G144" s="55">
        <v>49</v>
      </c>
      <c r="J144" s="55" t="s">
        <v>12093</v>
      </c>
      <c r="S144" s="55">
        <v>-4.4999999999999998E-2</v>
      </c>
      <c r="T144" s="55">
        <v>195</v>
      </c>
      <c r="W144" s="55">
        <v>410</v>
      </c>
      <c r="X144" s="55">
        <v>15.8</v>
      </c>
    </row>
    <row r="145" spans="1:40" s="55" customFormat="1">
      <c r="A145" s="275" t="s">
        <v>13248</v>
      </c>
      <c r="B145" s="55" t="s">
        <v>13001</v>
      </c>
      <c r="C145" s="55" t="s">
        <v>13091</v>
      </c>
      <c r="D145" s="55">
        <v>-81.400000000000006</v>
      </c>
      <c r="E145" s="55" t="s">
        <v>8629</v>
      </c>
      <c r="F145" s="55" t="s">
        <v>13045</v>
      </c>
      <c r="G145" s="55">
        <v>138</v>
      </c>
      <c r="J145" s="55" t="s">
        <v>12093</v>
      </c>
      <c r="Z145" s="55">
        <v>41989</v>
      </c>
      <c r="AA145" s="55">
        <v>1340</v>
      </c>
      <c r="AB145" s="55">
        <v>12.24</v>
      </c>
      <c r="AC145" s="55">
        <v>8282</v>
      </c>
      <c r="AD145" s="55">
        <v>85035</v>
      </c>
      <c r="AE145" s="55">
        <v>0.83899999999999997</v>
      </c>
      <c r="AF145" s="55">
        <v>10.27</v>
      </c>
    </row>
    <row r="146" spans="1:40" s="55" customFormat="1">
      <c r="A146" s="55" t="s">
        <v>13249</v>
      </c>
      <c r="B146" s="55" t="s">
        <v>13001</v>
      </c>
      <c r="C146" s="55" t="s">
        <v>13091</v>
      </c>
      <c r="F146" s="55" t="s">
        <v>13045</v>
      </c>
      <c r="H146" s="267" t="s">
        <v>1853</v>
      </c>
      <c r="J146" s="267" t="s">
        <v>13239</v>
      </c>
    </row>
    <row r="147" spans="1:40" s="55" customFormat="1">
      <c r="A147" s="55" t="s">
        <v>13250</v>
      </c>
      <c r="B147" s="55" t="s">
        <v>13001</v>
      </c>
      <c r="C147" s="55" t="s">
        <v>13091</v>
      </c>
      <c r="D147" s="55">
        <v>-81.400000000000006</v>
      </c>
      <c r="E147" s="55" t="s">
        <v>13186</v>
      </c>
      <c r="F147" s="55" t="s">
        <v>13045</v>
      </c>
      <c r="G147" s="55">
        <v>758</v>
      </c>
      <c r="H147" s="55" t="s">
        <v>13251</v>
      </c>
      <c r="J147" s="55" t="s">
        <v>12093</v>
      </c>
      <c r="S147" s="55">
        <v>-2.5000000000000001E-2</v>
      </c>
      <c r="T147" s="55">
        <v>128.80000000000001</v>
      </c>
      <c r="W147" s="55" t="s">
        <v>13252</v>
      </c>
    </row>
    <row r="148" spans="1:40" s="56" customFormat="1" hidden="1">
      <c r="A148" s="56" t="s">
        <v>13253</v>
      </c>
      <c r="B148" s="56" t="s">
        <v>13001</v>
      </c>
      <c r="C148" s="56" t="s">
        <v>13093</v>
      </c>
      <c r="D148" s="56">
        <v>0</v>
      </c>
      <c r="E148" s="56" t="s">
        <v>13186</v>
      </c>
      <c r="F148" s="56" t="s">
        <v>13045</v>
      </c>
      <c r="G148" s="56">
        <v>37</v>
      </c>
      <c r="J148" s="56" t="s">
        <v>12093</v>
      </c>
      <c r="AI148" s="273">
        <v>108000000</v>
      </c>
      <c r="AJ148" s="273">
        <v>22200000000000</v>
      </c>
      <c r="AK148" s="56">
        <v>0.216</v>
      </c>
      <c r="AL148" s="56">
        <v>0.83699999999999997</v>
      </c>
      <c r="AM148" s="56">
        <v>0.88800000000000001</v>
      </c>
      <c r="AN148" s="56">
        <v>3.15</v>
      </c>
    </row>
    <row r="149" spans="1:40" s="56" customFormat="1" hidden="1">
      <c r="A149" s="276" t="s">
        <v>13254</v>
      </c>
      <c r="B149" s="56" t="s">
        <v>13001</v>
      </c>
      <c r="C149" s="56" t="s">
        <v>13093</v>
      </c>
      <c r="D149" s="56">
        <v>0</v>
      </c>
      <c r="E149" s="56" t="s">
        <v>8629</v>
      </c>
      <c r="F149" s="56" t="s">
        <v>13045</v>
      </c>
      <c r="G149" s="56">
        <v>1095</v>
      </c>
      <c r="I149" s="56" t="s">
        <v>13203</v>
      </c>
      <c r="J149" s="56" t="s">
        <v>12093</v>
      </c>
    </row>
    <row r="150" spans="1:40" s="56" customFormat="1" hidden="1">
      <c r="A150" s="56" t="s">
        <v>13255</v>
      </c>
      <c r="B150" s="56" t="s">
        <v>13001</v>
      </c>
      <c r="C150" s="56" t="s">
        <v>13093</v>
      </c>
      <c r="D150" s="56">
        <v>-4.0999999999999996</v>
      </c>
      <c r="E150" s="56" t="s">
        <v>13186</v>
      </c>
      <c r="F150" s="56" t="s">
        <v>13045</v>
      </c>
      <c r="G150" s="56">
        <v>57</v>
      </c>
      <c r="J150" s="56" t="s">
        <v>12093</v>
      </c>
    </row>
    <row r="151" spans="1:40" s="56" customFormat="1" hidden="1">
      <c r="A151" s="276" t="s">
        <v>13256</v>
      </c>
      <c r="B151" s="56" t="s">
        <v>13001</v>
      </c>
      <c r="C151" s="56" t="s">
        <v>13093</v>
      </c>
      <c r="D151" s="56">
        <v>-4.0999999999999996</v>
      </c>
      <c r="E151" s="56" t="s">
        <v>8629</v>
      </c>
      <c r="F151" s="56" t="s">
        <v>13045</v>
      </c>
      <c r="G151" s="56">
        <v>185</v>
      </c>
      <c r="I151" s="56" t="s">
        <v>13203</v>
      </c>
      <c r="J151" s="56" t="s">
        <v>12093</v>
      </c>
      <c r="Z151" s="56">
        <v>56316</v>
      </c>
      <c r="AA151" s="56">
        <v>968</v>
      </c>
      <c r="AB151" s="56">
        <v>6.5430000000000001</v>
      </c>
      <c r="AC151" s="56">
        <v>11072</v>
      </c>
      <c r="AD151" s="56">
        <v>60625</v>
      </c>
      <c r="AE151" s="56">
        <v>0.83699999999999997</v>
      </c>
      <c r="AF151" s="56">
        <v>5.4749999999999996</v>
      </c>
    </row>
    <row r="152" spans="1:40" s="56" customFormat="1" hidden="1">
      <c r="A152" s="56" t="s">
        <v>13257</v>
      </c>
      <c r="B152" s="56" t="s">
        <v>13001</v>
      </c>
      <c r="C152" s="56" t="s">
        <v>13093</v>
      </c>
      <c r="D152" s="56">
        <v>-21.1</v>
      </c>
      <c r="E152" s="56" t="s">
        <v>13186</v>
      </c>
      <c r="F152" s="56" t="s">
        <v>13045</v>
      </c>
      <c r="G152" s="56">
        <v>49</v>
      </c>
      <c r="J152" s="56" t="s">
        <v>12093</v>
      </c>
      <c r="S152" s="56">
        <v>-3.5000000000000003E-2</v>
      </c>
      <c r="T152" s="56">
        <v>118</v>
      </c>
    </row>
    <row r="153" spans="1:40" s="56" customFormat="1" hidden="1">
      <c r="A153" s="276" t="s">
        <v>13258</v>
      </c>
      <c r="B153" s="56" t="s">
        <v>13001</v>
      </c>
      <c r="C153" s="56" t="s">
        <v>13093</v>
      </c>
      <c r="D153" s="56">
        <v>-21.2</v>
      </c>
      <c r="E153" s="56" t="s">
        <v>8629</v>
      </c>
      <c r="F153" s="56" t="s">
        <v>13045</v>
      </c>
      <c r="G153" s="56">
        <v>54</v>
      </c>
      <c r="I153" s="56" t="s">
        <v>13203</v>
      </c>
      <c r="J153" s="56" t="s">
        <v>12093</v>
      </c>
      <c r="Z153" s="56">
        <v>16844</v>
      </c>
      <c r="AA153" s="56">
        <v>293</v>
      </c>
      <c r="AB153" s="56">
        <v>6.6219999999999999</v>
      </c>
      <c r="AC153" s="56">
        <v>3223</v>
      </c>
      <c r="AD153" s="56">
        <v>17173</v>
      </c>
      <c r="AE153" s="56">
        <v>0.80500000000000005</v>
      </c>
      <c r="AF153" s="56">
        <v>5.3280000000000003</v>
      </c>
    </row>
    <row r="154" spans="1:40" s="56" customFormat="1" hidden="1">
      <c r="A154" s="276" t="s">
        <v>13259</v>
      </c>
      <c r="B154" s="56" t="s">
        <v>13001</v>
      </c>
      <c r="C154" s="56" t="s">
        <v>13093</v>
      </c>
      <c r="D154" s="56">
        <v>-21.3</v>
      </c>
      <c r="E154" s="56" t="s">
        <v>8629</v>
      </c>
      <c r="F154" s="56" t="s">
        <v>13045</v>
      </c>
      <c r="G154" s="56">
        <v>113</v>
      </c>
      <c r="J154" s="56" t="s">
        <v>12093</v>
      </c>
      <c r="Z154" s="56">
        <v>35185</v>
      </c>
      <c r="AA154" s="56">
        <v>564</v>
      </c>
      <c r="AB154" s="56">
        <v>6.0970000000000004</v>
      </c>
      <c r="AC154" s="56">
        <v>6838</v>
      </c>
      <c r="AD154" s="56">
        <v>36892</v>
      </c>
      <c r="AE154" s="56">
        <v>0.88470000000000004</v>
      </c>
      <c r="AF154" s="56">
        <v>5.3949999999999996</v>
      </c>
    </row>
    <row r="155" spans="1:40" s="56" customFormat="1" hidden="1">
      <c r="A155" s="276" t="s">
        <v>13260</v>
      </c>
      <c r="B155" s="56" t="s">
        <v>13001</v>
      </c>
      <c r="C155" s="56" t="s">
        <v>13093</v>
      </c>
      <c r="D155" s="56">
        <v>-82.3</v>
      </c>
      <c r="E155" s="56" t="s">
        <v>13186</v>
      </c>
      <c r="F155" s="56" t="s">
        <v>13045</v>
      </c>
      <c r="G155" s="56">
        <v>48</v>
      </c>
      <c r="J155" s="56" t="s">
        <v>12093</v>
      </c>
      <c r="S155" s="56">
        <v>-5.1666666666666597E-2</v>
      </c>
      <c r="T155" s="56">
        <v>179.166666666666</v>
      </c>
      <c r="W155" s="56">
        <v>325</v>
      </c>
      <c r="X155" s="56">
        <v>13.5</v>
      </c>
    </row>
    <row r="156" spans="1:40" s="56" customFormat="1" hidden="1">
      <c r="A156" s="276" t="s">
        <v>13261</v>
      </c>
      <c r="B156" s="56" t="s">
        <v>13001</v>
      </c>
      <c r="C156" s="56" t="s">
        <v>13093</v>
      </c>
      <c r="D156" s="56">
        <v>-82.5</v>
      </c>
      <c r="E156" s="56" t="s">
        <v>8629</v>
      </c>
      <c r="F156" s="56" t="s">
        <v>13045</v>
      </c>
      <c r="G156" s="56">
        <v>906</v>
      </c>
      <c r="J156" s="56" t="s">
        <v>12093</v>
      </c>
      <c r="Z156" s="56">
        <v>272050</v>
      </c>
      <c r="AA156" s="56">
        <v>4451</v>
      </c>
      <c r="AB156" s="56">
        <v>6.2249999999999996</v>
      </c>
      <c r="AC156" s="56">
        <v>90290</v>
      </c>
      <c r="AD156" s="56">
        <v>296401</v>
      </c>
      <c r="AE156" s="56">
        <v>0.52700000000000002</v>
      </c>
      <c r="AF156" s="56">
        <v>3.2829999999999999</v>
      </c>
    </row>
    <row r="157" spans="1:40" s="56" customFormat="1" hidden="1">
      <c r="A157" s="56" t="s">
        <v>13262</v>
      </c>
      <c r="B157" s="56" t="s">
        <v>13001</v>
      </c>
      <c r="C157" s="56" t="s">
        <v>13093</v>
      </c>
      <c r="D157" s="56">
        <v>0</v>
      </c>
      <c r="E157" s="56" t="s">
        <v>13263</v>
      </c>
      <c r="F157" s="56" t="s">
        <v>13045</v>
      </c>
      <c r="G157" s="265">
        <v>51</v>
      </c>
      <c r="H157" s="56" t="s">
        <v>13264</v>
      </c>
      <c r="J157" s="56" t="s">
        <v>12093</v>
      </c>
      <c r="AI157" s="273">
        <v>66600000</v>
      </c>
      <c r="AJ157" s="273">
        <v>12900000000000</v>
      </c>
      <c r="AK157" s="56">
        <v>0.182</v>
      </c>
      <c r="AL157" s="56">
        <v>0.92600000000000005</v>
      </c>
      <c r="AM157" s="56">
        <v>0.91700000000000004</v>
      </c>
      <c r="AN157" s="56">
        <v>2.5099999999999998</v>
      </c>
    </row>
    <row r="158" spans="1:40" s="56" customFormat="1" hidden="1">
      <c r="A158" s="56" t="s">
        <v>13265</v>
      </c>
      <c r="B158" s="56" t="s">
        <v>13001</v>
      </c>
      <c r="C158" s="56" t="s">
        <v>13093</v>
      </c>
      <c r="F158" s="56" t="s">
        <v>13045</v>
      </c>
      <c r="G158" s="265"/>
      <c r="H158" s="268" t="s">
        <v>1853</v>
      </c>
      <c r="J158" s="56" t="s">
        <v>13239</v>
      </c>
    </row>
    <row r="159" spans="1:40" s="55" customFormat="1" hidden="1">
      <c r="A159" s="55" t="s">
        <v>13266</v>
      </c>
      <c r="B159" s="55" t="s">
        <v>13001</v>
      </c>
      <c r="C159" s="55" t="s">
        <v>13093</v>
      </c>
      <c r="D159" s="55">
        <v>-83.4</v>
      </c>
      <c r="E159" s="55" t="s">
        <v>13263</v>
      </c>
      <c r="F159" s="55" t="s">
        <v>13045</v>
      </c>
      <c r="G159" s="266">
        <v>1026</v>
      </c>
      <c r="H159" s="55" t="s">
        <v>13267</v>
      </c>
      <c r="J159" s="55" t="s">
        <v>12093</v>
      </c>
      <c r="P159" s="55">
        <f>G159/60</f>
        <v>17.100000000000001</v>
      </c>
    </row>
    <row r="160" spans="1:40" s="56" customFormat="1">
      <c r="A160" s="56" t="s">
        <v>13268</v>
      </c>
      <c r="B160" s="56" t="s">
        <v>13001</v>
      </c>
      <c r="C160" s="56" t="s">
        <v>13091</v>
      </c>
      <c r="D160" s="56">
        <v>-82.5</v>
      </c>
      <c r="E160" s="56" t="s">
        <v>13263</v>
      </c>
      <c r="F160" s="56" t="s">
        <v>13045</v>
      </c>
      <c r="G160" s="265">
        <v>3122</v>
      </c>
      <c r="H160" s="56" t="s">
        <v>13264</v>
      </c>
      <c r="J160" s="56" t="s">
        <v>12093</v>
      </c>
      <c r="P160" s="56">
        <f>G160/60</f>
        <v>52.033333333333331</v>
      </c>
      <c r="S160" s="56">
        <v>-5.2499999999999998E-2</v>
      </c>
      <c r="T160" s="56">
        <v>196</v>
      </c>
    </row>
    <row r="161" spans="1:36">
      <c r="A161" t="s">
        <v>13269</v>
      </c>
      <c r="B161" t="s">
        <v>13001</v>
      </c>
      <c r="C161" t="s">
        <v>13091</v>
      </c>
      <c r="D161">
        <v>-82.5</v>
      </c>
      <c r="E161" t="s">
        <v>13263</v>
      </c>
      <c r="F161" t="s">
        <v>13045</v>
      </c>
      <c r="H161" t="s">
        <v>13270</v>
      </c>
      <c r="J161" t="s">
        <v>13271</v>
      </c>
      <c r="L161" t="s">
        <v>13272</v>
      </c>
      <c r="S161">
        <v>-4.6875E-2</v>
      </c>
      <c r="T161">
        <v>183.75</v>
      </c>
      <c r="W161">
        <v>366</v>
      </c>
      <c r="X161">
        <v>13.8</v>
      </c>
    </row>
    <row r="162" spans="1:36" s="55" customFormat="1">
      <c r="A162" s="55" t="s">
        <v>13273</v>
      </c>
      <c r="B162" s="55" t="s">
        <v>13001</v>
      </c>
      <c r="C162" s="55" t="s">
        <v>13091</v>
      </c>
      <c r="D162" s="55">
        <v>-82.6</v>
      </c>
      <c r="E162" s="55" t="s">
        <v>13186</v>
      </c>
      <c r="F162" s="55" t="s">
        <v>13045</v>
      </c>
      <c r="G162" s="55">
        <v>46</v>
      </c>
      <c r="H162" s="55" t="s">
        <v>13274</v>
      </c>
      <c r="J162" s="55" t="s">
        <v>13271</v>
      </c>
      <c r="L162" s="55" t="s">
        <v>13272</v>
      </c>
      <c r="S162" s="55">
        <v>-4.5999999999999999E-2</v>
      </c>
      <c r="T162" s="55">
        <v>133</v>
      </c>
      <c r="U162" s="55" t="str">
        <f>""""&amp;A162&amp;""""</f>
        <v>"07221019_1741"</v>
      </c>
      <c r="W162" s="55">
        <v>279</v>
      </c>
      <c r="X162" s="55">
        <v>14.3</v>
      </c>
    </row>
    <row r="163" spans="1:36" s="55" customFormat="1">
      <c r="A163" s="275" t="s">
        <v>13275</v>
      </c>
      <c r="B163" s="55" t="s">
        <v>13001</v>
      </c>
      <c r="C163" s="55" t="s">
        <v>13091</v>
      </c>
      <c r="D163" s="55">
        <v>-82.6</v>
      </c>
      <c r="E163" s="55" t="s">
        <v>8629</v>
      </c>
      <c r="F163" s="55" t="s">
        <v>13045</v>
      </c>
      <c r="G163" s="55">
        <v>202</v>
      </c>
      <c r="I163" s="55" t="s">
        <v>13276</v>
      </c>
      <c r="J163" s="55" t="s">
        <v>13271</v>
      </c>
      <c r="L163" s="55" t="s">
        <v>13272</v>
      </c>
      <c r="U163" s="55" t="str">
        <f>U162&amp;", """&amp;A163&amp;""""</f>
        <v>"07221019_1741", "07221019_1832"</v>
      </c>
      <c r="Z163" s="55">
        <v>62009</v>
      </c>
      <c r="AA163" s="55">
        <v>3184</v>
      </c>
      <c r="AB163" s="55">
        <v>19.899999999999999</v>
      </c>
      <c r="AC163" s="55">
        <v>12215</v>
      </c>
      <c r="AD163" s="55">
        <v>210538</v>
      </c>
      <c r="AE163" s="55">
        <v>0.86599999999999999</v>
      </c>
      <c r="AF163" s="55">
        <v>17.23</v>
      </c>
      <c r="AG163" s="128"/>
      <c r="AH163" s="128"/>
      <c r="AI163" s="128"/>
      <c r="AJ163" s="128"/>
    </row>
    <row r="164" spans="1:36" s="55" customFormat="1">
      <c r="A164" s="275" t="s">
        <v>13277</v>
      </c>
      <c r="B164" s="55" t="s">
        <v>13001</v>
      </c>
      <c r="C164" s="55" t="s">
        <v>13091</v>
      </c>
      <c r="D164" s="55">
        <v>-82.4</v>
      </c>
      <c r="E164" s="55" t="s">
        <v>13186</v>
      </c>
      <c r="F164" s="55" t="s">
        <v>13045</v>
      </c>
      <c r="G164" s="55">
        <v>42</v>
      </c>
      <c r="J164" s="55" t="s">
        <v>13271</v>
      </c>
      <c r="L164" s="55" t="s">
        <v>13272</v>
      </c>
      <c r="S164" s="55">
        <v>-4.5999999999999999E-2</v>
      </c>
      <c r="T164" s="55">
        <v>133</v>
      </c>
      <c r="U164" s="55" t="str">
        <f>U163&amp;", """&amp;A164&amp;""""</f>
        <v>"07221019_1741", "07221019_1832", "07221019_2157"</v>
      </c>
      <c r="W164" s="55">
        <v>271</v>
      </c>
      <c r="X164" s="55">
        <v>13.9</v>
      </c>
    </row>
    <row r="165" spans="1:36" s="55" customFormat="1">
      <c r="A165" s="275" t="s">
        <v>13278</v>
      </c>
      <c r="B165" s="55" t="s">
        <v>13001</v>
      </c>
      <c r="C165" s="55" t="s">
        <v>13091</v>
      </c>
      <c r="D165" s="55">
        <v>-82.5</v>
      </c>
      <c r="E165" s="55" t="s">
        <v>8629</v>
      </c>
      <c r="F165" s="55" t="s">
        <v>13045</v>
      </c>
      <c r="G165" s="55">
        <v>533</v>
      </c>
      <c r="H165" s="55" t="s">
        <v>13279</v>
      </c>
      <c r="J165" s="55" t="s">
        <v>13271</v>
      </c>
      <c r="L165" s="55" t="s">
        <v>13272</v>
      </c>
      <c r="U165" s="55" t="str">
        <f>U164&amp;", """&amp;A165&amp;""""</f>
        <v>"07221019_1741", "07221019_1832", "07221019_2157", "07221019_2240"</v>
      </c>
      <c r="Z165" s="55">
        <v>162623</v>
      </c>
      <c r="AA165" s="55">
        <v>8403</v>
      </c>
      <c r="AB165" s="55">
        <v>20.02</v>
      </c>
      <c r="AC165" s="55">
        <v>32392</v>
      </c>
      <c r="AD165" s="55">
        <v>557540</v>
      </c>
      <c r="AE165" s="55">
        <v>0.86</v>
      </c>
      <c r="AF165" s="55">
        <v>17.21</v>
      </c>
    </row>
    <row r="166" spans="1:36" s="55" customFormat="1">
      <c r="A166" s="55" t="s">
        <v>13280</v>
      </c>
      <c r="B166" s="55" t="s">
        <v>13001</v>
      </c>
      <c r="C166" s="55" t="s">
        <v>13091</v>
      </c>
      <c r="D166" s="55">
        <v>-82.4</v>
      </c>
      <c r="E166" s="55" t="s">
        <v>13186</v>
      </c>
      <c r="F166" s="55" t="s">
        <v>13045</v>
      </c>
      <c r="G166" s="55">
        <v>63</v>
      </c>
      <c r="J166" s="55" t="s">
        <v>13271</v>
      </c>
      <c r="L166" s="55" t="s">
        <v>13272</v>
      </c>
      <c r="S166" s="55">
        <v>-4.7E-2</v>
      </c>
      <c r="T166" s="55">
        <v>137</v>
      </c>
      <c r="U166" s="55" t="str">
        <f>U165&amp;", """&amp;A166&amp;""""</f>
        <v>"07221019_1741", "07221019_1832", "07221019_2157", "07221019_2240", "07221020_0849"</v>
      </c>
      <c r="W166" s="55">
        <v>279</v>
      </c>
      <c r="X166" s="55">
        <v>13.4</v>
      </c>
    </row>
    <row r="167" spans="1:36" s="55" customFormat="1">
      <c r="A167" s="275" t="s">
        <v>13281</v>
      </c>
      <c r="B167" s="55" t="s">
        <v>13001</v>
      </c>
      <c r="C167" s="55" t="s">
        <v>13091</v>
      </c>
      <c r="D167" s="55">
        <v>-82.4</v>
      </c>
      <c r="E167" s="55" t="s">
        <v>8629</v>
      </c>
      <c r="F167" s="55" t="s">
        <v>13045</v>
      </c>
      <c r="G167" s="55">
        <v>524</v>
      </c>
      <c r="I167" s="55" t="s">
        <v>13282</v>
      </c>
      <c r="J167" s="55" t="s">
        <v>13271</v>
      </c>
      <c r="L167" s="55" t="s">
        <v>13272</v>
      </c>
      <c r="U167" s="55" t="str">
        <f>U166&amp;", """&amp;A167&amp;""""</f>
        <v>"07221019_1741", "07221019_1832", "07221019_2157", "07221019_2240", "07221020_0849", "07221020_0954"</v>
      </c>
      <c r="Z167" s="55">
        <v>159056</v>
      </c>
      <c r="AA167" s="55">
        <v>8225</v>
      </c>
      <c r="AB167" s="55">
        <v>20.036000000000001</v>
      </c>
      <c r="AC167" s="55">
        <v>31848</v>
      </c>
      <c r="AD167" s="55">
        <v>553699</v>
      </c>
      <c r="AE167" s="55">
        <v>0.86770000000000003</v>
      </c>
      <c r="AF167" s="55">
        <v>17.39</v>
      </c>
    </row>
    <row r="168" spans="1:36" s="55" customFormat="1">
      <c r="A168" s="275" t="s">
        <v>13283</v>
      </c>
      <c r="B168" s="55" t="s">
        <v>13001</v>
      </c>
      <c r="C168" s="55" t="s">
        <v>13091</v>
      </c>
      <c r="D168" s="55">
        <v>-82.4</v>
      </c>
      <c r="E168" s="55" t="s">
        <v>13186</v>
      </c>
      <c r="F168" s="55" t="s">
        <v>13045</v>
      </c>
      <c r="G168" s="55">
        <v>43</v>
      </c>
      <c r="H168" s="55" t="s">
        <v>13284</v>
      </c>
      <c r="I168" s="267" t="s">
        <v>13285</v>
      </c>
      <c r="J168" s="55" t="s">
        <v>13271</v>
      </c>
      <c r="L168" s="55" t="s">
        <v>13272</v>
      </c>
      <c r="S168" s="55">
        <v>-4.7E-2</v>
      </c>
      <c r="T168" s="55">
        <v>137</v>
      </c>
      <c r="U168" s="55" t="str">
        <f>U167&amp;", """&amp;A168&amp;""""</f>
        <v>"07221019_1741", "07221019_1832", "07221019_2157", "07221019_2240", "07221020_0849", "07221020_0954", "07221020_1846"</v>
      </c>
      <c r="W168" s="55" t="s">
        <v>13286</v>
      </c>
    </row>
    <row r="169" spans="1:36" s="55" customFormat="1">
      <c r="A169" s="275" t="s">
        <v>13287</v>
      </c>
      <c r="B169" s="55" t="s">
        <v>13001</v>
      </c>
      <c r="C169" s="55" t="s">
        <v>13091</v>
      </c>
      <c r="D169" s="55">
        <v>-82.5</v>
      </c>
      <c r="E169" s="55" t="s">
        <v>8629</v>
      </c>
      <c r="F169" s="55" t="s">
        <v>13045</v>
      </c>
      <c r="G169" s="55">
        <v>841</v>
      </c>
      <c r="H169" s="267" t="s">
        <v>13285</v>
      </c>
      <c r="J169" s="55" t="s">
        <v>13271</v>
      </c>
      <c r="L169" s="55" t="s">
        <v>13272</v>
      </c>
      <c r="U169" s="55" t="str">
        <f>U168&amp;", """&amp;A169&amp;""""</f>
        <v>"07221019_1741", "07221019_1832", "07221019_2157", "07221019_2240", "07221020_0849", "07221020_0954", "07221020_1846", "07221020_1948"</v>
      </c>
      <c r="Z169" s="55">
        <v>256175</v>
      </c>
      <c r="AA169" s="55">
        <v>13320</v>
      </c>
      <c r="AB169" s="55">
        <v>20.149999999999999</v>
      </c>
      <c r="AC169" s="55">
        <v>51106</v>
      </c>
      <c r="AD169" s="55">
        <v>889134</v>
      </c>
      <c r="AE169" s="55">
        <v>0.86350000000000005</v>
      </c>
      <c r="AF169" s="55">
        <v>17.398</v>
      </c>
    </row>
    <row r="170" spans="1:36" s="55" customFormat="1">
      <c r="A170" s="55" t="s">
        <v>13288</v>
      </c>
      <c r="B170" s="55" t="s">
        <v>13001</v>
      </c>
      <c r="C170" s="55" t="s">
        <v>13091</v>
      </c>
      <c r="D170" s="55">
        <v>-82.3</v>
      </c>
      <c r="E170" s="55" t="s">
        <v>13186</v>
      </c>
      <c r="F170" s="55" t="s">
        <v>13045</v>
      </c>
      <c r="G170" s="55">
        <v>84</v>
      </c>
      <c r="H170" s="267" t="s">
        <v>13285</v>
      </c>
      <c r="J170" s="55" t="s">
        <v>13271</v>
      </c>
      <c r="L170" s="55" t="s">
        <v>13272</v>
      </c>
      <c r="U170" s="55" t="str">
        <f>U169&amp;", """&amp;A170&amp;""""</f>
        <v>"07221019_1741", "07221019_1832", "07221019_2157", "07221019_2240", "07221020_0849", "07221020_0954", "07221020_1846", "07221020_1948", "07221021_1001"</v>
      </c>
      <c r="W170" s="55" t="s">
        <v>13289</v>
      </c>
    </row>
    <row r="171" spans="1:36" s="55" customFormat="1">
      <c r="A171" s="275" t="s">
        <v>13290</v>
      </c>
      <c r="B171" s="55" t="s">
        <v>13001</v>
      </c>
      <c r="C171" s="55" t="s">
        <v>13091</v>
      </c>
      <c r="D171" s="55">
        <v>-82.4</v>
      </c>
      <c r="E171" s="55" t="s">
        <v>8629</v>
      </c>
      <c r="F171" s="55" t="s">
        <v>13045</v>
      </c>
      <c r="G171" s="55">
        <v>368</v>
      </c>
      <c r="H171" s="267" t="s">
        <v>13285</v>
      </c>
      <c r="I171" s="55" t="s">
        <v>13282</v>
      </c>
      <c r="J171" s="55" t="s">
        <v>13271</v>
      </c>
      <c r="L171" s="55" t="s">
        <v>13272</v>
      </c>
      <c r="P171" s="55">
        <f>2468/60</f>
        <v>41.133333333333333</v>
      </c>
      <c r="U171" s="55" t="str">
        <f>U170&amp;", """&amp;A171&amp;""""</f>
        <v>"07221019_1741", "07221019_1832", "07221019_2157", "07221019_2240", "07221020_0849", "07221020_0954", "07221020_1846", "07221020_1948", "07221021_1001", "07221021_1126"</v>
      </c>
      <c r="Z171" s="55">
        <v>112365</v>
      </c>
      <c r="AA171" s="55">
        <v>5819</v>
      </c>
      <c r="AB171" s="55">
        <v>20.07</v>
      </c>
      <c r="AC171" s="55">
        <v>22311</v>
      </c>
      <c r="AD171" s="55">
        <v>390925</v>
      </c>
      <c r="AE171" s="55">
        <v>0.873</v>
      </c>
      <c r="AF171" s="55">
        <v>17.52</v>
      </c>
    </row>
    <row r="172" spans="1:36" s="56" customFormat="1" hidden="1">
      <c r="A172" s="56" t="s">
        <v>13291</v>
      </c>
      <c r="B172" s="56" t="s">
        <v>13001</v>
      </c>
      <c r="C172" s="56" t="s">
        <v>13093</v>
      </c>
      <c r="D172" s="56">
        <v>-82.3</v>
      </c>
      <c r="E172" s="56" t="s">
        <v>13263</v>
      </c>
      <c r="F172" s="56" t="s">
        <v>13045</v>
      </c>
      <c r="G172" s="56">
        <v>859</v>
      </c>
      <c r="H172" s="56" t="s">
        <v>13264</v>
      </c>
      <c r="I172" s="56" t="s">
        <v>13292</v>
      </c>
      <c r="J172" s="56" t="s">
        <v>13271</v>
      </c>
      <c r="L172" s="56" t="s">
        <v>13272</v>
      </c>
    </row>
    <row r="173" spans="1:36" s="56" customFormat="1" hidden="1">
      <c r="A173" s="56" t="s">
        <v>13293</v>
      </c>
      <c r="B173" s="56" t="s">
        <v>13001</v>
      </c>
      <c r="C173" s="56" t="s">
        <v>13093</v>
      </c>
      <c r="D173" s="56">
        <v>-82.1</v>
      </c>
      <c r="E173" s="56" t="s">
        <v>13263</v>
      </c>
      <c r="F173" s="56" t="s">
        <v>13045</v>
      </c>
      <c r="G173" s="56">
        <v>1735</v>
      </c>
      <c r="H173" s="56" t="s">
        <v>13264</v>
      </c>
      <c r="I173" s="56" t="s">
        <v>13292</v>
      </c>
      <c r="J173" s="56" t="s">
        <v>13271</v>
      </c>
      <c r="L173" s="56" t="s">
        <v>13272</v>
      </c>
      <c r="P173" s="56">
        <f>SUM(G172:G173)/60</f>
        <v>43.233333333333334</v>
      </c>
    </row>
    <row r="174" spans="1:36" s="55" customFormat="1">
      <c r="A174" s="55" t="s">
        <v>13294</v>
      </c>
      <c r="B174" s="55" t="s">
        <v>13001</v>
      </c>
      <c r="C174" s="55" t="s">
        <v>13091</v>
      </c>
      <c r="D174" s="55">
        <v>-82.1</v>
      </c>
      <c r="E174" s="55" t="s">
        <v>13186</v>
      </c>
      <c r="F174" s="55" t="s">
        <v>13045</v>
      </c>
      <c r="H174" s="55" t="s">
        <v>13295</v>
      </c>
      <c r="J174" s="55" t="s">
        <v>13271</v>
      </c>
      <c r="L174" s="55" t="s">
        <v>13272</v>
      </c>
      <c r="S174" s="272">
        <v>-5.1999999999999998E-2</v>
      </c>
      <c r="T174" s="272">
        <v>191</v>
      </c>
      <c r="W174" s="55">
        <v>377</v>
      </c>
      <c r="X174" s="55">
        <v>12.7</v>
      </c>
    </row>
    <row r="175" spans="1:36" s="55" customFormat="1">
      <c r="A175" s="275" t="s">
        <v>13296</v>
      </c>
      <c r="B175" s="55" t="s">
        <v>13001</v>
      </c>
      <c r="C175" s="55" t="s">
        <v>13091</v>
      </c>
      <c r="D175" s="55">
        <v>-82.1</v>
      </c>
      <c r="E175" s="55" t="s">
        <v>8629</v>
      </c>
      <c r="F175" s="55" t="s">
        <v>13045</v>
      </c>
      <c r="G175" s="55">
        <v>621</v>
      </c>
      <c r="H175" s="55" t="s">
        <v>13297</v>
      </c>
      <c r="I175" s="55" t="s">
        <v>13298</v>
      </c>
      <c r="J175" s="55" t="s">
        <v>13271</v>
      </c>
      <c r="L175" s="55" t="s">
        <v>13272</v>
      </c>
      <c r="M175" s="267"/>
      <c r="AG175" s="2" t="s">
        <v>13299</v>
      </c>
      <c r="AH175" s="2"/>
      <c r="AI175" s="2"/>
      <c r="AJ175" s="2"/>
    </row>
    <row r="176" spans="1:36" s="55" customFormat="1">
      <c r="A176" s="55" t="s">
        <v>13300</v>
      </c>
      <c r="B176" s="55" t="s">
        <v>13001</v>
      </c>
      <c r="C176" s="55" t="s">
        <v>13091</v>
      </c>
      <c r="D176" s="55">
        <v>-82.1</v>
      </c>
      <c r="E176" s="55" t="s">
        <v>13186</v>
      </c>
      <c r="F176" s="55" t="s">
        <v>13045</v>
      </c>
      <c r="G176" s="55">
        <v>57</v>
      </c>
      <c r="J176" s="55" t="s">
        <v>13271</v>
      </c>
      <c r="L176" s="55" t="s">
        <v>13272</v>
      </c>
      <c r="S176" s="272">
        <v>-5.1999999999999998E-2</v>
      </c>
      <c r="T176" s="272">
        <v>191</v>
      </c>
      <c r="W176" s="55">
        <v>381</v>
      </c>
      <c r="X176" s="55">
        <v>14.3</v>
      </c>
    </row>
    <row r="177" spans="1:37" s="55" customFormat="1">
      <c r="A177" s="275" t="s">
        <v>13301</v>
      </c>
      <c r="B177" s="55" t="s">
        <v>13001</v>
      </c>
      <c r="C177" s="55" t="s">
        <v>13091</v>
      </c>
      <c r="D177" s="55">
        <v>-82.1</v>
      </c>
      <c r="E177" s="55" t="s">
        <v>8629</v>
      </c>
      <c r="F177" s="55" t="s">
        <v>13045</v>
      </c>
      <c r="G177" s="55">
        <v>646</v>
      </c>
      <c r="I177" s="55" t="s">
        <v>13302</v>
      </c>
      <c r="J177" s="55" t="s">
        <v>13271</v>
      </c>
      <c r="L177" s="55" t="s">
        <v>13272</v>
      </c>
      <c r="Z177" s="55">
        <v>183844</v>
      </c>
      <c r="AA177" s="55">
        <v>9715</v>
      </c>
      <c r="AB177" s="55">
        <v>20.49</v>
      </c>
      <c r="AC177" s="55">
        <v>39308</v>
      </c>
      <c r="AD177" s="55">
        <v>704153</v>
      </c>
      <c r="AE177" s="55">
        <v>0.87439999999999996</v>
      </c>
      <c r="AF177" s="55">
        <v>17.91</v>
      </c>
    </row>
    <row r="178" spans="1:37" s="55" customFormat="1">
      <c r="A178" s="275" t="s">
        <v>13303</v>
      </c>
      <c r="B178" s="55" t="s">
        <v>13001</v>
      </c>
      <c r="C178" s="55" t="s">
        <v>13091</v>
      </c>
      <c r="D178" s="55">
        <v>-82.1</v>
      </c>
      <c r="E178" s="55" t="s">
        <v>13186</v>
      </c>
      <c r="F178" s="55" t="s">
        <v>13045</v>
      </c>
      <c r="G178" s="55">
        <v>39</v>
      </c>
      <c r="J178" s="55" t="s">
        <v>13271</v>
      </c>
      <c r="L178" s="55" t="s">
        <v>13272</v>
      </c>
      <c r="S178" s="272">
        <v>-5.1999999999999998E-2</v>
      </c>
      <c r="T178" s="272">
        <v>191</v>
      </c>
      <c r="W178" s="55">
        <v>382</v>
      </c>
      <c r="X178" s="55">
        <v>14.5</v>
      </c>
    </row>
    <row r="179" spans="1:37" s="55" customFormat="1">
      <c r="A179" s="275" t="s">
        <v>13304</v>
      </c>
      <c r="B179" s="55" t="s">
        <v>13001</v>
      </c>
      <c r="C179" s="55" t="s">
        <v>13091</v>
      </c>
      <c r="D179" s="55">
        <v>-82.1</v>
      </c>
      <c r="E179" s="55" t="s">
        <v>8629</v>
      </c>
      <c r="F179" s="55" t="s">
        <v>13045</v>
      </c>
      <c r="G179" s="55">
        <v>640</v>
      </c>
      <c r="J179" s="55" t="s">
        <v>13271</v>
      </c>
      <c r="L179" s="55" t="s">
        <v>13272</v>
      </c>
      <c r="Z179" s="55">
        <v>193542</v>
      </c>
      <c r="AA179" s="55">
        <v>10384</v>
      </c>
      <c r="AB179" s="55">
        <v>20.81</v>
      </c>
      <c r="AC179" s="55">
        <v>38938</v>
      </c>
      <c r="AD179" s="55">
        <v>692641</v>
      </c>
      <c r="AE179" s="55">
        <v>0.85499999999999998</v>
      </c>
      <c r="AF179" s="55">
        <v>17.79</v>
      </c>
    </row>
    <row r="180" spans="1:37" s="55" customFormat="1">
      <c r="A180" s="55" t="s">
        <v>13305</v>
      </c>
      <c r="B180" s="55" t="s">
        <v>13001</v>
      </c>
      <c r="C180" s="55" t="s">
        <v>13091</v>
      </c>
      <c r="D180" s="55">
        <v>-82.1</v>
      </c>
      <c r="E180" s="55" t="s">
        <v>13186</v>
      </c>
      <c r="F180" s="55" t="s">
        <v>13045</v>
      </c>
      <c r="G180" s="55">
        <v>44</v>
      </c>
      <c r="J180" s="55" t="s">
        <v>13271</v>
      </c>
      <c r="L180" s="55" t="s">
        <v>13272</v>
      </c>
      <c r="S180" s="272">
        <v>-5.1999999999999998E-2</v>
      </c>
      <c r="T180" s="272">
        <v>191</v>
      </c>
      <c r="W180" s="55">
        <v>380</v>
      </c>
      <c r="X180" s="55">
        <v>13.3</v>
      </c>
    </row>
    <row r="181" spans="1:37" s="55" customFormat="1">
      <c r="A181" s="275" t="s">
        <v>13306</v>
      </c>
      <c r="B181" s="55" t="s">
        <v>13001</v>
      </c>
      <c r="C181" s="55" t="s">
        <v>13091</v>
      </c>
      <c r="D181" s="55">
        <v>-82.1</v>
      </c>
      <c r="E181" s="55" t="s">
        <v>8629</v>
      </c>
      <c r="F181" s="55" t="s">
        <v>13045</v>
      </c>
      <c r="G181" s="55">
        <v>366</v>
      </c>
      <c r="I181" s="55" t="s">
        <v>13302</v>
      </c>
      <c r="J181" s="55" t="s">
        <v>13271</v>
      </c>
      <c r="L181" s="55" t="s">
        <v>13272</v>
      </c>
      <c r="P181" s="55">
        <f>2460/60</f>
        <v>41</v>
      </c>
      <c r="Z181" s="55">
        <v>104760</v>
      </c>
      <c r="AA181" s="55">
        <v>5618</v>
      </c>
      <c r="AB181" s="55">
        <v>20.8</v>
      </c>
      <c r="AC181" s="55">
        <v>21934</v>
      </c>
      <c r="AD181" s="55">
        <v>391226</v>
      </c>
      <c r="AE181" s="55">
        <v>0.85750000000000004</v>
      </c>
      <c r="AF181" s="55">
        <v>17.84</v>
      </c>
    </row>
    <row r="182" spans="1:37">
      <c r="A182" t="s">
        <v>13307</v>
      </c>
      <c r="B182" t="s">
        <v>13001</v>
      </c>
      <c r="C182" t="s">
        <v>13091</v>
      </c>
      <c r="D182">
        <v>0</v>
      </c>
      <c r="E182" t="s">
        <v>13186</v>
      </c>
      <c r="F182" t="s">
        <v>13045</v>
      </c>
      <c r="G182">
        <v>190</v>
      </c>
      <c r="H182" t="s">
        <v>13308</v>
      </c>
      <c r="I182" t="s">
        <v>13309</v>
      </c>
      <c r="J182" s="6" t="s">
        <v>1491</v>
      </c>
      <c r="L182" s="6" t="s">
        <v>13272</v>
      </c>
    </row>
    <row r="183" spans="1:37">
      <c r="A183" t="s">
        <v>13310</v>
      </c>
      <c r="B183" t="s">
        <v>13001</v>
      </c>
      <c r="C183" t="s">
        <v>13091</v>
      </c>
      <c r="D183">
        <v>0</v>
      </c>
      <c r="E183" t="s">
        <v>13186</v>
      </c>
      <c r="F183" t="s">
        <v>13045</v>
      </c>
      <c r="H183" t="s">
        <v>13308</v>
      </c>
      <c r="I183" t="s">
        <v>13309</v>
      </c>
      <c r="J183" s="6" t="s">
        <v>1491</v>
      </c>
      <c r="L183" s="6" t="s">
        <v>13272</v>
      </c>
    </row>
    <row r="184" spans="1:37">
      <c r="A184" t="s">
        <v>13311</v>
      </c>
      <c r="B184" t="s">
        <v>13001</v>
      </c>
      <c r="C184" t="s">
        <v>13091</v>
      </c>
      <c r="D184">
        <v>0</v>
      </c>
      <c r="E184" t="s">
        <v>13186</v>
      </c>
      <c r="F184" t="s">
        <v>13045</v>
      </c>
      <c r="H184" t="s">
        <v>13308</v>
      </c>
      <c r="I184" t="s">
        <v>13309</v>
      </c>
      <c r="J184" s="6" t="s">
        <v>1491</v>
      </c>
      <c r="L184" s="6" t="s">
        <v>13272</v>
      </c>
    </row>
    <row r="185" spans="1:37" hidden="1">
      <c r="A185" s="6" t="s">
        <v>13312</v>
      </c>
      <c r="H185" s="6" t="s">
        <v>11385</v>
      </c>
      <c r="J185" s="6" t="s">
        <v>1491</v>
      </c>
      <c r="L185" s="6" t="s">
        <v>13272</v>
      </c>
    </row>
    <row r="186" spans="1:37" hidden="1">
      <c r="A186" s="6" t="s">
        <v>13313</v>
      </c>
      <c r="H186" s="6" t="s">
        <v>11385</v>
      </c>
      <c r="J186" s="6" t="s">
        <v>12770</v>
      </c>
    </row>
    <row r="187" spans="1:37" hidden="1">
      <c r="A187" s="6" t="s">
        <v>13314</v>
      </c>
      <c r="H187" s="6" t="s">
        <v>11385</v>
      </c>
      <c r="J187" s="6" t="s">
        <v>12770</v>
      </c>
    </row>
    <row r="188" spans="1:37" hidden="1">
      <c r="A188" s="6" t="s">
        <v>13315</v>
      </c>
      <c r="H188" s="6" t="s">
        <v>11385</v>
      </c>
      <c r="J188" s="6" t="s">
        <v>12770</v>
      </c>
    </row>
    <row r="189" spans="1:37" hidden="1">
      <c r="A189" s="6" t="s">
        <v>13316</v>
      </c>
      <c r="H189" s="6" t="s">
        <v>11385</v>
      </c>
      <c r="J189" s="6" t="s">
        <v>12770</v>
      </c>
    </row>
    <row r="190" spans="1:37" hidden="1">
      <c r="A190" s="6" t="s">
        <v>13317</v>
      </c>
      <c r="H190" s="6" t="s">
        <v>11385</v>
      </c>
      <c r="J190" s="6" t="s">
        <v>12770</v>
      </c>
    </row>
    <row r="191" spans="1:37" hidden="1">
      <c r="A191" s="6" t="s">
        <v>13318</v>
      </c>
      <c r="H191" s="6" t="s">
        <v>11385</v>
      </c>
      <c r="J191" s="6" t="s">
        <v>12770</v>
      </c>
    </row>
    <row r="192" spans="1:37" s="56" customFormat="1">
      <c r="A192" s="56" t="s">
        <v>13319</v>
      </c>
      <c r="B192" s="56" t="s">
        <v>13001</v>
      </c>
      <c r="C192" s="56" t="s">
        <v>13091</v>
      </c>
      <c r="D192" s="56">
        <v>-82.2</v>
      </c>
      <c r="E192" s="56" t="s">
        <v>13186</v>
      </c>
      <c r="F192" s="56" t="s">
        <v>13045</v>
      </c>
      <c r="G192" s="56">
        <v>55</v>
      </c>
      <c r="H192" s="56" t="s">
        <v>13320</v>
      </c>
      <c r="J192" s="56" t="s">
        <v>12093</v>
      </c>
      <c r="S192" s="56">
        <v>-5.1999999999999998E-2</v>
      </c>
      <c r="T192" s="56">
        <v>191</v>
      </c>
      <c r="W192" s="56">
        <v>388</v>
      </c>
      <c r="X192" s="56">
        <v>13.4</v>
      </c>
      <c r="AK192" s="56" t="str">
        <f>"float m = "&amp;S192&amp;"; float b = "&amp;T192&amp;"; float a = "&amp;W192&amp;"; float c = "&amp;X192&amp;";"</f>
        <v>float m = -0.052; float b = 191; float a = 388; float c = 13.4;</v>
      </c>
    </row>
    <row r="193" spans="1:37" s="56" customFormat="1">
      <c r="A193" s="276" t="s">
        <v>13321</v>
      </c>
      <c r="B193" s="56" t="s">
        <v>13001</v>
      </c>
      <c r="C193" s="56" t="s">
        <v>13091</v>
      </c>
      <c r="D193" s="56">
        <v>-82.2</v>
      </c>
      <c r="E193" s="56" t="s">
        <v>8629</v>
      </c>
      <c r="F193" s="56" t="s">
        <v>13045</v>
      </c>
      <c r="G193" s="56">
        <v>634</v>
      </c>
      <c r="I193" s="56" t="s">
        <v>13322</v>
      </c>
      <c r="J193" s="56" t="s">
        <v>12093</v>
      </c>
      <c r="Z193" s="56">
        <v>18853</v>
      </c>
      <c r="AA193" s="56">
        <v>4622</v>
      </c>
      <c r="AB193" s="56">
        <v>106.13</v>
      </c>
      <c r="AC193" s="56">
        <v>38907</v>
      </c>
      <c r="AD193" s="56">
        <v>2198323</v>
      </c>
      <c r="AE193" s="56">
        <v>0.53239999999999998</v>
      </c>
      <c r="AF193" s="56">
        <v>56.5</v>
      </c>
    </row>
    <row r="194" spans="1:37" s="56" customFormat="1">
      <c r="A194" s="56" t="s">
        <v>13323</v>
      </c>
      <c r="B194" s="56" t="s">
        <v>13001</v>
      </c>
      <c r="C194" s="56" t="s">
        <v>13091</v>
      </c>
      <c r="D194" s="56">
        <v>-82.2</v>
      </c>
      <c r="E194" s="56" t="s">
        <v>13186</v>
      </c>
      <c r="F194" s="56" t="s">
        <v>13045</v>
      </c>
      <c r="G194" s="56">
        <v>101</v>
      </c>
      <c r="J194" s="56" t="s">
        <v>12093</v>
      </c>
      <c r="L194" s="265"/>
      <c r="S194" s="56">
        <v>-4.8666666666666601E-2</v>
      </c>
      <c r="T194" s="56">
        <v>195.666666666666</v>
      </c>
      <c r="W194" s="56">
        <v>392</v>
      </c>
      <c r="X194" s="56">
        <v>13.1</v>
      </c>
      <c r="AK194" s="56" t="str">
        <f>"float m = "&amp;S194&amp;"; float b = "&amp;T194&amp;"; float a = "&amp;W194&amp;"; float c = "&amp;X194&amp;";"</f>
        <v>float m = -0.0486666666666666; float b = 195.666666666666; float a = 392; float c = 13.1;</v>
      </c>
    </row>
    <row r="195" spans="1:37" s="56" customFormat="1">
      <c r="A195" s="276" t="s">
        <v>13324</v>
      </c>
      <c r="B195" s="56" t="s">
        <v>13001</v>
      </c>
      <c r="C195" s="56" t="s">
        <v>13091</v>
      </c>
      <c r="D195" s="56">
        <v>-82.1</v>
      </c>
      <c r="E195" s="56" t="s">
        <v>8629</v>
      </c>
      <c r="F195" s="56" t="s">
        <v>13045</v>
      </c>
      <c r="G195" s="56">
        <v>666</v>
      </c>
      <c r="I195" s="56" t="s">
        <v>13325</v>
      </c>
      <c r="J195" s="56" t="s">
        <v>12093</v>
      </c>
      <c r="L195" s="265"/>
      <c r="Z195" s="56">
        <v>19698</v>
      </c>
      <c r="AA195" s="56">
        <v>4918</v>
      </c>
      <c r="AB195" s="56">
        <v>108.4</v>
      </c>
      <c r="AC195" s="56">
        <v>40875</v>
      </c>
      <c r="AD195" s="56">
        <v>2216547</v>
      </c>
      <c r="AE195" s="56">
        <v>0.50029999999999997</v>
      </c>
      <c r="AF195" s="56">
        <v>54.23</v>
      </c>
    </row>
    <row r="196" spans="1:37" s="56" customFormat="1">
      <c r="A196" s="56" t="s">
        <v>13326</v>
      </c>
      <c r="B196" s="56" t="s">
        <v>13001</v>
      </c>
      <c r="C196" s="56" t="s">
        <v>13091</v>
      </c>
      <c r="D196" s="56">
        <v>-82.1</v>
      </c>
      <c r="E196" s="56" t="s">
        <v>13186</v>
      </c>
      <c r="F196" s="56" t="s">
        <v>13045</v>
      </c>
      <c r="G196" s="56">
        <v>69</v>
      </c>
      <c r="J196" s="56" t="s">
        <v>12093</v>
      </c>
      <c r="L196" s="265"/>
      <c r="S196" s="56">
        <v>-4.8666666666666601E-2</v>
      </c>
      <c r="T196" s="56">
        <v>195.666666666666</v>
      </c>
      <c r="W196" s="56">
        <v>403</v>
      </c>
      <c r="X196" s="56">
        <v>12.2</v>
      </c>
    </row>
    <row r="197" spans="1:37" s="56" customFormat="1">
      <c r="A197" s="276" t="s">
        <v>13327</v>
      </c>
      <c r="B197" s="56" t="s">
        <v>13001</v>
      </c>
      <c r="C197" s="56" t="s">
        <v>13091</v>
      </c>
      <c r="D197" s="56">
        <v>-82.1</v>
      </c>
      <c r="E197" s="56" t="s">
        <v>8629</v>
      </c>
      <c r="F197" s="56" t="s">
        <v>13045</v>
      </c>
      <c r="G197" s="56">
        <v>702</v>
      </c>
      <c r="I197" s="56" t="s">
        <v>13325</v>
      </c>
      <c r="J197" s="56" t="s">
        <v>12093</v>
      </c>
      <c r="L197" s="265"/>
      <c r="Z197" s="56">
        <v>21381</v>
      </c>
      <c r="AA197" s="56">
        <v>5210</v>
      </c>
      <c r="AB197" s="56">
        <v>105.39</v>
      </c>
      <c r="AC197" s="56">
        <v>43104</v>
      </c>
      <c r="AD197" s="56">
        <v>2447032</v>
      </c>
      <c r="AE197" s="56">
        <v>0.53869999999999996</v>
      </c>
      <c r="AF197" s="56">
        <v>56.77</v>
      </c>
    </row>
    <row r="198" spans="1:37" s="56" customFormat="1">
      <c r="A198" s="56" t="s">
        <v>13328</v>
      </c>
      <c r="B198" s="56" t="s">
        <v>13001</v>
      </c>
      <c r="C198" s="56" t="s">
        <v>13091</v>
      </c>
      <c r="D198" s="56">
        <v>-82</v>
      </c>
      <c r="E198" s="56" t="s">
        <v>13186</v>
      </c>
      <c r="F198" s="56" t="s">
        <v>13045</v>
      </c>
      <c r="G198" s="56">
        <v>45</v>
      </c>
      <c r="J198" s="56" t="s">
        <v>12093</v>
      </c>
      <c r="L198" s="265"/>
      <c r="S198" s="56">
        <v>-3.5999999999999997E-2</v>
      </c>
      <c r="T198" s="56">
        <v>169</v>
      </c>
      <c r="W198" s="56" t="s">
        <v>13329</v>
      </c>
    </row>
    <row r="199" spans="1:37" s="56" customFormat="1">
      <c r="A199" s="56" t="s">
        <v>13330</v>
      </c>
      <c r="B199" s="56" t="s">
        <v>13001</v>
      </c>
      <c r="C199" s="56" t="s">
        <v>13091</v>
      </c>
      <c r="D199" s="56">
        <v>-81.8</v>
      </c>
      <c r="E199" s="56" t="s">
        <v>13186</v>
      </c>
      <c r="F199" s="56" t="s">
        <v>13045</v>
      </c>
      <c r="G199" s="56">
        <v>37</v>
      </c>
      <c r="H199" s="56" t="s">
        <v>13331</v>
      </c>
      <c r="J199" s="56" t="s">
        <v>12093</v>
      </c>
      <c r="L199" s="265"/>
      <c r="S199" s="56">
        <v>-4.9000000000000002E-2</v>
      </c>
      <c r="T199" s="56">
        <v>210</v>
      </c>
      <c r="W199" s="56">
        <v>379</v>
      </c>
      <c r="X199" s="56">
        <v>13.1</v>
      </c>
    </row>
    <row r="200" spans="1:37" s="56" customFormat="1">
      <c r="A200" s="276" t="s">
        <v>13332</v>
      </c>
      <c r="B200" s="56" t="s">
        <v>13001</v>
      </c>
      <c r="C200" s="56" t="s">
        <v>13091</v>
      </c>
      <c r="D200" s="56">
        <v>-81.8</v>
      </c>
      <c r="E200" s="56" t="s">
        <v>8629</v>
      </c>
      <c r="F200" s="56" t="s">
        <v>13045</v>
      </c>
      <c r="G200" s="56">
        <v>611</v>
      </c>
      <c r="I200" s="56" t="s">
        <v>13333</v>
      </c>
      <c r="J200" s="56" t="s">
        <v>12093</v>
      </c>
      <c r="L200" s="265"/>
      <c r="Z200" s="56">
        <v>174806</v>
      </c>
      <c r="AA200" s="56">
        <v>18059</v>
      </c>
      <c r="AB200" s="56">
        <v>41.15</v>
      </c>
      <c r="AC200" s="56">
        <v>37311</v>
      </c>
      <c r="AD200" s="56">
        <v>1331759</v>
      </c>
      <c r="AE200" s="56">
        <v>0.86739999999999995</v>
      </c>
      <c r="AF200" s="56">
        <v>35.700000000000003</v>
      </c>
    </row>
    <row r="201" spans="1:37" s="56" customFormat="1">
      <c r="A201" s="56" t="s">
        <v>13334</v>
      </c>
      <c r="B201" s="56" t="s">
        <v>13001</v>
      </c>
      <c r="C201" s="56" t="s">
        <v>13091</v>
      </c>
      <c r="D201" s="56">
        <v>-81.7</v>
      </c>
      <c r="E201" s="56" t="s">
        <v>13186</v>
      </c>
      <c r="F201" s="56" t="s">
        <v>13045</v>
      </c>
      <c r="G201" s="56">
        <v>33</v>
      </c>
      <c r="J201" s="56" t="s">
        <v>12093</v>
      </c>
      <c r="L201" s="265"/>
      <c r="S201" s="56">
        <v>-4.9000000000000002E-2</v>
      </c>
      <c r="T201" s="56">
        <v>210</v>
      </c>
      <c r="W201" s="56">
        <v>380</v>
      </c>
      <c r="X201" s="56">
        <v>14</v>
      </c>
    </row>
    <row r="202" spans="1:37" s="56" customFormat="1">
      <c r="A202" s="276" t="s">
        <v>13335</v>
      </c>
      <c r="B202" s="56" t="s">
        <v>13001</v>
      </c>
      <c r="C202" s="56" t="s">
        <v>13091</v>
      </c>
      <c r="D202" s="56">
        <v>-81.7</v>
      </c>
      <c r="E202" s="56" t="s">
        <v>8629</v>
      </c>
      <c r="F202" s="56" t="s">
        <v>13045</v>
      </c>
      <c r="G202" s="56">
        <v>695</v>
      </c>
      <c r="H202" s="281"/>
      <c r="I202" s="56" t="s">
        <v>13336</v>
      </c>
      <c r="J202" s="56" t="s">
        <v>12093</v>
      </c>
      <c r="L202" s="265"/>
      <c r="Z202" s="56">
        <v>169351</v>
      </c>
      <c r="AA202" s="56">
        <v>17219</v>
      </c>
      <c r="AB202" s="56">
        <v>40.46</v>
      </c>
      <c r="AC202" s="56">
        <v>42518</v>
      </c>
      <c r="AD202" s="56">
        <v>1489707</v>
      </c>
      <c r="AE202" s="56">
        <v>0.8659</v>
      </c>
      <c r="AF202" s="56">
        <v>35.04</v>
      </c>
    </row>
    <row r="203" spans="1:37" s="56" customFormat="1">
      <c r="A203" s="276" t="s">
        <v>13337</v>
      </c>
      <c r="B203" s="56" t="s">
        <v>13001</v>
      </c>
      <c r="C203" s="56" t="s">
        <v>13091</v>
      </c>
      <c r="D203" s="56">
        <v>-81.7</v>
      </c>
      <c r="E203" s="56" t="s">
        <v>13186</v>
      </c>
      <c r="F203" s="56" t="s">
        <v>13045</v>
      </c>
      <c r="G203" s="56">
        <v>51</v>
      </c>
      <c r="J203" s="56" t="s">
        <v>12093</v>
      </c>
      <c r="L203" s="265"/>
      <c r="S203" s="56">
        <v>-5.9166666666666597E-2</v>
      </c>
      <c r="T203" s="56">
        <v>235.333333333333</v>
      </c>
      <c r="W203" s="56">
        <v>421</v>
      </c>
      <c r="X203" s="56">
        <v>13.2</v>
      </c>
    </row>
    <row r="204" spans="1:37" s="56" customFormat="1">
      <c r="A204" s="276" t="s">
        <v>13338</v>
      </c>
      <c r="B204" s="56" t="s">
        <v>13001</v>
      </c>
      <c r="C204" s="56" t="s">
        <v>13091</v>
      </c>
      <c r="D204" s="56">
        <v>-81.7</v>
      </c>
      <c r="E204" s="56" t="s">
        <v>8629</v>
      </c>
      <c r="F204" s="56" t="s">
        <v>13045</v>
      </c>
      <c r="G204" s="56">
        <v>707</v>
      </c>
      <c r="J204" s="56" t="s">
        <v>12093</v>
      </c>
      <c r="L204" s="265"/>
      <c r="Z204" s="56">
        <v>173491</v>
      </c>
      <c r="AA204" s="56">
        <v>17997</v>
      </c>
      <c r="AB204" s="56">
        <v>41.33</v>
      </c>
      <c r="AC204" s="56">
        <v>43226</v>
      </c>
      <c r="AD204" s="56">
        <v>1235853</v>
      </c>
      <c r="AE204" s="56">
        <v>0.74209999999999998</v>
      </c>
      <c r="AF204" s="56">
        <v>30.67</v>
      </c>
    </row>
    <row r="205" spans="1:37" s="56" customFormat="1">
      <c r="A205" s="56" t="s">
        <v>13339</v>
      </c>
      <c r="B205" s="56" t="s">
        <v>13001</v>
      </c>
      <c r="C205" s="56" t="s">
        <v>13091</v>
      </c>
      <c r="D205" s="56">
        <v>-81.599999999999994</v>
      </c>
      <c r="E205" s="56" t="s">
        <v>13186</v>
      </c>
      <c r="F205" s="56" t="s">
        <v>13045</v>
      </c>
      <c r="G205" s="56">
        <v>45</v>
      </c>
      <c r="J205" s="56" t="s">
        <v>12093</v>
      </c>
      <c r="L205" s="265"/>
      <c r="S205" s="56">
        <v>-5.9166666666666597E-2</v>
      </c>
      <c r="T205" s="56">
        <v>235.333333333333</v>
      </c>
      <c r="W205" s="56">
        <v>404</v>
      </c>
      <c r="X205" s="56">
        <v>11.9</v>
      </c>
    </row>
    <row r="206" spans="1:37" s="56" customFormat="1">
      <c r="A206" s="276" t="s">
        <v>13340</v>
      </c>
      <c r="B206" s="56" t="s">
        <v>13001</v>
      </c>
      <c r="C206" s="56" t="s">
        <v>13091</v>
      </c>
      <c r="D206" s="56">
        <v>-81.7</v>
      </c>
      <c r="E206" s="56" t="s">
        <v>8629</v>
      </c>
      <c r="F206" s="56" t="s">
        <v>13045</v>
      </c>
      <c r="G206" s="56">
        <v>167</v>
      </c>
      <c r="I206" s="56" t="s">
        <v>13336</v>
      </c>
      <c r="J206" s="56" t="s">
        <v>12093</v>
      </c>
      <c r="L206" s="265">
        <f>4182/60</f>
        <v>69.7</v>
      </c>
      <c r="Z206" s="56">
        <v>47550</v>
      </c>
      <c r="AA206" s="56">
        <v>4932</v>
      </c>
      <c r="AB206" s="56">
        <v>41.32</v>
      </c>
      <c r="AC206" s="56">
        <v>10118</v>
      </c>
      <c r="AD206" s="56">
        <v>361189</v>
      </c>
      <c r="AE206" s="56">
        <v>0.86399999999999999</v>
      </c>
      <c r="AF206" s="56">
        <v>35.69</v>
      </c>
    </row>
    <row r="207" spans="1:37" hidden="1">
      <c r="A207" s="6" t="s">
        <v>13341</v>
      </c>
      <c r="H207" s="6" t="s">
        <v>11385</v>
      </c>
      <c r="J207" s="6" t="s">
        <v>12770</v>
      </c>
      <c r="L207" s="256"/>
    </row>
    <row r="208" spans="1:37" hidden="1">
      <c r="A208" s="6" t="s">
        <v>13342</v>
      </c>
      <c r="H208" s="6" t="s">
        <v>11385</v>
      </c>
      <c r="J208" s="6" t="s">
        <v>12770</v>
      </c>
      <c r="L208" s="256"/>
    </row>
    <row r="209" spans="1:40" hidden="1">
      <c r="A209" s="6" t="s">
        <v>13343</v>
      </c>
      <c r="H209" s="6" t="s">
        <v>11385</v>
      </c>
      <c r="J209" s="6" t="s">
        <v>12770</v>
      </c>
      <c r="L209" s="256"/>
    </row>
    <row r="210" spans="1:40" hidden="1">
      <c r="A210" s="6" t="s">
        <v>13344</v>
      </c>
      <c r="H210" s="6" t="s">
        <v>1853</v>
      </c>
      <c r="J210" s="6" t="s">
        <v>12770</v>
      </c>
    </row>
    <row r="211" spans="1:40" s="55" customFormat="1">
      <c r="A211" s="55" t="s">
        <v>13345</v>
      </c>
      <c r="B211" s="55" t="s">
        <v>13001</v>
      </c>
      <c r="C211" s="55" t="s">
        <v>13091</v>
      </c>
      <c r="D211" s="55">
        <v>-81.599999999999994</v>
      </c>
      <c r="E211" s="55" t="s">
        <v>13263</v>
      </c>
      <c r="F211" s="55" t="s">
        <v>13045</v>
      </c>
      <c r="G211" s="55">
        <v>275</v>
      </c>
      <c r="H211" s="55" t="s">
        <v>13264</v>
      </c>
      <c r="J211" s="55" t="s">
        <v>12093</v>
      </c>
      <c r="L211" s="266" t="str">
        <f>"ls -lh /data/chocula/fritts/data/k100proc/midasraw/byseries/"&amp;A211</f>
        <v>ls -lh /data/chocula/fritts/data/k100proc/midasraw/byseries/07221118_1404</v>
      </c>
      <c r="S211" s="55">
        <v>-5.2499999999999998E-2</v>
      </c>
      <c r="T211" s="55">
        <v>220</v>
      </c>
      <c r="W211" s="55">
        <v>408</v>
      </c>
      <c r="X211" s="55">
        <v>14</v>
      </c>
    </row>
    <row r="212" spans="1:40" s="55" customFormat="1">
      <c r="A212" s="55" t="s">
        <v>13346</v>
      </c>
      <c r="B212" s="55" t="s">
        <v>13001</v>
      </c>
      <c r="C212" s="55" t="s">
        <v>13091</v>
      </c>
      <c r="D212" s="55">
        <v>-81.599999999999994</v>
      </c>
      <c r="E212" s="55" t="s">
        <v>13263</v>
      </c>
      <c r="F212" s="55" t="s">
        <v>13045</v>
      </c>
      <c r="G212" s="55">
        <v>899</v>
      </c>
      <c r="H212" s="55" t="s">
        <v>13264</v>
      </c>
      <c r="J212" s="55" t="s">
        <v>12093</v>
      </c>
      <c r="L212" s="266" t="str">
        <f>"ls -lh /data/chocula/fritts/data/k100proc/midasraw/byseries/"&amp;A212</f>
        <v>ls -lh /data/chocula/fritts/data/k100proc/midasraw/byseries/07221118_1850</v>
      </c>
      <c r="S212" s="55">
        <v>-5.6666666666666601E-2</v>
      </c>
      <c r="T212" s="55">
        <v>230.333333333333</v>
      </c>
      <c r="W212" s="55">
        <v>400</v>
      </c>
      <c r="X212" s="55">
        <v>12.4</v>
      </c>
    </row>
    <row r="213" spans="1:40" s="55" customFormat="1">
      <c r="A213" s="55" t="s">
        <v>13347</v>
      </c>
      <c r="B213" s="55" t="s">
        <v>13001</v>
      </c>
      <c r="C213" s="55" t="s">
        <v>13091</v>
      </c>
      <c r="D213" s="55">
        <v>-81.5</v>
      </c>
      <c r="E213" s="55" t="s">
        <v>13263</v>
      </c>
      <c r="F213" s="55" t="s">
        <v>13045</v>
      </c>
      <c r="G213" s="55">
        <v>231</v>
      </c>
      <c r="H213" s="55" t="s">
        <v>13264</v>
      </c>
      <c r="J213" s="55" t="s">
        <v>12093</v>
      </c>
      <c r="L213" s="266" t="str">
        <f>"ls -lh /data/chocula/fritts/data/k100proc/midasraw/byseries/"&amp;A213</f>
        <v>ls -lh /data/chocula/fritts/data/k100proc/midasraw/byseries/07221119_1016</v>
      </c>
      <c r="M213" s="55">
        <f>SUM(G211:G213)/60</f>
        <v>23.416666666666668</v>
      </c>
      <c r="S213" s="55">
        <v>-5.8000000000000003E-2</v>
      </c>
      <c r="T213" s="55">
        <v>239</v>
      </c>
      <c r="W213" s="55">
        <v>408</v>
      </c>
      <c r="X213" s="55">
        <v>11.6</v>
      </c>
    </row>
    <row r="214" spans="1:40" s="6" customFormat="1" hidden="1">
      <c r="A214" s="6" t="s">
        <v>13348</v>
      </c>
      <c r="H214" s="6" t="s">
        <v>1853</v>
      </c>
      <c r="I214"/>
      <c r="J214" s="6" t="s">
        <v>12770</v>
      </c>
    </row>
    <row r="215" spans="1:40" s="56" customFormat="1">
      <c r="A215" s="56" t="s">
        <v>13349</v>
      </c>
      <c r="B215" s="56" t="s">
        <v>13001</v>
      </c>
      <c r="C215" s="56" t="s">
        <v>13091</v>
      </c>
      <c r="D215" s="56">
        <v>0</v>
      </c>
      <c r="E215" s="56" t="s">
        <v>13263</v>
      </c>
      <c r="F215" s="56" t="s">
        <v>13045</v>
      </c>
      <c r="G215" s="56">
        <v>779</v>
      </c>
      <c r="H215" s="56" t="s">
        <v>13264</v>
      </c>
      <c r="J215" s="56" t="s">
        <v>12093</v>
      </c>
      <c r="L215" s="265" t="str">
        <f>"ls -lh /data/chocula/fritts/data/k100proc/midasraw/byseries/"&amp;A215</f>
        <v>ls -lh /data/chocula/fritts/data/k100proc/midasraw/byseries/07221121_2214</v>
      </c>
      <c r="R215" s="56">
        <v>17700</v>
      </c>
      <c r="S215" s="273">
        <v>-1.5E-10</v>
      </c>
      <c r="T215" s="273">
        <v>5.5000000000000003E-7</v>
      </c>
      <c r="AI215" s="273">
        <v>96293600</v>
      </c>
      <c r="AJ215" s="273">
        <v>23429700000000</v>
      </c>
      <c r="AK215" s="56">
        <v>0.20399999999999999</v>
      </c>
      <c r="AL215" s="56">
        <v>1.1200000000000001</v>
      </c>
      <c r="AM215" s="56">
        <v>1.02</v>
      </c>
      <c r="AN215" s="56">
        <v>2.86</v>
      </c>
    </row>
    <row r="216" spans="1:40" s="56" customFormat="1" hidden="1">
      <c r="A216" s="268" t="s">
        <v>13350</v>
      </c>
      <c r="H216" s="268" t="s">
        <v>1853</v>
      </c>
      <c r="J216" s="268" t="s">
        <v>12770</v>
      </c>
    </row>
    <row r="217" spans="1:40" s="56" customFormat="1" hidden="1">
      <c r="A217" s="268" t="s">
        <v>13351</v>
      </c>
      <c r="H217" s="268" t="s">
        <v>1853</v>
      </c>
      <c r="J217" s="268" t="s">
        <v>12770</v>
      </c>
    </row>
    <row r="218" spans="1:40" s="56" customFormat="1" hidden="1">
      <c r="A218" s="268" t="s">
        <v>13352</v>
      </c>
      <c r="H218" s="268" t="s">
        <v>13056</v>
      </c>
      <c r="J218" s="268" t="s">
        <v>12770</v>
      </c>
    </row>
    <row r="219" spans="1:40" s="56" customFormat="1" hidden="1">
      <c r="A219" s="268" t="s">
        <v>13353</v>
      </c>
      <c r="H219" s="268" t="s">
        <v>13056</v>
      </c>
      <c r="J219" s="268" t="s">
        <v>12770</v>
      </c>
    </row>
    <row r="220" spans="1:40" s="56" customFormat="1">
      <c r="A220" s="56" t="s">
        <v>13354</v>
      </c>
      <c r="B220" s="56" t="s">
        <v>13001</v>
      </c>
      <c r="C220" s="56" t="s">
        <v>13091</v>
      </c>
      <c r="D220" s="56">
        <v>-8.3000000000000007</v>
      </c>
      <c r="E220" s="56" t="s">
        <v>13263</v>
      </c>
      <c r="F220" s="56" t="s">
        <v>13045</v>
      </c>
      <c r="G220" s="56">
        <v>67</v>
      </c>
      <c r="H220" s="56" t="s">
        <v>13264</v>
      </c>
      <c r="J220" s="56" t="s">
        <v>12093</v>
      </c>
      <c r="L220" s="265" t="str">
        <f>"ls -lh /data/chocula/fritts/data/k100proc/midasraw/byseries/"&amp;A220</f>
        <v>ls -lh /data/chocula/fritts/data/k100proc/midasraw/byseries/07221124_1408</v>
      </c>
      <c r="S220" s="56">
        <v>-3.0666666666666599E-2</v>
      </c>
      <c r="T220" s="56">
        <v>106.933333333333</v>
      </c>
    </row>
    <row r="221" spans="1:40" s="56" customFormat="1">
      <c r="A221" s="56" t="s">
        <v>13355</v>
      </c>
      <c r="B221" s="56" t="s">
        <v>13001</v>
      </c>
      <c r="C221" s="56" t="s">
        <v>13091</v>
      </c>
      <c r="D221" s="56">
        <v>-16.3</v>
      </c>
      <c r="E221" s="56" t="s">
        <v>13263</v>
      </c>
      <c r="F221" s="56" t="s">
        <v>13045</v>
      </c>
      <c r="G221" s="56">
        <v>84</v>
      </c>
      <c r="H221" s="56" t="s">
        <v>13264</v>
      </c>
      <c r="J221" s="56" t="s">
        <v>12093</v>
      </c>
      <c r="L221" s="265" t="str">
        <f>"ls -lh /data/chocula/fritts/data/k100proc/midasraw/byseries/"&amp;A221</f>
        <v>ls -lh /data/chocula/fritts/data/k100proc/midasraw/byseries/07221124_1603</v>
      </c>
      <c r="S221" s="56">
        <v>-3.0666666666666599E-2</v>
      </c>
      <c r="T221" s="56">
        <v>106.933333333333</v>
      </c>
    </row>
    <row r="222" spans="1:40" s="56" customFormat="1">
      <c r="A222" s="56" t="s">
        <v>13356</v>
      </c>
      <c r="B222" s="56" t="s">
        <v>13001</v>
      </c>
      <c r="C222" s="56" t="s">
        <v>13091</v>
      </c>
      <c r="D222" s="56">
        <v>-24</v>
      </c>
      <c r="E222" s="56" t="s">
        <v>13263</v>
      </c>
      <c r="F222" s="56" t="s">
        <v>13045</v>
      </c>
      <c r="G222" s="56">
        <v>118</v>
      </c>
      <c r="H222" s="56" t="s">
        <v>13264</v>
      </c>
      <c r="J222" s="56" t="s">
        <v>12093</v>
      </c>
      <c r="L222" s="265" t="str">
        <f>"ls -lh /data/chocula/fritts/data/k100proc/midasraw/byseries/"&amp;A222</f>
        <v>ls -lh /data/chocula/fritts/data/k100proc/midasraw/byseries/07221124_1748</v>
      </c>
      <c r="S222" s="56">
        <v>-3.0666666666666599E-2</v>
      </c>
      <c r="T222" s="56">
        <v>106.933333333333</v>
      </c>
    </row>
    <row r="223" spans="1:40" s="56" customFormat="1">
      <c r="A223" s="56" t="s">
        <v>13357</v>
      </c>
      <c r="B223" s="56" t="s">
        <v>13001</v>
      </c>
      <c r="C223" s="56" t="s">
        <v>13091</v>
      </c>
      <c r="D223" s="56">
        <v>-34</v>
      </c>
      <c r="E223" s="56" t="s">
        <v>13263</v>
      </c>
      <c r="F223" s="56" t="s">
        <v>13045</v>
      </c>
      <c r="G223" s="56">
        <v>97</v>
      </c>
      <c r="H223" s="56" t="s">
        <v>13264</v>
      </c>
      <c r="J223" s="56" t="s">
        <v>12093</v>
      </c>
      <c r="L223" s="265" t="str">
        <f>"ls -lh /data/chocula/fritts/data/k100proc/midasraw/byseries/"&amp;A223</f>
        <v>ls -lh /data/chocula/fritts/data/k100proc/midasraw/byseries/07221124_2022</v>
      </c>
      <c r="S223" s="56">
        <v>-3.0666666666666599E-2</v>
      </c>
      <c r="T223" s="56">
        <v>106.933333333333</v>
      </c>
    </row>
    <row r="224" spans="1:40" s="56" customFormat="1">
      <c r="A224" s="56" t="s">
        <v>13358</v>
      </c>
      <c r="B224" s="56" t="s">
        <v>13001</v>
      </c>
      <c r="C224" s="56" t="s">
        <v>13091</v>
      </c>
      <c r="D224" s="56">
        <v>-34</v>
      </c>
      <c r="E224" s="56" t="s">
        <v>13359</v>
      </c>
      <c r="F224" s="56" t="s">
        <v>13045</v>
      </c>
      <c r="G224" s="56">
        <v>361</v>
      </c>
      <c r="H224" s="56" t="s">
        <v>13360</v>
      </c>
      <c r="J224" s="56" t="s">
        <v>12093</v>
      </c>
      <c r="L224" s="265" t="str">
        <f>"ls -lh /data/chocula/fritts/data/k100proc/midasraw/byseries/"&amp;A224</f>
        <v>ls -lh /data/chocula/fritts/data/k100proc/midasraw/byseries/07221124_2331</v>
      </c>
      <c r="S224" s="56">
        <v>-3.0666666666666599E-2</v>
      </c>
      <c r="T224" s="56">
        <v>106.933333333333</v>
      </c>
    </row>
    <row r="225" spans="1:12" s="56" customFormat="1" hidden="1">
      <c r="A225" s="268" t="s">
        <v>13361</v>
      </c>
      <c r="H225" s="268" t="s">
        <v>1853</v>
      </c>
      <c r="J225" s="268" t="s">
        <v>12770</v>
      </c>
    </row>
    <row r="226" spans="1:12" s="56" customFormat="1">
      <c r="A226" s="56" t="s">
        <v>13362</v>
      </c>
      <c r="B226" s="56" t="s">
        <v>13001</v>
      </c>
      <c r="C226" s="56" t="s">
        <v>13091</v>
      </c>
      <c r="D226" s="56">
        <v>0</v>
      </c>
      <c r="E226" s="56" t="s">
        <v>13359</v>
      </c>
      <c r="F226" s="56" t="s">
        <v>13045</v>
      </c>
      <c r="G226" s="56">
        <v>532</v>
      </c>
      <c r="H226" s="56" t="s">
        <v>13360</v>
      </c>
      <c r="L226" s="265" t="str">
        <f>"ls -lh /data/chocula/fritts/data/k100proc/midasraw/byseries/"&amp;A226</f>
        <v>ls -lh /data/chocula/fritts/data/k100proc/midasraw/byseries/07221125_0547</v>
      </c>
    </row>
    <row r="227" spans="1:12" s="56" customFormat="1">
      <c r="A227" s="56" t="s">
        <v>13363</v>
      </c>
      <c r="B227" s="56" t="s">
        <v>13001</v>
      </c>
      <c r="C227" s="56" t="s">
        <v>13091</v>
      </c>
      <c r="D227" s="56">
        <v>0</v>
      </c>
      <c r="E227" s="56" t="s">
        <v>13359</v>
      </c>
      <c r="F227" s="56" t="s">
        <v>13045</v>
      </c>
      <c r="H227" s="56" t="s">
        <v>13360</v>
      </c>
      <c r="L227" s="265" t="str">
        <f>"ls -lh /data/chocula/fritts/data/k100proc/midasraw/byseries/"&amp;A227</f>
        <v>ls -lh /data/chocula/fritts/data/k100proc/midasraw/byseries/07221201_0118</v>
      </c>
    </row>
    <row r="228" spans="1:12" s="56" customFormat="1">
      <c r="A228" s="56" t="s">
        <v>13364</v>
      </c>
      <c r="B228" s="56" t="s">
        <v>13001</v>
      </c>
      <c r="C228" s="56" t="s">
        <v>13091</v>
      </c>
      <c r="D228" s="56">
        <v>-46.6</v>
      </c>
      <c r="E228" s="56" t="s">
        <v>13263</v>
      </c>
      <c r="F228" s="56" t="s">
        <v>13045</v>
      </c>
      <c r="G228" s="56">
        <v>68</v>
      </c>
      <c r="H228" s="56" t="s">
        <v>13264</v>
      </c>
      <c r="L228" s="265" t="str">
        <f>"ls -lh /data/chocula/fritts/data/k100proc/midasraw/byseries/"&amp;A228</f>
        <v>ls -lh /data/chocula/fritts/data/k100proc/midasraw/byseries/07221203_1255</v>
      </c>
    </row>
    <row r="229" spans="1:12" s="56" customFormat="1">
      <c r="A229" s="56" t="s">
        <v>13365</v>
      </c>
      <c r="B229" s="56" t="s">
        <v>13001</v>
      </c>
      <c r="C229" s="56" t="s">
        <v>13091</v>
      </c>
      <c r="D229" s="56">
        <v>-53.5</v>
      </c>
      <c r="E229" s="56" t="s">
        <v>13263</v>
      </c>
      <c r="F229" s="56" t="s">
        <v>13045</v>
      </c>
      <c r="G229" s="56">
        <v>108</v>
      </c>
      <c r="H229" s="281" t="s">
        <v>13264</v>
      </c>
      <c r="L229" s="265" t="str">
        <f>"ls -lh /data/chocula/fritts/data/k100proc/midasraw/byseries/"&amp;A229</f>
        <v>ls -lh /data/chocula/fritts/data/k100proc/midasraw/byseries/07221203_1418</v>
      </c>
    </row>
    <row r="230" spans="1:12" s="56" customFormat="1">
      <c r="A230" s="56" t="s">
        <v>13366</v>
      </c>
      <c r="B230" s="56" t="s">
        <v>13001</v>
      </c>
      <c r="C230" s="56" t="s">
        <v>13091</v>
      </c>
      <c r="D230" s="56">
        <v>-63.4</v>
      </c>
      <c r="E230" s="56" t="s">
        <v>13263</v>
      </c>
      <c r="F230" s="56" t="s">
        <v>13045</v>
      </c>
      <c r="G230" s="56">
        <v>68</v>
      </c>
      <c r="H230" s="56" t="s">
        <v>13264</v>
      </c>
      <c r="L230" s="265" t="str">
        <f>"ls -lh /data/chocula/fritts/data/k100proc/midasraw/byseries/"&amp;A230</f>
        <v>ls -lh /data/chocula/fritts/data/k100proc/midasraw/byseries/07221203_1622</v>
      </c>
    </row>
    <row r="231" spans="1:12" s="56" customFormat="1">
      <c r="A231" s="56" t="s">
        <v>13367</v>
      </c>
      <c r="B231" s="56" t="s">
        <v>13001</v>
      </c>
      <c r="C231" s="56" t="s">
        <v>13091</v>
      </c>
      <c r="D231" s="56">
        <v>-73</v>
      </c>
      <c r="E231" s="56" t="s">
        <v>13263</v>
      </c>
      <c r="F231" s="56" t="s">
        <v>13045</v>
      </c>
      <c r="G231" s="56">
        <v>64</v>
      </c>
      <c r="H231" s="56" t="s">
        <v>13264</v>
      </c>
      <c r="L231" s="265" t="str">
        <f>"ls -lh /data/chocula/fritts/data/k100proc/midasraw/byseries/"&amp;A231</f>
        <v>ls -lh /data/chocula/fritts/data/k100proc/midasraw/byseries/07221203_1744</v>
      </c>
    </row>
    <row r="232" spans="1:12" s="56" customFormat="1">
      <c r="A232" s="56" t="s">
        <v>13368</v>
      </c>
      <c r="B232" s="56" t="s">
        <v>13001</v>
      </c>
      <c r="C232" s="56" t="s">
        <v>13091</v>
      </c>
      <c r="D232" s="56">
        <v>-79.900000000000006</v>
      </c>
      <c r="E232" s="56" t="s">
        <v>13263</v>
      </c>
      <c r="F232" s="56" t="s">
        <v>13045</v>
      </c>
      <c r="G232" s="56">
        <v>62</v>
      </c>
      <c r="H232" s="56" t="s">
        <v>13264</v>
      </c>
      <c r="L232" s="265" t="str">
        <f>"ls -lh /data/chocula/fritts/data/k100proc/midasraw/byseries/"&amp;A232</f>
        <v>ls -lh /data/chocula/fritts/data/k100proc/midasraw/byseries/07221203_1906</v>
      </c>
    </row>
    <row r="233" spans="1:12" s="56" customFormat="1">
      <c r="A233" s="56" t="s">
        <v>13369</v>
      </c>
      <c r="B233" s="56" t="s">
        <v>13001</v>
      </c>
      <c r="C233" s="56" t="s">
        <v>13091</v>
      </c>
      <c r="D233" s="56">
        <v>-83.2</v>
      </c>
      <c r="E233" s="56" t="s">
        <v>13263</v>
      </c>
      <c r="F233" s="56" t="s">
        <v>13045</v>
      </c>
      <c r="G233" s="56">
        <v>30</v>
      </c>
      <c r="H233" s="56" t="s">
        <v>13264</v>
      </c>
      <c r="L233" s="265" t="str">
        <f>"ls -lh /data/chocula/fritts/data/k100proc/midasraw/byseries/"&amp;A233</f>
        <v>ls -lh /data/chocula/fritts/data/k100proc/midasraw/byseries/07221203_2025</v>
      </c>
    </row>
    <row r="234" spans="1:12" s="55" customFormat="1" hidden="1">
      <c r="A234" s="55" t="s">
        <v>13370</v>
      </c>
      <c r="B234" s="55" t="s">
        <v>13001</v>
      </c>
      <c r="C234" s="55" t="s">
        <v>13093</v>
      </c>
      <c r="D234" s="55">
        <v>-82</v>
      </c>
      <c r="E234" s="55" t="s">
        <v>13186</v>
      </c>
      <c r="F234" s="55" t="s">
        <v>13045</v>
      </c>
      <c r="G234" s="55">
        <v>71</v>
      </c>
      <c r="L234" s="266" t="str">
        <f>"ls -lh /data/chocula/fritts/data/k100proc/midasraw/byseries/"&amp;A234</f>
        <v>ls -lh /data/chocula/fritts/data/k100proc/midasraw/byseries/07221206_1738</v>
      </c>
    </row>
    <row r="235" spans="1:12" s="55" customFormat="1" hidden="1">
      <c r="A235" s="275" t="s">
        <v>13371</v>
      </c>
      <c r="B235" s="55" t="s">
        <v>13001</v>
      </c>
      <c r="C235" s="55" t="s">
        <v>13093</v>
      </c>
      <c r="D235" s="55">
        <v>-82.1</v>
      </c>
      <c r="E235" s="55" t="s">
        <v>8629</v>
      </c>
      <c r="F235" s="55" t="s">
        <v>13045</v>
      </c>
      <c r="G235" s="55">
        <v>861</v>
      </c>
      <c r="H235" s="55">
        <f>G235/60</f>
        <v>14.35</v>
      </c>
      <c r="I235" s="55" t="s">
        <v>13372</v>
      </c>
      <c r="L235" s="266" t="str">
        <f>"ls -lh /data/chocula/fritts/data/k100proc/midasraw/byseries/"&amp;A235</f>
        <v>ls -lh /data/chocula/fritts/data/k100proc/midasraw/byseries/07221206_1858</v>
      </c>
    </row>
    <row r="236" spans="1:12" s="55" customFormat="1" hidden="1">
      <c r="A236" s="55" t="s">
        <v>13373</v>
      </c>
      <c r="B236" s="55" t="s">
        <v>13001</v>
      </c>
      <c r="C236" s="55" t="s">
        <v>13093</v>
      </c>
      <c r="D236" s="55">
        <v>-82.2</v>
      </c>
      <c r="E236" s="55" t="s">
        <v>13186</v>
      </c>
      <c r="F236" s="55" t="s">
        <v>13045</v>
      </c>
      <c r="G236" s="55">
        <v>110</v>
      </c>
      <c r="L236" s="266" t="str">
        <f>"ls -lh /data/chocula/fritts/data/k100proc/midasraw/byseries/"&amp;A236</f>
        <v>ls -lh /data/chocula/fritts/data/k100proc/midasraw/byseries/07221207_0928</v>
      </c>
    </row>
    <row r="237" spans="1:12" hidden="1">
      <c r="L237" s="256" t="str">
        <f>"ls -lh /data/chocula/fritts/data/k100proc/midasraw/byseries/"&amp;A237</f>
        <v>ls -lh /data/chocula/fritts/data/k100proc/midasraw/byseries/</v>
      </c>
    </row>
  </sheetData>
  <autoFilter ref="A1:AN237" xr:uid="{65C212C8-09BC-408C-AC55-4BED2B0AEA96}">
    <filterColumn colId="2">
      <filters>
        <filter val="PuBe / Pb&amp;poly, lead stack, borax"/>
      </filters>
    </filterColumn>
    <filterColumn colId="4">
      <filters blank="1">
        <filter val="DCRC1pA 100"/>
        <filter val="DCRC1pA 2"/>
        <filter val="DCRC1pA 8"/>
        <filter val="DCRC1pB 10"/>
        <filter val="NaI"/>
        <filter val="NaI array"/>
        <filter val="SiHV&amp;NaI"/>
      </filters>
    </filterColumn>
    <sortState xmlns:xlrd2="http://schemas.microsoft.com/office/spreadsheetml/2017/richdata2" ref="A2:AN237">
      <sortCondition ref="A1:A237"/>
    </sortState>
  </autoFilter>
  <hyperlinks>
    <hyperlink ref="A3:A5" r:id="rId1" display="07220401_1453" xr:uid="{58C6E0FA-FC91-48AD-87C7-AC5C68B186C8}"/>
    <hyperlink ref="A35" r:id="rId2" xr:uid="{83F3514F-096B-4CEC-99A3-0E2EAEE6D585}"/>
    <hyperlink ref="A38" r:id="rId3" xr:uid="{06748FB8-F1C3-4B1E-89BA-F4BB91187F85}"/>
    <hyperlink ref="A42:A44" r:id="rId4" display="07220703_2012" xr:uid="{C27B099B-55FE-4A83-A437-B96C403DD853}"/>
    <hyperlink ref="A49:A53" r:id="rId5" display="07220704_1444" xr:uid="{CE88026E-1B5A-4EC6-82A4-486224BEF4CD}"/>
    <hyperlink ref="A55" r:id="rId6" xr:uid="{3EC2AE53-A5B8-4336-8B0E-94FC4B64C0EA}"/>
    <hyperlink ref="A57:A63" r:id="rId7" display="07220706_1112" xr:uid="{7C1EBA34-DACD-449D-840F-919D5D048BBB}"/>
    <hyperlink ref="A65:A71" r:id="rId8" display="07220707_0639" xr:uid="{EB0A5FCD-B24B-475C-85EF-199385F51135}"/>
    <hyperlink ref="A73:A78" r:id="rId9" display="07220708_0833" xr:uid="{03655C66-29F9-4B7D-B3C7-35D56D33D026}"/>
    <hyperlink ref="A80:A84" r:id="rId10" display="07220709_0935" xr:uid="{5228EC08-070E-4A85-B20C-B6A6B0275936}"/>
    <hyperlink ref="A87" r:id="rId11" xr:uid="{85B700E6-CCF0-4B80-9A5F-642EE1B13252}"/>
    <hyperlink ref="A102:A104" r:id="rId12" display="07220830_1829" xr:uid="{D15CCFB1-D258-44A0-A452-492FB5BAB0E8}"/>
    <hyperlink ref="A107" r:id="rId13" xr:uid="{9B828EFB-1119-448C-8F6E-A2FB0427DE5A}"/>
    <hyperlink ref="A111" r:id="rId14" xr:uid="{2A4F1234-04C4-4863-A581-EFEC0CFF33A0}"/>
    <hyperlink ref="A115:A119" r:id="rId15" display="07220909_1340" xr:uid="{C2CDBEDB-4DAC-470D-B8F2-982D56804B80}"/>
    <hyperlink ref="A122" r:id="rId16" xr:uid="{33F69539-DF0B-4DB7-8FAB-8AE15DA46B1A}"/>
    <hyperlink ref="A124" r:id="rId17" xr:uid="{F62FFD67-A904-4DB5-8D6D-6FF0AA94E36E}"/>
    <hyperlink ref="A127" r:id="rId18" xr:uid="{AFDE08E3-BE06-4BC4-AB8C-08882E530BDB}"/>
    <hyperlink ref="A130" r:id="rId19" xr:uid="{DAEC2005-C542-4BFF-B662-70768CF6B514}"/>
    <hyperlink ref="A132:A134" r:id="rId20" display="07220917_1225" xr:uid="{21608EFF-2024-4A74-8C4F-D7DDD942D096}"/>
    <hyperlink ref="A136:A137" r:id="rId21" display="07220919_1808" xr:uid="{38653C48-2F20-4A0E-AEE7-CA376248AE64}"/>
    <hyperlink ref="A139:A141" r:id="rId22" display="07220920_1007" xr:uid="{B24D88AC-07A8-4C42-AC9F-F5D394DA2B1A}"/>
    <hyperlink ref="A143:A145" r:id="rId23" display="07220921_1034" xr:uid="{2CBA162D-12F4-4D60-A3C4-6F3EB71ACA80}"/>
    <hyperlink ref="A149" r:id="rId24" xr:uid="{B8F305EA-A7B7-4611-BB02-4CAA5299D7E4}"/>
    <hyperlink ref="A151" r:id="rId25" xr:uid="{8E972919-B406-4045-B7C4-3E28983A23BF}"/>
    <hyperlink ref="A153:A156" r:id="rId26" display="07220925_1056" xr:uid="{0D848506-F0E5-46E8-A7BC-83D2781D7A2F}"/>
    <hyperlink ref="A163:A165" r:id="rId27" display="07221019_1832" xr:uid="{FC337BC6-0166-48CC-AFAE-67CFF6CCA214}"/>
    <hyperlink ref="A167:A169" r:id="rId28" display="07221020_0954" xr:uid="{29CB2E55-7FFA-4ED8-8F17-7481BC920AFB}"/>
    <hyperlink ref="A171" r:id="rId29" xr:uid="{97259F44-E049-401A-AD70-337033270D19}"/>
    <hyperlink ref="A175" r:id="rId30" xr:uid="{2C38F3E9-791A-421D-9560-A61BA6489981}"/>
    <hyperlink ref="A177:A179" r:id="rId31" display="07221026_1049" xr:uid="{5C942CF4-D4C3-4A44-9927-32712CAFC913}"/>
    <hyperlink ref="A181" r:id="rId32" xr:uid="{CEDA14F3-C92B-4D59-B117-CFF49BFB8C5C}"/>
    <hyperlink ref="A193" r:id="rId33" xr:uid="{C14AE748-5306-4CA7-9FBC-7F9E9836E130}"/>
    <hyperlink ref="A195" r:id="rId34" xr:uid="{D80B4C08-16BC-4121-87FE-8B8089F6EA99}"/>
    <hyperlink ref="A197" r:id="rId35" xr:uid="{5F593EF3-28FC-4759-BB0B-6B4C865357F0}"/>
    <hyperlink ref="A200" r:id="rId36" xr:uid="{4DD3DCFA-EE1C-4625-9509-8BCF2499C7A3}"/>
    <hyperlink ref="A202:A204" r:id="rId37" display="07221115_0919" xr:uid="{22C5309F-EE6E-46A6-9B62-EFAA55A13DF1}"/>
    <hyperlink ref="A206" r:id="rId38" xr:uid="{5A452C63-CC66-421A-B9FD-078C7C48269A}"/>
    <hyperlink ref="A235" r:id="rId39" xr:uid="{1AA5F5E4-C079-4738-871E-E73277158806}"/>
  </hyperlinks>
  <pageMargins left="0.7" right="0.7" top="0.75" bottom="0.75" header="0.3" footer="0.3"/>
  <legacyDrawing r:id="rId4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8512-93C5-4342-919A-D3E363C71CFD}">
  <dimension ref="A1:AN8"/>
  <sheetViews>
    <sheetView topLeftCell="F1" workbookViewId="0">
      <selection activeCell="J6" sqref="J6"/>
    </sheetView>
  </sheetViews>
  <sheetFormatPr defaultRowHeight="15"/>
  <cols>
    <col min="1" max="1" width="17.140625" customWidth="1"/>
    <col min="8" max="8" width="46.42578125" customWidth="1"/>
    <col min="10" max="10" width="39.28515625" customWidth="1"/>
    <col min="12" max="12" width="39.7109375" customWidth="1"/>
  </cols>
  <sheetData>
    <row r="1" spans="1:40" s="269" customFormat="1" ht="43.5">
      <c r="A1" s="27" t="s">
        <v>0</v>
      </c>
      <c r="B1" s="60" t="s">
        <v>2190</v>
      </c>
      <c r="C1" s="60" t="s">
        <v>12087</v>
      </c>
      <c r="D1" s="60" t="s">
        <v>13011</v>
      </c>
      <c r="E1" s="60" t="s">
        <v>12353</v>
      </c>
      <c r="F1" s="60" t="s">
        <v>13012</v>
      </c>
      <c r="G1" s="60" t="s">
        <v>13013</v>
      </c>
      <c r="H1" s="60" t="s">
        <v>13</v>
      </c>
      <c r="I1" s="60" t="s">
        <v>12920</v>
      </c>
      <c r="J1" s="60" t="s">
        <v>12088</v>
      </c>
      <c r="K1" s="60" t="s">
        <v>12089</v>
      </c>
      <c r="L1" s="269" t="s">
        <v>13374</v>
      </c>
      <c r="S1" s="270"/>
      <c r="T1" s="270"/>
      <c r="AI1" s="269" t="s">
        <v>13025</v>
      </c>
      <c r="AJ1" s="269" t="s">
        <v>13026</v>
      </c>
      <c r="AK1" s="269" t="s">
        <v>13027</v>
      </c>
      <c r="AL1" s="269" t="s">
        <v>13028</v>
      </c>
      <c r="AM1" s="269" t="s">
        <v>13029</v>
      </c>
      <c r="AN1" s="269" t="s">
        <v>13030</v>
      </c>
    </row>
    <row r="2" spans="1:40">
      <c r="A2" t="s">
        <v>13375</v>
      </c>
      <c r="B2" t="s">
        <v>13001</v>
      </c>
      <c r="C2" t="s">
        <v>13376</v>
      </c>
      <c r="D2">
        <v>0</v>
      </c>
      <c r="E2" s="277" t="s">
        <v>13377</v>
      </c>
      <c r="F2" t="s">
        <v>13035</v>
      </c>
      <c r="G2" t="s">
        <v>13378</v>
      </c>
      <c r="L2" t="s">
        <v>13379</v>
      </c>
    </row>
    <row r="3" spans="1:40">
      <c r="A3" t="s">
        <v>13380</v>
      </c>
      <c r="B3" t="s">
        <v>13001</v>
      </c>
      <c r="C3" t="s">
        <v>13376</v>
      </c>
      <c r="D3">
        <v>0</v>
      </c>
      <c r="E3" t="s">
        <v>2288</v>
      </c>
      <c r="G3" t="s">
        <v>3371</v>
      </c>
      <c r="H3" t="s">
        <v>13381</v>
      </c>
      <c r="J3" t="s">
        <v>13382</v>
      </c>
    </row>
    <row r="4" spans="1:40">
      <c r="A4" s="278" t="s">
        <v>13383</v>
      </c>
      <c r="B4" t="s">
        <v>13001</v>
      </c>
      <c r="C4" t="s">
        <v>13376</v>
      </c>
      <c r="D4">
        <v>0</v>
      </c>
      <c r="E4" t="s">
        <v>13384</v>
      </c>
      <c r="F4" t="s">
        <v>13035</v>
      </c>
      <c r="G4" t="s">
        <v>13378</v>
      </c>
      <c r="L4" s="277" t="s">
        <v>13385</v>
      </c>
    </row>
    <row r="8" spans="1:40">
      <c r="A8" s="27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School of Physics and Astronomy</dc:creator>
  <cp:keywords/>
  <dc:description/>
  <cp:lastModifiedBy/>
  <cp:revision/>
  <dcterms:created xsi:type="dcterms:W3CDTF">2015-12-14T16:58:21Z</dcterms:created>
  <dcterms:modified xsi:type="dcterms:W3CDTF">2026-08-31T21:02:24Z</dcterms:modified>
  <cp:category/>
  <cp:contentStatus/>
</cp:coreProperties>
</file>